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441165EF-84E5-41CB-A934-FB8550508030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PB7" sheetId="1" r:id="rId1"/>
    <sheet name="Récapitulatif" sheetId="9" state="hidden" r:id="rId2"/>
    <sheet name="Graph Profil" sheetId="10" state="hidden" r:id="rId3"/>
    <sheet name="80%" sheetId="11" state="hidden" r:id="rId4"/>
    <sheet name="90%" sheetId="12" state="hidden" r:id="rId5"/>
    <sheet name="100%" sheetId="13" state="hidden" r:id="rId6"/>
    <sheet name="110%" sheetId="14" state="hidden" r:id="rId7"/>
    <sheet name="120%" sheetId="15" state="hidden" r:id="rId8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3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7" i="1" l="1"/>
  <c r="U5" i="1"/>
  <c r="U4" i="1"/>
  <c r="Z17" i="1" l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W19" i="1"/>
  <c r="W21" i="1"/>
  <c r="W23" i="1"/>
  <c r="W25" i="1"/>
  <c r="W27" i="1"/>
  <c r="W29" i="1"/>
  <c r="W17" i="1"/>
  <c r="O6" i="1"/>
  <c r="O7" i="1"/>
  <c r="O8" i="1"/>
  <c r="O9" i="1"/>
  <c r="O10" i="1"/>
  <c r="O11" i="1"/>
  <c r="O12" i="1"/>
  <c r="O5" i="1"/>
  <c r="W5" i="1" l="1"/>
  <c r="Y12" i="1"/>
  <c r="Y10" i="1"/>
  <c r="Y6" i="1"/>
  <c r="Y18" i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W12" i="1"/>
  <c r="W9" i="1"/>
  <c r="W8" i="1"/>
  <c r="W7" i="1"/>
  <c r="W10" i="1"/>
  <c r="W6" i="1"/>
  <c r="Y5" i="1" l="1"/>
  <c r="W11" i="1"/>
  <c r="G13" i="1" s="1"/>
  <c r="Y11" i="1"/>
  <c r="G36" i="1"/>
  <c r="I36" i="1"/>
  <c r="T7" i="1"/>
  <c r="H13" i="1" l="1"/>
  <c r="X17" i="1" s="1"/>
  <c r="I13" i="1"/>
  <c r="H36" i="1"/>
  <c r="J13" i="1"/>
  <c r="N13" i="1"/>
  <c r="K13" i="1"/>
  <c r="L13" i="1"/>
  <c r="M13" i="1"/>
  <c r="X29" i="1" l="1"/>
  <c r="X30" i="1" s="1"/>
  <c r="H45" i="1"/>
  <c r="I45" i="1" s="1"/>
  <c r="X27" i="1"/>
  <c r="X28" i="1" s="1"/>
  <c r="H44" i="1"/>
  <c r="I44" i="1" s="1"/>
  <c r="X25" i="1"/>
  <c r="X26" i="1" s="1"/>
  <c r="H43" i="1"/>
  <c r="I43" i="1" s="1"/>
  <c r="X23" i="1"/>
  <c r="X24" i="1" s="1"/>
  <c r="H42" i="1"/>
  <c r="I42" i="1" s="1"/>
  <c r="X21" i="1"/>
  <c r="X22" i="1" s="1"/>
  <c r="H41" i="1"/>
  <c r="I41" i="1" s="1"/>
  <c r="X19" i="1"/>
  <c r="X20" i="1" s="1"/>
  <c r="H40" i="1"/>
  <c r="I40" i="1" s="1"/>
  <c r="H39" i="1"/>
  <c r="I39" i="1" s="1"/>
  <c r="X18" i="1"/>
  <c r="AH15" i="1" l="1"/>
  <c r="Y9" i="1"/>
  <c r="Y8" i="1"/>
  <c r="Y7" i="1"/>
  <c r="F45" i="1"/>
  <c r="F44" i="1"/>
  <c r="F43" i="1"/>
  <c r="F42" i="1"/>
  <c r="F41" i="1"/>
  <c r="F40" i="1"/>
  <c r="F39" i="1"/>
  <c r="J45" i="1"/>
  <c r="J44" i="1"/>
  <c r="J43" i="1"/>
  <c r="J42" i="1"/>
  <c r="J41" i="1"/>
  <c r="J40" i="1"/>
  <c r="J39" i="1"/>
  <c r="AH16" i="1" l="1"/>
  <c r="J37" i="1"/>
  <c r="T11" i="1"/>
  <c r="J36" i="1"/>
  <c r="K36" i="1" s="1"/>
  <c r="T10" i="1"/>
  <c r="I4" i="1" l="1"/>
  <c r="J4" i="1"/>
  <c r="K4" i="1"/>
  <c r="L4" i="1"/>
  <c r="M4" i="1"/>
  <c r="N4" i="1"/>
  <c r="H4" i="1"/>
  <c r="N42" i="1" l="1"/>
  <c r="N40" i="1" l="1"/>
  <c r="N41" i="1"/>
  <c r="N44" i="1"/>
  <c r="N43" i="1"/>
  <c r="J38" i="1"/>
  <c r="M39" i="1" s="1"/>
  <c r="K42" i="1"/>
  <c r="C3" i="9"/>
  <c r="C2" i="9"/>
  <c r="T8" i="1" l="1"/>
  <c r="T9" i="1" s="1"/>
  <c r="K40" i="1"/>
  <c r="K41" i="1"/>
  <c r="K44" i="1"/>
  <c r="K43" i="1"/>
  <c r="K45" i="1"/>
  <c r="N45" i="1"/>
  <c r="M41" i="1"/>
  <c r="M45" i="1"/>
  <c r="M42" i="1"/>
  <c r="M44" i="1"/>
  <c r="M43" i="1"/>
  <c r="M40" i="1"/>
  <c r="M37" i="1"/>
  <c r="I37" i="1"/>
  <c r="N37" i="1" s="1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I38" i="1" l="1"/>
  <c r="K37" i="1"/>
  <c r="T12" i="1"/>
  <c r="AG17" i="1" s="1"/>
  <c r="G48" i="1"/>
  <c r="N39" i="1"/>
  <c r="K39" i="1"/>
  <c r="C8" i="11"/>
  <c r="C8" i="15"/>
  <c r="C8" i="14"/>
  <c r="C5" i="11"/>
  <c r="K38" i="1" l="1"/>
  <c r="G52" i="1" s="1"/>
  <c r="B8" i="1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Q39" i="1" l="1"/>
  <c r="Q40" i="1" s="1"/>
  <c r="Q41" i="1" s="1"/>
  <c r="Q42" i="1" s="1"/>
  <c r="Q43" i="1" s="1"/>
  <c r="Q44" i="1" s="1"/>
  <c r="Q45" i="1" s="1"/>
  <c r="Q46" i="1" s="1"/>
  <c r="G50" i="1"/>
  <c r="L39" i="1"/>
  <c r="O39" i="1" s="1"/>
  <c r="P39" i="1" s="1"/>
  <c r="N38" i="1"/>
  <c r="N36" i="1" s="1"/>
  <c r="L40" i="1"/>
  <c r="O40" i="1" s="1"/>
  <c r="P40" i="1" s="1"/>
  <c r="L37" i="1"/>
  <c r="L44" i="1"/>
  <c r="L42" i="1"/>
  <c r="L41" i="1"/>
  <c r="L43" i="1"/>
  <c r="L45" i="1"/>
  <c r="B11" i="1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O45" i="1" l="1"/>
  <c r="P45" i="1" s="1"/>
  <c r="O41" i="1"/>
  <c r="P41" i="1" s="1"/>
  <c r="O43" i="1"/>
  <c r="P43" i="1" s="1"/>
  <c r="O42" i="1"/>
  <c r="P42" i="1" s="1"/>
  <c r="O44" i="1"/>
  <c r="P44" i="1" s="1"/>
  <c r="G17" i="9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U6" i="1" l="1"/>
  <c r="AB36" i="1" l="1"/>
  <c r="AC36" i="1" s="1"/>
  <c r="AB15" i="1" l="1"/>
  <c r="AC15" i="1" s="1"/>
  <c r="AB17" i="1"/>
  <c r="AC17" i="1" s="1"/>
  <c r="AB55" i="1"/>
  <c r="AC55" i="1" s="1"/>
  <c r="AB30" i="1"/>
  <c r="AC30" i="1" s="1"/>
  <c r="AB62" i="1"/>
  <c r="AC62" i="1" s="1"/>
  <c r="AB52" i="1"/>
  <c r="AC52" i="1" s="1"/>
  <c r="AB43" i="1"/>
  <c r="AC43" i="1" s="1"/>
  <c r="AB63" i="1"/>
  <c r="AC63" i="1" s="1"/>
  <c r="AB38" i="1"/>
  <c r="AC38" i="1" s="1"/>
  <c r="AB24" i="1"/>
  <c r="AC24" i="1" s="1"/>
  <c r="AB48" i="1"/>
  <c r="AC48" i="1" s="1"/>
  <c r="AB41" i="1"/>
  <c r="AC41" i="1" s="1"/>
  <c r="AB65" i="1"/>
  <c r="AC65" i="1" s="1"/>
  <c r="AB39" i="1"/>
  <c r="AC39" i="1" s="1"/>
  <c r="AB35" i="1"/>
  <c r="AC35" i="1" s="1"/>
  <c r="AB26" i="1"/>
  <c r="AC26" i="1" s="1"/>
  <c r="AB40" i="1"/>
  <c r="AC40" i="1" s="1"/>
  <c r="AB56" i="1"/>
  <c r="AC56" i="1" s="1"/>
  <c r="AB54" i="1"/>
  <c r="AC54" i="1" s="1"/>
  <c r="AB57" i="1"/>
  <c r="AC57" i="1" s="1"/>
  <c r="AB59" i="1"/>
  <c r="AC59" i="1" s="1"/>
  <c r="AB58" i="1"/>
  <c r="AC58" i="1" s="1"/>
  <c r="AB31" i="1"/>
  <c r="AC31" i="1" s="1"/>
  <c r="AB20" i="1"/>
  <c r="AC20" i="1" s="1"/>
  <c r="AB28" i="1"/>
  <c r="AC28" i="1" s="1"/>
  <c r="AB46" i="1"/>
  <c r="AC46" i="1" s="1"/>
  <c r="AB70" i="1"/>
  <c r="AC70" i="1" s="1"/>
  <c r="AB33" i="1"/>
  <c r="AC33" i="1" s="1"/>
  <c r="AB49" i="1"/>
  <c r="AC49" i="1" s="1"/>
  <c r="AB19" i="1"/>
  <c r="AC19" i="1" s="1"/>
  <c r="AB32" i="1"/>
  <c r="AC32" i="1" s="1"/>
  <c r="AB21" i="1"/>
  <c r="AC21" i="1" s="1"/>
  <c r="AB47" i="1"/>
  <c r="AC47" i="1" s="1"/>
  <c r="AB72" i="1"/>
  <c r="AC72" i="1" s="1"/>
  <c r="AB68" i="1"/>
  <c r="AC68" i="1" s="1"/>
  <c r="AB22" i="1"/>
  <c r="AC22" i="1" s="1"/>
  <c r="AB37" i="1"/>
  <c r="AC37" i="1" s="1"/>
  <c r="AB45" i="1"/>
  <c r="AC45" i="1" s="1"/>
  <c r="AB25" i="1"/>
  <c r="AC25" i="1" s="1"/>
  <c r="AB73" i="1"/>
  <c r="AC73" i="1" s="1"/>
  <c r="AB27" i="1"/>
  <c r="AC27" i="1" s="1"/>
  <c r="AB64" i="1"/>
  <c r="AC64" i="1" s="1"/>
  <c r="AB53" i="1"/>
  <c r="AC53" i="1" s="1"/>
  <c r="AB60" i="1"/>
  <c r="AC60" i="1" s="1"/>
  <c r="AB51" i="1"/>
  <c r="AC51" i="1" s="1"/>
  <c r="AB67" i="1"/>
  <c r="AC67" i="1" s="1"/>
  <c r="AB16" i="1"/>
  <c r="AC16" i="1" s="1"/>
  <c r="AB18" i="1"/>
  <c r="AC18" i="1" s="1"/>
  <c r="AB44" i="1"/>
  <c r="AC44" i="1" s="1"/>
  <c r="W3" i="1" s="1"/>
  <c r="AB23" i="1"/>
  <c r="AC23" i="1" s="1"/>
  <c r="AB14" i="1"/>
  <c r="AC14" i="1" s="1"/>
  <c r="AB66" i="1"/>
  <c r="AC66" i="1" s="1"/>
  <c r="AB34" i="1"/>
  <c r="AC34" i="1" s="1"/>
  <c r="AB61" i="1"/>
  <c r="AC61" i="1" s="1"/>
  <c r="AB69" i="1"/>
  <c r="AC69" i="1" s="1"/>
  <c r="AB74" i="1"/>
  <c r="AC74" i="1" s="1"/>
  <c r="AB42" i="1"/>
  <c r="AC42" i="1" s="1"/>
  <c r="AB50" i="1"/>
  <c r="AC50" i="1" s="1"/>
  <c r="AB71" i="1"/>
  <c r="AC71" i="1" s="1"/>
  <c r="AB29" i="1"/>
  <c r="AC29" i="1" s="1"/>
  <c r="W4" i="1" l="1"/>
</calcChain>
</file>

<file path=xl/sharedStrings.xml><?xml version="1.0" encoding="utf-8"?>
<sst xmlns="http://schemas.openxmlformats.org/spreadsheetml/2006/main" count="314" uniqueCount="110">
  <si>
    <t>Origine</t>
  </si>
  <si>
    <t>niveau</t>
  </si>
  <si>
    <t>SCE</t>
  </si>
  <si>
    <t>ddl</t>
  </si>
  <si>
    <t>CM</t>
  </si>
  <si>
    <t>Fobs</t>
  </si>
  <si>
    <t>F5%</t>
  </si>
  <si>
    <t>x</t>
  </si>
  <si>
    <t>contrib%</t>
  </si>
  <si>
    <t>Total</t>
  </si>
  <si>
    <t>modèle</t>
  </si>
  <si>
    <t>Tolérance +</t>
  </si>
  <si>
    <t>Tolérance -</t>
  </si>
  <si>
    <t>moyenne</t>
  </si>
  <si>
    <t>Min</t>
  </si>
  <si>
    <t>Max</t>
  </si>
  <si>
    <t>Cpk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</si>
  <si>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</si>
  <si>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</si>
  <si>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</si>
  <si>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</si>
  <si>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</si>
  <si>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</si>
  <si>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</si>
  <si>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</si>
  <si>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</si>
  <si>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</si>
  <si>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</si>
  <si>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</si>
  <si>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</si>
  <si>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</si>
  <si>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</si>
  <si>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</si>
  <si>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</si>
  <si>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</si>
  <si>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</si>
  <si>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</si>
  <si>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</si>
  <si>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</si>
  <si>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</si>
  <si>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</si>
  <si>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</si>
  <si>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</si>
  <si>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</si>
  <si>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</si>
  <si>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</si>
  <si>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</si>
  <si>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</si>
  <si>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</si>
  <si>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</si>
  <si>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</si>
  <si>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</si>
  <si>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</si>
  <si>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r>
      <t xml:space="preserve">équiv </t>
    </r>
    <r>
      <rPr>
        <sz val="11"/>
        <rFont val="Calibri"/>
        <family val="2"/>
      </rPr>
      <t>β</t>
    </r>
  </si>
  <si>
    <r>
      <t>diff 1-</t>
    </r>
    <r>
      <rPr>
        <sz val="11"/>
        <rFont val="Calibri"/>
        <family val="2"/>
      </rPr>
      <t>β</t>
    </r>
  </si>
  <si>
    <t>ANOVA</t>
  </si>
  <si>
    <t>R²ajusté</t>
  </si>
  <si>
    <t>Y</t>
  </si>
  <si>
    <t>&lt; expliqué par le modèle (ajusté)</t>
  </si>
  <si>
    <t>S² totale</t>
  </si>
  <si>
    <t>S totale</t>
  </si>
  <si>
    <t>version 1</t>
  </si>
  <si>
    <t>www.methodesdevalidation.com</t>
  </si>
  <si>
    <t>Morgan GERMA</t>
  </si>
  <si>
    <t>paramètre équipement</t>
  </si>
  <si>
    <t>&lt;Coefficient de détermination : ce qui est expliqué par le modèle</t>
  </si>
  <si>
    <t>si Fobs &lt; F5% = équivalence</t>
  </si>
  <si>
    <t>répéta</t>
  </si>
  <si>
    <t>Catégorie</t>
  </si>
  <si>
    <t>&lt; nombre de catégorie détectable par la méthode</t>
  </si>
  <si>
    <t>paramètre</t>
  </si>
  <si>
    <t>effet</t>
  </si>
  <si>
    <t>T-</t>
  </si>
  <si>
    <t>T+</t>
  </si>
  <si>
    <t>Etape d'identification</t>
  </si>
  <si>
    <t>Puis réaliser les 8 essais aléatoirement</t>
  </si>
  <si>
    <t>Veuillez étudier de 4 à 7 paramètres avec de "petites"</t>
  </si>
  <si>
    <t>variations cohérentes susceptibles de se produire en routine</t>
  </si>
  <si>
    <t>essai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</si>
  <si>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</si>
  <si>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</si>
  <si>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</si>
  <si>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</si>
  <si>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</si>
  <si>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</si>
  <si>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</si>
  <si>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</si>
  <si>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</si>
  <si>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</si>
  <si>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</si>
  <si>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</si>
  <si>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</si>
  <si>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</si>
  <si>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</si>
  <si>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</si>
  <si>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</si>
  <si>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</si>
  <si>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</si>
  <si>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</si>
  <si>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</si>
  <si>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</si>
  <si>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</si>
  <si>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</si>
  <si>
    <t>T°C lavage</t>
  </si>
  <si>
    <t>durée (min)</t>
  </si>
  <si>
    <t>[X]</t>
  </si>
  <si>
    <t>durée rinçage</t>
  </si>
  <si>
    <t>T°C rinçage</t>
  </si>
  <si>
    <t>durée séchage</t>
  </si>
  <si>
    <t>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</si>
</sst>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%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7" fillId="5" borderId="0"/>
    <xf numFmtId="0" fontId="9" fillId="6" borderId="0"/>
    <xf numFmtId="0" fontId="9" fillId="0" borderId="0">
      <alignment horizontal="right"/>
      <protection locked="0"/>
    </xf>
    <xf numFmtId="0" fontId="10" fillId="6" borderId="0"/>
    <xf numFmtId="9" fontId="11" fillId="6" borderId="0" applyFont="0" applyBorder="0" applyAlignment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8" fillId="5" borderId="0" xfId="3" applyFont="1"/>
    <xf numFmtId="0" fontId="9" fillId="6" borderId="0" xfId="4"/>
    <xf numFmtId="0" fontId="7" fillId="5" borderId="0" xfId="3"/>
    <xf numFmtId="0" fontId="9" fillId="0" borderId="2" xfId="5" applyBorder="1">
      <alignment horizontal="right"/>
      <protection locked="0"/>
    </xf>
    <xf numFmtId="1" fontId="9" fillId="6" borderId="0" xfId="4" applyNumberFormat="1"/>
    <xf numFmtId="166" fontId="9" fillId="6" borderId="0" xfId="4" applyNumberFormat="1"/>
    <xf numFmtId="0" fontId="10" fillId="6" borderId="0" xfId="6"/>
    <xf numFmtId="167" fontId="9" fillId="6" borderId="0" xfId="4" applyNumberFormat="1"/>
    <xf numFmtId="10" fontId="0" fillId="6" borderId="0" xfId="7" applyNumberFormat="1" applyFont="1"/>
    <xf numFmtId="0" fontId="7" fillId="5" borderId="0" xfId="3" applyFont="1"/>
    <xf numFmtId="164" fontId="9" fillId="0" borderId="2" xfId="5" applyNumberFormat="1" applyBorder="1">
      <alignment horizontal="right"/>
      <protection locked="0"/>
    </xf>
    <xf numFmtId="168" fontId="9" fillId="6" borderId="0" xfId="4" applyNumberFormat="1"/>
    <xf numFmtId="0" fontId="12" fillId="5" borderId="0" xfId="3" applyFont="1"/>
    <xf numFmtId="0" fontId="9" fillId="6" borderId="0" xfId="4" applyFont="1"/>
    <xf numFmtId="9" fontId="9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9" fillId="6" borderId="1" xfId="4" applyFont="1" applyBorder="1"/>
    <xf numFmtId="0" fontId="13" fillId="6" borderId="0" xfId="4" applyFont="1"/>
    <xf numFmtId="0" fontId="13" fillId="6" borderId="1" xfId="4" applyFont="1" applyBorder="1"/>
    <xf numFmtId="164" fontId="9" fillId="6" borderId="1" xfId="4" applyNumberFormat="1" applyFont="1" applyBorder="1"/>
    <xf numFmtId="0" fontId="14" fillId="6" borderId="0" xfId="4" applyFont="1"/>
    <xf numFmtId="10" fontId="9" fillId="6" borderId="1" xfId="7" applyNumberFormat="1" applyFont="1" applyBorder="1"/>
    <xf numFmtId="10" fontId="13" fillId="6" borderId="1" xfId="7" applyNumberFormat="1" applyFont="1" applyBorder="1"/>
    <xf numFmtId="10" fontId="13" fillId="6" borderId="1" xfId="4" applyNumberFormat="1" applyFont="1" applyBorder="1"/>
    <xf numFmtId="0" fontId="13" fillId="6" borderId="0" xfId="4" applyFont="1" applyBorder="1"/>
    <xf numFmtId="10" fontId="13" fillId="6" borderId="0" xfId="4" applyNumberFormat="1" applyFont="1" applyBorder="1"/>
    <xf numFmtId="165" fontId="9" fillId="6" borderId="0" xfId="4" applyNumberFormat="1" applyFont="1"/>
    <xf numFmtId="10" fontId="9" fillId="6" borderId="0" xfId="7" applyNumberFormat="1" applyFont="1"/>
    <xf numFmtId="0" fontId="15" fillId="6" borderId="0" xfId="4" applyFont="1"/>
    <xf numFmtId="165" fontId="15" fillId="6" borderId="0" xfId="4" applyNumberFormat="1" applyFont="1"/>
    <xf numFmtId="10" fontId="15" fillId="6" borderId="0" xfId="7" applyNumberFormat="1" applyFont="1"/>
    <xf numFmtId="0" fontId="13" fillId="0" borderId="1" xfId="0" applyFont="1" applyBorder="1"/>
    <xf numFmtId="0" fontId="9" fillId="0" borderId="1" xfId="0" applyFont="1" applyBorder="1"/>
    <xf numFmtId="1" fontId="13" fillId="6" borderId="1" xfId="4" applyNumberFormat="1" applyFont="1" applyBorder="1"/>
    <xf numFmtId="165" fontId="9" fillId="0" borderId="1" xfId="5" applyNumberFormat="1" applyBorder="1" applyAlignment="1">
      <alignment horizontal="center"/>
      <protection locked="0"/>
    </xf>
    <xf numFmtId="164" fontId="9" fillId="0" borderId="1" xfId="5" applyNumberFormat="1" applyBorder="1" applyAlignment="1">
      <alignment horizontal="center"/>
      <protection locked="0"/>
    </xf>
    <xf numFmtId="0" fontId="9" fillId="0" borderId="1" xfId="5" applyBorder="1" applyAlignment="1">
      <alignment horizontal="center"/>
      <protection locked="0"/>
    </xf>
    <xf numFmtId="0" fontId="0" fillId="0" borderId="0" xfId="0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7" xfId="0" applyBorder="1" applyProtection="1">
      <protection hidden="1"/>
    </xf>
    <xf numFmtId="2" fontId="5" fillId="4" borderId="0" xfId="0" applyNumberFormat="1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5" fillId="0" borderId="7" xfId="0" applyFont="1" applyBorder="1" applyProtection="1">
      <protection hidden="1"/>
    </xf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0" borderId="0" xfId="0" applyFont="1" applyBorder="1" applyProtection="1">
      <protection hidden="1"/>
    </xf>
    <xf numFmtId="0" fontId="4" fillId="0" borderId="7" xfId="0" applyFont="1" applyBorder="1" applyProtection="1">
      <protection hidden="1"/>
    </xf>
    <xf numFmtId="0" fontId="6" fillId="4" borderId="0" xfId="2" applyFont="1" applyFill="1" applyBorder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5" fillId="4" borderId="0" xfId="0" applyFont="1" applyFill="1" applyBorder="1" applyProtection="1">
      <protection hidden="1"/>
    </xf>
    <xf numFmtId="0" fontId="5" fillId="0" borderId="0" xfId="0" applyFont="1" applyBorder="1" applyProtection="1">
      <protection hidden="1"/>
    </xf>
    <xf numFmtId="2" fontId="6" fillId="4" borderId="0" xfId="2" applyNumberFormat="1" applyFont="1" applyFill="1" applyBorder="1" applyAlignment="1" applyProtection="1">
      <alignment horizontal="center"/>
      <protection hidden="1"/>
    </xf>
    <xf numFmtId="11" fontId="6" fillId="4" borderId="0" xfId="2" applyNumberFormat="1" applyFont="1" applyFill="1" applyBorder="1" applyAlignment="1" applyProtection="1">
      <alignment horizontal="center"/>
      <protection hidden="1"/>
    </xf>
    <xf numFmtId="2" fontId="4" fillId="0" borderId="1" xfId="0" applyNumberFormat="1" applyFont="1" applyBorder="1" applyAlignment="1" applyProtection="1">
      <alignment horizontal="center"/>
      <protection hidden="1"/>
    </xf>
    <xf numFmtId="0" fontId="0" fillId="8" borderId="6" xfId="0" applyFill="1" applyBorder="1" applyProtection="1">
      <protection hidden="1"/>
    </xf>
    <xf numFmtId="0" fontId="0" fillId="8" borderId="0" xfId="0" applyFill="1" applyBorder="1" applyProtection="1">
      <protection hidden="1"/>
    </xf>
    <xf numFmtId="2" fontId="5" fillId="8" borderId="0" xfId="0" applyNumberFormat="1" applyFont="1" applyFill="1" applyBorder="1" applyAlignment="1" applyProtection="1">
      <alignment horizontal="center"/>
      <protection hidden="1"/>
    </xf>
    <xf numFmtId="0" fontId="0" fillId="8" borderId="7" xfId="0" applyFill="1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4" fillId="4" borderId="1" xfId="0" applyFont="1" applyFill="1" applyBorder="1" applyAlignment="1" applyProtection="1">
      <alignment horizontal="center"/>
      <protection hidden="1"/>
    </xf>
    <xf numFmtId="10" fontId="4" fillId="4" borderId="1" xfId="0" applyNumberFormat="1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2" fontId="4" fillId="3" borderId="1" xfId="0" applyNumberFormat="1" applyFont="1" applyFill="1" applyBorder="1" applyAlignment="1" applyProtection="1">
      <alignment horizontal="center"/>
      <protection hidden="1"/>
    </xf>
    <xf numFmtId="2" fontId="4" fillId="3" borderId="1" xfId="0" applyNumberFormat="1" applyFont="1" applyFill="1" applyBorder="1" applyAlignment="1" applyProtection="1">
      <alignment horizontal="center" vertical="center"/>
      <protection hidden="1"/>
    </xf>
    <xf numFmtId="1" fontId="4" fillId="3" borderId="1" xfId="0" applyNumberFormat="1" applyFont="1" applyFill="1" applyBorder="1" applyAlignment="1" applyProtection="1">
      <alignment horizontal="center"/>
      <protection hidden="1"/>
    </xf>
    <xf numFmtId="9" fontId="4" fillId="0" borderId="1" xfId="0" applyNumberFormat="1" applyFont="1" applyBorder="1" applyAlignment="1" applyProtection="1">
      <alignment horizontal="center"/>
      <protection hidden="1"/>
    </xf>
    <xf numFmtId="0" fontId="0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17" fontId="4" fillId="0" borderId="0" xfId="0" applyNumberFormat="1" applyFont="1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2" fontId="5" fillId="0" borderId="0" xfId="0" applyNumberFormat="1" applyFont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center"/>
      <protection hidden="1"/>
    </xf>
    <xf numFmtId="0" fontId="4" fillId="0" borderId="9" xfId="0" applyFont="1" applyBorder="1" applyProtection="1">
      <protection hidden="1"/>
    </xf>
    <xf numFmtId="0" fontId="0" fillId="0" borderId="0" xfId="0" applyFill="1" applyBorder="1" applyProtection="1">
      <protection hidden="1"/>
    </xf>
    <xf numFmtId="0" fontId="16" fillId="0" borderId="0" xfId="8" applyBorder="1" applyProtection="1"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9" borderId="1" xfId="0" applyFont="1" applyFill="1" applyBorder="1" applyAlignment="1" applyProtection="1">
      <alignment horizontal="center"/>
      <protection hidden="1"/>
    </xf>
    <xf numFmtId="0" fontId="4" fillId="4" borderId="14" xfId="0" applyFont="1" applyFill="1" applyBorder="1" applyAlignment="1" applyProtection="1">
      <alignment horizontal="center"/>
      <protection hidden="1"/>
    </xf>
    <xf numFmtId="11" fontId="4" fillId="3" borderId="1" xfId="0" applyNumberFormat="1" applyFont="1" applyFill="1" applyBorder="1" applyAlignment="1" applyProtection="1">
      <alignment horizontal="center"/>
      <protection hidden="1"/>
    </xf>
    <xf numFmtId="11" fontId="4" fillId="3" borderId="1" xfId="0" applyNumberFormat="1" applyFont="1" applyFill="1" applyBorder="1" applyAlignment="1" applyProtection="1">
      <alignment horizontal="center" vertical="center"/>
      <protection hidden="1"/>
    </xf>
    <xf numFmtId="0" fontId="4" fillId="7" borderId="1" xfId="0" applyFont="1" applyFill="1" applyBorder="1" applyAlignment="1" applyProtection="1">
      <alignment horizontal="center"/>
      <protection hidden="1"/>
    </xf>
    <xf numFmtId="0" fontId="6" fillId="4" borderId="0" xfId="2" applyFont="1" applyFill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2" fontId="3" fillId="2" borderId="1" xfId="1" applyNumberFormat="1" applyFont="1" applyFill="1" applyBorder="1" applyAlignment="1" applyProtection="1">
      <alignment horizontal="center"/>
      <protection hidden="1"/>
    </xf>
    <xf numFmtId="2" fontId="4" fillId="2" borderId="1" xfId="1" applyNumberFormat="1" applyFont="1" applyFill="1" applyBorder="1" applyAlignment="1" applyProtection="1">
      <alignment horizontal="center"/>
      <protection hidden="1"/>
    </xf>
    <xf numFmtId="0" fontId="0" fillId="7" borderId="1" xfId="0" applyFont="1" applyFill="1" applyBorder="1" applyAlignment="1" applyProtection="1">
      <alignment horizontal="center"/>
      <protection hidden="1"/>
    </xf>
    <xf numFmtId="0" fontId="17" fillId="0" borderId="1" xfId="2" applyFont="1" applyBorder="1" applyAlignment="1" applyProtection="1">
      <alignment horizontal="center"/>
      <protection hidden="1"/>
    </xf>
    <xf numFmtId="0" fontId="4" fillId="4" borderId="0" xfId="0" applyFont="1" applyFill="1" applyBorder="1" applyProtection="1">
      <protection hidden="1"/>
    </xf>
    <xf numFmtId="0" fontId="0" fillId="9" borderId="1" xfId="0" applyFill="1" applyBorder="1" applyAlignment="1" applyProtection="1">
      <alignment horizontal="center"/>
      <protection hidden="1"/>
    </xf>
    <xf numFmtId="169" fontId="4" fillId="3" borderId="1" xfId="0" applyNumberFormat="1" applyFont="1" applyFill="1" applyBorder="1" applyAlignment="1" applyProtection="1">
      <alignment horizontal="center"/>
      <protection hidden="1"/>
    </xf>
    <xf numFmtId="2" fontId="5" fillId="0" borderId="0" xfId="0" applyNumberFormat="1" applyFont="1" applyBorder="1" applyProtection="1">
      <protection hidden="1"/>
    </xf>
    <xf numFmtId="11" fontId="5" fillId="0" borderId="0" xfId="0" applyNumberFormat="1" applyFont="1" applyBorder="1" applyProtection="1">
      <protection hidden="1"/>
    </xf>
    <xf numFmtId="0" fontId="4" fillId="4" borderId="0" xfId="0" applyFont="1" applyFill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4" borderId="0" xfId="0" applyFont="1" applyFill="1" applyBorder="1" applyAlignment="1" applyProtection="1">
      <protection hidden="1"/>
    </xf>
    <xf numFmtId="0" fontId="5" fillId="4" borderId="0" xfId="0" applyFont="1" applyFill="1" applyBorder="1" applyAlignment="1" applyProtection="1">
      <alignment horizontal="center"/>
      <protection hidden="1"/>
    </xf>
    <xf numFmtId="1" fontId="5" fillId="4" borderId="0" xfId="0" applyNumberFormat="1" applyFont="1" applyFill="1" applyBorder="1" applyAlignment="1" applyProtection="1">
      <alignment horizontal="center"/>
      <protection hidden="1"/>
    </xf>
    <xf numFmtId="2" fontId="5" fillId="0" borderId="0" xfId="0" applyNumberFormat="1" applyFont="1" applyBorder="1" applyAlignment="1" applyProtection="1">
      <alignment horizontal="center"/>
      <protection hidden="1"/>
    </xf>
    <xf numFmtId="1" fontId="5" fillId="0" borderId="0" xfId="0" applyNumberFormat="1" applyFont="1" applyBorder="1" applyAlignment="1" applyProtection="1">
      <alignment horizontal="center"/>
      <protection hidden="1"/>
    </xf>
    <xf numFmtId="10" fontId="5" fillId="4" borderId="0" xfId="0" applyNumberFormat="1" applyFont="1" applyFill="1" applyBorder="1" applyAlignment="1" applyProtection="1">
      <alignment horizontal="center"/>
      <protection hidden="1"/>
    </xf>
    <xf numFmtId="0" fontId="0" fillId="4" borderId="6" xfId="0" applyFill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8" borderId="1" xfId="0" applyFont="1" applyFill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8" borderId="11" xfId="0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center"/>
      <protection hidden="1"/>
    </xf>
    <xf numFmtId="0" fontId="4" fillId="4" borderId="4" xfId="0" applyFont="1" applyFill="1" applyBorder="1" applyAlignment="1" applyProtection="1">
      <alignment horizontal="center"/>
      <protection hidden="1"/>
    </xf>
    <xf numFmtId="0" fontId="4" fillId="0" borderId="4" xfId="0" applyFont="1" applyBorder="1" applyProtection="1">
      <protection hidden="1"/>
    </xf>
    <xf numFmtId="0" fontId="4" fillId="10" borderId="1" xfId="0" applyFont="1" applyFill="1" applyBorder="1" applyAlignment="1" applyProtection="1">
      <alignment horizontal="center"/>
      <protection hidden="1"/>
    </xf>
    <xf numFmtId="11" fontId="4" fillId="10" borderId="1" xfId="0" applyNumberFormat="1" applyFont="1" applyFill="1" applyBorder="1" applyAlignment="1" applyProtection="1">
      <alignment horizontal="center"/>
      <protection hidden="1"/>
    </xf>
    <xf numFmtId="2" fontId="4" fillId="10" borderId="1" xfId="0" applyNumberFormat="1" applyFont="1" applyFill="1" applyBorder="1" applyAlignment="1" applyProtection="1">
      <alignment horizontal="center"/>
      <protection hidden="1"/>
    </xf>
    <xf numFmtId="169" fontId="4" fillId="10" borderId="1" xfId="0" applyNumberFormat="1" applyFont="1" applyFill="1" applyBorder="1" applyAlignment="1" applyProtection="1">
      <alignment horizontal="center"/>
      <protection hidden="1"/>
    </xf>
    <xf numFmtId="9" fontId="4" fillId="10" borderId="1" xfId="0" applyNumberFormat="1" applyFont="1" applyFill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4" fillId="4" borderId="11" xfId="0" applyFont="1" applyFill="1" applyBorder="1" applyAlignment="1" applyProtection="1">
      <alignment horizontal="center"/>
      <protection hidden="1"/>
    </xf>
    <xf numFmtId="0" fontId="4" fillId="4" borderId="12" xfId="0" applyFont="1" applyFill="1" applyBorder="1" applyAlignment="1" applyProtection="1">
      <alignment horizontal="center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13" xfId="0" applyFont="1" applyFill="1" applyBorder="1" applyAlignment="1" applyProtection="1">
      <alignment horizontal="center"/>
      <protection hidden="1"/>
    </xf>
    <xf numFmtId="0" fontId="4" fillId="0" borderId="12" xfId="0" applyFont="1" applyFill="1" applyBorder="1" applyAlignment="1" applyProtection="1">
      <alignment horizontal="center"/>
      <protection hidden="1"/>
    </xf>
    <xf numFmtId="0" fontId="6" fillId="4" borderId="0" xfId="2" applyFont="1" applyFill="1" applyBorder="1" applyAlignment="1" applyProtection="1">
      <alignment horizontal="center"/>
      <protection hidden="1"/>
    </xf>
    <xf numFmtId="0" fontId="0" fillId="10" borderId="1" xfId="0" applyFill="1" applyBorder="1" applyAlignment="1" applyProtection="1">
      <alignment horizontal="center"/>
      <protection hidden="1"/>
    </xf>
  </cellXfs>
  <cellStyles count="9">
    <cellStyle name="Formule" xfId="6" xr:uid="{00000000-0005-0000-0000-000000000000}"/>
    <cellStyle name="Lien hypertexte" xfId="8" builtinId="8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'PB7'!$F$38:$F$45</c:f>
              <c:strCache>
                <c:ptCount val="8"/>
                <c:pt idx="0">
                  <c:v>répéta</c:v>
                </c:pt>
                <c:pt idx="1">
                  <c:v>T°C lavage</c:v>
                </c:pt>
                <c:pt idx="2">
                  <c:v>durée (min)</c:v>
                </c:pt>
                <c:pt idx="3">
                  <c:v>[X]</c:v>
                </c:pt>
                <c:pt idx="4">
                  <c:v>durée rinçage</c:v>
                </c:pt>
                <c:pt idx="5">
                  <c:v>T°C rinçage</c:v>
                </c:pt>
                <c:pt idx="6">
                  <c:v>durée séchage</c:v>
                </c:pt>
                <c:pt idx="7">
                  <c:v>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EC-4F11-8661-1B471E5DC0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'PB7'!$F$38:$F$45</c:f>
              <c:strCache>
                <c:ptCount val="8"/>
                <c:pt idx="0">
                  <c:v>répéta</c:v>
                </c:pt>
                <c:pt idx="1">
                  <c:v>T°C lavage</c:v>
                </c:pt>
                <c:pt idx="2">
                  <c:v>durée (min)</c:v>
                </c:pt>
                <c:pt idx="3">
                  <c:v>[X]</c:v>
                </c:pt>
                <c:pt idx="4">
                  <c:v>durée rinçage</c:v>
                </c:pt>
                <c:pt idx="5">
                  <c:v>T°C rinçage</c:v>
                </c:pt>
                <c:pt idx="6">
                  <c:v>durée séchage</c:v>
                </c:pt>
                <c:pt idx="7">
                  <c:v>0</c:v>
                </c:pt>
              </c:strCache>
            </c:strRef>
          </c:cat>
          <c:val>
            <c:numRef>
              <c:f>'PB7'!$N$38:$N$45</c:f>
              <c:numCache>
                <c:formatCode>0.0%</c:formatCode>
                <c:ptCount val="8"/>
                <c:pt idx="0">
                  <c:v>-1</c:v>
                </c:pt>
                <c:pt idx="1">
                  <c:v>0.58064516129032262</c:v>
                </c:pt>
                <c:pt idx="2">
                  <c:v>0.58064516129032262</c:v>
                </c:pt>
                <c:pt idx="3">
                  <c:v>6.4516129032258063E-2</c:v>
                </c:pt>
                <c:pt idx="4">
                  <c:v>6.4516129032258063E-2</c:v>
                </c:pt>
                <c:pt idx="5">
                  <c:v>6.4516129032258063E-2</c:v>
                </c:pt>
                <c:pt idx="6">
                  <c:v>0.58064516129032262</c:v>
                </c:pt>
                <c:pt idx="7">
                  <c:v>6.4516129032258063E-2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C-4F11-8661-1B471E5DC032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'PB7'!$Q$39:$Q$46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EC-4F11-8661-1B471E5D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756800"/>
        <c:axId val="1546757344"/>
      </c:barChart>
      <c:catAx>
        <c:axId val="154675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57344"/>
        <c:crosses val="autoZero"/>
        <c:auto val="1"/>
        <c:lblAlgn val="ctr"/>
        <c:lblOffset val="100"/>
        <c:noMultiLvlLbl val="0"/>
      </c:catAx>
      <c:valAx>
        <c:axId val="15467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5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'PB7'!$AB$14:$AB$74</c:f>
              <c:numCache>
                <c:formatCode>0.00</c:formatCode>
                <c:ptCount val="61"/>
                <c:pt idx="0">
                  <c:v>198.39292857257146</c:v>
                </c:pt>
                <c:pt idx="1">
                  <c:v>198.46733095348574</c:v>
                </c:pt>
                <c:pt idx="2">
                  <c:v>198.54173333440002</c:v>
                </c:pt>
                <c:pt idx="3">
                  <c:v>198.61613571531433</c:v>
                </c:pt>
                <c:pt idx="4">
                  <c:v>198.69053809622861</c:v>
                </c:pt>
                <c:pt idx="5">
                  <c:v>198.76494047714289</c:v>
                </c:pt>
                <c:pt idx="6">
                  <c:v>198.83934285805717</c:v>
                </c:pt>
                <c:pt idx="7">
                  <c:v>198.91374523897144</c:v>
                </c:pt>
                <c:pt idx="8">
                  <c:v>198.98814761988575</c:v>
                </c:pt>
                <c:pt idx="9">
                  <c:v>199.06255000080003</c:v>
                </c:pt>
                <c:pt idx="10">
                  <c:v>199.13695238171431</c:v>
                </c:pt>
                <c:pt idx="11">
                  <c:v>199.21135476262859</c:v>
                </c:pt>
                <c:pt idx="12">
                  <c:v>199.28575714354287</c:v>
                </c:pt>
                <c:pt idx="13">
                  <c:v>199.36015952445717</c:v>
                </c:pt>
                <c:pt idx="14">
                  <c:v>199.43456190537145</c:v>
                </c:pt>
                <c:pt idx="15">
                  <c:v>199.50896428628573</c:v>
                </c:pt>
                <c:pt idx="16">
                  <c:v>199.58336666720001</c:v>
                </c:pt>
                <c:pt idx="17">
                  <c:v>199.65776904811429</c:v>
                </c:pt>
                <c:pt idx="18">
                  <c:v>199.7321714290286</c:v>
                </c:pt>
                <c:pt idx="19">
                  <c:v>199.80657380994288</c:v>
                </c:pt>
                <c:pt idx="20">
                  <c:v>199.88097619085715</c:v>
                </c:pt>
                <c:pt idx="21">
                  <c:v>199.95537857177143</c:v>
                </c:pt>
                <c:pt idx="22">
                  <c:v>200.02978095268571</c:v>
                </c:pt>
                <c:pt idx="23">
                  <c:v>200.10418333360002</c:v>
                </c:pt>
                <c:pt idx="24">
                  <c:v>200.1785857145143</c:v>
                </c:pt>
                <c:pt idx="25">
                  <c:v>200.25298809542858</c:v>
                </c:pt>
                <c:pt idx="26">
                  <c:v>200.32739047634286</c:v>
                </c:pt>
                <c:pt idx="27">
                  <c:v>200.40179285725713</c:v>
                </c:pt>
                <c:pt idx="28">
                  <c:v>200.47619523817144</c:v>
                </c:pt>
                <c:pt idx="29">
                  <c:v>200.55059761908572</c:v>
                </c:pt>
                <c:pt idx="30">
                  <c:v>200.625</c:v>
                </c:pt>
                <c:pt idx="31">
                  <c:v>200.69940238091428</c:v>
                </c:pt>
                <c:pt idx="32">
                  <c:v>200.77380476182856</c:v>
                </c:pt>
                <c:pt idx="33">
                  <c:v>200.84820714274287</c:v>
                </c:pt>
                <c:pt idx="34">
                  <c:v>200.92260952365714</c:v>
                </c:pt>
                <c:pt idx="35">
                  <c:v>200.99701190457142</c:v>
                </c:pt>
                <c:pt idx="36">
                  <c:v>201.0714142854857</c:v>
                </c:pt>
                <c:pt idx="37">
                  <c:v>201.14581666639998</c:v>
                </c:pt>
                <c:pt idx="38">
                  <c:v>201.22021904731429</c:v>
                </c:pt>
                <c:pt idx="39">
                  <c:v>201.29462142822857</c:v>
                </c:pt>
                <c:pt idx="40">
                  <c:v>201.36902380914285</c:v>
                </c:pt>
                <c:pt idx="41">
                  <c:v>201.44342619005712</c:v>
                </c:pt>
                <c:pt idx="42">
                  <c:v>201.5178285709714</c:v>
                </c:pt>
                <c:pt idx="43">
                  <c:v>201.59223095188571</c:v>
                </c:pt>
                <c:pt idx="44">
                  <c:v>201.66663333279999</c:v>
                </c:pt>
                <c:pt idx="45">
                  <c:v>201.74103571371427</c:v>
                </c:pt>
                <c:pt idx="46">
                  <c:v>201.81543809462855</c:v>
                </c:pt>
                <c:pt idx="47">
                  <c:v>201.88984047554283</c:v>
                </c:pt>
                <c:pt idx="48">
                  <c:v>201.96424285645713</c:v>
                </c:pt>
                <c:pt idx="49">
                  <c:v>202.03864523737141</c:v>
                </c:pt>
                <c:pt idx="50">
                  <c:v>202.11304761828569</c:v>
                </c:pt>
                <c:pt idx="51">
                  <c:v>202.18744999919997</c:v>
                </c:pt>
                <c:pt idx="52">
                  <c:v>202.26185238011425</c:v>
                </c:pt>
                <c:pt idx="53">
                  <c:v>202.33625476102856</c:v>
                </c:pt>
                <c:pt idx="54">
                  <c:v>202.41065714194283</c:v>
                </c:pt>
                <c:pt idx="55">
                  <c:v>202.48505952285711</c:v>
                </c:pt>
                <c:pt idx="56">
                  <c:v>202.55946190377139</c:v>
                </c:pt>
                <c:pt idx="57">
                  <c:v>202.63386428468567</c:v>
                </c:pt>
                <c:pt idx="58">
                  <c:v>202.70826666559998</c:v>
                </c:pt>
                <c:pt idx="59">
                  <c:v>202.78266904651426</c:v>
                </c:pt>
                <c:pt idx="60">
                  <c:v>202.85707142742854</c:v>
                </c:pt>
              </c:numCache>
            </c:numRef>
          </c:xVal>
          <c:yVal>
            <c:numRef>
              <c:f>'PB7'!$AC$14:$AC$74</c:f>
              <c:numCache>
                <c:formatCode>0.00E+00</c:formatCode>
                <c:ptCount val="61"/>
                <c:pt idx="0">
                  <c:v>5.956594879730665E-3</c:v>
                </c:pt>
                <c:pt idx="1">
                  <c:v>8.0004595909817979E-3</c:v>
                </c:pt>
                <c:pt idx="2">
                  <c:v>1.0638707371607631E-2</c:v>
                </c:pt>
                <c:pt idx="3">
                  <c:v>1.4006184595662923E-2</c:v>
                </c:pt>
                <c:pt idx="4">
                  <c:v>1.8256094854456503E-2</c:v>
                </c:pt>
                <c:pt idx="5">
                  <c:v>2.355878975669071E-2</c:v>
                </c:pt>
                <c:pt idx="6">
                  <c:v>3.0099211906460487E-2</c:v>
                </c:pt>
                <c:pt idx="7">
                  <c:v>3.8072757072430664E-2</c:v>
                </c:pt>
                <c:pt idx="8">
                  <c:v>4.7679378549862692E-2</c:v>
                </c:pt>
                <c:pt idx="9">
                  <c:v>5.9115844734994712E-2</c:v>
                </c:pt>
                <c:pt idx="10">
                  <c:v>7.2566181148676398E-2</c:v>
                </c:pt>
                <c:pt idx="11">
                  <c:v>8.8190477197589143E-2</c:v>
                </c:pt>
                <c:pt idx="12">
                  <c:v>0.1061124084077989</c:v>
                </c:pt>
                <c:pt idx="13">
                  <c:v>0.12640600505142266</c:v>
                </c:pt>
                <c:pt idx="14">
                  <c:v>0.1490823725214431</c:v>
                </c:pt>
                <c:pt idx="15">
                  <c:v>0.17407721913510091</c:v>
                </c:pt>
                <c:pt idx="16">
                  <c:v>0.20124015360239214</c:v>
                </c:pt>
                <c:pt idx="17">
                  <c:v>0.23032675828644447</c:v>
                </c:pt>
                <c:pt idx="18">
                  <c:v>0.26099440985219141</c:v>
                </c:pt>
                <c:pt idx="19">
                  <c:v>0.2928026957679345</c:v>
                </c:pt>
                <c:pt idx="20">
                  <c:v>0.3252190609301957</c:v>
                </c:pt>
                <c:pt idx="21">
                  <c:v>0.35763002020768286</c:v>
                </c:pt>
                <c:pt idx="22">
                  <c:v>0.3893579065637956</c:v>
                </c:pt>
                <c:pt idx="23">
                  <c:v>0.4196827165067441</c:v>
                </c:pt>
                <c:pt idx="24">
                  <c:v>0.44786819829824215</c:v>
                </c:pt>
                <c:pt idx="25">
                  <c:v>0.47319094152362867</c:v>
                </c:pt>
                <c:pt idx="26">
                  <c:v>0.49497090789015069</c:v>
                </c:pt>
                <c:pt idx="27">
                  <c:v>0.51260162749348226</c:v>
                </c:pt>
                <c:pt idx="28">
                  <c:v>0.52557819947450213</c:v>
                </c:pt>
                <c:pt idx="29">
                  <c:v>0.53352129676377236</c:v>
                </c:pt>
                <c:pt idx="30">
                  <c:v>0.5361955833927351</c:v>
                </c:pt>
                <c:pt idx="31">
                  <c:v>0.53352129676377236</c:v>
                </c:pt>
                <c:pt idx="32">
                  <c:v>0.52557819947450213</c:v>
                </c:pt>
                <c:pt idx="33">
                  <c:v>0.51260162749348226</c:v>
                </c:pt>
                <c:pt idx="34">
                  <c:v>0.49497090789015069</c:v>
                </c:pt>
                <c:pt idx="35">
                  <c:v>0.47319094152362867</c:v>
                </c:pt>
                <c:pt idx="36">
                  <c:v>0.44786819829824215</c:v>
                </c:pt>
                <c:pt idx="37">
                  <c:v>0.4196827165067441</c:v>
                </c:pt>
                <c:pt idx="38">
                  <c:v>0.3893579065637956</c:v>
                </c:pt>
                <c:pt idx="39">
                  <c:v>0.35763002020768286</c:v>
                </c:pt>
                <c:pt idx="40">
                  <c:v>0.3252190609301957</c:v>
                </c:pt>
                <c:pt idx="41">
                  <c:v>0.2928026957679345</c:v>
                </c:pt>
                <c:pt idx="42">
                  <c:v>0.26099440985219141</c:v>
                </c:pt>
                <c:pt idx="43">
                  <c:v>0.23032675828644447</c:v>
                </c:pt>
                <c:pt idx="44">
                  <c:v>0.20124015360239214</c:v>
                </c:pt>
                <c:pt idx="45">
                  <c:v>0.17407721913510091</c:v>
                </c:pt>
                <c:pt idx="46">
                  <c:v>0.1490823725214431</c:v>
                </c:pt>
                <c:pt idx="47">
                  <c:v>0.12640600505142266</c:v>
                </c:pt>
                <c:pt idx="48">
                  <c:v>0.1061124084077989</c:v>
                </c:pt>
                <c:pt idx="49">
                  <c:v>8.8190477197589143E-2</c:v>
                </c:pt>
                <c:pt idx="50">
                  <c:v>7.2566181148676398E-2</c:v>
                </c:pt>
                <c:pt idx="51">
                  <c:v>5.9115844734994712E-2</c:v>
                </c:pt>
                <c:pt idx="52">
                  <c:v>4.7679378549862692E-2</c:v>
                </c:pt>
                <c:pt idx="53">
                  <c:v>3.8072757072430664E-2</c:v>
                </c:pt>
                <c:pt idx="54">
                  <c:v>3.0099211906460487E-2</c:v>
                </c:pt>
                <c:pt idx="55">
                  <c:v>2.355878975669071E-2</c:v>
                </c:pt>
                <c:pt idx="56">
                  <c:v>1.8256094854456503E-2</c:v>
                </c:pt>
                <c:pt idx="57">
                  <c:v>1.4006184595662923E-2</c:v>
                </c:pt>
                <c:pt idx="58">
                  <c:v>1.0638707371607631E-2</c:v>
                </c:pt>
                <c:pt idx="59">
                  <c:v>8.0004595909817979E-3</c:v>
                </c:pt>
                <c:pt idx="60">
                  <c:v>5.956594879730665E-3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3-4C79-B227-B319797BB404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83-4C79-B227-B319797BB404}"/>
              </c:ext>
            </c:extLst>
          </c:dPt>
          <c:xVal>
            <c:numRef>
              <c:f>'PB7'!$T$4:$U$4</c:f>
              <c:numCache>
                <c:formatCode>General</c:formatCode>
                <c:ptCount val="2"/>
                <c:pt idx="0">
                  <c:v>198</c:v>
                </c:pt>
                <c:pt idx="1">
                  <c:v>198</c:v>
                </c:pt>
              </c:numCache>
            </c:numRef>
          </c:xVal>
          <c:yVal>
            <c:numRef>
              <c:f>'PB7'!$V$3:$W$3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0.5361955833927351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C79-B227-B319797BB40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83-4C79-B227-B319797BB404}"/>
              </c:ext>
            </c:extLst>
          </c:dPt>
          <c:xVal>
            <c:numRef>
              <c:f>'PB7'!$T$5:$U$5</c:f>
              <c:numCache>
                <c:formatCode>General</c:formatCode>
                <c:ptCount val="2"/>
                <c:pt idx="0">
                  <c:v>202</c:v>
                </c:pt>
                <c:pt idx="1">
                  <c:v>202</c:v>
                </c:pt>
              </c:numCache>
            </c:numRef>
          </c:xVal>
          <c:yVal>
            <c:numRef>
              <c:f>'PB7'!$V$4:$W$4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0.5361955833927351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83-4C79-B227-B319797BB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747008"/>
        <c:axId val="1546752448"/>
      </c:scatterChart>
      <c:valAx>
        <c:axId val="154674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52448"/>
        <c:crosses val="autoZero"/>
        <c:crossBetween val="midCat"/>
      </c:valAx>
      <c:valAx>
        <c:axId val="1546752448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4700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Effet sur la réponse Y (+1 vers 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4-4B7E-9C56-ECB4B57C5E1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4-4B7E-9C56-ECB4B57C5E1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4-4B7E-9C56-ECB4B57C5E1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04-4B7E-9C56-ECB4B57C5E1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04-4B7E-9C56-ECB4B57C5E1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04-4B7E-9C56-ECB4B57C5E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'PB7'!$W$17:$W$29</c:f>
              <c:strCache>
                <c:ptCount val="13"/>
                <c:pt idx="0">
                  <c:v>T°C lavage</c:v>
                </c:pt>
                <c:pt idx="2">
                  <c:v>durée (min)</c:v>
                </c:pt>
                <c:pt idx="4">
                  <c:v>[X]</c:v>
                </c:pt>
                <c:pt idx="6">
                  <c:v>durée rinçage</c:v>
                </c:pt>
                <c:pt idx="8">
                  <c:v>T°C rinçage</c:v>
                </c:pt>
                <c:pt idx="10">
                  <c:v>durée séchage</c:v>
                </c:pt>
                <c:pt idx="12">
                  <c:v>0</c:v>
                </c:pt>
              </c:strCache>
            </c:strRef>
          </c:cat>
          <c:val>
            <c:numRef>
              <c:f>'PB7'!$X$17:$X$30</c:f>
              <c:numCache>
                <c:formatCode>0.00</c:formatCode>
                <c:ptCount val="14"/>
                <c:pt idx="0">
                  <c:v>-0.375</c:v>
                </c:pt>
                <c:pt idx="1">
                  <c:v>0.375</c:v>
                </c:pt>
                <c:pt idx="2">
                  <c:v>-0.375</c:v>
                </c:pt>
                <c:pt idx="3">
                  <c:v>0.375</c:v>
                </c:pt>
                <c:pt idx="4">
                  <c:v>-0.125</c:v>
                </c:pt>
                <c:pt idx="5">
                  <c:v>0.125</c:v>
                </c:pt>
                <c:pt idx="6">
                  <c:v>0.125</c:v>
                </c:pt>
                <c:pt idx="7">
                  <c:v>-0.125</c:v>
                </c:pt>
                <c:pt idx="8">
                  <c:v>-0.125</c:v>
                </c:pt>
                <c:pt idx="9">
                  <c:v>0.125</c:v>
                </c:pt>
                <c:pt idx="10">
                  <c:v>0.375</c:v>
                </c:pt>
                <c:pt idx="11">
                  <c:v>-0.375</c:v>
                </c:pt>
                <c:pt idx="12">
                  <c:v>0.125</c:v>
                </c:pt>
                <c:pt idx="13">
                  <c:v>-0.125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04-4B7E-9C56-ECB4B57C5E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'PB7'!$Y$17:$Y$30</c:f>
              <c:numCache>
                <c:formatCode>0</c:formatCode>
                <c:ptCount val="14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04-4B7E-9C56-ECB4B57C5E12}"/>
            </c:ext>
          </c:extLst>
        </c:ser>
        <c:ser>
          <c:idx val="2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'PB7'!$Z$17:$Z$30</c:f>
              <c:numCache>
                <c:formatCode>0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04-4B7E-9C56-ECB4B57C5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747552"/>
        <c:axId val="1546744832"/>
      </c:lineChart>
      <c:catAx>
        <c:axId val="15467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44832"/>
        <c:crosses val="autoZero"/>
        <c:auto val="1"/>
        <c:lblAlgn val="ctr"/>
        <c:lblOffset val="10"/>
        <c:noMultiLvlLbl val="0"/>
      </c:catAx>
      <c:valAx>
        <c:axId val="15467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674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B-4919-98D3-E984EE131A8F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B-4919-98D3-E984EE131A8F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B-4919-98D3-E984EE131A8F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B-4919-98D3-E984EE131A8F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B-4919-98D3-E984EE13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750816"/>
        <c:axId val="1546758432"/>
      </c:scatterChart>
      <c:valAx>
        <c:axId val="1546750816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546758432"/>
        <c:crossesAt val="1"/>
        <c:crossBetween val="midCat"/>
      </c:valAx>
      <c:valAx>
        <c:axId val="1546758432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54675081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464706</xdr:colOff>
      <xdr:row>15</xdr:row>
      <xdr:rowOff>69273</xdr:rowOff>
    </xdr:from>
    <xdr:to>
      <xdr:col>13</xdr:col>
      <xdr:colOff>46181</xdr:colOff>
      <xdr:row>30</xdr:row>
      <xdr:rowOff>147783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24535</xdr:colOff>
      <xdr:row>15</xdr:row>
      <xdr:rowOff>60101</xdr:rowOff>
    </xdr:from>
    <xdr:to>
      <xdr:col>7</xdr:col>
      <xdr:colOff>401619</xdr:colOff>
      <xdr:row>30</xdr:row>
      <xdr:rowOff>138546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103909</xdr:colOff>
      <xdr:row>15</xdr:row>
      <xdr:rowOff>71581</xdr:rowOff>
    </xdr:from>
    <xdr:to>
      <xdr:col>20</xdr:col>
      <xdr:colOff>646545</xdr:colOff>
      <xdr:row>30</xdr:row>
      <xdr:rowOff>126999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methodesdevalidatio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632"/>
  <sheetViews>
    <sheetView showGridLines="0" tabSelected="1" zoomScale="85" zoomScaleNormal="85" workbookViewId="0">
      <selection activeCell="Q8" sqref="Q8"/>
    </sheetView>
  </sheetViews>
  <sheetFormatPr baseColWidth="10" defaultColWidth="10.85546875" defaultRowHeight="15" x14ac:dyDescent="0.25"/>
  <cols>
    <col min="1" max="1" width="5.5703125" style="38" customWidth="1"/>
    <col min="2" max="2" width="10.85546875" style="38"/>
    <col min="3" max="3" width="15.140625" style="38" customWidth="1"/>
    <col min="4" max="5" width="10.85546875" style="38"/>
    <col min="6" max="6" width="15.140625" style="38" customWidth="1"/>
    <col min="7" max="7" width="10.85546875" style="38"/>
    <col min="8" max="8" width="13.85546875" style="38" customWidth="1"/>
    <col min="9" max="9" width="14" style="38" customWidth="1"/>
    <col min="10" max="10" width="14.140625" style="38" customWidth="1"/>
    <col min="11" max="11" width="13.85546875" style="38" customWidth="1"/>
    <col min="12" max="12" width="14.140625" style="38" customWidth="1"/>
    <col min="13" max="13" width="14" style="38" customWidth="1"/>
    <col min="14" max="14" width="14.140625" style="38" customWidth="1"/>
    <col min="15" max="15" width="10.5703125" style="38" customWidth="1"/>
    <col min="16" max="16" width="10.85546875" style="38"/>
    <col min="17" max="17" width="10" style="38" customWidth="1"/>
    <col min="18" max="18" width="9.42578125" style="38" customWidth="1"/>
    <col min="19" max="19" width="11.42578125" style="38" customWidth="1"/>
    <col min="20" max="16384" width="10.85546875" style="38"/>
  </cols>
  <sheetData>
    <row r="1" spans="2:47" ht="15.75" thickBot="1" x14ac:dyDescent="0.3"/>
    <row r="2" spans="2:47" x14ac:dyDescent="0.25">
      <c r="B2" s="39"/>
      <c r="C2" s="40"/>
      <c r="D2" s="40"/>
      <c r="E2" s="40"/>
      <c r="F2" s="115"/>
      <c r="G2" s="40"/>
      <c r="H2" s="40"/>
      <c r="I2" s="40"/>
      <c r="J2" s="40"/>
      <c r="K2" s="40"/>
      <c r="L2" s="40"/>
      <c r="M2" s="40"/>
      <c r="N2" s="40"/>
      <c r="O2" s="40"/>
      <c r="P2" s="40"/>
      <c r="Q2" s="116"/>
      <c r="R2" s="116"/>
      <c r="S2" s="116"/>
      <c r="T2" s="40"/>
      <c r="U2" s="41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9"/>
      <c r="AK2" s="49"/>
    </row>
    <row r="3" spans="2:47" x14ac:dyDescent="0.25">
      <c r="B3" s="42"/>
      <c r="C3" s="76" t="s">
        <v>70</v>
      </c>
      <c r="D3" s="78">
        <v>-1</v>
      </c>
      <c r="E3" s="78">
        <v>1</v>
      </c>
      <c r="F3" s="51"/>
      <c r="G3" s="43"/>
      <c r="H3" s="122" t="s">
        <v>64</v>
      </c>
      <c r="I3" s="123"/>
      <c r="J3" s="123"/>
      <c r="K3" s="123"/>
      <c r="L3" s="123"/>
      <c r="M3" s="123"/>
      <c r="N3" s="124"/>
      <c r="O3" s="125" t="s">
        <v>57</v>
      </c>
      <c r="P3" s="126"/>
      <c r="Q3" s="51"/>
      <c r="R3" s="51"/>
      <c r="S3" s="43"/>
      <c r="T3" s="43"/>
      <c r="U3" s="44"/>
      <c r="V3" s="48">
        <v>0</v>
      </c>
      <c r="W3" s="100">
        <f ca="1">AC44</f>
        <v>0.5361955833927351</v>
      </c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9"/>
      <c r="AK3" s="49"/>
    </row>
    <row r="4" spans="2:47" x14ac:dyDescent="0.25">
      <c r="B4" s="42"/>
      <c r="C4" s="50" t="s">
        <v>103</v>
      </c>
      <c r="D4" s="46">
        <v>90</v>
      </c>
      <c r="E4" s="46">
        <v>95</v>
      </c>
      <c r="F4" s="51"/>
      <c r="G4" s="76" t="s">
        <v>78</v>
      </c>
      <c r="H4" s="86" t="str">
        <f>C4</f>
        <v>T°C lavage</v>
      </c>
      <c r="I4" s="86" t="str">
        <f>C5</f>
        <v>durée (min)</v>
      </c>
      <c r="J4" s="86" t="str">
        <f>C6</f>
        <v>[X]</v>
      </c>
      <c r="K4" s="86" t="str">
        <f>C7</f>
        <v>durée rinçage</v>
      </c>
      <c r="L4" s="86" t="str">
        <f>C8</f>
        <v>T°C rinçage</v>
      </c>
      <c r="M4" s="86" t="str">
        <f>C9</f>
        <v>durée séchage</v>
      </c>
      <c r="N4" s="86">
        <f>C10</f>
        <v>0</v>
      </c>
      <c r="O4" s="131" t="s">
        <v>109</v>
      </c>
      <c r="P4" s="131"/>
      <c r="Q4" s="51"/>
      <c r="R4" s="51"/>
      <c r="S4" s="110" t="s">
        <v>12</v>
      </c>
      <c r="T4" s="46">
        <v>198</v>
      </c>
      <c r="U4" s="47">
        <f>T4</f>
        <v>198</v>
      </c>
      <c r="V4" s="48">
        <v>0</v>
      </c>
      <c r="W4" s="100">
        <f ca="1">W3</f>
        <v>0.5361955833927351</v>
      </c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9"/>
      <c r="AK4" s="49"/>
    </row>
    <row r="5" spans="2:47" x14ac:dyDescent="0.25">
      <c r="B5" s="42"/>
      <c r="C5" s="50" t="s">
        <v>104</v>
      </c>
      <c r="D5" s="46">
        <v>55</v>
      </c>
      <c r="E5" s="46">
        <v>65</v>
      </c>
      <c r="F5" s="101"/>
      <c r="G5" s="76">
        <v>1</v>
      </c>
      <c r="H5" s="111">
        <v>1</v>
      </c>
      <c r="I5" s="111">
        <v>1</v>
      </c>
      <c r="J5" s="111">
        <v>1</v>
      </c>
      <c r="K5" s="110">
        <v>-1</v>
      </c>
      <c r="L5" s="111">
        <v>1</v>
      </c>
      <c r="M5" s="110">
        <v>-1</v>
      </c>
      <c r="N5" s="112">
        <v>-1</v>
      </c>
      <c r="O5" s="93">
        <f ca="1">200+RANDBETWEEN(-1,1)</f>
        <v>199</v>
      </c>
      <c r="P5" s="92"/>
      <c r="Q5" s="51"/>
      <c r="R5" s="51"/>
      <c r="S5" s="110" t="s">
        <v>11</v>
      </c>
      <c r="T5" s="50">
        <v>202</v>
      </c>
      <c r="U5" s="47">
        <f>T5</f>
        <v>202</v>
      </c>
      <c r="V5" s="48"/>
      <c r="W5" s="99">
        <f t="shared" ref="W5:W12" ca="1" si="0">AVERAGE(O5:P5)</f>
        <v>199</v>
      </c>
      <c r="X5" s="56"/>
      <c r="Y5" s="79">
        <f t="shared" ref="Y5:Y12" ca="1" si="1">SUM(O5:P5)</f>
        <v>199</v>
      </c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9"/>
      <c r="AK5" s="49"/>
      <c r="AL5" s="75"/>
    </row>
    <row r="6" spans="2:47" x14ac:dyDescent="0.25">
      <c r="B6" s="42"/>
      <c r="C6" s="50" t="s">
        <v>105</v>
      </c>
      <c r="D6" s="46">
        <v>24</v>
      </c>
      <c r="E6" s="46">
        <v>26</v>
      </c>
      <c r="F6" s="51"/>
      <c r="G6" s="76">
        <v>2</v>
      </c>
      <c r="H6" s="110">
        <v>-1</v>
      </c>
      <c r="I6" s="111">
        <v>1</v>
      </c>
      <c r="J6" s="111">
        <v>1</v>
      </c>
      <c r="K6" s="111">
        <v>1</v>
      </c>
      <c r="L6" s="110">
        <v>-1</v>
      </c>
      <c r="M6" s="111">
        <v>1</v>
      </c>
      <c r="N6" s="91">
        <v>-1</v>
      </c>
      <c r="O6" s="93">
        <f t="shared" ref="O6:O12" ca="1" si="2">200+RANDBETWEEN(-1,1)</f>
        <v>201</v>
      </c>
      <c r="P6" s="92"/>
      <c r="Q6" s="51"/>
      <c r="R6" s="51"/>
      <c r="S6" s="51"/>
      <c r="T6" s="51"/>
      <c r="U6" s="47">
        <f>+T4</f>
        <v>198</v>
      </c>
      <c r="V6" s="48"/>
      <c r="W6" s="99">
        <f t="shared" ca="1" si="0"/>
        <v>201</v>
      </c>
      <c r="X6" s="56"/>
      <c r="Y6" s="79">
        <f t="shared" ca="1" si="1"/>
        <v>201</v>
      </c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9"/>
      <c r="AK6" s="49"/>
      <c r="AL6" s="75"/>
    </row>
    <row r="7" spans="2:47" x14ac:dyDescent="0.25">
      <c r="B7" s="42"/>
      <c r="C7" s="50" t="s">
        <v>106</v>
      </c>
      <c r="D7" s="46">
        <v>20</v>
      </c>
      <c r="E7" s="46">
        <v>30</v>
      </c>
      <c r="F7" s="51"/>
      <c r="G7" s="76">
        <v>3</v>
      </c>
      <c r="H7" s="110">
        <v>-1</v>
      </c>
      <c r="I7" s="110">
        <v>-1</v>
      </c>
      <c r="J7" s="111">
        <v>1</v>
      </c>
      <c r="K7" s="111">
        <v>1</v>
      </c>
      <c r="L7" s="111">
        <v>1</v>
      </c>
      <c r="M7" s="110">
        <v>-1</v>
      </c>
      <c r="N7" s="113">
        <v>1</v>
      </c>
      <c r="O7" s="93">
        <f t="shared" ca="1" si="2"/>
        <v>201</v>
      </c>
      <c r="P7" s="92"/>
      <c r="Q7" s="51"/>
      <c r="R7" s="51"/>
      <c r="S7" s="110" t="s">
        <v>13</v>
      </c>
      <c r="T7" s="54">
        <f ca="1">AVERAGE(O5:P12)</f>
        <v>200.625</v>
      </c>
      <c r="U7" s="44"/>
      <c r="V7" s="48"/>
      <c r="W7" s="99">
        <f t="shared" ca="1" si="0"/>
        <v>201</v>
      </c>
      <c r="X7" s="56"/>
      <c r="Y7" s="79">
        <f t="shared" ca="1" si="1"/>
        <v>201</v>
      </c>
      <c r="Z7" s="56"/>
      <c r="AA7" s="56"/>
      <c r="AB7" s="56"/>
      <c r="AC7" s="56"/>
      <c r="AD7" s="56"/>
      <c r="AE7" s="56"/>
      <c r="AF7" s="48"/>
      <c r="AG7" s="48"/>
      <c r="AH7" s="48"/>
      <c r="AI7" s="48"/>
      <c r="AJ7" s="49"/>
      <c r="AK7" s="49"/>
      <c r="AL7" s="75"/>
    </row>
    <row r="8" spans="2:47" x14ac:dyDescent="0.25">
      <c r="B8" s="42"/>
      <c r="C8" s="85" t="s">
        <v>107</v>
      </c>
      <c r="D8" s="97">
        <v>45</v>
      </c>
      <c r="E8" s="97">
        <v>55</v>
      </c>
      <c r="F8" s="51"/>
      <c r="G8" s="76">
        <v>4</v>
      </c>
      <c r="H8" s="111">
        <v>1</v>
      </c>
      <c r="I8" s="110">
        <v>-1</v>
      </c>
      <c r="J8" s="110">
        <v>-1</v>
      </c>
      <c r="K8" s="111">
        <v>1</v>
      </c>
      <c r="L8" s="111">
        <v>1</v>
      </c>
      <c r="M8" s="111">
        <v>1</v>
      </c>
      <c r="N8" s="91">
        <v>-1</v>
      </c>
      <c r="O8" s="93">
        <f t="shared" ca="1" si="2"/>
        <v>201</v>
      </c>
      <c r="P8" s="92"/>
      <c r="Q8" s="51"/>
      <c r="R8" s="51"/>
      <c r="S8" s="110" t="s">
        <v>59</v>
      </c>
      <c r="T8" s="54">
        <f ca="1">K36</f>
        <v>0.5535714285714286</v>
      </c>
      <c r="U8" s="52"/>
      <c r="V8" s="48"/>
      <c r="W8" s="99">
        <f t="shared" ca="1" si="0"/>
        <v>201</v>
      </c>
      <c r="X8" s="56"/>
      <c r="Y8" s="79">
        <f t="shared" ca="1" si="1"/>
        <v>201</v>
      </c>
      <c r="Z8" s="56"/>
      <c r="AA8" s="56"/>
      <c r="AB8" s="56"/>
      <c r="AC8" s="56"/>
      <c r="AD8" s="56"/>
      <c r="AE8" s="56"/>
      <c r="AF8" s="48"/>
      <c r="AG8" s="48"/>
      <c r="AH8" s="48"/>
      <c r="AI8" s="48"/>
      <c r="AJ8" s="49"/>
      <c r="AK8" s="49"/>
      <c r="AL8" s="75"/>
    </row>
    <row r="9" spans="2:47" x14ac:dyDescent="0.25">
      <c r="B9" s="42"/>
      <c r="C9" s="85" t="s">
        <v>108</v>
      </c>
      <c r="D9" s="97">
        <v>45</v>
      </c>
      <c r="E9" s="97">
        <v>55</v>
      </c>
      <c r="F9" s="51"/>
      <c r="G9" s="76">
        <v>5</v>
      </c>
      <c r="H9" s="110">
        <v>-1</v>
      </c>
      <c r="I9" s="111">
        <v>1</v>
      </c>
      <c r="J9" s="110">
        <v>-1</v>
      </c>
      <c r="K9" s="110">
        <v>-1</v>
      </c>
      <c r="L9" s="111">
        <v>1</v>
      </c>
      <c r="M9" s="111">
        <v>1</v>
      </c>
      <c r="N9" s="113">
        <v>1</v>
      </c>
      <c r="O9" s="93">
        <f t="shared" ca="1" si="2"/>
        <v>201</v>
      </c>
      <c r="P9" s="92"/>
      <c r="Q9" s="51"/>
      <c r="R9" s="51"/>
      <c r="S9" s="114" t="s">
        <v>60</v>
      </c>
      <c r="T9" s="54">
        <f ca="1">SQRT(T8)</f>
        <v>0.74402380914284494</v>
      </c>
      <c r="U9" s="52"/>
      <c r="V9" s="48"/>
      <c r="W9" s="99">
        <f t="shared" ca="1" si="0"/>
        <v>201</v>
      </c>
      <c r="X9" s="56"/>
      <c r="Y9" s="79">
        <f t="shared" ca="1" si="1"/>
        <v>201</v>
      </c>
      <c r="Z9" s="56"/>
      <c r="AA9" s="53"/>
      <c r="AB9" s="130"/>
      <c r="AC9" s="130"/>
      <c r="AD9" s="56"/>
      <c r="AE9" s="56"/>
      <c r="AF9" s="48"/>
      <c r="AG9" s="48"/>
      <c r="AH9" s="48"/>
      <c r="AI9" s="48"/>
      <c r="AJ9" s="49"/>
      <c r="AK9" s="49"/>
      <c r="AL9" s="75"/>
      <c r="AM9" s="49"/>
      <c r="AN9" s="49"/>
      <c r="AO9" s="49"/>
      <c r="AP9" s="49"/>
      <c r="AQ9" s="49"/>
      <c r="AR9" s="49"/>
      <c r="AS9" s="49"/>
      <c r="AT9" s="49"/>
      <c r="AU9" s="49"/>
    </row>
    <row r="10" spans="2:47" x14ac:dyDescent="0.25">
      <c r="B10" s="42"/>
      <c r="C10" s="85"/>
      <c r="D10" s="97"/>
      <c r="E10" s="97"/>
      <c r="F10" s="51"/>
      <c r="G10" s="76">
        <v>6</v>
      </c>
      <c r="H10" s="111">
        <v>1</v>
      </c>
      <c r="I10" s="110">
        <v>-1</v>
      </c>
      <c r="J10" s="111">
        <v>1</v>
      </c>
      <c r="K10" s="110">
        <v>-1</v>
      </c>
      <c r="L10" s="110">
        <v>-1</v>
      </c>
      <c r="M10" s="111">
        <v>1</v>
      </c>
      <c r="N10" s="113">
        <v>1</v>
      </c>
      <c r="O10" s="93">
        <f t="shared" ca="1" si="2"/>
        <v>201</v>
      </c>
      <c r="P10" s="92"/>
      <c r="Q10" s="51"/>
      <c r="R10" s="51"/>
      <c r="S10" s="114" t="s">
        <v>14</v>
      </c>
      <c r="T10" s="59">
        <f ca="1">MIN(O5:P12)</f>
        <v>199</v>
      </c>
      <c r="U10" s="52"/>
      <c r="V10" s="48"/>
      <c r="W10" s="99">
        <f t="shared" ca="1" si="0"/>
        <v>201</v>
      </c>
      <c r="X10" s="56"/>
      <c r="Y10" s="79">
        <f t="shared" ca="1" si="1"/>
        <v>201</v>
      </c>
      <c r="Z10" s="56"/>
      <c r="AA10" s="55"/>
      <c r="AB10" s="56"/>
      <c r="AC10" s="56"/>
      <c r="AD10" s="56"/>
      <c r="AE10" s="56"/>
      <c r="AF10" s="48"/>
      <c r="AG10" s="48"/>
      <c r="AH10" s="48"/>
      <c r="AI10" s="48"/>
      <c r="AJ10" s="49"/>
      <c r="AK10" s="49"/>
      <c r="AL10" s="75"/>
      <c r="AM10" s="49"/>
      <c r="AN10" s="49"/>
      <c r="AO10" s="49"/>
      <c r="AP10" s="49"/>
      <c r="AQ10" s="49"/>
      <c r="AR10" s="49"/>
      <c r="AS10" s="49"/>
      <c r="AT10" s="49"/>
      <c r="AU10" s="49"/>
    </row>
    <row r="11" spans="2:47" x14ac:dyDescent="0.25">
      <c r="B11" s="109" t="s">
        <v>76</v>
      </c>
      <c r="C11" s="43"/>
      <c r="D11" s="43"/>
      <c r="E11" s="43"/>
      <c r="F11" s="51"/>
      <c r="G11" s="76">
        <v>7</v>
      </c>
      <c r="H11" s="111">
        <v>1</v>
      </c>
      <c r="I11" s="111">
        <v>1</v>
      </c>
      <c r="J11" s="110">
        <v>-1</v>
      </c>
      <c r="K11" s="111">
        <v>1</v>
      </c>
      <c r="L11" s="110">
        <v>-1</v>
      </c>
      <c r="M11" s="110">
        <v>-1</v>
      </c>
      <c r="N11" s="113">
        <v>1</v>
      </c>
      <c r="O11" s="93">
        <f t="shared" ca="1" si="2"/>
        <v>200</v>
      </c>
      <c r="P11" s="92"/>
      <c r="Q11" s="51"/>
      <c r="R11" s="51"/>
      <c r="S11" s="114" t="s">
        <v>15</v>
      </c>
      <c r="T11" s="59">
        <f ca="1">MAX(O5:P12)</f>
        <v>201</v>
      </c>
      <c r="U11" s="52"/>
      <c r="V11" s="48"/>
      <c r="W11" s="99">
        <f t="shared" ca="1" si="0"/>
        <v>200</v>
      </c>
      <c r="X11" s="56"/>
      <c r="Y11" s="79">
        <f t="shared" ca="1" si="1"/>
        <v>200</v>
      </c>
      <c r="Z11" s="56"/>
      <c r="AA11" s="56"/>
      <c r="AB11" s="56"/>
      <c r="AC11" s="56"/>
      <c r="AD11" s="56"/>
      <c r="AE11" s="56"/>
      <c r="AF11" s="48"/>
      <c r="AG11" s="48"/>
      <c r="AH11" s="48"/>
      <c r="AI11" s="48"/>
      <c r="AJ11" s="49"/>
      <c r="AK11" s="49"/>
      <c r="AL11" s="75"/>
      <c r="AM11" s="49"/>
      <c r="AN11" s="49"/>
      <c r="AO11" s="49"/>
      <c r="AP11" s="49"/>
      <c r="AQ11" s="49"/>
      <c r="AR11" s="49"/>
      <c r="AS11" s="49"/>
      <c r="AT11" s="49"/>
      <c r="AU11" s="49"/>
    </row>
    <row r="12" spans="2:47" x14ac:dyDescent="0.25">
      <c r="B12" s="109" t="s">
        <v>77</v>
      </c>
      <c r="C12" s="43"/>
      <c r="D12" s="43"/>
      <c r="E12" s="43"/>
      <c r="F12" s="51"/>
      <c r="G12" s="76">
        <v>8</v>
      </c>
      <c r="H12" s="110">
        <v>-1</v>
      </c>
      <c r="I12" s="110">
        <v>-1</v>
      </c>
      <c r="J12" s="110">
        <v>-1</v>
      </c>
      <c r="K12" s="110">
        <v>-1</v>
      </c>
      <c r="L12" s="110">
        <v>-1</v>
      </c>
      <c r="M12" s="110">
        <v>-1</v>
      </c>
      <c r="N12" s="91">
        <v>-1</v>
      </c>
      <c r="O12" s="93">
        <f t="shared" ca="1" si="2"/>
        <v>201</v>
      </c>
      <c r="P12" s="92"/>
      <c r="Q12" s="51"/>
      <c r="R12" s="51"/>
      <c r="S12" s="114" t="s">
        <v>16</v>
      </c>
      <c r="T12" s="59">
        <f ca="1">MIN((T5-T7)/(3*SQRT(T8)),(T7-T4)/(3*SQRT(T8)))</f>
        <v>0.61601971294622648</v>
      </c>
      <c r="U12" s="52"/>
      <c r="V12" s="48"/>
      <c r="W12" s="99">
        <f t="shared" ca="1" si="0"/>
        <v>201</v>
      </c>
      <c r="X12" s="56"/>
      <c r="Y12" s="79">
        <f t="shared" ca="1" si="1"/>
        <v>201</v>
      </c>
      <c r="Z12" s="56"/>
      <c r="AA12" s="56"/>
      <c r="AB12" s="56"/>
      <c r="AC12" s="56"/>
      <c r="AD12" s="56"/>
      <c r="AE12" s="56"/>
      <c r="AF12" s="48"/>
      <c r="AG12" s="48"/>
      <c r="AH12" s="48"/>
      <c r="AI12" s="48"/>
      <c r="AJ12" s="49"/>
      <c r="AK12" s="49"/>
      <c r="AL12" s="75"/>
      <c r="AM12" s="49"/>
      <c r="AN12" s="49"/>
      <c r="AO12" s="49"/>
      <c r="AP12" s="49"/>
      <c r="AQ12" s="49"/>
      <c r="AR12" s="49"/>
      <c r="AS12" s="49"/>
      <c r="AT12" s="49"/>
      <c r="AU12" s="49"/>
    </row>
    <row r="13" spans="2:47" x14ac:dyDescent="0.25">
      <c r="B13" s="42" t="s">
        <v>75</v>
      </c>
      <c r="C13" s="43"/>
      <c r="D13" s="43"/>
      <c r="E13" s="43"/>
      <c r="F13" s="51"/>
      <c r="G13" s="99">
        <f ca="1">AVERAGE(W5:W12)</f>
        <v>200.625</v>
      </c>
      <c r="H13" s="106">
        <f t="shared" ref="H13:N13" ca="1" si="3">SUMPRODUCT(H5:H12,$W5:$W12)/8</f>
        <v>-0.375</v>
      </c>
      <c r="I13" s="106">
        <f t="shared" ca="1" si="3"/>
        <v>-0.375</v>
      </c>
      <c r="J13" s="106">
        <f t="shared" ca="1" si="3"/>
        <v>-0.125</v>
      </c>
      <c r="K13" s="106">
        <f t="shared" ca="1" si="3"/>
        <v>0.125</v>
      </c>
      <c r="L13" s="106">
        <f t="shared" ca="1" si="3"/>
        <v>-0.125</v>
      </c>
      <c r="M13" s="106">
        <f t="shared" ca="1" si="3"/>
        <v>0.375</v>
      </c>
      <c r="N13" s="106">
        <f t="shared" ca="1" si="3"/>
        <v>0.125</v>
      </c>
      <c r="O13" s="55"/>
      <c r="P13" s="96"/>
      <c r="Q13" s="51"/>
      <c r="R13" s="51"/>
      <c r="S13" s="51"/>
      <c r="T13" s="43"/>
      <c r="U13" s="52"/>
      <c r="V13" s="48"/>
      <c r="W13" s="56"/>
      <c r="X13" s="56"/>
      <c r="Y13" s="56"/>
      <c r="Z13" s="56"/>
      <c r="AA13" s="56"/>
      <c r="AB13" s="56"/>
      <c r="AC13" s="56"/>
      <c r="AD13" s="56"/>
      <c r="AE13" s="56"/>
      <c r="AF13" s="48"/>
      <c r="AG13" s="48"/>
      <c r="AH13" s="48"/>
      <c r="AI13" s="48"/>
      <c r="AJ13" s="49"/>
      <c r="AK13" s="49"/>
      <c r="AL13" s="75"/>
      <c r="AM13" s="49"/>
      <c r="AN13" s="49"/>
      <c r="AO13" s="49"/>
      <c r="AP13" s="49"/>
      <c r="AQ13" s="49"/>
      <c r="AR13" s="49"/>
      <c r="AS13" s="49"/>
      <c r="AT13" s="49"/>
      <c r="AU13" s="49"/>
    </row>
    <row r="14" spans="2:47" ht="15.75" thickBot="1" x14ac:dyDescent="0.3">
      <c r="B14" s="64"/>
      <c r="C14" s="65"/>
      <c r="D14" s="65"/>
      <c r="E14" s="65"/>
      <c r="F14" s="65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65"/>
      <c r="U14" s="66"/>
      <c r="V14" s="48"/>
      <c r="W14" s="48"/>
      <c r="X14" s="56"/>
      <c r="Y14" s="56"/>
      <c r="Z14" s="56"/>
      <c r="AA14" s="90">
        <v>-3</v>
      </c>
      <c r="AB14" s="57">
        <f t="shared" ref="AB14:AB45" ca="1" si="4">T$7+AA14*SQRT(T$8)</f>
        <v>198.39292857257146</v>
      </c>
      <c r="AC14" s="58">
        <f t="shared" ref="AC14:AC45" ca="1" si="5">NORMDIST(AB14,T$7,SQRT(T$8),0)</f>
        <v>5.956594879730665E-3</v>
      </c>
      <c r="AD14" s="56"/>
      <c r="AE14" s="56"/>
      <c r="AF14" s="48"/>
      <c r="AG14" s="48"/>
      <c r="AH14" s="48"/>
      <c r="AI14" s="48"/>
      <c r="AJ14" s="49"/>
      <c r="AK14" s="49"/>
      <c r="AL14" s="75"/>
      <c r="AM14" s="49"/>
      <c r="AN14" s="49"/>
      <c r="AO14" s="49"/>
      <c r="AP14" s="49"/>
      <c r="AQ14" s="49"/>
      <c r="AR14" s="49"/>
      <c r="AS14" s="49"/>
      <c r="AT14" s="49"/>
      <c r="AU14" s="49"/>
    </row>
    <row r="15" spans="2:47" x14ac:dyDescent="0.25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2"/>
      <c r="R15" s="61"/>
      <c r="S15" s="61"/>
      <c r="T15" s="61"/>
      <c r="U15" s="63"/>
      <c r="V15" s="48"/>
      <c r="W15" s="48"/>
      <c r="X15" s="56"/>
      <c r="Y15" s="56"/>
      <c r="Z15" s="56"/>
      <c r="AA15" s="90">
        <v>-2.9</v>
      </c>
      <c r="AB15" s="57">
        <f t="shared" ca="1" si="4"/>
        <v>198.46733095348574</v>
      </c>
      <c r="AC15" s="58">
        <f t="shared" ca="1" si="5"/>
        <v>8.0004595909817979E-3</v>
      </c>
      <c r="AD15" s="56"/>
      <c r="AE15" s="56"/>
      <c r="AF15" s="48"/>
      <c r="AG15" s="56"/>
      <c r="AH15" s="79">
        <f ca="1">SUM(O11:P11)</f>
        <v>200</v>
      </c>
      <c r="AI15" s="48"/>
      <c r="AJ15" s="49"/>
      <c r="AK15" s="49"/>
      <c r="AL15" s="75"/>
      <c r="AM15" s="49"/>
      <c r="AN15" s="49"/>
      <c r="AO15" s="49"/>
      <c r="AP15" s="49"/>
      <c r="AQ15" s="49"/>
      <c r="AR15" s="49"/>
      <c r="AS15" s="49"/>
      <c r="AT15" s="49"/>
      <c r="AU15" s="49"/>
    </row>
    <row r="16" spans="2:47" x14ac:dyDescent="0.25"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4"/>
      <c r="V16" s="48"/>
      <c r="W16" s="102" t="s">
        <v>70</v>
      </c>
      <c r="X16" s="103" t="s">
        <v>71</v>
      </c>
      <c r="Y16" s="103" t="s">
        <v>72</v>
      </c>
      <c r="Z16" s="103" t="s">
        <v>73</v>
      </c>
      <c r="AA16" s="90">
        <v>-2.8</v>
      </c>
      <c r="AB16" s="57">
        <f t="shared" ca="1" si="4"/>
        <v>198.54173333440002</v>
      </c>
      <c r="AC16" s="58">
        <f t="shared" ca="1" si="5"/>
        <v>1.0638707371607631E-2</v>
      </c>
      <c r="AD16" s="56"/>
      <c r="AE16" s="56"/>
      <c r="AF16" s="48"/>
      <c r="AG16" s="56"/>
      <c r="AH16" s="79">
        <f ca="1">SUM(O12:P12)</f>
        <v>201</v>
      </c>
      <c r="AI16" s="48"/>
      <c r="AJ16" s="49"/>
      <c r="AK16" s="75"/>
      <c r="AL16" s="75"/>
      <c r="AM16" s="49"/>
      <c r="AN16" s="49"/>
      <c r="AO16" s="49"/>
      <c r="AP16" s="49"/>
      <c r="AQ16" s="49"/>
      <c r="AR16" s="49"/>
      <c r="AS16" s="49"/>
      <c r="AT16" s="49"/>
      <c r="AU16" s="49"/>
    </row>
    <row r="17" spans="2:47" x14ac:dyDescent="0.25"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4"/>
      <c r="V17" s="48"/>
      <c r="W17" s="104" t="str">
        <f>+C4</f>
        <v>T°C lavage</v>
      </c>
      <c r="X17" s="45">
        <f ca="1">H13</f>
        <v>-0.375</v>
      </c>
      <c r="Y17" s="105">
        <f>-(T5-T4)/2</f>
        <v>-2</v>
      </c>
      <c r="Z17" s="105">
        <f>-Y17</f>
        <v>2</v>
      </c>
      <c r="AA17" s="90">
        <v>-2.7</v>
      </c>
      <c r="AB17" s="57">
        <f t="shared" ca="1" si="4"/>
        <v>198.61613571531433</v>
      </c>
      <c r="AC17" s="58">
        <f t="shared" ca="1" si="5"/>
        <v>1.4006184595662923E-2</v>
      </c>
      <c r="AD17" s="56"/>
      <c r="AE17" s="56"/>
      <c r="AF17" s="48"/>
      <c r="AG17" s="45">
        <f ca="1">SUM(M11:W11)</f>
        <v>601</v>
      </c>
      <c r="AH17" s="56"/>
      <c r="AI17" s="48"/>
      <c r="AJ17" s="49"/>
      <c r="AK17" s="75"/>
      <c r="AL17" s="75"/>
      <c r="AM17" s="49"/>
      <c r="AN17" s="49"/>
      <c r="AO17" s="49"/>
      <c r="AP17" s="49"/>
      <c r="AQ17" s="49"/>
      <c r="AR17" s="49"/>
      <c r="AS17" s="49"/>
      <c r="AT17" s="49"/>
      <c r="AU17" s="49"/>
    </row>
    <row r="18" spans="2:47" x14ac:dyDescent="0.25"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  <c r="V18" s="48"/>
      <c r="W18" s="56"/>
      <c r="X18" s="106">
        <f ca="1">-X17</f>
        <v>0.375</v>
      </c>
      <c r="Y18" s="107">
        <f>Y17</f>
        <v>-2</v>
      </c>
      <c r="Z18" s="107">
        <f>Z17</f>
        <v>2</v>
      </c>
      <c r="AA18" s="90">
        <v>-2.6</v>
      </c>
      <c r="AB18" s="57">
        <f t="shared" ca="1" si="4"/>
        <v>198.69053809622861</v>
      </c>
      <c r="AC18" s="58">
        <f t="shared" ca="1" si="5"/>
        <v>1.8256094854456503E-2</v>
      </c>
      <c r="AD18" s="56"/>
      <c r="AE18" s="56"/>
      <c r="AF18" s="48"/>
      <c r="AG18" s="48"/>
      <c r="AH18" s="48"/>
      <c r="AI18" s="48"/>
      <c r="AJ18" s="49"/>
      <c r="AK18" s="75"/>
      <c r="AL18" s="75"/>
      <c r="AM18" s="49"/>
      <c r="AN18" s="49"/>
      <c r="AO18" s="49"/>
      <c r="AP18" s="49"/>
      <c r="AQ18" s="49"/>
      <c r="AR18" s="49"/>
      <c r="AS18" s="49"/>
      <c r="AT18" s="49"/>
      <c r="AU18" s="49"/>
    </row>
    <row r="19" spans="2:47" x14ac:dyDescent="0.25"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4"/>
      <c r="V19" s="48"/>
      <c r="W19" s="104" t="str">
        <f>+C5</f>
        <v>durée (min)</v>
      </c>
      <c r="X19" s="45">
        <f ca="1">I13</f>
        <v>-0.375</v>
      </c>
      <c r="Y19" s="107">
        <f t="shared" ref="Y19:Y30" si="6">Y18</f>
        <v>-2</v>
      </c>
      <c r="Z19" s="107">
        <f t="shared" ref="Z19:Z30" si="7">Z18</f>
        <v>2</v>
      </c>
      <c r="AA19" s="90">
        <v>-2.5</v>
      </c>
      <c r="AB19" s="57">
        <f t="shared" ca="1" si="4"/>
        <v>198.76494047714289</v>
      </c>
      <c r="AC19" s="58">
        <f t="shared" ca="1" si="5"/>
        <v>2.355878975669071E-2</v>
      </c>
      <c r="AD19" s="56"/>
      <c r="AE19" s="56"/>
      <c r="AF19" s="48"/>
      <c r="AG19" s="48"/>
      <c r="AH19" s="48"/>
      <c r="AI19" s="48"/>
      <c r="AJ19" s="49"/>
      <c r="AK19" s="75"/>
      <c r="AL19" s="75"/>
      <c r="AM19" s="49"/>
      <c r="AN19" s="49"/>
      <c r="AO19" s="49"/>
      <c r="AP19" s="49"/>
      <c r="AQ19" s="49"/>
      <c r="AR19" s="49"/>
      <c r="AS19" s="49"/>
      <c r="AT19" s="49"/>
      <c r="AU19" s="49"/>
    </row>
    <row r="20" spans="2:47" x14ac:dyDescent="0.25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4"/>
      <c r="V20" s="48"/>
      <c r="W20" s="56"/>
      <c r="X20" s="106">
        <f ca="1">-X19</f>
        <v>0.375</v>
      </c>
      <c r="Y20" s="107">
        <f t="shared" si="6"/>
        <v>-2</v>
      </c>
      <c r="Z20" s="107">
        <f t="shared" si="7"/>
        <v>2</v>
      </c>
      <c r="AA20" s="90">
        <v>-2.4</v>
      </c>
      <c r="AB20" s="57">
        <f t="shared" ca="1" si="4"/>
        <v>198.83934285805717</v>
      </c>
      <c r="AC20" s="58">
        <f t="shared" ca="1" si="5"/>
        <v>3.0099211906460487E-2</v>
      </c>
      <c r="AD20" s="56"/>
      <c r="AE20" s="56"/>
      <c r="AF20" s="48"/>
      <c r="AG20" s="48"/>
      <c r="AH20" s="48"/>
      <c r="AI20" s="48"/>
      <c r="AJ20" s="49"/>
      <c r="AK20" s="75"/>
      <c r="AL20" s="75"/>
      <c r="AM20" s="49"/>
      <c r="AN20" s="49"/>
      <c r="AO20" s="49"/>
      <c r="AP20" s="49"/>
      <c r="AQ20" s="49"/>
      <c r="AR20" s="49"/>
      <c r="AS20" s="49"/>
      <c r="AT20" s="49"/>
      <c r="AU20" s="49"/>
    </row>
    <row r="21" spans="2:47" x14ac:dyDescent="0.25"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4"/>
      <c r="V21" s="48"/>
      <c r="W21" s="104" t="str">
        <f>+C6</f>
        <v>[X]</v>
      </c>
      <c r="X21" s="45">
        <f ca="1">J13</f>
        <v>-0.125</v>
      </c>
      <c r="Y21" s="107">
        <f t="shared" si="6"/>
        <v>-2</v>
      </c>
      <c r="Z21" s="107">
        <f t="shared" si="7"/>
        <v>2</v>
      </c>
      <c r="AA21" s="90">
        <v>-2.2999999999999998</v>
      </c>
      <c r="AB21" s="57">
        <f t="shared" ca="1" si="4"/>
        <v>198.91374523897144</v>
      </c>
      <c r="AC21" s="58">
        <f t="shared" ca="1" si="5"/>
        <v>3.8072757072430664E-2</v>
      </c>
      <c r="AD21" s="56"/>
      <c r="AE21" s="56"/>
      <c r="AF21" s="48"/>
      <c r="AG21" s="48"/>
      <c r="AH21" s="48"/>
      <c r="AI21" s="48"/>
      <c r="AJ21" s="49"/>
      <c r="AK21" s="75"/>
      <c r="AL21" s="75"/>
      <c r="AM21" s="49"/>
      <c r="AN21" s="49"/>
      <c r="AO21" s="49"/>
      <c r="AP21" s="49"/>
      <c r="AQ21" s="49"/>
      <c r="AR21" s="49"/>
      <c r="AS21" s="49"/>
      <c r="AT21" s="49"/>
      <c r="AU21" s="49"/>
    </row>
    <row r="22" spans="2:47" x14ac:dyDescent="0.25"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4"/>
      <c r="V22" s="48"/>
      <c r="W22" s="56"/>
      <c r="X22" s="106">
        <f ca="1">-X21</f>
        <v>0.125</v>
      </c>
      <c r="Y22" s="107">
        <f t="shared" si="6"/>
        <v>-2</v>
      </c>
      <c r="Z22" s="107">
        <f t="shared" si="7"/>
        <v>2</v>
      </c>
      <c r="AA22" s="90">
        <v>-2.2000000000000002</v>
      </c>
      <c r="AB22" s="57">
        <f t="shared" ca="1" si="4"/>
        <v>198.98814761988575</v>
      </c>
      <c r="AC22" s="58">
        <f t="shared" ca="1" si="5"/>
        <v>4.7679378549862692E-2</v>
      </c>
      <c r="AD22" s="56"/>
      <c r="AE22" s="56"/>
      <c r="AF22" s="48"/>
      <c r="AG22" s="48"/>
      <c r="AH22" s="48"/>
      <c r="AI22" s="48"/>
      <c r="AJ22" s="49"/>
      <c r="AK22" s="75"/>
      <c r="AL22" s="75"/>
      <c r="AM22" s="49"/>
      <c r="AN22" s="49"/>
      <c r="AO22" s="49"/>
      <c r="AP22" s="49"/>
      <c r="AQ22" s="49"/>
      <c r="AR22" s="49"/>
      <c r="AS22" s="49"/>
      <c r="AT22" s="49"/>
      <c r="AU22" s="49"/>
    </row>
    <row r="23" spans="2:47" x14ac:dyDescent="0.25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4"/>
      <c r="V23" s="48"/>
      <c r="W23" s="104" t="str">
        <f>+C7</f>
        <v>durée rinçage</v>
      </c>
      <c r="X23" s="45">
        <f ca="1">K13</f>
        <v>0.125</v>
      </c>
      <c r="Y23" s="107">
        <f t="shared" si="6"/>
        <v>-2</v>
      </c>
      <c r="Z23" s="107">
        <f t="shared" si="7"/>
        <v>2</v>
      </c>
      <c r="AA23" s="90">
        <v>-2.1</v>
      </c>
      <c r="AB23" s="57">
        <f t="shared" ca="1" si="4"/>
        <v>199.06255000080003</v>
      </c>
      <c r="AC23" s="58">
        <f t="shared" ca="1" si="5"/>
        <v>5.9115844734994712E-2</v>
      </c>
      <c r="AD23" s="56"/>
      <c r="AE23" s="56"/>
      <c r="AF23" s="48"/>
      <c r="AG23" s="48"/>
      <c r="AH23" s="48"/>
      <c r="AI23" s="48"/>
      <c r="AJ23" s="49"/>
      <c r="AK23" s="75"/>
      <c r="AL23" s="75"/>
      <c r="AM23" s="49"/>
      <c r="AN23" s="49"/>
      <c r="AO23" s="49"/>
      <c r="AP23" s="49"/>
      <c r="AQ23" s="49"/>
      <c r="AR23" s="49"/>
      <c r="AS23" s="49"/>
      <c r="AT23" s="49"/>
      <c r="AU23" s="49"/>
    </row>
    <row r="24" spans="2:47" x14ac:dyDescent="0.2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  <c r="V24" s="49"/>
      <c r="W24" s="56"/>
      <c r="X24" s="106">
        <f ca="1">-X23</f>
        <v>-0.125</v>
      </c>
      <c r="Y24" s="107">
        <f t="shared" si="6"/>
        <v>-2</v>
      </c>
      <c r="Z24" s="107">
        <f t="shared" si="7"/>
        <v>2</v>
      </c>
      <c r="AA24" s="90">
        <v>-2</v>
      </c>
      <c r="AB24" s="57">
        <f t="shared" ca="1" si="4"/>
        <v>199.13695238171431</v>
      </c>
      <c r="AC24" s="58">
        <f t="shared" ca="1" si="5"/>
        <v>7.2566181148676398E-2</v>
      </c>
      <c r="AD24" s="56"/>
      <c r="AE24" s="56"/>
      <c r="AF24" s="48"/>
      <c r="AG24" s="48"/>
      <c r="AH24" s="48"/>
      <c r="AI24" s="49"/>
      <c r="AJ24" s="49"/>
      <c r="AK24" s="75"/>
      <c r="AL24" s="75"/>
      <c r="AM24" s="49"/>
      <c r="AN24" s="49"/>
      <c r="AO24" s="49"/>
      <c r="AP24" s="49"/>
      <c r="AQ24" s="49"/>
      <c r="AR24" s="49"/>
      <c r="AS24" s="49"/>
      <c r="AT24" s="49"/>
      <c r="AU24" s="49"/>
    </row>
    <row r="25" spans="2:47" x14ac:dyDescent="0.25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4"/>
      <c r="V25" s="49"/>
      <c r="W25" s="104" t="str">
        <f>+C8</f>
        <v>T°C rinçage</v>
      </c>
      <c r="X25" s="45">
        <f ca="1">L13</f>
        <v>-0.125</v>
      </c>
      <c r="Y25" s="107">
        <f t="shared" si="6"/>
        <v>-2</v>
      </c>
      <c r="Z25" s="107">
        <f t="shared" si="7"/>
        <v>2</v>
      </c>
      <c r="AA25" s="90">
        <v>-1.9</v>
      </c>
      <c r="AB25" s="57">
        <f t="shared" ca="1" si="4"/>
        <v>199.21135476262859</v>
      </c>
      <c r="AC25" s="58">
        <f t="shared" ca="1" si="5"/>
        <v>8.8190477197589143E-2</v>
      </c>
      <c r="AD25" s="56"/>
      <c r="AE25" s="56"/>
      <c r="AF25" s="48"/>
      <c r="AG25" s="48"/>
      <c r="AH25" s="48"/>
      <c r="AI25" s="49"/>
      <c r="AJ25" s="49"/>
      <c r="AK25" s="75"/>
      <c r="AL25" s="75"/>
      <c r="AM25" s="49"/>
      <c r="AN25" s="49"/>
      <c r="AO25" s="49"/>
      <c r="AP25" s="49"/>
      <c r="AQ25" s="49"/>
      <c r="AR25" s="49"/>
      <c r="AS25" s="49"/>
      <c r="AT25" s="49"/>
      <c r="AU25" s="49"/>
    </row>
    <row r="26" spans="2:47" x14ac:dyDescent="0.2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51"/>
      <c r="U26" s="52"/>
      <c r="V26" s="49"/>
      <c r="W26" s="56"/>
      <c r="X26" s="106">
        <f ca="1">-X25</f>
        <v>0.125</v>
      </c>
      <c r="Y26" s="107">
        <f t="shared" si="6"/>
        <v>-2</v>
      </c>
      <c r="Z26" s="107">
        <f t="shared" si="7"/>
        <v>2</v>
      </c>
      <c r="AA26" s="90">
        <v>-1.8</v>
      </c>
      <c r="AB26" s="57">
        <f t="shared" ca="1" si="4"/>
        <v>199.28575714354287</v>
      </c>
      <c r="AC26" s="58">
        <f t="shared" ca="1" si="5"/>
        <v>0.1061124084077989</v>
      </c>
      <c r="AD26" s="56"/>
      <c r="AE26" s="56"/>
      <c r="AF26" s="48"/>
      <c r="AG26" s="48"/>
      <c r="AH26" s="48"/>
      <c r="AI26" s="49"/>
      <c r="AJ26" s="49"/>
      <c r="AK26" s="75"/>
      <c r="AL26" s="75"/>
      <c r="AM26" s="49"/>
      <c r="AN26" s="49"/>
      <c r="AO26" s="49"/>
      <c r="AP26" s="49"/>
      <c r="AQ26" s="49"/>
      <c r="AR26" s="49"/>
      <c r="AS26" s="49"/>
      <c r="AT26" s="49"/>
      <c r="AU26" s="49"/>
    </row>
    <row r="27" spans="2:47" x14ac:dyDescent="0.25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51"/>
      <c r="U27" s="52"/>
      <c r="V27" s="49"/>
      <c r="W27" s="104" t="str">
        <f>+C9</f>
        <v>durée séchage</v>
      </c>
      <c r="X27" s="45">
        <f ca="1">M13</f>
        <v>0.375</v>
      </c>
      <c r="Y27" s="107">
        <f t="shared" si="6"/>
        <v>-2</v>
      </c>
      <c r="Z27" s="107">
        <f t="shared" si="7"/>
        <v>2</v>
      </c>
      <c r="AA27" s="90">
        <v>-1.7</v>
      </c>
      <c r="AB27" s="57">
        <f t="shared" ca="1" si="4"/>
        <v>199.36015952445717</v>
      </c>
      <c r="AC27" s="58">
        <f t="shared" ca="1" si="5"/>
        <v>0.12640600505142266</v>
      </c>
      <c r="AD27" s="56"/>
      <c r="AE27" s="56"/>
      <c r="AF27" s="48"/>
      <c r="AG27" s="48"/>
      <c r="AH27" s="48"/>
      <c r="AI27" s="49"/>
      <c r="AJ27" s="49"/>
      <c r="AK27" s="75"/>
      <c r="AL27" s="75"/>
      <c r="AM27" s="49"/>
      <c r="AN27" s="49"/>
      <c r="AO27" s="49"/>
      <c r="AP27" s="49"/>
      <c r="AQ27" s="49"/>
      <c r="AR27" s="49"/>
      <c r="AS27" s="49"/>
      <c r="AT27" s="49"/>
      <c r="AU27" s="49"/>
    </row>
    <row r="28" spans="2:47" x14ac:dyDescent="0.25"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51"/>
      <c r="U28" s="52"/>
      <c r="V28" s="49"/>
      <c r="W28" s="56"/>
      <c r="X28" s="106">
        <f ca="1">-X27</f>
        <v>-0.375</v>
      </c>
      <c r="Y28" s="107">
        <f t="shared" si="6"/>
        <v>-2</v>
      </c>
      <c r="Z28" s="107">
        <f t="shared" si="7"/>
        <v>2</v>
      </c>
      <c r="AA28" s="90">
        <v>-1.6</v>
      </c>
      <c r="AB28" s="57">
        <f t="shared" ca="1" si="4"/>
        <v>199.43456190537145</v>
      </c>
      <c r="AC28" s="58">
        <f t="shared" ca="1" si="5"/>
        <v>0.1490823725214431</v>
      </c>
      <c r="AD28" s="56"/>
      <c r="AE28" s="56"/>
      <c r="AF28" s="48"/>
      <c r="AG28" s="48"/>
      <c r="AH28" s="48"/>
      <c r="AI28" s="49"/>
      <c r="AJ28" s="49"/>
      <c r="AK28" s="75"/>
      <c r="AL28" s="75"/>
      <c r="AM28" s="49"/>
      <c r="AN28" s="49"/>
      <c r="AO28" s="49"/>
      <c r="AP28" s="49"/>
      <c r="AQ28" s="49"/>
      <c r="AR28" s="49"/>
      <c r="AS28" s="49"/>
      <c r="AT28" s="49"/>
      <c r="AU28" s="49"/>
    </row>
    <row r="29" spans="2:47" x14ac:dyDescent="0.25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4"/>
      <c r="V29" s="49"/>
      <c r="W29" s="104">
        <f>+C10</f>
        <v>0</v>
      </c>
      <c r="X29" s="45">
        <f ca="1">N13</f>
        <v>0.125</v>
      </c>
      <c r="Y29" s="107">
        <f t="shared" si="6"/>
        <v>-2</v>
      </c>
      <c r="Z29" s="107">
        <f t="shared" si="7"/>
        <v>2</v>
      </c>
      <c r="AA29" s="90">
        <v>-1.5</v>
      </c>
      <c r="AB29" s="57">
        <f t="shared" ca="1" si="4"/>
        <v>199.50896428628573</v>
      </c>
      <c r="AC29" s="58">
        <f t="shared" ca="1" si="5"/>
        <v>0.17407721913510091</v>
      </c>
      <c r="AD29" s="56"/>
      <c r="AE29" s="56"/>
      <c r="AF29" s="48"/>
      <c r="AG29" s="48"/>
      <c r="AH29" s="48"/>
      <c r="AI29" s="49"/>
      <c r="AJ29" s="49"/>
      <c r="AK29" s="75"/>
      <c r="AL29" s="75"/>
      <c r="AM29" s="49"/>
      <c r="AN29" s="49"/>
      <c r="AO29" s="49"/>
      <c r="AP29" s="49"/>
      <c r="AQ29" s="49"/>
      <c r="AR29" s="49"/>
      <c r="AS29" s="49"/>
      <c r="AT29" s="49"/>
      <c r="AU29" s="49"/>
    </row>
    <row r="30" spans="2:47" x14ac:dyDescent="0.25"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4"/>
      <c r="V30" s="49"/>
      <c r="W30" s="56"/>
      <c r="X30" s="106">
        <f ca="1">-X29</f>
        <v>-0.125</v>
      </c>
      <c r="Y30" s="107">
        <f t="shared" si="6"/>
        <v>-2</v>
      </c>
      <c r="Z30" s="107">
        <f t="shared" si="7"/>
        <v>2</v>
      </c>
      <c r="AA30" s="90">
        <v>-1.4</v>
      </c>
      <c r="AB30" s="57">
        <f t="shared" ca="1" si="4"/>
        <v>199.58336666720001</v>
      </c>
      <c r="AC30" s="58">
        <f t="shared" ca="1" si="5"/>
        <v>0.20124015360239214</v>
      </c>
      <c r="AD30" s="56"/>
      <c r="AE30" s="56"/>
      <c r="AF30" s="48"/>
      <c r="AG30" s="48"/>
      <c r="AH30" s="48"/>
      <c r="AI30" s="49"/>
      <c r="AJ30" s="49"/>
      <c r="AK30" s="75"/>
      <c r="AL30" s="75"/>
      <c r="AM30" s="49"/>
      <c r="AN30" s="49"/>
      <c r="AO30" s="49"/>
      <c r="AP30" s="49"/>
      <c r="AQ30" s="49"/>
      <c r="AR30" s="49"/>
      <c r="AS30" s="49"/>
      <c r="AT30" s="49"/>
      <c r="AU30" s="49"/>
    </row>
    <row r="31" spans="2:47" ht="15.75" thickBot="1" x14ac:dyDescent="0.3"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/>
      <c r="V31" s="49"/>
      <c r="W31" s="56"/>
      <c r="X31" s="56"/>
      <c r="Y31" s="56"/>
      <c r="Z31" s="56"/>
      <c r="AA31" s="90">
        <v>-1.3</v>
      </c>
      <c r="AB31" s="57">
        <f t="shared" ca="1" si="4"/>
        <v>199.65776904811429</v>
      </c>
      <c r="AC31" s="58">
        <f t="shared" ca="1" si="5"/>
        <v>0.23032675828644447</v>
      </c>
      <c r="AD31" s="56"/>
      <c r="AE31" s="56"/>
      <c r="AF31" s="48"/>
      <c r="AG31" s="48"/>
      <c r="AH31" s="48"/>
      <c r="AI31" s="49"/>
      <c r="AJ31" s="49"/>
      <c r="AK31" s="75"/>
      <c r="AL31" s="75"/>
      <c r="AM31" s="49"/>
      <c r="AN31" s="49"/>
      <c r="AO31" s="49"/>
      <c r="AP31" s="49"/>
      <c r="AQ31" s="49"/>
      <c r="AR31" s="49"/>
      <c r="AS31" s="49"/>
      <c r="AT31" s="49"/>
      <c r="AU31" s="49"/>
    </row>
    <row r="32" spans="2:47" x14ac:dyDescent="0.25"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1"/>
      <c r="V32" s="49"/>
      <c r="W32" s="56"/>
      <c r="X32" s="56"/>
      <c r="Y32" s="56"/>
      <c r="Z32" s="56"/>
      <c r="AA32" s="90">
        <v>-1.2</v>
      </c>
      <c r="AB32" s="57">
        <f t="shared" ca="1" si="4"/>
        <v>199.7321714290286</v>
      </c>
      <c r="AC32" s="58">
        <f t="shared" ca="1" si="5"/>
        <v>0.26099440985219141</v>
      </c>
      <c r="AD32" s="56"/>
      <c r="AE32" s="56"/>
      <c r="AF32" s="48"/>
      <c r="AG32" s="48"/>
      <c r="AH32" s="48"/>
      <c r="AI32" s="49"/>
      <c r="AJ32" s="49"/>
      <c r="AK32" s="75"/>
      <c r="AL32" s="75"/>
      <c r="AM32" s="49"/>
      <c r="AN32" s="49"/>
      <c r="AO32" s="49"/>
      <c r="AP32" s="49"/>
      <c r="AQ32" s="49"/>
      <c r="AR32" s="49"/>
      <c r="AS32" s="49"/>
      <c r="AT32" s="49"/>
      <c r="AU32" s="49"/>
    </row>
    <row r="33" spans="2:47" x14ac:dyDescent="0.25"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51"/>
      <c r="P33" s="51"/>
      <c r="Q33" s="51"/>
      <c r="R33" s="51"/>
      <c r="S33" s="51"/>
      <c r="T33" s="51"/>
      <c r="U33" s="52"/>
      <c r="V33" s="49"/>
      <c r="W33" s="56"/>
      <c r="X33" s="56"/>
      <c r="Y33" s="56"/>
      <c r="Z33" s="56"/>
      <c r="AA33" s="90">
        <v>-1.1000000000000001</v>
      </c>
      <c r="AB33" s="57">
        <f t="shared" ca="1" si="4"/>
        <v>199.80657380994288</v>
      </c>
      <c r="AC33" s="58">
        <f t="shared" ca="1" si="5"/>
        <v>0.2928026957679345</v>
      </c>
      <c r="AD33" s="56"/>
      <c r="AE33" s="56"/>
      <c r="AF33" s="48"/>
      <c r="AG33" s="48"/>
      <c r="AH33" s="48"/>
      <c r="AI33" s="49"/>
      <c r="AJ33" s="49"/>
      <c r="AK33" s="75"/>
      <c r="AL33" s="75"/>
      <c r="AM33" s="49"/>
      <c r="AN33" s="49"/>
      <c r="AO33" s="49"/>
      <c r="AP33" s="49"/>
      <c r="AQ33" s="49"/>
      <c r="AR33" s="49"/>
      <c r="AS33" s="49"/>
      <c r="AT33" s="49"/>
      <c r="AU33" s="49"/>
    </row>
    <row r="34" spans="2:47" x14ac:dyDescent="0.25">
      <c r="B34" s="42"/>
      <c r="C34" s="43"/>
      <c r="D34" s="43"/>
      <c r="F34" s="127" t="s">
        <v>74</v>
      </c>
      <c r="G34" s="128"/>
      <c r="H34" s="129"/>
      <c r="I34" s="122" t="s">
        <v>55</v>
      </c>
      <c r="J34" s="123"/>
      <c r="K34" s="123"/>
      <c r="L34" s="123"/>
      <c r="M34" s="123"/>
      <c r="N34" s="123"/>
      <c r="O34" s="123"/>
      <c r="P34" s="124"/>
      <c r="Q34" s="51"/>
      <c r="R34" s="51"/>
      <c r="S34" s="51"/>
      <c r="T34" s="51"/>
      <c r="U34" s="52"/>
      <c r="V34" s="49"/>
      <c r="W34" s="56"/>
      <c r="X34" s="56"/>
      <c r="Y34" s="56"/>
      <c r="Z34" s="56"/>
      <c r="AA34" s="90">
        <v>-1</v>
      </c>
      <c r="AB34" s="57">
        <f t="shared" ca="1" si="4"/>
        <v>199.88097619085715</v>
      </c>
      <c r="AC34" s="58">
        <f t="shared" ca="1" si="5"/>
        <v>0.3252190609301957</v>
      </c>
      <c r="AD34" s="56"/>
      <c r="AE34" s="56"/>
      <c r="AF34" s="48"/>
      <c r="AG34" s="48"/>
      <c r="AH34" s="48"/>
      <c r="AI34" s="49"/>
      <c r="AJ34" s="49"/>
      <c r="AK34" s="75"/>
      <c r="AL34" s="75"/>
      <c r="AM34" s="49"/>
      <c r="AN34" s="49"/>
      <c r="AO34" s="49"/>
      <c r="AP34" s="49"/>
      <c r="AQ34" s="49"/>
      <c r="AR34" s="49"/>
      <c r="AS34" s="49"/>
      <c r="AT34" s="49"/>
      <c r="AU34" s="49"/>
    </row>
    <row r="35" spans="2:47" x14ac:dyDescent="0.25">
      <c r="B35" s="42"/>
      <c r="C35" s="43"/>
      <c r="D35" s="43"/>
      <c r="F35" s="67" t="s">
        <v>0</v>
      </c>
      <c r="G35" s="67" t="s">
        <v>1</v>
      </c>
      <c r="H35" s="67" t="s">
        <v>71</v>
      </c>
      <c r="I35" s="67" t="s">
        <v>2</v>
      </c>
      <c r="J35" s="67" t="s">
        <v>3</v>
      </c>
      <c r="K35" s="67" t="s">
        <v>4</v>
      </c>
      <c r="L35" s="67" t="s">
        <v>5</v>
      </c>
      <c r="M35" s="67" t="s">
        <v>6</v>
      </c>
      <c r="N35" s="68" t="s">
        <v>8</v>
      </c>
      <c r="O35" s="68" t="s">
        <v>53</v>
      </c>
      <c r="P35" s="67" t="s">
        <v>54</v>
      </c>
      <c r="Q35" s="51"/>
      <c r="R35" s="51"/>
      <c r="S35" s="51"/>
      <c r="T35" s="51"/>
      <c r="U35" s="52"/>
      <c r="V35" s="49"/>
      <c r="W35" s="56"/>
      <c r="X35" s="56"/>
      <c r="Y35" s="56"/>
      <c r="Z35" s="56"/>
      <c r="AA35" s="90">
        <v>-0.9</v>
      </c>
      <c r="AB35" s="57">
        <f t="shared" ca="1" si="4"/>
        <v>199.95537857177143</v>
      </c>
      <c r="AC35" s="58">
        <f t="shared" ca="1" si="5"/>
        <v>0.35763002020768286</v>
      </c>
      <c r="AD35" s="56"/>
      <c r="AE35" s="56"/>
      <c r="AF35" s="48"/>
      <c r="AG35" s="48"/>
      <c r="AH35" s="48"/>
      <c r="AI35" s="49"/>
      <c r="AJ35" s="49"/>
      <c r="AK35" s="75"/>
      <c r="AL35" s="75"/>
      <c r="AM35" s="49"/>
      <c r="AN35" s="49"/>
      <c r="AO35" s="49"/>
      <c r="AP35" s="49"/>
      <c r="AQ35" s="49"/>
      <c r="AR35" s="49"/>
      <c r="AS35" s="49"/>
      <c r="AT35" s="49"/>
      <c r="AU35" s="49"/>
    </row>
    <row r="36" spans="2:47" x14ac:dyDescent="0.25">
      <c r="B36" s="42"/>
      <c r="C36" s="43"/>
      <c r="D36" s="43"/>
      <c r="F36" s="69" t="s">
        <v>9</v>
      </c>
      <c r="G36" s="69">
        <f ca="1">COUNT(O5:P12)</f>
        <v>8</v>
      </c>
      <c r="H36" s="87">
        <f ca="1">G13</f>
        <v>200.625</v>
      </c>
      <c r="I36" s="71">
        <f ca="1">DEVSQ(O5:P12)</f>
        <v>3.875</v>
      </c>
      <c r="J36" s="69">
        <f ca="1">G36-1</f>
        <v>7</v>
      </c>
      <c r="K36" s="70">
        <f ca="1">I36/J36</f>
        <v>0.5535714285714286</v>
      </c>
      <c r="L36" s="69" t="s">
        <v>7</v>
      </c>
      <c r="M36" s="69" t="s">
        <v>7</v>
      </c>
      <c r="N36" s="98">
        <f ca="1">SUM(N38:N45)</f>
        <v>1</v>
      </c>
      <c r="O36" s="69" t="s">
        <v>7</v>
      </c>
      <c r="P36" s="69" t="s">
        <v>7</v>
      </c>
      <c r="Q36" s="51"/>
      <c r="R36" s="51"/>
      <c r="S36" s="51"/>
      <c r="T36" s="51"/>
      <c r="U36" s="52"/>
      <c r="V36" s="49"/>
      <c r="W36" s="56"/>
      <c r="X36" s="56"/>
      <c r="Y36" s="56"/>
      <c r="Z36" s="56"/>
      <c r="AA36" s="90">
        <v>-0.8</v>
      </c>
      <c r="AB36" s="57">
        <f t="shared" ca="1" si="4"/>
        <v>200.02978095268571</v>
      </c>
      <c r="AC36" s="58">
        <f t="shared" ca="1" si="5"/>
        <v>0.3893579065637956</v>
      </c>
      <c r="AD36" s="56"/>
      <c r="AE36" s="56"/>
      <c r="AF36" s="48"/>
      <c r="AG36" s="48"/>
      <c r="AH36" s="48"/>
      <c r="AI36" s="49"/>
      <c r="AJ36" s="49"/>
      <c r="AK36" s="75"/>
      <c r="AL36" s="75"/>
      <c r="AM36" s="49"/>
      <c r="AN36" s="49"/>
      <c r="AO36" s="49"/>
      <c r="AP36" s="49"/>
      <c r="AQ36" s="49"/>
      <c r="AR36" s="49"/>
      <c r="AS36" s="49"/>
      <c r="AT36" s="49"/>
      <c r="AU36" s="49"/>
    </row>
    <row r="37" spans="2:47" x14ac:dyDescent="0.25">
      <c r="B37" s="42"/>
      <c r="C37" s="43"/>
      <c r="D37" s="43"/>
      <c r="F37" s="69" t="s">
        <v>10</v>
      </c>
      <c r="G37" s="69" t="s">
        <v>7</v>
      </c>
      <c r="H37" s="88" t="s">
        <v>7</v>
      </c>
      <c r="I37" s="70">
        <f ca="1">SUM(I39:I45)</f>
        <v>7.75</v>
      </c>
      <c r="J37" s="72">
        <f>SUM(J39:J45)</f>
        <v>7</v>
      </c>
      <c r="K37" s="70">
        <f ca="1">I37/J37</f>
        <v>1.1071428571428572</v>
      </c>
      <c r="L37" s="70" t="e">
        <f ca="1">K37/K38</f>
        <v>#DIV/0!</v>
      </c>
      <c r="M37" s="70" t="e">
        <f ca="1">FINV(0.05,J37,J38)</f>
        <v>#NUM!</v>
      </c>
      <c r="N37" s="98">
        <f ca="1">I37/I36</f>
        <v>2</v>
      </c>
      <c r="O37" s="69" t="s">
        <v>7</v>
      </c>
      <c r="P37" s="69" t="s">
        <v>7</v>
      </c>
      <c r="Q37" s="56"/>
      <c r="R37" s="51"/>
      <c r="S37" s="51"/>
      <c r="T37" s="51"/>
      <c r="U37" s="52"/>
      <c r="V37" s="49"/>
      <c r="W37" s="56"/>
      <c r="X37" s="56"/>
      <c r="Y37" s="56"/>
      <c r="Z37" s="56"/>
      <c r="AA37" s="90">
        <v>-0.7</v>
      </c>
      <c r="AB37" s="57">
        <f t="shared" ca="1" si="4"/>
        <v>200.10418333360002</v>
      </c>
      <c r="AC37" s="58">
        <f t="shared" ca="1" si="5"/>
        <v>0.4196827165067441</v>
      </c>
      <c r="AD37" s="56"/>
      <c r="AE37" s="56"/>
      <c r="AF37" s="48"/>
      <c r="AG37" s="48"/>
      <c r="AH37" s="48"/>
      <c r="AI37" s="49"/>
      <c r="AJ37" s="49"/>
      <c r="AK37" s="75"/>
      <c r="AL37" s="75"/>
      <c r="AM37" s="49"/>
      <c r="AN37" s="49"/>
      <c r="AO37" s="49"/>
      <c r="AP37" s="49"/>
      <c r="AQ37" s="49"/>
      <c r="AR37" s="49"/>
      <c r="AS37" s="49"/>
      <c r="AT37" s="49"/>
      <c r="AU37" s="49"/>
    </row>
    <row r="38" spans="2:47" x14ac:dyDescent="0.25">
      <c r="B38" s="42"/>
      <c r="C38" s="43"/>
      <c r="D38" s="43"/>
      <c r="F38" s="69" t="s">
        <v>67</v>
      </c>
      <c r="G38" s="69" t="s">
        <v>7</v>
      </c>
      <c r="H38" s="87" t="s">
        <v>7</v>
      </c>
      <c r="I38" s="70">
        <f ca="1">I36-I37</f>
        <v>-3.875</v>
      </c>
      <c r="J38" s="72">
        <f ca="1">J36-J37</f>
        <v>0</v>
      </c>
      <c r="K38" s="70" t="e">
        <f t="shared" ref="K37:K45" ca="1" si="8">I38/J38</f>
        <v>#DIV/0!</v>
      </c>
      <c r="L38" s="70" t="s">
        <v>7</v>
      </c>
      <c r="M38" s="69" t="s">
        <v>7</v>
      </c>
      <c r="N38" s="98">
        <f ca="1">I38/I36</f>
        <v>-1</v>
      </c>
      <c r="O38" s="69" t="s">
        <v>7</v>
      </c>
      <c r="P38" s="69" t="s">
        <v>7</v>
      </c>
      <c r="Q38" s="55"/>
      <c r="R38" s="51"/>
      <c r="S38" s="51"/>
      <c r="T38" s="51"/>
      <c r="U38" s="52"/>
      <c r="V38" s="49"/>
      <c r="W38" s="56"/>
      <c r="X38" s="56"/>
      <c r="Y38" s="56"/>
      <c r="Z38" s="56"/>
      <c r="AA38" s="90">
        <v>-0.6</v>
      </c>
      <c r="AB38" s="57">
        <f t="shared" ca="1" si="4"/>
        <v>200.1785857145143</v>
      </c>
      <c r="AC38" s="58">
        <f t="shared" ca="1" si="5"/>
        <v>0.44786819829824215</v>
      </c>
      <c r="AD38" s="56"/>
      <c r="AE38" s="56"/>
      <c r="AF38" s="48"/>
      <c r="AG38" s="48"/>
      <c r="AH38" s="48"/>
      <c r="AI38" s="49"/>
      <c r="AJ38" s="49"/>
      <c r="AK38" s="75"/>
      <c r="AL38" s="75"/>
      <c r="AM38" s="49"/>
      <c r="AN38" s="49"/>
      <c r="AO38" s="49"/>
      <c r="AP38" s="49"/>
      <c r="AQ38" s="49"/>
      <c r="AR38" s="49"/>
      <c r="AS38" s="49"/>
      <c r="AT38" s="49"/>
      <c r="AU38" s="49"/>
    </row>
    <row r="39" spans="2:47" x14ac:dyDescent="0.25">
      <c r="B39" s="42"/>
      <c r="C39" s="43"/>
      <c r="D39" s="43"/>
      <c r="F39" s="117" t="str">
        <f t="shared" ref="F39:F45" si="9">C4</f>
        <v>T°C lavage</v>
      </c>
      <c r="G39" s="117">
        <v>2</v>
      </c>
      <c r="H39" s="118">
        <f ca="1">H13</f>
        <v>-0.375</v>
      </c>
      <c r="I39" s="119">
        <f ca="1">H39^2*8*2</f>
        <v>2.25</v>
      </c>
      <c r="J39" s="117">
        <f t="shared" ref="J39:J45" si="10">G39-1</f>
        <v>1</v>
      </c>
      <c r="K39" s="119">
        <f t="shared" ca="1" si="8"/>
        <v>2.25</v>
      </c>
      <c r="L39" s="119" t="e">
        <f t="shared" ref="L39:L45" ca="1" si="11">K39/K$38</f>
        <v>#DIV/0!</v>
      </c>
      <c r="M39" s="119" t="e">
        <f t="shared" ref="M39:M45" ca="1" si="12">FINV(0.05,J39,J$38)</f>
        <v>#NUM!</v>
      </c>
      <c r="N39" s="120">
        <f t="shared" ref="N39:N45" ca="1" si="13">I39/$I$36</f>
        <v>0.58064516129032262</v>
      </c>
      <c r="O39" s="120" t="e">
        <f t="shared" ref="O39:O45" ca="1" si="14">1-FDIST(M39/L39,J39,J$38)</f>
        <v>#NUM!</v>
      </c>
      <c r="P39" s="121" t="e">
        <f t="shared" ref="P39:P45" ca="1" si="15">1-O39</f>
        <v>#NUM!</v>
      </c>
      <c r="Q39" s="108" t="e">
        <f ca="1">M39*K38/I36</f>
        <v>#NUM!</v>
      </c>
      <c r="R39" s="51"/>
      <c r="S39" s="51"/>
      <c r="T39" s="51"/>
      <c r="U39" s="52"/>
      <c r="V39" s="49"/>
      <c r="W39" s="56"/>
      <c r="X39" s="56"/>
      <c r="Y39" s="56"/>
      <c r="Z39" s="56"/>
      <c r="AA39" s="90">
        <v>-0.5</v>
      </c>
      <c r="AB39" s="57">
        <f t="shared" ca="1" si="4"/>
        <v>200.25298809542858</v>
      </c>
      <c r="AC39" s="58">
        <f t="shared" ca="1" si="5"/>
        <v>0.47319094152362867</v>
      </c>
      <c r="AD39" s="56"/>
      <c r="AE39" s="56"/>
      <c r="AF39" s="48"/>
      <c r="AG39" s="48"/>
      <c r="AH39" s="48"/>
      <c r="AI39" s="49"/>
      <c r="AJ39" s="49"/>
      <c r="AK39" s="75"/>
      <c r="AL39" s="75"/>
      <c r="AM39" s="49"/>
      <c r="AN39" s="49"/>
      <c r="AO39" s="49"/>
      <c r="AP39" s="49"/>
      <c r="AQ39" s="49"/>
      <c r="AR39" s="49"/>
      <c r="AS39" s="49"/>
      <c r="AT39" s="49"/>
      <c r="AU39" s="49"/>
    </row>
    <row r="40" spans="2:47" x14ac:dyDescent="0.25">
      <c r="B40" s="42"/>
      <c r="C40" s="43"/>
      <c r="D40" s="43"/>
      <c r="F40" s="117" t="str">
        <f t="shared" si="9"/>
        <v>durée (min)</v>
      </c>
      <c r="G40" s="117">
        <v>2</v>
      </c>
      <c r="H40" s="118">
        <f ca="1">I13</f>
        <v>-0.375</v>
      </c>
      <c r="I40" s="119">
        <f t="shared" ref="I40:I45" ca="1" si="16">H40^2*8*2</f>
        <v>2.25</v>
      </c>
      <c r="J40" s="117">
        <f t="shared" si="10"/>
        <v>1</v>
      </c>
      <c r="K40" s="119">
        <f t="shared" ca="1" si="8"/>
        <v>2.25</v>
      </c>
      <c r="L40" s="119" t="e">
        <f t="shared" ca="1" si="11"/>
        <v>#DIV/0!</v>
      </c>
      <c r="M40" s="119" t="e">
        <f t="shared" ca="1" si="12"/>
        <v>#NUM!</v>
      </c>
      <c r="N40" s="120">
        <f t="shared" ca="1" si="13"/>
        <v>0.58064516129032262</v>
      </c>
      <c r="O40" s="120" t="e">
        <f t="shared" ca="1" si="14"/>
        <v>#NUM!</v>
      </c>
      <c r="P40" s="121" t="e">
        <f t="shared" ca="1" si="15"/>
        <v>#NUM!</v>
      </c>
      <c r="Q40" s="108" t="e">
        <f ca="1">Q39</f>
        <v>#NUM!</v>
      </c>
      <c r="R40" s="51"/>
      <c r="S40" s="51"/>
      <c r="T40" s="51"/>
      <c r="U40" s="52"/>
      <c r="V40" s="49"/>
      <c r="W40" s="56"/>
      <c r="X40" s="56"/>
      <c r="Y40" s="56"/>
      <c r="Z40" s="56"/>
      <c r="AA40" s="90">
        <v>-0.4</v>
      </c>
      <c r="AB40" s="57">
        <f t="shared" ca="1" si="4"/>
        <v>200.32739047634286</v>
      </c>
      <c r="AC40" s="58">
        <f t="shared" ca="1" si="5"/>
        <v>0.49497090789015069</v>
      </c>
      <c r="AD40" s="56"/>
      <c r="AE40" s="56"/>
      <c r="AF40" s="48"/>
      <c r="AG40" s="48"/>
      <c r="AH40" s="48"/>
      <c r="AI40" s="49"/>
      <c r="AJ40" s="49"/>
      <c r="AK40" s="75"/>
      <c r="AL40" s="75"/>
      <c r="AM40" s="49"/>
      <c r="AN40" s="49"/>
      <c r="AO40" s="49"/>
      <c r="AP40" s="49"/>
      <c r="AQ40" s="49"/>
      <c r="AR40" s="49"/>
      <c r="AS40" s="49"/>
      <c r="AT40" s="49"/>
      <c r="AU40" s="49"/>
    </row>
    <row r="41" spans="2:47" x14ac:dyDescent="0.25">
      <c r="B41" s="42"/>
      <c r="C41" s="43"/>
      <c r="D41" s="43"/>
      <c r="F41" s="117" t="str">
        <f t="shared" si="9"/>
        <v>[X]</v>
      </c>
      <c r="G41" s="117">
        <v>2</v>
      </c>
      <c r="H41" s="118">
        <f ca="1">J13</f>
        <v>-0.125</v>
      </c>
      <c r="I41" s="119">
        <f ca="1">H41^2*8*2</f>
        <v>0.25</v>
      </c>
      <c r="J41" s="117">
        <f t="shared" si="10"/>
        <v>1</v>
      </c>
      <c r="K41" s="119">
        <f t="shared" ca="1" si="8"/>
        <v>0.25</v>
      </c>
      <c r="L41" s="119" t="e">
        <f t="shared" ca="1" si="11"/>
        <v>#DIV/0!</v>
      </c>
      <c r="M41" s="119" t="e">
        <f t="shared" ca="1" si="12"/>
        <v>#NUM!</v>
      </c>
      <c r="N41" s="120">
        <f t="shared" ca="1" si="13"/>
        <v>6.4516129032258063E-2</v>
      </c>
      <c r="O41" s="120" t="e">
        <f t="shared" ca="1" si="14"/>
        <v>#NUM!</v>
      </c>
      <c r="P41" s="121" t="e">
        <f t="shared" ca="1" si="15"/>
        <v>#NUM!</v>
      </c>
      <c r="Q41" s="108" t="e">
        <f ca="1">Q40</f>
        <v>#NUM!</v>
      </c>
      <c r="R41" s="51"/>
      <c r="S41" s="51"/>
      <c r="T41" s="51"/>
      <c r="U41" s="52"/>
      <c r="V41" s="49"/>
      <c r="W41" s="56"/>
      <c r="X41" s="56"/>
      <c r="Y41" s="56"/>
      <c r="Z41" s="56"/>
      <c r="AA41" s="90">
        <v>-0.3</v>
      </c>
      <c r="AB41" s="57">
        <f t="shared" ca="1" si="4"/>
        <v>200.40179285725713</v>
      </c>
      <c r="AC41" s="58">
        <f t="shared" ca="1" si="5"/>
        <v>0.51260162749348226</v>
      </c>
      <c r="AD41" s="56"/>
      <c r="AE41" s="56"/>
      <c r="AF41" s="48"/>
      <c r="AG41" s="48"/>
      <c r="AH41" s="48"/>
      <c r="AI41" s="49"/>
      <c r="AJ41" s="49"/>
      <c r="AK41" s="75"/>
      <c r="AL41" s="75"/>
      <c r="AM41" s="49"/>
      <c r="AN41" s="49"/>
      <c r="AO41" s="49"/>
      <c r="AP41" s="49"/>
      <c r="AQ41" s="49"/>
      <c r="AR41" s="49"/>
      <c r="AS41" s="49"/>
      <c r="AT41" s="49"/>
      <c r="AU41" s="49"/>
    </row>
    <row r="42" spans="2:47" x14ac:dyDescent="0.25">
      <c r="B42" s="42"/>
      <c r="C42" s="43"/>
      <c r="D42" s="43"/>
      <c r="F42" s="117" t="str">
        <f t="shared" si="9"/>
        <v>durée rinçage</v>
      </c>
      <c r="G42" s="117">
        <v>2</v>
      </c>
      <c r="H42" s="118">
        <f ca="1">K13</f>
        <v>0.125</v>
      </c>
      <c r="I42" s="119">
        <f ca="1">H42^2*8*2</f>
        <v>0.25</v>
      </c>
      <c r="J42" s="117">
        <f t="shared" si="10"/>
        <v>1</v>
      </c>
      <c r="K42" s="119">
        <f t="shared" ca="1" si="8"/>
        <v>0.25</v>
      </c>
      <c r="L42" s="119" t="e">
        <f t="shared" ca="1" si="11"/>
        <v>#DIV/0!</v>
      </c>
      <c r="M42" s="119" t="e">
        <f t="shared" ca="1" si="12"/>
        <v>#NUM!</v>
      </c>
      <c r="N42" s="120">
        <f t="shared" ca="1" si="13"/>
        <v>6.4516129032258063E-2</v>
      </c>
      <c r="O42" s="120" t="e">
        <f t="shared" ca="1" si="14"/>
        <v>#NUM!</v>
      </c>
      <c r="P42" s="121" t="e">
        <f t="shared" ca="1" si="15"/>
        <v>#NUM!</v>
      </c>
      <c r="Q42" s="108" t="e">
        <f t="shared" ref="Q42:Q45" ca="1" si="17">Q41</f>
        <v>#NUM!</v>
      </c>
      <c r="R42" s="51"/>
      <c r="S42" s="51"/>
      <c r="T42" s="51"/>
      <c r="U42" s="52"/>
      <c r="V42" s="49"/>
      <c r="W42" s="56"/>
      <c r="X42" s="56"/>
      <c r="Y42" s="56"/>
      <c r="Z42" s="56"/>
      <c r="AA42" s="90">
        <v>-0.2</v>
      </c>
      <c r="AB42" s="57">
        <f t="shared" ca="1" si="4"/>
        <v>200.47619523817144</v>
      </c>
      <c r="AC42" s="58">
        <f t="shared" ca="1" si="5"/>
        <v>0.52557819947450213</v>
      </c>
      <c r="AD42" s="56"/>
      <c r="AE42" s="56"/>
      <c r="AF42" s="48"/>
      <c r="AG42" s="48"/>
      <c r="AH42" s="48"/>
      <c r="AI42" s="49"/>
      <c r="AJ42" s="49"/>
      <c r="AK42" s="75"/>
      <c r="AL42" s="75"/>
      <c r="AM42" s="49"/>
      <c r="AN42" s="49"/>
      <c r="AO42" s="49"/>
      <c r="AP42" s="49"/>
      <c r="AQ42" s="49"/>
      <c r="AR42" s="49"/>
      <c r="AS42" s="49"/>
      <c r="AT42" s="49"/>
      <c r="AU42" s="49"/>
    </row>
    <row r="43" spans="2:47" x14ac:dyDescent="0.25">
      <c r="B43" s="42"/>
      <c r="C43" s="43"/>
      <c r="D43" s="43"/>
      <c r="F43" s="117" t="str">
        <f t="shared" si="9"/>
        <v>T°C rinçage</v>
      </c>
      <c r="G43" s="117">
        <v>2</v>
      </c>
      <c r="H43" s="118">
        <f ca="1">L13</f>
        <v>-0.125</v>
      </c>
      <c r="I43" s="119">
        <f ca="1">H43^2*8*2</f>
        <v>0.25</v>
      </c>
      <c r="J43" s="117">
        <f t="shared" si="10"/>
        <v>1</v>
      </c>
      <c r="K43" s="119">
        <f t="shared" ca="1" si="8"/>
        <v>0.25</v>
      </c>
      <c r="L43" s="119" t="e">
        <f t="shared" ca="1" si="11"/>
        <v>#DIV/0!</v>
      </c>
      <c r="M43" s="119" t="e">
        <f t="shared" ca="1" si="12"/>
        <v>#NUM!</v>
      </c>
      <c r="N43" s="120">
        <f t="shared" ca="1" si="13"/>
        <v>6.4516129032258063E-2</v>
      </c>
      <c r="O43" s="120" t="e">
        <f t="shared" ca="1" si="14"/>
        <v>#NUM!</v>
      </c>
      <c r="P43" s="121" t="e">
        <f t="shared" ca="1" si="15"/>
        <v>#NUM!</v>
      </c>
      <c r="Q43" s="108" t="e">
        <f t="shared" ca="1" si="17"/>
        <v>#NUM!</v>
      </c>
      <c r="R43" s="51"/>
      <c r="S43" s="51"/>
      <c r="T43" s="51"/>
      <c r="U43" s="52"/>
      <c r="V43" s="49"/>
      <c r="W43" s="56"/>
      <c r="X43" s="56"/>
      <c r="Y43" s="56"/>
      <c r="Z43" s="56"/>
      <c r="AA43" s="90">
        <v>-0.1</v>
      </c>
      <c r="AB43" s="57">
        <f t="shared" ca="1" si="4"/>
        <v>200.55059761908572</v>
      </c>
      <c r="AC43" s="58">
        <f t="shared" ca="1" si="5"/>
        <v>0.53352129676377236</v>
      </c>
      <c r="AD43" s="56"/>
      <c r="AE43" s="56"/>
      <c r="AF43" s="48"/>
      <c r="AG43" s="48"/>
      <c r="AH43" s="48"/>
      <c r="AI43" s="49"/>
      <c r="AJ43" s="49"/>
      <c r="AK43" s="75"/>
      <c r="AL43" s="75"/>
      <c r="AM43" s="49"/>
      <c r="AN43" s="49"/>
      <c r="AO43" s="49"/>
      <c r="AP43" s="49"/>
      <c r="AQ43" s="49"/>
      <c r="AR43" s="49"/>
      <c r="AS43" s="49"/>
      <c r="AT43" s="49"/>
      <c r="AU43" s="49"/>
    </row>
    <row r="44" spans="2:47" x14ac:dyDescent="0.25">
      <c r="B44" s="42"/>
      <c r="C44" s="43"/>
      <c r="D44" s="43"/>
      <c r="F44" s="117" t="str">
        <f t="shared" si="9"/>
        <v>durée séchage</v>
      </c>
      <c r="G44" s="117">
        <v>2</v>
      </c>
      <c r="H44" s="118">
        <f ca="1">M13</f>
        <v>0.375</v>
      </c>
      <c r="I44" s="119">
        <f ca="1">H44^2*8*2</f>
        <v>2.25</v>
      </c>
      <c r="J44" s="117">
        <f t="shared" si="10"/>
        <v>1</v>
      </c>
      <c r="K44" s="119">
        <f t="shared" ca="1" si="8"/>
        <v>2.25</v>
      </c>
      <c r="L44" s="119" t="e">
        <f t="shared" ca="1" si="11"/>
        <v>#DIV/0!</v>
      </c>
      <c r="M44" s="119" t="e">
        <f t="shared" ca="1" si="12"/>
        <v>#NUM!</v>
      </c>
      <c r="N44" s="120">
        <f t="shared" ca="1" si="13"/>
        <v>0.58064516129032262</v>
      </c>
      <c r="O44" s="120" t="e">
        <f t="shared" ca="1" si="14"/>
        <v>#NUM!</v>
      </c>
      <c r="P44" s="121" t="e">
        <f t="shared" ca="1" si="15"/>
        <v>#NUM!</v>
      </c>
      <c r="Q44" s="108" t="e">
        <f t="shared" ca="1" si="17"/>
        <v>#NUM!</v>
      </c>
      <c r="R44" s="51"/>
      <c r="S44" s="51"/>
      <c r="T44" s="51"/>
      <c r="U44" s="52"/>
      <c r="V44" s="49"/>
      <c r="W44" s="56"/>
      <c r="X44" s="56"/>
      <c r="Y44" s="56"/>
      <c r="Z44" s="56"/>
      <c r="AA44" s="90">
        <v>0</v>
      </c>
      <c r="AB44" s="57">
        <f t="shared" ca="1" si="4"/>
        <v>200.625</v>
      </c>
      <c r="AC44" s="58">
        <f t="shared" ca="1" si="5"/>
        <v>0.5361955833927351</v>
      </c>
      <c r="AD44" s="56"/>
      <c r="AE44" s="56"/>
      <c r="AF44" s="48"/>
      <c r="AG44" s="48"/>
      <c r="AH44" s="48"/>
      <c r="AI44" s="49"/>
      <c r="AJ44" s="49"/>
      <c r="AK44" s="75"/>
      <c r="AL44" s="75"/>
      <c r="AM44" s="49"/>
      <c r="AN44" s="49"/>
      <c r="AO44" s="49"/>
      <c r="AP44" s="49"/>
      <c r="AQ44" s="49"/>
      <c r="AR44" s="49"/>
      <c r="AS44" s="49"/>
      <c r="AT44" s="49"/>
      <c r="AU44" s="49"/>
    </row>
    <row r="45" spans="2:47" x14ac:dyDescent="0.25">
      <c r="B45" s="42"/>
      <c r="C45" s="43"/>
      <c r="D45" s="43"/>
      <c r="F45" s="117">
        <f t="shared" si="9"/>
        <v>0</v>
      </c>
      <c r="G45" s="117">
        <v>2</v>
      </c>
      <c r="H45" s="118">
        <f ca="1">N13</f>
        <v>0.125</v>
      </c>
      <c r="I45" s="119">
        <f t="shared" ca="1" si="16"/>
        <v>0.25</v>
      </c>
      <c r="J45" s="117">
        <f t="shared" si="10"/>
        <v>1</v>
      </c>
      <c r="K45" s="119">
        <f t="shared" ca="1" si="8"/>
        <v>0.25</v>
      </c>
      <c r="L45" s="119" t="e">
        <f t="shared" ca="1" si="11"/>
        <v>#DIV/0!</v>
      </c>
      <c r="M45" s="119" t="e">
        <f t="shared" ca="1" si="12"/>
        <v>#NUM!</v>
      </c>
      <c r="N45" s="120">
        <f t="shared" ca="1" si="13"/>
        <v>6.4516129032258063E-2</v>
      </c>
      <c r="O45" s="120" t="e">
        <f t="shared" ca="1" si="14"/>
        <v>#NUM!</v>
      </c>
      <c r="P45" s="121" t="e">
        <f t="shared" ca="1" si="15"/>
        <v>#NUM!</v>
      </c>
      <c r="Q45" s="108" t="e">
        <f t="shared" ca="1" si="17"/>
        <v>#NUM!</v>
      </c>
      <c r="R45" s="51"/>
      <c r="S45" s="51"/>
      <c r="T45" s="51"/>
      <c r="U45" s="52"/>
      <c r="V45" s="49"/>
      <c r="W45" s="56"/>
      <c r="X45" s="56"/>
      <c r="Y45" s="56"/>
      <c r="Z45" s="56"/>
      <c r="AA45" s="90">
        <v>0.1</v>
      </c>
      <c r="AB45" s="57">
        <f t="shared" ca="1" si="4"/>
        <v>200.69940238091428</v>
      </c>
      <c r="AC45" s="58">
        <f t="shared" ca="1" si="5"/>
        <v>0.53352129676377236</v>
      </c>
      <c r="AD45" s="56"/>
      <c r="AE45" s="56"/>
      <c r="AF45" s="48"/>
      <c r="AG45" s="48"/>
      <c r="AH45" s="48"/>
      <c r="AI45" s="49"/>
      <c r="AJ45" s="49"/>
      <c r="AK45" s="75"/>
      <c r="AL45" s="75"/>
      <c r="AM45" s="49"/>
      <c r="AN45" s="49"/>
      <c r="AO45" s="49"/>
      <c r="AP45" s="49"/>
      <c r="AQ45" s="49"/>
      <c r="AR45" s="49"/>
      <c r="AS45" s="49"/>
      <c r="AT45" s="49"/>
      <c r="AU45" s="49"/>
    </row>
    <row r="46" spans="2:47" x14ac:dyDescent="0.25"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 t="s">
        <v>66</v>
      </c>
      <c r="M46" s="43"/>
      <c r="N46" s="43"/>
      <c r="O46" s="43"/>
      <c r="P46" s="43"/>
      <c r="Q46" s="108" t="e">
        <f ca="1">Q45</f>
        <v>#NUM!</v>
      </c>
      <c r="R46" s="51"/>
      <c r="S46" s="51"/>
      <c r="T46" s="51"/>
      <c r="U46" s="52"/>
      <c r="V46" s="49"/>
      <c r="W46" s="56"/>
      <c r="X46" s="56"/>
      <c r="Y46" s="56"/>
      <c r="Z46" s="56"/>
      <c r="AA46" s="90">
        <v>0.2</v>
      </c>
      <c r="AB46" s="57">
        <f t="shared" ref="AB46:AB74" ca="1" si="18">T$7+AA46*SQRT(T$8)</f>
        <v>200.77380476182856</v>
      </c>
      <c r="AC46" s="58">
        <f t="shared" ref="AC46:AC74" ca="1" si="19">NORMDIST(AB46,T$7,SQRT(T$8),0)</f>
        <v>0.52557819947450213</v>
      </c>
      <c r="AD46" s="56"/>
      <c r="AE46" s="56"/>
      <c r="AF46" s="48"/>
      <c r="AG46" s="48"/>
      <c r="AH46" s="48"/>
      <c r="AI46" s="49"/>
      <c r="AJ46" s="49"/>
      <c r="AK46" s="75"/>
      <c r="AL46" s="75"/>
      <c r="AM46" s="49"/>
      <c r="AN46" s="49"/>
      <c r="AO46" s="49"/>
      <c r="AP46" s="49"/>
      <c r="AQ46" s="49"/>
      <c r="AR46" s="49"/>
      <c r="AS46" s="49"/>
      <c r="AT46" s="49"/>
      <c r="AU46" s="49"/>
    </row>
    <row r="47" spans="2:47" x14ac:dyDescent="0.25">
      <c r="B47" s="42"/>
      <c r="C47" s="43"/>
      <c r="D47" s="43"/>
      <c r="H47" s="43"/>
      <c r="I47" s="43"/>
      <c r="J47" s="43"/>
      <c r="K47" s="43"/>
      <c r="L47" s="43"/>
      <c r="M47" s="43"/>
      <c r="N47" s="43"/>
      <c r="O47" s="43"/>
      <c r="P47" s="43"/>
      <c r="Q47" s="55"/>
      <c r="R47" s="51"/>
      <c r="S47" s="51"/>
      <c r="T47" s="51"/>
      <c r="U47" s="52"/>
      <c r="V47" s="49"/>
      <c r="W47" s="48"/>
      <c r="X47" s="48"/>
      <c r="Y47" s="48"/>
      <c r="Z47" s="48"/>
      <c r="AA47" s="90">
        <v>0.3</v>
      </c>
      <c r="AB47" s="57">
        <f t="shared" ca="1" si="18"/>
        <v>200.84820714274287</v>
      </c>
      <c r="AC47" s="58">
        <f t="shared" ca="1" si="19"/>
        <v>0.51260162749348226</v>
      </c>
      <c r="AD47" s="48"/>
      <c r="AE47" s="48"/>
      <c r="AF47" s="48"/>
      <c r="AG47" s="48"/>
      <c r="AH47" s="48"/>
      <c r="AI47" s="49"/>
      <c r="AJ47" s="49"/>
      <c r="AK47" s="75"/>
      <c r="AL47" s="75"/>
      <c r="AM47" s="49"/>
      <c r="AN47" s="49"/>
      <c r="AO47" s="49"/>
      <c r="AP47" s="49"/>
      <c r="AQ47" s="49"/>
      <c r="AR47" s="49"/>
      <c r="AS47" s="49"/>
      <c r="AT47" s="49"/>
      <c r="AU47" s="49"/>
    </row>
    <row r="48" spans="2:47" x14ac:dyDescent="0.25">
      <c r="B48" s="42"/>
      <c r="C48" s="43"/>
      <c r="D48" s="43"/>
      <c r="F48" s="89" t="s">
        <v>52</v>
      </c>
      <c r="G48" s="73">
        <f ca="1">N37</f>
        <v>2</v>
      </c>
      <c r="H48" s="51" t="s">
        <v>65</v>
      </c>
      <c r="I48" s="43"/>
      <c r="J48" s="43"/>
      <c r="K48" s="43"/>
      <c r="L48" s="43"/>
      <c r="M48" s="43"/>
      <c r="N48" s="43"/>
      <c r="O48" s="43"/>
      <c r="P48" s="43"/>
      <c r="Q48" s="56"/>
      <c r="R48" s="51"/>
      <c r="S48" s="51"/>
      <c r="T48" s="51"/>
      <c r="U48" s="52"/>
      <c r="V48" s="49"/>
      <c r="W48" s="48"/>
      <c r="X48" s="48"/>
      <c r="Y48" s="48"/>
      <c r="Z48" s="48"/>
      <c r="AA48" s="90">
        <v>0.4</v>
      </c>
      <c r="AB48" s="57">
        <f t="shared" ca="1" si="18"/>
        <v>200.92260952365714</v>
      </c>
      <c r="AC48" s="58">
        <f t="shared" ca="1" si="19"/>
        <v>0.49497090789015069</v>
      </c>
      <c r="AD48" s="48"/>
      <c r="AE48" s="48"/>
      <c r="AF48" s="48"/>
      <c r="AG48" s="48"/>
      <c r="AH48" s="48"/>
      <c r="AI48" s="49"/>
      <c r="AJ48" s="49"/>
      <c r="AK48" s="75"/>
      <c r="AL48" s="75"/>
      <c r="AM48" s="49"/>
      <c r="AN48" s="49"/>
      <c r="AO48" s="49"/>
      <c r="AP48" s="49"/>
      <c r="AQ48" s="49"/>
      <c r="AR48" s="49"/>
      <c r="AS48" s="49"/>
      <c r="AT48" s="49"/>
      <c r="AU48" s="49"/>
    </row>
    <row r="49" spans="2:47" x14ac:dyDescent="0.25">
      <c r="B49" s="42"/>
      <c r="C49" s="43"/>
      <c r="D49" s="43"/>
      <c r="F49" s="43"/>
      <c r="G49" s="43"/>
      <c r="H49" s="51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4"/>
      <c r="V49" s="49"/>
      <c r="W49" s="48"/>
      <c r="X49" s="48"/>
      <c r="Y49" s="48"/>
      <c r="Z49" s="48"/>
      <c r="AA49" s="90">
        <v>0.5</v>
      </c>
      <c r="AB49" s="57">
        <f t="shared" ca="1" si="18"/>
        <v>200.99701190457142</v>
      </c>
      <c r="AC49" s="58">
        <f t="shared" ca="1" si="19"/>
        <v>0.47319094152362867</v>
      </c>
      <c r="AD49" s="48"/>
      <c r="AE49" s="48"/>
      <c r="AF49" s="48"/>
      <c r="AG49" s="48"/>
      <c r="AH49" s="48"/>
      <c r="AI49" s="49"/>
      <c r="AJ49" s="49"/>
      <c r="AK49" s="75"/>
      <c r="AL49" s="75"/>
      <c r="AM49" s="49"/>
      <c r="AN49" s="49"/>
      <c r="AO49" s="49"/>
      <c r="AP49" s="49"/>
      <c r="AQ49" s="49"/>
      <c r="AR49" s="49"/>
      <c r="AS49" s="49"/>
      <c r="AT49" s="49"/>
      <c r="AU49" s="49"/>
    </row>
    <row r="50" spans="2:47" x14ac:dyDescent="0.25">
      <c r="B50" s="42"/>
      <c r="C50" s="43"/>
      <c r="D50" s="43"/>
      <c r="F50" s="89" t="s">
        <v>56</v>
      </c>
      <c r="G50" s="73" t="e">
        <f ca="1">(K36-K38)/K36</f>
        <v>#DIV/0!</v>
      </c>
      <c r="H50" s="51" t="s">
        <v>58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4"/>
      <c r="V50" s="49"/>
      <c r="W50" s="48"/>
      <c r="X50" s="48"/>
      <c r="Y50" s="48"/>
      <c r="Z50" s="48"/>
      <c r="AA50" s="90">
        <v>0.6</v>
      </c>
      <c r="AB50" s="57">
        <f t="shared" ca="1" si="18"/>
        <v>201.0714142854857</v>
      </c>
      <c r="AC50" s="58">
        <f t="shared" ca="1" si="19"/>
        <v>0.44786819829824215</v>
      </c>
      <c r="AD50" s="48"/>
      <c r="AE50" s="48"/>
      <c r="AF50" s="48"/>
      <c r="AG50" s="48"/>
      <c r="AH50" s="48"/>
      <c r="AI50" s="49"/>
      <c r="AJ50" s="49"/>
      <c r="AK50" s="75"/>
      <c r="AL50" s="75"/>
      <c r="AM50" s="49"/>
      <c r="AN50" s="49"/>
      <c r="AO50" s="49"/>
      <c r="AP50" s="49"/>
      <c r="AQ50" s="49"/>
      <c r="AR50" s="49"/>
      <c r="AS50" s="49"/>
      <c r="AT50" s="49"/>
      <c r="AU50" s="49"/>
    </row>
    <row r="51" spans="2:47" x14ac:dyDescent="0.25">
      <c r="B51" s="42"/>
      <c r="C51" s="43"/>
      <c r="D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4"/>
      <c r="V51" s="49"/>
      <c r="W51" s="48"/>
      <c r="X51" s="48"/>
      <c r="Y51" s="48"/>
      <c r="Z51" s="48"/>
      <c r="AA51" s="90">
        <v>0.7</v>
      </c>
      <c r="AB51" s="57">
        <f t="shared" ca="1" si="18"/>
        <v>201.14581666639998</v>
      </c>
      <c r="AC51" s="58">
        <f t="shared" ca="1" si="19"/>
        <v>0.4196827165067441</v>
      </c>
      <c r="AD51" s="48"/>
      <c r="AE51" s="48"/>
      <c r="AF51" s="48"/>
      <c r="AG51" s="48"/>
      <c r="AH51" s="48"/>
      <c r="AI51" s="49"/>
      <c r="AJ51" s="49"/>
      <c r="AK51" s="75"/>
      <c r="AL51" s="75"/>
      <c r="AM51" s="49"/>
      <c r="AN51" s="49"/>
      <c r="AO51" s="49"/>
      <c r="AP51" s="49"/>
      <c r="AQ51" s="49"/>
      <c r="AR51" s="49"/>
      <c r="AS51" s="49"/>
      <c r="AT51" s="49"/>
      <c r="AU51" s="49"/>
    </row>
    <row r="52" spans="2:47" x14ac:dyDescent="0.25">
      <c r="B52" s="42"/>
      <c r="C52" s="43"/>
      <c r="D52" s="43"/>
      <c r="E52" s="43"/>
      <c r="F52" s="94" t="s">
        <v>68</v>
      </c>
      <c r="G52" s="95" t="e">
        <f ca="1">TRUNC(SQRT(K36/K38)*SQRT(2),0)</f>
        <v>#DIV/0!</v>
      </c>
      <c r="H52" s="51" t="s">
        <v>69</v>
      </c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4"/>
      <c r="V52" s="49"/>
      <c r="W52" s="48"/>
      <c r="X52" s="48"/>
      <c r="Y52" s="48"/>
      <c r="Z52" s="48"/>
      <c r="AA52" s="90">
        <v>0.8</v>
      </c>
      <c r="AB52" s="57">
        <f t="shared" ca="1" si="18"/>
        <v>201.22021904731429</v>
      </c>
      <c r="AC52" s="58">
        <f t="shared" ca="1" si="19"/>
        <v>0.3893579065637956</v>
      </c>
      <c r="AD52" s="48"/>
      <c r="AE52" s="48"/>
      <c r="AF52" s="48"/>
      <c r="AG52" s="48"/>
      <c r="AH52" s="48"/>
      <c r="AI52" s="49"/>
      <c r="AJ52" s="49"/>
      <c r="AK52" s="75"/>
      <c r="AL52" s="75"/>
      <c r="AM52" s="49"/>
      <c r="AN52" s="49"/>
      <c r="AO52" s="49"/>
      <c r="AP52" s="49"/>
      <c r="AQ52" s="49"/>
      <c r="AR52" s="49"/>
      <c r="AS52" s="49"/>
      <c r="AT52" s="49"/>
      <c r="AU52" s="49"/>
    </row>
    <row r="53" spans="2:47" x14ac:dyDescent="0.25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82"/>
      <c r="P53" s="43"/>
      <c r="Q53" s="43"/>
      <c r="R53" s="43"/>
      <c r="S53" s="43"/>
      <c r="T53" s="43"/>
      <c r="U53" s="44"/>
      <c r="V53" s="49"/>
      <c r="W53" s="48"/>
      <c r="X53" s="48"/>
      <c r="Y53" s="48"/>
      <c r="Z53" s="48"/>
      <c r="AA53" s="90">
        <v>0.9</v>
      </c>
      <c r="AB53" s="57">
        <f t="shared" ca="1" si="18"/>
        <v>201.29462142822857</v>
      </c>
      <c r="AC53" s="58">
        <f t="shared" ca="1" si="19"/>
        <v>0.35763002020768286</v>
      </c>
      <c r="AD53" s="48"/>
      <c r="AE53" s="48"/>
      <c r="AF53" s="48"/>
      <c r="AG53" s="48"/>
      <c r="AH53" s="48"/>
      <c r="AI53" s="49"/>
      <c r="AJ53" s="49"/>
      <c r="AK53" s="75"/>
      <c r="AL53" s="75"/>
      <c r="AM53" s="49"/>
      <c r="AN53" s="49"/>
      <c r="AO53" s="49"/>
      <c r="AP53" s="49"/>
      <c r="AQ53" s="49"/>
      <c r="AR53" s="49"/>
      <c r="AS53" s="49"/>
      <c r="AT53" s="49"/>
      <c r="AU53" s="49"/>
    </row>
    <row r="54" spans="2:47" ht="15.75" thickBot="1" x14ac:dyDescent="0.3">
      <c r="B54" s="64"/>
      <c r="C54" s="80"/>
      <c r="D54" s="65"/>
      <c r="E54" s="81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/>
      <c r="V54" s="49"/>
      <c r="W54" s="48"/>
      <c r="X54" s="48"/>
      <c r="Y54" s="48"/>
      <c r="Z54" s="48"/>
      <c r="AA54" s="90">
        <v>1</v>
      </c>
      <c r="AB54" s="57">
        <f t="shared" ca="1" si="18"/>
        <v>201.36902380914285</v>
      </c>
      <c r="AC54" s="58">
        <f t="shared" ca="1" si="19"/>
        <v>0.3252190609301957</v>
      </c>
      <c r="AD54" s="48"/>
      <c r="AE54" s="48"/>
      <c r="AF54" s="48"/>
      <c r="AG54" s="48"/>
      <c r="AH54" s="48"/>
      <c r="AI54" s="49"/>
      <c r="AJ54" s="49"/>
      <c r="AK54" s="75"/>
      <c r="AL54" s="75"/>
      <c r="AM54" s="49"/>
      <c r="AN54" s="49"/>
      <c r="AO54" s="49"/>
      <c r="AP54" s="49"/>
      <c r="AQ54" s="49"/>
      <c r="AR54" s="49"/>
      <c r="AS54" s="49"/>
      <c r="AT54" s="49"/>
      <c r="AU54" s="49"/>
    </row>
    <row r="55" spans="2:47" x14ac:dyDescent="0.25">
      <c r="B55" s="83" t="s">
        <v>62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P55" s="43"/>
      <c r="Q55" s="43"/>
      <c r="R55" s="43"/>
      <c r="S55" s="43"/>
      <c r="T55" s="43"/>
      <c r="U55" s="84" t="s">
        <v>61</v>
      </c>
      <c r="V55" s="51"/>
      <c r="W55" s="48"/>
      <c r="X55" s="48"/>
      <c r="Y55" s="48"/>
      <c r="Z55" s="48"/>
      <c r="AA55" s="90">
        <v>1.1000000000000001</v>
      </c>
      <c r="AB55" s="57">
        <f t="shared" ca="1" si="18"/>
        <v>201.44342619005712</v>
      </c>
      <c r="AC55" s="58">
        <f t="shared" ca="1" si="19"/>
        <v>0.2928026957679345</v>
      </c>
      <c r="AD55" s="48"/>
      <c r="AE55" s="48"/>
      <c r="AF55" s="48"/>
      <c r="AG55" s="48"/>
      <c r="AH55" s="48"/>
      <c r="AI55" s="49"/>
      <c r="AJ55" s="49"/>
      <c r="AK55" s="75"/>
      <c r="AL55" s="75"/>
      <c r="AM55" s="49"/>
      <c r="AN55" s="49"/>
      <c r="AO55" s="49"/>
      <c r="AP55" s="49"/>
      <c r="AQ55" s="49"/>
      <c r="AR55" s="49"/>
      <c r="AS55" s="49"/>
      <c r="AT55" s="49"/>
      <c r="AU55" s="49"/>
    </row>
    <row r="56" spans="2:47" x14ac:dyDescent="0.25">
      <c r="B56" s="49" t="s">
        <v>63</v>
      </c>
      <c r="C56" s="43"/>
      <c r="D56" s="43"/>
      <c r="E56" s="43"/>
      <c r="F56" s="43"/>
      <c r="G56" s="43"/>
      <c r="H56" s="43"/>
      <c r="I56" s="43"/>
      <c r="J56" s="51"/>
      <c r="K56" s="51"/>
      <c r="L56" s="51"/>
      <c r="M56" s="51"/>
      <c r="N56" s="51"/>
      <c r="O56" s="51"/>
      <c r="P56" s="51"/>
      <c r="Q56" s="43"/>
      <c r="R56" s="43"/>
      <c r="S56" s="43"/>
      <c r="T56" s="43"/>
      <c r="U56" s="77">
        <v>42795</v>
      </c>
      <c r="V56" s="51"/>
      <c r="W56" s="48"/>
      <c r="X56" s="48"/>
      <c r="Y56" s="48"/>
      <c r="Z56" s="48"/>
      <c r="AA56" s="90">
        <v>1.2</v>
      </c>
      <c r="AB56" s="57">
        <f t="shared" ca="1" si="18"/>
        <v>201.5178285709714</v>
      </c>
      <c r="AC56" s="58">
        <f t="shared" ca="1" si="19"/>
        <v>0.26099440985219141</v>
      </c>
      <c r="AD56" s="48"/>
      <c r="AE56" s="48"/>
      <c r="AF56" s="48"/>
      <c r="AG56" s="48"/>
      <c r="AH56" s="48"/>
      <c r="AI56" s="49"/>
      <c r="AJ56" s="49"/>
      <c r="AK56" s="75"/>
      <c r="AL56" s="75"/>
      <c r="AM56" s="49"/>
      <c r="AN56" s="49"/>
      <c r="AO56" s="49"/>
      <c r="AP56" s="49"/>
      <c r="AQ56" s="49"/>
      <c r="AR56" s="49"/>
      <c r="AS56" s="49"/>
      <c r="AT56" s="49"/>
      <c r="AU56" s="49"/>
    </row>
    <row r="57" spans="2:47" x14ac:dyDescent="0.25">
      <c r="C57" s="83"/>
      <c r="D57" s="83"/>
      <c r="E57" s="83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V57" s="51"/>
      <c r="W57" s="48"/>
      <c r="X57" s="48"/>
      <c r="Y57" s="48"/>
      <c r="Z57" s="48"/>
      <c r="AA57" s="90">
        <v>1.3</v>
      </c>
      <c r="AB57" s="57">
        <f t="shared" ca="1" si="18"/>
        <v>201.59223095188571</v>
      </c>
      <c r="AC57" s="58">
        <f t="shared" ca="1" si="19"/>
        <v>0.23032675828644447</v>
      </c>
      <c r="AD57" s="48"/>
      <c r="AE57" s="48"/>
      <c r="AF57" s="48"/>
      <c r="AG57" s="48"/>
      <c r="AH57" s="48"/>
      <c r="AI57" s="49"/>
      <c r="AJ57" s="49"/>
      <c r="AK57" s="75"/>
      <c r="AL57" s="75"/>
      <c r="AM57" s="49"/>
      <c r="AN57" s="49"/>
      <c r="AO57" s="49"/>
      <c r="AP57" s="49"/>
      <c r="AQ57" s="49"/>
      <c r="AR57" s="49"/>
      <c r="AS57" s="49"/>
      <c r="AT57" s="49"/>
      <c r="AU57" s="49"/>
    </row>
    <row r="58" spans="2:47" x14ac:dyDescent="0.25">
      <c r="C58" s="49"/>
      <c r="D58" s="49"/>
      <c r="E58" s="49"/>
      <c r="F58" s="49"/>
      <c r="G58" s="49"/>
      <c r="H58" s="49"/>
      <c r="I58" s="49"/>
      <c r="J58" s="49"/>
      <c r="K58" s="49"/>
      <c r="L58" s="51"/>
      <c r="M58" s="51"/>
      <c r="N58" s="51"/>
      <c r="O58" s="51"/>
      <c r="P58" s="49"/>
      <c r="Q58" s="49"/>
      <c r="R58" s="49"/>
      <c r="S58" s="49"/>
      <c r="T58" s="49"/>
      <c r="V58" s="49"/>
      <c r="W58" s="48"/>
      <c r="X58" s="48"/>
      <c r="Y58" s="48"/>
      <c r="Z58" s="48"/>
      <c r="AA58" s="90">
        <v>1.4</v>
      </c>
      <c r="AB58" s="57">
        <f t="shared" ca="1" si="18"/>
        <v>201.66663333279999</v>
      </c>
      <c r="AC58" s="58">
        <f t="shared" ca="1" si="19"/>
        <v>0.20124015360239214</v>
      </c>
      <c r="AD58" s="48"/>
      <c r="AE58" s="48"/>
      <c r="AF58" s="48"/>
      <c r="AG58" s="48"/>
      <c r="AH58" s="48"/>
      <c r="AI58" s="49"/>
      <c r="AJ58" s="49"/>
      <c r="AK58" s="75"/>
      <c r="AL58" s="75"/>
      <c r="AM58" s="49"/>
      <c r="AN58" s="49"/>
      <c r="AO58" s="49"/>
      <c r="AP58" s="49"/>
      <c r="AQ58" s="49"/>
      <c r="AR58" s="49"/>
      <c r="AS58" s="49"/>
      <c r="AT58" s="49"/>
      <c r="AU58" s="49"/>
    </row>
    <row r="59" spans="2:47" x14ac:dyDescent="0.25"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51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8"/>
      <c r="X59" s="48"/>
      <c r="Y59" s="48"/>
      <c r="Z59" s="48"/>
      <c r="AA59" s="90">
        <v>1.5</v>
      </c>
      <c r="AB59" s="57">
        <f t="shared" ca="1" si="18"/>
        <v>201.74103571371427</v>
      </c>
      <c r="AC59" s="58">
        <f t="shared" ca="1" si="19"/>
        <v>0.17407721913510091</v>
      </c>
      <c r="AD59" s="48"/>
      <c r="AE59" s="48"/>
      <c r="AF59" s="48"/>
      <c r="AG59" s="48"/>
      <c r="AH59" s="48"/>
      <c r="AI59" s="49"/>
      <c r="AJ59" s="49"/>
      <c r="AK59" s="75"/>
      <c r="AL59" s="75"/>
      <c r="AM59" s="49"/>
      <c r="AN59" s="49"/>
      <c r="AO59" s="49"/>
      <c r="AP59" s="49"/>
      <c r="AQ59" s="49"/>
      <c r="AR59" s="49"/>
      <c r="AS59" s="49"/>
      <c r="AT59" s="49"/>
      <c r="AU59" s="49"/>
    </row>
    <row r="60" spans="2:47" x14ac:dyDescent="0.25"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51"/>
      <c r="M60" s="51"/>
      <c r="N60" s="51"/>
      <c r="O60" s="51"/>
      <c r="P60" s="49"/>
      <c r="Q60" s="49"/>
      <c r="R60" s="49"/>
      <c r="S60" s="49"/>
      <c r="T60" s="49"/>
      <c r="U60" s="49"/>
      <c r="V60" s="49"/>
      <c r="W60" s="48"/>
      <c r="X60" s="48"/>
      <c r="Y60" s="48"/>
      <c r="Z60" s="48"/>
      <c r="AA60" s="90">
        <v>1.6</v>
      </c>
      <c r="AB60" s="57">
        <f t="shared" ca="1" si="18"/>
        <v>201.81543809462855</v>
      </c>
      <c r="AC60" s="58">
        <f t="shared" ca="1" si="19"/>
        <v>0.1490823725214431</v>
      </c>
      <c r="AD60" s="48"/>
      <c r="AE60" s="48"/>
      <c r="AF60" s="48"/>
      <c r="AG60" s="48"/>
      <c r="AH60" s="48"/>
      <c r="AI60" s="49"/>
      <c r="AJ60" s="49"/>
      <c r="AK60" s="75"/>
      <c r="AL60" s="75"/>
      <c r="AM60" s="49"/>
      <c r="AN60" s="49"/>
      <c r="AO60" s="49"/>
      <c r="AP60" s="49"/>
      <c r="AQ60" s="49"/>
      <c r="AR60" s="49"/>
      <c r="AS60" s="49"/>
      <c r="AT60" s="49"/>
      <c r="AU60" s="49"/>
    </row>
    <row r="61" spans="2:47" x14ac:dyDescent="0.25"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51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8"/>
      <c r="X61" s="48"/>
      <c r="Y61" s="48"/>
      <c r="Z61" s="48"/>
      <c r="AA61" s="90">
        <v>1.7</v>
      </c>
      <c r="AB61" s="57">
        <f t="shared" ca="1" si="18"/>
        <v>201.88984047554283</v>
      </c>
      <c r="AC61" s="58">
        <f t="shared" ca="1" si="19"/>
        <v>0.12640600505142266</v>
      </c>
      <c r="AD61" s="48"/>
      <c r="AE61" s="48"/>
      <c r="AF61" s="48"/>
      <c r="AG61" s="48"/>
      <c r="AH61" s="48"/>
      <c r="AI61" s="49"/>
      <c r="AJ61" s="49"/>
      <c r="AK61" s="75"/>
      <c r="AL61" s="75"/>
      <c r="AM61" s="49"/>
      <c r="AN61" s="49"/>
      <c r="AO61" s="49"/>
      <c r="AP61" s="49"/>
      <c r="AQ61" s="49"/>
      <c r="AR61" s="49"/>
      <c r="AS61" s="49"/>
      <c r="AT61" s="49"/>
      <c r="AU61" s="49"/>
    </row>
    <row r="62" spans="2:47" x14ac:dyDescent="0.25"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51"/>
      <c r="M62" s="51"/>
      <c r="N62" s="51"/>
      <c r="O62" s="51"/>
      <c r="P62" s="49"/>
      <c r="Q62" s="49"/>
      <c r="R62" s="49"/>
      <c r="S62" s="49"/>
      <c r="T62" s="49"/>
      <c r="U62" s="49"/>
      <c r="V62" s="49"/>
      <c r="W62" s="48"/>
      <c r="X62" s="48"/>
      <c r="Y62" s="48"/>
      <c r="Z62" s="48"/>
      <c r="AA62" s="90">
        <v>1.8</v>
      </c>
      <c r="AB62" s="57">
        <f t="shared" ca="1" si="18"/>
        <v>201.96424285645713</v>
      </c>
      <c r="AC62" s="58">
        <f t="shared" ca="1" si="19"/>
        <v>0.1061124084077989</v>
      </c>
      <c r="AD62" s="48"/>
      <c r="AE62" s="48"/>
      <c r="AF62" s="48"/>
      <c r="AG62" s="48"/>
      <c r="AH62" s="48"/>
      <c r="AI62" s="49"/>
      <c r="AJ62" s="49"/>
      <c r="AK62" s="75"/>
      <c r="AL62" s="75"/>
      <c r="AM62" s="49"/>
      <c r="AN62" s="49"/>
      <c r="AO62" s="49"/>
      <c r="AP62" s="49"/>
      <c r="AQ62" s="49"/>
      <c r="AR62" s="49"/>
      <c r="AS62" s="49"/>
      <c r="AT62" s="49"/>
      <c r="AU62" s="49"/>
    </row>
    <row r="63" spans="2:47" x14ac:dyDescent="0.25"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51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8"/>
      <c r="X63" s="48"/>
      <c r="Y63" s="48"/>
      <c r="Z63" s="48"/>
      <c r="AA63" s="90">
        <v>1.9</v>
      </c>
      <c r="AB63" s="57">
        <f t="shared" ca="1" si="18"/>
        <v>202.03864523737141</v>
      </c>
      <c r="AC63" s="58">
        <f t="shared" ca="1" si="19"/>
        <v>8.8190477197589143E-2</v>
      </c>
      <c r="AD63" s="48"/>
      <c r="AE63" s="48"/>
      <c r="AF63" s="48"/>
      <c r="AG63" s="48"/>
      <c r="AH63" s="48"/>
      <c r="AI63" s="49"/>
      <c r="AJ63" s="49"/>
      <c r="AK63" s="75"/>
      <c r="AL63" s="75"/>
      <c r="AM63" s="49"/>
      <c r="AN63" s="49"/>
      <c r="AO63" s="49"/>
      <c r="AP63" s="49"/>
      <c r="AQ63" s="49"/>
      <c r="AR63" s="49"/>
      <c r="AS63" s="49"/>
      <c r="AT63" s="49"/>
      <c r="AU63" s="49"/>
    </row>
    <row r="64" spans="2:47" x14ac:dyDescent="0.25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51"/>
      <c r="M64" s="51"/>
      <c r="N64" s="51"/>
      <c r="O64" s="51"/>
      <c r="P64" s="49"/>
      <c r="Q64" s="49"/>
      <c r="R64" s="49"/>
      <c r="S64" s="49"/>
      <c r="T64" s="49"/>
      <c r="U64" s="49"/>
      <c r="V64" s="49"/>
      <c r="W64" s="48"/>
      <c r="X64" s="48"/>
      <c r="Y64" s="48"/>
      <c r="Z64" s="48"/>
      <c r="AA64" s="90">
        <v>2</v>
      </c>
      <c r="AB64" s="57">
        <f t="shared" ca="1" si="18"/>
        <v>202.11304761828569</v>
      </c>
      <c r="AC64" s="58">
        <f t="shared" ca="1" si="19"/>
        <v>7.2566181148676398E-2</v>
      </c>
      <c r="AD64" s="48"/>
      <c r="AE64" s="48"/>
      <c r="AF64" s="48"/>
      <c r="AG64" s="48"/>
      <c r="AH64" s="48"/>
      <c r="AI64" s="49"/>
      <c r="AJ64" s="49"/>
      <c r="AK64" s="75"/>
      <c r="AL64" s="75"/>
      <c r="AM64" s="49"/>
      <c r="AN64" s="49"/>
      <c r="AO64" s="49"/>
      <c r="AP64" s="49"/>
      <c r="AQ64" s="49"/>
      <c r="AR64" s="49"/>
      <c r="AS64" s="49"/>
      <c r="AT64" s="49"/>
      <c r="AU64" s="49"/>
    </row>
    <row r="65" spans="2:47" x14ac:dyDescent="0.25"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51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8"/>
      <c r="X65" s="48"/>
      <c r="Y65" s="48"/>
      <c r="Z65" s="48"/>
      <c r="AA65" s="90">
        <v>2.1</v>
      </c>
      <c r="AB65" s="57">
        <f t="shared" ca="1" si="18"/>
        <v>202.18744999919997</v>
      </c>
      <c r="AC65" s="58">
        <f t="shared" ca="1" si="19"/>
        <v>5.9115844734994712E-2</v>
      </c>
      <c r="AD65" s="48"/>
      <c r="AE65" s="48"/>
      <c r="AF65" s="48"/>
      <c r="AG65" s="48"/>
      <c r="AH65" s="48"/>
      <c r="AI65" s="49"/>
      <c r="AJ65" s="49"/>
      <c r="AK65" s="75"/>
      <c r="AL65" s="75"/>
      <c r="AM65" s="49"/>
      <c r="AN65" s="49"/>
      <c r="AO65" s="49"/>
      <c r="AP65" s="49"/>
      <c r="AQ65" s="49"/>
      <c r="AR65" s="49"/>
      <c r="AS65" s="49"/>
      <c r="AT65" s="49"/>
      <c r="AU65" s="49"/>
    </row>
    <row r="66" spans="2:47" x14ac:dyDescent="0.25"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51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8"/>
      <c r="X66" s="48"/>
      <c r="Y66" s="48"/>
      <c r="Z66" s="48"/>
      <c r="AA66" s="90">
        <v>2.2000000000000002</v>
      </c>
      <c r="AB66" s="57">
        <f t="shared" ca="1" si="18"/>
        <v>202.26185238011425</v>
      </c>
      <c r="AC66" s="58">
        <f t="shared" ca="1" si="19"/>
        <v>4.7679378549862692E-2</v>
      </c>
      <c r="AD66" s="48"/>
      <c r="AE66" s="48"/>
      <c r="AF66" s="48"/>
      <c r="AG66" s="48"/>
      <c r="AH66" s="48"/>
      <c r="AI66" s="49"/>
      <c r="AJ66" s="49"/>
      <c r="AK66" s="75"/>
      <c r="AL66" s="75"/>
      <c r="AM66" s="49"/>
      <c r="AN66" s="49"/>
      <c r="AO66" s="49"/>
      <c r="AP66" s="49"/>
      <c r="AQ66" s="49"/>
      <c r="AR66" s="49"/>
      <c r="AS66" s="49"/>
      <c r="AT66" s="49"/>
      <c r="AU66" s="49"/>
    </row>
    <row r="67" spans="2:47" x14ac:dyDescent="0.25"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51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8"/>
      <c r="X67" s="48"/>
      <c r="Y67" s="48"/>
      <c r="Z67" s="48"/>
      <c r="AA67" s="90">
        <v>2.2999999999999998</v>
      </c>
      <c r="AB67" s="57">
        <f t="shared" ca="1" si="18"/>
        <v>202.33625476102856</v>
      </c>
      <c r="AC67" s="58">
        <f t="shared" ca="1" si="19"/>
        <v>3.8072757072430664E-2</v>
      </c>
      <c r="AD67" s="48"/>
      <c r="AE67" s="48"/>
      <c r="AF67" s="48"/>
      <c r="AG67" s="48"/>
      <c r="AH67" s="48"/>
      <c r="AI67" s="49"/>
      <c r="AJ67" s="49"/>
      <c r="AK67" s="75"/>
      <c r="AL67" s="75"/>
      <c r="AM67" s="49"/>
      <c r="AN67" s="49"/>
      <c r="AO67" s="49"/>
      <c r="AP67" s="49"/>
      <c r="AQ67" s="49"/>
      <c r="AR67" s="49"/>
      <c r="AS67" s="49"/>
      <c r="AT67" s="49"/>
      <c r="AU67" s="49"/>
    </row>
    <row r="68" spans="2:47" x14ac:dyDescent="0.25"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51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8"/>
      <c r="X68" s="48"/>
      <c r="Y68" s="48"/>
      <c r="Z68" s="48"/>
      <c r="AA68" s="90">
        <v>2.4</v>
      </c>
      <c r="AB68" s="57">
        <f t="shared" ca="1" si="18"/>
        <v>202.41065714194283</v>
      </c>
      <c r="AC68" s="58">
        <f t="shared" ca="1" si="19"/>
        <v>3.0099211906460487E-2</v>
      </c>
      <c r="AD68" s="48"/>
      <c r="AE68" s="48"/>
      <c r="AF68" s="48"/>
      <c r="AG68" s="48"/>
      <c r="AH68" s="48"/>
      <c r="AI68" s="49"/>
      <c r="AJ68" s="49"/>
      <c r="AK68" s="75"/>
      <c r="AL68" s="75"/>
      <c r="AM68" s="49"/>
      <c r="AN68" s="49"/>
      <c r="AO68" s="49"/>
      <c r="AP68" s="49"/>
      <c r="AQ68" s="49"/>
      <c r="AR68" s="49"/>
      <c r="AS68" s="49"/>
      <c r="AT68" s="49"/>
      <c r="AU68" s="49"/>
    </row>
    <row r="69" spans="2:47" x14ac:dyDescent="0.25"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51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8"/>
      <c r="X69" s="48"/>
      <c r="Y69" s="48"/>
      <c r="Z69" s="48"/>
      <c r="AA69" s="90">
        <v>2.5000000000000102</v>
      </c>
      <c r="AB69" s="57">
        <f t="shared" ca="1" si="18"/>
        <v>202.48505952285711</v>
      </c>
      <c r="AC69" s="58">
        <f t="shared" ca="1" si="19"/>
        <v>2.355878975669071E-2</v>
      </c>
      <c r="AD69" s="48"/>
      <c r="AE69" s="48"/>
      <c r="AF69" s="48"/>
      <c r="AG69" s="48"/>
      <c r="AH69" s="48"/>
      <c r="AI69" s="49"/>
      <c r="AJ69" s="49"/>
      <c r="AK69" s="75"/>
      <c r="AL69" s="75"/>
      <c r="AM69" s="49"/>
      <c r="AN69" s="49"/>
      <c r="AO69" s="49"/>
      <c r="AP69" s="49"/>
      <c r="AQ69" s="49"/>
      <c r="AR69" s="49"/>
      <c r="AS69" s="49"/>
      <c r="AT69" s="49"/>
      <c r="AU69" s="49"/>
    </row>
    <row r="70" spans="2:47" x14ac:dyDescent="0.25"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51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8"/>
      <c r="X70" s="48"/>
      <c r="Y70" s="48"/>
      <c r="Z70" s="48"/>
      <c r="AA70" s="90">
        <v>2.6</v>
      </c>
      <c r="AB70" s="57">
        <f t="shared" ca="1" si="18"/>
        <v>202.55946190377139</v>
      </c>
      <c r="AC70" s="58">
        <f t="shared" ca="1" si="19"/>
        <v>1.8256094854456503E-2</v>
      </c>
      <c r="AD70" s="48"/>
      <c r="AE70" s="48"/>
      <c r="AF70" s="48"/>
      <c r="AG70" s="48"/>
      <c r="AH70" s="48"/>
      <c r="AI70" s="49"/>
      <c r="AJ70" s="49"/>
      <c r="AK70" s="75"/>
      <c r="AL70" s="75"/>
      <c r="AM70" s="49"/>
      <c r="AN70" s="49"/>
      <c r="AO70" s="49"/>
      <c r="AP70" s="49"/>
      <c r="AQ70" s="49"/>
      <c r="AR70" s="49"/>
      <c r="AS70" s="49"/>
      <c r="AT70" s="49"/>
      <c r="AU70" s="49"/>
    </row>
    <row r="71" spans="2:47" x14ac:dyDescent="0.25"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8"/>
      <c r="X71" s="48"/>
      <c r="Y71" s="48"/>
      <c r="Z71" s="48"/>
      <c r="AA71" s="90">
        <v>2.7</v>
      </c>
      <c r="AB71" s="57">
        <f t="shared" ca="1" si="18"/>
        <v>202.63386428468567</v>
      </c>
      <c r="AC71" s="58">
        <f t="shared" ca="1" si="19"/>
        <v>1.4006184595662923E-2</v>
      </c>
      <c r="AD71" s="48"/>
      <c r="AE71" s="48"/>
      <c r="AF71" s="48"/>
      <c r="AG71" s="48"/>
      <c r="AH71" s="48"/>
      <c r="AI71" s="49"/>
      <c r="AJ71" s="49"/>
      <c r="AK71" s="75"/>
      <c r="AL71" s="75"/>
      <c r="AM71" s="49"/>
      <c r="AN71" s="49"/>
      <c r="AO71" s="49"/>
      <c r="AP71" s="49"/>
      <c r="AQ71" s="49"/>
      <c r="AR71" s="49"/>
      <c r="AS71" s="49"/>
      <c r="AT71" s="49"/>
      <c r="AU71" s="49"/>
    </row>
    <row r="72" spans="2:47" x14ac:dyDescent="0.25"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8"/>
      <c r="X72" s="48"/>
      <c r="Y72" s="48"/>
      <c r="Z72" s="48"/>
      <c r="AA72" s="90">
        <v>2.80000000000001</v>
      </c>
      <c r="AB72" s="57">
        <f t="shared" ca="1" si="18"/>
        <v>202.70826666559998</v>
      </c>
      <c r="AC72" s="58">
        <f t="shared" ca="1" si="19"/>
        <v>1.0638707371607631E-2</v>
      </c>
      <c r="AD72" s="48"/>
      <c r="AE72" s="48"/>
      <c r="AF72" s="48"/>
      <c r="AG72" s="48"/>
      <c r="AH72" s="48"/>
      <c r="AI72" s="49"/>
      <c r="AJ72" s="49"/>
      <c r="AK72" s="75"/>
      <c r="AL72" s="75"/>
      <c r="AM72" s="49"/>
      <c r="AN72" s="49"/>
      <c r="AO72" s="49"/>
      <c r="AP72" s="49"/>
      <c r="AQ72" s="49"/>
      <c r="AR72" s="49"/>
      <c r="AS72" s="49"/>
      <c r="AT72" s="49"/>
      <c r="AU72" s="49"/>
    </row>
    <row r="73" spans="2:47" x14ac:dyDescent="0.25"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8"/>
      <c r="X73" s="48"/>
      <c r="Y73" s="48"/>
      <c r="Z73" s="48"/>
      <c r="AA73" s="90">
        <v>2.9000000000000101</v>
      </c>
      <c r="AB73" s="57">
        <f t="shared" ca="1" si="18"/>
        <v>202.78266904651426</v>
      </c>
      <c r="AC73" s="58">
        <f t="shared" ca="1" si="19"/>
        <v>8.0004595909817979E-3</v>
      </c>
      <c r="AD73" s="48"/>
      <c r="AE73" s="48"/>
      <c r="AF73" s="48"/>
      <c r="AG73" s="48"/>
      <c r="AH73" s="48"/>
      <c r="AI73" s="49"/>
      <c r="AJ73" s="49"/>
      <c r="AK73" s="75"/>
      <c r="AL73" s="75"/>
      <c r="AM73" s="49"/>
      <c r="AN73" s="49"/>
      <c r="AO73" s="49"/>
      <c r="AP73" s="49"/>
      <c r="AQ73" s="49"/>
      <c r="AR73" s="49"/>
      <c r="AS73" s="49"/>
      <c r="AT73" s="49"/>
      <c r="AU73" s="49"/>
    </row>
    <row r="74" spans="2:47" x14ac:dyDescent="0.25"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8"/>
      <c r="X74" s="48"/>
      <c r="Y74" s="48"/>
      <c r="Z74" s="48"/>
      <c r="AA74" s="90">
        <v>3.0000000000000102</v>
      </c>
      <c r="AB74" s="57">
        <f t="shared" ca="1" si="18"/>
        <v>202.85707142742854</v>
      </c>
      <c r="AC74" s="58">
        <f t="shared" ca="1" si="19"/>
        <v>5.956594879730665E-3</v>
      </c>
      <c r="AD74" s="48"/>
      <c r="AE74" s="48"/>
      <c r="AF74" s="48"/>
      <c r="AG74" s="48"/>
      <c r="AH74" s="48"/>
      <c r="AI74" s="49"/>
      <c r="AJ74" s="49"/>
      <c r="AK74" s="75"/>
      <c r="AL74" s="75"/>
      <c r="AM74" s="49"/>
      <c r="AN74" s="49"/>
      <c r="AO74" s="49"/>
      <c r="AP74" s="49"/>
      <c r="AQ74" s="49"/>
      <c r="AR74" s="49"/>
      <c r="AS74" s="49"/>
      <c r="AT74" s="49"/>
      <c r="AU74" s="49"/>
    </row>
    <row r="75" spans="2:47" x14ac:dyDescent="0.25"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75"/>
      <c r="AL75" s="75"/>
      <c r="AM75" s="49"/>
      <c r="AN75" s="49"/>
      <c r="AO75" s="49"/>
      <c r="AP75" s="49"/>
      <c r="AQ75" s="49"/>
      <c r="AR75" s="49"/>
      <c r="AS75" s="49"/>
      <c r="AT75" s="49"/>
      <c r="AU75" s="49"/>
    </row>
    <row r="76" spans="2:47" x14ac:dyDescent="0.25"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75"/>
      <c r="AL76" s="75"/>
      <c r="AM76" s="49"/>
      <c r="AN76" s="49"/>
      <c r="AO76" s="49"/>
      <c r="AP76" s="49"/>
      <c r="AQ76" s="49"/>
      <c r="AR76" s="49"/>
      <c r="AS76" s="49"/>
      <c r="AT76" s="49"/>
      <c r="AU76" s="49"/>
    </row>
    <row r="77" spans="2:47" x14ac:dyDescent="0.25"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75"/>
      <c r="AL77" s="75"/>
      <c r="AM77" s="49"/>
      <c r="AN77" s="49"/>
      <c r="AO77" s="49"/>
      <c r="AP77" s="49"/>
      <c r="AQ77" s="49"/>
      <c r="AR77" s="49"/>
      <c r="AS77" s="49"/>
      <c r="AT77" s="49"/>
      <c r="AU77" s="49"/>
    </row>
    <row r="78" spans="2:47" x14ac:dyDescent="0.25"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75"/>
      <c r="AL78" s="75"/>
      <c r="AM78" s="49"/>
      <c r="AN78" s="49"/>
      <c r="AO78" s="49"/>
      <c r="AP78" s="49"/>
      <c r="AQ78" s="49"/>
      <c r="AR78" s="49"/>
      <c r="AS78" s="49"/>
      <c r="AT78" s="49"/>
      <c r="AU78" s="49"/>
    </row>
    <row r="79" spans="2:47" x14ac:dyDescent="0.25"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8"/>
      <c r="X79" s="48"/>
      <c r="Y79" s="48"/>
      <c r="Z79" s="48"/>
      <c r="AA79" s="56"/>
      <c r="AB79" s="56"/>
      <c r="AC79" s="56"/>
      <c r="AD79" s="48"/>
      <c r="AE79" s="48"/>
      <c r="AF79" s="48"/>
      <c r="AG79" s="48"/>
      <c r="AH79" s="48"/>
      <c r="AI79" s="49"/>
      <c r="AJ79" s="49"/>
      <c r="AK79" s="75"/>
      <c r="AL79" s="75"/>
      <c r="AM79" s="49"/>
      <c r="AN79" s="49"/>
      <c r="AO79" s="49"/>
      <c r="AP79" s="49"/>
      <c r="AQ79" s="49"/>
      <c r="AR79" s="49"/>
      <c r="AS79" s="49"/>
      <c r="AT79" s="49"/>
      <c r="AU79" s="49"/>
    </row>
    <row r="80" spans="2:47" x14ac:dyDescent="0.25"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8"/>
      <c r="X80" s="48"/>
      <c r="Y80" s="48"/>
      <c r="Z80" s="48"/>
      <c r="AA80" s="56"/>
      <c r="AB80" s="56"/>
      <c r="AC80" s="56"/>
      <c r="AD80" s="48"/>
      <c r="AE80" s="48"/>
      <c r="AF80" s="48"/>
      <c r="AG80" s="48"/>
      <c r="AH80" s="48"/>
      <c r="AI80" s="49"/>
      <c r="AJ80" s="49"/>
      <c r="AK80" s="75"/>
      <c r="AL80" s="75"/>
      <c r="AM80" s="49"/>
      <c r="AN80" s="49"/>
      <c r="AO80" s="49"/>
      <c r="AP80" s="49"/>
      <c r="AQ80" s="49"/>
      <c r="AR80" s="49"/>
      <c r="AS80" s="49"/>
      <c r="AT80" s="49"/>
      <c r="AU80" s="49"/>
    </row>
    <row r="81" spans="2:47" x14ac:dyDescent="0.25"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8"/>
      <c r="X81" s="48"/>
      <c r="Y81" s="48"/>
      <c r="Z81" s="48"/>
      <c r="AA81" s="56"/>
      <c r="AB81" s="56"/>
      <c r="AC81" s="56"/>
      <c r="AD81" s="48"/>
      <c r="AE81" s="48"/>
      <c r="AF81" s="48"/>
      <c r="AG81" s="48"/>
      <c r="AH81" s="48"/>
      <c r="AI81" s="49"/>
      <c r="AJ81" s="49"/>
      <c r="AK81" s="75"/>
      <c r="AL81" s="75"/>
      <c r="AM81" s="49"/>
      <c r="AN81" s="49"/>
      <c r="AO81" s="49"/>
      <c r="AP81" s="49"/>
      <c r="AQ81" s="49"/>
      <c r="AR81" s="49"/>
      <c r="AS81" s="49"/>
      <c r="AT81" s="49"/>
      <c r="AU81" s="49"/>
    </row>
    <row r="82" spans="2:47" x14ac:dyDescent="0.25"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8"/>
      <c r="X82" s="48"/>
      <c r="Y82" s="48"/>
      <c r="Z82" s="48"/>
      <c r="AA82" s="56"/>
      <c r="AB82" s="56"/>
      <c r="AC82" s="56"/>
      <c r="AD82" s="48"/>
      <c r="AE82" s="48"/>
      <c r="AF82" s="48"/>
      <c r="AG82" s="48"/>
      <c r="AH82" s="48"/>
      <c r="AI82" s="49"/>
      <c r="AJ82" s="49"/>
      <c r="AK82" s="75"/>
      <c r="AL82" s="75"/>
      <c r="AM82" s="49"/>
      <c r="AN82" s="49"/>
      <c r="AO82" s="49"/>
      <c r="AP82" s="49"/>
      <c r="AQ82" s="49"/>
      <c r="AR82" s="49"/>
      <c r="AS82" s="49"/>
      <c r="AT82" s="49"/>
      <c r="AU82" s="49"/>
    </row>
    <row r="83" spans="2:47" x14ac:dyDescent="0.25"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8"/>
      <c r="X83" s="48"/>
      <c r="Y83" s="48"/>
      <c r="Z83" s="48"/>
      <c r="AA83" s="56"/>
      <c r="AB83" s="56"/>
      <c r="AC83" s="56"/>
      <c r="AD83" s="48"/>
      <c r="AE83" s="48"/>
      <c r="AF83" s="48"/>
      <c r="AG83" s="48"/>
      <c r="AH83" s="48"/>
      <c r="AI83" s="49"/>
      <c r="AJ83" s="49"/>
      <c r="AK83" s="75"/>
      <c r="AL83" s="75"/>
      <c r="AM83" s="49"/>
      <c r="AN83" s="49"/>
      <c r="AO83" s="49"/>
      <c r="AP83" s="49"/>
      <c r="AQ83" s="49"/>
      <c r="AR83" s="49"/>
      <c r="AS83" s="49"/>
      <c r="AT83" s="49"/>
      <c r="AU83" s="49"/>
    </row>
    <row r="84" spans="2:47" x14ac:dyDescent="0.25"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8"/>
      <c r="X84" s="48"/>
      <c r="Y84" s="48"/>
      <c r="Z84" s="48"/>
      <c r="AA84" s="56"/>
      <c r="AB84" s="56"/>
      <c r="AC84" s="56"/>
      <c r="AD84" s="48"/>
      <c r="AE84" s="48"/>
      <c r="AF84" s="48"/>
      <c r="AG84" s="48"/>
      <c r="AH84" s="48"/>
      <c r="AI84" s="49"/>
      <c r="AJ84" s="49"/>
      <c r="AK84" s="75"/>
      <c r="AL84" s="75"/>
      <c r="AM84" s="49"/>
      <c r="AN84" s="49"/>
      <c r="AO84" s="49"/>
      <c r="AP84" s="49"/>
      <c r="AQ84" s="49"/>
      <c r="AR84" s="49"/>
      <c r="AS84" s="49"/>
      <c r="AT84" s="49"/>
      <c r="AU84" s="49"/>
    </row>
    <row r="85" spans="2:47" x14ac:dyDescent="0.25"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8"/>
      <c r="X85" s="48"/>
      <c r="Y85" s="48"/>
      <c r="Z85" s="48"/>
      <c r="AA85" s="56"/>
      <c r="AB85" s="56"/>
      <c r="AC85" s="56"/>
      <c r="AD85" s="48"/>
      <c r="AE85" s="48"/>
      <c r="AF85" s="48"/>
      <c r="AG85" s="48"/>
      <c r="AH85" s="48"/>
      <c r="AI85" s="49"/>
      <c r="AJ85" s="49"/>
      <c r="AK85" s="75"/>
      <c r="AL85" s="75"/>
      <c r="AM85" s="49"/>
      <c r="AN85" s="49"/>
      <c r="AO85" s="49"/>
      <c r="AP85" s="49"/>
      <c r="AQ85" s="49"/>
      <c r="AR85" s="49"/>
      <c r="AS85" s="49"/>
      <c r="AT85" s="49"/>
      <c r="AU85" s="49"/>
    </row>
    <row r="86" spans="2:47" x14ac:dyDescent="0.25"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8"/>
      <c r="X86" s="48"/>
      <c r="Y86" s="48"/>
      <c r="Z86" s="48"/>
      <c r="AA86" s="56"/>
      <c r="AB86" s="56"/>
      <c r="AC86" s="56"/>
      <c r="AD86" s="48"/>
      <c r="AE86" s="48"/>
      <c r="AF86" s="48"/>
      <c r="AG86" s="48"/>
      <c r="AH86" s="48"/>
      <c r="AI86" s="49"/>
      <c r="AJ86" s="49"/>
      <c r="AK86" s="75"/>
      <c r="AL86" s="75"/>
      <c r="AM86" s="49"/>
      <c r="AN86" s="49"/>
      <c r="AO86" s="49"/>
      <c r="AP86" s="49"/>
      <c r="AQ86" s="49"/>
      <c r="AR86" s="49"/>
      <c r="AS86" s="49"/>
      <c r="AT86" s="49"/>
      <c r="AU86" s="49"/>
    </row>
    <row r="87" spans="2:47" x14ac:dyDescent="0.25"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8"/>
      <c r="X87" s="48"/>
      <c r="Y87" s="48"/>
      <c r="Z87" s="48"/>
      <c r="AA87" s="56"/>
      <c r="AB87" s="56"/>
      <c r="AC87" s="56"/>
      <c r="AD87" s="48"/>
      <c r="AE87" s="48"/>
      <c r="AF87" s="48"/>
      <c r="AG87" s="48"/>
      <c r="AH87" s="48"/>
      <c r="AI87" s="49"/>
      <c r="AJ87" s="49"/>
      <c r="AK87" s="75"/>
      <c r="AL87" s="75"/>
      <c r="AM87" s="49"/>
      <c r="AN87" s="49"/>
      <c r="AO87" s="49"/>
      <c r="AP87" s="49"/>
      <c r="AQ87" s="49"/>
      <c r="AR87" s="49"/>
      <c r="AS87" s="49"/>
      <c r="AT87" s="49"/>
      <c r="AU87" s="49"/>
    </row>
    <row r="88" spans="2:47" x14ac:dyDescent="0.25"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8"/>
      <c r="X88" s="48"/>
      <c r="Y88" s="48"/>
      <c r="Z88" s="48"/>
      <c r="AA88" s="56"/>
      <c r="AB88" s="56"/>
      <c r="AC88" s="56"/>
      <c r="AD88" s="48"/>
      <c r="AE88" s="48"/>
      <c r="AF88" s="48"/>
      <c r="AG88" s="48"/>
      <c r="AH88" s="48"/>
      <c r="AI88" s="49"/>
      <c r="AJ88" s="49"/>
      <c r="AK88" s="75"/>
      <c r="AL88" s="75"/>
      <c r="AM88" s="49"/>
      <c r="AN88" s="49"/>
      <c r="AO88" s="49"/>
      <c r="AP88" s="49"/>
      <c r="AQ88" s="49"/>
      <c r="AR88" s="49"/>
      <c r="AS88" s="49"/>
      <c r="AT88" s="49"/>
      <c r="AU88" s="49"/>
    </row>
    <row r="89" spans="2:47" x14ac:dyDescent="0.25"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8"/>
      <c r="X89" s="48"/>
      <c r="Y89" s="48"/>
      <c r="Z89" s="48"/>
      <c r="AA89" s="56"/>
      <c r="AB89" s="56"/>
      <c r="AC89" s="56"/>
      <c r="AD89" s="48"/>
      <c r="AE89" s="48"/>
      <c r="AF89" s="48"/>
      <c r="AG89" s="48"/>
      <c r="AH89" s="48"/>
      <c r="AI89" s="49"/>
      <c r="AJ89" s="49"/>
      <c r="AK89" s="75"/>
      <c r="AL89" s="75"/>
      <c r="AM89" s="49"/>
      <c r="AN89" s="49"/>
      <c r="AO89" s="49"/>
      <c r="AP89" s="49"/>
      <c r="AQ89" s="49"/>
      <c r="AR89" s="49"/>
      <c r="AS89" s="49"/>
      <c r="AT89" s="49"/>
      <c r="AU89" s="49"/>
    </row>
    <row r="90" spans="2:47" x14ac:dyDescent="0.25">
      <c r="B90" s="74"/>
      <c r="C90" s="74"/>
      <c r="D90" s="74"/>
      <c r="E90" s="74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V90" s="49"/>
      <c r="W90" s="48"/>
      <c r="X90" s="48"/>
      <c r="Y90" s="48"/>
      <c r="Z90" s="48"/>
      <c r="AA90" s="56"/>
      <c r="AB90" s="56"/>
      <c r="AC90" s="56"/>
      <c r="AD90" s="48"/>
      <c r="AE90" s="48"/>
      <c r="AF90" s="48"/>
      <c r="AG90" s="48"/>
      <c r="AH90" s="48"/>
      <c r="AI90" s="49"/>
      <c r="AJ90" s="49"/>
      <c r="AK90" s="75"/>
      <c r="AL90" s="75"/>
      <c r="AM90" s="49"/>
      <c r="AN90" s="49"/>
      <c r="AO90" s="49"/>
      <c r="AP90" s="49"/>
      <c r="AQ90" s="49"/>
      <c r="AR90" s="49"/>
      <c r="AS90" s="49"/>
      <c r="AT90" s="49"/>
      <c r="AU90" s="49"/>
    </row>
    <row r="91" spans="2:47" x14ac:dyDescent="0.25">
      <c r="B91" s="74"/>
      <c r="C91" s="74"/>
      <c r="D91" s="74"/>
      <c r="E91" s="74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V91" s="49"/>
      <c r="W91" s="48"/>
      <c r="X91" s="48"/>
      <c r="Y91" s="48"/>
      <c r="Z91" s="48"/>
      <c r="AA91" s="56"/>
      <c r="AB91" s="56"/>
      <c r="AC91" s="56"/>
      <c r="AD91" s="48"/>
      <c r="AE91" s="48"/>
      <c r="AF91" s="48"/>
      <c r="AG91" s="48"/>
      <c r="AH91" s="48"/>
      <c r="AI91" s="49"/>
      <c r="AJ91" s="49"/>
      <c r="AK91" s="75"/>
      <c r="AL91" s="75"/>
      <c r="AM91" s="49"/>
      <c r="AN91" s="49"/>
      <c r="AO91" s="49"/>
      <c r="AP91" s="49"/>
      <c r="AQ91" s="49"/>
      <c r="AR91" s="49"/>
      <c r="AS91" s="49"/>
      <c r="AT91" s="49"/>
      <c r="AU91" s="49"/>
    </row>
    <row r="92" spans="2:47" x14ac:dyDescent="0.25">
      <c r="B92" s="74"/>
      <c r="C92" s="74"/>
      <c r="D92" s="74"/>
      <c r="E92" s="74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V92" s="49"/>
      <c r="W92" s="48"/>
      <c r="X92" s="48"/>
      <c r="Y92" s="48"/>
      <c r="Z92" s="48"/>
      <c r="AA92" s="56"/>
      <c r="AB92" s="56"/>
      <c r="AC92" s="56"/>
      <c r="AD92" s="48"/>
      <c r="AE92" s="48"/>
      <c r="AF92" s="48"/>
      <c r="AG92" s="48"/>
      <c r="AH92" s="48"/>
      <c r="AI92" s="49"/>
      <c r="AJ92" s="49"/>
      <c r="AK92" s="75"/>
      <c r="AL92" s="75"/>
      <c r="AM92" s="49"/>
      <c r="AN92" s="49"/>
      <c r="AO92" s="49"/>
      <c r="AP92" s="49"/>
      <c r="AQ92" s="49"/>
      <c r="AR92" s="49"/>
      <c r="AS92" s="49"/>
      <c r="AT92" s="49"/>
      <c r="AU92" s="49"/>
    </row>
    <row r="93" spans="2:47" x14ac:dyDescent="0.25">
      <c r="B93" s="74"/>
      <c r="C93" s="74"/>
      <c r="D93" s="74"/>
      <c r="E93" s="74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V93" s="49"/>
      <c r="W93" s="48"/>
      <c r="X93" s="48"/>
      <c r="Y93" s="48"/>
      <c r="Z93" s="48"/>
      <c r="AA93" s="56"/>
      <c r="AB93" s="56"/>
      <c r="AC93" s="56"/>
      <c r="AD93" s="48"/>
      <c r="AE93" s="48"/>
      <c r="AF93" s="48"/>
      <c r="AG93" s="48"/>
      <c r="AH93" s="48"/>
      <c r="AI93" s="49"/>
      <c r="AJ93" s="49"/>
      <c r="AK93" s="75"/>
      <c r="AL93" s="75"/>
      <c r="AM93" s="49"/>
      <c r="AN93" s="49"/>
      <c r="AO93" s="49"/>
      <c r="AP93" s="49"/>
      <c r="AQ93" s="49"/>
      <c r="AR93" s="49"/>
      <c r="AS93" s="49"/>
      <c r="AT93" s="49"/>
      <c r="AU93" s="49"/>
    </row>
    <row r="94" spans="2:47" x14ac:dyDescent="0.25">
      <c r="B94" s="74"/>
      <c r="C94" s="74"/>
      <c r="D94" s="74"/>
      <c r="E94" s="74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V94" s="49"/>
      <c r="W94" s="48"/>
      <c r="X94" s="48"/>
      <c r="Y94" s="48"/>
      <c r="Z94" s="48"/>
      <c r="AA94" s="56"/>
      <c r="AB94" s="56"/>
      <c r="AC94" s="56"/>
      <c r="AD94" s="48"/>
      <c r="AE94" s="48"/>
      <c r="AF94" s="48"/>
      <c r="AG94" s="48"/>
      <c r="AH94" s="48"/>
      <c r="AI94" s="49"/>
      <c r="AJ94" s="49"/>
      <c r="AK94" s="75"/>
      <c r="AL94" s="75"/>
      <c r="AM94" s="49"/>
      <c r="AN94" s="49"/>
      <c r="AO94" s="49"/>
      <c r="AP94" s="49"/>
      <c r="AQ94" s="49"/>
      <c r="AR94" s="49"/>
      <c r="AS94" s="49"/>
      <c r="AT94" s="49"/>
      <c r="AU94" s="49"/>
    </row>
    <row r="95" spans="2:47" x14ac:dyDescent="0.25">
      <c r="B95" s="74"/>
      <c r="C95" s="74"/>
      <c r="D95" s="74"/>
      <c r="E95" s="74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V95" s="49"/>
      <c r="W95" s="48"/>
      <c r="X95" s="48"/>
      <c r="Y95" s="48"/>
      <c r="Z95" s="48"/>
      <c r="AA95" s="56"/>
      <c r="AB95" s="56"/>
      <c r="AC95" s="56"/>
      <c r="AD95" s="48"/>
      <c r="AE95" s="48"/>
      <c r="AF95" s="48"/>
      <c r="AG95" s="48"/>
      <c r="AH95" s="48"/>
      <c r="AI95" s="49"/>
      <c r="AJ95" s="49"/>
      <c r="AK95" s="75"/>
      <c r="AL95" s="75"/>
      <c r="AM95" s="49"/>
      <c r="AN95" s="49"/>
      <c r="AO95" s="49"/>
      <c r="AP95" s="49"/>
      <c r="AQ95" s="49"/>
      <c r="AR95" s="49"/>
      <c r="AS95" s="49"/>
      <c r="AT95" s="49"/>
      <c r="AU95" s="49"/>
    </row>
    <row r="96" spans="2:47" x14ac:dyDescent="0.25">
      <c r="B96" s="74"/>
      <c r="C96" s="74"/>
      <c r="D96" s="74"/>
      <c r="E96" s="74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V96" s="49"/>
      <c r="W96" s="48"/>
      <c r="X96" s="48"/>
      <c r="Y96" s="48"/>
      <c r="Z96" s="48"/>
      <c r="AA96" s="56"/>
      <c r="AB96" s="56"/>
      <c r="AC96" s="56"/>
      <c r="AD96" s="48"/>
      <c r="AE96" s="48"/>
      <c r="AF96" s="48"/>
      <c r="AG96" s="48"/>
      <c r="AH96" s="48"/>
      <c r="AI96" s="49"/>
      <c r="AJ96" s="49"/>
      <c r="AK96" s="75"/>
      <c r="AL96" s="75"/>
      <c r="AM96" s="49"/>
      <c r="AN96" s="49"/>
      <c r="AO96" s="49"/>
      <c r="AP96" s="49"/>
      <c r="AQ96" s="49"/>
      <c r="AR96" s="49"/>
      <c r="AS96" s="49"/>
      <c r="AT96" s="49"/>
      <c r="AU96" s="49"/>
    </row>
    <row r="97" spans="2:47" x14ac:dyDescent="0.25">
      <c r="B97" s="74"/>
      <c r="C97" s="74"/>
      <c r="D97" s="74"/>
      <c r="E97" s="74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V97" s="49"/>
      <c r="W97" s="48"/>
      <c r="X97" s="48"/>
      <c r="Y97" s="48"/>
      <c r="Z97" s="48"/>
      <c r="AA97" s="56"/>
      <c r="AB97" s="56"/>
      <c r="AC97" s="56"/>
      <c r="AD97" s="48"/>
      <c r="AE97" s="48"/>
      <c r="AF97" s="48"/>
      <c r="AG97" s="48"/>
      <c r="AH97" s="48"/>
      <c r="AI97" s="49"/>
      <c r="AJ97" s="49"/>
      <c r="AK97" s="75"/>
      <c r="AL97" s="75"/>
      <c r="AM97" s="49"/>
      <c r="AN97" s="49"/>
      <c r="AO97" s="49"/>
      <c r="AP97" s="49"/>
      <c r="AQ97" s="49"/>
      <c r="AR97" s="49"/>
      <c r="AS97" s="49"/>
      <c r="AT97" s="49"/>
      <c r="AU97" s="49"/>
    </row>
    <row r="98" spans="2:47" x14ac:dyDescent="0.25">
      <c r="B98" s="74"/>
      <c r="C98" s="74"/>
      <c r="D98" s="74"/>
      <c r="E98" s="74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V98" s="49"/>
      <c r="W98" s="48"/>
      <c r="X98" s="48"/>
      <c r="Y98" s="48"/>
      <c r="Z98" s="48"/>
      <c r="AA98" s="56"/>
      <c r="AB98" s="56"/>
      <c r="AC98" s="56"/>
      <c r="AD98" s="48"/>
      <c r="AE98" s="48"/>
      <c r="AF98" s="48"/>
      <c r="AG98" s="48"/>
      <c r="AH98" s="48"/>
      <c r="AI98" s="49"/>
      <c r="AJ98" s="49"/>
      <c r="AK98" s="75"/>
      <c r="AL98" s="75"/>
      <c r="AM98" s="49"/>
      <c r="AN98" s="49"/>
      <c r="AO98" s="49"/>
      <c r="AP98" s="49"/>
      <c r="AQ98" s="49"/>
      <c r="AR98" s="49"/>
      <c r="AS98" s="49"/>
      <c r="AT98" s="49"/>
      <c r="AU98" s="49"/>
    </row>
    <row r="99" spans="2:47" x14ac:dyDescent="0.25">
      <c r="B99" s="74"/>
      <c r="C99" s="74"/>
      <c r="D99" s="74"/>
      <c r="E99" s="74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V99" s="49"/>
      <c r="W99" s="48"/>
      <c r="X99" s="48"/>
      <c r="Y99" s="48"/>
      <c r="Z99" s="48"/>
      <c r="AA99" s="56"/>
      <c r="AB99" s="56"/>
      <c r="AC99" s="56"/>
      <c r="AD99" s="48"/>
      <c r="AE99" s="48"/>
      <c r="AF99" s="48"/>
      <c r="AG99" s="48"/>
      <c r="AH99" s="48"/>
      <c r="AI99" s="49"/>
      <c r="AJ99" s="49"/>
      <c r="AK99" s="75"/>
      <c r="AL99" s="75"/>
      <c r="AM99" s="49"/>
      <c r="AN99" s="49"/>
      <c r="AO99" s="49"/>
      <c r="AP99" s="49"/>
      <c r="AQ99" s="49"/>
      <c r="AR99" s="49"/>
      <c r="AS99" s="49"/>
      <c r="AT99" s="49"/>
      <c r="AU99" s="49"/>
    </row>
    <row r="100" spans="2:47" x14ac:dyDescent="0.25">
      <c r="B100" s="74"/>
      <c r="C100" s="74"/>
      <c r="D100" s="74"/>
      <c r="E100" s="74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V100" s="49"/>
      <c r="W100" s="48"/>
      <c r="X100" s="48"/>
      <c r="Y100" s="48"/>
      <c r="Z100" s="48"/>
      <c r="AA100" s="56"/>
      <c r="AB100" s="56"/>
      <c r="AC100" s="56"/>
      <c r="AD100" s="48"/>
      <c r="AE100" s="48"/>
      <c r="AF100" s="48"/>
      <c r="AG100" s="48"/>
      <c r="AH100" s="48"/>
      <c r="AI100" s="49"/>
      <c r="AJ100" s="49"/>
      <c r="AK100" s="75"/>
      <c r="AL100" s="75"/>
      <c r="AM100" s="49"/>
      <c r="AN100" s="49"/>
      <c r="AO100" s="49"/>
      <c r="AP100" s="49"/>
      <c r="AQ100" s="49"/>
      <c r="AR100" s="49"/>
      <c r="AS100" s="49"/>
      <c r="AT100" s="49"/>
      <c r="AU100" s="49"/>
    </row>
    <row r="101" spans="2:47" x14ac:dyDescent="0.25">
      <c r="B101" s="74"/>
      <c r="C101" s="74"/>
      <c r="D101" s="74"/>
      <c r="E101" s="74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V101" s="49"/>
      <c r="W101" s="48"/>
      <c r="X101" s="48"/>
      <c r="Y101" s="48"/>
      <c r="Z101" s="48"/>
      <c r="AA101" s="56"/>
      <c r="AB101" s="56"/>
      <c r="AC101" s="56"/>
      <c r="AD101" s="48"/>
      <c r="AE101" s="48"/>
      <c r="AF101" s="48"/>
      <c r="AG101" s="48"/>
      <c r="AH101" s="48"/>
      <c r="AI101" s="49"/>
      <c r="AJ101" s="49"/>
      <c r="AK101" s="75"/>
      <c r="AL101" s="75"/>
      <c r="AM101" s="49"/>
      <c r="AN101" s="49"/>
      <c r="AO101" s="49"/>
      <c r="AP101" s="49"/>
      <c r="AQ101" s="49"/>
      <c r="AR101" s="49"/>
      <c r="AS101" s="49"/>
      <c r="AT101" s="49"/>
      <c r="AU101" s="49"/>
    </row>
    <row r="102" spans="2:47" x14ac:dyDescent="0.25">
      <c r="B102" s="74"/>
      <c r="C102" s="74"/>
      <c r="D102" s="74"/>
      <c r="E102" s="74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V102" s="49"/>
      <c r="W102" s="48"/>
      <c r="X102" s="48"/>
      <c r="Y102" s="48"/>
      <c r="Z102" s="48"/>
      <c r="AA102" s="56"/>
      <c r="AB102" s="56"/>
      <c r="AC102" s="56"/>
      <c r="AD102" s="48"/>
      <c r="AE102" s="48"/>
      <c r="AF102" s="48"/>
      <c r="AG102" s="48"/>
      <c r="AH102" s="48"/>
      <c r="AI102" s="49"/>
      <c r="AJ102" s="49"/>
      <c r="AK102" s="75"/>
      <c r="AL102" s="75"/>
      <c r="AM102" s="49"/>
      <c r="AN102" s="49"/>
      <c r="AO102" s="49"/>
      <c r="AP102" s="49"/>
      <c r="AQ102" s="49"/>
      <c r="AR102" s="49"/>
      <c r="AS102" s="49"/>
      <c r="AT102" s="49"/>
      <c r="AU102" s="49"/>
    </row>
    <row r="103" spans="2:47" x14ac:dyDescent="0.25">
      <c r="B103" s="74"/>
      <c r="C103" s="74"/>
      <c r="D103" s="74"/>
      <c r="E103" s="74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V103" s="49"/>
      <c r="W103" s="48"/>
      <c r="X103" s="48"/>
      <c r="Y103" s="48"/>
      <c r="Z103" s="48"/>
      <c r="AA103" s="56"/>
      <c r="AB103" s="56"/>
      <c r="AC103" s="56"/>
      <c r="AD103" s="48"/>
      <c r="AE103" s="48"/>
      <c r="AF103" s="48"/>
      <c r="AG103" s="48"/>
      <c r="AH103" s="48"/>
      <c r="AI103" s="49"/>
      <c r="AJ103" s="49"/>
      <c r="AK103" s="75"/>
      <c r="AL103" s="75"/>
      <c r="AM103" s="49"/>
      <c r="AN103" s="49"/>
      <c r="AO103" s="49"/>
      <c r="AP103" s="49"/>
      <c r="AQ103" s="49"/>
      <c r="AR103" s="49"/>
      <c r="AS103" s="49"/>
      <c r="AT103" s="49"/>
      <c r="AU103" s="49"/>
    </row>
    <row r="104" spans="2:47" x14ac:dyDescent="0.25">
      <c r="B104" s="74"/>
      <c r="C104" s="74"/>
      <c r="D104" s="74"/>
      <c r="E104" s="7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V104" s="49"/>
      <c r="W104" s="48"/>
      <c r="X104" s="48"/>
      <c r="Y104" s="48"/>
      <c r="Z104" s="48"/>
      <c r="AA104" s="56"/>
      <c r="AB104" s="56"/>
      <c r="AC104" s="56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</row>
    <row r="105" spans="2:47" x14ac:dyDescent="0.25">
      <c r="B105" s="74"/>
      <c r="C105" s="74"/>
      <c r="D105" s="74"/>
      <c r="E105" s="74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V105" s="49"/>
      <c r="W105" s="48"/>
      <c r="X105" s="48"/>
      <c r="Y105" s="48"/>
      <c r="Z105" s="48"/>
      <c r="AA105" s="56"/>
      <c r="AB105" s="56"/>
      <c r="AC105" s="56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</row>
    <row r="106" spans="2:47" x14ac:dyDescent="0.25">
      <c r="B106" s="74"/>
      <c r="C106" s="74"/>
      <c r="D106" s="74"/>
      <c r="E106" s="74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V106" s="49"/>
      <c r="W106" s="48"/>
      <c r="X106" s="48"/>
      <c r="Y106" s="48"/>
      <c r="Z106" s="48"/>
      <c r="AA106" s="56"/>
      <c r="AB106" s="56"/>
      <c r="AC106" s="56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</row>
    <row r="107" spans="2:47" x14ac:dyDescent="0.25">
      <c r="B107" s="74"/>
      <c r="C107" s="74"/>
      <c r="D107" s="74"/>
      <c r="E107" s="74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V107" s="49"/>
      <c r="W107" s="48"/>
      <c r="X107" s="48"/>
      <c r="Y107" s="48"/>
      <c r="Z107" s="48"/>
      <c r="AA107" s="56"/>
      <c r="AB107" s="56"/>
      <c r="AC107" s="56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</row>
    <row r="108" spans="2:47" x14ac:dyDescent="0.25">
      <c r="B108" s="74"/>
      <c r="C108" s="74"/>
      <c r="D108" s="74"/>
      <c r="E108" s="74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V108" s="49"/>
      <c r="W108" s="48"/>
      <c r="X108" s="48"/>
      <c r="Y108" s="48"/>
      <c r="Z108" s="48"/>
      <c r="AA108" s="56"/>
      <c r="AB108" s="56"/>
      <c r="AC108" s="56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</row>
    <row r="109" spans="2:47" x14ac:dyDescent="0.25"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V109" s="49"/>
      <c r="W109" s="48"/>
      <c r="X109" s="48"/>
      <c r="Y109" s="48"/>
      <c r="Z109" s="48"/>
      <c r="AA109" s="56"/>
      <c r="AB109" s="56"/>
      <c r="AC109" s="56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</row>
    <row r="110" spans="2:47" x14ac:dyDescent="0.25"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V110" s="49"/>
      <c r="W110" s="48"/>
      <c r="X110" s="48"/>
      <c r="Y110" s="48"/>
      <c r="Z110" s="48"/>
      <c r="AA110" s="56"/>
      <c r="AB110" s="56"/>
      <c r="AC110" s="56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</row>
    <row r="111" spans="2:47" x14ac:dyDescent="0.25"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V111" s="49"/>
      <c r="W111" s="48"/>
      <c r="X111" s="48"/>
      <c r="Y111" s="48"/>
      <c r="Z111" s="48"/>
      <c r="AA111" s="56"/>
      <c r="AB111" s="56"/>
      <c r="AC111" s="56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</row>
    <row r="112" spans="2:47" x14ac:dyDescent="0.25"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V112" s="49"/>
      <c r="W112" s="48"/>
      <c r="X112" s="48"/>
      <c r="Y112" s="48"/>
      <c r="Z112" s="48"/>
      <c r="AA112" s="56"/>
      <c r="AB112" s="56"/>
      <c r="AC112" s="56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</row>
    <row r="113" spans="6:47" x14ac:dyDescent="0.25"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V113" s="49"/>
      <c r="W113" s="48"/>
      <c r="X113" s="48"/>
      <c r="Y113" s="48"/>
      <c r="Z113" s="48"/>
      <c r="AA113" s="56"/>
      <c r="AB113" s="56"/>
      <c r="AC113" s="56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</row>
    <row r="114" spans="6:47" x14ac:dyDescent="0.25"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V114" s="49"/>
      <c r="W114" s="48"/>
      <c r="X114" s="48"/>
      <c r="Y114" s="48"/>
      <c r="Z114" s="48"/>
      <c r="AA114" s="56"/>
      <c r="AB114" s="56"/>
      <c r="AC114" s="56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</row>
    <row r="115" spans="6:47" x14ac:dyDescent="0.25"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V115" s="49"/>
      <c r="W115" s="48"/>
      <c r="X115" s="48"/>
      <c r="Y115" s="48"/>
      <c r="Z115" s="48"/>
      <c r="AA115" s="56"/>
      <c r="AB115" s="56"/>
      <c r="AC115" s="56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</row>
    <row r="116" spans="6:47" x14ac:dyDescent="0.25"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V116" s="49"/>
      <c r="W116" s="48"/>
      <c r="X116" s="48"/>
      <c r="Y116" s="48"/>
      <c r="Z116" s="48"/>
      <c r="AA116" s="56"/>
      <c r="AB116" s="56"/>
      <c r="AC116" s="56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</row>
    <row r="117" spans="6:47" x14ac:dyDescent="0.25"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V117" s="49"/>
      <c r="W117" s="48"/>
      <c r="X117" s="48"/>
      <c r="Y117" s="48"/>
      <c r="Z117" s="48"/>
      <c r="AA117" s="56"/>
      <c r="AB117" s="56"/>
      <c r="AC117" s="56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</row>
    <row r="118" spans="6:47" x14ac:dyDescent="0.25"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V118" s="49"/>
      <c r="W118" s="48"/>
      <c r="X118" s="48"/>
      <c r="Y118" s="48"/>
      <c r="Z118" s="48"/>
      <c r="AA118" s="56"/>
      <c r="AB118" s="56"/>
      <c r="AC118" s="56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</row>
    <row r="119" spans="6:47" x14ac:dyDescent="0.25"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V119" s="49"/>
      <c r="W119" s="48"/>
      <c r="X119" s="48"/>
      <c r="Y119" s="48"/>
      <c r="Z119" s="48"/>
      <c r="AA119" s="56"/>
      <c r="AB119" s="56"/>
      <c r="AC119" s="56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</row>
    <row r="120" spans="6:47" x14ac:dyDescent="0.25"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V120" s="49"/>
      <c r="W120" s="48"/>
      <c r="X120" s="48"/>
      <c r="Y120" s="48"/>
      <c r="Z120" s="48"/>
      <c r="AA120" s="56"/>
      <c r="AB120" s="56"/>
      <c r="AC120" s="56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</row>
    <row r="121" spans="6:47" x14ac:dyDescent="0.25"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V121" s="49"/>
      <c r="W121" s="48"/>
      <c r="X121" s="48"/>
      <c r="Y121" s="48"/>
      <c r="Z121" s="48"/>
      <c r="AA121" s="56"/>
      <c r="AB121" s="56"/>
      <c r="AC121" s="56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</row>
    <row r="122" spans="6:47" x14ac:dyDescent="0.25"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V122" s="49"/>
      <c r="W122" s="48"/>
      <c r="X122" s="48"/>
      <c r="Y122" s="48"/>
      <c r="Z122" s="48"/>
      <c r="AA122" s="56"/>
      <c r="AB122" s="56"/>
      <c r="AC122" s="56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</row>
    <row r="123" spans="6:47" x14ac:dyDescent="0.25"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V123" s="49"/>
      <c r="W123" s="48"/>
      <c r="X123" s="48"/>
      <c r="Y123" s="48"/>
      <c r="Z123" s="48"/>
      <c r="AA123" s="56"/>
      <c r="AB123" s="56"/>
      <c r="AC123" s="56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</row>
    <row r="124" spans="6:47" x14ac:dyDescent="0.25"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V124" s="49"/>
      <c r="W124" s="48"/>
      <c r="X124" s="48"/>
      <c r="Y124" s="48"/>
      <c r="Z124" s="48"/>
      <c r="AA124" s="56"/>
      <c r="AB124" s="56"/>
      <c r="AC124" s="56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</row>
    <row r="125" spans="6:47" x14ac:dyDescent="0.25">
      <c r="V125" s="49"/>
      <c r="W125" s="48"/>
      <c r="X125" s="48"/>
      <c r="Y125" s="48"/>
      <c r="Z125" s="48"/>
      <c r="AA125" s="56"/>
      <c r="AB125" s="56"/>
      <c r="AC125" s="56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</row>
    <row r="126" spans="6:47" x14ac:dyDescent="0.25">
      <c r="V126" s="49"/>
      <c r="W126" s="48"/>
      <c r="X126" s="48"/>
      <c r="Y126" s="48"/>
      <c r="Z126" s="48"/>
      <c r="AA126" s="56"/>
      <c r="AB126" s="56"/>
      <c r="AC126" s="56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</row>
    <row r="127" spans="6:47" x14ac:dyDescent="0.25">
      <c r="V127" s="49"/>
      <c r="W127" s="48"/>
      <c r="X127" s="48"/>
      <c r="Y127" s="48"/>
      <c r="Z127" s="48"/>
      <c r="AA127" s="56"/>
      <c r="AB127" s="56"/>
      <c r="AC127" s="56"/>
      <c r="AD127" s="48"/>
      <c r="AE127" s="48"/>
      <c r="AF127" s="48"/>
      <c r="AG127" s="48"/>
      <c r="AH127" s="48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</row>
    <row r="128" spans="6:47" x14ac:dyDescent="0.25">
      <c r="V128" s="49"/>
      <c r="W128" s="48"/>
      <c r="X128" s="48"/>
      <c r="Y128" s="48"/>
      <c r="Z128" s="48"/>
      <c r="AA128" s="56"/>
      <c r="AB128" s="56"/>
      <c r="AC128" s="56"/>
      <c r="AD128" s="48"/>
      <c r="AE128" s="48"/>
      <c r="AF128" s="48"/>
      <c r="AG128" s="48"/>
      <c r="AH128" s="48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</row>
    <row r="129" spans="22:47" x14ac:dyDescent="0.25">
      <c r="V129" s="49"/>
      <c r="W129" s="48"/>
      <c r="X129" s="48"/>
      <c r="Y129" s="48"/>
      <c r="Z129" s="48"/>
      <c r="AA129" s="56"/>
      <c r="AB129" s="56"/>
      <c r="AC129" s="56"/>
      <c r="AD129" s="48"/>
      <c r="AE129" s="48"/>
      <c r="AF129" s="48"/>
      <c r="AG129" s="48"/>
      <c r="AH129" s="48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</row>
    <row r="130" spans="22:47" x14ac:dyDescent="0.25">
      <c r="V130" s="49"/>
      <c r="W130" s="48"/>
      <c r="X130" s="48"/>
      <c r="Y130" s="48"/>
      <c r="Z130" s="48"/>
      <c r="AA130" s="56"/>
      <c r="AB130" s="56"/>
      <c r="AC130" s="56"/>
      <c r="AD130" s="48"/>
      <c r="AE130" s="48"/>
      <c r="AF130" s="48"/>
      <c r="AG130" s="48"/>
      <c r="AH130" s="48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</row>
    <row r="131" spans="22:47" x14ac:dyDescent="0.25">
      <c r="V131" s="49"/>
      <c r="W131" s="48"/>
      <c r="X131" s="48"/>
      <c r="Y131" s="48"/>
      <c r="Z131" s="48"/>
      <c r="AA131" s="56"/>
      <c r="AB131" s="56"/>
      <c r="AC131" s="56"/>
      <c r="AD131" s="48"/>
      <c r="AE131" s="48"/>
      <c r="AF131" s="48"/>
      <c r="AG131" s="48"/>
      <c r="AH131" s="48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</row>
    <row r="132" spans="22:47" x14ac:dyDescent="0.25">
      <c r="V132" s="49"/>
      <c r="W132" s="48"/>
      <c r="X132" s="48"/>
      <c r="Y132" s="48"/>
      <c r="Z132" s="48"/>
      <c r="AA132" s="56"/>
      <c r="AB132" s="56"/>
      <c r="AC132" s="56"/>
      <c r="AD132" s="48"/>
      <c r="AE132" s="48"/>
      <c r="AF132" s="48"/>
      <c r="AG132" s="48"/>
      <c r="AH132" s="48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</row>
    <row r="133" spans="22:47" x14ac:dyDescent="0.25">
      <c r="V133" s="49"/>
      <c r="W133" s="48"/>
      <c r="X133" s="48"/>
      <c r="Y133" s="48"/>
      <c r="Z133" s="48"/>
      <c r="AA133" s="56"/>
      <c r="AB133" s="56"/>
      <c r="AC133" s="56"/>
      <c r="AD133" s="48"/>
      <c r="AE133" s="48"/>
      <c r="AF133" s="48"/>
      <c r="AG133" s="48"/>
      <c r="AH133" s="48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</row>
    <row r="134" spans="22:47" x14ac:dyDescent="0.25">
      <c r="V134" s="49"/>
      <c r="W134" s="48"/>
      <c r="X134" s="48"/>
      <c r="Y134" s="48"/>
      <c r="Z134" s="48"/>
      <c r="AA134" s="56"/>
      <c r="AB134" s="56"/>
      <c r="AC134" s="56"/>
      <c r="AD134" s="48"/>
      <c r="AE134" s="48"/>
      <c r="AF134" s="48"/>
      <c r="AG134" s="48"/>
      <c r="AH134" s="48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</row>
    <row r="135" spans="22:47" x14ac:dyDescent="0.25">
      <c r="V135" s="49"/>
      <c r="W135" s="48"/>
      <c r="X135" s="48"/>
      <c r="Y135" s="48"/>
      <c r="Z135" s="48"/>
      <c r="AA135" s="56"/>
      <c r="AB135" s="56"/>
      <c r="AC135" s="56"/>
      <c r="AD135" s="48"/>
      <c r="AE135" s="48"/>
      <c r="AF135" s="48"/>
      <c r="AG135" s="48"/>
      <c r="AH135" s="48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</row>
    <row r="136" spans="22:47" x14ac:dyDescent="0.25">
      <c r="V136" s="49"/>
      <c r="W136" s="49"/>
      <c r="X136" s="49"/>
      <c r="Y136" s="49"/>
      <c r="Z136" s="49"/>
      <c r="AA136" s="51"/>
      <c r="AB136" s="51"/>
      <c r="AC136" s="51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</row>
    <row r="137" spans="22:47" x14ac:dyDescent="0.25">
      <c r="V137" s="49"/>
      <c r="W137" s="49"/>
      <c r="X137" s="49"/>
      <c r="Y137" s="49"/>
      <c r="Z137" s="49"/>
      <c r="AA137" s="51"/>
      <c r="AB137" s="51"/>
      <c r="AC137" s="51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</row>
    <row r="138" spans="22:47" x14ac:dyDescent="0.25">
      <c r="V138" s="49"/>
      <c r="W138" s="49"/>
      <c r="X138" s="49"/>
      <c r="Y138" s="49"/>
      <c r="Z138" s="49"/>
      <c r="AA138" s="51"/>
      <c r="AB138" s="51"/>
      <c r="AC138" s="51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</row>
    <row r="139" spans="22:47" x14ac:dyDescent="0.25">
      <c r="V139" s="49"/>
      <c r="W139" s="49"/>
      <c r="X139" s="49"/>
      <c r="Y139" s="49"/>
      <c r="Z139" s="49"/>
      <c r="AA139" s="51"/>
      <c r="AB139" s="51"/>
      <c r="AC139" s="51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</row>
    <row r="140" spans="22:47" x14ac:dyDescent="0.25">
      <c r="V140" s="49"/>
      <c r="W140" s="49"/>
      <c r="X140" s="49"/>
      <c r="Y140" s="49"/>
      <c r="Z140" s="49"/>
      <c r="AA140" s="51"/>
      <c r="AB140" s="51"/>
      <c r="AC140" s="51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</row>
    <row r="141" spans="22:47" x14ac:dyDescent="0.25">
      <c r="V141" s="49"/>
      <c r="W141" s="49"/>
      <c r="X141" s="49"/>
      <c r="Y141" s="49"/>
      <c r="Z141" s="49"/>
      <c r="AA141" s="51"/>
      <c r="AB141" s="51"/>
      <c r="AC141" s="51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</row>
    <row r="142" spans="22:47" x14ac:dyDescent="0.25">
      <c r="V142" s="49"/>
      <c r="W142" s="49"/>
      <c r="X142" s="49"/>
      <c r="Y142" s="49"/>
      <c r="Z142" s="49"/>
      <c r="AA142" s="51"/>
      <c r="AB142" s="51"/>
      <c r="AC142" s="51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</row>
    <row r="143" spans="22:47" x14ac:dyDescent="0.25">
      <c r="V143" s="49"/>
      <c r="W143" s="49"/>
      <c r="X143" s="49"/>
      <c r="Y143" s="49"/>
      <c r="Z143" s="49"/>
      <c r="AA143" s="51"/>
      <c r="AB143" s="51"/>
      <c r="AC143" s="51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</row>
    <row r="144" spans="22:47" x14ac:dyDescent="0.25">
      <c r="V144" s="49"/>
      <c r="W144" s="49"/>
      <c r="X144" s="49"/>
      <c r="Y144" s="49"/>
      <c r="Z144" s="49"/>
      <c r="AA144" s="51"/>
      <c r="AB144" s="51"/>
      <c r="AC144" s="51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</row>
    <row r="145" spans="22:47" x14ac:dyDescent="0.25">
      <c r="V145" s="49"/>
      <c r="W145" s="49"/>
      <c r="X145" s="49"/>
      <c r="Y145" s="49"/>
      <c r="Z145" s="49"/>
      <c r="AA145" s="51"/>
      <c r="AB145" s="51"/>
      <c r="AC145" s="51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</row>
    <row r="146" spans="22:47" x14ac:dyDescent="0.25">
      <c r="V146" s="49"/>
      <c r="W146" s="49"/>
      <c r="X146" s="49"/>
      <c r="Y146" s="49"/>
      <c r="Z146" s="49"/>
      <c r="AA146" s="51"/>
      <c r="AB146" s="51"/>
      <c r="AC146" s="51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</row>
    <row r="147" spans="22:47" x14ac:dyDescent="0.25">
      <c r="V147" s="49"/>
      <c r="W147" s="49"/>
      <c r="X147" s="49"/>
      <c r="Y147" s="49"/>
      <c r="Z147" s="49"/>
      <c r="AA147" s="51"/>
      <c r="AB147" s="51"/>
      <c r="AC147" s="51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</row>
    <row r="148" spans="22:47" x14ac:dyDescent="0.25">
      <c r="V148" s="49"/>
      <c r="W148" s="49"/>
      <c r="X148" s="49"/>
      <c r="Y148" s="49"/>
      <c r="Z148" s="49"/>
      <c r="AA148" s="51"/>
      <c r="AB148" s="51"/>
      <c r="AC148" s="51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</row>
    <row r="149" spans="22:47" x14ac:dyDescent="0.25">
      <c r="V149" s="49"/>
      <c r="W149" s="49"/>
      <c r="X149" s="49"/>
      <c r="Y149" s="49"/>
      <c r="Z149" s="49"/>
      <c r="AA149" s="51"/>
      <c r="AB149" s="51"/>
      <c r="AC149" s="51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</row>
    <row r="150" spans="22:47" x14ac:dyDescent="0.25">
      <c r="V150" s="49"/>
      <c r="W150" s="49"/>
      <c r="X150" s="49"/>
      <c r="Y150" s="49"/>
      <c r="Z150" s="49"/>
      <c r="AA150" s="51"/>
      <c r="AB150" s="51"/>
      <c r="AC150" s="51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</row>
    <row r="151" spans="22:47" x14ac:dyDescent="0.25">
      <c r="V151" s="49"/>
      <c r="W151" s="49"/>
      <c r="X151" s="49"/>
      <c r="Y151" s="49"/>
      <c r="Z151" s="49"/>
      <c r="AA151" s="51"/>
      <c r="AB151" s="51"/>
      <c r="AC151" s="51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</row>
    <row r="152" spans="22:47" x14ac:dyDescent="0.25">
      <c r="V152" s="49"/>
      <c r="W152" s="49"/>
      <c r="X152" s="49"/>
      <c r="Y152" s="49"/>
      <c r="Z152" s="49"/>
      <c r="AA152" s="51"/>
      <c r="AB152" s="51"/>
      <c r="AC152" s="51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</row>
    <row r="153" spans="22:47" x14ac:dyDescent="0.25">
      <c r="V153" s="49"/>
      <c r="W153" s="49"/>
      <c r="X153" s="49"/>
      <c r="Y153" s="49"/>
      <c r="Z153" s="49"/>
      <c r="AA153" s="51"/>
      <c r="AB153" s="51"/>
      <c r="AC153" s="51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</row>
    <row r="154" spans="22:47" x14ac:dyDescent="0.25">
      <c r="V154" s="49"/>
      <c r="W154" s="49"/>
      <c r="X154" s="49"/>
      <c r="Y154" s="49"/>
      <c r="Z154" s="49"/>
      <c r="AA154" s="51"/>
      <c r="AB154" s="51"/>
      <c r="AC154" s="51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</row>
    <row r="155" spans="22:47" x14ac:dyDescent="0.25">
      <c r="V155" s="49"/>
      <c r="W155" s="49"/>
      <c r="X155" s="49"/>
      <c r="Y155" s="49"/>
      <c r="Z155" s="49"/>
      <c r="AA155" s="51"/>
      <c r="AB155" s="51"/>
      <c r="AC155" s="51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</row>
    <row r="156" spans="22:47" x14ac:dyDescent="0.25">
      <c r="V156" s="49"/>
      <c r="W156" s="49"/>
      <c r="X156" s="49"/>
      <c r="Y156" s="49"/>
      <c r="Z156" s="49"/>
      <c r="AA156" s="51"/>
      <c r="AB156" s="51"/>
      <c r="AC156" s="51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</row>
    <row r="157" spans="22:47" x14ac:dyDescent="0.25">
      <c r="V157" s="49"/>
      <c r="W157" s="49"/>
      <c r="X157" s="49"/>
      <c r="Y157" s="49"/>
      <c r="Z157" s="49"/>
      <c r="AA157" s="51"/>
      <c r="AB157" s="51"/>
      <c r="AC157" s="51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</row>
    <row r="158" spans="22:47" x14ac:dyDescent="0.25">
      <c r="V158" s="49"/>
      <c r="W158" s="49"/>
      <c r="X158" s="49"/>
      <c r="Y158" s="49"/>
      <c r="Z158" s="49"/>
      <c r="AA158" s="51"/>
      <c r="AB158" s="51"/>
      <c r="AC158" s="51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</row>
    <row r="159" spans="22:47" x14ac:dyDescent="0.25">
      <c r="V159" s="49"/>
      <c r="W159" s="49"/>
      <c r="X159" s="49"/>
      <c r="Y159" s="49"/>
      <c r="Z159" s="49"/>
      <c r="AA159" s="51"/>
      <c r="AB159" s="51"/>
      <c r="AC159" s="51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</row>
    <row r="160" spans="22:47" x14ac:dyDescent="0.25">
      <c r="V160" s="49"/>
      <c r="W160" s="49"/>
      <c r="X160" s="49"/>
      <c r="Y160" s="49"/>
      <c r="Z160" s="49"/>
      <c r="AA160" s="51"/>
      <c r="AB160" s="51"/>
      <c r="AC160" s="51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</row>
    <row r="161" spans="22:47" x14ac:dyDescent="0.25">
      <c r="V161" s="49"/>
      <c r="W161" s="49"/>
      <c r="X161" s="49"/>
      <c r="Y161" s="49"/>
      <c r="Z161" s="49"/>
      <c r="AA161" s="51"/>
      <c r="AB161" s="51"/>
      <c r="AC161" s="51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</row>
    <row r="162" spans="22:47" x14ac:dyDescent="0.25">
      <c r="V162" s="49"/>
      <c r="W162" s="49"/>
      <c r="X162" s="49"/>
      <c r="Y162" s="49"/>
      <c r="Z162" s="49"/>
      <c r="AA162" s="51"/>
      <c r="AB162" s="51"/>
      <c r="AC162" s="51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</row>
    <row r="163" spans="22:47" x14ac:dyDescent="0.25">
      <c r="V163" s="49"/>
      <c r="W163" s="49"/>
      <c r="X163" s="49"/>
      <c r="Y163" s="49"/>
      <c r="Z163" s="49"/>
      <c r="AA163" s="51"/>
      <c r="AB163" s="51"/>
      <c r="AC163" s="51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</row>
    <row r="164" spans="22:47" x14ac:dyDescent="0.25">
      <c r="V164" s="49"/>
      <c r="W164" s="49"/>
      <c r="X164" s="49"/>
      <c r="Y164" s="49"/>
      <c r="Z164" s="49"/>
      <c r="AA164" s="51"/>
      <c r="AB164" s="51"/>
      <c r="AC164" s="51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</row>
    <row r="165" spans="22:47" x14ac:dyDescent="0.25">
      <c r="V165" s="49"/>
      <c r="W165" s="49"/>
      <c r="X165" s="49"/>
      <c r="Y165" s="49"/>
      <c r="Z165" s="49"/>
      <c r="AA165" s="51"/>
      <c r="AB165" s="51"/>
      <c r="AC165" s="51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</row>
    <row r="166" spans="22:47" x14ac:dyDescent="0.25">
      <c r="V166" s="49"/>
      <c r="W166" s="49"/>
      <c r="X166" s="49"/>
      <c r="Y166" s="49"/>
      <c r="Z166" s="49"/>
      <c r="AA166" s="51"/>
      <c r="AB166" s="51"/>
      <c r="AC166" s="51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</row>
    <row r="167" spans="22:47" x14ac:dyDescent="0.25">
      <c r="V167" s="49"/>
      <c r="W167" s="49"/>
      <c r="X167" s="49"/>
      <c r="Y167" s="49"/>
      <c r="Z167" s="49"/>
      <c r="AA167" s="51"/>
      <c r="AB167" s="51"/>
      <c r="AC167" s="51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</row>
    <row r="168" spans="22:47" x14ac:dyDescent="0.25">
      <c r="V168" s="49"/>
      <c r="W168" s="49"/>
      <c r="X168" s="49"/>
      <c r="Y168" s="49"/>
      <c r="Z168" s="49"/>
      <c r="AA168" s="51"/>
      <c r="AB168" s="51"/>
      <c r="AC168" s="51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</row>
    <row r="169" spans="22:47" x14ac:dyDescent="0.25">
      <c r="V169" s="49"/>
      <c r="W169" s="49"/>
      <c r="X169" s="49"/>
      <c r="Y169" s="49"/>
      <c r="Z169" s="49"/>
      <c r="AA169" s="51"/>
      <c r="AB169" s="51"/>
      <c r="AC169" s="51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</row>
    <row r="170" spans="22:47" x14ac:dyDescent="0.25">
      <c r="V170" s="49"/>
      <c r="W170" s="49"/>
      <c r="X170" s="49"/>
      <c r="Y170" s="49"/>
      <c r="Z170" s="49"/>
      <c r="AA170" s="51"/>
      <c r="AB170" s="51"/>
      <c r="AC170" s="51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</row>
    <row r="171" spans="22:47" x14ac:dyDescent="0.25"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</row>
    <row r="172" spans="22:47" x14ac:dyDescent="0.25"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</row>
    <row r="173" spans="22:47" x14ac:dyDescent="0.25"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</row>
    <row r="174" spans="22:47" x14ac:dyDescent="0.25"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</row>
    <row r="175" spans="22:47" x14ac:dyDescent="0.25"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</row>
    <row r="176" spans="22:47" x14ac:dyDescent="0.25"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</row>
    <row r="177" spans="22:47" x14ac:dyDescent="0.25"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</row>
    <row r="178" spans="22:47" x14ac:dyDescent="0.25"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</row>
    <row r="179" spans="22:47" x14ac:dyDescent="0.25"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</row>
    <row r="180" spans="22:47" x14ac:dyDescent="0.25"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</row>
    <row r="181" spans="22:47" x14ac:dyDescent="0.25"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</row>
    <row r="182" spans="22:47" x14ac:dyDescent="0.25"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</row>
    <row r="183" spans="22:47" x14ac:dyDescent="0.25"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</row>
    <row r="184" spans="22:47" x14ac:dyDescent="0.25"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</row>
    <row r="185" spans="22:47" x14ac:dyDescent="0.25"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</row>
    <row r="186" spans="22:47" x14ac:dyDescent="0.25"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</row>
    <row r="187" spans="22:47" x14ac:dyDescent="0.25"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</row>
    <row r="188" spans="22:47" x14ac:dyDescent="0.25"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</row>
    <row r="189" spans="22:47" x14ac:dyDescent="0.25"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</row>
    <row r="190" spans="22:47" x14ac:dyDescent="0.25"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</row>
    <row r="191" spans="22:47" x14ac:dyDescent="0.25"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</row>
    <row r="192" spans="22:47" x14ac:dyDescent="0.25"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</row>
    <row r="193" spans="22:47" x14ac:dyDescent="0.25"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</row>
    <row r="194" spans="22:47" x14ac:dyDescent="0.25"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</row>
    <row r="195" spans="22:47" x14ac:dyDescent="0.25"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</row>
    <row r="196" spans="22:47" x14ac:dyDescent="0.25"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</row>
    <row r="197" spans="22:47" x14ac:dyDescent="0.25"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</row>
    <row r="198" spans="22:47" x14ac:dyDescent="0.25"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</row>
    <row r="199" spans="22:47" x14ac:dyDescent="0.25"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</row>
    <row r="200" spans="22:47" x14ac:dyDescent="0.25"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</row>
    <row r="201" spans="22:47" x14ac:dyDescent="0.25"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</row>
    <row r="202" spans="22:47" x14ac:dyDescent="0.25"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</row>
    <row r="203" spans="22:47" x14ac:dyDescent="0.25"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</row>
    <row r="204" spans="22:47" x14ac:dyDescent="0.25"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</row>
    <row r="205" spans="22:47" x14ac:dyDescent="0.25"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</row>
    <row r="206" spans="22:47" x14ac:dyDescent="0.25"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</row>
    <row r="207" spans="22:47" x14ac:dyDescent="0.25"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</row>
    <row r="208" spans="22:47" x14ac:dyDescent="0.25"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</row>
    <row r="209" spans="22:47" x14ac:dyDescent="0.25"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</row>
    <row r="210" spans="22:47" x14ac:dyDescent="0.25"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</row>
    <row r="211" spans="22:47" x14ac:dyDescent="0.25"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</row>
    <row r="212" spans="22:47" x14ac:dyDescent="0.25"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</row>
    <row r="213" spans="22:47" x14ac:dyDescent="0.25"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</row>
    <row r="214" spans="22:47" x14ac:dyDescent="0.25"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</row>
    <row r="215" spans="22:47" x14ac:dyDescent="0.25"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</row>
    <row r="216" spans="22:47" x14ac:dyDescent="0.25"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</row>
    <row r="217" spans="22:47" x14ac:dyDescent="0.25"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</row>
    <row r="218" spans="22:47" x14ac:dyDescent="0.25"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</row>
    <row r="219" spans="22:47" x14ac:dyDescent="0.25"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</row>
    <row r="220" spans="22:47" x14ac:dyDescent="0.25"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</row>
    <row r="221" spans="22:47" x14ac:dyDescent="0.25"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</row>
    <row r="222" spans="22:47" x14ac:dyDescent="0.25"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</row>
    <row r="223" spans="22:47" x14ac:dyDescent="0.25"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</row>
    <row r="224" spans="22:47" x14ac:dyDescent="0.25"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</row>
    <row r="225" spans="22:47" x14ac:dyDescent="0.25"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</row>
    <row r="226" spans="22:47" x14ac:dyDescent="0.25"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</row>
    <row r="227" spans="22:47" x14ac:dyDescent="0.25"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</row>
    <row r="228" spans="22:47" x14ac:dyDescent="0.25"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</row>
    <row r="229" spans="22:47" x14ac:dyDescent="0.25"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</row>
    <row r="230" spans="22:47" x14ac:dyDescent="0.25"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</row>
    <row r="231" spans="22:47" x14ac:dyDescent="0.25"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</row>
    <row r="232" spans="22:47" x14ac:dyDescent="0.25"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</row>
    <row r="233" spans="22:47" x14ac:dyDescent="0.25"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</row>
    <row r="234" spans="22:47" x14ac:dyDescent="0.25"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</row>
    <row r="235" spans="22:47" x14ac:dyDescent="0.25"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</row>
    <row r="236" spans="22:47" x14ac:dyDescent="0.25"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</row>
    <row r="237" spans="22:47" x14ac:dyDescent="0.25"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</row>
    <row r="238" spans="22:47" x14ac:dyDescent="0.25"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</row>
    <row r="239" spans="22:47" x14ac:dyDescent="0.25"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</row>
    <row r="240" spans="22:47" x14ac:dyDescent="0.25"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</row>
    <row r="241" spans="22:47" x14ac:dyDescent="0.25"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</row>
    <row r="242" spans="22:47" x14ac:dyDescent="0.25"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</row>
    <row r="243" spans="22:47" x14ac:dyDescent="0.25"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</row>
    <row r="244" spans="22:47" x14ac:dyDescent="0.25"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</row>
    <row r="245" spans="22:47" x14ac:dyDescent="0.25"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</row>
    <row r="246" spans="22:47" x14ac:dyDescent="0.25"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</row>
    <row r="247" spans="22:47" x14ac:dyDescent="0.25"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</row>
    <row r="248" spans="22:47" x14ac:dyDescent="0.25"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</row>
    <row r="249" spans="22:47" x14ac:dyDescent="0.25"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</row>
    <row r="250" spans="22:47" x14ac:dyDescent="0.25"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</row>
    <row r="251" spans="22:47" x14ac:dyDescent="0.25"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</row>
    <row r="252" spans="22:47" x14ac:dyDescent="0.25"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</row>
    <row r="253" spans="22:47" x14ac:dyDescent="0.25"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</row>
    <row r="254" spans="22:47" x14ac:dyDescent="0.25"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</row>
    <row r="255" spans="22:47" x14ac:dyDescent="0.25"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</row>
    <row r="256" spans="22:47" x14ac:dyDescent="0.25"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</row>
    <row r="257" spans="22:47" x14ac:dyDescent="0.25"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</row>
    <row r="258" spans="22:47" x14ac:dyDescent="0.25"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</row>
    <row r="259" spans="22:47" x14ac:dyDescent="0.25"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</row>
    <row r="260" spans="22:47" x14ac:dyDescent="0.25"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</row>
    <row r="261" spans="22:47" x14ac:dyDescent="0.25"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</row>
    <row r="262" spans="22:47" x14ac:dyDescent="0.25"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</row>
    <row r="263" spans="22:47" x14ac:dyDescent="0.25"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</row>
    <row r="264" spans="22:47" x14ac:dyDescent="0.25"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</row>
    <row r="265" spans="22:47" x14ac:dyDescent="0.25"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</row>
    <row r="266" spans="22:47" x14ac:dyDescent="0.25"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</row>
    <row r="267" spans="22:47" x14ac:dyDescent="0.25"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</row>
    <row r="268" spans="22:47" x14ac:dyDescent="0.25"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</row>
    <row r="269" spans="22:47" x14ac:dyDescent="0.25"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</row>
    <row r="270" spans="22:47" x14ac:dyDescent="0.25"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</row>
    <row r="271" spans="22:47" x14ac:dyDescent="0.25"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</row>
    <row r="272" spans="22:47" x14ac:dyDescent="0.25"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</row>
    <row r="273" spans="22:47" x14ac:dyDescent="0.25"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</row>
    <row r="274" spans="22:47" x14ac:dyDescent="0.25"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</row>
    <row r="275" spans="22:47" x14ac:dyDescent="0.25"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</row>
    <row r="276" spans="22:47" x14ac:dyDescent="0.25"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</row>
    <row r="277" spans="22:47" x14ac:dyDescent="0.25"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</row>
    <row r="278" spans="22:47" x14ac:dyDescent="0.25"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</row>
    <row r="279" spans="22:47" x14ac:dyDescent="0.25"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</row>
    <row r="280" spans="22:47" x14ac:dyDescent="0.25"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</row>
    <row r="281" spans="22:47" x14ac:dyDescent="0.25"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</row>
    <row r="282" spans="22:47" x14ac:dyDescent="0.25"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</row>
    <row r="283" spans="22:47" x14ac:dyDescent="0.25"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</row>
    <row r="284" spans="22:47" x14ac:dyDescent="0.25"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</row>
    <row r="285" spans="22:47" x14ac:dyDescent="0.25"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</row>
    <row r="286" spans="22:47" x14ac:dyDescent="0.25"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</row>
    <row r="287" spans="22:47" x14ac:dyDescent="0.25"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</row>
    <row r="288" spans="22:47" x14ac:dyDescent="0.25"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</row>
    <row r="289" spans="22:47" x14ac:dyDescent="0.25"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</row>
    <row r="290" spans="22:47" x14ac:dyDescent="0.25"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</row>
    <row r="291" spans="22:47" x14ac:dyDescent="0.25"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</row>
    <row r="292" spans="22:47" x14ac:dyDescent="0.25"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</row>
    <row r="293" spans="22:47" x14ac:dyDescent="0.25"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</row>
    <row r="294" spans="22:47" x14ac:dyDescent="0.25"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</row>
    <row r="295" spans="22:47" x14ac:dyDescent="0.25"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</row>
    <row r="296" spans="22:47" x14ac:dyDescent="0.25"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</row>
    <row r="297" spans="22:47" x14ac:dyDescent="0.25"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</row>
    <row r="298" spans="22:47" x14ac:dyDescent="0.25"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</row>
    <row r="299" spans="22:47" x14ac:dyDescent="0.25"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</row>
    <row r="300" spans="22:47" x14ac:dyDescent="0.25"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</row>
    <row r="301" spans="22:47" x14ac:dyDescent="0.25"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</row>
    <row r="302" spans="22:47" x14ac:dyDescent="0.25"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</row>
    <row r="303" spans="22:47" x14ac:dyDescent="0.25"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</row>
    <row r="304" spans="22:47" x14ac:dyDescent="0.25"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</row>
    <row r="305" spans="22:47" x14ac:dyDescent="0.25"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</row>
    <row r="306" spans="22:47" x14ac:dyDescent="0.25"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</row>
    <row r="307" spans="22:47" x14ac:dyDescent="0.25"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</row>
    <row r="308" spans="22:47" x14ac:dyDescent="0.25"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</row>
    <row r="309" spans="22:47" x14ac:dyDescent="0.25"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</row>
    <row r="310" spans="22:47" x14ac:dyDescent="0.25"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</row>
    <row r="311" spans="22:47" x14ac:dyDescent="0.25"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</row>
    <row r="312" spans="22:47" x14ac:dyDescent="0.25"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</row>
    <row r="313" spans="22:47" x14ac:dyDescent="0.25"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</row>
    <row r="314" spans="22:47" x14ac:dyDescent="0.25"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</row>
    <row r="315" spans="22:47" x14ac:dyDescent="0.25"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</row>
    <row r="316" spans="22:47" x14ac:dyDescent="0.25"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</row>
    <row r="317" spans="22:47" x14ac:dyDescent="0.25">
      <c r="AA317" s="48"/>
      <c r="AB317" s="48"/>
      <c r="AC317" s="48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</row>
    <row r="318" spans="22:47" x14ac:dyDescent="0.25">
      <c r="AA318" s="48"/>
      <c r="AB318" s="48"/>
      <c r="AC318" s="48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</row>
    <row r="319" spans="22:47" x14ac:dyDescent="0.25">
      <c r="AA319" s="48"/>
      <c r="AB319" s="48"/>
      <c r="AC319" s="48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</row>
    <row r="320" spans="22:47" x14ac:dyDescent="0.25">
      <c r="AA320" s="48"/>
      <c r="AB320" s="48"/>
      <c r="AC320" s="48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</row>
    <row r="321" spans="27:47" x14ac:dyDescent="0.25">
      <c r="AA321" s="48"/>
      <c r="AB321" s="48"/>
      <c r="AC321" s="48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</row>
    <row r="322" spans="27:47" x14ac:dyDescent="0.25">
      <c r="AA322" s="48"/>
      <c r="AB322" s="48"/>
      <c r="AC322" s="48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</row>
    <row r="323" spans="27:47" x14ac:dyDescent="0.25">
      <c r="AA323" s="48"/>
      <c r="AB323" s="48"/>
      <c r="AC323" s="48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</row>
    <row r="324" spans="27:47" x14ac:dyDescent="0.25">
      <c r="AA324" s="48"/>
      <c r="AB324" s="48"/>
      <c r="AC324" s="48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</row>
    <row r="325" spans="27:47" x14ac:dyDescent="0.25">
      <c r="AA325" s="48"/>
      <c r="AB325" s="48"/>
      <c r="AC325" s="48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</row>
    <row r="326" spans="27:47" x14ac:dyDescent="0.25">
      <c r="AA326" s="48"/>
      <c r="AB326" s="48"/>
      <c r="AC326" s="48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</row>
    <row r="327" spans="27:47" x14ac:dyDescent="0.25">
      <c r="AA327" s="48"/>
      <c r="AB327" s="48"/>
      <c r="AC327" s="48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</row>
    <row r="328" spans="27:47" x14ac:dyDescent="0.25">
      <c r="AA328" s="48"/>
      <c r="AB328" s="48"/>
      <c r="AC328" s="48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</row>
    <row r="329" spans="27:47" x14ac:dyDescent="0.25">
      <c r="AA329" s="48"/>
      <c r="AB329" s="48"/>
      <c r="AC329" s="48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</row>
    <row r="330" spans="27:47" x14ac:dyDescent="0.25">
      <c r="AA330" s="48"/>
      <c r="AB330" s="48"/>
      <c r="AC330" s="48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</row>
    <row r="331" spans="27:47" x14ac:dyDescent="0.25">
      <c r="AA331" s="48"/>
      <c r="AB331" s="48"/>
      <c r="AC331" s="48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</row>
    <row r="332" spans="27:47" x14ac:dyDescent="0.25">
      <c r="AA332" s="48"/>
      <c r="AB332" s="48"/>
      <c r="AC332" s="48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</row>
    <row r="333" spans="27:47" x14ac:dyDescent="0.25">
      <c r="AA333" s="48"/>
      <c r="AB333" s="48"/>
      <c r="AC333" s="48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</row>
    <row r="334" spans="27:47" x14ac:dyDescent="0.25">
      <c r="AA334" s="48"/>
      <c r="AB334" s="48"/>
      <c r="AC334" s="48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</row>
    <row r="335" spans="27:47" x14ac:dyDescent="0.25">
      <c r="AA335" s="48"/>
      <c r="AB335" s="48"/>
      <c r="AC335" s="48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</row>
    <row r="336" spans="27:47" x14ac:dyDescent="0.25">
      <c r="AA336" s="48"/>
      <c r="AB336" s="48"/>
      <c r="AC336" s="48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</row>
    <row r="337" spans="27:47" x14ac:dyDescent="0.25">
      <c r="AA337" s="48"/>
      <c r="AB337" s="48"/>
      <c r="AC337" s="48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</row>
    <row r="338" spans="27:47" x14ac:dyDescent="0.25">
      <c r="AA338" s="48"/>
      <c r="AB338" s="48"/>
      <c r="AC338" s="48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</row>
    <row r="339" spans="27:47" x14ac:dyDescent="0.25">
      <c r="AA339" s="48"/>
      <c r="AB339" s="48"/>
      <c r="AC339" s="48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</row>
    <row r="340" spans="27:47" x14ac:dyDescent="0.25">
      <c r="AA340" s="48"/>
      <c r="AB340" s="48"/>
      <c r="AC340" s="48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</row>
    <row r="341" spans="27:47" x14ac:dyDescent="0.25">
      <c r="AA341" s="48"/>
      <c r="AB341" s="48"/>
      <c r="AC341" s="48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</row>
    <row r="342" spans="27:47" x14ac:dyDescent="0.25">
      <c r="AA342" s="48"/>
      <c r="AB342" s="48"/>
      <c r="AC342" s="48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</row>
    <row r="343" spans="27:47" x14ac:dyDescent="0.25">
      <c r="AA343" s="48"/>
      <c r="AB343" s="48"/>
      <c r="AC343" s="48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</row>
    <row r="344" spans="27:47" x14ac:dyDescent="0.25">
      <c r="AA344" s="48"/>
      <c r="AB344" s="48"/>
      <c r="AC344" s="48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</row>
    <row r="345" spans="27:47" x14ac:dyDescent="0.25">
      <c r="AA345" s="48"/>
      <c r="AB345" s="48"/>
      <c r="AC345" s="48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</row>
    <row r="346" spans="27:47" x14ac:dyDescent="0.25">
      <c r="AA346" s="48"/>
      <c r="AB346" s="48"/>
      <c r="AC346" s="48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</row>
    <row r="347" spans="27:47" x14ac:dyDescent="0.25">
      <c r="AA347" s="48"/>
      <c r="AB347" s="48"/>
      <c r="AC347" s="48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</row>
    <row r="348" spans="27:47" x14ac:dyDescent="0.25">
      <c r="AA348" s="48"/>
      <c r="AB348" s="48"/>
      <c r="AC348" s="48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</row>
    <row r="349" spans="27:47" x14ac:dyDescent="0.25">
      <c r="AA349" s="48"/>
      <c r="AB349" s="48"/>
      <c r="AC349" s="48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</row>
    <row r="350" spans="27:47" x14ac:dyDescent="0.25">
      <c r="AA350" s="48"/>
      <c r="AB350" s="48"/>
      <c r="AC350" s="48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</row>
    <row r="351" spans="27:47" x14ac:dyDescent="0.25">
      <c r="AA351" s="48"/>
      <c r="AB351" s="48"/>
      <c r="AC351" s="48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</row>
    <row r="352" spans="27:47" x14ac:dyDescent="0.25">
      <c r="AA352" s="48"/>
      <c r="AB352" s="48"/>
      <c r="AC352" s="48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</row>
    <row r="353" spans="27:47" x14ac:dyDescent="0.25">
      <c r="AA353" s="48"/>
      <c r="AB353" s="48"/>
      <c r="AC353" s="48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</row>
    <row r="354" spans="27:47" x14ac:dyDescent="0.25">
      <c r="AA354" s="48"/>
      <c r="AB354" s="48"/>
      <c r="AC354" s="48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</row>
    <row r="355" spans="27:47" x14ac:dyDescent="0.25">
      <c r="AA355" s="48"/>
      <c r="AB355" s="48"/>
      <c r="AC355" s="48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</row>
    <row r="356" spans="27:47" x14ac:dyDescent="0.25">
      <c r="AA356" s="48"/>
      <c r="AB356" s="48"/>
      <c r="AC356" s="48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</row>
    <row r="357" spans="27:47" x14ac:dyDescent="0.25">
      <c r="AA357" s="48"/>
      <c r="AB357" s="48"/>
      <c r="AC357" s="48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</row>
    <row r="358" spans="27:47" x14ac:dyDescent="0.25">
      <c r="AA358" s="48"/>
      <c r="AB358" s="48"/>
      <c r="AC358" s="48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</row>
    <row r="359" spans="27:47" x14ac:dyDescent="0.25">
      <c r="AA359" s="48"/>
      <c r="AB359" s="48"/>
      <c r="AC359" s="48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</row>
    <row r="360" spans="27:47" x14ac:dyDescent="0.25">
      <c r="AA360" s="48"/>
      <c r="AB360" s="48"/>
      <c r="AC360" s="48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</row>
    <row r="361" spans="27:47" x14ac:dyDescent="0.25">
      <c r="AA361" s="48"/>
      <c r="AB361" s="48"/>
      <c r="AC361" s="48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</row>
    <row r="362" spans="27:47" x14ac:dyDescent="0.25">
      <c r="AA362" s="48"/>
      <c r="AB362" s="48"/>
      <c r="AC362" s="48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</row>
    <row r="363" spans="27:47" x14ac:dyDescent="0.25">
      <c r="AA363" s="48"/>
      <c r="AB363" s="48"/>
      <c r="AC363" s="48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</row>
    <row r="364" spans="27:47" x14ac:dyDescent="0.25">
      <c r="AA364" s="48"/>
      <c r="AB364" s="48"/>
      <c r="AC364" s="48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</row>
    <row r="365" spans="27:47" x14ac:dyDescent="0.25">
      <c r="AA365" s="48"/>
      <c r="AB365" s="48"/>
      <c r="AC365" s="48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</row>
    <row r="366" spans="27:47" x14ac:dyDescent="0.25">
      <c r="AA366" s="48"/>
      <c r="AB366" s="48"/>
      <c r="AC366" s="48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</row>
    <row r="367" spans="27:47" x14ac:dyDescent="0.25">
      <c r="AA367" s="48"/>
      <c r="AB367" s="48"/>
      <c r="AC367" s="48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</row>
    <row r="368" spans="27:47" x14ac:dyDescent="0.25">
      <c r="AA368" s="48"/>
      <c r="AB368" s="48"/>
      <c r="AC368" s="48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</row>
    <row r="369" spans="27:47" x14ac:dyDescent="0.25">
      <c r="AA369" s="48"/>
      <c r="AB369" s="48"/>
      <c r="AC369" s="48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</row>
    <row r="370" spans="27:47" x14ac:dyDescent="0.25">
      <c r="AA370" s="48"/>
      <c r="AB370" s="48"/>
      <c r="AC370" s="48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</row>
    <row r="371" spans="27:47" x14ac:dyDescent="0.25">
      <c r="AA371" s="48"/>
      <c r="AB371" s="48"/>
      <c r="AC371" s="48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</row>
    <row r="372" spans="27:47" x14ac:dyDescent="0.25">
      <c r="AA372" s="48"/>
      <c r="AB372" s="48"/>
      <c r="AC372" s="48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</row>
    <row r="373" spans="27:47" x14ac:dyDescent="0.25">
      <c r="AA373" s="48"/>
      <c r="AB373" s="48"/>
      <c r="AC373" s="48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</row>
    <row r="374" spans="27:47" x14ac:dyDescent="0.25">
      <c r="AA374" s="48"/>
      <c r="AB374" s="48"/>
      <c r="AC374" s="48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</row>
    <row r="375" spans="27:47" x14ac:dyDescent="0.25">
      <c r="AA375" s="48"/>
      <c r="AB375" s="48"/>
      <c r="AC375" s="48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</row>
    <row r="376" spans="27:47" x14ac:dyDescent="0.25">
      <c r="AA376" s="48"/>
      <c r="AB376" s="48"/>
      <c r="AC376" s="48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</row>
    <row r="377" spans="27:47" x14ac:dyDescent="0.25">
      <c r="AA377" s="48"/>
      <c r="AB377" s="48"/>
      <c r="AC377" s="48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</row>
    <row r="378" spans="27:47" x14ac:dyDescent="0.25">
      <c r="AA378" s="48"/>
      <c r="AB378" s="48"/>
      <c r="AC378" s="48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</row>
    <row r="379" spans="27:47" x14ac:dyDescent="0.25">
      <c r="AA379" s="48"/>
      <c r="AB379" s="48"/>
      <c r="AC379" s="48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</row>
    <row r="380" spans="27:47" x14ac:dyDescent="0.25">
      <c r="AA380" s="48"/>
      <c r="AB380" s="48"/>
      <c r="AC380" s="48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</row>
    <row r="381" spans="27:47" x14ac:dyDescent="0.25">
      <c r="AA381" s="48"/>
      <c r="AB381" s="48"/>
      <c r="AC381" s="48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</row>
    <row r="382" spans="27:47" x14ac:dyDescent="0.25">
      <c r="AA382" s="48"/>
      <c r="AB382" s="48"/>
      <c r="AC382" s="48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</row>
    <row r="383" spans="27:47" x14ac:dyDescent="0.25">
      <c r="AA383" s="48"/>
      <c r="AB383" s="48"/>
      <c r="AC383" s="48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</row>
    <row r="384" spans="27:47" x14ac:dyDescent="0.25">
      <c r="AA384" s="48"/>
      <c r="AB384" s="48"/>
      <c r="AC384" s="48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</row>
    <row r="385" spans="27:47" x14ac:dyDescent="0.25">
      <c r="AA385" s="48"/>
      <c r="AB385" s="48"/>
      <c r="AC385" s="48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</row>
    <row r="386" spans="27:47" x14ac:dyDescent="0.25">
      <c r="AA386" s="48"/>
      <c r="AB386" s="48"/>
      <c r="AC386" s="48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</row>
    <row r="387" spans="27:47" x14ac:dyDescent="0.25">
      <c r="AA387" s="48"/>
      <c r="AB387" s="48"/>
      <c r="AC387" s="48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</row>
    <row r="388" spans="27:47" x14ac:dyDescent="0.25">
      <c r="AA388" s="48"/>
      <c r="AB388" s="48"/>
      <c r="AC388" s="48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</row>
    <row r="389" spans="27:47" x14ac:dyDescent="0.25">
      <c r="AA389" s="48"/>
      <c r="AB389" s="48"/>
      <c r="AC389" s="48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</row>
    <row r="390" spans="27:47" x14ac:dyDescent="0.25">
      <c r="AA390" s="48"/>
      <c r="AB390" s="48"/>
      <c r="AC390" s="48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</row>
    <row r="391" spans="27:47" x14ac:dyDescent="0.25">
      <c r="AA391" s="48"/>
      <c r="AB391" s="48"/>
      <c r="AC391" s="48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</row>
    <row r="392" spans="27:47" x14ac:dyDescent="0.25">
      <c r="AA392" s="48"/>
      <c r="AB392" s="48"/>
      <c r="AC392" s="48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</row>
    <row r="393" spans="27:47" x14ac:dyDescent="0.25">
      <c r="AA393" s="48"/>
      <c r="AB393" s="48"/>
      <c r="AC393" s="48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</row>
    <row r="394" spans="27:47" x14ac:dyDescent="0.25">
      <c r="AA394" s="48"/>
      <c r="AB394" s="48"/>
      <c r="AC394" s="48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</row>
    <row r="395" spans="27:47" x14ac:dyDescent="0.25">
      <c r="AA395" s="48"/>
      <c r="AB395" s="48"/>
      <c r="AC395" s="48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</row>
    <row r="396" spans="27:47" x14ac:dyDescent="0.25">
      <c r="AA396" s="48"/>
      <c r="AB396" s="48"/>
      <c r="AC396" s="48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</row>
    <row r="397" spans="27:47" x14ac:dyDescent="0.25">
      <c r="AA397" s="48"/>
      <c r="AB397" s="48"/>
      <c r="AC397" s="48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</row>
    <row r="398" spans="27:47" x14ac:dyDescent="0.25">
      <c r="AA398" s="48"/>
      <c r="AB398" s="48"/>
      <c r="AC398" s="48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</row>
    <row r="399" spans="27:47" x14ac:dyDescent="0.25">
      <c r="AA399" s="48"/>
      <c r="AB399" s="48"/>
      <c r="AC399" s="48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</row>
    <row r="400" spans="27:47" x14ac:dyDescent="0.25">
      <c r="AA400" s="48"/>
      <c r="AB400" s="48"/>
      <c r="AC400" s="48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</row>
    <row r="401" spans="27:47" x14ac:dyDescent="0.25">
      <c r="AA401" s="48"/>
      <c r="AB401" s="48"/>
      <c r="AC401" s="48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</row>
    <row r="402" spans="27:47" x14ac:dyDescent="0.25">
      <c r="AA402" s="48"/>
      <c r="AB402" s="48"/>
      <c r="AC402" s="48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</row>
    <row r="403" spans="27:47" x14ac:dyDescent="0.25">
      <c r="AA403" s="48"/>
      <c r="AB403" s="48"/>
      <c r="AC403" s="48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</row>
    <row r="404" spans="27:47" x14ac:dyDescent="0.25">
      <c r="AA404" s="48"/>
      <c r="AB404" s="48"/>
      <c r="AC404" s="48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</row>
    <row r="405" spans="27:47" x14ac:dyDescent="0.25">
      <c r="AA405" s="48"/>
      <c r="AB405" s="48"/>
      <c r="AC405" s="48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</row>
    <row r="406" spans="27:47" x14ac:dyDescent="0.25">
      <c r="AA406" s="48"/>
      <c r="AB406" s="48"/>
      <c r="AC406" s="48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</row>
    <row r="407" spans="27:47" x14ac:dyDescent="0.25">
      <c r="AA407" s="48"/>
      <c r="AB407" s="48"/>
      <c r="AC407" s="48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</row>
    <row r="408" spans="27:47" x14ac:dyDescent="0.25">
      <c r="AA408" s="48"/>
      <c r="AB408" s="48"/>
      <c r="AC408" s="48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</row>
    <row r="409" spans="27:47" x14ac:dyDescent="0.25">
      <c r="AA409" s="48"/>
      <c r="AB409" s="48"/>
      <c r="AC409" s="48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</row>
    <row r="410" spans="27:47" x14ac:dyDescent="0.25">
      <c r="AA410" s="48"/>
      <c r="AB410" s="48"/>
      <c r="AC410" s="48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</row>
    <row r="411" spans="27:47" x14ac:dyDescent="0.25">
      <c r="AA411" s="48"/>
      <c r="AB411" s="48"/>
      <c r="AC411" s="48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</row>
    <row r="412" spans="27:47" x14ac:dyDescent="0.25">
      <c r="AA412" s="48"/>
      <c r="AB412" s="48"/>
      <c r="AC412" s="48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</row>
    <row r="413" spans="27:47" x14ac:dyDescent="0.25">
      <c r="AA413" s="48"/>
      <c r="AB413" s="48"/>
      <c r="AC413" s="48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</row>
    <row r="414" spans="27:47" x14ac:dyDescent="0.25">
      <c r="AA414" s="48"/>
      <c r="AB414" s="48"/>
      <c r="AC414" s="48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</row>
    <row r="415" spans="27:47" x14ac:dyDescent="0.25">
      <c r="AA415" s="48"/>
      <c r="AB415" s="48"/>
      <c r="AC415" s="48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</row>
    <row r="416" spans="27:47" x14ac:dyDescent="0.25">
      <c r="AA416" s="48"/>
      <c r="AB416" s="48"/>
      <c r="AC416" s="48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</row>
    <row r="417" spans="27:47" x14ac:dyDescent="0.25">
      <c r="AA417" s="48"/>
      <c r="AB417" s="48"/>
      <c r="AC417" s="48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</row>
    <row r="418" spans="27:47" x14ac:dyDescent="0.25">
      <c r="AA418" s="48"/>
      <c r="AB418" s="48"/>
      <c r="AC418" s="48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</row>
    <row r="419" spans="27:47" x14ac:dyDescent="0.25">
      <c r="AA419" s="48"/>
      <c r="AB419" s="48"/>
      <c r="AC419" s="48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</row>
    <row r="420" spans="27:47" x14ac:dyDescent="0.25">
      <c r="AA420" s="48"/>
      <c r="AB420" s="48"/>
      <c r="AC420" s="48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</row>
    <row r="421" spans="27:47" x14ac:dyDescent="0.25">
      <c r="AA421" s="48"/>
      <c r="AB421" s="48"/>
      <c r="AC421" s="48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</row>
    <row r="422" spans="27:47" x14ac:dyDescent="0.25">
      <c r="AA422" s="48"/>
      <c r="AB422" s="48"/>
      <c r="AC422" s="48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</row>
    <row r="423" spans="27:47" x14ac:dyDescent="0.25">
      <c r="AA423" s="48"/>
      <c r="AB423" s="48"/>
      <c r="AC423" s="48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</row>
    <row r="424" spans="27:47" x14ac:dyDescent="0.25">
      <c r="AA424" s="48"/>
      <c r="AB424" s="48"/>
      <c r="AC424" s="48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</row>
    <row r="425" spans="27:47" x14ac:dyDescent="0.25">
      <c r="AA425" s="48"/>
      <c r="AB425" s="48"/>
      <c r="AC425" s="48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</row>
    <row r="426" spans="27:47" x14ac:dyDescent="0.25">
      <c r="AA426" s="48"/>
      <c r="AB426" s="48"/>
      <c r="AC426" s="48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</row>
    <row r="427" spans="27:47" x14ac:dyDescent="0.25">
      <c r="AA427" s="48"/>
      <c r="AB427" s="48"/>
      <c r="AC427" s="48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</row>
    <row r="428" spans="27:47" x14ac:dyDescent="0.25">
      <c r="AA428" s="48"/>
      <c r="AB428" s="48"/>
      <c r="AC428" s="48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</row>
    <row r="429" spans="27:47" x14ac:dyDescent="0.25">
      <c r="AA429" s="48"/>
      <c r="AB429" s="48"/>
      <c r="AC429" s="48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</row>
    <row r="430" spans="27:47" x14ac:dyDescent="0.25">
      <c r="AA430" s="48"/>
      <c r="AB430" s="48"/>
      <c r="AC430" s="48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</row>
    <row r="431" spans="27:47" x14ac:dyDescent="0.25">
      <c r="AA431" s="48"/>
      <c r="AB431" s="48"/>
      <c r="AC431" s="48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</row>
    <row r="432" spans="27:47" x14ac:dyDescent="0.25">
      <c r="AA432" s="48"/>
      <c r="AB432" s="48"/>
      <c r="AC432" s="48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</row>
    <row r="433" spans="27:47" x14ac:dyDescent="0.25">
      <c r="AA433" s="48"/>
      <c r="AB433" s="48"/>
      <c r="AC433" s="48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</row>
    <row r="434" spans="27:47" x14ac:dyDescent="0.25">
      <c r="AA434" s="48"/>
      <c r="AB434" s="48"/>
      <c r="AC434" s="48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</row>
    <row r="435" spans="27:47" x14ac:dyDescent="0.25">
      <c r="AA435" s="48"/>
      <c r="AB435" s="48"/>
      <c r="AC435" s="48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</row>
    <row r="436" spans="27:47" x14ac:dyDescent="0.25">
      <c r="AA436" s="48"/>
      <c r="AB436" s="48"/>
      <c r="AC436" s="48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</row>
    <row r="437" spans="27:47" x14ac:dyDescent="0.25"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</row>
    <row r="438" spans="27:47" x14ac:dyDescent="0.25"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</row>
    <row r="439" spans="27:47" x14ac:dyDescent="0.25"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</row>
    <row r="440" spans="27:47" x14ac:dyDescent="0.25"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</row>
    <row r="441" spans="27:47" x14ac:dyDescent="0.25"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</row>
    <row r="442" spans="27:47" x14ac:dyDescent="0.25"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</row>
    <row r="443" spans="27:47" x14ac:dyDescent="0.25"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</row>
    <row r="444" spans="27:47" x14ac:dyDescent="0.25"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</row>
    <row r="445" spans="27:47" x14ac:dyDescent="0.25"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</row>
    <row r="446" spans="27:47" x14ac:dyDescent="0.25"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</row>
    <row r="447" spans="27:47" x14ac:dyDescent="0.25"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</row>
    <row r="448" spans="27:47" x14ac:dyDescent="0.25"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</row>
    <row r="449" spans="28:47" x14ac:dyDescent="0.25"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</row>
    <row r="450" spans="28:47" x14ac:dyDescent="0.25"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</row>
    <row r="451" spans="28:47" x14ac:dyDescent="0.25"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</row>
    <row r="452" spans="28:47" x14ac:dyDescent="0.25"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</row>
    <row r="453" spans="28:47" x14ac:dyDescent="0.25"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</row>
    <row r="454" spans="28:47" x14ac:dyDescent="0.25"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</row>
    <row r="455" spans="28:47" x14ac:dyDescent="0.25"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</row>
    <row r="456" spans="28:47" x14ac:dyDescent="0.25"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</row>
    <row r="457" spans="28:47" x14ac:dyDescent="0.25"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</row>
    <row r="458" spans="28:47" x14ac:dyDescent="0.25"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</row>
    <row r="459" spans="28:47" x14ac:dyDescent="0.25"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</row>
    <row r="460" spans="28:47" x14ac:dyDescent="0.25"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</row>
    <row r="461" spans="28:47" x14ac:dyDescent="0.25"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</row>
    <row r="462" spans="28:47" x14ac:dyDescent="0.25"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</row>
    <row r="463" spans="28:47" x14ac:dyDescent="0.25"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</row>
    <row r="464" spans="28:47" x14ac:dyDescent="0.25"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</row>
    <row r="465" spans="28:47" x14ac:dyDescent="0.25"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</row>
    <row r="466" spans="28:47" x14ac:dyDescent="0.25"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</row>
    <row r="467" spans="28:47" x14ac:dyDescent="0.25"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</row>
    <row r="468" spans="28:47" x14ac:dyDescent="0.25"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</row>
    <row r="469" spans="28:47" x14ac:dyDescent="0.25"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</row>
    <row r="470" spans="28:47" x14ac:dyDescent="0.25"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</row>
    <row r="471" spans="28:47" x14ac:dyDescent="0.25"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</row>
    <row r="472" spans="28:47" x14ac:dyDescent="0.25"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</row>
    <row r="473" spans="28:47" x14ac:dyDescent="0.25"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</row>
    <row r="474" spans="28:47" x14ac:dyDescent="0.25"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</row>
    <row r="475" spans="28:47" x14ac:dyDescent="0.25"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</row>
    <row r="476" spans="28:47" x14ac:dyDescent="0.25"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</row>
    <row r="477" spans="28:47" x14ac:dyDescent="0.25"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</row>
    <row r="478" spans="28:47" x14ac:dyDescent="0.25"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</row>
    <row r="479" spans="28:47" x14ac:dyDescent="0.25"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</row>
    <row r="480" spans="28:47" x14ac:dyDescent="0.25"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</row>
    <row r="481" spans="28:47" x14ac:dyDescent="0.25"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</row>
    <row r="482" spans="28:47" x14ac:dyDescent="0.25"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</row>
    <row r="483" spans="28:47" x14ac:dyDescent="0.25"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</row>
    <row r="484" spans="28:47" x14ac:dyDescent="0.25"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</row>
    <row r="485" spans="28:47" x14ac:dyDescent="0.25"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</row>
    <row r="486" spans="28:47" x14ac:dyDescent="0.25"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</row>
    <row r="487" spans="28:47" x14ac:dyDescent="0.25"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</row>
    <row r="488" spans="28:47" x14ac:dyDescent="0.25"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</row>
    <row r="489" spans="28:47" x14ac:dyDescent="0.25"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</row>
    <row r="490" spans="28:47" x14ac:dyDescent="0.25"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</row>
    <row r="491" spans="28:47" x14ac:dyDescent="0.25"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</row>
    <row r="492" spans="28:47" x14ac:dyDescent="0.25"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</row>
    <row r="493" spans="28:47" x14ac:dyDescent="0.25"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</row>
    <row r="494" spans="28:47" x14ac:dyDescent="0.25"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</row>
    <row r="495" spans="28:47" x14ac:dyDescent="0.25"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</row>
    <row r="496" spans="28:47" x14ac:dyDescent="0.25"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</row>
    <row r="497" spans="28:47" x14ac:dyDescent="0.25"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</row>
    <row r="498" spans="28:47" x14ac:dyDescent="0.25"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</row>
    <row r="499" spans="28:47" x14ac:dyDescent="0.25"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</row>
    <row r="500" spans="28:47" x14ac:dyDescent="0.25"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</row>
    <row r="501" spans="28:47" x14ac:dyDescent="0.25"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</row>
    <row r="502" spans="28:47" x14ac:dyDescent="0.25"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</row>
    <row r="503" spans="28:47" x14ac:dyDescent="0.25"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</row>
    <row r="504" spans="28:47" x14ac:dyDescent="0.25"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</row>
    <row r="505" spans="28:47" x14ac:dyDescent="0.25"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</row>
    <row r="506" spans="28:47" x14ac:dyDescent="0.25"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</row>
    <row r="507" spans="28:47" x14ac:dyDescent="0.25"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</row>
    <row r="508" spans="28:47" x14ac:dyDescent="0.25"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</row>
    <row r="509" spans="28:47" x14ac:dyDescent="0.25"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</row>
    <row r="510" spans="28:47" x14ac:dyDescent="0.25"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</row>
    <row r="511" spans="28:47" x14ac:dyDescent="0.25"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</row>
    <row r="512" spans="28:47" x14ac:dyDescent="0.25"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</row>
    <row r="513" spans="28:47" x14ac:dyDescent="0.25"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</row>
    <row r="514" spans="28:47" x14ac:dyDescent="0.25"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</row>
    <row r="515" spans="28:47" x14ac:dyDescent="0.25"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</row>
    <row r="516" spans="28:47" x14ac:dyDescent="0.25"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</row>
    <row r="517" spans="28:47" x14ac:dyDescent="0.25"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</row>
    <row r="518" spans="28:47" x14ac:dyDescent="0.25"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</row>
    <row r="519" spans="28:47" x14ac:dyDescent="0.25"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</row>
    <row r="520" spans="28:47" x14ac:dyDescent="0.25"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</row>
    <row r="521" spans="28:47" x14ac:dyDescent="0.25"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</row>
    <row r="522" spans="28:47" x14ac:dyDescent="0.25"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</row>
    <row r="523" spans="28:47" x14ac:dyDescent="0.25"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</row>
    <row r="524" spans="28:47" x14ac:dyDescent="0.25"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</row>
    <row r="525" spans="28:47" x14ac:dyDescent="0.25"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</row>
    <row r="526" spans="28:47" x14ac:dyDescent="0.25"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</row>
    <row r="527" spans="28:47" x14ac:dyDescent="0.25"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</row>
    <row r="528" spans="28:47" x14ac:dyDescent="0.25"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</row>
    <row r="529" spans="28:47" x14ac:dyDescent="0.25"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</row>
    <row r="530" spans="28:47" x14ac:dyDescent="0.25"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</row>
    <row r="531" spans="28:47" x14ac:dyDescent="0.25"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</row>
    <row r="532" spans="28:47" x14ac:dyDescent="0.25"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</row>
    <row r="533" spans="28:47" x14ac:dyDescent="0.25"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</row>
    <row r="534" spans="28:47" x14ac:dyDescent="0.25"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</row>
    <row r="535" spans="28:47" x14ac:dyDescent="0.25"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</row>
    <row r="536" spans="28:47" x14ac:dyDescent="0.25"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</row>
    <row r="537" spans="28:47" x14ac:dyDescent="0.25"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</row>
    <row r="538" spans="28:47" x14ac:dyDescent="0.25"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</row>
    <row r="539" spans="28:47" x14ac:dyDescent="0.25"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</row>
    <row r="540" spans="28:47" x14ac:dyDescent="0.25"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</row>
    <row r="541" spans="28:47" x14ac:dyDescent="0.25"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</row>
    <row r="542" spans="28:47" x14ac:dyDescent="0.25"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</row>
    <row r="543" spans="28:47" x14ac:dyDescent="0.25"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</row>
    <row r="544" spans="28:47" x14ac:dyDescent="0.25"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</row>
    <row r="545" spans="28:47" x14ac:dyDescent="0.25"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</row>
    <row r="546" spans="28:47" x14ac:dyDescent="0.25"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</row>
    <row r="547" spans="28:47" x14ac:dyDescent="0.25"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</row>
    <row r="548" spans="28:47" x14ac:dyDescent="0.25"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</row>
    <row r="549" spans="28:47" x14ac:dyDescent="0.25"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</row>
    <row r="550" spans="28:47" x14ac:dyDescent="0.25"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</row>
    <row r="551" spans="28:47" x14ac:dyDescent="0.25"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</row>
    <row r="552" spans="28:47" x14ac:dyDescent="0.25"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</row>
    <row r="553" spans="28:47" x14ac:dyDescent="0.25"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</row>
    <row r="554" spans="28:47" x14ac:dyDescent="0.25"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</row>
    <row r="555" spans="28:47" x14ac:dyDescent="0.25"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</row>
    <row r="556" spans="28:47" x14ac:dyDescent="0.25"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</row>
    <row r="557" spans="28:47" x14ac:dyDescent="0.25"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</row>
    <row r="558" spans="28:47" x14ac:dyDescent="0.25"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</row>
    <row r="559" spans="28:47" x14ac:dyDescent="0.25"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</row>
    <row r="560" spans="28:47" x14ac:dyDescent="0.25"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</row>
    <row r="561" spans="28:47" x14ac:dyDescent="0.25"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</row>
    <row r="562" spans="28:47" x14ac:dyDescent="0.25"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</row>
    <row r="563" spans="28:47" x14ac:dyDescent="0.25"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</row>
    <row r="564" spans="28:47" x14ac:dyDescent="0.25"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</row>
    <row r="565" spans="28:47" x14ac:dyDescent="0.25"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</row>
    <row r="566" spans="28:47" x14ac:dyDescent="0.25"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</row>
    <row r="567" spans="28:47" x14ac:dyDescent="0.25"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</row>
    <row r="568" spans="28:47" x14ac:dyDescent="0.25"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</row>
    <row r="569" spans="28:47" x14ac:dyDescent="0.25"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</row>
    <row r="570" spans="28:47" x14ac:dyDescent="0.25"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</row>
    <row r="571" spans="28:47" x14ac:dyDescent="0.25"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</row>
    <row r="572" spans="28:47" x14ac:dyDescent="0.25"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</row>
    <row r="573" spans="28:47" x14ac:dyDescent="0.25"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</row>
    <row r="574" spans="28:47" x14ac:dyDescent="0.25"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</row>
    <row r="575" spans="28:47" x14ac:dyDescent="0.25"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</row>
    <row r="576" spans="28:47" x14ac:dyDescent="0.25"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</row>
    <row r="577" spans="28:47" x14ac:dyDescent="0.25"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</row>
    <row r="578" spans="28:47" x14ac:dyDescent="0.25"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</row>
    <row r="579" spans="28:47" x14ac:dyDescent="0.25"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</row>
    <row r="580" spans="28:47" x14ac:dyDescent="0.25"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</row>
    <row r="581" spans="28:47" x14ac:dyDescent="0.25"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</row>
    <row r="582" spans="28:47" x14ac:dyDescent="0.25"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</row>
    <row r="583" spans="28:47" x14ac:dyDescent="0.25"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</row>
    <row r="584" spans="28:47" x14ac:dyDescent="0.25"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</row>
    <row r="585" spans="28:47" x14ac:dyDescent="0.25"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</row>
    <row r="586" spans="28:47" x14ac:dyDescent="0.25"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</row>
    <row r="587" spans="28:47" x14ac:dyDescent="0.25"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</row>
    <row r="588" spans="28:47" x14ac:dyDescent="0.25"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</row>
    <row r="589" spans="28:47" x14ac:dyDescent="0.25"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</row>
    <row r="590" spans="28:47" x14ac:dyDescent="0.25"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</row>
    <row r="591" spans="28:47" x14ac:dyDescent="0.25"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</row>
    <row r="592" spans="28:47" x14ac:dyDescent="0.25"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</row>
    <row r="593" spans="28:47" x14ac:dyDescent="0.25"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</row>
    <row r="594" spans="28:47" x14ac:dyDescent="0.25"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</row>
    <row r="595" spans="28:47" x14ac:dyDescent="0.25"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</row>
    <row r="596" spans="28:47" x14ac:dyDescent="0.25"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</row>
    <row r="597" spans="28:47" x14ac:dyDescent="0.25"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</row>
    <row r="598" spans="28:47" x14ac:dyDescent="0.25"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</row>
    <row r="599" spans="28:47" x14ac:dyDescent="0.25"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</row>
    <row r="600" spans="28:47" x14ac:dyDescent="0.25"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</row>
    <row r="601" spans="28:47" x14ac:dyDescent="0.25"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</row>
    <row r="602" spans="28:47" x14ac:dyDescent="0.25"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</row>
    <row r="603" spans="28:47" x14ac:dyDescent="0.25"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</row>
    <row r="604" spans="28:47" x14ac:dyDescent="0.25"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</row>
    <row r="605" spans="28:47" x14ac:dyDescent="0.25"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</row>
    <row r="606" spans="28:47" x14ac:dyDescent="0.25"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</row>
    <row r="607" spans="28:47" x14ac:dyDescent="0.25"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</row>
    <row r="608" spans="28:47" x14ac:dyDescent="0.25"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</row>
    <row r="609" spans="28:47" x14ac:dyDescent="0.25"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</row>
    <row r="610" spans="28:47" x14ac:dyDescent="0.25"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</row>
    <row r="611" spans="28:47" x14ac:dyDescent="0.25"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</row>
    <row r="612" spans="28:47" x14ac:dyDescent="0.25"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</row>
    <row r="613" spans="28:47" x14ac:dyDescent="0.25"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</row>
    <row r="614" spans="28:47" x14ac:dyDescent="0.25"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</row>
    <row r="615" spans="28:47" x14ac:dyDescent="0.25"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</row>
    <row r="616" spans="28:47" x14ac:dyDescent="0.25"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</row>
    <row r="617" spans="28:47" x14ac:dyDescent="0.25"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</row>
    <row r="618" spans="28:47" x14ac:dyDescent="0.25"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</row>
    <row r="619" spans="28:47" x14ac:dyDescent="0.25"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</row>
    <row r="620" spans="28:47" x14ac:dyDescent="0.25"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</row>
    <row r="621" spans="28:47" x14ac:dyDescent="0.25"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</row>
    <row r="622" spans="28:47" x14ac:dyDescent="0.25"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</row>
    <row r="623" spans="28:47" x14ac:dyDescent="0.25"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</row>
    <row r="624" spans="28:47" x14ac:dyDescent="0.25"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</row>
    <row r="625" spans="28:47" x14ac:dyDescent="0.25"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</row>
    <row r="626" spans="28:47" x14ac:dyDescent="0.25"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</row>
    <row r="627" spans="28:47" x14ac:dyDescent="0.25"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</row>
    <row r="628" spans="28:47" x14ac:dyDescent="0.25"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</row>
    <row r="629" spans="28:47" x14ac:dyDescent="0.25"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</row>
    <row r="630" spans="28:47" x14ac:dyDescent="0.25"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</row>
    <row r="631" spans="28:47" x14ac:dyDescent="0.25"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</row>
    <row r="632" spans="28:47" x14ac:dyDescent="0.25"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</row>
  </sheetData>
  <sheetProtection algorithmName="SHA-512" hashValue="W8gVY9PCtCqRirD6Sbq5EYu+w8KgkHp5xhCsRgffK8NQP586h16Ei/Ce5TJ0Kpm9Z0Zkb0RxozdYVBoh5NZArg==" saltValue="KV3z/UeHo8dyawY7zbMo4A==" spinCount="100000" sheet="1" objects="1" scenarios="1"/>
  <protectedRanges>
    <protectedRange sqref="O4" name="Plage2"/>
    <protectedRange sqref="C4:E10 O5:P12 T4:T5" name="Plage1"/>
  </protectedRanges>
  <mergeCells count="6">
    <mergeCell ref="I34:P34"/>
    <mergeCell ref="H3:N3"/>
    <mergeCell ref="O3:P3"/>
    <mergeCell ref="F34:H34"/>
    <mergeCell ref="AB9:AC9"/>
    <mergeCell ref="O4:P4"/>
  </mergeCells>
  <hyperlinks>
    <hyperlink ref="B55" r:id="rId1" xr:uid="{00000000-0004-0000-0000-000000000000}"/>
  </hyperlinks>
  <pageMargins left="0.7" right="0.7" top="0.75" bottom="0.75" header="0.3" footer="0.3"/>
  <ignoredErrors>
    <ignoredError sqref="X19:X2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29</v>
      </c>
    </row>
    <row r="2" spans="1:11" ht="12.75" thickBot="1" x14ac:dyDescent="0.25">
      <c r="B2" s="14" t="s">
        <v>30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31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32</v>
      </c>
      <c r="C5" s="17" t="s">
        <v>17</v>
      </c>
      <c r="D5" s="17" t="s">
        <v>25</v>
      </c>
      <c r="E5" s="17" t="s">
        <v>26</v>
      </c>
      <c r="F5" s="17" t="s">
        <v>27</v>
      </c>
      <c r="G5" s="17" t="s">
        <v>28</v>
      </c>
    </row>
    <row r="6" spans="1:11" s="18" customFormat="1" x14ac:dyDescent="0.2">
      <c r="A6" s="18">
        <v>2</v>
      </c>
      <c r="B6" s="32" t="s">
        <v>41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42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43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44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45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46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47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48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49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50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51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33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34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35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36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37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38</v>
      </c>
    </row>
    <row r="28" spans="2:7" x14ac:dyDescent="0.2">
      <c r="B28" s="14" t="s">
        <v>39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40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17</v>
      </c>
    </row>
    <row r="2" spans="1:9" ht="13.5" thickBot="1" x14ac:dyDescent="0.25">
      <c r="A2" s="3" t="s">
        <v>41</v>
      </c>
      <c r="B2" s="4">
        <v>80</v>
      </c>
    </row>
    <row r="4" spans="1:9" x14ac:dyDescent="0.2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H4" s="2" t="s">
        <v>23</v>
      </c>
      <c r="I4" s="2" t="s">
        <v>24</v>
      </c>
    </row>
    <row r="5" spans="1:9" x14ac:dyDescent="0.2">
      <c r="A5" s="2" t="s">
        <v>79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80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81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82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83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84</v>
      </c>
      <c r="B11" s="2">
        <f>COUNT(B5:B9)</f>
        <v>0</v>
      </c>
      <c r="C11" s="7"/>
    </row>
    <row r="12" spans="1:9" x14ac:dyDescent="0.2">
      <c r="A12" s="2" t="s">
        <v>85</v>
      </c>
      <c r="B12" s="2">
        <f>COUNT(B5:F9)</f>
        <v>0</v>
      </c>
      <c r="C12" s="7"/>
    </row>
    <row r="13" spans="1:9" x14ac:dyDescent="0.2">
      <c r="A13" s="2" t="s">
        <v>86</v>
      </c>
      <c r="B13" s="2">
        <f>IF(H5*B11&lt;&gt;B12,"Calcul impossible",H5)</f>
        <v>0</v>
      </c>
      <c r="C13" s="7"/>
    </row>
    <row r="14" spans="1:9" x14ac:dyDescent="0.2">
      <c r="A14" s="2" t="s">
        <v>87</v>
      </c>
      <c r="B14" s="8">
        <f>SUM(I5:I9)</f>
        <v>0</v>
      </c>
      <c r="C14" s="7"/>
    </row>
    <row r="15" spans="1:9" x14ac:dyDescent="0.2">
      <c r="A15" s="2" t="s">
        <v>88</v>
      </c>
      <c r="B15" s="8" t="e">
        <f>DEVSQ(B5:F9)</f>
        <v>#REF!</v>
      </c>
      <c r="C15" s="7"/>
    </row>
    <row r="16" spans="1:9" x14ac:dyDescent="0.2">
      <c r="A16" s="2" t="s">
        <v>89</v>
      </c>
      <c r="B16" s="8" t="e">
        <f>B15-B14</f>
        <v>#REF!</v>
      </c>
      <c r="C16" s="7"/>
    </row>
    <row r="17" spans="1:9" x14ac:dyDescent="0.2">
      <c r="A17" s="2" t="s">
        <v>90</v>
      </c>
      <c r="B17" s="8" t="e">
        <f>((B16/(B11-1))-B18)/B13</f>
        <v>#REF!</v>
      </c>
      <c r="C17" s="7"/>
    </row>
    <row r="18" spans="1:9" x14ac:dyDescent="0.2">
      <c r="A18" s="2" t="s">
        <v>91</v>
      </c>
      <c r="B18" s="8" t="e">
        <f>B14/(B12-B11)</f>
        <v>#DIV/0!</v>
      </c>
      <c r="C18" s="7"/>
    </row>
    <row r="19" spans="1:9" x14ac:dyDescent="0.2">
      <c r="A19" s="2" t="s">
        <v>92</v>
      </c>
      <c r="B19" s="8" t="e">
        <f>IF(B17&lt;0,0,B17)</f>
        <v>#REF!</v>
      </c>
      <c r="C19" s="7"/>
    </row>
    <row r="20" spans="1:9" x14ac:dyDescent="0.2">
      <c r="A20" s="2" t="s">
        <v>93</v>
      </c>
      <c r="B20" s="8" t="e">
        <f>SUM(B18:B19)</f>
        <v>#DIV/0!</v>
      </c>
      <c r="C20" s="7"/>
    </row>
    <row r="21" spans="1:9" s="3" customFormat="1" ht="12.75" x14ac:dyDescent="0.2">
      <c r="A21" s="3" t="s">
        <v>94</v>
      </c>
    </row>
    <row r="22" spans="1:9" x14ac:dyDescent="0.2">
      <c r="A22" s="2" t="s">
        <v>42</v>
      </c>
      <c r="B22" s="8" t="e">
        <f>AVERAGE(B5:F9)</f>
        <v>#REF!</v>
      </c>
      <c r="C22" s="7"/>
    </row>
    <row r="23" spans="1:9" ht="12" customHeight="1" x14ac:dyDescent="0.2">
      <c r="A23" s="2" t="s">
        <v>43</v>
      </c>
      <c r="B23" s="8" t="e">
        <f>SQRT(B18)</f>
        <v>#DIV/0!</v>
      </c>
      <c r="C23" s="7"/>
    </row>
    <row r="24" spans="1:9" x14ac:dyDescent="0.2">
      <c r="A24" s="2" t="s">
        <v>44</v>
      </c>
      <c r="B24" s="8" t="e">
        <f>SQRT(B19)</f>
        <v>#REF!</v>
      </c>
      <c r="C24" s="7"/>
    </row>
    <row r="25" spans="1:9" x14ac:dyDescent="0.2">
      <c r="A25" s="2" t="s">
        <v>45</v>
      </c>
      <c r="B25" s="8" t="e">
        <f>SQRT(B20)</f>
        <v>#DIV/0!</v>
      </c>
      <c r="C25" s="7"/>
    </row>
    <row r="26" spans="1:9" s="3" customFormat="1" ht="12.75" x14ac:dyDescent="0.2">
      <c r="A26" s="3" t="s">
        <v>95</v>
      </c>
    </row>
    <row r="27" spans="1:9" ht="15" x14ac:dyDescent="0.25">
      <c r="A27" s="2" t="s">
        <v>51</v>
      </c>
      <c r="B27" s="9" t="e">
        <f>B22/B2-1</f>
        <v>#REF!</v>
      </c>
      <c r="C27" s="7"/>
    </row>
    <row r="28" spans="1:9" s="3" customFormat="1" ht="12.75" x14ac:dyDescent="0.2">
      <c r="A28" s="3" t="s">
        <v>96</v>
      </c>
    </row>
    <row r="29" spans="1:9" x14ac:dyDescent="0.2">
      <c r="A29" s="2" t="s">
        <v>46</v>
      </c>
      <c r="B29" s="8" t="e">
        <f>B19/B18</f>
        <v>#REF!</v>
      </c>
      <c r="C29" s="7"/>
    </row>
    <row r="30" spans="1:9" x14ac:dyDescent="0.2">
      <c r="A30" s="2" t="s">
        <v>97</v>
      </c>
      <c r="B30" s="8" t="e">
        <f>(B29+1)/(B13*B29+1)</f>
        <v>#REF!</v>
      </c>
      <c r="C30" s="7"/>
    </row>
    <row r="31" spans="1:9" x14ac:dyDescent="0.2">
      <c r="A31" s="2" t="s">
        <v>47</v>
      </c>
      <c r="B31" s="8" t="e">
        <f>SQRT(1+1/(B12*B30))</f>
        <v>#REF!</v>
      </c>
      <c r="C31" s="7"/>
    </row>
    <row r="32" spans="1:9" x14ac:dyDescent="0.2">
      <c r="A32" s="2" t="s">
        <v>48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30</v>
      </c>
      <c r="B33" s="8" t="e">
        <f>Récapitulatif!C2</f>
        <v>#REF!</v>
      </c>
      <c r="C33" s="7"/>
    </row>
    <row r="34" spans="1:3" x14ac:dyDescent="0.2">
      <c r="A34" s="2" t="s">
        <v>98</v>
      </c>
      <c r="B34" s="8" t="e">
        <f>TINV(1-B33,ROUNDDOWN(B32,0))</f>
        <v>#REF!</v>
      </c>
      <c r="C34" s="7"/>
    </row>
    <row r="35" spans="1:3" x14ac:dyDescent="0.2">
      <c r="A35" s="2" t="s">
        <v>99</v>
      </c>
      <c r="B35" s="8" t="e">
        <f>TINV(1-B33,ROUNDUP(B32,0))</f>
        <v>#REF!</v>
      </c>
      <c r="C35" s="7"/>
    </row>
    <row r="36" spans="1:3" x14ac:dyDescent="0.2">
      <c r="A36" s="2" t="s">
        <v>100</v>
      </c>
      <c r="B36" s="8" t="e">
        <f>B34-(B34-B35)*(B32-ROUNDDOWN(B32,0))</f>
        <v>#REF!</v>
      </c>
      <c r="C36" s="7"/>
    </row>
    <row r="37" spans="1:3" x14ac:dyDescent="0.2">
      <c r="A37" s="2" t="s">
        <v>101</v>
      </c>
      <c r="B37" s="8" t="e">
        <f>B36*B31</f>
        <v>#REF!</v>
      </c>
      <c r="C37" s="7"/>
    </row>
    <row r="38" spans="1:3" s="3" customFormat="1" ht="12.75" x14ac:dyDescent="0.2">
      <c r="A38" s="3" t="s">
        <v>102</v>
      </c>
    </row>
    <row r="39" spans="1:3" x14ac:dyDescent="0.2">
      <c r="A39" s="2" t="s">
        <v>49</v>
      </c>
      <c r="B39" s="8" t="e">
        <f>B22-B37*B25</f>
        <v>#REF!</v>
      </c>
      <c r="C39" s="7"/>
    </row>
    <row r="40" spans="1:3" x14ac:dyDescent="0.2">
      <c r="A40" s="2" t="s">
        <v>50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25</v>
      </c>
    </row>
    <row r="2" spans="1:9" ht="13.5" thickBot="1" x14ac:dyDescent="0.25">
      <c r="A2" s="3" t="s">
        <v>41</v>
      </c>
      <c r="B2" s="11">
        <v>90</v>
      </c>
    </row>
    <row r="4" spans="1:9" x14ac:dyDescent="0.2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H4" s="2" t="s">
        <v>23</v>
      </c>
      <c r="I4" s="2" t="s">
        <v>24</v>
      </c>
    </row>
    <row r="5" spans="1:9" x14ac:dyDescent="0.2">
      <c r="A5" s="2" t="s">
        <v>79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80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81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82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83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84</v>
      </c>
      <c r="B11" s="2">
        <f>COUNT(B5:B9)</f>
        <v>0</v>
      </c>
      <c r="C11" s="7"/>
    </row>
    <row r="12" spans="1:9" x14ac:dyDescent="0.2">
      <c r="A12" s="2" t="s">
        <v>85</v>
      </c>
      <c r="B12" s="2">
        <f>COUNT(B5:F9)</f>
        <v>0</v>
      </c>
      <c r="C12" s="7"/>
    </row>
    <row r="13" spans="1:9" x14ac:dyDescent="0.2">
      <c r="A13" s="2" t="s">
        <v>86</v>
      </c>
      <c r="B13" s="2">
        <f>IF(H5*B11&lt;&gt;B12,"Calcul impossible",H5)</f>
        <v>0</v>
      </c>
      <c r="C13" s="7"/>
    </row>
    <row r="14" spans="1:9" x14ac:dyDescent="0.2">
      <c r="A14" s="2" t="s">
        <v>87</v>
      </c>
      <c r="B14" s="12">
        <f>SUM(I5:I9)</f>
        <v>0</v>
      </c>
      <c r="C14" s="7"/>
    </row>
    <row r="15" spans="1:9" x14ac:dyDescent="0.2">
      <c r="A15" s="2" t="s">
        <v>88</v>
      </c>
      <c r="B15" s="12" t="e">
        <f>DEVSQ(B5:F9)</f>
        <v>#REF!</v>
      </c>
      <c r="C15" s="7"/>
    </row>
    <row r="16" spans="1:9" x14ac:dyDescent="0.2">
      <c r="A16" s="2" t="s">
        <v>89</v>
      </c>
      <c r="B16" s="12" t="e">
        <f>B15-B14</f>
        <v>#REF!</v>
      </c>
      <c r="C16" s="7"/>
    </row>
    <row r="17" spans="1:9" x14ac:dyDescent="0.2">
      <c r="A17" s="2" t="s">
        <v>90</v>
      </c>
      <c r="B17" s="12" t="e">
        <f>((B16/(B11-1))-B18)/B13</f>
        <v>#REF!</v>
      </c>
      <c r="C17" s="7"/>
    </row>
    <row r="18" spans="1:9" x14ac:dyDescent="0.2">
      <c r="A18" s="2" t="s">
        <v>91</v>
      </c>
      <c r="B18" s="12" t="e">
        <f>B14/(B12-B11)</f>
        <v>#DIV/0!</v>
      </c>
      <c r="C18" s="7"/>
    </row>
    <row r="19" spans="1:9" x14ac:dyDescent="0.2">
      <c r="A19" s="2" t="s">
        <v>92</v>
      </c>
      <c r="B19" s="12" t="e">
        <f>IF(B17&lt;0,0,B17)</f>
        <v>#REF!</v>
      </c>
      <c r="C19" s="7"/>
    </row>
    <row r="20" spans="1:9" x14ac:dyDescent="0.2">
      <c r="A20" s="2" t="s">
        <v>93</v>
      </c>
      <c r="B20" s="12" t="e">
        <f>SUM(B18:B19)</f>
        <v>#DIV/0!</v>
      </c>
      <c r="C20" s="7"/>
    </row>
    <row r="21" spans="1:9" s="3" customFormat="1" ht="12.75" x14ac:dyDescent="0.2">
      <c r="A21" s="3" t="s">
        <v>94</v>
      </c>
    </row>
    <row r="22" spans="1:9" x14ac:dyDescent="0.2">
      <c r="A22" s="2" t="s">
        <v>42</v>
      </c>
      <c r="B22" s="12" t="e">
        <f>AVERAGE(B5:F9)</f>
        <v>#REF!</v>
      </c>
      <c r="C22" s="7"/>
    </row>
    <row r="23" spans="1:9" ht="12" customHeight="1" x14ac:dyDescent="0.2">
      <c r="A23" s="2" t="s">
        <v>43</v>
      </c>
      <c r="B23" s="12" t="e">
        <f>SQRT(B18)</f>
        <v>#DIV/0!</v>
      </c>
      <c r="C23" s="7"/>
    </row>
    <row r="24" spans="1:9" x14ac:dyDescent="0.2">
      <c r="A24" s="2" t="s">
        <v>44</v>
      </c>
      <c r="B24" s="12" t="e">
        <f>SQRT(B19)</f>
        <v>#REF!</v>
      </c>
      <c r="C24" s="7"/>
    </row>
    <row r="25" spans="1:9" x14ac:dyDescent="0.2">
      <c r="A25" s="2" t="s">
        <v>45</v>
      </c>
      <c r="B25" s="12" t="e">
        <f>SQRT(B20)</f>
        <v>#DIV/0!</v>
      </c>
      <c r="C25" s="7"/>
    </row>
    <row r="26" spans="1:9" s="3" customFormat="1" ht="12.75" x14ac:dyDescent="0.2">
      <c r="A26" s="3" t="s">
        <v>95</v>
      </c>
    </row>
    <row r="27" spans="1:9" ht="15" x14ac:dyDescent="0.25">
      <c r="A27" s="2" t="s">
        <v>51</v>
      </c>
      <c r="B27" s="9" t="e">
        <f>B22/B2-1</f>
        <v>#REF!</v>
      </c>
      <c r="C27" s="7"/>
    </row>
    <row r="28" spans="1:9" s="3" customFormat="1" ht="12.75" x14ac:dyDescent="0.2">
      <c r="A28" s="3" t="s">
        <v>96</v>
      </c>
    </row>
    <row r="29" spans="1:9" x14ac:dyDescent="0.2">
      <c r="A29" s="2" t="s">
        <v>46</v>
      </c>
      <c r="B29" s="6" t="e">
        <f>B19/B18</f>
        <v>#REF!</v>
      </c>
      <c r="C29" s="7"/>
    </row>
    <row r="30" spans="1:9" x14ac:dyDescent="0.2">
      <c r="A30" s="2" t="s">
        <v>97</v>
      </c>
      <c r="B30" s="6" t="e">
        <f>(B29+1)/(B13*B29+1)</f>
        <v>#REF!</v>
      </c>
      <c r="C30" s="7"/>
    </row>
    <row r="31" spans="1:9" x14ac:dyDescent="0.2">
      <c r="A31" s="2" t="s">
        <v>47</v>
      </c>
      <c r="B31" s="6" t="e">
        <f>SQRT(1+1/(B12*B30))</f>
        <v>#REF!</v>
      </c>
      <c r="C31" s="7"/>
    </row>
    <row r="32" spans="1:9" x14ac:dyDescent="0.2">
      <c r="A32" s="2" t="s">
        <v>48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30</v>
      </c>
      <c r="B33" s="6" t="e">
        <f>Récapitulatif!C2</f>
        <v>#REF!</v>
      </c>
      <c r="C33" s="7"/>
    </row>
    <row r="34" spans="1:3" x14ac:dyDescent="0.2">
      <c r="A34" s="2" t="s">
        <v>98</v>
      </c>
      <c r="B34" s="6" t="e">
        <f>TINV(1-B33,ROUNDDOWN(B32,0))</f>
        <v>#REF!</v>
      </c>
      <c r="C34" s="7"/>
    </row>
    <row r="35" spans="1:3" x14ac:dyDescent="0.2">
      <c r="A35" s="2" t="s">
        <v>99</v>
      </c>
      <c r="B35" s="6" t="e">
        <f>TINV(1-B33,ROUNDUP(B32,0))</f>
        <v>#REF!</v>
      </c>
      <c r="C35" s="7"/>
    </row>
    <row r="36" spans="1:3" x14ac:dyDescent="0.2">
      <c r="A36" s="2" t="s">
        <v>100</v>
      </c>
      <c r="B36" s="6" t="e">
        <f>B34-(B34-B35)*(B32-ROUNDDOWN(B32,0))</f>
        <v>#REF!</v>
      </c>
      <c r="C36" s="7"/>
    </row>
    <row r="37" spans="1:3" x14ac:dyDescent="0.2">
      <c r="A37" s="2" t="s">
        <v>101</v>
      </c>
      <c r="B37" s="6" t="e">
        <f>B36*B31</f>
        <v>#REF!</v>
      </c>
      <c r="C37" s="7"/>
    </row>
    <row r="38" spans="1:3" s="3" customFormat="1" ht="12.75" x14ac:dyDescent="0.2">
      <c r="A38" s="3" t="s">
        <v>102</v>
      </c>
    </row>
    <row r="39" spans="1:3" x14ac:dyDescent="0.2">
      <c r="A39" s="2" t="s">
        <v>49</v>
      </c>
      <c r="B39" s="6" t="e">
        <f>B22-B37*B25</f>
        <v>#REF!</v>
      </c>
      <c r="C39" s="7"/>
    </row>
    <row r="40" spans="1:3" x14ac:dyDescent="0.2">
      <c r="A40" s="2" t="s">
        <v>50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26</v>
      </c>
    </row>
    <row r="2" spans="1:9" ht="13.5" thickBot="1" x14ac:dyDescent="0.25">
      <c r="A2" s="3" t="s">
        <v>41</v>
      </c>
      <c r="B2" s="4">
        <v>100</v>
      </c>
    </row>
    <row r="4" spans="1:9" x14ac:dyDescent="0.2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H4" s="2" t="s">
        <v>23</v>
      </c>
      <c r="I4" s="2" t="s">
        <v>24</v>
      </c>
    </row>
    <row r="5" spans="1:9" x14ac:dyDescent="0.2">
      <c r="A5" s="2" t="s">
        <v>79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80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81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82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83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84</v>
      </c>
      <c r="B11" s="2">
        <f>COUNT(B5:B9)</f>
        <v>0</v>
      </c>
      <c r="C11" s="7"/>
    </row>
    <row r="12" spans="1:9" x14ac:dyDescent="0.2">
      <c r="A12" s="2" t="s">
        <v>85</v>
      </c>
      <c r="B12" s="2">
        <f>COUNT(B5:F9)</f>
        <v>0</v>
      </c>
      <c r="C12" s="7"/>
    </row>
    <row r="13" spans="1:9" x14ac:dyDescent="0.2">
      <c r="A13" s="2" t="s">
        <v>86</v>
      </c>
      <c r="B13" s="2">
        <f>IF(H5*B11&lt;&gt;B12,"Calcul impossible",H5)</f>
        <v>0</v>
      </c>
      <c r="C13" s="7"/>
    </row>
    <row r="14" spans="1:9" x14ac:dyDescent="0.2">
      <c r="A14" s="2" t="s">
        <v>87</v>
      </c>
      <c r="B14" s="12">
        <f>SUM(I5:I9)</f>
        <v>0</v>
      </c>
      <c r="C14" s="7"/>
    </row>
    <row r="15" spans="1:9" x14ac:dyDescent="0.2">
      <c r="A15" s="2" t="s">
        <v>88</v>
      </c>
      <c r="B15" s="12" t="e">
        <f>DEVSQ(B5:F9)</f>
        <v>#REF!</v>
      </c>
      <c r="C15" s="7"/>
    </row>
    <row r="16" spans="1:9" x14ac:dyDescent="0.2">
      <c r="A16" s="2" t="s">
        <v>89</v>
      </c>
      <c r="B16" s="12" t="e">
        <f>B15-B14</f>
        <v>#REF!</v>
      </c>
      <c r="C16" s="7"/>
    </row>
    <row r="17" spans="1:9" x14ac:dyDescent="0.2">
      <c r="A17" s="2" t="s">
        <v>90</v>
      </c>
      <c r="B17" s="12" t="e">
        <f>((B16/(B11-1))-B18)/B13</f>
        <v>#REF!</v>
      </c>
      <c r="C17" s="7"/>
    </row>
    <row r="18" spans="1:9" x14ac:dyDescent="0.2">
      <c r="A18" s="2" t="s">
        <v>91</v>
      </c>
      <c r="B18" s="12" t="e">
        <f>B14/(B12-B11)</f>
        <v>#DIV/0!</v>
      </c>
      <c r="C18" s="7"/>
    </row>
    <row r="19" spans="1:9" x14ac:dyDescent="0.2">
      <c r="A19" s="2" t="s">
        <v>92</v>
      </c>
      <c r="B19" s="12" t="e">
        <f>IF(B17&lt;0,0,B17)</f>
        <v>#REF!</v>
      </c>
      <c r="C19" s="7"/>
    </row>
    <row r="20" spans="1:9" x14ac:dyDescent="0.2">
      <c r="A20" s="2" t="s">
        <v>93</v>
      </c>
      <c r="B20" s="12" t="e">
        <f>SUM(B18:B19)</f>
        <v>#DIV/0!</v>
      </c>
      <c r="C20" s="7"/>
    </row>
    <row r="21" spans="1:9" s="3" customFormat="1" ht="12.75" x14ac:dyDescent="0.2">
      <c r="A21" s="3" t="s">
        <v>94</v>
      </c>
    </row>
    <row r="22" spans="1:9" x14ac:dyDescent="0.2">
      <c r="A22" s="2" t="s">
        <v>42</v>
      </c>
      <c r="B22" s="12" t="e">
        <f>AVERAGE(B5:F9)</f>
        <v>#REF!</v>
      </c>
      <c r="C22" s="7"/>
    </row>
    <row r="23" spans="1:9" ht="12" customHeight="1" x14ac:dyDescent="0.2">
      <c r="A23" s="2" t="s">
        <v>43</v>
      </c>
      <c r="B23" s="12" t="e">
        <f>SQRT(B18)</f>
        <v>#DIV/0!</v>
      </c>
      <c r="C23" s="7"/>
    </row>
    <row r="24" spans="1:9" x14ac:dyDescent="0.2">
      <c r="A24" s="2" t="s">
        <v>44</v>
      </c>
      <c r="B24" s="12" t="e">
        <f>SQRT(B19)</f>
        <v>#REF!</v>
      </c>
      <c r="C24" s="7"/>
    </row>
    <row r="25" spans="1:9" x14ac:dyDescent="0.2">
      <c r="A25" s="2" t="s">
        <v>45</v>
      </c>
      <c r="B25" s="12" t="e">
        <f>SQRT(B20)</f>
        <v>#DIV/0!</v>
      </c>
      <c r="C25" s="7"/>
    </row>
    <row r="26" spans="1:9" s="3" customFormat="1" ht="12.75" x14ac:dyDescent="0.2">
      <c r="A26" s="3" t="s">
        <v>95</v>
      </c>
    </row>
    <row r="27" spans="1:9" ht="15" x14ac:dyDescent="0.25">
      <c r="A27" s="2" t="s">
        <v>51</v>
      </c>
      <c r="B27" s="9" t="e">
        <f>B22/B2-1</f>
        <v>#REF!</v>
      </c>
      <c r="C27" s="7"/>
    </row>
    <row r="28" spans="1:9" s="3" customFormat="1" ht="12.75" x14ac:dyDescent="0.2">
      <c r="A28" s="3" t="s">
        <v>96</v>
      </c>
    </row>
    <row r="29" spans="1:9" x14ac:dyDescent="0.2">
      <c r="A29" s="2" t="s">
        <v>46</v>
      </c>
      <c r="B29" s="6" t="e">
        <f>B19/B18</f>
        <v>#REF!</v>
      </c>
      <c r="C29" s="7"/>
    </row>
    <row r="30" spans="1:9" x14ac:dyDescent="0.2">
      <c r="A30" s="2" t="s">
        <v>97</v>
      </c>
      <c r="B30" s="6" t="e">
        <f>(B29+1)/(B13*B29+1)</f>
        <v>#REF!</v>
      </c>
      <c r="C30" s="7"/>
    </row>
    <row r="31" spans="1:9" x14ac:dyDescent="0.2">
      <c r="A31" s="2" t="s">
        <v>47</v>
      </c>
      <c r="B31" s="6" t="e">
        <f>SQRT(1+1/(B12*B30))</f>
        <v>#REF!</v>
      </c>
      <c r="C31" s="7"/>
    </row>
    <row r="32" spans="1:9" x14ac:dyDescent="0.2">
      <c r="A32" s="2" t="s">
        <v>48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30</v>
      </c>
      <c r="B33" s="6" t="e">
        <f>Récapitulatif!C2</f>
        <v>#REF!</v>
      </c>
      <c r="C33" s="7"/>
    </row>
    <row r="34" spans="1:3" x14ac:dyDescent="0.2">
      <c r="A34" s="2" t="s">
        <v>98</v>
      </c>
      <c r="B34" s="6" t="e">
        <f>TINV(1-B33,ROUNDDOWN(B32,0))</f>
        <v>#REF!</v>
      </c>
      <c r="C34" s="7"/>
    </row>
    <row r="35" spans="1:3" x14ac:dyDescent="0.2">
      <c r="A35" s="2" t="s">
        <v>99</v>
      </c>
      <c r="B35" s="6" t="e">
        <f>TINV(1-B33,ROUNDUP(B32,0))</f>
        <v>#REF!</v>
      </c>
      <c r="C35" s="7"/>
    </row>
    <row r="36" spans="1:3" x14ac:dyDescent="0.2">
      <c r="A36" s="2" t="s">
        <v>100</v>
      </c>
      <c r="B36" s="6" t="e">
        <f>B34-(B34-B35)*(B32-ROUNDDOWN(B32,0))</f>
        <v>#REF!</v>
      </c>
      <c r="C36" s="7"/>
    </row>
    <row r="37" spans="1:3" x14ac:dyDescent="0.2">
      <c r="A37" s="2" t="s">
        <v>101</v>
      </c>
      <c r="B37" s="6" t="e">
        <f>B36*B31</f>
        <v>#REF!</v>
      </c>
      <c r="C37" s="7"/>
    </row>
    <row r="38" spans="1:3" s="3" customFormat="1" ht="12.75" x14ac:dyDescent="0.2">
      <c r="A38" s="3" t="s">
        <v>102</v>
      </c>
    </row>
    <row r="39" spans="1:3" x14ac:dyDescent="0.2">
      <c r="A39" s="2" t="s">
        <v>49</v>
      </c>
      <c r="B39" s="6" t="e">
        <f>B22-B37*B25</f>
        <v>#REF!</v>
      </c>
      <c r="C39" s="7"/>
    </row>
    <row r="40" spans="1:3" x14ac:dyDescent="0.2">
      <c r="A40" s="2" t="s">
        <v>50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27</v>
      </c>
    </row>
    <row r="2" spans="1:9" ht="13.5" thickBot="1" x14ac:dyDescent="0.25">
      <c r="A2" s="3" t="s">
        <v>41</v>
      </c>
      <c r="B2" s="4">
        <v>110</v>
      </c>
    </row>
    <row r="4" spans="1:9" x14ac:dyDescent="0.2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H4" s="2" t="s">
        <v>23</v>
      </c>
      <c r="I4" s="2" t="s">
        <v>24</v>
      </c>
    </row>
    <row r="5" spans="1:9" x14ac:dyDescent="0.2">
      <c r="A5" s="2" t="s">
        <v>79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80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81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82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83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84</v>
      </c>
      <c r="B11" s="2">
        <f>COUNT(B5:B9)</f>
        <v>0</v>
      </c>
      <c r="C11" s="7"/>
    </row>
    <row r="12" spans="1:9" x14ac:dyDescent="0.2">
      <c r="A12" s="2" t="s">
        <v>85</v>
      </c>
      <c r="B12" s="2">
        <f>COUNT(B5:F9)</f>
        <v>0</v>
      </c>
      <c r="C12" s="7"/>
    </row>
    <row r="13" spans="1:9" x14ac:dyDescent="0.2">
      <c r="A13" s="2" t="s">
        <v>86</v>
      </c>
      <c r="B13" s="2">
        <f>IF(H5*B11&lt;&gt;B12,"Calcul impossible",H5)</f>
        <v>0</v>
      </c>
      <c r="C13" s="7"/>
    </row>
    <row r="14" spans="1:9" x14ac:dyDescent="0.2">
      <c r="A14" s="2" t="s">
        <v>87</v>
      </c>
      <c r="B14" s="12">
        <f>SUM(I5:I9)</f>
        <v>0</v>
      </c>
      <c r="C14" s="7"/>
    </row>
    <row r="15" spans="1:9" x14ac:dyDescent="0.2">
      <c r="A15" s="2" t="s">
        <v>88</v>
      </c>
      <c r="B15" s="12" t="e">
        <f>DEVSQ(B5:F9)</f>
        <v>#REF!</v>
      </c>
      <c r="C15" s="7"/>
    </row>
    <row r="16" spans="1:9" x14ac:dyDescent="0.2">
      <c r="A16" s="2" t="s">
        <v>89</v>
      </c>
      <c r="B16" s="12" t="e">
        <f>B15-B14</f>
        <v>#REF!</v>
      </c>
      <c r="C16" s="7"/>
    </row>
    <row r="17" spans="1:9" x14ac:dyDescent="0.2">
      <c r="A17" s="2" t="s">
        <v>90</v>
      </c>
      <c r="B17" s="12" t="e">
        <f>((B16/(B11-1))-B18)/B13</f>
        <v>#REF!</v>
      </c>
      <c r="C17" s="7"/>
    </row>
    <row r="18" spans="1:9" x14ac:dyDescent="0.2">
      <c r="A18" s="2" t="s">
        <v>91</v>
      </c>
      <c r="B18" s="12" t="e">
        <f>B14/(B12-B11)</f>
        <v>#DIV/0!</v>
      </c>
      <c r="C18" s="7"/>
    </row>
    <row r="19" spans="1:9" x14ac:dyDescent="0.2">
      <c r="A19" s="2" t="s">
        <v>92</v>
      </c>
      <c r="B19" s="12" t="e">
        <f>IF(B17&lt;0,0,B17)</f>
        <v>#REF!</v>
      </c>
      <c r="C19" s="7"/>
    </row>
    <row r="20" spans="1:9" x14ac:dyDescent="0.2">
      <c r="A20" s="2" t="s">
        <v>93</v>
      </c>
      <c r="B20" s="12" t="e">
        <f>SUM(B18:B19)</f>
        <v>#DIV/0!</v>
      </c>
      <c r="C20" s="7"/>
    </row>
    <row r="21" spans="1:9" s="3" customFormat="1" ht="12.75" x14ac:dyDescent="0.2">
      <c r="A21" s="3" t="s">
        <v>94</v>
      </c>
    </row>
    <row r="22" spans="1:9" x14ac:dyDescent="0.2">
      <c r="A22" s="2" t="s">
        <v>42</v>
      </c>
      <c r="B22" s="12" t="e">
        <f>AVERAGE(B5:F9)</f>
        <v>#REF!</v>
      </c>
      <c r="C22" s="7"/>
    </row>
    <row r="23" spans="1:9" ht="12" customHeight="1" x14ac:dyDescent="0.2">
      <c r="A23" s="2" t="s">
        <v>43</v>
      </c>
      <c r="B23" s="12" t="e">
        <f>SQRT(B18)</f>
        <v>#DIV/0!</v>
      </c>
      <c r="C23" s="7"/>
    </row>
    <row r="24" spans="1:9" x14ac:dyDescent="0.2">
      <c r="A24" s="2" t="s">
        <v>44</v>
      </c>
      <c r="B24" s="12" t="e">
        <f>SQRT(B19)</f>
        <v>#REF!</v>
      </c>
      <c r="C24" s="7"/>
    </row>
    <row r="25" spans="1:9" x14ac:dyDescent="0.2">
      <c r="A25" s="2" t="s">
        <v>45</v>
      </c>
      <c r="B25" s="12" t="e">
        <f>SQRT(B20)</f>
        <v>#DIV/0!</v>
      </c>
      <c r="C25" s="7"/>
    </row>
    <row r="26" spans="1:9" s="3" customFormat="1" ht="12.75" x14ac:dyDescent="0.2">
      <c r="A26" s="3" t="s">
        <v>95</v>
      </c>
    </row>
    <row r="27" spans="1:9" ht="15" x14ac:dyDescent="0.25">
      <c r="A27" s="2" t="s">
        <v>51</v>
      </c>
      <c r="B27" s="9" t="e">
        <f>B22/B2-1</f>
        <v>#REF!</v>
      </c>
      <c r="C27" s="7"/>
    </row>
    <row r="28" spans="1:9" s="3" customFormat="1" ht="12.75" x14ac:dyDescent="0.2">
      <c r="A28" s="3" t="s">
        <v>96</v>
      </c>
    </row>
    <row r="29" spans="1:9" x14ac:dyDescent="0.2">
      <c r="A29" s="2" t="s">
        <v>46</v>
      </c>
      <c r="B29" s="6" t="e">
        <f>B19/B18</f>
        <v>#REF!</v>
      </c>
      <c r="C29" s="7"/>
    </row>
    <row r="30" spans="1:9" x14ac:dyDescent="0.2">
      <c r="A30" s="2" t="s">
        <v>97</v>
      </c>
      <c r="B30" s="6" t="e">
        <f>(B29+1)/(B13*B29+1)</f>
        <v>#REF!</v>
      </c>
      <c r="C30" s="7"/>
    </row>
    <row r="31" spans="1:9" x14ac:dyDescent="0.2">
      <c r="A31" s="2" t="s">
        <v>47</v>
      </c>
      <c r="B31" s="6" t="e">
        <f>SQRT(1+1/(B12*B30))</f>
        <v>#REF!</v>
      </c>
      <c r="C31" s="7"/>
    </row>
    <row r="32" spans="1:9" x14ac:dyDescent="0.2">
      <c r="A32" s="2" t="s">
        <v>48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30</v>
      </c>
      <c r="B33" s="6" t="e">
        <f>Récapitulatif!C2</f>
        <v>#REF!</v>
      </c>
      <c r="C33" s="7"/>
    </row>
    <row r="34" spans="1:3" x14ac:dyDescent="0.2">
      <c r="A34" s="2" t="s">
        <v>98</v>
      </c>
      <c r="B34" s="6" t="e">
        <f>TINV(1-B33,ROUNDDOWN(B32,0))</f>
        <v>#REF!</v>
      </c>
      <c r="C34" s="7"/>
    </row>
    <row r="35" spans="1:3" x14ac:dyDescent="0.2">
      <c r="A35" s="2" t="s">
        <v>99</v>
      </c>
      <c r="B35" s="6" t="e">
        <f>TINV(1-B33,ROUNDUP(B32,0))</f>
        <v>#REF!</v>
      </c>
      <c r="C35" s="7"/>
    </row>
    <row r="36" spans="1:3" x14ac:dyDescent="0.2">
      <c r="A36" s="2" t="s">
        <v>100</v>
      </c>
      <c r="B36" s="6" t="e">
        <f>B34-(B34-B35)*(B32-ROUNDDOWN(B32,0))</f>
        <v>#REF!</v>
      </c>
      <c r="C36" s="7"/>
    </row>
    <row r="37" spans="1:3" x14ac:dyDescent="0.2">
      <c r="A37" s="2" t="s">
        <v>101</v>
      </c>
      <c r="B37" s="6" t="e">
        <f>B36*B31</f>
        <v>#REF!</v>
      </c>
      <c r="C37" s="7"/>
    </row>
    <row r="38" spans="1:3" s="3" customFormat="1" ht="12.75" x14ac:dyDescent="0.2">
      <c r="A38" s="3" t="s">
        <v>102</v>
      </c>
    </row>
    <row r="39" spans="1:3" x14ac:dyDescent="0.2">
      <c r="A39" s="2" t="s">
        <v>49</v>
      </c>
      <c r="B39" s="6" t="e">
        <f>B22-B37*B25</f>
        <v>#REF!</v>
      </c>
      <c r="C39" s="7"/>
    </row>
    <row r="40" spans="1:3" x14ac:dyDescent="0.2">
      <c r="A40" s="2" t="s">
        <v>50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28</v>
      </c>
    </row>
    <row r="2" spans="1:9" ht="13.5" thickBot="1" x14ac:dyDescent="0.25">
      <c r="A2" s="3" t="s">
        <v>41</v>
      </c>
      <c r="B2" s="4">
        <v>120</v>
      </c>
    </row>
    <row r="4" spans="1:9" x14ac:dyDescent="0.2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H4" s="2" t="s">
        <v>23</v>
      </c>
      <c r="I4" s="2" t="s">
        <v>24</v>
      </c>
    </row>
    <row r="5" spans="1:9" x14ac:dyDescent="0.2">
      <c r="A5" s="2" t="s">
        <v>79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80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81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82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83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84</v>
      </c>
      <c r="B11" s="2">
        <f>COUNT(B5:B9)</f>
        <v>0</v>
      </c>
      <c r="C11" s="7"/>
    </row>
    <row r="12" spans="1:9" x14ac:dyDescent="0.2">
      <c r="A12" s="2" t="s">
        <v>85</v>
      </c>
      <c r="B12" s="2">
        <f>COUNT(B5:F9)</f>
        <v>0</v>
      </c>
      <c r="C12" s="7"/>
    </row>
    <row r="13" spans="1:9" x14ac:dyDescent="0.2">
      <c r="A13" s="2" t="s">
        <v>86</v>
      </c>
      <c r="B13" s="2">
        <f>IF(H6*B11&lt;&gt;B12,"Calcul impossible",H6)</f>
        <v>0</v>
      </c>
      <c r="C13" s="7"/>
    </row>
    <row r="14" spans="1:9" x14ac:dyDescent="0.2">
      <c r="A14" s="2" t="s">
        <v>87</v>
      </c>
      <c r="B14" s="12">
        <f>SUM(I5:I9)</f>
        <v>0</v>
      </c>
      <c r="C14" s="7"/>
    </row>
    <row r="15" spans="1:9" x14ac:dyDescent="0.2">
      <c r="A15" s="2" t="s">
        <v>88</v>
      </c>
      <c r="B15" s="12" t="e">
        <f>DEVSQ(B5:F9)</f>
        <v>#REF!</v>
      </c>
      <c r="C15" s="7"/>
    </row>
    <row r="16" spans="1:9" x14ac:dyDescent="0.2">
      <c r="A16" s="2" t="s">
        <v>89</v>
      </c>
      <c r="B16" s="12" t="e">
        <f>B15-B14</f>
        <v>#REF!</v>
      </c>
      <c r="C16" s="7"/>
    </row>
    <row r="17" spans="1:9" x14ac:dyDescent="0.2">
      <c r="A17" s="2" t="s">
        <v>90</v>
      </c>
      <c r="B17" s="12" t="e">
        <f>((B16/(B11-1))-B18)/B13</f>
        <v>#REF!</v>
      </c>
      <c r="C17" s="7"/>
    </row>
    <row r="18" spans="1:9" x14ac:dyDescent="0.2">
      <c r="A18" s="2" t="s">
        <v>91</v>
      </c>
      <c r="B18" s="12" t="e">
        <f>B14/(B12-B11)</f>
        <v>#DIV/0!</v>
      </c>
      <c r="C18" s="7"/>
    </row>
    <row r="19" spans="1:9" x14ac:dyDescent="0.2">
      <c r="A19" s="2" t="s">
        <v>92</v>
      </c>
      <c r="B19" s="12" t="e">
        <f>IF(B17&lt;0,0,B17)</f>
        <v>#REF!</v>
      </c>
      <c r="C19" s="7"/>
    </row>
    <row r="20" spans="1:9" x14ac:dyDescent="0.2">
      <c r="A20" s="2" t="s">
        <v>93</v>
      </c>
      <c r="B20" s="12" t="e">
        <f>SUM(B18:B19)</f>
        <v>#DIV/0!</v>
      </c>
      <c r="C20" s="7"/>
    </row>
    <row r="21" spans="1:9" s="3" customFormat="1" ht="12.75" x14ac:dyDescent="0.2">
      <c r="A21" s="3" t="s">
        <v>94</v>
      </c>
    </row>
    <row r="22" spans="1:9" x14ac:dyDescent="0.2">
      <c r="A22" s="2" t="s">
        <v>42</v>
      </c>
      <c r="B22" s="12" t="e">
        <f>AVERAGE(B5:F9)</f>
        <v>#REF!</v>
      </c>
      <c r="C22" s="7"/>
    </row>
    <row r="23" spans="1:9" ht="12" customHeight="1" x14ac:dyDescent="0.2">
      <c r="A23" s="2" t="s">
        <v>43</v>
      </c>
      <c r="B23" s="12" t="e">
        <f>SQRT(B18)</f>
        <v>#DIV/0!</v>
      </c>
      <c r="C23" s="7"/>
    </row>
    <row r="24" spans="1:9" x14ac:dyDescent="0.2">
      <c r="A24" s="2" t="s">
        <v>44</v>
      </c>
      <c r="B24" s="12" t="e">
        <f>SQRT(B19)</f>
        <v>#REF!</v>
      </c>
      <c r="C24" s="7"/>
    </row>
    <row r="25" spans="1:9" x14ac:dyDescent="0.2">
      <c r="A25" s="2" t="s">
        <v>45</v>
      </c>
      <c r="B25" s="12" t="e">
        <f>SQRT(B20)</f>
        <v>#DIV/0!</v>
      </c>
      <c r="C25" s="7"/>
    </row>
    <row r="26" spans="1:9" s="3" customFormat="1" ht="12.75" x14ac:dyDescent="0.2">
      <c r="A26" s="3" t="s">
        <v>95</v>
      </c>
    </row>
    <row r="27" spans="1:9" ht="15" x14ac:dyDescent="0.25">
      <c r="A27" s="2" t="s">
        <v>51</v>
      </c>
      <c r="B27" s="9" t="e">
        <f>B22/B2-1</f>
        <v>#REF!</v>
      </c>
      <c r="C27" s="7"/>
    </row>
    <row r="28" spans="1:9" s="3" customFormat="1" ht="12.75" x14ac:dyDescent="0.2">
      <c r="A28" s="3" t="s">
        <v>96</v>
      </c>
    </row>
    <row r="29" spans="1:9" x14ac:dyDescent="0.2">
      <c r="A29" s="2" t="s">
        <v>46</v>
      </c>
      <c r="B29" s="6" t="e">
        <f>B19/B18</f>
        <v>#REF!</v>
      </c>
      <c r="C29" s="7"/>
    </row>
    <row r="30" spans="1:9" x14ac:dyDescent="0.2">
      <c r="A30" s="2" t="s">
        <v>97</v>
      </c>
      <c r="B30" s="6" t="e">
        <f>(B29+1)/(B13*B29+1)</f>
        <v>#REF!</v>
      </c>
      <c r="C30" s="7"/>
    </row>
    <row r="31" spans="1:9" x14ac:dyDescent="0.2">
      <c r="A31" s="2" t="s">
        <v>47</v>
      </c>
      <c r="B31" s="6" t="e">
        <f>SQRT(1+1/(B12*B30))</f>
        <v>#REF!</v>
      </c>
      <c r="C31" s="7"/>
    </row>
    <row r="32" spans="1:9" x14ac:dyDescent="0.2">
      <c r="A32" s="2" t="s">
        <v>48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30</v>
      </c>
      <c r="B33" s="6" t="e">
        <f>Récapitulatif!C2</f>
        <v>#REF!</v>
      </c>
      <c r="C33" s="7"/>
    </row>
    <row r="34" spans="1:3" x14ac:dyDescent="0.2">
      <c r="A34" s="2" t="s">
        <v>98</v>
      </c>
      <c r="B34" s="6" t="e">
        <f>TINV(1-B33,ROUNDDOWN(B32,0))</f>
        <v>#REF!</v>
      </c>
      <c r="C34" s="7"/>
    </row>
    <row r="35" spans="1:3" x14ac:dyDescent="0.2">
      <c r="A35" s="2" t="s">
        <v>99</v>
      </c>
      <c r="B35" s="6" t="e">
        <f>TINV(1-B33,ROUNDUP(B32,0))</f>
        <v>#REF!</v>
      </c>
      <c r="C35" s="7"/>
    </row>
    <row r="36" spans="1:3" x14ac:dyDescent="0.2">
      <c r="A36" s="2" t="s">
        <v>100</v>
      </c>
      <c r="B36" s="6" t="e">
        <f>B34-(B34-B35)*(B32-ROUNDDOWN(B32,0))</f>
        <v>#REF!</v>
      </c>
      <c r="C36" s="7"/>
    </row>
    <row r="37" spans="1:3" x14ac:dyDescent="0.2">
      <c r="A37" s="2" t="s">
        <v>101</v>
      </c>
      <c r="B37" s="6" t="e">
        <f>B36*B31</f>
        <v>#REF!</v>
      </c>
      <c r="C37" s="7"/>
    </row>
    <row r="38" spans="1:3" s="3" customFormat="1" ht="12.75" x14ac:dyDescent="0.2">
      <c r="A38" s="3" t="s">
        <v>102</v>
      </c>
    </row>
    <row r="39" spans="1:3" x14ac:dyDescent="0.2">
      <c r="A39" s="2" t="s">
        <v>49</v>
      </c>
      <c r="B39" s="6" t="e">
        <f>B22-B37*B25</f>
        <v>#REF!</v>
      </c>
      <c r="C39" s="7"/>
    </row>
    <row r="40" spans="1:3" x14ac:dyDescent="0.2">
      <c r="A40" s="2" t="s">
        <v>50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PB7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2025-11-17T12:48:23Z</dcterms:modified>
</cp:coreProperties>
</file>