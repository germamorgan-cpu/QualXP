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C:\Users\morgan gc\Desktop\EmVisage\Morgan\Statistique\Excel\Excel pro\"/>
    </mc:Choice>
  </mc:AlternateContent>
  <xr:revisionPtr revIDLastSave="0" documentId="13_ncr:1_{9A77262E-5155-48A6-8C28-AA669A82060E}" xr6:coauthVersionLast="47" xr6:coauthVersionMax="47" xr10:uidLastSave="{00000000-0000-0000-0000-000000000000}"/>
  <bookViews>
    <workbookView xWindow="1500" yWindow="375" windowWidth="27300" windowHeight="15105" tabRatio="828" xr2:uid="{00000000-000D-0000-FFFF-FFFF00000000}"/>
  </bookViews>
  <sheets>
    <sheet name="Gage R&amp;R destructif" sheetId="1" r:id="rId1"/>
    <sheet name="Récapitulatif" sheetId="9" state="hidden" r:id="rId2"/>
    <sheet name="Graph Profil" sheetId="10" state="hidden" r:id="rId3"/>
    <sheet name="80%" sheetId="11" state="hidden" r:id="rId4"/>
    <sheet name="90%" sheetId="12" state="hidden" r:id="rId5"/>
    <sheet name="100%" sheetId="13" state="hidden" r:id="rId6"/>
    <sheet name="110%" sheetId="14" state="hidden" r:id="rId7"/>
    <sheet name="120%" sheetId="15" state="hidden" r:id="rId8"/>
  </sheets>
  <definedNames>
    <definedName name="__123Graph_A" hidden="1">#REF!</definedName>
    <definedName name="__123Graph_ARG" hidden="1">#REF!</definedName>
    <definedName name="__123Graph_B" hidden="1">#REF!</definedName>
    <definedName name="__123Graph_BRG" hidden="1">#REF!</definedName>
    <definedName name="__123Graph_C" hidden="1">#REF!</definedName>
    <definedName name="__123Graph_CRG" hidden="1">#REF!</definedName>
    <definedName name="__123Graph_X" hidden="1">#REF!</definedName>
    <definedName name="__123Graph_XRG" hidden="1">#REF!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ANALYTES">#REF!</definedName>
    <definedName name="_xlnm.Print_Area" localSheetId="3">'80%'!$A$1:$I$40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" i="1" l="1"/>
  <c r="J5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C57" i="1"/>
  <c r="C56" i="1"/>
  <c r="H58" i="1"/>
  <c r="D58" i="1"/>
  <c r="D57" i="1"/>
  <c r="D56" i="1"/>
  <c r="H57" i="1"/>
  <c r="K5" i="1" l="1"/>
  <c r="K14" i="1"/>
  <c r="K8" i="1"/>
  <c r="K23" i="1"/>
  <c r="K26" i="1" l="1"/>
  <c r="K17" i="1"/>
  <c r="K11" i="1"/>
  <c r="K20" i="1" l="1"/>
  <c r="M10" i="1"/>
  <c r="E53" i="1"/>
  <c r="K29" i="1" l="1"/>
  <c r="G53" i="1"/>
  <c r="M11" i="1"/>
  <c r="M7" i="1"/>
  <c r="E56" i="1"/>
  <c r="N5" i="1" l="1"/>
  <c r="N4" i="1"/>
  <c r="P4" i="1"/>
  <c r="P5" i="1" s="1"/>
  <c r="H56" i="1" l="1"/>
  <c r="L3" i="1"/>
  <c r="M3" i="1" s="1"/>
  <c r="H54" i="1" l="1"/>
  <c r="C3" i="9" l="1"/>
  <c r="C2" i="9"/>
  <c r="G6" i="9" l="1"/>
  <c r="F6" i="9"/>
  <c r="E6" i="9"/>
  <c r="D6" i="9"/>
  <c r="C6" i="9"/>
  <c r="I9" i="14"/>
  <c r="I7" i="12"/>
  <c r="B33" i="15"/>
  <c r="B33" i="14"/>
  <c r="B33" i="13"/>
  <c r="I8" i="13"/>
  <c r="B33" i="12"/>
  <c r="B33" i="11"/>
  <c r="G21" i="9"/>
  <c r="F21" i="9"/>
  <c r="E21" i="9"/>
  <c r="D21" i="9"/>
  <c r="C21" i="9"/>
  <c r="G20" i="9"/>
  <c r="F20" i="9"/>
  <c r="E20" i="9"/>
  <c r="D20" i="9"/>
  <c r="C20" i="9"/>
  <c r="F3" i="9"/>
  <c r="K7" i="9"/>
  <c r="C8" i="11" l="1"/>
  <c r="C8" i="15"/>
  <c r="C8" i="14"/>
  <c r="C5" i="11"/>
  <c r="B8" i="11" l="1"/>
  <c r="H8" i="11" s="1"/>
  <c r="I8" i="11" s="1"/>
  <c r="B8" i="15"/>
  <c r="H8" i="15" s="1"/>
  <c r="I8" i="15" s="1"/>
  <c r="B8" i="14"/>
  <c r="H8" i="14" s="1"/>
  <c r="I8" i="14" s="1"/>
  <c r="C9" i="15"/>
  <c r="B9" i="15"/>
  <c r="C9" i="13"/>
  <c r="B9" i="13"/>
  <c r="C9" i="12"/>
  <c r="B9" i="12"/>
  <c r="C9" i="11"/>
  <c r="B9" i="11"/>
  <c r="C8" i="12"/>
  <c r="B8" i="12"/>
  <c r="C7" i="15"/>
  <c r="B7" i="15"/>
  <c r="C7" i="14"/>
  <c r="B7" i="14"/>
  <c r="C7" i="13"/>
  <c r="B7" i="13"/>
  <c r="C7" i="11"/>
  <c r="B7" i="11"/>
  <c r="C6" i="15"/>
  <c r="B6" i="15"/>
  <c r="C6" i="14"/>
  <c r="B6" i="14"/>
  <c r="C6" i="13"/>
  <c r="B6" i="13"/>
  <c r="C6" i="12"/>
  <c r="B6" i="12"/>
  <c r="C5" i="14"/>
  <c r="B5" i="14"/>
  <c r="C5" i="13"/>
  <c r="B5" i="13"/>
  <c r="C5" i="12"/>
  <c r="B5" i="12"/>
  <c r="B5" i="11"/>
  <c r="B11" i="11" l="1"/>
  <c r="B12" i="11"/>
  <c r="H7" i="15"/>
  <c r="I7" i="15" s="1"/>
  <c r="H9" i="15"/>
  <c r="I9" i="15" s="1"/>
  <c r="B11" i="15"/>
  <c r="B15" i="15"/>
  <c r="B12" i="15"/>
  <c r="H6" i="15"/>
  <c r="B22" i="15"/>
  <c r="G7" i="9" s="1"/>
  <c r="H7" i="14"/>
  <c r="I7" i="14" s="1"/>
  <c r="H6" i="14"/>
  <c r="I6" i="14" s="1"/>
  <c r="B12" i="14"/>
  <c r="B15" i="14"/>
  <c r="B11" i="14"/>
  <c r="H5" i="14"/>
  <c r="B22" i="14"/>
  <c r="H6" i="13"/>
  <c r="I6" i="13" s="1"/>
  <c r="H7" i="13"/>
  <c r="I7" i="13" s="1"/>
  <c r="H9" i="13"/>
  <c r="I9" i="13" s="1"/>
  <c r="B15" i="13"/>
  <c r="B11" i="13"/>
  <c r="B12" i="13"/>
  <c r="H5" i="13"/>
  <c r="B22" i="13"/>
  <c r="E7" i="9" s="1"/>
  <c r="H6" i="12"/>
  <c r="I6" i="12" s="1"/>
  <c r="H7" i="11"/>
  <c r="I7" i="11" s="1"/>
  <c r="H8" i="12"/>
  <c r="I8" i="12" s="1"/>
  <c r="H9" i="11"/>
  <c r="I9" i="11" s="1"/>
  <c r="H9" i="12"/>
  <c r="I9" i="12" s="1"/>
  <c r="B12" i="12"/>
  <c r="H5" i="12"/>
  <c r="B22" i="12"/>
  <c r="D7" i="9" s="1"/>
  <c r="B15" i="12"/>
  <c r="B11" i="12"/>
  <c r="H5" i="11"/>
  <c r="B15" i="11"/>
  <c r="B22" i="11"/>
  <c r="C7" i="9" s="1"/>
  <c r="G17" i="9" l="1"/>
  <c r="F7" i="9"/>
  <c r="F17" i="9" s="1"/>
  <c r="I6" i="15"/>
  <c r="B14" i="15" s="1"/>
  <c r="B18" i="15" s="1"/>
  <c r="B23" i="15" s="1"/>
  <c r="G8" i="9" s="1"/>
  <c r="B13" i="15"/>
  <c r="B13" i="11"/>
  <c r="B27" i="15"/>
  <c r="G16" i="9" s="1"/>
  <c r="B13" i="14"/>
  <c r="I5" i="14"/>
  <c r="B14" i="14" s="1"/>
  <c r="B18" i="14" s="1"/>
  <c r="B27" i="14"/>
  <c r="F16" i="9" s="1"/>
  <c r="E17" i="9"/>
  <c r="B13" i="13"/>
  <c r="I5" i="13"/>
  <c r="B14" i="13" s="1"/>
  <c r="B18" i="13" s="1"/>
  <c r="B27" i="13"/>
  <c r="E16" i="9" s="1"/>
  <c r="D17" i="9"/>
  <c r="B27" i="12"/>
  <c r="D16" i="9" s="1"/>
  <c r="I5" i="12"/>
  <c r="B14" i="12" s="1"/>
  <c r="B18" i="12" s="1"/>
  <c r="B13" i="12"/>
  <c r="C17" i="9"/>
  <c r="I5" i="11"/>
  <c r="B14" i="11" s="1"/>
  <c r="B18" i="11" s="1"/>
  <c r="B27" i="11"/>
  <c r="C16" i="9" s="1"/>
  <c r="B16" i="15" l="1"/>
  <c r="B16" i="14"/>
  <c r="B17" i="14" s="1"/>
  <c r="B19" i="14" s="1"/>
  <c r="B20" i="14" s="1"/>
  <c r="B25" i="14" s="1"/>
  <c r="F10" i="9" s="1"/>
  <c r="B23" i="14"/>
  <c r="F8" i="9" s="1"/>
  <c r="B16" i="13"/>
  <c r="B17" i="13" s="1"/>
  <c r="B19" i="13" s="1"/>
  <c r="B24" i="13" s="1"/>
  <c r="E9" i="9" s="1"/>
  <c r="B23" i="13"/>
  <c r="E8" i="9" s="1"/>
  <c r="B23" i="12"/>
  <c r="D8" i="9" s="1"/>
  <c r="B16" i="12"/>
  <c r="B17" i="12" s="1"/>
  <c r="B19" i="12" s="1"/>
  <c r="B23" i="11"/>
  <c r="C8" i="9" s="1"/>
  <c r="B16" i="11"/>
  <c r="B17" i="11" s="1"/>
  <c r="B19" i="11" s="1"/>
  <c r="B20" i="11" s="1"/>
  <c r="B25" i="11" s="1"/>
  <c r="C10" i="9" s="1"/>
  <c r="B17" i="15" l="1"/>
  <c r="B19" i="15" s="1"/>
  <c r="B24" i="14"/>
  <c r="F9" i="9" s="1"/>
  <c r="B29" i="14"/>
  <c r="F11" i="9" s="1"/>
  <c r="B20" i="13"/>
  <c r="B25" i="13" s="1"/>
  <c r="E10" i="9" s="1"/>
  <c r="B29" i="13"/>
  <c r="B29" i="12"/>
  <c r="D11" i="9" s="1"/>
  <c r="B24" i="12"/>
  <c r="D9" i="9" s="1"/>
  <c r="B20" i="12"/>
  <c r="B25" i="12" s="1"/>
  <c r="D10" i="9" s="1"/>
  <c r="B24" i="11"/>
  <c r="C9" i="9" s="1"/>
  <c r="B29" i="11"/>
  <c r="C11" i="9" s="1"/>
  <c r="B32" i="13" l="1"/>
  <c r="E13" i="9" s="1"/>
  <c r="E11" i="9"/>
  <c r="B24" i="15"/>
  <c r="G9" i="9" s="1"/>
  <c r="B20" i="15"/>
  <c r="B25" i="15" s="1"/>
  <c r="G10" i="9" s="1"/>
  <c r="B29" i="15"/>
  <c r="G11" i="9" s="1"/>
  <c r="B32" i="14"/>
  <c r="F13" i="9" s="1"/>
  <c r="B30" i="14"/>
  <c r="B31" i="14" s="1"/>
  <c r="F12" i="9" s="1"/>
  <c r="F28" i="9" s="1"/>
  <c r="F29" i="9" s="1"/>
  <c r="B30" i="13"/>
  <c r="B31" i="13" s="1"/>
  <c r="E12" i="9" s="1"/>
  <c r="B32" i="12"/>
  <c r="D13" i="9" s="1"/>
  <c r="B30" i="12"/>
  <c r="B31" i="12" s="1"/>
  <c r="D12" i="9" s="1"/>
  <c r="B30" i="11"/>
  <c r="B31" i="11" s="1"/>
  <c r="C12" i="9" s="1"/>
  <c r="B32" i="11"/>
  <c r="C13" i="9" s="1"/>
  <c r="B34" i="13" l="1"/>
  <c r="B35" i="13"/>
  <c r="B30" i="15"/>
  <c r="B31" i="15" s="1"/>
  <c r="G12" i="9" s="1"/>
  <c r="G28" i="9" s="1"/>
  <c r="G29" i="9" s="1"/>
  <c r="B32" i="15"/>
  <c r="G13" i="9" s="1"/>
  <c r="B34" i="14"/>
  <c r="B35" i="14"/>
  <c r="E28" i="9"/>
  <c r="E29" i="9" s="1"/>
  <c r="D28" i="9"/>
  <c r="D29" i="9" s="1"/>
  <c r="B34" i="12"/>
  <c r="B35" i="12"/>
  <c r="C28" i="9"/>
  <c r="C29" i="9" s="1"/>
  <c r="B34" i="11"/>
  <c r="B35" i="11"/>
  <c r="B36" i="13" l="1"/>
  <c r="B37" i="13" s="1"/>
  <c r="B40" i="13" s="1"/>
  <c r="E15" i="9" s="1"/>
  <c r="E19" i="9" s="1"/>
  <c r="B35" i="15"/>
  <c r="B34" i="15"/>
  <c r="B36" i="14"/>
  <c r="B37" i="14" s="1"/>
  <c r="B36" i="12"/>
  <c r="B37" i="12" s="1"/>
  <c r="B40" i="12" s="1"/>
  <c r="D15" i="9" s="1"/>
  <c r="B36" i="11"/>
  <c r="B37" i="11" s="1"/>
  <c r="B39" i="13" l="1"/>
  <c r="E14" i="9" s="1"/>
  <c r="E18" i="9" s="1"/>
  <c r="B36" i="15"/>
  <c r="B37" i="15" s="1"/>
  <c r="B39" i="15" s="1"/>
  <c r="G14" i="9" s="1"/>
  <c r="G18" i="9" s="1"/>
  <c r="B39" i="14"/>
  <c r="F14" i="9" s="1"/>
  <c r="F18" i="9" s="1"/>
  <c r="B40" i="14"/>
  <c r="F15" i="9" s="1"/>
  <c r="F19" i="9" s="1"/>
  <c r="B39" i="12"/>
  <c r="D14" i="9" s="1"/>
  <c r="D19" i="9"/>
  <c r="B40" i="11"/>
  <c r="C15" i="9" s="1"/>
  <c r="B39" i="11"/>
  <c r="C14" i="9" s="1"/>
  <c r="B40" i="15" l="1"/>
  <c r="G15" i="9" s="1"/>
  <c r="G19" i="9" s="1"/>
  <c r="D18" i="9"/>
  <c r="C18" i="9"/>
  <c r="C19" i="9"/>
  <c r="E57" i="1"/>
  <c r="D53" i="1"/>
  <c r="F53" i="1" l="1"/>
  <c r="F57" i="1"/>
  <c r="H53" i="1"/>
  <c r="F56" i="1"/>
  <c r="G56" i="1" l="1"/>
  <c r="G57" i="1"/>
  <c r="G58" i="1" s="1"/>
  <c r="H55" i="1"/>
  <c r="I53" i="1"/>
  <c r="M8" i="1" s="1"/>
  <c r="G54" i="1" l="1"/>
  <c r="G55" i="1" s="1"/>
  <c r="M9" i="1"/>
  <c r="U74" i="1"/>
  <c r="V74" i="1" s="1"/>
  <c r="U86" i="1"/>
  <c r="V86" i="1" s="1"/>
  <c r="U39" i="1"/>
  <c r="V39" i="1" s="1"/>
  <c r="U64" i="1"/>
  <c r="V64" i="1" s="1"/>
  <c r="U54" i="1"/>
  <c r="V54" i="1" s="1"/>
  <c r="U44" i="1"/>
  <c r="V44" i="1" s="1"/>
  <c r="U38" i="1"/>
  <c r="V38" i="1" s="1"/>
  <c r="U55" i="1"/>
  <c r="V55" i="1" s="1"/>
  <c r="U73" i="1"/>
  <c r="V73" i="1" s="1"/>
  <c r="U84" i="1"/>
  <c r="V84" i="1" s="1"/>
  <c r="U51" i="1"/>
  <c r="V51" i="1" s="1"/>
  <c r="U88" i="1"/>
  <c r="V88" i="1" s="1"/>
  <c r="U70" i="1"/>
  <c r="V70" i="1" s="1"/>
  <c r="U50" i="1"/>
  <c r="V50" i="1" s="1"/>
  <c r="U36" i="1"/>
  <c r="V36" i="1" s="1"/>
  <c r="U90" i="1"/>
  <c r="V90" i="1" s="1"/>
  <c r="U56" i="1"/>
  <c r="V56" i="1" s="1"/>
  <c r="U65" i="1"/>
  <c r="V65" i="1" s="1"/>
  <c r="U91" i="1"/>
  <c r="V91" i="1" s="1"/>
  <c r="U42" i="1"/>
  <c r="V42" i="1" s="1"/>
  <c r="U59" i="1"/>
  <c r="V59" i="1" s="1"/>
  <c r="U79" i="1"/>
  <c r="V79" i="1" s="1"/>
  <c r="U37" i="1"/>
  <c r="V37" i="1" s="1"/>
  <c r="U89" i="1"/>
  <c r="V89" i="1" s="1"/>
  <c r="U72" i="1"/>
  <c r="V72" i="1" s="1"/>
  <c r="U76" i="1"/>
  <c r="V76" i="1" s="1"/>
  <c r="U47" i="1"/>
  <c r="V47" i="1" s="1"/>
  <c r="U69" i="1"/>
  <c r="V69" i="1" s="1"/>
  <c r="U48" i="1"/>
  <c r="V48" i="1" s="1"/>
  <c r="U53" i="1"/>
  <c r="V53" i="1" s="1"/>
  <c r="U60" i="1"/>
  <c r="V60" i="1" s="1"/>
  <c r="U58" i="1"/>
  <c r="V58" i="1" s="1"/>
  <c r="U46" i="1"/>
  <c r="V46" i="1" s="1"/>
  <c r="U78" i="1"/>
  <c r="V78" i="1" s="1"/>
  <c r="U67" i="1"/>
  <c r="V67" i="1" s="1"/>
  <c r="U68" i="1"/>
  <c r="V68" i="1" s="1"/>
  <c r="U87" i="1"/>
  <c r="V87" i="1" s="1"/>
  <c r="U43" i="1"/>
  <c r="V43" i="1" s="1"/>
  <c r="U80" i="1"/>
  <c r="V80" i="1" s="1"/>
  <c r="U40" i="1"/>
  <c r="V40" i="1" s="1"/>
  <c r="U49" i="1"/>
  <c r="V49" i="1" s="1"/>
  <c r="U85" i="1"/>
  <c r="V85" i="1" s="1"/>
  <c r="U62" i="1"/>
  <c r="V62" i="1" s="1"/>
  <c r="U92" i="1"/>
  <c r="V92" i="1" s="1"/>
  <c r="U93" i="1"/>
  <c r="V93" i="1" s="1"/>
  <c r="U61" i="1"/>
  <c r="V61" i="1" s="1"/>
  <c r="U33" i="1"/>
  <c r="V33" i="1" s="1"/>
  <c r="U82" i="1"/>
  <c r="V82" i="1" s="1"/>
  <c r="U75" i="1"/>
  <c r="V75" i="1" s="1"/>
  <c r="U57" i="1"/>
  <c r="V57" i="1" s="1"/>
  <c r="U83" i="1"/>
  <c r="V83" i="1" s="1"/>
  <c r="U41" i="1"/>
  <c r="V41" i="1" s="1"/>
  <c r="U77" i="1"/>
  <c r="V77" i="1" s="1"/>
  <c r="U63" i="1"/>
  <c r="V63" i="1" s="1"/>
  <c r="R4" i="1" s="1"/>
  <c r="R5" i="1" s="1"/>
  <c r="U45" i="1"/>
  <c r="V45" i="1" s="1"/>
  <c r="U71" i="1"/>
  <c r="V71" i="1" s="1"/>
  <c r="U35" i="1"/>
  <c r="V35" i="1" s="1"/>
  <c r="U34" i="1"/>
  <c r="V34" i="1" s="1"/>
  <c r="U66" i="1"/>
  <c r="V66" i="1" s="1"/>
  <c r="U52" i="1"/>
  <c r="V52" i="1" s="1"/>
  <c r="U81" i="1"/>
  <c r="V81" i="1" s="1"/>
  <c r="I57" i="1"/>
  <c r="J57" i="1"/>
  <c r="I56" i="1"/>
  <c r="J56" i="1"/>
  <c r="J58" i="1" l="1"/>
  <c r="I58" i="1"/>
  <c r="K58" i="1" s="1"/>
  <c r="J54" i="1"/>
  <c r="I54" i="1"/>
  <c r="I55" i="1"/>
  <c r="J55" i="1"/>
  <c r="K56" i="1" l="1"/>
  <c r="K57" i="1"/>
  <c r="D60" i="1" s="1"/>
  <c r="J53" i="1"/>
  <c r="D62" i="1" l="1"/>
  <c r="G60" i="1" s="1"/>
</calcChain>
</file>

<file path=xl/sharedStrings.xml><?xml version="1.0" encoding="utf-8"?>
<sst xmlns="http://schemas.openxmlformats.org/spreadsheetml/2006/main" count="344" uniqueCount="139">
  <si>
    <t>Origine</t>
  </si>
  <si>
    <t>niveau</t>
  </si>
  <si>
    <t>SCE</t>
  </si>
  <si>
    <t>ddl</t>
  </si>
  <si>
    <t>CM</t>
  </si>
  <si>
    <t>x</t>
  </si>
  <si>
    <t>SB²</t>
  </si>
  <si>
    <t>CI</t>
  </si>
  <si>
    <t>contrib%</t>
  </si>
  <si>
    <t>Total</t>
  </si>
  <si>
    <t>modèle</t>
  </si>
  <si>
    <t>Tolérance +</t>
  </si>
  <si>
    <t>Tolérance -</t>
  </si>
  <si>
    <t>moyenne</t>
  </si>
  <si>
    <t>Min</t>
  </si>
  <si>
    <t>Max</t>
  </si>
  <si>
    <t>Niveau A</t>
  </si>
  <si>
    <t>Répétition 1</t>
  </si>
  <si>
    <t>Répétition 2</t>
  </si>
  <si>
    <t>Répétition 3</t>
  </si>
  <si>
    <t>Répétition 4</t>
  </si>
  <si>
    <t>Répétition 5</t>
  </si>
  <si>
    <t>nk</t>
  </si>
  <si>
    <t>SCEk</t>
  </si>
  <si>
    <t>Niveau B</t>
  </si>
  <si>
    <t>Niveau C</t>
  </si>
  <si>
    <t>Niveau D</t>
  </si>
  <si>
    <t>Niveau E</t>
  </si>
  <si>
    <t>Profil d'exactitude</t>
  </si>
  <si>
    <t>Probabilité tolérance (bêta)</t>
  </si>
  <si>
    <t>Limite d'acceptabilité</t>
  </si>
  <si>
    <t>Niveaux</t>
  </si>
  <si>
    <t>Recouvrement (justesse)</t>
  </si>
  <si>
    <t>Limite basse tolérance (%)</t>
  </si>
  <si>
    <t>Limite haute tolérance (%)</t>
  </si>
  <si>
    <t>Limite d'acceptabilité basse</t>
  </si>
  <si>
    <t>Limite d'acceptabilité haute</t>
  </si>
  <si>
    <t>Incertitude</t>
  </si>
  <si>
    <t>Ecart-type de l'IT (sIT)</t>
  </si>
  <si>
    <t>Incertitude élargie relative</t>
  </si>
  <si>
    <t>Valeur cible</t>
  </si>
  <si>
    <t>Moyenne niveau</t>
  </si>
  <si>
    <t>Ecart-type de répétabilité (sr)</t>
  </si>
  <si>
    <t>Ecart-type inter-séries (sL)</t>
  </si>
  <si>
    <t>Ecart-type de fidélité (sFI)</t>
  </si>
  <si>
    <t>Rapport des variances (R)</t>
  </si>
  <si>
    <t>Coefficient intermédiaire</t>
  </si>
  <si>
    <t>Nombre de degrés liberté</t>
  </si>
  <si>
    <t>Valeur basse tolérance</t>
  </si>
  <si>
    <t>Valeur haute tolérance</t>
  </si>
  <si>
    <t>Biais (%)</t>
  </si>
  <si>
    <t>étape d'identification</t>
  </si>
  <si>
    <t>ANOVA</t>
  </si>
  <si>
    <t>S² totale</t>
  </si>
  <si>
    <t>S totale</t>
  </si>
  <si>
    <t>X</t>
  </si>
  <si>
    <t>Facteur qualitatif</t>
  </si>
  <si>
    <t>Y</t>
  </si>
  <si>
    <t>r1</t>
  </si>
  <si>
    <t>Z</t>
  </si>
  <si>
    <t>plan d'expériences emboité</t>
  </si>
  <si>
    <t>Lorsque le plan est emboité, on évalue</t>
  </si>
  <si>
    <t>Morgan GERMA</t>
  </si>
  <si>
    <t>Pierre</t>
  </si>
  <si>
    <t>lot 1</t>
  </si>
  <si>
    <t>lot 2</t>
  </si>
  <si>
    <t>lot 3</t>
  </si>
  <si>
    <t>pièce</t>
  </si>
  <si>
    <t>pièce 1</t>
  </si>
  <si>
    <t>pièce 2</t>
  </si>
  <si>
    <t>Marie</t>
  </si>
  <si>
    <t>variance</t>
  </si>
  <si>
    <t>S² GRR</t>
  </si>
  <si>
    <t>S² Total</t>
  </si>
  <si>
    <t>%GRR</t>
  </si>
  <si>
    <t>&lt;10%</t>
  </si>
  <si>
    <t>10%-30%</t>
  </si>
  <si>
    <t>&gt;30%</t>
  </si>
  <si>
    <t>Paul</t>
  </si>
  <si>
    <t>pièce 3</t>
  </si>
  <si>
    <t>pièce 4</t>
  </si>
  <si>
    <t>pièce 5</t>
  </si>
  <si>
    <t>pièce 6</t>
  </si>
  <si>
    <t>pièce 7</t>
  </si>
  <si>
    <t>pièce 8</t>
  </si>
  <si>
    <t>pièce 9</t>
  </si>
  <si>
    <t>pièce 10</t>
  </si>
  <si>
    <t>pièce 11</t>
  </si>
  <si>
    <t>pièce 12</t>
  </si>
  <si>
    <t>pièce 13</t>
  </si>
  <si>
    <t>pièce 14</t>
  </si>
  <si>
    <t>pièce 15</t>
  </si>
  <si>
    <t>pièce 16</t>
  </si>
  <si>
    <t>pièce 17</t>
  </si>
  <si>
    <t>pièce 18</t>
  </si>
  <si>
    <t>pièce 19</t>
  </si>
  <si>
    <t>pièce 20</t>
  </si>
  <si>
    <t>pièce 21</t>
  </si>
  <si>
    <t>pièce 22</t>
  </si>
  <si>
    <t>pièce 23</t>
  </si>
  <si>
    <t>pièce 24</t>
  </si>
  <si>
    <t>pièce 25</t>
  </si>
  <si>
    <t>pièce 26</t>
  </si>
  <si>
    <t>pièce 27</t>
  </si>
  <si>
    <t>les variances intermédiaires de fidélité.</t>
  </si>
  <si>
    <t>Jour (Série) 1</t>
  </si>
  <si>
    <t>Jour (Série) 2</t>
  </si>
  <si>
    <t>Jour (Série) 3</t>
  </si>
  <si>
    <t>Jour (Série) 4</t>
  </si>
  <si>
    <t>Jour (Série) 5</t>
  </si>
  <si>
    <t>Nombre de séries (K)</t>
  </si>
  <si>
    <t>Nombre de mesures (IK)</t>
  </si>
  <si>
    <t>Nombre de répétitions (I)</t>
  </si>
  <si>
    <t>SCE résiduelle</t>
  </si>
  <si>
    <t>SCE totale</t>
  </si>
  <si>
    <t>SCE inter-séries</t>
  </si>
  <si>
    <t>Valeur intermédiaire de s²L</t>
  </si>
  <si>
    <t>Variance de répétabilité (s²r)</t>
  </si>
  <si>
    <t>Variance inter-séries (s²L)</t>
  </si>
  <si>
    <t>Variance de fidélité (s²FI)</t>
  </si>
  <si>
    <t>Fidélité</t>
  </si>
  <si>
    <t>Justesse</t>
  </si>
  <si>
    <t>Facteur de couverture</t>
  </si>
  <si>
    <t>Coefficient B²</t>
  </si>
  <si>
    <t>t Student bas</t>
  </si>
  <si>
    <t>t Student haut</t>
  </si>
  <si>
    <t>t Student interpolé</t>
  </si>
  <si>
    <t>Facteur de couverture (ktol)</t>
  </si>
  <si>
    <t>Intervalle de tolérance</t>
  </si>
  <si>
    <t>opérateur</t>
  </si>
  <si>
    <t>lot</t>
  </si>
  <si>
    <t>résiduel</t>
  </si>
  <si>
    <t>Piece(lot*op)</t>
  </si>
  <si>
    <r>
      <rPr>
        <sz val="11"/>
        <rFont val="Aptos Narrow"/>
        <family val="2"/>
      </rPr>
      <t>σ</t>
    </r>
    <r>
      <rPr>
        <sz val="9.35"/>
        <rFont val="Calibri"/>
        <family val="2"/>
      </rPr>
      <t>²EV</t>
    </r>
    <r>
      <rPr>
        <sz val="11"/>
        <rFont val="Calibri"/>
        <family val="2"/>
      </rPr>
      <t xml:space="preserve"> = répéta</t>
    </r>
  </si>
  <si>
    <r>
      <rPr>
        <sz val="11"/>
        <rFont val="Aptos Narrow"/>
        <family val="2"/>
      </rPr>
      <t>σ</t>
    </r>
    <r>
      <rPr>
        <sz val="9.35"/>
        <rFont val="Calibri"/>
        <family val="2"/>
      </rPr>
      <t>²AV</t>
    </r>
    <r>
      <rPr>
        <sz val="11"/>
        <rFont val="Calibri"/>
        <family val="2"/>
      </rPr>
      <t xml:space="preserve"> = repro</t>
    </r>
  </si>
  <si>
    <r>
      <rPr>
        <sz val="11"/>
        <rFont val="Aptos Narrow"/>
        <family val="2"/>
      </rPr>
      <t>σ</t>
    </r>
    <r>
      <rPr>
        <sz val="9.35"/>
        <rFont val="Calibri"/>
        <family val="2"/>
      </rPr>
      <t>²PV</t>
    </r>
    <r>
      <rPr>
        <sz val="11"/>
        <rFont val="Calibri"/>
        <family val="2"/>
      </rPr>
      <t xml:space="preserve"> = pièce/lot</t>
    </r>
  </si>
  <si>
    <t>version 1.0</t>
  </si>
  <si>
    <t>les facteurs opérateur et lot sont croisés</t>
  </si>
  <si>
    <t>le facteur pièce est lui emboité dans Op/lot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</si>
</sst>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.000"/>
    <numFmt numFmtId="166" formatCode="0.0000"/>
    <numFmt numFmtId="167" formatCode="0.00000"/>
    <numFmt numFmtId="168" formatCode="0.0000000"/>
    <numFmt numFmtId="169" formatCode="0.000000"/>
    <numFmt numFmtId="170" formatCode="0.0%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b/>
      <sz val="10"/>
      <name val="Arial"/>
      <family val="2"/>
    </font>
    <font>
      <b/>
      <sz val="9"/>
      <name val="Verdana"/>
      <family val="2"/>
    </font>
    <font>
      <sz val="9"/>
      <name val="Arial"/>
      <family val="2"/>
    </font>
    <font>
      <sz val="8"/>
      <color indexed="20"/>
      <name val="Verdana"/>
      <family val="2"/>
    </font>
    <font>
      <sz val="8"/>
      <name val="Tahoma"/>
      <family val="2"/>
    </font>
    <font>
      <b/>
      <sz val="9"/>
      <name val="Arial"/>
      <family val="2"/>
    </font>
    <font>
      <sz val="9"/>
      <color indexed="12"/>
      <name val="Arial"/>
      <family val="2"/>
    </font>
    <font>
      <sz val="9"/>
      <color theme="0" tint="-0.249977111117893"/>
      <name val="Arial"/>
      <family val="2"/>
    </font>
    <font>
      <sz val="9"/>
      <color indexed="23"/>
      <name val="Arial"/>
      <family val="2"/>
    </font>
    <font>
      <sz val="8"/>
      <name val="Calibri"/>
      <family val="2"/>
      <scheme val="minor"/>
    </font>
    <font>
      <sz val="11"/>
      <name val="Aptos Narrow"/>
      <family val="2"/>
    </font>
    <font>
      <sz val="9.35"/>
      <name val="Calibri"/>
      <family val="2"/>
    </font>
    <font>
      <sz val="1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0" fontId="1" fillId="0" borderId="0"/>
    <xf numFmtId="0" fontId="1" fillId="0" borderId="0"/>
    <xf numFmtId="0" fontId="5" fillId="6" borderId="0"/>
    <xf numFmtId="0" fontId="7" fillId="7" borderId="0"/>
    <xf numFmtId="0" fontId="7" fillId="0" borderId="0">
      <alignment horizontal="right"/>
      <protection locked="0"/>
    </xf>
    <xf numFmtId="0" fontId="8" fillId="7" borderId="0"/>
    <xf numFmtId="9" fontId="9" fillId="7" borderId="0" applyFont="0" applyBorder="0" applyAlignment="0"/>
    <xf numFmtId="0" fontId="1" fillId="0" borderId="0"/>
  </cellStyleXfs>
  <cellXfs count="119">
    <xf numFmtId="0" fontId="0" fillId="0" borderId="0" xfId="0"/>
    <xf numFmtId="0" fontId="6" fillId="6" borderId="0" xfId="3" applyFont="1"/>
    <xf numFmtId="0" fontId="7" fillId="7" borderId="0" xfId="4"/>
    <xf numFmtId="0" fontId="5" fillId="6" borderId="0" xfId="3"/>
    <xf numFmtId="0" fontId="7" fillId="0" borderId="2" xfId="5" applyBorder="1">
      <alignment horizontal="right"/>
      <protection locked="0"/>
    </xf>
    <xf numFmtId="1" fontId="7" fillId="7" borderId="0" xfId="4" applyNumberFormat="1"/>
    <xf numFmtId="167" fontId="7" fillId="7" borderId="0" xfId="4" applyNumberFormat="1"/>
    <xf numFmtId="0" fontId="8" fillId="7" borderId="0" xfId="6"/>
    <xf numFmtId="168" fontId="7" fillId="7" borderId="0" xfId="4" applyNumberFormat="1"/>
    <xf numFmtId="10" fontId="0" fillId="7" borderId="0" xfId="7" applyNumberFormat="1" applyFont="1"/>
    <xf numFmtId="0" fontId="5" fillId="6" borderId="0" xfId="3" applyFont="1"/>
    <xf numFmtId="165" fontId="7" fillId="0" borderId="2" xfId="5" applyNumberFormat="1" applyBorder="1">
      <alignment horizontal="right"/>
      <protection locked="0"/>
    </xf>
    <xf numFmtId="169" fontId="7" fillId="7" borderId="0" xfId="4" applyNumberFormat="1"/>
    <xf numFmtId="0" fontId="10" fillId="6" borderId="0" xfId="3" applyFont="1"/>
    <xf numFmtId="0" fontId="7" fillId="7" borderId="0" xfId="4" applyFont="1"/>
    <xf numFmtId="9" fontId="7" fillId="0" borderId="2" xfId="5" applyNumberFormat="1" applyFont="1" applyBorder="1">
      <alignment horizontal="right"/>
      <protection locked="0"/>
    </xf>
    <xf numFmtId="10" fontId="0" fillId="0" borderId="2" xfId="5" applyNumberFormat="1" applyFont="1" applyBorder="1">
      <alignment horizontal="right"/>
      <protection locked="0"/>
    </xf>
    <xf numFmtId="0" fontId="7" fillId="7" borderId="1" xfId="4" applyFont="1" applyBorder="1"/>
    <xf numFmtId="0" fontId="11" fillId="7" borderId="0" xfId="4" applyFont="1"/>
    <xf numFmtId="0" fontId="11" fillId="7" borderId="1" xfId="4" applyFont="1" applyBorder="1"/>
    <xf numFmtId="165" fontId="7" fillId="7" borderId="1" xfId="4" applyNumberFormat="1" applyFont="1" applyBorder="1"/>
    <xf numFmtId="0" fontId="12" fillId="7" borderId="0" xfId="4" applyFont="1"/>
    <xf numFmtId="10" fontId="7" fillId="7" borderId="1" xfId="7" applyNumberFormat="1" applyFont="1" applyBorder="1"/>
    <xf numFmtId="10" fontId="11" fillId="7" borderId="1" xfId="7" applyNumberFormat="1" applyFont="1" applyBorder="1"/>
    <xf numFmtId="10" fontId="11" fillId="7" borderId="1" xfId="4" applyNumberFormat="1" applyFont="1" applyBorder="1"/>
    <xf numFmtId="0" fontId="11" fillId="7" borderId="0" xfId="4" applyFont="1" applyBorder="1"/>
    <xf numFmtId="10" fontId="11" fillId="7" borderId="0" xfId="4" applyNumberFormat="1" applyFont="1" applyBorder="1"/>
    <xf numFmtId="166" fontId="7" fillId="7" borderId="0" xfId="4" applyNumberFormat="1" applyFont="1"/>
    <xf numFmtId="10" fontId="7" fillId="7" borderId="0" xfId="7" applyNumberFormat="1" applyFont="1"/>
    <xf numFmtId="0" fontId="13" fillId="7" borderId="0" xfId="4" applyFont="1"/>
    <xf numFmtId="166" fontId="13" fillId="7" borderId="0" xfId="4" applyNumberFormat="1" applyFont="1"/>
    <xf numFmtId="10" fontId="13" fillId="7" borderId="0" xfId="7" applyNumberFormat="1" applyFont="1"/>
    <xf numFmtId="0" fontId="11" fillId="0" borderId="1" xfId="0" applyFont="1" applyBorder="1"/>
    <xf numFmtId="0" fontId="7" fillId="0" borderId="1" xfId="0" applyFont="1" applyBorder="1"/>
    <xf numFmtId="1" fontId="11" fillId="7" borderId="1" xfId="4" applyNumberFormat="1" applyFont="1" applyBorder="1"/>
    <xf numFmtId="166" fontId="7" fillId="0" borderId="1" xfId="5" applyNumberFormat="1" applyBorder="1" applyAlignment="1">
      <alignment horizontal="center"/>
      <protection locked="0"/>
    </xf>
    <xf numFmtId="165" fontId="7" fillId="0" borderId="1" xfId="5" applyNumberFormat="1" applyBorder="1" applyAlignment="1">
      <alignment horizontal="center"/>
      <protection locked="0"/>
    </xf>
    <xf numFmtId="0" fontId="7" fillId="0" borderId="1" xfId="5" applyBorder="1" applyAlignment="1">
      <alignment horizontal="center"/>
      <protection locked="0"/>
    </xf>
    <xf numFmtId="0" fontId="3" fillId="0" borderId="0" xfId="0" applyFont="1" applyProtection="1">
      <protection hidden="1"/>
    </xf>
    <xf numFmtId="11" fontId="3" fillId="0" borderId="0" xfId="0" applyNumberFormat="1" applyFont="1" applyProtection="1">
      <protection hidden="1"/>
    </xf>
    <xf numFmtId="0" fontId="2" fillId="0" borderId="0" xfId="0" applyFont="1" applyProtection="1">
      <protection hidden="1"/>
    </xf>
    <xf numFmtId="0" fontId="2" fillId="2" borderId="1" xfId="0" applyFont="1" applyFill="1" applyBorder="1" applyAlignment="1" applyProtection="1">
      <alignment horizontal="center"/>
      <protection hidden="1"/>
    </xf>
    <xf numFmtId="0" fontId="2" fillId="0" borderId="0" xfId="0" applyFont="1" applyBorder="1" applyProtection="1">
      <protection hidden="1"/>
    </xf>
    <xf numFmtId="0" fontId="2" fillId="0" borderId="7" xfId="0" applyFont="1" applyBorder="1" applyProtection="1">
      <protection hidden="1"/>
    </xf>
    <xf numFmtId="0" fontId="3" fillId="0" borderId="0" xfId="0" applyFont="1" applyBorder="1" applyProtection="1">
      <protection hidden="1"/>
    </xf>
    <xf numFmtId="0" fontId="4" fillId="4" borderId="0" xfId="2" applyFont="1" applyFill="1" applyBorder="1" applyAlignment="1" applyProtection="1">
      <alignment horizontal="center"/>
      <protection hidden="1"/>
    </xf>
    <xf numFmtId="2" fontId="4" fillId="4" borderId="0" xfId="2" applyNumberFormat="1" applyFont="1" applyFill="1" applyBorder="1" applyAlignment="1" applyProtection="1">
      <alignment horizontal="center"/>
      <protection hidden="1"/>
    </xf>
    <xf numFmtId="11" fontId="4" fillId="4" borderId="0" xfId="2" applyNumberFormat="1" applyFont="1" applyFill="1" applyBorder="1" applyAlignment="1" applyProtection="1">
      <alignment horizontal="center"/>
      <protection hidden="1"/>
    </xf>
    <xf numFmtId="2" fontId="2" fillId="0" borderId="1" xfId="0" applyNumberFormat="1" applyFont="1" applyBorder="1" applyAlignment="1" applyProtection="1">
      <alignment horizontal="center"/>
      <protection hidden="1"/>
    </xf>
    <xf numFmtId="0" fontId="2" fillId="4" borderId="1" xfId="0" applyFont="1" applyFill="1" applyBorder="1" applyAlignment="1" applyProtection="1">
      <alignment horizontal="center"/>
      <protection hidden="1"/>
    </xf>
    <xf numFmtId="10" fontId="2" fillId="4" borderId="1" xfId="0" applyNumberFormat="1" applyFont="1" applyFill="1" applyBorder="1" applyAlignment="1" applyProtection="1">
      <alignment horizontal="center"/>
      <protection hidden="1"/>
    </xf>
    <xf numFmtId="0" fontId="2" fillId="3" borderId="1" xfId="0" applyFont="1" applyFill="1" applyBorder="1" applyAlignment="1" applyProtection="1">
      <alignment horizontal="center"/>
      <protection hidden="1"/>
    </xf>
    <xf numFmtId="2" fontId="2" fillId="3" borderId="1" xfId="0" applyNumberFormat="1" applyFont="1" applyFill="1" applyBorder="1" applyAlignment="1" applyProtection="1">
      <alignment horizontal="center"/>
      <protection hidden="1"/>
    </xf>
    <xf numFmtId="2" fontId="2" fillId="3" borderId="1" xfId="0" applyNumberFormat="1" applyFont="1" applyFill="1" applyBorder="1" applyAlignment="1" applyProtection="1">
      <alignment horizontal="center" vertical="center"/>
      <protection hidden="1"/>
    </xf>
    <xf numFmtId="1" fontId="2" fillId="3" borderId="1" xfId="0" applyNumberFormat="1" applyFont="1" applyFill="1" applyBorder="1" applyAlignment="1" applyProtection="1">
      <alignment horizontal="center"/>
      <protection hidden="1"/>
    </xf>
    <xf numFmtId="165" fontId="1" fillId="2" borderId="1" xfId="1" applyNumberFormat="1" applyFont="1" applyFill="1" applyBorder="1" applyAlignment="1" applyProtection="1">
      <alignment horizontal="center"/>
      <protection hidden="1"/>
    </xf>
    <xf numFmtId="0" fontId="2" fillId="0" borderId="0" xfId="0" applyFont="1" applyBorder="1" applyAlignment="1" applyProtection="1">
      <alignment horizontal="center"/>
      <protection hidden="1"/>
    </xf>
    <xf numFmtId="165" fontId="2" fillId="9" borderId="1" xfId="1" applyNumberFormat="1" applyFont="1" applyFill="1" applyBorder="1" applyAlignment="1" applyProtection="1">
      <alignment horizontal="center"/>
      <protection hidden="1"/>
    </xf>
    <xf numFmtId="0" fontId="2" fillId="5" borderId="1" xfId="0" applyFont="1" applyFill="1" applyBorder="1" applyAlignment="1" applyProtection="1">
      <alignment horizontal="center" wrapText="1"/>
      <protection hidden="1"/>
    </xf>
    <xf numFmtId="0" fontId="2" fillId="5" borderId="1" xfId="0" applyFont="1" applyFill="1" applyBorder="1" applyAlignment="1" applyProtection="1">
      <alignment horizontal="center" vertical="center"/>
      <protection hidden="1"/>
    </xf>
    <xf numFmtId="164" fontId="2" fillId="5" borderId="1" xfId="0" applyNumberFormat="1" applyFont="1" applyFill="1" applyBorder="1" applyAlignment="1" applyProtection="1">
      <alignment horizontal="center" vertical="center"/>
      <protection hidden="1"/>
    </xf>
    <xf numFmtId="2" fontId="2" fillId="5" borderId="1" xfId="0" applyNumberFormat="1" applyFont="1" applyFill="1" applyBorder="1" applyAlignment="1" applyProtection="1">
      <alignment horizontal="center" vertical="center"/>
      <protection hidden="1"/>
    </xf>
    <xf numFmtId="170" fontId="2" fillId="3" borderId="1" xfId="0" applyNumberFormat="1" applyFont="1" applyFill="1" applyBorder="1" applyAlignment="1" applyProtection="1">
      <alignment horizontal="center"/>
      <protection hidden="1"/>
    </xf>
    <xf numFmtId="170" fontId="2" fillId="5" borderId="1" xfId="0" applyNumberFormat="1" applyFont="1" applyFill="1" applyBorder="1" applyAlignment="1" applyProtection="1">
      <alignment horizontal="center" vertical="center"/>
      <protection hidden="1"/>
    </xf>
    <xf numFmtId="0" fontId="2" fillId="10" borderId="1" xfId="0" applyFont="1" applyFill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/>
      <protection hidden="1"/>
    </xf>
    <xf numFmtId="0" fontId="2" fillId="8" borderId="1" xfId="0" applyFont="1" applyFill="1" applyBorder="1" applyAlignment="1" applyProtection="1">
      <alignment horizontal="center"/>
      <protection hidden="1"/>
    </xf>
    <xf numFmtId="0" fontId="2" fillId="11" borderId="1" xfId="0" applyFont="1" applyFill="1" applyBorder="1" applyAlignment="1" applyProtection="1">
      <alignment horizontal="center"/>
      <protection hidden="1"/>
    </xf>
    <xf numFmtId="0" fontId="2" fillId="12" borderId="1" xfId="0" applyFont="1" applyFill="1" applyBorder="1" applyAlignment="1" applyProtection="1">
      <alignment horizontal="center"/>
      <protection hidden="1"/>
    </xf>
    <xf numFmtId="166" fontId="2" fillId="3" borderId="1" xfId="0" applyNumberFormat="1" applyFont="1" applyFill="1" applyBorder="1" applyAlignment="1" applyProtection="1">
      <alignment horizontal="center"/>
      <protection hidden="1"/>
    </xf>
    <xf numFmtId="166" fontId="2" fillId="5" borderId="1" xfId="0" applyNumberFormat="1" applyFont="1" applyFill="1" applyBorder="1" applyAlignment="1" applyProtection="1">
      <alignment horizontal="center" vertical="center"/>
      <protection hidden="1"/>
    </xf>
    <xf numFmtId="166" fontId="2" fillId="3" borderId="1" xfId="0" applyNumberFormat="1" applyFont="1" applyFill="1" applyBorder="1" applyAlignment="1" applyProtection="1">
      <alignment horizontal="center" vertical="center"/>
      <protection hidden="1"/>
    </xf>
    <xf numFmtId="0" fontId="2" fillId="0" borderId="3" xfId="0" applyFont="1" applyBorder="1" applyProtection="1">
      <protection hidden="1"/>
    </xf>
    <xf numFmtId="0" fontId="2" fillId="0" borderId="15" xfId="0" applyFont="1" applyBorder="1" applyProtection="1">
      <protection hidden="1"/>
    </xf>
    <xf numFmtId="0" fontId="2" fillId="0" borderId="4" xfId="0" applyFont="1" applyBorder="1" applyProtection="1">
      <protection hidden="1"/>
    </xf>
    <xf numFmtId="0" fontId="2" fillId="0" borderId="5" xfId="0" applyFont="1" applyBorder="1" applyProtection="1">
      <protection hidden="1"/>
    </xf>
    <xf numFmtId="0" fontId="2" fillId="0" borderId="6" xfId="0" applyFont="1" applyBorder="1" applyProtection="1">
      <protection hidden="1"/>
    </xf>
    <xf numFmtId="165" fontId="2" fillId="0" borderId="0" xfId="0" applyNumberFormat="1" applyFont="1" applyBorder="1" applyAlignment="1" applyProtection="1">
      <alignment horizontal="left"/>
      <protection hidden="1"/>
    </xf>
    <xf numFmtId="0" fontId="2" fillId="0" borderId="12" xfId="0" applyFont="1" applyFill="1" applyBorder="1" applyAlignment="1" applyProtection="1">
      <alignment horizontal="center"/>
      <protection hidden="1"/>
    </xf>
    <xf numFmtId="0" fontId="2" fillId="2" borderId="12" xfId="0" applyFont="1" applyFill="1" applyBorder="1" applyProtection="1">
      <protection hidden="1"/>
    </xf>
    <xf numFmtId="11" fontId="2" fillId="0" borderId="0" xfId="0" applyNumberFormat="1" applyFont="1" applyProtection="1">
      <protection hidden="1"/>
    </xf>
    <xf numFmtId="0" fontId="2" fillId="0" borderId="8" xfId="0" applyFont="1" applyBorder="1" applyProtection="1">
      <protection hidden="1"/>
    </xf>
    <xf numFmtId="0" fontId="2" fillId="0" borderId="9" xfId="0" applyFont="1" applyBorder="1" applyProtection="1">
      <protection hidden="1"/>
    </xf>
    <xf numFmtId="165" fontId="2" fillId="0" borderId="9" xfId="0" applyNumberFormat="1" applyFont="1" applyBorder="1" applyAlignment="1" applyProtection="1">
      <alignment horizontal="left"/>
      <protection hidden="1"/>
    </xf>
    <xf numFmtId="0" fontId="2" fillId="0" borderId="10" xfId="0" applyFont="1" applyBorder="1" applyProtection="1">
      <protection hidden="1"/>
    </xf>
    <xf numFmtId="0" fontId="2" fillId="8" borderId="6" xfId="0" applyFont="1" applyFill="1" applyBorder="1" applyProtection="1">
      <protection hidden="1"/>
    </xf>
    <xf numFmtId="0" fontId="2" fillId="8" borderId="0" xfId="0" applyFont="1" applyFill="1" applyBorder="1" applyProtection="1">
      <protection hidden="1"/>
    </xf>
    <xf numFmtId="166" fontId="2" fillId="5" borderId="1" xfId="0" applyNumberFormat="1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2" fillId="0" borderId="1" xfId="0" applyFont="1" applyFill="1" applyBorder="1" applyAlignment="1" applyProtection="1">
      <alignment horizontal="center"/>
      <protection hidden="1"/>
    </xf>
    <xf numFmtId="0" fontId="2" fillId="13" borderId="18" xfId="0" applyFont="1" applyFill="1" applyBorder="1" applyAlignment="1" applyProtection="1">
      <alignment horizontal="center"/>
      <protection hidden="1"/>
    </xf>
    <xf numFmtId="165" fontId="2" fillId="0" borderId="7" xfId="0" applyNumberFormat="1" applyFont="1" applyBorder="1" applyAlignment="1" applyProtection="1">
      <alignment horizontal="left"/>
      <protection hidden="1"/>
    </xf>
    <xf numFmtId="0" fontId="3" fillId="0" borderId="7" xfId="0" applyFont="1" applyBorder="1" applyProtection="1">
      <protection hidden="1"/>
    </xf>
    <xf numFmtId="165" fontId="2" fillId="0" borderId="10" xfId="0" applyNumberFormat="1" applyFont="1" applyBorder="1" applyAlignment="1" applyProtection="1">
      <alignment horizontal="left"/>
      <protection hidden="1"/>
    </xf>
    <xf numFmtId="2" fontId="2" fillId="8" borderId="7" xfId="0" applyNumberFormat="1" applyFont="1" applyFill="1" applyBorder="1" applyAlignment="1" applyProtection="1">
      <alignment horizontal="center"/>
      <protection hidden="1"/>
    </xf>
    <xf numFmtId="11" fontId="3" fillId="0" borderId="0" xfId="0" applyNumberFormat="1" applyFont="1" applyBorder="1" applyProtection="1">
      <protection hidden="1"/>
    </xf>
    <xf numFmtId="11" fontId="2" fillId="0" borderId="0" xfId="0" applyNumberFormat="1" applyFont="1" applyBorder="1" applyProtection="1">
      <protection hidden="1"/>
    </xf>
    <xf numFmtId="165" fontId="2" fillId="0" borderId="6" xfId="0" applyNumberFormat="1" applyFont="1" applyBorder="1" applyAlignment="1" applyProtection="1">
      <alignment horizontal="left"/>
      <protection hidden="1"/>
    </xf>
    <xf numFmtId="10" fontId="2" fillId="0" borderId="17" xfId="0" applyNumberFormat="1" applyFont="1" applyBorder="1" applyAlignment="1" applyProtection="1">
      <alignment horizontal="center"/>
      <protection hidden="1"/>
    </xf>
    <xf numFmtId="0" fontId="2" fillId="0" borderId="21" xfId="0" applyFont="1" applyBorder="1" applyProtection="1">
      <protection hidden="1"/>
    </xf>
    <xf numFmtId="0" fontId="2" fillId="4" borderId="0" xfId="0" applyFont="1" applyFill="1" applyBorder="1" applyProtection="1">
      <protection hidden="1"/>
    </xf>
    <xf numFmtId="0" fontId="17" fillId="0" borderId="0" xfId="0" applyFont="1" applyBorder="1" applyProtection="1">
      <protection hidden="1"/>
    </xf>
    <xf numFmtId="165" fontId="2" fillId="0" borderId="0" xfId="0" applyNumberFormat="1" applyFont="1" applyProtection="1">
      <protection hidden="1"/>
    </xf>
    <xf numFmtId="17" fontId="2" fillId="0" borderId="0" xfId="0" applyNumberFormat="1" applyFont="1" applyBorder="1" applyProtection="1">
      <protection hidden="1"/>
    </xf>
    <xf numFmtId="0" fontId="2" fillId="0" borderId="1" xfId="0" applyFont="1" applyFill="1" applyBorder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center"/>
      <protection hidden="1"/>
    </xf>
    <xf numFmtId="0" fontId="2" fillId="0" borderId="17" xfId="0" applyFont="1" applyBorder="1" applyAlignment="1" applyProtection="1">
      <alignment horizontal="center"/>
      <protection hidden="1"/>
    </xf>
    <xf numFmtId="0" fontId="2" fillId="0" borderId="18" xfId="0" applyFont="1" applyBorder="1" applyAlignment="1" applyProtection="1">
      <alignment horizontal="center"/>
      <protection hidden="1"/>
    </xf>
    <xf numFmtId="165" fontId="2" fillId="2" borderId="13" xfId="0" applyNumberFormat="1" applyFont="1" applyFill="1" applyBorder="1" applyAlignment="1" applyProtection="1">
      <alignment horizontal="center" vertical="center" wrapText="1"/>
      <protection hidden="1"/>
    </xf>
    <xf numFmtId="165" fontId="2" fillId="2" borderId="16" xfId="0" applyNumberFormat="1" applyFont="1" applyFill="1" applyBorder="1" applyAlignment="1" applyProtection="1">
      <alignment horizontal="center" vertical="center" wrapText="1"/>
      <protection hidden="1"/>
    </xf>
    <xf numFmtId="165" fontId="2" fillId="2" borderId="14" xfId="0" applyNumberFormat="1" applyFont="1" applyFill="1" applyBorder="1" applyAlignment="1" applyProtection="1">
      <alignment horizontal="center" vertical="center" wrapText="1"/>
      <protection hidden="1"/>
    </xf>
    <xf numFmtId="1" fontId="2" fillId="9" borderId="13" xfId="1" applyNumberFormat="1" applyFont="1" applyFill="1" applyBorder="1" applyAlignment="1" applyProtection="1">
      <alignment horizontal="center" vertical="center"/>
      <protection hidden="1"/>
    </xf>
    <xf numFmtId="1" fontId="2" fillId="9" borderId="16" xfId="1" applyNumberFormat="1" applyFont="1" applyFill="1" applyBorder="1" applyAlignment="1" applyProtection="1">
      <alignment horizontal="center" vertical="center"/>
      <protection hidden="1"/>
    </xf>
    <xf numFmtId="1" fontId="2" fillId="9" borderId="19" xfId="1" applyNumberFormat="1" applyFont="1" applyFill="1" applyBorder="1" applyAlignment="1" applyProtection="1">
      <alignment horizontal="center" vertical="center"/>
      <protection hidden="1"/>
    </xf>
    <xf numFmtId="1" fontId="2" fillId="9" borderId="20" xfId="1" applyNumberFormat="1" applyFont="1" applyFill="1" applyBorder="1" applyAlignment="1" applyProtection="1">
      <alignment horizontal="center" vertical="center"/>
      <protection hidden="1"/>
    </xf>
    <xf numFmtId="1" fontId="2" fillId="9" borderId="1" xfId="1" applyNumberFormat="1" applyFont="1" applyFill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/>
      <protection hidden="1"/>
    </xf>
    <xf numFmtId="165" fontId="2" fillId="0" borderId="21" xfId="0" applyNumberFormat="1" applyFont="1" applyBorder="1" applyAlignment="1" applyProtection="1">
      <alignment horizontal="center" vertical="center"/>
      <protection hidden="1"/>
    </xf>
    <xf numFmtId="166" fontId="2" fillId="0" borderId="0" xfId="0" applyNumberFormat="1" applyFont="1" applyProtection="1">
      <protection hidden="1"/>
    </xf>
  </cellXfs>
  <cellStyles count="9">
    <cellStyle name="Formule" xfId="6" xr:uid="{00000000-0005-0000-0000-000000000000}"/>
    <cellStyle name="Normal" xfId="0" builtinId="0"/>
    <cellStyle name="Normal 2" xfId="1" xr:uid="{00000000-0005-0000-0000-000003000000}"/>
    <cellStyle name="Normal 2 2" xfId="2" xr:uid="{00000000-0005-0000-0000-000004000000}"/>
    <cellStyle name="Normal 2 3 2" xfId="8" xr:uid="{00000000-0005-0000-0000-000005000000}"/>
    <cellStyle name="Normal 3" xfId="4" xr:uid="{00000000-0005-0000-0000-000006000000}"/>
    <cellStyle name="Pourcentage 2" xfId="7" xr:uid="{00000000-0005-0000-0000-000007000000}"/>
    <cellStyle name="Saisie" xfId="5" xr:uid="{00000000-0005-0000-0000-000008000000}"/>
    <cellStyle name="Titre 2" xfId="3" xr:uid="{00000000-0005-0000-0000-000009000000}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Contribution% des étapes à la dispersion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'Gage R&amp;R destructif'!$C$56:$C$58</c:f>
              <c:strCache>
                <c:ptCount val="3"/>
                <c:pt idx="0">
                  <c:v>lot</c:v>
                </c:pt>
                <c:pt idx="1">
                  <c:v>opérateur</c:v>
                </c:pt>
                <c:pt idx="2">
                  <c:v>Piece(lot*op)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'Gage R&amp;R destructif'!$C$56:$C$58</c:f>
              <c:strCache>
                <c:ptCount val="3"/>
                <c:pt idx="0">
                  <c:v>lot</c:v>
                </c:pt>
                <c:pt idx="1">
                  <c:v>opérateur</c:v>
                </c:pt>
                <c:pt idx="2">
                  <c:v>Piece(lot*op)</c:v>
                </c:pt>
              </c:strCache>
            </c:strRef>
          </c:cat>
          <c:val>
            <c:numRef>
              <c:f>'Gage R&amp;R destructif'!$J$56:$J$58</c:f>
              <c:numCache>
                <c:formatCode>0.0%</c:formatCode>
                <c:ptCount val="3"/>
                <c:pt idx="0">
                  <c:v>0.18221591386726374</c:v>
                </c:pt>
                <c:pt idx="1">
                  <c:v>5.829144258371842E-2</c:v>
                </c:pt>
                <c:pt idx="2">
                  <c:v>0.21866370510827896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8-4577-9C4B-C184F1B17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00519184"/>
        <c:axId val="400524080"/>
      </c:barChart>
      <c:catAx>
        <c:axId val="40051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0524080"/>
        <c:crosses val="autoZero"/>
        <c:auto val="1"/>
        <c:lblAlgn val="ctr"/>
        <c:lblOffset val="100"/>
        <c:noMultiLvlLbl val="0"/>
      </c:catAx>
      <c:valAx>
        <c:axId val="40052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051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'Gage R&amp;R destructif'!$U$33:$U$93</c:f>
              <c:numCache>
                <c:formatCode>0.00</c:formatCode>
                <c:ptCount val="61"/>
                <c:pt idx="0">
                  <c:v>-0.45510647667663912</c:v>
                </c:pt>
                <c:pt idx="1">
                  <c:v>-0.42501723664473495</c:v>
                </c:pt>
                <c:pt idx="2">
                  <c:v>-0.39492799661283079</c:v>
                </c:pt>
                <c:pt idx="3">
                  <c:v>-0.36483875658092685</c:v>
                </c:pt>
                <c:pt idx="4">
                  <c:v>-0.33474951654902269</c:v>
                </c:pt>
                <c:pt idx="5">
                  <c:v>-0.30466027651711852</c:v>
                </c:pt>
                <c:pt idx="6">
                  <c:v>-0.27457103648521436</c:v>
                </c:pt>
                <c:pt idx="7">
                  <c:v>-0.2444817964533102</c:v>
                </c:pt>
                <c:pt idx="8">
                  <c:v>-0.21439255642140626</c:v>
                </c:pt>
                <c:pt idx="9">
                  <c:v>-0.18430331638950209</c:v>
                </c:pt>
                <c:pt idx="10">
                  <c:v>-0.15421407635759793</c:v>
                </c:pt>
                <c:pt idx="11">
                  <c:v>-0.12412483632569377</c:v>
                </c:pt>
                <c:pt idx="12">
                  <c:v>-9.4035596293789714E-2</c:v>
                </c:pt>
                <c:pt idx="13">
                  <c:v>-6.3946356261885551E-2</c:v>
                </c:pt>
                <c:pt idx="14">
                  <c:v>-3.3857116229981499E-2</c:v>
                </c:pt>
                <c:pt idx="15">
                  <c:v>-3.7678761980773356E-3</c:v>
                </c:pt>
                <c:pt idx="16">
                  <c:v>2.6321363833826827E-2</c:v>
                </c:pt>
                <c:pt idx="17">
                  <c:v>5.6410603865730879E-2</c:v>
                </c:pt>
                <c:pt idx="18">
                  <c:v>8.6499843897635043E-2</c:v>
                </c:pt>
                <c:pt idx="19">
                  <c:v>0.11658908392953909</c:v>
                </c:pt>
                <c:pt idx="20">
                  <c:v>0.14667832396144326</c:v>
                </c:pt>
                <c:pt idx="21">
                  <c:v>0.17676756399334737</c:v>
                </c:pt>
                <c:pt idx="22">
                  <c:v>0.20685680402525147</c:v>
                </c:pt>
                <c:pt idx="23">
                  <c:v>0.23694604405715564</c:v>
                </c:pt>
                <c:pt idx="24">
                  <c:v>0.26703528408905974</c:v>
                </c:pt>
                <c:pt idx="25">
                  <c:v>0.29712452412096385</c:v>
                </c:pt>
                <c:pt idx="26">
                  <c:v>0.32721376415286796</c:v>
                </c:pt>
                <c:pt idx="27">
                  <c:v>0.35730300418477212</c:v>
                </c:pt>
                <c:pt idx="28">
                  <c:v>0.38739224421667617</c:v>
                </c:pt>
                <c:pt idx="29">
                  <c:v>0.41748148424858034</c:v>
                </c:pt>
                <c:pt idx="30">
                  <c:v>0.44757072428048444</c:v>
                </c:pt>
                <c:pt idx="31">
                  <c:v>0.47765996431238855</c:v>
                </c:pt>
                <c:pt idx="32">
                  <c:v>0.50774920434429271</c:v>
                </c:pt>
                <c:pt idx="33">
                  <c:v>0.53783844437619677</c:v>
                </c:pt>
                <c:pt idx="34">
                  <c:v>0.56792768440810093</c:v>
                </c:pt>
                <c:pt idx="35">
                  <c:v>0.59801692444000509</c:v>
                </c:pt>
                <c:pt idx="36">
                  <c:v>0.62810616447190915</c:v>
                </c:pt>
                <c:pt idx="37">
                  <c:v>0.6581954045038132</c:v>
                </c:pt>
                <c:pt idx="38">
                  <c:v>0.68828464453571736</c:v>
                </c:pt>
                <c:pt idx="39">
                  <c:v>0.71837388456762152</c:v>
                </c:pt>
                <c:pt idx="40">
                  <c:v>0.74846312459952569</c:v>
                </c:pt>
                <c:pt idx="41">
                  <c:v>0.77855236463142985</c:v>
                </c:pt>
                <c:pt idx="42">
                  <c:v>0.80864160466333379</c:v>
                </c:pt>
                <c:pt idx="43">
                  <c:v>0.83873084469523795</c:v>
                </c:pt>
                <c:pt idx="44">
                  <c:v>0.86882008472714212</c:v>
                </c:pt>
                <c:pt idx="45">
                  <c:v>0.89890932475904628</c:v>
                </c:pt>
                <c:pt idx="46">
                  <c:v>0.92899856479095044</c:v>
                </c:pt>
                <c:pt idx="47">
                  <c:v>0.95908780482285438</c:v>
                </c:pt>
                <c:pt idx="48">
                  <c:v>0.98917704485475855</c:v>
                </c:pt>
                <c:pt idx="49">
                  <c:v>1.0192662848866627</c:v>
                </c:pt>
                <c:pt idx="50">
                  <c:v>1.0493555249185669</c:v>
                </c:pt>
                <c:pt idx="51">
                  <c:v>1.079444764950471</c:v>
                </c:pt>
                <c:pt idx="52">
                  <c:v>1.1095340049823752</c:v>
                </c:pt>
                <c:pt idx="53">
                  <c:v>1.1396232450142791</c:v>
                </c:pt>
                <c:pt idx="54">
                  <c:v>1.1697124850461833</c:v>
                </c:pt>
                <c:pt idx="55">
                  <c:v>1.1998017250780906</c:v>
                </c:pt>
                <c:pt idx="56">
                  <c:v>1.2298909651099916</c:v>
                </c:pt>
                <c:pt idx="57">
                  <c:v>1.2599802051418958</c:v>
                </c:pt>
                <c:pt idx="58">
                  <c:v>1.2900694451738028</c:v>
                </c:pt>
                <c:pt idx="59">
                  <c:v>1.320158685205707</c:v>
                </c:pt>
                <c:pt idx="60">
                  <c:v>1.3502479252376112</c:v>
                </c:pt>
              </c:numCache>
            </c:numRef>
          </c:xVal>
          <c:yVal>
            <c:numRef>
              <c:f>'Gage R&amp;R destructif'!$V$33:$V$93</c:f>
              <c:numCache>
                <c:formatCode>0.00E+00</c:formatCode>
                <c:ptCount val="61"/>
                <c:pt idx="0">
                  <c:v>1.4729014116803364E-2</c:v>
                </c:pt>
                <c:pt idx="1">
                  <c:v>1.978292709774087E-2</c:v>
                </c:pt>
                <c:pt idx="2">
                  <c:v>2.6306585259671181E-2</c:v>
                </c:pt>
                <c:pt idx="3">
                  <c:v>3.4633426445377487E-2</c:v>
                </c:pt>
                <c:pt idx="4">
                  <c:v>4.5142280826246751E-2</c:v>
                </c:pt>
                <c:pt idx="5">
                  <c:v>5.8254380884937583E-2</c:v>
                </c:pt>
                <c:pt idx="6">
                  <c:v>7.4427038606151588E-2</c:v>
                </c:pt>
                <c:pt idx="7">
                  <c:v>9.4143413763742648E-2</c:v>
                </c:pt>
                <c:pt idx="8">
                  <c:v>0.11789793563618464</c:v>
                </c:pt>
                <c:pt idx="9">
                  <c:v>0.14617715812626261</c:v>
                </c:pt>
                <c:pt idx="10">
                  <c:v>0.17943612552507321</c:v>
                </c:pt>
                <c:pt idx="11">
                  <c:v>0.21807069472377191</c:v>
                </c:pt>
                <c:pt idx="12">
                  <c:v>0.2623866811430996</c:v>
                </c:pt>
                <c:pt idx="13">
                  <c:v>0.31256714120119072</c:v>
                </c:pt>
                <c:pt idx="14">
                  <c:v>0.36863953546797573</c:v>
                </c:pt>
                <c:pt idx="15">
                  <c:v>0.43044488836727712</c:v>
                </c:pt>
                <c:pt idx="16">
                  <c:v>0.49761132377217365</c:v>
                </c:pt>
                <c:pt idx="17">
                  <c:v>0.56953446436700417</c:v>
                </c:pt>
                <c:pt idx="18">
                  <c:v>0.64536709726571451</c:v>
                </c:pt>
                <c:pt idx="19">
                  <c:v>0.72402020390531063</c:v>
                </c:pt>
                <c:pt idx="20">
                  <c:v>0.80417692258952966</c:v>
                </c:pt>
                <c:pt idx="21">
                  <c:v>0.88432027401363489</c:v>
                </c:pt>
                <c:pt idx="22">
                  <c:v>0.96277457474604866</c:v>
                </c:pt>
                <c:pt idx="23">
                  <c:v>1.037759454993457</c:v>
                </c:pt>
                <c:pt idx="24">
                  <c:v>1.1074543675362889</c:v>
                </c:pt>
                <c:pt idx="25">
                  <c:v>1.1700705182018516</c:v>
                </c:pt>
                <c:pt idx="26">
                  <c:v>1.2239263600969661</c:v>
                </c:pt>
                <c:pt idx="27">
                  <c:v>1.2675222606358032</c:v>
                </c:pt>
                <c:pt idx="28">
                  <c:v>1.2996097394311947</c:v>
                </c:pt>
                <c:pt idx="29">
                  <c:v>1.3192508253984363</c:v>
                </c:pt>
                <c:pt idx="30">
                  <c:v>1.3258635976795281</c:v>
                </c:pt>
                <c:pt idx="31">
                  <c:v>1.3192508253984363</c:v>
                </c:pt>
                <c:pt idx="32">
                  <c:v>1.2996097394311947</c:v>
                </c:pt>
                <c:pt idx="33">
                  <c:v>1.2675222606358032</c:v>
                </c:pt>
                <c:pt idx="34">
                  <c:v>1.2239263600969661</c:v>
                </c:pt>
                <c:pt idx="35">
                  <c:v>1.1700705182018514</c:v>
                </c:pt>
                <c:pt idx="36">
                  <c:v>1.1074543675362889</c:v>
                </c:pt>
                <c:pt idx="37">
                  <c:v>1.0377594549934575</c:v>
                </c:pt>
                <c:pt idx="38">
                  <c:v>0.96277457474604877</c:v>
                </c:pt>
                <c:pt idx="39">
                  <c:v>0.88432027401363489</c:v>
                </c:pt>
                <c:pt idx="40">
                  <c:v>0.80417692258952955</c:v>
                </c:pt>
                <c:pt idx="41">
                  <c:v>0.72402020390531041</c:v>
                </c:pt>
                <c:pt idx="42">
                  <c:v>0.64536709726571473</c:v>
                </c:pt>
                <c:pt idx="43">
                  <c:v>0.5695344643670045</c:v>
                </c:pt>
                <c:pt idx="44">
                  <c:v>0.49761132377217343</c:v>
                </c:pt>
                <c:pt idx="45">
                  <c:v>0.43044488836727685</c:v>
                </c:pt>
                <c:pt idx="46">
                  <c:v>0.36863953546797568</c:v>
                </c:pt>
                <c:pt idx="47">
                  <c:v>0.31256714120119089</c:v>
                </c:pt>
                <c:pt idx="48">
                  <c:v>0.26238668114309982</c:v>
                </c:pt>
                <c:pt idx="49">
                  <c:v>0.21807069472377191</c:v>
                </c:pt>
                <c:pt idx="50">
                  <c:v>0.17943612552507321</c:v>
                </c:pt>
                <c:pt idx="51">
                  <c:v>0.14617715812626261</c:v>
                </c:pt>
                <c:pt idx="52">
                  <c:v>0.11789793563618464</c:v>
                </c:pt>
                <c:pt idx="53">
                  <c:v>9.4143413763742648E-2</c:v>
                </c:pt>
                <c:pt idx="54">
                  <c:v>7.4427038606151588E-2</c:v>
                </c:pt>
                <c:pt idx="55">
                  <c:v>5.825438088493607E-2</c:v>
                </c:pt>
                <c:pt idx="56">
                  <c:v>4.5142280826246751E-2</c:v>
                </c:pt>
                <c:pt idx="57">
                  <c:v>3.4633426445377487E-2</c:v>
                </c:pt>
                <c:pt idx="58">
                  <c:v>2.6306585259670428E-2</c:v>
                </c:pt>
                <c:pt idx="59">
                  <c:v>1.978292709774029E-2</c:v>
                </c:pt>
                <c:pt idx="60">
                  <c:v>1.4729014116802922E-2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3B-4079-AC7A-7174DBDD978F}"/>
            </c:ext>
          </c:extLst>
        </c:ser>
        <c:ser>
          <c:idx val="1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54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473B-4079-AC7A-7174DBDD978F}"/>
              </c:ext>
            </c:extLst>
          </c:dPt>
          <c:xVal>
            <c:numRef>
              <c:f>'Gage R&amp;R destructif'!$M$4:$P$4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E+00">
                  <c:v>0</c:v>
                </c:pt>
              </c:numCache>
            </c:numRef>
          </c:xVal>
          <c:yVal>
            <c:numRef>
              <c:f>'Gage R&amp;R destructif'!$Q$4:$R$4</c:f>
              <c:numCache>
                <c:formatCode>0.00E+00</c:formatCode>
                <c:ptCount val="2"/>
                <c:pt idx="0" formatCode="General">
                  <c:v>0</c:v>
                </c:pt>
                <c:pt idx="1">
                  <c:v>1.3258635976795281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3B-4079-AC7A-7174DBDD978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73B-4079-AC7A-7174DBDD978F}"/>
              </c:ext>
            </c:extLst>
          </c:dPt>
          <c:xVal>
            <c:numRef>
              <c:f>'Gage R&amp;R destructif'!$M$5:$P$5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 formatCode="0.00E+00">
                  <c:v>0</c:v>
                </c:pt>
              </c:numCache>
            </c:numRef>
          </c:xVal>
          <c:yVal>
            <c:numRef>
              <c:f>'Gage R&amp;R destructif'!$Q$5:$R$5</c:f>
              <c:numCache>
                <c:formatCode>0.00E+00</c:formatCode>
                <c:ptCount val="2"/>
                <c:pt idx="0" formatCode="General">
                  <c:v>0</c:v>
                </c:pt>
                <c:pt idx="1">
                  <c:v>1.3258635976795281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73B-4079-AC7A-7174DBDD9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937344"/>
        <c:axId val="584938432"/>
      </c:scatterChart>
      <c:valAx>
        <c:axId val="58493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4938432"/>
        <c:crosses val="autoZero"/>
        <c:crossBetween val="midCat"/>
      </c:valAx>
      <c:valAx>
        <c:axId val="584938432"/>
        <c:scaling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4937344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74999999999998"/>
          <c:y val="2.8619528619528625E-2"/>
          <c:w val="0.85625000000000007"/>
          <c:h val="0.91919191919191923"/>
        </c:manualLayout>
      </c:layout>
      <c:scatterChart>
        <c:scatterStyle val="lineMarker"/>
        <c:varyColors val="0"/>
        <c:ser>
          <c:idx val="0"/>
          <c:order val="0"/>
          <c:tx>
            <c:strRef>
              <c:f>Récapitulatif!$B$17</c:f>
              <c:strCache>
                <c:ptCount val="1"/>
                <c:pt idx="0">
                  <c:v>Recouvrement (justesse)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Récapitulatif!$C$17:$G$17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1A-46C1-B8CA-2F755B44D83F}"/>
            </c:ext>
          </c:extLst>
        </c:ser>
        <c:ser>
          <c:idx val="1"/>
          <c:order val="1"/>
          <c:tx>
            <c:strRef>
              <c:f>Récapitulatif!$B$18</c:f>
              <c:strCache>
                <c:ptCount val="1"/>
                <c:pt idx="0">
                  <c:v>Limite basse tolérance (%)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Récapitulatif!$C$18:$G$18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1A-46C1-B8CA-2F755B44D83F}"/>
            </c:ext>
          </c:extLst>
        </c:ser>
        <c:ser>
          <c:idx val="2"/>
          <c:order val="2"/>
          <c:tx>
            <c:strRef>
              <c:f>Récapitulatif!$B$19</c:f>
              <c:strCache>
                <c:ptCount val="1"/>
                <c:pt idx="0">
                  <c:v>Limite haute tolérance (%)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Récapitulatif!$C$19:$G$19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1A-46C1-B8CA-2F755B44D83F}"/>
            </c:ext>
          </c:extLst>
        </c:ser>
        <c:ser>
          <c:idx val="3"/>
          <c:order val="3"/>
          <c:tx>
            <c:strRef>
              <c:f>Récapitulatif!$B$20</c:f>
              <c:strCache>
                <c:ptCount val="1"/>
                <c:pt idx="0">
                  <c:v>Limite d'acceptabilité basse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Récapitulatif!$C$20:$G$20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1A-46C1-B8CA-2F755B44D83F}"/>
            </c:ext>
          </c:extLst>
        </c:ser>
        <c:ser>
          <c:idx val="4"/>
          <c:order val="4"/>
          <c:tx>
            <c:strRef>
              <c:f>Récapitulatif!$B$21</c:f>
              <c:strCache>
                <c:ptCount val="1"/>
                <c:pt idx="0">
                  <c:v>Limite d'acceptabilité haute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Récapitulatif!$C$21:$G$21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71A-46C1-B8CA-2F755B44D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929184"/>
        <c:axId val="584939520"/>
      </c:scatterChart>
      <c:valAx>
        <c:axId val="584929184"/>
        <c:scaling>
          <c:orientation val="minMax"/>
          <c:min val="70"/>
        </c:scaling>
        <c:delete val="0"/>
        <c:axPos val="b"/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fr-FR"/>
                  <a:t>Niveaux</a:t>
                </a:r>
              </a:p>
            </c:rich>
          </c:tx>
          <c:layout>
            <c:manualLayout>
              <c:xMode val="edge"/>
              <c:yMode val="edge"/>
              <c:x val="0.86875000000000013"/>
              <c:y val="0.9225589225589226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fr-FR"/>
          </a:p>
        </c:txPr>
        <c:crossAx val="584939520"/>
        <c:crossesAt val="1"/>
        <c:crossBetween val="midCat"/>
      </c:valAx>
      <c:valAx>
        <c:axId val="584939520"/>
        <c:scaling>
          <c:orientation val="minMax"/>
          <c:max val="1.2"/>
          <c:min val="0.8"/>
        </c:scaling>
        <c:delete val="0"/>
        <c:axPos val="l"/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fr-FR"/>
                  <a:t>Exactitude (%)</a:t>
                </a:r>
              </a:p>
            </c:rich>
          </c:tx>
          <c:layout>
            <c:manualLayout>
              <c:xMode val="edge"/>
              <c:yMode val="edge"/>
              <c:x val="0"/>
              <c:y val="0.3265559953571967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fr-FR"/>
          </a:p>
        </c:txPr>
        <c:crossAx val="584929184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249218583788484"/>
          <c:y val="0.74578482160133208"/>
          <c:w val="0.61770833333333341"/>
          <c:h val="0.124579124579124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>
    <tabColor theme="4" tint="0.59999389629810485"/>
  </sheetPr>
  <sheetViews>
    <sheetView zoomScale="55" workbookViewId="0"/>
  </sheetViews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369795</xdr:colOff>
      <xdr:row>33</xdr:row>
      <xdr:rowOff>45844</xdr:rowOff>
    </xdr:from>
    <xdr:to>
      <xdr:col>13</xdr:col>
      <xdr:colOff>616324</xdr:colOff>
      <xdr:row>48</xdr:row>
      <xdr:rowOff>124354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79802</xdr:colOff>
      <xdr:row>33</xdr:row>
      <xdr:rowOff>48555</xdr:rowOff>
    </xdr:from>
    <xdr:to>
      <xdr:col>7</xdr:col>
      <xdr:colOff>324971</xdr:colOff>
      <xdr:row>48</xdr:row>
      <xdr:rowOff>127000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9525</xdr:rowOff>
    </xdr:from>
    <xdr:to>
      <xdr:col>7</xdr:col>
      <xdr:colOff>0</xdr:colOff>
      <xdr:row>25</xdr:row>
      <xdr:rowOff>47625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260725"/>
          <a:ext cx="7400925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Les données qui servent à construire le graphique du profil sont en bleu. </a:t>
          </a:r>
        </a:p>
        <a:p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Il convient de modifier le graphique en fonction du nombre de niveaux en sélectionnant la zone correcte de données par la commande &lt;Données du graphique…&gt;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155545" cy="564572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0"/>
  <sheetViews>
    <sheetView showGridLines="0" tabSelected="1" topLeftCell="A27" zoomScale="85" zoomScaleNormal="85" workbookViewId="0">
      <selection activeCell="P57" sqref="P57:S58"/>
    </sheetView>
  </sheetViews>
  <sheetFormatPr baseColWidth="10" defaultColWidth="10.85546875" defaultRowHeight="15" x14ac:dyDescent="0.25"/>
  <cols>
    <col min="1" max="1" width="5.5703125" style="40" customWidth="1"/>
    <col min="2" max="2" width="10.85546875" style="40"/>
    <col min="3" max="3" width="13.7109375" style="40" customWidth="1"/>
    <col min="4" max="8" width="10.85546875" style="40"/>
    <col min="9" max="11" width="11" style="40" bestFit="1" customWidth="1"/>
    <col min="12" max="12" width="12.42578125" style="40" bestFit="1" customWidth="1"/>
    <col min="13" max="13" width="10.85546875" style="40"/>
    <col min="14" max="14" width="10.140625" style="40" customWidth="1"/>
    <col min="15" max="15" width="9.42578125" style="40" customWidth="1"/>
    <col min="16" max="16" width="11.42578125" style="40" customWidth="1"/>
    <col min="17" max="18" width="10.85546875" style="40"/>
    <col min="19" max="23" width="10.85546875" style="38"/>
    <col min="24" max="16384" width="10.85546875" style="40"/>
  </cols>
  <sheetData>
    <row r="1" spans="2:18" ht="15.75" thickBot="1" x14ac:dyDescent="0.3">
      <c r="O1" s="42"/>
      <c r="P1" s="42"/>
    </row>
    <row r="2" spans="2:18" x14ac:dyDescent="0.25">
      <c r="B2" s="72"/>
      <c r="C2" s="73"/>
      <c r="D2" s="73"/>
      <c r="E2" s="73"/>
      <c r="F2" s="74"/>
      <c r="G2" s="74"/>
      <c r="H2" s="74"/>
      <c r="I2" s="74"/>
      <c r="J2" s="74"/>
      <c r="K2" s="74"/>
      <c r="L2" s="74"/>
      <c r="M2" s="74"/>
      <c r="N2" s="75"/>
      <c r="O2" s="42"/>
      <c r="P2" s="42"/>
    </row>
    <row r="3" spans="2:18" x14ac:dyDescent="0.25">
      <c r="B3" s="76"/>
      <c r="C3" s="116" t="s">
        <v>56</v>
      </c>
      <c r="D3" s="116"/>
      <c r="E3" s="116"/>
      <c r="F3" s="42"/>
      <c r="G3" s="105" t="s">
        <v>60</v>
      </c>
      <c r="H3" s="105"/>
      <c r="I3" s="105"/>
      <c r="J3" s="105"/>
      <c r="K3" s="77"/>
      <c r="L3" s="77">
        <f>SUM(H3:K3)</f>
        <v>0</v>
      </c>
      <c r="M3" s="77">
        <f>SUM(I3:L3)</f>
        <v>0</v>
      </c>
      <c r="N3" s="91"/>
      <c r="O3" s="42"/>
      <c r="P3" s="42"/>
    </row>
    <row r="4" spans="2:18" x14ac:dyDescent="0.25">
      <c r="B4" s="76"/>
      <c r="C4" s="78" t="s">
        <v>55</v>
      </c>
      <c r="D4" s="79" t="s">
        <v>130</v>
      </c>
      <c r="E4" s="41">
        <v>3</v>
      </c>
      <c r="F4" s="42"/>
      <c r="G4" s="64" t="s">
        <v>55</v>
      </c>
      <c r="H4" s="64" t="s">
        <v>57</v>
      </c>
      <c r="I4" s="64" t="s">
        <v>59</v>
      </c>
      <c r="J4" s="64" t="s">
        <v>58</v>
      </c>
      <c r="K4" s="77"/>
      <c r="L4" s="65" t="s">
        <v>12</v>
      </c>
      <c r="M4" s="41">
        <v>0</v>
      </c>
      <c r="N4" s="92">
        <f>M4</f>
        <v>0</v>
      </c>
      <c r="O4" s="44">
        <v>0</v>
      </c>
      <c r="P4" s="95">
        <f>R63</f>
        <v>0</v>
      </c>
      <c r="Q4" s="38">
        <v>0</v>
      </c>
      <c r="R4" s="39">
        <f ca="1">V63</f>
        <v>1.3258635976795281</v>
      </c>
    </row>
    <row r="5" spans="2:18" x14ac:dyDescent="0.25">
      <c r="B5" s="76"/>
      <c r="C5" s="78" t="s">
        <v>57</v>
      </c>
      <c r="D5" s="79" t="s">
        <v>129</v>
      </c>
      <c r="E5" s="41">
        <v>3</v>
      </c>
      <c r="F5" s="42"/>
      <c r="G5" s="108" t="s">
        <v>64</v>
      </c>
      <c r="H5" s="111" t="s">
        <v>63</v>
      </c>
      <c r="I5" s="55" t="s">
        <v>68</v>
      </c>
      <c r="J5" s="57">
        <f ca="1">RAND()</f>
        <v>0.1013873145215497</v>
      </c>
      <c r="K5" s="117">
        <f ca="1">AVERAGE(J5:J7)</f>
        <v>0.2976124052291016</v>
      </c>
      <c r="L5" s="65" t="s">
        <v>11</v>
      </c>
      <c r="M5" s="41">
        <v>1</v>
      </c>
      <c r="N5" s="92">
        <f>M5</f>
        <v>1</v>
      </c>
      <c r="O5" s="44">
        <v>0</v>
      </c>
      <c r="P5" s="95">
        <f>P4</f>
        <v>0</v>
      </c>
      <c r="Q5" s="38">
        <v>0</v>
      </c>
      <c r="R5" s="39">
        <f ca="1">R4</f>
        <v>1.3258635976795281</v>
      </c>
    </row>
    <row r="6" spans="2:18" x14ac:dyDescent="0.25">
      <c r="B6" s="76"/>
      <c r="C6" s="78" t="s">
        <v>59</v>
      </c>
      <c r="D6" s="79" t="s">
        <v>67</v>
      </c>
      <c r="E6" s="41">
        <v>3</v>
      </c>
      <c r="F6" s="42"/>
      <c r="G6" s="109"/>
      <c r="H6" s="112"/>
      <c r="I6" s="55" t="s">
        <v>69</v>
      </c>
      <c r="J6" s="57">
        <f ca="1">RAND()</f>
        <v>6.1922942114369328E-2</v>
      </c>
      <c r="K6" s="117"/>
      <c r="N6" s="43"/>
      <c r="O6" s="42"/>
      <c r="P6" s="96"/>
      <c r="R6" s="80"/>
    </row>
    <row r="7" spans="2:18" x14ac:dyDescent="0.25">
      <c r="B7" s="76"/>
      <c r="F7" s="42"/>
      <c r="G7" s="109"/>
      <c r="H7" s="112"/>
      <c r="I7" s="55" t="s">
        <v>79</v>
      </c>
      <c r="J7" s="57">
        <f t="shared" ref="J6:J31" ca="1" si="0">RAND()</f>
        <v>0.72952695905138576</v>
      </c>
      <c r="K7" s="117"/>
      <c r="L7" s="65" t="s">
        <v>13</v>
      </c>
      <c r="M7" s="48">
        <f ca="1">AVERAGE(J5:J31)</f>
        <v>0.44757072428048444</v>
      </c>
      <c r="N7" s="43"/>
      <c r="O7" s="42"/>
      <c r="P7" s="96"/>
      <c r="R7" s="80"/>
    </row>
    <row r="8" spans="2:18" x14ac:dyDescent="0.25">
      <c r="B8" s="76"/>
      <c r="C8" s="42" t="s">
        <v>61</v>
      </c>
      <c r="F8" s="42"/>
      <c r="G8" s="109"/>
      <c r="H8" s="113" t="s">
        <v>78</v>
      </c>
      <c r="I8" s="55" t="s">
        <v>80</v>
      </c>
      <c r="J8" s="57">
        <f t="shared" ca="1" si="0"/>
        <v>0.1209222909049843</v>
      </c>
      <c r="K8" s="117">
        <f t="shared" ref="K8" ca="1" si="1">AVERAGE(J8:J10)</f>
        <v>0.11880222860881569</v>
      </c>
      <c r="L8" s="65" t="s">
        <v>53</v>
      </c>
      <c r="M8" s="48">
        <f ca="1">I53</f>
        <v>9.0536236569754125E-2</v>
      </c>
      <c r="N8" s="43"/>
      <c r="O8" s="42"/>
      <c r="P8" s="96"/>
      <c r="R8" s="80"/>
    </row>
    <row r="9" spans="2:18" x14ac:dyDescent="0.25">
      <c r="B9" s="76"/>
      <c r="C9" s="42" t="s">
        <v>104</v>
      </c>
      <c r="F9" s="42"/>
      <c r="G9" s="109"/>
      <c r="H9" s="114"/>
      <c r="I9" s="55" t="s">
        <v>81</v>
      </c>
      <c r="J9" s="57">
        <f t="shared" ca="1" si="0"/>
        <v>0.15376141974251101</v>
      </c>
      <c r="K9" s="117"/>
      <c r="L9" s="89" t="s">
        <v>54</v>
      </c>
      <c r="M9" s="48">
        <f ca="1">SQRT(M8)</f>
        <v>0.30089240031904119</v>
      </c>
      <c r="N9" s="43"/>
      <c r="O9" s="42"/>
      <c r="P9" s="96"/>
      <c r="R9" s="80"/>
    </row>
    <row r="10" spans="2:18" x14ac:dyDescent="0.25">
      <c r="B10" s="76"/>
      <c r="F10" s="42"/>
      <c r="G10" s="109"/>
      <c r="H10" s="114"/>
      <c r="I10" s="55" t="s">
        <v>82</v>
      </c>
      <c r="J10" s="57">
        <f t="shared" ca="1" si="0"/>
        <v>8.1722975178951773E-2</v>
      </c>
      <c r="K10" s="117"/>
      <c r="L10" s="89" t="s">
        <v>14</v>
      </c>
      <c r="M10" s="48">
        <f ca="1">MIN(J5:J31)</f>
        <v>6.1922942114369328E-2</v>
      </c>
      <c r="N10" s="43"/>
      <c r="O10" s="42"/>
      <c r="P10" s="96"/>
      <c r="R10" s="80"/>
    </row>
    <row r="11" spans="2:18" x14ac:dyDescent="0.25">
      <c r="B11" s="76"/>
      <c r="C11" s="42" t="s">
        <v>137</v>
      </c>
      <c r="F11" s="42"/>
      <c r="G11" s="109"/>
      <c r="H11" s="111" t="s">
        <v>70</v>
      </c>
      <c r="I11" s="55" t="s">
        <v>83</v>
      </c>
      <c r="J11" s="57">
        <f t="shared" ca="1" si="0"/>
        <v>0.17094452832513896</v>
      </c>
      <c r="K11" s="117">
        <f t="shared" ref="K11" ca="1" si="2">AVERAGE(J11:J13)</f>
        <v>0.40257421291990836</v>
      </c>
      <c r="L11" s="89" t="s">
        <v>15</v>
      </c>
      <c r="M11" s="48">
        <f ca="1">MAX(J5:J31)</f>
        <v>0.99538532213138342</v>
      </c>
      <c r="N11" s="43"/>
      <c r="O11" s="42"/>
      <c r="P11" s="96"/>
      <c r="R11" s="80"/>
    </row>
    <row r="12" spans="2:18" x14ac:dyDescent="0.25">
      <c r="B12" s="76"/>
      <c r="C12" s="42" t="s">
        <v>138</v>
      </c>
      <c r="F12" s="42"/>
      <c r="G12" s="109"/>
      <c r="H12" s="112"/>
      <c r="I12" s="55" t="s">
        <v>84</v>
      </c>
      <c r="J12" s="57">
        <f t="shared" ca="1" si="0"/>
        <v>0.20523690546019213</v>
      </c>
      <c r="K12" s="117"/>
      <c r="N12" s="43"/>
      <c r="O12" s="42"/>
      <c r="P12" s="96"/>
      <c r="R12" s="80"/>
    </row>
    <row r="13" spans="2:18" x14ac:dyDescent="0.25">
      <c r="B13" s="76"/>
      <c r="F13" s="42"/>
      <c r="G13" s="110"/>
      <c r="H13" s="112"/>
      <c r="I13" s="55" t="s">
        <v>85</v>
      </c>
      <c r="J13" s="57">
        <f t="shared" ca="1" si="0"/>
        <v>0.83154120497439399</v>
      </c>
      <c r="K13" s="117"/>
      <c r="N13" s="43"/>
      <c r="P13" s="42"/>
    </row>
    <row r="14" spans="2:18" x14ac:dyDescent="0.25">
      <c r="B14" s="76"/>
      <c r="D14" s="42"/>
      <c r="E14" s="42"/>
      <c r="F14" s="42"/>
      <c r="G14" s="108" t="s">
        <v>65</v>
      </c>
      <c r="H14" s="111" t="s">
        <v>63</v>
      </c>
      <c r="I14" s="55" t="s">
        <v>86</v>
      </c>
      <c r="J14" s="57">
        <f t="shared" ca="1" si="0"/>
        <v>0.16717710785504358</v>
      </c>
      <c r="K14" s="117">
        <f t="shared" ref="K14" ca="1" si="3">AVERAGE(J14:J16)</f>
        <v>0.36674374271357274</v>
      </c>
      <c r="L14" s="102"/>
      <c r="N14" s="43"/>
      <c r="O14" s="42"/>
      <c r="P14" s="96"/>
      <c r="R14" s="80"/>
    </row>
    <row r="15" spans="2:18" x14ac:dyDescent="0.25">
      <c r="B15" s="76"/>
      <c r="C15" s="42"/>
      <c r="D15" s="42"/>
      <c r="E15" s="42"/>
      <c r="F15" s="42"/>
      <c r="G15" s="109"/>
      <c r="H15" s="112"/>
      <c r="I15" s="55" t="s">
        <v>87</v>
      </c>
      <c r="J15" s="57">
        <f t="shared" ca="1" si="0"/>
        <v>0.32900245943691486</v>
      </c>
      <c r="K15" s="117"/>
      <c r="N15" s="43"/>
      <c r="O15" s="42"/>
      <c r="P15" s="96"/>
      <c r="R15" s="80"/>
    </row>
    <row r="16" spans="2:18" x14ac:dyDescent="0.25">
      <c r="B16" s="76"/>
      <c r="D16" s="42"/>
      <c r="E16" s="42"/>
      <c r="F16" s="42"/>
      <c r="G16" s="109"/>
      <c r="H16" s="112"/>
      <c r="I16" s="55" t="s">
        <v>88</v>
      </c>
      <c r="J16" s="57">
        <f t="shared" ca="1" si="0"/>
        <v>0.60405166084875994</v>
      </c>
      <c r="K16" s="117"/>
      <c r="N16" s="43"/>
      <c r="O16" s="42"/>
      <c r="P16" s="96"/>
      <c r="R16" s="80"/>
    </row>
    <row r="17" spans="2:18" x14ac:dyDescent="0.25">
      <c r="B17" s="76"/>
      <c r="D17" s="42"/>
      <c r="E17" s="42"/>
      <c r="F17" s="42"/>
      <c r="G17" s="109"/>
      <c r="H17" s="113" t="s">
        <v>78</v>
      </c>
      <c r="I17" s="55" t="s">
        <v>89</v>
      </c>
      <c r="J17" s="57">
        <f t="shared" ca="1" si="0"/>
        <v>0.68934145077396136</v>
      </c>
      <c r="K17" s="117">
        <f t="shared" ref="K17" ca="1" si="4">AVERAGE(J17:J19)</f>
        <v>0.72565542142056894</v>
      </c>
      <c r="N17" s="43"/>
      <c r="O17" s="42"/>
      <c r="P17" s="96"/>
      <c r="R17" s="80"/>
    </row>
    <row r="18" spans="2:18" x14ac:dyDescent="0.25">
      <c r="B18" s="76"/>
      <c r="D18" s="42"/>
      <c r="E18" s="42"/>
      <c r="F18" s="42"/>
      <c r="G18" s="109"/>
      <c r="H18" s="114"/>
      <c r="I18" s="55" t="s">
        <v>90</v>
      </c>
      <c r="J18" s="57">
        <f t="shared" ca="1" si="0"/>
        <v>0.60169649262387093</v>
      </c>
      <c r="K18" s="117"/>
      <c r="N18" s="43"/>
      <c r="O18" s="42"/>
      <c r="P18" s="96"/>
      <c r="R18" s="80"/>
    </row>
    <row r="19" spans="2:18" x14ac:dyDescent="0.25">
      <c r="B19" s="76"/>
      <c r="C19" s="88"/>
      <c r="D19" s="42"/>
      <c r="E19" s="42"/>
      <c r="F19" s="42"/>
      <c r="G19" s="109"/>
      <c r="H19" s="114"/>
      <c r="I19" s="55" t="s">
        <v>91</v>
      </c>
      <c r="J19" s="57">
        <f t="shared" ca="1" si="0"/>
        <v>0.88592832086387441</v>
      </c>
      <c r="K19" s="117"/>
      <c r="N19" s="43"/>
      <c r="O19" s="42"/>
      <c r="P19" s="96"/>
      <c r="R19" s="80"/>
    </row>
    <row r="20" spans="2:18" x14ac:dyDescent="0.25">
      <c r="B20" s="76"/>
      <c r="C20" s="88"/>
      <c r="D20" s="42"/>
      <c r="E20" s="42"/>
      <c r="F20" s="42"/>
      <c r="G20" s="109"/>
      <c r="H20" s="111" t="s">
        <v>70</v>
      </c>
      <c r="I20" s="55" t="s">
        <v>92</v>
      </c>
      <c r="J20" s="57">
        <f t="shared" ca="1" si="0"/>
        <v>9.693712574411173E-2</v>
      </c>
      <c r="K20" s="117">
        <f t="shared" ref="K20" ca="1" si="5">AVERAGE(J20:J22)</f>
        <v>0.41864249339581966</v>
      </c>
      <c r="N20" s="43"/>
      <c r="O20" s="42"/>
      <c r="P20" s="96"/>
      <c r="R20" s="80"/>
    </row>
    <row r="21" spans="2:18" x14ac:dyDescent="0.25">
      <c r="B21" s="76"/>
      <c r="C21" s="88"/>
      <c r="D21" s="42"/>
      <c r="E21" s="42"/>
      <c r="F21" s="42"/>
      <c r="G21" s="109"/>
      <c r="H21" s="112"/>
      <c r="I21" s="55" t="s">
        <v>93</v>
      </c>
      <c r="J21" s="57">
        <f t="shared" ca="1" si="0"/>
        <v>0.49942719230393073</v>
      </c>
      <c r="K21" s="117"/>
      <c r="N21" s="43"/>
      <c r="O21" s="42"/>
      <c r="P21" s="96"/>
      <c r="R21" s="80"/>
    </row>
    <row r="22" spans="2:18" x14ac:dyDescent="0.25">
      <c r="B22" s="76"/>
      <c r="C22" s="88"/>
      <c r="D22" s="42"/>
      <c r="E22" s="42"/>
      <c r="F22" s="42"/>
      <c r="G22" s="110"/>
      <c r="H22" s="112"/>
      <c r="I22" s="55" t="s">
        <v>94</v>
      </c>
      <c r="J22" s="57">
        <f t="shared" ca="1" si="0"/>
        <v>0.65956316213941646</v>
      </c>
      <c r="K22" s="117"/>
      <c r="N22" s="43"/>
      <c r="O22" s="42"/>
      <c r="P22" s="96"/>
      <c r="R22" s="80"/>
    </row>
    <row r="23" spans="2:18" x14ac:dyDescent="0.25">
      <c r="B23" s="76"/>
      <c r="C23" s="88"/>
      <c r="D23" s="42"/>
      <c r="E23" s="42"/>
      <c r="F23" s="42"/>
      <c r="G23" s="108" t="s">
        <v>66</v>
      </c>
      <c r="H23" s="111" t="s">
        <v>63</v>
      </c>
      <c r="I23" s="55" t="s">
        <v>95</v>
      </c>
      <c r="J23" s="57">
        <f t="shared" ca="1" si="0"/>
        <v>0.75236945050239179</v>
      </c>
      <c r="K23" s="117">
        <f t="shared" ref="K23" ca="1" si="6">AVERAGE(J23:J25)</f>
        <v>0.54606790493330937</v>
      </c>
      <c r="N23" s="43"/>
      <c r="O23" s="42"/>
      <c r="P23" s="96"/>
      <c r="R23" s="80"/>
    </row>
    <row r="24" spans="2:18" x14ac:dyDescent="0.25">
      <c r="B24" s="76"/>
      <c r="C24" s="88"/>
      <c r="D24" s="42"/>
      <c r="E24" s="42"/>
      <c r="F24" s="42"/>
      <c r="G24" s="109"/>
      <c r="H24" s="112"/>
      <c r="I24" s="55" t="s">
        <v>96</v>
      </c>
      <c r="J24" s="57">
        <f t="shared" ca="1" si="0"/>
        <v>0.80164833665332369</v>
      </c>
      <c r="K24" s="117"/>
      <c r="N24" s="43"/>
      <c r="O24" s="42"/>
      <c r="P24" s="96"/>
      <c r="R24" s="80"/>
    </row>
    <row r="25" spans="2:18" x14ac:dyDescent="0.25">
      <c r="B25" s="76"/>
      <c r="C25" s="88"/>
      <c r="D25" s="42"/>
      <c r="E25" s="42"/>
      <c r="F25" s="42"/>
      <c r="G25" s="109"/>
      <c r="H25" s="112"/>
      <c r="I25" s="55" t="s">
        <v>97</v>
      </c>
      <c r="J25" s="57">
        <f t="shared" ca="1" si="0"/>
        <v>8.4185927644212621E-2</v>
      </c>
      <c r="K25" s="117"/>
      <c r="N25" s="43"/>
      <c r="O25" s="42"/>
      <c r="P25" s="96"/>
      <c r="R25" s="80"/>
    </row>
    <row r="26" spans="2:18" x14ac:dyDescent="0.25">
      <c r="B26" s="76"/>
      <c r="C26" s="88"/>
      <c r="D26" s="42"/>
      <c r="E26" s="42"/>
      <c r="F26" s="42"/>
      <c r="G26" s="109"/>
      <c r="H26" s="113" t="s">
        <v>78</v>
      </c>
      <c r="I26" s="55" t="s">
        <v>98</v>
      </c>
      <c r="J26" s="57">
        <f t="shared" ca="1" si="0"/>
        <v>0.7735656459312974</v>
      </c>
      <c r="K26" s="117">
        <f t="shared" ref="K26" ca="1" si="7">AVERAGE(J26:J28)</f>
        <v>0.7999452487694575</v>
      </c>
      <c r="N26" s="43"/>
      <c r="O26" s="42"/>
      <c r="P26" s="96"/>
      <c r="R26" s="80"/>
    </row>
    <row r="27" spans="2:18" x14ac:dyDescent="0.25">
      <c r="B27" s="76"/>
      <c r="C27" s="88"/>
      <c r="D27" s="42"/>
      <c r="E27" s="42"/>
      <c r="F27" s="42"/>
      <c r="G27" s="109"/>
      <c r="H27" s="114"/>
      <c r="I27" s="55" t="s">
        <v>99</v>
      </c>
      <c r="J27" s="57">
        <f t="shared" ca="1" si="0"/>
        <v>0.63088477824569145</v>
      </c>
      <c r="K27" s="117"/>
      <c r="N27" s="43"/>
      <c r="O27" s="42"/>
      <c r="P27" s="96"/>
      <c r="R27" s="80"/>
    </row>
    <row r="28" spans="2:18" x14ac:dyDescent="0.25">
      <c r="B28" s="76"/>
      <c r="C28" s="88"/>
      <c r="D28" s="42"/>
      <c r="E28" s="42"/>
      <c r="F28" s="42"/>
      <c r="G28" s="109"/>
      <c r="H28" s="114"/>
      <c r="I28" s="55" t="s">
        <v>100</v>
      </c>
      <c r="J28" s="57">
        <f t="shared" ca="1" si="0"/>
        <v>0.99538532213138342</v>
      </c>
      <c r="K28" s="117"/>
      <c r="N28" s="43"/>
      <c r="O28" s="42"/>
      <c r="P28" s="96"/>
      <c r="R28" s="80"/>
    </row>
    <row r="29" spans="2:18" x14ac:dyDescent="0.25">
      <c r="B29" s="76"/>
      <c r="C29" s="88"/>
      <c r="D29" s="42"/>
      <c r="E29" s="42"/>
      <c r="F29" s="42"/>
      <c r="G29" s="109"/>
      <c r="H29" s="115" t="s">
        <v>70</v>
      </c>
      <c r="I29" s="55" t="s">
        <v>101</v>
      </c>
      <c r="J29" s="57">
        <f t="shared" ca="1" si="0"/>
        <v>0.28311251309442931</v>
      </c>
      <c r="K29" s="117">
        <f t="shared" ref="K29" ca="1" si="8">AVERAGE(J29:J31)</f>
        <v>0.35209286053380562</v>
      </c>
      <c r="N29" s="43"/>
      <c r="O29" s="42"/>
      <c r="P29" s="96"/>
      <c r="R29" s="80"/>
    </row>
    <row r="30" spans="2:18" x14ac:dyDescent="0.25">
      <c r="B30" s="76"/>
      <c r="C30" s="88"/>
      <c r="D30" s="42"/>
      <c r="E30" s="42"/>
      <c r="F30" s="42"/>
      <c r="G30" s="109"/>
      <c r="H30" s="115"/>
      <c r="I30" s="55" t="s">
        <v>102</v>
      </c>
      <c r="J30" s="57">
        <f t="shared" ca="1" si="0"/>
        <v>0.31788876456809334</v>
      </c>
      <c r="K30" s="117"/>
      <c r="N30" s="43"/>
      <c r="O30" s="42"/>
      <c r="P30" s="96"/>
      <c r="R30" s="80"/>
    </row>
    <row r="31" spans="2:18" x14ac:dyDescent="0.25">
      <c r="B31" s="76"/>
      <c r="C31" s="88"/>
      <c r="D31" s="42"/>
      <c r="E31" s="42"/>
      <c r="F31" s="42"/>
      <c r="G31" s="110"/>
      <c r="H31" s="115"/>
      <c r="I31" s="55" t="s">
        <v>103</v>
      </c>
      <c r="J31" s="57">
        <f t="shared" ca="1" si="0"/>
        <v>0.45527730393889421</v>
      </c>
      <c r="K31" s="117"/>
      <c r="N31" s="43"/>
      <c r="O31" s="42"/>
      <c r="P31" s="96"/>
      <c r="R31" s="80"/>
    </row>
    <row r="32" spans="2:18" ht="15.75" thickBot="1" x14ac:dyDescent="0.3">
      <c r="B32" s="81"/>
      <c r="C32" s="82"/>
      <c r="D32" s="82"/>
      <c r="E32" s="82"/>
      <c r="F32" s="82"/>
      <c r="G32" s="83"/>
      <c r="H32" s="83"/>
      <c r="I32" s="83"/>
      <c r="J32" s="83"/>
      <c r="K32" s="83"/>
      <c r="L32" s="83"/>
      <c r="M32" s="83"/>
      <c r="N32" s="93"/>
      <c r="O32" s="97"/>
      <c r="P32" s="42"/>
      <c r="Q32" s="42"/>
    </row>
    <row r="33" spans="2:22" x14ac:dyDescent="0.25">
      <c r="B33" s="85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94"/>
      <c r="O33" s="100"/>
      <c r="P33" s="100"/>
      <c r="T33" s="45">
        <v>-3</v>
      </c>
      <c r="U33" s="46">
        <f t="shared" ref="U33:U64" ca="1" si="9">M$7+T33*SQRT(M$8)</f>
        <v>-0.45510647667663912</v>
      </c>
      <c r="V33" s="47">
        <f t="shared" ref="V33:V64" ca="1" si="10">NORMDIST(U33,M$7,SQRT(M$8),0)</f>
        <v>1.4729014116803364E-2</v>
      </c>
    </row>
    <row r="34" spans="2:22" x14ac:dyDescent="0.25">
      <c r="B34" s="76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3"/>
      <c r="O34" s="42"/>
      <c r="P34" s="42"/>
      <c r="T34" s="45">
        <v>-2.9</v>
      </c>
      <c r="U34" s="46">
        <f t="shared" ca="1" si="9"/>
        <v>-0.42501723664473495</v>
      </c>
      <c r="V34" s="47">
        <f t="shared" ca="1" si="10"/>
        <v>1.978292709774087E-2</v>
      </c>
    </row>
    <row r="35" spans="2:22" x14ac:dyDescent="0.25">
      <c r="B35" s="76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3"/>
      <c r="O35" s="42"/>
      <c r="P35" s="42"/>
      <c r="T35" s="45">
        <v>-2.8</v>
      </c>
      <c r="U35" s="46">
        <f t="shared" ca="1" si="9"/>
        <v>-0.39492799661283079</v>
      </c>
      <c r="V35" s="47">
        <f t="shared" ca="1" si="10"/>
        <v>2.6306585259671181E-2</v>
      </c>
    </row>
    <row r="36" spans="2:22" x14ac:dyDescent="0.25">
      <c r="B36" s="76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3"/>
      <c r="O36" s="42"/>
      <c r="P36" s="42"/>
      <c r="T36" s="45">
        <v>-2.7</v>
      </c>
      <c r="U36" s="46">
        <f t="shared" ca="1" si="9"/>
        <v>-0.36483875658092685</v>
      </c>
      <c r="V36" s="47">
        <f t="shared" ca="1" si="10"/>
        <v>3.4633426445377487E-2</v>
      </c>
    </row>
    <row r="37" spans="2:22" x14ac:dyDescent="0.25">
      <c r="B37" s="76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3"/>
      <c r="O37" s="42"/>
      <c r="P37" s="42"/>
      <c r="T37" s="45">
        <v>-2.6</v>
      </c>
      <c r="U37" s="46">
        <f t="shared" ca="1" si="9"/>
        <v>-0.33474951654902269</v>
      </c>
      <c r="V37" s="47">
        <f t="shared" ca="1" si="10"/>
        <v>4.5142280826246751E-2</v>
      </c>
    </row>
    <row r="38" spans="2:22" x14ac:dyDescent="0.25">
      <c r="B38" s="76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3"/>
      <c r="O38" s="42"/>
      <c r="P38" s="42"/>
      <c r="T38" s="45">
        <v>-2.5</v>
      </c>
      <c r="U38" s="46">
        <f t="shared" ca="1" si="9"/>
        <v>-0.30466027651711852</v>
      </c>
      <c r="V38" s="47">
        <f t="shared" ca="1" si="10"/>
        <v>5.8254380884937583E-2</v>
      </c>
    </row>
    <row r="39" spans="2:22" x14ac:dyDescent="0.25">
      <c r="B39" s="76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3"/>
      <c r="O39" s="42"/>
      <c r="P39" s="42"/>
      <c r="T39" s="45">
        <v>-2.4</v>
      </c>
      <c r="U39" s="46">
        <f t="shared" ca="1" si="9"/>
        <v>-0.27457103648521436</v>
      </c>
      <c r="V39" s="47">
        <f t="shared" ca="1" si="10"/>
        <v>7.4427038606151588E-2</v>
      </c>
    </row>
    <row r="40" spans="2:22" x14ac:dyDescent="0.25">
      <c r="B40" s="76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3"/>
      <c r="O40" s="42"/>
      <c r="P40" s="42"/>
      <c r="T40" s="45">
        <v>-2.2999999999999998</v>
      </c>
      <c r="U40" s="46">
        <f t="shared" ca="1" si="9"/>
        <v>-0.2444817964533102</v>
      </c>
      <c r="V40" s="47">
        <f t="shared" ca="1" si="10"/>
        <v>9.4143413763742648E-2</v>
      </c>
    </row>
    <row r="41" spans="2:22" x14ac:dyDescent="0.25">
      <c r="B41" s="76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3"/>
      <c r="O41" s="42"/>
      <c r="P41" s="42"/>
      <c r="T41" s="45">
        <v>-2.2000000000000002</v>
      </c>
      <c r="U41" s="46">
        <f t="shared" ca="1" si="9"/>
        <v>-0.21439255642140626</v>
      </c>
      <c r="V41" s="47">
        <f t="shared" ca="1" si="10"/>
        <v>0.11789793563618464</v>
      </c>
    </row>
    <row r="42" spans="2:22" x14ac:dyDescent="0.25">
      <c r="B42" s="76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3"/>
      <c r="O42" s="42"/>
      <c r="P42" s="42"/>
      <c r="T42" s="45">
        <v>-2.1</v>
      </c>
      <c r="U42" s="46">
        <f t="shared" ca="1" si="9"/>
        <v>-0.18430331638950209</v>
      </c>
      <c r="V42" s="47">
        <f t="shared" ca="1" si="10"/>
        <v>0.14617715812626261</v>
      </c>
    </row>
    <row r="43" spans="2:22" x14ac:dyDescent="0.25">
      <c r="B43" s="76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3"/>
      <c r="O43" s="42"/>
      <c r="P43" s="42"/>
      <c r="T43" s="45">
        <v>-2</v>
      </c>
      <c r="U43" s="46">
        <f t="shared" ca="1" si="9"/>
        <v>-0.15421407635759793</v>
      </c>
      <c r="V43" s="47">
        <f t="shared" ca="1" si="10"/>
        <v>0.17943612552507321</v>
      </c>
    </row>
    <row r="44" spans="2:22" x14ac:dyDescent="0.25">
      <c r="B44" s="76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3"/>
      <c r="O44" s="42"/>
      <c r="P44" s="42"/>
      <c r="T44" s="45">
        <v>-1.9</v>
      </c>
      <c r="U44" s="46">
        <f t="shared" ca="1" si="9"/>
        <v>-0.12412483632569377</v>
      </c>
      <c r="V44" s="47">
        <f t="shared" ca="1" si="10"/>
        <v>0.21807069472377191</v>
      </c>
    </row>
    <row r="45" spans="2:22" x14ac:dyDescent="0.25">
      <c r="B45" s="76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3"/>
      <c r="O45" s="42"/>
      <c r="P45" s="42"/>
      <c r="T45" s="45">
        <v>-1.8</v>
      </c>
      <c r="U45" s="46">
        <f t="shared" ca="1" si="9"/>
        <v>-9.4035596293789714E-2</v>
      </c>
      <c r="V45" s="47">
        <f t="shared" ca="1" si="10"/>
        <v>0.2623866811430996</v>
      </c>
    </row>
    <row r="46" spans="2:22" x14ac:dyDescent="0.25">
      <c r="B46" s="76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3"/>
      <c r="O46" s="42"/>
      <c r="P46" s="42"/>
      <c r="T46" s="45">
        <v>-1.7</v>
      </c>
      <c r="U46" s="46">
        <f t="shared" ca="1" si="9"/>
        <v>-6.3946356261885551E-2</v>
      </c>
      <c r="V46" s="47">
        <f t="shared" ca="1" si="10"/>
        <v>0.31256714120119072</v>
      </c>
    </row>
    <row r="47" spans="2:22" x14ac:dyDescent="0.25">
      <c r="B47" s="76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3"/>
      <c r="O47" s="42"/>
      <c r="P47" s="42"/>
      <c r="T47" s="45">
        <v>-1.6</v>
      </c>
      <c r="U47" s="46">
        <f t="shared" ca="1" si="9"/>
        <v>-3.3857116229981499E-2</v>
      </c>
      <c r="V47" s="47">
        <f t="shared" ca="1" si="10"/>
        <v>0.36863953546797573</v>
      </c>
    </row>
    <row r="48" spans="2:22" x14ac:dyDescent="0.25">
      <c r="B48" s="76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3"/>
      <c r="O48" s="42"/>
      <c r="P48" s="42"/>
      <c r="T48" s="45">
        <v>-1.5</v>
      </c>
      <c r="U48" s="46">
        <f t="shared" ca="1" si="9"/>
        <v>-3.7678761980773356E-3</v>
      </c>
      <c r="V48" s="47">
        <f t="shared" ca="1" si="10"/>
        <v>0.43044488836727712</v>
      </c>
    </row>
    <row r="49" spans="1:22" ht="15.75" thickBot="1" x14ac:dyDescent="0.3">
      <c r="B49" s="81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4"/>
      <c r="O49" s="76"/>
      <c r="P49" s="42"/>
      <c r="T49" s="45">
        <v>-1.4</v>
      </c>
      <c r="U49" s="46">
        <f t="shared" ca="1" si="9"/>
        <v>2.6321363833826827E-2</v>
      </c>
      <c r="V49" s="47">
        <f t="shared" ca="1" si="10"/>
        <v>0.49761132377217365</v>
      </c>
    </row>
    <row r="50" spans="1:22" x14ac:dyDescent="0.25">
      <c r="B50" s="72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5"/>
      <c r="O50" s="42"/>
      <c r="P50" s="42"/>
      <c r="T50" s="45">
        <v>-1.3</v>
      </c>
      <c r="U50" s="46">
        <f t="shared" ca="1" si="9"/>
        <v>5.6410603865730879E-2</v>
      </c>
      <c r="V50" s="47">
        <f t="shared" ca="1" si="10"/>
        <v>0.56953446436700417</v>
      </c>
    </row>
    <row r="51" spans="1:22" x14ac:dyDescent="0.25">
      <c r="B51" s="76"/>
      <c r="C51" s="104" t="s">
        <v>51</v>
      </c>
      <c r="D51" s="104"/>
      <c r="E51" s="104"/>
      <c r="F51" s="104"/>
      <c r="G51" s="106" t="s">
        <v>52</v>
      </c>
      <c r="H51" s="105"/>
      <c r="I51" s="105"/>
      <c r="J51" s="105"/>
      <c r="K51" s="107"/>
      <c r="L51" s="42"/>
      <c r="M51" s="42"/>
      <c r="N51" s="43"/>
      <c r="O51" s="42"/>
      <c r="P51" s="42"/>
      <c r="T51" s="45">
        <v>-1.2</v>
      </c>
      <c r="U51" s="46">
        <f t="shared" ca="1" si="9"/>
        <v>8.6499843897635043E-2</v>
      </c>
      <c r="V51" s="47">
        <f t="shared" ca="1" si="10"/>
        <v>0.64536709726571451</v>
      </c>
    </row>
    <row r="52" spans="1:22" x14ac:dyDescent="0.25">
      <c r="B52" s="76"/>
      <c r="C52" s="49" t="s">
        <v>0</v>
      </c>
      <c r="D52" s="49" t="s">
        <v>1</v>
      </c>
      <c r="E52" s="49" t="s">
        <v>6</v>
      </c>
      <c r="F52" s="49" t="s">
        <v>7</v>
      </c>
      <c r="G52" s="49" t="s">
        <v>2</v>
      </c>
      <c r="H52" s="49" t="s">
        <v>3</v>
      </c>
      <c r="I52" s="49" t="s">
        <v>4</v>
      </c>
      <c r="J52" s="50" t="s">
        <v>8</v>
      </c>
      <c r="K52" s="65" t="s">
        <v>71</v>
      </c>
      <c r="L52" s="42"/>
      <c r="N52" s="43"/>
      <c r="O52" s="42"/>
      <c r="P52" s="42"/>
      <c r="T52" s="45">
        <v>-1.1000000000000001</v>
      </c>
      <c r="U52" s="46">
        <f t="shared" ca="1" si="9"/>
        <v>0.11658908392953909</v>
      </c>
      <c r="V52" s="47">
        <f t="shared" ca="1" si="10"/>
        <v>0.72402020390531063</v>
      </c>
    </row>
    <row r="53" spans="1:22" x14ac:dyDescent="0.25">
      <c r="B53" s="76"/>
      <c r="C53" s="51" t="s">
        <v>9</v>
      </c>
      <c r="D53" s="51">
        <f ca="1">COUNT(J5:J31)</f>
        <v>27</v>
      </c>
      <c r="E53" s="52">
        <f ca="1">SUM(J5:J31)^2</f>
        <v>146.03295430682596</v>
      </c>
      <c r="F53" s="52">
        <f ca="1">E53/D53</f>
        <v>5.4086279372898503</v>
      </c>
      <c r="G53" s="71">
        <f ca="1">DEVSQ(J5:J31)</f>
        <v>2.3539421508136074</v>
      </c>
      <c r="H53" s="51">
        <f ca="1">D53-1</f>
        <v>26</v>
      </c>
      <c r="I53" s="69">
        <f ca="1">G53/H53</f>
        <v>9.0536236569754125E-2</v>
      </c>
      <c r="J53" s="62">
        <f ca="1">SUM(J54:J55)</f>
        <v>1</v>
      </c>
      <c r="K53" s="51"/>
      <c r="L53" s="42"/>
      <c r="N53" s="43"/>
      <c r="O53" s="42"/>
      <c r="P53" s="42"/>
      <c r="T53" s="45">
        <v>-1</v>
      </c>
      <c r="U53" s="46">
        <f t="shared" ca="1" si="9"/>
        <v>0.14667832396144326</v>
      </c>
      <c r="V53" s="47">
        <f t="shared" ca="1" si="10"/>
        <v>0.80417692258952966</v>
      </c>
    </row>
    <row r="54" spans="1:22" x14ac:dyDescent="0.25">
      <c r="B54" s="76"/>
      <c r="C54" s="51" t="s">
        <v>10</v>
      </c>
      <c r="D54" s="51" t="s">
        <v>5</v>
      </c>
      <c r="E54" s="53" t="s">
        <v>5</v>
      </c>
      <c r="F54" s="52" t="s">
        <v>5</v>
      </c>
      <c r="G54" s="69">
        <f ca="1">SUM(G56:G58)</f>
        <v>1.0808621162381744</v>
      </c>
      <c r="H54" s="54">
        <f>SUM(H56:H58)</f>
        <v>22</v>
      </c>
      <c r="I54" s="69">
        <f ca="1">G54/H54</f>
        <v>4.9130096192644294E-2</v>
      </c>
      <c r="J54" s="62">
        <f ca="1">G54/G53</f>
        <v>0.45917106155926113</v>
      </c>
      <c r="K54" s="51"/>
      <c r="L54" s="42"/>
      <c r="N54" s="43"/>
      <c r="O54" s="42"/>
      <c r="P54" s="42"/>
      <c r="T54" s="45">
        <v>-0.9</v>
      </c>
      <c r="U54" s="46">
        <f t="shared" ca="1" si="9"/>
        <v>0.17676756399334737</v>
      </c>
      <c r="V54" s="47">
        <f t="shared" ca="1" si="10"/>
        <v>0.88432027401363489</v>
      </c>
    </row>
    <row r="55" spans="1:22" x14ac:dyDescent="0.25">
      <c r="B55" s="76"/>
      <c r="C55" s="51" t="s">
        <v>131</v>
      </c>
      <c r="D55" s="51" t="s">
        <v>5</v>
      </c>
      <c r="E55" s="51" t="s">
        <v>5</v>
      </c>
      <c r="F55" s="51" t="s">
        <v>5</v>
      </c>
      <c r="G55" s="69">
        <f ca="1">G53-G54</f>
        <v>1.273080034575433</v>
      </c>
      <c r="H55" s="54">
        <f ca="1">H53-H54</f>
        <v>4</v>
      </c>
      <c r="I55" s="69">
        <f ca="1">G55/H55</f>
        <v>0.31827000864385824</v>
      </c>
      <c r="J55" s="62">
        <f ca="1">G55/G53</f>
        <v>0.54082893844073887</v>
      </c>
      <c r="K55" s="51"/>
      <c r="L55" s="42"/>
      <c r="M55" s="42"/>
      <c r="N55" s="43"/>
      <c r="O55" s="42"/>
      <c r="P55" s="42"/>
      <c r="T55" s="45">
        <v>-0.8</v>
      </c>
      <c r="U55" s="46">
        <f t="shared" ca="1" si="9"/>
        <v>0.20685680402525147</v>
      </c>
      <c r="V55" s="47">
        <f t="shared" ca="1" si="10"/>
        <v>0.96277457474604866</v>
      </c>
    </row>
    <row r="56" spans="1:22" x14ac:dyDescent="0.25">
      <c r="B56" s="76"/>
      <c r="C56" s="58" t="str">
        <f>D4</f>
        <v>lot</v>
      </c>
      <c r="D56" s="59">
        <f>E4</f>
        <v>3</v>
      </c>
      <c r="E56" s="60">
        <f ca="1">SUM(J5:J13)^2+SUM(J14:J22)^2+SUM(J23:J31)^2</f>
        <v>52.537982917419214</v>
      </c>
      <c r="F56" s="61">
        <f ca="1">E56*D56/$D$53</f>
        <v>5.8375536574910241</v>
      </c>
      <c r="G56" s="70">
        <f ca="1">F56-F53</f>
        <v>0.42892572020117381</v>
      </c>
      <c r="H56" s="59">
        <f>D56-1</f>
        <v>2</v>
      </c>
      <c r="I56" s="70">
        <f ca="1">G56/H56</f>
        <v>0.21446286010058691</v>
      </c>
      <c r="J56" s="63">
        <f ca="1">G56/$G$53</f>
        <v>0.18221591386726374</v>
      </c>
      <c r="K56" s="87">
        <f ca="1">MAX(0,(I56-I58)/(D56*D58))</f>
        <v>2.0651912157426604E-2</v>
      </c>
      <c r="L56" s="101" t="s">
        <v>135</v>
      </c>
      <c r="N56" s="43"/>
      <c r="O56" s="42"/>
      <c r="P56" s="42"/>
      <c r="T56" s="45">
        <v>-0.7</v>
      </c>
      <c r="U56" s="46">
        <f t="shared" ca="1" si="9"/>
        <v>0.23694604405715564</v>
      </c>
      <c r="V56" s="47">
        <f t="shared" ca="1" si="10"/>
        <v>1.037759454993457</v>
      </c>
    </row>
    <row r="57" spans="1:22" x14ac:dyDescent="0.25">
      <c r="B57" s="76"/>
      <c r="C57" s="58" t="str">
        <f>D5</f>
        <v>opérateur</v>
      </c>
      <c r="D57" s="59">
        <f>E5</f>
        <v>3</v>
      </c>
      <c r="E57" s="60">
        <f ca="1">SUM(J5:J7,J14:J16,J23:J25)^2+SUM(J8:J10,J17:J19,J26:J28)^2+SUM(J11:J13,J20:J22,J29:J31)^2</f>
        <v>49.912583589174567</v>
      </c>
      <c r="F57" s="61">
        <f ca="1">E57*D57/$D$53</f>
        <v>5.5458426210193963</v>
      </c>
      <c r="G57" s="70">
        <f ca="1">F57-F53</f>
        <v>0.13721468372954604</v>
      </c>
      <c r="H57" s="59">
        <f>D57-1</f>
        <v>2</v>
      </c>
      <c r="I57" s="70">
        <f t="shared" ref="I57" ca="1" si="11">G57/H57</f>
        <v>6.8607341864773019E-2</v>
      </c>
      <c r="J57" s="63">
        <f ca="1">G57/$G$53</f>
        <v>5.829144258371842E-2</v>
      </c>
      <c r="K57" s="87">
        <f ca="1">MAX(0,(I57-I58)/(D57*D58))</f>
        <v>4.4457434645583938E-3</v>
      </c>
      <c r="L57" s="101" t="s">
        <v>134</v>
      </c>
      <c r="N57" s="43"/>
      <c r="O57" s="42"/>
      <c r="P57" s="42"/>
      <c r="T57" s="45">
        <v>-0.6</v>
      </c>
      <c r="U57" s="46">
        <f t="shared" ca="1" si="9"/>
        <v>0.26703528408905974</v>
      </c>
      <c r="V57" s="47">
        <f t="shared" ca="1" si="10"/>
        <v>1.1074543675362889</v>
      </c>
    </row>
    <row r="58" spans="1:22" x14ac:dyDescent="0.25">
      <c r="B58" s="76"/>
      <c r="C58" s="58" t="s">
        <v>132</v>
      </c>
      <c r="D58" s="59">
        <f>E6</f>
        <v>3</v>
      </c>
      <c r="E58" s="61" t="s">
        <v>5</v>
      </c>
      <c r="F58" s="61" t="s">
        <v>5</v>
      </c>
      <c r="G58" s="70">
        <f ca="1">(D58*SUMSQ(K5:K31)-F53)-G57-G56</f>
        <v>0.51472171230745456</v>
      </c>
      <c r="H58" s="59">
        <f>(D57*D56)*(D58-1)</f>
        <v>18</v>
      </c>
      <c r="I58" s="70">
        <f ca="1">G58/H58</f>
        <v>2.8595650683747476E-2</v>
      </c>
      <c r="J58" s="63">
        <f ca="1">G58/$G$53</f>
        <v>0.21866370510827896</v>
      </c>
      <c r="K58" s="87">
        <f ca="1">I58</f>
        <v>2.8595650683747476E-2</v>
      </c>
      <c r="L58" s="101" t="s">
        <v>133</v>
      </c>
      <c r="N58" s="43"/>
      <c r="O58" s="42"/>
      <c r="P58" s="42"/>
      <c r="Q58" s="102"/>
      <c r="S58" s="118"/>
      <c r="T58" s="45">
        <v>-0.5</v>
      </c>
      <c r="U58" s="46">
        <f t="shared" ca="1" si="9"/>
        <v>0.29712452412096385</v>
      </c>
      <c r="V58" s="47">
        <f t="shared" ca="1" si="10"/>
        <v>1.1700705182018516</v>
      </c>
    </row>
    <row r="59" spans="1:22" x14ac:dyDescent="0.25">
      <c r="B59" s="76"/>
      <c r="C59" s="56"/>
      <c r="D59" s="42"/>
      <c r="F59" s="42"/>
      <c r="G59" s="42"/>
      <c r="H59" s="42"/>
      <c r="I59" s="42"/>
      <c r="J59" s="42"/>
      <c r="K59" s="42"/>
      <c r="L59" s="42"/>
      <c r="M59" s="42"/>
      <c r="N59" s="43"/>
      <c r="O59" s="42"/>
      <c r="P59" s="42"/>
      <c r="T59" s="45">
        <v>-0.4</v>
      </c>
      <c r="U59" s="46">
        <f t="shared" ca="1" si="9"/>
        <v>0.32721376415286796</v>
      </c>
      <c r="V59" s="47">
        <f t="shared" ca="1" si="10"/>
        <v>1.2239263600969661</v>
      </c>
    </row>
    <row r="60" spans="1:22" x14ac:dyDescent="0.25">
      <c r="B60" s="76"/>
      <c r="C60" s="66" t="s">
        <v>72</v>
      </c>
      <c r="D60" s="48">
        <f ca="1">K57+K58</f>
        <v>3.3041394148305869E-2</v>
      </c>
      <c r="F60" s="66" t="s">
        <v>74</v>
      </c>
      <c r="G60" s="98">
        <f ca="1">SQRT(D60)/SQRT(D62)</f>
        <v>0.7844569373125353</v>
      </c>
      <c r="H60" s="99"/>
      <c r="I60" s="42"/>
      <c r="J60" s="42"/>
      <c r="K60" s="42"/>
      <c r="L60" s="42"/>
      <c r="M60" s="42"/>
      <c r="N60" s="43"/>
      <c r="O60" s="42"/>
      <c r="P60" s="42"/>
      <c r="T60" s="45">
        <v>-0.3</v>
      </c>
      <c r="U60" s="46">
        <f t="shared" ca="1" si="9"/>
        <v>0.35730300418477212</v>
      </c>
      <c r="V60" s="47">
        <f t="shared" ca="1" si="10"/>
        <v>1.2675222606358032</v>
      </c>
    </row>
    <row r="61" spans="1:22" x14ac:dyDescent="0.25">
      <c r="B61" s="76"/>
      <c r="C61" s="42"/>
      <c r="D61" s="42"/>
      <c r="F61" s="42"/>
      <c r="G61" s="42"/>
      <c r="H61" s="42"/>
      <c r="I61" s="42"/>
      <c r="J61" s="42"/>
      <c r="K61" s="42"/>
      <c r="L61" s="42"/>
      <c r="M61" s="42"/>
      <c r="N61" s="43"/>
      <c r="O61" s="42"/>
      <c r="P61" s="42"/>
      <c r="T61" s="45">
        <v>-0.2</v>
      </c>
      <c r="U61" s="46">
        <f t="shared" ca="1" si="9"/>
        <v>0.38739224421667617</v>
      </c>
      <c r="V61" s="47">
        <f t="shared" ca="1" si="10"/>
        <v>1.2996097394311947</v>
      </c>
    </row>
    <row r="62" spans="1:22" x14ac:dyDescent="0.25">
      <c r="B62" s="76"/>
      <c r="C62" s="66" t="s">
        <v>73</v>
      </c>
      <c r="D62" s="48">
        <f ca="1">K56+K57+K58</f>
        <v>5.3693306305732477E-2</v>
      </c>
      <c r="F62" s="67" t="s">
        <v>75</v>
      </c>
      <c r="G62" s="68" t="s">
        <v>76</v>
      </c>
      <c r="H62" s="90" t="s">
        <v>77</v>
      </c>
      <c r="I62" s="42"/>
      <c r="J62" s="42"/>
      <c r="K62" s="42"/>
      <c r="L62" s="42"/>
      <c r="M62" s="42"/>
      <c r="N62" s="43"/>
      <c r="O62" s="42"/>
      <c r="P62" s="42"/>
      <c r="T62" s="45">
        <v>-0.1</v>
      </c>
      <c r="U62" s="46">
        <f t="shared" ca="1" si="9"/>
        <v>0.41748148424858034</v>
      </c>
      <c r="V62" s="47">
        <f t="shared" ca="1" si="10"/>
        <v>1.3192508253984363</v>
      </c>
    </row>
    <row r="63" spans="1:22" ht="15.75" thickBot="1" x14ac:dyDescent="0.3">
      <c r="A63" s="42"/>
      <c r="B63" s="81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4"/>
      <c r="O63" s="42"/>
      <c r="P63" s="42"/>
      <c r="T63" s="45">
        <v>0</v>
      </c>
      <c r="U63" s="46">
        <f t="shared" ca="1" si="9"/>
        <v>0.44757072428048444</v>
      </c>
      <c r="V63" s="47">
        <f t="shared" ca="1" si="10"/>
        <v>1.3258635976795281</v>
      </c>
    </row>
    <row r="64" spans="1:22" x14ac:dyDescent="0.25">
      <c r="A64" s="42"/>
      <c r="B64" s="42" t="s">
        <v>62</v>
      </c>
      <c r="N64" s="42" t="s">
        <v>136</v>
      </c>
      <c r="O64" s="42"/>
      <c r="P64" s="42"/>
      <c r="T64" s="45">
        <v>0.1</v>
      </c>
      <c r="U64" s="46">
        <f t="shared" ca="1" si="9"/>
        <v>0.47765996431238855</v>
      </c>
      <c r="V64" s="47">
        <f t="shared" ca="1" si="10"/>
        <v>1.3192508253984363</v>
      </c>
    </row>
    <row r="65" spans="1:22" x14ac:dyDescent="0.25">
      <c r="A65" s="42"/>
      <c r="M65" s="42"/>
      <c r="N65" s="103">
        <v>45962</v>
      </c>
      <c r="O65" s="42"/>
      <c r="P65" s="42"/>
      <c r="Q65" s="42"/>
      <c r="T65" s="45">
        <v>0.2</v>
      </c>
      <c r="U65" s="46">
        <f t="shared" ref="U65:U96" ca="1" si="12">M$7+T65*SQRT(M$8)</f>
        <v>0.50774920434429271</v>
      </c>
      <c r="V65" s="47">
        <f t="shared" ref="V65:V96" ca="1" si="13">NORMDIST(U65,M$7,SQRT(M$8),0)</f>
        <v>1.2996097394311947</v>
      </c>
    </row>
    <row r="66" spans="1:22" x14ac:dyDescent="0.25">
      <c r="O66" s="42"/>
      <c r="P66" s="42"/>
      <c r="T66" s="45">
        <v>0.3</v>
      </c>
      <c r="U66" s="46">
        <f t="shared" ca="1" si="12"/>
        <v>0.53783844437619677</v>
      </c>
      <c r="V66" s="47">
        <f t="shared" ca="1" si="13"/>
        <v>1.2675222606358032</v>
      </c>
    </row>
    <row r="67" spans="1:22" x14ac:dyDescent="0.25">
      <c r="O67" s="42"/>
      <c r="P67" s="42"/>
      <c r="T67" s="45">
        <v>0.4</v>
      </c>
      <c r="U67" s="46">
        <f t="shared" ca="1" si="12"/>
        <v>0.56792768440810093</v>
      </c>
      <c r="V67" s="47">
        <f t="shared" ca="1" si="13"/>
        <v>1.2239263600969661</v>
      </c>
    </row>
    <row r="68" spans="1:22" x14ac:dyDescent="0.25">
      <c r="I68" s="42"/>
      <c r="J68" s="42"/>
      <c r="K68" s="42"/>
      <c r="L68" s="42"/>
      <c r="T68" s="45">
        <v>0.5</v>
      </c>
      <c r="U68" s="46">
        <f t="shared" ca="1" si="12"/>
        <v>0.59801692444000509</v>
      </c>
      <c r="V68" s="47">
        <f t="shared" ca="1" si="13"/>
        <v>1.1700705182018514</v>
      </c>
    </row>
    <row r="69" spans="1:22" x14ac:dyDescent="0.25">
      <c r="I69" s="42"/>
      <c r="T69" s="45">
        <v>0.6</v>
      </c>
      <c r="U69" s="46">
        <f t="shared" ca="1" si="12"/>
        <v>0.62810616447190915</v>
      </c>
      <c r="V69" s="47">
        <f t="shared" ca="1" si="13"/>
        <v>1.1074543675362889</v>
      </c>
    </row>
    <row r="70" spans="1:22" x14ac:dyDescent="0.25">
      <c r="I70" s="42"/>
      <c r="J70" s="42"/>
      <c r="K70" s="42"/>
      <c r="L70" s="42"/>
      <c r="T70" s="45">
        <v>0.7</v>
      </c>
      <c r="U70" s="46">
        <f t="shared" ca="1" si="12"/>
        <v>0.6581954045038132</v>
      </c>
      <c r="V70" s="47">
        <f t="shared" ca="1" si="13"/>
        <v>1.0377594549934575</v>
      </c>
    </row>
    <row r="71" spans="1:22" x14ac:dyDescent="0.25">
      <c r="I71" s="42"/>
      <c r="T71" s="45">
        <v>0.8</v>
      </c>
      <c r="U71" s="46">
        <f t="shared" ca="1" si="12"/>
        <v>0.68828464453571736</v>
      </c>
      <c r="V71" s="47">
        <f t="shared" ca="1" si="13"/>
        <v>0.96277457474604877</v>
      </c>
    </row>
    <row r="72" spans="1:22" x14ac:dyDescent="0.25">
      <c r="I72" s="42"/>
      <c r="J72" s="42"/>
      <c r="K72" s="42"/>
      <c r="L72" s="42"/>
      <c r="T72" s="45">
        <v>0.9</v>
      </c>
      <c r="U72" s="46">
        <f t="shared" ca="1" si="12"/>
        <v>0.71837388456762152</v>
      </c>
      <c r="V72" s="47">
        <f t="shared" ca="1" si="13"/>
        <v>0.88432027401363489</v>
      </c>
    </row>
    <row r="73" spans="1:22" x14ac:dyDescent="0.25">
      <c r="I73" s="42"/>
      <c r="T73" s="45">
        <v>1</v>
      </c>
      <c r="U73" s="46">
        <f t="shared" ca="1" si="12"/>
        <v>0.74846312459952569</v>
      </c>
      <c r="V73" s="47">
        <f t="shared" ca="1" si="13"/>
        <v>0.80417692258952955</v>
      </c>
    </row>
    <row r="74" spans="1:22" x14ac:dyDescent="0.25">
      <c r="I74" s="42"/>
      <c r="J74" s="42"/>
      <c r="K74" s="42"/>
      <c r="L74" s="42"/>
      <c r="T74" s="45">
        <v>1.1000000000000001</v>
      </c>
      <c r="U74" s="46">
        <f t="shared" ca="1" si="12"/>
        <v>0.77855236463142985</v>
      </c>
      <c r="V74" s="47">
        <f t="shared" ca="1" si="13"/>
        <v>0.72402020390531041</v>
      </c>
    </row>
    <row r="75" spans="1:22" x14ac:dyDescent="0.25">
      <c r="I75" s="42"/>
      <c r="T75" s="45">
        <v>1.2</v>
      </c>
      <c r="U75" s="46">
        <f t="shared" ca="1" si="12"/>
        <v>0.80864160466333379</v>
      </c>
      <c r="V75" s="47">
        <f t="shared" ca="1" si="13"/>
        <v>0.64536709726571473</v>
      </c>
    </row>
    <row r="76" spans="1:22" x14ac:dyDescent="0.25">
      <c r="T76" s="45">
        <v>1.3</v>
      </c>
      <c r="U76" s="46">
        <f t="shared" ca="1" si="12"/>
        <v>0.83873084469523795</v>
      </c>
      <c r="V76" s="47">
        <f t="shared" ca="1" si="13"/>
        <v>0.5695344643670045</v>
      </c>
    </row>
    <row r="77" spans="1:22" x14ac:dyDescent="0.25">
      <c r="T77" s="45">
        <v>1.4</v>
      </c>
      <c r="U77" s="46">
        <f t="shared" ca="1" si="12"/>
        <v>0.86882008472714212</v>
      </c>
      <c r="V77" s="47">
        <f t="shared" ca="1" si="13"/>
        <v>0.49761132377217343</v>
      </c>
    </row>
    <row r="78" spans="1:22" x14ac:dyDescent="0.25">
      <c r="T78" s="45">
        <v>1.5</v>
      </c>
      <c r="U78" s="46">
        <f t="shared" ca="1" si="12"/>
        <v>0.89890932475904628</v>
      </c>
      <c r="V78" s="47">
        <f t="shared" ca="1" si="13"/>
        <v>0.43044488836727685</v>
      </c>
    </row>
    <row r="79" spans="1:22" x14ac:dyDescent="0.25">
      <c r="T79" s="45">
        <v>1.6</v>
      </c>
      <c r="U79" s="46">
        <f t="shared" ca="1" si="12"/>
        <v>0.92899856479095044</v>
      </c>
      <c r="V79" s="47">
        <f t="shared" ca="1" si="13"/>
        <v>0.36863953546797568</v>
      </c>
    </row>
    <row r="80" spans="1:22" x14ac:dyDescent="0.25">
      <c r="T80" s="45">
        <v>1.7</v>
      </c>
      <c r="U80" s="46">
        <f t="shared" ca="1" si="12"/>
        <v>0.95908780482285438</v>
      </c>
      <c r="V80" s="47">
        <f t="shared" ca="1" si="13"/>
        <v>0.31256714120119089</v>
      </c>
    </row>
    <row r="81" spans="20:22" x14ac:dyDescent="0.25">
      <c r="T81" s="45">
        <v>1.8</v>
      </c>
      <c r="U81" s="46">
        <f t="shared" ca="1" si="12"/>
        <v>0.98917704485475855</v>
      </c>
      <c r="V81" s="47">
        <f t="shared" ca="1" si="13"/>
        <v>0.26238668114309982</v>
      </c>
    </row>
    <row r="82" spans="20:22" x14ac:dyDescent="0.25">
      <c r="T82" s="45">
        <v>1.9</v>
      </c>
      <c r="U82" s="46">
        <f t="shared" ca="1" si="12"/>
        <v>1.0192662848866627</v>
      </c>
      <c r="V82" s="47">
        <f t="shared" ca="1" si="13"/>
        <v>0.21807069472377191</v>
      </c>
    </row>
    <row r="83" spans="20:22" x14ac:dyDescent="0.25">
      <c r="T83" s="45">
        <v>2</v>
      </c>
      <c r="U83" s="46">
        <f t="shared" ca="1" si="12"/>
        <v>1.0493555249185669</v>
      </c>
      <c r="V83" s="47">
        <f t="shared" ca="1" si="13"/>
        <v>0.17943612552507321</v>
      </c>
    </row>
    <row r="84" spans="20:22" x14ac:dyDescent="0.25">
      <c r="T84" s="45">
        <v>2.1</v>
      </c>
      <c r="U84" s="46">
        <f t="shared" ca="1" si="12"/>
        <v>1.079444764950471</v>
      </c>
      <c r="V84" s="47">
        <f t="shared" ca="1" si="13"/>
        <v>0.14617715812626261</v>
      </c>
    </row>
    <row r="85" spans="20:22" x14ac:dyDescent="0.25">
      <c r="T85" s="45">
        <v>2.2000000000000002</v>
      </c>
      <c r="U85" s="46">
        <f t="shared" ca="1" si="12"/>
        <v>1.1095340049823752</v>
      </c>
      <c r="V85" s="47">
        <f t="shared" ca="1" si="13"/>
        <v>0.11789793563618464</v>
      </c>
    </row>
    <row r="86" spans="20:22" x14ac:dyDescent="0.25">
      <c r="T86" s="45">
        <v>2.2999999999999998</v>
      </c>
      <c r="U86" s="46">
        <f t="shared" ca="1" si="12"/>
        <v>1.1396232450142791</v>
      </c>
      <c r="V86" s="47">
        <f t="shared" ca="1" si="13"/>
        <v>9.4143413763742648E-2</v>
      </c>
    </row>
    <row r="87" spans="20:22" x14ac:dyDescent="0.25">
      <c r="T87" s="45">
        <v>2.4</v>
      </c>
      <c r="U87" s="46">
        <f t="shared" ca="1" si="12"/>
        <v>1.1697124850461833</v>
      </c>
      <c r="V87" s="47">
        <f t="shared" ca="1" si="13"/>
        <v>7.4427038606151588E-2</v>
      </c>
    </row>
    <row r="88" spans="20:22" x14ac:dyDescent="0.25">
      <c r="T88" s="45">
        <v>2.5000000000000102</v>
      </c>
      <c r="U88" s="46">
        <f t="shared" ca="1" si="12"/>
        <v>1.1998017250780906</v>
      </c>
      <c r="V88" s="47">
        <f t="shared" ca="1" si="13"/>
        <v>5.825438088493607E-2</v>
      </c>
    </row>
    <row r="89" spans="20:22" x14ac:dyDescent="0.25">
      <c r="T89" s="45">
        <v>2.6</v>
      </c>
      <c r="U89" s="46">
        <f t="shared" ca="1" si="12"/>
        <v>1.2298909651099916</v>
      </c>
      <c r="V89" s="47">
        <f t="shared" ca="1" si="13"/>
        <v>4.5142280826246751E-2</v>
      </c>
    </row>
    <row r="90" spans="20:22" x14ac:dyDescent="0.25">
      <c r="T90" s="45">
        <v>2.7</v>
      </c>
      <c r="U90" s="46">
        <f t="shared" ca="1" si="12"/>
        <v>1.2599802051418958</v>
      </c>
      <c r="V90" s="47">
        <f t="shared" ca="1" si="13"/>
        <v>3.4633426445377487E-2</v>
      </c>
    </row>
    <row r="91" spans="20:22" x14ac:dyDescent="0.25">
      <c r="T91" s="45">
        <v>2.80000000000001</v>
      </c>
      <c r="U91" s="46">
        <f t="shared" ca="1" si="12"/>
        <v>1.2900694451738028</v>
      </c>
      <c r="V91" s="47">
        <f t="shared" ca="1" si="13"/>
        <v>2.6306585259670428E-2</v>
      </c>
    </row>
    <row r="92" spans="20:22" x14ac:dyDescent="0.25">
      <c r="T92" s="45">
        <v>2.9000000000000101</v>
      </c>
      <c r="U92" s="46">
        <f t="shared" ca="1" si="12"/>
        <v>1.320158685205707</v>
      </c>
      <c r="V92" s="47">
        <f t="shared" ca="1" si="13"/>
        <v>1.978292709774029E-2</v>
      </c>
    </row>
    <row r="93" spans="20:22" x14ac:dyDescent="0.25">
      <c r="T93" s="45">
        <v>3.0000000000000102</v>
      </c>
      <c r="U93" s="46">
        <f t="shared" ca="1" si="12"/>
        <v>1.3502479252376112</v>
      </c>
      <c r="V93" s="47">
        <f t="shared" ca="1" si="13"/>
        <v>1.4729014116802922E-2</v>
      </c>
    </row>
    <row r="94" spans="20:22" x14ac:dyDescent="0.25">
      <c r="T94" s="44"/>
      <c r="U94" s="44"/>
      <c r="V94" s="44"/>
    </row>
    <row r="95" spans="20:22" x14ac:dyDescent="0.25">
      <c r="T95" s="44"/>
      <c r="U95" s="44"/>
      <c r="V95" s="44"/>
    </row>
    <row r="96" spans="20:22" x14ac:dyDescent="0.25">
      <c r="T96" s="44"/>
      <c r="U96" s="44"/>
      <c r="V96" s="44"/>
    </row>
    <row r="97" spans="20:22" x14ac:dyDescent="0.25">
      <c r="T97" s="44"/>
      <c r="U97" s="44"/>
      <c r="V97" s="44"/>
    </row>
    <row r="98" spans="20:22" x14ac:dyDescent="0.25">
      <c r="T98" s="44"/>
      <c r="U98" s="44"/>
      <c r="V98" s="44"/>
    </row>
    <row r="99" spans="20:22" x14ac:dyDescent="0.25">
      <c r="T99" s="44"/>
      <c r="U99" s="44"/>
      <c r="V99" s="44"/>
    </row>
    <row r="100" spans="20:22" x14ac:dyDescent="0.25">
      <c r="T100" s="44"/>
      <c r="U100" s="44"/>
      <c r="V100" s="44"/>
    </row>
    <row r="101" spans="20:22" x14ac:dyDescent="0.25">
      <c r="T101" s="44"/>
      <c r="U101" s="44"/>
      <c r="V101" s="44"/>
    </row>
    <row r="102" spans="20:22" x14ac:dyDescent="0.25">
      <c r="T102" s="44"/>
      <c r="U102" s="44"/>
      <c r="V102" s="44"/>
    </row>
    <row r="103" spans="20:22" x14ac:dyDescent="0.25">
      <c r="T103" s="44"/>
      <c r="U103" s="44"/>
      <c r="V103" s="44"/>
    </row>
    <row r="104" spans="20:22" x14ac:dyDescent="0.25">
      <c r="T104" s="44"/>
      <c r="U104" s="44"/>
      <c r="V104" s="44"/>
    </row>
    <row r="105" spans="20:22" x14ac:dyDescent="0.25">
      <c r="T105" s="44"/>
      <c r="U105" s="44"/>
      <c r="V105" s="44"/>
    </row>
    <row r="106" spans="20:22" x14ac:dyDescent="0.25">
      <c r="T106" s="44"/>
      <c r="U106" s="44"/>
      <c r="V106" s="44"/>
    </row>
    <row r="107" spans="20:22" x14ac:dyDescent="0.25">
      <c r="T107" s="44"/>
      <c r="U107" s="44"/>
      <c r="V107" s="44"/>
    </row>
    <row r="108" spans="20:22" x14ac:dyDescent="0.25">
      <c r="T108" s="44"/>
      <c r="U108" s="44"/>
      <c r="V108" s="44"/>
    </row>
    <row r="109" spans="20:22" x14ac:dyDescent="0.25">
      <c r="T109" s="44"/>
      <c r="U109" s="44"/>
      <c r="V109" s="44"/>
    </row>
    <row r="110" spans="20:22" x14ac:dyDescent="0.25">
      <c r="T110" s="44"/>
      <c r="U110" s="44"/>
      <c r="V110" s="44"/>
    </row>
    <row r="111" spans="20:22" x14ac:dyDescent="0.25">
      <c r="T111" s="44"/>
      <c r="U111" s="44"/>
      <c r="V111" s="44"/>
    </row>
    <row r="112" spans="20:22" x14ac:dyDescent="0.25">
      <c r="T112" s="44"/>
      <c r="U112" s="44"/>
      <c r="V112" s="44"/>
    </row>
    <row r="113" spans="20:22" x14ac:dyDescent="0.25">
      <c r="T113" s="44"/>
      <c r="U113" s="44"/>
      <c r="V113" s="44"/>
    </row>
    <row r="114" spans="20:22" x14ac:dyDescent="0.25">
      <c r="T114" s="44"/>
      <c r="U114" s="44"/>
      <c r="V114" s="44"/>
    </row>
    <row r="115" spans="20:22" x14ac:dyDescent="0.25">
      <c r="T115" s="44"/>
      <c r="U115" s="44"/>
      <c r="V115" s="44"/>
    </row>
    <row r="116" spans="20:22" x14ac:dyDescent="0.25">
      <c r="T116" s="44"/>
      <c r="U116" s="44"/>
      <c r="V116" s="44"/>
    </row>
    <row r="117" spans="20:22" x14ac:dyDescent="0.25">
      <c r="T117" s="44"/>
      <c r="U117" s="44"/>
      <c r="V117" s="44"/>
    </row>
    <row r="118" spans="20:22" x14ac:dyDescent="0.25">
      <c r="T118" s="44"/>
      <c r="U118" s="44"/>
      <c r="V118" s="44"/>
    </row>
    <row r="119" spans="20:22" x14ac:dyDescent="0.25">
      <c r="T119" s="44"/>
      <c r="U119" s="44"/>
      <c r="V119" s="44"/>
    </row>
    <row r="120" spans="20:22" x14ac:dyDescent="0.25">
      <c r="T120" s="44"/>
      <c r="U120" s="44"/>
      <c r="V120" s="44"/>
    </row>
    <row r="121" spans="20:22" x14ac:dyDescent="0.25">
      <c r="T121" s="44"/>
      <c r="U121" s="44"/>
      <c r="V121" s="44"/>
    </row>
    <row r="122" spans="20:22" x14ac:dyDescent="0.25">
      <c r="T122" s="44"/>
      <c r="U122" s="44"/>
      <c r="V122" s="44"/>
    </row>
    <row r="123" spans="20:22" x14ac:dyDescent="0.25">
      <c r="T123" s="44"/>
      <c r="U123" s="44"/>
      <c r="V123" s="44"/>
    </row>
    <row r="124" spans="20:22" x14ac:dyDescent="0.25">
      <c r="T124" s="44"/>
      <c r="U124" s="44"/>
      <c r="V124" s="44"/>
    </row>
    <row r="125" spans="20:22" x14ac:dyDescent="0.25">
      <c r="T125" s="44"/>
      <c r="U125" s="44"/>
      <c r="V125" s="44"/>
    </row>
    <row r="126" spans="20:22" x14ac:dyDescent="0.25">
      <c r="T126" s="44"/>
      <c r="U126" s="44"/>
      <c r="V126" s="44"/>
    </row>
    <row r="127" spans="20:22" x14ac:dyDescent="0.25">
      <c r="T127" s="44"/>
      <c r="U127" s="44"/>
      <c r="V127" s="44"/>
    </row>
    <row r="128" spans="20:22" x14ac:dyDescent="0.25">
      <c r="T128" s="44"/>
      <c r="U128" s="44"/>
      <c r="V128" s="44"/>
    </row>
    <row r="129" spans="20:22" x14ac:dyDescent="0.25">
      <c r="T129" s="44"/>
      <c r="U129" s="44"/>
      <c r="V129" s="44"/>
    </row>
    <row r="130" spans="20:22" x14ac:dyDescent="0.25">
      <c r="T130" s="44"/>
      <c r="U130" s="44"/>
      <c r="V130" s="44"/>
    </row>
    <row r="131" spans="20:22" x14ac:dyDescent="0.25">
      <c r="T131" s="44"/>
      <c r="U131" s="44"/>
      <c r="V131" s="44"/>
    </row>
    <row r="132" spans="20:22" x14ac:dyDescent="0.25">
      <c r="T132" s="44"/>
      <c r="U132" s="44"/>
      <c r="V132" s="44"/>
    </row>
    <row r="133" spans="20:22" x14ac:dyDescent="0.25">
      <c r="T133" s="44"/>
      <c r="U133" s="44"/>
      <c r="V133" s="44"/>
    </row>
    <row r="134" spans="20:22" x14ac:dyDescent="0.25">
      <c r="T134" s="44"/>
      <c r="U134" s="44"/>
      <c r="V134" s="44"/>
    </row>
    <row r="135" spans="20:22" x14ac:dyDescent="0.25">
      <c r="T135" s="44"/>
      <c r="U135" s="44"/>
      <c r="V135" s="44"/>
    </row>
    <row r="136" spans="20:22" x14ac:dyDescent="0.25">
      <c r="T136" s="44"/>
      <c r="U136" s="44"/>
      <c r="V136" s="44"/>
    </row>
    <row r="137" spans="20:22" x14ac:dyDescent="0.25">
      <c r="T137" s="44"/>
      <c r="U137" s="44"/>
      <c r="V137" s="44"/>
    </row>
    <row r="138" spans="20:22" x14ac:dyDescent="0.25">
      <c r="T138" s="44"/>
      <c r="U138" s="44"/>
      <c r="V138" s="44"/>
    </row>
    <row r="139" spans="20:22" x14ac:dyDescent="0.25">
      <c r="T139" s="44"/>
      <c r="U139" s="44"/>
      <c r="V139" s="44"/>
    </row>
    <row r="140" spans="20:22" x14ac:dyDescent="0.25">
      <c r="T140" s="44"/>
      <c r="U140" s="44"/>
      <c r="V140" s="44"/>
    </row>
    <row r="141" spans="20:22" x14ac:dyDescent="0.25">
      <c r="T141" s="44"/>
      <c r="U141" s="44"/>
      <c r="V141" s="44"/>
    </row>
    <row r="142" spans="20:22" x14ac:dyDescent="0.25">
      <c r="T142" s="44"/>
      <c r="U142" s="44"/>
      <c r="V142" s="44"/>
    </row>
    <row r="143" spans="20:22" x14ac:dyDescent="0.25">
      <c r="T143" s="44"/>
      <c r="U143" s="44"/>
      <c r="V143" s="44"/>
    </row>
    <row r="144" spans="20:22" x14ac:dyDescent="0.25">
      <c r="T144" s="44"/>
      <c r="U144" s="44"/>
      <c r="V144" s="44"/>
    </row>
    <row r="145" spans="20:22" x14ac:dyDescent="0.25">
      <c r="T145" s="44"/>
      <c r="U145" s="44"/>
      <c r="V145" s="44"/>
    </row>
    <row r="146" spans="20:22" x14ac:dyDescent="0.25">
      <c r="T146" s="44"/>
      <c r="U146" s="44"/>
      <c r="V146" s="44"/>
    </row>
    <row r="147" spans="20:22" x14ac:dyDescent="0.25">
      <c r="T147" s="44"/>
      <c r="U147" s="44"/>
      <c r="V147" s="44"/>
    </row>
    <row r="148" spans="20:22" x14ac:dyDescent="0.25">
      <c r="T148" s="44"/>
      <c r="U148" s="44"/>
      <c r="V148" s="44"/>
    </row>
    <row r="149" spans="20:22" x14ac:dyDescent="0.25">
      <c r="T149" s="44"/>
      <c r="U149" s="44"/>
      <c r="V149" s="44"/>
    </row>
    <row r="150" spans="20:22" x14ac:dyDescent="0.25">
      <c r="T150" s="44"/>
      <c r="U150" s="44"/>
      <c r="V150" s="44"/>
    </row>
    <row r="151" spans="20:22" x14ac:dyDescent="0.25">
      <c r="T151" s="44"/>
      <c r="U151" s="44"/>
      <c r="V151" s="44"/>
    </row>
    <row r="152" spans="20:22" x14ac:dyDescent="0.25">
      <c r="T152" s="44"/>
      <c r="U152" s="44"/>
      <c r="V152" s="44"/>
    </row>
    <row r="153" spans="20:22" x14ac:dyDescent="0.25">
      <c r="T153" s="44"/>
      <c r="U153" s="44"/>
      <c r="V153" s="44"/>
    </row>
    <row r="154" spans="20:22" x14ac:dyDescent="0.25">
      <c r="T154" s="44"/>
      <c r="U154" s="44"/>
      <c r="V154" s="44"/>
    </row>
    <row r="155" spans="20:22" x14ac:dyDescent="0.25">
      <c r="T155" s="44"/>
      <c r="U155" s="44"/>
      <c r="V155" s="44"/>
    </row>
    <row r="156" spans="20:22" x14ac:dyDescent="0.25">
      <c r="T156" s="44"/>
      <c r="U156" s="44"/>
      <c r="V156" s="44"/>
    </row>
    <row r="157" spans="20:22" x14ac:dyDescent="0.25">
      <c r="T157" s="44"/>
      <c r="U157" s="44"/>
      <c r="V157" s="44"/>
    </row>
    <row r="158" spans="20:22" x14ac:dyDescent="0.25">
      <c r="T158" s="44"/>
      <c r="U158" s="44"/>
      <c r="V158" s="44"/>
    </row>
    <row r="159" spans="20:22" x14ac:dyDescent="0.25">
      <c r="T159" s="44"/>
      <c r="U159" s="44"/>
      <c r="V159" s="44"/>
    </row>
    <row r="160" spans="20:22" x14ac:dyDescent="0.25">
      <c r="T160" s="44"/>
      <c r="U160" s="44"/>
      <c r="V160" s="44"/>
    </row>
    <row r="161" spans="20:22" x14ac:dyDescent="0.25">
      <c r="T161" s="44"/>
      <c r="U161" s="44"/>
      <c r="V161" s="44"/>
    </row>
    <row r="162" spans="20:22" x14ac:dyDescent="0.25">
      <c r="T162" s="44"/>
      <c r="U162" s="44"/>
      <c r="V162" s="44"/>
    </row>
    <row r="163" spans="20:22" x14ac:dyDescent="0.25">
      <c r="T163" s="44"/>
      <c r="U163" s="44"/>
      <c r="V163" s="44"/>
    </row>
    <row r="164" spans="20:22" x14ac:dyDescent="0.25">
      <c r="T164" s="44"/>
      <c r="U164" s="44"/>
      <c r="V164" s="44"/>
    </row>
    <row r="165" spans="20:22" x14ac:dyDescent="0.25">
      <c r="T165" s="44"/>
      <c r="U165" s="44"/>
      <c r="V165" s="44"/>
    </row>
    <row r="166" spans="20:22" x14ac:dyDescent="0.25">
      <c r="T166" s="44"/>
      <c r="U166" s="44"/>
      <c r="V166" s="44"/>
    </row>
    <row r="167" spans="20:22" x14ac:dyDescent="0.25">
      <c r="T167" s="44"/>
      <c r="U167" s="44"/>
      <c r="V167" s="44"/>
    </row>
    <row r="168" spans="20:22" x14ac:dyDescent="0.25">
      <c r="T168" s="44"/>
      <c r="U168" s="44"/>
      <c r="V168" s="44"/>
    </row>
    <row r="169" spans="20:22" x14ac:dyDescent="0.25">
      <c r="T169" s="44"/>
      <c r="U169" s="44"/>
      <c r="V169" s="44"/>
    </row>
    <row r="170" spans="20:22" x14ac:dyDescent="0.25">
      <c r="T170" s="44"/>
      <c r="U170" s="44"/>
      <c r="V170" s="44"/>
    </row>
    <row r="171" spans="20:22" x14ac:dyDescent="0.25">
      <c r="T171" s="44"/>
      <c r="U171" s="44"/>
      <c r="V171" s="44"/>
    </row>
    <row r="172" spans="20:22" x14ac:dyDescent="0.25">
      <c r="T172" s="44"/>
      <c r="U172" s="44"/>
      <c r="V172" s="44"/>
    </row>
    <row r="173" spans="20:22" x14ac:dyDescent="0.25">
      <c r="T173" s="44"/>
      <c r="U173" s="44"/>
      <c r="V173" s="44"/>
    </row>
    <row r="174" spans="20:22" x14ac:dyDescent="0.25">
      <c r="T174" s="44"/>
      <c r="U174" s="44"/>
      <c r="V174" s="44"/>
    </row>
    <row r="175" spans="20:22" x14ac:dyDescent="0.25">
      <c r="T175" s="44"/>
      <c r="U175" s="44"/>
      <c r="V175" s="44"/>
    </row>
    <row r="176" spans="20:22" x14ac:dyDescent="0.25">
      <c r="T176" s="44"/>
      <c r="U176" s="44"/>
      <c r="V176" s="44"/>
    </row>
    <row r="177" spans="20:22" x14ac:dyDescent="0.25">
      <c r="T177" s="44"/>
      <c r="U177" s="44"/>
      <c r="V177" s="44"/>
    </row>
    <row r="178" spans="20:22" x14ac:dyDescent="0.25">
      <c r="T178" s="44"/>
      <c r="U178" s="44"/>
      <c r="V178" s="44"/>
    </row>
    <row r="179" spans="20:22" x14ac:dyDescent="0.25">
      <c r="T179" s="44"/>
      <c r="U179" s="44"/>
      <c r="V179" s="44"/>
    </row>
    <row r="180" spans="20:22" x14ac:dyDescent="0.25">
      <c r="T180" s="44"/>
      <c r="U180" s="44"/>
      <c r="V180" s="44"/>
    </row>
  </sheetData>
  <protectedRanges>
    <protectedRange sqref="G5:G10 H5:H6 M4:M5 D4:E6 H8:H9 H11:H12 G14:G19 G23:G28 H14:H15 H17:H18 H23:H24 H26:H27 H29:H30 H20:H21 I5:J31" name="Plage1"/>
  </protectedRanges>
  <mergeCells count="25">
    <mergeCell ref="H11:H13"/>
    <mergeCell ref="C3:E3"/>
    <mergeCell ref="K5:K7"/>
    <mergeCell ref="K8:K10"/>
    <mergeCell ref="C51:F51"/>
    <mergeCell ref="G3:J3"/>
    <mergeCell ref="G51:K51"/>
    <mergeCell ref="G14:G22"/>
    <mergeCell ref="H14:H16"/>
    <mergeCell ref="H17:H19"/>
    <mergeCell ref="H20:H22"/>
    <mergeCell ref="G23:G31"/>
    <mergeCell ref="H23:H25"/>
    <mergeCell ref="H26:H28"/>
    <mergeCell ref="H29:H31"/>
    <mergeCell ref="G5:G13"/>
    <mergeCell ref="H5:H7"/>
    <mergeCell ref="H8:H10"/>
    <mergeCell ref="K26:K28"/>
    <mergeCell ref="K29:K31"/>
    <mergeCell ref="K11:K13"/>
    <mergeCell ref="K14:K16"/>
    <mergeCell ref="K17:K19"/>
    <mergeCell ref="K20:K22"/>
    <mergeCell ref="K23:K25"/>
  </mergeCells>
  <phoneticPr fontId="14" type="noConversion"/>
  <conditionalFormatting sqref="G60">
    <cfRule type="cellIs" dxfId="2" priority="1" operator="greaterThan">
      <formula>0.3</formula>
    </cfRule>
    <cfRule type="cellIs" dxfId="1" priority="2" operator="between">
      <formula>0.1</formula>
      <formula>0.3</formula>
    </cfRule>
    <cfRule type="cellIs" dxfId="0" priority="3" operator="lessThan">
      <formula>0.1</formula>
    </cfRule>
  </conditionalFormatting>
  <pageMargins left="0.7" right="0.7" top="0.75" bottom="0.75" header="0.3" footer="0.3"/>
  <ignoredErrors>
    <ignoredError sqref="H54" formula="1"/>
    <ignoredError sqref="K6:K31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A1:K36"/>
  <sheetViews>
    <sheetView workbookViewId="0">
      <selection activeCell="C4" sqref="C4"/>
    </sheetView>
  </sheetViews>
  <sheetFormatPr baseColWidth="10" defaultColWidth="10.42578125" defaultRowHeight="12" x14ac:dyDescent="0.2"/>
  <cols>
    <col min="1" max="1" width="7.42578125" style="14" customWidth="1"/>
    <col min="2" max="2" width="24.42578125" style="14" customWidth="1"/>
    <col min="3" max="7" width="12.7109375" style="14" bestFit="1" customWidth="1"/>
    <col min="8" max="16384" width="10.42578125" style="14"/>
  </cols>
  <sheetData>
    <row r="1" spans="1:11" s="13" customFormat="1" ht="13.5" thickBot="1" x14ac:dyDescent="0.25">
      <c r="B1" s="3" t="s">
        <v>28</v>
      </c>
    </row>
    <row r="2" spans="1:11" ht="12.75" thickBot="1" x14ac:dyDescent="0.25">
      <c r="B2" s="14" t="s">
        <v>29</v>
      </c>
      <c r="C2" s="15" t="e">
        <f>#REF!</f>
        <v>#REF!</v>
      </c>
      <c r="E2" s="14">
        <v>20</v>
      </c>
      <c r="F2" s="14">
        <v>100</v>
      </c>
    </row>
    <row r="3" spans="1:11" ht="15.75" thickBot="1" x14ac:dyDescent="0.3">
      <c r="B3" s="14" t="s">
        <v>30</v>
      </c>
      <c r="C3" s="16" t="e">
        <f>#REF!</f>
        <v>#REF!</v>
      </c>
      <c r="E3" s="14">
        <v>0.01</v>
      </c>
      <c r="F3" s="14">
        <f>E3*F2/E2</f>
        <v>0.05</v>
      </c>
    </row>
    <row r="5" spans="1:11" x14ac:dyDescent="0.2">
      <c r="B5" s="17" t="s">
        <v>31</v>
      </c>
      <c r="C5" s="17" t="s">
        <v>16</v>
      </c>
      <c r="D5" s="17" t="s">
        <v>24</v>
      </c>
      <c r="E5" s="17" t="s">
        <v>25</v>
      </c>
      <c r="F5" s="17" t="s">
        <v>26</v>
      </c>
      <c r="G5" s="17" t="s">
        <v>27</v>
      </c>
    </row>
    <row r="6" spans="1:11" s="18" customFormat="1" x14ac:dyDescent="0.2">
      <c r="A6" s="18">
        <v>2</v>
      </c>
      <c r="B6" s="32" t="s">
        <v>40</v>
      </c>
      <c r="C6" s="19">
        <f>'80%'!B2</f>
        <v>80</v>
      </c>
      <c r="D6" s="19">
        <f>'90%'!B2</f>
        <v>90</v>
      </c>
      <c r="E6" s="19">
        <f>'100%'!B2</f>
        <v>100</v>
      </c>
      <c r="F6" s="34">
        <f>'110%'!B2</f>
        <v>110</v>
      </c>
      <c r="G6" s="19">
        <f>'120%'!B2</f>
        <v>120</v>
      </c>
    </row>
    <row r="7" spans="1:11" x14ac:dyDescent="0.2">
      <c r="A7" s="14">
        <v>30</v>
      </c>
      <c r="B7" s="33" t="s">
        <v>41</v>
      </c>
      <c r="C7" s="20" t="e">
        <f>'80%'!B22</f>
        <v>#REF!</v>
      </c>
      <c r="D7" s="20" t="e">
        <f>'90%'!B22</f>
        <v>#REF!</v>
      </c>
      <c r="E7" s="20" t="e">
        <f>'100%'!B22</f>
        <v>#REF!</v>
      </c>
      <c r="F7" s="20" t="e">
        <f>'110%'!B22</f>
        <v>#REF!</v>
      </c>
      <c r="G7" s="20" t="e">
        <f>'120%'!B22</f>
        <v>#REF!</v>
      </c>
      <c r="K7" s="21" t="str">
        <f>ADDRESS($A8,2,,,C$5)</f>
        <v>'Niveau A'!$B$31</v>
      </c>
    </row>
    <row r="8" spans="1:11" x14ac:dyDescent="0.2">
      <c r="A8" s="14">
        <v>31</v>
      </c>
      <c r="B8" s="33" t="s">
        <v>42</v>
      </c>
      <c r="C8" s="20" t="e">
        <f>'80%'!B23</f>
        <v>#DIV/0!</v>
      </c>
      <c r="D8" s="20" t="e">
        <f>'90%'!B23</f>
        <v>#DIV/0!</v>
      </c>
      <c r="E8" s="20" t="e">
        <f>'100%'!B23</f>
        <v>#DIV/0!</v>
      </c>
      <c r="F8" s="20" t="e">
        <f>'110%'!B23</f>
        <v>#DIV/0!</v>
      </c>
      <c r="G8" s="20" t="e">
        <f>'120%'!B23</f>
        <v>#DIV/0!</v>
      </c>
    </row>
    <row r="9" spans="1:11" x14ac:dyDescent="0.2">
      <c r="A9" s="14">
        <v>32</v>
      </c>
      <c r="B9" s="33" t="s">
        <v>43</v>
      </c>
      <c r="C9" s="20" t="e">
        <f>'80%'!B24</f>
        <v>#REF!</v>
      </c>
      <c r="D9" s="20" t="e">
        <f>'90%'!B24</f>
        <v>#REF!</v>
      </c>
      <c r="E9" s="20" t="e">
        <f>'100%'!B24</f>
        <v>#REF!</v>
      </c>
      <c r="F9" s="20" t="e">
        <f>'110%'!B24</f>
        <v>#REF!</v>
      </c>
      <c r="G9" s="20" t="e">
        <f>'120%'!B24</f>
        <v>#REF!</v>
      </c>
      <c r="H9" s="2"/>
    </row>
    <row r="10" spans="1:11" x14ac:dyDescent="0.2">
      <c r="A10" s="14">
        <v>33</v>
      </c>
      <c r="B10" s="33" t="s">
        <v>44</v>
      </c>
      <c r="C10" s="20" t="e">
        <f>'80%'!B25</f>
        <v>#DIV/0!</v>
      </c>
      <c r="D10" s="20" t="e">
        <f>'90%'!B25</f>
        <v>#DIV/0!</v>
      </c>
      <c r="E10" s="20" t="e">
        <f>'100%'!B25</f>
        <v>#DIV/0!</v>
      </c>
      <c r="F10" s="20" t="e">
        <f>'110%'!B25</f>
        <v>#DIV/0!</v>
      </c>
      <c r="G10" s="20" t="e">
        <f>'120%'!B25</f>
        <v>#DIV/0!</v>
      </c>
    </row>
    <row r="11" spans="1:11" x14ac:dyDescent="0.2">
      <c r="A11" s="14">
        <v>37</v>
      </c>
      <c r="B11" s="33" t="s">
        <v>45</v>
      </c>
      <c r="C11" s="20" t="e">
        <f>'80%'!B29</f>
        <v>#REF!</v>
      </c>
      <c r="D11" s="20" t="e">
        <f>'90%'!B29</f>
        <v>#REF!</v>
      </c>
      <c r="E11" s="20" t="e">
        <f>'100%'!B29</f>
        <v>#REF!</v>
      </c>
      <c r="F11" s="20" t="e">
        <f>'110%'!B29</f>
        <v>#REF!</v>
      </c>
      <c r="G11" s="20" t="e">
        <f>'120%'!B29</f>
        <v>#REF!</v>
      </c>
    </row>
    <row r="12" spans="1:11" x14ac:dyDescent="0.2">
      <c r="A12" s="14">
        <v>39</v>
      </c>
      <c r="B12" s="33" t="s">
        <v>46</v>
      </c>
      <c r="C12" s="20" t="e">
        <f>'80%'!B31</f>
        <v>#REF!</v>
      </c>
      <c r="D12" s="20" t="e">
        <f>'90%'!B31</f>
        <v>#REF!</v>
      </c>
      <c r="E12" s="20" t="e">
        <f>'100%'!B31</f>
        <v>#REF!</v>
      </c>
      <c r="F12" s="20" t="e">
        <f>'110%'!B31</f>
        <v>#REF!</v>
      </c>
      <c r="G12" s="20" t="e">
        <f>'120%'!B31</f>
        <v>#REF!</v>
      </c>
    </row>
    <row r="13" spans="1:11" x14ac:dyDescent="0.2">
      <c r="A13" s="14">
        <v>40</v>
      </c>
      <c r="B13" s="33" t="s">
        <v>47</v>
      </c>
      <c r="C13" s="20" t="e">
        <f>'80%'!B32</f>
        <v>#REF!</v>
      </c>
      <c r="D13" s="20" t="e">
        <f>'90%'!B32</f>
        <v>#REF!</v>
      </c>
      <c r="E13" s="20" t="e">
        <f>'100%'!B32</f>
        <v>#REF!</v>
      </c>
      <c r="F13" s="20" t="e">
        <f>'110%'!B32</f>
        <v>#REF!</v>
      </c>
      <c r="G13" s="20" t="e">
        <f>'120%'!B32</f>
        <v>#REF!</v>
      </c>
    </row>
    <row r="14" spans="1:11" x14ac:dyDescent="0.2">
      <c r="A14" s="14">
        <v>47</v>
      </c>
      <c r="B14" s="33" t="s">
        <v>48</v>
      </c>
      <c r="C14" s="20" t="e">
        <f>'80%'!B39</f>
        <v>#REF!</v>
      </c>
      <c r="D14" s="20" t="e">
        <f>'90%'!B39</f>
        <v>#REF!</v>
      </c>
      <c r="E14" s="20" t="e">
        <f>'100%'!B39</f>
        <v>#REF!</v>
      </c>
      <c r="F14" s="20" t="e">
        <f>'110%'!B39</f>
        <v>#REF!</v>
      </c>
      <c r="G14" s="20" t="e">
        <f>'120%'!B39</f>
        <v>#REF!</v>
      </c>
    </row>
    <row r="15" spans="1:11" x14ac:dyDescent="0.2">
      <c r="A15" s="14">
        <v>48</v>
      </c>
      <c r="B15" s="33" t="s">
        <v>49</v>
      </c>
      <c r="C15" s="20" t="e">
        <f>'80%'!B40</f>
        <v>#REF!</v>
      </c>
      <c r="D15" s="20" t="e">
        <f>'90%'!B40</f>
        <v>#REF!</v>
      </c>
      <c r="E15" s="20" t="e">
        <f>'100%'!B40</f>
        <v>#REF!</v>
      </c>
      <c r="F15" s="20" t="e">
        <f>'110%'!B40</f>
        <v>#REF!</v>
      </c>
      <c r="G15" s="20" t="e">
        <f>'120%'!B40</f>
        <v>#REF!</v>
      </c>
    </row>
    <row r="16" spans="1:11" x14ac:dyDescent="0.2">
      <c r="A16" s="14">
        <v>35</v>
      </c>
      <c r="B16" s="33" t="s">
        <v>50</v>
      </c>
      <c r="C16" s="22" t="e">
        <f>'80%'!B27</f>
        <v>#REF!</v>
      </c>
      <c r="D16" s="22" t="e">
        <f>'90%'!B27</f>
        <v>#REF!</v>
      </c>
      <c r="E16" s="22" t="e">
        <f>'100%'!B27</f>
        <v>#REF!</v>
      </c>
      <c r="F16" s="22" t="e">
        <f>'110%'!B27</f>
        <v>#REF!</v>
      </c>
      <c r="G16" s="22" t="e">
        <f>'120%'!B27</f>
        <v>#REF!</v>
      </c>
    </row>
    <row r="17" spans="2:7" s="18" customFormat="1" x14ac:dyDescent="0.2">
      <c r="B17" s="19" t="s">
        <v>32</v>
      </c>
      <c r="C17" s="23" t="e">
        <f>C7/C$6</f>
        <v>#REF!</v>
      </c>
      <c r="D17" s="23" t="e">
        <f t="shared" ref="D17:G17" si="0">D7/D$6</f>
        <v>#REF!</v>
      </c>
      <c r="E17" s="23" t="e">
        <f t="shared" si="0"/>
        <v>#REF!</v>
      </c>
      <c r="F17" s="23" t="e">
        <f t="shared" si="0"/>
        <v>#REF!</v>
      </c>
      <c r="G17" s="23" t="e">
        <f t="shared" si="0"/>
        <v>#REF!</v>
      </c>
    </row>
    <row r="18" spans="2:7" s="18" customFormat="1" x14ac:dyDescent="0.2">
      <c r="B18" s="19" t="s">
        <v>33</v>
      </c>
      <c r="C18" s="23" t="e">
        <f>C14/C$6</f>
        <v>#REF!</v>
      </c>
      <c r="D18" s="23" t="e">
        <f>D14/D$6</f>
        <v>#REF!</v>
      </c>
      <c r="E18" s="23" t="e">
        <f t="shared" ref="E18:G19" si="1">E14/E$6</f>
        <v>#REF!</v>
      </c>
      <c r="F18" s="23" t="e">
        <f t="shared" si="1"/>
        <v>#REF!</v>
      </c>
      <c r="G18" s="23" t="e">
        <f t="shared" si="1"/>
        <v>#REF!</v>
      </c>
    </row>
    <row r="19" spans="2:7" s="18" customFormat="1" x14ac:dyDescent="0.2">
      <c r="B19" s="19" t="s">
        <v>34</v>
      </c>
      <c r="C19" s="23" t="e">
        <f>C15/C$6</f>
        <v>#REF!</v>
      </c>
      <c r="D19" s="23" t="e">
        <f>D15/D$6</f>
        <v>#REF!</v>
      </c>
      <c r="E19" s="23" t="e">
        <f t="shared" si="1"/>
        <v>#REF!</v>
      </c>
      <c r="F19" s="23" t="e">
        <f t="shared" si="1"/>
        <v>#REF!</v>
      </c>
      <c r="G19" s="23" t="e">
        <f t="shared" si="1"/>
        <v>#REF!</v>
      </c>
    </row>
    <row r="20" spans="2:7" s="18" customFormat="1" x14ac:dyDescent="0.2">
      <c r="B20" s="19" t="s">
        <v>35</v>
      </c>
      <c r="C20" s="24" t="e">
        <f>1-$C$3</f>
        <v>#REF!</v>
      </c>
      <c r="D20" s="24" t="e">
        <f t="shared" ref="D20:G20" si="2">1-$C$3</f>
        <v>#REF!</v>
      </c>
      <c r="E20" s="24" t="e">
        <f t="shared" si="2"/>
        <v>#REF!</v>
      </c>
      <c r="F20" s="24" t="e">
        <f t="shared" si="2"/>
        <v>#REF!</v>
      </c>
      <c r="G20" s="24" t="e">
        <f t="shared" si="2"/>
        <v>#REF!</v>
      </c>
    </row>
    <row r="21" spans="2:7" s="18" customFormat="1" x14ac:dyDescent="0.2">
      <c r="B21" s="19" t="s">
        <v>36</v>
      </c>
      <c r="C21" s="24" t="e">
        <f t="shared" ref="C21:G21" si="3">1+$C$3</f>
        <v>#REF!</v>
      </c>
      <c r="D21" s="24" t="e">
        <f t="shared" si="3"/>
        <v>#REF!</v>
      </c>
      <c r="E21" s="24" t="e">
        <f t="shared" si="3"/>
        <v>#REF!</v>
      </c>
      <c r="F21" s="24" t="e">
        <f t="shared" si="3"/>
        <v>#REF!</v>
      </c>
      <c r="G21" s="24" t="e">
        <f t="shared" si="3"/>
        <v>#REF!</v>
      </c>
    </row>
    <row r="22" spans="2:7" s="18" customFormat="1" x14ac:dyDescent="0.2">
      <c r="B22" s="25"/>
      <c r="C22" s="26"/>
      <c r="D22" s="26"/>
      <c r="E22" s="26"/>
      <c r="F22" s="26"/>
      <c r="G22" s="26"/>
    </row>
    <row r="23" spans="2:7" s="18" customFormat="1" x14ac:dyDescent="0.2">
      <c r="B23" s="25"/>
      <c r="C23" s="26"/>
      <c r="D23" s="26"/>
      <c r="E23" s="26"/>
      <c r="F23" s="26"/>
      <c r="G23" s="26"/>
    </row>
    <row r="24" spans="2:7" s="18" customFormat="1" x14ac:dyDescent="0.2">
      <c r="B24" s="25"/>
      <c r="C24" s="26"/>
      <c r="D24" s="26"/>
      <c r="E24" s="26"/>
      <c r="F24" s="26"/>
      <c r="G24" s="26"/>
    </row>
    <row r="25" spans="2:7" s="18" customFormat="1" x14ac:dyDescent="0.2">
      <c r="B25" s="25"/>
      <c r="C25" s="26"/>
      <c r="D25" s="26"/>
      <c r="E25" s="26"/>
      <c r="F25" s="26"/>
      <c r="G25" s="26"/>
    </row>
    <row r="26" spans="2:7" s="18" customFormat="1" x14ac:dyDescent="0.2">
      <c r="B26" s="25"/>
      <c r="C26" s="26"/>
      <c r="D26" s="26"/>
      <c r="E26" s="26"/>
      <c r="F26" s="26"/>
      <c r="G26" s="26"/>
    </row>
    <row r="27" spans="2:7" s="13" customFormat="1" x14ac:dyDescent="0.2">
      <c r="B27" s="13" t="s">
        <v>37</v>
      </c>
    </row>
    <row r="28" spans="2:7" x14ac:dyDescent="0.2">
      <c r="B28" s="14" t="s">
        <v>38</v>
      </c>
      <c r="C28" s="27" t="e">
        <f t="shared" ref="C28:G28" si="4">C$12*C$10</f>
        <v>#REF!</v>
      </c>
      <c r="D28" s="27" t="e">
        <f t="shared" si="4"/>
        <v>#REF!</v>
      </c>
      <c r="E28" s="27" t="e">
        <f t="shared" si="4"/>
        <v>#REF!</v>
      </c>
      <c r="F28" s="27" t="e">
        <f t="shared" si="4"/>
        <v>#REF!</v>
      </c>
      <c r="G28" s="27" t="e">
        <f t="shared" si="4"/>
        <v>#REF!</v>
      </c>
    </row>
    <row r="29" spans="2:7" x14ac:dyDescent="0.2">
      <c r="B29" s="14" t="s">
        <v>39</v>
      </c>
      <c r="C29" s="28" t="e">
        <f t="shared" ref="C29:G29" si="5">2*C28/C7</f>
        <v>#REF!</v>
      </c>
      <c r="D29" s="28" t="e">
        <f t="shared" si="5"/>
        <v>#REF!</v>
      </c>
      <c r="E29" s="28" t="e">
        <f t="shared" si="5"/>
        <v>#REF!</v>
      </c>
      <c r="F29" s="28" t="e">
        <f t="shared" si="5"/>
        <v>#REF!</v>
      </c>
      <c r="G29" s="28" t="e">
        <f t="shared" si="5"/>
        <v>#REF!</v>
      </c>
    </row>
    <row r="30" spans="2:7" x14ac:dyDescent="0.2">
      <c r="C30" s="27"/>
      <c r="D30" s="27"/>
      <c r="E30" s="27"/>
      <c r="F30" s="27"/>
      <c r="G30" s="27"/>
    </row>
    <row r="31" spans="2:7" s="29" customFormat="1" x14ac:dyDescent="0.2">
      <c r="F31" s="30"/>
    </row>
    <row r="32" spans="2:7" s="29" customFormat="1" x14ac:dyDescent="0.2">
      <c r="F32" s="30"/>
    </row>
    <row r="33" spans="3:7" s="29" customFormat="1" x14ac:dyDescent="0.2">
      <c r="C33" s="30"/>
      <c r="D33" s="30"/>
      <c r="E33" s="30"/>
      <c r="F33" s="30"/>
      <c r="G33" s="30"/>
    </row>
    <row r="34" spans="3:7" s="29" customFormat="1" x14ac:dyDescent="0.2">
      <c r="C34" s="30"/>
      <c r="D34" s="30"/>
      <c r="E34" s="30"/>
      <c r="F34" s="30"/>
      <c r="G34" s="30"/>
    </row>
    <row r="35" spans="3:7" s="29" customFormat="1" x14ac:dyDescent="0.2">
      <c r="C35" s="31"/>
      <c r="D35" s="31"/>
      <c r="E35" s="31"/>
      <c r="F35" s="31"/>
      <c r="G35" s="31"/>
    </row>
    <row r="36" spans="3:7" s="29" customFormat="1" x14ac:dyDescent="0.2">
      <c r="C36" s="31"/>
      <c r="D36" s="31"/>
      <c r="E36" s="31"/>
      <c r="F36" s="31"/>
      <c r="G36" s="31"/>
    </row>
  </sheetData>
  <sheetProtection pivotTables="0"/>
  <pageMargins left="0.78740157499999996" right="0.78740157499999996" top="0.984251969" bottom="0.984251969" header="0.4921259845" footer="0.4921259845"/>
  <pageSetup paperSize="9" orientation="landscape" verticalDpi="0" r:id="rId1"/>
  <headerFooter alignWithMargins="0">
    <oddFooter>&amp;A&amp;RPage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  <pageSetUpPr fitToPage="1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7.7109375" style="2" bestFit="1" customWidth="1"/>
    <col min="3" max="3" width="11.5703125" style="2" customWidth="1"/>
    <col min="4" max="4" width="11.140625" style="2" customWidth="1"/>
    <col min="5" max="5" width="12.42578125" style="2" customWidth="1"/>
    <col min="6" max="6" width="10.28515625" style="2" customWidth="1"/>
    <col min="7" max="7" width="3.5703125" style="2" customWidth="1"/>
    <col min="8" max="8" width="6.42578125" style="2" customWidth="1"/>
    <col min="9" max="9" width="15" style="2" bestFit="1" customWidth="1"/>
    <col min="10" max="10" width="10.85546875" style="2" customWidth="1"/>
    <col min="11" max="16384" width="10.85546875" style="2"/>
  </cols>
  <sheetData>
    <row r="1" spans="1:9" ht="12.75" thickBot="1" x14ac:dyDescent="0.25">
      <c r="A1" s="1" t="s">
        <v>16</v>
      </c>
    </row>
    <row r="2" spans="1:9" ht="13.5" thickBot="1" x14ac:dyDescent="0.25">
      <c r="A2" s="3" t="s">
        <v>40</v>
      </c>
      <c r="B2" s="4">
        <v>80</v>
      </c>
    </row>
    <row r="4" spans="1:9" x14ac:dyDescent="0.2"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H4" s="2" t="s">
        <v>22</v>
      </c>
      <c r="I4" s="2" t="s">
        <v>23</v>
      </c>
    </row>
    <row r="5" spans="1:9" x14ac:dyDescent="0.2">
      <c r="A5" s="2" t="s">
        <v>105</v>
      </c>
      <c r="B5" s="35" t="e">
        <f>#REF!*$B$2</f>
        <v>#REF!</v>
      </c>
      <c r="C5" s="35" t="e">
        <f>#REF!*$B$2</f>
        <v>#REF!</v>
      </c>
      <c r="D5" s="35"/>
      <c r="E5" s="36"/>
      <c r="F5" s="37"/>
      <c r="H5" s="5">
        <f>COUNT(B5:F5)</f>
        <v>0</v>
      </c>
      <c r="I5" s="6" t="str">
        <f>IF(H5=0,"",DEVSQ(B5:F5))</f>
        <v/>
      </c>
    </row>
    <row r="6" spans="1:9" x14ac:dyDescent="0.2">
      <c r="A6" s="2" t="s">
        <v>106</v>
      </c>
      <c r="B6" s="35"/>
      <c r="C6" s="35"/>
      <c r="D6" s="35"/>
      <c r="E6" s="36"/>
      <c r="F6" s="37"/>
      <c r="H6" s="5"/>
      <c r="I6" s="6"/>
    </row>
    <row r="7" spans="1:9" x14ac:dyDescent="0.2">
      <c r="A7" s="2" t="s">
        <v>107</v>
      </c>
      <c r="B7" s="35" t="e">
        <f>#REF!*$B$2</f>
        <v>#REF!</v>
      </c>
      <c r="C7" s="35" t="e">
        <f>#REF!*$B$2</f>
        <v>#REF!</v>
      </c>
      <c r="D7" s="35"/>
      <c r="E7" s="36"/>
      <c r="F7" s="37"/>
      <c r="H7" s="5">
        <f>COUNT(B7:F7)</f>
        <v>0</v>
      </c>
      <c r="I7" s="6" t="str">
        <f>IF(H7=0,"",DEVSQ(B7:F7))</f>
        <v/>
      </c>
    </row>
    <row r="8" spans="1:9" x14ac:dyDescent="0.2">
      <c r="A8" s="2" t="s">
        <v>108</v>
      </c>
      <c r="B8" s="35" t="e">
        <f>#REF!*$B$2</f>
        <v>#REF!</v>
      </c>
      <c r="C8" s="35" t="e">
        <f>#REF!*$B$2</f>
        <v>#REF!</v>
      </c>
      <c r="D8" s="36"/>
      <c r="E8" s="36"/>
      <c r="F8" s="37"/>
      <c r="H8" s="5">
        <f>COUNT(B8:F8)</f>
        <v>0</v>
      </c>
      <c r="I8" s="6" t="str">
        <f>IF(H8=0,"",DEVSQ(B8:F8))</f>
        <v/>
      </c>
    </row>
    <row r="9" spans="1:9" x14ac:dyDescent="0.2">
      <c r="A9" s="2" t="s">
        <v>109</v>
      </c>
      <c r="B9" s="35" t="e">
        <f>#REF!*$B$2</f>
        <v>#REF!</v>
      </c>
      <c r="C9" s="35" t="e">
        <f>#REF!*$B$2</f>
        <v>#REF!</v>
      </c>
      <c r="D9" s="36"/>
      <c r="E9" s="36"/>
      <c r="F9" s="37"/>
      <c r="H9" s="5">
        <f>COUNT(B9:F9)</f>
        <v>0</v>
      </c>
      <c r="I9" s="6" t="str">
        <f>IF(H9=0,"",DEVSQ(B9:F9))</f>
        <v/>
      </c>
    </row>
    <row r="10" spans="1:9" s="3" customFormat="1" ht="12.75" x14ac:dyDescent="0.2"/>
    <row r="11" spans="1:9" x14ac:dyDescent="0.2">
      <c r="A11" s="2" t="s">
        <v>110</v>
      </c>
      <c r="B11" s="2">
        <f>COUNT(B5:B9)</f>
        <v>0</v>
      </c>
      <c r="C11" s="7"/>
    </row>
    <row r="12" spans="1:9" x14ac:dyDescent="0.2">
      <c r="A12" s="2" t="s">
        <v>111</v>
      </c>
      <c r="B12" s="2">
        <f>COUNT(B5:F9)</f>
        <v>0</v>
      </c>
      <c r="C12" s="7"/>
    </row>
    <row r="13" spans="1:9" x14ac:dyDescent="0.2">
      <c r="A13" s="2" t="s">
        <v>112</v>
      </c>
      <c r="B13" s="2">
        <f>IF(H5*B11&lt;&gt;B12,"Calcul impossible",H5)</f>
        <v>0</v>
      </c>
      <c r="C13" s="7"/>
    </row>
    <row r="14" spans="1:9" x14ac:dyDescent="0.2">
      <c r="A14" s="2" t="s">
        <v>113</v>
      </c>
      <c r="B14" s="8">
        <f>SUM(I5:I9)</f>
        <v>0</v>
      </c>
      <c r="C14" s="7"/>
    </row>
    <row r="15" spans="1:9" x14ac:dyDescent="0.2">
      <c r="A15" s="2" t="s">
        <v>114</v>
      </c>
      <c r="B15" s="8" t="e">
        <f>DEVSQ(B5:F9)</f>
        <v>#REF!</v>
      </c>
      <c r="C15" s="7"/>
    </row>
    <row r="16" spans="1:9" x14ac:dyDescent="0.2">
      <c r="A16" s="2" t="s">
        <v>115</v>
      </c>
      <c r="B16" s="8" t="e">
        <f>B15-B14</f>
        <v>#REF!</v>
      </c>
      <c r="C16" s="7"/>
    </row>
    <row r="17" spans="1:9" x14ac:dyDescent="0.2">
      <c r="A17" s="2" t="s">
        <v>116</v>
      </c>
      <c r="B17" s="8" t="e">
        <f>((B16/(B11-1))-B18)/B13</f>
        <v>#REF!</v>
      </c>
      <c r="C17" s="7"/>
    </row>
    <row r="18" spans="1:9" x14ac:dyDescent="0.2">
      <c r="A18" s="2" t="s">
        <v>117</v>
      </c>
      <c r="B18" s="8" t="e">
        <f>B14/(B12-B11)</f>
        <v>#DIV/0!</v>
      </c>
      <c r="C18" s="7"/>
    </row>
    <row r="19" spans="1:9" x14ac:dyDescent="0.2">
      <c r="A19" s="2" t="s">
        <v>118</v>
      </c>
      <c r="B19" s="8" t="e">
        <f>IF(B17&lt;0,0,B17)</f>
        <v>#REF!</v>
      </c>
      <c r="C19" s="7"/>
    </row>
    <row r="20" spans="1:9" x14ac:dyDescent="0.2">
      <c r="A20" s="2" t="s">
        <v>119</v>
      </c>
      <c r="B20" s="8" t="e">
        <f>SUM(B18:B19)</f>
        <v>#DIV/0!</v>
      </c>
      <c r="C20" s="7"/>
    </row>
    <row r="21" spans="1:9" s="3" customFormat="1" ht="12.75" x14ac:dyDescent="0.2">
      <c r="A21" s="3" t="s">
        <v>120</v>
      </c>
    </row>
    <row r="22" spans="1:9" x14ac:dyDescent="0.2">
      <c r="A22" s="2" t="s">
        <v>41</v>
      </c>
      <c r="B22" s="8" t="e">
        <f>AVERAGE(B5:F9)</f>
        <v>#REF!</v>
      </c>
      <c r="C22" s="7"/>
    </row>
    <row r="23" spans="1:9" ht="12" customHeight="1" x14ac:dyDescent="0.2">
      <c r="A23" s="2" t="s">
        <v>42</v>
      </c>
      <c r="B23" s="8" t="e">
        <f>SQRT(B18)</f>
        <v>#DIV/0!</v>
      </c>
      <c r="C23" s="7"/>
    </row>
    <row r="24" spans="1:9" x14ac:dyDescent="0.2">
      <c r="A24" s="2" t="s">
        <v>43</v>
      </c>
      <c r="B24" s="8" t="e">
        <f>SQRT(B19)</f>
        <v>#REF!</v>
      </c>
      <c r="C24" s="7"/>
    </row>
    <row r="25" spans="1:9" x14ac:dyDescent="0.2">
      <c r="A25" s="2" t="s">
        <v>44</v>
      </c>
      <c r="B25" s="8" t="e">
        <f>SQRT(B20)</f>
        <v>#DIV/0!</v>
      </c>
      <c r="C25" s="7"/>
    </row>
    <row r="26" spans="1:9" s="3" customFormat="1" ht="12.75" x14ac:dyDescent="0.2">
      <c r="A26" s="3" t="s">
        <v>121</v>
      </c>
    </row>
    <row r="27" spans="1:9" ht="15" x14ac:dyDescent="0.25">
      <c r="A27" s="2" t="s">
        <v>50</v>
      </c>
      <c r="B27" s="9" t="e">
        <f>B22/B2-1</f>
        <v>#REF!</v>
      </c>
      <c r="C27" s="7"/>
    </row>
    <row r="28" spans="1:9" s="3" customFormat="1" ht="12.75" x14ac:dyDescent="0.2">
      <c r="A28" s="3" t="s">
        <v>122</v>
      </c>
    </row>
    <row r="29" spans="1:9" x14ac:dyDescent="0.2">
      <c r="A29" s="2" t="s">
        <v>45</v>
      </c>
      <c r="B29" s="8" t="e">
        <f>B19/B18</f>
        <v>#REF!</v>
      </c>
      <c r="C29" s="7"/>
    </row>
    <row r="30" spans="1:9" x14ac:dyDescent="0.2">
      <c r="A30" s="2" t="s">
        <v>123</v>
      </c>
      <c r="B30" s="8" t="e">
        <f>(B29+1)/(B13*B29+1)</f>
        <v>#REF!</v>
      </c>
      <c r="C30" s="7"/>
    </row>
    <row r="31" spans="1:9" x14ac:dyDescent="0.2">
      <c r="A31" s="2" t="s">
        <v>46</v>
      </c>
      <c r="B31" s="8" t="e">
        <f>SQRT(1+1/(B12*B30))</f>
        <v>#REF!</v>
      </c>
      <c r="C31" s="7"/>
    </row>
    <row r="32" spans="1:9" x14ac:dyDescent="0.2">
      <c r="A32" s="2" t="s">
        <v>47</v>
      </c>
      <c r="B32" s="8" t="e">
        <f>(B29+1)^2/((B29+1/B13)^2/(B11-1)+(1-1/B13)/B12)</f>
        <v>#REF!</v>
      </c>
      <c r="C32" s="7"/>
      <c r="I32" s="6"/>
    </row>
    <row r="33" spans="1:3" x14ac:dyDescent="0.2">
      <c r="A33" s="2" t="s">
        <v>29</v>
      </c>
      <c r="B33" s="8" t="e">
        <f>Récapitulatif!C2</f>
        <v>#REF!</v>
      </c>
      <c r="C33" s="7"/>
    </row>
    <row r="34" spans="1:3" x14ac:dyDescent="0.2">
      <c r="A34" s="2" t="s">
        <v>124</v>
      </c>
      <c r="B34" s="8" t="e">
        <f>TINV(1-B33,ROUNDDOWN(B32,0))</f>
        <v>#REF!</v>
      </c>
      <c r="C34" s="7"/>
    </row>
    <row r="35" spans="1:3" x14ac:dyDescent="0.2">
      <c r="A35" s="2" t="s">
        <v>125</v>
      </c>
      <c r="B35" s="8" t="e">
        <f>TINV(1-B33,ROUNDUP(B32,0))</f>
        <v>#REF!</v>
      </c>
      <c r="C35" s="7"/>
    </row>
    <row r="36" spans="1:3" x14ac:dyDescent="0.2">
      <c r="A36" s="2" t="s">
        <v>126</v>
      </c>
      <c r="B36" s="8" t="e">
        <f>B34-(B34-B35)*(B32-ROUNDDOWN(B32,0))</f>
        <v>#REF!</v>
      </c>
      <c r="C36" s="7"/>
    </row>
    <row r="37" spans="1:3" x14ac:dyDescent="0.2">
      <c r="A37" s="2" t="s">
        <v>127</v>
      </c>
      <c r="B37" s="8" t="e">
        <f>B36*B31</f>
        <v>#REF!</v>
      </c>
      <c r="C37" s="7"/>
    </row>
    <row r="38" spans="1:3" s="3" customFormat="1" ht="12.75" x14ac:dyDescent="0.2">
      <c r="A38" s="3" t="s">
        <v>128</v>
      </c>
    </row>
    <row r="39" spans="1:3" x14ac:dyDescent="0.2">
      <c r="A39" s="2" t="s">
        <v>48</v>
      </c>
      <c r="B39" s="8" t="e">
        <f>B22-B37*B25</f>
        <v>#REF!</v>
      </c>
      <c r="C39" s="7"/>
    </row>
    <row r="40" spans="1:3" x14ac:dyDescent="0.2">
      <c r="A40" s="2" t="s">
        <v>49</v>
      </c>
      <c r="B40" s="8" t="e">
        <f>B22+B37*B25</f>
        <v>#REF!</v>
      </c>
      <c r="C40" s="7"/>
    </row>
  </sheetData>
  <sheetProtection pivotTables="0"/>
  <printOptions headings="1" gridLines="1"/>
  <pageMargins left="0.78740157499999996" right="0.78740157499999996" top="0.49" bottom="0.76" header="0.28000000000000003" footer="0.4921259845"/>
  <pageSetup paperSize="9" orientation="landscape" horizontalDpi="300" verticalDpi="300" r:id="rId1"/>
  <headerFooter alignWithMargins="0">
    <oddFooter>&amp;A&amp;RPage &amp;P</oddFooter>
  </headerFooter>
  <rowBreaks count="1" manualBreakCount="1">
    <brk id="4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1.28515625" style="2" customWidth="1"/>
    <col min="3" max="4" width="11.28515625" style="2" bestFit="1" customWidth="1"/>
    <col min="5" max="6" width="10.28515625" style="2" customWidth="1"/>
    <col min="7" max="7" width="3.5703125" style="2" customWidth="1"/>
    <col min="8" max="8" width="6.42578125" style="2" customWidth="1"/>
    <col min="9" max="9" width="11.5703125" style="2" customWidth="1"/>
    <col min="10" max="10" width="10.85546875" style="2" customWidth="1"/>
    <col min="11" max="16384" width="10.85546875" style="2"/>
  </cols>
  <sheetData>
    <row r="1" spans="1:9" ht="13.5" thickBot="1" x14ac:dyDescent="0.25">
      <c r="A1" s="10" t="s">
        <v>24</v>
      </c>
    </row>
    <row r="2" spans="1:9" ht="13.5" thickBot="1" x14ac:dyDescent="0.25">
      <c r="A2" s="3" t="s">
        <v>40</v>
      </c>
      <c r="B2" s="11">
        <v>90</v>
      </c>
    </row>
    <row r="4" spans="1:9" x14ac:dyDescent="0.2"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H4" s="2" t="s">
        <v>22</v>
      </c>
      <c r="I4" s="2" t="s">
        <v>23</v>
      </c>
    </row>
    <row r="5" spans="1:9" x14ac:dyDescent="0.2">
      <c r="A5" s="2" t="s">
        <v>105</v>
      </c>
      <c r="B5" s="36" t="e">
        <f>#REF!*$B$2</f>
        <v>#REF!</v>
      </c>
      <c r="C5" s="36" t="e">
        <f>#REF!*$B$2</f>
        <v>#REF!</v>
      </c>
      <c r="D5" s="36"/>
      <c r="E5" s="36"/>
      <c r="F5" s="37"/>
      <c r="H5" s="5">
        <f>COUNT(B5:F5)</f>
        <v>0</v>
      </c>
      <c r="I5" s="6" t="str">
        <f>IF(H5=0,"",DEVSQ(B5:F5))</f>
        <v/>
      </c>
    </row>
    <row r="6" spans="1:9" x14ac:dyDescent="0.2">
      <c r="A6" s="2" t="s">
        <v>106</v>
      </c>
      <c r="B6" s="36" t="e">
        <f>#REF!*$B$2</f>
        <v>#REF!</v>
      </c>
      <c r="C6" s="36" t="e">
        <f>#REF!*$B$2</f>
        <v>#REF!</v>
      </c>
      <c r="D6" s="36"/>
      <c r="E6" s="36"/>
      <c r="F6" s="37"/>
      <c r="H6" s="5">
        <f>COUNT(B6:F6)</f>
        <v>0</v>
      </c>
      <c r="I6" s="6" t="str">
        <f>IF(H6=0,"",DEVSQ(B6:F6))</f>
        <v/>
      </c>
    </row>
    <row r="7" spans="1:9" x14ac:dyDescent="0.2">
      <c r="A7" s="2" t="s">
        <v>107</v>
      </c>
      <c r="B7" s="36"/>
      <c r="C7" s="36"/>
      <c r="D7" s="36"/>
      <c r="E7" s="36"/>
      <c r="F7" s="37"/>
      <c r="H7" s="5"/>
      <c r="I7" s="6" t="str">
        <f>IF(H7=0,"",DEVSQ(B7:F7))</f>
        <v/>
      </c>
    </row>
    <row r="8" spans="1:9" x14ac:dyDescent="0.2">
      <c r="A8" s="2" t="s">
        <v>108</v>
      </c>
      <c r="B8" s="36" t="e">
        <f>#REF!*$B$2</f>
        <v>#REF!</v>
      </c>
      <c r="C8" s="36" t="e">
        <f>#REF!*$B$2</f>
        <v>#REF!</v>
      </c>
      <c r="D8" s="36"/>
      <c r="E8" s="36"/>
      <c r="F8" s="37"/>
      <c r="H8" s="5">
        <f>COUNT(B8:F8)</f>
        <v>0</v>
      </c>
      <c r="I8" s="6" t="str">
        <f>IF(H8=0,"",DEVSQ(B8:F8))</f>
        <v/>
      </c>
    </row>
    <row r="9" spans="1:9" x14ac:dyDescent="0.2">
      <c r="A9" s="2" t="s">
        <v>109</v>
      </c>
      <c r="B9" s="36" t="e">
        <f>#REF!*$B$2</f>
        <v>#REF!</v>
      </c>
      <c r="C9" s="36" t="e">
        <f>#REF!*$B$2</f>
        <v>#REF!</v>
      </c>
      <c r="D9" s="36"/>
      <c r="E9" s="36"/>
      <c r="F9" s="37"/>
      <c r="H9" s="5">
        <f>COUNT(B9:F9)</f>
        <v>0</v>
      </c>
      <c r="I9" s="6" t="str">
        <f>IF(H9=0,"",DEVSQ(B9:F9))</f>
        <v/>
      </c>
    </row>
    <row r="10" spans="1:9" s="3" customFormat="1" ht="12.75" x14ac:dyDescent="0.2"/>
    <row r="11" spans="1:9" x14ac:dyDescent="0.2">
      <c r="A11" s="2" t="s">
        <v>110</v>
      </c>
      <c r="B11" s="2">
        <f>COUNT(B5:B9)</f>
        <v>0</v>
      </c>
      <c r="C11" s="7"/>
    </row>
    <row r="12" spans="1:9" x14ac:dyDescent="0.2">
      <c r="A12" s="2" t="s">
        <v>111</v>
      </c>
      <c r="B12" s="2">
        <f>COUNT(B5:F9)</f>
        <v>0</v>
      </c>
      <c r="C12" s="7"/>
    </row>
    <row r="13" spans="1:9" x14ac:dyDescent="0.2">
      <c r="A13" s="2" t="s">
        <v>112</v>
      </c>
      <c r="B13" s="2">
        <f>IF(H5*B11&lt;&gt;B12,"Calcul impossible",H5)</f>
        <v>0</v>
      </c>
      <c r="C13" s="7"/>
    </row>
    <row r="14" spans="1:9" x14ac:dyDescent="0.2">
      <c r="A14" s="2" t="s">
        <v>113</v>
      </c>
      <c r="B14" s="12">
        <f>SUM(I5:I9)</f>
        <v>0</v>
      </c>
      <c r="C14" s="7"/>
    </row>
    <row r="15" spans="1:9" x14ac:dyDescent="0.2">
      <c r="A15" s="2" t="s">
        <v>114</v>
      </c>
      <c r="B15" s="12" t="e">
        <f>DEVSQ(B5:F9)</f>
        <v>#REF!</v>
      </c>
      <c r="C15" s="7"/>
    </row>
    <row r="16" spans="1:9" x14ac:dyDescent="0.2">
      <c r="A16" s="2" t="s">
        <v>115</v>
      </c>
      <c r="B16" s="12" t="e">
        <f>B15-B14</f>
        <v>#REF!</v>
      </c>
      <c r="C16" s="7"/>
    </row>
    <row r="17" spans="1:9" x14ac:dyDescent="0.2">
      <c r="A17" s="2" t="s">
        <v>116</v>
      </c>
      <c r="B17" s="12" t="e">
        <f>((B16/(B11-1))-B18)/B13</f>
        <v>#REF!</v>
      </c>
      <c r="C17" s="7"/>
    </row>
    <row r="18" spans="1:9" x14ac:dyDescent="0.2">
      <c r="A18" s="2" t="s">
        <v>117</v>
      </c>
      <c r="B18" s="12" t="e">
        <f>B14/(B12-B11)</f>
        <v>#DIV/0!</v>
      </c>
      <c r="C18" s="7"/>
    </row>
    <row r="19" spans="1:9" x14ac:dyDescent="0.2">
      <c r="A19" s="2" t="s">
        <v>118</v>
      </c>
      <c r="B19" s="12" t="e">
        <f>IF(B17&lt;0,0,B17)</f>
        <v>#REF!</v>
      </c>
      <c r="C19" s="7"/>
    </row>
    <row r="20" spans="1:9" x14ac:dyDescent="0.2">
      <c r="A20" s="2" t="s">
        <v>119</v>
      </c>
      <c r="B20" s="12" t="e">
        <f>SUM(B18:B19)</f>
        <v>#DIV/0!</v>
      </c>
      <c r="C20" s="7"/>
    </row>
    <row r="21" spans="1:9" s="3" customFormat="1" ht="12.75" x14ac:dyDescent="0.2">
      <c r="A21" s="3" t="s">
        <v>120</v>
      </c>
    </row>
    <row r="22" spans="1:9" x14ac:dyDescent="0.2">
      <c r="A22" s="2" t="s">
        <v>41</v>
      </c>
      <c r="B22" s="12" t="e">
        <f>AVERAGE(B5:F9)</f>
        <v>#REF!</v>
      </c>
      <c r="C22" s="7"/>
    </row>
    <row r="23" spans="1:9" ht="12" customHeight="1" x14ac:dyDescent="0.2">
      <c r="A23" s="2" t="s">
        <v>42</v>
      </c>
      <c r="B23" s="12" t="e">
        <f>SQRT(B18)</f>
        <v>#DIV/0!</v>
      </c>
      <c r="C23" s="7"/>
    </row>
    <row r="24" spans="1:9" x14ac:dyDescent="0.2">
      <c r="A24" s="2" t="s">
        <v>43</v>
      </c>
      <c r="B24" s="12" t="e">
        <f>SQRT(B19)</f>
        <v>#REF!</v>
      </c>
      <c r="C24" s="7"/>
    </row>
    <row r="25" spans="1:9" x14ac:dyDescent="0.2">
      <c r="A25" s="2" t="s">
        <v>44</v>
      </c>
      <c r="B25" s="12" t="e">
        <f>SQRT(B20)</f>
        <v>#DIV/0!</v>
      </c>
      <c r="C25" s="7"/>
    </row>
    <row r="26" spans="1:9" s="3" customFormat="1" ht="12.75" x14ac:dyDescent="0.2">
      <c r="A26" s="3" t="s">
        <v>121</v>
      </c>
    </row>
    <row r="27" spans="1:9" ht="15" x14ac:dyDescent="0.25">
      <c r="A27" s="2" t="s">
        <v>50</v>
      </c>
      <c r="B27" s="9" t="e">
        <f>B22/B2-1</f>
        <v>#REF!</v>
      </c>
      <c r="C27" s="7"/>
    </row>
    <row r="28" spans="1:9" s="3" customFormat="1" ht="12.75" x14ac:dyDescent="0.2">
      <c r="A28" s="3" t="s">
        <v>122</v>
      </c>
    </row>
    <row r="29" spans="1:9" x14ac:dyDescent="0.2">
      <c r="A29" s="2" t="s">
        <v>45</v>
      </c>
      <c r="B29" s="6" t="e">
        <f>B19/B18</f>
        <v>#REF!</v>
      </c>
      <c r="C29" s="7"/>
    </row>
    <row r="30" spans="1:9" x14ac:dyDescent="0.2">
      <c r="A30" s="2" t="s">
        <v>123</v>
      </c>
      <c r="B30" s="6" t="e">
        <f>(B29+1)/(B13*B29+1)</f>
        <v>#REF!</v>
      </c>
      <c r="C30" s="7"/>
    </row>
    <row r="31" spans="1:9" x14ac:dyDescent="0.2">
      <c r="A31" s="2" t="s">
        <v>46</v>
      </c>
      <c r="B31" s="6" t="e">
        <f>SQRT(1+1/(B12*B30))</f>
        <v>#REF!</v>
      </c>
      <c r="C31" s="7"/>
    </row>
    <row r="32" spans="1:9" x14ac:dyDescent="0.2">
      <c r="A32" s="2" t="s">
        <v>47</v>
      </c>
      <c r="B32" s="6" t="e">
        <f>(B29+1)^2/((B29+1/B13)^2/(B11-1)+(1-1/B13)/B12)</f>
        <v>#REF!</v>
      </c>
      <c r="C32" s="7"/>
      <c r="I32" s="6"/>
    </row>
    <row r="33" spans="1:3" x14ac:dyDescent="0.2">
      <c r="A33" s="2" t="s">
        <v>29</v>
      </c>
      <c r="B33" s="6" t="e">
        <f>Récapitulatif!C2</f>
        <v>#REF!</v>
      </c>
      <c r="C33" s="7"/>
    </row>
    <row r="34" spans="1:3" x14ac:dyDescent="0.2">
      <c r="A34" s="2" t="s">
        <v>124</v>
      </c>
      <c r="B34" s="6" t="e">
        <f>TINV(1-B33,ROUNDDOWN(B32,0))</f>
        <v>#REF!</v>
      </c>
      <c r="C34" s="7"/>
    </row>
    <row r="35" spans="1:3" x14ac:dyDescent="0.2">
      <c r="A35" s="2" t="s">
        <v>125</v>
      </c>
      <c r="B35" s="6" t="e">
        <f>TINV(1-B33,ROUNDUP(B32,0))</f>
        <v>#REF!</v>
      </c>
      <c r="C35" s="7"/>
    </row>
    <row r="36" spans="1:3" x14ac:dyDescent="0.2">
      <c r="A36" s="2" t="s">
        <v>126</v>
      </c>
      <c r="B36" s="6" t="e">
        <f>B34-(B34-B35)*(B32-ROUNDDOWN(B32,0))</f>
        <v>#REF!</v>
      </c>
      <c r="C36" s="7"/>
    </row>
    <row r="37" spans="1:3" x14ac:dyDescent="0.2">
      <c r="A37" s="2" t="s">
        <v>127</v>
      </c>
      <c r="B37" s="6" t="e">
        <f>B36*B31</f>
        <v>#REF!</v>
      </c>
      <c r="C37" s="7"/>
    </row>
    <row r="38" spans="1:3" s="3" customFormat="1" ht="12.75" x14ac:dyDescent="0.2">
      <c r="A38" s="3" t="s">
        <v>128</v>
      </c>
    </row>
    <row r="39" spans="1:3" x14ac:dyDescent="0.2">
      <c r="A39" s="2" t="s">
        <v>48</v>
      </c>
      <c r="B39" s="6" t="e">
        <f>B22-B37*B25</f>
        <v>#REF!</v>
      </c>
      <c r="C39" s="7"/>
    </row>
    <row r="40" spans="1:3" x14ac:dyDescent="0.2">
      <c r="A40" s="2" t="s">
        <v>49</v>
      </c>
      <c r="B40" s="6" t="e">
        <f>B22+B37*B25</f>
        <v>#REF!</v>
      </c>
      <c r="C40" s="7"/>
    </row>
  </sheetData>
  <sheetProtection pivotTables="0"/>
  <printOptions headings="1" gridLines="1"/>
  <pageMargins left="0.78740157499999996" right="0.78740157499999996" top="0.54" bottom="0.56999999999999995" header="0.32" footer="0.34"/>
  <pageSetup paperSize="9" scale="96" orientation="landscape" horizontalDpi="300" verticalDpi="300" r:id="rId1"/>
  <headerFooter alignWithMargins="0">
    <oddFooter>&amp;A&amp;RPage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1.28515625" style="2" customWidth="1"/>
    <col min="3" max="4" width="11.28515625" style="2" bestFit="1" customWidth="1"/>
    <col min="5" max="6" width="10.28515625" style="2" customWidth="1"/>
    <col min="7" max="7" width="3.5703125" style="2" customWidth="1"/>
    <col min="8" max="8" width="6.42578125" style="2" customWidth="1"/>
    <col min="9" max="9" width="11.5703125" style="2" customWidth="1"/>
    <col min="10" max="10" width="10.85546875" style="2" customWidth="1"/>
    <col min="11" max="16384" width="10.85546875" style="2"/>
  </cols>
  <sheetData>
    <row r="1" spans="1:9" ht="13.5" thickBot="1" x14ac:dyDescent="0.25">
      <c r="A1" s="10" t="s">
        <v>25</v>
      </c>
    </row>
    <row r="2" spans="1:9" ht="13.5" thickBot="1" x14ac:dyDescent="0.25">
      <c r="A2" s="3" t="s">
        <v>40</v>
      </c>
      <c r="B2" s="4">
        <v>100</v>
      </c>
    </row>
    <row r="4" spans="1:9" x14ac:dyDescent="0.2"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H4" s="2" t="s">
        <v>22</v>
      </c>
      <c r="I4" s="2" t="s">
        <v>23</v>
      </c>
    </row>
    <row r="5" spans="1:9" x14ac:dyDescent="0.2">
      <c r="A5" s="2" t="s">
        <v>105</v>
      </c>
      <c r="B5" s="36" t="e">
        <f>#REF!*$B$2</f>
        <v>#REF!</v>
      </c>
      <c r="C5" s="36" t="e">
        <f>#REF!*$B$2</f>
        <v>#REF!</v>
      </c>
      <c r="D5" s="36"/>
      <c r="E5" s="36"/>
      <c r="F5" s="37"/>
      <c r="H5" s="5">
        <f>COUNT(B5:F5)</f>
        <v>0</v>
      </c>
      <c r="I5" s="6" t="str">
        <f>IF(H5=0,"",DEVSQ(B5:F5))</f>
        <v/>
      </c>
    </row>
    <row r="6" spans="1:9" x14ac:dyDescent="0.2">
      <c r="A6" s="2" t="s">
        <v>106</v>
      </c>
      <c r="B6" s="36" t="e">
        <f>#REF!*$B$2</f>
        <v>#REF!</v>
      </c>
      <c r="C6" s="36" t="e">
        <f>#REF!*$B$2</f>
        <v>#REF!</v>
      </c>
      <c r="D6" s="36"/>
      <c r="E6" s="36"/>
      <c r="F6" s="37"/>
      <c r="H6" s="5">
        <f>COUNT(B6:F6)</f>
        <v>0</v>
      </c>
      <c r="I6" s="6" t="str">
        <f>IF(H6=0,"",DEVSQ(B6:F6))</f>
        <v/>
      </c>
    </row>
    <row r="7" spans="1:9" x14ac:dyDescent="0.2">
      <c r="A7" s="2" t="s">
        <v>107</v>
      </c>
      <c r="B7" s="36" t="e">
        <f>#REF!*$B$2</f>
        <v>#REF!</v>
      </c>
      <c r="C7" s="36" t="e">
        <f>#REF!*$B$2</f>
        <v>#REF!</v>
      </c>
      <c r="D7" s="36"/>
      <c r="E7" s="36"/>
      <c r="F7" s="37"/>
      <c r="H7" s="5">
        <f>COUNT(B7:F7)</f>
        <v>0</v>
      </c>
      <c r="I7" s="6" t="str">
        <f>IF(H7=0,"",DEVSQ(B7:F7))</f>
        <v/>
      </c>
    </row>
    <row r="8" spans="1:9" x14ac:dyDescent="0.2">
      <c r="A8" s="2" t="s">
        <v>108</v>
      </c>
      <c r="B8" s="36"/>
      <c r="C8" s="36"/>
      <c r="D8" s="36"/>
      <c r="E8" s="36"/>
      <c r="F8" s="37"/>
      <c r="H8" s="5"/>
      <c r="I8" s="6" t="str">
        <f>IF(H8=0,"",DEVSQ(B8:F8))</f>
        <v/>
      </c>
    </row>
    <row r="9" spans="1:9" x14ac:dyDescent="0.2">
      <c r="A9" s="2" t="s">
        <v>109</v>
      </c>
      <c r="B9" s="36" t="e">
        <f>#REF!*$B$2</f>
        <v>#REF!</v>
      </c>
      <c r="C9" s="36" t="e">
        <f>#REF!*$B$2</f>
        <v>#REF!</v>
      </c>
      <c r="D9" s="36"/>
      <c r="E9" s="36"/>
      <c r="F9" s="37"/>
      <c r="H9" s="5">
        <f>COUNT(B9:F9)</f>
        <v>0</v>
      </c>
      <c r="I9" s="6" t="str">
        <f>IF(H9=0,"",DEVSQ(B9:F9))</f>
        <v/>
      </c>
    </row>
    <row r="10" spans="1:9" s="3" customFormat="1" ht="12.75" x14ac:dyDescent="0.2"/>
    <row r="11" spans="1:9" x14ac:dyDescent="0.2">
      <c r="A11" s="2" t="s">
        <v>110</v>
      </c>
      <c r="B11" s="2">
        <f>COUNT(B5:B9)</f>
        <v>0</v>
      </c>
      <c r="C11" s="7"/>
    </row>
    <row r="12" spans="1:9" x14ac:dyDescent="0.2">
      <c r="A12" s="2" t="s">
        <v>111</v>
      </c>
      <c r="B12" s="2">
        <f>COUNT(B5:F9)</f>
        <v>0</v>
      </c>
      <c r="C12" s="7"/>
    </row>
    <row r="13" spans="1:9" x14ac:dyDescent="0.2">
      <c r="A13" s="2" t="s">
        <v>112</v>
      </c>
      <c r="B13" s="2">
        <f>IF(H5*B11&lt;&gt;B12,"Calcul impossible",H5)</f>
        <v>0</v>
      </c>
      <c r="C13" s="7"/>
    </row>
    <row r="14" spans="1:9" x14ac:dyDescent="0.2">
      <c r="A14" s="2" t="s">
        <v>113</v>
      </c>
      <c r="B14" s="12">
        <f>SUM(I5:I9)</f>
        <v>0</v>
      </c>
      <c r="C14" s="7"/>
    </row>
    <row r="15" spans="1:9" x14ac:dyDescent="0.2">
      <c r="A15" s="2" t="s">
        <v>114</v>
      </c>
      <c r="B15" s="12" t="e">
        <f>DEVSQ(B5:F9)</f>
        <v>#REF!</v>
      </c>
      <c r="C15" s="7"/>
    </row>
    <row r="16" spans="1:9" x14ac:dyDescent="0.2">
      <c r="A16" s="2" t="s">
        <v>115</v>
      </c>
      <c r="B16" s="12" t="e">
        <f>B15-B14</f>
        <v>#REF!</v>
      </c>
      <c r="C16" s="7"/>
    </row>
    <row r="17" spans="1:9" x14ac:dyDescent="0.2">
      <c r="A17" s="2" t="s">
        <v>116</v>
      </c>
      <c r="B17" s="12" t="e">
        <f>((B16/(B11-1))-B18)/B13</f>
        <v>#REF!</v>
      </c>
      <c r="C17" s="7"/>
    </row>
    <row r="18" spans="1:9" x14ac:dyDescent="0.2">
      <c r="A18" s="2" t="s">
        <v>117</v>
      </c>
      <c r="B18" s="12" t="e">
        <f>B14/(B12-B11)</f>
        <v>#DIV/0!</v>
      </c>
      <c r="C18" s="7"/>
    </row>
    <row r="19" spans="1:9" x14ac:dyDescent="0.2">
      <c r="A19" s="2" t="s">
        <v>118</v>
      </c>
      <c r="B19" s="12" t="e">
        <f>IF(B17&lt;0,0,B17)</f>
        <v>#REF!</v>
      </c>
      <c r="C19" s="7"/>
    </row>
    <row r="20" spans="1:9" x14ac:dyDescent="0.2">
      <c r="A20" s="2" t="s">
        <v>119</v>
      </c>
      <c r="B20" s="12" t="e">
        <f>SUM(B18:B19)</f>
        <v>#DIV/0!</v>
      </c>
      <c r="C20" s="7"/>
    </row>
    <row r="21" spans="1:9" s="3" customFormat="1" ht="12.75" x14ac:dyDescent="0.2">
      <c r="A21" s="3" t="s">
        <v>120</v>
      </c>
    </row>
    <row r="22" spans="1:9" x14ac:dyDescent="0.2">
      <c r="A22" s="2" t="s">
        <v>41</v>
      </c>
      <c r="B22" s="12" t="e">
        <f>AVERAGE(B5:F9)</f>
        <v>#REF!</v>
      </c>
      <c r="C22" s="7"/>
    </row>
    <row r="23" spans="1:9" ht="12" customHeight="1" x14ac:dyDescent="0.2">
      <c r="A23" s="2" t="s">
        <v>42</v>
      </c>
      <c r="B23" s="12" t="e">
        <f>SQRT(B18)</f>
        <v>#DIV/0!</v>
      </c>
      <c r="C23" s="7"/>
    </row>
    <row r="24" spans="1:9" x14ac:dyDescent="0.2">
      <c r="A24" s="2" t="s">
        <v>43</v>
      </c>
      <c r="B24" s="12" t="e">
        <f>SQRT(B19)</f>
        <v>#REF!</v>
      </c>
      <c r="C24" s="7"/>
    </row>
    <row r="25" spans="1:9" x14ac:dyDescent="0.2">
      <c r="A25" s="2" t="s">
        <v>44</v>
      </c>
      <c r="B25" s="12" t="e">
        <f>SQRT(B20)</f>
        <v>#DIV/0!</v>
      </c>
      <c r="C25" s="7"/>
    </row>
    <row r="26" spans="1:9" s="3" customFormat="1" ht="12.75" x14ac:dyDescent="0.2">
      <c r="A26" s="3" t="s">
        <v>121</v>
      </c>
    </row>
    <row r="27" spans="1:9" ht="15" x14ac:dyDescent="0.25">
      <c r="A27" s="2" t="s">
        <v>50</v>
      </c>
      <c r="B27" s="9" t="e">
        <f>B22/B2-1</f>
        <v>#REF!</v>
      </c>
      <c r="C27" s="7"/>
    </row>
    <row r="28" spans="1:9" s="3" customFormat="1" ht="12.75" x14ac:dyDescent="0.2">
      <c r="A28" s="3" t="s">
        <v>122</v>
      </c>
    </row>
    <row r="29" spans="1:9" x14ac:dyDescent="0.2">
      <c r="A29" s="2" t="s">
        <v>45</v>
      </c>
      <c r="B29" s="6" t="e">
        <f>B19/B18</f>
        <v>#REF!</v>
      </c>
      <c r="C29" s="7"/>
    </row>
    <row r="30" spans="1:9" x14ac:dyDescent="0.2">
      <c r="A30" s="2" t="s">
        <v>123</v>
      </c>
      <c r="B30" s="6" t="e">
        <f>(B29+1)/(B13*B29+1)</f>
        <v>#REF!</v>
      </c>
      <c r="C30" s="7"/>
    </row>
    <row r="31" spans="1:9" x14ac:dyDescent="0.2">
      <c r="A31" s="2" t="s">
        <v>46</v>
      </c>
      <c r="B31" s="6" t="e">
        <f>SQRT(1+1/(B12*B30))</f>
        <v>#REF!</v>
      </c>
      <c r="C31" s="7"/>
    </row>
    <row r="32" spans="1:9" x14ac:dyDescent="0.2">
      <c r="A32" s="2" t="s">
        <v>47</v>
      </c>
      <c r="B32" s="6" t="e">
        <f>(B29+1)^2/((B29+1/B13)^2/(B11-1)+(1-1/B13)/B12)</f>
        <v>#REF!</v>
      </c>
      <c r="C32" s="7"/>
      <c r="I32" s="6"/>
    </row>
    <row r="33" spans="1:3" x14ac:dyDescent="0.2">
      <c r="A33" s="2" t="s">
        <v>29</v>
      </c>
      <c r="B33" s="6" t="e">
        <f>Récapitulatif!C2</f>
        <v>#REF!</v>
      </c>
      <c r="C33" s="7"/>
    </row>
    <row r="34" spans="1:3" x14ac:dyDescent="0.2">
      <c r="A34" s="2" t="s">
        <v>124</v>
      </c>
      <c r="B34" s="6" t="e">
        <f>TINV(1-B33,ROUNDDOWN(B32,0))</f>
        <v>#REF!</v>
      </c>
      <c r="C34" s="7"/>
    </row>
    <row r="35" spans="1:3" x14ac:dyDescent="0.2">
      <c r="A35" s="2" t="s">
        <v>125</v>
      </c>
      <c r="B35" s="6" t="e">
        <f>TINV(1-B33,ROUNDUP(B32,0))</f>
        <v>#REF!</v>
      </c>
      <c r="C35" s="7"/>
    </row>
    <row r="36" spans="1:3" x14ac:dyDescent="0.2">
      <c r="A36" s="2" t="s">
        <v>126</v>
      </c>
      <c r="B36" s="6" t="e">
        <f>B34-(B34-B35)*(B32-ROUNDDOWN(B32,0))</f>
        <v>#REF!</v>
      </c>
      <c r="C36" s="7"/>
    </row>
    <row r="37" spans="1:3" x14ac:dyDescent="0.2">
      <c r="A37" s="2" t="s">
        <v>127</v>
      </c>
      <c r="B37" s="6" t="e">
        <f>B36*B31</f>
        <v>#REF!</v>
      </c>
      <c r="C37" s="7"/>
    </row>
    <row r="38" spans="1:3" s="3" customFormat="1" ht="12.75" x14ac:dyDescent="0.2">
      <c r="A38" s="3" t="s">
        <v>128</v>
      </c>
    </row>
    <row r="39" spans="1:3" x14ac:dyDescent="0.2">
      <c r="A39" s="2" t="s">
        <v>48</v>
      </c>
      <c r="B39" s="6" t="e">
        <f>B22-B37*B25</f>
        <v>#REF!</v>
      </c>
      <c r="C39" s="7"/>
    </row>
    <row r="40" spans="1:3" x14ac:dyDescent="0.2">
      <c r="A40" s="2" t="s">
        <v>49</v>
      </c>
      <c r="B40" s="6" t="e">
        <f>B22+B37*B25</f>
        <v>#REF!</v>
      </c>
      <c r="C40" s="7"/>
    </row>
  </sheetData>
  <sheetProtection selectLockedCells="1" pivotTables="0"/>
  <printOptions headings="1" gridLines="1"/>
  <pageMargins left="0.78740157499999996" right="0.78740157499999996" top="0.56999999999999995" bottom="0.56999999999999995" header="0.33" footer="0.34"/>
  <pageSetup paperSize="9" scale="96" orientation="landscape" horizontalDpi="300" verticalDpi="300" r:id="rId1"/>
  <headerFooter alignWithMargins="0">
    <oddFooter>&amp;A&amp;RPage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59999389629810485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1.28515625" style="2" customWidth="1"/>
    <col min="3" max="4" width="11.28515625" style="2" bestFit="1" customWidth="1"/>
    <col min="5" max="6" width="10.28515625" style="2" customWidth="1"/>
    <col min="7" max="7" width="3.5703125" style="2" customWidth="1"/>
    <col min="8" max="8" width="6.42578125" style="2" customWidth="1"/>
    <col min="9" max="9" width="11.5703125" style="2" customWidth="1"/>
    <col min="10" max="10" width="10.85546875" style="2" customWidth="1"/>
    <col min="11" max="16384" width="10.85546875" style="2"/>
  </cols>
  <sheetData>
    <row r="1" spans="1:9" ht="13.5" thickBot="1" x14ac:dyDescent="0.25">
      <c r="A1" s="10" t="s">
        <v>26</v>
      </c>
    </row>
    <row r="2" spans="1:9" ht="13.5" thickBot="1" x14ac:dyDescent="0.25">
      <c r="A2" s="3" t="s">
        <v>40</v>
      </c>
      <c r="B2" s="4">
        <v>110</v>
      </c>
    </row>
    <row r="4" spans="1:9" x14ac:dyDescent="0.2"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H4" s="2" t="s">
        <v>22</v>
      </c>
      <c r="I4" s="2" t="s">
        <v>23</v>
      </c>
    </row>
    <row r="5" spans="1:9" x14ac:dyDescent="0.2">
      <c r="A5" s="2" t="s">
        <v>105</v>
      </c>
      <c r="B5" s="36" t="e">
        <f>#REF!*$B$2</f>
        <v>#REF!</v>
      </c>
      <c r="C5" s="36" t="e">
        <f>#REF!*$B$2</f>
        <v>#REF!</v>
      </c>
      <c r="D5" s="36"/>
      <c r="E5" s="36"/>
      <c r="F5" s="37"/>
      <c r="H5" s="5">
        <f>COUNT(B5:F5)</f>
        <v>0</v>
      </c>
      <c r="I5" s="6" t="str">
        <f>IF(H5=0,"",DEVSQ(B5:F5))</f>
        <v/>
      </c>
    </row>
    <row r="6" spans="1:9" x14ac:dyDescent="0.2">
      <c r="A6" s="2" t="s">
        <v>106</v>
      </c>
      <c r="B6" s="36" t="e">
        <f>#REF!*$B$2</f>
        <v>#REF!</v>
      </c>
      <c r="C6" s="36" t="e">
        <f>#REF!*$B$2</f>
        <v>#REF!</v>
      </c>
      <c r="D6" s="36"/>
      <c r="E6" s="36"/>
      <c r="F6" s="37"/>
      <c r="H6" s="5">
        <f>COUNT(B6:F6)</f>
        <v>0</v>
      </c>
      <c r="I6" s="6" t="str">
        <f>IF(H6=0,"",DEVSQ(B6:F6))</f>
        <v/>
      </c>
    </row>
    <row r="7" spans="1:9" x14ac:dyDescent="0.2">
      <c r="A7" s="2" t="s">
        <v>107</v>
      </c>
      <c r="B7" s="36" t="e">
        <f>#REF!*$B$2</f>
        <v>#REF!</v>
      </c>
      <c r="C7" s="36" t="e">
        <f>#REF!*$B$2</f>
        <v>#REF!</v>
      </c>
      <c r="D7" s="36"/>
      <c r="E7" s="36"/>
      <c r="F7" s="37"/>
      <c r="H7" s="5">
        <f>COUNT(B7:F7)</f>
        <v>0</v>
      </c>
      <c r="I7" s="6" t="str">
        <f>IF(H7=0,"",DEVSQ(B7:F7))</f>
        <v/>
      </c>
    </row>
    <row r="8" spans="1:9" x14ac:dyDescent="0.2">
      <c r="A8" s="2" t="s">
        <v>108</v>
      </c>
      <c r="B8" s="36" t="e">
        <f>#REF!*$B$2</f>
        <v>#REF!</v>
      </c>
      <c r="C8" s="36" t="e">
        <f>#REF!*$B$2</f>
        <v>#REF!</v>
      </c>
      <c r="D8" s="36"/>
      <c r="E8" s="36"/>
      <c r="F8" s="37"/>
      <c r="H8" s="5">
        <f>COUNT(B8:F8)</f>
        <v>0</v>
      </c>
      <c r="I8" s="6" t="str">
        <f>IF(H8=0,"",DEVSQ(B8:F8))</f>
        <v/>
      </c>
    </row>
    <row r="9" spans="1:9" x14ac:dyDescent="0.2">
      <c r="A9" s="2" t="s">
        <v>109</v>
      </c>
      <c r="B9" s="36"/>
      <c r="C9" s="36"/>
      <c r="D9" s="36"/>
      <c r="E9" s="36"/>
      <c r="F9" s="37"/>
      <c r="H9" s="5"/>
      <c r="I9" s="6" t="str">
        <f>IF(H9=0,"",DEVSQ(B9:F9))</f>
        <v/>
      </c>
    </row>
    <row r="10" spans="1:9" s="3" customFormat="1" ht="12.75" x14ac:dyDescent="0.2"/>
    <row r="11" spans="1:9" x14ac:dyDescent="0.2">
      <c r="A11" s="2" t="s">
        <v>110</v>
      </c>
      <c r="B11" s="2">
        <f>COUNT(B5:B9)</f>
        <v>0</v>
      </c>
      <c r="C11" s="7"/>
    </row>
    <row r="12" spans="1:9" x14ac:dyDescent="0.2">
      <c r="A12" s="2" t="s">
        <v>111</v>
      </c>
      <c r="B12" s="2">
        <f>COUNT(B5:F9)</f>
        <v>0</v>
      </c>
      <c r="C12" s="7"/>
    </row>
    <row r="13" spans="1:9" x14ac:dyDescent="0.2">
      <c r="A13" s="2" t="s">
        <v>112</v>
      </c>
      <c r="B13" s="2">
        <f>IF(H5*B11&lt;&gt;B12,"Calcul impossible",H5)</f>
        <v>0</v>
      </c>
      <c r="C13" s="7"/>
    </row>
    <row r="14" spans="1:9" x14ac:dyDescent="0.2">
      <c r="A14" s="2" t="s">
        <v>113</v>
      </c>
      <c r="B14" s="12">
        <f>SUM(I5:I9)</f>
        <v>0</v>
      </c>
      <c r="C14" s="7"/>
    </row>
    <row r="15" spans="1:9" x14ac:dyDescent="0.2">
      <c r="A15" s="2" t="s">
        <v>114</v>
      </c>
      <c r="B15" s="12" t="e">
        <f>DEVSQ(B5:F9)</f>
        <v>#REF!</v>
      </c>
      <c r="C15" s="7"/>
    </row>
    <row r="16" spans="1:9" x14ac:dyDescent="0.2">
      <c r="A16" s="2" t="s">
        <v>115</v>
      </c>
      <c r="B16" s="12" t="e">
        <f>B15-B14</f>
        <v>#REF!</v>
      </c>
      <c r="C16" s="7"/>
    </row>
    <row r="17" spans="1:9" x14ac:dyDescent="0.2">
      <c r="A17" s="2" t="s">
        <v>116</v>
      </c>
      <c r="B17" s="12" t="e">
        <f>((B16/(B11-1))-B18)/B13</f>
        <v>#REF!</v>
      </c>
      <c r="C17" s="7"/>
    </row>
    <row r="18" spans="1:9" x14ac:dyDescent="0.2">
      <c r="A18" s="2" t="s">
        <v>117</v>
      </c>
      <c r="B18" s="12" t="e">
        <f>B14/(B12-B11)</f>
        <v>#DIV/0!</v>
      </c>
      <c r="C18" s="7"/>
    </row>
    <row r="19" spans="1:9" x14ac:dyDescent="0.2">
      <c r="A19" s="2" t="s">
        <v>118</v>
      </c>
      <c r="B19" s="12" t="e">
        <f>IF(B17&lt;0,0,B17)</f>
        <v>#REF!</v>
      </c>
      <c r="C19" s="7"/>
    </row>
    <row r="20" spans="1:9" x14ac:dyDescent="0.2">
      <c r="A20" s="2" t="s">
        <v>119</v>
      </c>
      <c r="B20" s="12" t="e">
        <f>SUM(B18:B19)</f>
        <v>#DIV/0!</v>
      </c>
      <c r="C20" s="7"/>
    </row>
    <row r="21" spans="1:9" s="3" customFormat="1" ht="12.75" x14ac:dyDescent="0.2">
      <c r="A21" s="3" t="s">
        <v>120</v>
      </c>
    </row>
    <row r="22" spans="1:9" x14ac:dyDescent="0.2">
      <c r="A22" s="2" t="s">
        <v>41</v>
      </c>
      <c r="B22" s="12" t="e">
        <f>AVERAGE(B5:F9)</f>
        <v>#REF!</v>
      </c>
      <c r="C22" s="7"/>
    </row>
    <row r="23" spans="1:9" ht="12" customHeight="1" x14ac:dyDescent="0.2">
      <c r="A23" s="2" t="s">
        <v>42</v>
      </c>
      <c r="B23" s="12" t="e">
        <f>SQRT(B18)</f>
        <v>#DIV/0!</v>
      </c>
      <c r="C23" s="7"/>
    </row>
    <row r="24" spans="1:9" x14ac:dyDescent="0.2">
      <c r="A24" s="2" t="s">
        <v>43</v>
      </c>
      <c r="B24" s="12" t="e">
        <f>SQRT(B19)</f>
        <v>#REF!</v>
      </c>
      <c r="C24" s="7"/>
    </row>
    <row r="25" spans="1:9" x14ac:dyDescent="0.2">
      <c r="A25" s="2" t="s">
        <v>44</v>
      </c>
      <c r="B25" s="12" t="e">
        <f>SQRT(B20)</f>
        <v>#DIV/0!</v>
      </c>
      <c r="C25" s="7"/>
    </row>
    <row r="26" spans="1:9" s="3" customFormat="1" ht="12.75" x14ac:dyDescent="0.2">
      <c r="A26" s="3" t="s">
        <v>121</v>
      </c>
    </row>
    <row r="27" spans="1:9" ht="15" x14ac:dyDescent="0.25">
      <c r="A27" s="2" t="s">
        <v>50</v>
      </c>
      <c r="B27" s="9" t="e">
        <f>B22/B2-1</f>
        <v>#REF!</v>
      </c>
      <c r="C27" s="7"/>
    </row>
    <row r="28" spans="1:9" s="3" customFormat="1" ht="12.75" x14ac:dyDescent="0.2">
      <c r="A28" s="3" t="s">
        <v>122</v>
      </c>
    </row>
    <row r="29" spans="1:9" x14ac:dyDescent="0.2">
      <c r="A29" s="2" t="s">
        <v>45</v>
      </c>
      <c r="B29" s="6" t="e">
        <f>B19/B18</f>
        <v>#REF!</v>
      </c>
      <c r="C29" s="7"/>
    </row>
    <row r="30" spans="1:9" x14ac:dyDescent="0.2">
      <c r="A30" s="2" t="s">
        <v>123</v>
      </c>
      <c r="B30" s="6" t="e">
        <f>(B29+1)/(B13*B29+1)</f>
        <v>#REF!</v>
      </c>
      <c r="C30" s="7"/>
    </row>
    <row r="31" spans="1:9" x14ac:dyDescent="0.2">
      <c r="A31" s="2" t="s">
        <v>46</v>
      </c>
      <c r="B31" s="6" t="e">
        <f>SQRT(1+1/(B12*B30))</f>
        <v>#REF!</v>
      </c>
      <c r="C31" s="7"/>
    </row>
    <row r="32" spans="1:9" x14ac:dyDescent="0.2">
      <c r="A32" s="2" t="s">
        <v>47</v>
      </c>
      <c r="B32" s="6" t="e">
        <f>(B29+1)^2/((B29+1/B13)^2/(B11-1)+(1-1/B13)/B12)</f>
        <v>#REF!</v>
      </c>
      <c r="C32" s="7"/>
      <c r="I32" s="6"/>
    </row>
    <row r="33" spans="1:3" x14ac:dyDescent="0.2">
      <c r="A33" s="2" t="s">
        <v>29</v>
      </c>
      <c r="B33" s="6" t="e">
        <f>Récapitulatif!C2</f>
        <v>#REF!</v>
      </c>
      <c r="C33" s="7"/>
    </row>
    <row r="34" spans="1:3" x14ac:dyDescent="0.2">
      <c r="A34" s="2" t="s">
        <v>124</v>
      </c>
      <c r="B34" s="6" t="e">
        <f>TINV(1-B33,ROUNDDOWN(B32,0))</f>
        <v>#REF!</v>
      </c>
      <c r="C34" s="7"/>
    </row>
    <row r="35" spans="1:3" x14ac:dyDescent="0.2">
      <c r="A35" s="2" t="s">
        <v>125</v>
      </c>
      <c r="B35" s="6" t="e">
        <f>TINV(1-B33,ROUNDUP(B32,0))</f>
        <v>#REF!</v>
      </c>
      <c r="C35" s="7"/>
    </row>
    <row r="36" spans="1:3" x14ac:dyDescent="0.2">
      <c r="A36" s="2" t="s">
        <v>126</v>
      </c>
      <c r="B36" s="6" t="e">
        <f>B34-(B34-B35)*(B32-ROUNDDOWN(B32,0))</f>
        <v>#REF!</v>
      </c>
      <c r="C36" s="7"/>
    </row>
    <row r="37" spans="1:3" x14ac:dyDescent="0.2">
      <c r="A37" s="2" t="s">
        <v>127</v>
      </c>
      <c r="B37" s="6" t="e">
        <f>B36*B31</f>
        <v>#REF!</v>
      </c>
      <c r="C37" s="7"/>
    </row>
    <row r="38" spans="1:3" s="3" customFormat="1" ht="12.75" x14ac:dyDescent="0.2">
      <c r="A38" s="3" t="s">
        <v>128</v>
      </c>
    </row>
    <row r="39" spans="1:3" x14ac:dyDescent="0.2">
      <c r="A39" s="2" t="s">
        <v>48</v>
      </c>
      <c r="B39" s="6" t="e">
        <f>B22-B37*B25</f>
        <v>#REF!</v>
      </c>
      <c r="C39" s="7"/>
    </row>
    <row r="40" spans="1:3" x14ac:dyDescent="0.2">
      <c r="A40" s="2" t="s">
        <v>49</v>
      </c>
      <c r="B40" s="6" t="e">
        <f>B22+B37*B25</f>
        <v>#REF!</v>
      </c>
      <c r="C40" s="7"/>
    </row>
  </sheetData>
  <sheetProtection selectLockedCells="1" pivotTables="0"/>
  <printOptions headings="1" gridLines="1"/>
  <pageMargins left="0.78740157499999996" right="0.78740157499999996" top="0.56999999999999995" bottom="0.56999999999999995" header="0.33" footer="0.34"/>
  <pageSetup paperSize="9" scale="96" orientation="landscape" horizontalDpi="300" verticalDpi="300" r:id="rId1"/>
  <headerFooter alignWithMargins="0">
    <oddFooter>&amp;A&amp;RPage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1.28515625" style="2" customWidth="1"/>
    <col min="3" max="3" width="10.85546875" style="2" customWidth="1"/>
    <col min="4" max="4" width="12.140625" style="2" bestFit="1" customWidth="1"/>
    <col min="5" max="6" width="10.28515625" style="2" customWidth="1"/>
    <col min="7" max="7" width="3.5703125" style="2" customWidth="1"/>
    <col min="8" max="8" width="6.42578125" style="2" customWidth="1"/>
    <col min="9" max="9" width="11.5703125" style="2" customWidth="1"/>
    <col min="10" max="10" width="10.85546875" style="2" customWidth="1"/>
    <col min="11" max="16384" width="10.85546875" style="2"/>
  </cols>
  <sheetData>
    <row r="1" spans="1:9" ht="13.5" thickBot="1" x14ac:dyDescent="0.25">
      <c r="A1" s="10" t="s">
        <v>27</v>
      </c>
    </row>
    <row r="2" spans="1:9" ht="13.5" thickBot="1" x14ac:dyDescent="0.25">
      <c r="A2" s="3" t="s">
        <v>40</v>
      </c>
      <c r="B2" s="4">
        <v>120</v>
      </c>
    </row>
    <row r="4" spans="1:9" x14ac:dyDescent="0.2"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H4" s="2" t="s">
        <v>22</v>
      </c>
      <c r="I4" s="2" t="s">
        <v>23</v>
      </c>
    </row>
    <row r="5" spans="1:9" x14ac:dyDescent="0.2">
      <c r="A5" s="2" t="s">
        <v>105</v>
      </c>
      <c r="B5" s="36"/>
      <c r="C5" s="36"/>
      <c r="D5" s="36"/>
      <c r="E5" s="37"/>
      <c r="F5" s="37"/>
      <c r="H5" s="5"/>
      <c r="I5" s="6"/>
    </row>
    <row r="6" spans="1:9" x14ac:dyDescent="0.2">
      <c r="A6" s="2" t="s">
        <v>106</v>
      </c>
      <c r="B6" s="36" t="e">
        <f>#REF!*$B$2</f>
        <v>#REF!</v>
      </c>
      <c r="C6" s="36" t="e">
        <f>#REF!*$B$2</f>
        <v>#REF!</v>
      </c>
      <c r="D6" s="36"/>
      <c r="E6" s="37"/>
      <c r="F6" s="37"/>
      <c r="H6" s="5">
        <f>COUNT(B6:F6)</f>
        <v>0</v>
      </c>
      <c r="I6" s="6" t="str">
        <f>IF(H6=0,"",DEVSQ(B6:F6))</f>
        <v/>
      </c>
    </row>
    <row r="7" spans="1:9" x14ac:dyDescent="0.2">
      <c r="A7" s="2" t="s">
        <v>107</v>
      </c>
      <c r="B7" s="36" t="e">
        <f>#REF!*$B$2</f>
        <v>#REF!</v>
      </c>
      <c r="C7" s="36" t="e">
        <f>#REF!*$B$2</f>
        <v>#REF!</v>
      </c>
      <c r="D7" s="36"/>
      <c r="E7" s="37"/>
      <c r="F7" s="37"/>
      <c r="H7" s="5">
        <f>COUNT(B7:F7)</f>
        <v>0</v>
      </c>
      <c r="I7" s="6" t="str">
        <f>IF(H7=0,"",DEVSQ(B7:F7))</f>
        <v/>
      </c>
    </row>
    <row r="8" spans="1:9" x14ac:dyDescent="0.2">
      <c r="A8" s="2" t="s">
        <v>108</v>
      </c>
      <c r="B8" s="36" t="e">
        <f>#REF!*$B$2</f>
        <v>#REF!</v>
      </c>
      <c r="C8" s="36" t="e">
        <f>#REF!*$B$2</f>
        <v>#REF!</v>
      </c>
      <c r="D8" s="37"/>
      <c r="E8" s="37"/>
      <c r="F8" s="37"/>
      <c r="H8" s="5">
        <f t="shared" ref="H8:H9" si="0">COUNT(B8:F8)</f>
        <v>0</v>
      </c>
      <c r="I8" s="6" t="str">
        <f t="shared" ref="I8:I9" si="1">IF(H8=0,"",DEVSQ(B8:F8))</f>
        <v/>
      </c>
    </row>
    <row r="9" spans="1:9" x14ac:dyDescent="0.2">
      <c r="A9" s="2" t="s">
        <v>109</v>
      </c>
      <c r="B9" s="36" t="e">
        <f>#REF!*$B$2</f>
        <v>#REF!</v>
      </c>
      <c r="C9" s="36" t="e">
        <f>#REF!*$B$2</f>
        <v>#REF!</v>
      </c>
      <c r="D9" s="37"/>
      <c r="E9" s="37"/>
      <c r="F9" s="37"/>
      <c r="H9" s="5">
        <f t="shared" si="0"/>
        <v>0</v>
      </c>
      <c r="I9" s="6" t="str">
        <f t="shared" si="1"/>
        <v/>
      </c>
    </row>
    <row r="10" spans="1:9" s="3" customFormat="1" ht="12.75" x14ac:dyDescent="0.2"/>
    <row r="11" spans="1:9" x14ac:dyDescent="0.2">
      <c r="A11" s="2" t="s">
        <v>110</v>
      </c>
      <c r="B11" s="2">
        <f>COUNT(B5:B9)</f>
        <v>0</v>
      </c>
      <c r="C11" s="7"/>
    </row>
    <row r="12" spans="1:9" x14ac:dyDescent="0.2">
      <c r="A12" s="2" t="s">
        <v>111</v>
      </c>
      <c r="B12" s="2">
        <f>COUNT(B5:F9)</f>
        <v>0</v>
      </c>
      <c r="C12" s="7"/>
    </row>
    <row r="13" spans="1:9" x14ac:dyDescent="0.2">
      <c r="A13" s="2" t="s">
        <v>112</v>
      </c>
      <c r="B13" s="2">
        <f>IF(H6*B11&lt;&gt;B12,"Calcul impossible",H6)</f>
        <v>0</v>
      </c>
      <c r="C13" s="7"/>
    </row>
    <row r="14" spans="1:9" x14ac:dyDescent="0.2">
      <c r="A14" s="2" t="s">
        <v>113</v>
      </c>
      <c r="B14" s="12">
        <f>SUM(I5:I9)</f>
        <v>0</v>
      </c>
      <c r="C14" s="7"/>
    </row>
    <row r="15" spans="1:9" x14ac:dyDescent="0.2">
      <c r="A15" s="2" t="s">
        <v>114</v>
      </c>
      <c r="B15" s="12" t="e">
        <f>DEVSQ(B5:F9)</f>
        <v>#REF!</v>
      </c>
      <c r="C15" s="7"/>
    </row>
    <row r="16" spans="1:9" x14ac:dyDescent="0.2">
      <c r="A16" s="2" t="s">
        <v>115</v>
      </c>
      <c r="B16" s="12" t="e">
        <f>B15-B14</f>
        <v>#REF!</v>
      </c>
      <c r="C16" s="7"/>
    </row>
    <row r="17" spans="1:9" x14ac:dyDescent="0.2">
      <c r="A17" s="2" t="s">
        <v>116</v>
      </c>
      <c r="B17" s="12" t="e">
        <f>((B16/(B11-1))-B18)/B13</f>
        <v>#REF!</v>
      </c>
      <c r="C17" s="7"/>
    </row>
    <row r="18" spans="1:9" x14ac:dyDescent="0.2">
      <c r="A18" s="2" t="s">
        <v>117</v>
      </c>
      <c r="B18" s="12" t="e">
        <f>B14/(B12-B11)</f>
        <v>#DIV/0!</v>
      </c>
      <c r="C18" s="7"/>
    </row>
    <row r="19" spans="1:9" x14ac:dyDescent="0.2">
      <c r="A19" s="2" t="s">
        <v>118</v>
      </c>
      <c r="B19" s="12" t="e">
        <f>IF(B17&lt;0,0,B17)</f>
        <v>#REF!</v>
      </c>
      <c r="C19" s="7"/>
    </row>
    <row r="20" spans="1:9" x14ac:dyDescent="0.2">
      <c r="A20" s="2" t="s">
        <v>119</v>
      </c>
      <c r="B20" s="12" t="e">
        <f>SUM(B18:B19)</f>
        <v>#DIV/0!</v>
      </c>
      <c r="C20" s="7"/>
    </row>
    <row r="21" spans="1:9" s="3" customFormat="1" ht="12.75" x14ac:dyDescent="0.2">
      <c r="A21" s="3" t="s">
        <v>120</v>
      </c>
    </row>
    <row r="22" spans="1:9" x14ac:dyDescent="0.2">
      <c r="A22" s="2" t="s">
        <v>41</v>
      </c>
      <c r="B22" s="12" t="e">
        <f>AVERAGE(B5:F9)</f>
        <v>#REF!</v>
      </c>
      <c r="C22" s="7"/>
    </row>
    <row r="23" spans="1:9" ht="12" customHeight="1" x14ac:dyDescent="0.2">
      <c r="A23" s="2" t="s">
        <v>42</v>
      </c>
      <c r="B23" s="12" t="e">
        <f>SQRT(B18)</f>
        <v>#DIV/0!</v>
      </c>
      <c r="C23" s="7"/>
    </row>
    <row r="24" spans="1:9" x14ac:dyDescent="0.2">
      <c r="A24" s="2" t="s">
        <v>43</v>
      </c>
      <c r="B24" s="12" t="e">
        <f>SQRT(B19)</f>
        <v>#REF!</v>
      </c>
      <c r="C24" s="7"/>
    </row>
    <row r="25" spans="1:9" x14ac:dyDescent="0.2">
      <c r="A25" s="2" t="s">
        <v>44</v>
      </c>
      <c r="B25" s="12" t="e">
        <f>SQRT(B20)</f>
        <v>#DIV/0!</v>
      </c>
      <c r="C25" s="7"/>
    </row>
    <row r="26" spans="1:9" s="3" customFormat="1" ht="12.75" x14ac:dyDescent="0.2">
      <c r="A26" s="3" t="s">
        <v>121</v>
      </c>
    </row>
    <row r="27" spans="1:9" ht="15" x14ac:dyDescent="0.25">
      <c r="A27" s="2" t="s">
        <v>50</v>
      </c>
      <c r="B27" s="9" t="e">
        <f>B22/B2-1</f>
        <v>#REF!</v>
      </c>
      <c r="C27" s="7"/>
    </row>
    <row r="28" spans="1:9" s="3" customFormat="1" ht="12.75" x14ac:dyDescent="0.2">
      <c r="A28" s="3" t="s">
        <v>122</v>
      </c>
    </row>
    <row r="29" spans="1:9" x14ac:dyDescent="0.2">
      <c r="A29" s="2" t="s">
        <v>45</v>
      </c>
      <c r="B29" s="6" t="e">
        <f>B19/B18</f>
        <v>#REF!</v>
      </c>
      <c r="C29" s="7"/>
    </row>
    <row r="30" spans="1:9" x14ac:dyDescent="0.2">
      <c r="A30" s="2" t="s">
        <v>123</v>
      </c>
      <c r="B30" s="6" t="e">
        <f>(B29+1)/(B13*B29+1)</f>
        <v>#REF!</v>
      </c>
      <c r="C30" s="7"/>
    </row>
    <row r="31" spans="1:9" x14ac:dyDescent="0.2">
      <c r="A31" s="2" t="s">
        <v>46</v>
      </c>
      <c r="B31" s="6" t="e">
        <f>SQRT(1+1/(B12*B30))</f>
        <v>#REF!</v>
      </c>
      <c r="C31" s="7"/>
    </row>
    <row r="32" spans="1:9" x14ac:dyDescent="0.2">
      <c r="A32" s="2" t="s">
        <v>47</v>
      </c>
      <c r="B32" s="6" t="e">
        <f>(B29+1)^2/((B29+1/B13)^2/(B11-1)+(1-1/B13)/B12)</f>
        <v>#REF!</v>
      </c>
      <c r="C32" s="7"/>
      <c r="I32" s="6"/>
    </row>
    <row r="33" spans="1:3" x14ac:dyDescent="0.2">
      <c r="A33" s="2" t="s">
        <v>29</v>
      </c>
      <c r="B33" s="6" t="e">
        <f>Récapitulatif!C2</f>
        <v>#REF!</v>
      </c>
      <c r="C33" s="7"/>
    </row>
    <row r="34" spans="1:3" x14ac:dyDescent="0.2">
      <c r="A34" s="2" t="s">
        <v>124</v>
      </c>
      <c r="B34" s="6" t="e">
        <f>TINV(1-B33,ROUNDDOWN(B32,0))</f>
        <v>#REF!</v>
      </c>
      <c r="C34" s="7"/>
    </row>
    <row r="35" spans="1:3" x14ac:dyDescent="0.2">
      <c r="A35" s="2" t="s">
        <v>125</v>
      </c>
      <c r="B35" s="6" t="e">
        <f>TINV(1-B33,ROUNDUP(B32,0))</f>
        <v>#REF!</v>
      </c>
      <c r="C35" s="7"/>
    </row>
    <row r="36" spans="1:3" x14ac:dyDescent="0.2">
      <c r="A36" s="2" t="s">
        <v>126</v>
      </c>
      <c r="B36" s="6" t="e">
        <f>B34-(B34-B35)*(B32-ROUNDDOWN(B32,0))</f>
        <v>#REF!</v>
      </c>
      <c r="C36" s="7"/>
    </row>
    <row r="37" spans="1:3" x14ac:dyDescent="0.2">
      <c r="A37" s="2" t="s">
        <v>127</v>
      </c>
      <c r="B37" s="6" t="e">
        <f>B36*B31</f>
        <v>#REF!</v>
      </c>
      <c r="C37" s="7"/>
    </row>
    <row r="38" spans="1:3" s="3" customFormat="1" ht="12.75" x14ac:dyDescent="0.2">
      <c r="A38" s="3" t="s">
        <v>128</v>
      </c>
    </row>
    <row r="39" spans="1:3" x14ac:dyDescent="0.2">
      <c r="A39" s="2" t="s">
        <v>48</v>
      </c>
      <c r="B39" s="6" t="e">
        <f>B22-B37*B25</f>
        <v>#REF!</v>
      </c>
      <c r="C39" s="7"/>
    </row>
    <row r="40" spans="1:3" x14ac:dyDescent="0.2">
      <c r="A40" s="2" t="s">
        <v>49</v>
      </c>
      <c r="B40" s="6" t="e">
        <f>B22+B37*B25</f>
        <v>#REF!</v>
      </c>
      <c r="C40" s="7"/>
    </row>
  </sheetData>
  <sheetProtection pivotTables="0"/>
  <printOptions headings="1" gridLines="1"/>
  <pageMargins left="0.78740157499999996" right="0.78740157499999996" top="0.56999999999999995" bottom="0.56999999999999995" header="0.33" footer="0.34"/>
  <pageSetup paperSize="9" scale="96" orientation="landscape" horizontalDpi="300" verticalDpi="300" r:id="rId1"/>
  <headerFooter alignWithMargins="0">
    <oddFooter>&amp;A&amp;RPage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7</vt:i4>
      </vt:variant>
      <vt:variant>
        <vt:lpstr>Graphiques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9" baseType="lpstr">
      <vt:lpstr>Gage R&amp;R destructif</vt:lpstr>
      <vt:lpstr>Récapitulatif</vt:lpstr>
      <vt:lpstr>80%</vt:lpstr>
      <vt:lpstr>90%</vt:lpstr>
      <vt:lpstr>100%</vt:lpstr>
      <vt:lpstr>110%</vt:lpstr>
      <vt:lpstr>120%</vt:lpstr>
      <vt:lpstr>Graph Profil</vt:lpstr>
      <vt:lpstr>'80%'!Zone_d_impression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germa</dc:creator>
  <cp:lastModifiedBy>morgan Germa Colliou</cp:lastModifiedBy>
  <dcterms:created xsi:type="dcterms:W3CDTF">2017-02-03T08:41:23Z</dcterms:created>
  <dcterms:modified xsi:type="dcterms:W3CDTF">2025-11-12T13:23:24Z</dcterms:modified>
</cp:coreProperties>
</file>