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rgan\Desktop\Excel payant\"/>
    </mc:Choice>
  </mc:AlternateContent>
  <bookViews>
    <workbookView xWindow="0" yWindow="0" windowWidth="19200" windowHeight="8560"/>
  </bookViews>
  <sheets>
    <sheet name="Simplexe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1" l="1"/>
  <c r="G46" i="1"/>
  <c r="H46" i="1"/>
  <c r="I46" i="1"/>
  <c r="J46" i="1"/>
  <c r="K46" i="1"/>
  <c r="L46" i="1"/>
  <c r="E46" i="1"/>
  <c r="E47" i="1"/>
  <c r="K47" i="1"/>
  <c r="I47" i="1"/>
  <c r="G47" i="1"/>
  <c r="L27" i="1"/>
  <c r="L47" i="1" s="1"/>
  <c r="J27" i="1"/>
  <c r="J47" i="1" s="1"/>
  <c r="H27" i="1"/>
  <c r="H47" i="1" s="1"/>
  <c r="F27" i="1"/>
  <c r="F47" i="1" s="1"/>
  <c r="I19" i="1"/>
  <c r="K19" i="1" l="1"/>
  <c r="N19" i="1" s="1"/>
  <c r="E28" i="1" s="1"/>
  <c r="F28" i="1" l="1"/>
  <c r="G29" i="1"/>
  <c r="N20" i="1"/>
  <c r="G28" i="1" s="1"/>
  <c r="H29" i="1" l="1"/>
  <c r="I30" i="1"/>
  <c r="G30" i="1"/>
  <c r="H30" i="1" s="1"/>
  <c r="H28" i="1"/>
  <c r="E29" i="1"/>
  <c r="G31" i="1"/>
  <c r="H31" i="1" s="1"/>
  <c r="I29" i="1"/>
  <c r="I28" i="1"/>
  <c r="G49" i="1" l="1"/>
  <c r="H49" i="1" s="1"/>
  <c r="J30" i="1"/>
  <c r="K31" i="1"/>
  <c r="L31" i="1" s="1"/>
  <c r="F29" i="1"/>
  <c r="E30" i="1"/>
  <c r="J28" i="1"/>
  <c r="K28" i="1"/>
  <c r="J29" i="1"/>
  <c r="I31" i="1"/>
  <c r="J31" i="1" s="1"/>
  <c r="I49" i="1" l="1"/>
  <c r="J49" i="1" s="1"/>
  <c r="F30" i="1"/>
  <c r="E31" i="1"/>
  <c r="K29" i="1"/>
  <c r="L28" i="1"/>
  <c r="F31" i="1" l="1"/>
  <c r="E49" i="1"/>
  <c r="F49" i="1" s="1"/>
  <c r="K30" i="1"/>
  <c r="L30" i="1" s="1"/>
  <c r="L29" i="1"/>
  <c r="K49" i="1" l="1"/>
  <c r="L49" i="1" s="1"/>
</calcChain>
</file>

<file path=xl/sharedStrings.xml><?xml version="1.0" encoding="utf-8"?>
<sst xmlns="http://schemas.openxmlformats.org/spreadsheetml/2006/main" count="70" uniqueCount="62">
  <si>
    <t>1- renseigner les niveaux et les pas des facteurs</t>
  </si>
  <si>
    <t>2- le nombre initial d'essai se calcule : k = n+1</t>
  </si>
  <si>
    <t>3- les longueurs p et q se calculent</t>
  </si>
  <si>
    <r>
      <t>4- p et q s'affiche dans le tableau des coordonnées</t>
    </r>
    <r>
      <rPr>
        <u/>
        <sz val="11"/>
        <color theme="1"/>
        <rFont val="Calibri"/>
        <family val="2"/>
        <scheme val="minor"/>
      </rPr>
      <t xml:space="preserve"> selon le nombre d'essai initial</t>
    </r>
  </si>
  <si>
    <t>5- réaliser les n+1 essai et indiquer les réponses</t>
  </si>
  <si>
    <t>6- identifier l'essai Worst</t>
  </si>
  <si>
    <t>7- completer la colonne simplexe en ne gardant que k essais</t>
  </si>
  <si>
    <t>Dans le tableau "détermination du nouveau point"</t>
  </si>
  <si>
    <t>7- calculer la moyenne des points "non worst"</t>
  </si>
  <si>
    <t>8- indiquer les coordonnée du point W. Les coordonnées du nouveau point symétrique apparaissent</t>
  </si>
  <si>
    <t>9- choisir entre les coordonnées classique ou celle modifiées de Nelder et Mead</t>
  </si>
  <si>
    <t>10- renseigner ces coordonnées comme nouveau point dans le tableau des coordonnées et réaliser l'essai</t>
  </si>
  <si>
    <t>11- reprendre à l'étape 6</t>
  </si>
  <si>
    <t>x1</t>
  </si>
  <si>
    <t>x2</t>
  </si>
  <si>
    <t>x3</t>
  </si>
  <si>
    <t>x4</t>
  </si>
  <si>
    <t>niveau 0</t>
  </si>
  <si>
    <t>variation</t>
  </si>
  <si>
    <t>longueurs initiales</t>
  </si>
  <si>
    <t>B = Best = meilleure réponse Y</t>
  </si>
  <si>
    <t>p</t>
  </si>
  <si>
    <t>nb k facteurs</t>
  </si>
  <si>
    <t>nb d'essai initial = k+1</t>
  </si>
  <si>
    <t>W = Worst = pire réponse Y</t>
  </si>
  <si>
    <t>q</t>
  </si>
  <si>
    <t>N = Next to the worst</t>
  </si>
  <si>
    <t>Coordonnées a et X (réelle)</t>
  </si>
  <si>
    <t>point</t>
  </si>
  <si>
    <t>a1</t>
  </si>
  <si>
    <t>X1</t>
  </si>
  <si>
    <t>a2</t>
  </si>
  <si>
    <t>X2</t>
  </si>
  <si>
    <t>a3</t>
  </si>
  <si>
    <t>X3</t>
  </si>
  <si>
    <t>a4</t>
  </si>
  <si>
    <t>X4</t>
  </si>
  <si>
    <t>Y</t>
  </si>
  <si>
    <t>simplexe</t>
  </si>
  <si>
    <t>décision</t>
  </si>
  <si>
    <t>test initial</t>
  </si>
  <si>
    <t>la nouvelle réponse est elle pire que W ? Non: faire la symétrie de W. Si oui, faire la symétrie de N</t>
  </si>
  <si>
    <t>1-2-3-4</t>
  </si>
  <si>
    <t>2-3-4-5</t>
  </si>
  <si>
    <t>3-4-5-6</t>
  </si>
  <si>
    <t>3-5-6-7</t>
  </si>
  <si>
    <t>Détermination du nouveau point (à remplir pour chaque essai)</t>
  </si>
  <si>
    <t>moyenne des "non worst case"</t>
  </si>
  <si>
    <t>point symétrique du nouvel essai</t>
  </si>
  <si>
    <t>Classique</t>
  </si>
  <si>
    <t>γ = 1</t>
  </si>
  <si>
    <t>Nelder-Mead</t>
  </si>
  <si>
    <t>si W &lt; Y &lt; B, γ = 0,5</t>
  </si>
  <si>
    <t>si Y &lt; W, γ = -0,5</t>
  </si>
  <si>
    <t>si Y &gt; B, γ = 2</t>
  </si>
  <si>
    <t>on compare la nouvelle réponse Y à l'ancienne réponse B et W</t>
  </si>
  <si>
    <t>produit A</t>
  </si>
  <si>
    <t>produit B</t>
  </si>
  <si>
    <t>produit C</t>
  </si>
  <si>
    <t>produit D</t>
  </si>
  <si>
    <t>poids γ =</t>
  </si>
  <si>
    <t>coordonnée du point W /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</si>
</sst>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vertical="center"/>
    </xf>
    <xf numFmtId="0" fontId="0" fillId="2" borderId="2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 applyAlignment="1">
      <alignment vertical="center"/>
    </xf>
    <xf numFmtId="0" fontId="0" fillId="2" borderId="0" xfId="0" applyFill="1" applyBorder="1"/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0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9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/>
    <xf numFmtId="0" fontId="0" fillId="3" borderId="9" xfId="0" applyFill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right"/>
    </xf>
    <xf numFmtId="164" fontId="0" fillId="0" borderId="7" xfId="0" applyNumberFormat="1" applyFill="1" applyBorder="1" applyAlignment="1">
      <alignment horizontal="center"/>
    </xf>
    <xf numFmtId="0" fontId="0" fillId="0" borderId="8" xfId="0" applyBorder="1"/>
    <xf numFmtId="0" fontId="0" fillId="0" borderId="10" xfId="0" applyBorder="1" applyAlignment="1">
      <alignment horizontal="center"/>
    </xf>
    <xf numFmtId="0" fontId="0" fillId="8" borderId="10" xfId="0" applyFill="1" applyBorder="1" applyAlignment="1">
      <alignment horizontal="center"/>
    </xf>
    <xf numFmtId="2" fontId="0" fillId="4" borderId="9" xfId="0" applyNumberFormat="1" applyFill="1" applyBorder="1" applyAlignment="1">
      <alignment horizontal="center"/>
    </xf>
    <xf numFmtId="2" fontId="0" fillId="8" borderId="9" xfId="0" applyNumberFormat="1" applyFill="1" applyBorder="1" applyAlignment="1">
      <alignment horizontal="center"/>
    </xf>
    <xf numFmtId="2" fontId="0" fillId="9" borderId="9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9" borderId="11" xfId="0" applyNumberFormat="1" applyFill="1" applyBorder="1" applyAlignment="1">
      <alignment horizontal="center"/>
    </xf>
    <xf numFmtId="2" fontId="0" fillId="8" borderId="11" xfId="0" applyNumberFormat="1" applyFill="1" applyBorder="1" applyAlignment="1">
      <alignment horizontal="center"/>
    </xf>
    <xf numFmtId="2" fontId="0" fillId="4" borderId="11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/>
    <xf numFmtId="0" fontId="0" fillId="6" borderId="9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164" fontId="0" fillId="10" borderId="9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0" fontId="1" fillId="0" borderId="2" xfId="0" applyFont="1" applyBorder="1"/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left"/>
    </xf>
    <xf numFmtId="0" fontId="4" fillId="0" borderId="0" xfId="0" applyFont="1" applyBorder="1"/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11" borderId="9" xfId="0" applyFill="1" applyBorder="1" applyAlignment="1">
      <alignment horizontal="center"/>
    </xf>
    <xf numFmtId="0" fontId="0" fillId="0" borderId="0" xfId="0" applyFont="1" applyBorder="1"/>
    <xf numFmtId="2" fontId="0" fillId="5" borderId="9" xfId="0" applyNumberForma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0" fillId="11" borderId="19" xfId="0" applyNumberFormat="1" applyFill="1" applyBorder="1" applyAlignment="1">
      <alignment horizontal="center"/>
    </xf>
    <xf numFmtId="49" fontId="0" fillId="11" borderId="20" xfId="0" applyNumberFormat="1" applyFill="1" applyBorder="1" applyAlignment="1">
      <alignment horizontal="center"/>
    </xf>
    <xf numFmtId="49" fontId="0" fillId="11" borderId="21" xfId="0" applyNumberFormat="1" applyFill="1" applyBorder="1" applyAlignment="1">
      <alignment horizontal="center"/>
    </xf>
    <xf numFmtId="164" fontId="0" fillId="11" borderId="9" xfId="0" applyNumberFormat="1" applyFill="1" applyBorder="1" applyAlignment="1">
      <alignment horizontal="center"/>
    </xf>
    <xf numFmtId="164" fontId="0" fillId="11" borderId="12" xfId="0" applyNumberFormat="1" applyFill="1" applyBorder="1" applyAlignment="1">
      <alignment horizontal="center"/>
    </xf>
    <xf numFmtId="2" fontId="0" fillId="11" borderId="9" xfId="0" applyNumberFormat="1" applyFill="1" applyBorder="1" applyAlignment="1">
      <alignment horizontal="center"/>
    </xf>
    <xf numFmtId="164" fontId="0" fillId="11" borderId="11" xfId="0" applyNumberFormat="1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166" fontId="0" fillId="11" borderId="10" xfId="0" applyNumberFormat="1" applyFill="1" applyBorder="1" applyAlignment="1">
      <alignment horizontal="center"/>
    </xf>
    <xf numFmtId="166" fontId="0" fillId="11" borderId="9" xfId="0" applyNumberFormat="1" applyFill="1" applyBorder="1" applyAlignment="1">
      <alignment horizontal="center"/>
    </xf>
    <xf numFmtId="166" fontId="0" fillId="11" borderId="11" xfId="0" applyNumberFormat="1" applyFill="1" applyBorder="1" applyAlignment="1">
      <alignment horizontal="center"/>
    </xf>
    <xf numFmtId="166" fontId="0" fillId="11" borderId="1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4"/>
  <sheetViews>
    <sheetView showGridLines="0" tabSelected="1" topLeftCell="A3" zoomScale="85" zoomScaleNormal="85" workbookViewId="0">
      <selection activeCell="E5" sqref="E5"/>
    </sheetView>
  </sheetViews>
  <sheetFormatPr baseColWidth="10" defaultColWidth="9.1796875" defaultRowHeight="14.5" x14ac:dyDescent="0.35"/>
  <cols>
    <col min="2" max="2" width="10.81640625" customWidth="1"/>
    <col min="3" max="3" width="9.453125" customWidth="1"/>
    <col min="11" max="11" width="9.54296875" customWidth="1"/>
    <col min="14" max="14" width="10.26953125" customWidth="1"/>
    <col min="15" max="15" width="13" customWidth="1"/>
  </cols>
  <sheetData>
    <row r="1" spans="2:15" ht="15" customHeight="1" thickBot="1" x14ac:dyDescent="0.8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15" customHeight="1" x14ac:dyDescent="0.75">
      <c r="B2" s="2"/>
      <c r="C2" s="3" t="s">
        <v>0</v>
      </c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6"/>
    </row>
    <row r="3" spans="2:15" ht="15" customHeight="1" x14ac:dyDescent="0.75">
      <c r="B3" s="7"/>
      <c r="C3" s="8" t="s">
        <v>1</v>
      </c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2:15" ht="15" customHeight="1" x14ac:dyDescent="0.75">
      <c r="B4" s="7"/>
      <c r="C4" s="8" t="s">
        <v>2</v>
      </c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2:15" ht="15" customHeight="1" x14ac:dyDescent="0.75">
      <c r="B5" s="7"/>
      <c r="C5" s="8" t="s">
        <v>3</v>
      </c>
      <c r="D5" s="9"/>
      <c r="E5" s="9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2:15" ht="15" customHeight="1" x14ac:dyDescent="0.75">
      <c r="B6" s="7"/>
      <c r="C6" s="8" t="s">
        <v>4</v>
      </c>
      <c r="D6" s="9"/>
      <c r="E6" s="9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2:15" ht="15" customHeight="1" x14ac:dyDescent="0.75">
      <c r="B7" s="7"/>
      <c r="C7" s="8" t="s">
        <v>5</v>
      </c>
      <c r="D7" s="9"/>
      <c r="E7" s="9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2:15" ht="15" customHeight="1" x14ac:dyDescent="0.75">
      <c r="B8" s="7"/>
      <c r="C8" s="8" t="s">
        <v>6</v>
      </c>
      <c r="D8" s="9"/>
      <c r="E8" s="9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2:15" ht="15" customHeight="1" x14ac:dyDescent="0.75">
      <c r="B9" s="7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2:15" ht="15" customHeight="1" x14ac:dyDescent="0.75">
      <c r="B10" s="7"/>
      <c r="C10" s="12" t="s">
        <v>7</v>
      </c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2:15" ht="15" customHeight="1" x14ac:dyDescent="0.75">
      <c r="B11" s="7"/>
      <c r="C11" s="9" t="s">
        <v>8</v>
      </c>
      <c r="D11" s="9"/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2:15" ht="15" customHeight="1" x14ac:dyDescent="0.75">
      <c r="B12" s="7"/>
      <c r="C12" s="9" t="s">
        <v>9</v>
      </c>
      <c r="D12" s="9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2:15" ht="15" customHeight="1" x14ac:dyDescent="0.75">
      <c r="B13" s="7"/>
      <c r="C13" s="9" t="s">
        <v>10</v>
      </c>
      <c r="D13" s="9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2:15" ht="15" customHeight="1" x14ac:dyDescent="0.75">
      <c r="B14" s="7"/>
      <c r="C14" s="9" t="s">
        <v>11</v>
      </c>
      <c r="D14" s="9"/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2:15" ht="15" customHeight="1" thickBot="1" x14ac:dyDescent="0.8">
      <c r="B15" s="13"/>
      <c r="C15" s="14" t="s">
        <v>12</v>
      </c>
      <c r="D15" s="14"/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spans="2:15" x14ac:dyDescent="0.35">
      <c r="B16" s="17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18"/>
      <c r="O16" s="21"/>
    </row>
    <row r="17" spans="2:15" x14ac:dyDescent="0.35">
      <c r="B17" s="22"/>
      <c r="C17" s="25"/>
      <c r="D17" s="25" t="s">
        <v>13</v>
      </c>
      <c r="E17" s="25" t="s">
        <v>14</v>
      </c>
      <c r="F17" s="25" t="s">
        <v>15</v>
      </c>
      <c r="G17" s="25" t="s">
        <v>16</v>
      </c>
      <c r="H17" s="46"/>
      <c r="I17" s="23"/>
      <c r="J17" s="23"/>
      <c r="K17" s="23"/>
      <c r="M17" s="23"/>
      <c r="N17" s="23"/>
      <c r="O17" s="26"/>
    </row>
    <row r="18" spans="2:15" x14ac:dyDescent="0.35">
      <c r="B18" s="22"/>
      <c r="C18" s="23"/>
      <c r="D18" s="60" t="s">
        <v>56</v>
      </c>
      <c r="E18" s="60" t="s">
        <v>57</v>
      </c>
      <c r="F18" s="60" t="s">
        <v>58</v>
      </c>
      <c r="G18" s="60" t="s">
        <v>59</v>
      </c>
      <c r="H18" s="25"/>
      <c r="I18" s="29" t="s">
        <v>22</v>
      </c>
      <c r="J18" s="23"/>
      <c r="K18" s="55" t="s">
        <v>23</v>
      </c>
      <c r="N18" s="61" t="s">
        <v>19</v>
      </c>
      <c r="O18" s="26"/>
    </row>
    <row r="19" spans="2:15" x14ac:dyDescent="0.35">
      <c r="B19" s="22"/>
      <c r="C19" s="24" t="s">
        <v>17</v>
      </c>
      <c r="D19" s="27">
        <v>0.25</v>
      </c>
      <c r="E19" s="27">
        <v>120</v>
      </c>
      <c r="F19" s="27">
        <v>10</v>
      </c>
      <c r="G19" s="27">
        <v>0.5</v>
      </c>
      <c r="H19" s="25"/>
      <c r="I19" s="30">
        <f>COUNT(D19:G19)</f>
        <v>4</v>
      </c>
      <c r="J19" s="23"/>
      <c r="K19" s="24">
        <f>I19+1</f>
        <v>5</v>
      </c>
      <c r="M19" s="28" t="s">
        <v>21</v>
      </c>
      <c r="N19" s="38">
        <f>1/(I19*SQRT(2))*(SQRT(K19)+I19-1)</f>
        <v>0.92561479341095798</v>
      </c>
      <c r="O19" s="26"/>
    </row>
    <row r="20" spans="2:15" x14ac:dyDescent="0.35">
      <c r="B20" s="22"/>
      <c r="C20" s="24" t="s">
        <v>18</v>
      </c>
      <c r="D20" s="27">
        <v>0.4</v>
      </c>
      <c r="E20" s="27">
        <v>2</v>
      </c>
      <c r="F20" s="27">
        <v>2</v>
      </c>
      <c r="G20" s="27">
        <v>0.1</v>
      </c>
      <c r="H20" s="25"/>
      <c r="I20" s="23"/>
      <c r="J20" s="23"/>
      <c r="K20" s="23"/>
      <c r="L20" s="23"/>
      <c r="M20" s="28" t="s">
        <v>25</v>
      </c>
      <c r="N20" s="62">
        <f>1/(I19*SQRT(2))*(SQRT(K19)-1)</f>
        <v>0.21850801222441055</v>
      </c>
      <c r="O20" s="26"/>
    </row>
    <row r="21" spans="2:15" x14ac:dyDescent="0.35">
      <c r="B21" s="22"/>
      <c r="C21" s="23"/>
      <c r="F21" s="23"/>
      <c r="G21" s="23"/>
      <c r="I21" s="23" t="s">
        <v>20</v>
      </c>
      <c r="J21" s="23"/>
      <c r="K21" s="23"/>
      <c r="M21" s="23"/>
      <c r="N21" s="23"/>
      <c r="O21" s="26"/>
    </row>
    <row r="22" spans="2:15" x14ac:dyDescent="0.35">
      <c r="B22" s="22"/>
      <c r="C22" s="23"/>
      <c r="F22" s="23"/>
      <c r="I22" s="23" t="s">
        <v>24</v>
      </c>
      <c r="K22" s="23"/>
      <c r="M22" s="23"/>
      <c r="N22" s="23"/>
      <c r="O22" s="26"/>
    </row>
    <row r="23" spans="2:15" x14ac:dyDescent="0.35">
      <c r="B23" s="22"/>
      <c r="C23" s="23"/>
      <c r="F23" s="23"/>
      <c r="I23" s="23" t="s">
        <v>26</v>
      </c>
      <c r="J23" s="23"/>
      <c r="K23" s="23"/>
      <c r="M23" s="23"/>
      <c r="N23" s="23"/>
      <c r="O23" s="26"/>
    </row>
    <row r="24" spans="2:15" ht="15" thickBot="1" x14ac:dyDescent="0.4">
      <c r="B24" s="31"/>
      <c r="C24" s="32"/>
      <c r="D24" s="32"/>
      <c r="E24" s="33"/>
      <c r="F24" s="34"/>
      <c r="G24" s="32"/>
      <c r="H24" s="32"/>
      <c r="I24" s="32"/>
      <c r="J24" s="32"/>
      <c r="K24" s="32"/>
      <c r="L24" s="32"/>
      <c r="M24" s="32"/>
      <c r="N24" s="32"/>
      <c r="O24" s="35"/>
    </row>
    <row r="25" spans="2:15" ht="15" thickBot="1" x14ac:dyDescent="0.4">
      <c r="B25" s="17"/>
      <c r="C25" s="53" t="s">
        <v>27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1"/>
    </row>
    <row r="26" spans="2:15" ht="15" thickBot="1" x14ac:dyDescent="0.4">
      <c r="B26" s="22"/>
      <c r="C26" s="64" t="s">
        <v>38</v>
      </c>
      <c r="D26" s="65" t="s">
        <v>28</v>
      </c>
      <c r="E26" s="66" t="s">
        <v>29</v>
      </c>
      <c r="F26" s="66" t="s">
        <v>30</v>
      </c>
      <c r="G26" s="67" t="s">
        <v>31</v>
      </c>
      <c r="H26" s="67" t="s">
        <v>32</v>
      </c>
      <c r="I26" s="66" t="s">
        <v>33</v>
      </c>
      <c r="J26" s="66" t="s">
        <v>34</v>
      </c>
      <c r="K26" s="67" t="s">
        <v>35</v>
      </c>
      <c r="L26" s="67" t="s">
        <v>36</v>
      </c>
      <c r="M26" s="68" t="s">
        <v>37</v>
      </c>
      <c r="N26" s="69" t="s">
        <v>39</v>
      </c>
      <c r="O26" s="26"/>
    </row>
    <row r="27" spans="2:15" ht="15" customHeight="1" x14ac:dyDescent="0.35">
      <c r="B27" s="22"/>
      <c r="C27" s="70" t="s">
        <v>40</v>
      </c>
      <c r="D27" s="36">
        <v>0</v>
      </c>
      <c r="E27" s="36">
        <v>0</v>
      </c>
      <c r="F27" s="37">
        <f>D19</f>
        <v>0.25</v>
      </c>
      <c r="G27" s="36">
        <v>0</v>
      </c>
      <c r="H27" s="37">
        <f>E19</f>
        <v>120</v>
      </c>
      <c r="I27" s="36">
        <v>0</v>
      </c>
      <c r="J27" s="37">
        <f>F19</f>
        <v>10</v>
      </c>
      <c r="K27" s="36">
        <v>0</v>
      </c>
      <c r="L27" s="37">
        <f>G19</f>
        <v>0.5</v>
      </c>
      <c r="M27" s="81">
        <v>0.32</v>
      </c>
      <c r="N27" s="57" t="s">
        <v>41</v>
      </c>
      <c r="O27" s="26"/>
    </row>
    <row r="28" spans="2:15" x14ac:dyDescent="0.35">
      <c r="B28" s="22"/>
      <c r="C28" s="71"/>
      <c r="D28" s="24">
        <v>1</v>
      </c>
      <c r="E28" s="38">
        <f>N19</f>
        <v>0.92561479341095798</v>
      </c>
      <c r="F28" s="39">
        <f>$D$19+$D$20*E28</f>
        <v>0.62024591736438328</v>
      </c>
      <c r="G28" s="40">
        <f>N20</f>
        <v>0.21850801222441055</v>
      </c>
      <c r="H28" s="39">
        <f>$E$20*G28+$E$19</f>
        <v>120.43701602444882</v>
      </c>
      <c r="I28" s="40">
        <f>G28</f>
        <v>0.21850801222441055</v>
      </c>
      <c r="J28" s="39">
        <f>$F$20*I28+$F$19</f>
        <v>10.437016024448821</v>
      </c>
      <c r="K28" s="40">
        <f>I28</f>
        <v>0.21850801222441055</v>
      </c>
      <c r="L28" s="39">
        <f>$G$20*K28+$G$19</f>
        <v>0.5218508012224411</v>
      </c>
      <c r="M28" s="82">
        <v>0.5</v>
      </c>
      <c r="N28" s="58"/>
      <c r="O28" s="26"/>
    </row>
    <row r="29" spans="2:15" x14ac:dyDescent="0.35">
      <c r="B29" s="22"/>
      <c r="C29" s="71"/>
      <c r="D29" s="24">
        <v>2</v>
      </c>
      <c r="E29" s="40">
        <f>G28</f>
        <v>0.21850801222441055</v>
      </c>
      <c r="F29" s="39">
        <f>$D$19+$D$20*E29</f>
        <v>0.33740320488976422</v>
      </c>
      <c r="G29" s="38">
        <f>E28</f>
        <v>0.92561479341095798</v>
      </c>
      <c r="H29" s="39">
        <f>$E$20*G29+$E$19</f>
        <v>121.85122958682192</v>
      </c>
      <c r="I29" s="40">
        <f>G28</f>
        <v>0.21850801222441055</v>
      </c>
      <c r="J29" s="39">
        <f>$F$20*I29+$F$19</f>
        <v>10.437016024448821</v>
      </c>
      <c r="K29" s="40">
        <f>K28</f>
        <v>0.21850801222441055</v>
      </c>
      <c r="L29" s="39">
        <f>$G$20*K29+$G$19</f>
        <v>0.5218508012224411</v>
      </c>
      <c r="M29" s="82">
        <v>0.56999999999999995</v>
      </c>
      <c r="N29" s="58"/>
      <c r="O29" s="26"/>
    </row>
    <row r="30" spans="2:15" x14ac:dyDescent="0.35">
      <c r="B30" s="22"/>
      <c r="C30" s="71"/>
      <c r="D30" s="24">
        <v>3</v>
      </c>
      <c r="E30" s="40">
        <f>E29</f>
        <v>0.21850801222441055</v>
      </c>
      <c r="F30" s="39">
        <f>$D$19+$D$20*E30</f>
        <v>0.33740320488976422</v>
      </c>
      <c r="G30" s="40">
        <f>G28</f>
        <v>0.21850801222441055</v>
      </c>
      <c r="H30" s="39">
        <f>$E$20*G30+$E$19</f>
        <v>120.43701602444882</v>
      </c>
      <c r="I30" s="38">
        <f>G29</f>
        <v>0.92561479341095798</v>
      </c>
      <c r="J30" s="39">
        <f>$F$20*I30+$F$19</f>
        <v>11.851229586821916</v>
      </c>
      <c r="K30" s="40">
        <f>K29</f>
        <v>0.21850801222441055</v>
      </c>
      <c r="L30" s="39">
        <f>$G$20*K30+$G$19</f>
        <v>0.5218508012224411</v>
      </c>
      <c r="M30" s="82">
        <v>0.73</v>
      </c>
      <c r="N30" s="58"/>
      <c r="O30" s="26"/>
    </row>
    <row r="31" spans="2:15" ht="15" thickBot="1" x14ac:dyDescent="0.4">
      <c r="B31" s="22"/>
      <c r="C31" s="72"/>
      <c r="D31" s="41">
        <v>4</v>
      </c>
      <c r="E31" s="42">
        <f>E30</f>
        <v>0.21850801222441055</v>
      </c>
      <c r="F31" s="43">
        <f>$D$19+$D$20*E31</f>
        <v>0.33740320488976422</v>
      </c>
      <c r="G31" s="42">
        <f>G28</f>
        <v>0.21850801222441055</v>
      </c>
      <c r="H31" s="43">
        <f>$E$20*G31+$E$19</f>
        <v>120.43701602444882</v>
      </c>
      <c r="I31" s="42">
        <f>I29</f>
        <v>0.21850801222441055</v>
      </c>
      <c r="J31" s="43">
        <f>$F$20*I31+$F$19</f>
        <v>10.437016024448821</v>
      </c>
      <c r="K31" s="44">
        <f>I30</f>
        <v>0.92561479341095798</v>
      </c>
      <c r="L31" s="43">
        <f>$G$20*K31+$G$19</f>
        <v>0.59256147934109582</v>
      </c>
      <c r="M31" s="83">
        <v>0.63</v>
      </c>
      <c r="N31" s="58"/>
      <c r="O31" s="26"/>
    </row>
    <row r="32" spans="2:15" x14ac:dyDescent="0.35">
      <c r="B32" s="22"/>
      <c r="C32" s="73" t="s">
        <v>42</v>
      </c>
      <c r="D32" s="45">
        <v>5</v>
      </c>
      <c r="E32" s="77">
        <v>0.79056941504209477</v>
      </c>
      <c r="F32" s="77">
        <v>0.566227766016838</v>
      </c>
      <c r="G32" s="77">
        <v>0.79056941504209477</v>
      </c>
      <c r="H32" s="77">
        <v>121.58113883008419</v>
      </c>
      <c r="I32" s="77">
        <v>0.79056941504209477</v>
      </c>
      <c r="J32" s="77">
        <v>11.581138830084189</v>
      </c>
      <c r="K32" s="77">
        <v>0.79056941504209477</v>
      </c>
      <c r="L32" s="77">
        <v>0.5790569415042095</v>
      </c>
      <c r="M32" s="84">
        <v>0.82</v>
      </c>
      <c r="N32" s="58"/>
      <c r="O32" s="26"/>
    </row>
    <row r="33" spans="2:15" x14ac:dyDescent="0.35">
      <c r="B33" s="22"/>
      <c r="C33" s="74" t="s">
        <v>43</v>
      </c>
      <c r="D33" s="24">
        <v>6</v>
      </c>
      <c r="E33" s="76">
        <v>-0.20256806755329482</v>
      </c>
      <c r="F33" s="76">
        <v>0.53921869034306535</v>
      </c>
      <c r="G33" s="76">
        <v>0.85809210422652638</v>
      </c>
      <c r="H33" s="76">
        <v>122.15320023290188</v>
      </c>
      <c r="I33" s="76">
        <v>0.85809210422652638</v>
      </c>
      <c r="J33" s="76">
        <v>12.153200232901874</v>
      </c>
      <c r="K33" s="76">
        <v>0.85809210422652638</v>
      </c>
      <c r="L33" s="76">
        <v>0.60766001164509376</v>
      </c>
      <c r="M33" s="82">
        <v>0.86</v>
      </c>
      <c r="N33" s="58"/>
      <c r="O33" s="26"/>
    </row>
    <row r="34" spans="2:15" x14ac:dyDescent="0.35">
      <c r="B34" s="22"/>
      <c r="C34" s="74" t="s">
        <v>44</v>
      </c>
      <c r="D34" s="24">
        <v>7</v>
      </c>
      <c r="E34" s="76">
        <v>0.29400067374439998</v>
      </c>
      <c r="F34" s="76">
        <v>0.4550034743875242</v>
      </c>
      <c r="G34" s="76">
        <v>0.11722397844776311</v>
      </c>
      <c r="H34" s="76">
        <v>122.08567754371744</v>
      </c>
      <c r="I34" s="76">
        <v>1.1778841502275843</v>
      </c>
      <c r="J34" s="76">
        <v>12.792784324903991</v>
      </c>
      <c r="K34" s="76">
        <v>1.1778841502275843</v>
      </c>
      <c r="L34" s="76">
        <v>0.63963921624519959</v>
      </c>
      <c r="M34" s="82">
        <v>0.89</v>
      </c>
      <c r="N34" s="58"/>
      <c r="O34" s="26"/>
    </row>
    <row r="35" spans="2:15" x14ac:dyDescent="0.35">
      <c r="B35" s="22"/>
      <c r="C35" s="74" t="s">
        <v>45</v>
      </c>
      <c r="D35" s="24">
        <v>8</v>
      </c>
      <c r="E35" s="76">
        <v>0.33174700450439465</v>
      </c>
      <c r="F35" s="76">
        <v>0.47010200669152208</v>
      </c>
      <c r="G35" s="76">
        <v>0.77368874274598687</v>
      </c>
      <c r="H35" s="76">
        <v>121.9843935099408</v>
      </c>
      <c r="I35" s="76">
        <v>1.6575722192291713</v>
      </c>
      <c r="J35" s="76">
        <v>13.752160462907163</v>
      </c>
      <c r="K35" s="76">
        <v>0.59691204744935011</v>
      </c>
      <c r="L35" s="76">
        <v>0.65225268408603088</v>
      </c>
      <c r="M35" s="82">
        <v>0.83</v>
      </c>
      <c r="N35" s="58"/>
      <c r="O35" s="26"/>
    </row>
    <row r="36" spans="2:15" x14ac:dyDescent="0.35">
      <c r="B36" s="22"/>
      <c r="C36" s="74"/>
      <c r="D36" s="24">
        <v>9</v>
      </c>
      <c r="E36" s="76"/>
      <c r="F36" s="76"/>
      <c r="G36" s="76"/>
      <c r="H36" s="76"/>
      <c r="I36" s="76"/>
      <c r="J36" s="76"/>
      <c r="K36" s="76"/>
      <c r="L36" s="76"/>
      <c r="M36" s="82"/>
      <c r="N36" s="58"/>
      <c r="O36" s="26"/>
    </row>
    <row r="37" spans="2:15" x14ac:dyDescent="0.35">
      <c r="B37" s="22"/>
      <c r="C37" s="74"/>
      <c r="D37" s="24">
        <v>10</v>
      </c>
      <c r="E37" s="78"/>
      <c r="F37" s="78"/>
      <c r="G37" s="78"/>
      <c r="H37" s="78"/>
      <c r="I37" s="78"/>
      <c r="J37" s="78"/>
      <c r="K37" s="78"/>
      <c r="L37" s="78"/>
      <c r="M37" s="82"/>
      <c r="N37" s="58"/>
      <c r="O37" s="26"/>
    </row>
    <row r="38" spans="2:15" x14ac:dyDescent="0.35">
      <c r="B38" s="22"/>
      <c r="C38" s="74"/>
      <c r="D38" s="24">
        <v>11</v>
      </c>
      <c r="E38" s="78"/>
      <c r="F38" s="78"/>
      <c r="G38" s="78"/>
      <c r="H38" s="78"/>
      <c r="I38" s="78"/>
      <c r="J38" s="78"/>
      <c r="K38" s="78"/>
      <c r="L38" s="78"/>
      <c r="M38" s="82"/>
      <c r="N38" s="58"/>
      <c r="O38" s="26"/>
    </row>
    <row r="39" spans="2:15" x14ac:dyDescent="0.35">
      <c r="B39" s="22"/>
      <c r="C39" s="74"/>
      <c r="D39" s="24">
        <v>12</v>
      </c>
      <c r="E39" s="76"/>
      <c r="F39" s="60"/>
      <c r="G39" s="76"/>
      <c r="H39" s="60"/>
      <c r="I39" s="76"/>
      <c r="J39" s="60"/>
      <c r="K39" s="76"/>
      <c r="L39" s="60"/>
      <c r="M39" s="82"/>
      <c r="N39" s="58"/>
      <c r="O39" s="26"/>
    </row>
    <row r="40" spans="2:15" x14ac:dyDescent="0.35">
      <c r="B40" s="22"/>
      <c r="C40" s="74"/>
      <c r="D40" s="24">
        <v>13</v>
      </c>
      <c r="E40" s="78"/>
      <c r="F40" s="78"/>
      <c r="G40" s="78"/>
      <c r="H40" s="78"/>
      <c r="I40" s="78"/>
      <c r="J40" s="78"/>
      <c r="K40" s="78"/>
      <c r="L40" s="78"/>
      <c r="M40" s="82"/>
      <c r="N40" s="58"/>
      <c r="O40" s="26"/>
    </row>
    <row r="41" spans="2:15" x14ac:dyDescent="0.35">
      <c r="B41" s="22"/>
      <c r="C41" s="74"/>
      <c r="D41" s="24">
        <v>14</v>
      </c>
      <c r="E41" s="78"/>
      <c r="F41" s="78"/>
      <c r="G41" s="78"/>
      <c r="H41" s="78"/>
      <c r="I41" s="78"/>
      <c r="J41" s="78"/>
      <c r="K41" s="78"/>
      <c r="L41" s="78"/>
      <c r="M41" s="82"/>
      <c r="N41" s="58"/>
      <c r="O41" s="26"/>
    </row>
    <row r="42" spans="2:15" ht="15" thickBot="1" x14ac:dyDescent="0.4">
      <c r="B42" s="22"/>
      <c r="C42" s="75"/>
      <c r="D42" s="41">
        <v>15</v>
      </c>
      <c r="E42" s="79"/>
      <c r="F42" s="80"/>
      <c r="G42" s="79"/>
      <c r="H42" s="80"/>
      <c r="I42" s="79"/>
      <c r="J42" s="80"/>
      <c r="K42" s="79"/>
      <c r="L42" s="80"/>
      <c r="M42" s="83"/>
      <c r="N42" s="59"/>
      <c r="O42" s="26"/>
    </row>
    <row r="43" spans="2:15" ht="15" thickBot="1" x14ac:dyDescent="0.4"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5"/>
    </row>
    <row r="44" spans="2:15" x14ac:dyDescent="0.35">
      <c r="B44" s="17"/>
      <c r="C44" s="18"/>
      <c r="D44" s="18"/>
      <c r="E44" s="53" t="s">
        <v>46</v>
      </c>
      <c r="F44" s="19"/>
      <c r="G44" s="63"/>
      <c r="H44" s="19"/>
      <c r="I44" s="63"/>
      <c r="J44" s="19"/>
      <c r="K44" s="63"/>
      <c r="L44" s="20"/>
      <c r="M44" s="19"/>
      <c r="N44" s="18"/>
      <c r="O44" s="21"/>
    </row>
    <row r="45" spans="2:15" x14ac:dyDescent="0.35">
      <c r="B45" s="22"/>
      <c r="C45" s="23"/>
      <c r="D45" s="29"/>
      <c r="E45" s="47" t="s">
        <v>29</v>
      </c>
      <c r="F45" s="47" t="s">
        <v>30</v>
      </c>
      <c r="G45" s="48" t="s">
        <v>31</v>
      </c>
      <c r="H45" s="48" t="s">
        <v>32</v>
      </c>
      <c r="I45" s="47" t="s">
        <v>33</v>
      </c>
      <c r="J45" s="47" t="s">
        <v>34</v>
      </c>
      <c r="K45" s="48" t="s">
        <v>35</v>
      </c>
      <c r="L45" s="48" t="s">
        <v>36</v>
      </c>
      <c r="M45" s="25"/>
      <c r="N45" s="23"/>
      <c r="O45" s="26"/>
    </row>
    <row r="46" spans="2:15" x14ac:dyDescent="0.35">
      <c r="B46" s="22"/>
      <c r="C46" s="23"/>
      <c r="D46" s="28" t="s">
        <v>47</v>
      </c>
      <c r="E46" s="76">
        <f>AVERAGE(E28:E31)</f>
        <v>0.39528470752104738</v>
      </c>
      <c r="F46" s="76">
        <f t="shared" ref="F46:L46" si="0">AVERAGE(F28:F31)</f>
        <v>0.40811388300841894</v>
      </c>
      <c r="G46" s="76">
        <f t="shared" si="0"/>
        <v>0.39528470752104738</v>
      </c>
      <c r="H46" s="76">
        <f t="shared" si="0"/>
        <v>120.7905694150421</v>
      </c>
      <c r="I46" s="76">
        <f t="shared" si="0"/>
        <v>0.39528470752104738</v>
      </c>
      <c r="J46" s="76">
        <f t="shared" si="0"/>
        <v>10.790569415042096</v>
      </c>
      <c r="K46" s="76">
        <f t="shared" si="0"/>
        <v>0.39528470752104738</v>
      </c>
      <c r="L46" s="76">
        <f t="shared" si="0"/>
        <v>0.53952847075210486</v>
      </c>
      <c r="M46" s="23"/>
      <c r="N46" s="23"/>
      <c r="O46" s="26"/>
    </row>
    <row r="47" spans="2:15" x14ac:dyDescent="0.35">
      <c r="B47" s="22"/>
      <c r="C47" s="23"/>
      <c r="D47" s="28" t="s">
        <v>61</v>
      </c>
      <c r="E47" s="76">
        <f>E27</f>
        <v>0</v>
      </c>
      <c r="F47" s="76">
        <f>F27</f>
        <v>0.25</v>
      </c>
      <c r="G47" s="76">
        <f>G27</f>
        <v>0</v>
      </c>
      <c r="H47" s="76">
        <f>H27</f>
        <v>120</v>
      </c>
      <c r="I47" s="76">
        <f>I27</f>
        <v>0</v>
      </c>
      <c r="J47" s="76">
        <f>J27</f>
        <v>10</v>
      </c>
      <c r="K47" s="76">
        <f>K27</f>
        <v>0</v>
      </c>
      <c r="L47" s="76">
        <f>L27</f>
        <v>0.5</v>
      </c>
      <c r="M47" s="23"/>
      <c r="N47" s="23"/>
      <c r="O47" s="26"/>
    </row>
    <row r="48" spans="2:15" x14ac:dyDescent="0.35"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5"/>
      <c r="O48" s="26"/>
    </row>
    <row r="49" spans="2:15" x14ac:dyDescent="0.35">
      <c r="B49" s="22"/>
      <c r="C49" s="46"/>
      <c r="D49" s="49" t="s">
        <v>48</v>
      </c>
      <c r="E49" s="50">
        <f>E46+E51*(E46-E47)</f>
        <v>0.79056941504209477</v>
      </c>
      <c r="F49" s="50">
        <f>F47+D20*E49</f>
        <v>0.566227766016838</v>
      </c>
      <c r="G49" s="50">
        <f>G46+E51*(G46-G47)</f>
        <v>0.79056941504209477</v>
      </c>
      <c r="H49" s="50">
        <f>H47+E20*G49</f>
        <v>121.58113883008419</v>
      </c>
      <c r="I49" s="50">
        <f>I46+E51*(I46-I47)</f>
        <v>0.79056941504209477</v>
      </c>
      <c r="J49" s="50">
        <f>J47+F20*I49</f>
        <v>11.581138830084189</v>
      </c>
      <c r="K49" s="50">
        <f>K46+E51*(K46-K47)</f>
        <v>0.79056941504209477</v>
      </c>
      <c r="L49" s="50">
        <f>L47+G20*K49</f>
        <v>0.5790569415042095</v>
      </c>
      <c r="M49" s="23"/>
      <c r="N49" s="23"/>
      <c r="O49" s="26"/>
    </row>
    <row r="50" spans="2:15" x14ac:dyDescent="0.35"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6"/>
    </row>
    <row r="51" spans="2:15" x14ac:dyDescent="0.35">
      <c r="B51" s="22"/>
      <c r="C51" s="23"/>
      <c r="D51" s="51" t="s">
        <v>60</v>
      </c>
      <c r="E51" s="60">
        <v>1</v>
      </c>
      <c r="F51" s="23"/>
      <c r="G51" s="54" t="s">
        <v>49</v>
      </c>
      <c r="H51" s="23" t="s">
        <v>50</v>
      </c>
      <c r="I51" s="23"/>
      <c r="J51" s="23"/>
      <c r="K51" s="23"/>
      <c r="L51" s="23"/>
      <c r="M51" s="23"/>
      <c r="N51" s="23"/>
      <c r="O51" s="26"/>
    </row>
    <row r="52" spans="2:15" x14ac:dyDescent="0.35">
      <c r="B52" s="22"/>
      <c r="C52" s="23"/>
      <c r="D52" s="23"/>
      <c r="E52" s="23"/>
      <c r="F52" s="23"/>
      <c r="G52" s="54" t="s">
        <v>51</v>
      </c>
      <c r="H52" s="52" t="s">
        <v>52</v>
      </c>
      <c r="I52" s="23"/>
      <c r="J52" s="55" t="s">
        <v>53</v>
      </c>
      <c r="K52" s="25"/>
      <c r="L52" s="52" t="s">
        <v>54</v>
      </c>
      <c r="M52" s="23"/>
      <c r="N52" s="23"/>
      <c r="O52" s="26"/>
    </row>
    <row r="53" spans="2:15" x14ac:dyDescent="0.35">
      <c r="B53" s="22"/>
      <c r="C53" s="23"/>
      <c r="D53" s="23"/>
      <c r="E53" s="23"/>
      <c r="F53" s="23"/>
      <c r="G53" s="56" t="s">
        <v>55</v>
      </c>
      <c r="H53" s="23"/>
      <c r="I53" s="23"/>
      <c r="J53" s="23"/>
      <c r="K53" s="23"/>
      <c r="L53" s="23"/>
      <c r="M53" s="23"/>
      <c r="N53" s="23"/>
      <c r="O53" s="26"/>
    </row>
    <row r="54" spans="2:15" ht="15" thickBot="1" x14ac:dyDescent="0.4"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5"/>
    </row>
  </sheetData>
  <sheetProtection algorithmName="SHA-512" hashValue="Vk/IW3XW9AEgTU0x/JUh8LIBuN+uYpuSe8hu/tThVX72F0xcCfmzAQJlU6sxYTbMQd82aGWmYCiGJoNh5hvliA==" saltValue="xqZe88qAmnSZzUJHVkATSw==" spinCount="100000" sheet="1" objects="1" scenarios="1"/>
  <protectedRanges>
    <protectedRange sqref="D18:G20 C32:C42 E32:L42 M27:M42 E46:L47 E51" name="Plage1"/>
  </protectedRanges>
  <mergeCells count="2">
    <mergeCell ref="C27:C31"/>
    <mergeCell ref="N27:N4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Simplexe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</cp:lastModifiedBy>
  <dcterms:created xsi:type="dcterms:W3CDTF">2017-03-17T09:25:05Z</dcterms:created>
  <dcterms:modified xsi:type="dcterms:W3CDTF">2017-03-17T10:02:08Z</dcterms:modified>
</cp:coreProperties>
</file>