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8_{6904B2C0-B4E9-41C6-825C-20B872D1C99F}" xr6:coauthVersionLast="47" xr6:coauthVersionMax="47" xr10:uidLastSave="{00000000-0000-0000-0000-000000000000}"/>
  <bookViews>
    <workbookView xWindow="1500" yWindow="1095" windowWidth="27300" windowHeight="15105" xr2:uid="{DE160DF8-BDDA-487D-9AEF-C2E1713E5589}"/>
  </bookViews>
  <sheets>
    <sheet name="Dériv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1" l="1"/>
  <c r="M9" i="1" s="1"/>
  <c r="C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M8" i="1" l="1"/>
  <c r="M10" i="1" s="1"/>
  <c r="F10" i="1" l="1"/>
  <c r="F8" i="1"/>
  <c r="F7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O8" i="1"/>
  <c r="O9" i="1" s="1"/>
  <c r="O11" i="1" s="1"/>
  <c r="H33" i="1" l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9" i="1"/>
  <c r="H10" i="1"/>
  <c r="H8" i="1"/>
  <c r="H7" i="1"/>
  <c r="O10" i="1"/>
  <c r="G10" i="1" l="1"/>
  <c r="G8" i="1"/>
  <c r="G7" i="1"/>
  <c r="G33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9" i="1"/>
</calcChain>
</file>

<file path=xl/sharedStrings.xml><?xml version="1.0" encoding="utf-8"?>
<sst xmlns="http://schemas.openxmlformats.org/spreadsheetml/2006/main" count="23" uniqueCount="23">
  <si>
    <t>Equipment drift : Weibull</t>
  </si>
  <si>
    <t>equipment park</t>
  </si>
  <si>
    <t>estimated control interval (k=2)</t>
  </si>
  <si>
    <t>periodicity</t>
  </si>
  <si>
    <t>Nb of control</t>
  </si>
  <si>
    <t>control OK</t>
  </si>
  <si>
    <t>reliability</t>
  </si>
  <si>
    <t>R(t)</t>
  </si>
  <si>
    <t>t- (k=2)</t>
  </si>
  <si>
    <t>t+ (k=2)</t>
  </si>
  <si>
    <t xml:space="preserve">weight mean of calibration periodicity </t>
  </si>
  <si>
    <r>
      <t>F'(</t>
    </r>
    <r>
      <rPr>
        <sz val="11"/>
        <color theme="1"/>
        <rFont val="Calibri"/>
        <family val="2"/>
      </rPr>
      <t>λ0)</t>
    </r>
  </si>
  <si>
    <t>pourcentage of control NOK</t>
  </si>
  <si>
    <r>
      <t>E(</t>
    </r>
    <r>
      <rPr>
        <sz val="11"/>
        <color theme="1"/>
        <rFont val="Calibri"/>
        <family val="2"/>
      </rPr>
      <t>λ0)</t>
    </r>
  </si>
  <si>
    <r>
      <t xml:space="preserve">reliability </t>
    </r>
    <r>
      <rPr>
        <sz val="11"/>
        <color theme="1"/>
        <rFont val="Calibri"/>
        <family val="2"/>
      </rPr>
      <t>λ0</t>
    </r>
  </si>
  <si>
    <t>λ0+ (k=2)</t>
  </si>
  <si>
    <r>
      <t>R(t)=e(-</t>
    </r>
    <r>
      <rPr>
        <sz val="11"/>
        <color theme="1"/>
        <rFont val="Calibri"/>
        <family val="2"/>
      </rPr>
      <t>λ*t)</t>
    </r>
  </si>
  <si>
    <t>λ0- (k=2)</t>
  </si>
  <si>
    <t>Sum</t>
  </si>
  <si>
    <t>which reliability do you want ?</t>
  </si>
  <si>
    <t>reliability &gt;</t>
  </si>
  <si>
    <t>period. min</t>
  </si>
  <si>
    <t>period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</si>
</sst>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4" borderId="4" xfId="0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4" borderId="4" xfId="0" applyNumberForma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v>t-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Dérive!$G$7:$G$29</c:f>
              <c:numCache>
                <c:formatCode>0.0</c:formatCode>
                <c:ptCount val="23"/>
                <c:pt idx="0">
                  <c:v>0.95148200656228044</c:v>
                </c:pt>
                <c:pt idx="1">
                  <c:v>4.7574100328114017</c:v>
                </c:pt>
                <c:pt idx="2">
                  <c:v>9.5148200656228035</c:v>
                </c:pt>
                <c:pt idx="3">
                  <c:v>19.02964013124561</c:v>
                </c:pt>
                <c:pt idx="4">
                  <c:v>28.54446019686841</c:v>
                </c:pt>
                <c:pt idx="5">
                  <c:v>38.059280262491214</c:v>
                </c:pt>
                <c:pt idx="6">
                  <c:v>47.574100328114014</c:v>
                </c:pt>
                <c:pt idx="7">
                  <c:v>57.088920393736821</c:v>
                </c:pt>
                <c:pt idx="8">
                  <c:v>66.603740459359628</c:v>
                </c:pt>
                <c:pt idx="9">
                  <c:v>76.118560524982428</c:v>
                </c:pt>
                <c:pt idx="10">
                  <c:v>85.633380590605228</c:v>
                </c:pt>
                <c:pt idx="11">
                  <c:v>95.148200656228028</c:v>
                </c:pt>
                <c:pt idx="12">
                  <c:v>104.66302072185083</c:v>
                </c:pt>
                <c:pt idx="13">
                  <c:v>114.17784078747364</c:v>
                </c:pt>
                <c:pt idx="14">
                  <c:v>123.69266085309644</c:v>
                </c:pt>
                <c:pt idx="15">
                  <c:v>133.20748091871926</c:v>
                </c:pt>
                <c:pt idx="16">
                  <c:v>142.72230098434204</c:v>
                </c:pt>
                <c:pt idx="17">
                  <c:v>152.23712104996486</c:v>
                </c:pt>
                <c:pt idx="18">
                  <c:v>161.75194111558764</c:v>
                </c:pt>
                <c:pt idx="19">
                  <c:v>171.26676118121046</c:v>
                </c:pt>
                <c:pt idx="20">
                  <c:v>180.78158124683324</c:v>
                </c:pt>
                <c:pt idx="21">
                  <c:v>190.29640131245606</c:v>
                </c:pt>
                <c:pt idx="22">
                  <c:v>199.81122137807884</c:v>
                </c:pt>
              </c:numCache>
            </c:numRef>
          </c:xVal>
          <c:yVal>
            <c:numRef>
              <c:f>Dérive!$F$7:$F$29</c:f>
              <c:numCache>
                <c:formatCode>0.00</c:formatCode>
                <c:ptCount val="23"/>
                <c:pt idx="0">
                  <c:v>0.96763973863281272</c:v>
                </c:pt>
                <c:pt idx="1">
                  <c:v>0.84833713353983509</c:v>
                </c:pt>
                <c:pt idx="2">
                  <c:v>0.71967589214258398</c:v>
                </c:pt>
                <c:pt idx="3">
                  <c:v>0.51793338973122416</c:v>
                </c:pt>
                <c:pt idx="4">
                  <c:v>0.37274417432525142</c:v>
                </c:pt>
                <c:pt idx="5">
                  <c:v>0.26825499619847615</c:v>
                </c:pt>
                <c:pt idx="6">
                  <c:v>0.19305665371084382</c:v>
                </c:pt>
                <c:pt idx="7">
                  <c:v>0.1389382194934134</c:v>
                </c:pt>
                <c:pt idx="8">
                  <c:v>9.9990487066624459E-2</c:v>
                </c:pt>
                <c:pt idx="9">
                  <c:v>7.196074298544447E-2</c:v>
                </c:pt>
                <c:pt idx="10">
                  <c:v>5.1788411907292942E-2</c:v>
                </c:pt>
                <c:pt idx="11">
                  <c:v>3.7270871542028669E-2</c:v>
                </c:pt>
                <c:pt idx="12">
                  <c:v>2.6822947727941131E-2</c:v>
                </c:pt>
                <c:pt idx="13">
                  <c:v>1.9303828835999921E-2</c:v>
                </c:pt>
                <c:pt idx="14">
                  <c:v>1.3892500239315982E-2</c:v>
                </c:pt>
                <c:pt idx="15">
                  <c:v>9.9980975038207916E-3</c:v>
                </c:pt>
                <c:pt idx="16">
                  <c:v>7.1953897407907707E-3</c:v>
                </c:pt>
                <c:pt idx="17">
                  <c:v>5.1783485310171948E-3</c:v>
                </c:pt>
                <c:pt idx="18">
                  <c:v>3.7267325988850392E-3</c:v>
                </c:pt>
                <c:pt idx="19">
                  <c:v>2.6820396078794414E-3</c:v>
                </c:pt>
                <c:pt idx="20">
                  <c:v>1.9301992475623832E-3</c:v>
                </c:pt>
                <c:pt idx="21">
                  <c:v>1.3891178655024024E-3</c:v>
                </c:pt>
                <c:pt idx="22">
                  <c:v>9.9971463914664367E-4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89-4AD0-A4A2-4F2381352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93004160"/>
        <c:axId val="-1493002528"/>
      </c:scatterChart>
      <c:scatterChart>
        <c:scatterStyle val="lineMarker"/>
        <c:varyColors val="0"/>
        <c:ser>
          <c:idx val="0"/>
          <c:order val="0"/>
          <c:tx>
            <c:v>R(t)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exp"/>
            <c:dispRSqr val="0"/>
            <c:dispEq val="0"/>
          </c:trendline>
          <c:xVal>
            <c:numRef>
              <c:f>Dérive!$B$7:$B$29</c:f>
              <c:numCache>
                <c:formatCode>General</c:formatCode>
                <c:ptCount val="23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</c:numCache>
            </c:numRef>
          </c:xVal>
          <c:yVal>
            <c:numRef>
              <c:f>Dérive!$F$7:$F$29</c:f>
              <c:numCache>
                <c:formatCode>0.00</c:formatCode>
                <c:ptCount val="23"/>
                <c:pt idx="0">
                  <c:v>0.96763973863281272</c:v>
                </c:pt>
                <c:pt idx="1">
                  <c:v>0.84833713353983509</c:v>
                </c:pt>
                <c:pt idx="2">
                  <c:v>0.71967589214258398</c:v>
                </c:pt>
                <c:pt idx="3">
                  <c:v>0.51793338973122416</c:v>
                </c:pt>
                <c:pt idx="4">
                  <c:v>0.37274417432525142</c:v>
                </c:pt>
                <c:pt idx="5">
                  <c:v>0.26825499619847615</c:v>
                </c:pt>
                <c:pt idx="6">
                  <c:v>0.19305665371084382</c:v>
                </c:pt>
                <c:pt idx="7">
                  <c:v>0.1389382194934134</c:v>
                </c:pt>
                <c:pt idx="8">
                  <c:v>9.9990487066624459E-2</c:v>
                </c:pt>
                <c:pt idx="9">
                  <c:v>7.196074298544447E-2</c:v>
                </c:pt>
                <c:pt idx="10">
                  <c:v>5.1788411907292942E-2</c:v>
                </c:pt>
                <c:pt idx="11">
                  <c:v>3.7270871542028669E-2</c:v>
                </c:pt>
                <c:pt idx="12">
                  <c:v>2.6822947727941131E-2</c:v>
                </c:pt>
                <c:pt idx="13">
                  <c:v>1.9303828835999921E-2</c:v>
                </c:pt>
                <c:pt idx="14">
                  <c:v>1.3892500239315982E-2</c:v>
                </c:pt>
                <c:pt idx="15">
                  <c:v>9.9980975038207916E-3</c:v>
                </c:pt>
                <c:pt idx="16">
                  <c:v>7.1953897407907707E-3</c:v>
                </c:pt>
                <c:pt idx="17">
                  <c:v>5.1783485310171948E-3</c:v>
                </c:pt>
                <c:pt idx="18">
                  <c:v>3.7267325988850392E-3</c:v>
                </c:pt>
                <c:pt idx="19">
                  <c:v>2.6820396078794414E-3</c:v>
                </c:pt>
                <c:pt idx="20">
                  <c:v>1.9301992475623832E-3</c:v>
                </c:pt>
                <c:pt idx="21">
                  <c:v>1.3891178655024024E-3</c:v>
                </c:pt>
                <c:pt idx="22">
                  <c:v>9.9971463914664367E-4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89-4AD0-A4A2-4F2381352346}"/>
            </c:ext>
          </c:extLst>
        </c:ser>
        <c:ser>
          <c:idx val="2"/>
          <c:order val="2"/>
          <c:tx>
            <c:v>t+</c:v>
          </c:tx>
          <c:spPr>
            <a:ln w="317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Dérive!$H$7:$H$29</c:f>
              <c:numCache>
                <c:formatCode>0.0</c:formatCode>
                <c:ptCount val="23"/>
                <c:pt idx="0">
                  <c:v>1.050992024129827</c:v>
                </c:pt>
                <c:pt idx="1">
                  <c:v>5.2549601206491339</c:v>
                </c:pt>
                <c:pt idx="2">
                  <c:v>10.509920241298268</c:v>
                </c:pt>
                <c:pt idx="3">
                  <c:v>21.019840482596539</c:v>
                </c:pt>
                <c:pt idx="4">
                  <c:v>31.529760723894803</c:v>
                </c:pt>
                <c:pt idx="5">
                  <c:v>42.039680965193071</c:v>
                </c:pt>
                <c:pt idx="6">
                  <c:v>52.549601206491332</c:v>
                </c:pt>
                <c:pt idx="7">
                  <c:v>63.059521447789606</c:v>
                </c:pt>
                <c:pt idx="8">
                  <c:v>73.569441689087867</c:v>
                </c:pt>
                <c:pt idx="9">
                  <c:v>84.079361930386142</c:v>
                </c:pt>
                <c:pt idx="10">
                  <c:v>94.589282171684403</c:v>
                </c:pt>
                <c:pt idx="11">
                  <c:v>105.09920241298266</c:v>
                </c:pt>
                <c:pt idx="12">
                  <c:v>115.60912265428094</c:v>
                </c:pt>
                <c:pt idx="13">
                  <c:v>126.11904289557921</c:v>
                </c:pt>
                <c:pt idx="14">
                  <c:v>136.62896313687747</c:v>
                </c:pt>
                <c:pt idx="15">
                  <c:v>147.13888337817573</c:v>
                </c:pt>
                <c:pt idx="16">
                  <c:v>157.64880361947399</c:v>
                </c:pt>
                <c:pt idx="17">
                  <c:v>168.15872386077228</c:v>
                </c:pt>
                <c:pt idx="18">
                  <c:v>178.66864410207054</c:v>
                </c:pt>
                <c:pt idx="19">
                  <c:v>189.17856434336881</c:v>
                </c:pt>
                <c:pt idx="20">
                  <c:v>199.68848458466707</c:v>
                </c:pt>
                <c:pt idx="21">
                  <c:v>210.19840482596533</c:v>
                </c:pt>
                <c:pt idx="22">
                  <c:v>220.70832506726359</c:v>
                </c:pt>
              </c:numCache>
            </c:numRef>
          </c:xVal>
          <c:yVal>
            <c:numRef>
              <c:f>Dérive!$F$7:$F$29</c:f>
              <c:numCache>
                <c:formatCode>0.00</c:formatCode>
                <c:ptCount val="23"/>
                <c:pt idx="0">
                  <c:v>0.96763973863281272</c:v>
                </c:pt>
                <c:pt idx="1">
                  <c:v>0.84833713353983509</c:v>
                </c:pt>
                <c:pt idx="2">
                  <c:v>0.71967589214258398</c:v>
                </c:pt>
                <c:pt idx="3">
                  <c:v>0.51793338973122416</c:v>
                </c:pt>
                <c:pt idx="4">
                  <c:v>0.37274417432525142</c:v>
                </c:pt>
                <c:pt idx="5">
                  <c:v>0.26825499619847615</c:v>
                </c:pt>
                <c:pt idx="6">
                  <c:v>0.19305665371084382</c:v>
                </c:pt>
                <c:pt idx="7">
                  <c:v>0.1389382194934134</c:v>
                </c:pt>
                <c:pt idx="8">
                  <c:v>9.9990487066624459E-2</c:v>
                </c:pt>
                <c:pt idx="9">
                  <c:v>7.196074298544447E-2</c:v>
                </c:pt>
                <c:pt idx="10">
                  <c:v>5.1788411907292942E-2</c:v>
                </c:pt>
                <c:pt idx="11">
                  <c:v>3.7270871542028669E-2</c:v>
                </c:pt>
                <c:pt idx="12">
                  <c:v>2.6822947727941131E-2</c:v>
                </c:pt>
                <c:pt idx="13">
                  <c:v>1.9303828835999921E-2</c:v>
                </c:pt>
                <c:pt idx="14">
                  <c:v>1.3892500239315982E-2</c:v>
                </c:pt>
                <c:pt idx="15">
                  <c:v>9.9980975038207916E-3</c:v>
                </c:pt>
                <c:pt idx="16">
                  <c:v>7.1953897407907707E-3</c:v>
                </c:pt>
                <c:pt idx="17">
                  <c:v>5.1783485310171948E-3</c:v>
                </c:pt>
                <c:pt idx="18">
                  <c:v>3.7267325988850392E-3</c:v>
                </c:pt>
                <c:pt idx="19">
                  <c:v>2.6820396078794414E-3</c:v>
                </c:pt>
                <c:pt idx="20">
                  <c:v>1.9301992475623832E-3</c:v>
                </c:pt>
                <c:pt idx="21">
                  <c:v>1.3891178655024024E-3</c:v>
                </c:pt>
                <c:pt idx="22">
                  <c:v>9.9971463914664367E-4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89-4AD0-A4A2-4F2381352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93004160"/>
        <c:axId val="-1493002528"/>
      </c:scatterChart>
      <c:valAx>
        <c:axId val="-149300416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Periodicity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493002528"/>
        <c:crosses val="autoZero"/>
        <c:crossBetween val="midCat"/>
      </c:valAx>
      <c:valAx>
        <c:axId val="-14930025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Reliability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49300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57149</xdr:colOff>
      <xdr:row>11</xdr:row>
      <xdr:rowOff>80962</xdr:rowOff>
    </xdr:from>
    <xdr:to>
      <xdr:col>17</xdr:col>
      <xdr:colOff>600074</xdr:colOff>
      <xdr:row>29</xdr:row>
      <xdr:rowOff>9526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C346213-C4F5-44C5-A47F-6EE1C57D1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rgan%20gc\Desktop\EmVisage\Morgan\Statistique\Excel\Excel%20pro\Suivi%20m&#233;trologie.xlsx" TargetMode="External"/><Relationship Id="rId1" Type="http://schemas.openxmlformats.org/officeDocument/2006/relationships/externalLinkPath" Target="Suivi%20m&#233;trolog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PERET"/>
      <sheetName val="Dérive"/>
      <sheetName val="Risk maanagement"/>
    </sheetNames>
    <sheetDataSet>
      <sheetData sheetId="0"/>
      <sheetData sheetId="1">
        <row r="7">
          <cell r="B7">
            <v>1</v>
          </cell>
          <cell r="F7">
            <v>0.96763973863281272</v>
          </cell>
          <cell r="G7">
            <v>0.95148200656228044</v>
          </cell>
          <cell r="H7">
            <v>1.050992024129827</v>
          </cell>
        </row>
        <row r="8">
          <cell r="B8">
            <v>5</v>
          </cell>
          <cell r="F8">
            <v>0.84833713353983509</v>
          </cell>
          <cell r="G8">
            <v>4.7574100328114017</v>
          </cell>
          <cell r="H8">
            <v>5.2549601206491339</v>
          </cell>
        </row>
        <row r="9">
          <cell r="B9">
            <v>10</v>
          </cell>
          <cell r="F9">
            <v>0.71967589214258398</v>
          </cell>
          <cell r="G9">
            <v>9.5148200656228035</v>
          </cell>
          <cell r="H9">
            <v>10.509920241298268</v>
          </cell>
        </row>
        <row r="10">
          <cell r="B10">
            <v>20</v>
          </cell>
          <cell r="F10">
            <v>0.51793338973122416</v>
          </cell>
          <cell r="G10">
            <v>19.02964013124561</v>
          </cell>
          <cell r="H10">
            <v>21.019840482596539</v>
          </cell>
        </row>
        <row r="11">
          <cell r="B11">
            <v>30</v>
          </cell>
          <cell r="F11">
            <v>0.37274417432525142</v>
          </cell>
          <cell r="G11">
            <v>28.54446019686841</v>
          </cell>
          <cell r="H11">
            <v>31.529760723894803</v>
          </cell>
        </row>
        <row r="12">
          <cell r="B12">
            <v>40</v>
          </cell>
          <cell r="F12">
            <v>0.26825499619847615</v>
          </cell>
          <cell r="G12">
            <v>38.059280262491214</v>
          </cell>
          <cell r="H12">
            <v>42.039680965193071</v>
          </cell>
        </row>
        <row r="13">
          <cell r="B13">
            <v>50</v>
          </cell>
          <cell r="F13">
            <v>0.19305665371084382</v>
          </cell>
          <cell r="G13">
            <v>47.574100328114014</v>
          </cell>
          <cell r="H13">
            <v>52.549601206491332</v>
          </cell>
        </row>
        <row r="14">
          <cell r="B14">
            <v>60</v>
          </cell>
          <cell r="F14">
            <v>0.1389382194934134</v>
          </cell>
          <cell r="G14">
            <v>57.088920393736821</v>
          </cell>
          <cell r="H14">
            <v>63.059521447789606</v>
          </cell>
        </row>
        <row r="15">
          <cell r="B15">
            <v>70</v>
          </cell>
          <cell r="F15">
            <v>9.9990487066624459E-2</v>
          </cell>
          <cell r="G15">
            <v>66.603740459359628</v>
          </cell>
          <cell r="H15">
            <v>73.569441689087867</v>
          </cell>
        </row>
        <row r="16">
          <cell r="B16">
            <v>80</v>
          </cell>
          <cell r="F16">
            <v>7.196074298544447E-2</v>
          </cell>
          <cell r="G16">
            <v>76.118560524982428</v>
          </cell>
          <cell r="H16">
            <v>84.079361930386142</v>
          </cell>
        </row>
        <row r="17">
          <cell r="B17">
            <v>90</v>
          </cell>
          <cell r="F17">
            <v>5.1788411907292942E-2</v>
          </cell>
          <cell r="G17">
            <v>85.633380590605228</v>
          </cell>
          <cell r="H17">
            <v>94.589282171684403</v>
          </cell>
        </row>
        <row r="18">
          <cell r="B18">
            <v>100</v>
          </cell>
          <cell r="F18">
            <v>3.7270871542028669E-2</v>
          </cell>
          <cell r="G18">
            <v>95.148200656228028</v>
          </cell>
          <cell r="H18">
            <v>105.09920241298266</v>
          </cell>
        </row>
        <row r="19">
          <cell r="B19">
            <v>110</v>
          </cell>
          <cell r="F19">
            <v>2.6822947727941131E-2</v>
          </cell>
          <cell r="G19">
            <v>104.66302072185083</v>
          </cell>
          <cell r="H19">
            <v>115.60912265428094</v>
          </cell>
        </row>
        <row r="20">
          <cell r="B20">
            <v>120</v>
          </cell>
          <cell r="F20">
            <v>1.9303828835999921E-2</v>
          </cell>
          <cell r="G20">
            <v>114.17784078747364</v>
          </cell>
          <cell r="H20">
            <v>126.11904289557921</v>
          </cell>
        </row>
        <row r="21">
          <cell r="B21">
            <v>130</v>
          </cell>
          <cell r="F21">
            <v>1.3892500239315982E-2</v>
          </cell>
          <cell r="G21">
            <v>123.69266085309644</v>
          </cell>
          <cell r="H21">
            <v>136.62896313687747</v>
          </cell>
        </row>
        <row r="22">
          <cell r="B22">
            <v>140</v>
          </cell>
          <cell r="F22">
            <v>9.9980975038207916E-3</v>
          </cell>
          <cell r="G22">
            <v>133.20748091871926</v>
          </cell>
          <cell r="H22">
            <v>147.13888337817573</v>
          </cell>
        </row>
        <row r="23">
          <cell r="B23">
            <v>150</v>
          </cell>
          <cell r="F23">
            <v>7.1953897407907707E-3</v>
          </cell>
          <cell r="G23">
            <v>142.72230098434204</v>
          </cell>
          <cell r="H23">
            <v>157.64880361947399</v>
          </cell>
        </row>
        <row r="24">
          <cell r="B24">
            <v>160</v>
          </cell>
          <cell r="F24">
            <v>5.1783485310171948E-3</v>
          </cell>
          <cell r="G24">
            <v>152.23712104996486</v>
          </cell>
          <cell r="H24">
            <v>168.15872386077228</v>
          </cell>
        </row>
        <row r="25">
          <cell r="B25">
            <v>170</v>
          </cell>
          <cell r="F25">
            <v>3.7267325988850392E-3</v>
          </cell>
          <cell r="G25">
            <v>161.75194111558764</v>
          </cell>
          <cell r="H25">
            <v>178.66864410207054</v>
          </cell>
        </row>
        <row r="26">
          <cell r="B26">
            <v>180</v>
          </cell>
          <cell r="F26">
            <v>2.6820396078794414E-3</v>
          </cell>
          <cell r="G26">
            <v>171.26676118121046</v>
          </cell>
          <cell r="H26">
            <v>189.17856434336881</v>
          </cell>
        </row>
        <row r="27">
          <cell r="B27">
            <v>190</v>
          </cell>
          <cell r="F27">
            <v>1.9301992475623832E-3</v>
          </cell>
          <cell r="G27">
            <v>180.78158124683324</v>
          </cell>
          <cell r="H27">
            <v>199.68848458466707</v>
          </cell>
        </row>
        <row r="28">
          <cell r="B28">
            <v>200</v>
          </cell>
          <cell r="F28">
            <v>1.3891178655024024E-3</v>
          </cell>
          <cell r="G28">
            <v>190.29640131245606</v>
          </cell>
          <cell r="H28">
            <v>210.19840482596533</v>
          </cell>
        </row>
        <row r="29">
          <cell r="B29">
            <v>210</v>
          </cell>
          <cell r="F29">
            <v>9.9971463914664367E-4</v>
          </cell>
          <cell r="G29">
            <v>199.81122137807884</v>
          </cell>
          <cell r="H29">
            <v>220.70832506726359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009B-3021-4CEB-A07B-87B20EB1021C}">
  <dimension ref="B3:O38"/>
  <sheetViews>
    <sheetView showGridLines="0" tabSelected="1" zoomScaleNormal="100" workbookViewId="0">
      <selection activeCell="F34" sqref="F34"/>
    </sheetView>
  </sheetViews>
  <sheetFormatPr baseColWidth="10" defaultColWidth="11.42578125" defaultRowHeight="15" x14ac:dyDescent="0.25"/>
  <cols>
    <col min="3" max="3" width="12.140625" customWidth="1"/>
    <col min="4" max="4" width="13.28515625" bestFit="1" customWidth="1"/>
  </cols>
  <sheetData>
    <row r="3" spans="2:15" x14ac:dyDescent="0.25">
      <c r="B3" s="1" t="s">
        <v>0</v>
      </c>
      <c r="C3" s="2"/>
      <c r="D3" s="2"/>
      <c r="E3" s="2"/>
      <c r="F3" s="2"/>
      <c r="G3" s="2"/>
      <c r="H3" s="3"/>
    </row>
    <row r="5" spans="2:15" x14ac:dyDescent="0.25">
      <c r="C5" s="4" t="s">
        <v>1</v>
      </c>
      <c r="D5" s="5"/>
      <c r="F5" s="1" t="s">
        <v>2</v>
      </c>
      <c r="G5" s="2"/>
      <c r="H5" s="3"/>
    </row>
    <row r="6" spans="2:15" x14ac:dyDescent="0.25">
      <c r="B6" s="6" t="s">
        <v>3</v>
      </c>
      <c r="C6" s="6" t="s">
        <v>4</v>
      </c>
      <c r="D6" s="7" t="s">
        <v>5</v>
      </c>
      <c r="E6" s="8" t="s">
        <v>6</v>
      </c>
      <c r="F6" s="6" t="s">
        <v>7</v>
      </c>
      <c r="G6" s="6" t="s">
        <v>8</v>
      </c>
      <c r="H6" s="6" t="s">
        <v>9</v>
      </c>
    </row>
    <row r="7" spans="2:15" x14ac:dyDescent="0.25">
      <c r="B7" s="9">
        <v>1</v>
      </c>
      <c r="C7" s="9">
        <v>5</v>
      </c>
      <c r="D7" s="10">
        <v>5</v>
      </c>
      <c r="E7" s="11">
        <f>D7/C7</f>
        <v>1</v>
      </c>
      <c r="F7" s="12">
        <f>EXP(-$M$10*B7)</f>
        <v>0.96763973863281272</v>
      </c>
      <c r="G7" s="13">
        <f>-1/$O$10*LN(F7)</f>
        <v>0.95148200656228044</v>
      </c>
      <c r="H7" s="13">
        <f>-1/$O$11*LN(F7)</f>
        <v>1.050992024129827</v>
      </c>
    </row>
    <row r="8" spans="2:15" x14ac:dyDescent="0.25">
      <c r="B8" s="9">
        <v>5</v>
      </c>
      <c r="C8" s="9">
        <v>5</v>
      </c>
      <c r="D8" s="10">
        <v>4</v>
      </c>
      <c r="E8" s="11">
        <f t="shared" ref="E8:E29" si="0">D8/C8</f>
        <v>0.8</v>
      </c>
      <c r="F8" s="12">
        <f>EXP(-$M$10*B8)</f>
        <v>0.84833713353983509</v>
      </c>
      <c r="G8" s="13">
        <f>-1/$O$10*LN(F8)</f>
        <v>4.7574100328114017</v>
      </c>
      <c r="H8" s="13">
        <f>-1/$O$11*LN(F8)</f>
        <v>5.2549601206491339</v>
      </c>
      <c r="J8" s="4" t="s">
        <v>10</v>
      </c>
      <c r="K8" s="14"/>
      <c r="L8" s="5"/>
      <c r="M8" s="13">
        <f>1/C30*SUMPRODUCT(B7:B29,C7:C29)</f>
        <v>36.6</v>
      </c>
      <c r="N8" s="6" t="s">
        <v>11</v>
      </c>
      <c r="O8" s="8">
        <f>-((C30-D30)*M8^2)/(EXP(M10*M8)-1)^2*EXP(M10*M8)</f>
        <v>-28704.857142857138</v>
      </c>
    </row>
    <row r="9" spans="2:15" x14ac:dyDescent="0.25">
      <c r="B9" s="9">
        <v>10</v>
      </c>
      <c r="C9" s="9">
        <v>5</v>
      </c>
      <c r="D9" s="10">
        <v>3</v>
      </c>
      <c r="E9" s="11">
        <f t="shared" si="0"/>
        <v>0.6</v>
      </c>
      <c r="F9" s="12">
        <f>EXP(-$M$10*B9)</f>
        <v>0.71967589214258398</v>
      </c>
      <c r="G9" s="13">
        <f>-1/$O$10*LN(F9)</f>
        <v>9.5148200656228035</v>
      </c>
      <c r="H9" s="13">
        <f>-1/$O$11*LN(F9)</f>
        <v>10.509920241298268</v>
      </c>
      <c r="J9" s="4" t="s">
        <v>12</v>
      </c>
      <c r="K9" s="14"/>
      <c r="L9" s="5"/>
      <c r="M9" s="12">
        <f>D30/C30</f>
        <v>0.3</v>
      </c>
      <c r="N9" s="6" t="s">
        <v>13</v>
      </c>
      <c r="O9" s="15">
        <f>SQRT(-1/(C30*O8))</f>
        <v>8.3471324133986167E-4</v>
      </c>
    </row>
    <row r="10" spans="2:15" x14ac:dyDescent="0.25">
      <c r="B10" s="9">
        <v>20</v>
      </c>
      <c r="C10" s="9">
        <v>5</v>
      </c>
      <c r="D10" s="10">
        <v>2</v>
      </c>
      <c r="E10" s="11">
        <f t="shared" si="0"/>
        <v>0.4</v>
      </c>
      <c r="F10" s="12">
        <f>EXP(-$M$10*B10)</f>
        <v>0.51793338973122416</v>
      </c>
      <c r="G10" s="13">
        <f>-1/$O$10*LN(F10)</f>
        <v>19.02964013124561</v>
      </c>
      <c r="H10" s="13">
        <f>-1/$O$11*LN(F10)</f>
        <v>21.019840482596539</v>
      </c>
      <c r="J10" s="4" t="s">
        <v>14</v>
      </c>
      <c r="K10" s="14"/>
      <c r="L10" s="5"/>
      <c r="M10" s="16">
        <f>-1/M8*LN(M9)</f>
        <v>3.2895431812184045E-2</v>
      </c>
      <c r="N10" s="17" t="s">
        <v>15</v>
      </c>
      <c r="O10" s="15">
        <f>M10*EXP(1.96*O9/M10)</f>
        <v>3.4572836464912E-2</v>
      </c>
    </row>
    <row r="11" spans="2:15" x14ac:dyDescent="0.25">
      <c r="B11" s="9">
        <v>30</v>
      </c>
      <c r="C11" s="9">
        <v>5</v>
      </c>
      <c r="D11" s="10">
        <v>1</v>
      </c>
      <c r="E11" s="11">
        <f t="shared" si="0"/>
        <v>0.2</v>
      </c>
      <c r="F11" s="12">
        <f>EXP(-$M$10*B11)</f>
        <v>0.37274417432525142</v>
      </c>
      <c r="G11" s="13">
        <f>-1/$O$10*LN(F11)</f>
        <v>28.54446019686841</v>
      </c>
      <c r="H11" s="13">
        <f>-1/$O$11*LN(F11)</f>
        <v>31.529760723894803</v>
      </c>
      <c r="J11" s="1" t="s">
        <v>16</v>
      </c>
      <c r="K11" s="2"/>
      <c r="L11" s="2"/>
      <c r="M11" s="3"/>
      <c r="N11" s="17" t="s">
        <v>17</v>
      </c>
      <c r="O11" s="15">
        <f>M10*EXP(-1.96*O9/M10)</f>
        <v>3.1299411467389543E-2</v>
      </c>
    </row>
    <row r="12" spans="2:15" x14ac:dyDescent="0.25">
      <c r="B12" s="9">
        <v>40</v>
      </c>
      <c r="C12" s="9">
        <v>5</v>
      </c>
      <c r="D12" s="10">
        <v>0</v>
      </c>
      <c r="E12" s="11">
        <f t="shared" si="0"/>
        <v>0</v>
      </c>
      <c r="F12" s="12">
        <f>EXP(-$M$10*B12)</f>
        <v>0.26825499619847615</v>
      </c>
      <c r="G12" s="13">
        <f>-1/$O$10*LN(F12)</f>
        <v>38.059280262491214</v>
      </c>
      <c r="H12" s="13">
        <f>-1/$O$11*LN(F12)</f>
        <v>42.039680965193071</v>
      </c>
    </row>
    <row r="13" spans="2:15" x14ac:dyDescent="0.25">
      <c r="B13" s="9">
        <v>50</v>
      </c>
      <c r="C13" s="9">
        <v>5</v>
      </c>
      <c r="D13" s="10">
        <v>0</v>
      </c>
      <c r="E13" s="11">
        <f t="shared" si="0"/>
        <v>0</v>
      </c>
      <c r="F13" s="12">
        <f>EXP(-$M$10*B13)</f>
        <v>0.19305665371084382</v>
      </c>
      <c r="G13" s="13">
        <f>-1/$O$10*LN(F13)</f>
        <v>47.574100328114014</v>
      </c>
      <c r="H13" s="13">
        <f>-1/$O$11*LN(F13)</f>
        <v>52.549601206491332</v>
      </c>
    </row>
    <row r="14" spans="2:15" x14ac:dyDescent="0.25">
      <c r="B14" s="9">
        <v>60</v>
      </c>
      <c r="C14" s="9">
        <v>5</v>
      </c>
      <c r="D14" s="10">
        <v>0</v>
      </c>
      <c r="E14" s="11">
        <f t="shared" si="0"/>
        <v>0</v>
      </c>
      <c r="F14" s="12">
        <f>EXP(-$M$10*B14)</f>
        <v>0.1389382194934134</v>
      </c>
      <c r="G14" s="13">
        <f>-1/$O$10*LN(F14)</f>
        <v>57.088920393736821</v>
      </c>
      <c r="H14" s="13">
        <f>-1/$O$11*LN(F14)</f>
        <v>63.059521447789606</v>
      </c>
    </row>
    <row r="15" spans="2:15" x14ac:dyDescent="0.25">
      <c r="B15" s="9">
        <v>70</v>
      </c>
      <c r="C15" s="9">
        <v>5</v>
      </c>
      <c r="D15" s="10">
        <v>0</v>
      </c>
      <c r="E15" s="11">
        <f t="shared" si="0"/>
        <v>0</v>
      </c>
      <c r="F15" s="12">
        <f t="shared" ref="F15:F29" si="1">EXP(-$M$10*B15)</f>
        <v>9.9990487066624459E-2</v>
      </c>
      <c r="G15" s="13">
        <f t="shared" ref="G15:G29" si="2">-1/$O$10*LN(F15)</f>
        <v>66.603740459359628</v>
      </c>
      <c r="H15" s="13">
        <f t="shared" ref="H15:H29" si="3">-1/$O$11*LN(F15)</f>
        <v>73.569441689087867</v>
      </c>
    </row>
    <row r="16" spans="2:15" x14ac:dyDescent="0.25">
      <c r="B16" s="9">
        <v>80</v>
      </c>
      <c r="C16" s="9">
        <v>5</v>
      </c>
      <c r="D16" s="10">
        <v>0</v>
      </c>
      <c r="E16" s="11">
        <f t="shared" si="0"/>
        <v>0</v>
      </c>
      <c r="F16" s="12">
        <f t="shared" si="1"/>
        <v>7.196074298544447E-2</v>
      </c>
      <c r="G16" s="13">
        <f t="shared" si="2"/>
        <v>76.118560524982428</v>
      </c>
      <c r="H16" s="13">
        <f t="shared" si="3"/>
        <v>84.079361930386142</v>
      </c>
    </row>
    <row r="17" spans="2:8" ht="15" customHeight="1" x14ac:dyDescent="0.25">
      <c r="B17" s="9">
        <v>90</v>
      </c>
      <c r="C17" s="9"/>
      <c r="D17" s="10"/>
      <c r="E17" s="11" t="e">
        <f t="shared" si="0"/>
        <v>#DIV/0!</v>
      </c>
      <c r="F17" s="12">
        <f t="shared" si="1"/>
        <v>5.1788411907292942E-2</v>
      </c>
      <c r="G17" s="13">
        <f t="shared" si="2"/>
        <v>85.633380590605228</v>
      </c>
      <c r="H17" s="13">
        <f t="shared" si="3"/>
        <v>94.589282171684403</v>
      </c>
    </row>
    <row r="18" spans="2:8" x14ac:dyDescent="0.25">
      <c r="B18" s="9">
        <v>100</v>
      </c>
      <c r="C18" s="9"/>
      <c r="D18" s="10"/>
      <c r="E18" s="11" t="e">
        <f t="shared" si="0"/>
        <v>#DIV/0!</v>
      </c>
      <c r="F18" s="12">
        <f t="shared" si="1"/>
        <v>3.7270871542028669E-2</v>
      </c>
      <c r="G18" s="13">
        <f t="shared" si="2"/>
        <v>95.148200656228028</v>
      </c>
      <c r="H18" s="13">
        <f t="shared" si="3"/>
        <v>105.09920241298266</v>
      </c>
    </row>
    <row r="19" spans="2:8" x14ac:dyDescent="0.25">
      <c r="B19" s="9">
        <v>110</v>
      </c>
      <c r="C19" s="9"/>
      <c r="D19" s="10"/>
      <c r="E19" s="11" t="e">
        <f t="shared" si="0"/>
        <v>#DIV/0!</v>
      </c>
      <c r="F19" s="12">
        <f t="shared" si="1"/>
        <v>2.6822947727941131E-2</v>
      </c>
      <c r="G19" s="13">
        <f t="shared" si="2"/>
        <v>104.66302072185083</v>
      </c>
      <c r="H19" s="13">
        <f t="shared" si="3"/>
        <v>115.60912265428094</v>
      </c>
    </row>
    <row r="20" spans="2:8" x14ac:dyDescent="0.25">
      <c r="B20" s="9">
        <v>120</v>
      </c>
      <c r="C20" s="9"/>
      <c r="D20" s="10"/>
      <c r="E20" s="11" t="e">
        <f t="shared" si="0"/>
        <v>#DIV/0!</v>
      </c>
      <c r="F20" s="12">
        <f t="shared" si="1"/>
        <v>1.9303828835999921E-2</v>
      </c>
      <c r="G20" s="13">
        <f t="shared" si="2"/>
        <v>114.17784078747364</v>
      </c>
      <c r="H20" s="13">
        <f t="shared" si="3"/>
        <v>126.11904289557921</v>
      </c>
    </row>
    <row r="21" spans="2:8" x14ac:dyDescent="0.25">
      <c r="B21" s="9">
        <v>130</v>
      </c>
      <c r="C21" s="9"/>
      <c r="D21" s="10"/>
      <c r="E21" s="11" t="e">
        <f t="shared" si="0"/>
        <v>#DIV/0!</v>
      </c>
      <c r="F21" s="12">
        <f t="shared" si="1"/>
        <v>1.3892500239315982E-2</v>
      </c>
      <c r="G21" s="13">
        <f t="shared" si="2"/>
        <v>123.69266085309644</v>
      </c>
      <c r="H21" s="13">
        <f t="shared" si="3"/>
        <v>136.62896313687747</v>
      </c>
    </row>
    <row r="22" spans="2:8" x14ac:dyDescent="0.25">
      <c r="B22" s="9">
        <v>140</v>
      </c>
      <c r="C22" s="9"/>
      <c r="D22" s="10"/>
      <c r="E22" s="11" t="e">
        <f t="shared" si="0"/>
        <v>#DIV/0!</v>
      </c>
      <c r="F22" s="12">
        <f t="shared" si="1"/>
        <v>9.9980975038207916E-3</v>
      </c>
      <c r="G22" s="13">
        <f t="shared" si="2"/>
        <v>133.20748091871926</v>
      </c>
      <c r="H22" s="13">
        <f t="shared" si="3"/>
        <v>147.13888337817573</v>
      </c>
    </row>
    <row r="23" spans="2:8" x14ac:dyDescent="0.25">
      <c r="B23" s="9">
        <v>150</v>
      </c>
      <c r="C23" s="9"/>
      <c r="D23" s="10"/>
      <c r="E23" s="11" t="e">
        <f t="shared" si="0"/>
        <v>#DIV/0!</v>
      </c>
      <c r="F23" s="12">
        <f t="shared" si="1"/>
        <v>7.1953897407907707E-3</v>
      </c>
      <c r="G23" s="13">
        <f t="shared" si="2"/>
        <v>142.72230098434204</v>
      </c>
      <c r="H23" s="13">
        <f t="shared" si="3"/>
        <v>157.64880361947399</v>
      </c>
    </row>
    <row r="24" spans="2:8" x14ac:dyDescent="0.25">
      <c r="B24" s="9">
        <v>160</v>
      </c>
      <c r="C24" s="9"/>
      <c r="D24" s="10"/>
      <c r="E24" s="11" t="e">
        <f t="shared" si="0"/>
        <v>#DIV/0!</v>
      </c>
      <c r="F24" s="12">
        <f t="shared" si="1"/>
        <v>5.1783485310171948E-3</v>
      </c>
      <c r="G24" s="13">
        <f t="shared" si="2"/>
        <v>152.23712104996486</v>
      </c>
      <c r="H24" s="13">
        <f t="shared" si="3"/>
        <v>168.15872386077228</v>
      </c>
    </row>
    <row r="25" spans="2:8" x14ac:dyDescent="0.25">
      <c r="B25" s="9">
        <v>170</v>
      </c>
      <c r="C25" s="9"/>
      <c r="D25" s="10"/>
      <c r="E25" s="11" t="e">
        <f t="shared" si="0"/>
        <v>#DIV/0!</v>
      </c>
      <c r="F25" s="12">
        <f t="shared" si="1"/>
        <v>3.7267325988850392E-3</v>
      </c>
      <c r="G25" s="13">
        <f t="shared" si="2"/>
        <v>161.75194111558764</v>
      </c>
      <c r="H25" s="13">
        <f t="shared" si="3"/>
        <v>178.66864410207054</v>
      </c>
    </row>
    <row r="26" spans="2:8" x14ac:dyDescent="0.25">
      <c r="B26" s="9">
        <v>180</v>
      </c>
      <c r="C26" s="9"/>
      <c r="D26" s="10"/>
      <c r="E26" s="11" t="e">
        <f t="shared" si="0"/>
        <v>#DIV/0!</v>
      </c>
      <c r="F26" s="12">
        <f t="shared" si="1"/>
        <v>2.6820396078794414E-3</v>
      </c>
      <c r="G26" s="13">
        <f t="shared" si="2"/>
        <v>171.26676118121046</v>
      </c>
      <c r="H26" s="13">
        <f t="shared" si="3"/>
        <v>189.17856434336881</v>
      </c>
    </row>
    <row r="27" spans="2:8" x14ac:dyDescent="0.25">
      <c r="B27" s="9">
        <v>190</v>
      </c>
      <c r="C27" s="9"/>
      <c r="D27" s="10"/>
      <c r="E27" s="11" t="e">
        <f t="shared" si="0"/>
        <v>#DIV/0!</v>
      </c>
      <c r="F27" s="12">
        <f t="shared" si="1"/>
        <v>1.9301992475623832E-3</v>
      </c>
      <c r="G27" s="13">
        <f t="shared" si="2"/>
        <v>180.78158124683324</v>
      </c>
      <c r="H27" s="13">
        <f t="shared" si="3"/>
        <v>199.68848458466707</v>
      </c>
    </row>
    <row r="28" spans="2:8" x14ac:dyDescent="0.25">
      <c r="B28" s="9">
        <v>200</v>
      </c>
      <c r="C28" s="9"/>
      <c r="D28" s="10"/>
      <c r="E28" s="11" t="e">
        <f t="shared" si="0"/>
        <v>#DIV/0!</v>
      </c>
      <c r="F28" s="12">
        <f t="shared" si="1"/>
        <v>1.3891178655024024E-3</v>
      </c>
      <c r="G28" s="13">
        <f t="shared" si="2"/>
        <v>190.29640131245606</v>
      </c>
      <c r="H28" s="13">
        <f t="shared" si="3"/>
        <v>210.19840482596533</v>
      </c>
    </row>
    <row r="29" spans="2:8" x14ac:dyDescent="0.25">
      <c r="B29" s="9">
        <v>210</v>
      </c>
      <c r="C29" s="9"/>
      <c r="D29" s="10"/>
      <c r="E29" s="11" t="e">
        <f t="shared" si="0"/>
        <v>#DIV/0!</v>
      </c>
      <c r="F29" s="12">
        <f t="shared" si="1"/>
        <v>9.9971463914664367E-4</v>
      </c>
      <c r="G29" s="13">
        <f t="shared" si="2"/>
        <v>199.81122137807884</v>
      </c>
      <c r="H29" s="13">
        <f t="shared" si="3"/>
        <v>220.70832506726359</v>
      </c>
    </row>
    <row r="30" spans="2:8" x14ac:dyDescent="0.25">
      <c r="B30" s="6" t="s">
        <v>18</v>
      </c>
      <c r="C30" s="6">
        <f>SUM(C7:C29)</f>
        <v>50</v>
      </c>
      <c r="D30" s="8">
        <f>SUM(D7:D29)</f>
        <v>15</v>
      </c>
    </row>
    <row r="32" spans="2:8" x14ac:dyDescent="0.25">
      <c r="B32" s="18" t="s">
        <v>19</v>
      </c>
      <c r="C32" s="19"/>
      <c r="D32" s="19"/>
      <c r="E32" s="20"/>
      <c r="F32" s="6" t="s">
        <v>20</v>
      </c>
      <c r="G32" s="6" t="s">
        <v>21</v>
      </c>
      <c r="H32" s="6" t="s">
        <v>22</v>
      </c>
    </row>
    <row r="33" spans="2:8" x14ac:dyDescent="0.25">
      <c r="B33" s="21"/>
      <c r="C33" s="22"/>
      <c r="D33" s="22"/>
      <c r="E33" s="23"/>
      <c r="F33" s="24">
        <v>0.9</v>
      </c>
      <c r="G33" s="12">
        <f>-1/$O$10*LN(F33)</f>
        <v>3.0474941147729302</v>
      </c>
      <c r="H33" s="12">
        <f>-1/$O$11*LN(F33)</f>
        <v>3.3662139547767556</v>
      </c>
    </row>
    <row r="34" spans="2:8" x14ac:dyDescent="0.25">
      <c r="D34" s="25"/>
      <c r="E34" s="25"/>
    </row>
    <row r="35" spans="2:8" x14ac:dyDescent="0.25">
      <c r="D35" s="25"/>
      <c r="E35" s="25"/>
    </row>
    <row r="36" spans="2:8" x14ac:dyDescent="0.25">
      <c r="D36" s="25"/>
      <c r="E36" s="25"/>
    </row>
    <row r="37" spans="2:8" x14ac:dyDescent="0.25">
      <c r="D37" s="25"/>
      <c r="E37" s="25"/>
    </row>
    <row r="38" spans="2:8" x14ac:dyDescent="0.25">
      <c r="D38" s="25"/>
      <c r="E38" s="25"/>
    </row>
  </sheetData>
  <mergeCells count="8">
    <mergeCell ref="J11:M11"/>
    <mergeCell ref="B32:E33"/>
    <mergeCell ref="B3:H3"/>
    <mergeCell ref="C5:D5"/>
    <mergeCell ref="F5:H5"/>
    <mergeCell ref="J8:L8"/>
    <mergeCell ref="J9:L9"/>
    <mergeCell ref="J10:L10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Dérive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 Colliou</dc:creator>
  <cp:lastModifiedBy>morgan Germa Colliou</cp:lastModifiedBy>
  <dcterms:created xsi:type="dcterms:W3CDTF">2025-11-17T09:13:00Z</dcterms:created>
  <dcterms:modified xsi:type="dcterms:W3CDTF">2025-11-17T09:13:36Z</dcterms:modified>
</cp:coreProperties>
</file>