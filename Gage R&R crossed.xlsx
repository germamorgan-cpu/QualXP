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Excel pro\"/>
    </mc:Choice>
  </mc:AlternateContent>
  <xr:revisionPtr revIDLastSave="0" documentId="13_ncr:1_{C52F610C-079A-45E6-9D99-4E520552C50C}" xr6:coauthVersionLast="47" xr6:coauthVersionMax="47" xr10:uidLastSave="{00000000-0000-0000-0000-000000000000}"/>
  <bookViews>
    <workbookView xWindow="-120" yWindow="-120" windowWidth="29040" windowHeight="15720" tabRatio="828" xr2:uid="{00000000-000D-0000-FFFF-FFFF00000000}"/>
  </bookViews>
  <sheets>
    <sheet name="GR&amp;R croisé" sheetId="1" r:id="rId1"/>
    <sheet name="Gage R&amp;R emboité" sheetId="16" r:id="rId2"/>
    <sheet name="Récapitulatif" sheetId="9" state="hidden" r:id="rId3"/>
    <sheet name="Graph Profil" sheetId="10" state="hidden" r:id="rId4"/>
    <sheet name="80%" sheetId="11" state="hidden" r:id="rId5"/>
    <sheet name="90%" sheetId="12" state="hidden" r:id="rId6"/>
    <sheet name="100%" sheetId="13" state="hidden" r:id="rId7"/>
    <sheet name="110%" sheetId="14" state="hidden" r:id="rId8"/>
    <sheet name="120%" sheetId="15" state="hidden" r:id="rId9"/>
  </sheets>
  <definedNames>
    <definedName name="__123Graph_A" localSheetId="1" hidden="1">#REF!</definedName>
    <definedName name="__123Graph_A" hidden="1">#REF!</definedName>
    <definedName name="__123Graph_ARG" localSheetId="1" hidden="1">#REF!</definedName>
    <definedName name="__123Graph_ARG" hidden="1">#REF!</definedName>
    <definedName name="__123Graph_B" localSheetId="1" hidden="1">#REF!</definedName>
    <definedName name="__123Graph_B" hidden="1">#REF!</definedName>
    <definedName name="__123Graph_BRG" hidden="1">#REF!</definedName>
    <definedName name="__123Graph_C" hidden="1">#REF!</definedName>
    <definedName name="__123Graph_CRG" hidden="1">#REF!</definedName>
    <definedName name="__123Graph_X" hidden="1">#REF!</definedName>
    <definedName name="__123Graph_XRG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ANALYTES">#REF!</definedName>
    <definedName name="_xlnm.Print_Area" localSheetId="4">'80%'!$A$1:$I$40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9" i="1" l="1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5" i="16"/>
  <c r="D58" i="16"/>
  <c r="Q15" i="1"/>
  <c r="Q16" i="1"/>
  <c r="N57" i="1"/>
  <c r="D57" i="16"/>
  <c r="H58" i="16" s="1"/>
  <c r="C57" i="16"/>
  <c r="D56" i="16"/>
  <c r="H56" i="16" s="1"/>
  <c r="C56" i="16"/>
  <c r="N5" i="16"/>
  <c r="P4" i="16"/>
  <c r="P5" i="16" s="1"/>
  <c r="N4" i="16"/>
  <c r="M3" i="16"/>
  <c r="L3" i="16"/>
  <c r="K62" i="1"/>
  <c r="G61" i="1"/>
  <c r="G59" i="1"/>
  <c r="G58" i="1"/>
  <c r="J64" i="1"/>
  <c r="U6" i="1"/>
  <c r="Q58" i="1"/>
  <c r="G53" i="16" l="1"/>
  <c r="K17" i="16"/>
  <c r="K29" i="16"/>
  <c r="K14" i="16"/>
  <c r="K26" i="16"/>
  <c r="K11" i="16"/>
  <c r="K8" i="16"/>
  <c r="K23" i="16"/>
  <c r="K20" i="16"/>
  <c r="E56" i="16"/>
  <c r="M7" i="16"/>
  <c r="E53" i="16"/>
  <c r="M11" i="16"/>
  <c r="K5" i="16"/>
  <c r="E57" i="16"/>
  <c r="M10" i="16"/>
  <c r="D53" i="16"/>
  <c r="H53" i="16" s="1"/>
  <c r="H57" i="16"/>
  <c r="H54" i="16" s="1"/>
  <c r="D58" i="1"/>
  <c r="F57" i="16" l="1"/>
  <c r="F53" i="16"/>
  <c r="H55" i="16"/>
  <c r="I53" i="16"/>
  <c r="M61" i="16" s="1"/>
  <c r="F56" i="16"/>
  <c r="D62" i="1"/>
  <c r="C62" i="1"/>
  <c r="M8" i="16" l="1"/>
  <c r="M9" i="16" s="1"/>
  <c r="G57" i="16"/>
  <c r="G56" i="16"/>
  <c r="I56" i="16" s="1"/>
  <c r="U37" i="16"/>
  <c r="V37" i="16" s="1"/>
  <c r="U67" i="16"/>
  <c r="V67" i="16" s="1"/>
  <c r="U54" i="16"/>
  <c r="V54" i="16" s="1"/>
  <c r="U80" i="16"/>
  <c r="V80" i="16" s="1"/>
  <c r="U38" i="16"/>
  <c r="V38" i="16" s="1"/>
  <c r="U91" i="16"/>
  <c r="V91" i="16" s="1"/>
  <c r="U33" i="16"/>
  <c r="V33" i="16" s="1"/>
  <c r="U84" i="16"/>
  <c r="V84" i="16" s="1"/>
  <c r="U44" i="16"/>
  <c r="V44" i="16" s="1"/>
  <c r="U75" i="16"/>
  <c r="V75" i="16" s="1"/>
  <c r="U93" i="16"/>
  <c r="V93" i="16" s="1"/>
  <c r="U59" i="16"/>
  <c r="V59" i="16" s="1"/>
  <c r="U41" i="16"/>
  <c r="V41" i="16" s="1"/>
  <c r="U57" i="16"/>
  <c r="V57" i="16" s="1"/>
  <c r="U52" i="16"/>
  <c r="V52" i="16" s="1"/>
  <c r="U77" i="16"/>
  <c r="V77" i="16" s="1"/>
  <c r="U74" i="16"/>
  <c r="V74" i="16" s="1"/>
  <c r="U35" i="16"/>
  <c r="V35" i="16" s="1"/>
  <c r="U64" i="16"/>
  <c r="V64" i="16" s="1"/>
  <c r="U36" i="16"/>
  <c r="V36" i="16" s="1"/>
  <c r="U56" i="16"/>
  <c r="V56" i="16" s="1"/>
  <c r="U83" i="16"/>
  <c r="V83" i="16" s="1"/>
  <c r="U90" i="16"/>
  <c r="V90" i="16" s="1"/>
  <c r="U45" i="16"/>
  <c r="V45" i="16" s="1"/>
  <c r="U68" i="16"/>
  <c r="V68" i="16" s="1"/>
  <c r="U58" i="16"/>
  <c r="V58" i="16" s="1"/>
  <c r="U46" i="16"/>
  <c r="V46" i="16" s="1"/>
  <c r="U69" i="16"/>
  <c r="V69" i="16" s="1"/>
  <c r="U85" i="16"/>
  <c r="V85" i="16" s="1"/>
  <c r="U78" i="16"/>
  <c r="V78" i="16" s="1"/>
  <c r="U60" i="16"/>
  <c r="V60" i="16" s="1"/>
  <c r="U43" i="16"/>
  <c r="V43" i="16" s="1"/>
  <c r="U39" i="16"/>
  <c r="V39" i="16" s="1"/>
  <c r="U49" i="16"/>
  <c r="V49" i="16" s="1"/>
  <c r="U72" i="16"/>
  <c r="V72" i="16" s="1"/>
  <c r="U88" i="16"/>
  <c r="V88" i="16" s="1"/>
  <c r="U61" i="16"/>
  <c r="V61" i="16" s="1"/>
  <c r="U40" i="16"/>
  <c r="V40" i="16" s="1"/>
  <c r="U48" i="16"/>
  <c r="V48" i="16" s="1"/>
  <c r="U63" i="16"/>
  <c r="V63" i="16" s="1"/>
  <c r="R4" i="16" s="1"/>
  <c r="R5" i="16" s="1"/>
  <c r="U71" i="16"/>
  <c r="V71" i="16" s="1"/>
  <c r="U79" i="16"/>
  <c r="V79" i="16" s="1"/>
  <c r="U87" i="16"/>
  <c r="V87" i="16" s="1"/>
  <c r="U66" i="16"/>
  <c r="V66" i="16" s="1"/>
  <c r="U82" i="16"/>
  <c r="V82" i="16" s="1"/>
  <c r="U53" i="16"/>
  <c r="V53" i="16" s="1"/>
  <c r="U51" i="16"/>
  <c r="V51" i="16" s="1"/>
  <c r="U47" i="16"/>
  <c r="V47" i="16" s="1"/>
  <c r="U62" i="16"/>
  <c r="V62" i="16" s="1"/>
  <c r="U76" i="16"/>
  <c r="V76" i="16" s="1"/>
  <c r="U92" i="16"/>
  <c r="V92" i="16" s="1"/>
  <c r="U34" i="16"/>
  <c r="V34" i="16" s="1"/>
  <c r="U42" i="16"/>
  <c r="V42" i="16" s="1"/>
  <c r="U50" i="16"/>
  <c r="V50" i="16" s="1"/>
  <c r="U65" i="16"/>
  <c r="V65" i="16" s="1"/>
  <c r="U73" i="16"/>
  <c r="V73" i="16" s="1"/>
  <c r="U81" i="16"/>
  <c r="V81" i="16" s="1"/>
  <c r="U89" i="16"/>
  <c r="V89" i="16" s="1"/>
  <c r="U70" i="16"/>
  <c r="V70" i="16" s="1"/>
  <c r="U86" i="16"/>
  <c r="V86" i="16" s="1"/>
  <c r="U55" i="16"/>
  <c r="V55" i="16" s="1"/>
  <c r="U33" i="1"/>
  <c r="O28" i="1"/>
  <c r="U32" i="1"/>
  <c r="R59" i="1"/>
  <c r="R58" i="1"/>
  <c r="O35" i="1"/>
  <c r="U28" i="1"/>
  <c r="U34" i="1"/>
  <c r="O19" i="1"/>
  <c r="U29" i="1"/>
  <c r="U20" i="1"/>
  <c r="U30" i="1"/>
  <c r="O21" i="1"/>
  <c r="U31" i="1"/>
  <c r="U7" i="1"/>
  <c r="U27" i="1"/>
  <c r="O8" i="1"/>
  <c r="O14" i="1"/>
  <c r="U24" i="1"/>
  <c r="O15" i="1"/>
  <c r="O34" i="1"/>
  <c r="O7" i="1"/>
  <c r="U17" i="1"/>
  <c r="U35" i="1"/>
  <c r="U15" i="1"/>
  <c r="U14" i="1"/>
  <c r="O6" i="1"/>
  <c r="O11" i="1"/>
  <c r="G58" i="16" l="1"/>
  <c r="J56" i="16"/>
  <c r="J57" i="16"/>
  <c r="I57" i="16"/>
  <c r="O23" i="1"/>
  <c r="U23" i="1"/>
  <c r="U22" i="1"/>
  <c r="O16" i="1"/>
  <c r="U21" i="1"/>
  <c r="O33" i="1"/>
  <c r="O31" i="1"/>
  <c r="O22" i="1"/>
  <c r="U19" i="1"/>
  <c r="O32" i="1"/>
  <c r="O27" i="1"/>
  <c r="O29" i="1"/>
  <c r="O20" i="1"/>
  <c r="O30" i="1"/>
  <c r="U16" i="1"/>
  <c r="E58" i="1"/>
  <c r="O26" i="1"/>
  <c r="U26" i="1"/>
  <c r="Q12" i="1"/>
  <c r="U11" i="1" s="1"/>
  <c r="O24" i="1"/>
  <c r="O17" i="1"/>
  <c r="U25" i="1"/>
  <c r="O25" i="1"/>
  <c r="U18" i="1"/>
  <c r="O18" i="1"/>
  <c r="E61" i="1"/>
  <c r="Q9" i="1"/>
  <c r="U8" i="1" s="1"/>
  <c r="Q13" i="1"/>
  <c r="O13" i="1"/>
  <c r="U13" i="1"/>
  <c r="U12" i="1"/>
  <c r="O12" i="1"/>
  <c r="G54" i="16" l="1"/>
  <c r="G55" i="16" s="1"/>
  <c r="I58" i="16"/>
  <c r="K56" i="16" s="1"/>
  <c r="J58" i="16"/>
  <c r="H61" i="1"/>
  <c r="C61" i="1"/>
  <c r="J54" i="16" l="1"/>
  <c r="K57" i="16"/>
  <c r="K58" i="16"/>
  <c r="I54" i="16"/>
  <c r="I55" i="16"/>
  <c r="J55" i="16"/>
  <c r="C3" i="9"/>
  <c r="C2" i="9"/>
  <c r="K60" i="16" l="1"/>
  <c r="D60" i="16"/>
  <c r="D62" i="16"/>
  <c r="J53" i="16"/>
  <c r="G6" i="9"/>
  <c r="F6" i="9"/>
  <c r="E6" i="9"/>
  <c r="D6" i="9"/>
  <c r="C6" i="9"/>
  <c r="I9" i="14"/>
  <c r="I7" i="12"/>
  <c r="B33" i="15"/>
  <c r="B33" i="14"/>
  <c r="B33" i="13"/>
  <c r="I8" i="13"/>
  <c r="B33" i="12"/>
  <c r="B33" i="11"/>
  <c r="G21" i="9"/>
  <c r="F21" i="9"/>
  <c r="E21" i="9"/>
  <c r="D21" i="9"/>
  <c r="C21" i="9"/>
  <c r="G20" i="9"/>
  <c r="F20" i="9"/>
  <c r="E20" i="9"/>
  <c r="D20" i="9"/>
  <c r="C20" i="9"/>
  <c r="F3" i="9"/>
  <c r="K7" i="9"/>
  <c r="K61" i="16" l="1"/>
  <c r="G60" i="16"/>
  <c r="C8" i="11"/>
  <c r="C8" i="15"/>
  <c r="C8" i="14"/>
  <c r="C5" i="11"/>
  <c r="B8" i="11" l="1"/>
  <c r="H8" i="11" s="1"/>
  <c r="I8" i="11" s="1"/>
  <c r="B8" i="15"/>
  <c r="H8" i="15" s="1"/>
  <c r="I8" i="15" s="1"/>
  <c r="B8" i="14"/>
  <c r="H8" i="14" s="1"/>
  <c r="I8" i="14" s="1"/>
  <c r="C9" i="15"/>
  <c r="B9" i="15"/>
  <c r="C9" i="13"/>
  <c r="B9" i="13"/>
  <c r="C9" i="12"/>
  <c r="B9" i="12"/>
  <c r="C9" i="11"/>
  <c r="B9" i="11"/>
  <c r="C8" i="12"/>
  <c r="B8" i="12"/>
  <c r="C7" i="15"/>
  <c r="B7" i="15"/>
  <c r="C7" i="14"/>
  <c r="B7" i="14"/>
  <c r="C7" i="13"/>
  <c r="B7" i="13"/>
  <c r="C7" i="11"/>
  <c r="B7" i="11"/>
  <c r="C6" i="15"/>
  <c r="B6" i="15"/>
  <c r="C6" i="14"/>
  <c r="B6" i="14"/>
  <c r="C6" i="13"/>
  <c r="B6" i="13"/>
  <c r="C6" i="12"/>
  <c r="B6" i="12"/>
  <c r="C5" i="14"/>
  <c r="B5" i="14"/>
  <c r="C5" i="13"/>
  <c r="B5" i="13"/>
  <c r="C5" i="12"/>
  <c r="B5" i="12"/>
  <c r="B5" i="11"/>
  <c r="B11" i="11" l="1"/>
  <c r="B12" i="11"/>
  <c r="H7" i="15"/>
  <c r="I7" i="15" s="1"/>
  <c r="H9" i="15"/>
  <c r="I9" i="15" s="1"/>
  <c r="B11" i="15"/>
  <c r="B15" i="15"/>
  <c r="B12" i="15"/>
  <c r="H6" i="15"/>
  <c r="B22" i="15"/>
  <c r="G7" i="9" s="1"/>
  <c r="H7" i="14"/>
  <c r="I7" i="14" s="1"/>
  <c r="H6" i="14"/>
  <c r="I6" i="14" s="1"/>
  <c r="B12" i="14"/>
  <c r="B15" i="14"/>
  <c r="B11" i="14"/>
  <c r="H5" i="14"/>
  <c r="B22" i="14"/>
  <c r="H6" i="13"/>
  <c r="I6" i="13" s="1"/>
  <c r="H7" i="13"/>
  <c r="I7" i="13" s="1"/>
  <c r="H9" i="13"/>
  <c r="I9" i="13" s="1"/>
  <c r="B15" i="13"/>
  <c r="B11" i="13"/>
  <c r="B12" i="13"/>
  <c r="H5" i="13"/>
  <c r="B22" i="13"/>
  <c r="E7" i="9" s="1"/>
  <c r="H6" i="12"/>
  <c r="I6" i="12" s="1"/>
  <c r="H7" i="11"/>
  <c r="I7" i="11" s="1"/>
  <c r="H8" i="12"/>
  <c r="I8" i="12" s="1"/>
  <c r="H9" i="11"/>
  <c r="I9" i="11" s="1"/>
  <c r="H9" i="12"/>
  <c r="I9" i="12" s="1"/>
  <c r="B12" i="12"/>
  <c r="H5" i="12"/>
  <c r="B22" i="12"/>
  <c r="D7" i="9" s="1"/>
  <c r="B15" i="12"/>
  <c r="B11" i="12"/>
  <c r="H5" i="11"/>
  <c r="B15" i="11"/>
  <c r="B22" i="11"/>
  <c r="C7" i="9" s="1"/>
  <c r="G17" i="9" l="1"/>
  <c r="F7" i="9"/>
  <c r="F17" i="9" s="1"/>
  <c r="I6" i="15"/>
  <c r="B14" i="15" s="1"/>
  <c r="B18" i="15" s="1"/>
  <c r="B23" i="15" s="1"/>
  <c r="G8" i="9" s="1"/>
  <c r="B13" i="15"/>
  <c r="B13" i="11"/>
  <c r="B27" i="15"/>
  <c r="G16" i="9" s="1"/>
  <c r="B13" i="14"/>
  <c r="I5" i="14"/>
  <c r="B14" i="14" s="1"/>
  <c r="B18" i="14" s="1"/>
  <c r="B27" i="14"/>
  <c r="F16" i="9" s="1"/>
  <c r="E17" i="9"/>
  <c r="B13" i="13"/>
  <c r="I5" i="13"/>
  <c r="B14" i="13" s="1"/>
  <c r="B18" i="13" s="1"/>
  <c r="B27" i="13"/>
  <c r="E16" i="9" s="1"/>
  <c r="D17" i="9"/>
  <c r="B27" i="12"/>
  <c r="D16" i="9" s="1"/>
  <c r="I5" i="12"/>
  <c r="B14" i="12" s="1"/>
  <c r="B18" i="12" s="1"/>
  <c r="B13" i="12"/>
  <c r="C17" i="9"/>
  <c r="I5" i="11"/>
  <c r="B14" i="11" s="1"/>
  <c r="B18" i="11" s="1"/>
  <c r="B27" i="11"/>
  <c r="C16" i="9" s="1"/>
  <c r="B16" i="15" l="1"/>
  <c r="B16" i="14"/>
  <c r="B17" i="14" s="1"/>
  <c r="B19" i="14" s="1"/>
  <c r="B20" i="14" s="1"/>
  <c r="B25" i="14" s="1"/>
  <c r="F10" i="9" s="1"/>
  <c r="B23" i="14"/>
  <c r="F8" i="9" s="1"/>
  <c r="B16" i="13"/>
  <c r="B17" i="13" s="1"/>
  <c r="B19" i="13" s="1"/>
  <c r="B24" i="13" s="1"/>
  <c r="E9" i="9" s="1"/>
  <c r="B23" i="13"/>
  <c r="E8" i="9" s="1"/>
  <c r="B23" i="12"/>
  <c r="D8" i="9" s="1"/>
  <c r="B16" i="12"/>
  <c r="B17" i="12" s="1"/>
  <c r="B19" i="12" s="1"/>
  <c r="B23" i="11"/>
  <c r="C8" i="9" s="1"/>
  <c r="B16" i="11"/>
  <c r="B17" i="11" s="1"/>
  <c r="B19" i="11" s="1"/>
  <c r="B20" i="11" s="1"/>
  <c r="B25" i="11" s="1"/>
  <c r="C10" i="9" s="1"/>
  <c r="B17" i="15" l="1"/>
  <c r="B19" i="15" s="1"/>
  <c r="B24" i="14"/>
  <c r="F9" i="9" s="1"/>
  <c r="B29" i="14"/>
  <c r="F11" i="9" s="1"/>
  <c r="B20" i="13"/>
  <c r="B25" i="13" s="1"/>
  <c r="E10" i="9" s="1"/>
  <c r="B29" i="13"/>
  <c r="B29" i="12"/>
  <c r="D11" i="9" s="1"/>
  <c r="B24" i="12"/>
  <c r="D9" i="9" s="1"/>
  <c r="B20" i="12"/>
  <c r="B25" i="12" s="1"/>
  <c r="D10" i="9" s="1"/>
  <c r="B24" i="11"/>
  <c r="C9" i="9" s="1"/>
  <c r="B29" i="11"/>
  <c r="C11" i="9" s="1"/>
  <c r="B32" i="13" l="1"/>
  <c r="E13" i="9" s="1"/>
  <c r="E11" i="9"/>
  <c r="B24" i="15"/>
  <c r="G9" i="9" s="1"/>
  <c r="B20" i="15"/>
  <c r="B25" i="15" s="1"/>
  <c r="G10" i="9" s="1"/>
  <c r="B29" i="15"/>
  <c r="G11" i="9" s="1"/>
  <c r="B32" i="14"/>
  <c r="F13" i="9" s="1"/>
  <c r="B30" i="14"/>
  <c r="B31" i="14" s="1"/>
  <c r="F12" i="9" s="1"/>
  <c r="F28" i="9" s="1"/>
  <c r="F29" i="9" s="1"/>
  <c r="B30" i="13"/>
  <c r="B31" i="13" s="1"/>
  <c r="E12" i="9" s="1"/>
  <c r="B32" i="12"/>
  <c r="D13" i="9" s="1"/>
  <c r="B30" i="12"/>
  <c r="B31" i="12" s="1"/>
  <c r="D12" i="9" s="1"/>
  <c r="B30" i="11"/>
  <c r="B31" i="11" s="1"/>
  <c r="C12" i="9" s="1"/>
  <c r="B32" i="11"/>
  <c r="C13" i="9" s="1"/>
  <c r="B34" i="13" l="1"/>
  <c r="B35" i="13"/>
  <c r="B30" i="15"/>
  <c r="B31" i="15" s="1"/>
  <c r="G12" i="9" s="1"/>
  <c r="G28" i="9" s="1"/>
  <c r="G29" i="9" s="1"/>
  <c r="B32" i="15"/>
  <c r="G13" i="9" s="1"/>
  <c r="B34" i="14"/>
  <c r="B35" i="14"/>
  <c r="E28" i="9"/>
  <c r="E29" i="9" s="1"/>
  <c r="D28" i="9"/>
  <c r="D29" i="9" s="1"/>
  <c r="B34" i="12"/>
  <c r="B35" i="12"/>
  <c r="C28" i="9"/>
  <c r="C29" i="9" s="1"/>
  <c r="B34" i="11"/>
  <c r="B35" i="11"/>
  <c r="B36" i="13" l="1"/>
  <c r="B37" i="13" s="1"/>
  <c r="B40" i="13" s="1"/>
  <c r="E15" i="9" s="1"/>
  <c r="E19" i="9" s="1"/>
  <c r="B35" i="15"/>
  <c r="B34" i="15"/>
  <c r="B36" i="14"/>
  <c r="B37" i="14" s="1"/>
  <c r="B36" i="12"/>
  <c r="B37" i="12" s="1"/>
  <c r="B40" i="12" s="1"/>
  <c r="D15" i="9" s="1"/>
  <c r="B36" i="11"/>
  <c r="B37" i="11" s="1"/>
  <c r="B39" i="13" l="1"/>
  <c r="E14" i="9" s="1"/>
  <c r="E18" i="9" s="1"/>
  <c r="B36" i="15"/>
  <c r="B37" i="15" s="1"/>
  <c r="B39" i="15" s="1"/>
  <c r="G14" i="9" s="1"/>
  <c r="G18" i="9" s="1"/>
  <c r="B39" i="14"/>
  <c r="F14" i="9" s="1"/>
  <c r="F18" i="9" s="1"/>
  <c r="B40" i="14"/>
  <c r="F15" i="9" s="1"/>
  <c r="F19" i="9" s="1"/>
  <c r="B39" i="12"/>
  <c r="D14" i="9" s="1"/>
  <c r="D19" i="9"/>
  <c r="B40" i="11"/>
  <c r="C15" i="9" s="1"/>
  <c r="B39" i="11"/>
  <c r="C14" i="9" s="1"/>
  <c r="B40" i="15" l="1"/>
  <c r="G15" i="9" s="1"/>
  <c r="G19" i="9" s="1"/>
  <c r="D18" i="9"/>
  <c r="C18" i="9"/>
  <c r="C19" i="9"/>
  <c r="R7" i="1" l="1"/>
  <c r="R6" i="1"/>
  <c r="Q59" i="1" l="1"/>
  <c r="U10" i="1"/>
  <c r="O10" i="1"/>
  <c r="U9" i="1"/>
  <c r="F61" i="1"/>
  <c r="O9" i="1"/>
  <c r="E63" i="1" l="1"/>
  <c r="E62" i="1"/>
  <c r="F62" i="1" s="1"/>
  <c r="H58" i="1"/>
  <c r="I58" i="1" s="1"/>
  <c r="D63" i="1"/>
  <c r="H62" i="1"/>
  <c r="F58" i="1"/>
  <c r="J61" i="1" s="1"/>
  <c r="K58" i="1" l="1"/>
  <c r="F63" i="1"/>
  <c r="I61" i="1"/>
  <c r="G62" i="1"/>
  <c r="H63" i="1"/>
  <c r="Q10" i="1"/>
  <c r="G63" i="1" l="1"/>
  <c r="J63" i="1" s="1"/>
  <c r="J62" i="1"/>
  <c r="H59" i="1"/>
  <c r="W78" i="1"/>
  <c r="X78" i="1" s="1"/>
  <c r="W84" i="1"/>
  <c r="X84" i="1" s="1"/>
  <c r="W80" i="1"/>
  <c r="X80" i="1" s="1"/>
  <c r="W65" i="1"/>
  <c r="X65" i="1" s="1"/>
  <c r="W90" i="1"/>
  <c r="X90" i="1" s="1"/>
  <c r="W51" i="1"/>
  <c r="X51" i="1" s="1"/>
  <c r="W49" i="1"/>
  <c r="X49" i="1" s="1"/>
  <c r="W41" i="1"/>
  <c r="X41" i="1" s="1"/>
  <c r="W47" i="1"/>
  <c r="X47" i="1" s="1"/>
  <c r="W46" i="1"/>
  <c r="X46" i="1" s="1"/>
  <c r="W69" i="1"/>
  <c r="X69" i="1" s="1"/>
  <c r="W58" i="1"/>
  <c r="X58" i="1" s="1"/>
  <c r="W38" i="1"/>
  <c r="X38" i="1" s="1"/>
  <c r="W86" i="1"/>
  <c r="X86" i="1" s="1"/>
  <c r="W74" i="1"/>
  <c r="X74" i="1" s="1"/>
  <c r="W73" i="1"/>
  <c r="X73" i="1" s="1"/>
  <c r="W87" i="1"/>
  <c r="X87" i="1" s="1"/>
  <c r="W85" i="1"/>
  <c r="X85" i="1" s="1"/>
  <c r="W82" i="1"/>
  <c r="X82" i="1" s="1"/>
  <c r="W39" i="1"/>
  <c r="X39" i="1" s="1"/>
  <c r="W92" i="1"/>
  <c r="X92" i="1" s="1"/>
  <c r="Q11" i="1"/>
  <c r="W57" i="1"/>
  <c r="X57" i="1" s="1"/>
  <c r="W61" i="1"/>
  <c r="X61" i="1" s="1"/>
  <c r="W81" i="1"/>
  <c r="X81" i="1" s="1"/>
  <c r="W42" i="1"/>
  <c r="X42" i="1" s="1"/>
  <c r="W77" i="1"/>
  <c r="X77" i="1" s="1"/>
  <c r="W88" i="1"/>
  <c r="X88" i="1" s="1"/>
  <c r="W89" i="1"/>
  <c r="X89" i="1" s="1"/>
  <c r="W48" i="1"/>
  <c r="X48" i="1" s="1"/>
  <c r="W40" i="1"/>
  <c r="X40" i="1" s="1"/>
  <c r="W55" i="1"/>
  <c r="X55" i="1" s="1"/>
  <c r="W68" i="1"/>
  <c r="X68" i="1" s="1"/>
  <c r="W36" i="1"/>
  <c r="X36" i="1" s="1"/>
  <c r="W91" i="1"/>
  <c r="X91" i="1" s="1"/>
  <c r="W62" i="1"/>
  <c r="X62" i="1" s="1"/>
  <c r="W44" i="1"/>
  <c r="X44" i="1" s="1"/>
  <c r="W60" i="1"/>
  <c r="X60" i="1" s="1"/>
  <c r="W79" i="1"/>
  <c r="X79" i="1" s="1"/>
  <c r="W35" i="1"/>
  <c r="X35" i="1" s="1"/>
  <c r="W56" i="1"/>
  <c r="X56" i="1" s="1"/>
  <c r="W43" i="1"/>
  <c r="X43" i="1" s="1"/>
  <c r="W83" i="1"/>
  <c r="X83" i="1" s="1"/>
  <c r="W54" i="1"/>
  <c r="X54" i="1" s="1"/>
  <c r="W37" i="1"/>
  <c r="X37" i="1" s="1"/>
  <c r="W76" i="1"/>
  <c r="X76" i="1" s="1"/>
  <c r="W63" i="1"/>
  <c r="X63" i="1" s="1"/>
  <c r="T6" i="1" s="1"/>
  <c r="T7" i="1" s="1"/>
  <c r="W66" i="1"/>
  <c r="X66" i="1" s="1"/>
  <c r="W71" i="1"/>
  <c r="X71" i="1" s="1"/>
  <c r="W64" i="1"/>
  <c r="X64" i="1" s="1"/>
  <c r="W67" i="1"/>
  <c r="X67" i="1" s="1"/>
  <c r="W72" i="1"/>
  <c r="X72" i="1" s="1"/>
  <c r="W45" i="1"/>
  <c r="X45" i="1" s="1"/>
  <c r="W53" i="1"/>
  <c r="X53" i="1" s="1"/>
  <c r="W59" i="1"/>
  <c r="X59" i="1" s="1"/>
  <c r="W70" i="1"/>
  <c r="X70" i="1" s="1"/>
  <c r="W75" i="1"/>
  <c r="X75" i="1" s="1"/>
  <c r="W34" i="1"/>
  <c r="X34" i="1" s="1"/>
  <c r="W50" i="1"/>
  <c r="X50" i="1" s="1"/>
  <c r="W93" i="1"/>
  <c r="X93" i="1" s="1"/>
  <c r="W52" i="1"/>
  <c r="X52" i="1" s="1"/>
  <c r="I62" i="1"/>
  <c r="J59" i="1"/>
  <c r="I63" i="1" l="1"/>
  <c r="H60" i="1"/>
  <c r="I59" i="1"/>
  <c r="G60" i="1"/>
  <c r="D65" i="1"/>
  <c r="J60" i="1" l="1"/>
  <c r="J58" i="1" s="1"/>
  <c r="I60" i="1"/>
  <c r="I64" i="1" s="1"/>
  <c r="Q65" i="1" s="1"/>
  <c r="K61" i="1" l="1"/>
  <c r="N65" i="1"/>
  <c r="K60" i="1"/>
  <c r="D67" i="1"/>
  <c r="N59" i="1" l="1"/>
  <c r="N61" i="1" l="1"/>
</calcChain>
</file>

<file path=xl/sharedStrings.xml><?xml version="1.0" encoding="utf-8"?>
<sst xmlns="http://schemas.openxmlformats.org/spreadsheetml/2006/main" count="433" uniqueCount="179">
  <si>
    <t>Origine</t>
  </si>
  <si>
    <t>niveau</t>
  </si>
  <si>
    <t>SCE</t>
  </si>
  <si>
    <t>ddl</t>
  </si>
  <si>
    <t>CM</t>
  </si>
  <si>
    <t>x</t>
  </si>
  <si>
    <t>SB²</t>
  </si>
  <si>
    <t>CI</t>
  </si>
  <si>
    <t>contrib%</t>
  </si>
  <si>
    <t>Total</t>
  </si>
  <si>
    <t>modèle</t>
  </si>
  <si>
    <t>Tolérance +</t>
  </si>
  <si>
    <t>Tolérance -</t>
  </si>
  <si>
    <t>moyenne</t>
  </si>
  <si>
    <t>Min</t>
  </si>
  <si>
    <t>Max</t>
  </si>
  <si>
    <t>Niveau A</t>
  </si>
  <si>
    <t>Répétition 1</t>
  </si>
  <si>
    <t>Répétition 2</t>
  </si>
  <si>
    <t>Répétition 3</t>
  </si>
  <si>
    <t>Répétition 4</t>
  </si>
  <si>
    <t>Répétition 5</t>
  </si>
  <si>
    <t>nk</t>
  </si>
  <si>
    <t>SCEk</t>
  </si>
  <si>
    <t>Niveau B</t>
  </si>
  <si>
    <t>Niveau C</t>
  </si>
  <si>
    <t>Niveau D</t>
  </si>
  <si>
    <t>Niveau E</t>
  </si>
  <si>
    <t>Profil d'exactitude</t>
  </si>
  <si>
    <t>Probabilité tolérance (bêta)</t>
  </si>
  <si>
    <t>Limite d'acceptabilité</t>
  </si>
  <si>
    <t>Niveaux</t>
  </si>
  <si>
    <t>Recouvrement (justesse)</t>
  </si>
  <si>
    <t>Limite basse tolérance (%)</t>
  </si>
  <si>
    <t>Limite haute tolérance (%)</t>
  </si>
  <si>
    <t>Limite d'acceptabilité basse</t>
  </si>
  <si>
    <t>Limite d'acceptabilité haute</t>
  </si>
  <si>
    <t>Incertitude</t>
  </si>
  <si>
    <t>Ecart-type de l'IT (sIT)</t>
  </si>
  <si>
    <t>Incertitude élargie relative</t>
  </si>
  <si>
    <t>Valeur cible</t>
  </si>
  <si>
    <t>Moyenne niveau</t>
  </si>
  <si>
    <t>Ecart-type de répétabilité (sr)</t>
  </si>
  <si>
    <t>Ecart-type inter-séries (sL)</t>
  </si>
  <si>
    <t>Ecart-type de fidélité (sFI)</t>
  </si>
  <si>
    <t>Rapport des variances (R)</t>
  </si>
  <si>
    <t>Coefficient intermédiaire</t>
  </si>
  <si>
    <t>Nombre de degrés liberté</t>
  </si>
  <si>
    <t>Valeur basse tolérance</t>
  </si>
  <si>
    <t>Valeur haute tolérance</t>
  </si>
  <si>
    <t>Biais (%)</t>
  </si>
  <si>
    <t>R²</t>
  </si>
  <si>
    <t>étape d'identification</t>
  </si>
  <si>
    <t>ANOVA</t>
  </si>
  <si>
    <t>R²ajusté</t>
  </si>
  <si>
    <t>opérateur</t>
  </si>
  <si>
    <t>&lt; expliqué par le modèle (ajusté)</t>
  </si>
  <si>
    <t>&lt;Coeffcient de détermination : ce qui est expliqué par le modèle</t>
  </si>
  <si>
    <t>S² totale</t>
  </si>
  <si>
    <t>S totale</t>
  </si>
  <si>
    <t>version 1</t>
  </si>
  <si>
    <t>X</t>
  </si>
  <si>
    <t>pierre</t>
  </si>
  <si>
    <t>paul</t>
  </si>
  <si>
    <t>Facteur qualitatif</t>
  </si>
  <si>
    <t>marie</t>
  </si>
  <si>
    <t>répéta</t>
  </si>
  <si>
    <t>Y</t>
  </si>
  <si>
    <t>pièce</t>
  </si>
  <si>
    <t>r1</t>
  </si>
  <si>
    <t>r2</t>
  </si>
  <si>
    <t>r3</t>
  </si>
  <si>
    <t>interaction</t>
  </si>
  <si>
    <t>plan d'expériences croisée</t>
  </si>
  <si>
    <t>r4</t>
  </si>
  <si>
    <t>r5</t>
  </si>
  <si>
    <t>r6</t>
  </si>
  <si>
    <t>condition de répétabilité : même méthode,</t>
  </si>
  <si>
    <t>même sujet, laps de temps le plus</t>
  </si>
  <si>
    <t>Morgan GERMA</t>
  </si>
  <si>
    <t>Prérequis</t>
  </si>
  <si>
    <t>Cochran</t>
  </si>
  <si>
    <t>Cobs</t>
  </si>
  <si>
    <t>Les N observations sont obtenues sous</t>
  </si>
  <si>
    <t>C 5%</t>
  </si>
  <si>
    <t>Cobs &lt; C 5% = OK</t>
  </si>
  <si>
    <t>%GRR</t>
  </si>
  <si>
    <t>Les pièces sont tirées au hasard et représentent</t>
  </si>
  <si>
    <t>l'étendu des pièces observables (Cf et NC)</t>
  </si>
  <si>
    <t>ndc</t>
  </si>
  <si>
    <t>pas de variance aberrante</t>
  </si>
  <si>
    <t xml:space="preserve">variance </t>
  </si>
  <si>
    <t>S² GRR</t>
  </si>
  <si>
    <t>S² Total</t>
  </si>
  <si>
    <t>GAGE R&amp;R</t>
  </si>
  <si>
    <t>&lt;10%</t>
  </si>
  <si>
    <t>10%-30%</t>
  </si>
  <si>
    <t>&gt;30%</t>
  </si>
  <si>
    <t>Jour (Série) 1</t>
  </si>
  <si>
    <t>Jour (Série) 2</t>
  </si>
  <si>
    <t>Jour (Série) 3</t>
  </si>
  <si>
    <t>Jour (Série) 4</t>
  </si>
  <si>
    <t>Jour (Série) 5</t>
  </si>
  <si>
    <t>Nombre de séries (K)</t>
  </si>
  <si>
    <t>Nombre de mesures (IK)</t>
  </si>
  <si>
    <t>Nombre de répétitions (I)</t>
  </si>
  <si>
    <t>SCE résiduelle</t>
  </si>
  <si>
    <t>SCE totale</t>
  </si>
  <si>
    <t>SCE inter-séries</t>
  </si>
  <si>
    <t>Valeur intermédiaire de s²L</t>
  </si>
  <si>
    <t>Variance de répétabilité (s²r)</t>
  </si>
  <si>
    <t>Variance inter-séries (s²L)</t>
  </si>
  <si>
    <t>Variance de fidélité (s²FI)</t>
  </si>
  <si>
    <t>Fidélité</t>
  </si>
  <si>
    <t>Justesse</t>
  </si>
  <si>
    <t>Facteur de couverture</t>
  </si>
  <si>
    <t>Coefficient B²</t>
  </si>
  <si>
    <t>t Student bas</t>
  </si>
  <si>
    <t>t Student haut</t>
  </si>
  <si>
    <t>t Student interpolé</t>
  </si>
  <si>
    <t>Facteur de couverture (ktol)</t>
  </si>
  <si>
    <t>Intervalle de tolérance</t>
  </si>
  <si>
    <t>Cpc</t>
  </si>
  <si>
    <t>*GRR%</t>
  </si>
  <si>
    <t>*basé sur les Tolérances</t>
  </si>
  <si>
    <t>&gt; 4</t>
  </si>
  <si>
    <t>&lt; 25%</t>
  </si>
  <si>
    <t>court possible,</t>
  </si>
  <si>
    <r>
      <t xml:space="preserve">idéalement </t>
    </r>
    <r>
      <rPr>
        <u/>
        <sz val="11"/>
        <rFont val="Calibri"/>
        <family val="2"/>
        <scheme val="minor"/>
      </rPr>
      <t>&gt;</t>
    </r>
    <r>
      <rPr>
        <sz val="11"/>
        <rFont val="Calibri"/>
        <family val="2"/>
        <scheme val="minor"/>
      </rPr>
      <t xml:space="preserve"> 5</t>
    </r>
  </si>
  <si>
    <t>plan d'expériences emboité</t>
  </si>
  <si>
    <t>lot</t>
  </si>
  <si>
    <t>Z</t>
  </si>
  <si>
    <t>lot 1</t>
  </si>
  <si>
    <t>Pierre</t>
  </si>
  <si>
    <t>pièce 1</t>
  </si>
  <si>
    <t>pièce 2</t>
  </si>
  <si>
    <t>pièce 3</t>
  </si>
  <si>
    <t>Lorsque le plan est emboité, on évalue</t>
  </si>
  <si>
    <t>Paul</t>
  </si>
  <si>
    <t>pièce 4</t>
  </si>
  <si>
    <t>les variances intermédiaires de fidélité.</t>
  </si>
  <si>
    <t>pièce 5</t>
  </si>
  <si>
    <t>pièce 6</t>
  </si>
  <si>
    <t>les facteurs opérateur et lot sont croisés</t>
  </si>
  <si>
    <t>Marie</t>
  </si>
  <si>
    <t>pièce 7</t>
  </si>
  <si>
    <t>le facteur pièce est lui emboité dans Op/lot</t>
  </si>
  <si>
    <t>pièce 8</t>
  </si>
  <si>
    <t>pièce 9</t>
  </si>
  <si>
    <t>lot 2</t>
  </si>
  <si>
    <t>pièce 10</t>
  </si>
  <si>
    <t>pièce 11</t>
  </si>
  <si>
    <t>pièce 12</t>
  </si>
  <si>
    <t>pièce 13</t>
  </si>
  <si>
    <t>pièce 14</t>
  </si>
  <si>
    <t>pièce 15</t>
  </si>
  <si>
    <t>pièce 16</t>
  </si>
  <si>
    <t>pièce 17</t>
  </si>
  <si>
    <t>pièce 18</t>
  </si>
  <si>
    <t>lot 3</t>
  </si>
  <si>
    <t>pièce 19</t>
  </si>
  <si>
    <t>pièce 20</t>
  </si>
  <si>
    <t>pièce 21</t>
  </si>
  <si>
    <t>pièce 22</t>
  </si>
  <si>
    <t>pièce 23</t>
  </si>
  <si>
    <t>pièce 24</t>
  </si>
  <si>
    <t>pièce 25</t>
  </si>
  <si>
    <t>pièce 26</t>
  </si>
  <si>
    <t>pièce 27</t>
  </si>
  <si>
    <t>variance</t>
  </si>
  <si>
    <t>résiduel</t>
  </si>
  <si>
    <t>Piece(lot*op)</t>
  </si>
  <si>
    <t>version 1.0</t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</si>
  <si>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²PV</t>
    </r>
    <r>
      <rPr>
        <sz val="11"/>
        <color theme="0"/>
        <rFont val="Calibri"/>
        <family val="2"/>
      </rPr>
      <t xml:space="preserve"> = pièce/lot</t>
    </r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</si>
  <si>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²AV</t>
    </r>
    <r>
      <rPr>
        <sz val="11"/>
        <color theme="0"/>
        <rFont val="Calibri"/>
        <family val="2"/>
      </rPr>
      <t xml:space="preserve"> = repro</t>
    </r>
  </si>
  <si>
    <r>
      <rPr>
        <sz val="11"/>
        <color theme="0"/>
        <rFont val="Aptos Narrow"/>
        <family val="2"/>
      </rPr>
      <t>σ</t>
    </r>
    <r>
      <rPr>
        <sz val="9.35"/>
        <color theme="0"/>
        <rFont val="Calibri"/>
        <family val="2"/>
      </rPr>
      <t>²EV</t>
    </r>
    <r>
      <rPr>
        <sz val="11"/>
        <color theme="0"/>
        <rFont val="Calibri"/>
        <family val="2"/>
      </rPr>
      <t xml:space="preserve"> = répéta</t>
    </r>
  </si>
  <si>
    <t>&lt; 25</t>
  </si>
  <si>
    <t>Cp méthode</t>
  </si>
  <si>
    <t>&gt; 1,33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</si>
</sst>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0000"/>
    <numFmt numFmtId="168" formatCode="0.0000000"/>
    <numFmt numFmtId="169" formatCode="0.000000"/>
    <numFmt numFmtId="170" formatCode="0.0%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name val="Verdana"/>
      <family val="2"/>
    </font>
    <font>
      <sz val="9"/>
      <name val="Arial"/>
      <family val="2"/>
    </font>
    <font>
      <sz val="8"/>
      <color indexed="20"/>
      <name val="Verdana"/>
      <family val="2"/>
    </font>
    <font>
      <sz val="8"/>
      <name val="Tahoma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sz val="9"/>
      <color theme="0" tint="-0.249977111117893"/>
      <name val="Arial"/>
      <family val="2"/>
    </font>
    <font>
      <sz val="9"/>
      <color indexed="23"/>
      <name val="Arial"/>
      <family val="2"/>
    </font>
    <font>
      <u/>
      <sz val="11"/>
      <name val="Calibri"/>
      <family val="2"/>
      <scheme val="minor"/>
    </font>
    <font>
      <b/>
      <sz val="24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Aptos Narrow"/>
      <family val="2"/>
    </font>
    <font>
      <sz val="9.35"/>
      <color theme="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1" fillId="0" borderId="0"/>
    <xf numFmtId="0" fontId="5" fillId="6" borderId="0"/>
    <xf numFmtId="0" fontId="7" fillId="7" borderId="0"/>
    <xf numFmtId="0" fontId="7" fillId="0" borderId="0">
      <alignment horizontal="right"/>
      <protection locked="0"/>
    </xf>
    <xf numFmtId="0" fontId="8" fillId="7" borderId="0"/>
    <xf numFmtId="9" fontId="9" fillId="7" borderId="0" applyFont="0" applyBorder="0" applyAlignment="0"/>
  </cellStyleXfs>
  <cellXfs count="160">
    <xf numFmtId="0" fontId="0" fillId="0" borderId="0" xfId="0"/>
    <xf numFmtId="0" fontId="6" fillId="6" borderId="0" xfId="3" applyFont="1"/>
    <xf numFmtId="0" fontId="7" fillId="7" borderId="0" xfId="4"/>
    <xf numFmtId="0" fontId="5" fillId="6" borderId="0" xfId="3"/>
    <xf numFmtId="0" fontId="7" fillId="0" borderId="2" xfId="5" applyBorder="1">
      <alignment horizontal="right"/>
      <protection locked="0"/>
    </xf>
    <xf numFmtId="1" fontId="7" fillId="7" borderId="0" xfId="4" applyNumberFormat="1"/>
    <xf numFmtId="167" fontId="7" fillId="7" borderId="0" xfId="4" applyNumberFormat="1"/>
    <xf numFmtId="0" fontId="8" fillId="7" borderId="0" xfId="6"/>
    <xf numFmtId="168" fontId="7" fillId="7" borderId="0" xfId="4" applyNumberFormat="1"/>
    <xf numFmtId="10" fontId="0" fillId="7" borderId="0" xfId="7" applyNumberFormat="1" applyFont="1"/>
    <xf numFmtId="0" fontId="5" fillId="6" borderId="0" xfId="3" applyFont="1"/>
    <xf numFmtId="165" fontId="7" fillId="0" borderId="2" xfId="5" applyNumberFormat="1" applyBorder="1">
      <alignment horizontal="right"/>
      <protection locked="0"/>
    </xf>
    <xf numFmtId="169" fontId="7" fillId="7" borderId="0" xfId="4" applyNumberFormat="1"/>
    <xf numFmtId="0" fontId="10" fillId="6" borderId="0" xfId="3" applyFont="1"/>
    <xf numFmtId="0" fontId="7" fillId="7" borderId="0" xfId="4" applyFont="1"/>
    <xf numFmtId="9" fontId="7" fillId="0" borderId="2" xfId="5" applyNumberFormat="1" applyFont="1" applyBorder="1">
      <alignment horizontal="right"/>
      <protection locked="0"/>
    </xf>
    <xf numFmtId="10" fontId="0" fillId="0" borderId="2" xfId="5" applyNumberFormat="1" applyFont="1" applyBorder="1">
      <alignment horizontal="right"/>
      <protection locked="0"/>
    </xf>
    <xf numFmtId="0" fontId="7" fillId="7" borderId="1" xfId="4" applyFont="1" applyBorder="1"/>
    <xf numFmtId="0" fontId="11" fillId="7" borderId="0" xfId="4" applyFont="1"/>
    <xf numFmtId="0" fontId="11" fillId="7" borderId="1" xfId="4" applyFont="1" applyBorder="1"/>
    <xf numFmtId="165" fontId="7" fillId="7" borderId="1" xfId="4" applyNumberFormat="1" applyFont="1" applyBorder="1"/>
    <xf numFmtId="0" fontId="12" fillId="7" borderId="0" xfId="4" applyFont="1"/>
    <xf numFmtId="10" fontId="7" fillId="7" borderId="1" xfId="7" applyNumberFormat="1" applyFont="1" applyBorder="1"/>
    <xf numFmtId="10" fontId="11" fillId="7" borderId="1" xfId="7" applyNumberFormat="1" applyFont="1" applyBorder="1"/>
    <xf numFmtId="10" fontId="11" fillId="7" borderId="1" xfId="4" applyNumberFormat="1" applyFont="1" applyBorder="1"/>
    <xf numFmtId="0" fontId="11" fillId="7" borderId="0" xfId="4" applyFont="1" applyBorder="1"/>
    <xf numFmtId="10" fontId="11" fillId="7" borderId="0" xfId="4" applyNumberFormat="1" applyFont="1" applyBorder="1"/>
    <xf numFmtId="166" fontId="7" fillId="7" borderId="0" xfId="4" applyNumberFormat="1" applyFont="1"/>
    <xf numFmtId="10" fontId="7" fillId="7" borderId="0" xfId="7" applyNumberFormat="1" applyFont="1"/>
    <xf numFmtId="0" fontId="13" fillId="7" borderId="0" xfId="4" applyFont="1"/>
    <xf numFmtId="166" fontId="13" fillId="7" borderId="0" xfId="4" applyNumberFormat="1" applyFont="1"/>
    <xf numFmtId="10" fontId="13" fillId="7" borderId="0" xfId="7" applyNumberFormat="1" applyFont="1"/>
    <xf numFmtId="0" fontId="11" fillId="0" borderId="1" xfId="0" applyFont="1" applyBorder="1"/>
    <xf numFmtId="0" fontId="7" fillId="0" borderId="1" xfId="0" applyFont="1" applyBorder="1"/>
    <xf numFmtId="1" fontId="11" fillId="7" borderId="1" xfId="4" applyNumberFormat="1" applyFont="1" applyBorder="1"/>
    <xf numFmtId="166" fontId="7" fillId="0" borderId="1" xfId="5" applyNumberFormat="1" applyBorder="1" applyAlignment="1">
      <alignment horizontal="center"/>
      <protection locked="0"/>
    </xf>
    <xf numFmtId="165" fontId="7" fillId="0" borderId="1" xfId="5" applyNumberFormat="1" applyBorder="1" applyAlignment="1">
      <alignment horizontal="center"/>
      <protection locked="0"/>
    </xf>
    <xf numFmtId="0" fontId="7" fillId="0" borderId="1" xfId="5" applyBorder="1" applyAlignment="1">
      <alignment horizontal="center"/>
      <protection locked="0"/>
    </xf>
    <xf numFmtId="0" fontId="3" fillId="0" borderId="7" xfId="0" applyFont="1" applyBorder="1" applyProtection="1">
      <protection hidden="1"/>
    </xf>
    <xf numFmtId="0" fontId="3" fillId="0" borderId="0" xfId="0" applyFont="1" applyProtection="1">
      <protection hidden="1"/>
    </xf>
    <xf numFmtId="11" fontId="3" fillId="0" borderId="0" xfId="0" applyNumberFormat="1" applyFont="1" applyProtection="1">
      <protection hidden="1"/>
    </xf>
    <xf numFmtId="0" fontId="2" fillId="0" borderId="0" xfId="0" applyFont="1" applyProtection="1"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2" fillId="0" borderId="0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4" fillId="4" borderId="0" xfId="2" applyFont="1" applyFill="1" applyBorder="1" applyProtection="1">
      <protection hidden="1"/>
    </xf>
    <xf numFmtId="0" fontId="3" fillId="4" borderId="0" xfId="0" applyFont="1" applyFill="1" applyBorder="1" applyProtection="1">
      <protection hidden="1"/>
    </xf>
    <xf numFmtId="0" fontId="3" fillId="0" borderId="0" xfId="0" applyFont="1" applyBorder="1" applyProtection="1"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2" fontId="4" fillId="4" borderId="0" xfId="2" applyNumberFormat="1" applyFont="1" applyFill="1" applyBorder="1" applyAlignment="1" applyProtection="1">
      <alignment horizontal="center"/>
      <protection hidden="1"/>
    </xf>
    <xf numFmtId="11" fontId="4" fillId="4" borderId="0" xfId="2" applyNumberFormat="1" applyFont="1" applyFill="1" applyBorder="1" applyAlignment="1" applyProtection="1">
      <alignment horizontal="center"/>
      <protection hidden="1"/>
    </xf>
    <xf numFmtId="2" fontId="2" fillId="0" borderId="1" xfId="0" applyNumberFormat="1" applyFont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10" fontId="2" fillId="4" borderId="1" xfId="0" applyNumberFormat="1" applyFont="1" applyFill="1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/>
      <protection hidden="1"/>
    </xf>
    <xf numFmtId="2" fontId="2" fillId="3" borderId="1" xfId="0" applyNumberFormat="1" applyFont="1" applyFill="1" applyBorder="1" applyAlignment="1" applyProtection="1">
      <alignment horizontal="center" vertical="center"/>
      <protection hidden="1"/>
    </xf>
    <xf numFmtId="9" fontId="2" fillId="3" borderId="1" xfId="0" applyNumberFormat="1" applyFont="1" applyFill="1" applyBorder="1" applyAlignment="1" applyProtection="1">
      <alignment horizontal="center"/>
      <protection hidden="1"/>
    </xf>
    <xf numFmtId="1" fontId="2" fillId="3" borderId="1" xfId="0" applyNumberFormat="1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/>
      <protection hidden="1"/>
    </xf>
    <xf numFmtId="164" fontId="2" fillId="5" borderId="1" xfId="0" applyNumberFormat="1" applyFont="1" applyFill="1" applyBorder="1" applyAlignment="1" applyProtection="1">
      <alignment horizontal="center"/>
      <protection hidden="1"/>
    </xf>
    <xf numFmtId="2" fontId="2" fillId="5" borderId="1" xfId="0" applyNumberFormat="1" applyFont="1" applyFill="1" applyBorder="1" applyAlignment="1" applyProtection="1">
      <alignment horizontal="center"/>
      <protection hidden="1"/>
    </xf>
    <xf numFmtId="9" fontId="2" fillId="5" borderId="1" xfId="0" applyNumberFormat="1" applyFont="1" applyFill="1" applyBorder="1" applyAlignment="1" applyProtection="1">
      <alignment horizontal="center"/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17" fontId="2" fillId="0" borderId="0" xfId="0" applyNumberFormat="1" applyFont="1" applyAlignment="1" applyProtection="1">
      <alignment horizontal="center"/>
      <protection hidden="1"/>
    </xf>
    <xf numFmtId="165" fontId="1" fillId="2" borderId="1" xfId="1" applyNumberFormat="1" applyFont="1" applyFill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  <xf numFmtId="165" fontId="3" fillId="0" borderId="0" xfId="0" applyNumberFormat="1" applyFont="1" applyBorder="1" applyAlignment="1" applyProtection="1">
      <alignment horizontal="left"/>
      <protection hidden="1"/>
    </xf>
    <xf numFmtId="0" fontId="3" fillId="0" borderId="7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" fontId="2" fillId="9" borderId="1" xfId="1" applyNumberFormat="1" applyFont="1" applyFill="1" applyBorder="1" applyAlignment="1" applyProtection="1">
      <alignment horizontal="center"/>
      <protection hidden="1"/>
    </xf>
    <xf numFmtId="165" fontId="1" fillId="11" borderId="1" xfId="1" applyNumberFormat="1" applyFont="1" applyFill="1" applyBorder="1" applyAlignment="1" applyProtection="1">
      <alignment horizontal="center"/>
      <protection hidden="1"/>
    </xf>
    <xf numFmtId="0" fontId="2" fillId="0" borderId="3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12" xfId="0" applyFont="1" applyFill="1" applyBorder="1" applyAlignment="1" applyProtection="1">
      <alignment horizontal="center"/>
      <protection hidden="1"/>
    </xf>
    <xf numFmtId="0" fontId="2" fillId="2" borderId="12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left"/>
      <protection hidden="1"/>
    </xf>
    <xf numFmtId="2" fontId="2" fillId="4" borderId="0" xfId="0" applyNumberFormat="1" applyFont="1" applyFill="1" applyBorder="1" applyAlignment="1" applyProtection="1">
      <alignment horizontal="center"/>
      <protection hidden="1"/>
    </xf>
    <xf numFmtId="0" fontId="2" fillId="0" borderId="8" xfId="0" applyFont="1" applyBorder="1" applyProtection="1">
      <protection hidden="1"/>
    </xf>
    <xf numFmtId="0" fontId="2" fillId="0" borderId="9" xfId="0" applyFont="1" applyBorder="1" applyProtection="1">
      <protection hidden="1"/>
    </xf>
    <xf numFmtId="2" fontId="2" fillId="4" borderId="9" xfId="0" applyNumberFormat="1" applyFont="1" applyFill="1" applyBorder="1" applyAlignment="1" applyProtection="1">
      <alignment horizontal="center"/>
      <protection hidden="1"/>
    </xf>
    <xf numFmtId="0" fontId="2" fillId="0" borderId="10" xfId="0" applyFont="1" applyBorder="1" applyProtection="1">
      <protection hidden="1"/>
    </xf>
    <xf numFmtId="0" fontId="2" fillId="8" borderId="6" xfId="0" applyFont="1" applyFill="1" applyBorder="1" applyProtection="1">
      <protection hidden="1"/>
    </xf>
    <xf numFmtId="0" fontId="2" fillId="8" borderId="0" xfId="0" applyFont="1" applyFill="1" applyBorder="1" applyProtection="1">
      <protection hidden="1"/>
    </xf>
    <xf numFmtId="2" fontId="2" fillId="8" borderId="0" xfId="0" applyNumberFormat="1" applyFont="1" applyFill="1" applyBorder="1" applyAlignment="1" applyProtection="1">
      <alignment horizontal="center"/>
      <protection hidden="1"/>
    </xf>
    <xf numFmtId="0" fontId="2" fillId="8" borderId="7" xfId="0" applyFont="1" applyFill="1" applyBorder="1" applyProtection="1">
      <protection hidden="1"/>
    </xf>
    <xf numFmtId="165" fontId="2" fillId="0" borderId="1" xfId="0" applyNumberFormat="1" applyFont="1" applyBorder="1" applyAlignment="1" applyProtection="1">
      <alignment horizontal="center"/>
      <protection hidden="1"/>
    </xf>
    <xf numFmtId="0" fontId="2" fillId="8" borderId="1" xfId="0" applyFont="1" applyFill="1" applyBorder="1" applyAlignment="1" applyProtection="1">
      <alignment horizontal="center"/>
      <protection hidden="1"/>
    </xf>
    <xf numFmtId="10" fontId="2" fillId="0" borderId="1" xfId="0" applyNumberFormat="1" applyFont="1" applyBorder="1" applyAlignment="1" applyProtection="1">
      <alignment horizontal="center"/>
      <protection hidden="1"/>
    </xf>
    <xf numFmtId="0" fontId="2" fillId="12" borderId="1" xfId="0" applyFont="1" applyFill="1" applyBorder="1" applyAlignment="1" applyProtection="1">
      <alignment horizontal="center"/>
      <protection hidden="1"/>
    </xf>
    <xf numFmtId="0" fontId="2" fillId="13" borderId="1" xfId="0" applyFont="1" applyFill="1" applyBorder="1" applyAlignment="1" applyProtection="1">
      <alignment horizontal="center"/>
      <protection hidden="1"/>
    </xf>
    <xf numFmtId="0" fontId="2" fillId="14" borderId="1" xfId="0" applyFont="1" applyFill="1" applyBorder="1" applyAlignment="1" applyProtection="1">
      <alignment horizontal="center"/>
      <protection hidden="1"/>
    </xf>
    <xf numFmtId="1" fontId="1" fillId="0" borderId="1" xfId="2" applyNumberFormat="1" applyFont="1" applyBorder="1" applyAlignment="1" applyProtection="1">
      <alignment horizontal="center"/>
      <protection hidden="1"/>
    </xf>
    <xf numFmtId="0" fontId="16" fillId="0" borderId="0" xfId="0" applyFont="1" applyProtection="1">
      <protection hidden="1"/>
    </xf>
    <xf numFmtId="170" fontId="2" fillId="0" borderId="1" xfId="0" applyNumberFormat="1" applyFont="1" applyBorder="1" applyAlignment="1" applyProtection="1">
      <alignment horizontal="center"/>
      <protection hidden="1"/>
    </xf>
    <xf numFmtId="0" fontId="2" fillId="8" borderId="1" xfId="0" applyFont="1" applyFill="1" applyBorder="1" applyProtection="1">
      <protection hidden="1"/>
    </xf>
    <xf numFmtId="0" fontId="2" fillId="0" borderId="12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2" fillId="0" borderId="21" xfId="0" applyFont="1" applyBorder="1" applyProtection="1">
      <protection hidden="1"/>
    </xf>
    <xf numFmtId="165" fontId="2" fillId="0" borderId="0" xfId="0" applyNumberFormat="1" applyFont="1" applyAlignment="1" applyProtection="1">
      <alignment horizontal="left"/>
      <protection hidden="1"/>
    </xf>
    <xf numFmtId="165" fontId="2" fillId="0" borderId="7" xfId="0" applyNumberFormat="1" applyFont="1" applyBorder="1" applyAlignment="1" applyProtection="1">
      <alignment horizontal="left"/>
      <protection hidden="1"/>
    </xf>
    <xf numFmtId="165" fontId="1" fillId="2" borderId="1" xfId="1" applyNumberFormat="1" applyFill="1" applyBorder="1" applyAlignment="1" applyProtection="1">
      <alignment horizontal="center"/>
      <protection hidden="1"/>
    </xf>
    <xf numFmtId="165" fontId="2" fillId="9" borderId="1" xfId="1" applyNumberFormat="1" applyFont="1" applyFill="1" applyBorder="1" applyAlignment="1" applyProtection="1">
      <alignment horizontal="center"/>
      <protection hidden="1"/>
    </xf>
    <xf numFmtId="11" fontId="2" fillId="0" borderId="0" xfId="0" applyNumberFormat="1" applyFont="1" applyProtection="1">
      <protection hidden="1"/>
    </xf>
    <xf numFmtId="165" fontId="2" fillId="0" borderId="0" xfId="0" applyNumberFormat="1" applyFont="1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165" fontId="2" fillId="0" borderId="9" xfId="0" applyNumberFormat="1" applyFont="1" applyBorder="1" applyAlignment="1" applyProtection="1">
      <alignment horizontal="left"/>
      <protection hidden="1"/>
    </xf>
    <xf numFmtId="165" fontId="2" fillId="0" borderId="10" xfId="0" applyNumberFormat="1" applyFont="1" applyBorder="1" applyAlignment="1" applyProtection="1">
      <alignment horizontal="left"/>
      <protection hidden="1"/>
    </xf>
    <xf numFmtId="165" fontId="2" fillId="0" borderId="6" xfId="0" applyNumberFormat="1" applyFont="1" applyBorder="1" applyAlignment="1" applyProtection="1">
      <alignment horizontal="left"/>
      <protection hidden="1"/>
    </xf>
    <xf numFmtId="0" fontId="2" fillId="8" borderId="0" xfId="0" applyFont="1" applyFill="1" applyProtection="1">
      <protection hidden="1"/>
    </xf>
    <xf numFmtId="2" fontId="2" fillId="8" borderId="7" xfId="0" applyNumberFormat="1" applyFont="1" applyFill="1" applyBorder="1" applyAlignment="1" applyProtection="1">
      <alignment horizontal="center"/>
      <protection hidden="1"/>
    </xf>
    <xf numFmtId="0" fontId="2" fillId="4" borderId="0" xfId="0" applyFont="1" applyFill="1" applyProtection="1">
      <protection hidden="1"/>
    </xf>
    <xf numFmtId="0" fontId="4" fillId="4" borderId="0" xfId="2" applyFont="1" applyFill="1" applyAlignment="1" applyProtection="1">
      <alignment horizontal="center"/>
      <protection hidden="1"/>
    </xf>
    <xf numFmtId="2" fontId="4" fillId="4" borderId="0" xfId="2" applyNumberFormat="1" applyFont="1" applyFill="1" applyAlignment="1" applyProtection="1">
      <alignment horizontal="center"/>
      <protection hidden="1"/>
    </xf>
    <xf numFmtId="11" fontId="4" fillId="4" borderId="0" xfId="2" applyNumberFormat="1" applyFont="1" applyFill="1" applyAlignment="1" applyProtection="1">
      <alignment horizontal="center"/>
      <protection hidden="1"/>
    </xf>
    <xf numFmtId="166" fontId="2" fillId="3" borderId="1" xfId="0" applyNumberFormat="1" applyFont="1" applyFill="1" applyBorder="1" applyAlignment="1" applyProtection="1">
      <alignment horizontal="center" vertical="center"/>
      <protection hidden="1"/>
    </xf>
    <xf numFmtId="166" fontId="2" fillId="3" borderId="1" xfId="0" applyNumberFormat="1" applyFont="1" applyFill="1" applyBorder="1" applyAlignment="1" applyProtection="1">
      <alignment horizontal="center"/>
      <protection hidden="1"/>
    </xf>
    <xf numFmtId="170" fontId="2" fillId="3" borderId="1" xfId="0" applyNumberFormat="1" applyFont="1" applyFill="1" applyBorder="1" applyAlignment="1" applyProtection="1">
      <alignment horizontal="center"/>
      <protection hidden="1"/>
    </xf>
    <xf numFmtId="0" fontId="2" fillId="5" borderId="1" xfId="0" applyFont="1" applyFill="1" applyBorder="1" applyAlignment="1" applyProtection="1">
      <alignment horizontal="center" wrapTex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164" fontId="2" fillId="5" borderId="1" xfId="0" applyNumberFormat="1" applyFont="1" applyFill="1" applyBorder="1" applyAlignment="1" applyProtection="1">
      <alignment horizontal="center" vertical="center"/>
      <protection hidden="1"/>
    </xf>
    <xf numFmtId="2" fontId="2" fillId="5" borderId="1" xfId="0" applyNumberFormat="1" applyFont="1" applyFill="1" applyBorder="1" applyAlignment="1" applyProtection="1">
      <alignment horizontal="center" vertical="center"/>
      <protection hidden="1"/>
    </xf>
    <xf numFmtId="166" fontId="2" fillId="5" borderId="1" xfId="0" applyNumberFormat="1" applyFont="1" applyFill="1" applyBorder="1" applyAlignment="1" applyProtection="1">
      <alignment horizontal="center" vertical="center"/>
      <protection hidden="1"/>
    </xf>
    <xf numFmtId="170" fontId="2" fillId="5" borderId="1" xfId="0" applyNumberFormat="1" applyFont="1" applyFill="1" applyBorder="1" applyAlignment="1" applyProtection="1">
      <alignment horizontal="center" vertical="center"/>
      <protection hidden="1"/>
    </xf>
    <xf numFmtId="166" fontId="2" fillId="5" borderId="1" xfId="0" applyNumberFormat="1" applyFont="1" applyFill="1" applyBorder="1" applyAlignment="1" applyProtection="1">
      <alignment horizontal="center"/>
      <protection hidden="1"/>
    </xf>
    <xf numFmtId="166" fontId="2" fillId="0" borderId="0" xfId="0" applyNumberFormat="1" applyFont="1" applyProtection="1">
      <protection hidden="1"/>
    </xf>
    <xf numFmtId="10" fontId="2" fillId="0" borderId="16" xfId="0" applyNumberFormat="1" applyFont="1" applyBorder="1" applyAlignment="1" applyProtection="1">
      <alignment horizontal="center"/>
      <protection hidden="1"/>
    </xf>
    <xf numFmtId="0" fontId="2" fillId="0" borderId="22" xfId="0" applyFont="1" applyBorder="1" applyProtection="1">
      <protection hidden="1"/>
    </xf>
    <xf numFmtId="0" fontId="2" fillId="14" borderId="17" xfId="0" applyFont="1" applyFill="1" applyBorder="1" applyAlignment="1" applyProtection="1">
      <alignment horizontal="center"/>
      <protection hidden="1"/>
    </xf>
    <xf numFmtId="17" fontId="2" fillId="0" borderId="0" xfId="0" applyNumberFormat="1" applyFont="1" applyProtection="1">
      <protection hidden="1"/>
    </xf>
    <xf numFmtId="0" fontId="17" fillId="0" borderId="0" xfId="0" applyFont="1" applyProtection="1">
      <protection hidden="1"/>
    </xf>
    <xf numFmtId="0" fontId="2" fillId="0" borderId="1" xfId="0" applyFont="1" applyBorder="1" applyProtection="1">
      <protection hidden="1"/>
    </xf>
    <xf numFmtId="0" fontId="15" fillId="0" borderId="18" xfId="0" applyFont="1" applyBorder="1" applyAlignment="1" applyProtection="1">
      <alignment horizontal="center" vertical="center"/>
      <protection hidden="1"/>
    </xf>
    <xf numFmtId="0" fontId="15" fillId="0" borderId="19" xfId="0" applyFont="1" applyBorder="1" applyAlignment="1" applyProtection="1">
      <alignment horizontal="center" vertical="center"/>
      <protection hidden="1"/>
    </xf>
    <xf numFmtId="0" fontId="15" fillId="0" borderId="20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/>
      <protection hidden="1"/>
    </xf>
    <xf numFmtId="165" fontId="2" fillId="2" borderId="13" xfId="0" applyNumberFormat="1" applyFont="1" applyFill="1" applyBorder="1" applyAlignment="1" applyProtection="1">
      <alignment horizontal="center" vertical="center"/>
      <protection hidden="1"/>
    </xf>
    <xf numFmtId="165" fontId="2" fillId="2" borderId="14" xfId="0" applyNumberFormat="1" applyFont="1" applyFill="1" applyBorder="1" applyAlignment="1" applyProtection="1">
      <alignment horizontal="center" vertical="center"/>
      <protection hidden="1"/>
    </xf>
    <xf numFmtId="165" fontId="2" fillId="2" borderId="15" xfId="0" applyNumberFormat="1" applyFont="1" applyFill="1" applyBorder="1" applyAlignment="1" applyProtection="1">
      <alignment horizontal="center" vertic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2" fillId="10" borderId="1" xfId="0" applyFont="1" applyFill="1" applyBorder="1" applyAlignment="1" applyProtection="1">
      <alignment horizontal="center"/>
      <protection hidden="1"/>
    </xf>
    <xf numFmtId="0" fontId="4" fillId="4" borderId="0" xfId="2" applyFont="1" applyFill="1" applyBorder="1" applyAlignment="1" applyProtection="1">
      <alignment horizontal="center"/>
      <protection hidden="1"/>
    </xf>
    <xf numFmtId="0" fontId="2" fillId="0" borderId="11" xfId="0" applyFont="1" applyBorder="1" applyAlignment="1" applyProtection="1">
      <alignment horizontal="center"/>
      <protection hidden="1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hidden="1"/>
    </xf>
    <xf numFmtId="165" fontId="2" fillId="2" borderId="13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4" xfId="0" applyNumberFormat="1" applyFont="1" applyFill="1" applyBorder="1" applyAlignment="1" applyProtection="1">
      <alignment horizontal="center" vertical="center" wrapText="1"/>
      <protection hidden="1"/>
    </xf>
    <xf numFmtId="165" fontId="2" fillId="2" borderId="15" xfId="0" applyNumberFormat="1" applyFont="1" applyFill="1" applyBorder="1" applyAlignment="1" applyProtection="1">
      <alignment horizontal="center" vertical="center" wrapText="1"/>
      <protection hidden="1"/>
    </xf>
    <xf numFmtId="1" fontId="2" fillId="9" borderId="13" xfId="1" applyNumberFormat="1" applyFont="1" applyFill="1" applyBorder="1" applyAlignment="1" applyProtection="1">
      <alignment horizontal="center" vertical="center"/>
      <protection hidden="1"/>
    </xf>
    <xf numFmtId="1" fontId="2" fillId="9" borderId="14" xfId="1" applyNumberFormat="1" applyFont="1" applyFill="1" applyBorder="1" applyAlignment="1" applyProtection="1">
      <alignment horizontal="center" vertical="center"/>
      <protection hidden="1"/>
    </xf>
    <xf numFmtId="165" fontId="3" fillId="0" borderId="22" xfId="0" applyNumberFormat="1" applyFont="1" applyBorder="1" applyAlignment="1" applyProtection="1">
      <alignment horizontal="center" vertical="center"/>
      <protection hidden="1"/>
    </xf>
    <xf numFmtId="1" fontId="2" fillId="9" borderId="23" xfId="1" applyNumberFormat="1" applyFont="1" applyFill="1" applyBorder="1" applyAlignment="1" applyProtection="1">
      <alignment horizontal="center" vertical="center"/>
      <protection hidden="1"/>
    </xf>
    <xf numFmtId="1" fontId="2" fillId="9" borderId="24" xfId="1" applyNumberFormat="1" applyFont="1" applyFill="1" applyBorder="1" applyAlignment="1" applyProtection="1">
      <alignment horizontal="center" vertical="center"/>
      <protection hidden="1"/>
    </xf>
    <xf numFmtId="1" fontId="2" fillId="9" borderId="1" xfId="1" applyNumberFormat="1" applyFont="1" applyFill="1" applyBorder="1" applyAlignment="1" applyProtection="1">
      <alignment horizontal="center" vertical="center"/>
      <protection hidden="1"/>
    </xf>
  </cellXfs>
  <cellStyles count="8">
    <cellStyle name="Formule" xfId="6" xr:uid="{00000000-0005-0000-0000-000000000000}"/>
    <cellStyle name="Normal" xfId="0" builtinId="0"/>
    <cellStyle name="Normal 2" xfId="1" xr:uid="{00000000-0005-0000-0000-000003000000}"/>
    <cellStyle name="Normal 2 2" xfId="2" xr:uid="{00000000-0005-0000-0000-000004000000}"/>
    <cellStyle name="Normal 3" xfId="4" xr:uid="{00000000-0005-0000-0000-000005000000}"/>
    <cellStyle name="Pourcentage 2" xfId="7" xr:uid="{00000000-0005-0000-0000-000006000000}"/>
    <cellStyle name="Saisie" xfId="5" xr:uid="{00000000-0005-0000-0000-000007000000}"/>
    <cellStyle name="Titre 2" xfId="3" xr:uid="{00000000-0005-0000-0000-000008000000}"/>
  </cellStyles>
  <dxfs count="6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facteurs à la dispersion - indique qui contribue le + à la variance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'GR&amp;R croisé'!$C$60:$C$63</c:f>
              <c:strCache>
                <c:ptCount val="4"/>
                <c:pt idx="0">
                  <c:v>répéta</c:v>
                </c:pt>
                <c:pt idx="1">
                  <c:v>opérateur</c:v>
                </c:pt>
                <c:pt idx="2">
                  <c:v>pièce</c:v>
                </c:pt>
                <c:pt idx="3">
                  <c:v>interaction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'GR&amp;R croisé'!$C$60:$C$63</c:f>
              <c:strCache>
                <c:ptCount val="4"/>
                <c:pt idx="0">
                  <c:v>répéta</c:v>
                </c:pt>
                <c:pt idx="1">
                  <c:v>opérateur</c:v>
                </c:pt>
                <c:pt idx="2">
                  <c:v>pièce</c:v>
                </c:pt>
                <c:pt idx="3">
                  <c:v>interaction</c:v>
                </c:pt>
              </c:strCache>
            </c:strRef>
          </c:cat>
          <c:val>
            <c:numRef>
              <c:f>'GR&amp;R croisé'!$J$60:$J$63</c:f>
              <c:numCache>
                <c:formatCode>0%</c:formatCode>
                <c:ptCount val="4"/>
                <c:pt idx="0">
                  <c:v>0.70676726098653531</c:v>
                </c:pt>
                <c:pt idx="1">
                  <c:v>3.1037066661106887E-3</c:v>
                </c:pt>
                <c:pt idx="2">
                  <c:v>8.4270809149312564E-2</c:v>
                </c:pt>
                <c:pt idx="3">
                  <c:v>0.20585822319804148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E7-49CD-B53B-56D73C49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60688"/>
        <c:axId val="692250896"/>
      </c:barChart>
      <c:catAx>
        <c:axId val="69226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50896"/>
        <c:crosses val="autoZero"/>
        <c:auto val="1"/>
        <c:lblAlgn val="ctr"/>
        <c:lblOffset val="100"/>
        <c:noMultiLvlLbl val="0"/>
      </c:catAx>
      <c:valAx>
        <c:axId val="692250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6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'GR&amp;R croisé'!$W$34:$W$93</c:f>
              <c:numCache>
                <c:formatCode>0.00</c:formatCode>
                <c:ptCount val="60"/>
                <c:pt idx="0">
                  <c:v>29.648990558061971</c:v>
                </c:pt>
                <c:pt idx="1">
                  <c:v>29.67841235427472</c:v>
                </c:pt>
                <c:pt idx="2">
                  <c:v>29.737255946700216</c:v>
                </c:pt>
                <c:pt idx="3">
                  <c:v>29.766677742912968</c:v>
                </c:pt>
                <c:pt idx="4">
                  <c:v>29.796099539125716</c:v>
                </c:pt>
                <c:pt idx="5">
                  <c:v>29.825521335338465</c:v>
                </c:pt>
                <c:pt idx="6">
                  <c:v>29.854943131551213</c:v>
                </c:pt>
                <c:pt idx="7">
                  <c:v>29.884364927763961</c:v>
                </c:pt>
                <c:pt idx="8">
                  <c:v>29.91378672397671</c:v>
                </c:pt>
                <c:pt idx="9">
                  <c:v>29.943208520189458</c:v>
                </c:pt>
                <c:pt idx="10">
                  <c:v>29.972630316402206</c:v>
                </c:pt>
                <c:pt idx="11">
                  <c:v>30.002052112614958</c:v>
                </c:pt>
                <c:pt idx="12">
                  <c:v>30.031473908827707</c:v>
                </c:pt>
                <c:pt idx="13">
                  <c:v>30.060895705040455</c:v>
                </c:pt>
                <c:pt idx="14">
                  <c:v>30.090317501253203</c:v>
                </c:pt>
                <c:pt idx="15">
                  <c:v>30.119739297465951</c:v>
                </c:pt>
                <c:pt idx="16">
                  <c:v>30.1491610936787</c:v>
                </c:pt>
                <c:pt idx="17">
                  <c:v>30.178582889891448</c:v>
                </c:pt>
                <c:pt idx="18">
                  <c:v>30.2080046861042</c:v>
                </c:pt>
                <c:pt idx="19">
                  <c:v>30.237426482316948</c:v>
                </c:pt>
                <c:pt idx="20">
                  <c:v>30.266848278529697</c:v>
                </c:pt>
                <c:pt idx="21">
                  <c:v>30.296270074742445</c:v>
                </c:pt>
                <c:pt idx="22">
                  <c:v>30.325691870955193</c:v>
                </c:pt>
                <c:pt idx="23">
                  <c:v>30.355113667167942</c:v>
                </c:pt>
                <c:pt idx="24">
                  <c:v>30.38453546338069</c:v>
                </c:pt>
                <c:pt idx="25">
                  <c:v>30.413957259593438</c:v>
                </c:pt>
                <c:pt idx="26">
                  <c:v>30.44337905580619</c:v>
                </c:pt>
                <c:pt idx="27">
                  <c:v>30.472800852018938</c:v>
                </c:pt>
                <c:pt idx="28">
                  <c:v>30.502222648231687</c:v>
                </c:pt>
                <c:pt idx="29">
                  <c:v>30.531644444444435</c:v>
                </c:pt>
                <c:pt idx="30">
                  <c:v>30.561066240657183</c:v>
                </c:pt>
                <c:pt idx="31">
                  <c:v>30.590488036869932</c:v>
                </c:pt>
                <c:pt idx="32">
                  <c:v>30.61990983308268</c:v>
                </c:pt>
                <c:pt idx="33">
                  <c:v>30.649331629295432</c:v>
                </c:pt>
                <c:pt idx="34">
                  <c:v>30.67875342550818</c:v>
                </c:pt>
                <c:pt idx="35">
                  <c:v>30.708175221720929</c:v>
                </c:pt>
                <c:pt idx="36">
                  <c:v>30.737597017933677</c:v>
                </c:pt>
                <c:pt idx="37">
                  <c:v>30.767018814146425</c:v>
                </c:pt>
                <c:pt idx="38">
                  <c:v>30.796440610359173</c:v>
                </c:pt>
                <c:pt idx="39">
                  <c:v>30.825862406571922</c:v>
                </c:pt>
                <c:pt idx="40">
                  <c:v>30.85528420278467</c:v>
                </c:pt>
                <c:pt idx="41">
                  <c:v>30.884705998997422</c:v>
                </c:pt>
                <c:pt idx="42">
                  <c:v>30.91412779521017</c:v>
                </c:pt>
                <c:pt idx="43">
                  <c:v>30.943549591422919</c:v>
                </c:pt>
                <c:pt idx="44">
                  <c:v>30.972971387635667</c:v>
                </c:pt>
                <c:pt idx="45">
                  <c:v>31.002393183848415</c:v>
                </c:pt>
                <c:pt idx="46">
                  <c:v>31.031814980061164</c:v>
                </c:pt>
                <c:pt idx="47">
                  <c:v>31.061236776273912</c:v>
                </c:pt>
                <c:pt idx="48">
                  <c:v>31.090658572486664</c:v>
                </c:pt>
                <c:pt idx="49">
                  <c:v>31.120080368699412</c:v>
                </c:pt>
                <c:pt idx="50">
                  <c:v>31.14950216491216</c:v>
                </c:pt>
                <c:pt idx="51">
                  <c:v>31.178923961124909</c:v>
                </c:pt>
                <c:pt idx="52">
                  <c:v>31.208345757337657</c:v>
                </c:pt>
                <c:pt idx="53">
                  <c:v>31.237767553550405</c:v>
                </c:pt>
                <c:pt idx="54">
                  <c:v>31.267189349763157</c:v>
                </c:pt>
                <c:pt idx="55">
                  <c:v>31.296611145975902</c:v>
                </c:pt>
                <c:pt idx="56">
                  <c:v>31.326032942188654</c:v>
                </c:pt>
                <c:pt idx="57">
                  <c:v>31.355454738401406</c:v>
                </c:pt>
                <c:pt idx="58">
                  <c:v>31.384876534614154</c:v>
                </c:pt>
                <c:pt idx="59">
                  <c:v>31.414298330826902</c:v>
                </c:pt>
              </c:numCache>
            </c:numRef>
          </c:xVal>
          <c:yVal>
            <c:numRef>
              <c:f>'GR&amp;R croisé'!$X$34:$X$93</c:f>
              <c:numCache>
                <c:formatCode>0.00E+00</c:formatCode>
                <c:ptCount val="60"/>
                <c:pt idx="0">
                  <c:v>1.5063146994464049E-2</c:v>
                </c:pt>
                <c:pt idx="1">
                  <c:v>2.0231709773030543E-2</c:v>
                </c:pt>
                <c:pt idx="2">
                  <c:v>3.5419097933616119E-2</c:v>
                </c:pt>
                <c:pt idx="3">
                  <c:v>4.6166349380804175E-2</c:v>
                </c:pt>
                <c:pt idx="4">
                  <c:v>5.9575902051736393E-2</c:v>
                </c:pt>
                <c:pt idx="5">
                  <c:v>7.6115442214704829E-2</c:v>
                </c:pt>
                <c:pt idx="6">
                  <c:v>9.6279090293361458E-2</c:v>
                </c:pt>
                <c:pt idx="7">
                  <c:v>0.12057249186866377</c:v>
                </c:pt>
                <c:pt idx="8">
                  <c:v>0.14949323849020599</c:v>
                </c:pt>
                <c:pt idx="9">
                  <c:v>0.18350669728924551</c:v>
                </c:pt>
                <c:pt idx="10">
                  <c:v>0.22301770531006473</c:v>
                </c:pt>
                <c:pt idx="11">
                  <c:v>0.26833901550403927</c:v>
                </c:pt>
                <c:pt idx="12">
                  <c:v>0.31965783698867073</c:v>
                </c:pt>
                <c:pt idx="13">
                  <c:v>0.37700225328660458</c:v>
                </c:pt>
                <c:pt idx="14">
                  <c:v>0.44020968240467356</c:v>
                </c:pt>
                <c:pt idx="15">
                  <c:v>0.50889981207491997</c:v>
                </c:pt>
                <c:pt idx="16">
                  <c:v>0.5824545544692159</c:v>
                </c:pt>
                <c:pt idx="17">
                  <c:v>0.66000747737851861</c:v>
                </c:pt>
                <c:pt idx="18">
                  <c:v>0.7404448574698308</c:v>
                </c:pt>
                <c:pt idx="19">
                  <c:v>0.82241995957505731</c:v>
                </c:pt>
                <c:pt idx="20">
                  <c:v>0.90438139117916161</c:v>
                </c:pt>
                <c:pt idx="21">
                  <c:v>0.98461545538119255</c:v>
                </c:pt>
                <c:pt idx="22">
                  <c:v>1.06130139407144</c:v>
                </c:pt>
                <c:pt idx="23">
                  <c:v>1.1325773602748606</c:v>
                </c:pt>
                <c:pt idx="24">
                  <c:v>1.1966139803923492</c:v>
                </c:pt>
                <c:pt idx="25">
                  <c:v>1.2516915610466601</c:v>
                </c:pt>
                <c:pt idx="26">
                  <c:v>1.296276449958093</c:v>
                </c:pt>
                <c:pt idx="27">
                  <c:v>1.3290918445217597</c:v>
                </c:pt>
                <c:pt idx="28">
                  <c:v>1.3491784954482415</c:v>
                </c:pt>
                <c:pt idx="29">
                  <c:v>1.3559412807997311</c:v>
                </c:pt>
                <c:pt idx="30">
                  <c:v>1.3491784954482415</c:v>
                </c:pt>
                <c:pt idx="31">
                  <c:v>1.3290918445217597</c:v>
                </c:pt>
                <c:pt idx="32">
                  <c:v>1.296276449958093</c:v>
                </c:pt>
                <c:pt idx="33">
                  <c:v>1.2516915610466601</c:v>
                </c:pt>
                <c:pt idx="34">
                  <c:v>1.1966139803923492</c:v>
                </c:pt>
                <c:pt idx="35">
                  <c:v>1.1325773602748606</c:v>
                </c:pt>
                <c:pt idx="36">
                  <c:v>1.06130139407144</c:v>
                </c:pt>
                <c:pt idx="37">
                  <c:v>0.98461545538119255</c:v>
                </c:pt>
                <c:pt idx="38">
                  <c:v>0.90438139117916161</c:v>
                </c:pt>
                <c:pt idx="39">
                  <c:v>0.82241995957505731</c:v>
                </c:pt>
                <c:pt idx="40">
                  <c:v>0.7404448574698308</c:v>
                </c:pt>
                <c:pt idx="41">
                  <c:v>0.66000747737851861</c:v>
                </c:pt>
                <c:pt idx="42">
                  <c:v>0.5824545544692159</c:v>
                </c:pt>
                <c:pt idx="43">
                  <c:v>0.50889981207491997</c:v>
                </c:pt>
                <c:pt idx="44">
                  <c:v>0.44020968240467356</c:v>
                </c:pt>
                <c:pt idx="45">
                  <c:v>0.37700225328660458</c:v>
                </c:pt>
                <c:pt idx="46">
                  <c:v>0.31965783698867073</c:v>
                </c:pt>
                <c:pt idx="47">
                  <c:v>0.26833901550403927</c:v>
                </c:pt>
                <c:pt idx="48">
                  <c:v>0.22301770531006473</c:v>
                </c:pt>
                <c:pt idx="49">
                  <c:v>0.18350669728924551</c:v>
                </c:pt>
                <c:pt idx="50">
                  <c:v>0.14949323849020599</c:v>
                </c:pt>
                <c:pt idx="51">
                  <c:v>0.12057249186866377</c:v>
                </c:pt>
                <c:pt idx="52">
                  <c:v>9.6279090293361458E-2</c:v>
                </c:pt>
                <c:pt idx="53">
                  <c:v>7.6115442214704829E-2</c:v>
                </c:pt>
                <c:pt idx="54">
                  <c:v>5.957590205173463E-2</c:v>
                </c:pt>
                <c:pt idx="55">
                  <c:v>4.6166349380804175E-2</c:v>
                </c:pt>
                <c:pt idx="56">
                  <c:v>3.5419097933616119E-2</c:v>
                </c:pt>
                <c:pt idx="57">
                  <c:v>2.6903359420149101E-2</c:v>
                </c:pt>
                <c:pt idx="58">
                  <c:v>2.0231709773029825E-2</c:v>
                </c:pt>
                <c:pt idx="59">
                  <c:v>1.5063146994463487E-2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D-4828-8BF1-B65168AF198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D74D-4828-8BF1-B65168AF1987}"/>
              </c:ext>
            </c:extLst>
          </c:dPt>
          <c:xVal>
            <c:numRef>
              <c:f>'GR&amp;R croisé'!$Q$6:$R$6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'GR&amp;R croisé'!$S$6:$T$6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1.3559412807997311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4D-4828-8BF1-B65168AF198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74D-4828-8BF1-B65168AF1987}"/>
              </c:ext>
            </c:extLst>
          </c:dPt>
          <c:xVal>
            <c:numRef>
              <c:f>'GR&amp;R croisé'!$Q$7:$R$7</c:f>
              <c:numCache>
                <c:formatCode>General</c:formatCode>
                <c:ptCount val="2"/>
                <c:pt idx="0">
                  <c:v>35</c:v>
                </c:pt>
                <c:pt idx="1">
                  <c:v>35</c:v>
                </c:pt>
              </c:numCache>
            </c:numRef>
          </c:xVal>
          <c:yVal>
            <c:numRef>
              <c:f>'GR&amp;R croisé'!$S$7:$T$7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1.3559412807997311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74D-4828-8BF1-B65168AF1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255792"/>
        <c:axId val="692247632"/>
      </c:scatterChart>
      <c:valAx>
        <c:axId val="692255792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47632"/>
        <c:crosses val="autoZero"/>
        <c:crossBetween val="midCat"/>
      </c:valAx>
      <c:valAx>
        <c:axId val="69224763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225579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Contribution% des étapes à la dispersion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'Gage R&amp;R emboité'!$C$56:$C$58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'Gage R&amp;R emboité'!$C$56:$C$58</c:f>
              <c:strCache>
                <c:ptCount val="3"/>
                <c:pt idx="0">
                  <c:v>lot</c:v>
                </c:pt>
                <c:pt idx="1">
                  <c:v>opérateur</c:v>
                </c:pt>
                <c:pt idx="2">
                  <c:v>Piece(lot*op)</c:v>
                </c:pt>
              </c:strCache>
            </c:strRef>
          </c:cat>
          <c:val>
            <c:numRef>
              <c:f>'Gage R&amp;R emboité'!$J$56:$J$58</c:f>
              <c:numCache>
                <c:formatCode>0.0%</c:formatCode>
                <c:ptCount val="3"/>
                <c:pt idx="0">
                  <c:v>3.4610520302098102E-2</c:v>
                </c:pt>
                <c:pt idx="1">
                  <c:v>7.1357361513876864E-3</c:v>
                </c:pt>
                <c:pt idx="2">
                  <c:v>0.10484117009377156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85-4CDE-815D-05FA22DA3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0519184"/>
        <c:axId val="400524080"/>
      </c:barChart>
      <c:catAx>
        <c:axId val="40051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24080"/>
        <c:crosses val="autoZero"/>
        <c:auto val="1"/>
        <c:lblAlgn val="ctr"/>
        <c:lblOffset val="100"/>
        <c:noMultiLvlLbl val="0"/>
      </c:catAx>
      <c:valAx>
        <c:axId val="40052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0051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totale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'Gage R&amp;R emboité'!$U$33:$U$93</c:f>
              <c:numCache>
                <c:formatCode>0.00</c:formatCode>
                <c:ptCount val="61"/>
                <c:pt idx="0">
                  <c:v>0.53729601930361504</c:v>
                </c:pt>
                <c:pt idx="1">
                  <c:v>0.56793652599535205</c:v>
                </c:pt>
                <c:pt idx="2">
                  <c:v>0.59857703268708895</c:v>
                </c:pt>
                <c:pt idx="3">
                  <c:v>0.62921753937882585</c:v>
                </c:pt>
                <c:pt idx="4">
                  <c:v>0.65985804607056286</c:v>
                </c:pt>
                <c:pt idx="5">
                  <c:v>0.69049855276229977</c:v>
                </c:pt>
                <c:pt idx="6">
                  <c:v>0.72113905945403678</c:v>
                </c:pt>
                <c:pt idx="7">
                  <c:v>0.75177956614577379</c:v>
                </c:pt>
                <c:pt idx="8">
                  <c:v>0.78242007283751069</c:v>
                </c:pt>
                <c:pt idx="9">
                  <c:v>0.8130605795292476</c:v>
                </c:pt>
                <c:pt idx="10">
                  <c:v>0.84370108622098461</c:v>
                </c:pt>
                <c:pt idx="11">
                  <c:v>0.87434159291272162</c:v>
                </c:pt>
                <c:pt idx="12">
                  <c:v>0.90498209960445852</c:v>
                </c:pt>
                <c:pt idx="13">
                  <c:v>0.93562260629619554</c:v>
                </c:pt>
                <c:pt idx="14">
                  <c:v>0.96626311298793244</c:v>
                </c:pt>
                <c:pt idx="15">
                  <c:v>0.99690361967966945</c:v>
                </c:pt>
                <c:pt idx="16">
                  <c:v>1.0275441263714065</c:v>
                </c:pt>
                <c:pt idx="17">
                  <c:v>1.0581846330631433</c:v>
                </c:pt>
                <c:pt idx="18">
                  <c:v>1.0888251397548803</c:v>
                </c:pt>
                <c:pt idx="19">
                  <c:v>1.1194656464466173</c:v>
                </c:pt>
                <c:pt idx="20">
                  <c:v>1.1501061531383541</c:v>
                </c:pt>
                <c:pt idx="21">
                  <c:v>1.1807466598300911</c:v>
                </c:pt>
                <c:pt idx="22">
                  <c:v>1.2113871665218281</c:v>
                </c:pt>
                <c:pt idx="23">
                  <c:v>1.2420276732135651</c:v>
                </c:pt>
                <c:pt idx="24">
                  <c:v>1.2726681799053021</c:v>
                </c:pt>
                <c:pt idx="25">
                  <c:v>1.3033086865970389</c:v>
                </c:pt>
                <c:pt idx="26">
                  <c:v>1.3339491932887759</c:v>
                </c:pt>
                <c:pt idx="27">
                  <c:v>1.3645896999805129</c:v>
                </c:pt>
                <c:pt idx="28">
                  <c:v>1.3952302066722497</c:v>
                </c:pt>
                <c:pt idx="29">
                  <c:v>1.4258707133639867</c:v>
                </c:pt>
                <c:pt idx="30">
                  <c:v>1.4565112200557238</c:v>
                </c:pt>
                <c:pt idx="31">
                  <c:v>1.4871517267474608</c:v>
                </c:pt>
                <c:pt idx="32">
                  <c:v>1.5177922334391978</c:v>
                </c:pt>
                <c:pt idx="33">
                  <c:v>1.5484327401309346</c:v>
                </c:pt>
                <c:pt idx="34">
                  <c:v>1.5790732468226716</c:v>
                </c:pt>
                <c:pt idx="35">
                  <c:v>1.6097137535144086</c:v>
                </c:pt>
                <c:pt idx="36">
                  <c:v>1.6403542602061454</c:v>
                </c:pt>
                <c:pt idx="37">
                  <c:v>1.6709947668978824</c:v>
                </c:pt>
                <c:pt idx="38">
                  <c:v>1.7016352735896194</c:v>
                </c:pt>
                <c:pt idx="39">
                  <c:v>1.7322757802813564</c:v>
                </c:pt>
                <c:pt idx="40">
                  <c:v>1.7629162869730934</c:v>
                </c:pt>
                <c:pt idx="41">
                  <c:v>1.7935567936648302</c:v>
                </c:pt>
                <c:pt idx="42">
                  <c:v>1.8241973003565672</c:v>
                </c:pt>
                <c:pt idx="43">
                  <c:v>1.8548378070483043</c:v>
                </c:pt>
                <c:pt idx="44">
                  <c:v>1.885478313740041</c:v>
                </c:pt>
                <c:pt idx="45">
                  <c:v>1.9161188204317781</c:v>
                </c:pt>
                <c:pt idx="46">
                  <c:v>1.9467593271235151</c:v>
                </c:pt>
                <c:pt idx="47">
                  <c:v>1.9773998338152521</c:v>
                </c:pt>
                <c:pt idx="48">
                  <c:v>2.0080403405069891</c:v>
                </c:pt>
                <c:pt idx="49">
                  <c:v>2.0386808471987257</c:v>
                </c:pt>
                <c:pt idx="50">
                  <c:v>2.0693213538904631</c:v>
                </c:pt>
                <c:pt idx="51">
                  <c:v>2.0999618605821997</c:v>
                </c:pt>
                <c:pt idx="52">
                  <c:v>2.1306023672739367</c:v>
                </c:pt>
                <c:pt idx="53">
                  <c:v>2.1612428739656737</c:v>
                </c:pt>
                <c:pt idx="54">
                  <c:v>2.1918833806574107</c:v>
                </c:pt>
                <c:pt idx="55">
                  <c:v>2.2225238873491509</c:v>
                </c:pt>
                <c:pt idx="56">
                  <c:v>2.2531643940408848</c:v>
                </c:pt>
                <c:pt idx="57">
                  <c:v>2.2838049007326218</c:v>
                </c:pt>
                <c:pt idx="58">
                  <c:v>2.3144454074243619</c:v>
                </c:pt>
                <c:pt idx="59">
                  <c:v>2.3450859141160985</c:v>
                </c:pt>
                <c:pt idx="60">
                  <c:v>2.3757264208078355</c:v>
                </c:pt>
              </c:numCache>
            </c:numRef>
          </c:xVal>
          <c:yVal>
            <c:numRef>
              <c:f>'Gage R&amp;R emboité'!$V$33:$V$93</c:f>
              <c:numCache>
                <c:formatCode>0.00E+00</c:formatCode>
                <c:ptCount val="61"/>
                <c:pt idx="0">
                  <c:v>1.4464018028569923E-2</c:v>
                </c:pt>
                <c:pt idx="1">
                  <c:v>1.942700386668578E-2</c:v>
                </c:pt>
                <c:pt idx="2">
                  <c:v>2.5833292062087811E-2</c:v>
                </c:pt>
                <c:pt idx="3">
                  <c:v>3.4010321432552809E-2</c:v>
                </c:pt>
                <c:pt idx="4">
                  <c:v>4.4330106451368277E-2</c:v>
                </c:pt>
                <c:pt idx="5">
                  <c:v>5.7206301024700486E-2</c:v>
                </c:pt>
                <c:pt idx="6">
                  <c:v>7.3087989438771886E-2</c:v>
                </c:pt>
                <c:pt idx="7">
                  <c:v>9.2449638730159586E-2</c:v>
                </c:pt>
                <c:pt idx="8">
                  <c:v>0.11577678268550994</c:v>
                </c:pt>
                <c:pt idx="9">
                  <c:v>0.14354722140508389</c:v>
                </c:pt>
                <c:pt idx="10">
                  <c:v>0.17620781228055926</c:v>
                </c:pt>
                <c:pt idx="11">
                  <c:v>0.21414729016988376</c:v>
                </c:pt>
                <c:pt idx="12">
                  <c:v>0.25766596843578043</c:v>
                </c:pt>
                <c:pt idx="13">
                  <c:v>0.30694361004888293</c:v>
                </c:pt>
                <c:pt idx="14">
                  <c:v>0.36200718152408473</c:v>
                </c:pt>
                <c:pt idx="15">
                  <c:v>0.42270056748382595</c:v>
                </c:pt>
                <c:pt idx="16">
                  <c:v>0.48865858238605114</c:v>
                </c:pt>
                <c:pt idx="17">
                  <c:v>0.55928772252980241</c:v>
                </c:pt>
                <c:pt idx="18">
                  <c:v>0.6337560176039142</c:v>
                </c:pt>
                <c:pt idx="19">
                  <c:v>0.71099404205120509</c:v>
                </c:pt>
                <c:pt idx="20">
                  <c:v>0.78970862640596351</c:v>
                </c:pt>
                <c:pt idx="21">
                  <c:v>0.86841008399678932</c:v>
                </c:pt>
                <c:pt idx="22">
                  <c:v>0.94545287934029454</c:v>
                </c:pt>
                <c:pt idx="23">
                  <c:v>1.0190886740491436</c:v>
                </c:pt>
                <c:pt idx="24">
                  <c:v>1.0875296751592649</c:v>
                </c:pt>
                <c:pt idx="25">
                  <c:v>1.14901927147061</c:v>
                </c:pt>
                <c:pt idx="26">
                  <c:v>1.2019061695302753</c:v>
                </c:pt>
                <c:pt idx="27">
                  <c:v>1.2447177172934143</c:v>
                </c:pt>
                <c:pt idx="28">
                  <c:v>1.2762278963255889</c:v>
                </c:pt>
                <c:pt idx="29">
                  <c:v>1.2955156109871406</c:v>
                </c:pt>
                <c:pt idx="30">
                  <c:v>1.3020094100108934</c:v>
                </c:pt>
                <c:pt idx="31">
                  <c:v>1.2955156109871406</c:v>
                </c:pt>
                <c:pt idx="32">
                  <c:v>1.2762278963255889</c:v>
                </c:pt>
                <c:pt idx="33">
                  <c:v>1.2447177172934143</c:v>
                </c:pt>
                <c:pt idx="34">
                  <c:v>1.2019061695302753</c:v>
                </c:pt>
                <c:pt idx="35">
                  <c:v>1.14901927147061</c:v>
                </c:pt>
                <c:pt idx="36">
                  <c:v>1.0875296751592649</c:v>
                </c:pt>
                <c:pt idx="37">
                  <c:v>1.0190886740491436</c:v>
                </c:pt>
                <c:pt idx="38">
                  <c:v>0.94545287934029454</c:v>
                </c:pt>
                <c:pt idx="39">
                  <c:v>0.86841008399678932</c:v>
                </c:pt>
                <c:pt idx="40">
                  <c:v>0.78970862640596351</c:v>
                </c:pt>
                <c:pt idx="41">
                  <c:v>0.71099404205120509</c:v>
                </c:pt>
                <c:pt idx="42">
                  <c:v>0.6337560176039142</c:v>
                </c:pt>
                <c:pt idx="43">
                  <c:v>0.55928772252980241</c:v>
                </c:pt>
                <c:pt idx="44">
                  <c:v>0.48865858238605114</c:v>
                </c:pt>
                <c:pt idx="45">
                  <c:v>0.42270056748382595</c:v>
                </c:pt>
                <c:pt idx="46">
                  <c:v>0.36200718152408473</c:v>
                </c:pt>
                <c:pt idx="47">
                  <c:v>0.30694361004888271</c:v>
                </c:pt>
                <c:pt idx="48">
                  <c:v>0.25766596843578038</c:v>
                </c:pt>
                <c:pt idx="49">
                  <c:v>0.21414729016988415</c:v>
                </c:pt>
                <c:pt idx="50">
                  <c:v>0.17620781228055896</c:v>
                </c:pt>
                <c:pt idx="51">
                  <c:v>0.143547221405084</c:v>
                </c:pt>
                <c:pt idx="52">
                  <c:v>0.11577678268551005</c:v>
                </c:pt>
                <c:pt idx="53">
                  <c:v>9.2449638730159586E-2</c:v>
                </c:pt>
                <c:pt idx="54">
                  <c:v>7.3087989438771886E-2</c:v>
                </c:pt>
                <c:pt idx="55">
                  <c:v>5.7206301024699001E-2</c:v>
                </c:pt>
                <c:pt idx="56">
                  <c:v>4.4330106451368242E-2</c:v>
                </c:pt>
                <c:pt idx="57">
                  <c:v>3.4010321432552761E-2</c:v>
                </c:pt>
                <c:pt idx="58">
                  <c:v>2.583329206208701E-2</c:v>
                </c:pt>
                <c:pt idx="59">
                  <c:v>1.9427003866685229E-2</c:v>
                </c:pt>
                <c:pt idx="60">
                  <c:v>1.44640180285695E-2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C2-4301-BA27-96AA13A6DCB7}"/>
            </c:ext>
          </c:extLst>
        </c:ser>
        <c:ser>
          <c:idx val="1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3C2-4301-BA27-96AA13A6DCB7}"/>
              </c:ext>
            </c:extLst>
          </c:dPt>
          <c:xVal>
            <c:numRef>
              <c:f>'Gage R&amp;R emboité'!$M$4:$P$4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'Gage R&amp;R emboité'!$Q$4:$R$4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1.3020094100108934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C2-4301-BA27-96AA13A6DCB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C2-4301-BA27-96AA13A6DCB7}"/>
              </c:ext>
            </c:extLst>
          </c:dPt>
          <c:xVal>
            <c:numRef>
              <c:f>'Gage R&amp;R emboité'!$M$5:$P$5</c:f>
              <c:numCache>
                <c:formatCode>General</c:formatCode>
                <c:ptCount val="4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 formatCode="0.00E+00">
                  <c:v>0</c:v>
                </c:pt>
              </c:numCache>
            </c:numRef>
          </c:xVal>
          <c:yVal>
            <c:numRef>
              <c:f>'Gage R&amp;R emboité'!$Q$5:$R$5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1.3020094100108934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C2-4301-BA27-96AA13A6D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937344"/>
        <c:axId val="584938432"/>
      </c:scatterChart>
      <c:valAx>
        <c:axId val="5849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8432"/>
        <c:crosses val="autoZero"/>
        <c:crossBetween val="midCat"/>
      </c:valAx>
      <c:valAx>
        <c:axId val="584938432"/>
        <c:scaling>
          <c:orientation val="minMax"/>
        </c:scaling>
        <c:delete val="0"/>
        <c:axPos val="l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493734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74999999999998"/>
          <c:y val="2.8619528619528625E-2"/>
          <c:w val="0.85625000000000007"/>
          <c:h val="0.91919191919191923"/>
        </c:manualLayout>
      </c:layout>
      <c:scatterChart>
        <c:scatterStyle val="lineMarker"/>
        <c:varyColors val="0"/>
        <c:ser>
          <c:idx val="0"/>
          <c:order val="0"/>
          <c:tx>
            <c:strRef>
              <c:f>Récapitulatif!$B$17</c:f>
              <c:strCache>
                <c:ptCount val="1"/>
                <c:pt idx="0">
                  <c:v>Recouvrement (justesse)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Récapitulatif!$C$17:$G$17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27-470D-BB44-1B5E2D2BEA33}"/>
            </c:ext>
          </c:extLst>
        </c:ser>
        <c:ser>
          <c:idx val="1"/>
          <c:order val="1"/>
          <c:tx>
            <c:strRef>
              <c:f>Récapitulatif!$B$18</c:f>
              <c:strCache>
                <c:ptCount val="1"/>
                <c:pt idx="0">
                  <c:v>Limite basse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Récapitulatif!$C$18:$G$18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27-470D-BB44-1B5E2D2BEA33}"/>
            </c:ext>
          </c:extLst>
        </c:ser>
        <c:ser>
          <c:idx val="2"/>
          <c:order val="2"/>
          <c:tx>
            <c:strRef>
              <c:f>Récapitulatif!$B$19</c:f>
              <c:strCache>
                <c:ptCount val="1"/>
                <c:pt idx="0">
                  <c:v>Limite haute tolérance (%)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Récapitulatif!$C$19:$G$19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27-470D-BB44-1B5E2D2BEA33}"/>
            </c:ext>
          </c:extLst>
        </c:ser>
        <c:ser>
          <c:idx val="3"/>
          <c:order val="3"/>
          <c:tx>
            <c:strRef>
              <c:f>Récapitulatif!$B$20</c:f>
              <c:strCache>
                <c:ptCount val="1"/>
                <c:pt idx="0">
                  <c:v>Limite d'acceptabilité basse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Récapitulatif!$C$20:$G$20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27-470D-BB44-1B5E2D2BEA33}"/>
            </c:ext>
          </c:extLst>
        </c:ser>
        <c:ser>
          <c:idx val="4"/>
          <c:order val="4"/>
          <c:tx>
            <c:strRef>
              <c:f>Récapitulatif!$B$21</c:f>
              <c:strCache>
                <c:ptCount val="1"/>
                <c:pt idx="0">
                  <c:v>Limite d'acceptabilité haute</c:v>
                </c:pt>
              </c:strCache>
            </c:strRef>
          </c:tx>
          <c:spPr>
            <a:ln w="254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Récapitulatif!$C$6:$G$6</c:f>
              <c:numCache>
                <c:formatCode>General</c:formatCode>
                <c:ptCount val="5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 formatCode="0">
                  <c:v>110</c:v>
                </c:pt>
                <c:pt idx="4">
                  <c:v>120</c:v>
                </c:pt>
              </c:numCache>
            </c:numRef>
          </c:xVal>
          <c:yVal>
            <c:numRef>
              <c:f>Récapitulatif!$C$21:$G$21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27-470D-BB44-1B5E2D2BE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255248"/>
        <c:axId val="692251984"/>
      </c:scatterChart>
      <c:valAx>
        <c:axId val="692255248"/>
        <c:scaling>
          <c:orientation val="minMax"/>
          <c:min val="70"/>
        </c:scaling>
        <c:delete val="0"/>
        <c:axPos val="b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Niveaux</a:t>
                </a:r>
              </a:p>
            </c:rich>
          </c:tx>
          <c:layout>
            <c:manualLayout>
              <c:xMode val="edge"/>
              <c:yMode val="edge"/>
              <c:x val="0.86875000000000013"/>
              <c:y val="0.922558922558922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692251984"/>
        <c:crossesAt val="1"/>
        <c:crossBetween val="midCat"/>
      </c:valAx>
      <c:valAx>
        <c:axId val="692251984"/>
        <c:scaling>
          <c:orientation val="minMax"/>
          <c:max val="1.2"/>
          <c:min val="0.8"/>
        </c:scaling>
        <c:delete val="0"/>
        <c:axPos val="l"/>
        <c:title>
          <c:tx>
            <c:rich>
              <a:bodyPr/>
              <a:lstStyle/>
              <a:p>
                <a:pPr>
                  <a:defRPr sz="1600" b="0" i="0" u="none" strike="noStrike" baseline="0">
                    <a:solidFill>
                      <a:srgbClr val="000000"/>
                    </a:solidFill>
                    <a:latin typeface="Verdana"/>
                    <a:ea typeface="Verdana"/>
                    <a:cs typeface="Verdana"/>
                  </a:defRPr>
                </a:pPr>
                <a:r>
                  <a:rPr lang="fr-FR"/>
                  <a:t>Exactitude (%)</a:t>
                </a:r>
              </a:p>
            </c:rich>
          </c:tx>
          <c:layout>
            <c:manualLayout>
              <c:xMode val="edge"/>
              <c:yMode val="edge"/>
              <c:x val="0"/>
              <c:y val="0.326555995357196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fr-FR"/>
          </a:p>
        </c:txPr>
        <c:crossAx val="69225524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249218583788484"/>
          <c:y val="0.74578482160133208"/>
          <c:w val="0.61770833333333341"/>
          <c:h val="0.1245791245791246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6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theme="4" tint="0.59999389629810485"/>
  </sheetPr>
  <sheetViews>
    <sheetView zoomScale="55" workbookViewId="0"/>
  </sheetViews>
  <pageMargins left="0.78740157499999996" right="0.78740157499999996" top="0.984251969" bottom="0.984251969" header="0.4921259845" footer="0.4921259845"/>
  <pageSetup paperSize="9"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403412</xdr:colOff>
      <xdr:row>38</xdr:row>
      <xdr:rowOff>57727</xdr:rowOff>
    </xdr:from>
    <xdr:to>
      <xdr:col>17</xdr:col>
      <xdr:colOff>593911</xdr:colOff>
      <xdr:row>53</xdr:row>
      <xdr:rowOff>136237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80820</xdr:colOff>
      <xdr:row>38</xdr:row>
      <xdr:rowOff>71646</xdr:rowOff>
    </xdr:from>
    <xdr:to>
      <xdr:col>9</xdr:col>
      <xdr:colOff>313765</xdr:colOff>
      <xdr:row>53</xdr:row>
      <xdr:rowOff>150091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536863</xdr:colOff>
      <xdr:row>69</xdr:row>
      <xdr:rowOff>103908</xdr:rowOff>
    </xdr:from>
    <xdr:to>
      <xdr:col>16</xdr:col>
      <xdr:colOff>684283</xdr:colOff>
      <xdr:row>83</xdr:row>
      <xdr:rowOff>34636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557E9B9-9EE0-93E7-DBE0-F0E63130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0545" y="13525499"/>
          <a:ext cx="11212720" cy="25977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369795</xdr:colOff>
      <xdr:row>33</xdr:row>
      <xdr:rowOff>45844</xdr:rowOff>
    </xdr:from>
    <xdr:to>
      <xdr:col>13</xdr:col>
      <xdr:colOff>616324</xdr:colOff>
      <xdr:row>48</xdr:row>
      <xdr:rowOff>124354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C68738F-578C-4E79-A7B6-28A711EEB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79802</xdr:colOff>
      <xdr:row>33</xdr:row>
      <xdr:rowOff>48555</xdr:rowOff>
    </xdr:from>
    <xdr:to>
      <xdr:col>7</xdr:col>
      <xdr:colOff>324971</xdr:colOff>
      <xdr:row>48</xdr:row>
      <xdr:rowOff>127000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20494E3-D262-4550-8054-5ACA6251A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9525</xdr:rowOff>
    </xdr:from>
    <xdr:to>
      <xdr:col>7</xdr:col>
      <xdr:colOff>0</xdr:colOff>
      <xdr:row>25</xdr:row>
      <xdr:rowOff>47625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0" y="3260725"/>
          <a:ext cx="7400925" cy="4762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Les données qui servent à construire le graphique du profil sont en bleu. </a:t>
          </a:r>
        </a:p>
        <a:p>
          <a:pPr algn="l" rtl="0">
            <a:defRPr sz="1000"/>
          </a:pPr>
          <a:r>
            <a:rPr lang="fr-FR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Il convient de modifier le graphique en fonction du nombre de niveaux en sélectionnant la zone correcte de données par la commande &lt;Données du graphique…&gt;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155545" cy="5645727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5"/>
  <sheetViews>
    <sheetView showGridLines="0" tabSelected="1" topLeftCell="A14" zoomScale="85" zoomScaleNormal="85" workbookViewId="0">
      <selection activeCell="M67" sqref="M67"/>
    </sheetView>
  </sheetViews>
  <sheetFormatPr baseColWidth="10" defaultColWidth="10.85546875" defaultRowHeight="15" x14ac:dyDescent="0.25"/>
  <cols>
    <col min="1" max="1" width="5.5703125" style="41" customWidth="1"/>
    <col min="2" max="8" width="10.85546875" style="41"/>
    <col min="9" max="9" width="11.140625" style="41" bestFit="1" customWidth="1"/>
    <col min="10" max="10" width="12.42578125" style="41" bestFit="1" customWidth="1"/>
    <col min="11" max="11" width="11.140625" style="41" bestFit="1" customWidth="1"/>
    <col min="12" max="12" width="12.5703125" style="41" bestFit="1" customWidth="1"/>
    <col min="13" max="13" width="10.85546875" style="41"/>
    <col min="14" max="14" width="10.140625" style="41" customWidth="1"/>
    <col min="15" max="15" width="9.42578125" style="41" customWidth="1"/>
    <col min="16" max="16" width="12" style="41" customWidth="1"/>
    <col min="17" max="17" width="13.7109375" style="41" bestFit="1" customWidth="1"/>
    <col min="18" max="18" width="10.85546875" style="41"/>
    <col min="19" max="25" width="10.85546875" style="39"/>
    <col min="26" max="16384" width="10.85546875" style="41"/>
  </cols>
  <sheetData>
    <row r="1" spans="2:24" ht="15.75" thickBot="1" x14ac:dyDescent="0.3"/>
    <row r="2" spans="2:24" ht="30.75" customHeight="1" thickBot="1" x14ac:dyDescent="0.3">
      <c r="B2" s="137" t="s">
        <v>94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9"/>
    </row>
    <row r="3" spans="2:24" x14ac:dyDescent="0.25">
      <c r="B3" s="74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6"/>
    </row>
    <row r="4" spans="2:24" x14ac:dyDescent="0.25">
      <c r="B4" s="77"/>
      <c r="C4" s="43"/>
      <c r="D4" s="43"/>
      <c r="E4" s="43"/>
      <c r="F4" s="43"/>
      <c r="G4" s="140" t="s">
        <v>73</v>
      </c>
      <c r="H4" s="140"/>
      <c r="I4" s="140"/>
      <c r="J4" s="140"/>
      <c r="K4" s="140"/>
      <c r="L4" s="140"/>
      <c r="M4" s="140"/>
      <c r="N4" s="140"/>
      <c r="O4" s="43"/>
      <c r="P4" s="43"/>
      <c r="Q4" s="43"/>
      <c r="R4" s="44"/>
    </row>
    <row r="5" spans="2:24" x14ac:dyDescent="0.25">
      <c r="B5" s="77"/>
      <c r="C5" s="148" t="s">
        <v>64</v>
      </c>
      <c r="D5" s="148"/>
      <c r="E5" s="148"/>
      <c r="F5" s="43"/>
      <c r="G5" s="69" t="s">
        <v>61</v>
      </c>
      <c r="H5" s="69" t="s">
        <v>67</v>
      </c>
      <c r="I5" s="69" t="s">
        <v>69</v>
      </c>
      <c r="J5" s="69" t="s">
        <v>70</v>
      </c>
      <c r="K5" s="69" t="s">
        <v>71</v>
      </c>
      <c r="L5" s="69" t="s">
        <v>74</v>
      </c>
      <c r="M5" s="69" t="s">
        <v>75</v>
      </c>
      <c r="N5" s="69" t="s">
        <v>76</v>
      </c>
      <c r="O5" s="47"/>
      <c r="P5" s="43"/>
      <c r="Q5" s="43"/>
      <c r="R5" s="38"/>
    </row>
    <row r="6" spans="2:24" x14ac:dyDescent="0.25">
      <c r="B6" s="77"/>
      <c r="C6" s="78" t="s">
        <v>61</v>
      </c>
      <c r="D6" s="79" t="s">
        <v>55</v>
      </c>
      <c r="E6" s="79"/>
      <c r="F6" s="43"/>
      <c r="G6" s="141" t="s">
        <v>65</v>
      </c>
      <c r="H6" s="72">
        <v>1</v>
      </c>
      <c r="I6" s="65">
        <v>30.684000000000001</v>
      </c>
      <c r="J6" s="65">
        <v>30.436</v>
      </c>
      <c r="K6" s="65">
        <v>30.451000000000001</v>
      </c>
      <c r="L6" s="73"/>
      <c r="M6" s="73"/>
      <c r="N6" s="73"/>
      <c r="O6" s="67">
        <f>+SUM(I6:N6)</f>
        <v>91.570999999999998</v>
      </c>
      <c r="P6" s="71" t="s">
        <v>12</v>
      </c>
      <c r="Q6" s="42">
        <v>25</v>
      </c>
      <c r="R6" s="38">
        <f>+Q6</f>
        <v>25</v>
      </c>
      <c r="S6" s="39">
        <v>0</v>
      </c>
      <c r="T6" s="40">
        <f>X63</f>
        <v>1.3559412807997311</v>
      </c>
      <c r="U6" s="39">
        <f>VAR(I6:N6)</f>
        <v>1.9336333333333469E-2</v>
      </c>
    </row>
    <row r="7" spans="2:24" x14ac:dyDescent="0.25">
      <c r="B7" s="77"/>
      <c r="C7" s="78" t="s">
        <v>67</v>
      </c>
      <c r="D7" s="79" t="s">
        <v>68</v>
      </c>
      <c r="E7" s="79"/>
      <c r="F7" s="43"/>
      <c r="G7" s="142"/>
      <c r="H7" s="72">
        <v>2</v>
      </c>
      <c r="I7" s="65">
        <v>30.943000000000001</v>
      </c>
      <c r="J7" s="65">
        <v>30.408000000000001</v>
      </c>
      <c r="K7" s="65">
        <v>30.213999999999999</v>
      </c>
      <c r="L7" s="73"/>
      <c r="M7" s="73"/>
      <c r="N7" s="73"/>
      <c r="O7" s="67">
        <f t="shared" ref="O7:O35" si="0">+SUM(I7:N7)</f>
        <v>91.564999999999998</v>
      </c>
      <c r="P7" s="71" t="s">
        <v>11</v>
      </c>
      <c r="Q7" s="42">
        <v>35</v>
      </c>
      <c r="R7" s="38">
        <f>+Q7</f>
        <v>35</v>
      </c>
      <c r="S7" s="39">
        <v>0</v>
      </c>
      <c r="T7" s="40">
        <f>T6</f>
        <v>1.3559412807997311</v>
      </c>
      <c r="U7" s="39">
        <f t="shared" ref="U7:U35" si="1">VAR(I7:N7)</f>
        <v>0.14255033333333419</v>
      </c>
    </row>
    <row r="8" spans="2:24" x14ac:dyDescent="0.25">
      <c r="B8" s="77"/>
      <c r="C8" s="80"/>
      <c r="D8" s="43"/>
      <c r="E8" s="43"/>
      <c r="F8" s="43"/>
      <c r="G8" s="142"/>
      <c r="H8" s="72">
        <v>3</v>
      </c>
      <c r="I8" s="65">
        <v>30.896000000000001</v>
      </c>
      <c r="J8" s="65">
        <v>30.419</v>
      </c>
      <c r="K8" s="65">
        <v>30.373999999999999</v>
      </c>
      <c r="L8" s="73"/>
      <c r="M8" s="73"/>
      <c r="N8" s="73"/>
      <c r="O8" s="67">
        <f t="shared" si="0"/>
        <v>91.688999999999993</v>
      </c>
      <c r="P8" s="66"/>
      <c r="Q8" s="66"/>
      <c r="R8" s="44"/>
      <c r="T8" s="40"/>
      <c r="U8" s="39">
        <f t="shared" si="1"/>
        <v>8.3673000000000428E-2</v>
      </c>
    </row>
    <row r="9" spans="2:24" x14ac:dyDescent="0.25">
      <c r="B9" s="77"/>
      <c r="C9" s="43" t="s">
        <v>83</v>
      </c>
      <c r="D9" s="43"/>
      <c r="E9" s="43"/>
      <c r="F9" s="43"/>
      <c r="G9" s="142"/>
      <c r="H9" s="72">
        <v>4</v>
      </c>
      <c r="I9" s="65">
        <v>30.989000000000001</v>
      </c>
      <c r="J9" s="65">
        <v>30.004000000000001</v>
      </c>
      <c r="K9" s="65">
        <v>30.271999999999998</v>
      </c>
      <c r="L9" s="73"/>
      <c r="M9" s="73"/>
      <c r="N9" s="73"/>
      <c r="O9" s="67">
        <f t="shared" si="0"/>
        <v>91.265000000000001</v>
      </c>
      <c r="P9" s="71" t="s">
        <v>13</v>
      </c>
      <c r="Q9" s="51">
        <f>AVERAGE(I6:N35)</f>
        <v>30.531644444444435</v>
      </c>
      <c r="R9" s="44"/>
      <c r="T9" s="40"/>
      <c r="U9" s="39">
        <f t="shared" si="1"/>
        <v>0.25935633333333347</v>
      </c>
    </row>
    <row r="10" spans="2:24" x14ac:dyDescent="0.25">
      <c r="B10" s="77"/>
      <c r="C10" s="43" t="s">
        <v>77</v>
      </c>
      <c r="D10" s="43"/>
      <c r="E10" s="43"/>
      <c r="F10" s="43"/>
      <c r="G10" s="142"/>
      <c r="H10" s="72">
        <v>5</v>
      </c>
      <c r="I10" s="65">
        <v>30.166</v>
      </c>
      <c r="J10" s="65">
        <v>30.826000000000001</v>
      </c>
      <c r="K10" s="65">
        <v>30.63</v>
      </c>
      <c r="L10" s="73"/>
      <c r="M10" s="73"/>
      <c r="N10" s="73"/>
      <c r="O10" s="67">
        <f t="shared" si="0"/>
        <v>91.622</v>
      </c>
      <c r="P10" s="71" t="s">
        <v>58</v>
      </c>
      <c r="Q10" s="51">
        <f>I58</f>
        <v>8.6564209238451914E-2</v>
      </c>
      <c r="R10" s="44"/>
      <c r="T10" s="40"/>
      <c r="U10" s="39">
        <f t="shared" si="1"/>
        <v>0.11488533333333324</v>
      </c>
    </row>
    <row r="11" spans="2:24" x14ac:dyDescent="0.25">
      <c r="B11" s="77"/>
      <c r="C11" s="43" t="s">
        <v>78</v>
      </c>
      <c r="D11" s="43"/>
      <c r="E11" s="43"/>
      <c r="F11" s="43"/>
      <c r="G11" s="142"/>
      <c r="H11" s="72">
        <v>6</v>
      </c>
      <c r="I11" s="65">
        <v>30.515000000000001</v>
      </c>
      <c r="J11" s="65">
        <v>30.846</v>
      </c>
      <c r="K11" s="65">
        <v>30.018999999999998</v>
      </c>
      <c r="L11" s="73"/>
      <c r="M11" s="73"/>
      <c r="N11" s="73"/>
      <c r="O11" s="67">
        <f t="shared" si="0"/>
        <v>91.38</v>
      </c>
      <c r="P11" s="70" t="s">
        <v>59</v>
      </c>
      <c r="Q11" s="51">
        <f>SQRT(Q10)</f>
        <v>0.29421796212748791</v>
      </c>
      <c r="R11" s="44"/>
      <c r="T11" s="40"/>
      <c r="U11" s="39">
        <f t="shared" si="1"/>
        <v>0.17325100000000079</v>
      </c>
    </row>
    <row r="12" spans="2:24" x14ac:dyDescent="0.25">
      <c r="B12" s="77"/>
      <c r="C12" s="43" t="s">
        <v>127</v>
      </c>
      <c r="D12" s="43"/>
      <c r="E12" s="43"/>
      <c r="F12" s="43"/>
      <c r="G12" s="142"/>
      <c r="H12" s="72">
        <v>7</v>
      </c>
      <c r="I12" s="65">
        <v>30.382000000000001</v>
      </c>
      <c r="J12" s="65">
        <v>30.954000000000001</v>
      </c>
      <c r="K12" s="65">
        <v>30.677</v>
      </c>
      <c r="L12" s="73"/>
      <c r="M12" s="73"/>
      <c r="N12" s="73"/>
      <c r="O12" s="67">
        <f t="shared" si="0"/>
        <v>92.013000000000005</v>
      </c>
      <c r="P12" s="70" t="s">
        <v>14</v>
      </c>
      <c r="Q12" s="51">
        <f>MIN(I6:N35)</f>
        <v>30.001000000000001</v>
      </c>
      <c r="R12" s="44"/>
      <c r="T12" s="40"/>
      <c r="U12" s="39">
        <f t="shared" si="1"/>
        <v>8.1822999999999757E-2</v>
      </c>
    </row>
    <row r="13" spans="2:24" x14ac:dyDescent="0.25">
      <c r="B13" s="77"/>
      <c r="C13" s="43" t="s">
        <v>87</v>
      </c>
      <c r="D13" s="43"/>
      <c r="E13" s="43"/>
      <c r="F13" s="43"/>
      <c r="G13" s="142"/>
      <c r="H13" s="72">
        <v>8</v>
      </c>
      <c r="I13" s="65">
        <v>30.431000000000001</v>
      </c>
      <c r="J13" s="65">
        <v>30.158000000000001</v>
      </c>
      <c r="K13" s="65">
        <v>30.007000000000001</v>
      </c>
      <c r="L13" s="73"/>
      <c r="M13" s="73"/>
      <c r="N13" s="73"/>
      <c r="O13" s="67">
        <f t="shared" si="0"/>
        <v>90.596000000000004</v>
      </c>
      <c r="P13" s="70" t="s">
        <v>15</v>
      </c>
      <c r="Q13" s="51">
        <f>MAX(I6:N35)</f>
        <v>30.992999999999999</v>
      </c>
      <c r="R13" s="44"/>
      <c r="T13" s="40"/>
      <c r="U13" s="39">
        <f t="shared" si="1"/>
        <v>4.6184333333333223E-2</v>
      </c>
    </row>
    <row r="14" spans="2:24" x14ac:dyDescent="0.25">
      <c r="B14" s="77"/>
      <c r="C14" s="81" t="s">
        <v>88</v>
      </c>
      <c r="D14" s="43"/>
      <c r="E14" s="43"/>
      <c r="F14" s="43"/>
      <c r="G14" s="142"/>
      <c r="H14" s="72">
        <v>9</v>
      </c>
      <c r="I14" s="65">
        <v>30.7</v>
      </c>
      <c r="J14" s="65">
        <v>30.695</v>
      </c>
      <c r="K14" s="65">
        <v>30.634</v>
      </c>
      <c r="L14" s="73"/>
      <c r="M14" s="73"/>
      <c r="N14" s="73"/>
      <c r="O14" s="67">
        <f t="shared" si="0"/>
        <v>92.028999999999996</v>
      </c>
      <c r="R14" s="44"/>
      <c r="T14" s="40"/>
      <c r="U14" s="39">
        <f t="shared" si="1"/>
        <v>1.3503333333333076E-3</v>
      </c>
    </row>
    <row r="15" spans="2:24" x14ac:dyDescent="0.25">
      <c r="B15" s="77"/>
      <c r="C15" s="43"/>
      <c r="D15" s="43"/>
      <c r="E15" s="43"/>
      <c r="F15" s="43"/>
      <c r="G15" s="143"/>
      <c r="H15" s="72">
        <v>10</v>
      </c>
      <c r="I15" s="65">
        <v>30.468</v>
      </c>
      <c r="J15" s="65">
        <v>30.108000000000001</v>
      </c>
      <c r="K15" s="65">
        <v>30.965</v>
      </c>
      <c r="L15" s="73"/>
      <c r="M15" s="73"/>
      <c r="N15" s="73"/>
      <c r="O15" s="67">
        <f t="shared" si="0"/>
        <v>91.540999999999997</v>
      </c>
      <c r="P15" s="71" t="s">
        <v>122</v>
      </c>
      <c r="Q15" s="51">
        <f>(Q7-Q6)/(6*SQRT(K60))</f>
        <v>5.5325070563726237</v>
      </c>
      <c r="R15" s="44" t="s">
        <v>125</v>
      </c>
      <c r="U15" s="39">
        <f t="shared" si="1"/>
        <v>0.18517633333333305</v>
      </c>
      <c r="V15" s="45"/>
      <c r="W15" s="147"/>
      <c r="X15" s="147"/>
    </row>
    <row r="16" spans="2:24" x14ac:dyDescent="0.25">
      <c r="B16" s="77"/>
      <c r="D16" s="43"/>
      <c r="E16" s="43"/>
      <c r="F16" s="43"/>
      <c r="G16" s="141" t="s">
        <v>62</v>
      </c>
      <c r="H16" s="72">
        <v>1</v>
      </c>
      <c r="I16" s="65">
        <v>30.823</v>
      </c>
      <c r="J16" s="65">
        <v>30.93</v>
      </c>
      <c r="K16" s="65">
        <v>30.359000000000002</v>
      </c>
      <c r="L16" s="73"/>
      <c r="M16" s="73"/>
      <c r="N16" s="73"/>
      <c r="O16" s="67">
        <f t="shared" si="0"/>
        <v>92.111999999999995</v>
      </c>
      <c r="P16" s="71" t="s">
        <v>123</v>
      </c>
      <c r="Q16" s="99">
        <f>SQRT(N57)/((Q7-Q6)/6)</f>
        <v>0.18074988243316364</v>
      </c>
      <c r="R16" s="44" t="s">
        <v>126</v>
      </c>
      <c r="U16" s="39">
        <f t="shared" si="1"/>
        <v>9.213099999999938E-2</v>
      </c>
      <c r="V16" s="46"/>
      <c r="W16" s="47"/>
      <c r="X16" s="47"/>
    </row>
    <row r="17" spans="2:24" x14ac:dyDescent="0.25">
      <c r="B17" s="77"/>
      <c r="C17" s="43"/>
      <c r="D17" s="43"/>
      <c r="E17" s="43"/>
      <c r="F17" s="43"/>
      <c r="G17" s="142"/>
      <c r="H17" s="72">
        <v>2</v>
      </c>
      <c r="I17" s="65">
        <v>30.841000000000001</v>
      </c>
      <c r="J17" s="65">
        <v>30.378</v>
      </c>
      <c r="K17" s="65">
        <v>30.442</v>
      </c>
      <c r="L17" s="73"/>
      <c r="M17" s="73"/>
      <c r="N17" s="73"/>
      <c r="O17" s="67">
        <f t="shared" si="0"/>
        <v>91.661000000000001</v>
      </c>
      <c r="P17" s="98" t="s">
        <v>124</v>
      </c>
      <c r="Q17" s="98"/>
      <c r="R17" s="44"/>
      <c r="U17" s="39">
        <f t="shared" si="1"/>
        <v>6.2944333333333602E-2</v>
      </c>
      <c r="V17" s="46"/>
      <c r="W17" s="47"/>
      <c r="X17" s="47"/>
    </row>
    <row r="18" spans="2:24" x14ac:dyDescent="0.25">
      <c r="B18" s="77"/>
      <c r="C18" s="43"/>
      <c r="D18" s="43"/>
      <c r="E18" s="43"/>
      <c r="F18" s="43"/>
      <c r="G18" s="142"/>
      <c r="H18" s="72">
        <v>3</v>
      </c>
      <c r="I18" s="65">
        <v>30.981000000000002</v>
      </c>
      <c r="J18" s="65">
        <v>30.001000000000001</v>
      </c>
      <c r="K18" s="65">
        <v>30.648</v>
      </c>
      <c r="L18" s="73"/>
      <c r="M18" s="73"/>
      <c r="N18" s="73"/>
      <c r="O18" s="67">
        <f t="shared" si="0"/>
        <v>91.63</v>
      </c>
      <c r="R18" s="44"/>
      <c r="U18" s="39">
        <f t="shared" si="1"/>
        <v>0.24831633333333336</v>
      </c>
      <c r="V18" s="46"/>
      <c r="W18" s="47"/>
      <c r="X18" s="47"/>
    </row>
    <row r="19" spans="2:24" x14ac:dyDescent="0.25">
      <c r="B19" s="77"/>
      <c r="C19" s="43"/>
      <c r="D19" s="43"/>
      <c r="E19" s="43"/>
      <c r="F19" s="43"/>
      <c r="G19" s="142"/>
      <c r="H19" s="72">
        <v>4</v>
      </c>
      <c r="I19" s="65">
        <v>30.689</v>
      </c>
      <c r="J19" s="65">
        <v>30.62</v>
      </c>
      <c r="K19" s="65">
        <v>30.428999999999998</v>
      </c>
      <c r="L19" s="73"/>
      <c r="M19" s="73"/>
      <c r="N19" s="73"/>
      <c r="O19" s="67">
        <f t="shared" si="0"/>
        <v>91.738</v>
      </c>
      <c r="P19" s="136" t="s">
        <v>177</v>
      </c>
      <c r="Q19" s="91">
        <f>(Q7-Q6)/(6*SQRT(I58))</f>
        <v>5.6647345886532969</v>
      </c>
      <c r="R19" s="44" t="s">
        <v>178</v>
      </c>
      <c r="U19" s="39">
        <f t="shared" si="1"/>
        <v>1.8140333333333605E-2</v>
      </c>
      <c r="V19" s="46"/>
      <c r="W19" s="47"/>
      <c r="X19" s="47"/>
    </row>
    <row r="20" spans="2:24" x14ac:dyDescent="0.25">
      <c r="B20" s="77"/>
      <c r="C20" s="43"/>
      <c r="D20" s="43"/>
      <c r="E20" s="43"/>
      <c r="F20" s="43"/>
      <c r="G20" s="142"/>
      <c r="H20" s="72">
        <v>5</v>
      </c>
      <c r="I20" s="65">
        <v>30.946000000000002</v>
      </c>
      <c r="J20" s="65">
        <v>30.405999999999999</v>
      </c>
      <c r="K20" s="65">
        <v>30.684000000000001</v>
      </c>
      <c r="L20" s="73"/>
      <c r="M20" s="73"/>
      <c r="N20" s="73"/>
      <c r="O20" s="67">
        <f t="shared" si="0"/>
        <v>92.036000000000001</v>
      </c>
      <c r="R20" s="44"/>
      <c r="U20" s="39">
        <f t="shared" si="1"/>
        <v>7.292133333333406E-2</v>
      </c>
      <c r="V20" s="46"/>
      <c r="W20" s="47"/>
      <c r="X20" s="47"/>
    </row>
    <row r="21" spans="2:24" x14ac:dyDescent="0.25">
      <c r="B21" s="77"/>
      <c r="C21" s="43"/>
      <c r="D21" s="43"/>
      <c r="E21" s="43"/>
      <c r="F21" s="43"/>
      <c r="G21" s="142"/>
      <c r="H21" s="72">
        <v>6</v>
      </c>
      <c r="I21" s="65">
        <v>30.24</v>
      </c>
      <c r="J21" s="65">
        <v>30.829000000000001</v>
      </c>
      <c r="K21" s="65">
        <v>30.558</v>
      </c>
      <c r="L21" s="73"/>
      <c r="M21" s="73"/>
      <c r="N21" s="73"/>
      <c r="O21" s="67">
        <f t="shared" si="0"/>
        <v>91.62700000000001</v>
      </c>
      <c r="R21" s="44"/>
      <c r="U21" s="39">
        <f t="shared" si="1"/>
        <v>8.6914333333333982E-2</v>
      </c>
      <c r="V21" s="46"/>
      <c r="W21" s="47"/>
      <c r="X21" s="47"/>
    </row>
    <row r="22" spans="2:24" x14ac:dyDescent="0.25">
      <c r="B22" s="77"/>
      <c r="C22" s="43"/>
      <c r="D22" s="43"/>
      <c r="E22" s="43"/>
      <c r="F22" s="43"/>
      <c r="G22" s="142"/>
      <c r="H22" s="72">
        <v>7</v>
      </c>
      <c r="I22" s="65">
        <v>30.15</v>
      </c>
      <c r="J22" s="65">
        <v>30.61</v>
      </c>
      <c r="K22" s="65">
        <v>30.196999999999999</v>
      </c>
      <c r="L22" s="73"/>
      <c r="M22" s="73"/>
      <c r="N22" s="73"/>
      <c r="O22" s="67">
        <f t="shared" si="0"/>
        <v>90.956999999999994</v>
      </c>
      <c r="R22" s="44"/>
      <c r="U22" s="39">
        <f t="shared" si="1"/>
        <v>6.4063000000000175E-2</v>
      </c>
      <c r="V22" s="46"/>
      <c r="W22" s="47"/>
      <c r="X22" s="47"/>
    </row>
    <row r="23" spans="2:24" x14ac:dyDescent="0.25">
      <c r="B23" s="77"/>
      <c r="D23" s="43"/>
      <c r="E23" s="43"/>
      <c r="F23" s="43"/>
      <c r="G23" s="142"/>
      <c r="H23" s="72">
        <v>8</v>
      </c>
      <c r="I23" s="65">
        <v>30.722000000000001</v>
      </c>
      <c r="J23" s="65">
        <v>30.591999999999999</v>
      </c>
      <c r="K23" s="65">
        <v>30.66</v>
      </c>
      <c r="L23" s="73"/>
      <c r="M23" s="73"/>
      <c r="N23" s="73"/>
      <c r="O23" s="67">
        <f t="shared" si="0"/>
        <v>91.974000000000004</v>
      </c>
      <c r="R23" s="44"/>
      <c r="U23" s="39">
        <f t="shared" si="1"/>
        <v>4.2280000000001665E-3</v>
      </c>
    </row>
    <row r="24" spans="2:24" x14ac:dyDescent="0.25">
      <c r="B24" s="77"/>
      <c r="C24" s="43"/>
      <c r="D24" s="43"/>
      <c r="E24" s="43"/>
      <c r="F24" s="43"/>
      <c r="G24" s="142"/>
      <c r="H24" s="72">
        <v>9</v>
      </c>
      <c r="I24" s="65">
        <v>30.004000000000001</v>
      </c>
      <c r="J24" s="65">
        <v>30.59</v>
      </c>
      <c r="K24" s="65">
        <v>30.167000000000002</v>
      </c>
      <c r="L24" s="73"/>
      <c r="M24" s="73"/>
      <c r="N24" s="73"/>
      <c r="O24" s="67">
        <f t="shared" si="0"/>
        <v>90.760999999999996</v>
      </c>
      <c r="R24" s="44"/>
      <c r="U24" s="39">
        <f t="shared" si="1"/>
        <v>9.1482333333332819E-2</v>
      </c>
    </row>
    <row r="25" spans="2:24" x14ac:dyDescent="0.25">
      <c r="B25" s="77"/>
      <c r="D25" s="43"/>
      <c r="E25" s="43"/>
      <c r="F25" s="43"/>
      <c r="G25" s="143"/>
      <c r="H25" s="72">
        <v>10</v>
      </c>
      <c r="I25" s="65">
        <v>30.663</v>
      </c>
      <c r="J25" s="65">
        <v>30.759</v>
      </c>
      <c r="K25" s="65">
        <v>30.254000000000001</v>
      </c>
      <c r="L25" s="73"/>
      <c r="M25" s="73"/>
      <c r="N25" s="73"/>
      <c r="O25" s="67">
        <f t="shared" si="0"/>
        <v>91.676000000000002</v>
      </c>
      <c r="R25" s="44"/>
      <c r="U25" s="39">
        <f t="shared" si="1"/>
        <v>7.1920333333333017E-2</v>
      </c>
      <c r="V25" s="47"/>
      <c r="W25" s="47"/>
      <c r="X25" s="47"/>
    </row>
    <row r="26" spans="2:24" x14ac:dyDescent="0.25">
      <c r="B26" s="77"/>
      <c r="D26" s="43"/>
      <c r="E26" s="43"/>
      <c r="F26" s="43"/>
      <c r="G26" s="141" t="s">
        <v>63</v>
      </c>
      <c r="H26" s="72">
        <v>1</v>
      </c>
      <c r="I26" s="65">
        <v>30.936</v>
      </c>
      <c r="J26" s="65">
        <v>30.686</v>
      </c>
      <c r="K26" s="65">
        <v>30.631</v>
      </c>
      <c r="L26" s="73"/>
      <c r="M26" s="73"/>
      <c r="N26" s="73"/>
      <c r="O26" s="67">
        <f t="shared" si="0"/>
        <v>92.253</v>
      </c>
      <c r="R26" s="44"/>
      <c r="U26" s="39">
        <f t="shared" si="1"/>
        <v>2.6424999999999966E-2</v>
      </c>
    </row>
    <row r="27" spans="2:24" x14ac:dyDescent="0.25">
      <c r="B27" s="77"/>
      <c r="C27" s="43"/>
      <c r="D27" s="43"/>
      <c r="E27" s="43"/>
      <c r="F27" s="43"/>
      <c r="G27" s="142"/>
      <c r="H27" s="72">
        <v>2</v>
      </c>
      <c r="I27" s="65">
        <v>30.135999999999999</v>
      </c>
      <c r="J27" s="65">
        <v>30.661000000000001</v>
      </c>
      <c r="K27" s="65">
        <v>30.216000000000001</v>
      </c>
      <c r="L27" s="73"/>
      <c r="M27" s="73"/>
      <c r="N27" s="73"/>
      <c r="O27" s="67">
        <f t="shared" si="0"/>
        <v>91.013000000000005</v>
      </c>
      <c r="R27" s="44"/>
      <c r="U27" s="39">
        <f t="shared" si="1"/>
        <v>8.0008333333333792E-2</v>
      </c>
      <c r="V27" s="48"/>
      <c r="W27" s="49"/>
      <c r="X27" s="50"/>
    </row>
    <row r="28" spans="2:24" x14ac:dyDescent="0.25">
      <c r="B28" s="77"/>
      <c r="C28" s="43"/>
      <c r="D28" s="43"/>
      <c r="E28" s="43"/>
      <c r="F28" s="43"/>
      <c r="G28" s="142"/>
      <c r="H28" s="72">
        <v>3</v>
      </c>
      <c r="I28" s="65">
        <v>30.713999999999999</v>
      </c>
      <c r="J28" s="65">
        <v>30.094000000000001</v>
      </c>
      <c r="K28" s="65">
        <v>30.204000000000001</v>
      </c>
      <c r="L28" s="73"/>
      <c r="M28" s="73"/>
      <c r="N28" s="73"/>
      <c r="O28" s="67">
        <f t="shared" si="0"/>
        <v>91.012</v>
      </c>
      <c r="R28" s="44"/>
      <c r="U28" s="39">
        <f t="shared" si="1"/>
        <v>0.10943333333333244</v>
      </c>
      <c r="V28" s="48"/>
      <c r="W28" s="49"/>
      <c r="X28" s="50"/>
    </row>
    <row r="29" spans="2:24" x14ac:dyDescent="0.25">
      <c r="B29" s="77"/>
      <c r="C29" s="43"/>
      <c r="D29" s="43"/>
      <c r="E29" s="43"/>
      <c r="F29" s="43"/>
      <c r="G29" s="142"/>
      <c r="H29" s="72">
        <v>4</v>
      </c>
      <c r="I29" s="65">
        <v>30.449000000000002</v>
      </c>
      <c r="J29" s="65">
        <v>30.678000000000001</v>
      </c>
      <c r="K29" s="65">
        <v>30.992999999999999</v>
      </c>
      <c r="L29" s="73"/>
      <c r="M29" s="73"/>
      <c r="N29" s="73"/>
      <c r="O29" s="67">
        <f t="shared" si="0"/>
        <v>92.12</v>
      </c>
      <c r="R29" s="44"/>
      <c r="U29" s="39">
        <f t="shared" si="1"/>
        <v>7.4600333333332478E-2</v>
      </c>
      <c r="V29" s="48"/>
      <c r="W29" s="49"/>
      <c r="X29" s="50"/>
    </row>
    <row r="30" spans="2:24" x14ac:dyDescent="0.25">
      <c r="B30" s="77"/>
      <c r="C30" s="43"/>
      <c r="D30" s="43"/>
      <c r="E30" s="43"/>
      <c r="F30" s="43"/>
      <c r="G30" s="142"/>
      <c r="H30" s="72">
        <v>5</v>
      </c>
      <c r="I30" s="65">
        <v>30.891999999999999</v>
      </c>
      <c r="J30" s="65">
        <v>30.888000000000002</v>
      </c>
      <c r="K30" s="65">
        <v>30.344000000000001</v>
      </c>
      <c r="L30" s="73"/>
      <c r="M30" s="73"/>
      <c r="N30" s="73"/>
      <c r="O30" s="67">
        <f t="shared" si="0"/>
        <v>92.123999999999995</v>
      </c>
      <c r="R30" s="44"/>
      <c r="U30" s="39">
        <f t="shared" si="1"/>
        <v>9.937599999999977E-2</v>
      </c>
      <c r="V30" s="48"/>
      <c r="W30" s="49"/>
      <c r="X30" s="50"/>
    </row>
    <row r="31" spans="2:24" x14ac:dyDescent="0.25">
      <c r="B31" s="77"/>
      <c r="C31" s="43"/>
      <c r="D31" s="43"/>
      <c r="E31" s="43"/>
      <c r="F31" s="43"/>
      <c r="G31" s="142"/>
      <c r="H31" s="72">
        <v>6</v>
      </c>
      <c r="I31" s="65">
        <v>30.891999999999999</v>
      </c>
      <c r="J31" s="65">
        <v>30.033000000000001</v>
      </c>
      <c r="K31" s="65">
        <v>30.931000000000001</v>
      </c>
      <c r="L31" s="73"/>
      <c r="M31" s="73"/>
      <c r="N31" s="73"/>
      <c r="O31" s="67">
        <f t="shared" si="0"/>
        <v>91.855999999999995</v>
      </c>
      <c r="R31" s="44"/>
      <c r="U31" s="39">
        <f t="shared" si="1"/>
        <v>0.25763433333333274</v>
      </c>
      <c r="V31" s="48"/>
      <c r="W31" s="49"/>
      <c r="X31" s="50"/>
    </row>
    <row r="32" spans="2:24" x14ac:dyDescent="0.25">
      <c r="B32" s="77"/>
      <c r="C32" s="43"/>
      <c r="D32" s="43"/>
      <c r="E32" s="43"/>
      <c r="F32" s="43"/>
      <c r="G32" s="142"/>
      <c r="H32" s="72">
        <v>7</v>
      </c>
      <c r="I32" s="65">
        <v>30.579000000000001</v>
      </c>
      <c r="J32" s="65">
        <v>30.364999999999998</v>
      </c>
      <c r="K32" s="65">
        <v>30.381</v>
      </c>
      <c r="L32" s="73"/>
      <c r="M32" s="73"/>
      <c r="N32" s="73"/>
      <c r="O32" s="67">
        <f t="shared" si="0"/>
        <v>91.325000000000003</v>
      </c>
      <c r="R32" s="44"/>
      <c r="U32" s="39">
        <f t="shared" si="1"/>
        <v>1.4209333333333527E-2</v>
      </c>
      <c r="V32" s="48"/>
      <c r="W32" s="49"/>
      <c r="X32" s="50"/>
    </row>
    <row r="33" spans="2:24" x14ac:dyDescent="0.25">
      <c r="B33" s="77"/>
      <c r="C33" s="43"/>
      <c r="D33" s="43"/>
      <c r="E33" s="43"/>
      <c r="F33" s="43"/>
      <c r="G33" s="142"/>
      <c r="H33" s="72">
        <v>8</v>
      </c>
      <c r="I33" s="65">
        <v>30.791</v>
      </c>
      <c r="J33" s="65">
        <v>30.471</v>
      </c>
      <c r="K33" s="65">
        <v>30.722000000000001</v>
      </c>
      <c r="L33" s="73"/>
      <c r="M33" s="73"/>
      <c r="N33" s="73"/>
      <c r="O33" s="67">
        <f t="shared" si="0"/>
        <v>91.984000000000009</v>
      </c>
      <c r="R33" s="44"/>
      <c r="U33" s="39">
        <f t="shared" si="1"/>
        <v>2.8360333333333446E-2</v>
      </c>
      <c r="V33" s="48"/>
      <c r="W33" s="49"/>
      <c r="X33" s="50"/>
    </row>
    <row r="34" spans="2:24" x14ac:dyDescent="0.25">
      <c r="B34" s="77"/>
      <c r="C34" s="43"/>
      <c r="D34" s="43"/>
      <c r="E34" s="43"/>
      <c r="F34" s="43"/>
      <c r="G34" s="142"/>
      <c r="H34" s="72">
        <v>9</v>
      </c>
      <c r="I34" s="65">
        <v>30.183</v>
      </c>
      <c r="J34" s="65">
        <v>30.202999999999999</v>
      </c>
      <c r="K34" s="65">
        <v>30.126000000000001</v>
      </c>
      <c r="L34" s="73"/>
      <c r="M34" s="73"/>
      <c r="N34" s="73"/>
      <c r="O34" s="67">
        <f t="shared" si="0"/>
        <v>90.512</v>
      </c>
      <c r="R34" s="44"/>
      <c r="U34" s="39">
        <f t="shared" si="1"/>
        <v>1.5963333333332572E-3</v>
      </c>
      <c r="V34" s="48">
        <v>-3</v>
      </c>
      <c r="W34" s="49">
        <f t="shared" ref="W34:W65" si="2">Q$9+V34*SQRT(Q$10)</f>
        <v>29.648990558061971</v>
      </c>
      <c r="X34" s="50">
        <f t="shared" ref="X34:X65" si="3">NORMDIST(W34,Q$9,SQRT(Q$10),0)</f>
        <v>1.5063146994464049E-2</v>
      </c>
    </row>
    <row r="35" spans="2:24" x14ac:dyDescent="0.25">
      <c r="B35" s="77"/>
      <c r="C35" s="43"/>
      <c r="D35" s="43"/>
      <c r="E35" s="43"/>
      <c r="F35" s="43"/>
      <c r="G35" s="143"/>
      <c r="H35" s="72">
        <v>10</v>
      </c>
      <c r="I35" s="65">
        <v>30.986999999999998</v>
      </c>
      <c r="J35" s="65">
        <v>30.359000000000002</v>
      </c>
      <c r="K35" s="65">
        <v>30.86</v>
      </c>
      <c r="L35" s="73"/>
      <c r="M35" s="73"/>
      <c r="N35" s="73"/>
      <c r="O35" s="67">
        <f t="shared" si="0"/>
        <v>92.206000000000003</v>
      </c>
      <c r="R35" s="44"/>
      <c r="U35" s="39">
        <f t="shared" si="1"/>
        <v>0.11025233333333218</v>
      </c>
      <c r="V35" s="48">
        <v>-2.9</v>
      </c>
      <c r="W35" s="49">
        <f t="shared" si="2"/>
        <v>29.67841235427472</v>
      </c>
      <c r="X35" s="50">
        <f t="shared" si="3"/>
        <v>2.0231709773030543E-2</v>
      </c>
    </row>
    <row r="36" spans="2:24" x14ac:dyDescent="0.25">
      <c r="B36" s="77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82"/>
      <c r="O36" s="47"/>
      <c r="P36" s="43"/>
      <c r="Q36" s="43"/>
      <c r="R36" s="44"/>
      <c r="V36" s="48">
        <v>-2.7</v>
      </c>
      <c r="W36" s="49">
        <f t="shared" si="2"/>
        <v>29.737255946700216</v>
      </c>
      <c r="X36" s="50">
        <f t="shared" si="3"/>
        <v>3.5419097933616119E-2</v>
      </c>
    </row>
    <row r="37" spans="2:24" ht="15.75" thickBot="1" x14ac:dyDescent="0.3">
      <c r="B37" s="83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5"/>
      <c r="O37" s="84"/>
      <c r="P37" s="84"/>
      <c r="Q37" s="84"/>
      <c r="R37" s="86"/>
      <c r="V37" s="48">
        <v>-2.6</v>
      </c>
      <c r="W37" s="49">
        <f t="shared" si="2"/>
        <v>29.766677742912968</v>
      </c>
      <c r="X37" s="50">
        <f t="shared" si="3"/>
        <v>4.6166349380804175E-2</v>
      </c>
    </row>
    <row r="38" spans="2:24" x14ac:dyDescent="0.25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9"/>
      <c r="O38" s="88"/>
      <c r="P38" s="88"/>
      <c r="Q38" s="88"/>
      <c r="R38" s="90"/>
      <c r="V38" s="48">
        <v>-2.5</v>
      </c>
      <c r="W38" s="49">
        <f t="shared" si="2"/>
        <v>29.796099539125716</v>
      </c>
      <c r="X38" s="50">
        <f t="shared" si="3"/>
        <v>5.9575902051736393E-2</v>
      </c>
    </row>
    <row r="39" spans="2:24" x14ac:dyDescent="0.25">
      <c r="B39" s="77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4"/>
      <c r="V39" s="48">
        <v>-2.4</v>
      </c>
      <c r="W39" s="49">
        <f t="shared" si="2"/>
        <v>29.825521335338465</v>
      </c>
      <c r="X39" s="50">
        <f t="shared" si="3"/>
        <v>7.6115442214704829E-2</v>
      </c>
    </row>
    <row r="40" spans="2:24" x14ac:dyDescent="0.25">
      <c r="B40" s="77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4"/>
      <c r="V40" s="48">
        <v>-2.2999999999999998</v>
      </c>
      <c r="W40" s="49">
        <f t="shared" si="2"/>
        <v>29.854943131551213</v>
      </c>
      <c r="X40" s="50">
        <f t="shared" si="3"/>
        <v>9.6279090293361458E-2</v>
      </c>
    </row>
    <row r="41" spans="2:24" x14ac:dyDescent="0.25">
      <c r="B41" s="77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V41" s="48">
        <v>-2.2000000000000002</v>
      </c>
      <c r="W41" s="49">
        <f t="shared" si="2"/>
        <v>29.884364927763961</v>
      </c>
      <c r="X41" s="50">
        <f t="shared" si="3"/>
        <v>0.12057249186866377</v>
      </c>
    </row>
    <row r="42" spans="2:24" x14ac:dyDescent="0.25">
      <c r="B42" s="77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V42" s="48">
        <v>-2.1</v>
      </c>
      <c r="W42" s="49">
        <f t="shared" si="2"/>
        <v>29.91378672397671</v>
      </c>
      <c r="X42" s="50">
        <f t="shared" si="3"/>
        <v>0.14949323849020599</v>
      </c>
    </row>
    <row r="43" spans="2:24" x14ac:dyDescent="0.25">
      <c r="B43" s="77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4"/>
      <c r="V43" s="48">
        <v>-2</v>
      </c>
      <c r="W43" s="49">
        <f t="shared" si="2"/>
        <v>29.943208520189458</v>
      </c>
      <c r="X43" s="50">
        <f t="shared" si="3"/>
        <v>0.18350669728924551</v>
      </c>
    </row>
    <row r="44" spans="2:24" x14ac:dyDescent="0.25">
      <c r="B44" s="77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4"/>
      <c r="V44" s="48">
        <v>-1.9</v>
      </c>
      <c r="W44" s="49">
        <f t="shared" si="2"/>
        <v>29.972630316402206</v>
      </c>
      <c r="X44" s="50">
        <f t="shared" si="3"/>
        <v>0.22301770531006473</v>
      </c>
    </row>
    <row r="45" spans="2:24" x14ac:dyDescent="0.25">
      <c r="B45" s="77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4"/>
      <c r="V45" s="48">
        <v>-1.8</v>
      </c>
      <c r="W45" s="49">
        <f t="shared" si="2"/>
        <v>30.002052112614958</v>
      </c>
      <c r="X45" s="50">
        <f t="shared" si="3"/>
        <v>0.26833901550403927</v>
      </c>
    </row>
    <row r="46" spans="2:24" x14ac:dyDescent="0.25">
      <c r="B46" s="77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4"/>
      <c r="V46" s="48">
        <v>-1.7</v>
      </c>
      <c r="W46" s="49">
        <f t="shared" si="2"/>
        <v>30.031473908827707</v>
      </c>
      <c r="X46" s="50">
        <f t="shared" si="3"/>
        <v>0.31965783698867073</v>
      </c>
    </row>
    <row r="47" spans="2:24" x14ac:dyDescent="0.25">
      <c r="B47" s="77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4"/>
      <c r="V47" s="48">
        <v>-1.6</v>
      </c>
      <c r="W47" s="49">
        <f t="shared" si="2"/>
        <v>30.060895705040455</v>
      </c>
      <c r="X47" s="50">
        <f t="shared" si="3"/>
        <v>0.37700225328660458</v>
      </c>
    </row>
    <row r="48" spans="2:24" x14ac:dyDescent="0.25">
      <c r="B48" s="77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4"/>
      <c r="V48" s="48">
        <v>-1.5</v>
      </c>
      <c r="W48" s="49">
        <f t="shared" si="2"/>
        <v>30.090317501253203</v>
      </c>
      <c r="X48" s="50">
        <f t="shared" si="3"/>
        <v>0.44020968240467356</v>
      </c>
    </row>
    <row r="49" spans="2:24" x14ac:dyDescent="0.25">
      <c r="B49" s="77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4"/>
      <c r="V49" s="48">
        <v>-1.4</v>
      </c>
      <c r="W49" s="49">
        <f t="shared" si="2"/>
        <v>30.119739297465951</v>
      </c>
      <c r="X49" s="50">
        <f t="shared" si="3"/>
        <v>0.50889981207491997</v>
      </c>
    </row>
    <row r="50" spans="2:24" x14ac:dyDescent="0.25">
      <c r="B50" s="77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4"/>
      <c r="V50" s="48">
        <v>-1.3</v>
      </c>
      <c r="W50" s="49">
        <f t="shared" si="2"/>
        <v>30.1491610936787</v>
      </c>
      <c r="X50" s="50">
        <f t="shared" si="3"/>
        <v>0.5824545544692159</v>
      </c>
    </row>
    <row r="51" spans="2:24" x14ac:dyDescent="0.25">
      <c r="B51" s="77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  <c r="V51" s="48">
        <v>-1.2</v>
      </c>
      <c r="W51" s="49">
        <f t="shared" si="2"/>
        <v>30.178582889891448</v>
      </c>
      <c r="X51" s="50">
        <f t="shared" si="3"/>
        <v>0.66000747737851861</v>
      </c>
    </row>
    <row r="52" spans="2:24" x14ac:dyDescent="0.25">
      <c r="B52" s="77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4"/>
      <c r="V52" s="48">
        <v>-1.1000000000000001</v>
      </c>
      <c r="W52" s="49">
        <f t="shared" si="2"/>
        <v>30.2080046861042</v>
      </c>
      <c r="X52" s="50">
        <f t="shared" si="3"/>
        <v>0.7404448574698308</v>
      </c>
    </row>
    <row r="53" spans="2:24" x14ac:dyDescent="0.25">
      <c r="B53" s="77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4"/>
      <c r="V53" s="48">
        <v>-1</v>
      </c>
      <c r="W53" s="49">
        <f t="shared" si="2"/>
        <v>30.237426482316948</v>
      </c>
      <c r="X53" s="50">
        <f t="shared" si="3"/>
        <v>0.82241995957505731</v>
      </c>
    </row>
    <row r="54" spans="2:24" ht="15.75" thickBot="1" x14ac:dyDescent="0.3">
      <c r="B54" s="83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6"/>
      <c r="V54" s="48">
        <v>-0.9</v>
      </c>
      <c r="W54" s="49">
        <f t="shared" si="2"/>
        <v>30.266848278529697</v>
      </c>
      <c r="X54" s="50">
        <f t="shared" si="3"/>
        <v>0.90438139117916161</v>
      </c>
    </row>
    <row r="55" spans="2:24" x14ac:dyDescent="0.25"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6"/>
      <c r="V55" s="48">
        <v>-0.8</v>
      </c>
      <c r="W55" s="49">
        <f t="shared" si="2"/>
        <v>30.296270074742445</v>
      </c>
      <c r="X55" s="50">
        <f t="shared" si="3"/>
        <v>0.98461545538119255</v>
      </c>
    </row>
    <row r="56" spans="2:24" x14ac:dyDescent="0.25">
      <c r="B56" s="77"/>
      <c r="C56" s="149" t="s">
        <v>52</v>
      </c>
      <c r="D56" s="149"/>
      <c r="E56" s="149"/>
      <c r="F56" s="149"/>
      <c r="G56" s="144" t="s">
        <v>53</v>
      </c>
      <c r="H56" s="140"/>
      <c r="I56" s="140"/>
      <c r="J56" s="140"/>
      <c r="K56" s="145"/>
      <c r="L56" s="43"/>
      <c r="M56" s="43"/>
      <c r="N56" s="43"/>
      <c r="O56" s="43"/>
      <c r="P56" s="43" t="s">
        <v>80</v>
      </c>
      <c r="Q56" s="43"/>
      <c r="R56" s="44"/>
      <c r="V56" s="48">
        <v>-0.7</v>
      </c>
      <c r="W56" s="49">
        <f t="shared" si="2"/>
        <v>30.325691870955193</v>
      </c>
      <c r="X56" s="50">
        <f t="shared" si="3"/>
        <v>1.06130139407144</v>
      </c>
    </row>
    <row r="57" spans="2:24" x14ac:dyDescent="0.25">
      <c r="B57" s="77"/>
      <c r="C57" s="52" t="s">
        <v>0</v>
      </c>
      <c r="D57" s="52" t="s">
        <v>1</v>
      </c>
      <c r="E57" s="52" t="s">
        <v>6</v>
      </c>
      <c r="F57" s="52" t="s">
        <v>7</v>
      </c>
      <c r="G57" s="52" t="s">
        <v>2</v>
      </c>
      <c r="H57" s="52" t="s">
        <v>3</v>
      </c>
      <c r="I57" s="52" t="s">
        <v>4</v>
      </c>
      <c r="J57" s="53" t="s">
        <v>8</v>
      </c>
      <c r="K57" s="52" t="s">
        <v>91</v>
      </c>
      <c r="L57" s="43"/>
      <c r="M57" s="92" t="s">
        <v>92</v>
      </c>
      <c r="N57" s="51">
        <f>K60+K61</f>
        <v>9.0751444443340212E-2</v>
      </c>
      <c r="O57" s="43"/>
      <c r="P57" s="146" t="s">
        <v>81</v>
      </c>
      <c r="Q57" s="146"/>
      <c r="R57" s="44"/>
      <c r="V57" s="48">
        <v>-0.6</v>
      </c>
      <c r="W57" s="49">
        <f t="shared" si="2"/>
        <v>30.355113667167942</v>
      </c>
      <c r="X57" s="50">
        <f t="shared" si="3"/>
        <v>1.1325773602748606</v>
      </c>
    </row>
    <row r="58" spans="2:24" x14ac:dyDescent="0.25">
      <c r="B58" s="77"/>
      <c r="C58" s="54" t="s">
        <v>9</v>
      </c>
      <c r="D58" s="54">
        <f>COUNT(I6:N35)</f>
        <v>90</v>
      </c>
      <c r="E58" s="55">
        <f>SUM(I6:N35)^2</f>
        <v>7550668.6311039943</v>
      </c>
      <c r="F58" s="55">
        <f>E58/D58</f>
        <v>83896.318123377714</v>
      </c>
      <c r="G58" s="56">
        <f>DEVSQ(I6:N35)</f>
        <v>7.7042146222222199</v>
      </c>
      <c r="H58" s="54">
        <f>D58-1</f>
        <v>89</v>
      </c>
      <c r="I58" s="55">
        <f>G58/H58</f>
        <v>8.6564209238451914E-2</v>
      </c>
      <c r="J58" s="57">
        <f>SUM(J60:J63)</f>
        <v>1</v>
      </c>
      <c r="K58" s="55">
        <f>I58</f>
        <v>8.6564209238451914E-2</v>
      </c>
      <c r="L58" s="43"/>
      <c r="M58" s="43"/>
      <c r="N58" s="43"/>
      <c r="O58" s="43"/>
      <c r="P58" s="71" t="s">
        <v>82</v>
      </c>
      <c r="Q58" s="91">
        <f>MAX(U6:U35)/SUM(U6:U35)</f>
        <v>9.5262518013181363E-2</v>
      </c>
      <c r="R58" s="68">
        <f>COUNT(I6:I35)</f>
        <v>30</v>
      </c>
      <c r="V58" s="48">
        <v>-0.5</v>
      </c>
      <c r="W58" s="49">
        <f t="shared" si="2"/>
        <v>30.38453546338069</v>
      </c>
      <c r="X58" s="50">
        <f t="shared" si="3"/>
        <v>1.1966139803923492</v>
      </c>
    </row>
    <row r="59" spans="2:24" x14ac:dyDescent="0.25">
      <c r="B59" s="77"/>
      <c r="C59" s="54" t="s">
        <v>10</v>
      </c>
      <c r="D59" s="54" t="s">
        <v>5</v>
      </c>
      <c r="E59" s="56" t="s">
        <v>5</v>
      </c>
      <c r="F59" s="55" t="s">
        <v>5</v>
      </c>
      <c r="G59" s="55">
        <f>SUM(G61:G63)</f>
        <v>2.2591279556218069</v>
      </c>
      <c r="H59" s="58">
        <f>SUM(H61:H63)</f>
        <v>29</v>
      </c>
      <c r="I59" s="55">
        <f>G59/H59</f>
        <v>7.7900963986958865E-2</v>
      </c>
      <c r="J59" s="57">
        <f>G59/G58</f>
        <v>0.29323273901346475</v>
      </c>
      <c r="K59" s="55" t="s">
        <v>5</v>
      </c>
      <c r="L59" s="43"/>
      <c r="M59" s="92" t="s">
        <v>93</v>
      </c>
      <c r="N59" s="51">
        <f>N57+K62</f>
        <v>9.0751444443340212E-2</v>
      </c>
      <c r="O59" s="43"/>
      <c r="P59" s="71" t="s">
        <v>84</v>
      </c>
      <c r="Q59" s="91">
        <f>1/((1+(R58-1)/FINV(0.05/R58,R59-1,(R58)*(R59-1))))</f>
        <v>0.19734548704970753</v>
      </c>
      <c r="R59" s="68">
        <f>COUNT(I6:N6)</f>
        <v>3</v>
      </c>
      <c r="V59" s="48">
        <v>-0.4</v>
      </c>
      <c r="W59" s="49">
        <f t="shared" si="2"/>
        <v>30.413957259593438</v>
      </c>
      <c r="X59" s="50">
        <f t="shared" si="3"/>
        <v>1.2516915610466601</v>
      </c>
    </row>
    <row r="60" spans="2:24" x14ac:dyDescent="0.25">
      <c r="B60" s="77"/>
      <c r="C60" s="54" t="s">
        <v>66</v>
      </c>
      <c r="D60" s="54" t="s">
        <v>5</v>
      </c>
      <c r="E60" s="55" t="s">
        <v>5</v>
      </c>
      <c r="F60" s="55" t="s">
        <v>5</v>
      </c>
      <c r="G60" s="55">
        <f>G58-G59</f>
        <v>5.445086666600413</v>
      </c>
      <c r="H60" s="58">
        <f>H58-H59</f>
        <v>60</v>
      </c>
      <c r="I60" s="55">
        <f>G60/H60</f>
        <v>9.0751444443340212E-2</v>
      </c>
      <c r="J60" s="57">
        <f>G60/G58</f>
        <v>0.70676726098653531</v>
      </c>
      <c r="K60" s="55">
        <f>I60</f>
        <v>9.0751444443340212E-2</v>
      </c>
      <c r="L60" s="43"/>
      <c r="M60" s="43"/>
      <c r="N60" s="43"/>
      <c r="O60" s="43"/>
      <c r="P60" s="43" t="s">
        <v>85</v>
      </c>
      <c r="Q60" s="43"/>
      <c r="R60" s="44"/>
      <c r="V60" s="48">
        <v>-0.3</v>
      </c>
      <c r="W60" s="49">
        <f t="shared" si="2"/>
        <v>30.44337905580619</v>
      </c>
      <c r="X60" s="50">
        <f t="shared" si="3"/>
        <v>1.296276449958093</v>
      </c>
    </row>
    <row r="61" spans="2:24" x14ac:dyDescent="0.25">
      <c r="B61" s="77"/>
      <c r="C61" s="59" t="str">
        <f>D6</f>
        <v>opérateur</v>
      </c>
      <c r="D61" s="59">
        <v>3</v>
      </c>
      <c r="E61" s="60">
        <f>SUM(I6:N15)^2+SUM(I16:N25)^2+SUM(I26:N35)^2</f>
        <v>2516890.2610499999</v>
      </c>
      <c r="F61" s="61">
        <f>E61*D61/$D$58</f>
        <v>83896.342034999994</v>
      </c>
      <c r="G61" s="61">
        <f>F61-$F$58</f>
        <v>2.3911622280138545E-2</v>
      </c>
      <c r="H61" s="59">
        <f>D61-1</f>
        <v>2</v>
      </c>
      <c r="I61" s="61">
        <f>G61/H61</f>
        <v>1.1955811140069272E-2</v>
      </c>
      <c r="J61" s="62">
        <f>G61/$G$58</f>
        <v>3.1037066661106887E-3</v>
      </c>
      <c r="K61" s="61">
        <f>MAX(0,(I61-I60)/(D62*COUNT(I6:N6)))</f>
        <v>0</v>
      </c>
      <c r="L61" s="43"/>
      <c r="M61" s="92" t="s">
        <v>86</v>
      </c>
      <c r="N61" s="93">
        <f>SQRT(N57)/SQRT(N59)</f>
        <v>1</v>
      </c>
      <c r="O61" s="43"/>
      <c r="P61" s="43" t="s">
        <v>90</v>
      </c>
      <c r="Q61" s="43"/>
      <c r="R61" s="44"/>
      <c r="V61" s="48">
        <v>-0.2</v>
      </c>
      <c r="W61" s="49">
        <f t="shared" si="2"/>
        <v>30.472800852018938</v>
      </c>
      <c r="X61" s="50">
        <f t="shared" si="3"/>
        <v>1.3290918445217597</v>
      </c>
    </row>
    <row r="62" spans="2:24" x14ac:dyDescent="0.25">
      <c r="B62" s="77"/>
      <c r="C62" s="59" t="str">
        <f>D7</f>
        <v>pièce</v>
      </c>
      <c r="D62" s="59">
        <f>COUNT(I6:I15)</f>
        <v>10</v>
      </c>
      <c r="E62" s="60">
        <f>SUM(O6,O16,O26)^2+SUM(O7,O17,O27)^2+SUM(O8,O18,O28)^2+SUM(O29,O9,O19)^2+SUM(O10,O20,O30)^2+SUM(O11,O21,O31)^2+SUM(O12,O22,O32)^2+SUM(O13,O23,O33)^2+SUM(O34,O24,O14)^2+SUM(O15,O25,O35)^2</f>
        <v>755072.70627400011</v>
      </c>
      <c r="F62" s="61">
        <f>E62*D62/$D$58</f>
        <v>83896.967363777789</v>
      </c>
      <c r="G62" s="61">
        <f>F62-$F$58</f>
        <v>0.64924040007463191</v>
      </c>
      <c r="H62" s="59">
        <f t="shared" ref="H62" si="4">D62-1</f>
        <v>9</v>
      </c>
      <c r="I62" s="61">
        <f>G62/H62</f>
        <v>7.2137822230514653E-2</v>
      </c>
      <c r="J62" s="62">
        <f>G62/$G$58</f>
        <v>8.4270809149312564E-2</v>
      </c>
      <c r="K62" s="61">
        <f>MAX(0,(I62-I63)/(D61*COUNT(I6:N6)))</f>
        <v>0</v>
      </c>
      <c r="L62" s="43"/>
      <c r="M62" s="43"/>
      <c r="N62" s="43"/>
      <c r="O62" s="43"/>
      <c r="P62" s="43"/>
      <c r="Q62" s="43"/>
      <c r="R62" s="44"/>
      <c r="V62" s="48">
        <v>-0.1</v>
      </c>
      <c r="W62" s="49">
        <f t="shared" si="2"/>
        <v>30.502222648231687</v>
      </c>
      <c r="X62" s="50">
        <f t="shared" si="3"/>
        <v>1.3491784954482415</v>
      </c>
    </row>
    <row r="63" spans="2:24" x14ac:dyDescent="0.25">
      <c r="B63" s="77"/>
      <c r="C63" s="59" t="s">
        <v>72</v>
      </c>
      <c r="D63" s="59">
        <f>D61*D62</f>
        <v>30</v>
      </c>
      <c r="E63" s="60">
        <f>SUMSQ(O6:O35)</f>
        <v>251695.73175399998</v>
      </c>
      <c r="F63" s="61">
        <f>E63*D63/$D$58</f>
        <v>83898.577251333336</v>
      </c>
      <c r="G63" s="61">
        <f>F63-$F$58-G61-G62</f>
        <v>1.5859759332670365</v>
      </c>
      <c r="H63" s="59">
        <f>H61*H62</f>
        <v>18</v>
      </c>
      <c r="I63" s="61">
        <f t="shared" ref="I63" si="5">G63/H63</f>
        <v>8.8109774070390917E-2</v>
      </c>
      <c r="J63" s="62">
        <f>G63/$G$58</f>
        <v>0.20585822319804148</v>
      </c>
      <c r="K63" s="61" t="s">
        <v>5</v>
      </c>
      <c r="L63" s="43"/>
      <c r="M63" s="94" t="s">
        <v>95</v>
      </c>
      <c r="N63" s="95" t="s">
        <v>96</v>
      </c>
      <c r="O63" s="96" t="s">
        <v>97</v>
      </c>
      <c r="P63" s="43"/>
      <c r="Q63" s="43"/>
      <c r="R63" s="44"/>
      <c r="V63" s="48">
        <v>0</v>
      </c>
      <c r="W63" s="49">
        <f t="shared" si="2"/>
        <v>30.531644444444435</v>
      </c>
      <c r="X63" s="50">
        <f t="shared" si="3"/>
        <v>1.3559412807997311</v>
      </c>
    </row>
    <row r="64" spans="2:24" x14ac:dyDescent="0.25">
      <c r="B64" s="77"/>
      <c r="C64" s="43"/>
      <c r="D64" s="43"/>
      <c r="E64" s="43"/>
      <c r="F64" s="43"/>
      <c r="G64" s="43"/>
      <c r="H64" s="43"/>
      <c r="I64" s="47">
        <f>I63/I60</f>
        <v>0.97089114791336906</v>
      </c>
      <c r="J64" s="47">
        <f>+FINV(0.05,H63,H60)</f>
        <v>1.778446085327736</v>
      </c>
      <c r="K64" s="43"/>
      <c r="L64" s="43"/>
      <c r="M64" s="43"/>
      <c r="P64" s="43"/>
      <c r="Q64" s="43"/>
      <c r="R64" s="44"/>
      <c r="V64" s="48">
        <v>0.1</v>
      </c>
      <c r="W64" s="49">
        <f t="shared" si="2"/>
        <v>30.561066240657183</v>
      </c>
      <c r="X64" s="50">
        <f t="shared" si="3"/>
        <v>1.3491784954482415</v>
      </c>
    </row>
    <row r="65" spans="1:24" x14ac:dyDescent="0.25">
      <c r="B65" s="77"/>
      <c r="C65" s="69" t="s">
        <v>51</v>
      </c>
      <c r="D65" s="63">
        <f>J59</f>
        <v>0.29323273901346475</v>
      </c>
      <c r="E65" s="43" t="s">
        <v>57</v>
      </c>
      <c r="F65" s="43"/>
      <c r="G65" s="43"/>
      <c r="H65" s="43"/>
      <c r="I65" s="43"/>
      <c r="J65" s="43"/>
      <c r="M65" s="92" t="s">
        <v>89</v>
      </c>
      <c r="N65" s="97">
        <f>TRUNC(SQRT(I58/I60)*SQRT(2),0)</f>
        <v>1</v>
      </c>
      <c r="P65" s="100" t="s">
        <v>72</v>
      </c>
      <c r="Q65" s="71" t="str">
        <f>IF(I64&gt;J64,"oui","non")</f>
        <v>non</v>
      </c>
      <c r="R65" s="44"/>
      <c r="V65" s="48">
        <v>0.2</v>
      </c>
      <c r="W65" s="49">
        <f t="shared" si="2"/>
        <v>30.590488036869932</v>
      </c>
      <c r="X65" s="50">
        <f t="shared" si="3"/>
        <v>1.3290918445217597</v>
      </c>
    </row>
    <row r="66" spans="1:24" x14ac:dyDescent="0.25">
      <c r="B66" s="77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1" t="s">
        <v>128</v>
      </c>
      <c r="P66" s="43"/>
      <c r="Q66" s="43"/>
      <c r="R66" s="44"/>
      <c r="V66" s="48">
        <v>0.3</v>
      </c>
      <c r="W66" s="49">
        <f t="shared" ref="W66:W93" si="6">Q$9+V66*SQRT(Q$10)</f>
        <v>30.61990983308268</v>
      </c>
      <c r="X66" s="50">
        <f t="shared" ref="X66:X93" si="7">NORMDIST(W66,Q$9,SQRT(Q$10),0)</f>
        <v>1.296276449958093</v>
      </c>
    </row>
    <row r="67" spans="1:24" x14ac:dyDescent="0.25">
      <c r="B67" s="77"/>
      <c r="C67" s="69" t="s">
        <v>54</v>
      </c>
      <c r="D67" s="63">
        <f>(I58-I60)/I58</f>
        <v>-4.8371437130027221E-2</v>
      </c>
      <c r="E67" s="43" t="s">
        <v>56</v>
      </c>
      <c r="F67" s="43"/>
      <c r="G67" s="43"/>
      <c r="H67" s="43"/>
      <c r="I67" s="43"/>
      <c r="J67" s="43"/>
      <c r="Q67" s="43"/>
      <c r="R67" s="44"/>
      <c r="V67" s="48">
        <v>0.4</v>
      </c>
      <c r="W67" s="49">
        <f t="shared" si="6"/>
        <v>30.649331629295432</v>
      </c>
      <c r="X67" s="50">
        <f t="shared" si="7"/>
        <v>1.2516915610466601</v>
      </c>
    </row>
    <row r="68" spans="1:24" ht="15.75" thickBot="1" x14ac:dyDescent="0.3">
      <c r="B68" s="83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6"/>
      <c r="V68" s="48">
        <v>0.5</v>
      </c>
      <c r="W68" s="49">
        <f t="shared" si="6"/>
        <v>30.67875342550818</v>
      </c>
      <c r="X68" s="50">
        <f t="shared" si="7"/>
        <v>1.1966139803923492</v>
      </c>
    </row>
    <row r="69" spans="1:24" x14ac:dyDescent="0.25">
      <c r="B69" s="43" t="s">
        <v>79</v>
      </c>
      <c r="N69" s="43"/>
      <c r="O69" s="43"/>
      <c r="P69" s="43"/>
      <c r="Q69" s="43"/>
      <c r="R69" s="66" t="s">
        <v>60</v>
      </c>
      <c r="V69" s="48">
        <v>0.6</v>
      </c>
      <c r="W69" s="49">
        <f t="shared" si="6"/>
        <v>30.708175221720929</v>
      </c>
      <c r="X69" s="50">
        <f t="shared" si="7"/>
        <v>1.1325773602748606</v>
      </c>
    </row>
    <row r="70" spans="1:24" x14ac:dyDescent="0.25">
      <c r="A70" s="43"/>
      <c r="I70" s="43"/>
      <c r="M70" s="43"/>
      <c r="N70" s="43"/>
      <c r="O70" s="43"/>
      <c r="P70" s="43"/>
      <c r="Q70" s="43"/>
      <c r="R70" s="64">
        <v>45962</v>
      </c>
      <c r="V70" s="48">
        <v>0.7</v>
      </c>
      <c r="W70" s="49">
        <f t="shared" si="6"/>
        <v>30.737597017933677</v>
      </c>
      <c r="X70" s="50">
        <f t="shared" si="7"/>
        <v>1.06130139407144</v>
      </c>
    </row>
    <row r="71" spans="1:24" x14ac:dyDescent="0.25">
      <c r="A71" s="43"/>
      <c r="I71" s="43"/>
      <c r="J71" s="43"/>
      <c r="K71" s="43"/>
      <c r="L71" s="43"/>
      <c r="V71" s="48">
        <v>0.8</v>
      </c>
      <c r="W71" s="49">
        <f t="shared" si="6"/>
        <v>30.767018814146425</v>
      </c>
      <c r="X71" s="50">
        <f t="shared" si="7"/>
        <v>0.98461545538119255</v>
      </c>
    </row>
    <row r="72" spans="1:24" x14ac:dyDescent="0.25">
      <c r="A72" s="43"/>
      <c r="V72" s="48">
        <v>0.9</v>
      </c>
      <c r="W72" s="49">
        <f t="shared" si="6"/>
        <v>30.796440610359173</v>
      </c>
      <c r="X72" s="50">
        <f t="shared" si="7"/>
        <v>0.90438139117916161</v>
      </c>
    </row>
    <row r="73" spans="1:24" x14ac:dyDescent="0.25">
      <c r="V73" s="48">
        <v>1</v>
      </c>
      <c r="W73" s="49">
        <f t="shared" si="6"/>
        <v>30.825862406571922</v>
      </c>
      <c r="X73" s="50">
        <f t="shared" si="7"/>
        <v>0.82241995957505731</v>
      </c>
    </row>
    <row r="74" spans="1:24" x14ac:dyDescent="0.25">
      <c r="I74" s="43"/>
      <c r="V74" s="48">
        <v>1.1000000000000001</v>
      </c>
      <c r="W74" s="49">
        <f t="shared" si="6"/>
        <v>30.85528420278467</v>
      </c>
      <c r="X74" s="50">
        <f t="shared" si="7"/>
        <v>0.7404448574698308</v>
      </c>
    </row>
    <row r="75" spans="1:24" x14ac:dyDescent="0.25">
      <c r="I75" s="43"/>
      <c r="J75" s="43"/>
      <c r="K75" s="43"/>
      <c r="L75" s="43"/>
      <c r="V75" s="48">
        <v>1.2</v>
      </c>
      <c r="W75" s="49">
        <f t="shared" si="6"/>
        <v>30.884705998997422</v>
      </c>
      <c r="X75" s="50">
        <f t="shared" si="7"/>
        <v>0.66000747737851861</v>
      </c>
    </row>
    <row r="76" spans="1:24" x14ac:dyDescent="0.25">
      <c r="I76" s="43"/>
      <c r="V76" s="48">
        <v>1.3</v>
      </c>
      <c r="W76" s="49">
        <f t="shared" si="6"/>
        <v>30.91412779521017</v>
      </c>
      <c r="X76" s="50">
        <f t="shared" si="7"/>
        <v>0.5824545544692159</v>
      </c>
    </row>
    <row r="77" spans="1:24" x14ac:dyDescent="0.25">
      <c r="I77" s="43"/>
      <c r="J77" s="43"/>
      <c r="K77" s="43"/>
      <c r="L77" s="43"/>
      <c r="V77" s="48">
        <v>1.4</v>
      </c>
      <c r="W77" s="49">
        <f t="shared" si="6"/>
        <v>30.943549591422919</v>
      </c>
      <c r="X77" s="50">
        <f t="shared" si="7"/>
        <v>0.50889981207491997</v>
      </c>
    </row>
    <row r="78" spans="1:24" x14ac:dyDescent="0.25">
      <c r="I78" s="43"/>
      <c r="V78" s="48">
        <v>1.5</v>
      </c>
      <c r="W78" s="49">
        <f t="shared" si="6"/>
        <v>30.972971387635667</v>
      </c>
      <c r="X78" s="50">
        <f t="shared" si="7"/>
        <v>0.44020968240467356</v>
      </c>
    </row>
    <row r="79" spans="1:24" x14ac:dyDescent="0.25">
      <c r="I79" s="43"/>
      <c r="J79" s="43"/>
      <c r="K79" s="43"/>
      <c r="L79" s="43"/>
      <c r="V79" s="48">
        <v>1.6</v>
      </c>
      <c r="W79" s="49">
        <f t="shared" si="6"/>
        <v>31.002393183848415</v>
      </c>
      <c r="X79" s="50">
        <f t="shared" si="7"/>
        <v>0.37700225328660458</v>
      </c>
    </row>
    <row r="80" spans="1:24" x14ac:dyDescent="0.25">
      <c r="I80" s="43"/>
      <c r="V80" s="48">
        <v>1.7</v>
      </c>
      <c r="W80" s="49">
        <f t="shared" si="6"/>
        <v>31.031814980061164</v>
      </c>
      <c r="X80" s="50">
        <f t="shared" si="7"/>
        <v>0.31965783698867073</v>
      </c>
    </row>
    <row r="81" spans="9:24" x14ac:dyDescent="0.25">
      <c r="I81" s="43"/>
      <c r="V81" s="48">
        <v>1.8</v>
      </c>
      <c r="W81" s="49">
        <f t="shared" si="6"/>
        <v>31.061236776273912</v>
      </c>
      <c r="X81" s="50">
        <f t="shared" si="7"/>
        <v>0.26833901550403927</v>
      </c>
    </row>
    <row r="82" spans="9:24" x14ac:dyDescent="0.25">
      <c r="I82" s="43"/>
      <c r="V82" s="48">
        <v>1.9</v>
      </c>
      <c r="W82" s="49">
        <f t="shared" si="6"/>
        <v>31.090658572486664</v>
      </c>
      <c r="X82" s="50">
        <f t="shared" si="7"/>
        <v>0.22301770531006473</v>
      </c>
    </row>
    <row r="83" spans="9:24" x14ac:dyDescent="0.25">
      <c r="I83" s="43"/>
      <c r="V83" s="48">
        <v>2</v>
      </c>
      <c r="W83" s="49">
        <f t="shared" si="6"/>
        <v>31.120080368699412</v>
      </c>
      <c r="X83" s="50">
        <f t="shared" si="7"/>
        <v>0.18350669728924551</v>
      </c>
    </row>
    <row r="84" spans="9:24" x14ac:dyDescent="0.25">
      <c r="I84" s="43"/>
      <c r="V84" s="48">
        <v>2.1</v>
      </c>
      <c r="W84" s="49">
        <f t="shared" si="6"/>
        <v>31.14950216491216</v>
      </c>
      <c r="X84" s="50">
        <f t="shared" si="7"/>
        <v>0.14949323849020599</v>
      </c>
    </row>
    <row r="85" spans="9:24" x14ac:dyDescent="0.25">
      <c r="I85" s="43"/>
      <c r="V85" s="48">
        <v>2.2000000000000002</v>
      </c>
      <c r="W85" s="49">
        <f t="shared" si="6"/>
        <v>31.178923961124909</v>
      </c>
      <c r="X85" s="50">
        <f t="shared" si="7"/>
        <v>0.12057249186866377</v>
      </c>
    </row>
    <row r="86" spans="9:24" x14ac:dyDescent="0.25">
      <c r="V86" s="48">
        <v>2.2999999999999998</v>
      </c>
      <c r="W86" s="49">
        <f t="shared" si="6"/>
        <v>31.208345757337657</v>
      </c>
      <c r="X86" s="50">
        <f t="shared" si="7"/>
        <v>9.6279090293361458E-2</v>
      </c>
    </row>
    <row r="87" spans="9:24" x14ac:dyDescent="0.25">
      <c r="V87" s="48">
        <v>2.4</v>
      </c>
      <c r="W87" s="49">
        <f t="shared" si="6"/>
        <v>31.237767553550405</v>
      </c>
      <c r="X87" s="50">
        <f t="shared" si="7"/>
        <v>7.6115442214704829E-2</v>
      </c>
    </row>
    <row r="88" spans="9:24" x14ac:dyDescent="0.25">
      <c r="V88" s="48">
        <v>2.5000000000000102</v>
      </c>
      <c r="W88" s="49">
        <f t="shared" si="6"/>
        <v>31.267189349763157</v>
      </c>
      <c r="X88" s="50">
        <f t="shared" si="7"/>
        <v>5.957590205173463E-2</v>
      </c>
    </row>
    <row r="89" spans="9:24" x14ac:dyDescent="0.25">
      <c r="V89" s="48">
        <v>2.6</v>
      </c>
      <c r="W89" s="49">
        <f t="shared" si="6"/>
        <v>31.296611145975902</v>
      </c>
      <c r="X89" s="50">
        <f t="shared" si="7"/>
        <v>4.6166349380804175E-2</v>
      </c>
    </row>
    <row r="90" spans="9:24" x14ac:dyDescent="0.25">
      <c r="V90" s="48">
        <v>2.7</v>
      </c>
      <c r="W90" s="49">
        <f t="shared" si="6"/>
        <v>31.326032942188654</v>
      </c>
      <c r="X90" s="50">
        <f t="shared" si="7"/>
        <v>3.5419097933616119E-2</v>
      </c>
    </row>
    <row r="91" spans="9:24" x14ac:dyDescent="0.25">
      <c r="V91" s="48">
        <v>2.80000000000001</v>
      </c>
      <c r="W91" s="49">
        <f t="shared" si="6"/>
        <v>31.355454738401406</v>
      </c>
      <c r="X91" s="50">
        <f t="shared" si="7"/>
        <v>2.6903359420149101E-2</v>
      </c>
    </row>
    <row r="92" spans="9:24" x14ac:dyDescent="0.25">
      <c r="V92" s="48">
        <v>2.9000000000000101</v>
      </c>
      <c r="W92" s="49">
        <f t="shared" si="6"/>
        <v>31.384876534614154</v>
      </c>
      <c r="X92" s="50">
        <f t="shared" si="7"/>
        <v>2.0231709773029825E-2</v>
      </c>
    </row>
    <row r="93" spans="9:24" x14ac:dyDescent="0.25">
      <c r="V93" s="48">
        <v>3.0000000000000102</v>
      </c>
      <c r="W93" s="49">
        <f t="shared" si="6"/>
        <v>31.414298330826902</v>
      </c>
      <c r="X93" s="50">
        <f t="shared" si="7"/>
        <v>1.5063146994463487E-2</v>
      </c>
    </row>
    <row r="94" spans="9:24" x14ac:dyDescent="0.25">
      <c r="V94" s="47"/>
      <c r="W94" s="47"/>
      <c r="X94" s="47"/>
    </row>
    <row r="95" spans="9:24" x14ac:dyDescent="0.25">
      <c r="V95" s="47"/>
      <c r="W95" s="47"/>
      <c r="X95" s="47"/>
    </row>
    <row r="96" spans="9:24" x14ac:dyDescent="0.25">
      <c r="V96" s="47"/>
      <c r="W96" s="47"/>
      <c r="X96" s="47"/>
    </row>
    <row r="97" spans="22:24" x14ac:dyDescent="0.25">
      <c r="V97" s="47"/>
      <c r="W97" s="47"/>
      <c r="X97" s="47"/>
    </row>
    <row r="98" spans="22:24" x14ac:dyDescent="0.25">
      <c r="V98" s="47"/>
      <c r="W98" s="47"/>
      <c r="X98" s="47"/>
    </row>
    <row r="99" spans="22:24" x14ac:dyDescent="0.25">
      <c r="V99" s="47"/>
      <c r="W99" s="47"/>
      <c r="X99" s="47"/>
    </row>
    <row r="100" spans="22:24" x14ac:dyDescent="0.25">
      <c r="V100" s="47"/>
      <c r="W100" s="47"/>
      <c r="X100" s="47"/>
    </row>
    <row r="101" spans="22:24" x14ac:dyDescent="0.25">
      <c r="V101" s="47"/>
      <c r="W101" s="47"/>
      <c r="X101" s="47"/>
    </row>
    <row r="102" spans="22:24" x14ac:dyDescent="0.25">
      <c r="V102" s="47"/>
      <c r="W102" s="47"/>
      <c r="X102" s="47"/>
    </row>
    <row r="103" spans="22:24" x14ac:dyDescent="0.25">
      <c r="V103" s="47"/>
      <c r="W103" s="47"/>
      <c r="X103" s="47"/>
    </row>
    <row r="104" spans="22:24" x14ac:dyDescent="0.25">
      <c r="V104" s="47"/>
      <c r="W104" s="47"/>
      <c r="X104" s="47"/>
    </row>
    <row r="105" spans="22:24" x14ac:dyDescent="0.25">
      <c r="V105" s="47"/>
      <c r="W105" s="47"/>
      <c r="X105" s="47"/>
    </row>
    <row r="106" spans="22:24" x14ac:dyDescent="0.25">
      <c r="V106" s="47"/>
      <c r="W106" s="47"/>
      <c r="X106" s="47"/>
    </row>
    <row r="107" spans="22:24" x14ac:dyDescent="0.25">
      <c r="V107" s="47"/>
      <c r="W107" s="47"/>
      <c r="X107" s="47"/>
    </row>
    <row r="108" spans="22:24" x14ac:dyDescent="0.25">
      <c r="V108" s="47"/>
      <c r="W108" s="47"/>
      <c r="X108" s="47"/>
    </row>
    <row r="109" spans="22:24" x14ac:dyDescent="0.25">
      <c r="V109" s="47"/>
      <c r="W109" s="47"/>
      <c r="X109" s="47"/>
    </row>
    <row r="110" spans="22:24" x14ac:dyDescent="0.25">
      <c r="V110" s="47"/>
      <c r="W110" s="47"/>
      <c r="X110" s="47"/>
    </row>
    <row r="111" spans="22:24" x14ac:dyDescent="0.25">
      <c r="V111" s="47"/>
      <c r="W111" s="47"/>
      <c r="X111" s="47"/>
    </row>
    <row r="112" spans="22:24" x14ac:dyDescent="0.25">
      <c r="V112" s="47"/>
      <c r="W112" s="47"/>
      <c r="X112" s="47"/>
    </row>
    <row r="113" spans="22:24" x14ac:dyDescent="0.25">
      <c r="V113" s="47"/>
      <c r="W113" s="47"/>
      <c r="X113" s="47"/>
    </row>
    <row r="114" spans="22:24" x14ac:dyDescent="0.25">
      <c r="V114" s="47"/>
      <c r="W114" s="47"/>
      <c r="X114" s="47"/>
    </row>
    <row r="115" spans="22:24" x14ac:dyDescent="0.25">
      <c r="V115" s="47"/>
      <c r="W115" s="47"/>
      <c r="X115" s="47"/>
    </row>
    <row r="116" spans="22:24" x14ac:dyDescent="0.25">
      <c r="V116" s="47"/>
      <c r="W116" s="47"/>
      <c r="X116" s="47"/>
    </row>
    <row r="117" spans="22:24" x14ac:dyDescent="0.25">
      <c r="V117" s="47"/>
      <c r="W117" s="47"/>
      <c r="X117" s="47"/>
    </row>
    <row r="118" spans="22:24" x14ac:dyDescent="0.25">
      <c r="V118" s="47"/>
      <c r="W118" s="47"/>
      <c r="X118" s="47"/>
    </row>
    <row r="119" spans="22:24" x14ac:dyDescent="0.25">
      <c r="V119" s="47"/>
      <c r="W119" s="47"/>
      <c r="X119" s="47"/>
    </row>
    <row r="120" spans="22:24" x14ac:dyDescent="0.25">
      <c r="V120" s="47"/>
      <c r="W120" s="47"/>
      <c r="X120" s="47"/>
    </row>
    <row r="121" spans="22:24" x14ac:dyDescent="0.25">
      <c r="V121" s="47"/>
      <c r="W121" s="47"/>
      <c r="X121" s="47"/>
    </row>
    <row r="122" spans="22:24" x14ac:dyDescent="0.25">
      <c r="V122" s="47"/>
      <c r="W122" s="47"/>
      <c r="X122" s="47"/>
    </row>
    <row r="123" spans="22:24" x14ac:dyDescent="0.25">
      <c r="V123" s="47"/>
      <c r="W123" s="47"/>
      <c r="X123" s="47"/>
    </row>
    <row r="124" spans="22:24" x14ac:dyDescent="0.25">
      <c r="V124" s="47"/>
      <c r="W124" s="47"/>
      <c r="X124" s="47"/>
    </row>
    <row r="125" spans="22:24" x14ac:dyDescent="0.25">
      <c r="V125" s="47"/>
      <c r="W125" s="47"/>
      <c r="X125" s="47"/>
    </row>
    <row r="126" spans="22:24" x14ac:dyDescent="0.25">
      <c r="V126" s="47"/>
      <c r="W126" s="47"/>
      <c r="X126" s="47"/>
    </row>
    <row r="127" spans="22:24" x14ac:dyDescent="0.25">
      <c r="V127" s="47"/>
      <c r="W127" s="47"/>
      <c r="X127" s="47"/>
    </row>
    <row r="128" spans="22:24" x14ac:dyDescent="0.25">
      <c r="V128" s="47"/>
      <c r="W128" s="47"/>
      <c r="X128" s="47"/>
    </row>
    <row r="129" spans="22:24" x14ac:dyDescent="0.25">
      <c r="V129" s="47"/>
      <c r="W129" s="47"/>
      <c r="X129" s="47"/>
    </row>
    <row r="130" spans="22:24" x14ac:dyDescent="0.25">
      <c r="V130" s="47"/>
      <c r="W130" s="47"/>
      <c r="X130" s="47"/>
    </row>
    <row r="131" spans="22:24" x14ac:dyDescent="0.25">
      <c r="V131" s="47"/>
      <c r="W131" s="47"/>
      <c r="X131" s="47"/>
    </row>
    <row r="132" spans="22:24" x14ac:dyDescent="0.25">
      <c r="V132" s="47"/>
      <c r="W132" s="47"/>
      <c r="X132" s="47"/>
    </row>
    <row r="133" spans="22:24" x14ac:dyDescent="0.25">
      <c r="V133" s="47"/>
      <c r="W133" s="47"/>
      <c r="X133" s="47"/>
    </row>
    <row r="134" spans="22:24" x14ac:dyDescent="0.25">
      <c r="V134" s="47"/>
      <c r="W134" s="47"/>
      <c r="X134" s="47"/>
    </row>
    <row r="135" spans="22:24" x14ac:dyDescent="0.25">
      <c r="V135" s="47"/>
      <c r="W135" s="47"/>
      <c r="X135" s="47"/>
    </row>
    <row r="136" spans="22:24" x14ac:dyDescent="0.25">
      <c r="V136" s="47"/>
      <c r="W136" s="47"/>
      <c r="X136" s="47"/>
    </row>
    <row r="137" spans="22:24" x14ac:dyDescent="0.25">
      <c r="V137" s="47"/>
      <c r="W137" s="47"/>
      <c r="X137" s="47"/>
    </row>
    <row r="138" spans="22:24" x14ac:dyDescent="0.25">
      <c r="V138" s="47"/>
      <c r="W138" s="47"/>
      <c r="X138" s="47"/>
    </row>
    <row r="139" spans="22:24" x14ac:dyDescent="0.25">
      <c r="V139" s="47"/>
      <c r="W139" s="47"/>
      <c r="X139" s="47"/>
    </row>
    <row r="140" spans="22:24" x14ac:dyDescent="0.25">
      <c r="V140" s="47"/>
      <c r="W140" s="47"/>
      <c r="X140" s="47"/>
    </row>
    <row r="141" spans="22:24" x14ac:dyDescent="0.25">
      <c r="V141" s="47"/>
      <c r="W141" s="47"/>
      <c r="X141" s="47"/>
    </row>
    <row r="142" spans="22:24" x14ac:dyDescent="0.25">
      <c r="V142" s="47"/>
      <c r="W142" s="47"/>
      <c r="X142" s="47"/>
    </row>
    <row r="143" spans="22:24" x14ac:dyDescent="0.25">
      <c r="V143" s="47"/>
      <c r="W143" s="47"/>
      <c r="X143" s="47"/>
    </row>
    <row r="144" spans="22:24" x14ac:dyDescent="0.25">
      <c r="V144" s="47"/>
      <c r="W144" s="47"/>
      <c r="X144" s="47"/>
    </row>
    <row r="145" spans="22:24" x14ac:dyDescent="0.25">
      <c r="V145" s="47"/>
      <c r="W145" s="47"/>
      <c r="X145" s="47"/>
    </row>
    <row r="146" spans="22:24" x14ac:dyDescent="0.25">
      <c r="V146" s="47"/>
      <c r="W146" s="47"/>
      <c r="X146" s="47"/>
    </row>
    <row r="147" spans="22:24" x14ac:dyDescent="0.25">
      <c r="V147" s="47"/>
      <c r="W147" s="47"/>
      <c r="X147" s="47"/>
    </row>
    <row r="148" spans="22:24" x14ac:dyDescent="0.25">
      <c r="V148" s="47"/>
      <c r="W148" s="47"/>
      <c r="X148" s="47"/>
    </row>
    <row r="149" spans="22:24" x14ac:dyDescent="0.25">
      <c r="V149" s="47"/>
      <c r="W149" s="47"/>
      <c r="X149" s="47"/>
    </row>
    <row r="150" spans="22:24" x14ac:dyDescent="0.25">
      <c r="V150" s="47"/>
      <c r="W150" s="47"/>
      <c r="X150" s="47"/>
    </row>
    <row r="151" spans="22:24" x14ac:dyDescent="0.25">
      <c r="V151" s="47"/>
      <c r="W151" s="47"/>
      <c r="X151" s="47"/>
    </row>
    <row r="152" spans="22:24" x14ac:dyDescent="0.25">
      <c r="V152" s="47"/>
      <c r="W152" s="47"/>
      <c r="X152" s="47"/>
    </row>
    <row r="153" spans="22:24" x14ac:dyDescent="0.25">
      <c r="V153" s="47"/>
      <c r="W153" s="47"/>
      <c r="X153" s="47"/>
    </row>
    <row r="154" spans="22:24" x14ac:dyDescent="0.25">
      <c r="V154" s="47"/>
      <c r="W154" s="47"/>
      <c r="X154" s="47"/>
    </row>
    <row r="155" spans="22:24" x14ac:dyDescent="0.25">
      <c r="V155" s="47"/>
      <c r="W155" s="47"/>
      <c r="X155" s="47"/>
    </row>
    <row r="156" spans="22:24" x14ac:dyDescent="0.25">
      <c r="V156" s="47"/>
      <c r="W156" s="47"/>
      <c r="X156" s="47"/>
    </row>
    <row r="157" spans="22:24" x14ac:dyDescent="0.25">
      <c r="V157" s="47"/>
      <c r="W157" s="47"/>
      <c r="X157" s="47"/>
    </row>
    <row r="158" spans="22:24" x14ac:dyDescent="0.25">
      <c r="V158" s="47"/>
      <c r="W158" s="47"/>
      <c r="X158" s="47"/>
    </row>
    <row r="159" spans="22:24" x14ac:dyDescent="0.25">
      <c r="V159" s="47"/>
      <c r="W159" s="47"/>
      <c r="X159" s="47"/>
    </row>
    <row r="160" spans="22:24" x14ac:dyDescent="0.25">
      <c r="V160" s="47"/>
      <c r="W160" s="47"/>
      <c r="X160" s="47"/>
    </row>
    <row r="161" spans="22:24" x14ac:dyDescent="0.25">
      <c r="V161" s="47"/>
      <c r="W161" s="47"/>
      <c r="X161" s="47"/>
    </row>
    <row r="162" spans="22:24" x14ac:dyDescent="0.25">
      <c r="V162" s="47"/>
      <c r="W162" s="47"/>
      <c r="X162" s="47"/>
    </row>
    <row r="163" spans="22:24" x14ac:dyDescent="0.25">
      <c r="V163" s="47"/>
      <c r="W163" s="47"/>
      <c r="X163" s="47"/>
    </row>
    <row r="164" spans="22:24" x14ac:dyDescent="0.25">
      <c r="V164" s="47"/>
      <c r="W164" s="47"/>
      <c r="X164" s="47"/>
    </row>
    <row r="165" spans="22:24" x14ac:dyDescent="0.25">
      <c r="V165" s="47"/>
      <c r="W165" s="47"/>
      <c r="X165" s="47"/>
    </row>
    <row r="166" spans="22:24" x14ac:dyDescent="0.25">
      <c r="V166" s="47"/>
      <c r="W166" s="47"/>
      <c r="X166" s="47"/>
    </row>
    <row r="167" spans="22:24" x14ac:dyDescent="0.25">
      <c r="V167" s="47"/>
      <c r="W167" s="47"/>
      <c r="X167" s="47"/>
    </row>
    <row r="168" spans="22:24" x14ac:dyDescent="0.25">
      <c r="V168" s="47"/>
      <c r="W168" s="47"/>
      <c r="X168" s="47"/>
    </row>
    <row r="169" spans="22:24" x14ac:dyDescent="0.25">
      <c r="V169" s="47"/>
      <c r="W169" s="47"/>
      <c r="X169" s="47"/>
    </row>
    <row r="170" spans="22:24" x14ac:dyDescent="0.25">
      <c r="V170" s="47"/>
      <c r="W170" s="47"/>
      <c r="X170" s="47"/>
    </row>
    <row r="171" spans="22:24" x14ac:dyDescent="0.25">
      <c r="V171" s="47"/>
      <c r="W171" s="47"/>
      <c r="X171" s="47"/>
    </row>
    <row r="172" spans="22:24" x14ac:dyDescent="0.25">
      <c r="V172" s="47"/>
      <c r="W172" s="47"/>
      <c r="X172" s="47"/>
    </row>
    <row r="173" spans="22:24" x14ac:dyDescent="0.25">
      <c r="V173" s="47"/>
      <c r="W173" s="47"/>
      <c r="X173" s="47"/>
    </row>
    <row r="174" spans="22:24" x14ac:dyDescent="0.25">
      <c r="V174" s="47"/>
      <c r="W174" s="47"/>
      <c r="X174" s="47"/>
    </row>
    <row r="175" spans="22:24" x14ac:dyDescent="0.25">
      <c r="V175" s="47"/>
      <c r="W175" s="47"/>
      <c r="X175" s="47"/>
    </row>
    <row r="176" spans="22:24" x14ac:dyDescent="0.25">
      <c r="V176" s="47"/>
      <c r="W176" s="47"/>
      <c r="X176" s="47"/>
    </row>
    <row r="177" spans="22:24" x14ac:dyDescent="0.25">
      <c r="V177" s="47"/>
      <c r="W177" s="47"/>
      <c r="X177" s="47"/>
    </row>
    <row r="178" spans="22:24" x14ac:dyDescent="0.25">
      <c r="V178" s="47"/>
      <c r="W178" s="47"/>
      <c r="X178" s="47"/>
    </row>
    <row r="179" spans="22:24" x14ac:dyDescent="0.25">
      <c r="V179" s="47"/>
      <c r="W179" s="47"/>
      <c r="X179" s="47"/>
    </row>
    <row r="180" spans="22:24" x14ac:dyDescent="0.25">
      <c r="V180" s="47"/>
      <c r="W180" s="47"/>
      <c r="X180" s="47"/>
    </row>
    <row r="181" spans="22:24" x14ac:dyDescent="0.25">
      <c r="V181" s="47"/>
      <c r="W181" s="47"/>
      <c r="X181" s="47"/>
    </row>
    <row r="182" spans="22:24" x14ac:dyDescent="0.25">
      <c r="V182" s="47"/>
      <c r="W182" s="47"/>
      <c r="X182" s="47"/>
    </row>
    <row r="183" spans="22:24" x14ac:dyDescent="0.25">
      <c r="V183" s="47"/>
      <c r="W183" s="47"/>
      <c r="X183" s="47"/>
    </row>
    <row r="184" spans="22:24" x14ac:dyDescent="0.25">
      <c r="V184" s="47"/>
      <c r="W184" s="47"/>
      <c r="X184" s="47"/>
    </row>
    <row r="185" spans="22:24" x14ac:dyDescent="0.25">
      <c r="V185" s="47"/>
      <c r="W185" s="47"/>
      <c r="X185" s="47"/>
    </row>
  </sheetData>
  <protectedRanges>
    <protectedRange sqref="D6:E7 Q6:Q7 G6:N35" name="Plage1"/>
  </protectedRanges>
  <mergeCells count="10">
    <mergeCell ref="G56:K56"/>
    <mergeCell ref="P57:Q57"/>
    <mergeCell ref="W15:X15"/>
    <mergeCell ref="C5:E5"/>
    <mergeCell ref="C56:F56"/>
    <mergeCell ref="B2:R2"/>
    <mergeCell ref="G4:N4"/>
    <mergeCell ref="G6:G15"/>
    <mergeCell ref="G16:G25"/>
    <mergeCell ref="G26:G35"/>
  </mergeCells>
  <conditionalFormatting sqref="N61">
    <cfRule type="cellIs" dxfId="5" priority="1" operator="greaterThan">
      <formula>0.3</formula>
    </cfRule>
    <cfRule type="cellIs" dxfId="4" priority="2" operator="between">
      <formula>0.1</formula>
      <formula>0.3</formula>
    </cfRule>
    <cfRule type="cellIs" dxfId="3" priority="3" operator="lessThan">
      <formula>0.1</formula>
    </cfRule>
  </conditionalFormatting>
  <pageMargins left="0.7" right="0.7" top="0.75" bottom="0.75" header="0.3" footer="0.3"/>
  <ignoredErrors>
    <ignoredError sqref="D62 K61:K62 U6:U35 O6:O35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ACA3-A69D-45B9-B7EC-CE81859C451B}">
  <dimension ref="B1:W93"/>
  <sheetViews>
    <sheetView showGridLines="0" topLeftCell="A26" zoomScale="85" zoomScaleNormal="85" workbookViewId="0">
      <selection activeCell="R55" sqref="R55"/>
    </sheetView>
  </sheetViews>
  <sheetFormatPr baseColWidth="10" defaultColWidth="10.85546875" defaultRowHeight="15" x14ac:dyDescent="0.25"/>
  <cols>
    <col min="1" max="1" width="5.5703125" style="41" customWidth="1"/>
    <col min="2" max="2" width="10.85546875" style="41"/>
    <col min="3" max="3" width="13.7109375" style="41" customWidth="1"/>
    <col min="4" max="8" width="10.85546875" style="41"/>
    <col min="9" max="11" width="11" style="41" bestFit="1" customWidth="1"/>
    <col min="12" max="12" width="12.42578125" style="41" bestFit="1" customWidth="1"/>
    <col min="13" max="13" width="11.85546875" style="41" customWidth="1"/>
    <col min="14" max="14" width="10.140625" style="41" customWidth="1"/>
    <col min="15" max="15" width="9.42578125" style="41" customWidth="1"/>
    <col min="16" max="16" width="11.42578125" style="41" customWidth="1"/>
    <col min="17" max="18" width="10.85546875" style="41"/>
    <col min="19" max="23" width="10.85546875" style="39"/>
    <col min="24" max="16384" width="10.85546875" style="41"/>
  </cols>
  <sheetData>
    <row r="1" spans="2:18" ht="15.75" thickBot="1" x14ac:dyDescent="0.3"/>
    <row r="2" spans="2:18" x14ac:dyDescent="0.25">
      <c r="B2" s="74"/>
      <c r="C2" s="103"/>
      <c r="D2" s="103"/>
      <c r="E2" s="103"/>
      <c r="F2" s="75"/>
      <c r="G2" s="75"/>
      <c r="H2" s="75"/>
      <c r="I2" s="75"/>
      <c r="J2" s="75"/>
      <c r="K2" s="75"/>
      <c r="L2" s="75"/>
      <c r="M2" s="75"/>
      <c r="N2" s="76"/>
    </row>
    <row r="3" spans="2:18" x14ac:dyDescent="0.25">
      <c r="B3" s="77"/>
      <c r="C3" s="148" t="s">
        <v>64</v>
      </c>
      <c r="D3" s="148"/>
      <c r="E3" s="148"/>
      <c r="G3" s="140" t="s">
        <v>129</v>
      </c>
      <c r="H3" s="140"/>
      <c r="I3" s="140"/>
      <c r="J3" s="140"/>
      <c r="K3" s="104"/>
      <c r="L3" s="104">
        <f>SUM(H3:K3)</f>
        <v>0</v>
      </c>
      <c r="M3" s="104">
        <f>SUM(I3:L3)</f>
        <v>0</v>
      </c>
      <c r="N3" s="105"/>
    </row>
    <row r="4" spans="2:18" x14ac:dyDescent="0.25">
      <c r="B4" s="77"/>
      <c r="C4" s="101" t="s">
        <v>61</v>
      </c>
      <c r="D4" s="79" t="s">
        <v>130</v>
      </c>
      <c r="E4" s="42">
        <v>3</v>
      </c>
      <c r="G4" s="102" t="s">
        <v>61</v>
      </c>
      <c r="H4" s="102" t="s">
        <v>67</v>
      </c>
      <c r="I4" s="102" t="s">
        <v>131</v>
      </c>
      <c r="J4" s="102" t="s">
        <v>69</v>
      </c>
      <c r="K4" s="104"/>
      <c r="L4" s="71" t="s">
        <v>12</v>
      </c>
      <c r="M4" s="42">
        <v>0</v>
      </c>
      <c r="N4" s="38">
        <f>M4</f>
        <v>0</v>
      </c>
      <c r="O4" s="39">
        <v>0</v>
      </c>
      <c r="P4" s="40">
        <f>R63</f>
        <v>0</v>
      </c>
      <c r="Q4" s="39">
        <v>0</v>
      </c>
      <c r="R4" s="40">
        <f ca="1">V63</f>
        <v>1.3020094100108934</v>
      </c>
    </row>
    <row r="5" spans="2:18" x14ac:dyDescent="0.25">
      <c r="B5" s="77"/>
      <c r="C5" s="101" t="s">
        <v>67</v>
      </c>
      <c r="D5" s="79" t="s">
        <v>55</v>
      </c>
      <c r="E5" s="42">
        <v>3</v>
      </c>
      <c r="G5" s="151" t="s">
        <v>132</v>
      </c>
      <c r="H5" s="154" t="s">
        <v>133</v>
      </c>
      <c r="I5" s="106" t="s">
        <v>134</v>
      </c>
      <c r="J5" s="107">
        <f ca="1">1+RAND()</f>
        <v>1.2735824012477126</v>
      </c>
      <c r="K5" s="156">
        <f ca="1">AVERAGE(J5:J7)</f>
        <v>1.3072347211319948</v>
      </c>
      <c r="L5" s="71" t="s">
        <v>11</v>
      </c>
      <c r="M5" s="42">
        <v>3</v>
      </c>
      <c r="N5" s="38">
        <f>M5</f>
        <v>3</v>
      </c>
      <c r="O5" s="39">
        <v>0</v>
      </c>
      <c r="P5" s="40">
        <f>P4</f>
        <v>0</v>
      </c>
      <c r="Q5" s="39">
        <v>0</v>
      </c>
      <c r="R5" s="40">
        <f ca="1">R4</f>
        <v>1.3020094100108934</v>
      </c>
    </row>
    <row r="6" spans="2:18" x14ac:dyDescent="0.25">
      <c r="B6" s="77"/>
      <c r="C6" s="101" t="s">
        <v>131</v>
      </c>
      <c r="D6" s="79" t="s">
        <v>68</v>
      </c>
      <c r="E6" s="42">
        <v>3</v>
      </c>
      <c r="G6" s="152"/>
      <c r="H6" s="155"/>
      <c r="I6" s="106" t="s">
        <v>135</v>
      </c>
      <c r="J6" s="107">
        <f t="shared" ref="J6:J31" ca="1" si="0">1+RAND()</f>
        <v>1.6171634494817524</v>
      </c>
      <c r="K6" s="156"/>
      <c r="N6" s="44"/>
      <c r="P6" s="108"/>
      <c r="R6" s="108"/>
    </row>
    <row r="7" spans="2:18" x14ac:dyDescent="0.25">
      <c r="B7" s="77"/>
      <c r="G7" s="152"/>
      <c r="H7" s="155"/>
      <c r="I7" s="106" t="s">
        <v>136</v>
      </c>
      <c r="J7" s="107">
        <f t="shared" ca="1" si="0"/>
        <v>1.0309583126665194</v>
      </c>
      <c r="K7" s="156"/>
      <c r="L7" s="71" t="s">
        <v>13</v>
      </c>
      <c r="M7" s="51">
        <f ca="1">AVERAGE(J5:J31)</f>
        <v>1.4565112200557238</v>
      </c>
      <c r="N7" s="44"/>
      <c r="P7" s="108"/>
      <c r="R7" s="108"/>
    </row>
    <row r="8" spans="2:18" x14ac:dyDescent="0.25">
      <c r="B8" s="77"/>
      <c r="C8" s="41" t="s">
        <v>137</v>
      </c>
      <c r="G8" s="152"/>
      <c r="H8" s="157" t="s">
        <v>138</v>
      </c>
      <c r="I8" s="106" t="s">
        <v>139</v>
      </c>
      <c r="J8" s="107">
        <f t="shared" ca="1" si="0"/>
        <v>1.6572236655693091</v>
      </c>
      <c r="K8" s="156">
        <f t="shared" ref="K8" ca="1" si="1">AVERAGE(J8:J10)</f>
        <v>1.5965131896767588</v>
      </c>
      <c r="L8" s="71" t="s">
        <v>58</v>
      </c>
      <c r="M8" s="51">
        <f ca="1">I53</f>
        <v>9.3884065032637729E-2</v>
      </c>
      <c r="N8" s="44"/>
      <c r="P8" s="108"/>
      <c r="R8" s="108"/>
    </row>
    <row r="9" spans="2:18" x14ac:dyDescent="0.25">
      <c r="B9" s="77"/>
      <c r="C9" s="41" t="s">
        <v>140</v>
      </c>
      <c r="G9" s="152"/>
      <c r="H9" s="158"/>
      <c r="I9" s="106" t="s">
        <v>141</v>
      </c>
      <c r="J9" s="107">
        <f t="shared" ca="1" si="0"/>
        <v>1.1829555871028914</v>
      </c>
      <c r="K9" s="156"/>
      <c r="L9" s="71" t="s">
        <v>59</v>
      </c>
      <c r="M9" s="51">
        <f ca="1">SQRT(M8)</f>
        <v>0.30640506691736957</v>
      </c>
      <c r="N9" s="44"/>
      <c r="P9" s="108"/>
      <c r="R9" s="108"/>
    </row>
    <row r="10" spans="2:18" x14ac:dyDescent="0.25">
      <c r="B10" s="77"/>
      <c r="G10" s="152"/>
      <c r="H10" s="158"/>
      <c r="I10" s="106" t="s">
        <v>142</v>
      </c>
      <c r="J10" s="107">
        <f t="shared" ca="1" si="0"/>
        <v>1.9493603163580757</v>
      </c>
      <c r="K10" s="156"/>
      <c r="L10" s="71" t="s">
        <v>14</v>
      </c>
      <c r="M10" s="51">
        <f ca="1">MIN(J5:J31)</f>
        <v>1.0110956114827403</v>
      </c>
      <c r="N10" s="44"/>
      <c r="P10" s="108"/>
      <c r="R10" s="108"/>
    </row>
    <row r="11" spans="2:18" x14ac:dyDescent="0.25">
      <c r="B11" s="77"/>
      <c r="C11" s="41" t="s">
        <v>143</v>
      </c>
      <c r="G11" s="152"/>
      <c r="H11" s="154" t="s">
        <v>144</v>
      </c>
      <c r="I11" s="106" t="s">
        <v>145</v>
      </c>
      <c r="J11" s="107">
        <f t="shared" ca="1" si="0"/>
        <v>1.8070566563990849</v>
      </c>
      <c r="K11" s="156">
        <f t="shared" ref="K11" ca="1" si="2">AVERAGE(J11:J13)</f>
        <v>1.6411093516866198</v>
      </c>
      <c r="L11" s="71" t="s">
        <v>15</v>
      </c>
      <c r="M11" s="51">
        <f ca="1">MAX(J5:J31)</f>
        <v>1.9897031303866957</v>
      </c>
      <c r="N11" s="44"/>
      <c r="P11" s="108"/>
      <c r="R11" s="108"/>
    </row>
    <row r="12" spans="2:18" x14ac:dyDescent="0.25">
      <c r="B12" s="77"/>
      <c r="C12" s="41" t="s">
        <v>146</v>
      </c>
      <c r="G12" s="152"/>
      <c r="H12" s="155"/>
      <c r="I12" s="106" t="s">
        <v>147</v>
      </c>
      <c r="J12" s="107">
        <f t="shared" ca="1" si="0"/>
        <v>1.812103700579812</v>
      </c>
      <c r="K12" s="156"/>
      <c r="N12" s="44"/>
      <c r="P12" s="108"/>
      <c r="R12" s="108"/>
    </row>
    <row r="13" spans="2:18" x14ac:dyDescent="0.25">
      <c r="B13" s="77"/>
      <c r="G13" s="153"/>
      <c r="H13" s="155"/>
      <c r="I13" s="106" t="s">
        <v>148</v>
      </c>
      <c r="J13" s="107">
        <f t="shared" ca="1" si="0"/>
        <v>1.3041676980809622</v>
      </c>
      <c r="K13" s="156"/>
      <c r="N13" s="44"/>
    </row>
    <row r="14" spans="2:18" x14ac:dyDescent="0.25">
      <c r="B14" s="77"/>
      <c r="G14" s="151" t="s">
        <v>149</v>
      </c>
      <c r="H14" s="154" t="s">
        <v>133</v>
      </c>
      <c r="I14" s="106" t="s">
        <v>150</v>
      </c>
      <c r="J14" s="107">
        <f t="shared" ca="1" si="0"/>
        <v>1.5741422212685725</v>
      </c>
      <c r="K14" s="156">
        <f t="shared" ref="K14" ca="1" si="3">AVERAGE(J14:J16)</f>
        <v>1.5017424072638361</v>
      </c>
      <c r="N14" s="44"/>
      <c r="P14" s="108"/>
      <c r="R14" s="108"/>
    </row>
    <row r="15" spans="2:18" x14ac:dyDescent="0.25">
      <c r="B15" s="77"/>
      <c r="G15" s="152"/>
      <c r="H15" s="155"/>
      <c r="I15" s="106" t="s">
        <v>151</v>
      </c>
      <c r="J15" s="107">
        <f t="shared" ca="1" si="0"/>
        <v>1.3042363809337907</v>
      </c>
      <c r="K15" s="156"/>
      <c r="N15" s="44"/>
      <c r="P15" s="108"/>
      <c r="R15" s="108"/>
    </row>
    <row r="16" spans="2:18" x14ac:dyDescent="0.25">
      <c r="B16" s="77"/>
      <c r="G16" s="152"/>
      <c r="H16" s="155"/>
      <c r="I16" s="106" t="s">
        <v>152</v>
      </c>
      <c r="J16" s="107">
        <f t="shared" ca="1" si="0"/>
        <v>1.6268486195891454</v>
      </c>
      <c r="K16" s="156"/>
      <c r="N16" s="44"/>
      <c r="P16" s="108"/>
      <c r="R16" s="108"/>
    </row>
    <row r="17" spans="2:18" x14ac:dyDescent="0.25">
      <c r="B17" s="77"/>
      <c r="G17" s="152"/>
      <c r="H17" s="157" t="s">
        <v>138</v>
      </c>
      <c r="I17" s="106" t="s">
        <v>153</v>
      </c>
      <c r="J17" s="107">
        <f t="shared" ca="1" si="0"/>
        <v>1.6222144698309924</v>
      </c>
      <c r="K17" s="156">
        <f t="shared" ref="K17" ca="1" si="4">AVERAGE(J17:J19)</f>
        <v>1.4025038982438218</v>
      </c>
      <c r="N17" s="44"/>
      <c r="P17" s="108"/>
      <c r="R17" s="108"/>
    </row>
    <row r="18" spans="2:18" x14ac:dyDescent="0.25">
      <c r="B18" s="77"/>
      <c r="G18" s="152"/>
      <c r="H18" s="158"/>
      <c r="I18" s="106" t="s">
        <v>154</v>
      </c>
      <c r="J18" s="107">
        <f t="shared" ca="1" si="0"/>
        <v>1.5742016134177326</v>
      </c>
      <c r="K18" s="156"/>
      <c r="N18" s="44"/>
      <c r="P18" s="108"/>
      <c r="R18" s="108"/>
    </row>
    <row r="19" spans="2:18" x14ac:dyDescent="0.25">
      <c r="B19" s="77"/>
      <c r="C19" s="110"/>
      <c r="G19" s="152"/>
      <c r="H19" s="158"/>
      <c r="I19" s="106" t="s">
        <v>155</v>
      </c>
      <c r="J19" s="107">
        <f t="shared" ca="1" si="0"/>
        <v>1.0110956114827403</v>
      </c>
      <c r="K19" s="156"/>
      <c r="N19" s="44"/>
      <c r="P19" s="108"/>
      <c r="R19" s="108"/>
    </row>
    <row r="20" spans="2:18" x14ac:dyDescent="0.25">
      <c r="B20" s="77"/>
      <c r="C20" s="110"/>
      <c r="G20" s="152"/>
      <c r="H20" s="154" t="s">
        <v>144</v>
      </c>
      <c r="I20" s="106" t="s">
        <v>156</v>
      </c>
      <c r="J20" s="107">
        <f t="shared" ca="1" si="0"/>
        <v>1.7814292791267285</v>
      </c>
      <c r="K20" s="156">
        <f t="shared" ref="K20" ca="1" si="5">AVERAGE(J20:J22)</f>
        <v>1.5161467369119437</v>
      </c>
      <c r="N20" s="44"/>
      <c r="P20" s="108"/>
      <c r="R20" s="108"/>
    </row>
    <row r="21" spans="2:18" x14ac:dyDescent="0.25">
      <c r="B21" s="77"/>
      <c r="C21" s="110"/>
      <c r="G21" s="152"/>
      <c r="H21" s="155"/>
      <c r="I21" s="106" t="s">
        <v>157</v>
      </c>
      <c r="J21" s="107">
        <f t="shared" ca="1" si="0"/>
        <v>1.5312155898114044</v>
      </c>
      <c r="K21" s="156"/>
      <c r="N21" s="44"/>
      <c r="P21" s="108"/>
      <c r="R21" s="108"/>
    </row>
    <row r="22" spans="2:18" x14ac:dyDescent="0.25">
      <c r="B22" s="77"/>
      <c r="C22" s="110"/>
      <c r="G22" s="153"/>
      <c r="H22" s="155"/>
      <c r="I22" s="106" t="s">
        <v>158</v>
      </c>
      <c r="J22" s="107">
        <f t="shared" ca="1" si="0"/>
        <v>1.2357953417976981</v>
      </c>
      <c r="K22" s="156"/>
      <c r="N22" s="44"/>
      <c r="P22" s="108"/>
      <c r="R22" s="108"/>
    </row>
    <row r="23" spans="2:18" x14ac:dyDescent="0.25">
      <c r="B23" s="77"/>
      <c r="C23" s="110"/>
      <c r="G23" s="151" t="s">
        <v>159</v>
      </c>
      <c r="H23" s="154" t="s">
        <v>133</v>
      </c>
      <c r="I23" s="106" t="s">
        <v>160</v>
      </c>
      <c r="J23" s="107">
        <f t="shared" ca="1" si="0"/>
        <v>1.0454798219430559</v>
      </c>
      <c r="K23" s="156">
        <f t="shared" ref="K23" ca="1" si="6">AVERAGE(J23:J25)</f>
        <v>1.4893629805415385</v>
      </c>
      <c r="N23" s="44"/>
      <c r="P23" s="108"/>
      <c r="R23" s="108"/>
    </row>
    <row r="24" spans="2:18" x14ac:dyDescent="0.25">
      <c r="B24" s="77"/>
      <c r="C24" s="110"/>
      <c r="G24" s="152"/>
      <c r="H24" s="155"/>
      <c r="I24" s="106" t="s">
        <v>161</v>
      </c>
      <c r="J24" s="107">
        <f t="shared" ca="1" si="0"/>
        <v>1.9897031303866957</v>
      </c>
      <c r="K24" s="156"/>
      <c r="N24" s="44"/>
      <c r="P24" s="108"/>
      <c r="R24" s="108"/>
    </row>
    <row r="25" spans="2:18" x14ac:dyDescent="0.25">
      <c r="B25" s="77"/>
      <c r="C25" s="110"/>
      <c r="G25" s="152"/>
      <c r="H25" s="155"/>
      <c r="I25" s="106" t="s">
        <v>162</v>
      </c>
      <c r="J25" s="107">
        <f t="shared" ca="1" si="0"/>
        <v>1.4329059892948637</v>
      </c>
      <c r="K25" s="156"/>
      <c r="N25" s="44"/>
      <c r="P25" s="108"/>
      <c r="R25" s="108"/>
    </row>
    <row r="26" spans="2:18" x14ac:dyDescent="0.25">
      <c r="B26" s="77"/>
      <c r="C26" s="110"/>
      <c r="G26" s="152"/>
      <c r="H26" s="157" t="s">
        <v>138</v>
      </c>
      <c r="I26" s="106" t="s">
        <v>163</v>
      </c>
      <c r="J26" s="107">
        <f t="shared" ca="1" si="0"/>
        <v>1.058791537601719</v>
      </c>
      <c r="K26" s="156">
        <f t="shared" ref="K26" ca="1" si="7">AVERAGE(J26:J28)</f>
        <v>1.3360582008909978</v>
      </c>
      <c r="N26" s="44"/>
      <c r="P26" s="108"/>
      <c r="R26" s="108"/>
    </row>
    <row r="27" spans="2:18" x14ac:dyDescent="0.25">
      <c r="B27" s="77"/>
      <c r="C27" s="110"/>
      <c r="G27" s="152"/>
      <c r="H27" s="158"/>
      <c r="I27" s="106" t="s">
        <v>164</v>
      </c>
      <c r="J27" s="107">
        <f t="shared" ca="1" si="0"/>
        <v>1.1793298265930217</v>
      </c>
      <c r="K27" s="156"/>
      <c r="N27" s="44"/>
      <c r="P27" s="108"/>
      <c r="R27" s="108"/>
    </row>
    <row r="28" spans="2:18" x14ac:dyDescent="0.25">
      <c r="B28" s="77"/>
      <c r="C28" s="110"/>
      <c r="G28" s="152"/>
      <c r="H28" s="158"/>
      <c r="I28" s="106" t="s">
        <v>165</v>
      </c>
      <c r="J28" s="107">
        <f t="shared" ca="1" si="0"/>
        <v>1.770053238478253</v>
      </c>
      <c r="K28" s="156"/>
      <c r="N28" s="44"/>
      <c r="P28" s="108"/>
      <c r="R28" s="108"/>
    </row>
    <row r="29" spans="2:18" x14ac:dyDescent="0.25">
      <c r="B29" s="77"/>
      <c r="C29" s="110"/>
      <c r="G29" s="152"/>
      <c r="H29" s="159" t="s">
        <v>144</v>
      </c>
      <c r="I29" s="106" t="s">
        <v>166</v>
      </c>
      <c r="J29" s="107">
        <f t="shared" ca="1" si="0"/>
        <v>1.7320689393087081</v>
      </c>
      <c r="K29" s="156">
        <f t="shared" ref="K29" ca="1" si="8">AVERAGE(J29:J31)</f>
        <v>1.3179294941540043</v>
      </c>
      <c r="N29" s="44"/>
      <c r="P29" s="108"/>
      <c r="R29" s="108"/>
    </row>
    <row r="30" spans="2:18" x14ac:dyDescent="0.25">
      <c r="B30" s="77"/>
      <c r="C30" s="110"/>
      <c r="G30" s="152"/>
      <c r="H30" s="159"/>
      <c r="I30" s="106" t="s">
        <v>167</v>
      </c>
      <c r="J30" s="107">
        <f t="shared" ca="1" si="0"/>
        <v>1.0758347931230618</v>
      </c>
      <c r="K30" s="156"/>
      <c r="N30" s="44"/>
      <c r="P30" s="108"/>
      <c r="R30" s="108"/>
    </row>
    <row r="31" spans="2:18" x14ac:dyDescent="0.25">
      <c r="B31" s="77"/>
      <c r="C31" s="110"/>
      <c r="G31" s="153"/>
      <c r="H31" s="159"/>
      <c r="I31" s="106" t="s">
        <v>168</v>
      </c>
      <c r="J31" s="107">
        <f t="shared" ca="1" si="0"/>
        <v>1.1458847500302427</v>
      </c>
      <c r="K31" s="156"/>
      <c r="N31" s="44"/>
      <c r="P31" s="108"/>
      <c r="R31" s="108"/>
    </row>
    <row r="32" spans="2:18" ht="15.75" thickBot="1" x14ac:dyDescent="0.3">
      <c r="B32" s="83"/>
      <c r="C32" s="84"/>
      <c r="D32" s="84"/>
      <c r="E32" s="84"/>
      <c r="F32" s="84"/>
      <c r="G32" s="111"/>
      <c r="H32" s="111"/>
      <c r="I32" s="111"/>
      <c r="J32" s="111"/>
      <c r="K32" s="111"/>
      <c r="L32" s="111"/>
      <c r="M32" s="111"/>
      <c r="N32" s="112"/>
      <c r="O32" s="113"/>
    </row>
    <row r="33" spans="2:22" x14ac:dyDescent="0.25">
      <c r="B33" s="87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5"/>
      <c r="O33" s="116"/>
      <c r="P33" s="116"/>
      <c r="T33" s="117">
        <v>-3</v>
      </c>
      <c r="U33" s="118">
        <f t="shared" ref="U33:U93" ca="1" si="9">M$7+T33*SQRT(M$8)</f>
        <v>0.53729601930361504</v>
      </c>
      <c r="V33" s="119">
        <f t="shared" ref="V33:V93" ca="1" si="10">NORMDIST(U33,M$7,SQRT(M$8),0)</f>
        <v>1.4464018028569923E-2</v>
      </c>
    </row>
    <row r="34" spans="2:22" x14ac:dyDescent="0.25">
      <c r="B34" s="77"/>
      <c r="N34" s="44"/>
      <c r="T34" s="117">
        <v>-2.9</v>
      </c>
      <c r="U34" s="118">
        <f t="shared" ca="1" si="9"/>
        <v>0.56793652599535205</v>
      </c>
      <c r="V34" s="119">
        <f t="shared" ca="1" si="10"/>
        <v>1.942700386668578E-2</v>
      </c>
    </row>
    <row r="35" spans="2:22" x14ac:dyDescent="0.25">
      <c r="B35" s="77"/>
      <c r="N35" s="44"/>
      <c r="T35" s="117">
        <v>-2.8</v>
      </c>
      <c r="U35" s="118">
        <f t="shared" ca="1" si="9"/>
        <v>0.59857703268708895</v>
      </c>
      <c r="V35" s="119">
        <f t="shared" ca="1" si="10"/>
        <v>2.5833292062087811E-2</v>
      </c>
    </row>
    <row r="36" spans="2:22" x14ac:dyDescent="0.25">
      <c r="B36" s="77"/>
      <c r="N36" s="44"/>
      <c r="T36" s="117">
        <v>-2.7</v>
      </c>
      <c r="U36" s="118">
        <f t="shared" ca="1" si="9"/>
        <v>0.62921753937882585</v>
      </c>
      <c r="V36" s="119">
        <f t="shared" ca="1" si="10"/>
        <v>3.4010321432552809E-2</v>
      </c>
    </row>
    <row r="37" spans="2:22" x14ac:dyDescent="0.25">
      <c r="B37" s="77"/>
      <c r="N37" s="44"/>
      <c r="T37" s="117">
        <v>-2.6</v>
      </c>
      <c r="U37" s="118">
        <f t="shared" ca="1" si="9"/>
        <v>0.65985804607056286</v>
      </c>
      <c r="V37" s="119">
        <f t="shared" ca="1" si="10"/>
        <v>4.4330106451368277E-2</v>
      </c>
    </row>
    <row r="38" spans="2:22" x14ac:dyDescent="0.25">
      <c r="B38" s="77"/>
      <c r="N38" s="44"/>
      <c r="T38" s="117">
        <v>-2.5</v>
      </c>
      <c r="U38" s="118">
        <f t="shared" ca="1" si="9"/>
        <v>0.69049855276229977</v>
      </c>
      <c r="V38" s="119">
        <f t="shared" ca="1" si="10"/>
        <v>5.7206301024700486E-2</v>
      </c>
    </row>
    <row r="39" spans="2:22" x14ac:dyDescent="0.25">
      <c r="B39" s="77"/>
      <c r="N39" s="44"/>
      <c r="T39" s="117">
        <v>-2.4</v>
      </c>
      <c r="U39" s="118">
        <f t="shared" ca="1" si="9"/>
        <v>0.72113905945403678</v>
      </c>
      <c r="V39" s="119">
        <f t="shared" ca="1" si="10"/>
        <v>7.3087989438771886E-2</v>
      </c>
    </row>
    <row r="40" spans="2:22" x14ac:dyDescent="0.25">
      <c r="B40" s="77"/>
      <c r="N40" s="44"/>
      <c r="T40" s="117">
        <v>-2.2999999999999998</v>
      </c>
      <c r="U40" s="118">
        <f t="shared" ca="1" si="9"/>
        <v>0.75177956614577379</v>
      </c>
      <c r="V40" s="119">
        <f t="shared" ca="1" si="10"/>
        <v>9.2449638730159586E-2</v>
      </c>
    </row>
    <row r="41" spans="2:22" x14ac:dyDescent="0.25">
      <c r="B41" s="77"/>
      <c r="N41" s="44"/>
      <c r="T41" s="117">
        <v>-2.2000000000000002</v>
      </c>
      <c r="U41" s="118">
        <f t="shared" ca="1" si="9"/>
        <v>0.78242007283751069</v>
      </c>
      <c r="V41" s="119">
        <f t="shared" ca="1" si="10"/>
        <v>0.11577678268550994</v>
      </c>
    </row>
    <row r="42" spans="2:22" x14ac:dyDescent="0.25">
      <c r="B42" s="77"/>
      <c r="N42" s="44"/>
      <c r="T42" s="117">
        <v>-2.1</v>
      </c>
      <c r="U42" s="118">
        <f t="shared" ca="1" si="9"/>
        <v>0.8130605795292476</v>
      </c>
      <c r="V42" s="119">
        <f t="shared" ca="1" si="10"/>
        <v>0.14354722140508389</v>
      </c>
    </row>
    <row r="43" spans="2:22" x14ac:dyDescent="0.25">
      <c r="B43" s="77"/>
      <c r="N43" s="44"/>
      <c r="T43" s="117">
        <v>-2</v>
      </c>
      <c r="U43" s="118">
        <f t="shared" ca="1" si="9"/>
        <v>0.84370108622098461</v>
      </c>
      <c r="V43" s="119">
        <f t="shared" ca="1" si="10"/>
        <v>0.17620781228055926</v>
      </c>
    </row>
    <row r="44" spans="2:22" x14ac:dyDescent="0.25">
      <c r="B44" s="77"/>
      <c r="N44" s="44"/>
      <c r="T44" s="117">
        <v>-1.9</v>
      </c>
      <c r="U44" s="118">
        <f t="shared" ca="1" si="9"/>
        <v>0.87434159291272162</v>
      </c>
      <c r="V44" s="119">
        <f t="shared" ca="1" si="10"/>
        <v>0.21414729016988376</v>
      </c>
    </row>
    <row r="45" spans="2:22" x14ac:dyDescent="0.25">
      <c r="B45" s="77"/>
      <c r="N45" s="44"/>
      <c r="T45" s="117">
        <v>-1.8</v>
      </c>
      <c r="U45" s="118">
        <f t="shared" ca="1" si="9"/>
        <v>0.90498209960445852</v>
      </c>
      <c r="V45" s="119">
        <f t="shared" ca="1" si="10"/>
        <v>0.25766596843578043</v>
      </c>
    </row>
    <row r="46" spans="2:22" x14ac:dyDescent="0.25">
      <c r="B46" s="77"/>
      <c r="N46" s="44"/>
      <c r="T46" s="117">
        <v>-1.7</v>
      </c>
      <c r="U46" s="118">
        <f t="shared" ca="1" si="9"/>
        <v>0.93562260629619554</v>
      </c>
      <c r="V46" s="119">
        <f t="shared" ca="1" si="10"/>
        <v>0.30694361004888293</v>
      </c>
    </row>
    <row r="47" spans="2:22" x14ac:dyDescent="0.25">
      <c r="B47" s="77"/>
      <c r="N47" s="44"/>
      <c r="T47" s="117">
        <v>-1.6</v>
      </c>
      <c r="U47" s="118">
        <f t="shared" ca="1" si="9"/>
        <v>0.96626311298793244</v>
      </c>
      <c r="V47" s="119">
        <f t="shared" ca="1" si="10"/>
        <v>0.36200718152408473</v>
      </c>
    </row>
    <row r="48" spans="2:22" x14ac:dyDescent="0.25">
      <c r="B48" s="77"/>
      <c r="N48" s="44"/>
      <c r="T48" s="117">
        <v>-1.5</v>
      </c>
      <c r="U48" s="118">
        <f t="shared" ca="1" si="9"/>
        <v>0.99690361967966945</v>
      </c>
      <c r="V48" s="119">
        <f t="shared" ca="1" si="10"/>
        <v>0.42270056748382595</v>
      </c>
    </row>
    <row r="49" spans="2:22" ht="15.75" thickBot="1" x14ac:dyDescent="0.3">
      <c r="B49" s="83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6"/>
      <c r="O49" s="77"/>
      <c r="T49" s="117">
        <v>-1.4</v>
      </c>
      <c r="U49" s="118">
        <f t="shared" ca="1" si="9"/>
        <v>1.0275441263714065</v>
      </c>
      <c r="V49" s="119">
        <f t="shared" ca="1" si="10"/>
        <v>0.48865858238605114</v>
      </c>
    </row>
    <row r="50" spans="2:22" x14ac:dyDescent="0.25">
      <c r="B50" s="74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6"/>
      <c r="T50" s="117">
        <v>-1.3</v>
      </c>
      <c r="U50" s="118">
        <f t="shared" ca="1" si="9"/>
        <v>1.0581846330631433</v>
      </c>
      <c r="V50" s="119">
        <f t="shared" ca="1" si="10"/>
        <v>0.55928772252980241</v>
      </c>
    </row>
    <row r="51" spans="2:22" x14ac:dyDescent="0.25">
      <c r="B51" s="77"/>
      <c r="C51" s="150" t="s">
        <v>52</v>
      </c>
      <c r="D51" s="150"/>
      <c r="E51" s="150"/>
      <c r="F51" s="150"/>
      <c r="G51" s="144" t="s">
        <v>53</v>
      </c>
      <c r="H51" s="140"/>
      <c r="I51" s="140"/>
      <c r="J51" s="140"/>
      <c r="K51" s="145"/>
      <c r="N51" s="44"/>
      <c r="T51" s="117">
        <v>-1.2</v>
      </c>
      <c r="U51" s="118">
        <f t="shared" ca="1" si="9"/>
        <v>1.0888251397548803</v>
      </c>
      <c r="V51" s="119">
        <f t="shared" ca="1" si="10"/>
        <v>0.6337560176039142</v>
      </c>
    </row>
    <row r="52" spans="2:22" x14ac:dyDescent="0.25">
      <c r="B52" s="77"/>
      <c r="C52" s="52" t="s">
        <v>0</v>
      </c>
      <c r="D52" s="52" t="s">
        <v>1</v>
      </c>
      <c r="E52" s="52" t="s">
        <v>6</v>
      </c>
      <c r="F52" s="52" t="s">
        <v>7</v>
      </c>
      <c r="G52" s="52" t="s">
        <v>2</v>
      </c>
      <c r="H52" s="52" t="s">
        <v>3</v>
      </c>
      <c r="I52" s="52" t="s">
        <v>4</v>
      </c>
      <c r="J52" s="53" t="s">
        <v>8</v>
      </c>
      <c r="K52" s="71" t="s">
        <v>169</v>
      </c>
      <c r="N52" s="44"/>
      <c r="T52" s="117">
        <v>-1.1000000000000001</v>
      </c>
      <c r="U52" s="118">
        <f t="shared" ca="1" si="9"/>
        <v>1.1194656464466173</v>
      </c>
      <c r="V52" s="119">
        <f t="shared" ca="1" si="10"/>
        <v>0.71099404205120509</v>
      </c>
    </row>
    <row r="53" spans="2:22" x14ac:dyDescent="0.25">
      <c r="B53" s="77"/>
      <c r="C53" s="54" t="s">
        <v>9</v>
      </c>
      <c r="D53" s="54">
        <f ca="1">COUNT(J5:J31)</f>
        <v>27</v>
      </c>
      <c r="E53" s="55">
        <f ca="1">SUM(J5:J31)^2</f>
        <v>1546.5187769940471</v>
      </c>
      <c r="F53" s="55">
        <f ca="1">E53/D53</f>
        <v>57.278473222001743</v>
      </c>
      <c r="G53" s="120">
        <f ca="1">DEVSQ(J5:J31)</f>
        <v>2.440985690848581</v>
      </c>
      <c r="H53" s="54">
        <f ca="1">D53-1</f>
        <v>26</v>
      </c>
      <c r="I53" s="121">
        <f ca="1">G53/H53</f>
        <v>9.3884065032637729E-2</v>
      </c>
      <c r="J53" s="122">
        <f ca="1">SUM(J54:J55)</f>
        <v>1</v>
      </c>
      <c r="K53" s="54"/>
      <c r="N53" s="44"/>
      <c r="T53" s="117">
        <v>-1</v>
      </c>
      <c r="U53" s="118">
        <f t="shared" ca="1" si="9"/>
        <v>1.1501061531383541</v>
      </c>
      <c r="V53" s="119">
        <f t="shared" ca="1" si="10"/>
        <v>0.78970862640596351</v>
      </c>
    </row>
    <row r="54" spans="2:22" x14ac:dyDescent="0.25">
      <c r="B54" s="77"/>
      <c r="C54" s="54" t="s">
        <v>10</v>
      </c>
      <c r="D54" s="54" t="s">
        <v>5</v>
      </c>
      <c r="E54" s="56" t="s">
        <v>5</v>
      </c>
      <c r="F54" s="55" t="s">
        <v>5</v>
      </c>
      <c r="G54" s="121">
        <f ca="1">SUM(G56:G58)</f>
        <v>0.3578178106601726</v>
      </c>
      <c r="H54" s="58">
        <f>SUM(H56:H58)</f>
        <v>22</v>
      </c>
      <c r="I54" s="121">
        <f ca="1">G54/H54</f>
        <v>1.6264445939098756E-2</v>
      </c>
      <c r="J54" s="122">
        <f ca="1">G54/G53</f>
        <v>0.14658742654725734</v>
      </c>
      <c r="K54" s="54"/>
      <c r="N54" s="44"/>
      <c r="T54" s="117">
        <v>-0.9</v>
      </c>
      <c r="U54" s="118">
        <f t="shared" ca="1" si="9"/>
        <v>1.1807466598300911</v>
      </c>
      <c r="V54" s="119">
        <f t="shared" ca="1" si="10"/>
        <v>0.86841008399678932</v>
      </c>
    </row>
    <row r="55" spans="2:22" x14ac:dyDescent="0.25">
      <c r="B55" s="77"/>
      <c r="C55" s="54" t="s">
        <v>170</v>
      </c>
      <c r="D55" s="54" t="s">
        <v>5</v>
      </c>
      <c r="E55" s="54" t="s">
        <v>5</v>
      </c>
      <c r="F55" s="54" t="s">
        <v>5</v>
      </c>
      <c r="G55" s="121">
        <f ca="1">G53-G54</f>
        <v>2.0831678801884084</v>
      </c>
      <c r="H55" s="58">
        <f ca="1">H53-H54</f>
        <v>4</v>
      </c>
      <c r="I55" s="121">
        <f ca="1">G55/H55</f>
        <v>0.52079197004710209</v>
      </c>
      <c r="J55" s="122">
        <f ca="1">G55/G53</f>
        <v>0.85341257345274268</v>
      </c>
      <c r="K55" s="121"/>
      <c r="N55" s="44"/>
      <c r="T55" s="117">
        <v>-0.8</v>
      </c>
      <c r="U55" s="118">
        <f t="shared" ca="1" si="9"/>
        <v>1.2113871665218281</v>
      </c>
      <c r="V55" s="119">
        <f t="shared" ca="1" si="10"/>
        <v>0.94545287934029454</v>
      </c>
    </row>
    <row r="56" spans="2:22" x14ac:dyDescent="0.25">
      <c r="B56" s="77"/>
      <c r="C56" s="123" t="str">
        <f>D4</f>
        <v>lot</v>
      </c>
      <c r="D56" s="124">
        <f>E4</f>
        <v>3</v>
      </c>
      <c r="E56" s="125">
        <f ca="1">SUM(J5:J13)^2+SUM(J14:J22)^2+SUM(J23:J31)^2</f>
        <v>516.26661306130791</v>
      </c>
      <c r="F56" s="126">
        <f ca="1">E56*D56/$D$53</f>
        <v>57.362957006811989</v>
      </c>
      <c r="G56" s="127">
        <f ca="1">F56-F53</f>
        <v>8.4483784810245766E-2</v>
      </c>
      <c r="H56" s="124">
        <f>D56-1</f>
        <v>2</v>
      </c>
      <c r="I56" s="127">
        <f ca="1">G56/H56</f>
        <v>4.2241892405122883E-2</v>
      </c>
      <c r="J56" s="128">
        <f ca="1">G56/$G$53</f>
        <v>3.4610520302098102E-2</v>
      </c>
      <c r="K56" s="129">
        <f ca="1">MAX(0,(I56-I58)/(D56*D58))</f>
        <v>3.1138164647005759E-3</v>
      </c>
      <c r="L56" s="135" t="s">
        <v>173</v>
      </c>
      <c r="N56" s="44"/>
      <c r="T56" s="117">
        <v>-0.7</v>
      </c>
      <c r="U56" s="118">
        <f t="shared" ca="1" si="9"/>
        <v>1.2420276732135651</v>
      </c>
      <c r="V56" s="119">
        <f t="shared" ca="1" si="10"/>
        <v>1.0190886740491436</v>
      </c>
    </row>
    <row r="57" spans="2:22" x14ac:dyDescent="0.25">
      <c r="B57" s="77"/>
      <c r="C57" s="123" t="str">
        <f>D5</f>
        <v>opérateur</v>
      </c>
      <c r="D57" s="124">
        <f>E5</f>
        <v>3</v>
      </c>
      <c r="E57" s="125">
        <f ca="1">SUM(J5:J7,J14:J16,J23:J25)^2+SUM(J8:J10,J17:J19,J26:J28)^2+SUM(J11:J13,J20:J22,J29:J31)^2</f>
        <v>515.6630230665686</v>
      </c>
      <c r="F57" s="126">
        <f ca="1">E57*D57/$D$53</f>
        <v>57.295891451840951</v>
      </c>
      <c r="G57" s="127">
        <f ca="1">F57-F53</f>
        <v>1.7418229839208266E-2</v>
      </c>
      <c r="H57" s="124">
        <f>D57-1</f>
        <v>2</v>
      </c>
      <c r="I57" s="127">
        <f t="shared" ref="I57" ca="1" si="11">G57/H57</f>
        <v>8.7091149196041329E-3</v>
      </c>
      <c r="J57" s="128">
        <f ca="1">G57/$G$53</f>
        <v>7.1357361513876864E-3</v>
      </c>
      <c r="K57" s="129">
        <f ca="1">MAX(0,(I57-I58)/(D57*D58))</f>
        <v>0</v>
      </c>
      <c r="L57" s="135" t="s">
        <v>174</v>
      </c>
      <c r="N57" s="44"/>
      <c r="T57" s="117">
        <v>-0.6</v>
      </c>
      <c r="U57" s="118">
        <f t="shared" ca="1" si="9"/>
        <v>1.2726681799053021</v>
      </c>
      <c r="V57" s="119">
        <f t="shared" ca="1" si="10"/>
        <v>1.0875296751592649</v>
      </c>
    </row>
    <row r="58" spans="2:22" x14ac:dyDescent="0.25">
      <c r="B58" s="77"/>
      <c r="C58" s="123" t="s">
        <v>171</v>
      </c>
      <c r="D58" s="124">
        <f>E6</f>
        <v>3</v>
      </c>
      <c r="E58" s="126" t="s">
        <v>5</v>
      </c>
      <c r="F58" s="126" t="s">
        <v>5</v>
      </c>
      <c r="G58" s="127">
        <f ca="1">(D58*SUMSQ(K5:K31)-F53)-G57-G56</f>
        <v>0.25591579601071857</v>
      </c>
      <c r="H58" s="124">
        <f>(D57*D56)*(D58-1)</f>
        <v>18</v>
      </c>
      <c r="I58" s="127">
        <f ca="1">G58/H58</f>
        <v>1.4217544222817699E-2</v>
      </c>
      <c r="J58" s="128">
        <f ca="1">G58/$G$53</f>
        <v>0.10484117009377156</v>
      </c>
      <c r="K58" s="129">
        <f ca="1">I58</f>
        <v>1.4217544222817699E-2</v>
      </c>
      <c r="L58" s="135" t="s">
        <v>175</v>
      </c>
      <c r="N58" s="44"/>
      <c r="Q58" s="109"/>
      <c r="S58" s="130"/>
      <c r="T58" s="117">
        <v>-0.5</v>
      </c>
      <c r="U58" s="118">
        <f t="shared" ca="1" si="9"/>
        <v>1.3033086865970389</v>
      </c>
      <c r="V58" s="119">
        <f t="shared" ca="1" si="10"/>
        <v>1.14901927147061</v>
      </c>
    </row>
    <row r="59" spans="2:22" x14ac:dyDescent="0.25">
      <c r="B59" s="77"/>
      <c r="C59" s="110"/>
      <c r="N59" s="44"/>
      <c r="T59" s="117">
        <v>-0.4</v>
      </c>
      <c r="U59" s="118">
        <f t="shared" ca="1" si="9"/>
        <v>1.3339491932887759</v>
      </c>
      <c r="V59" s="119">
        <f t="shared" ca="1" si="10"/>
        <v>1.2019061695302753</v>
      </c>
    </row>
    <row r="60" spans="2:22" x14ac:dyDescent="0.25">
      <c r="B60" s="77"/>
      <c r="C60" s="92" t="s">
        <v>92</v>
      </c>
      <c r="D60" s="51">
        <f ca="1">K57+K58</f>
        <v>1.4217544222817699E-2</v>
      </c>
      <c r="F60" s="92" t="s">
        <v>86</v>
      </c>
      <c r="G60" s="131">
        <f ca="1">SQRT(D60)/SQRT(D62)</f>
        <v>0.90572418291975298</v>
      </c>
      <c r="H60" s="132"/>
      <c r="J60" s="71" t="s">
        <v>122</v>
      </c>
      <c r="K60" s="51">
        <f ca="1">(M5-M4)/(6*SQRT(K58))</f>
        <v>4.193317151312737</v>
      </c>
      <c r="L60" s="41" t="s">
        <v>125</v>
      </c>
      <c r="M60" s="71" t="s">
        <v>177</v>
      </c>
      <c r="N60" s="44"/>
      <c r="T60" s="117">
        <v>-0.3</v>
      </c>
      <c r="U60" s="118">
        <f t="shared" ca="1" si="9"/>
        <v>1.3645896999805129</v>
      </c>
      <c r="V60" s="119">
        <f t="shared" ca="1" si="10"/>
        <v>1.2447177172934143</v>
      </c>
    </row>
    <row r="61" spans="2:22" x14ac:dyDescent="0.25">
      <c r="B61" s="77"/>
      <c r="J61" s="71" t="s">
        <v>123</v>
      </c>
      <c r="K61" s="99">
        <f ca="1">SQRT(D60)/((M5-M4)/6)</f>
        <v>0.23847468815635506</v>
      </c>
      <c r="L61" s="41" t="s">
        <v>176</v>
      </c>
      <c r="M61" s="91">
        <f ca="1">(M5-M4)/(6*SQRT(I53))</f>
        <v>1.6318268004844663</v>
      </c>
      <c r="N61" s="44" t="s">
        <v>178</v>
      </c>
      <c r="T61" s="117">
        <v>-0.2</v>
      </c>
      <c r="U61" s="118">
        <f t="shared" ca="1" si="9"/>
        <v>1.3952302066722497</v>
      </c>
      <c r="V61" s="119">
        <f t="shared" ca="1" si="10"/>
        <v>1.2762278963255889</v>
      </c>
    </row>
    <row r="62" spans="2:22" x14ac:dyDescent="0.25">
      <c r="B62" s="77"/>
      <c r="C62" s="92" t="s">
        <v>93</v>
      </c>
      <c r="D62" s="51">
        <f ca="1">K56+K57+K58</f>
        <v>1.7331360687518275E-2</v>
      </c>
      <c r="F62" s="94" t="s">
        <v>95</v>
      </c>
      <c r="G62" s="95" t="s">
        <v>96</v>
      </c>
      <c r="H62" s="133" t="s">
        <v>97</v>
      </c>
      <c r="J62" s="98" t="s">
        <v>124</v>
      </c>
      <c r="K62" s="98"/>
      <c r="N62" s="44"/>
      <c r="T62" s="117">
        <v>-0.1</v>
      </c>
      <c r="U62" s="118">
        <f t="shared" ca="1" si="9"/>
        <v>1.4258707133639867</v>
      </c>
      <c r="V62" s="119">
        <f t="shared" ca="1" si="10"/>
        <v>1.2955156109871406</v>
      </c>
    </row>
    <row r="63" spans="2:22" ht="15.75" thickBot="1" x14ac:dyDescent="0.3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6"/>
      <c r="T63" s="117">
        <v>0</v>
      </c>
      <c r="U63" s="118">
        <f t="shared" ca="1" si="9"/>
        <v>1.4565112200557238</v>
      </c>
      <c r="V63" s="119">
        <f t="shared" ca="1" si="10"/>
        <v>1.3020094100108934</v>
      </c>
    </row>
    <row r="64" spans="2:22" x14ac:dyDescent="0.25">
      <c r="B64" s="41" t="s">
        <v>79</v>
      </c>
      <c r="N64" s="41" t="s">
        <v>172</v>
      </c>
      <c r="T64" s="117">
        <v>0.1</v>
      </c>
      <c r="U64" s="118">
        <f t="shared" ca="1" si="9"/>
        <v>1.4871517267474608</v>
      </c>
      <c r="V64" s="119">
        <f t="shared" ca="1" si="10"/>
        <v>1.2955156109871406</v>
      </c>
    </row>
    <row r="65" spans="14:22" x14ac:dyDescent="0.25">
      <c r="N65" s="134">
        <v>45962</v>
      </c>
      <c r="T65" s="117">
        <v>0.2</v>
      </c>
      <c r="U65" s="118">
        <f t="shared" ca="1" si="9"/>
        <v>1.5177922334391978</v>
      </c>
      <c r="V65" s="119">
        <f t="shared" ca="1" si="10"/>
        <v>1.2762278963255889</v>
      </c>
    </row>
    <row r="66" spans="14:22" x14ac:dyDescent="0.25">
      <c r="T66" s="117">
        <v>0.3</v>
      </c>
      <c r="U66" s="118">
        <f t="shared" ca="1" si="9"/>
        <v>1.5484327401309346</v>
      </c>
      <c r="V66" s="119">
        <f t="shared" ca="1" si="10"/>
        <v>1.2447177172934143</v>
      </c>
    </row>
    <row r="67" spans="14:22" x14ac:dyDescent="0.25">
      <c r="T67" s="117">
        <v>0.4</v>
      </c>
      <c r="U67" s="118">
        <f t="shared" ca="1" si="9"/>
        <v>1.5790732468226716</v>
      </c>
      <c r="V67" s="119">
        <f t="shared" ca="1" si="10"/>
        <v>1.2019061695302753</v>
      </c>
    </row>
    <row r="68" spans="14:22" x14ac:dyDescent="0.25">
      <c r="T68" s="117">
        <v>0.5</v>
      </c>
      <c r="U68" s="118">
        <f t="shared" ca="1" si="9"/>
        <v>1.6097137535144086</v>
      </c>
      <c r="V68" s="119">
        <f t="shared" ca="1" si="10"/>
        <v>1.14901927147061</v>
      </c>
    </row>
    <row r="69" spans="14:22" x14ac:dyDescent="0.25">
      <c r="T69" s="117">
        <v>0.6</v>
      </c>
      <c r="U69" s="118">
        <f t="shared" ca="1" si="9"/>
        <v>1.6403542602061454</v>
      </c>
      <c r="V69" s="119">
        <f t="shared" ca="1" si="10"/>
        <v>1.0875296751592649</v>
      </c>
    </row>
    <row r="70" spans="14:22" x14ac:dyDescent="0.25">
      <c r="T70" s="117">
        <v>0.7</v>
      </c>
      <c r="U70" s="118">
        <f t="shared" ca="1" si="9"/>
        <v>1.6709947668978824</v>
      </c>
      <c r="V70" s="119">
        <f t="shared" ca="1" si="10"/>
        <v>1.0190886740491436</v>
      </c>
    </row>
    <row r="71" spans="14:22" x14ac:dyDescent="0.25">
      <c r="T71" s="117">
        <v>0.8</v>
      </c>
      <c r="U71" s="118">
        <f t="shared" ca="1" si="9"/>
        <v>1.7016352735896194</v>
      </c>
      <c r="V71" s="119">
        <f t="shared" ca="1" si="10"/>
        <v>0.94545287934029454</v>
      </c>
    </row>
    <row r="72" spans="14:22" x14ac:dyDescent="0.25">
      <c r="T72" s="117">
        <v>0.9</v>
      </c>
      <c r="U72" s="118">
        <f t="shared" ca="1" si="9"/>
        <v>1.7322757802813564</v>
      </c>
      <c r="V72" s="119">
        <f t="shared" ca="1" si="10"/>
        <v>0.86841008399678932</v>
      </c>
    </row>
    <row r="73" spans="14:22" x14ac:dyDescent="0.25">
      <c r="T73" s="117">
        <v>1</v>
      </c>
      <c r="U73" s="118">
        <f t="shared" ca="1" si="9"/>
        <v>1.7629162869730934</v>
      </c>
      <c r="V73" s="119">
        <f t="shared" ca="1" si="10"/>
        <v>0.78970862640596351</v>
      </c>
    </row>
    <row r="74" spans="14:22" x14ac:dyDescent="0.25">
      <c r="T74" s="117">
        <v>1.1000000000000001</v>
      </c>
      <c r="U74" s="118">
        <f t="shared" ca="1" si="9"/>
        <v>1.7935567936648302</v>
      </c>
      <c r="V74" s="119">
        <f t="shared" ca="1" si="10"/>
        <v>0.71099404205120509</v>
      </c>
    </row>
    <row r="75" spans="14:22" x14ac:dyDescent="0.25">
      <c r="T75" s="117">
        <v>1.2</v>
      </c>
      <c r="U75" s="118">
        <f t="shared" ca="1" si="9"/>
        <v>1.8241973003565672</v>
      </c>
      <c r="V75" s="119">
        <f t="shared" ca="1" si="10"/>
        <v>0.6337560176039142</v>
      </c>
    </row>
    <row r="76" spans="14:22" x14ac:dyDescent="0.25">
      <c r="T76" s="117">
        <v>1.3</v>
      </c>
      <c r="U76" s="118">
        <f t="shared" ca="1" si="9"/>
        <v>1.8548378070483043</v>
      </c>
      <c r="V76" s="119">
        <f t="shared" ca="1" si="10"/>
        <v>0.55928772252980241</v>
      </c>
    </row>
    <row r="77" spans="14:22" x14ac:dyDescent="0.25">
      <c r="T77" s="117">
        <v>1.4</v>
      </c>
      <c r="U77" s="118">
        <f t="shared" ca="1" si="9"/>
        <v>1.885478313740041</v>
      </c>
      <c r="V77" s="119">
        <f t="shared" ca="1" si="10"/>
        <v>0.48865858238605114</v>
      </c>
    </row>
    <row r="78" spans="14:22" x14ac:dyDescent="0.25">
      <c r="T78" s="117">
        <v>1.5</v>
      </c>
      <c r="U78" s="118">
        <f t="shared" ca="1" si="9"/>
        <v>1.9161188204317781</v>
      </c>
      <c r="V78" s="119">
        <f t="shared" ca="1" si="10"/>
        <v>0.42270056748382595</v>
      </c>
    </row>
    <row r="79" spans="14:22" x14ac:dyDescent="0.25">
      <c r="T79" s="117">
        <v>1.6</v>
      </c>
      <c r="U79" s="118">
        <f t="shared" ca="1" si="9"/>
        <v>1.9467593271235151</v>
      </c>
      <c r="V79" s="119">
        <f t="shared" ca="1" si="10"/>
        <v>0.36200718152408473</v>
      </c>
    </row>
    <row r="80" spans="14:22" x14ac:dyDescent="0.25">
      <c r="T80" s="117">
        <v>1.7</v>
      </c>
      <c r="U80" s="118">
        <f t="shared" ca="1" si="9"/>
        <v>1.9773998338152521</v>
      </c>
      <c r="V80" s="119">
        <f t="shared" ca="1" si="10"/>
        <v>0.30694361004888271</v>
      </c>
    </row>
    <row r="81" spans="20:22" x14ac:dyDescent="0.25">
      <c r="T81" s="117">
        <v>1.8</v>
      </c>
      <c r="U81" s="118">
        <f t="shared" ca="1" si="9"/>
        <v>2.0080403405069891</v>
      </c>
      <c r="V81" s="119">
        <f t="shared" ca="1" si="10"/>
        <v>0.25766596843578038</v>
      </c>
    </row>
    <row r="82" spans="20:22" x14ac:dyDescent="0.25">
      <c r="T82" s="117">
        <v>1.9</v>
      </c>
      <c r="U82" s="118">
        <f t="shared" ca="1" si="9"/>
        <v>2.0386808471987257</v>
      </c>
      <c r="V82" s="119">
        <f t="shared" ca="1" si="10"/>
        <v>0.21414729016988415</v>
      </c>
    </row>
    <row r="83" spans="20:22" x14ac:dyDescent="0.25">
      <c r="T83" s="117">
        <v>2</v>
      </c>
      <c r="U83" s="118">
        <f t="shared" ca="1" si="9"/>
        <v>2.0693213538904631</v>
      </c>
      <c r="V83" s="119">
        <f t="shared" ca="1" si="10"/>
        <v>0.17620781228055896</v>
      </c>
    </row>
    <row r="84" spans="20:22" x14ac:dyDescent="0.25">
      <c r="T84" s="117">
        <v>2.1</v>
      </c>
      <c r="U84" s="118">
        <f t="shared" ca="1" si="9"/>
        <v>2.0999618605821997</v>
      </c>
      <c r="V84" s="119">
        <f t="shared" ca="1" si="10"/>
        <v>0.143547221405084</v>
      </c>
    </row>
    <row r="85" spans="20:22" x14ac:dyDescent="0.25">
      <c r="T85" s="117">
        <v>2.2000000000000002</v>
      </c>
      <c r="U85" s="118">
        <f t="shared" ca="1" si="9"/>
        <v>2.1306023672739367</v>
      </c>
      <c r="V85" s="119">
        <f t="shared" ca="1" si="10"/>
        <v>0.11577678268551005</v>
      </c>
    </row>
    <row r="86" spans="20:22" x14ac:dyDescent="0.25">
      <c r="T86" s="117">
        <v>2.2999999999999998</v>
      </c>
      <c r="U86" s="118">
        <f t="shared" ca="1" si="9"/>
        <v>2.1612428739656737</v>
      </c>
      <c r="V86" s="119">
        <f t="shared" ca="1" si="10"/>
        <v>9.2449638730159586E-2</v>
      </c>
    </row>
    <row r="87" spans="20:22" x14ac:dyDescent="0.25">
      <c r="T87" s="117">
        <v>2.4</v>
      </c>
      <c r="U87" s="118">
        <f t="shared" ca="1" si="9"/>
        <v>2.1918833806574107</v>
      </c>
      <c r="V87" s="119">
        <f t="shared" ca="1" si="10"/>
        <v>7.3087989438771886E-2</v>
      </c>
    </row>
    <row r="88" spans="20:22" x14ac:dyDescent="0.25">
      <c r="T88" s="117">
        <v>2.5000000000000102</v>
      </c>
      <c r="U88" s="118">
        <f t="shared" ca="1" si="9"/>
        <v>2.2225238873491509</v>
      </c>
      <c r="V88" s="119">
        <f t="shared" ca="1" si="10"/>
        <v>5.7206301024699001E-2</v>
      </c>
    </row>
    <row r="89" spans="20:22" x14ac:dyDescent="0.25">
      <c r="T89" s="117">
        <v>2.6</v>
      </c>
      <c r="U89" s="118">
        <f t="shared" ca="1" si="9"/>
        <v>2.2531643940408848</v>
      </c>
      <c r="V89" s="119">
        <f t="shared" ca="1" si="10"/>
        <v>4.4330106451368242E-2</v>
      </c>
    </row>
    <row r="90" spans="20:22" x14ac:dyDescent="0.25">
      <c r="T90" s="117">
        <v>2.7</v>
      </c>
      <c r="U90" s="118">
        <f t="shared" ca="1" si="9"/>
        <v>2.2838049007326218</v>
      </c>
      <c r="V90" s="119">
        <f t="shared" ca="1" si="10"/>
        <v>3.4010321432552761E-2</v>
      </c>
    </row>
    <row r="91" spans="20:22" x14ac:dyDescent="0.25">
      <c r="T91" s="117">
        <v>2.80000000000001</v>
      </c>
      <c r="U91" s="118">
        <f t="shared" ca="1" si="9"/>
        <v>2.3144454074243619</v>
      </c>
      <c r="V91" s="119">
        <f t="shared" ca="1" si="10"/>
        <v>2.583329206208701E-2</v>
      </c>
    </row>
    <row r="92" spans="20:22" x14ac:dyDescent="0.25">
      <c r="T92" s="117">
        <v>2.9000000000000101</v>
      </c>
      <c r="U92" s="118">
        <f t="shared" ca="1" si="9"/>
        <v>2.3450859141160985</v>
      </c>
      <c r="V92" s="119">
        <f t="shared" ca="1" si="10"/>
        <v>1.9427003866685229E-2</v>
      </c>
    </row>
    <row r="93" spans="20:22" x14ac:dyDescent="0.25">
      <c r="T93" s="117">
        <v>3.0000000000000102</v>
      </c>
      <c r="U93" s="118">
        <f t="shared" ca="1" si="9"/>
        <v>2.3757264208078355</v>
      </c>
      <c r="V93" s="119">
        <f t="shared" ca="1" si="10"/>
        <v>1.44640180285695E-2</v>
      </c>
    </row>
  </sheetData>
  <protectedRanges>
    <protectedRange sqref="G5:G10 H5:H6 M4:M5 D4:E6 H8:H9 H11:H12 G14:G19 G23:G28 H14:H15 H17:H18 H23:H24 H26:H27 H29:H30 H20:H21 I5:J31" name="Plage1"/>
  </protectedRanges>
  <mergeCells count="25">
    <mergeCell ref="C3:E3"/>
    <mergeCell ref="G3:J3"/>
    <mergeCell ref="G5:G13"/>
    <mergeCell ref="H5:H7"/>
    <mergeCell ref="K5:K7"/>
    <mergeCell ref="H8:H10"/>
    <mergeCell ref="K8:K10"/>
    <mergeCell ref="H11:H13"/>
    <mergeCell ref="K11:K13"/>
    <mergeCell ref="G14:G22"/>
    <mergeCell ref="H14:H16"/>
    <mergeCell ref="K14:K16"/>
    <mergeCell ref="H17:H19"/>
    <mergeCell ref="K17:K19"/>
    <mergeCell ref="H20:H22"/>
    <mergeCell ref="K20:K22"/>
    <mergeCell ref="C51:F51"/>
    <mergeCell ref="G51:K51"/>
    <mergeCell ref="G23:G31"/>
    <mergeCell ref="H23:H25"/>
    <mergeCell ref="K23:K25"/>
    <mergeCell ref="H26:H28"/>
    <mergeCell ref="K26:K28"/>
    <mergeCell ref="H29:H31"/>
    <mergeCell ref="K29:K31"/>
  </mergeCells>
  <conditionalFormatting sqref="G60">
    <cfRule type="cellIs" dxfId="2" priority="1" operator="greaterThan">
      <formula>0.3</formula>
    </cfRule>
    <cfRule type="cellIs" dxfId="1" priority="2" operator="between">
      <formula>0.1</formula>
      <formula>0.3</formula>
    </cfRule>
    <cfRule type="cellIs" dxfId="0" priority="3" operator="lessThan">
      <formula>0.1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36"/>
  <sheetViews>
    <sheetView workbookViewId="0">
      <selection activeCell="C4" sqref="C4"/>
    </sheetView>
  </sheetViews>
  <sheetFormatPr baseColWidth="10" defaultColWidth="10.42578125" defaultRowHeight="12" x14ac:dyDescent="0.2"/>
  <cols>
    <col min="1" max="1" width="7.42578125" style="14" customWidth="1"/>
    <col min="2" max="2" width="24.42578125" style="14" customWidth="1"/>
    <col min="3" max="7" width="12.7109375" style="14" bestFit="1" customWidth="1"/>
    <col min="8" max="16384" width="10.42578125" style="14"/>
  </cols>
  <sheetData>
    <row r="1" spans="1:11" s="13" customFormat="1" ht="13.5" thickBot="1" x14ac:dyDescent="0.25">
      <c r="B1" s="3" t="s">
        <v>28</v>
      </c>
    </row>
    <row r="2" spans="1:11" ht="12.75" thickBot="1" x14ac:dyDescent="0.25">
      <c r="B2" s="14" t="s">
        <v>29</v>
      </c>
      <c r="C2" s="15" t="e">
        <f>#REF!</f>
        <v>#REF!</v>
      </c>
      <c r="E2" s="14">
        <v>20</v>
      </c>
      <c r="F2" s="14">
        <v>100</v>
      </c>
    </row>
    <row r="3" spans="1:11" ht="15.75" thickBot="1" x14ac:dyDescent="0.3">
      <c r="B3" s="14" t="s">
        <v>30</v>
      </c>
      <c r="C3" s="16" t="e">
        <f>#REF!</f>
        <v>#REF!</v>
      </c>
      <c r="E3" s="14">
        <v>0.01</v>
      </c>
      <c r="F3" s="14">
        <f>E3*F2/E2</f>
        <v>0.05</v>
      </c>
    </row>
    <row r="5" spans="1:11" x14ac:dyDescent="0.2">
      <c r="B5" s="17" t="s">
        <v>31</v>
      </c>
      <c r="C5" s="17" t="s">
        <v>16</v>
      </c>
      <c r="D5" s="17" t="s">
        <v>24</v>
      </c>
      <c r="E5" s="17" t="s">
        <v>25</v>
      </c>
      <c r="F5" s="17" t="s">
        <v>26</v>
      </c>
      <c r="G5" s="17" t="s">
        <v>27</v>
      </c>
    </row>
    <row r="6" spans="1:11" s="18" customFormat="1" x14ac:dyDescent="0.2">
      <c r="A6" s="18">
        <v>2</v>
      </c>
      <c r="B6" s="32" t="s">
        <v>40</v>
      </c>
      <c r="C6" s="19">
        <f>'80%'!B2</f>
        <v>80</v>
      </c>
      <c r="D6" s="19">
        <f>'90%'!B2</f>
        <v>90</v>
      </c>
      <c r="E6" s="19">
        <f>'100%'!B2</f>
        <v>100</v>
      </c>
      <c r="F6" s="34">
        <f>'110%'!B2</f>
        <v>110</v>
      </c>
      <c r="G6" s="19">
        <f>'120%'!B2</f>
        <v>120</v>
      </c>
    </row>
    <row r="7" spans="1:11" x14ac:dyDescent="0.2">
      <c r="A7" s="14">
        <v>30</v>
      </c>
      <c r="B7" s="33" t="s">
        <v>41</v>
      </c>
      <c r="C7" s="20" t="e">
        <f>'80%'!B22</f>
        <v>#REF!</v>
      </c>
      <c r="D7" s="20" t="e">
        <f>'90%'!B22</f>
        <v>#REF!</v>
      </c>
      <c r="E7" s="20" t="e">
        <f>'100%'!B22</f>
        <v>#REF!</v>
      </c>
      <c r="F7" s="20" t="e">
        <f>'110%'!B22</f>
        <v>#REF!</v>
      </c>
      <c r="G7" s="20" t="e">
        <f>'120%'!B22</f>
        <v>#REF!</v>
      </c>
      <c r="K7" s="21" t="str">
        <f>ADDRESS($A8,2,,,C$5)</f>
        <v>'Niveau A'!$B$31</v>
      </c>
    </row>
    <row r="8" spans="1:11" x14ac:dyDescent="0.2">
      <c r="A8" s="14">
        <v>31</v>
      </c>
      <c r="B8" s="33" t="s">
        <v>42</v>
      </c>
      <c r="C8" s="20" t="e">
        <f>'80%'!B23</f>
        <v>#DIV/0!</v>
      </c>
      <c r="D8" s="20" t="e">
        <f>'90%'!B23</f>
        <v>#DIV/0!</v>
      </c>
      <c r="E8" s="20" t="e">
        <f>'100%'!B23</f>
        <v>#DIV/0!</v>
      </c>
      <c r="F8" s="20" t="e">
        <f>'110%'!B23</f>
        <v>#DIV/0!</v>
      </c>
      <c r="G8" s="20" t="e">
        <f>'120%'!B23</f>
        <v>#DIV/0!</v>
      </c>
    </row>
    <row r="9" spans="1:11" x14ac:dyDescent="0.2">
      <c r="A9" s="14">
        <v>32</v>
      </c>
      <c r="B9" s="33" t="s">
        <v>43</v>
      </c>
      <c r="C9" s="20" t="e">
        <f>'80%'!B24</f>
        <v>#REF!</v>
      </c>
      <c r="D9" s="20" t="e">
        <f>'90%'!B24</f>
        <v>#REF!</v>
      </c>
      <c r="E9" s="20" t="e">
        <f>'100%'!B24</f>
        <v>#REF!</v>
      </c>
      <c r="F9" s="20" t="e">
        <f>'110%'!B24</f>
        <v>#REF!</v>
      </c>
      <c r="G9" s="20" t="e">
        <f>'120%'!B24</f>
        <v>#REF!</v>
      </c>
      <c r="H9" s="2"/>
    </row>
    <row r="10" spans="1:11" x14ac:dyDescent="0.2">
      <c r="A10" s="14">
        <v>33</v>
      </c>
      <c r="B10" s="33" t="s">
        <v>44</v>
      </c>
      <c r="C10" s="20" t="e">
        <f>'80%'!B25</f>
        <v>#DIV/0!</v>
      </c>
      <c r="D10" s="20" t="e">
        <f>'90%'!B25</f>
        <v>#DIV/0!</v>
      </c>
      <c r="E10" s="20" t="e">
        <f>'100%'!B25</f>
        <v>#DIV/0!</v>
      </c>
      <c r="F10" s="20" t="e">
        <f>'110%'!B25</f>
        <v>#DIV/0!</v>
      </c>
      <c r="G10" s="20" t="e">
        <f>'120%'!B25</f>
        <v>#DIV/0!</v>
      </c>
    </row>
    <row r="11" spans="1:11" x14ac:dyDescent="0.2">
      <c r="A11" s="14">
        <v>37</v>
      </c>
      <c r="B11" s="33" t="s">
        <v>45</v>
      </c>
      <c r="C11" s="20" t="e">
        <f>'80%'!B29</f>
        <v>#REF!</v>
      </c>
      <c r="D11" s="20" t="e">
        <f>'90%'!B29</f>
        <v>#REF!</v>
      </c>
      <c r="E11" s="20" t="e">
        <f>'100%'!B29</f>
        <v>#REF!</v>
      </c>
      <c r="F11" s="20" t="e">
        <f>'110%'!B29</f>
        <v>#REF!</v>
      </c>
      <c r="G11" s="20" t="e">
        <f>'120%'!B29</f>
        <v>#REF!</v>
      </c>
    </row>
    <row r="12" spans="1:11" x14ac:dyDescent="0.2">
      <c r="A12" s="14">
        <v>39</v>
      </c>
      <c r="B12" s="33" t="s">
        <v>46</v>
      </c>
      <c r="C12" s="20" t="e">
        <f>'80%'!B31</f>
        <v>#REF!</v>
      </c>
      <c r="D12" s="20" t="e">
        <f>'90%'!B31</f>
        <v>#REF!</v>
      </c>
      <c r="E12" s="20" t="e">
        <f>'100%'!B31</f>
        <v>#REF!</v>
      </c>
      <c r="F12" s="20" t="e">
        <f>'110%'!B31</f>
        <v>#REF!</v>
      </c>
      <c r="G12" s="20" t="e">
        <f>'120%'!B31</f>
        <v>#REF!</v>
      </c>
    </row>
    <row r="13" spans="1:11" x14ac:dyDescent="0.2">
      <c r="A13" s="14">
        <v>40</v>
      </c>
      <c r="B13" s="33" t="s">
        <v>47</v>
      </c>
      <c r="C13" s="20" t="e">
        <f>'80%'!B32</f>
        <v>#REF!</v>
      </c>
      <c r="D13" s="20" t="e">
        <f>'90%'!B32</f>
        <v>#REF!</v>
      </c>
      <c r="E13" s="20" t="e">
        <f>'100%'!B32</f>
        <v>#REF!</v>
      </c>
      <c r="F13" s="20" t="e">
        <f>'110%'!B32</f>
        <v>#REF!</v>
      </c>
      <c r="G13" s="20" t="e">
        <f>'120%'!B32</f>
        <v>#REF!</v>
      </c>
    </row>
    <row r="14" spans="1:11" x14ac:dyDescent="0.2">
      <c r="A14" s="14">
        <v>47</v>
      </c>
      <c r="B14" s="33" t="s">
        <v>48</v>
      </c>
      <c r="C14" s="20" t="e">
        <f>'80%'!B39</f>
        <v>#REF!</v>
      </c>
      <c r="D14" s="20" t="e">
        <f>'90%'!B39</f>
        <v>#REF!</v>
      </c>
      <c r="E14" s="20" t="e">
        <f>'100%'!B39</f>
        <v>#REF!</v>
      </c>
      <c r="F14" s="20" t="e">
        <f>'110%'!B39</f>
        <v>#REF!</v>
      </c>
      <c r="G14" s="20" t="e">
        <f>'120%'!B39</f>
        <v>#REF!</v>
      </c>
    </row>
    <row r="15" spans="1:11" x14ac:dyDescent="0.2">
      <c r="A15" s="14">
        <v>48</v>
      </c>
      <c r="B15" s="33" t="s">
        <v>49</v>
      </c>
      <c r="C15" s="20" t="e">
        <f>'80%'!B40</f>
        <v>#REF!</v>
      </c>
      <c r="D15" s="20" t="e">
        <f>'90%'!B40</f>
        <v>#REF!</v>
      </c>
      <c r="E15" s="20" t="e">
        <f>'100%'!B40</f>
        <v>#REF!</v>
      </c>
      <c r="F15" s="20" t="e">
        <f>'110%'!B40</f>
        <v>#REF!</v>
      </c>
      <c r="G15" s="20" t="e">
        <f>'120%'!B40</f>
        <v>#REF!</v>
      </c>
    </row>
    <row r="16" spans="1:11" x14ac:dyDescent="0.2">
      <c r="A16" s="14">
        <v>35</v>
      </c>
      <c r="B16" s="33" t="s">
        <v>50</v>
      </c>
      <c r="C16" s="22" t="e">
        <f>'80%'!B27</f>
        <v>#REF!</v>
      </c>
      <c r="D16" s="22" t="e">
        <f>'90%'!B27</f>
        <v>#REF!</v>
      </c>
      <c r="E16" s="22" t="e">
        <f>'100%'!B27</f>
        <v>#REF!</v>
      </c>
      <c r="F16" s="22" t="e">
        <f>'110%'!B27</f>
        <v>#REF!</v>
      </c>
      <c r="G16" s="22" t="e">
        <f>'120%'!B27</f>
        <v>#REF!</v>
      </c>
    </row>
    <row r="17" spans="2:7" s="18" customFormat="1" x14ac:dyDescent="0.2">
      <c r="B17" s="19" t="s">
        <v>32</v>
      </c>
      <c r="C17" s="23" t="e">
        <f>C7/C$6</f>
        <v>#REF!</v>
      </c>
      <c r="D17" s="23" t="e">
        <f t="shared" ref="D17:G17" si="0">D7/D$6</f>
        <v>#REF!</v>
      </c>
      <c r="E17" s="23" t="e">
        <f t="shared" si="0"/>
        <v>#REF!</v>
      </c>
      <c r="F17" s="23" t="e">
        <f t="shared" si="0"/>
        <v>#REF!</v>
      </c>
      <c r="G17" s="23" t="e">
        <f t="shared" si="0"/>
        <v>#REF!</v>
      </c>
    </row>
    <row r="18" spans="2:7" s="18" customFormat="1" x14ac:dyDescent="0.2">
      <c r="B18" s="19" t="s">
        <v>33</v>
      </c>
      <c r="C18" s="23" t="e">
        <f>C14/C$6</f>
        <v>#REF!</v>
      </c>
      <c r="D18" s="23" t="e">
        <f>D14/D$6</f>
        <v>#REF!</v>
      </c>
      <c r="E18" s="23" t="e">
        <f t="shared" ref="E18:G19" si="1">E14/E$6</f>
        <v>#REF!</v>
      </c>
      <c r="F18" s="23" t="e">
        <f t="shared" si="1"/>
        <v>#REF!</v>
      </c>
      <c r="G18" s="23" t="e">
        <f t="shared" si="1"/>
        <v>#REF!</v>
      </c>
    </row>
    <row r="19" spans="2:7" s="18" customFormat="1" x14ac:dyDescent="0.2">
      <c r="B19" s="19" t="s">
        <v>34</v>
      </c>
      <c r="C19" s="23" t="e">
        <f>C15/C$6</f>
        <v>#REF!</v>
      </c>
      <c r="D19" s="23" t="e">
        <f>D15/D$6</f>
        <v>#REF!</v>
      </c>
      <c r="E19" s="23" t="e">
        <f t="shared" si="1"/>
        <v>#REF!</v>
      </c>
      <c r="F19" s="23" t="e">
        <f t="shared" si="1"/>
        <v>#REF!</v>
      </c>
      <c r="G19" s="23" t="e">
        <f t="shared" si="1"/>
        <v>#REF!</v>
      </c>
    </row>
    <row r="20" spans="2:7" s="18" customFormat="1" x14ac:dyDescent="0.2">
      <c r="B20" s="19" t="s">
        <v>35</v>
      </c>
      <c r="C20" s="24" t="e">
        <f>1-$C$3</f>
        <v>#REF!</v>
      </c>
      <c r="D20" s="24" t="e">
        <f t="shared" ref="D20:G20" si="2">1-$C$3</f>
        <v>#REF!</v>
      </c>
      <c r="E20" s="24" t="e">
        <f t="shared" si="2"/>
        <v>#REF!</v>
      </c>
      <c r="F20" s="24" t="e">
        <f t="shared" si="2"/>
        <v>#REF!</v>
      </c>
      <c r="G20" s="24" t="e">
        <f t="shared" si="2"/>
        <v>#REF!</v>
      </c>
    </row>
    <row r="21" spans="2:7" s="18" customFormat="1" x14ac:dyDescent="0.2">
      <c r="B21" s="19" t="s">
        <v>36</v>
      </c>
      <c r="C21" s="24" t="e">
        <f t="shared" ref="C21:G21" si="3">1+$C$3</f>
        <v>#REF!</v>
      </c>
      <c r="D21" s="24" t="e">
        <f t="shared" si="3"/>
        <v>#REF!</v>
      </c>
      <c r="E21" s="24" t="e">
        <f t="shared" si="3"/>
        <v>#REF!</v>
      </c>
      <c r="F21" s="24" t="e">
        <f t="shared" si="3"/>
        <v>#REF!</v>
      </c>
      <c r="G21" s="24" t="e">
        <f t="shared" si="3"/>
        <v>#REF!</v>
      </c>
    </row>
    <row r="22" spans="2:7" s="18" customFormat="1" x14ac:dyDescent="0.2">
      <c r="B22" s="25"/>
      <c r="C22" s="26"/>
      <c r="D22" s="26"/>
      <c r="E22" s="26"/>
      <c r="F22" s="26"/>
      <c r="G22" s="26"/>
    </row>
    <row r="23" spans="2:7" s="18" customFormat="1" x14ac:dyDescent="0.2">
      <c r="B23" s="25"/>
      <c r="C23" s="26"/>
      <c r="D23" s="26"/>
      <c r="E23" s="26"/>
      <c r="F23" s="26"/>
      <c r="G23" s="26"/>
    </row>
    <row r="24" spans="2:7" s="18" customFormat="1" x14ac:dyDescent="0.2">
      <c r="B24" s="25"/>
      <c r="C24" s="26"/>
      <c r="D24" s="26"/>
      <c r="E24" s="26"/>
      <c r="F24" s="26"/>
      <c r="G24" s="26"/>
    </row>
    <row r="25" spans="2:7" s="18" customFormat="1" x14ac:dyDescent="0.2">
      <c r="B25" s="25"/>
      <c r="C25" s="26"/>
      <c r="D25" s="26"/>
      <c r="E25" s="26"/>
      <c r="F25" s="26"/>
      <c r="G25" s="26"/>
    </row>
    <row r="26" spans="2:7" s="18" customFormat="1" x14ac:dyDescent="0.2">
      <c r="B26" s="25"/>
      <c r="C26" s="26"/>
      <c r="D26" s="26"/>
      <c r="E26" s="26"/>
      <c r="F26" s="26"/>
      <c r="G26" s="26"/>
    </row>
    <row r="27" spans="2:7" s="13" customFormat="1" x14ac:dyDescent="0.2">
      <c r="B27" s="13" t="s">
        <v>37</v>
      </c>
    </row>
    <row r="28" spans="2:7" x14ac:dyDescent="0.2">
      <c r="B28" s="14" t="s">
        <v>38</v>
      </c>
      <c r="C28" s="27" t="e">
        <f t="shared" ref="C28:G28" si="4">C$12*C$10</f>
        <v>#REF!</v>
      </c>
      <c r="D28" s="27" t="e">
        <f t="shared" si="4"/>
        <v>#REF!</v>
      </c>
      <c r="E28" s="27" t="e">
        <f t="shared" si="4"/>
        <v>#REF!</v>
      </c>
      <c r="F28" s="27" t="e">
        <f t="shared" si="4"/>
        <v>#REF!</v>
      </c>
      <c r="G28" s="27" t="e">
        <f t="shared" si="4"/>
        <v>#REF!</v>
      </c>
    </row>
    <row r="29" spans="2:7" x14ac:dyDescent="0.2">
      <c r="B29" s="14" t="s">
        <v>39</v>
      </c>
      <c r="C29" s="28" t="e">
        <f t="shared" ref="C29:G29" si="5">2*C28/C7</f>
        <v>#REF!</v>
      </c>
      <c r="D29" s="28" t="e">
        <f t="shared" si="5"/>
        <v>#REF!</v>
      </c>
      <c r="E29" s="28" t="e">
        <f t="shared" si="5"/>
        <v>#REF!</v>
      </c>
      <c r="F29" s="28" t="e">
        <f t="shared" si="5"/>
        <v>#REF!</v>
      </c>
      <c r="G29" s="28" t="e">
        <f t="shared" si="5"/>
        <v>#REF!</v>
      </c>
    </row>
    <row r="30" spans="2:7" x14ac:dyDescent="0.2">
      <c r="C30" s="27"/>
      <c r="D30" s="27"/>
      <c r="E30" s="27"/>
      <c r="F30" s="27"/>
      <c r="G30" s="27"/>
    </row>
    <row r="31" spans="2:7" s="29" customFormat="1" x14ac:dyDescent="0.2">
      <c r="F31" s="30"/>
    </row>
    <row r="32" spans="2:7" s="29" customFormat="1" x14ac:dyDescent="0.2">
      <c r="F32" s="30"/>
    </row>
    <row r="33" spans="3:7" s="29" customFormat="1" x14ac:dyDescent="0.2">
      <c r="C33" s="30"/>
      <c r="D33" s="30"/>
      <c r="E33" s="30"/>
      <c r="F33" s="30"/>
      <c r="G33" s="30"/>
    </row>
    <row r="34" spans="3:7" s="29" customFormat="1" x14ac:dyDescent="0.2">
      <c r="C34" s="30"/>
      <c r="D34" s="30"/>
      <c r="E34" s="30"/>
      <c r="F34" s="30"/>
      <c r="G34" s="30"/>
    </row>
    <row r="35" spans="3:7" s="29" customFormat="1" x14ac:dyDescent="0.2">
      <c r="C35" s="31"/>
      <c r="D35" s="31"/>
      <c r="E35" s="31"/>
      <c r="F35" s="31"/>
      <c r="G35" s="31"/>
    </row>
    <row r="36" spans="3:7" s="29" customFormat="1" x14ac:dyDescent="0.2">
      <c r="C36" s="31"/>
      <c r="D36" s="31"/>
      <c r="E36" s="31"/>
      <c r="F36" s="31"/>
      <c r="G36" s="31"/>
    </row>
  </sheetData>
  <sheetProtection pivotTables="0"/>
  <pageMargins left="0.78740157499999996" right="0.78740157499999996" top="0.984251969" bottom="0.984251969" header="0.4921259845" footer="0.4921259845"/>
  <pageSetup paperSize="9" orientation="landscape" verticalDpi="0" r:id="rId1"/>
  <headerFooter alignWithMargins="0">
    <oddFooter>&amp;A&amp;RPage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  <pageSetUpPr fitToPage="1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7.7109375" style="2" bestFit="1" customWidth="1"/>
    <col min="3" max="3" width="11.5703125" style="2" customWidth="1"/>
    <col min="4" max="4" width="11.140625" style="2" customWidth="1"/>
    <col min="5" max="5" width="12.42578125" style="2" customWidth="1"/>
    <col min="6" max="6" width="10.28515625" style="2" customWidth="1"/>
    <col min="7" max="7" width="3.5703125" style="2" customWidth="1"/>
    <col min="8" max="8" width="6.42578125" style="2" customWidth="1"/>
    <col min="9" max="9" width="15" style="2" bestFit="1" customWidth="1"/>
    <col min="10" max="10" width="10.85546875" style="2" customWidth="1"/>
    <col min="11" max="16384" width="10.85546875" style="2"/>
  </cols>
  <sheetData>
    <row r="1" spans="1:9" ht="12.75" thickBot="1" x14ac:dyDescent="0.25">
      <c r="A1" s="1" t="s">
        <v>16</v>
      </c>
    </row>
    <row r="2" spans="1:9" ht="13.5" thickBot="1" x14ac:dyDescent="0.25">
      <c r="A2" s="3" t="s">
        <v>40</v>
      </c>
      <c r="B2" s="4">
        <v>80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5" t="e">
        <f>#REF!*$B$2</f>
        <v>#REF!</v>
      </c>
      <c r="C5" s="35" t="e">
        <f>#REF!*$B$2</f>
        <v>#REF!</v>
      </c>
      <c r="D5" s="35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5"/>
      <c r="C6" s="35"/>
      <c r="D6" s="35"/>
      <c r="E6" s="36"/>
      <c r="F6" s="37"/>
      <c r="H6" s="5"/>
      <c r="I6" s="6"/>
    </row>
    <row r="7" spans="1:9" x14ac:dyDescent="0.2">
      <c r="A7" s="2" t="s">
        <v>100</v>
      </c>
      <c r="B7" s="35" t="e">
        <f>#REF!*$B$2</f>
        <v>#REF!</v>
      </c>
      <c r="C7" s="35" t="e">
        <f>#REF!*$B$2</f>
        <v>#REF!</v>
      </c>
      <c r="D7" s="35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5" t="e">
        <f>#REF!*$B$2</f>
        <v>#REF!</v>
      </c>
      <c r="C8" s="35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5" t="e">
        <f>#REF!*$B$2</f>
        <v>#REF!</v>
      </c>
      <c r="C9" s="35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8">
        <f>SUM(I5:I9)</f>
        <v>0</v>
      </c>
      <c r="C14" s="7"/>
    </row>
    <row r="15" spans="1:9" x14ac:dyDescent="0.2">
      <c r="A15" s="2" t="s">
        <v>107</v>
      </c>
      <c r="B15" s="8" t="e">
        <f>DEVSQ(B5:F9)</f>
        <v>#REF!</v>
      </c>
      <c r="C15" s="7"/>
    </row>
    <row r="16" spans="1:9" x14ac:dyDescent="0.2">
      <c r="A16" s="2" t="s">
        <v>108</v>
      </c>
      <c r="B16" s="8" t="e">
        <f>B15-B14</f>
        <v>#REF!</v>
      </c>
      <c r="C16" s="7"/>
    </row>
    <row r="17" spans="1:9" x14ac:dyDescent="0.2">
      <c r="A17" s="2" t="s">
        <v>109</v>
      </c>
      <c r="B17" s="8" t="e">
        <f>((B16/(B11-1))-B18)/B13</f>
        <v>#REF!</v>
      </c>
      <c r="C17" s="7"/>
    </row>
    <row r="18" spans="1:9" x14ac:dyDescent="0.2">
      <c r="A18" s="2" t="s">
        <v>110</v>
      </c>
      <c r="B18" s="8" t="e">
        <f>B14/(B12-B11)</f>
        <v>#DIV/0!</v>
      </c>
      <c r="C18" s="7"/>
    </row>
    <row r="19" spans="1:9" x14ac:dyDescent="0.2">
      <c r="A19" s="2" t="s">
        <v>111</v>
      </c>
      <c r="B19" s="8" t="e">
        <f>IF(B17&lt;0,0,B17)</f>
        <v>#REF!</v>
      </c>
      <c r="C19" s="7"/>
    </row>
    <row r="20" spans="1:9" x14ac:dyDescent="0.2">
      <c r="A20" s="2" t="s">
        <v>112</v>
      </c>
      <c r="B20" s="8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8" t="e">
        <f>AVERAGE(B5:F9)</f>
        <v>#REF!</v>
      </c>
      <c r="C22" s="7"/>
    </row>
    <row r="23" spans="1:9" ht="12" customHeight="1" x14ac:dyDescent="0.2">
      <c r="A23" s="2" t="s">
        <v>42</v>
      </c>
      <c r="B23" s="8" t="e">
        <f>SQRT(B18)</f>
        <v>#DIV/0!</v>
      </c>
      <c r="C23" s="7"/>
    </row>
    <row r="24" spans="1:9" x14ac:dyDescent="0.2">
      <c r="A24" s="2" t="s">
        <v>43</v>
      </c>
      <c r="B24" s="8" t="e">
        <f>SQRT(B19)</f>
        <v>#REF!</v>
      </c>
      <c r="C24" s="7"/>
    </row>
    <row r="25" spans="1:9" x14ac:dyDescent="0.2">
      <c r="A25" s="2" t="s">
        <v>44</v>
      </c>
      <c r="B25" s="8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8" t="e">
        <f>B19/B18</f>
        <v>#REF!</v>
      </c>
      <c r="C29" s="7"/>
    </row>
    <row r="30" spans="1:9" x14ac:dyDescent="0.2">
      <c r="A30" s="2" t="s">
        <v>116</v>
      </c>
      <c r="B30" s="8" t="e">
        <f>(B29+1)/(B13*B29+1)</f>
        <v>#REF!</v>
      </c>
      <c r="C30" s="7"/>
    </row>
    <row r="31" spans="1:9" x14ac:dyDescent="0.2">
      <c r="A31" s="2" t="s">
        <v>46</v>
      </c>
      <c r="B31" s="8" t="e">
        <f>SQRT(1+1/(B12*B30))</f>
        <v>#REF!</v>
      </c>
      <c r="C31" s="7"/>
    </row>
    <row r="32" spans="1:9" x14ac:dyDescent="0.2">
      <c r="A32" s="2" t="s">
        <v>47</v>
      </c>
      <c r="B32" s="8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8" t="e">
        <f>Récapitulatif!C2</f>
        <v>#REF!</v>
      </c>
      <c r="C33" s="7"/>
    </row>
    <row r="34" spans="1:3" x14ac:dyDescent="0.2">
      <c r="A34" s="2" t="s">
        <v>117</v>
      </c>
      <c r="B34" s="8" t="e">
        <f>TINV(1-B33,ROUNDDOWN(B32,0))</f>
        <v>#REF!</v>
      </c>
      <c r="C34" s="7"/>
    </row>
    <row r="35" spans="1:3" x14ac:dyDescent="0.2">
      <c r="A35" s="2" t="s">
        <v>118</v>
      </c>
      <c r="B35" s="8" t="e">
        <f>TINV(1-B33,ROUNDUP(B32,0))</f>
        <v>#REF!</v>
      </c>
      <c r="C35" s="7"/>
    </row>
    <row r="36" spans="1:3" x14ac:dyDescent="0.2">
      <c r="A36" s="2" t="s">
        <v>119</v>
      </c>
      <c r="B36" s="8" t="e">
        <f>B34-(B34-B35)*(B32-ROUNDDOWN(B32,0))</f>
        <v>#REF!</v>
      </c>
      <c r="C36" s="7"/>
    </row>
    <row r="37" spans="1:3" x14ac:dyDescent="0.2">
      <c r="A37" s="2" t="s">
        <v>120</v>
      </c>
      <c r="B37" s="8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8" t="e">
        <f>B22-B37*B25</f>
        <v>#REF!</v>
      </c>
      <c r="C39" s="7"/>
    </row>
    <row r="40" spans="1:3" x14ac:dyDescent="0.2">
      <c r="A40" s="2" t="s">
        <v>49</v>
      </c>
      <c r="B40" s="8" t="e">
        <f>B22+B37*B25</f>
        <v>#REF!</v>
      </c>
      <c r="C40" s="7"/>
    </row>
  </sheetData>
  <sheetProtection pivotTables="0"/>
  <printOptions headings="1" gridLines="1"/>
  <pageMargins left="0.78740157499999996" right="0.78740157499999996" top="0.49" bottom="0.76" header="0.28000000000000003" footer="0.4921259845"/>
  <pageSetup paperSize="9" orientation="landscape" horizontalDpi="300" verticalDpi="300" r:id="rId1"/>
  <headerFooter alignWithMargins="0">
    <oddFooter>&amp;A&amp;RPage &amp;P</oddFooter>
  </headerFooter>
  <rowBreaks count="1" manualBreakCount="1">
    <brk id="4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24</v>
      </c>
    </row>
    <row r="2" spans="1:9" ht="13.5" thickBot="1" x14ac:dyDescent="0.25">
      <c r="A2" s="3" t="s">
        <v>40</v>
      </c>
      <c r="B2" s="11">
        <v>90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/>
      <c r="C7" s="36"/>
      <c r="D7" s="36"/>
      <c r="E7" s="36"/>
      <c r="F7" s="37"/>
      <c r="H7" s="5"/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4" bottom="0.56999999999999995" header="0.32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25</v>
      </c>
    </row>
    <row r="2" spans="1:9" ht="13.5" thickBot="1" x14ac:dyDescent="0.25">
      <c r="A2" s="3" t="s">
        <v>40</v>
      </c>
      <c r="B2" s="4">
        <v>100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/>
      <c r="C8" s="36"/>
      <c r="D8" s="36"/>
      <c r="E8" s="36"/>
      <c r="F8" s="37"/>
      <c r="H8" s="5"/>
      <c r="I8" s="6" t="str">
        <f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6"/>
      <c r="E9" s="36"/>
      <c r="F9" s="37"/>
      <c r="H9" s="5">
        <f>COUNT(B9:F9)</f>
        <v>0</v>
      </c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4" width="11.28515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26</v>
      </c>
    </row>
    <row r="2" spans="1:9" ht="13.5" thickBot="1" x14ac:dyDescent="0.25">
      <c r="A2" s="3" t="s">
        <v>40</v>
      </c>
      <c r="B2" s="4">
        <v>110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 t="e">
        <f>#REF!*$B$2</f>
        <v>#REF!</v>
      </c>
      <c r="C5" s="36" t="e">
        <f>#REF!*$B$2</f>
        <v>#REF!</v>
      </c>
      <c r="D5" s="36"/>
      <c r="E5" s="36"/>
      <c r="F5" s="37"/>
      <c r="H5" s="5">
        <f>COUNT(B5:F5)</f>
        <v>0</v>
      </c>
      <c r="I5" s="6" t="str">
        <f>IF(H5=0,"",DEVSQ(B5:F5))</f>
        <v/>
      </c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6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6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6"/>
      <c r="E8" s="36"/>
      <c r="F8" s="37"/>
      <c r="H8" s="5">
        <f>COUNT(B8:F8)</f>
        <v>0</v>
      </c>
      <c r="I8" s="6" t="str">
        <f>IF(H8=0,"",DEVSQ(B8:F8))</f>
        <v/>
      </c>
    </row>
    <row r="9" spans="1:9" x14ac:dyDescent="0.2">
      <c r="A9" s="2" t="s">
        <v>102</v>
      </c>
      <c r="B9" s="36"/>
      <c r="C9" s="36"/>
      <c r="D9" s="36"/>
      <c r="E9" s="36"/>
      <c r="F9" s="37"/>
      <c r="H9" s="5"/>
      <c r="I9" s="6" t="str">
        <f>IF(H9=0,"",DEVSQ(B9:F9))</f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IF(H5*B11&lt;&gt;B12,"Calcul impossible",H5)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selectLockedCells="1"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I40"/>
  <sheetViews>
    <sheetView zoomScaleNormal="100" workbookViewId="0">
      <selection activeCell="C4" sqref="C4"/>
    </sheetView>
  </sheetViews>
  <sheetFormatPr baseColWidth="10" defaultColWidth="10.85546875" defaultRowHeight="12" x14ac:dyDescent="0.2"/>
  <cols>
    <col min="1" max="1" width="24.5703125" style="2" customWidth="1"/>
    <col min="2" max="2" width="11.28515625" style="2" customWidth="1"/>
    <col min="3" max="3" width="10.85546875" style="2" customWidth="1"/>
    <col min="4" max="4" width="12.140625" style="2" bestFit="1" customWidth="1"/>
    <col min="5" max="6" width="10.28515625" style="2" customWidth="1"/>
    <col min="7" max="7" width="3.5703125" style="2" customWidth="1"/>
    <col min="8" max="8" width="6.42578125" style="2" customWidth="1"/>
    <col min="9" max="9" width="11.5703125" style="2" customWidth="1"/>
    <col min="10" max="10" width="10.85546875" style="2" customWidth="1"/>
    <col min="11" max="16384" width="10.85546875" style="2"/>
  </cols>
  <sheetData>
    <row r="1" spans="1:9" ht="13.5" thickBot="1" x14ac:dyDescent="0.25">
      <c r="A1" s="10" t="s">
        <v>27</v>
      </c>
    </row>
    <row r="2" spans="1:9" ht="13.5" thickBot="1" x14ac:dyDescent="0.25">
      <c r="A2" s="3" t="s">
        <v>40</v>
      </c>
      <c r="B2" s="4">
        <v>120</v>
      </c>
    </row>
    <row r="4" spans="1:9" x14ac:dyDescent="0.2"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H4" s="2" t="s">
        <v>22</v>
      </c>
      <c r="I4" s="2" t="s">
        <v>23</v>
      </c>
    </row>
    <row r="5" spans="1:9" x14ac:dyDescent="0.2">
      <c r="A5" s="2" t="s">
        <v>98</v>
      </c>
      <c r="B5" s="36"/>
      <c r="C5" s="36"/>
      <c r="D5" s="36"/>
      <c r="E5" s="37"/>
      <c r="F5" s="37"/>
      <c r="H5" s="5"/>
      <c r="I5" s="6"/>
    </row>
    <row r="6" spans="1:9" x14ac:dyDescent="0.2">
      <c r="A6" s="2" t="s">
        <v>99</v>
      </c>
      <c r="B6" s="36" t="e">
        <f>#REF!*$B$2</f>
        <v>#REF!</v>
      </c>
      <c r="C6" s="36" t="e">
        <f>#REF!*$B$2</f>
        <v>#REF!</v>
      </c>
      <c r="D6" s="36"/>
      <c r="E6" s="37"/>
      <c r="F6" s="37"/>
      <c r="H6" s="5">
        <f>COUNT(B6:F6)</f>
        <v>0</v>
      </c>
      <c r="I6" s="6" t="str">
        <f>IF(H6=0,"",DEVSQ(B6:F6))</f>
        <v/>
      </c>
    </row>
    <row r="7" spans="1:9" x14ac:dyDescent="0.2">
      <c r="A7" s="2" t="s">
        <v>100</v>
      </c>
      <c r="B7" s="36" t="e">
        <f>#REF!*$B$2</f>
        <v>#REF!</v>
      </c>
      <c r="C7" s="36" t="e">
        <f>#REF!*$B$2</f>
        <v>#REF!</v>
      </c>
      <c r="D7" s="36"/>
      <c r="E7" s="37"/>
      <c r="F7" s="37"/>
      <c r="H7" s="5">
        <f>COUNT(B7:F7)</f>
        <v>0</v>
      </c>
      <c r="I7" s="6" t="str">
        <f>IF(H7=0,"",DEVSQ(B7:F7))</f>
        <v/>
      </c>
    </row>
    <row r="8" spans="1:9" x14ac:dyDescent="0.2">
      <c r="A8" s="2" t="s">
        <v>101</v>
      </c>
      <c r="B8" s="36" t="e">
        <f>#REF!*$B$2</f>
        <v>#REF!</v>
      </c>
      <c r="C8" s="36" t="e">
        <f>#REF!*$B$2</f>
        <v>#REF!</v>
      </c>
      <c r="D8" s="37"/>
      <c r="E8" s="37"/>
      <c r="F8" s="37"/>
      <c r="H8" s="5">
        <f t="shared" ref="H8:H9" si="0">COUNT(B8:F8)</f>
        <v>0</v>
      </c>
      <c r="I8" s="6" t="str">
        <f t="shared" ref="I8:I9" si="1">IF(H8=0,"",DEVSQ(B8:F8))</f>
        <v/>
      </c>
    </row>
    <row r="9" spans="1:9" x14ac:dyDescent="0.2">
      <c r="A9" s="2" t="s">
        <v>102</v>
      </c>
      <c r="B9" s="36" t="e">
        <f>#REF!*$B$2</f>
        <v>#REF!</v>
      </c>
      <c r="C9" s="36" t="e">
        <f>#REF!*$B$2</f>
        <v>#REF!</v>
      </c>
      <c r="D9" s="37"/>
      <c r="E9" s="37"/>
      <c r="F9" s="37"/>
      <c r="H9" s="5">
        <f t="shared" si="0"/>
        <v>0</v>
      </c>
      <c r="I9" s="6" t="str">
        <f t="shared" si="1"/>
        <v/>
      </c>
    </row>
    <row r="10" spans="1:9" s="3" customFormat="1" ht="12.75" x14ac:dyDescent="0.2"/>
    <row r="11" spans="1:9" x14ac:dyDescent="0.2">
      <c r="A11" s="2" t="s">
        <v>103</v>
      </c>
      <c r="B11" s="2">
        <f>COUNT(B5:B9)</f>
        <v>0</v>
      </c>
      <c r="C11" s="7"/>
    </row>
    <row r="12" spans="1:9" x14ac:dyDescent="0.2">
      <c r="A12" s="2" t="s">
        <v>104</v>
      </c>
      <c r="B12" s="2">
        <f>COUNT(B5:F9)</f>
        <v>0</v>
      </c>
      <c r="C12" s="7"/>
    </row>
    <row r="13" spans="1:9" x14ac:dyDescent="0.2">
      <c r="A13" s="2" t="s">
        <v>105</v>
      </c>
      <c r="B13" s="2">
        <f>IF(H6*B11&lt;&gt;B12,"Calcul impossible",H6)</f>
        <v>0</v>
      </c>
      <c r="C13" s="7"/>
    </row>
    <row r="14" spans="1:9" x14ac:dyDescent="0.2">
      <c r="A14" s="2" t="s">
        <v>106</v>
      </c>
      <c r="B14" s="12">
        <f>SUM(I5:I9)</f>
        <v>0</v>
      </c>
      <c r="C14" s="7"/>
    </row>
    <row r="15" spans="1:9" x14ac:dyDescent="0.2">
      <c r="A15" s="2" t="s">
        <v>107</v>
      </c>
      <c r="B15" s="12" t="e">
        <f>DEVSQ(B5:F9)</f>
        <v>#REF!</v>
      </c>
      <c r="C15" s="7"/>
    </row>
    <row r="16" spans="1:9" x14ac:dyDescent="0.2">
      <c r="A16" s="2" t="s">
        <v>108</v>
      </c>
      <c r="B16" s="12" t="e">
        <f>B15-B14</f>
        <v>#REF!</v>
      </c>
      <c r="C16" s="7"/>
    </row>
    <row r="17" spans="1:9" x14ac:dyDescent="0.2">
      <c r="A17" s="2" t="s">
        <v>109</v>
      </c>
      <c r="B17" s="12" t="e">
        <f>((B16/(B11-1))-B18)/B13</f>
        <v>#REF!</v>
      </c>
      <c r="C17" s="7"/>
    </row>
    <row r="18" spans="1:9" x14ac:dyDescent="0.2">
      <c r="A18" s="2" t="s">
        <v>110</v>
      </c>
      <c r="B18" s="12" t="e">
        <f>B14/(B12-B11)</f>
        <v>#DIV/0!</v>
      </c>
      <c r="C18" s="7"/>
    </row>
    <row r="19" spans="1:9" x14ac:dyDescent="0.2">
      <c r="A19" s="2" t="s">
        <v>111</v>
      </c>
      <c r="B19" s="12" t="e">
        <f>IF(B17&lt;0,0,B17)</f>
        <v>#REF!</v>
      </c>
      <c r="C19" s="7"/>
    </row>
    <row r="20" spans="1:9" x14ac:dyDescent="0.2">
      <c r="A20" s="2" t="s">
        <v>112</v>
      </c>
      <c r="B20" s="12" t="e">
        <f>SUM(B18:B19)</f>
        <v>#DIV/0!</v>
      </c>
      <c r="C20" s="7"/>
    </row>
    <row r="21" spans="1:9" s="3" customFormat="1" ht="12.75" x14ac:dyDescent="0.2">
      <c r="A21" s="3" t="s">
        <v>113</v>
      </c>
    </row>
    <row r="22" spans="1:9" x14ac:dyDescent="0.2">
      <c r="A22" s="2" t="s">
        <v>41</v>
      </c>
      <c r="B22" s="12" t="e">
        <f>AVERAGE(B5:F9)</f>
        <v>#REF!</v>
      </c>
      <c r="C22" s="7"/>
    </row>
    <row r="23" spans="1:9" ht="12" customHeight="1" x14ac:dyDescent="0.2">
      <c r="A23" s="2" t="s">
        <v>42</v>
      </c>
      <c r="B23" s="12" t="e">
        <f>SQRT(B18)</f>
        <v>#DIV/0!</v>
      </c>
      <c r="C23" s="7"/>
    </row>
    <row r="24" spans="1:9" x14ac:dyDescent="0.2">
      <c r="A24" s="2" t="s">
        <v>43</v>
      </c>
      <c r="B24" s="12" t="e">
        <f>SQRT(B19)</f>
        <v>#REF!</v>
      </c>
      <c r="C24" s="7"/>
    </row>
    <row r="25" spans="1:9" x14ac:dyDescent="0.2">
      <c r="A25" s="2" t="s">
        <v>44</v>
      </c>
      <c r="B25" s="12" t="e">
        <f>SQRT(B20)</f>
        <v>#DIV/0!</v>
      </c>
      <c r="C25" s="7"/>
    </row>
    <row r="26" spans="1:9" s="3" customFormat="1" ht="12.75" x14ac:dyDescent="0.2">
      <c r="A26" s="3" t="s">
        <v>114</v>
      </c>
    </row>
    <row r="27" spans="1:9" ht="15" x14ac:dyDescent="0.25">
      <c r="A27" s="2" t="s">
        <v>50</v>
      </c>
      <c r="B27" s="9" t="e">
        <f>B22/B2-1</f>
        <v>#REF!</v>
      </c>
      <c r="C27" s="7"/>
    </row>
    <row r="28" spans="1:9" s="3" customFormat="1" ht="12.75" x14ac:dyDescent="0.2">
      <c r="A28" s="3" t="s">
        <v>115</v>
      </c>
    </row>
    <row r="29" spans="1:9" x14ac:dyDescent="0.2">
      <c r="A29" s="2" t="s">
        <v>45</v>
      </c>
      <c r="B29" s="6" t="e">
        <f>B19/B18</f>
        <v>#REF!</v>
      </c>
      <c r="C29" s="7"/>
    </row>
    <row r="30" spans="1:9" x14ac:dyDescent="0.2">
      <c r="A30" s="2" t="s">
        <v>116</v>
      </c>
      <c r="B30" s="6" t="e">
        <f>(B29+1)/(B13*B29+1)</f>
        <v>#REF!</v>
      </c>
      <c r="C30" s="7"/>
    </row>
    <row r="31" spans="1:9" x14ac:dyDescent="0.2">
      <c r="A31" s="2" t="s">
        <v>46</v>
      </c>
      <c r="B31" s="6" t="e">
        <f>SQRT(1+1/(B12*B30))</f>
        <v>#REF!</v>
      </c>
      <c r="C31" s="7"/>
    </row>
    <row r="32" spans="1:9" x14ac:dyDescent="0.2">
      <c r="A32" s="2" t="s">
        <v>47</v>
      </c>
      <c r="B32" s="6" t="e">
        <f>(B29+1)^2/((B29+1/B13)^2/(B11-1)+(1-1/B13)/B12)</f>
        <v>#REF!</v>
      </c>
      <c r="C32" s="7"/>
      <c r="I32" s="6"/>
    </row>
    <row r="33" spans="1:3" x14ac:dyDescent="0.2">
      <c r="A33" s="2" t="s">
        <v>29</v>
      </c>
      <c r="B33" s="6" t="e">
        <f>Récapitulatif!C2</f>
        <v>#REF!</v>
      </c>
      <c r="C33" s="7"/>
    </row>
    <row r="34" spans="1:3" x14ac:dyDescent="0.2">
      <c r="A34" s="2" t="s">
        <v>117</v>
      </c>
      <c r="B34" s="6" t="e">
        <f>TINV(1-B33,ROUNDDOWN(B32,0))</f>
        <v>#REF!</v>
      </c>
      <c r="C34" s="7"/>
    </row>
    <row r="35" spans="1:3" x14ac:dyDescent="0.2">
      <c r="A35" s="2" t="s">
        <v>118</v>
      </c>
      <c r="B35" s="6" t="e">
        <f>TINV(1-B33,ROUNDUP(B32,0))</f>
        <v>#REF!</v>
      </c>
      <c r="C35" s="7"/>
    </row>
    <row r="36" spans="1:3" x14ac:dyDescent="0.2">
      <c r="A36" s="2" t="s">
        <v>119</v>
      </c>
      <c r="B36" s="6" t="e">
        <f>B34-(B34-B35)*(B32-ROUNDDOWN(B32,0))</f>
        <v>#REF!</v>
      </c>
      <c r="C36" s="7"/>
    </row>
    <row r="37" spans="1:3" x14ac:dyDescent="0.2">
      <c r="A37" s="2" t="s">
        <v>120</v>
      </c>
      <c r="B37" s="6" t="e">
        <f>B36*B31</f>
        <v>#REF!</v>
      </c>
      <c r="C37" s="7"/>
    </row>
    <row r="38" spans="1:3" s="3" customFormat="1" ht="12.75" x14ac:dyDescent="0.2">
      <c r="A38" s="3" t="s">
        <v>121</v>
      </c>
    </row>
    <row r="39" spans="1:3" x14ac:dyDescent="0.2">
      <c r="A39" s="2" t="s">
        <v>48</v>
      </c>
      <c r="B39" s="6" t="e">
        <f>B22-B37*B25</f>
        <v>#REF!</v>
      </c>
      <c r="C39" s="7"/>
    </row>
    <row r="40" spans="1:3" x14ac:dyDescent="0.2">
      <c r="A40" s="2" t="s">
        <v>49</v>
      </c>
      <c r="B40" s="6" t="e">
        <f>B22+B37*B25</f>
        <v>#REF!</v>
      </c>
      <c r="C40" s="7"/>
    </row>
  </sheetData>
  <sheetProtection pivotTables="0"/>
  <printOptions headings="1" gridLines="1"/>
  <pageMargins left="0.78740157499999996" right="0.78740157499999996" top="0.56999999999999995" bottom="0.56999999999999995" header="0.33" footer="0.34"/>
  <pageSetup paperSize="9" scale="96" orientation="landscape" horizontalDpi="300" verticalDpi="300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Feuilles de calcul</vt:lpstr>
      </vt:variant>
      <vt:variant>
        <vt:i4>8</vt:i4>
      </vt:variant>
      <vt:variant>
        <vt:lpstr>Graphiques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GR&amp;R croisé</vt:lpstr>
      <vt:lpstr>Gage R&amp;R emboité</vt:lpstr>
      <vt:lpstr>Récapitulatif</vt:lpstr>
      <vt:lpstr>80%</vt:lpstr>
      <vt:lpstr>90%</vt:lpstr>
      <vt:lpstr>100%</vt:lpstr>
      <vt:lpstr>110%</vt:lpstr>
      <vt:lpstr>120%</vt:lpstr>
      <vt:lpstr>Graph Profil</vt:lpstr>
      <vt:lpstr>'80%'!Zone_d_impression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dcterms:created xsi:type="dcterms:W3CDTF">2017-02-03T08:41:23Z</dcterms:created>
  <dcterms:modified xsi:type="dcterms:W3CDTF">2025-11-18T08:43:22Z</dcterms:modified>
</cp:coreProperties>
</file>