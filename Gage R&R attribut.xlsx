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codeName="DieseArbeitsmappe"/>
  <mc:AlternateContent xmlns:mc="http://schemas.openxmlformats.org/markup-compatibility/2006">
    <mc:Choice Requires="x15">
      <x15ac:absPath xmlns:x15ac="http://schemas.microsoft.com/office/spreadsheetml/2010/11/ac" url="D:\Document de Validation L\"/>
    </mc:Choice>
  </mc:AlternateContent>
  <xr:revisionPtr revIDLastSave="0" documentId="13_ncr:1_{7E2FE6D2-6068-475D-BC66-AB2B259481D7}" xr6:coauthVersionLast="47" xr6:coauthVersionMax="47" xr10:uidLastSave="{00000000-0000-0000-0000-000000000000}"/>
  <bookViews>
    <workbookView xWindow="-120" yWindow="-120" windowWidth="29040" windowHeight="15720" tabRatio="681" xr2:uid="{00000000-000D-0000-FFFF-FFFF00000000}"/>
  </bookViews>
  <sheets>
    <sheet name="Plan de test" sheetId="8" r:id="rId1"/>
    <sheet name="Testeur 1" sheetId="7" r:id="rId2"/>
    <sheet name="Testeur 2" sheetId="16" r:id="rId3"/>
    <sheet name="Testeur 3" sheetId="17" r:id="rId4"/>
    <sheet name="Conclusion" sheetId="14" r:id="rId5"/>
    <sheet name="Module3" sheetId="6" state="veryHidden" r:id="rId6"/>
  </sheets>
  <definedNames>
    <definedName name="_xlnm._FilterDatabase" localSheetId="1" hidden="1">'Testeur 1'!$B$9:$E$32</definedName>
    <definedName name="_xlnm._FilterDatabase" localSheetId="2" hidden="1">'Testeur 2'!$B$9:$E$32</definedName>
    <definedName name="_xlnm._FilterDatabase" localSheetId="3" hidden="1">'Testeur 3'!$B$9:$E$32</definedName>
    <definedName name="_xlnm.Print_Area" localSheetId="4">Conclusion!$B$2:$K$42</definedName>
    <definedName name="_xlnm.Print_Area" localSheetId="0">'Plan de test'!$B$4:$H$32</definedName>
    <definedName name="_xlnm.Print_Area" localSheetId="1">'Testeur 1'!$B$4:$E$31</definedName>
    <definedName name="_xlnm.Print_Area" localSheetId="2">'Testeur 2'!$B$4:$E$31</definedName>
    <definedName name="_xlnm.Print_Area" localSheetId="3">'Testeur 3'!$B$4:$E$31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13" i="8" l="1"/>
  <c r="H14" i="8"/>
  <c r="H15" i="8"/>
  <c r="H16" i="8"/>
  <c r="H17" i="8"/>
  <c r="H18" i="8"/>
  <c r="H19" i="8"/>
  <c r="H20" i="8"/>
  <c r="H21" i="8"/>
  <c r="H22" i="8"/>
  <c r="H23" i="8"/>
  <c r="H24" i="8"/>
  <c r="H25" i="8"/>
  <c r="H26" i="8"/>
  <c r="H27" i="8"/>
  <c r="H28" i="8"/>
  <c r="H29" i="8"/>
  <c r="H30" i="8"/>
  <c r="H31" i="8"/>
  <c r="H12" i="8"/>
  <c r="G29" i="17"/>
  <c r="G28" i="17"/>
  <c r="G27" i="17"/>
  <c r="G26" i="17"/>
  <c r="G25" i="17"/>
  <c r="G24" i="17"/>
  <c r="G23" i="17"/>
  <c r="G22" i="17"/>
  <c r="G21" i="17"/>
  <c r="G20" i="17"/>
  <c r="G19" i="17"/>
  <c r="G18" i="17"/>
  <c r="G17" i="17"/>
  <c r="G16" i="17"/>
  <c r="G15" i="17"/>
  <c r="G14" i="17"/>
  <c r="G13" i="17"/>
  <c r="G12" i="17"/>
  <c r="G11" i="17"/>
  <c r="G10" i="17"/>
  <c r="G29" i="16"/>
  <c r="G28" i="16"/>
  <c r="G27" i="16"/>
  <c r="G26" i="16"/>
  <c r="G25" i="16"/>
  <c r="G24" i="16"/>
  <c r="G23" i="16"/>
  <c r="G22" i="16"/>
  <c r="G21" i="16"/>
  <c r="G20" i="16"/>
  <c r="G19" i="16"/>
  <c r="G18" i="16"/>
  <c r="G17" i="16"/>
  <c r="G16" i="16"/>
  <c r="G15" i="16"/>
  <c r="G14" i="16"/>
  <c r="G13" i="16"/>
  <c r="G12" i="16"/>
  <c r="G11" i="16"/>
  <c r="G10" i="16"/>
  <c r="G11" i="7"/>
  <c r="G12" i="7"/>
  <c r="G13" i="7"/>
  <c r="G14" i="7"/>
  <c r="G15" i="7"/>
  <c r="G16" i="7"/>
  <c r="G17" i="7"/>
  <c r="G18" i="7"/>
  <c r="G19" i="7"/>
  <c r="G20" i="7"/>
  <c r="G21" i="7"/>
  <c r="G22" i="7"/>
  <c r="G23" i="7"/>
  <c r="G24" i="7"/>
  <c r="G25" i="7"/>
  <c r="G26" i="7"/>
  <c r="G27" i="7"/>
  <c r="G28" i="7"/>
  <c r="G29" i="7"/>
  <c r="G10" i="7"/>
  <c r="G12" i="8"/>
  <c r="G13" i="8"/>
  <c r="G14" i="8"/>
  <c r="G15" i="8"/>
  <c r="G16" i="8"/>
  <c r="G17" i="8"/>
  <c r="G18" i="8"/>
  <c r="G19" i="8"/>
  <c r="G20" i="8"/>
  <c r="G21" i="8"/>
  <c r="G22" i="8"/>
  <c r="G23" i="8"/>
  <c r="G24" i="8"/>
  <c r="G25" i="8"/>
  <c r="G26" i="8"/>
  <c r="G27" i="8"/>
  <c r="G28" i="8"/>
  <c r="G29" i="8"/>
  <c r="G30" i="8"/>
  <c r="G31" i="8"/>
  <c r="I15" i="8"/>
  <c r="F14" i="14"/>
  <c r="I31" i="8"/>
  <c r="I27" i="8"/>
  <c r="H10" i="14"/>
  <c r="H11" i="14"/>
  <c r="H12" i="14"/>
  <c r="H13" i="14"/>
  <c r="H14" i="14"/>
  <c r="H15" i="14"/>
  <c r="H16" i="14"/>
  <c r="H17" i="14"/>
  <c r="H18" i="14"/>
  <c r="H19" i="14"/>
  <c r="H20" i="14"/>
  <c r="H21" i="14"/>
  <c r="H22" i="14"/>
  <c r="H23" i="14"/>
  <c r="H24" i="14"/>
  <c r="H25" i="14"/>
  <c r="H26" i="14"/>
  <c r="H27" i="14"/>
  <c r="H28" i="14"/>
  <c r="H9" i="14"/>
  <c r="I17" i="8"/>
  <c r="D29" i="14" l="1"/>
  <c r="D5" i="17"/>
  <c r="D5" i="16"/>
  <c r="D5" i="7"/>
  <c r="D13" i="14"/>
  <c r="D17" i="14"/>
  <c r="D21" i="14"/>
  <c r="D25" i="14"/>
  <c r="F20" i="14"/>
  <c r="F19" i="14"/>
  <c r="D9" i="14"/>
  <c r="D10" i="14"/>
  <c r="D11" i="14"/>
  <c r="D12" i="14"/>
  <c r="D14" i="14"/>
  <c r="D15" i="14"/>
  <c r="D16" i="14"/>
  <c r="D18" i="14"/>
  <c r="D19" i="14"/>
  <c r="D20" i="14"/>
  <c r="D22" i="14"/>
  <c r="D23" i="14"/>
  <c r="D24" i="14"/>
  <c r="D26" i="14"/>
  <c r="D27" i="14"/>
  <c r="D28" i="14"/>
  <c r="F9" i="14"/>
  <c r="F10" i="14"/>
  <c r="F11" i="14"/>
  <c r="F12" i="14"/>
  <c r="F13" i="14"/>
  <c r="F15" i="14"/>
  <c r="F16" i="14"/>
  <c r="F17" i="14"/>
  <c r="F18" i="14"/>
  <c r="F21" i="14"/>
  <c r="F22" i="14"/>
  <c r="F23" i="14"/>
  <c r="F24" i="14"/>
  <c r="F25" i="14"/>
  <c r="F26" i="14"/>
  <c r="F27" i="14"/>
  <c r="F28" i="14"/>
  <c r="F29" i="14" l="1"/>
  <c r="C10" i="14"/>
  <c r="Z10" i="14" s="1"/>
  <c r="C11" i="14"/>
  <c r="Z11" i="14" s="1"/>
  <c r="C12" i="14"/>
  <c r="Z12" i="14" s="1"/>
  <c r="C13" i="14"/>
  <c r="C14" i="14"/>
  <c r="C15" i="14"/>
  <c r="C16" i="14"/>
  <c r="C17" i="14"/>
  <c r="C18" i="14"/>
  <c r="C19" i="14"/>
  <c r="C20" i="14"/>
  <c r="C21" i="14"/>
  <c r="C22" i="14"/>
  <c r="C23" i="14"/>
  <c r="C24" i="14"/>
  <c r="C25" i="14"/>
  <c r="C26" i="14"/>
  <c r="C27" i="14"/>
  <c r="C28" i="14"/>
  <c r="B28" i="14"/>
  <c r="B10" i="14"/>
  <c r="B11" i="14"/>
  <c r="B12" i="14"/>
  <c r="B13" i="14"/>
  <c r="B14" i="14"/>
  <c r="B15" i="14"/>
  <c r="B16" i="14"/>
  <c r="B17" i="14"/>
  <c r="B18" i="14"/>
  <c r="B19" i="14"/>
  <c r="B20" i="14"/>
  <c r="B21" i="14"/>
  <c r="B22" i="14"/>
  <c r="B23" i="14"/>
  <c r="B24" i="14"/>
  <c r="B25" i="14"/>
  <c r="B26" i="14"/>
  <c r="B27" i="14"/>
  <c r="B9" i="14"/>
  <c r="B29" i="17"/>
  <c r="D29" i="17" s="1"/>
  <c r="F29" i="17" s="1"/>
  <c r="B28" i="17"/>
  <c r="D28" i="17" s="1"/>
  <c r="F28" i="17" s="1"/>
  <c r="B27" i="17"/>
  <c r="D27" i="17" s="1"/>
  <c r="F27" i="17" s="1"/>
  <c r="B26" i="17"/>
  <c r="D26" i="17" s="1"/>
  <c r="F26" i="17" s="1"/>
  <c r="B25" i="17"/>
  <c r="D25" i="17" s="1"/>
  <c r="F25" i="17" s="1"/>
  <c r="B24" i="17"/>
  <c r="D24" i="17" s="1"/>
  <c r="F24" i="17" s="1"/>
  <c r="B23" i="17"/>
  <c r="D23" i="17" s="1"/>
  <c r="F23" i="17" s="1"/>
  <c r="B22" i="17"/>
  <c r="D22" i="17" s="1"/>
  <c r="F22" i="17" s="1"/>
  <c r="B21" i="17"/>
  <c r="D21" i="17" s="1"/>
  <c r="F21" i="17" s="1"/>
  <c r="B20" i="17"/>
  <c r="D20" i="17" s="1"/>
  <c r="F20" i="17" s="1"/>
  <c r="B19" i="17"/>
  <c r="D19" i="17" s="1"/>
  <c r="F19" i="17" s="1"/>
  <c r="B18" i="17"/>
  <c r="D18" i="17" s="1"/>
  <c r="F18" i="17" s="1"/>
  <c r="B17" i="17"/>
  <c r="D17" i="17" s="1"/>
  <c r="F17" i="17" s="1"/>
  <c r="B16" i="17"/>
  <c r="D16" i="17" s="1"/>
  <c r="F16" i="17" s="1"/>
  <c r="B15" i="17"/>
  <c r="D15" i="17" s="1"/>
  <c r="F15" i="17" s="1"/>
  <c r="B14" i="17"/>
  <c r="D14" i="17" s="1"/>
  <c r="F14" i="17" s="1"/>
  <c r="B13" i="17"/>
  <c r="D13" i="17" s="1"/>
  <c r="F13" i="17" s="1"/>
  <c r="B12" i="17"/>
  <c r="D12" i="17" s="1"/>
  <c r="F12" i="17" s="1"/>
  <c r="B11" i="17"/>
  <c r="D11" i="17" s="1"/>
  <c r="F11" i="17" s="1"/>
  <c r="B10" i="17"/>
  <c r="D10" i="17" s="1"/>
  <c r="F10" i="17" s="1"/>
  <c r="B29" i="16"/>
  <c r="D29" i="16" s="1"/>
  <c r="F29" i="16" s="1"/>
  <c r="B28" i="16"/>
  <c r="D28" i="16" s="1"/>
  <c r="F28" i="16" s="1"/>
  <c r="B27" i="16"/>
  <c r="D27" i="16" s="1"/>
  <c r="F27" i="16" s="1"/>
  <c r="B26" i="16"/>
  <c r="D26" i="16" s="1"/>
  <c r="F26" i="16" s="1"/>
  <c r="B25" i="16"/>
  <c r="D25" i="16" s="1"/>
  <c r="F25" i="16" s="1"/>
  <c r="B24" i="16"/>
  <c r="D24" i="16" s="1"/>
  <c r="F24" i="16" s="1"/>
  <c r="B23" i="16"/>
  <c r="D23" i="16" s="1"/>
  <c r="F23" i="16" s="1"/>
  <c r="B22" i="16"/>
  <c r="D22" i="16" s="1"/>
  <c r="F22" i="16" s="1"/>
  <c r="B21" i="16"/>
  <c r="D21" i="16" s="1"/>
  <c r="F21" i="16" s="1"/>
  <c r="B20" i="16"/>
  <c r="D20" i="16" s="1"/>
  <c r="F20" i="16" s="1"/>
  <c r="B19" i="16"/>
  <c r="D19" i="16" s="1"/>
  <c r="F19" i="16" s="1"/>
  <c r="B18" i="16"/>
  <c r="D18" i="16" s="1"/>
  <c r="F18" i="16" s="1"/>
  <c r="B17" i="16"/>
  <c r="D17" i="16" s="1"/>
  <c r="F17" i="16" s="1"/>
  <c r="B16" i="16"/>
  <c r="D16" i="16" s="1"/>
  <c r="F16" i="16" s="1"/>
  <c r="B15" i="16"/>
  <c r="D15" i="16" s="1"/>
  <c r="F15" i="16" s="1"/>
  <c r="B14" i="16"/>
  <c r="D14" i="16" s="1"/>
  <c r="F14" i="16" s="1"/>
  <c r="B13" i="16"/>
  <c r="D13" i="16" s="1"/>
  <c r="F13" i="16" s="1"/>
  <c r="B12" i="16"/>
  <c r="D12" i="16" s="1"/>
  <c r="F12" i="16" s="1"/>
  <c r="B11" i="16"/>
  <c r="D11" i="16" s="1"/>
  <c r="F11" i="16" s="1"/>
  <c r="B10" i="16"/>
  <c r="D10" i="16" s="1"/>
  <c r="F10" i="16" s="1"/>
  <c r="B11" i="7"/>
  <c r="D11" i="7" s="1"/>
  <c r="F11" i="7" s="1"/>
  <c r="B12" i="7"/>
  <c r="D12" i="7" s="1"/>
  <c r="F12" i="7" s="1"/>
  <c r="B13" i="7"/>
  <c r="D13" i="7" s="1"/>
  <c r="F13" i="7" s="1"/>
  <c r="B14" i="7"/>
  <c r="D14" i="7" s="1"/>
  <c r="F14" i="7" s="1"/>
  <c r="B15" i="7"/>
  <c r="D15" i="7" s="1"/>
  <c r="F15" i="7" s="1"/>
  <c r="B16" i="7"/>
  <c r="D16" i="7" s="1"/>
  <c r="F16" i="7" s="1"/>
  <c r="B17" i="7"/>
  <c r="D17" i="7" s="1"/>
  <c r="F17" i="7" s="1"/>
  <c r="B18" i="7"/>
  <c r="D18" i="7" s="1"/>
  <c r="F18" i="7" s="1"/>
  <c r="B19" i="7"/>
  <c r="D19" i="7" s="1"/>
  <c r="F19" i="7" s="1"/>
  <c r="B20" i="7"/>
  <c r="D20" i="7" s="1"/>
  <c r="F20" i="7" s="1"/>
  <c r="B21" i="7"/>
  <c r="D21" i="7" s="1"/>
  <c r="F21" i="7" s="1"/>
  <c r="B22" i="7"/>
  <c r="D22" i="7" s="1"/>
  <c r="F22" i="7" s="1"/>
  <c r="B23" i="7"/>
  <c r="D23" i="7" s="1"/>
  <c r="F23" i="7" s="1"/>
  <c r="B24" i="7"/>
  <c r="D24" i="7" s="1"/>
  <c r="F24" i="7" s="1"/>
  <c r="B25" i="7"/>
  <c r="D25" i="7" s="1"/>
  <c r="F25" i="7" s="1"/>
  <c r="B26" i="7"/>
  <c r="D26" i="7" s="1"/>
  <c r="F26" i="7" s="1"/>
  <c r="B27" i="7"/>
  <c r="D27" i="7" s="1"/>
  <c r="F27" i="7" s="1"/>
  <c r="B28" i="7"/>
  <c r="D28" i="7" s="1"/>
  <c r="F28" i="7" s="1"/>
  <c r="B29" i="7"/>
  <c r="D29" i="7" s="1"/>
  <c r="F29" i="7" s="1"/>
  <c r="B10" i="7"/>
  <c r="D10" i="7" s="1"/>
  <c r="F10" i="7" s="1"/>
  <c r="E13" i="14" s="1"/>
  <c r="Z13" i="14" l="1"/>
  <c r="S13" i="14"/>
  <c r="E20" i="14"/>
  <c r="G20" i="14"/>
  <c r="I20" i="14"/>
  <c r="E27" i="14"/>
  <c r="I27" i="14"/>
  <c r="G27" i="14"/>
  <c r="E23" i="14"/>
  <c r="I23" i="14"/>
  <c r="G23" i="14"/>
  <c r="E19" i="14"/>
  <c r="I19" i="14"/>
  <c r="G19" i="14"/>
  <c r="E15" i="14"/>
  <c r="I15" i="14"/>
  <c r="G15" i="14"/>
  <c r="I11" i="14"/>
  <c r="G11" i="14"/>
  <c r="E11" i="14"/>
  <c r="I9" i="14"/>
  <c r="G9" i="14"/>
  <c r="E9" i="14"/>
  <c r="I16" i="14"/>
  <c r="G16" i="14"/>
  <c r="E16" i="14"/>
  <c r="I26" i="14"/>
  <c r="G26" i="14"/>
  <c r="E26" i="14"/>
  <c r="I22" i="14"/>
  <c r="G22" i="14"/>
  <c r="E22" i="14"/>
  <c r="E18" i="14"/>
  <c r="I18" i="14"/>
  <c r="G18" i="14"/>
  <c r="I14" i="14"/>
  <c r="G14" i="14"/>
  <c r="E14" i="14"/>
  <c r="E10" i="14"/>
  <c r="I10" i="14"/>
  <c r="G10" i="14"/>
  <c r="G24" i="14"/>
  <c r="E24" i="14"/>
  <c r="I24" i="14"/>
  <c r="E12" i="14"/>
  <c r="I12" i="14"/>
  <c r="G12" i="14"/>
  <c r="I25" i="14"/>
  <c r="G25" i="14"/>
  <c r="E25" i="14"/>
  <c r="I21" i="14"/>
  <c r="G21" i="14"/>
  <c r="E21" i="14"/>
  <c r="I17" i="14"/>
  <c r="G17" i="14"/>
  <c r="E17" i="14"/>
  <c r="I13" i="14"/>
  <c r="G13" i="14"/>
  <c r="K32" i="14"/>
  <c r="I28" i="14"/>
  <c r="G28" i="14"/>
  <c r="E28" i="14"/>
  <c r="H29" i="14"/>
  <c r="Z26" i="14"/>
  <c r="Z22" i="14"/>
  <c r="AA22" i="14"/>
  <c r="Z18" i="14"/>
  <c r="AA18" i="14"/>
  <c r="Z14" i="14"/>
  <c r="AA14" i="14"/>
  <c r="AA27" i="14"/>
  <c r="Z27" i="14"/>
  <c r="AA19" i="14"/>
  <c r="Z19" i="14"/>
  <c r="Z25" i="14"/>
  <c r="AA25" i="14"/>
  <c r="Z21" i="14"/>
  <c r="AA21" i="14"/>
  <c r="Z17" i="14"/>
  <c r="AA17" i="14"/>
  <c r="AA23" i="14"/>
  <c r="Z23" i="14"/>
  <c r="AA15" i="14"/>
  <c r="Z15" i="14"/>
  <c r="AA28" i="14"/>
  <c r="Z28" i="14"/>
  <c r="AA24" i="14"/>
  <c r="Z24" i="14"/>
  <c r="Z20" i="14"/>
  <c r="AA16" i="14"/>
  <c r="Z16" i="14"/>
  <c r="AE22" i="14"/>
  <c r="AF22" i="14"/>
  <c r="X22" i="14"/>
  <c r="V22" i="14"/>
  <c r="AC22" i="14"/>
  <c r="S22" i="14"/>
  <c r="U22" i="14"/>
  <c r="AE14" i="14"/>
  <c r="AF14" i="14"/>
  <c r="X14" i="14"/>
  <c r="V14" i="14"/>
  <c r="AC14" i="14"/>
  <c r="U14" i="14"/>
  <c r="S14" i="14"/>
  <c r="AE25" i="14"/>
  <c r="AF25" i="14"/>
  <c r="X25" i="14"/>
  <c r="V25" i="14"/>
  <c r="AC25" i="14"/>
  <c r="S25" i="14"/>
  <c r="U25" i="14"/>
  <c r="AE21" i="14"/>
  <c r="AF21" i="14"/>
  <c r="X21" i="14"/>
  <c r="V21" i="14"/>
  <c r="AC21" i="14"/>
  <c r="S21" i="14"/>
  <c r="U21" i="14"/>
  <c r="AE17" i="14"/>
  <c r="AF17" i="14"/>
  <c r="X17" i="14"/>
  <c r="V17" i="14"/>
  <c r="AC17" i="14"/>
  <c r="S17" i="14"/>
  <c r="U17" i="14"/>
  <c r="AE13" i="14"/>
  <c r="Y13" i="14"/>
  <c r="X13" i="14"/>
  <c r="AC13" i="14"/>
  <c r="T13" i="14"/>
  <c r="U13" i="14"/>
  <c r="AE18" i="14"/>
  <c r="AF18" i="14"/>
  <c r="X18" i="14"/>
  <c r="V18" i="14"/>
  <c r="U18" i="14"/>
  <c r="S18" i="14"/>
  <c r="AC18" i="14"/>
  <c r="AC28" i="14"/>
  <c r="S28" i="14"/>
  <c r="U28" i="14"/>
  <c r="AF28" i="14"/>
  <c r="V28" i="14"/>
  <c r="AE28" i="14"/>
  <c r="X28" i="14"/>
  <c r="AC24" i="14"/>
  <c r="S24" i="14"/>
  <c r="U24" i="14"/>
  <c r="AE24" i="14"/>
  <c r="X24" i="14"/>
  <c r="AF24" i="14"/>
  <c r="V24" i="14"/>
  <c r="AC20" i="14"/>
  <c r="S20" i="14"/>
  <c r="U20" i="14"/>
  <c r="AE20" i="14"/>
  <c r="X20" i="14"/>
  <c r="AC16" i="14"/>
  <c r="S16" i="14"/>
  <c r="U16" i="14"/>
  <c r="AF16" i="14"/>
  <c r="AE16" i="14"/>
  <c r="V16" i="14"/>
  <c r="X16" i="14"/>
  <c r="AC12" i="14"/>
  <c r="S12" i="14"/>
  <c r="U12" i="14"/>
  <c r="AE12" i="14"/>
  <c r="X12" i="14"/>
  <c r="AE26" i="14"/>
  <c r="X26" i="14"/>
  <c r="S26" i="14"/>
  <c r="AC26" i="14"/>
  <c r="U26" i="14"/>
  <c r="AE10" i="14"/>
  <c r="AC10" i="14"/>
  <c r="X10" i="14"/>
  <c r="S10" i="14"/>
  <c r="U10" i="14"/>
  <c r="AE27" i="14"/>
  <c r="AF27" i="14"/>
  <c r="V27" i="14"/>
  <c r="U27" i="14"/>
  <c r="AC27" i="14"/>
  <c r="X27" i="14"/>
  <c r="S27" i="14"/>
  <c r="AE23" i="14"/>
  <c r="AF23" i="14"/>
  <c r="X23" i="14"/>
  <c r="S23" i="14"/>
  <c r="AC23" i="14"/>
  <c r="V23" i="14"/>
  <c r="U23" i="14"/>
  <c r="AE19" i="14"/>
  <c r="AF19" i="14"/>
  <c r="V19" i="14"/>
  <c r="U19" i="14"/>
  <c r="X19" i="14"/>
  <c r="S19" i="14"/>
  <c r="AC19" i="14"/>
  <c r="AE15" i="14"/>
  <c r="AF15" i="14"/>
  <c r="X15" i="14"/>
  <c r="S15" i="14"/>
  <c r="AC15" i="14"/>
  <c r="V15" i="14"/>
  <c r="U15" i="14"/>
  <c r="AE11" i="14"/>
  <c r="AD11" i="14"/>
  <c r="Y11" i="14"/>
  <c r="T11" i="14"/>
  <c r="U11" i="14"/>
  <c r="AC11" i="14"/>
  <c r="X11" i="14"/>
  <c r="S11" i="14"/>
  <c r="I30" i="8"/>
  <c r="I29" i="8"/>
  <c r="I28" i="8"/>
  <c r="I13" i="8"/>
  <c r="I14" i="8"/>
  <c r="I16" i="8"/>
  <c r="I18" i="8"/>
  <c r="I19" i="8"/>
  <c r="I20" i="8"/>
  <c r="I21" i="8"/>
  <c r="I22" i="8"/>
  <c r="I23" i="8"/>
  <c r="I24" i="8"/>
  <c r="I25" i="8"/>
  <c r="I26" i="8"/>
  <c r="I12" i="8"/>
  <c r="AD13" i="14" l="1"/>
  <c r="J29" i="14" l="1"/>
  <c r="H32" i="14" l="1"/>
  <c r="F32" i="14"/>
  <c r="D32" i="14" l="1"/>
  <c r="C9" i="14" l="1"/>
  <c r="Z9" i="14" s="1"/>
  <c r="N12" i="14" l="1"/>
  <c r="Y21" i="14"/>
  <c r="AD21" i="14"/>
  <c r="L21" i="14"/>
  <c r="AA20" i="14"/>
  <c r="V20" i="14"/>
  <c r="AF20" i="14"/>
  <c r="L9" i="14"/>
  <c r="M9" i="14"/>
  <c r="N9" i="14"/>
  <c r="AA26" i="14"/>
  <c r="AF26" i="14"/>
  <c r="V26" i="14"/>
  <c r="AD10" i="14"/>
  <c r="Y10" i="14"/>
  <c r="T10" i="14"/>
  <c r="AF12" i="14"/>
  <c r="AD9" i="14"/>
  <c r="T9" i="14"/>
  <c r="U9" i="14"/>
  <c r="AE9" i="14"/>
  <c r="S9" i="14"/>
  <c r="AC9" i="14"/>
  <c r="X9" i="14"/>
  <c r="Y9" i="14"/>
  <c r="AD12" i="14" l="1"/>
  <c r="V12" i="14"/>
  <c r="T12" i="14"/>
  <c r="M12" i="14"/>
  <c r="Y12" i="14"/>
  <c r="T21" i="14"/>
  <c r="L12" i="14"/>
  <c r="AA12" i="14"/>
  <c r="M21" i="14"/>
  <c r="L23" i="14"/>
  <c r="T23" i="14"/>
  <c r="Y23" i="14"/>
  <c r="M23" i="14"/>
  <c r="N23" i="14"/>
  <c r="AD23" i="14"/>
  <c r="Y22" i="14"/>
  <c r="M22" i="14"/>
  <c r="T22" i="14"/>
  <c r="L22" i="14"/>
  <c r="AD22" i="14"/>
  <c r="N22" i="14"/>
  <c r="L24" i="14"/>
  <c r="T24" i="14"/>
  <c r="N21" i="14"/>
  <c r="M24" i="14"/>
  <c r="Y24" i="14"/>
  <c r="N24" i="14"/>
  <c r="AD24" i="14"/>
  <c r="AD17" i="14"/>
  <c r="N17" i="14"/>
  <c r="L17" i="14"/>
  <c r="T17" i="14"/>
  <c r="M17" i="14"/>
  <c r="Y17" i="14"/>
  <c r="T16" i="14"/>
  <c r="L16" i="14"/>
  <c r="M16" i="14"/>
  <c r="Y16" i="14"/>
  <c r="AD16" i="14"/>
  <c r="N16" i="14"/>
  <c r="M14" i="14"/>
  <c r="Y14" i="14"/>
  <c r="T14" i="14"/>
  <c r="L14" i="14"/>
  <c r="N14" i="14"/>
  <c r="AD14" i="14"/>
  <c r="V9" i="14"/>
  <c r="M19" i="14"/>
  <c r="Y19" i="14"/>
  <c r="T19" i="14"/>
  <c r="L19" i="14"/>
  <c r="AD19" i="14"/>
  <c r="N19" i="14"/>
  <c r="N20" i="14"/>
  <c r="AD20" i="14"/>
  <c r="L20" i="14"/>
  <c r="T20" i="14"/>
  <c r="Y20" i="14"/>
  <c r="M20" i="14"/>
  <c r="AD15" i="14"/>
  <c r="N15" i="14"/>
  <c r="L15" i="14"/>
  <c r="T15" i="14"/>
  <c r="AF9" i="14"/>
  <c r="M15" i="14"/>
  <c r="Y15" i="14"/>
  <c r="AA9" i="14"/>
  <c r="O9" i="14"/>
  <c r="P9" i="14" s="1"/>
  <c r="L25" i="14"/>
  <c r="T25" i="14"/>
  <c r="M25" i="14"/>
  <c r="Y25" i="14"/>
  <c r="N25" i="14"/>
  <c r="AD25" i="14"/>
  <c r="N28" i="14"/>
  <c r="AD28" i="14"/>
  <c r="Y28" i="14"/>
  <c r="M28" i="14"/>
  <c r="T28" i="14"/>
  <c r="L28" i="14"/>
  <c r="N10" i="14"/>
  <c r="AF10" i="14"/>
  <c r="T26" i="14"/>
  <c r="L26" i="14"/>
  <c r="V10" i="14"/>
  <c r="L10" i="14"/>
  <c r="N26" i="14"/>
  <c r="AD26" i="14"/>
  <c r="AA10" i="14"/>
  <c r="M10" i="14"/>
  <c r="M26" i="14"/>
  <c r="Y26" i="14"/>
  <c r="V11" i="14"/>
  <c r="L11" i="14"/>
  <c r="T27" i="14"/>
  <c r="L27" i="14"/>
  <c r="AA11" i="14"/>
  <c r="M11" i="14"/>
  <c r="AD27" i="14"/>
  <c r="N27" i="14"/>
  <c r="N11" i="14"/>
  <c r="AF11" i="14"/>
  <c r="M27" i="14"/>
  <c r="Y27" i="14"/>
  <c r="N13" i="14"/>
  <c r="AF13" i="14"/>
  <c r="L18" i="14"/>
  <c r="T18" i="14"/>
  <c r="Y18" i="14"/>
  <c r="M18" i="14"/>
  <c r="N18" i="14"/>
  <c r="AD18" i="14"/>
  <c r="V13" i="14"/>
  <c r="L13" i="14"/>
  <c r="M13" i="14"/>
  <c r="AA13" i="14"/>
  <c r="H35" i="14" l="1"/>
  <c r="D35" i="14"/>
  <c r="F35" i="14"/>
  <c r="H36" i="14"/>
  <c r="F36" i="14"/>
  <c r="D36" i="14"/>
  <c r="J9" i="14"/>
  <c r="Q9" i="14"/>
  <c r="K9" i="14" s="1"/>
  <c r="O12" i="14"/>
  <c r="P12" i="14" s="1"/>
  <c r="O21" i="14"/>
  <c r="P21" i="14" s="1"/>
  <c r="J21" i="14" s="1"/>
  <c r="O22" i="14"/>
  <c r="P22" i="14" s="1"/>
  <c r="J22" i="14" s="1"/>
  <c r="O23" i="14"/>
  <c r="P23" i="14" s="1"/>
  <c r="O20" i="14"/>
  <c r="P20" i="14" s="1"/>
  <c r="Q20" i="14" s="1"/>
  <c r="K20" i="14" s="1"/>
  <c r="O24" i="14"/>
  <c r="P24" i="14" s="1"/>
  <c r="Q24" i="14" s="1"/>
  <c r="O14" i="14"/>
  <c r="P14" i="14" s="1"/>
  <c r="Q14" i="14" s="1"/>
  <c r="K14" i="14" s="1"/>
  <c r="O17" i="14"/>
  <c r="P17" i="14" s="1"/>
  <c r="J17" i="14" s="1"/>
  <c r="O16" i="14"/>
  <c r="P16" i="14" s="1"/>
  <c r="O19" i="14"/>
  <c r="P19" i="14" s="1"/>
  <c r="O15" i="14"/>
  <c r="P15" i="14" s="1"/>
  <c r="O25" i="14"/>
  <c r="P25" i="14" s="1"/>
  <c r="O28" i="14"/>
  <c r="P28" i="14" s="1"/>
  <c r="O26" i="14"/>
  <c r="P26" i="14" s="1"/>
  <c r="O10" i="14"/>
  <c r="P10" i="14" s="1"/>
  <c r="Q10" i="14" s="1"/>
  <c r="O27" i="14"/>
  <c r="P27" i="14" s="1"/>
  <c r="O11" i="14"/>
  <c r="P11" i="14" s="1"/>
  <c r="Q11" i="14" s="1"/>
  <c r="O13" i="14"/>
  <c r="P13" i="14" s="1"/>
  <c r="O18" i="14"/>
  <c r="P18" i="14" s="1"/>
  <c r="D38" i="14" l="1"/>
  <c r="E42" i="14" s="1"/>
  <c r="D37" i="14"/>
  <c r="E41" i="14" s="1"/>
  <c r="Q12" i="14"/>
  <c r="K12" i="14" s="1"/>
  <c r="J12" i="14"/>
  <c r="Q22" i="14"/>
  <c r="K22" i="14" s="1"/>
  <c r="Q21" i="14"/>
  <c r="K21" i="14" s="1"/>
  <c r="Q23" i="14"/>
  <c r="K23" i="14" s="1"/>
  <c r="J23" i="14"/>
  <c r="J20" i="14"/>
  <c r="J14" i="14"/>
  <c r="K24" i="14"/>
  <c r="J24" i="14"/>
  <c r="Q17" i="14"/>
  <c r="K17" i="14" s="1"/>
  <c r="Q16" i="14"/>
  <c r="K16" i="14" s="1"/>
  <c r="J16" i="14"/>
  <c r="J19" i="14"/>
  <c r="Q19" i="14"/>
  <c r="K19" i="14" s="1"/>
  <c r="Q15" i="14"/>
  <c r="K15" i="14" s="1"/>
  <c r="J15" i="14"/>
  <c r="J25" i="14"/>
  <c r="Q25" i="14"/>
  <c r="K25" i="14" s="1"/>
  <c r="Q28" i="14"/>
  <c r="K28" i="14" s="1"/>
  <c r="J28" i="14"/>
  <c r="J10" i="14"/>
  <c r="K10" i="14"/>
  <c r="J26" i="14"/>
  <c r="Q26" i="14"/>
  <c r="K26" i="14" s="1"/>
  <c r="J11" i="14"/>
  <c r="K11" i="14"/>
  <c r="Q27" i="14"/>
  <c r="K27" i="14" s="1"/>
  <c r="J27" i="14"/>
  <c r="Q13" i="14"/>
  <c r="K13" i="14" s="1"/>
  <c r="J13" i="14"/>
  <c r="Q18" i="14"/>
  <c r="K18" i="14" s="1"/>
  <c r="J18" i="14"/>
  <c r="H30" i="14" l="1"/>
  <c r="F30" i="14"/>
  <c r="D30" i="14"/>
  <c r="J30" i="14"/>
  <c r="K33" i="14"/>
  <c r="J31" i="14" l="1"/>
  <c r="H31" i="14"/>
  <c r="D31" i="14"/>
  <c r="D33" i="14"/>
  <c r="K34" i="14"/>
  <c r="E40" i="14" l="1"/>
  <c r="F33" i="14"/>
  <c r="F31" i="14"/>
  <c r="D34" i="14"/>
  <c r="F34" i="14" l="1"/>
  <c r="H33" i="14"/>
  <c r="H34" i="14" l="1"/>
</calcChain>
</file>

<file path=xl/sharedStrings.xml><?xml version="1.0" encoding="utf-8"?>
<sst xmlns="http://schemas.openxmlformats.org/spreadsheetml/2006/main" count="281" uniqueCount="99">
  <si>
    <t>&lt; 80 %</t>
  </si>
  <si>
    <t>&gt; 10 %</t>
  </si>
  <si>
    <t>&gt; 5 %</t>
  </si>
  <si>
    <t>Description</t>
  </si>
  <si>
    <t>Decision</t>
  </si>
  <si>
    <t>Acceptable</t>
  </si>
  <si>
    <t>Marginal</t>
  </si>
  <si>
    <t>Total</t>
  </si>
  <si>
    <t>Result</t>
  </si>
  <si>
    <t>Date</t>
  </si>
  <si>
    <t>Equipment</t>
  </si>
  <si>
    <r>
      <t>&gt;</t>
    </r>
    <r>
      <rPr>
        <sz val="12"/>
        <rFont val="Arial"/>
        <family val="2"/>
      </rPr>
      <t xml:space="preserve"> 90 %</t>
    </r>
  </si>
  <si>
    <r>
      <t>&lt;</t>
    </r>
    <r>
      <rPr>
        <sz val="12"/>
        <rFont val="Arial"/>
        <family val="2"/>
      </rPr>
      <t xml:space="preserve"> 2 %</t>
    </r>
  </si>
  <si>
    <r>
      <t>&lt;</t>
    </r>
    <r>
      <rPr>
        <sz val="12"/>
        <rFont val="Arial"/>
        <family val="2"/>
      </rPr>
      <t xml:space="preserve"> 5 %</t>
    </r>
  </si>
  <si>
    <r>
      <t>&gt;</t>
    </r>
    <r>
      <rPr>
        <sz val="12"/>
        <rFont val="Arial"/>
        <family val="2"/>
      </rPr>
      <t xml:space="preserve"> 80  - &lt; 90 %</t>
    </r>
  </si>
  <si>
    <r>
      <t xml:space="preserve">&gt; 2 - </t>
    </r>
    <r>
      <rPr>
        <u/>
        <sz val="12"/>
        <rFont val="Arial"/>
        <family val="2"/>
      </rPr>
      <t>&lt;</t>
    </r>
    <r>
      <rPr>
        <sz val="12"/>
        <rFont val="Arial"/>
        <family val="2"/>
      </rPr>
      <t xml:space="preserve"> 5 %</t>
    </r>
  </si>
  <si>
    <r>
      <t xml:space="preserve">&gt; 5 - </t>
    </r>
    <r>
      <rPr>
        <u/>
        <sz val="12"/>
        <rFont val="Arial"/>
        <family val="2"/>
      </rPr>
      <t>&lt;</t>
    </r>
    <r>
      <rPr>
        <sz val="12"/>
        <rFont val="Arial"/>
        <family val="2"/>
      </rPr>
      <t xml:space="preserve"> 10 %</t>
    </r>
  </si>
  <si>
    <t>Auteur</t>
  </si>
  <si>
    <t>Lieux</t>
  </si>
  <si>
    <t>N° interne</t>
  </si>
  <si>
    <t>Equipement</t>
  </si>
  <si>
    <t>Programme / Instruction testé</t>
  </si>
  <si>
    <t>N° de la pièce</t>
  </si>
  <si>
    <t>succés</t>
  </si>
  <si>
    <t>échec</t>
  </si>
  <si>
    <t>MSA 4 : mesure par attribut</t>
  </si>
  <si>
    <t>Plan de Test N°1</t>
  </si>
  <si>
    <t>Plan de Test N°2</t>
  </si>
  <si>
    <t>Testeur N°1</t>
  </si>
  <si>
    <t>Testeur N°2</t>
  </si>
  <si>
    <t>Testeur N°3</t>
  </si>
  <si>
    <t>Pièce</t>
  </si>
  <si>
    <t>Attribut testé</t>
  </si>
  <si>
    <t>Critère d'acceptation</t>
  </si>
  <si>
    <t>taille de l'échantillon</t>
  </si>
  <si>
    <t>Inacceptable</t>
  </si>
  <si>
    <t>Testeur 1</t>
  </si>
  <si>
    <t>Testeur 2</t>
  </si>
  <si>
    <t>Testeur 3</t>
  </si>
  <si>
    <t>Efficacité</t>
  </si>
  <si>
    <t>faux -</t>
  </si>
  <si>
    <t>faux +</t>
  </si>
  <si>
    <t>%-Faux Positive</t>
  </si>
  <si>
    <t>%-Faux Negative</t>
  </si>
  <si>
    <t>Résumé</t>
  </si>
  <si>
    <t>Résultat attendu
Xref</t>
  </si>
  <si>
    <t>N° position</t>
  </si>
  <si>
    <t>Vérificateur</t>
  </si>
  <si>
    <t>Date d'approbation</t>
  </si>
  <si>
    <t>Nombre de faux negative</t>
  </si>
  <si>
    <t>Nombre de faux positive</t>
  </si>
  <si>
    <t>Approbateur : Date / Visa</t>
  </si>
  <si>
    <t>Morgan</t>
  </si>
  <si>
    <t>10.06.2017</t>
  </si>
  <si>
    <t>Carlos</t>
  </si>
  <si>
    <t>Microvu</t>
  </si>
  <si>
    <t>09006</t>
  </si>
  <si>
    <t>Contrôle medical</t>
  </si>
  <si>
    <t>contrôleur optique</t>
  </si>
  <si>
    <t>Réf / plan de la pièce</t>
  </si>
  <si>
    <t>voir fiche de résultats</t>
  </si>
  <si>
    <t>selon plan de la pièce</t>
  </si>
  <si>
    <t>côte programmée dans la microvu</t>
  </si>
  <si>
    <t>3 programmes vont être testés (CF testeur dans les fiches de test)</t>
  </si>
  <si>
    <t>programme D3M12 631-04 (P1)</t>
  </si>
  <si>
    <t>programme D3M12 631-04 (P3)</t>
  </si>
  <si>
    <t>Objectif:</t>
  </si>
  <si>
    <t>Le but de ce fichier est d'évaluer une méthode dont l'interprétation est qualitative (conforme/pas conforme)</t>
  </si>
  <si>
    <t>Pour cela, il est possible de challenger la méthode à tester:
- sur 20 pièces (15 bonnes et 5 mauvaises)  numéroté de 1 à 20.
- jusqu'à 3 testeurs/opérateurs
- selon 2 plans de test définis aléatoirement</t>
  </si>
  <si>
    <t>L'auteur donne ainsi ce premier plan de test au testeur 1, 2 et 3 qui  contrôle ce plan de test N°1
L'auteur construit alors le plan de test N°2 qu'il donne aux testeurs 1, 2 et 3 pour un second contrôle</t>
  </si>
  <si>
    <t>Dans l'onglet "Plan de test", l'auteur définie un premier plan de test. Chaque pièce est identifiée par sa position. Elles ne sont pas identifiées elles mêmes sauf si l'identification peut etre cachée de l'opérateur</t>
  </si>
  <si>
    <t>L'auteur donne alors le second plan de test aux testeur 1, 2 et 3</t>
  </si>
  <si>
    <t>les résultats sont alors rentrés dans le fichier Excel aux onglets "testeur" 1 a 3,  qui calcule automatiquement le résultat dans "Conclusion"</t>
  </si>
  <si>
    <t>Répétabilité</t>
  </si>
  <si>
    <t>Répétabilité : rend 2 fois le même résultat pour la même pièce</t>
  </si>
  <si>
    <t>Efficacité : rend le résultat bon résultat a chaque fois</t>
  </si>
  <si>
    <t>Nombre de bonne pièce</t>
  </si>
  <si>
    <t>Nombre de mauvaise pièce</t>
  </si>
  <si>
    <t>Nombre de répétition</t>
  </si>
  <si>
    <t>Nombre de testeur</t>
  </si>
  <si>
    <t>Résultat attendu</t>
  </si>
  <si>
    <t>Résult obtenu</t>
  </si>
  <si>
    <t>Position de la pièce</t>
  </si>
  <si>
    <t>Répétabilité
intra-testeur</t>
  </si>
  <si>
    <t>Efficacité
intra-testeur</t>
  </si>
  <si>
    <t>&lt; Répétabilité
moyenne</t>
  </si>
  <si>
    <t>Efficacité &gt;
moyenne</t>
  </si>
  <si>
    <t>% de faux positive total</t>
  </si>
  <si>
    <t>% de faux negative total</t>
  </si>
  <si>
    <t>exemple de test</t>
  </si>
  <si>
    <t>N° pièce</t>
  </si>
  <si>
    <t>piece</t>
  </si>
  <si>
    <t>plan de test N°1</t>
  </si>
  <si>
    <t>plan de test N°2</t>
  </si>
  <si>
    <t>plan N°1</t>
  </si>
  <si>
    <t>plan N°2</t>
  </si>
  <si>
    <t>% faux positif</t>
  </si>
  <si>
    <t>% faux negatif</t>
  </si>
  <si>
    <t>Gage R&amp;R par attribut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</si>
</sst>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0.0000"/>
    <numFmt numFmtId="167" formatCode="#,##0.000"/>
  </numFmts>
  <fonts count="21" x14ac:knownFonts="1">
    <font>
      <sz val="10"/>
      <name val="Arial"/>
    </font>
    <font>
      <b/>
      <sz val="10"/>
      <name val="Arial"/>
      <family val="2"/>
    </font>
    <font>
      <sz val="10"/>
      <name val="Arial"/>
      <family val="2"/>
    </font>
    <font>
      <sz val="12"/>
      <name val="Arial"/>
      <family val="2"/>
    </font>
    <font>
      <sz val="10"/>
      <color theme="1"/>
      <name val="Arial"/>
      <family val="2"/>
    </font>
    <font>
      <b/>
      <sz val="10"/>
      <color theme="1"/>
      <name val="Arial"/>
      <family val="2"/>
    </font>
    <font>
      <sz val="12"/>
      <color theme="1"/>
      <name val="Arial"/>
      <family val="2"/>
    </font>
    <font>
      <sz val="16"/>
      <name val="Arial"/>
      <family val="2"/>
    </font>
    <font>
      <sz val="14"/>
      <name val="Arial"/>
      <family val="2"/>
    </font>
    <font>
      <b/>
      <sz val="14"/>
      <color indexed="14"/>
      <name val="Arial"/>
      <family val="2"/>
    </font>
    <font>
      <sz val="9"/>
      <name val="Arial"/>
      <family val="2"/>
    </font>
    <font>
      <b/>
      <sz val="11"/>
      <name val="Arial"/>
      <family val="2"/>
    </font>
    <font>
      <u/>
      <sz val="12"/>
      <name val="Arial"/>
      <family val="2"/>
    </font>
    <font>
      <sz val="9"/>
      <color theme="0"/>
      <name val="Arial"/>
      <family val="2"/>
    </font>
    <font>
      <sz val="20"/>
      <name val="Arial"/>
      <family val="2"/>
    </font>
    <font>
      <sz val="12"/>
      <color theme="0"/>
      <name val="Arial"/>
      <family val="2"/>
    </font>
    <font>
      <u/>
      <sz val="9"/>
      <name val="Arial"/>
      <family val="2"/>
    </font>
    <font>
      <b/>
      <sz val="10"/>
      <color rgb="FFFF0000"/>
      <name val="Arial"/>
      <family val="2"/>
    </font>
    <font>
      <sz val="10"/>
      <color rgb="FFFF0000"/>
      <name val="Arial"/>
      <family val="2"/>
    </font>
    <font>
      <b/>
      <sz val="10"/>
      <color theme="0"/>
      <name val="Arial"/>
      <family val="2"/>
    </font>
    <font>
      <sz val="10"/>
      <color theme="0"/>
      <name val="Arial"/>
      <family val="2"/>
    </font>
  </fonts>
  <fills count="10">
    <fill>
      <patternFill patternType="none"/>
    </fill>
    <fill>
      <patternFill patternType="gray125"/>
    </fill>
    <fill>
      <patternFill patternType="solid">
        <fgColor theme="0" tint="-0.14999847407452621"/>
        <bgColor indexed="64"/>
      </patternFill>
    </fill>
    <fill>
      <patternFill patternType="solid">
        <fgColor rgb="FFFF9999"/>
        <bgColor indexed="64"/>
      </patternFill>
    </fill>
    <fill>
      <patternFill patternType="solid">
        <fgColor rgb="FFFFC000"/>
        <bgColor indexed="64"/>
      </patternFill>
    </fill>
    <fill>
      <patternFill patternType="solid">
        <fgColor theme="0" tint="-0.14996795556505021"/>
        <bgColor indexed="64"/>
      </patternFill>
    </fill>
    <fill>
      <patternFill patternType="solid">
        <fgColor rgb="FF99FF99"/>
        <bgColor indexed="64"/>
      </patternFill>
    </fill>
    <fill>
      <patternFill patternType="solid">
        <fgColor theme="0"/>
        <bgColor indexed="64"/>
      </patternFill>
    </fill>
    <fill>
      <patternFill patternType="solid">
        <fgColor theme="4" tint="0.79998168889431442"/>
        <bgColor indexed="64"/>
      </patternFill>
    </fill>
    <fill>
      <patternFill patternType="solid">
        <fgColor theme="8" tint="0.79998168889431442"/>
        <bgColor indexed="64"/>
      </patternFill>
    </fill>
  </fills>
  <borders count="3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medium">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medium">
        <color indexed="64"/>
      </top>
      <bottom/>
      <diagonal/>
    </border>
    <border>
      <left style="medium">
        <color indexed="64"/>
      </left>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top/>
      <bottom style="thin">
        <color indexed="64"/>
      </bottom>
      <diagonal/>
    </border>
    <border>
      <left/>
      <right style="medium">
        <color indexed="64"/>
      </right>
      <top/>
      <bottom style="thin">
        <color indexed="64"/>
      </bottom>
      <diagonal/>
    </border>
    <border>
      <left style="thin">
        <color indexed="64"/>
      </left>
      <right/>
      <top style="medium">
        <color indexed="64"/>
      </top>
      <bottom/>
      <diagonal/>
    </border>
    <border>
      <left style="thin">
        <color indexed="64"/>
      </left>
      <right style="medium">
        <color indexed="64"/>
      </right>
      <top/>
      <bottom/>
      <diagonal/>
    </border>
  </borders>
  <cellStyleXfs count="2">
    <xf numFmtId="0" fontId="0" fillId="0" borderId="0"/>
    <xf numFmtId="9" fontId="2" fillId="0" borderId="0" applyFont="0" applyFill="0" applyBorder="0" applyAlignment="0" applyProtection="0"/>
  </cellStyleXfs>
  <cellXfs count="164">
    <xf numFmtId="0" fontId="0" fillId="0" borderId="0" xfId="0"/>
    <xf numFmtId="0" fontId="3" fillId="0" borderId="0" xfId="0" applyFont="1" applyBorder="1" applyAlignment="1" applyProtection="1">
      <alignment horizontal="left" vertical="center"/>
      <protection hidden="1"/>
    </xf>
    <xf numFmtId="0" fontId="0" fillId="0" borderId="0" xfId="0" applyAlignment="1" applyProtection="1">
      <alignment horizontal="left" vertical="center" wrapText="1"/>
      <protection hidden="1"/>
    </xf>
    <xf numFmtId="0" fontId="0" fillId="0" borderId="0" xfId="0" applyBorder="1" applyAlignment="1" applyProtection="1">
      <alignment horizontal="left" vertical="center" wrapText="1"/>
      <protection hidden="1"/>
    </xf>
    <xf numFmtId="0" fontId="10" fillId="0" borderId="0" xfId="0" applyFont="1" applyAlignment="1" applyProtection="1">
      <alignment horizontal="left" vertical="center" wrapText="1"/>
      <protection hidden="1"/>
    </xf>
    <xf numFmtId="0" fontId="3" fillId="0" borderId="0" xfId="0" applyFont="1" applyBorder="1" applyAlignment="1" applyProtection="1">
      <alignment horizontal="left" vertical="center" wrapText="1"/>
      <protection hidden="1"/>
    </xf>
    <xf numFmtId="0" fontId="4" fillId="0" borderId="0" xfId="0" applyFont="1" applyAlignment="1" applyProtection="1">
      <alignment horizontal="left" vertical="center" wrapText="1"/>
      <protection hidden="1"/>
    </xf>
    <xf numFmtId="0" fontId="4" fillId="0" borderId="0" xfId="0" applyFont="1" applyBorder="1" applyAlignment="1" applyProtection="1">
      <alignment horizontal="left" vertical="center" wrapText="1"/>
      <protection hidden="1"/>
    </xf>
    <xf numFmtId="0" fontId="10" fillId="0" borderId="0" xfId="0" applyFont="1" applyFill="1" applyBorder="1" applyAlignment="1" applyProtection="1">
      <alignment horizontal="left" vertical="center" wrapText="1"/>
      <protection hidden="1"/>
    </xf>
    <xf numFmtId="0" fontId="10" fillId="0" borderId="0" xfId="0" applyFont="1" applyFill="1" applyBorder="1" applyAlignment="1" applyProtection="1">
      <alignment horizontal="left" vertical="center" wrapText="1"/>
      <protection locked="0" hidden="1"/>
    </xf>
    <xf numFmtId="0" fontId="2" fillId="0" borderId="0" xfId="0" applyFont="1" applyBorder="1" applyAlignment="1" applyProtection="1">
      <alignment horizontal="left" vertical="center" wrapText="1"/>
      <protection hidden="1"/>
    </xf>
    <xf numFmtId="0" fontId="2" fillId="0" borderId="0" xfId="0" applyFont="1" applyFill="1" applyBorder="1" applyAlignment="1" applyProtection="1">
      <alignment horizontal="left" vertical="center" wrapText="1"/>
      <protection hidden="1"/>
    </xf>
    <xf numFmtId="0" fontId="3" fillId="0" borderId="0" xfId="0" applyFont="1" applyAlignment="1" applyProtection="1">
      <alignment horizontal="left" vertical="center" wrapText="1"/>
      <protection hidden="1"/>
    </xf>
    <xf numFmtId="0" fontId="0" fillId="0" borderId="0" xfId="0" applyFill="1" applyBorder="1" applyAlignment="1" applyProtection="1">
      <alignment horizontal="left" vertical="center" wrapText="1"/>
      <protection hidden="1"/>
    </xf>
    <xf numFmtId="0" fontId="1" fillId="0" borderId="0" xfId="0" applyFont="1" applyBorder="1" applyAlignment="1" applyProtection="1">
      <alignment horizontal="left" vertical="center" wrapText="1"/>
      <protection hidden="1"/>
    </xf>
    <xf numFmtId="0" fontId="9" fillId="0" borderId="0" xfId="0" applyFont="1" applyFill="1" applyBorder="1" applyAlignment="1" applyProtection="1">
      <alignment horizontal="left" vertical="center" wrapText="1"/>
      <protection hidden="1"/>
    </xf>
    <xf numFmtId="0" fontId="7" fillId="0" borderId="0" xfId="0" applyFont="1" applyFill="1" applyBorder="1" applyAlignment="1" applyProtection="1">
      <alignment horizontal="left" vertical="center" wrapText="1"/>
      <protection hidden="1"/>
    </xf>
    <xf numFmtId="0" fontId="8" fillId="0" borderId="0" xfId="0" applyFont="1" applyFill="1" applyBorder="1" applyAlignment="1" applyProtection="1">
      <alignment horizontal="left" vertical="center" wrapText="1"/>
      <protection hidden="1"/>
    </xf>
    <xf numFmtId="0" fontId="3" fillId="0" borderId="0" xfId="0" applyFont="1" applyFill="1" applyBorder="1" applyAlignment="1" applyProtection="1">
      <alignment horizontal="left" vertical="center" wrapText="1"/>
      <protection hidden="1"/>
    </xf>
    <xf numFmtId="14" fontId="2" fillId="0" borderId="0" xfId="0" applyNumberFormat="1" applyFont="1" applyBorder="1" applyAlignment="1" applyProtection="1">
      <alignment horizontal="left" vertical="center" wrapText="1"/>
      <protection hidden="1"/>
    </xf>
    <xf numFmtId="166" fontId="2" fillId="0" borderId="0" xfId="0" applyNumberFormat="1" applyFont="1" applyBorder="1" applyAlignment="1" applyProtection="1">
      <alignment horizontal="left" vertical="center" wrapText="1"/>
      <protection hidden="1"/>
    </xf>
    <xf numFmtId="0" fontId="2" fillId="0" borderId="0" xfId="0" applyFont="1" applyAlignment="1" applyProtection="1">
      <alignment horizontal="left" vertical="center" wrapText="1"/>
      <protection hidden="1"/>
    </xf>
    <xf numFmtId="0" fontId="5" fillId="0" borderId="0" xfId="0" applyFont="1" applyFill="1" applyBorder="1" applyAlignment="1" applyProtection="1">
      <alignment horizontal="left" vertical="center" wrapText="1"/>
      <protection hidden="1"/>
    </xf>
    <xf numFmtId="0" fontId="4" fillId="0" borderId="0" xfId="0" applyFont="1" applyFill="1" applyBorder="1" applyAlignment="1" applyProtection="1">
      <alignment horizontal="left" vertical="center" wrapText="1"/>
      <protection hidden="1"/>
    </xf>
    <xf numFmtId="0" fontId="2" fillId="0" borderId="0" xfId="0" applyFont="1" applyFill="1" applyAlignment="1" applyProtection="1">
      <alignment horizontal="left" vertical="center" wrapText="1"/>
      <protection hidden="1"/>
    </xf>
    <xf numFmtId="0" fontId="6" fillId="0" borderId="0" xfId="0" applyFont="1" applyAlignment="1" applyProtection="1">
      <alignment horizontal="left" vertical="center" wrapText="1"/>
      <protection hidden="1"/>
    </xf>
    <xf numFmtId="0" fontId="11" fillId="0" borderId="0" xfId="0" applyFont="1" applyBorder="1" applyAlignment="1" applyProtection="1">
      <alignment horizontal="left" vertical="center" wrapText="1"/>
      <protection hidden="1"/>
    </xf>
    <xf numFmtId="10" fontId="11" fillId="0" borderId="0" xfId="1" quotePrefix="1" applyNumberFormat="1" applyFont="1" applyBorder="1" applyAlignment="1" applyProtection="1">
      <alignment horizontal="left" vertical="center" wrapText="1"/>
      <protection hidden="1"/>
    </xf>
    <xf numFmtId="14" fontId="3" fillId="0" borderId="0" xfId="0" applyNumberFormat="1" applyFont="1" applyBorder="1" applyAlignment="1" applyProtection="1">
      <alignment horizontal="left" vertical="center" wrapText="1" shrinkToFit="1"/>
      <protection hidden="1"/>
    </xf>
    <xf numFmtId="0" fontId="6" fillId="0" borderId="0" xfId="0" applyFont="1" applyBorder="1" applyAlignment="1" applyProtection="1">
      <alignment horizontal="left" vertical="center" wrapText="1"/>
      <protection hidden="1"/>
    </xf>
    <xf numFmtId="0" fontId="12" fillId="0" borderId="2" xfId="0" applyFont="1" applyBorder="1" applyAlignment="1" applyProtection="1">
      <alignment horizontal="center" vertical="center" wrapText="1"/>
    </xf>
    <xf numFmtId="0" fontId="3" fillId="0" borderId="2" xfId="0" applyFont="1" applyBorder="1" applyAlignment="1" applyProtection="1">
      <alignment horizontal="center" vertical="center" wrapText="1"/>
    </xf>
    <xf numFmtId="0" fontId="12" fillId="0" borderId="5" xfId="0" applyFont="1" applyBorder="1" applyAlignment="1" applyProtection="1">
      <alignment horizontal="center" vertical="center" wrapText="1"/>
      <protection hidden="1"/>
    </xf>
    <xf numFmtId="0" fontId="3" fillId="0" borderId="10" xfId="0" applyFont="1" applyBorder="1" applyAlignment="1" applyProtection="1">
      <alignment horizontal="center" vertical="center" wrapText="1"/>
    </xf>
    <xf numFmtId="0" fontId="12" fillId="0" borderId="10" xfId="0" applyFont="1" applyBorder="1" applyAlignment="1" applyProtection="1">
      <alignment horizontal="center" vertical="center" wrapText="1"/>
    </xf>
    <xf numFmtId="0" fontId="3" fillId="0" borderId="16" xfId="0" applyFont="1" applyBorder="1" applyAlignment="1" applyProtection="1">
      <alignment horizontal="center" vertical="center" wrapText="1"/>
      <protection hidden="1"/>
    </xf>
    <xf numFmtId="0" fontId="3" fillId="0" borderId="12" xfId="0" applyFont="1" applyBorder="1" applyAlignment="1" applyProtection="1">
      <alignment horizontal="center" vertical="center" wrapText="1"/>
    </xf>
    <xf numFmtId="0" fontId="2" fillId="0" borderId="2" xfId="0" applyFont="1" applyBorder="1" applyAlignment="1" applyProtection="1">
      <alignment horizontal="left" vertical="center" wrapText="1"/>
      <protection hidden="1"/>
    </xf>
    <xf numFmtId="0" fontId="3" fillId="0" borderId="8" xfId="0" applyFont="1" applyBorder="1" applyAlignment="1" applyProtection="1">
      <alignment horizontal="center" vertical="center" wrapText="1"/>
      <protection hidden="1"/>
    </xf>
    <xf numFmtId="0" fontId="3" fillId="0" borderId="9" xfId="0" applyFont="1" applyBorder="1" applyAlignment="1" applyProtection="1">
      <alignment horizontal="center" vertical="center" wrapText="1"/>
      <protection hidden="1"/>
    </xf>
    <xf numFmtId="0" fontId="3" fillId="0" borderId="2" xfId="0" applyFont="1" applyBorder="1" applyAlignment="1" applyProtection="1">
      <alignment horizontal="center" vertical="center" wrapText="1"/>
      <protection hidden="1"/>
    </xf>
    <xf numFmtId="0" fontId="3" fillId="0" borderId="10" xfId="0" applyFont="1" applyBorder="1" applyAlignment="1" applyProtection="1">
      <alignment horizontal="center" vertical="center" wrapText="1"/>
      <protection hidden="1"/>
    </xf>
    <xf numFmtId="0" fontId="3" fillId="0" borderId="11" xfId="0" applyFont="1" applyBorder="1" applyAlignment="1" applyProtection="1">
      <alignment horizontal="center" vertical="center" wrapText="1"/>
      <protection hidden="1"/>
    </xf>
    <xf numFmtId="0" fontId="3" fillId="0" borderId="5" xfId="0" applyFont="1" applyBorder="1" applyAlignment="1" applyProtection="1">
      <alignment horizontal="center" vertical="center" wrapText="1"/>
      <protection hidden="1"/>
    </xf>
    <xf numFmtId="0" fontId="13" fillId="0" borderId="0" xfId="0" applyFont="1" applyAlignment="1" applyProtection="1">
      <alignment horizontal="left" vertical="center" wrapText="1"/>
      <protection hidden="1"/>
    </xf>
    <xf numFmtId="0" fontId="4" fillId="0" borderId="2" xfId="0" applyFont="1" applyFill="1" applyBorder="1" applyAlignment="1" applyProtection="1">
      <alignment horizontal="center" vertical="center" wrapText="1"/>
      <protection hidden="1"/>
    </xf>
    <xf numFmtId="0" fontId="2" fillId="7" borderId="2" xfId="0" applyNumberFormat="1" applyFont="1" applyFill="1" applyBorder="1" applyAlignment="1" applyProtection="1">
      <alignment horizontal="center" vertical="center" wrapText="1"/>
      <protection locked="0" hidden="1"/>
    </xf>
    <xf numFmtId="0" fontId="4" fillId="5" borderId="2" xfId="0" applyFont="1" applyFill="1" applyBorder="1" applyAlignment="1" applyProtection="1">
      <alignment horizontal="center" vertical="center" wrapText="1"/>
      <protection locked="0" hidden="1"/>
    </xf>
    <xf numFmtId="0" fontId="2" fillId="0" borderId="2" xfId="0" applyFont="1" applyFill="1" applyBorder="1" applyAlignment="1" applyProtection="1">
      <alignment horizontal="center" vertical="center" wrapText="1"/>
      <protection hidden="1"/>
    </xf>
    <xf numFmtId="0" fontId="3" fillId="0" borderId="13" xfId="0" applyFont="1" applyBorder="1" applyAlignment="1" applyProtection="1">
      <alignment horizontal="center" vertical="center" wrapText="1"/>
      <protection hidden="1"/>
    </xf>
    <xf numFmtId="0" fontId="3" fillId="0" borderId="8" xfId="0" applyNumberFormat="1" applyFont="1" applyBorder="1" applyAlignment="1" applyProtection="1">
      <alignment horizontal="center" vertical="center" wrapText="1"/>
      <protection hidden="1"/>
    </xf>
    <xf numFmtId="0" fontId="3" fillId="0" borderId="2" xfId="1" applyNumberFormat="1" applyFont="1" applyFill="1" applyBorder="1" applyAlignment="1" applyProtection="1">
      <alignment horizontal="center" vertical="center" wrapText="1"/>
      <protection hidden="1"/>
    </xf>
    <xf numFmtId="0" fontId="3" fillId="0" borderId="14" xfId="0" applyNumberFormat="1" applyFont="1" applyBorder="1" applyAlignment="1" applyProtection="1">
      <alignment horizontal="center" vertical="center" wrapText="1"/>
      <protection hidden="1"/>
    </xf>
    <xf numFmtId="0" fontId="3" fillId="0" borderId="10" xfId="1" applyNumberFormat="1" applyFont="1" applyFill="1" applyBorder="1" applyAlignment="1" applyProtection="1">
      <alignment horizontal="center" vertical="center" wrapText="1"/>
      <protection hidden="1"/>
    </xf>
    <xf numFmtId="0" fontId="5" fillId="0" borderId="0" xfId="0" applyFont="1" applyAlignment="1" applyProtection="1">
      <alignment horizontal="center" vertical="center" wrapText="1"/>
      <protection hidden="1"/>
    </xf>
    <xf numFmtId="0" fontId="3" fillId="0" borderId="4" xfId="0" applyFont="1" applyBorder="1" applyAlignment="1" applyProtection="1">
      <alignment horizontal="center" vertical="center" wrapText="1"/>
      <protection hidden="1"/>
    </xf>
    <xf numFmtId="0" fontId="15" fillId="0" borderId="0" xfId="0" applyFont="1" applyBorder="1" applyAlignment="1" applyProtection="1">
      <alignment horizontal="left" vertical="center" wrapText="1"/>
      <protection hidden="1"/>
    </xf>
    <xf numFmtId="0" fontId="15" fillId="0" borderId="0" xfId="0" applyFont="1" applyBorder="1" applyAlignment="1" applyProtection="1">
      <alignment horizontal="center" vertical="center" wrapText="1"/>
      <protection hidden="1"/>
    </xf>
    <xf numFmtId="0" fontId="3" fillId="7" borderId="5" xfId="0" applyFont="1" applyFill="1" applyBorder="1" applyAlignment="1" applyProtection="1">
      <alignment horizontal="center" vertical="center" wrapText="1"/>
      <protection hidden="1"/>
    </xf>
    <xf numFmtId="0" fontId="3" fillId="9" borderId="5" xfId="0" applyFont="1" applyFill="1" applyBorder="1" applyAlignment="1" applyProtection="1">
      <alignment horizontal="center" vertical="center" wrapText="1"/>
      <protection hidden="1"/>
    </xf>
    <xf numFmtId="0" fontId="3" fillId="9" borderId="16" xfId="0" applyFont="1" applyFill="1" applyBorder="1" applyAlignment="1" applyProtection="1">
      <alignment horizontal="center" vertical="center" wrapText="1"/>
      <protection hidden="1"/>
    </xf>
    <xf numFmtId="167" fontId="3" fillId="0" borderId="9" xfId="0" applyNumberFormat="1" applyFont="1" applyFill="1" applyBorder="1" applyAlignment="1" applyProtection="1">
      <alignment horizontal="center" vertical="center" wrapText="1"/>
      <protection hidden="1"/>
    </xf>
    <xf numFmtId="0" fontId="3" fillId="0" borderId="19" xfId="0" applyFont="1" applyBorder="1" applyAlignment="1" applyProtection="1">
      <alignment horizontal="center" vertical="center" wrapText="1"/>
      <protection hidden="1"/>
    </xf>
    <xf numFmtId="0" fontId="3" fillId="6" borderId="19" xfId="0" applyFont="1" applyFill="1" applyBorder="1" applyAlignment="1" applyProtection="1">
      <alignment horizontal="center" vertical="center" wrapText="1"/>
      <protection hidden="1"/>
    </xf>
    <xf numFmtId="0" fontId="3" fillId="4" borderId="19" xfId="0" applyFont="1" applyFill="1" applyBorder="1" applyAlignment="1" applyProtection="1">
      <alignment horizontal="center" vertical="center" wrapText="1"/>
      <protection hidden="1"/>
    </xf>
    <xf numFmtId="0" fontId="3" fillId="3" borderId="29" xfId="0" applyFont="1" applyFill="1" applyBorder="1" applyAlignment="1" applyProtection="1">
      <alignment horizontal="center" vertical="center" wrapText="1"/>
      <protection hidden="1"/>
    </xf>
    <xf numFmtId="167" fontId="3" fillId="0" borderId="5" xfId="0" applyNumberFormat="1" applyFont="1" applyFill="1" applyBorder="1" applyAlignment="1" applyProtection="1">
      <alignment horizontal="center" vertical="center" wrapText="1"/>
      <protection hidden="1"/>
    </xf>
    <xf numFmtId="0" fontId="3" fillId="0" borderId="17" xfId="0" applyFont="1" applyBorder="1" applyAlignment="1" applyProtection="1">
      <alignment horizontal="center" vertical="center" wrapText="1"/>
      <protection hidden="1"/>
    </xf>
    <xf numFmtId="167" fontId="3" fillId="0" borderId="10" xfId="0" applyNumberFormat="1" applyFont="1" applyFill="1" applyBorder="1" applyAlignment="1" applyProtection="1">
      <alignment horizontal="center" vertical="center" wrapText="1"/>
      <protection hidden="1"/>
    </xf>
    <xf numFmtId="0" fontId="3" fillId="0" borderId="30" xfId="0" applyFont="1" applyBorder="1" applyAlignment="1" applyProtection="1">
      <alignment horizontal="center" vertical="center" wrapText="1"/>
    </xf>
    <xf numFmtId="9" fontId="3" fillId="0" borderId="2" xfId="1" applyNumberFormat="1" applyFont="1" applyFill="1" applyBorder="1" applyAlignment="1" applyProtection="1">
      <alignment horizontal="center" vertical="center" wrapText="1"/>
      <protection hidden="1"/>
    </xf>
    <xf numFmtId="9" fontId="3" fillId="0" borderId="10" xfId="1" applyNumberFormat="1" applyFont="1" applyFill="1" applyBorder="1" applyAlignment="1" applyProtection="1">
      <alignment horizontal="center" vertical="center" wrapText="1"/>
      <protection hidden="1"/>
    </xf>
    <xf numFmtId="0" fontId="2" fillId="0" borderId="2" xfId="0" applyFont="1" applyBorder="1" applyAlignment="1" applyProtection="1">
      <alignment horizontal="center" vertical="center" wrapText="1"/>
      <protection hidden="1"/>
    </xf>
    <xf numFmtId="0" fontId="10" fillId="0" borderId="0" xfId="0" applyFont="1" applyAlignment="1" applyProtection="1">
      <alignment horizontal="left" vertical="top" wrapText="1"/>
      <protection hidden="1"/>
    </xf>
    <xf numFmtId="0" fontId="3" fillId="0" borderId="9" xfId="0" applyFont="1" applyBorder="1" applyAlignment="1" applyProtection="1">
      <alignment horizontal="center" vertical="center" wrapText="1"/>
      <protection hidden="1"/>
    </xf>
    <xf numFmtId="0" fontId="3" fillId="0" borderId="11" xfId="0" applyFont="1" applyBorder="1" applyAlignment="1" applyProtection="1">
      <alignment horizontal="center" vertical="center" wrapText="1"/>
      <protection hidden="1"/>
    </xf>
    <xf numFmtId="0" fontId="3" fillId="0" borderId="5" xfId="0" applyFont="1" applyBorder="1" applyAlignment="1" applyProtection="1">
      <alignment horizontal="center" vertical="center" wrapText="1"/>
      <protection hidden="1"/>
    </xf>
    <xf numFmtId="0" fontId="3" fillId="0" borderId="10" xfId="0" applyFont="1" applyBorder="1" applyAlignment="1" applyProtection="1">
      <alignment horizontal="center" vertical="center" wrapText="1"/>
      <protection hidden="1"/>
    </xf>
    <xf numFmtId="0" fontId="16" fillId="0" borderId="0" xfId="0" applyFont="1" applyAlignment="1" applyProtection="1">
      <alignment horizontal="left" vertical="center" wrapText="1"/>
      <protection hidden="1"/>
    </xf>
    <xf numFmtId="0" fontId="4" fillId="0" borderId="2" xfId="0" applyFont="1" applyFill="1" applyBorder="1" applyAlignment="1" applyProtection="1">
      <alignment horizontal="left" vertical="center" wrapText="1"/>
      <protection hidden="1"/>
    </xf>
    <xf numFmtId="0" fontId="10" fillId="0" borderId="2" xfId="0" applyFont="1" applyBorder="1" applyAlignment="1" applyProtection="1">
      <alignment horizontal="center" vertical="center" wrapText="1"/>
      <protection hidden="1"/>
    </xf>
    <xf numFmtId="14" fontId="18" fillId="0" borderId="0" xfId="0" applyNumberFormat="1" applyFont="1" applyBorder="1" applyAlignment="1" applyProtection="1">
      <alignment horizontal="left" vertical="center" wrapText="1"/>
      <protection hidden="1"/>
    </xf>
    <xf numFmtId="166" fontId="18" fillId="0" borderId="0" xfId="0" applyNumberFormat="1" applyFont="1" applyBorder="1" applyAlignment="1" applyProtection="1">
      <alignment horizontal="left" vertical="center" wrapText="1"/>
      <protection hidden="1"/>
    </xf>
    <xf numFmtId="0" fontId="18" fillId="0" borderId="0" xfId="0" applyFont="1" applyAlignment="1" applyProtection="1">
      <alignment horizontal="left" vertical="center" wrapText="1"/>
      <protection hidden="1"/>
    </xf>
    <xf numFmtId="0" fontId="17" fillId="0" borderId="0" xfId="0" applyFont="1" applyFill="1" applyBorder="1" applyAlignment="1" applyProtection="1">
      <alignment horizontal="left" vertical="center" wrapText="1"/>
      <protection hidden="1"/>
    </xf>
    <xf numFmtId="0" fontId="18" fillId="0" borderId="0" xfId="0" applyFont="1" applyFill="1" applyAlignment="1" applyProtection="1">
      <alignment horizontal="left" vertical="center" wrapText="1"/>
      <protection hidden="1"/>
    </xf>
    <xf numFmtId="0" fontId="4" fillId="9" borderId="2" xfId="0" applyFont="1" applyFill="1" applyBorder="1" applyAlignment="1" applyProtection="1">
      <alignment horizontal="center" vertical="center" wrapText="1"/>
      <protection locked="0" hidden="1"/>
    </xf>
    <xf numFmtId="0" fontId="10" fillId="0" borderId="0" xfId="0" applyFont="1" applyAlignment="1" applyProtection="1">
      <alignment horizontal="left" vertical="top"/>
      <protection hidden="1"/>
    </xf>
    <xf numFmtId="0" fontId="19" fillId="0" borderId="0" xfId="0" applyFont="1" applyFill="1" applyBorder="1" applyAlignment="1" applyProtection="1">
      <alignment horizontal="left" vertical="center" wrapText="1"/>
      <protection hidden="1"/>
    </xf>
    <xf numFmtId="0" fontId="20" fillId="0" borderId="0" xfId="0" applyFont="1" applyFill="1" applyBorder="1" applyAlignment="1" applyProtection="1">
      <alignment horizontal="left" vertical="center" wrapText="1"/>
      <protection hidden="1"/>
    </xf>
    <xf numFmtId="14" fontId="20" fillId="0" borderId="0" xfId="0" applyNumberFormat="1" applyFont="1" applyBorder="1" applyAlignment="1" applyProtection="1">
      <alignment horizontal="left" vertical="center" wrapText="1"/>
      <protection hidden="1"/>
    </xf>
    <xf numFmtId="166" fontId="20" fillId="0" borderId="0" xfId="0" applyNumberFormat="1" applyFont="1" applyBorder="1" applyAlignment="1" applyProtection="1">
      <alignment horizontal="left" vertical="center" wrapText="1"/>
      <protection hidden="1"/>
    </xf>
    <xf numFmtId="49" fontId="2" fillId="9" borderId="2" xfId="0" applyNumberFormat="1" applyFont="1" applyFill="1" applyBorder="1" applyAlignment="1" applyProtection="1">
      <alignment horizontal="center" vertical="center" wrapText="1"/>
      <protection locked="0" hidden="1"/>
    </xf>
    <xf numFmtId="0" fontId="10" fillId="2" borderId="2" xfId="0" applyFont="1" applyFill="1" applyBorder="1" applyAlignment="1" applyProtection="1">
      <alignment horizontal="center" vertical="center" wrapText="1"/>
      <protection hidden="1"/>
    </xf>
    <xf numFmtId="0" fontId="10" fillId="2" borderId="2" xfId="0" applyFont="1" applyFill="1" applyBorder="1" applyAlignment="1" applyProtection="1">
      <alignment vertical="center" wrapText="1"/>
      <protection hidden="1"/>
    </xf>
    <xf numFmtId="0" fontId="1" fillId="0" borderId="0" xfId="0" applyFont="1" applyAlignment="1" applyProtection="1">
      <alignment horizontal="center" vertical="center" wrapText="1"/>
      <protection hidden="1"/>
    </xf>
    <xf numFmtId="0" fontId="1" fillId="0" borderId="2" xfId="0" applyFont="1" applyBorder="1" applyAlignment="1" applyProtection="1">
      <alignment horizontal="center" vertical="center" wrapText="1"/>
      <protection hidden="1"/>
    </xf>
    <xf numFmtId="49" fontId="2" fillId="9" borderId="2" xfId="0" applyNumberFormat="1" applyFont="1" applyFill="1" applyBorder="1" applyAlignment="1" applyProtection="1">
      <alignment horizontal="center" vertical="center" wrapText="1"/>
      <protection locked="0" hidden="1"/>
    </xf>
    <xf numFmtId="0" fontId="14" fillId="0" borderId="5" xfId="0" applyFont="1" applyBorder="1" applyAlignment="1" applyProtection="1">
      <alignment horizontal="center" vertical="center" wrapText="1"/>
      <protection hidden="1"/>
    </xf>
    <xf numFmtId="0" fontId="14" fillId="0" borderId="6" xfId="0" applyFont="1" applyBorder="1" applyAlignment="1" applyProtection="1">
      <alignment horizontal="center" vertical="center" wrapText="1"/>
      <protection hidden="1"/>
    </xf>
    <xf numFmtId="0" fontId="14" fillId="0" borderId="4" xfId="0" applyFont="1" applyBorder="1" applyAlignment="1" applyProtection="1">
      <alignment horizontal="center" vertical="center" wrapText="1"/>
      <protection hidden="1"/>
    </xf>
    <xf numFmtId="0" fontId="2" fillId="0" borderId="2" xfId="0" applyFont="1" applyBorder="1" applyAlignment="1" applyProtection="1">
      <alignment horizontal="center" vertical="center" wrapText="1"/>
      <protection hidden="1"/>
    </xf>
    <xf numFmtId="0" fontId="2" fillId="7" borderId="2" xfId="0" applyFont="1" applyFill="1" applyBorder="1" applyAlignment="1" applyProtection="1">
      <alignment horizontal="center" vertical="center" wrapText="1"/>
      <protection hidden="1"/>
    </xf>
    <xf numFmtId="0" fontId="10" fillId="0" borderId="2" xfId="0" applyFont="1" applyBorder="1" applyAlignment="1" applyProtection="1">
      <alignment horizontal="center" vertical="center" wrapText="1"/>
      <protection hidden="1"/>
    </xf>
    <xf numFmtId="0" fontId="10" fillId="0" borderId="0" xfId="0" applyFont="1" applyAlignment="1" applyProtection="1">
      <alignment horizontal="left" vertical="top" wrapText="1"/>
      <protection hidden="1"/>
    </xf>
    <xf numFmtId="0" fontId="0" fillId="0" borderId="0" xfId="0" applyAlignment="1" applyProtection="1">
      <alignment horizontal="left" vertical="center" wrapText="1"/>
      <protection hidden="1"/>
    </xf>
    <xf numFmtId="49" fontId="10" fillId="0" borderId="0" xfId="0" applyNumberFormat="1" applyFont="1" applyAlignment="1" applyProtection="1">
      <alignment horizontal="left" vertical="top" wrapText="1"/>
      <protection hidden="1"/>
    </xf>
    <xf numFmtId="49" fontId="2" fillId="0" borderId="5" xfId="0" applyNumberFormat="1" applyFont="1" applyBorder="1" applyAlignment="1" applyProtection="1">
      <alignment horizontal="center" vertical="center" wrapText="1"/>
      <protection hidden="1"/>
    </xf>
    <xf numFmtId="49" fontId="2" fillId="0" borderId="4" xfId="0" applyNumberFormat="1" applyFont="1" applyBorder="1" applyAlignment="1" applyProtection="1">
      <alignment horizontal="center" vertical="center" wrapText="1"/>
      <protection hidden="1"/>
    </xf>
    <xf numFmtId="49" fontId="2" fillId="0" borderId="6" xfId="0" applyNumberFormat="1" applyFont="1" applyBorder="1" applyAlignment="1" applyProtection="1">
      <alignment horizontal="center" vertical="center" wrapText="1"/>
      <protection hidden="1"/>
    </xf>
    <xf numFmtId="0" fontId="2" fillId="9" borderId="2" xfId="0" applyFont="1" applyFill="1" applyBorder="1" applyAlignment="1" applyProtection="1">
      <alignment horizontal="left" vertical="center" wrapText="1"/>
      <protection locked="0" hidden="1"/>
    </xf>
    <xf numFmtId="49" fontId="2" fillId="0" borderId="2" xfId="0" applyNumberFormat="1" applyFont="1" applyFill="1" applyBorder="1" applyAlignment="1" applyProtection="1">
      <alignment horizontal="left" vertical="center" wrapText="1"/>
      <protection hidden="1"/>
    </xf>
    <xf numFmtId="0" fontId="2" fillId="0" borderId="2" xfId="0" applyNumberFormat="1" applyFont="1" applyFill="1" applyBorder="1" applyAlignment="1" applyProtection="1">
      <alignment horizontal="left" vertical="center" wrapText="1"/>
      <protection hidden="1"/>
    </xf>
    <xf numFmtId="0" fontId="2" fillId="0" borderId="5" xfId="0" applyFont="1" applyBorder="1" applyAlignment="1" applyProtection="1">
      <alignment horizontal="left" vertical="center" wrapText="1"/>
      <protection hidden="1"/>
    </xf>
    <xf numFmtId="0" fontId="2" fillId="0" borderId="6" xfId="0" applyFont="1" applyBorder="1" applyAlignment="1" applyProtection="1">
      <alignment horizontal="left" vertical="center" wrapText="1"/>
      <protection hidden="1"/>
    </xf>
    <xf numFmtId="49" fontId="3" fillId="0" borderId="5" xfId="0" applyNumberFormat="1" applyFont="1" applyBorder="1" applyAlignment="1" applyProtection="1">
      <alignment horizontal="left" vertical="center" wrapText="1"/>
      <protection hidden="1"/>
    </xf>
    <xf numFmtId="49" fontId="3" fillId="0" borderId="6" xfId="0" applyNumberFormat="1" applyFont="1" applyBorder="1" applyAlignment="1" applyProtection="1">
      <alignment horizontal="left" vertical="center" wrapText="1"/>
      <protection hidden="1"/>
    </xf>
    <xf numFmtId="49" fontId="3" fillId="0" borderId="4" xfId="0" applyNumberFormat="1" applyFont="1" applyBorder="1" applyAlignment="1" applyProtection="1">
      <alignment horizontal="left" vertical="center" wrapText="1"/>
      <protection hidden="1"/>
    </xf>
    <xf numFmtId="0" fontId="15" fillId="0" borderId="0" xfId="0" applyFont="1" applyBorder="1" applyAlignment="1" applyProtection="1">
      <alignment horizontal="center" vertical="center" wrapText="1"/>
      <protection hidden="1"/>
    </xf>
    <xf numFmtId="0" fontId="3" fillId="0" borderId="26" xfId="0" applyFont="1" applyBorder="1" applyAlignment="1" applyProtection="1">
      <alignment horizontal="center" vertical="center" wrapText="1"/>
      <protection hidden="1"/>
    </xf>
    <xf numFmtId="0" fontId="3" fillId="0" borderId="25" xfId="0" applyFont="1" applyBorder="1" applyAlignment="1" applyProtection="1">
      <alignment horizontal="center" vertical="center" wrapText="1"/>
      <protection hidden="1"/>
    </xf>
    <xf numFmtId="0" fontId="3" fillId="0" borderId="27" xfId="0" applyFont="1" applyBorder="1" applyAlignment="1" applyProtection="1">
      <alignment horizontal="center" vertical="center" wrapText="1"/>
      <protection hidden="1"/>
    </xf>
    <xf numFmtId="0" fontId="3" fillId="0" borderId="24" xfId="0" applyFont="1" applyBorder="1" applyAlignment="1" applyProtection="1">
      <alignment horizontal="center" vertical="center" wrapText="1"/>
      <protection hidden="1"/>
    </xf>
    <xf numFmtId="0" fontId="3" fillId="0" borderId="23" xfId="0" applyFont="1" applyBorder="1" applyAlignment="1" applyProtection="1">
      <alignment horizontal="center" vertical="center" wrapText="1"/>
      <protection hidden="1"/>
    </xf>
    <xf numFmtId="164" fontId="3" fillId="0" borderId="33" xfId="1" applyNumberFormat="1" applyFont="1" applyFill="1" applyBorder="1" applyAlignment="1" applyProtection="1">
      <alignment horizontal="center" vertical="center" wrapText="1"/>
      <protection hidden="1"/>
    </xf>
    <xf numFmtId="164" fontId="3" fillId="0" borderId="28" xfId="1" applyNumberFormat="1" applyFont="1" applyFill="1" applyBorder="1" applyAlignment="1" applyProtection="1">
      <alignment horizontal="center" vertical="center" wrapText="1"/>
      <protection hidden="1"/>
    </xf>
    <xf numFmtId="164" fontId="3" fillId="0" borderId="31" xfId="1" applyNumberFormat="1" applyFont="1" applyFill="1" applyBorder="1" applyAlignment="1" applyProtection="1">
      <alignment horizontal="center" vertical="center" wrapText="1"/>
      <protection hidden="1"/>
    </xf>
    <xf numFmtId="164" fontId="3" fillId="0" borderId="32" xfId="1" applyNumberFormat="1" applyFont="1" applyFill="1" applyBorder="1" applyAlignment="1" applyProtection="1">
      <alignment horizontal="center" vertical="center" wrapText="1"/>
      <protection hidden="1"/>
    </xf>
    <xf numFmtId="0" fontId="3" fillId="0" borderId="8" xfId="0" applyFont="1" applyBorder="1" applyAlignment="1" applyProtection="1">
      <alignment horizontal="center" vertical="center" wrapText="1"/>
      <protection hidden="1"/>
    </xf>
    <xf numFmtId="0" fontId="3" fillId="2" borderId="18" xfId="0" applyFont="1" applyFill="1" applyBorder="1" applyAlignment="1" applyProtection="1">
      <alignment horizontal="center" vertical="center" wrapText="1"/>
      <protection hidden="1"/>
    </xf>
    <xf numFmtId="0" fontId="3" fillId="2" borderId="34" xfId="0" applyFont="1" applyFill="1" applyBorder="1" applyAlignment="1" applyProtection="1">
      <alignment horizontal="center" vertical="center" wrapText="1"/>
      <protection hidden="1"/>
    </xf>
    <xf numFmtId="0" fontId="3" fillId="0" borderId="14" xfId="0" applyFont="1" applyBorder="1" applyAlignment="1" applyProtection="1">
      <alignment horizontal="center" vertical="center" wrapText="1"/>
      <protection hidden="1"/>
    </xf>
    <xf numFmtId="0" fontId="3" fillId="0" borderId="10" xfId="0" applyFont="1" applyBorder="1" applyAlignment="1" applyProtection="1">
      <alignment horizontal="center" vertical="center" wrapText="1"/>
      <protection hidden="1"/>
    </xf>
    <xf numFmtId="0" fontId="3" fillId="0" borderId="4" xfId="0" applyFont="1" applyBorder="1" applyAlignment="1" applyProtection="1">
      <alignment horizontal="center" vertical="center" wrapText="1"/>
      <protection hidden="1"/>
    </xf>
    <xf numFmtId="0" fontId="3" fillId="0" borderId="9" xfId="0" applyFont="1" applyBorder="1" applyAlignment="1" applyProtection="1">
      <alignment horizontal="center" vertical="center" wrapText="1"/>
      <protection hidden="1"/>
    </xf>
    <xf numFmtId="0" fontId="3" fillId="0" borderId="2" xfId="0" applyFont="1" applyBorder="1" applyAlignment="1" applyProtection="1">
      <alignment horizontal="center" vertical="center" wrapText="1"/>
      <protection hidden="1"/>
    </xf>
    <xf numFmtId="0" fontId="3" fillId="0" borderId="11" xfId="0" applyFont="1" applyBorder="1" applyAlignment="1" applyProtection="1">
      <alignment horizontal="center" vertical="center" wrapText="1"/>
      <protection hidden="1"/>
    </xf>
    <xf numFmtId="0" fontId="3" fillId="0" borderId="12" xfId="0" applyFont="1" applyBorder="1" applyAlignment="1" applyProtection="1">
      <alignment horizontal="center" vertical="center" wrapText="1"/>
      <protection hidden="1"/>
    </xf>
    <xf numFmtId="0" fontId="3" fillId="8" borderId="2" xfId="0" applyFont="1" applyFill="1" applyBorder="1" applyAlignment="1" applyProtection="1">
      <alignment horizontal="center" vertical="center" wrapText="1"/>
      <protection hidden="1"/>
    </xf>
    <xf numFmtId="0" fontId="3" fillId="8" borderId="10" xfId="0" applyFont="1" applyFill="1" applyBorder="1" applyAlignment="1" applyProtection="1">
      <alignment horizontal="center" vertical="center" wrapText="1"/>
      <protection hidden="1"/>
    </xf>
    <xf numFmtId="0" fontId="3" fillId="8" borderId="12" xfId="0" applyFont="1" applyFill="1" applyBorder="1" applyAlignment="1" applyProtection="1">
      <alignment horizontal="center" vertical="center" wrapText="1"/>
      <protection hidden="1"/>
    </xf>
    <xf numFmtId="0" fontId="3" fillId="8" borderId="13" xfId="0" applyFont="1" applyFill="1" applyBorder="1" applyAlignment="1" applyProtection="1">
      <alignment horizontal="center" vertical="center" wrapText="1"/>
      <protection hidden="1"/>
    </xf>
    <xf numFmtId="9" fontId="3" fillId="0" borderId="31" xfId="0" applyNumberFormat="1" applyFont="1" applyFill="1" applyBorder="1" applyAlignment="1" applyProtection="1">
      <alignment horizontal="center" vertical="center" wrapText="1"/>
      <protection hidden="1"/>
    </xf>
    <xf numFmtId="9" fontId="3" fillId="0" borderId="1" xfId="0" applyNumberFormat="1" applyFont="1" applyFill="1" applyBorder="1" applyAlignment="1" applyProtection="1">
      <alignment horizontal="center" vertical="center" wrapText="1"/>
      <protection hidden="1"/>
    </xf>
    <xf numFmtId="0" fontId="3" fillId="0" borderId="7" xfId="0" applyFont="1" applyBorder="1" applyAlignment="1" applyProtection="1">
      <alignment horizontal="center" vertical="center" wrapText="1"/>
      <protection hidden="1"/>
    </xf>
    <xf numFmtId="0" fontId="3" fillId="0" borderId="5" xfId="0" applyFont="1" applyBorder="1" applyAlignment="1" applyProtection="1">
      <alignment horizontal="center" vertical="center" wrapText="1"/>
      <protection hidden="1"/>
    </xf>
    <xf numFmtId="0" fontId="3" fillId="0" borderId="21" xfId="0" applyFont="1" applyBorder="1" applyAlignment="1" applyProtection="1">
      <alignment horizontal="center" vertical="center" wrapText="1"/>
      <protection hidden="1"/>
    </xf>
    <xf numFmtId="0" fontId="3" fillId="0" borderId="3" xfId="0" applyFont="1" applyBorder="1" applyAlignment="1" applyProtection="1">
      <alignment horizontal="center" vertical="center" wrapText="1"/>
      <protection hidden="1"/>
    </xf>
    <xf numFmtId="0" fontId="3" fillId="2" borderId="5" xfId="0" applyFont="1" applyFill="1" applyBorder="1" applyAlignment="1" applyProtection="1">
      <alignment horizontal="center" vertical="center" wrapText="1"/>
      <protection hidden="1"/>
    </xf>
    <xf numFmtId="0" fontId="3" fillId="2" borderId="6" xfId="0" applyFont="1" applyFill="1" applyBorder="1" applyAlignment="1" applyProtection="1">
      <alignment horizontal="center" vertical="center" wrapText="1"/>
      <protection hidden="1"/>
    </xf>
    <xf numFmtId="0" fontId="3" fillId="2" borderId="20" xfId="0" applyFont="1" applyFill="1" applyBorder="1" applyAlignment="1" applyProtection="1">
      <alignment horizontal="center" vertical="center" wrapText="1"/>
      <protection hidden="1"/>
    </xf>
    <xf numFmtId="0" fontId="3" fillId="2" borderId="9" xfId="0" applyFont="1" applyFill="1" applyBorder="1" applyAlignment="1" applyProtection="1">
      <alignment horizontal="center" vertical="center" wrapText="1"/>
      <protection hidden="1"/>
    </xf>
    <xf numFmtId="0" fontId="3" fillId="2" borderId="2" xfId="0" applyFont="1" applyFill="1" applyBorder="1" applyAlignment="1" applyProtection="1">
      <alignment horizontal="center" vertical="center" wrapText="1"/>
      <protection hidden="1"/>
    </xf>
    <xf numFmtId="9" fontId="3" fillId="0" borderId="2" xfId="0" applyNumberFormat="1" applyFont="1" applyFill="1" applyBorder="1" applyAlignment="1" applyProtection="1">
      <alignment horizontal="center" vertical="center" wrapText="1"/>
      <protection hidden="1"/>
    </xf>
    <xf numFmtId="0" fontId="3" fillId="0" borderId="19" xfId="0" applyFont="1" applyBorder="1" applyAlignment="1" applyProtection="1">
      <alignment horizontal="center" vertical="center" wrapText="1"/>
      <protection hidden="1"/>
    </xf>
    <xf numFmtId="0" fontId="3" fillId="0" borderId="7" xfId="0" applyFont="1" applyFill="1" applyBorder="1" applyAlignment="1" applyProtection="1">
      <alignment horizontal="center" vertical="center" wrapText="1"/>
      <protection hidden="1"/>
    </xf>
    <xf numFmtId="0" fontId="3" fillId="0" borderId="24" xfId="0" applyFont="1" applyFill="1" applyBorder="1" applyAlignment="1" applyProtection="1">
      <alignment horizontal="center" vertical="center" wrapText="1"/>
      <protection hidden="1"/>
    </xf>
    <xf numFmtId="0" fontId="3" fillId="0" borderId="14" xfId="0" applyFont="1" applyFill="1" applyBorder="1" applyAlignment="1" applyProtection="1">
      <alignment horizontal="center" vertical="center" wrapText="1"/>
      <protection hidden="1"/>
    </xf>
    <xf numFmtId="0" fontId="3" fillId="2" borderId="7" xfId="0" applyFont="1" applyFill="1" applyBorder="1" applyAlignment="1" applyProtection="1">
      <alignment horizontal="center" vertical="center" wrapText="1"/>
      <protection hidden="1"/>
    </xf>
    <xf numFmtId="165" fontId="3" fillId="0" borderId="9" xfId="0" applyNumberFormat="1" applyFont="1" applyBorder="1" applyAlignment="1" applyProtection="1">
      <alignment horizontal="center" vertical="center" wrapText="1"/>
      <protection hidden="1"/>
    </xf>
    <xf numFmtId="165" fontId="3" fillId="0" borderId="2" xfId="0" applyNumberFormat="1" applyFont="1" applyBorder="1" applyAlignment="1" applyProtection="1">
      <alignment horizontal="center" vertical="center" wrapText="1"/>
      <protection hidden="1"/>
    </xf>
    <xf numFmtId="0" fontId="3" fillId="2" borderId="15" xfId="0" applyFont="1" applyFill="1" applyBorder="1" applyAlignment="1" applyProtection="1">
      <alignment horizontal="center" vertical="center" wrapText="1"/>
      <protection hidden="1"/>
    </xf>
    <xf numFmtId="0" fontId="3" fillId="2" borderId="22" xfId="0" applyFont="1" applyFill="1" applyBorder="1" applyAlignment="1" applyProtection="1">
      <alignment horizontal="center" vertical="center" wrapText="1"/>
      <protection hidden="1"/>
    </xf>
    <xf numFmtId="164" fontId="3" fillId="0" borderId="2" xfId="1" applyNumberFormat="1" applyFont="1" applyFill="1" applyBorder="1" applyAlignment="1" applyProtection="1">
      <alignment horizontal="center" vertical="center" wrapText="1"/>
      <protection hidden="1"/>
    </xf>
  </cellXfs>
  <cellStyles count="2">
    <cellStyle name="Normal" xfId="0" builtinId="0"/>
    <cellStyle name="Pourcentage" xfId="1" builtinId="5"/>
  </cellStyles>
  <dxfs count="45">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b/>
        <i val="0"/>
        <color rgb="FFFF0000"/>
      </font>
    </dxf>
    <dxf>
      <font>
        <b/>
        <i val="0"/>
        <color rgb="FF00B050"/>
      </font>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b/>
        <i val="0"/>
        <color rgb="FFFF0000"/>
      </font>
    </dxf>
    <dxf>
      <font>
        <b/>
        <i val="0"/>
        <color rgb="FF00B050"/>
      </font>
    </dxf>
    <dxf>
      <font>
        <color rgb="FF9C0006"/>
      </font>
      <fill>
        <patternFill>
          <bgColor rgb="FFFFC7CE"/>
        </patternFill>
      </fill>
    </dxf>
    <dxf>
      <font>
        <color rgb="FF006100"/>
      </font>
      <fill>
        <patternFill>
          <bgColor rgb="FFC6EFCE"/>
        </patternFill>
      </fill>
    </dxf>
    <dxf>
      <font>
        <b/>
        <i val="0"/>
        <condense val="0"/>
        <extend val="0"/>
        <color indexed="10"/>
      </font>
    </dxf>
    <dxf>
      <font>
        <b/>
        <i val="0"/>
        <condense val="0"/>
        <extend val="0"/>
        <color indexed="17"/>
      </font>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i val="0"/>
        <condense val="0"/>
        <extend val="0"/>
        <color indexed="10"/>
      </font>
    </dxf>
    <dxf>
      <font>
        <b/>
        <i val="0"/>
        <condense val="0"/>
        <extend val="0"/>
        <color indexed="17"/>
      </font>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i val="0"/>
        <condense val="0"/>
        <extend val="0"/>
        <color indexed="10"/>
      </font>
    </dxf>
    <dxf>
      <font>
        <b/>
        <i val="0"/>
        <condense val="0"/>
        <extend val="0"/>
        <color indexed="17"/>
      </font>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006100"/>
      <color rgb="FF99FF99"/>
      <color rgb="FF99FF66"/>
      <color rgb="FFFF9999"/>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9</xdr:col>
      <xdr:colOff>257736</xdr:colOff>
      <xdr:row>15</xdr:row>
      <xdr:rowOff>156882</xdr:rowOff>
    </xdr:from>
    <xdr:to>
      <xdr:col>12</xdr:col>
      <xdr:colOff>358588</xdr:colOff>
      <xdr:row>19</xdr:row>
      <xdr:rowOff>56029</xdr:rowOff>
    </xdr:to>
    <xdr:sp macro="" textlink="">
      <xdr:nvSpPr>
        <xdr:cNvPr id="2" name="Parallélogramme 1">
          <a:extLst>
            <a:ext uri="{FF2B5EF4-FFF2-40B4-BE49-F238E27FC236}">
              <a16:creationId xmlns:a16="http://schemas.microsoft.com/office/drawing/2014/main" id="{00000000-0008-0000-0000-000002000000}"/>
            </a:ext>
          </a:extLst>
        </xdr:cNvPr>
        <xdr:cNvSpPr/>
      </xdr:nvSpPr>
      <xdr:spPr bwMode="auto">
        <a:xfrm>
          <a:off x="9648265" y="4717676"/>
          <a:ext cx="4235823" cy="1288677"/>
        </a:xfrm>
        <a:prstGeom prst="parallelogram">
          <a:avLst/>
        </a:prstGeom>
        <a:solidFill>
          <a:schemeClr val="bg2"/>
        </a:solidFill>
        <a:ln w="9525" cap="flat" cmpd="sng" algn="ctr">
          <a:solidFill>
            <a:srgbClr val="400000"/>
          </a:solidFill>
          <a:prstDash val="solid"/>
          <a:round/>
          <a:headEnd type="none" w="med" len="med"/>
          <a:tailEnd type="none" w="med" len="med"/>
        </a:ln>
        <a:effectLst/>
      </xdr:spPr>
      <xdr:txBody>
        <a:bodyPr vertOverflow="clip" horzOverflow="clip" wrap="square" lIns="18288" tIns="0" rIns="0" bIns="0" rtlCol="0" anchor="t" upright="1"/>
        <a:lstStyle/>
        <a:p>
          <a:pPr algn="l"/>
          <a:r>
            <a:rPr lang="fr-CH" sz="1100"/>
            <a:t>position N°1              position N°2                  position N°3</a:t>
          </a:r>
        </a:p>
      </xdr:txBody>
    </xdr:sp>
    <xdr:clientData/>
  </xdr:twoCellAnchor>
  <xdr:twoCellAnchor>
    <xdr:from>
      <xdr:col>9</xdr:col>
      <xdr:colOff>773206</xdr:colOff>
      <xdr:row>16</xdr:row>
      <xdr:rowOff>179294</xdr:rowOff>
    </xdr:from>
    <xdr:to>
      <xdr:col>9</xdr:col>
      <xdr:colOff>1344706</xdr:colOff>
      <xdr:row>18</xdr:row>
      <xdr:rowOff>134470</xdr:rowOff>
    </xdr:to>
    <xdr:sp macro="" textlink="">
      <xdr:nvSpPr>
        <xdr:cNvPr id="3" name="Rectangle 2">
          <a:extLst>
            <a:ext uri="{FF2B5EF4-FFF2-40B4-BE49-F238E27FC236}">
              <a16:creationId xmlns:a16="http://schemas.microsoft.com/office/drawing/2014/main" id="{00000000-0008-0000-0000-000003000000}"/>
            </a:ext>
          </a:extLst>
        </xdr:cNvPr>
        <xdr:cNvSpPr/>
      </xdr:nvSpPr>
      <xdr:spPr bwMode="auto">
        <a:xfrm>
          <a:off x="10163735" y="5087470"/>
          <a:ext cx="571500" cy="649941"/>
        </a:xfrm>
        <a:prstGeom prst="rect">
          <a:avLst/>
        </a:prstGeom>
        <a:solidFill>
          <a:srgbClr val="92D050"/>
        </a:solidFill>
        <a:ln w="9525" cap="flat" cmpd="sng" algn="ctr">
          <a:solidFill>
            <a:srgbClr val="400000"/>
          </a:solidFill>
          <a:prstDash val="solid"/>
          <a:round/>
          <a:headEnd type="none" w="med" len="med"/>
          <a:tailEnd type="none" w="med" len="med"/>
        </a:ln>
        <a:effectLst/>
      </xdr:spPr>
      <xdr:txBody>
        <a:bodyPr vertOverflow="clip" horzOverflow="clip" wrap="square" lIns="18288" tIns="0" rIns="0" bIns="0" rtlCol="0" anchor="t" upright="1"/>
        <a:lstStyle/>
        <a:p>
          <a:pPr algn="l"/>
          <a:r>
            <a:rPr lang="fr-CH" sz="1100"/>
            <a:t>piece N°1</a:t>
          </a:r>
        </a:p>
      </xdr:txBody>
    </xdr:sp>
    <xdr:clientData/>
  </xdr:twoCellAnchor>
  <xdr:twoCellAnchor>
    <xdr:from>
      <xdr:col>10</xdr:col>
      <xdr:colOff>578225</xdr:colOff>
      <xdr:row>16</xdr:row>
      <xdr:rowOff>186017</xdr:rowOff>
    </xdr:from>
    <xdr:to>
      <xdr:col>10</xdr:col>
      <xdr:colOff>1149725</xdr:colOff>
      <xdr:row>18</xdr:row>
      <xdr:rowOff>141193</xdr:rowOff>
    </xdr:to>
    <xdr:sp macro="" textlink="">
      <xdr:nvSpPr>
        <xdr:cNvPr id="4" name="Rectangle 3">
          <a:extLst>
            <a:ext uri="{FF2B5EF4-FFF2-40B4-BE49-F238E27FC236}">
              <a16:creationId xmlns:a16="http://schemas.microsoft.com/office/drawing/2014/main" id="{00000000-0008-0000-0000-000004000000}"/>
            </a:ext>
          </a:extLst>
        </xdr:cNvPr>
        <xdr:cNvSpPr/>
      </xdr:nvSpPr>
      <xdr:spPr bwMode="auto">
        <a:xfrm>
          <a:off x="11347078" y="5094193"/>
          <a:ext cx="571500" cy="649941"/>
        </a:xfrm>
        <a:prstGeom prst="rect">
          <a:avLst/>
        </a:prstGeom>
        <a:solidFill>
          <a:srgbClr val="92D050"/>
        </a:solidFill>
        <a:ln w="9525" cap="flat" cmpd="sng" algn="ctr">
          <a:solidFill>
            <a:srgbClr val="400000"/>
          </a:solidFill>
          <a:prstDash val="solid"/>
          <a:round/>
          <a:headEnd type="none" w="med" len="med"/>
          <a:tailEnd type="none" w="med" len="med"/>
        </a:ln>
        <a:effectLst/>
      </xdr:spPr>
      <xdr:txBody>
        <a:bodyPr vertOverflow="clip" horzOverflow="clip" wrap="square" lIns="18288" tIns="0" rIns="0" bIns="0" rtlCol="0" anchor="t" upright="1"/>
        <a:lstStyle/>
        <a:p>
          <a:pPr algn="l"/>
          <a:r>
            <a:rPr lang="fr-CH" sz="1100"/>
            <a:t>pièce N°2</a:t>
          </a:r>
        </a:p>
      </xdr:txBody>
    </xdr:sp>
    <xdr:clientData/>
  </xdr:twoCellAnchor>
  <xdr:twoCellAnchor>
    <xdr:from>
      <xdr:col>11</xdr:col>
      <xdr:colOff>484093</xdr:colOff>
      <xdr:row>16</xdr:row>
      <xdr:rowOff>159124</xdr:rowOff>
    </xdr:from>
    <xdr:to>
      <xdr:col>11</xdr:col>
      <xdr:colOff>1055593</xdr:colOff>
      <xdr:row>18</xdr:row>
      <xdr:rowOff>114300</xdr:rowOff>
    </xdr:to>
    <xdr:sp macro="" textlink="">
      <xdr:nvSpPr>
        <xdr:cNvPr id="5" name="Rectangle 4">
          <a:extLst>
            <a:ext uri="{FF2B5EF4-FFF2-40B4-BE49-F238E27FC236}">
              <a16:creationId xmlns:a16="http://schemas.microsoft.com/office/drawing/2014/main" id="{00000000-0008-0000-0000-000005000000}"/>
            </a:ext>
          </a:extLst>
        </xdr:cNvPr>
        <xdr:cNvSpPr/>
      </xdr:nvSpPr>
      <xdr:spPr bwMode="auto">
        <a:xfrm>
          <a:off x="12631269" y="5067300"/>
          <a:ext cx="571500" cy="649941"/>
        </a:xfrm>
        <a:prstGeom prst="rect">
          <a:avLst/>
        </a:prstGeom>
        <a:solidFill>
          <a:srgbClr val="FF0000"/>
        </a:solidFill>
        <a:ln w="9525" cap="flat" cmpd="sng" algn="ctr">
          <a:solidFill>
            <a:srgbClr val="400000"/>
          </a:solidFill>
          <a:prstDash val="solid"/>
          <a:round/>
          <a:headEnd type="none" w="med" len="med"/>
          <a:tailEnd type="none" w="med" len="med"/>
        </a:ln>
        <a:effectLst/>
      </xdr:spPr>
      <xdr:txBody>
        <a:bodyPr vertOverflow="clip" horzOverflow="clip" wrap="square" lIns="18288" tIns="0" rIns="0" bIns="0" rtlCol="0" anchor="t" upright="1"/>
        <a:lstStyle/>
        <a:p>
          <a:pPr algn="l"/>
          <a:r>
            <a:rPr lang="fr-CH" sz="1100"/>
            <a:t>pièce N°3</a:t>
          </a:r>
        </a:p>
      </xdr:txBody>
    </xdr:sp>
    <xdr:clientData/>
  </xdr:twoCellAnchor>
  <xdr:twoCellAnchor>
    <xdr:from>
      <xdr:col>9</xdr:col>
      <xdr:colOff>85165</xdr:colOff>
      <xdr:row>19</xdr:row>
      <xdr:rowOff>264457</xdr:rowOff>
    </xdr:from>
    <xdr:to>
      <xdr:col>12</xdr:col>
      <xdr:colOff>186017</xdr:colOff>
      <xdr:row>23</xdr:row>
      <xdr:rowOff>163605</xdr:rowOff>
    </xdr:to>
    <xdr:sp macro="" textlink="">
      <xdr:nvSpPr>
        <xdr:cNvPr id="6" name="Parallélogramme 5">
          <a:extLst>
            <a:ext uri="{FF2B5EF4-FFF2-40B4-BE49-F238E27FC236}">
              <a16:creationId xmlns:a16="http://schemas.microsoft.com/office/drawing/2014/main" id="{00000000-0008-0000-0000-000006000000}"/>
            </a:ext>
          </a:extLst>
        </xdr:cNvPr>
        <xdr:cNvSpPr/>
      </xdr:nvSpPr>
      <xdr:spPr bwMode="auto">
        <a:xfrm>
          <a:off x="9475694" y="6214781"/>
          <a:ext cx="4235823" cy="1288677"/>
        </a:xfrm>
        <a:prstGeom prst="parallelogram">
          <a:avLst/>
        </a:prstGeom>
        <a:solidFill>
          <a:schemeClr val="bg2"/>
        </a:solidFill>
        <a:ln w="9525" cap="flat" cmpd="sng" algn="ctr">
          <a:solidFill>
            <a:srgbClr val="400000"/>
          </a:solidFill>
          <a:prstDash val="solid"/>
          <a:round/>
          <a:headEnd type="none" w="med" len="med"/>
          <a:tailEnd type="none" w="med" len="med"/>
        </a:ln>
        <a:effectLst/>
      </xdr:spPr>
      <xdr:txBody>
        <a:bodyPr vertOverflow="clip" horzOverflow="clip" wrap="square" lIns="18288" tIns="0" rIns="0" bIns="0" rtlCol="0" anchor="t" upright="1"/>
        <a:lstStyle/>
        <a:p>
          <a:pPr algn="l"/>
          <a:r>
            <a:rPr lang="fr-CH" sz="1100"/>
            <a:t>position N°1              position N°2                  position N°3</a:t>
          </a:r>
        </a:p>
      </xdr:txBody>
    </xdr:sp>
    <xdr:clientData/>
  </xdr:twoCellAnchor>
  <xdr:twoCellAnchor>
    <xdr:from>
      <xdr:col>11</xdr:col>
      <xdr:colOff>275664</xdr:colOff>
      <xdr:row>20</xdr:row>
      <xdr:rowOff>275663</xdr:rowOff>
    </xdr:from>
    <xdr:to>
      <xdr:col>11</xdr:col>
      <xdr:colOff>847164</xdr:colOff>
      <xdr:row>22</xdr:row>
      <xdr:rowOff>230839</xdr:rowOff>
    </xdr:to>
    <xdr:sp macro="" textlink="">
      <xdr:nvSpPr>
        <xdr:cNvPr id="7" name="Rectangle 6">
          <a:extLst>
            <a:ext uri="{FF2B5EF4-FFF2-40B4-BE49-F238E27FC236}">
              <a16:creationId xmlns:a16="http://schemas.microsoft.com/office/drawing/2014/main" id="{00000000-0008-0000-0000-000007000000}"/>
            </a:ext>
          </a:extLst>
        </xdr:cNvPr>
        <xdr:cNvSpPr/>
      </xdr:nvSpPr>
      <xdr:spPr bwMode="auto">
        <a:xfrm>
          <a:off x="12422840" y="6573369"/>
          <a:ext cx="571500" cy="649941"/>
        </a:xfrm>
        <a:prstGeom prst="rect">
          <a:avLst/>
        </a:prstGeom>
        <a:solidFill>
          <a:srgbClr val="92D050"/>
        </a:solidFill>
        <a:ln w="9525" cap="flat" cmpd="sng" algn="ctr">
          <a:solidFill>
            <a:srgbClr val="400000"/>
          </a:solidFill>
          <a:prstDash val="solid"/>
          <a:round/>
          <a:headEnd type="none" w="med" len="med"/>
          <a:tailEnd type="none" w="med" len="med"/>
        </a:ln>
        <a:effectLst/>
      </xdr:spPr>
      <xdr:txBody>
        <a:bodyPr vertOverflow="clip" horzOverflow="clip" wrap="square" lIns="18288" tIns="0" rIns="0" bIns="0" rtlCol="0" anchor="t" upright="1"/>
        <a:lstStyle/>
        <a:p>
          <a:pPr algn="l"/>
          <a:r>
            <a:rPr lang="fr-CH" sz="1100"/>
            <a:t>piece N°1</a:t>
          </a:r>
        </a:p>
      </xdr:txBody>
    </xdr:sp>
    <xdr:clientData/>
  </xdr:twoCellAnchor>
  <xdr:twoCellAnchor>
    <xdr:from>
      <xdr:col>9</xdr:col>
      <xdr:colOff>607360</xdr:colOff>
      <xdr:row>20</xdr:row>
      <xdr:rowOff>304798</xdr:rowOff>
    </xdr:from>
    <xdr:to>
      <xdr:col>9</xdr:col>
      <xdr:colOff>1178860</xdr:colOff>
      <xdr:row>22</xdr:row>
      <xdr:rowOff>259974</xdr:rowOff>
    </xdr:to>
    <xdr:sp macro="" textlink="">
      <xdr:nvSpPr>
        <xdr:cNvPr id="8" name="Rectangle 7">
          <a:extLst>
            <a:ext uri="{FF2B5EF4-FFF2-40B4-BE49-F238E27FC236}">
              <a16:creationId xmlns:a16="http://schemas.microsoft.com/office/drawing/2014/main" id="{00000000-0008-0000-0000-000008000000}"/>
            </a:ext>
          </a:extLst>
        </xdr:cNvPr>
        <xdr:cNvSpPr/>
      </xdr:nvSpPr>
      <xdr:spPr bwMode="auto">
        <a:xfrm>
          <a:off x="9997889" y="6602504"/>
          <a:ext cx="571500" cy="649941"/>
        </a:xfrm>
        <a:prstGeom prst="rect">
          <a:avLst/>
        </a:prstGeom>
        <a:solidFill>
          <a:srgbClr val="92D050"/>
        </a:solidFill>
        <a:ln w="9525" cap="flat" cmpd="sng" algn="ctr">
          <a:solidFill>
            <a:srgbClr val="400000"/>
          </a:solidFill>
          <a:prstDash val="solid"/>
          <a:round/>
          <a:headEnd type="none" w="med" len="med"/>
          <a:tailEnd type="none" w="med" len="med"/>
        </a:ln>
        <a:effectLst/>
      </xdr:spPr>
      <xdr:txBody>
        <a:bodyPr vertOverflow="clip" horzOverflow="clip" wrap="square" lIns="18288" tIns="0" rIns="0" bIns="0" rtlCol="0" anchor="t" upright="1"/>
        <a:lstStyle/>
        <a:p>
          <a:pPr algn="l"/>
          <a:r>
            <a:rPr lang="fr-CH" sz="1100"/>
            <a:t>pièce N°2</a:t>
          </a:r>
        </a:p>
      </xdr:txBody>
    </xdr:sp>
    <xdr:clientData/>
  </xdr:twoCellAnchor>
  <xdr:twoCellAnchor>
    <xdr:from>
      <xdr:col>10</xdr:col>
      <xdr:colOff>412375</xdr:colOff>
      <xdr:row>20</xdr:row>
      <xdr:rowOff>277905</xdr:rowOff>
    </xdr:from>
    <xdr:to>
      <xdr:col>10</xdr:col>
      <xdr:colOff>983875</xdr:colOff>
      <xdr:row>22</xdr:row>
      <xdr:rowOff>233081</xdr:rowOff>
    </xdr:to>
    <xdr:sp macro="" textlink="">
      <xdr:nvSpPr>
        <xdr:cNvPr id="9" name="Rectangle 8">
          <a:extLst>
            <a:ext uri="{FF2B5EF4-FFF2-40B4-BE49-F238E27FC236}">
              <a16:creationId xmlns:a16="http://schemas.microsoft.com/office/drawing/2014/main" id="{00000000-0008-0000-0000-000009000000}"/>
            </a:ext>
          </a:extLst>
        </xdr:cNvPr>
        <xdr:cNvSpPr/>
      </xdr:nvSpPr>
      <xdr:spPr bwMode="auto">
        <a:xfrm>
          <a:off x="11181228" y="6575611"/>
          <a:ext cx="571500" cy="649941"/>
        </a:xfrm>
        <a:prstGeom prst="rect">
          <a:avLst/>
        </a:prstGeom>
        <a:solidFill>
          <a:srgbClr val="FF0000"/>
        </a:solidFill>
        <a:ln w="9525" cap="flat" cmpd="sng" algn="ctr">
          <a:solidFill>
            <a:srgbClr val="400000"/>
          </a:solidFill>
          <a:prstDash val="solid"/>
          <a:round/>
          <a:headEnd type="none" w="med" len="med"/>
          <a:tailEnd type="none" w="med" len="med"/>
        </a:ln>
        <a:effectLst/>
      </xdr:spPr>
      <xdr:txBody>
        <a:bodyPr vertOverflow="clip" horzOverflow="clip" wrap="square" lIns="18288" tIns="0" rIns="0" bIns="0" rtlCol="0" anchor="t" upright="1"/>
        <a:lstStyle/>
        <a:p>
          <a:pPr algn="l"/>
          <a:r>
            <a:rPr lang="fr-CH" sz="1100"/>
            <a:t>pièce N°3</a:t>
          </a:r>
        </a:p>
      </xdr:txBody>
    </xdr:sp>
    <xdr:clientData/>
  </xdr:twoCellAnchor>
  <xdr:twoCellAnchor>
    <xdr:from>
      <xdr:col>12</xdr:col>
      <xdr:colOff>336177</xdr:colOff>
      <xdr:row>17</xdr:row>
      <xdr:rowOff>78441</xdr:rowOff>
    </xdr:from>
    <xdr:to>
      <xdr:col>13</xdr:col>
      <xdr:colOff>437029</xdr:colOff>
      <xdr:row>18</xdr:row>
      <xdr:rowOff>33618</xdr:rowOff>
    </xdr:to>
    <xdr:sp macro="" textlink="">
      <xdr:nvSpPr>
        <xdr:cNvPr id="10" name="ZoneTexte 9">
          <a:extLst>
            <a:ext uri="{FF2B5EF4-FFF2-40B4-BE49-F238E27FC236}">
              <a16:creationId xmlns:a16="http://schemas.microsoft.com/office/drawing/2014/main" id="{00000000-0008-0000-0000-00000A000000}"/>
            </a:ext>
          </a:extLst>
        </xdr:cNvPr>
        <xdr:cNvSpPr txBox="1"/>
      </xdr:nvSpPr>
      <xdr:spPr>
        <a:xfrm>
          <a:off x="13861677" y="5334000"/>
          <a:ext cx="1479176" cy="30255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CH" sz="1400" b="1"/>
            <a:t>plan</a:t>
          </a:r>
          <a:r>
            <a:rPr lang="fr-CH" sz="1400" b="1" baseline="0"/>
            <a:t> de test N°1</a:t>
          </a:r>
          <a:endParaRPr lang="fr-CH" sz="1400" b="1"/>
        </a:p>
      </xdr:txBody>
    </xdr:sp>
    <xdr:clientData/>
  </xdr:twoCellAnchor>
  <xdr:twoCellAnchor>
    <xdr:from>
      <xdr:col>12</xdr:col>
      <xdr:colOff>152400</xdr:colOff>
      <xdr:row>21</xdr:row>
      <xdr:rowOff>208430</xdr:rowOff>
    </xdr:from>
    <xdr:to>
      <xdr:col>13</xdr:col>
      <xdr:colOff>253252</xdr:colOff>
      <xdr:row>22</xdr:row>
      <xdr:rowOff>163606</xdr:rowOff>
    </xdr:to>
    <xdr:sp macro="" textlink="">
      <xdr:nvSpPr>
        <xdr:cNvPr id="11" name="ZoneTexte 10">
          <a:extLst>
            <a:ext uri="{FF2B5EF4-FFF2-40B4-BE49-F238E27FC236}">
              <a16:creationId xmlns:a16="http://schemas.microsoft.com/office/drawing/2014/main" id="{00000000-0008-0000-0000-00000B000000}"/>
            </a:ext>
          </a:extLst>
        </xdr:cNvPr>
        <xdr:cNvSpPr txBox="1"/>
      </xdr:nvSpPr>
      <xdr:spPr>
        <a:xfrm>
          <a:off x="13677900" y="6853518"/>
          <a:ext cx="1479176" cy="30255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CH" sz="1400" b="1"/>
            <a:t>plan</a:t>
          </a:r>
          <a:r>
            <a:rPr lang="fr-CH" sz="1400" b="1" baseline="0"/>
            <a:t> de test N°2</a:t>
          </a:r>
          <a:endParaRPr lang="fr-CH" sz="1400" b="1"/>
        </a:p>
      </xdr:txBody>
    </xdr:sp>
    <xdr:clientData/>
  </xdr:twoCellAnchor>
  <xdr:twoCellAnchor>
    <xdr:from>
      <xdr:col>11</xdr:col>
      <xdr:colOff>1243854</xdr:colOff>
      <xdr:row>15</xdr:row>
      <xdr:rowOff>268941</xdr:rowOff>
    </xdr:from>
    <xdr:to>
      <xdr:col>13</xdr:col>
      <xdr:colOff>156883</xdr:colOff>
      <xdr:row>16</xdr:row>
      <xdr:rowOff>168089</xdr:rowOff>
    </xdr:to>
    <xdr:sp macro="" textlink="">
      <xdr:nvSpPr>
        <xdr:cNvPr id="12" name="Flèche droite 11">
          <a:extLst>
            <a:ext uri="{FF2B5EF4-FFF2-40B4-BE49-F238E27FC236}">
              <a16:creationId xmlns:a16="http://schemas.microsoft.com/office/drawing/2014/main" id="{00000000-0008-0000-0000-00000C000000}"/>
            </a:ext>
          </a:extLst>
        </xdr:cNvPr>
        <xdr:cNvSpPr/>
      </xdr:nvSpPr>
      <xdr:spPr bwMode="auto">
        <a:xfrm rot="10800000">
          <a:off x="13391030" y="4829735"/>
          <a:ext cx="1669677" cy="246530"/>
        </a:xfrm>
        <a:prstGeom prst="rightArrow">
          <a:avLst/>
        </a:pr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t" upright="1"/>
        <a:lstStyle/>
        <a:p>
          <a:pPr algn="l"/>
          <a:endParaRPr lang="fr-CH" sz="1100"/>
        </a:p>
      </xdr:txBody>
    </xdr:sp>
    <xdr:clientData/>
  </xdr:twoCellAnchor>
  <xdr:twoCellAnchor>
    <xdr:from>
      <xdr:col>13</xdr:col>
      <xdr:colOff>219634</xdr:colOff>
      <xdr:row>15</xdr:row>
      <xdr:rowOff>208430</xdr:rowOff>
    </xdr:from>
    <xdr:to>
      <xdr:col>14</xdr:col>
      <xdr:colOff>448234</xdr:colOff>
      <xdr:row>16</xdr:row>
      <xdr:rowOff>163607</xdr:rowOff>
    </xdr:to>
    <xdr:sp macro="" textlink="">
      <xdr:nvSpPr>
        <xdr:cNvPr id="13" name="ZoneTexte 12">
          <a:extLst>
            <a:ext uri="{FF2B5EF4-FFF2-40B4-BE49-F238E27FC236}">
              <a16:creationId xmlns:a16="http://schemas.microsoft.com/office/drawing/2014/main" id="{00000000-0008-0000-0000-00000D000000}"/>
            </a:ext>
          </a:extLst>
        </xdr:cNvPr>
        <xdr:cNvSpPr txBox="1"/>
      </xdr:nvSpPr>
      <xdr:spPr>
        <a:xfrm>
          <a:off x="15123458" y="4769224"/>
          <a:ext cx="1606923" cy="30255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CH" sz="1400" b="1"/>
            <a:t>vu par l'opérateur</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90264</xdr:colOff>
      <xdr:row>3</xdr:row>
      <xdr:rowOff>0</xdr:rowOff>
    </xdr:from>
    <xdr:to>
      <xdr:col>2</xdr:col>
      <xdr:colOff>19697</xdr:colOff>
      <xdr:row>3</xdr:row>
      <xdr:rowOff>0</xdr:rowOff>
    </xdr:to>
    <xdr:pic>
      <xdr:nvPicPr>
        <xdr:cNvPr id="3" name="Picture 10">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0264" y="238126"/>
          <a:ext cx="1217213" cy="0"/>
        </a:xfrm>
        <a:prstGeom prst="rect">
          <a:avLst/>
        </a:prstGeom>
        <a:noFill/>
        <a:ln w="1">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90264</xdr:colOff>
      <xdr:row>3</xdr:row>
      <xdr:rowOff>0</xdr:rowOff>
    </xdr:from>
    <xdr:to>
      <xdr:col>2</xdr:col>
      <xdr:colOff>19697</xdr:colOff>
      <xdr:row>3</xdr:row>
      <xdr:rowOff>0</xdr:rowOff>
    </xdr:to>
    <xdr:pic>
      <xdr:nvPicPr>
        <xdr:cNvPr id="2" name="Picture 10">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52289" y="704850"/>
          <a:ext cx="1177208" cy="0"/>
        </a:xfrm>
        <a:prstGeom prst="rect">
          <a:avLst/>
        </a:prstGeom>
        <a:noFill/>
        <a:ln w="1">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90264</xdr:colOff>
      <xdr:row>3</xdr:row>
      <xdr:rowOff>0</xdr:rowOff>
    </xdr:from>
    <xdr:to>
      <xdr:col>2</xdr:col>
      <xdr:colOff>19697</xdr:colOff>
      <xdr:row>3</xdr:row>
      <xdr:rowOff>0</xdr:rowOff>
    </xdr:to>
    <xdr:pic>
      <xdr:nvPicPr>
        <xdr:cNvPr id="2" name="Picture 10">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52289" y="704850"/>
          <a:ext cx="1177208" cy="0"/>
        </a:xfrm>
        <a:prstGeom prst="rect">
          <a:avLst/>
        </a:prstGeom>
        <a:noFill/>
        <a:ln w="1">
          <a:noFill/>
          <a:miter lim="800000"/>
          <a:headEnd/>
          <a:tailEnd/>
        </a:ln>
      </xdr:spPr>
    </xdr:pic>
    <xdr:clientData/>
  </xdr:twoCellAnchor>
</xdr:wsDr>
</file>

<file path=xl/theme/theme1.xml><?xml version="1.0" encoding="utf-8"?>
<a:theme xmlns:a="http://schemas.openxmlformats.org/drawingml/2006/main" name="Larissa">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2:M32"/>
  <sheetViews>
    <sheetView showGridLines="0" tabSelected="1" zoomScale="70" zoomScaleNormal="70" zoomScalePageLayoutView="85" workbookViewId="0">
      <selection activeCell="N5" sqref="N5"/>
    </sheetView>
  </sheetViews>
  <sheetFormatPr baseColWidth="10" defaultColWidth="20.7109375" defaultRowHeight="15" customHeight="1" x14ac:dyDescent="0.2"/>
  <cols>
    <col min="1" max="1" width="3" style="2" customWidth="1"/>
    <col min="2" max="4" width="16.7109375" style="2" customWidth="1"/>
    <col min="5" max="5" width="17.28515625" style="13" customWidth="1"/>
    <col min="6" max="7" width="16.7109375" style="2" customWidth="1"/>
    <col min="8" max="8" width="16.5703125" style="2" customWidth="1"/>
    <col min="9" max="9" width="20.7109375" style="2"/>
    <col min="10" max="10" width="20.7109375" style="2" customWidth="1"/>
    <col min="11" max="16384" width="20.7109375" style="2"/>
  </cols>
  <sheetData>
    <row r="2" spans="2:13" ht="25.5" customHeight="1" x14ac:dyDescent="0.2">
      <c r="B2" s="98" t="s">
        <v>98</v>
      </c>
      <c r="C2" s="99"/>
      <c r="D2" s="99"/>
      <c r="E2" s="99"/>
      <c r="F2" s="99"/>
      <c r="G2" s="99"/>
      <c r="H2" s="100"/>
      <c r="J2" s="2" t="s">
        <v>66</v>
      </c>
    </row>
    <row r="3" spans="2:13" ht="12.75" x14ac:dyDescent="0.2">
      <c r="B3" s="6"/>
      <c r="C3" s="6"/>
      <c r="D3" s="6"/>
      <c r="E3" s="6"/>
      <c r="F3" s="6"/>
      <c r="G3" s="6"/>
      <c r="H3" s="6"/>
      <c r="I3" s="7"/>
      <c r="J3" s="105" t="s">
        <v>67</v>
      </c>
      <c r="K3" s="105"/>
      <c r="L3" s="105"/>
      <c r="M3" s="105"/>
    </row>
    <row r="4" spans="2:13" s="4" customFormat="1" ht="28.5" customHeight="1" x14ac:dyDescent="0.2">
      <c r="B4" s="72" t="s">
        <v>17</v>
      </c>
      <c r="C4" s="80" t="s">
        <v>9</v>
      </c>
      <c r="D4" s="72" t="s">
        <v>47</v>
      </c>
      <c r="E4" s="48" t="s">
        <v>48</v>
      </c>
      <c r="F4" s="72" t="s">
        <v>20</v>
      </c>
      <c r="G4" s="72" t="s">
        <v>19</v>
      </c>
      <c r="H4" s="72" t="s">
        <v>18</v>
      </c>
      <c r="I4" s="8"/>
      <c r="J4" s="104" t="s">
        <v>68</v>
      </c>
      <c r="K4" s="104"/>
      <c r="L4" s="104"/>
      <c r="M4" s="104"/>
    </row>
    <row r="5" spans="2:13" s="4" customFormat="1" ht="26.25" customHeight="1" x14ac:dyDescent="0.2">
      <c r="B5" s="92" t="s">
        <v>52</v>
      </c>
      <c r="C5" s="92" t="s">
        <v>53</v>
      </c>
      <c r="D5" s="92" t="s">
        <v>54</v>
      </c>
      <c r="E5" s="92" t="s">
        <v>53</v>
      </c>
      <c r="F5" s="92" t="s">
        <v>55</v>
      </c>
      <c r="G5" s="92" t="s">
        <v>56</v>
      </c>
      <c r="H5" s="92" t="s">
        <v>57</v>
      </c>
      <c r="I5" s="9"/>
      <c r="J5" s="104"/>
      <c r="K5" s="104"/>
      <c r="L5" s="104"/>
      <c r="M5" s="104"/>
    </row>
    <row r="6" spans="2:13" s="4" customFormat="1" ht="27" customHeight="1" x14ac:dyDescent="0.2">
      <c r="B6" s="101" t="s">
        <v>20</v>
      </c>
      <c r="C6" s="101"/>
      <c r="D6" s="101"/>
      <c r="E6" s="102" t="s">
        <v>31</v>
      </c>
      <c r="F6" s="102"/>
      <c r="G6" s="102"/>
      <c r="H6" s="102"/>
      <c r="I6" s="8"/>
      <c r="J6" s="104"/>
      <c r="K6" s="104"/>
      <c r="L6" s="104"/>
      <c r="M6" s="104"/>
    </row>
    <row r="7" spans="2:13" s="4" customFormat="1" ht="24" customHeight="1" x14ac:dyDescent="0.2">
      <c r="B7" s="37" t="s">
        <v>3</v>
      </c>
      <c r="C7" s="97" t="s">
        <v>58</v>
      </c>
      <c r="D7" s="97"/>
      <c r="E7" s="37" t="s">
        <v>32</v>
      </c>
      <c r="F7" s="97" t="s">
        <v>62</v>
      </c>
      <c r="G7" s="97"/>
      <c r="H7" s="97"/>
      <c r="I7" s="8"/>
      <c r="J7" s="104" t="s">
        <v>70</v>
      </c>
      <c r="K7" s="104"/>
      <c r="L7" s="104"/>
      <c r="M7" s="104"/>
    </row>
    <row r="8" spans="2:13" s="4" customFormat="1" ht="25.5" customHeight="1" x14ac:dyDescent="0.2">
      <c r="B8" s="37" t="s">
        <v>21</v>
      </c>
      <c r="C8" s="97" t="s">
        <v>63</v>
      </c>
      <c r="D8" s="97"/>
      <c r="E8" s="37" t="s">
        <v>33</v>
      </c>
      <c r="F8" s="97" t="s">
        <v>61</v>
      </c>
      <c r="G8" s="97"/>
      <c r="H8" s="97"/>
      <c r="I8" s="8"/>
      <c r="J8" s="106" t="s">
        <v>69</v>
      </c>
      <c r="K8" s="106"/>
      <c r="L8" s="106"/>
      <c r="M8" s="106"/>
    </row>
    <row r="9" spans="2:13" s="4" customFormat="1" ht="36.75" customHeight="1" x14ac:dyDescent="0.2">
      <c r="B9" s="37" t="s">
        <v>59</v>
      </c>
      <c r="C9" s="97" t="s">
        <v>60</v>
      </c>
      <c r="D9" s="97"/>
      <c r="E9" s="103"/>
      <c r="F9" s="103"/>
      <c r="G9" s="103"/>
      <c r="H9" s="103"/>
      <c r="I9" s="9"/>
      <c r="J9" s="87" t="s">
        <v>71</v>
      </c>
      <c r="K9" s="73"/>
      <c r="L9" s="73"/>
      <c r="M9" s="73"/>
    </row>
    <row r="10" spans="2:13" s="4" customFormat="1" ht="24" customHeight="1" x14ac:dyDescent="0.2">
      <c r="B10" s="96" t="s">
        <v>92</v>
      </c>
      <c r="C10" s="96"/>
      <c r="D10" s="96"/>
      <c r="E10" s="93"/>
      <c r="F10" s="96" t="s">
        <v>93</v>
      </c>
      <c r="G10" s="96"/>
      <c r="H10" s="96"/>
      <c r="I10" s="9"/>
      <c r="J10" s="87"/>
      <c r="K10" s="73"/>
      <c r="L10" s="73"/>
      <c r="M10" s="73"/>
    </row>
    <row r="11" spans="2:13" s="4" customFormat="1" ht="12.75" x14ac:dyDescent="0.2">
      <c r="B11" s="37" t="s">
        <v>46</v>
      </c>
      <c r="C11" s="37" t="s">
        <v>22</v>
      </c>
      <c r="D11" s="79" t="s">
        <v>80</v>
      </c>
      <c r="E11" s="94"/>
      <c r="F11" s="37" t="s">
        <v>46</v>
      </c>
      <c r="G11" s="37" t="s">
        <v>22</v>
      </c>
      <c r="H11" s="79" t="s">
        <v>80</v>
      </c>
      <c r="I11" s="9"/>
      <c r="J11" s="104" t="s">
        <v>72</v>
      </c>
      <c r="K11" s="104"/>
      <c r="L11" s="104"/>
      <c r="M11" s="104"/>
    </row>
    <row r="12" spans="2:13" s="4" customFormat="1" ht="27" customHeight="1" x14ac:dyDescent="0.2">
      <c r="B12" s="46">
        <v>1</v>
      </c>
      <c r="C12" s="46">
        <v>1</v>
      </c>
      <c r="D12" s="47" t="s">
        <v>24</v>
      </c>
      <c r="E12" s="94"/>
      <c r="F12" s="86">
        <v>20</v>
      </c>
      <c r="G12" s="80">
        <f t="shared" ref="G12:G31" si="0">B12</f>
        <v>1</v>
      </c>
      <c r="H12" s="47" t="str">
        <f>D12</f>
        <v>échec</v>
      </c>
      <c r="I12" s="44">
        <f ca="1">RAND()</f>
        <v>0.71247598688130009</v>
      </c>
    </row>
    <row r="13" spans="2:13" s="4" customFormat="1" ht="27" customHeight="1" x14ac:dyDescent="0.2">
      <c r="B13" s="46">
        <v>2</v>
      </c>
      <c r="C13" s="46">
        <v>2</v>
      </c>
      <c r="D13" s="47" t="s">
        <v>24</v>
      </c>
      <c r="E13" s="94"/>
      <c r="F13" s="86">
        <v>19</v>
      </c>
      <c r="G13" s="80">
        <f t="shared" si="0"/>
        <v>2</v>
      </c>
      <c r="H13" s="47" t="str">
        <f t="shared" ref="H13:H31" si="1">D13</f>
        <v>échec</v>
      </c>
      <c r="I13" s="44">
        <f t="shared" ref="I13:I26" ca="1" si="2">RAND()</f>
        <v>0.29517312224209469</v>
      </c>
    </row>
    <row r="14" spans="2:13" s="4" customFormat="1" ht="27" customHeight="1" x14ac:dyDescent="0.2">
      <c r="B14" s="46">
        <v>3</v>
      </c>
      <c r="C14" s="46">
        <v>3</v>
      </c>
      <c r="D14" s="47" t="s">
        <v>24</v>
      </c>
      <c r="E14" s="94"/>
      <c r="F14" s="86">
        <v>18</v>
      </c>
      <c r="G14" s="80">
        <f t="shared" si="0"/>
        <v>3</v>
      </c>
      <c r="H14" s="47" t="str">
        <f t="shared" si="1"/>
        <v>échec</v>
      </c>
      <c r="I14" s="44">
        <f t="shared" ca="1" si="2"/>
        <v>1.134852805047315E-2</v>
      </c>
    </row>
    <row r="15" spans="2:13" s="4" customFormat="1" ht="27" customHeight="1" x14ac:dyDescent="0.2">
      <c r="B15" s="46">
        <v>4</v>
      </c>
      <c r="C15" s="46">
        <v>4</v>
      </c>
      <c r="D15" s="47" t="s">
        <v>24</v>
      </c>
      <c r="E15" s="94"/>
      <c r="F15" s="86">
        <v>17</v>
      </c>
      <c r="G15" s="80">
        <f t="shared" si="0"/>
        <v>4</v>
      </c>
      <c r="H15" s="47" t="str">
        <f t="shared" si="1"/>
        <v>échec</v>
      </c>
      <c r="I15" s="44">
        <f t="shared" ca="1" si="2"/>
        <v>0.94027161039281804</v>
      </c>
      <c r="J15" s="78" t="s">
        <v>89</v>
      </c>
    </row>
    <row r="16" spans="2:13" s="4" customFormat="1" ht="27" customHeight="1" x14ac:dyDescent="0.2">
      <c r="B16" s="46">
        <v>5</v>
      </c>
      <c r="C16" s="46">
        <v>5</v>
      </c>
      <c r="D16" s="47" t="s">
        <v>24</v>
      </c>
      <c r="E16" s="94"/>
      <c r="F16" s="86">
        <v>16</v>
      </c>
      <c r="G16" s="80">
        <f t="shared" si="0"/>
        <v>5</v>
      </c>
      <c r="H16" s="47" t="str">
        <f t="shared" si="1"/>
        <v>échec</v>
      </c>
      <c r="I16" s="44">
        <f t="shared" ca="1" si="2"/>
        <v>0.25557910241544479</v>
      </c>
    </row>
    <row r="17" spans="2:9" s="4" customFormat="1" ht="27" customHeight="1" x14ac:dyDescent="0.2">
      <c r="B17" s="46">
        <v>6</v>
      </c>
      <c r="C17" s="46">
        <v>6</v>
      </c>
      <c r="D17" s="47" t="s">
        <v>23</v>
      </c>
      <c r="E17" s="94"/>
      <c r="F17" s="86">
        <v>15</v>
      </c>
      <c r="G17" s="80">
        <f t="shared" si="0"/>
        <v>6</v>
      </c>
      <c r="H17" s="47" t="str">
        <f t="shared" si="1"/>
        <v>succés</v>
      </c>
      <c r="I17" s="44">
        <f ca="1">RAND()</f>
        <v>0.72438480487592583</v>
      </c>
    </row>
    <row r="18" spans="2:9" s="4" customFormat="1" ht="27" customHeight="1" x14ac:dyDescent="0.2">
      <c r="B18" s="46">
        <v>7</v>
      </c>
      <c r="C18" s="46">
        <v>7</v>
      </c>
      <c r="D18" s="47" t="s">
        <v>23</v>
      </c>
      <c r="E18" s="94"/>
      <c r="F18" s="86">
        <v>14</v>
      </c>
      <c r="G18" s="80">
        <f t="shared" si="0"/>
        <v>7</v>
      </c>
      <c r="H18" s="47" t="str">
        <f t="shared" si="1"/>
        <v>succés</v>
      </c>
      <c r="I18" s="44">
        <f t="shared" ca="1" si="2"/>
        <v>0.99058320037258463</v>
      </c>
    </row>
    <row r="19" spans="2:9" s="4" customFormat="1" ht="27" customHeight="1" x14ac:dyDescent="0.2">
      <c r="B19" s="46">
        <v>8</v>
      </c>
      <c r="C19" s="46">
        <v>8</v>
      </c>
      <c r="D19" s="47" t="s">
        <v>23</v>
      </c>
      <c r="E19" s="94"/>
      <c r="F19" s="86">
        <v>13</v>
      </c>
      <c r="G19" s="80">
        <f t="shared" si="0"/>
        <v>8</v>
      </c>
      <c r="H19" s="47" t="str">
        <f t="shared" si="1"/>
        <v>succés</v>
      </c>
      <c r="I19" s="44">
        <f t="shared" ca="1" si="2"/>
        <v>0.80430649246283425</v>
      </c>
    </row>
    <row r="20" spans="2:9" s="4" customFormat="1" ht="27" customHeight="1" x14ac:dyDescent="0.2">
      <c r="B20" s="46">
        <v>9</v>
      </c>
      <c r="C20" s="46">
        <v>9</v>
      </c>
      <c r="D20" s="47" t="s">
        <v>23</v>
      </c>
      <c r="E20" s="94"/>
      <c r="F20" s="86">
        <v>12</v>
      </c>
      <c r="G20" s="80">
        <f t="shared" si="0"/>
        <v>9</v>
      </c>
      <c r="H20" s="47" t="str">
        <f t="shared" si="1"/>
        <v>succés</v>
      </c>
      <c r="I20" s="44">
        <f t="shared" ca="1" si="2"/>
        <v>0.8669083954549931</v>
      </c>
    </row>
    <row r="21" spans="2:9" s="4" customFormat="1" ht="27" customHeight="1" x14ac:dyDescent="0.2">
      <c r="B21" s="46">
        <v>10</v>
      </c>
      <c r="C21" s="46">
        <v>10</v>
      </c>
      <c r="D21" s="47" t="s">
        <v>23</v>
      </c>
      <c r="E21" s="94"/>
      <c r="F21" s="86">
        <v>11</v>
      </c>
      <c r="G21" s="80">
        <f t="shared" si="0"/>
        <v>10</v>
      </c>
      <c r="H21" s="47" t="str">
        <f t="shared" si="1"/>
        <v>succés</v>
      </c>
      <c r="I21" s="44">
        <f t="shared" ca="1" si="2"/>
        <v>0.73081223413069651</v>
      </c>
    </row>
    <row r="22" spans="2:9" s="4" customFormat="1" ht="27" customHeight="1" x14ac:dyDescent="0.2">
      <c r="B22" s="46">
        <v>11</v>
      </c>
      <c r="C22" s="46">
        <v>11</v>
      </c>
      <c r="D22" s="47" t="s">
        <v>23</v>
      </c>
      <c r="E22" s="94"/>
      <c r="F22" s="86">
        <v>10</v>
      </c>
      <c r="G22" s="80">
        <f t="shared" si="0"/>
        <v>11</v>
      </c>
      <c r="H22" s="47" t="str">
        <f t="shared" si="1"/>
        <v>succés</v>
      </c>
      <c r="I22" s="44">
        <f t="shared" ca="1" si="2"/>
        <v>0.94581670023149167</v>
      </c>
    </row>
    <row r="23" spans="2:9" s="4" customFormat="1" ht="27" customHeight="1" x14ac:dyDescent="0.2">
      <c r="B23" s="46">
        <v>12</v>
      </c>
      <c r="C23" s="46">
        <v>12</v>
      </c>
      <c r="D23" s="47" t="s">
        <v>23</v>
      </c>
      <c r="E23" s="94"/>
      <c r="F23" s="86">
        <v>9</v>
      </c>
      <c r="G23" s="80">
        <f t="shared" si="0"/>
        <v>12</v>
      </c>
      <c r="H23" s="47" t="str">
        <f t="shared" si="1"/>
        <v>succés</v>
      </c>
      <c r="I23" s="44">
        <f t="shared" ca="1" si="2"/>
        <v>0.56095953033393031</v>
      </c>
    </row>
    <row r="24" spans="2:9" s="4" customFormat="1" ht="27" customHeight="1" x14ac:dyDescent="0.2">
      <c r="B24" s="46">
        <v>13</v>
      </c>
      <c r="C24" s="46">
        <v>13</v>
      </c>
      <c r="D24" s="47" t="s">
        <v>23</v>
      </c>
      <c r="E24" s="94"/>
      <c r="F24" s="86">
        <v>8</v>
      </c>
      <c r="G24" s="80">
        <f t="shared" si="0"/>
        <v>13</v>
      </c>
      <c r="H24" s="47" t="str">
        <f t="shared" si="1"/>
        <v>succés</v>
      </c>
      <c r="I24" s="44">
        <f t="shared" ca="1" si="2"/>
        <v>0.86095409932074229</v>
      </c>
    </row>
    <row r="25" spans="2:9" s="4" customFormat="1" ht="27" customHeight="1" x14ac:dyDescent="0.2">
      <c r="B25" s="46">
        <v>14</v>
      </c>
      <c r="C25" s="46">
        <v>14</v>
      </c>
      <c r="D25" s="47" t="s">
        <v>23</v>
      </c>
      <c r="E25" s="94"/>
      <c r="F25" s="86">
        <v>7</v>
      </c>
      <c r="G25" s="80">
        <f t="shared" si="0"/>
        <v>14</v>
      </c>
      <c r="H25" s="47" t="str">
        <f t="shared" si="1"/>
        <v>succés</v>
      </c>
      <c r="I25" s="44">
        <f t="shared" ca="1" si="2"/>
        <v>0.70480887279771132</v>
      </c>
    </row>
    <row r="26" spans="2:9" s="4" customFormat="1" ht="27" customHeight="1" x14ac:dyDescent="0.2">
      <c r="B26" s="46">
        <v>15</v>
      </c>
      <c r="C26" s="46">
        <v>15</v>
      </c>
      <c r="D26" s="47" t="s">
        <v>23</v>
      </c>
      <c r="E26" s="94"/>
      <c r="F26" s="86">
        <v>6</v>
      </c>
      <c r="G26" s="80">
        <f t="shared" si="0"/>
        <v>15</v>
      </c>
      <c r="H26" s="47" t="str">
        <f t="shared" si="1"/>
        <v>succés</v>
      </c>
      <c r="I26" s="44">
        <f t="shared" ca="1" si="2"/>
        <v>0.57589538965008957</v>
      </c>
    </row>
    <row r="27" spans="2:9" s="4" customFormat="1" ht="27" customHeight="1" x14ac:dyDescent="0.2">
      <c r="B27" s="46">
        <v>16</v>
      </c>
      <c r="C27" s="46">
        <v>16</v>
      </c>
      <c r="D27" s="47" t="s">
        <v>23</v>
      </c>
      <c r="E27" s="94"/>
      <c r="F27" s="86">
        <v>5</v>
      </c>
      <c r="G27" s="80">
        <f t="shared" si="0"/>
        <v>16</v>
      </c>
      <c r="H27" s="47" t="str">
        <f t="shared" si="1"/>
        <v>succés</v>
      </c>
      <c r="I27" s="44">
        <f ca="1">RAND()</f>
        <v>0.67221392611557296</v>
      </c>
    </row>
    <row r="28" spans="2:9" s="4" customFormat="1" ht="27" customHeight="1" x14ac:dyDescent="0.2">
      <c r="B28" s="46">
        <v>17</v>
      </c>
      <c r="C28" s="46">
        <v>17</v>
      </c>
      <c r="D28" s="47" t="s">
        <v>23</v>
      </c>
      <c r="E28" s="94"/>
      <c r="F28" s="86">
        <v>4</v>
      </c>
      <c r="G28" s="80">
        <f t="shared" si="0"/>
        <v>17</v>
      </c>
      <c r="H28" s="47" t="str">
        <f t="shared" si="1"/>
        <v>succés</v>
      </c>
      <c r="I28" s="44">
        <f ca="1">RAND()</f>
        <v>0.57557508828648851</v>
      </c>
    </row>
    <row r="29" spans="2:9" s="4" customFormat="1" ht="27" customHeight="1" x14ac:dyDescent="0.2">
      <c r="B29" s="46">
        <v>18</v>
      </c>
      <c r="C29" s="46">
        <v>18</v>
      </c>
      <c r="D29" s="47" t="s">
        <v>23</v>
      </c>
      <c r="E29" s="94"/>
      <c r="F29" s="86">
        <v>3</v>
      </c>
      <c r="G29" s="80">
        <f t="shared" si="0"/>
        <v>18</v>
      </c>
      <c r="H29" s="47" t="str">
        <f t="shared" si="1"/>
        <v>succés</v>
      </c>
      <c r="I29" s="44">
        <f ca="1">RAND()</f>
        <v>0.38777913109669004</v>
      </c>
    </row>
    <row r="30" spans="2:9" s="4" customFormat="1" ht="27" customHeight="1" x14ac:dyDescent="0.2">
      <c r="B30" s="46">
        <v>19</v>
      </c>
      <c r="C30" s="46">
        <v>19</v>
      </c>
      <c r="D30" s="47" t="s">
        <v>23</v>
      </c>
      <c r="E30" s="94"/>
      <c r="F30" s="86">
        <v>2</v>
      </c>
      <c r="G30" s="80">
        <f t="shared" si="0"/>
        <v>19</v>
      </c>
      <c r="H30" s="47" t="str">
        <f t="shared" si="1"/>
        <v>succés</v>
      </c>
      <c r="I30" s="44">
        <f ca="1">RAND()</f>
        <v>0.86968961927702026</v>
      </c>
    </row>
    <row r="31" spans="2:9" s="4" customFormat="1" ht="27" customHeight="1" x14ac:dyDescent="0.2">
      <c r="B31" s="46">
        <v>20</v>
      </c>
      <c r="C31" s="46">
        <v>20</v>
      </c>
      <c r="D31" s="47" t="s">
        <v>23</v>
      </c>
      <c r="E31" s="94"/>
      <c r="F31" s="86">
        <v>1</v>
      </c>
      <c r="G31" s="80">
        <f t="shared" si="0"/>
        <v>20</v>
      </c>
      <c r="H31" s="47" t="str">
        <f t="shared" si="1"/>
        <v>succés</v>
      </c>
      <c r="I31" s="44">
        <f ca="1">RAND()</f>
        <v>0.6145285272414307</v>
      </c>
    </row>
    <row r="32" spans="2:9" ht="27" customHeight="1" x14ac:dyDescent="0.2">
      <c r="B32" s="10"/>
      <c r="C32" s="10"/>
      <c r="D32" s="10"/>
      <c r="E32" s="11"/>
      <c r="F32" s="10"/>
      <c r="G32" s="10"/>
      <c r="H32" s="10"/>
    </row>
  </sheetData>
  <sheetProtection selectLockedCells="1"/>
  <protectedRanges>
    <protectedRange sqref="C7:D10 F7:H9 F12:F31 G10:H10 H12:H31 B12:D31" name="Inge AQ"/>
  </protectedRanges>
  <sortState xmlns:xlrd2="http://schemas.microsoft.com/office/spreadsheetml/2017/richdata2" ref="E11:I30">
    <sortCondition ref="E10"/>
  </sortState>
  <mergeCells count="16">
    <mergeCell ref="J11:M11"/>
    <mergeCell ref="J3:M3"/>
    <mergeCell ref="J4:M6"/>
    <mergeCell ref="J7:M7"/>
    <mergeCell ref="J8:M8"/>
    <mergeCell ref="B10:D10"/>
    <mergeCell ref="F10:H10"/>
    <mergeCell ref="C9:D9"/>
    <mergeCell ref="B2:H2"/>
    <mergeCell ref="C7:D7"/>
    <mergeCell ref="C8:D8"/>
    <mergeCell ref="F7:H7"/>
    <mergeCell ref="F8:H8"/>
    <mergeCell ref="B6:D6"/>
    <mergeCell ref="E6:H6"/>
    <mergeCell ref="E9:H9"/>
  </mergeCells>
  <conditionalFormatting sqref="D12:D31">
    <cfRule type="containsText" dxfId="44" priority="5" operator="containsText" text="échec">
      <formula>NOT(ISERROR(SEARCH("échec",D12)))</formula>
    </cfRule>
    <cfRule type="containsText" dxfId="43" priority="6" operator="containsText" text="succés">
      <formula>NOT(ISERROR(SEARCH("succés",D12)))</formula>
    </cfRule>
  </conditionalFormatting>
  <conditionalFormatting sqref="H12:H31">
    <cfRule type="containsText" dxfId="42" priority="1" operator="containsText" text="échec">
      <formula>NOT(ISERROR(SEARCH("échec",H12)))</formula>
    </cfRule>
    <cfRule type="containsText" dxfId="41" priority="2" operator="containsText" text="succés">
      <formula>NOT(ISERROR(SEARCH("succés",H12)))</formula>
    </cfRule>
  </conditionalFormatting>
  <dataValidations count="1">
    <dataValidation type="list" allowBlank="1" showInputMessage="1" showErrorMessage="1" sqref="H12:H31 D12:D31" xr:uid="{00000000-0002-0000-0000-000000000000}">
      <formula1>"succés,échec"</formula1>
    </dataValidation>
  </dataValidations>
  <printOptions horizontalCentered="1"/>
  <pageMargins left="0.39370078740157483" right="0.39370078740157483" top="1.1023622047244095" bottom="0.78740157480314965" header="0.31496062992125984" footer="0.31496062992125984"/>
  <pageSetup paperSize="9" scale="70" orientation="portrait" verticalDpi="1200" r:id="rId1"/>
  <headerFooter>
    <oddHeader>&amp;L&amp;G&amp;C
Attributive Measurement System Analysis
 by MSA&amp;R
Page &amp;P from  &amp;N</oddHeader>
    <oddFooter>&amp;CCONFIDENTIAL / FOR INTERNAL USE 
GE-GP-158-F-004 R0 
Printed copies are uncontrolled unless stamped “controlled” by document control</oddFooter>
  </headerFooter>
  <ignoredErrors>
    <ignoredError sqref="H12:H31" unlockedFormula="1"/>
    <ignoredError sqref="G5" numberStoredAsText="1"/>
  </ignoredErrors>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2:U36"/>
  <sheetViews>
    <sheetView showGridLines="0" topLeftCell="A9" zoomScale="85" zoomScaleNormal="85" workbookViewId="0">
      <selection activeCell="B10" sqref="B10"/>
    </sheetView>
  </sheetViews>
  <sheetFormatPr baseColWidth="10" defaultColWidth="14.42578125" defaultRowHeight="15" customHeight="1" x14ac:dyDescent="0.2"/>
  <cols>
    <col min="1" max="1" width="5.7109375" style="21" customWidth="1"/>
    <col min="2" max="4" width="18.7109375" style="6" customWidth="1"/>
    <col min="5" max="5" width="18.85546875" style="6" customWidth="1"/>
    <col min="6" max="9" width="11.42578125" style="6" customWidth="1"/>
    <col min="10" max="22" width="11.42578125" style="21" customWidth="1"/>
    <col min="23" max="16384" width="14.42578125" style="21"/>
  </cols>
  <sheetData>
    <row r="2" spans="2:21" ht="25.5" x14ac:dyDescent="0.2">
      <c r="B2" s="98" t="s">
        <v>25</v>
      </c>
      <c r="C2" s="99"/>
      <c r="D2" s="99"/>
      <c r="E2" s="100"/>
    </row>
    <row r="4" spans="2:21" s="2" customFormat="1" ht="12.75" customHeight="1" x14ac:dyDescent="0.2">
      <c r="C4" s="3"/>
      <c r="D4" s="14"/>
      <c r="E4" s="14"/>
      <c r="K4" s="13"/>
      <c r="L4" s="15"/>
      <c r="M4" s="15"/>
      <c r="N4" s="15"/>
      <c r="O4" s="16"/>
      <c r="P4" s="16"/>
      <c r="Q4" s="16"/>
      <c r="R4" s="16"/>
      <c r="S4" s="16"/>
      <c r="T4" s="17"/>
      <c r="U4" s="17"/>
    </row>
    <row r="5" spans="2:21" s="2" customFormat="1" ht="27" customHeight="1" x14ac:dyDescent="0.2">
      <c r="B5" s="113" t="s">
        <v>10</v>
      </c>
      <c r="C5" s="114"/>
      <c r="D5" s="111" t="str">
        <f>'Plan de test'!F5</f>
        <v>Microvu</v>
      </c>
      <c r="E5" s="112"/>
      <c r="F5" s="3"/>
      <c r="K5" s="13"/>
      <c r="L5" s="15"/>
      <c r="M5" s="15"/>
      <c r="N5" s="15"/>
      <c r="O5" s="16"/>
      <c r="P5" s="16"/>
      <c r="Q5" s="16"/>
      <c r="R5" s="16"/>
      <c r="S5" s="16"/>
      <c r="T5" s="17"/>
      <c r="U5" s="17"/>
    </row>
    <row r="6" spans="2:21" s="2" customFormat="1" ht="27" customHeight="1" x14ac:dyDescent="0.2">
      <c r="B6" s="113" t="s">
        <v>28</v>
      </c>
      <c r="C6" s="114"/>
      <c r="D6" s="110" t="s">
        <v>64</v>
      </c>
      <c r="E6" s="110"/>
      <c r="K6" s="13"/>
      <c r="L6" s="15"/>
      <c r="M6" s="15"/>
      <c r="N6" s="15"/>
      <c r="O6" s="16"/>
      <c r="P6" s="16"/>
      <c r="Q6" s="16"/>
      <c r="R6" s="16"/>
      <c r="S6" s="16"/>
      <c r="T6" s="17"/>
      <c r="U6" s="17"/>
    </row>
    <row r="7" spans="2:21" s="2" customFormat="1" ht="27" customHeight="1" x14ac:dyDescent="0.2">
      <c r="B7" s="113" t="s">
        <v>9</v>
      </c>
      <c r="C7" s="114"/>
      <c r="D7" s="110"/>
      <c r="E7" s="110"/>
      <c r="F7" s="3"/>
      <c r="K7" s="13"/>
      <c r="L7" s="8"/>
      <c r="M7" s="18"/>
      <c r="N7" s="18"/>
      <c r="O7" s="8"/>
      <c r="P7" s="16"/>
      <c r="Q7" s="16"/>
      <c r="R7" s="16"/>
      <c r="S7" s="8"/>
      <c r="T7" s="16"/>
      <c r="U7" s="16"/>
    </row>
    <row r="8" spans="2:21" ht="27" customHeight="1" x14ac:dyDescent="0.2">
      <c r="B8" s="107" t="s">
        <v>26</v>
      </c>
      <c r="C8" s="109"/>
      <c r="D8" s="107" t="s">
        <v>27</v>
      </c>
      <c r="E8" s="108"/>
      <c r="F8" s="81"/>
      <c r="G8" s="82"/>
      <c r="H8" s="82"/>
      <c r="I8" s="82"/>
      <c r="J8" s="83"/>
      <c r="K8" s="83"/>
      <c r="L8" s="83"/>
      <c r="M8" s="83"/>
      <c r="N8" s="83"/>
      <c r="O8" s="83"/>
    </row>
    <row r="9" spans="2:21" ht="27" customHeight="1" x14ac:dyDescent="0.2">
      <c r="B9" s="72" t="s">
        <v>82</v>
      </c>
      <c r="C9" s="45" t="s">
        <v>81</v>
      </c>
      <c r="D9" s="72" t="s">
        <v>82</v>
      </c>
      <c r="E9" s="45" t="s">
        <v>81</v>
      </c>
      <c r="F9" s="89" t="s">
        <v>91</v>
      </c>
      <c r="G9" s="89"/>
      <c r="H9" s="84"/>
      <c r="I9" s="84"/>
      <c r="J9" s="83"/>
      <c r="K9" s="83"/>
      <c r="L9" s="83"/>
      <c r="M9" s="83"/>
      <c r="N9" s="83"/>
      <c r="O9" s="83"/>
    </row>
    <row r="10" spans="2:21" ht="27" customHeight="1" x14ac:dyDescent="0.2">
      <c r="B10" s="48">
        <f>'Plan de test'!B12</f>
        <v>1</v>
      </c>
      <c r="C10" s="47" t="s">
        <v>24</v>
      </c>
      <c r="D10" s="48">
        <f>B10</f>
        <v>1</v>
      </c>
      <c r="E10" s="47" t="s">
        <v>23</v>
      </c>
      <c r="F10" s="11">
        <f>VLOOKUP(D10,'Plan de test'!$F$12:$H$31,2,FALSE)</f>
        <v>20</v>
      </c>
      <c r="G10" s="11" t="str">
        <f>E10</f>
        <v>succés</v>
      </c>
      <c r="H10" s="95"/>
      <c r="I10" s="84"/>
      <c r="J10" s="83"/>
      <c r="K10" s="83"/>
      <c r="L10" s="83"/>
      <c r="M10" s="83"/>
      <c r="N10" s="83"/>
      <c r="O10" s="83"/>
    </row>
    <row r="11" spans="2:21" ht="27" customHeight="1" x14ac:dyDescent="0.2">
      <c r="B11" s="48">
        <f>'Plan de test'!B13</f>
        <v>2</v>
      </c>
      <c r="C11" s="47" t="s">
        <v>24</v>
      </c>
      <c r="D11" s="48">
        <f t="shared" ref="D11:D29" si="0">B11</f>
        <v>2</v>
      </c>
      <c r="E11" s="47" t="s">
        <v>23</v>
      </c>
      <c r="F11" s="11">
        <f>VLOOKUP(D11,'Plan de test'!$F$12:$H$31,2,FALSE)</f>
        <v>19</v>
      </c>
      <c r="G11" s="11" t="str">
        <f t="shared" ref="G11:G29" si="1">E11</f>
        <v>succés</v>
      </c>
      <c r="H11" s="95"/>
      <c r="I11" s="84"/>
      <c r="J11" s="83"/>
      <c r="K11" s="83"/>
      <c r="L11" s="83"/>
      <c r="M11" s="83"/>
      <c r="N11" s="83"/>
      <c r="O11" s="83"/>
    </row>
    <row r="12" spans="2:21" ht="27" customHeight="1" x14ac:dyDescent="0.2">
      <c r="B12" s="48">
        <f>'Plan de test'!B14</f>
        <v>3</v>
      </c>
      <c r="C12" s="47" t="s">
        <v>24</v>
      </c>
      <c r="D12" s="48">
        <f t="shared" si="0"/>
        <v>3</v>
      </c>
      <c r="E12" s="47" t="s">
        <v>23</v>
      </c>
      <c r="F12" s="11">
        <f>VLOOKUP(D12,'Plan de test'!$F$12:$H$31,2,FALSE)</f>
        <v>18</v>
      </c>
      <c r="G12" s="11" t="str">
        <f t="shared" si="1"/>
        <v>succés</v>
      </c>
      <c r="H12" s="95"/>
      <c r="I12" s="84"/>
      <c r="J12" s="83"/>
      <c r="K12" s="83"/>
      <c r="L12" s="83"/>
      <c r="M12" s="83"/>
      <c r="N12" s="83"/>
      <c r="O12" s="83"/>
    </row>
    <row r="13" spans="2:21" ht="27" customHeight="1" x14ac:dyDescent="0.2">
      <c r="B13" s="48">
        <f>'Plan de test'!B15</f>
        <v>4</v>
      </c>
      <c r="C13" s="47" t="s">
        <v>24</v>
      </c>
      <c r="D13" s="48">
        <f t="shared" si="0"/>
        <v>4</v>
      </c>
      <c r="E13" s="47" t="s">
        <v>23</v>
      </c>
      <c r="F13" s="11">
        <f>VLOOKUP(D13,'Plan de test'!$F$12:$H$31,2,FALSE)</f>
        <v>17</v>
      </c>
      <c r="G13" s="11" t="str">
        <f t="shared" si="1"/>
        <v>succés</v>
      </c>
      <c r="H13" s="95"/>
      <c r="I13" s="84"/>
      <c r="J13" s="83"/>
      <c r="K13" s="83"/>
      <c r="L13" s="83"/>
      <c r="M13" s="83"/>
      <c r="N13" s="83"/>
      <c r="O13" s="83"/>
    </row>
    <row r="14" spans="2:21" ht="27" customHeight="1" x14ac:dyDescent="0.2">
      <c r="B14" s="48">
        <f>'Plan de test'!B16</f>
        <v>5</v>
      </c>
      <c r="C14" s="47" t="s">
        <v>24</v>
      </c>
      <c r="D14" s="48">
        <f t="shared" si="0"/>
        <v>5</v>
      </c>
      <c r="E14" s="47" t="s">
        <v>23</v>
      </c>
      <c r="F14" s="11">
        <f>VLOOKUP(D14,'Plan de test'!$F$12:$H$31,2,FALSE)</f>
        <v>16</v>
      </c>
      <c r="G14" s="11" t="str">
        <f t="shared" si="1"/>
        <v>succés</v>
      </c>
      <c r="H14" s="95"/>
      <c r="I14" s="84"/>
      <c r="J14" s="83"/>
      <c r="K14" s="83"/>
      <c r="L14" s="83"/>
      <c r="M14" s="83"/>
      <c r="N14" s="83"/>
      <c r="O14" s="83"/>
    </row>
    <row r="15" spans="2:21" ht="27" customHeight="1" x14ac:dyDescent="0.2">
      <c r="B15" s="48">
        <f>'Plan de test'!B17</f>
        <v>6</v>
      </c>
      <c r="C15" s="47" t="s">
        <v>23</v>
      </c>
      <c r="D15" s="48">
        <f t="shared" si="0"/>
        <v>6</v>
      </c>
      <c r="E15" s="47" t="s">
        <v>23</v>
      </c>
      <c r="F15" s="11">
        <f>VLOOKUP(D15,'Plan de test'!$F$12:$H$31,2,FALSE)</f>
        <v>15</v>
      </c>
      <c r="G15" s="11" t="str">
        <f t="shared" si="1"/>
        <v>succés</v>
      </c>
      <c r="H15" s="95"/>
      <c r="I15" s="84"/>
      <c r="J15" s="83"/>
      <c r="K15" s="83"/>
      <c r="L15" s="83"/>
      <c r="M15" s="83"/>
      <c r="N15" s="83"/>
      <c r="O15" s="83"/>
    </row>
    <row r="16" spans="2:21" ht="27" customHeight="1" x14ac:dyDescent="0.2">
      <c r="B16" s="48">
        <f>'Plan de test'!B18</f>
        <v>7</v>
      </c>
      <c r="C16" s="47" t="s">
        <v>23</v>
      </c>
      <c r="D16" s="48">
        <f t="shared" si="0"/>
        <v>7</v>
      </c>
      <c r="E16" s="47" t="s">
        <v>23</v>
      </c>
      <c r="F16" s="11">
        <f>VLOOKUP(D16,'Plan de test'!$F$12:$H$31,2,FALSE)</f>
        <v>14</v>
      </c>
      <c r="G16" s="11" t="str">
        <f t="shared" si="1"/>
        <v>succés</v>
      </c>
      <c r="H16" s="95"/>
      <c r="I16" s="84"/>
      <c r="J16" s="83"/>
      <c r="K16" s="83"/>
      <c r="L16" s="83"/>
      <c r="M16" s="83"/>
      <c r="N16" s="83"/>
      <c r="O16" s="83"/>
    </row>
    <row r="17" spans="2:15" ht="27" customHeight="1" x14ac:dyDescent="0.2">
      <c r="B17" s="48">
        <f>'Plan de test'!B19</f>
        <v>8</v>
      </c>
      <c r="C17" s="47" t="s">
        <v>23</v>
      </c>
      <c r="D17" s="48">
        <f t="shared" si="0"/>
        <v>8</v>
      </c>
      <c r="E17" s="47" t="s">
        <v>23</v>
      </c>
      <c r="F17" s="11">
        <f>VLOOKUP(D17,'Plan de test'!$F$12:$H$31,2,FALSE)</f>
        <v>13</v>
      </c>
      <c r="G17" s="11" t="str">
        <f t="shared" si="1"/>
        <v>succés</v>
      </c>
      <c r="H17" s="95"/>
      <c r="I17" s="84"/>
      <c r="J17" s="83"/>
      <c r="K17" s="83"/>
      <c r="L17" s="83"/>
      <c r="M17" s="83"/>
      <c r="N17" s="83"/>
      <c r="O17" s="83"/>
    </row>
    <row r="18" spans="2:15" ht="27" customHeight="1" x14ac:dyDescent="0.2">
      <c r="B18" s="48">
        <f>'Plan de test'!B20</f>
        <v>9</v>
      </c>
      <c r="C18" s="47" t="s">
        <v>23</v>
      </c>
      <c r="D18" s="48">
        <f t="shared" si="0"/>
        <v>9</v>
      </c>
      <c r="E18" s="47" t="s">
        <v>23</v>
      </c>
      <c r="F18" s="11">
        <f>VLOOKUP(D18,'Plan de test'!$F$12:$H$31,2,FALSE)</f>
        <v>12</v>
      </c>
      <c r="G18" s="11" t="str">
        <f t="shared" si="1"/>
        <v>succés</v>
      </c>
      <c r="H18" s="95"/>
      <c r="I18" s="84"/>
      <c r="J18" s="83"/>
      <c r="K18" s="83"/>
      <c r="L18" s="83"/>
      <c r="M18" s="83"/>
      <c r="N18" s="83"/>
      <c r="O18" s="83"/>
    </row>
    <row r="19" spans="2:15" ht="27" customHeight="1" x14ac:dyDescent="0.2">
      <c r="B19" s="48">
        <f>'Plan de test'!B21</f>
        <v>10</v>
      </c>
      <c r="C19" s="47" t="s">
        <v>23</v>
      </c>
      <c r="D19" s="48">
        <f t="shared" si="0"/>
        <v>10</v>
      </c>
      <c r="E19" s="47" t="s">
        <v>23</v>
      </c>
      <c r="F19" s="11">
        <f>VLOOKUP(D19,'Plan de test'!$F$12:$H$31,2,FALSE)</f>
        <v>11</v>
      </c>
      <c r="G19" s="11" t="str">
        <f t="shared" si="1"/>
        <v>succés</v>
      </c>
      <c r="H19" s="95"/>
      <c r="I19" s="84"/>
      <c r="J19" s="83"/>
      <c r="K19" s="83"/>
      <c r="L19" s="83"/>
      <c r="M19" s="83"/>
      <c r="N19" s="83"/>
      <c r="O19" s="83"/>
    </row>
    <row r="20" spans="2:15" ht="27" customHeight="1" x14ac:dyDescent="0.2">
      <c r="B20" s="48">
        <f>'Plan de test'!B22</f>
        <v>11</v>
      </c>
      <c r="C20" s="47" t="s">
        <v>23</v>
      </c>
      <c r="D20" s="48">
        <f t="shared" si="0"/>
        <v>11</v>
      </c>
      <c r="E20" s="47" t="s">
        <v>23</v>
      </c>
      <c r="F20" s="11">
        <f>VLOOKUP(D20,'Plan de test'!$F$12:$H$31,2,FALSE)</f>
        <v>10</v>
      </c>
      <c r="G20" s="11" t="str">
        <f t="shared" si="1"/>
        <v>succés</v>
      </c>
      <c r="H20" s="95"/>
      <c r="I20" s="84"/>
      <c r="J20" s="83"/>
      <c r="K20" s="83"/>
      <c r="L20" s="83"/>
      <c r="M20" s="83"/>
      <c r="N20" s="83"/>
      <c r="O20" s="83"/>
    </row>
    <row r="21" spans="2:15" ht="27" customHeight="1" x14ac:dyDescent="0.2">
      <c r="B21" s="48">
        <f>'Plan de test'!B23</f>
        <v>12</v>
      </c>
      <c r="C21" s="47" t="s">
        <v>23</v>
      </c>
      <c r="D21" s="48">
        <f t="shared" si="0"/>
        <v>12</v>
      </c>
      <c r="E21" s="47" t="s">
        <v>23</v>
      </c>
      <c r="F21" s="11">
        <f>VLOOKUP(D21,'Plan de test'!$F$12:$H$31,2,FALSE)</f>
        <v>9</v>
      </c>
      <c r="G21" s="11" t="str">
        <f t="shared" si="1"/>
        <v>succés</v>
      </c>
      <c r="H21" s="95"/>
      <c r="I21" s="84"/>
      <c r="J21" s="83"/>
      <c r="K21" s="83"/>
      <c r="L21" s="83"/>
      <c r="M21" s="83"/>
      <c r="N21" s="83"/>
      <c r="O21" s="83"/>
    </row>
    <row r="22" spans="2:15" ht="27" customHeight="1" x14ac:dyDescent="0.2">
      <c r="B22" s="48">
        <f>'Plan de test'!B24</f>
        <v>13</v>
      </c>
      <c r="C22" s="47" t="s">
        <v>23</v>
      </c>
      <c r="D22" s="48">
        <f t="shared" si="0"/>
        <v>13</v>
      </c>
      <c r="E22" s="47" t="s">
        <v>23</v>
      </c>
      <c r="F22" s="11">
        <f>VLOOKUP(D22,'Plan de test'!$F$12:$H$31,2,FALSE)</f>
        <v>8</v>
      </c>
      <c r="G22" s="11" t="str">
        <f t="shared" si="1"/>
        <v>succés</v>
      </c>
      <c r="H22" s="95"/>
      <c r="I22" s="84"/>
      <c r="J22" s="83"/>
      <c r="K22" s="83"/>
      <c r="L22" s="83"/>
      <c r="M22" s="83"/>
      <c r="N22" s="83"/>
      <c r="O22" s="83"/>
    </row>
    <row r="23" spans="2:15" ht="27" customHeight="1" x14ac:dyDescent="0.2">
      <c r="B23" s="48">
        <f>'Plan de test'!B25</f>
        <v>14</v>
      </c>
      <c r="C23" s="47" t="s">
        <v>23</v>
      </c>
      <c r="D23" s="48">
        <f t="shared" si="0"/>
        <v>14</v>
      </c>
      <c r="E23" s="47" t="s">
        <v>23</v>
      </c>
      <c r="F23" s="11">
        <f>VLOOKUP(D23,'Plan de test'!$F$12:$H$31,2,FALSE)</f>
        <v>7</v>
      </c>
      <c r="G23" s="11" t="str">
        <f t="shared" si="1"/>
        <v>succés</v>
      </c>
      <c r="H23" s="95"/>
      <c r="I23" s="84"/>
      <c r="J23" s="83"/>
      <c r="K23" s="83"/>
      <c r="L23" s="83"/>
      <c r="M23" s="83"/>
      <c r="N23" s="83"/>
      <c r="O23" s="83"/>
    </row>
    <row r="24" spans="2:15" ht="27" customHeight="1" x14ac:dyDescent="0.2">
      <c r="B24" s="48">
        <f>'Plan de test'!B26</f>
        <v>15</v>
      </c>
      <c r="C24" s="47" t="s">
        <v>23</v>
      </c>
      <c r="D24" s="48">
        <f t="shared" si="0"/>
        <v>15</v>
      </c>
      <c r="E24" s="47" t="s">
        <v>23</v>
      </c>
      <c r="F24" s="11">
        <f>VLOOKUP(D24,'Plan de test'!$F$12:$H$31,2,FALSE)</f>
        <v>6</v>
      </c>
      <c r="G24" s="11" t="str">
        <f t="shared" si="1"/>
        <v>succés</v>
      </c>
      <c r="H24" s="95"/>
      <c r="I24" s="84"/>
      <c r="J24" s="83"/>
      <c r="K24" s="83"/>
      <c r="L24" s="83"/>
      <c r="M24" s="83"/>
      <c r="N24" s="83"/>
      <c r="O24" s="83"/>
    </row>
    <row r="25" spans="2:15" ht="27" customHeight="1" x14ac:dyDescent="0.2">
      <c r="B25" s="48">
        <f>'Plan de test'!B27</f>
        <v>16</v>
      </c>
      <c r="C25" s="47" t="s">
        <v>23</v>
      </c>
      <c r="D25" s="48">
        <f t="shared" si="0"/>
        <v>16</v>
      </c>
      <c r="E25" s="47" t="s">
        <v>24</v>
      </c>
      <c r="F25" s="11">
        <f>VLOOKUP(D25,'Plan de test'!$F$12:$H$31,2,FALSE)</f>
        <v>5</v>
      </c>
      <c r="G25" s="11" t="str">
        <f t="shared" si="1"/>
        <v>échec</v>
      </c>
      <c r="H25" s="95"/>
      <c r="I25" s="84"/>
      <c r="J25" s="83"/>
      <c r="K25" s="83"/>
      <c r="L25" s="83"/>
      <c r="M25" s="83"/>
      <c r="N25" s="83"/>
      <c r="O25" s="83"/>
    </row>
    <row r="26" spans="2:15" ht="27" customHeight="1" x14ac:dyDescent="0.2">
      <c r="B26" s="48">
        <f>'Plan de test'!B28</f>
        <v>17</v>
      </c>
      <c r="C26" s="47" t="s">
        <v>23</v>
      </c>
      <c r="D26" s="48">
        <f t="shared" si="0"/>
        <v>17</v>
      </c>
      <c r="E26" s="47" t="s">
        <v>24</v>
      </c>
      <c r="F26" s="11">
        <f>VLOOKUP(D26,'Plan de test'!$F$12:$H$31,2,FALSE)</f>
        <v>4</v>
      </c>
      <c r="G26" s="11" t="str">
        <f t="shared" si="1"/>
        <v>échec</v>
      </c>
      <c r="H26" s="95"/>
      <c r="I26" s="84"/>
      <c r="J26" s="83"/>
      <c r="K26" s="83"/>
      <c r="L26" s="83"/>
      <c r="M26" s="83"/>
      <c r="N26" s="83"/>
      <c r="O26" s="83"/>
    </row>
    <row r="27" spans="2:15" ht="27" customHeight="1" x14ac:dyDescent="0.2">
      <c r="B27" s="48">
        <f>'Plan de test'!B29</f>
        <v>18</v>
      </c>
      <c r="C27" s="47" t="s">
        <v>23</v>
      </c>
      <c r="D27" s="48">
        <f t="shared" si="0"/>
        <v>18</v>
      </c>
      <c r="E27" s="47" t="s">
        <v>24</v>
      </c>
      <c r="F27" s="11">
        <f>VLOOKUP(D27,'Plan de test'!$F$12:$H$31,2,FALSE)</f>
        <v>3</v>
      </c>
      <c r="G27" s="11" t="str">
        <f t="shared" si="1"/>
        <v>échec</v>
      </c>
      <c r="H27" s="95"/>
      <c r="I27" s="84"/>
      <c r="J27" s="83"/>
      <c r="K27" s="83"/>
      <c r="L27" s="83"/>
      <c r="M27" s="83"/>
      <c r="N27" s="83"/>
      <c r="O27" s="83"/>
    </row>
    <row r="28" spans="2:15" ht="27" customHeight="1" x14ac:dyDescent="0.2">
      <c r="B28" s="48">
        <f>'Plan de test'!B30</f>
        <v>19</v>
      </c>
      <c r="C28" s="47" t="s">
        <v>23</v>
      </c>
      <c r="D28" s="48">
        <f t="shared" si="0"/>
        <v>19</v>
      </c>
      <c r="E28" s="47" t="s">
        <v>24</v>
      </c>
      <c r="F28" s="11">
        <f>VLOOKUP(D28,'Plan de test'!$F$12:$H$31,2,FALSE)</f>
        <v>2</v>
      </c>
      <c r="G28" s="11" t="str">
        <f t="shared" si="1"/>
        <v>échec</v>
      </c>
      <c r="H28" s="95"/>
      <c r="I28" s="84"/>
      <c r="J28" s="83"/>
      <c r="K28" s="83"/>
      <c r="L28" s="83"/>
      <c r="M28" s="83"/>
      <c r="N28" s="83"/>
      <c r="O28" s="83"/>
    </row>
    <row r="29" spans="2:15" ht="27" customHeight="1" x14ac:dyDescent="0.2">
      <c r="B29" s="48">
        <f>'Plan de test'!B31</f>
        <v>20</v>
      </c>
      <c r="C29" s="47" t="s">
        <v>23</v>
      </c>
      <c r="D29" s="48">
        <f t="shared" si="0"/>
        <v>20</v>
      </c>
      <c r="E29" s="47" t="s">
        <v>24</v>
      </c>
      <c r="F29" s="11">
        <f>VLOOKUP(D29,'Plan de test'!$F$12:$H$31,2,FALSE)</f>
        <v>1</v>
      </c>
      <c r="G29" s="11" t="str">
        <f t="shared" si="1"/>
        <v>échec</v>
      </c>
      <c r="H29" s="95"/>
      <c r="I29" s="84"/>
      <c r="J29" s="83"/>
      <c r="K29" s="83"/>
      <c r="L29" s="83"/>
      <c r="M29" s="83"/>
      <c r="N29" s="83"/>
      <c r="O29" s="83"/>
    </row>
    <row r="30" spans="2:15" s="24" customFormat="1" ht="27" customHeight="1" x14ac:dyDescent="0.2">
      <c r="B30" s="11"/>
      <c r="C30" s="23"/>
      <c r="D30" s="11"/>
      <c r="E30" s="23"/>
      <c r="F30" s="84"/>
      <c r="G30" s="84"/>
      <c r="H30" s="84"/>
      <c r="I30" s="84"/>
      <c r="J30" s="85"/>
      <c r="K30" s="85"/>
      <c r="L30" s="85"/>
      <c r="M30" s="85"/>
      <c r="N30" s="85"/>
      <c r="O30" s="85"/>
    </row>
    <row r="31" spans="2:15" s="24" customFormat="1" ht="27" customHeight="1" x14ac:dyDescent="0.2">
      <c r="B31" s="1"/>
      <c r="C31" s="5"/>
      <c r="D31" s="11"/>
      <c r="E31" s="11"/>
      <c r="F31" s="84"/>
      <c r="G31" s="84"/>
      <c r="H31" s="84"/>
      <c r="I31" s="84"/>
      <c r="J31" s="85"/>
      <c r="K31" s="85"/>
      <c r="L31" s="85"/>
      <c r="M31" s="85"/>
      <c r="N31" s="85"/>
      <c r="O31" s="85"/>
    </row>
    <row r="32" spans="2:15" ht="25.15" customHeight="1" x14ac:dyDescent="0.2">
      <c r="B32" s="21"/>
      <c r="C32" s="21"/>
      <c r="D32" s="25"/>
      <c r="E32" s="25"/>
      <c r="F32" s="26"/>
      <c r="G32" s="27"/>
      <c r="H32" s="2"/>
      <c r="I32" s="22"/>
    </row>
    <row r="33" spans="2:7" ht="15" customHeight="1" x14ac:dyDescent="0.2">
      <c r="B33" s="7"/>
      <c r="C33" s="7"/>
      <c r="D33" s="7"/>
      <c r="E33" s="7"/>
    </row>
    <row r="34" spans="2:7" ht="15" customHeight="1" x14ac:dyDescent="0.2">
      <c r="B34" s="7"/>
      <c r="C34" s="7"/>
      <c r="D34" s="7"/>
      <c r="E34" s="7"/>
      <c r="F34" s="7"/>
    </row>
    <row r="35" spans="2:7" s="12" customFormat="1" ht="15" customHeight="1" x14ac:dyDescent="0.2">
      <c r="B35" s="5"/>
      <c r="C35" s="28"/>
      <c r="D35" s="5"/>
      <c r="E35" s="29"/>
      <c r="F35" s="5"/>
      <c r="G35" s="5"/>
    </row>
    <row r="36" spans="2:7" ht="15" customHeight="1" x14ac:dyDescent="0.2">
      <c r="B36" s="10"/>
      <c r="C36" s="7"/>
      <c r="D36" s="10"/>
      <c r="E36" s="7"/>
      <c r="F36" s="7"/>
    </row>
  </sheetData>
  <sheetProtection selectLockedCells="1"/>
  <protectedRanges>
    <protectedRange sqref="C10:C29 E10:E29" name="Inge AQ_1"/>
  </protectedRanges>
  <mergeCells count="9">
    <mergeCell ref="B2:E2"/>
    <mergeCell ref="D8:E8"/>
    <mergeCell ref="B8:C8"/>
    <mergeCell ref="D6:E6"/>
    <mergeCell ref="D7:E7"/>
    <mergeCell ref="D5:E5"/>
    <mergeCell ref="B5:C5"/>
    <mergeCell ref="B6:C6"/>
    <mergeCell ref="B7:C7"/>
  </mergeCells>
  <conditionalFormatting sqref="C10:C29">
    <cfRule type="containsText" dxfId="40" priority="5" operator="containsText" text="échec">
      <formula>NOT(ISERROR(SEARCH("échec",C10)))</formula>
    </cfRule>
    <cfRule type="containsText" dxfId="39" priority="6" operator="containsText" text="succés">
      <formula>NOT(ISERROR(SEARCH("succés",C10)))</formula>
    </cfRule>
  </conditionalFormatting>
  <conditionalFormatting sqref="E10:E29">
    <cfRule type="containsText" dxfId="38" priority="1" operator="containsText" text="échec">
      <formula>NOT(ISERROR(SEARCH("échec",E10)))</formula>
    </cfRule>
    <cfRule type="containsText" dxfId="37" priority="2" operator="containsText" text="succés">
      <formula>NOT(ISERROR(SEARCH("succés",E10)))</formula>
    </cfRule>
  </conditionalFormatting>
  <conditionalFormatting sqref="G32">
    <cfRule type="expression" dxfId="36" priority="90" stopIfTrue="1">
      <formula>F1048485/F25*100&lt;=5</formula>
    </cfRule>
    <cfRule type="expression" dxfId="35" priority="91" stopIfTrue="1">
      <formula>F1048485/F25*100&gt;5</formula>
    </cfRule>
  </conditionalFormatting>
  <dataValidations count="2">
    <dataValidation type="list" allowBlank="1" showInputMessage="1" showErrorMessage="1" sqref="C30 E30" xr:uid="{00000000-0002-0000-0100-000000000000}">
      <formula1>"pass,fail"</formula1>
    </dataValidation>
    <dataValidation type="list" allowBlank="1" showInputMessage="1" showErrorMessage="1" sqref="C10:C29 E10:E29" xr:uid="{00000000-0002-0000-0100-000001000000}">
      <formula1>"succés,échec"</formula1>
    </dataValidation>
  </dataValidations>
  <printOptions horizontalCentered="1"/>
  <pageMargins left="0.39370078740157483" right="0.39370078740157483" top="1.3779527559055118" bottom="0.78740157480314965" header="0.31496062992125984" footer="0.31496062992125984"/>
  <pageSetup paperSize="9" scale="95" orientation="portrait" verticalDpi="1200" r:id="rId1"/>
  <headerFooter>
    <oddHeader>&amp;C
Attributive Measurement System Analysis
 by MSA&amp;R
Page &amp;P from  &amp;N</oddHeader>
    <oddFooter>&amp;CCONFIDENTIAL / FOR INTERNAL USE 
GE-GP-158-F-004 R0 
Printed copies are uncontrolled unless stamped “controlled” by document control</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2:U36"/>
  <sheetViews>
    <sheetView showGridLines="0" topLeftCell="A7" zoomScale="85" zoomScaleNormal="85" workbookViewId="0">
      <selection activeCell="F9" sqref="F9"/>
    </sheetView>
  </sheetViews>
  <sheetFormatPr baseColWidth="10" defaultColWidth="14.42578125" defaultRowHeight="15" customHeight="1" x14ac:dyDescent="0.2"/>
  <cols>
    <col min="1" max="1" width="6" style="21" customWidth="1"/>
    <col min="2" max="4" width="18.7109375" style="6" customWidth="1"/>
    <col min="5" max="5" width="18.85546875" style="6" customWidth="1"/>
    <col min="6" max="9" width="11.42578125" style="6" customWidth="1"/>
    <col min="10" max="22" width="11.42578125" style="21" customWidth="1"/>
    <col min="23" max="16384" width="14.42578125" style="21"/>
  </cols>
  <sheetData>
    <row r="2" spans="2:21" ht="25.5" x14ac:dyDescent="0.2">
      <c r="B2" s="98" t="s">
        <v>25</v>
      </c>
      <c r="C2" s="99"/>
      <c r="D2" s="99"/>
      <c r="E2" s="100"/>
    </row>
    <row r="4" spans="2:21" s="2" customFormat="1" ht="12.75" customHeight="1" x14ac:dyDescent="0.2">
      <c r="C4" s="3"/>
      <c r="D4" s="14"/>
      <c r="E4" s="14"/>
      <c r="K4" s="13"/>
      <c r="L4" s="15"/>
      <c r="M4" s="15"/>
      <c r="N4" s="15"/>
      <c r="O4" s="16"/>
      <c r="P4" s="16"/>
      <c r="Q4" s="16"/>
      <c r="R4" s="16"/>
      <c r="S4" s="16"/>
      <c r="T4" s="17"/>
      <c r="U4" s="17"/>
    </row>
    <row r="5" spans="2:21" s="2" customFormat="1" ht="27" customHeight="1" x14ac:dyDescent="0.2">
      <c r="B5" s="113" t="s">
        <v>10</v>
      </c>
      <c r="C5" s="114"/>
      <c r="D5" s="111" t="str">
        <f>'Plan de test'!F5</f>
        <v>Microvu</v>
      </c>
      <c r="E5" s="112"/>
      <c r="F5" s="3"/>
      <c r="K5" s="13"/>
      <c r="L5" s="15"/>
      <c r="M5" s="15"/>
      <c r="N5" s="15"/>
      <c r="O5" s="16"/>
      <c r="P5" s="16"/>
      <c r="Q5" s="16"/>
      <c r="R5" s="16"/>
      <c r="S5" s="16"/>
      <c r="T5" s="17"/>
      <c r="U5" s="17"/>
    </row>
    <row r="6" spans="2:21" s="2" customFormat="1" ht="27" customHeight="1" x14ac:dyDescent="0.2">
      <c r="B6" s="113" t="s">
        <v>29</v>
      </c>
      <c r="C6" s="114"/>
      <c r="D6" s="110" t="s">
        <v>65</v>
      </c>
      <c r="E6" s="110"/>
      <c r="K6" s="13"/>
      <c r="L6" s="15"/>
      <c r="M6" s="15"/>
      <c r="N6" s="15"/>
      <c r="O6" s="16"/>
      <c r="P6" s="16"/>
      <c r="Q6" s="16"/>
      <c r="R6" s="16"/>
      <c r="S6" s="16"/>
      <c r="T6" s="17"/>
      <c r="U6" s="17"/>
    </row>
    <row r="7" spans="2:21" s="2" customFormat="1" ht="27" customHeight="1" x14ac:dyDescent="0.2">
      <c r="B7" s="113" t="s">
        <v>9</v>
      </c>
      <c r="C7" s="114"/>
      <c r="D7" s="110"/>
      <c r="E7" s="110"/>
      <c r="F7" s="3"/>
      <c r="K7" s="13"/>
      <c r="L7" s="8"/>
      <c r="M7" s="18"/>
      <c r="N7" s="18"/>
      <c r="O7" s="8"/>
      <c r="P7" s="16"/>
      <c r="Q7" s="16"/>
      <c r="R7" s="16"/>
      <c r="S7" s="8"/>
      <c r="T7" s="16"/>
      <c r="U7" s="16"/>
    </row>
    <row r="8" spans="2:21" ht="27" customHeight="1" x14ac:dyDescent="0.2">
      <c r="B8" s="115" t="s">
        <v>26</v>
      </c>
      <c r="C8" s="116"/>
      <c r="D8" s="115" t="s">
        <v>27</v>
      </c>
      <c r="E8" s="117"/>
      <c r="F8" s="90"/>
      <c r="G8" s="91"/>
      <c r="H8" s="20"/>
      <c r="I8" s="20"/>
    </row>
    <row r="9" spans="2:21" ht="27" customHeight="1" x14ac:dyDescent="0.2">
      <c r="B9" s="72" t="s">
        <v>82</v>
      </c>
      <c r="C9" s="45" t="s">
        <v>81</v>
      </c>
      <c r="D9" s="72" t="s">
        <v>82</v>
      </c>
      <c r="E9" s="45" t="s">
        <v>81</v>
      </c>
      <c r="F9" s="89" t="s">
        <v>91</v>
      </c>
      <c r="G9" s="88"/>
      <c r="H9" s="22"/>
      <c r="I9" s="22"/>
    </row>
    <row r="10" spans="2:21" ht="27" customHeight="1" x14ac:dyDescent="0.2">
      <c r="B10" s="48">
        <f>'Plan de test'!B12</f>
        <v>1</v>
      </c>
      <c r="C10" s="47" t="s">
        <v>24</v>
      </c>
      <c r="D10" s="48">
        <f>B10</f>
        <v>1</v>
      </c>
      <c r="E10" s="47" t="s">
        <v>23</v>
      </c>
      <c r="F10" s="89">
        <f>VLOOKUP(D10,'Plan de test'!$F$12:$H$31,2,FALSE)</f>
        <v>20</v>
      </c>
      <c r="G10" s="89" t="str">
        <f>E10</f>
        <v>succés</v>
      </c>
      <c r="H10" s="54"/>
      <c r="I10" s="22"/>
    </row>
    <row r="11" spans="2:21" ht="27" customHeight="1" x14ac:dyDescent="0.2">
      <c r="B11" s="48">
        <f>'Plan de test'!B13</f>
        <v>2</v>
      </c>
      <c r="C11" s="47" t="s">
        <v>23</v>
      </c>
      <c r="D11" s="48">
        <f t="shared" ref="D11:D29" si="0">B11</f>
        <v>2</v>
      </c>
      <c r="E11" s="47" t="s">
        <v>24</v>
      </c>
      <c r="F11" s="89">
        <f>VLOOKUP(D11,'Plan de test'!$F$12:$H$31,2,FALSE)</f>
        <v>19</v>
      </c>
      <c r="G11" s="89" t="str">
        <f t="shared" ref="G11:G29" si="1">E11</f>
        <v>échec</v>
      </c>
      <c r="H11" s="54"/>
      <c r="I11" s="22"/>
    </row>
    <row r="12" spans="2:21" ht="27" customHeight="1" x14ac:dyDescent="0.2">
      <c r="B12" s="48">
        <f>'Plan de test'!B14</f>
        <v>3</v>
      </c>
      <c r="C12" s="47" t="s">
        <v>24</v>
      </c>
      <c r="D12" s="48">
        <f t="shared" si="0"/>
        <v>3</v>
      </c>
      <c r="E12" s="47" t="s">
        <v>23</v>
      </c>
      <c r="F12" s="89">
        <f>VLOOKUP(D12,'Plan de test'!$F$12:$H$31,2,FALSE)</f>
        <v>18</v>
      </c>
      <c r="G12" s="89" t="str">
        <f t="shared" si="1"/>
        <v>succés</v>
      </c>
      <c r="H12" s="54"/>
      <c r="I12" s="22"/>
    </row>
    <row r="13" spans="2:21" ht="27" customHeight="1" x14ac:dyDescent="0.2">
      <c r="B13" s="48">
        <f>'Plan de test'!B15</f>
        <v>4</v>
      </c>
      <c r="C13" s="47" t="s">
        <v>23</v>
      </c>
      <c r="D13" s="48">
        <f t="shared" si="0"/>
        <v>4</v>
      </c>
      <c r="E13" s="47" t="s">
        <v>23</v>
      </c>
      <c r="F13" s="89">
        <f>VLOOKUP(D13,'Plan de test'!$F$12:$H$31,2,FALSE)</f>
        <v>17</v>
      </c>
      <c r="G13" s="89" t="str">
        <f t="shared" si="1"/>
        <v>succés</v>
      </c>
      <c r="H13" s="54"/>
      <c r="I13" s="22"/>
    </row>
    <row r="14" spans="2:21" ht="27" customHeight="1" x14ac:dyDescent="0.2">
      <c r="B14" s="48">
        <f>'Plan de test'!B16</f>
        <v>5</v>
      </c>
      <c r="C14" s="47" t="s">
        <v>24</v>
      </c>
      <c r="D14" s="48">
        <f t="shared" si="0"/>
        <v>5</v>
      </c>
      <c r="E14" s="47" t="s">
        <v>24</v>
      </c>
      <c r="F14" s="89">
        <f>VLOOKUP(D14,'Plan de test'!$F$12:$H$31,2,FALSE)</f>
        <v>16</v>
      </c>
      <c r="G14" s="89" t="str">
        <f t="shared" si="1"/>
        <v>échec</v>
      </c>
      <c r="H14" s="54"/>
      <c r="I14" s="22"/>
    </row>
    <row r="15" spans="2:21" ht="27" customHeight="1" x14ac:dyDescent="0.2">
      <c r="B15" s="48">
        <f>'Plan de test'!B17</f>
        <v>6</v>
      </c>
      <c r="C15" s="47" t="s">
        <v>23</v>
      </c>
      <c r="D15" s="48">
        <f t="shared" si="0"/>
        <v>6</v>
      </c>
      <c r="E15" s="47" t="s">
        <v>23</v>
      </c>
      <c r="F15" s="89">
        <f>VLOOKUP(D15,'Plan de test'!$F$12:$H$31,2,FALSE)</f>
        <v>15</v>
      </c>
      <c r="G15" s="89" t="str">
        <f t="shared" si="1"/>
        <v>succés</v>
      </c>
      <c r="H15" s="54"/>
      <c r="I15" s="22"/>
    </row>
    <row r="16" spans="2:21" ht="27" customHeight="1" x14ac:dyDescent="0.2">
      <c r="B16" s="48">
        <f>'Plan de test'!B18</f>
        <v>7</v>
      </c>
      <c r="C16" s="47" t="s">
        <v>23</v>
      </c>
      <c r="D16" s="48">
        <f t="shared" si="0"/>
        <v>7</v>
      </c>
      <c r="E16" s="47" t="s">
        <v>24</v>
      </c>
      <c r="F16" s="89">
        <f>VLOOKUP(D16,'Plan de test'!$F$12:$H$31,2,FALSE)</f>
        <v>14</v>
      </c>
      <c r="G16" s="89" t="str">
        <f t="shared" si="1"/>
        <v>échec</v>
      </c>
      <c r="H16" s="54"/>
      <c r="I16" s="22"/>
    </row>
    <row r="17" spans="2:9" ht="27" customHeight="1" x14ac:dyDescent="0.2">
      <c r="B17" s="48">
        <f>'Plan de test'!B19</f>
        <v>8</v>
      </c>
      <c r="C17" s="47" t="s">
        <v>23</v>
      </c>
      <c r="D17" s="48">
        <f t="shared" si="0"/>
        <v>8</v>
      </c>
      <c r="E17" s="47" t="s">
        <v>24</v>
      </c>
      <c r="F17" s="89">
        <f>VLOOKUP(D17,'Plan de test'!$F$12:$H$31,2,FALSE)</f>
        <v>13</v>
      </c>
      <c r="G17" s="89" t="str">
        <f t="shared" si="1"/>
        <v>échec</v>
      </c>
      <c r="H17" s="54"/>
      <c r="I17" s="22"/>
    </row>
    <row r="18" spans="2:9" ht="27" customHeight="1" x14ac:dyDescent="0.2">
      <c r="B18" s="48">
        <f>'Plan de test'!B20</f>
        <v>9</v>
      </c>
      <c r="C18" s="47" t="s">
        <v>23</v>
      </c>
      <c r="D18" s="48">
        <f t="shared" si="0"/>
        <v>9</v>
      </c>
      <c r="E18" s="47" t="s">
        <v>23</v>
      </c>
      <c r="F18" s="89">
        <f>VLOOKUP(D18,'Plan de test'!$F$12:$H$31,2,FALSE)</f>
        <v>12</v>
      </c>
      <c r="G18" s="89" t="str">
        <f t="shared" si="1"/>
        <v>succés</v>
      </c>
      <c r="H18" s="54"/>
      <c r="I18" s="22"/>
    </row>
    <row r="19" spans="2:9" ht="27" customHeight="1" x14ac:dyDescent="0.2">
      <c r="B19" s="48">
        <f>'Plan de test'!B21</f>
        <v>10</v>
      </c>
      <c r="C19" s="47" t="s">
        <v>23</v>
      </c>
      <c r="D19" s="48">
        <f t="shared" si="0"/>
        <v>10</v>
      </c>
      <c r="E19" s="47" t="s">
        <v>23</v>
      </c>
      <c r="F19" s="89">
        <f>VLOOKUP(D19,'Plan de test'!$F$12:$H$31,2,FALSE)</f>
        <v>11</v>
      </c>
      <c r="G19" s="89" t="str">
        <f t="shared" si="1"/>
        <v>succés</v>
      </c>
      <c r="H19" s="54"/>
      <c r="I19" s="22"/>
    </row>
    <row r="20" spans="2:9" ht="27" customHeight="1" x14ac:dyDescent="0.2">
      <c r="B20" s="48">
        <f>'Plan de test'!B22</f>
        <v>11</v>
      </c>
      <c r="C20" s="47" t="s">
        <v>23</v>
      </c>
      <c r="D20" s="48">
        <f t="shared" si="0"/>
        <v>11</v>
      </c>
      <c r="E20" s="47" t="s">
        <v>23</v>
      </c>
      <c r="F20" s="89">
        <f>VLOOKUP(D20,'Plan de test'!$F$12:$H$31,2,FALSE)</f>
        <v>10</v>
      </c>
      <c r="G20" s="89" t="str">
        <f t="shared" si="1"/>
        <v>succés</v>
      </c>
      <c r="H20" s="54"/>
      <c r="I20" s="22"/>
    </row>
    <row r="21" spans="2:9" ht="27" customHeight="1" x14ac:dyDescent="0.2">
      <c r="B21" s="48">
        <f>'Plan de test'!B23</f>
        <v>12</v>
      </c>
      <c r="C21" s="47" t="s">
        <v>24</v>
      </c>
      <c r="D21" s="48">
        <f t="shared" si="0"/>
        <v>12</v>
      </c>
      <c r="E21" s="47" t="s">
        <v>23</v>
      </c>
      <c r="F21" s="89">
        <f>VLOOKUP(D21,'Plan de test'!$F$12:$H$31,2,FALSE)</f>
        <v>9</v>
      </c>
      <c r="G21" s="89" t="str">
        <f t="shared" si="1"/>
        <v>succés</v>
      </c>
      <c r="H21" s="54"/>
      <c r="I21" s="22"/>
    </row>
    <row r="22" spans="2:9" ht="27" customHeight="1" x14ac:dyDescent="0.2">
      <c r="B22" s="48">
        <f>'Plan de test'!B24</f>
        <v>13</v>
      </c>
      <c r="C22" s="47" t="s">
        <v>23</v>
      </c>
      <c r="D22" s="48">
        <f t="shared" si="0"/>
        <v>13</v>
      </c>
      <c r="E22" s="47" t="s">
        <v>23</v>
      </c>
      <c r="F22" s="89">
        <f>VLOOKUP(D22,'Plan de test'!$F$12:$H$31,2,FALSE)</f>
        <v>8</v>
      </c>
      <c r="G22" s="89" t="str">
        <f t="shared" si="1"/>
        <v>succés</v>
      </c>
      <c r="H22" s="54"/>
      <c r="I22" s="22"/>
    </row>
    <row r="23" spans="2:9" ht="27" customHeight="1" x14ac:dyDescent="0.2">
      <c r="B23" s="48">
        <f>'Plan de test'!B25</f>
        <v>14</v>
      </c>
      <c r="C23" s="47" t="s">
        <v>23</v>
      </c>
      <c r="D23" s="48">
        <f t="shared" si="0"/>
        <v>14</v>
      </c>
      <c r="E23" s="47" t="s">
        <v>23</v>
      </c>
      <c r="F23" s="89">
        <f>VLOOKUP(D23,'Plan de test'!$F$12:$H$31,2,FALSE)</f>
        <v>7</v>
      </c>
      <c r="G23" s="89" t="str">
        <f t="shared" si="1"/>
        <v>succés</v>
      </c>
      <c r="H23" s="54"/>
      <c r="I23" s="22"/>
    </row>
    <row r="24" spans="2:9" ht="27" customHeight="1" x14ac:dyDescent="0.2">
      <c r="B24" s="48">
        <f>'Plan de test'!B26</f>
        <v>15</v>
      </c>
      <c r="C24" s="47" t="s">
        <v>23</v>
      </c>
      <c r="D24" s="48">
        <f t="shared" si="0"/>
        <v>15</v>
      </c>
      <c r="E24" s="47" t="s">
        <v>23</v>
      </c>
      <c r="F24" s="89">
        <f>VLOOKUP(D24,'Plan de test'!$F$12:$H$31,2,FALSE)</f>
        <v>6</v>
      </c>
      <c r="G24" s="89" t="str">
        <f t="shared" si="1"/>
        <v>succés</v>
      </c>
      <c r="H24" s="54"/>
      <c r="I24" s="22"/>
    </row>
    <row r="25" spans="2:9" ht="27" customHeight="1" x14ac:dyDescent="0.2">
      <c r="B25" s="48">
        <f>'Plan de test'!B27</f>
        <v>16</v>
      </c>
      <c r="C25" s="47" t="s">
        <v>23</v>
      </c>
      <c r="D25" s="48">
        <f t="shared" si="0"/>
        <v>16</v>
      </c>
      <c r="E25" s="47" t="s">
        <v>23</v>
      </c>
      <c r="F25" s="89">
        <f>VLOOKUP(D25,'Plan de test'!$F$12:$H$31,2,FALSE)</f>
        <v>5</v>
      </c>
      <c r="G25" s="89" t="str">
        <f t="shared" si="1"/>
        <v>succés</v>
      </c>
      <c r="H25" s="54"/>
      <c r="I25" s="22"/>
    </row>
    <row r="26" spans="2:9" ht="27" customHeight="1" x14ac:dyDescent="0.2">
      <c r="B26" s="48">
        <f>'Plan de test'!B28</f>
        <v>17</v>
      </c>
      <c r="C26" s="47" t="s">
        <v>23</v>
      </c>
      <c r="D26" s="48">
        <f t="shared" si="0"/>
        <v>17</v>
      </c>
      <c r="E26" s="47" t="s">
        <v>23</v>
      </c>
      <c r="F26" s="89">
        <f>VLOOKUP(D26,'Plan de test'!$F$12:$H$31,2,FALSE)</f>
        <v>4</v>
      </c>
      <c r="G26" s="89" t="str">
        <f t="shared" si="1"/>
        <v>succés</v>
      </c>
      <c r="H26" s="54"/>
      <c r="I26" s="22"/>
    </row>
    <row r="27" spans="2:9" ht="27" customHeight="1" x14ac:dyDescent="0.2">
      <c r="B27" s="48">
        <f>'Plan de test'!B29</f>
        <v>18</v>
      </c>
      <c r="C27" s="47" t="s">
        <v>24</v>
      </c>
      <c r="D27" s="48">
        <f t="shared" si="0"/>
        <v>18</v>
      </c>
      <c r="E27" s="47" t="s">
        <v>23</v>
      </c>
      <c r="F27" s="89">
        <f>VLOOKUP(D27,'Plan de test'!$F$12:$H$31,2,FALSE)</f>
        <v>3</v>
      </c>
      <c r="G27" s="89" t="str">
        <f t="shared" si="1"/>
        <v>succés</v>
      </c>
      <c r="H27" s="54"/>
      <c r="I27" s="22"/>
    </row>
    <row r="28" spans="2:9" ht="27" customHeight="1" x14ac:dyDescent="0.2">
      <c r="B28" s="48">
        <f>'Plan de test'!B30</f>
        <v>19</v>
      </c>
      <c r="C28" s="47" t="s">
        <v>23</v>
      </c>
      <c r="D28" s="48">
        <f t="shared" si="0"/>
        <v>19</v>
      </c>
      <c r="E28" s="47" t="s">
        <v>23</v>
      </c>
      <c r="F28" s="89">
        <f>VLOOKUP(D28,'Plan de test'!$F$12:$H$31,2,FALSE)</f>
        <v>2</v>
      </c>
      <c r="G28" s="89" t="str">
        <f t="shared" si="1"/>
        <v>succés</v>
      </c>
      <c r="H28" s="54"/>
      <c r="I28" s="22"/>
    </row>
    <row r="29" spans="2:9" ht="27" customHeight="1" x14ac:dyDescent="0.2">
      <c r="B29" s="48">
        <f>'Plan de test'!B31</f>
        <v>20</v>
      </c>
      <c r="C29" s="47" t="s">
        <v>23</v>
      </c>
      <c r="D29" s="48">
        <f t="shared" si="0"/>
        <v>20</v>
      </c>
      <c r="E29" s="47" t="s">
        <v>24</v>
      </c>
      <c r="F29" s="89">
        <f>VLOOKUP(D29,'Plan de test'!$F$12:$H$31,2,FALSE)</f>
        <v>1</v>
      </c>
      <c r="G29" s="89" t="str">
        <f t="shared" si="1"/>
        <v>échec</v>
      </c>
      <c r="H29" s="54"/>
      <c r="I29" s="22"/>
    </row>
    <row r="30" spans="2:9" s="24" customFormat="1" ht="27" customHeight="1" x14ac:dyDescent="0.2">
      <c r="B30" s="11"/>
      <c r="C30" s="23"/>
      <c r="D30" s="11"/>
      <c r="E30" s="23"/>
      <c r="F30" s="22"/>
      <c r="G30" s="22"/>
      <c r="H30" s="22"/>
      <c r="I30" s="22"/>
    </row>
    <row r="31" spans="2:9" s="24" customFormat="1" ht="27" customHeight="1" x14ac:dyDescent="0.2">
      <c r="B31" s="1"/>
      <c r="C31" s="5"/>
      <c r="D31" s="11"/>
      <c r="E31" s="11"/>
      <c r="F31" s="22"/>
      <c r="G31" s="22"/>
      <c r="H31" s="22"/>
      <c r="I31" s="22"/>
    </row>
    <row r="32" spans="2:9" ht="25.15" customHeight="1" x14ac:dyDescent="0.2">
      <c r="B32" s="21"/>
      <c r="C32" s="21"/>
      <c r="D32" s="25"/>
      <c r="E32" s="25"/>
      <c r="F32" s="26"/>
      <c r="G32" s="27"/>
      <c r="H32" s="2"/>
      <c r="I32" s="22"/>
    </row>
    <row r="33" spans="2:7" ht="15" customHeight="1" x14ac:dyDescent="0.2">
      <c r="B33" s="7"/>
      <c r="C33" s="7"/>
      <c r="D33" s="7"/>
      <c r="E33" s="7"/>
    </row>
    <row r="34" spans="2:7" ht="15" customHeight="1" x14ac:dyDescent="0.2">
      <c r="B34" s="7"/>
      <c r="C34" s="7"/>
      <c r="D34" s="7"/>
      <c r="E34" s="7"/>
      <c r="F34" s="7"/>
    </row>
    <row r="35" spans="2:7" s="12" customFormat="1" ht="15" customHeight="1" x14ac:dyDescent="0.2">
      <c r="B35" s="5"/>
      <c r="C35" s="28"/>
      <c r="D35" s="5"/>
      <c r="E35" s="29"/>
      <c r="F35" s="5"/>
      <c r="G35" s="5"/>
    </row>
    <row r="36" spans="2:7" ht="15" customHeight="1" x14ac:dyDescent="0.2">
      <c r="B36" s="10"/>
      <c r="C36" s="7"/>
      <c r="D36" s="10"/>
      <c r="E36" s="7"/>
      <c r="F36" s="7"/>
    </row>
  </sheetData>
  <sheetProtection selectLockedCells="1"/>
  <protectedRanges>
    <protectedRange sqref="C10:C29" name="Inge AQ_1"/>
    <protectedRange sqref="E10:E29" name="Inge AQ_1_2"/>
  </protectedRanges>
  <mergeCells count="9">
    <mergeCell ref="B8:C8"/>
    <mergeCell ref="D8:E8"/>
    <mergeCell ref="B2:E2"/>
    <mergeCell ref="B5:C5"/>
    <mergeCell ref="D5:E5"/>
    <mergeCell ref="B6:C6"/>
    <mergeCell ref="D6:E6"/>
    <mergeCell ref="B7:C7"/>
    <mergeCell ref="D7:E7"/>
  </mergeCells>
  <conditionalFormatting sqref="C10:C29">
    <cfRule type="containsText" dxfId="34" priority="5" operator="containsText" text="échec">
      <formula>NOT(ISERROR(SEARCH("échec",C10)))</formula>
    </cfRule>
    <cfRule type="containsText" dxfId="33" priority="6" operator="containsText" text="succés">
      <formula>NOT(ISERROR(SEARCH("succés",C10)))</formula>
    </cfRule>
  </conditionalFormatting>
  <conditionalFormatting sqref="E10:E29">
    <cfRule type="containsText" dxfId="32" priority="1" operator="containsText" text="échec">
      <formula>NOT(ISERROR(SEARCH("échec",E10)))</formula>
    </cfRule>
    <cfRule type="containsText" dxfId="31" priority="2" operator="containsText" text="succés">
      <formula>NOT(ISERROR(SEARCH("succés",E10)))</formula>
    </cfRule>
  </conditionalFormatting>
  <conditionalFormatting sqref="G32">
    <cfRule type="expression" dxfId="30" priority="11" stopIfTrue="1">
      <formula>F1048485/F25*100&lt;=5</formula>
    </cfRule>
    <cfRule type="expression" dxfId="29" priority="12" stopIfTrue="1">
      <formula>F1048485/F25*100&gt;5</formula>
    </cfRule>
  </conditionalFormatting>
  <dataValidations count="2">
    <dataValidation type="list" allowBlank="1" showInputMessage="1" showErrorMessage="1" sqref="C10:C29 E10:E29" xr:uid="{00000000-0002-0000-0200-000000000000}">
      <formula1>"succés,échec"</formula1>
    </dataValidation>
    <dataValidation type="list" allowBlank="1" showInputMessage="1" showErrorMessage="1" sqref="C30 E30" xr:uid="{00000000-0002-0000-0200-000001000000}">
      <formula1>"pass,fail"</formula1>
    </dataValidation>
  </dataValidations>
  <printOptions horizontalCentered="1"/>
  <pageMargins left="0.39370078740157483" right="0.39370078740157483" top="1.3779527559055118" bottom="0.78740157480314965" header="0.31496062992125984" footer="0.31496062992125984"/>
  <pageSetup paperSize="9" scale="95" orientation="portrait" verticalDpi="1200" r:id="rId1"/>
  <headerFooter>
    <oddHeader>&amp;C
Attributive Measurement System Analysis
 by MSA&amp;R
Page &amp;P from  &amp;N</oddHeader>
    <oddFooter>&amp;CCONFIDENTIAL / FOR INTERNAL USE 
GE-GP-158-F-004 R0 
Printed copies are uncontrolled unless stamped “controlled” by document control</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2:U36"/>
  <sheetViews>
    <sheetView showGridLines="0" topLeftCell="A6" zoomScale="85" zoomScaleNormal="85" workbookViewId="0">
      <selection activeCell="J16" sqref="J16"/>
    </sheetView>
  </sheetViews>
  <sheetFormatPr baseColWidth="10" defaultColWidth="14.42578125" defaultRowHeight="15" customHeight="1" x14ac:dyDescent="0.2"/>
  <cols>
    <col min="1" max="1" width="4.140625" style="21" customWidth="1"/>
    <col min="2" max="4" width="18.7109375" style="6" customWidth="1"/>
    <col min="5" max="5" width="18.85546875" style="6" customWidth="1"/>
    <col min="6" max="9" width="11.42578125" style="6" customWidth="1"/>
    <col min="10" max="22" width="11.42578125" style="21" customWidth="1"/>
    <col min="23" max="16384" width="14.42578125" style="21"/>
  </cols>
  <sheetData>
    <row r="2" spans="2:21" ht="25.5" x14ac:dyDescent="0.2">
      <c r="B2" s="98" t="s">
        <v>25</v>
      </c>
      <c r="C2" s="99"/>
      <c r="D2" s="99"/>
      <c r="E2" s="100"/>
    </row>
    <row r="4" spans="2:21" s="2" customFormat="1" ht="12.75" customHeight="1" x14ac:dyDescent="0.2">
      <c r="C4" s="3"/>
      <c r="D4" s="14"/>
      <c r="E4" s="14"/>
      <c r="K4" s="13"/>
      <c r="L4" s="15"/>
      <c r="M4" s="15"/>
      <c r="N4" s="15"/>
      <c r="O4" s="16"/>
      <c r="P4" s="16"/>
      <c r="Q4" s="16"/>
      <c r="R4" s="16"/>
      <c r="S4" s="16"/>
      <c r="T4" s="17"/>
      <c r="U4" s="17"/>
    </row>
    <row r="5" spans="2:21" s="2" customFormat="1" ht="27" customHeight="1" x14ac:dyDescent="0.2">
      <c r="B5" s="113" t="s">
        <v>10</v>
      </c>
      <c r="C5" s="114"/>
      <c r="D5" s="111" t="str">
        <f>'Plan de test'!F5</f>
        <v>Microvu</v>
      </c>
      <c r="E5" s="112"/>
      <c r="F5" s="3"/>
      <c r="K5" s="13"/>
      <c r="L5" s="15"/>
      <c r="M5" s="15"/>
      <c r="N5" s="15"/>
      <c r="O5" s="16"/>
      <c r="P5" s="16"/>
      <c r="Q5" s="16"/>
      <c r="R5" s="16"/>
      <c r="S5" s="16"/>
      <c r="T5" s="17"/>
      <c r="U5" s="17"/>
    </row>
    <row r="6" spans="2:21" s="2" customFormat="1" ht="27" customHeight="1" x14ac:dyDescent="0.2">
      <c r="B6" s="113" t="s">
        <v>30</v>
      </c>
      <c r="C6" s="114"/>
      <c r="D6" s="110" t="s">
        <v>65</v>
      </c>
      <c r="E6" s="110"/>
      <c r="K6" s="13"/>
      <c r="L6" s="15"/>
      <c r="M6" s="15"/>
      <c r="N6" s="15"/>
      <c r="O6" s="16"/>
      <c r="P6" s="16"/>
      <c r="Q6" s="16"/>
      <c r="R6" s="16"/>
      <c r="S6" s="16"/>
      <c r="T6" s="17"/>
      <c r="U6" s="17"/>
    </row>
    <row r="7" spans="2:21" s="2" customFormat="1" ht="27" customHeight="1" x14ac:dyDescent="0.2">
      <c r="B7" s="113" t="s">
        <v>9</v>
      </c>
      <c r="C7" s="114"/>
      <c r="D7" s="110"/>
      <c r="E7" s="110"/>
      <c r="F7" s="3"/>
      <c r="K7" s="13"/>
      <c r="L7" s="8"/>
      <c r="M7" s="18"/>
      <c r="N7" s="18"/>
      <c r="O7" s="8"/>
      <c r="P7" s="16"/>
      <c r="Q7" s="16"/>
      <c r="R7" s="16"/>
      <c r="S7" s="8"/>
      <c r="T7" s="16"/>
      <c r="U7" s="16"/>
    </row>
    <row r="8" spans="2:21" ht="27" customHeight="1" x14ac:dyDescent="0.2">
      <c r="B8" s="115" t="s">
        <v>26</v>
      </c>
      <c r="C8" s="116"/>
      <c r="D8" s="115" t="s">
        <v>27</v>
      </c>
      <c r="E8" s="117"/>
      <c r="F8" s="19"/>
      <c r="G8" s="20"/>
      <c r="H8" s="20"/>
      <c r="I8" s="20"/>
    </row>
    <row r="9" spans="2:21" ht="27" customHeight="1" x14ac:dyDescent="0.2">
      <c r="B9" s="72" t="s">
        <v>82</v>
      </c>
      <c r="C9" s="45" t="s">
        <v>81</v>
      </c>
      <c r="D9" s="72" t="s">
        <v>82</v>
      </c>
      <c r="E9" s="45" t="s">
        <v>81</v>
      </c>
      <c r="F9" s="89" t="s">
        <v>91</v>
      </c>
      <c r="G9" s="89"/>
      <c r="H9" s="22"/>
      <c r="I9" s="22"/>
    </row>
    <row r="10" spans="2:21" ht="27" customHeight="1" x14ac:dyDescent="0.2">
      <c r="B10" s="48">
        <f>'Plan de test'!B12</f>
        <v>1</v>
      </c>
      <c r="C10" s="47" t="s">
        <v>24</v>
      </c>
      <c r="D10" s="48">
        <f>B10</f>
        <v>1</v>
      </c>
      <c r="E10" s="47" t="s">
        <v>23</v>
      </c>
      <c r="F10" s="89">
        <f>VLOOKUP(D10,'Plan de test'!$F$12:$H$31,2,FALSE)</f>
        <v>20</v>
      </c>
      <c r="G10" s="89" t="str">
        <f>E10</f>
        <v>succés</v>
      </c>
      <c r="H10" s="54"/>
      <c r="I10" s="22"/>
    </row>
    <row r="11" spans="2:21" ht="27" customHeight="1" x14ac:dyDescent="0.2">
      <c r="B11" s="48">
        <f>'Plan de test'!B13</f>
        <v>2</v>
      </c>
      <c r="C11" s="47" t="s">
        <v>23</v>
      </c>
      <c r="D11" s="48">
        <f t="shared" ref="D11:D29" si="0">B11</f>
        <v>2</v>
      </c>
      <c r="E11" s="47" t="s">
        <v>24</v>
      </c>
      <c r="F11" s="89">
        <f>VLOOKUP(D11,'Plan de test'!$F$12:$H$31,2,FALSE)</f>
        <v>19</v>
      </c>
      <c r="G11" s="89" t="str">
        <f t="shared" ref="G11:G29" si="1">E11</f>
        <v>échec</v>
      </c>
      <c r="H11" s="54"/>
      <c r="I11" s="22"/>
    </row>
    <row r="12" spans="2:21" ht="27" customHeight="1" x14ac:dyDescent="0.2">
      <c r="B12" s="48">
        <f>'Plan de test'!B14</f>
        <v>3</v>
      </c>
      <c r="C12" s="47" t="s">
        <v>24</v>
      </c>
      <c r="D12" s="48">
        <f t="shared" si="0"/>
        <v>3</v>
      </c>
      <c r="E12" s="47" t="s">
        <v>23</v>
      </c>
      <c r="F12" s="89">
        <f>VLOOKUP(D12,'Plan de test'!$F$12:$H$31,2,FALSE)</f>
        <v>18</v>
      </c>
      <c r="G12" s="89" t="str">
        <f t="shared" si="1"/>
        <v>succés</v>
      </c>
      <c r="H12" s="54"/>
      <c r="I12" s="22"/>
    </row>
    <row r="13" spans="2:21" ht="27" customHeight="1" x14ac:dyDescent="0.2">
      <c r="B13" s="48">
        <f>'Plan de test'!B15</f>
        <v>4</v>
      </c>
      <c r="C13" s="47" t="s">
        <v>23</v>
      </c>
      <c r="D13" s="48">
        <f t="shared" si="0"/>
        <v>4</v>
      </c>
      <c r="E13" s="47" t="s">
        <v>23</v>
      </c>
      <c r="F13" s="89">
        <f>VLOOKUP(D13,'Plan de test'!$F$12:$H$31,2,FALSE)</f>
        <v>17</v>
      </c>
      <c r="G13" s="89" t="str">
        <f t="shared" si="1"/>
        <v>succés</v>
      </c>
      <c r="H13" s="54"/>
      <c r="I13" s="22"/>
    </row>
    <row r="14" spans="2:21" ht="27" customHeight="1" x14ac:dyDescent="0.2">
      <c r="B14" s="48">
        <f>'Plan de test'!B16</f>
        <v>5</v>
      </c>
      <c r="C14" s="47" t="s">
        <v>24</v>
      </c>
      <c r="D14" s="48">
        <f t="shared" si="0"/>
        <v>5</v>
      </c>
      <c r="E14" s="47" t="s">
        <v>24</v>
      </c>
      <c r="F14" s="89">
        <f>VLOOKUP(D14,'Plan de test'!$F$12:$H$31,2,FALSE)</f>
        <v>16</v>
      </c>
      <c r="G14" s="89" t="str">
        <f t="shared" si="1"/>
        <v>échec</v>
      </c>
      <c r="H14" s="54"/>
      <c r="I14" s="22"/>
    </row>
    <row r="15" spans="2:21" ht="27" customHeight="1" x14ac:dyDescent="0.2">
      <c r="B15" s="48">
        <f>'Plan de test'!B17</f>
        <v>6</v>
      </c>
      <c r="C15" s="47" t="s">
        <v>23</v>
      </c>
      <c r="D15" s="48">
        <f t="shared" si="0"/>
        <v>6</v>
      </c>
      <c r="E15" s="47" t="s">
        <v>23</v>
      </c>
      <c r="F15" s="89">
        <f>VLOOKUP(D15,'Plan de test'!$F$12:$H$31,2,FALSE)</f>
        <v>15</v>
      </c>
      <c r="G15" s="89" t="str">
        <f t="shared" si="1"/>
        <v>succés</v>
      </c>
      <c r="H15" s="54"/>
      <c r="I15" s="22"/>
    </row>
    <row r="16" spans="2:21" ht="27" customHeight="1" x14ac:dyDescent="0.2">
      <c r="B16" s="48">
        <f>'Plan de test'!B18</f>
        <v>7</v>
      </c>
      <c r="C16" s="47" t="s">
        <v>23</v>
      </c>
      <c r="D16" s="48">
        <f t="shared" si="0"/>
        <v>7</v>
      </c>
      <c r="E16" s="47" t="s">
        <v>24</v>
      </c>
      <c r="F16" s="89">
        <f>VLOOKUP(D16,'Plan de test'!$F$12:$H$31,2,FALSE)</f>
        <v>14</v>
      </c>
      <c r="G16" s="89" t="str">
        <f t="shared" si="1"/>
        <v>échec</v>
      </c>
      <c r="H16" s="54"/>
      <c r="I16" s="22"/>
    </row>
    <row r="17" spans="2:9" ht="27" customHeight="1" x14ac:dyDescent="0.2">
      <c r="B17" s="48">
        <f>'Plan de test'!B19</f>
        <v>8</v>
      </c>
      <c r="C17" s="47" t="s">
        <v>23</v>
      </c>
      <c r="D17" s="48">
        <f t="shared" si="0"/>
        <v>8</v>
      </c>
      <c r="E17" s="47" t="s">
        <v>24</v>
      </c>
      <c r="F17" s="89">
        <f>VLOOKUP(D17,'Plan de test'!$F$12:$H$31,2,FALSE)</f>
        <v>13</v>
      </c>
      <c r="G17" s="89" t="str">
        <f t="shared" si="1"/>
        <v>échec</v>
      </c>
      <c r="H17" s="54"/>
      <c r="I17" s="22"/>
    </row>
    <row r="18" spans="2:9" ht="27" customHeight="1" x14ac:dyDescent="0.2">
      <c r="B18" s="48">
        <f>'Plan de test'!B20</f>
        <v>9</v>
      </c>
      <c r="C18" s="47" t="s">
        <v>23</v>
      </c>
      <c r="D18" s="48">
        <f t="shared" si="0"/>
        <v>9</v>
      </c>
      <c r="E18" s="47" t="s">
        <v>23</v>
      </c>
      <c r="F18" s="89">
        <f>VLOOKUP(D18,'Plan de test'!$F$12:$H$31,2,FALSE)</f>
        <v>12</v>
      </c>
      <c r="G18" s="89" t="str">
        <f t="shared" si="1"/>
        <v>succés</v>
      </c>
      <c r="H18" s="54"/>
      <c r="I18" s="22"/>
    </row>
    <row r="19" spans="2:9" ht="27" customHeight="1" x14ac:dyDescent="0.2">
      <c r="B19" s="48">
        <f>'Plan de test'!B21</f>
        <v>10</v>
      </c>
      <c r="C19" s="47" t="s">
        <v>23</v>
      </c>
      <c r="D19" s="48">
        <f t="shared" si="0"/>
        <v>10</v>
      </c>
      <c r="E19" s="47" t="s">
        <v>23</v>
      </c>
      <c r="F19" s="89">
        <f>VLOOKUP(D19,'Plan de test'!$F$12:$H$31,2,FALSE)</f>
        <v>11</v>
      </c>
      <c r="G19" s="89" t="str">
        <f t="shared" si="1"/>
        <v>succés</v>
      </c>
      <c r="H19" s="54"/>
      <c r="I19" s="22"/>
    </row>
    <row r="20" spans="2:9" ht="27" customHeight="1" x14ac:dyDescent="0.2">
      <c r="B20" s="48">
        <f>'Plan de test'!B22</f>
        <v>11</v>
      </c>
      <c r="C20" s="47" t="s">
        <v>23</v>
      </c>
      <c r="D20" s="48">
        <f t="shared" si="0"/>
        <v>11</v>
      </c>
      <c r="E20" s="47" t="s">
        <v>23</v>
      </c>
      <c r="F20" s="89">
        <f>VLOOKUP(D20,'Plan de test'!$F$12:$H$31,2,FALSE)</f>
        <v>10</v>
      </c>
      <c r="G20" s="89" t="str">
        <f t="shared" si="1"/>
        <v>succés</v>
      </c>
      <c r="H20" s="54"/>
      <c r="I20" s="22"/>
    </row>
    <row r="21" spans="2:9" ht="27" customHeight="1" x14ac:dyDescent="0.2">
      <c r="B21" s="48">
        <f>'Plan de test'!B23</f>
        <v>12</v>
      </c>
      <c r="C21" s="47" t="s">
        <v>24</v>
      </c>
      <c r="D21" s="48">
        <f t="shared" si="0"/>
        <v>12</v>
      </c>
      <c r="E21" s="47" t="s">
        <v>23</v>
      </c>
      <c r="F21" s="89">
        <f>VLOOKUP(D21,'Plan de test'!$F$12:$H$31,2,FALSE)</f>
        <v>9</v>
      </c>
      <c r="G21" s="89" t="str">
        <f t="shared" si="1"/>
        <v>succés</v>
      </c>
      <c r="H21" s="54"/>
      <c r="I21" s="22"/>
    </row>
    <row r="22" spans="2:9" ht="27" customHeight="1" x14ac:dyDescent="0.2">
      <c r="B22" s="48">
        <f>'Plan de test'!B24</f>
        <v>13</v>
      </c>
      <c r="C22" s="47" t="s">
        <v>23</v>
      </c>
      <c r="D22" s="48">
        <f t="shared" si="0"/>
        <v>13</v>
      </c>
      <c r="E22" s="47" t="s">
        <v>23</v>
      </c>
      <c r="F22" s="89">
        <f>VLOOKUP(D22,'Plan de test'!$F$12:$H$31,2,FALSE)</f>
        <v>8</v>
      </c>
      <c r="G22" s="89" t="str">
        <f t="shared" si="1"/>
        <v>succés</v>
      </c>
      <c r="H22" s="54"/>
      <c r="I22" s="22"/>
    </row>
    <row r="23" spans="2:9" ht="27" customHeight="1" x14ac:dyDescent="0.2">
      <c r="B23" s="48">
        <f>'Plan de test'!B25</f>
        <v>14</v>
      </c>
      <c r="C23" s="47" t="s">
        <v>23</v>
      </c>
      <c r="D23" s="48">
        <f t="shared" si="0"/>
        <v>14</v>
      </c>
      <c r="E23" s="47" t="s">
        <v>23</v>
      </c>
      <c r="F23" s="89">
        <f>VLOOKUP(D23,'Plan de test'!$F$12:$H$31,2,FALSE)</f>
        <v>7</v>
      </c>
      <c r="G23" s="89" t="str">
        <f t="shared" si="1"/>
        <v>succés</v>
      </c>
      <c r="H23" s="54"/>
      <c r="I23" s="22"/>
    </row>
    <row r="24" spans="2:9" ht="27" customHeight="1" x14ac:dyDescent="0.2">
      <c r="B24" s="48">
        <f>'Plan de test'!B26</f>
        <v>15</v>
      </c>
      <c r="C24" s="47" t="s">
        <v>23</v>
      </c>
      <c r="D24" s="48">
        <f t="shared" si="0"/>
        <v>15</v>
      </c>
      <c r="E24" s="47" t="s">
        <v>23</v>
      </c>
      <c r="F24" s="89">
        <f>VLOOKUP(D24,'Plan de test'!$F$12:$H$31,2,FALSE)</f>
        <v>6</v>
      </c>
      <c r="G24" s="89" t="str">
        <f t="shared" si="1"/>
        <v>succés</v>
      </c>
      <c r="H24" s="54"/>
      <c r="I24" s="22"/>
    </row>
    <row r="25" spans="2:9" ht="27" customHeight="1" x14ac:dyDescent="0.2">
      <c r="B25" s="48">
        <f>'Plan de test'!B27</f>
        <v>16</v>
      </c>
      <c r="C25" s="47" t="s">
        <v>23</v>
      </c>
      <c r="D25" s="48">
        <f t="shared" si="0"/>
        <v>16</v>
      </c>
      <c r="E25" s="47" t="s">
        <v>23</v>
      </c>
      <c r="F25" s="89">
        <f>VLOOKUP(D25,'Plan de test'!$F$12:$H$31,2,FALSE)</f>
        <v>5</v>
      </c>
      <c r="G25" s="89" t="str">
        <f t="shared" si="1"/>
        <v>succés</v>
      </c>
      <c r="H25" s="54"/>
      <c r="I25" s="22"/>
    </row>
    <row r="26" spans="2:9" ht="27" customHeight="1" x14ac:dyDescent="0.2">
      <c r="B26" s="48">
        <f>'Plan de test'!B28</f>
        <v>17</v>
      </c>
      <c r="C26" s="47" t="s">
        <v>23</v>
      </c>
      <c r="D26" s="48">
        <f t="shared" si="0"/>
        <v>17</v>
      </c>
      <c r="E26" s="47" t="s">
        <v>23</v>
      </c>
      <c r="F26" s="89">
        <f>VLOOKUP(D26,'Plan de test'!$F$12:$H$31,2,FALSE)</f>
        <v>4</v>
      </c>
      <c r="G26" s="89" t="str">
        <f t="shared" si="1"/>
        <v>succés</v>
      </c>
      <c r="H26" s="54"/>
      <c r="I26" s="22"/>
    </row>
    <row r="27" spans="2:9" ht="27" customHeight="1" x14ac:dyDescent="0.2">
      <c r="B27" s="48">
        <f>'Plan de test'!B29</f>
        <v>18</v>
      </c>
      <c r="C27" s="47" t="s">
        <v>24</v>
      </c>
      <c r="D27" s="48">
        <f t="shared" si="0"/>
        <v>18</v>
      </c>
      <c r="E27" s="47" t="s">
        <v>23</v>
      </c>
      <c r="F27" s="89">
        <f>VLOOKUP(D27,'Plan de test'!$F$12:$H$31,2,FALSE)</f>
        <v>3</v>
      </c>
      <c r="G27" s="89" t="str">
        <f t="shared" si="1"/>
        <v>succés</v>
      </c>
      <c r="H27" s="54"/>
      <c r="I27" s="22"/>
    </row>
    <row r="28" spans="2:9" ht="27" customHeight="1" x14ac:dyDescent="0.2">
      <c r="B28" s="48">
        <f>'Plan de test'!B30</f>
        <v>19</v>
      </c>
      <c r="C28" s="47" t="s">
        <v>23</v>
      </c>
      <c r="D28" s="48">
        <f t="shared" si="0"/>
        <v>19</v>
      </c>
      <c r="E28" s="47" t="s">
        <v>23</v>
      </c>
      <c r="F28" s="89">
        <f>VLOOKUP(D28,'Plan de test'!$F$12:$H$31,2,FALSE)</f>
        <v>2</v>
      </c>
      <c r="G28" s="89" t="str">
        <f t="shared" si="1"/>
        <v>succés</v>
      </c>
      <c r="H28" s="54"/>
      <c r="I28" s="22"/>
    </row>
    <row r="29" spans="2:9" ht="27" customHeight="1" x14ac:dyDescent="0.2">
      <c r="B29" s="48">
        <f>'Plan de test'!B31</f>
        <v>20</v>
      </c>
      <c r="C29" s="47" t="s">
        <v>23</v>
      </c>
      <c r="D29" s="48">
        <f t="shared" si="0"/>
        <v>20</v>
      </c>
      <c r="E29" s="47" t="s">
        <v>24</v>
      </c>
      <c r="F29" s="89">
        <f>VLOOKUP(D29,'Plan de test'!$F$12:$H$31,2,FALSE)</f>
        <v>1</v>
      </c>
      <c r="G29" s="89" t="str">
        <f t="shared" si="1"/>
        <v>échec</v>
      </c>
      <c r="H29" s="54"/>
      <c r="I29" s="22"/>
    </row>
    <row r="30" spans="2:9" s="24" customFormat="1" ht="27" customHeight="1" x14ac:dyDescent="0.2">
      <c r="B30" s="11"/>
      <c r="C30" s="23"/>
      <c r="D30" s="11"/>
      <c r="E30" s="23"/>
      <c r="F30" s="22"/>
      <c r="G30" s="22"/>
      <c r="H30" s="22"/>
      <c r="I30" s="22"/>
    </row>
    <row r="31" spans="2:9" s="24" customFormat="1" ht="27" customHeight="1" x14ac:dyDescent="0.2">
      <c r="B31" s="1"/>
      <c r="C31" s="5"/>
      <c r="D31" s="11"/>
      <c r="E31" s="11"/>
      <c r="F31" s="22"/>
      <c r="G31" s="22"/>
      <c r="H31" s="22"/>
      <c r="I31" s="22"/>
    </row>
    <row r="32" spans="2:9" ht="25.15" customHeight="1" x14ac:dyDescent="0.2">
      <c r="B32" s="21"/>
      <c r="C32" s="21"/>
      <c r="D32" s="25"/>
      <c r="E32" s="25"/>
      <c r="F32" s="26"/>
      <c r="G32" s="27"/>
      <c r="H32" s="2"/>
      <c r="I32" s="22"/>
    </row>
    <row r="33" spans="2:7" ht="15" customHeight="1" x14ac:dyDescent="0.2">
      <c r="B33" s="7"/>
      <c r="C33" s="7"/>
      <c r="D33" s="7"/>
      <c r="E33" s="7"/>
    </row>
    <row r="34" spans="2:7" ht="15" customHeight="1" x14ac:dyDescent="0.2">
      <c r="B34" s="7"/>
      <c r="C34" s="7"/>
      <c r="D34" s="7"/>
      <c r="E34" s="7"/>
      <c r="F34" s="7"/>
    </row>
    <row r="35" spans="2:7" s="12" customFormat="1" ht="15" customHeight="1" x14ac:dyDescent="0.2">
      <c r="B35" s="5"/>
      <c r="C35" s="28"/>
      <c r="D35" s="5"/>
      <c r="E35" s="29"/>
      <c r="F35" s="5"/>
      <c r="G35" s="5"/>
    </row>
    <row r="36" spans="2:7" ht="15" customHeight="1" x14ac:dyDescent="0.2">
      <c r="B36" s="10"/>
      <c r="C36" s="7"/>
      <c r="D36" s="10"/>
      <c r="E36" s="7"/>
      <c r="F36" s="7"/>
    </row>
  </sheetData>
  <sheetProtection selectLockedCells="1"/>
  <protectedRanges>
    <protectedRange sqref="C10:C29" name="Inge AQ_1"/>
    <protectedRange sqref="E10:E29" name="Inge AQ_1_2"/>
  </protectedRanges>
  <mergeCells count="9">
    <mergeCell ref="B8:C8"/>
    <mergeCell ref="D8:E8"/>
    <mergeCell ref="B2:E2"/>
    <mergeCell ref="B5:C5"/>
    <mergeCell ref="D5:E5"/>
    <mergeCell ref="B6:C6"/>
    <mergeCell ref="D6:E6"/>
    <mergeCell ref="B7:C7"/>
    <mergeCell ref="D7:E7"/>
  </mergeCells>
  <conditionalFormatting sqref="C10:C29">
    <cfRule type="containsText" dxfId="28" priority="5" operator="containsText" text="échec">
      <formula>NOT(ISERROR(SEARCH("échec",C10)))</formula>
    </cfRule>
    <cfRule type="containsText" dxfId="27" priority="6" operator="containsText" text="succés">
      <formula>NOT(ISERROR(SEARCH("succés",C10)))</formula>
    </cfRule>
  </conditionalFormatting>
  <conditionalFormatting sqref="E10:E29">
    <cfRule type="containsText" dxfId="26" priority="1" operator="containsText" text="échec">
      <formula>NOT(ISERROR(SEARCH("échec",E10)))</formula>
    </cfRule>
    <cfRule type="containsText" dxfId="25" priority="2" operator="containsText" text="succés">
      <formula>NOT(ISERROR(SEARCH("succés",E10)))</formula>
    </cfRule>
  </conditionalFormatting>
  <conditionalFormatting sqref="G32">
    <cfRule type="expression" dxfId="24" priority="11" stopIfTrue="1">
      <formula>F1048485/F25*100&lt;=5</formula>
    </cfRule>
    <cfRule type="expression" dxfId="23" priority="12" stopIfTrue="1">
      <formula>F1048485/F25*100&gt;5</formula>
    </cfRule>
  </conditionalFormatting>
  <dataValidations count="2">
    <dataValidation type="list" allowBlank="1" showInputMessage="1" showErrorMessage="1" sqref="C30 E30" xr:uid="{00000000-0002-0000-0300-000000000000}">
      <formula1>"pass,fail"</formula1>
    </dataValidation>
    <dataValidation type="list" allowBlank="1" showInputMessage="1" showErrorMessage="1" sqref="C10:C29 E10:E29" xr:uid="{00000000-0002-0000-0300-000001000000}">
      <formula1>"succés,échec"</formula1>
    </dataValidation>
  </dataValidations>
  <printOptions horizontalCentered="1"/>
  <pageMargins left="0.39370078740157483" right="0.39370078740157483" top="1.3779527559055118" bottom="0.78740157480314965" header="0.31496062992125984" footer="0.31496062992125984"/>
  <pageSetup paperSize="9" scale="95" orientation="portrait" verticalDpi="1200" r:id="rId1"/>
  <headerFooter>
    <oddHeader>&amp;C
Attributive Measurement System Analysis
 by MSA&amp;R
Page &amp;P from  &amp;N</oddHeader>
    <oddFooter>&amp;CCONFIDENTIAL / FOR INTERNAL USE 
GE-GP-158-F-004 R0 
Printed copies are uncontrolled unless stamped “controlled” by document control</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AG46"/>
  <sheetViews>
    <sheetView showGridLines="0" zoomScale="85" zoomScaleNormal="85" zoomScalePageLayoutView="55" workbookViewId="0">
      <selection activeCell="F4" sqref="F4"/>
    </sheetView>
  </sheetViews>
  <sheetFormatPr baseColWidth="10" defaultColWidth="11.5703125" defaultRowHeight="15" x14ac:dyDescent="0.2"/>
  <cols>
    <col min="1" max="1" width="6.85546875" style="12" customWidth="1"/>
    <col min="2" max="2" width="16.140625" style="12" customWidth="1"/>
    <col min="3" max="3" width="19.7109375" style="12" customWidth="1"/>
    <col min="4" max="5" width="19.42578125" style="12" customWidth="1"/>
    <col min="6" max="6" width="20" style="12" customWidth="1"/>
    <col min="7" max="7" width="19.42578125" style="12" customWidth="1"/>
    <col min="8" max="8" width="18.7109375" style="12" customWidth="1"/>
    <col min="9" max="10" width="19" style="12" customWidth="1"/>
    <col min="11" max="11" width="18.7109375" style="12" customWidth="1"/>
    <col min="12" max="14" width="2.5703125" style="12" bestFit="1" customWidth="1"/>
    <col min="15" max="15" width="2.85546875" style="12" bestFit="1" customWidth="1"/>
    <col min="16" max="17" width="4.5703125" style="12" bestFit="1" customWidth="1"/>
    <col min="18" max="16384" width="11.5703125" style="12"/>
  </cols>
  <sheetData>
    <row r="1" spans="2:33" ht="15.75" thickBot="1" x14ac:dyDescent="0.25">
      <c r="I1" s="5"/>
      <c r="J1" s="5"/>
      <c r="K1" s="5"/>
      <c r="L1" s="5"/>
      <c r="M1" s="5"/>
    </row>
    <row r="2" spans="2:33" ht="15" customHeight="1" x14ac:dyDescent="0.2">
      <c r="B2" s="144" t="s">
        <v>34</v>
      </c>
      <c r="C2" s="128"/>
      <c r="D2" s="122"/>
      <c r="E2" s="119" t="s">
        <v>33</v>
      </c>
      <c r="F2" s="120"/>
      <c r="G2" s="120"/>
      <c r="H2" s="121"/>
      <c r="K2" s="5"/>
    </row>
    <row r="3" spans="2:33" x14ac:dyDescent="0.2">
      <c r="B3" s="134" t="s">
        <v>78</v>
      </c>
      <c r="C3" s="135"/>
      <c r="D3" s="58">
        <v>2</v>
      </c>
      <c r="E3" s="62" t="s">
        <v>4</v>
      </c>
      <c r="F3" s="40" t="s">
        <v>39</v>
      </c>
      <c r="G3" s="31" t="s">
        <v>96</v>
      </c>
      <c r="H3" s="33" t="s">
        <v>97</v>
      </c>
      <c r="K3" s="5"/>
    </row>
    <row r="4" spans="2:33" x14ac:dyDescent="0.2">
      <c r="B4" s="159" t="s">
        <v>79</v>
      </c>
      <c r="C4" s="160"/>
      <c r="D4" s="59">
        <v>3</v>
      </c>
      <c r="E4" s="63" t="s">
        <v>5</v>
      </c>
      <c r="F4" s="32" t="s">
        <v>11</v>
      </c>
      <c r="G4" s="30" t="s">
        <v>12</v>
      </c>
      <c r="H4" s="34" t="s">
        <v>13</v>
      </c>
      <c r="K4" s="5"/>
    </row>
    <row r="5" spans="2:33" x14ac:dyDescent="0.2">
      <c r="B5" s="159" t="s">
        <v>76</v>
      </c>
      <c r="C5" s="160"/>
      <c r="D5" s="59">
        <v>15</v>
      </c>
      <c r="E5" s="64" t="s">
        <v>6</v>
      </c>
      <c r="F5" s="32" t="s">
        <v>14</v>
      </c>
      <c r="G5" s="31" t="s">
        <v>15</v>
      </c>
      <c r="H5" s="33" t="s">
        <v>16</v>
      </c>
      <c r="K5" s="5"/>
    </row>
    <row r="6" spans="2:33" ht="15.75" thickBot="1" x14ac:dyDescent="0.25">
      <c r="B6" s="136" t="s">
        <v>77</v>
      </c>
      <c r="C6" s="137"/>
      <c r="D6" s="60">
        <v>5</v>
      </c>
      <c r="E6" s="65" t="s">
        <v>35</v>
      </c>
      <c r="F6" s="35" t="s">
        <v>0</v>
      </c>
      <c r="G6" s="36" t="s">
        <v>2</v>
      </c>
      <c r="H6" s="69" t="s">
        <v>1</v>
      </c>
    </row>
    <row r="7" spans="2:33" x14ac:dyDescent="0.2">
      <c r="B7" s="144" t="s">
        <v>90</v>
      </c>
      <c r="C7" s="131" t="s">
        <v>45</v>
      </c>
      <c r="D7" s="155" t="s">
        <v>36</v>
      </c>
      <c r="E7" s="156"/>
      <c r="F7" s="155" t="s">
        <v>37</v>
      </c>
      <c r="G7" s="156"/>
      <c r="H7" s="155" t="s">
        <v>38</v>
      </c>
      <c r="I7" s="157"/>
      <c r="J7" s="123" t="s">
        <v>73</v>
      </c>
      <c r="K7" s="131" t="s">
        <v>39</v>
      </c>
    </row>
    <row r="8" spans="2:33" x14ac:dyDescent="0.2">
      <c r="B8" s="134"/>
      <c r="C8" s="132"/>
      <c r="D8" s="61" t="s">
        <v>94</v>
      </c>
      <c r="E8" s="66" t="s">
        <v>95</v>
      </c>
      <c r="F8" s="61" t="s">
        <v>94</v>
      </c>
      <c r="G8" s="66" t="s">
        <v>95</v>
      </c>
      <c r="H8" s="61" t="s">
        <v>94</v>
      </c>
      <c r="I8" s="68" t="s">
        <v>95</v>
      </c>
      <c r="J8" s="133"/>
      <c r="K8" s="132"/>
      <c r="L8" s="56"/>
      <c r="M8" s="56"/>
      <c r="N8" s="56"/>
      <c r="O8" s="56"/>
      <c r="P8" s="56"/>
      <c r="Q8" s="56"/>
      <c r="R8" s="56"/>
      <c r="S8" s="118" t="s">
        <v>40</v>
      </c>
      <c r="T8" s="118"/>
      <c r="U8" s="118" t="s">
        <v>41</v>
      </c>
      <c r="V8" s="118"/>
      <c r="W8" s="56"/>
      <c r="X8" s="118" t="s">
        <v>40</v>
      </c>
      <c r="Y8" s="118"/>
      <c r="Z8" s="118" t="s">
        <v>41</v>
      </c>
      <c r="AA8" s="118"/>
      <c r="AB8" s="56"/>
      <c r="AC8" s="118" t="s">
        <v>40</v>
      </c>
      <c r="AD8" s="118"/>
      <c r="AE8" s="118" t="s">
        <v>41</v>
      </c>
      <c r="AF8" s="118"/>
      <c r="AG8" s="56"/>
    </row>
    <row r="9" spans="2:33" ht="15.75" x14ac:dyDescent="0.2">
      <c r="B9" s="39">
        <f>'Plan de test'!B12</f>
        <v>1</v>
      </c>
      <c r="C9" s="41" t="str">
        <f>IF('Plan de test'!D12="","",'Plan de test'!$D12)</f>
        <v>échec</v>
      </c>
      <c r="D9" s="39" t="str">
        <f>IF('Testeur 1'!C10="","",'Testeur 1'!C10)</f>
        <v>échec</v>
      </c>
      <c r="E9" s="43" t="str">
        <f>VLOOKUP(B9,'Testeur 1'!$F$10:$G$29,2,FALSE)</f>
        <v>échec</v>
      </c>
      <c r="F9" s="39" t="str">
        <f>IF('Testeur 2'!C10="","",'Testeur 2'!C10)</f>
        <v>échec</v>
      </c>
      <c r="G9" s="76" t="str">
        <f>VLOOKUP(B9,'Testeur 2'!$F$10:$G$29,2,FALSE)</f>
        <v>échec</v>
      </c>
      <c r="H9" s="74" t="str">
        <f>IF('Testeur 3'!C10="","",'Testeur 3'!C10)</f>
        <v>échec</v>
      </c>
      <c r="I9" s="77" t="str">
        <f>VLOOKUP(B9,'Testeur 3'!$F$10:$G$29,2,FALSE)</f>
        <v>échec</v>
      </c>
      <c r="J9" s="55" t="str">
        <f>P9</f>
        <v>OK</v>
      </c>
      <c r="K9" s="41" t="str">
        <f>Q9</f>
        <v>OK</v>
      </c>
      <c r="L9" s="57">
        <f>IF(D9=E9,1,0)</f>
        <v>1</v>
      </c>
      <c r="M9" s="57">
        <f>IF(F9=G9,1,0)</f>
        <v>1</v>
      </c>
      <c r="N9" s="57">
        <f>IF(H9=I9,1,0)</f>
        <v>1</v>
      </c>
      <c r="O9" s="56">
        <f>SUM(L9:N9)</f>
        <v>3</v>
      </c>
      <c r="P9" s="56" t="str">
        <f>IF(O9=3,"OK","X")</f>
        <v>OK</v>
      </c>
      <c r="Q9" s="56" t="str">
        <f>IF(P9="OK",IF(I9=C9,"OK","X"),"X")</f>
        <v>OK</v>
      </c>
      <c r="R9" s="56"/>
      <c r="S9" s="57" t="str">
        <f>IF(C9="succés",IF(D9=C9,0,1),"")</f>
        <v/>
      </c>
      <c r="T9" s="57" t="str">
        <f>IF(C9="succés",IF(E9=C9,0,1),"")</f>
        <v/>
      </c>
      <c r="U9" s="57">
        <f t="shared" ref="U9:U28" si="0">IF(C9="échec",IF(D9=C9,0,1),"")</f>
        <v>0</v>
      </c>
      <c r="V9" s="57">
        <f>IF(C9="échec",IF(E9=C9,0,1),"")</f>
        <v>0</v>
      </c>
      <c r="W9" s="56"/>
      <c r="X9" s="57" t="str">
        <f>IF(C9="succés",IF(F9=C9,0,1),"")</f>
        <v/>
      </c>
      <c r="Y9" s="57" t="str">
        <f>IF($C9="succés",IF(G9=C9,0,1),"")</f>
        <v/>
      </c>
      <c r="Z9" s="57">
        <f>IF($C9="échec",IF(F9=$C9,0,1),"")</f>
        <v>0</v>
      </c>
      <c r="AA9" s="57">
        <f>IF($C9="échec",IF(G9=$C9,0,1),"")</f>
        <v>0</v>
      </c>
      <c r="AB9" s="56"/>
      <c r="AC9" s="57" t="str">
        <f>IF($C9="succés",IF(H9=C9,0,1),"")</f>
        <v/>
      </c>
      <c r="AD9" s="57" t="str">
        <f>IF($C9="succés",IF(I9=C9,0,1),"")</f>
        <v/>
      </c>
      <c r="AE9" s="57">
        <f>IF($C9="échec",IF(H9=$C9,0,1),"")</f>
        <v>0</v>
      </c>
      <c r="AF9" s="57">
        <f>IF($C9="échec",IF(I9=$C9,0,1),"")</f>
        <v>0</v>
      </c>
      <c r="AG9" s="56"/>
    </row>
    <row r="10" spans="2:33" ht="15.75" x14ac:dyDescent="0.2">
      <c r="B10" s="39">
        <f>'Plan de test'!B13</f>
        <v>2</v>
      </c>
      <c r="C10" s="41" t="str">
        <f>IF('Plan de test'!D13="","",'Plan de test'!$D13)</f>
        <v>échec</v>
      </c>
      <c r="D10" s="39" t="str">
        <f>IF('Testeur 1'!C11="","",'Testeur 1'!C11)</f>
        <v>échec</v>
      </c>
      <c r="E10" s="76" t="str">
        <f>VLOOKUP(B10,'Testeur 1'!$F$10:$G$29,2,FALSE)</f>
        <v>échec</v>
      </c>
      <c r="F10" s="39" t="str">
        <f>IF('Testeur 2'!C11="","",'Testeur 2'!C11)</f>
        <v>succés</v>
      </c>
      <c r="G10" s="76" t="str">
        <f>VLOOKUP(B10,'Testeur 2'!$F$10:$G$29,2,FALSE)</f>
        <v>succés</v>
      </c>
      <c r="H10" s="74" t="str">
        <f>IF('Testeur 3'!C11="","",'Testeur 3'!C11)</f>
        <v>succés</v>
      </c>
      <c r="I10" s="77" t="str">
        <f>VLOOKUP(B10,'Testeur 3'!$F$10:$G$29,2,FALSE)</f>
        <v>succés</v>
      </c>
      <c r="J10" s="55" t="str">
        <f t="shared" ref="J10:J28" si="1">P10</f>
        <v>OK</v>
      </c>
      <c r="K10" s="41" t="str">
        <f t="shared" ref="K10:K28" si="2">Q10</f>
        <v>X</v>
      </c>
      <c r="L10" s="57">
        <f t="shared" ref="L10:L27" si="3">IF(D10=E10,1,0)</f>
        <v>1</v>
      </c>
      <c r="M10" s="57">
        <f t="shared" ref="M10:M27" si="4">IF(F10=G10,1,0)</f>
        <v>1</v>
      </c>
      <c r="N10" s="57">
        <f t="shared" ref="N10:N27" si="5">IF(H10=I10,1,0)</f>
        <v>1</v>
      </c>
      <c r="O10" s="56">
        <f t="shared" ref="O10:O27" si="6">SUM(L10:N10)</f>
        <v>3</v>
      </c>
      <c r="P10" s="56" t="str">
        <f t="shared" ref="P10:P28" si="7">IF(O10=3,"OK","X")</f>
        <v>OK</v>
      </c>
      <c r="Q10" s="56" t="str">
        <f>IF(P10="OK",IF(I10=C10,"OK","X"),"X")</f>
        <v>X</v>
      </c>
      <c r="R10" s="56"/>
      <c r="S10" s="57" t="str">
        <f t="shared" ref="S10:S28" si="8">IF(C10="succés",IF(D10=C10,0,1),"")</f>
        <v/>
      </c>
      <c r="T10" s="57" t="str">
        <f t="shared" ref="T10:T28" si="9">IF(C10="succés",IF(E10=C10,0,1),"")</f>
        <v/>
      </c>
      <c r="U10" s="57">
        <f t="shared" si="0"/>
        <v>0</v>
      </c>
      <c r="V10" s="57">
        <f t="shared" ref="V10:V28" si="10">IF(C10="échec",IF(E10=C10,0,1),"")</f>
        <v>0</v>
      </c>
      <c r="W10" s="56"/>
      <c r="X10" s="57" t="str">
        <f t="shared" ref="X10:X28" si="11">IF(C10="succés",IF(F10=C10,0,1),"")</f>
        <v/>
      </c>
      <c r="Y10" s="57" t="str">
        <f t="shared" ref="Y10:Y28" si="12">IF($C10="succés",IF(G10=C10,0,1),"")</f>
        <v/>
      </c>
      <c r="Z10" s="57">
        <f t="shared" ref="Z10:Z28" si="13">IF($C10="échec",IF(F10=$C10,0,1),"")</f>
        <v>1</v>
      </c>
      <c r="AA10" s="57">
        <f t="shared" ref="AA10:AA28" si="14">IF($C10="échec",IF(G10=$C10,0,1),"")</f>
        <v>1</v>
      </c>
      <c r="AB10" s="56"/>
      <c r="AC10" s="57" t="str">
        <f>IF($C10="succés",IF(H10=C10,0,1),"")</f>
        <v/>
      </c>
      <c r="AD10" s="57" t="str">
        <f t="shared" ref="AD10:AD28" si="15">IF($C10="succés",IF(I10=C10,0,1),"")</f>
        <v/>
      </c>
      <c r="AE10" s="57">
        <f t="shared" ref="AE10:AE28" si="16">IF($C10="échec",IF(H10=$C10,0,1),"")</f>
        <v>1</v>
      </c>
      <c r="AF10" s="57">
        <f t="shared" ref="AF10:AF28" si="17">IF($C10="échec",IF(I10=$C10,0,1),"")</f>
        <v>1</v>
      </c>
      <c r="AG10" s="56"/>
    </row>
    <row r="11" spans="2:33" ht="15.75" x14ac:dyDescent="0.2">
      <c r="B11" s="39">
        <f>'Plan de test'!B14</f>
        <v>3</v>
      </c>
      <c r="C11" s="41" t="str">
        <f>IF('Plan de test'!D14="","",'Plan de test'!$D14)</f>
        <v>échec</v>
      </c>
      <c r="D11" s="39" t="str">
        <f>IF('Testeur 1'!C12="","",'Testeur 1'!C12)</f>
        <v>échec</v>
      </c>
      <c r="E11" s="76" t="str">
        <f>VLOOKUP(B11,'Testeur 1'!$F$10:$G$29,2,FALSE)</f>
        <v>échec</v>
      </c>
      <c r="F11" s="39" t="str">
        <f>IF('Testeur 2'!C12="","",'Testeur 2'!C12)</f>
        <v>échec</v>
      </c>
      <c r="G11" s="76" t="str">
        <f>VLOOKUP(B11,'Testeur 2'!$F$10:$G$29,2,FALSE)</f>
        <v>succés</v>
      </c>
      <c r="H11" s="74" t="str">
        <f>IF('Testeur 3'!C12="","",'Testeur 3'!C12)</f>
        <v>échec</v>
      </c>
      <c r="I11" s="77" t="str">
        <f>VLOOKUP(B11,'Testeur 3'!$F$10:$G$29,2,FALSE)</f>
        <v>succés</v>
      </c>
      <c r="J11" s="55" t="str">
        <f t="shared" si="1"/>
        <v>X</v>
      </c>
      <c r="K11" s="41" t="str">
        <f t="shared" si="2"/>
        <v>X</v>
      </c>
      <c r="L11" s="57">
        <f t="shared" si="3"/>
        <v>1</v>
      </c>
      <c r="M11" s="57">
        <f t="shared" si="4"/>
        <v>0</v>
      </c>
      <c r="N11" s="57">
        <f t="shared" si="5"/>
        <v>0</v>
      </c>
      <c r="O11" s="56">
        <f t="shared" si="6"/>
        <v>1</v>
      </c>
      <c r="P11" s="56" t="str">
        <f t="shared" si="7"/>
        <v>X</v>
      </c>
      <c r="Q11" s="56" t="str">
        <f>IF(P11="OK",IF(I11=C11,"OK","X"),"X")</f>
        <v>X</v>
      </c>
      <c r="R11" s="56"/>
      <c r="S11" s="57" t="str">
        <f t="shared" si="8"/>
        <v/>
      </c>
      <c r="T11" s="57" t="str">
        <f t="shared" si="9"/>
        <v/>
      </c>
      <c r="U11" s="57">
        <f t="shared" si="0"/>
        <v>0</v>
      </c>
      <c r="V11" s="57">
        <f t="shared" si="10"/>
        <v>0</v>
      </c>
      <c r="W11" s="56"/>
      <c r="X11" s="57" t="str">
        <f t="shared" si="11"/>
        <v/>
      </c>
      <c r="Y11" s="57" t="str">
        <f t="shared" si="12"/>
        <v/>
      </c>
      <c r="Z11" s="57">
        <f t="shared" si="13"/>
        <v>0</v>
      </c>
      <c r="AA11" s="57">
        <f t="shared" si="14"/>
        <v>1</v>
      </c>
      <c r="AB11" s="56"/>
      <c r="AC11" s="57" t="str">
        <f t="shared" ref="AC11:AC28" si="18">IF($C11="succés",IF(H11=C11,0,1),"")</f>
        <v/>
      </c>
      <c r="AD11" s="57" t="str">
        <f t="shared" si="15"/>
        <v/>
      </c>
      <c r="AE11" s="57">
        <f t="shared" si="16"/>
        <v>0</v>
      </c>
      <c r="AF11" s="57">
        <f t="shared" si="17"/>
        <v>1</v>
      </c>
      <c r="AG11" s="56"/>
    </row>
    <row r="12" spans="2:33" ht="15.75" x14ac:dyDescent="0.2">
      <c r="B12" s="39">
        <f>'Plan de test'!B15</f>
        <v>4</v>
      </c>
      <c r="C12" s="41" t="str">
        <f>IF('Plan de test'!D15="","",'Plan de test'!$D15)</f>
        <v>échec</v>
      </c>
      <c r="D12" s="39" t="str">
        <f>IF('Testeur 1'!C13="","",'Testeur 1'!C13)</f>
        <v>échec</v>
      </c>
      <c r="E12" s="76" t="str">
        <f>VLOOKUP(B12,'Testeur 1'!$F$10:$G$29,2,FALSE)</f>
        <v>échec</v>
      </c>
      <c r="F12" s="39" t="str">
        <f>IF('Testeur 2'!C13="","",'Testeur 2'!C13)</f>
        <v>succés</v>
      </c>
      <c r="G12" s="76" t="str">
        <f>VLOOKUP(B12,'Testeur 2'!$F$10:$G$29,2,FALSE)</f>
        <v>succés</v>
      </c>
      <c r="H12" s="74" t="str">
        <f>IF('Testeur 3'!C13="","",'Testeur 3'!C13)</f>
        <v>succés</v>
      </c>
      <c r="I12" s="77" t="str">
        <f>VLOOKUP(B12,'Testeur 3'!$F$10:$G$29,2,FALSE)</f>
        <v>succés</v>
      </c>
      <c r="J12" s="55" t="str">
        <f t="shared" si="1"/>
        <v>OK</v>
      </c>
      <c r="K12" s="41" t="str">
        <f t="shared" si="2"/>
        <v>X</v>
      </c>
      <c r="L12" s="57">
        <f t="shared" si="3"/>
        <v>1</v>
      </c>
      <c r="M12" s="57">
        <f t="shared" si="4"/>
        <v>1</v>
      </c>
      <c r="N12" s="57">
        <f t="shared" si="5"/>
        <v>1</v>
      </c>
      <c r="O12" s="56">
        <f t="shared" si="6"/>
        <v>3</v>
      </c>
      <c r="P12" s="56" t="str">
        <f t="shared" si="7"/>
        <v>OK</v>
      </c>
      <c r="Q12" s="56" t="str">
        <f t="shared" ref="Q12:Q27" si="19">IF(P12="OK",IF(I12=C12,"OK","X"),"X")</f>
        <v>X</v>
      </c>
      <c r="R12" s="56"/>
      <c r="S12" s="57" t="str">
        <f t="shared" si="8"/>
        <v/>
      </c>
      <c r="T12" s="57" t="str">
        <f t="shared" si="9"/>
        <v/>
      </c>
      <c r="U12" s="57">
        <f t="shared" si="0"/>
        <v>0</v>
      </c>
      <c r="V12" s="57">
        <f t="shared" si="10"/>
        <v>0</v>
      </c>
      <c r="W12" s="56"/>
      <c r="X12" s="57" t="str">
        <f t="shared" si="11"/>
        <v/>
      </c>
      <c r="Y12" s="57" t="str">
        <f t="shared" si="12"/>
        <v/>
      </c>
      <c r="Z12" s="57">
        <f t="shared" si="13"/>
        <v>1</v>
      </c>
      <c r="AA12" s="57">
        <f t="shared" si="14"/>
        <v>1</v>
      </c>
      <c r="AB12" s="56"/>
      <c r="AC12" s="57" t="str">
        <f t="shared" si="18"/>
        <v/>
      </c>
      <c r="AD12" s="57" t="str">
        <f t="shared" si="15"/>
        <v/>
      </c>
      <c r="AE12" s="57">
        <f t="shared" si="16"/>
        <v>1</v>
      </c>
      <c r="AF12" s="57">
        <f t="shared" si="17"/>
        <v>1</v>
      </c>
      <c r="AG12" s="56"/>
    </row>
    <row r="13" spans="2:33" ht="15.75" x14ac:dyDescent="0.2">
      <c r="B13" s="39">
        <f>'Plan de test'!B16</f>
        <v>5</v>
      </c>
      <c r="C13" s="41" t="str">
        <f>IF('Plan de test'!D16="","",'Plan de test'!$D16)</f>
        <v>échec</v>
      </c>
      <c r="D13" s="39" t="str">
        <f>IF('Testeur 1'!C14="","",'Testeur 1'!C14)</f>
        <v>échec</v>
      </c>
      <c r="E13" s="76" t="str">
        <f>VLOOKUP(B13,'Testeur 1'!$F$10:$G$29,2,FALSE)</f>
        <v>échec</v>
      </c>
      <c r="F13" s="39" t="str">
        <f>IF('Testeur 2'!C14="","",'Testeur 2'!C14)</f>
        <v>échec</v>
      </c>
      <c r="G13" s="76" t="str">
        <f>VLOOKUP(B13,'Testeur 2'!$F$10:$G$29,2,FALSE)</f>
        <v>succés</v>
      </c>
      <c r="H13" s="74" t="str">
        <f>IF('Testeur 3'!C14="","",'Testeur 3'!C14)</f>
        <v>échec</v>
      </c>
      <c r="I13" s="77" t="str">
        <f>VLOOKUP(B13,'Testeur 3'!$F$10:$G$29,2,FALSE)</f>
        <v>succés</v>
      </c>
      <c r="J13" s="55" t="str">
        <f t="shared" si="1"/>
        <v>X</v>
      </c>
      <c r="K13" s="41" t="str">
        <f t="shared" si="2"/>
        <v>X</v>
      </c>
      <c r="L13" s="57">
        <f t="shared" si="3"/>
        <v>1</v>
      </c>
      <c r="M13" s="57">
        <f t="shared" si="4"/>
        <v>0</v>
      </c>
      <c r="N13" s="57">
        <f t="shared" si="5"/>
        <v>0</v>
      </c>
      <c r="O13" s="56">
        <f t="shared" si="6"/>
        <v>1</v>
      </c>
      <c r="P13" s="56" t="str">
        <f t="shared" si="7"/>
        <v>X</v>
      </c>
      <c r="Q13" s="56" t="str">
        <f t="shared" si="19"/>
        <v>X</v>
      </c>
      <c r="R13" s="56"/>
      <c r="S13" s="57" t="str">
        <f t="shared" si="8"/>
        <v/>
      </c>
      <c r="T13" s="57" t="str">
        <f t="shared" si="9"/>
        <v/>
      </c>
      <c r="U13" s="57">
        <f t="shared" si="0"/>
        <v>0</v>
      </c>
      <c r="V13" s="57">
        <f t="shared" si="10"/>
        <v>0</v>
      </c>
      <c r="W13" s="56"/>
      <c r="X13" s="57" t="str">
        <f t="shared" si="11"/>
        <v/>
      </c>
      <c r="Y13" s="57" t="str">
        <f t="shared" si="12"/>
        <v/>
      </c>
      <c r="Z13" s="57">
        <f t="shared" si="13"/>
        <v>0</v>
      </c>
      <c r="AA13" s="57">
        <f t="shared" si="14"/>
        <v>1</v>
      </c>
      <c r="AB13" s="56"/>
      <c r="AC13" s="57" t="str">
        <f t="shared" si="18"/>
        <v/>
      </c>
      <c r="AD13" s="57" t="str">
        <f t="shared" si="15"/>
        <v/>
      </c>
      <c r="AE13" s="57">
        <f t="shared" si="16"/>
        <v>0</v>
      </c>
      <c r="AF13" s="57">
        <f t="shared" si="17"/>
        <v>1</v>
      </c>
      <c r="AG13" s="56"/>
    </row>
    <row r="14" spans="2:33" ht="15.75" x14ac:dyDescent="0.2">
      <c r="B14" s="39">
        <f>'Plan de test'!B17</f>
        <v>6</v>
      </c>
      <c r="C14" s="41" t="str">
        <f>IF('Plan de test'!D17="","",'Plan de test'!$D17)</f>
        <v>succés</v>
      </c>
      <c r="D14" s="39" t="str">
        <f>IF('Testeur 1'!C15="","",'Testeur 1'!C15)</f>
        <v>succés</v>
      </c>
      <c r="E14" s="76" t="str">
        <f>VLOOKUP(B14,'Testeur 1'!$F$10:$G$29,2,FALSE)</f>
        <v>succés</v>
      </c>
      <c r="F14" s="39" t="str">
        <f>IF('Testeur 2'!C15="","",'Testeur 2'!C15)</f>
        <v>succés</v>
      </c>
      <c r="G14" s="76" t="str">
        <f>VLOOKUP(B14,'Testeur 2'!$F$10:$G$29,2,FALSE)</f>
        <v>succés</v>
      </c>
      <c r="H14" s="74" t="str">
        <f>IF('Testeur 3'!C15="","",'Testeur 3'!C15)</f>
        <v>succés</v>
      </c>
      <c r="I14" s="77" t="str">
        <f>VLOOKUP(B14,'Testeur 3'!$F$10:$G$29,2,FALSE)</f>
        <v>succés</v>
      </c>
      <c r="J14" s="55" t="str">
        <f t="shared" si="1"/>
        <v>OK</v>
      </c>
      <c r="K14" s="41" t="str">
        <f t="shared" si="2"/>
        <v>OK</v>
      </c>
      <c r="L14" s="57">
        <f t="shared" si="3"/>
        <v>1</v>
      </c>
      <c r="M14" s="57">
        <f t="shared" si="4"/>
        <v>1</v>
      </c>
      <c r="N14" s="57">
        <f t="shared" si="5"/>
        <v>1</v>
      </c>
      <c r="O14" s="56">
        <f t="shared" si="6"/>
        <v>3</v>
      </c>
      <c r="P14" s="56" t="str">
        <f t="shared" si="7"/>
        <v>OK</v>
      </c>
      <c r="Q14" s="56" t="str">
        <f t="shared" si="19"/>
        <v>OK</v>
      </c>
      <c r="R14" s="56"/>
      <c r="S14" s="57">
        <f t="shared" si="8"/>
        <v>0</v>
      </c>
      <c r="T14" s="57">
        <f t="shared" si="9"/>
        <v>0</v>
      </c>
      <c r="U14" s="57" t="str">
        <f t="shared" si="0"/>
        <v/>
      </c>
      <c r="V14" s="57" t="str">
        <f t="shared" si="10"/>
        <v/>
      </c>
      <c r="W14" s="56"/>
      <c r="X14" s="57">
        <f t="shared" si="11"/>
        <v>0</v>
      </c>
      <c r="Y14" s="57">
        <f t="shared" si="12"/>
        <v>0</v>
      </c>
      <c r="Z14" s="57" t="str">
        <f t="shared" si="13"/>
        <v/>
      </c>
      <c r="AA14" s="57" t="str">
        <f t="shared" si="14"/>
        <v/>
      </c>
      <c r="AB14" s="56"/>
      <c r="AC14" s="57">
        <f t="shared" si="18"/>
        <v>0</v>
      </c>
      <c r="AD14" s="57">
        <f t="shared" si="15"/>
        <v>0</v>
      </c>
      <c r="AE14" s="57" t="str">
        <f t="shared" si="16"/>
        <v/>
      </c>
      <c r="AF14" s="57" t="str">
        <f t="shared" si="17"/>
        <v/>
      </c>
      <c r="AG14" s="56"/>
    </row>
    <row r="15" spans="2:33" ht="15.75" x14ac:dyDescent="0.2">
      <c r="B15" s="39">
        <f>'Plan de test'!B18</f>
        <v>7</v>
      </c>
      <c r="C15" s="41" t="str">
        <f>IF('Plan de test'!D18="","",'Plan de test'!$D18)</f>
        <v>succés</v>
      </c>
      <c r="D15" s="39" t="str">
        <f>IF('Testeur 1'!C16="","",'Testeur 1'!C16)</f>
        <v>succés</v>
      </c>
      <c r="E15" s="76" t="str">
        <f>VLOOKUP(B15,'Testeur 1'!$F$10:$G$29,2,FALSE)</f>
        <v>succés</v>
      </c>
      <c r="F15" s="39" t="str">
        <f>IF('Testeur 2'!C16="","",'Testeur 2'!C16)</f>
        <v>succés</v>
      </c>
      <c r="G15" s="76" t="str">
        <f>VLOOKUP(B15,'Testeur 2'!$F$10:$G$29,2,FALSE)</f>
        <v>succés</v>
      </c>
      <c r="H15" s="74" t="str">
        <f>IF('Testeur 3'!C16="","",'Testeur 3'!C16)</f>
        <v>succés</v>
      </c>
      <c r="I15" s="77" t="str">
        <f>VLOOKUP(B15,'Testeur 3'!$F$10:$G$29,2,FALSE)</f>
        <v>succés</v>
      </c>
      <c r="J15" s="55" t="str">
        <f t="shared" si="1"/>
        <v>OK</v>
      </c>
      <c r="K15" s="41" t="str">
        <f t="shared" si="2"/>
        <v>OK</v>
      </c>
      <c r="L15" s="57">
        <f t="shared" si="3"/>
        <v>1</v>
      </c>
      <c r="M15" s="57">
        <f t="shared" si="4"/>
        <v>1</v>
      </c>
      <c r="N15" s="57">
        <f t="shared" si="5"/>
        <v>1</v>
      </c>
      <c r="O15" s="56">
        <f t="shared" si="6"/>
        <v>3</v>
      </c>
      <c r="P15" s="56" t="str">
        <f t="shared" si="7"/>
        <v>OK</v>
      </c>
      <c r="Q15" s="56" t="str">
        <f t="shared" si="19"/>
        <v>OK</v>
      </c>
      <c r="R15" s="56"/>
      <c r="S15" s="57">
        <f t="shared" si="8"/>
        <v>0</v>
      </c>
      <c r="T15" s="57">
        <f t="shared" si="9"/>
        <v>0</v>
      </c>
      <c r="U15" s="57" t="str">
        <f t="shared" si="0"/>
        <v/>
      </c>
      <c r="V15" s="57" t="str">
        <f t="shared" si="10"/>
        <v/>
      </c>
      <c r="W15" s="56"/>
      <c r="X15" s="57">
        <f t="shared" si="11"/>
        <v>0</v>
      </c>
      <c r="Y15" s="57">
        <f t="shared" si="12"/>
        <v>0</v>
      </c>
      <c r="Z15" s="57" t="str">
        <f t="shared" si="13"/>
        <v/>
      </c>
      <c r="AA15" s="57" t="str">
        <f t="shared" si="14"/>
        <v/>
      </c>
      <c r="AB15" s="56"/>
      <c r="AC15" s="57">
        <f t="shared" si="18"/>
        <v>0</v>
      </c>
      <c r="AD15" s="57">
        <f t="shared" si="15"/>
        <v>0</v>
      </c>
      <c r="AE15" s="57" t="str">
        <f t="shared" si="16"/>
        <v/>
      </c>
      <c r="AF15" s="57" t="str">
        <f t="shared" si="17"/>
        <v/>
      </c>
      <c r="AG15" s="56"/>
    </row>
    <row r="16" spans="2:33" ht="15.75" x14ac:dyDescent="0.2">
      <c r="B16" s="39">
        <f>'Plan de test'!B19</f>
        <v>8</v>
      </c>
      <c r="C16" s="41" t="str">
        <f>IF('Plan de test'!D19="","",'Plan de test'!$D19)</f>
        <v>succés</v>
      </c>
      <c r="D16" s="39" t="str">
        <f>IF('Testeur 1'!C17="","",'Testeur 1'!C17)</f>
        <v>succés</v>
      </c>
      <c r="E16" s="76" t="str">
        <f>VLOOKUP(B16,'Testeur 1'!$F$10:$G$29,2,FALSE)</f>
        <v>succés</v>
      </c>
      <c r="F16" s="39" t="str">
        <f>IF('Testeur 2'!C17="","",'Testeur 2'!C17)</f>
        <v>succés</v>
      </c>
      <c r="G16" s="76" t="str">
        <f>VLOOKUP(B16,'Testeur 2'!$F$10:$G$29,2,FALSE)</f>
        <v>succés</v>
      </c>
      <c r="H16" s="74" t="str">
        <f>IF('Testeur 3'!C17="","",'Testeur 3'!C17)</f>
        <v>succés</v>
      </c>
      <c r="I16" s="77" t="str">
        <f>VLOOKUP(B16,'Testeur 3'!$F$10:$G$29,2,FALSE)</f>
        <v>succés</v>
      </c>
      <c r="J16" s="55" t="str">
        <f t="shared" si="1"/>
        <v>OK</v>
      </c>
      <c r="K16" s="41" t="str">
        <f t="shared" si="2"/>
        <v>OK</v>
      </c>
      <c r="L16" s="57">
        <f t="shared" si="3"/>
        <v>1</v>
      </c>
      <c r="M16" s="57">
        <f t="shared" si="4"/>
        <v>1</v>
      </c>
      <c r="N16" s="57">
        <f t="shared" si="5"/>
        <v>1</v>
      </c>
      <c r="O16" s="56">
        <f t="shared" si="6"/>
        <v>3</v>
      </c>
      <c r="P16" s="56" t="str">
        <f t="shared" si="7"/>
        <v>OK</v>
      </c>
      <c r="Q16" s="56" t="str">
        <f t="shared" si="19"/>
        <v>OK</v>
      </c>
      <c r="R16" s="56"/>
      <c r="S16" s="57">
        <f t="shared" si="8"/>
        <v>0</v>
      </c>
      <c r="T16" s="57">
        <f t="shared" si="9"/>
        <v>0</v>
      </c>
      <c r="U16" s="57" t="str">
        <f t="shared" si="0"/>
        <v/>
      </c>
      <c r="V16" s="57" t="str">
        <f t="shared" si="10"/>
        <v/>
      </c>
      <c r="W16" s="56"/>
      <c r="X16" s="57">
        <f t="shared" si="11"/>
        <v>0</v>
      </c>
      <c r="Y16" s="57">
        <f t="shared" si="12"/>
        <v>0</v>
      </c>
      <c r="Z16" s="57" t="str">
        <f t="shared" si="13"/>
        <v/>
      </c>
      <c r="AA16" s="57" t="str">
        <f t="shared" si="14"/>
        <v/>
      </c>
      <c r="AB16" s="56"/>
      <c r="AC16" s="57">
        <f t="shared" si="18"/>
        <v>0</v>
      </c>
      <c r="AD16" s="57">
        <f t="shared" si="15"/>
        <v>0</v>
      </c>
      <c r="AE16" s="57" t="str">
        <f t="shared" si="16"/>
        <v/>
      </c>
      <c r="AF16" s="57" t="str">
        <f t="shared" si="17"/>
        <v/>
      </c>
      <c r="AG16" s="56"/>
    </row>
    <row r="17" spans="2:33" ht="15.75" x14ac:dyDescent="0.2">
      <c r="B17" s="39">
        <f>'Plan de test'!B20</f>
        <v>9</v>
      </c>
      <c r="C17" s="41" t="str">
        <f>IF('Plan de test'!D20="","",'Plan de test'!$D20)</f>
        <v>succés</v>
      </c>
      <c r="D17" s="39" t="str">
        <f>IF('Testeur 1'!C18="","",'Testeur 1'!C18)</f>
        <v>succés</v>
      </c>
      <c r="E17" s="76" t="str">
        <f>VLOOKUP(B17,'Testeur 1'!$F$10:$G$29,2,FALSE)</f>
        <v>succés</v>
      </c>
      <c r="F17" s="39" t="str">
        <f>IF('Testeur 2'!C18="","",'Testeur 2'!C18)</f>
        <v>succés</v>
      </c>
      <c r="G17" s="76" t="str">
        <f>VLOOKUP(B17,'Testeur 2'!$F$10:$G$29,2,FALSE)</f>
        <v>succés</v>
      </c>
      <c r="H17" s="74" t="str">
        <f>IF('Testeur 3'!C18="","",'Testeur 3'!C18)</f>
        <v>succés</v>
      </c>
      <c r="I17" s="77" t="str">
        <f>VLOOKUP(B17,'Testeur 3'!$F$10:$G$29,2,FALSE)</f>
        <v>succés</v>
      </c>
      <c r="J17" s="55" t="str">
        <f>P17</f>
        <v>OK</v>
      </c>
      <c r="K17" s="41" t="str">
        <f t="shared" si="2"/>
        <v>OK</v>
      </c>
      <c r="L17" s="57">
        <f t="shared" si="3"/>
        <v>1</v>
      </c>
      <c r="M17" s="57">
        <f t="shared" si="4"/>
        <v>1</v>
      </c>
      <c r="N17" s="57">
        <f t="shared" si="5"/>
        <v>1</v>
      </c>
      <c r="O17" s="56">
        <f t="shared" si="6"/>
        <v>3</v>
      </c>
      <c r="P17" s="56" t="str">
        <f t="shared" si="7"/>
        <v>OK</v>
      </c>
      <c r="Q17" s="56" t="str">
        <f t="shared" si="19"/>
        <v>OK</v>
      </c>
      <c r="R17" s="56"/>
      <c r="S17" s="57">
        <f t="shared" si="8"/>
        <v>0</v>
      </c>
      <c r="T17" s="57">
        <f t="shared" si="9"/>
        <v>0</v>
      </c>
      <c r="U17" s="57" t="str">
        <f t="shared" si="0"/>
        <v/>
      </c>
      <c r="V17" s="57" t="str">
        <f t="shared" si="10"/>
        <v/>
      </c>
      <c r="W17" s="56"/>
      <c r="X17" s="57">
        <f t="shared" si="11"/>
        <v>0</v>
      </c>
      <c r="Y17" s="57">
        <f t="shared" si="12"/>
        <v>0</v>
      </c>
      <c r="Z17" s="57" t="str">
        <f t="shared" si="13"/>
        <v/>
      </c>
      <c r="AA17" s="57" t="str">
        <f t="shared" si="14"/>
        <v/>
      </c>
      <c r="AB17" s="56"/>
      <c r="AC17" s="57">
        <f t="shared" si="18"/>
        <v>0</v>
      </c>
      <c r="AD17" s="57">
        <f t="shared" si="15"/>
        <v>0</v>
      </c>
      <c r="AE17" s="57" t="str">
        <f t="shared" si="16"/>
        <v/>
      </c>
      <c r="AF17" s="57" t="str">
        <f t="shared" si="17"/>
        <v/>
      </c>
      <c r="AG17" s="56"/>
    </row>
    <row r="18" spans="2:33" ht="15.75" x14ac:dyDescent="0.2">
      <c r="B18" s="39">
        <f>'Plan de test'!B21</f>
        <v>10</v>
      </c>
      <c r="C18" s="41" t="str">
        <f>IF('Plan de test'!D21="","",'Plan de test'!$D21)</f>
        <v>succés</v>
      </c>
      <c r="D18" s="39" t="str">
        <f>IF('Testeur 1'!C19="","",'Testeur 1'!C19)</f>
        <v>succés</v>
      </c>
      <c r="E18" s="76" t="str">
        <f>VLOOKUP(B18,'Testeur 1'!$F$10:$G$29,2,FALSE)</f>
        <v>succés</v>
      </c>
      <c r="F18" s="39" t="str">
        <f>IF('Testeur 2'!C19="","",'Testeur 2'!C19)</f>
        <v>succés</v>
      </c>
      <c r="G18" s="76" t="str">
        <f>VLOOKUP(B18,'Testeur 2'!$F$10:$G$29,2,FALSE)</f>
        <v>succés</v>
      </c>
      <c r="H18" s="74" t="str">
        <f>IF('Testeur 3'!C19="","",'Testeur 3'!C19)</f>
        <v>succés</v>
      </c>
      <c r="I18" s="77" t="str">
        <f>VLOOKUP(B18,'Testeur 3'!$F$10:$G$29,2,FALSE)</f>
        <v>succés</v>
      </c>
      <c r="J18" s="55" t="str">
        <f t="shared" si="1"/>
        <v>OK</v>
      </c>
      <c r="K18" s="41" t="str">
        <f t="shared" si="2"/>
        <v>OK</v>
      </c>
      <c r="L18" s="57">
        <f t="shared" si="3"/>
        <v>1</v>
      </c>
      <c r="M18" s="57">
        <f t="shared" si="4"/>
        <v>1</v>
      </c>
      <c r="N18" s="57">
        <f t="shared" si="5"/>
        <v>1</v>
      </c>
      <c r="O18" s="56">
        <f t="shared" si="6"/>
        <v>3</v>
      </c>
      <c r="P18" s="56" t="str">
        <f t="shared" si="7"/>
        <v>OK</v>
      </c>
      <c r="Q18" s="56" t="str">
        <f t="shared" si="19"/>
        <v>OK</v>
      </c>
      <c r="R18" s="56"/>
      <c r="S18" s="57">
        <f t="shared" si="8"/>
        <v>0</v>
      </c>
      <c r="T18" s="57">
        <f t="shared" si="9"/>
        <v>0</v>
      </c>
      <c r="U18" s="57" t="str">
        <f t="shared" si="0"/>
        <v/>
      </c>
      <c r="V18" s="57" t="str">
        <f t="shared" si="10"/>
        <v/>
      </c>
      <c r="W18" s="56"/>
      <c r="X18" s="57">
        <f t="shared" si="11"/>
        <v>0</v>
      </c>
      <c r="Y18" s="57">
        <f t="shared" si="12"/>
        <v>0</v>
      </c>
      <c r="Z18" s="57" t="str">
        <f t="shared" si="13"/>
        <v/>
      </c>
      <c r="AA18" s="57" t="str">
        <f t="shared" si="14"/>
        <v/>
      </c>
      <c r="AB18" s="56"/>
      <c r="AC18" s="57">
        <f t="shared" si="18"/>
        <v>0</v>
      </c>
      <c r="AD18" s="57">
        <f t="shared" si="15"/>
        <v>0</v>
      </c>
      <c r="AE18" s="57" t="str">
        <f t="shared" si="16"/>
        <v/>
      </c>
      <c r="AF18" s="57" t="str">
        <f t="shared" si="17"/>
        <v/>
      </c>
      <c r="AG18" s="56"/>
    </row>
    <row r="19" spans="2:33" ht="15.75" x14ac:dyDescent="0.2">
      <c r="B19" s="39">
        <f>'Plan de test'!B22</f>
        <v>11</v>
      </c>
      <c r="C19" s="41" t="str">
        <f>IF('Plan de test'!D22="","",'Plan de test'!$D22)</f>
        <v>succés</v>
      </c>
      <c r="D19" s="39" t="str">
        <f>IF('Testeur 1'!C20="","",'Testeur 1'!C20)</f>
        <v>succés</v>
      </c>
      <c r="E19" s="76" t="str">
        <f>VLOOKUP(B19,'Testeur 1'!$F$10:$G$29,2,FALSE)</f>
        <v>succés</v>
      </c>
      <c r="F19" s="39" t="str">
        <f>IF('Testeur 2'!C20="","",'Testeur 2'!C20)</f>
        <v>succés</v>
      </c>
      <c r="G19" s="76" t="str">
        <f>VLOOKUP(B19,'Testeur 2'!$F$10:$G$29,2,FALSE)</f>
        <v>succés</v>
      </c>
      <c r="H19" s="74" t="str">
        <f>IF('Testeur 3'!C20="","",'Testeur 3'!C20)</f>
        <v>succés</v>
      </c>
      <c r="I19" s="77" t="str">
        <f>VLOOKUP(B19,'Testeur 3'!$F$10:$G$29,2,FALSE)</f>
        <v>succés</v>
      </c>
      <c r="J19" s="55" t="str">
        <f t="shared" si="1"/>
        <v>OK</v>
      </c>
      <c r="K19" s="41" t="str">
        <f t="shared" si="2"/>
        <v>OK</v>
      </c>
      <c r="L19" s="57">
        <f t="shared" si="3"/>
        <v>1</v>
      </c>
      <c r="M19" s="57">
        <f t="shared" si="4"/>
        <v>1</v>
      </c>
      <c r="N19" s="57">
        <f t="shared" si="5"/>
        <v>1</v>
      </c>
      <c r="O19" s="56">
        <f t="shared" si="6"/>
        <v>3</v>
      </c>
      <c r="P19" s="56" t="str">
        <f t="shared" si="7"/>
        <v>OK</v>
      </c>
      <c r="Q19" s="56" t="str">
        <f t="shared" si="19"/>
        <v>OK</v>
      </c>
      <c r="R19" s="56"/>
      <c r="S19" s="57">
        <f t="shared" si="8"/>
        <v>0</v>
      </c>
      <c r="T19" s="57">
        <f t="shared" si="9"/>
        <v>0</v>
      </c>
      <c r="U19" s="57" t="str">
        <f t="shared" si="0"/>
        <v/>
      </c>
      <c r="V19" s="57" t="str">
        <f t="shared" si="10"/>
        <v/>
      </c>
      <c r="W19" s="56"/>
      <c r="X19" s="57">
        <f t="shared" si="11"/>
        <v>0</v>
      </c>
      <c r="Y19" s="57">
        <f t="shared" si="12"/>
        <v>0</v>
      </c>
      <c r="Z19" s="57" t="str">
        <f t="shared" si="13"/>
        <v/>
      </c>
      <c r="AA19" s="57" t="str">
        <f t="shared" si="14"/>
        <v/>
      </c>
      <c r="AB19" s="56"/>
      <c r="AC19" s="57">
        <f t="shared" si="18"/>
        <v>0</v>
      </c>
      <c r="AD19" s="57">
        <f t="shared" si="15"/>
        <v>0</v>
      </c>
      <c r="AE19" s="57" t="str">
        <f t="shared" si="16"/>
        <v/>
      </c>
      <c r="AF19" s="57" t="str">
        <f t="shared" si="17"/>
        <v/>
      </c>
      <c r="AG19" s="56"/>
    </row>
    <row r="20" spans="2:33" ht="15.75" x14ac:dyDescent="0.2">
      <c r="B20" s="39">
        <f>'Plan de test'!B23</f>
        <v>12</v>
      </c>
      <c r="C20" s="41" t="str">
        <f>IF('Plan de test'!D23="","",'Plan de test'!$D23)</f>
        <v>succés</v>
      </c>
      <c r="D20" s="39" t="str">
        <f>IF('Testeur 1'!C21="","",'Testeur 1'!C21)</f>
        <v>succés</v>
      </c>
      <c r="E20" s="76" t="str">
        <f>VLOOKUP(B20,'Testeur 1'!$F$10:$G$29,2,FALSE)</f>
        <v>succés</v>
      </c>
      <c r="F20" s="39" t="str">
        <f>IF('Testeur 2'!C21="","",'Testeur 2'!C21)</f>
        <v>échec</v>
      </c>
      <c r="G20" s="76" t="str">
        <f>VLOOKUP(B20,'Testeur 2'!$F$10:$G$29,2,FALSE)</f>
        <v>succés</v>
      </c>
      <c r="H20" s="74" t="str">
        <f>IF('Testeur 3'!C21="","",'Testeur 3'!C21)</f>
        <v>échec</v>
      </c>
      <c r="I20" s="77" t="str">
        <f>VLOOKUP(B20,'Testeur 3'!$F$10:$G$29,2,FALSE)</f>
        <v>succés</v>
      </c>
      <c r="J20" s="55" t="str">
        <f t="shared" si="1"/>
        <v>X</v>
      </c>
      <c r="K20" s="41" t="str">
        <f t="shared" si="2"/>
        <v>X</v>
      </c>
      <c r="L20" s="57">
        <f t="shared" si="3"/>
        <v>1</v>
      </c>
      <c r="M20" s="57">
        <f t="shared" si="4"/>
        <v>0</v>
      </c>
      <c r="N20" s="57">
        <f t="shared" si="5"/>
        <v>0</v>
      </c>
      <c r="O20" s="56">
        <f t="shared" si="6"/>
        <v>1</v>
      </c>
      <c r="P20" s="56" t="str">
        <f t="shared" si="7"/>
        <v>X</v>
      </c>
      <c r="Q20" s="56" t="str">
        <f t="shared" si="19"/>
        <v>X</v>
      </c>
      <c r="R20" s="56"/>
      <c r="S20" s="57">
        <f t="shared" si="8"/>
        <v>0</v>
      </c>
      <c r="T20" s="57">
        <f t="shared" si="9"/>
        <v>0</v>
      </c>
      <c r="U20" s="57" t="str">
        <f t="shared" si="0"/>
        <v/>
      </c>
      <c r="V20" s="57" t="str">
        <f t="shared" si="10"/>
        <v/>
      </c>
      <c r="W20" s="56"/>
      <c r="X20" s="57">
        <f t="shared" si="11"/>
        <v>1</v>
      </c>
      <c r="Y20" s="57">
        <f t="shared" si="12"/>
        <v>0</v>
      </c>
      <c r="Z20" s="57" t="str">
        <f t="shared" si="13"/>
        <v/>
      </c>
      <c r="AA20" s="57" t="str">
        <f t="shared" si="14"/>
        <v/>
      </c>
      <c r="AB20" s="56"/>
      <c r="AC20" s="57">
        <f t="shared" si="18"/>
        <v>1</v>
      </c>
      <c r="AD20" s="57">
        <f t="shared" si="15"/>
        <v>0</v>
      </c>
      <c r="AE20" s="57" t="str">
        <f t="shared" si="16"/>
        <v/>
      </c>
      <c r="AF20" s="57" t="str">
        <f t="shared" si="17"/>
        <v/>
      </c>
      <c r="AG20" s="56"/>
    </row>
    <row r="21" spans="2:33" ht="15.75" x14ac:dyDescent="0.2">
      <c r="B21" s="39">
        <f>'Plan de test'!B24</f>
        <v>13</v>
      </c>
      <c r="C21" s="41" t="str">
        <f>IF('Plan de test'!D24="","",'Plan de test'!$D24)</f>
        <v>succés</v>
      </c>
      <c r="D21" s="39" t="str">
        <f>IF('Testeur 1'!C22="","",'Testeur 1'!C22)</f>
        <v>succés</v>
      </c>
      <c r="E21" s="76" t="str">
        <f>VLOOKUP(B21,'Testeur 1'!$F$10:$G$29,2,FALSE)</f>
        <v>succés</v>
      </c>
      <c r="F21" s="39" t="str">
        <f>IF('Testeur 2'!C22="","",'Testeur 2'!C22)</f>
        <v>succés</v>
      </c>
      <c r="G21" s="76" t="str">
        <f>VLOOKUP(B21,'Testeur 2'!$F$10:$G$29,2,FALSE)</f>
        <v>échec</v>
      </c>
      <c r="H21" s="74" t="str">
        <f>IF('Testeur 3'!C22="","",'Testeur 3'!C22)</f>
        <v>succés</v>
      </c>
      <c r="I21" s="77" t="str">
        <f>VLOOKUP(B21,'Testeur 3'!$F$10:$G$29,2,FALSE)</f>
        <v>échec</v>
      </c>
      <c r="J21" s="55" t="str">
        <f t="shared" si="1"/>
        <v>X</v>
      </c>
      <c r="K21" s="41" t="str">
        <f t="shared" si="2"/>
        <v>X</v>
      </c>
      <c r="L21" s="57">
        <f t="shared" si="3"/>
        <v>1</v>
      </c>
      <c r="M21" s="57">
        <f t="shared" si="4"/>
        <v>0</v>
      </c>
      <c r="N21" s="57">
        <f t="shared" si="5"/>
        <v>0</v>
      </c>
      <c r="O21" s="56">
        <f t="shared" si="6"/>
        <v>1</v>
      </c>
      <c r="P21" s="56" t="str">
        <f t="shared" si="7"/>
        <v>X</v>
      </c>
      <c r="Q21" s="56" t="str">
        <f t="shared" si="19"/>
        <v>X</v>
      </c>
      <c r="R21" s="56"/>
      <c r="S21" s="57">
        <f t="shared" si="8"/>
        <v>0</v>
      </c>
      <c r="T21" s="57">
        <f t="shared" si="9"/>
        <v>0</v>
      </c>
      <c r="U21" s="57" t="str">
        <f t="shared" si="0"/>
        <v/>
      </c>
      <c r="V21" s="57" t="str">
        <f t="shared" si="10"/>
        <v/>
      </c>
      <c r="W21" s="56"/>
      <c r="X21" s="57">
        <f t="shared" si="11"/>
        <v>0</v>
      </c>
      <c r="Y21" s="57">
        <f t="shared" si="12"/>
        <v>1</v>
      </c>
      <c r="Z21" s="57" t="str">
        <f t="shared" si="13"/>
        <v/>
      </c>
      <c r="AA21" s="57" t="str">
        <f t="shared" si="14"/>
        <v/>
      </c>
      <c r="AB21" s="56"/>
      <c r="AC21" s="57">
        <f t="shared" si="18"/>
        <v>0</v>
      </c>
      <c r="AD21" s="57">
        <f t="shared" si="15"/>
        <v>1</v>
      </c>
      <c r="AE21" s="57" t="str">
        <f t="shared" si="16"/>
        <v/>
      </c>
      <c r="AF21" s="57" t="str">
        <f t="shared" si="17"/>
        <v/>
      </c>
      <c r="AG21" s="56"/>
    </row>
    <row r="22" spans="2:33" ht="15.75" x14ac:dyDescent="0.2">
      <c r="B22" s="39">
        <f>'Plan de test'!B25</f>
        <v>14</v>
      </c>
      <c r="C22" s="41" t="str">
        <f>IF('Plan de test'!D25="","",'Plan de test'!$D25)</f>
        <v>succés</v>
      </c>
      <c r="D22" s="39" t="str">
        <f>IF('Testeur 1'!C23="","",'Testeur 1'!C23)</f>
        <v>succés</v>
      </c>
      <c r="E22" s="76" t="str">
        <f>VLOOKUP(B22,'Testeur 1'!$F$10:$G$29,2,FALSE)</f>
        <v>succés</v>
      </c>
      <c r="F22" s="39" t="str">
        <f>IF('Testeur 2'!C23="","",'Testeur 2'!C23)</f>
        <v>succés</v>
      </c>
      <c r="G22" s="76" t="str">
        <f>VLOOKUP(B22,'Testeur 2'!$F$10:$G$29,2,FALSE)</f>
        <v>échec</v>
      </c>
      <c r="H22" s="74" t="str">
        <f>IF('Testeur 3'!C23="","",'Testeur 3'!C23)</f>
        <v>succés</v>
      </c>
      <c r="I22" s="77" t="str">
        <f>VLOOKUP(B22,'Testeur 3'!$F$10:$G$29,2,FALSE)</f>
        <v>échec</v>
      </c>
      <c r="J22" s="55" t="str">
        <f t="shared" si="1"/>
        <v>X</v>
      </c>
      <c r="K22" s="41" t="str">
        <f t="shared" si="2"/>
        <v>X</v>
      </c>
      <c r="L22" s="57">
        <f t="shared" si="3"/>
        <v>1</v>
      </c>
      <c r="M22" s="57">
        <f t="shared" si="4"/>
        <v>0</v>
      </c>
      <c r="N22" s="57">
        <f t="shared" si="5"/>
        <v>0</v>
      </c>
      <c r="O22" s="56">
        <f t="shared" si="6"/>
        <v>1</v>
      </c>
      <c r="P22" s="56" t="str">
        <f t="shared" si="7"/>
        <v>X</v>
      </c>
      <c r="Q22" s="56" t="str">
        <f t="shared" si="19"/>
        <v>X</v>
      </c>
      <c r="R22" s="56"/>
      <c r="S22" s="57">
        <f t="shared" si="8"/>
        <v>0</v>
      </c>
      <c r="T22" s="57">
        <f t="shared" si="9"/>
        <v>0</v>
      </c>
      <c r="U22" s="57" t="str">
        <f t="shared" si="0"/>
        <v/>
      </c>
      <c r="V22" s="57" t="str">
        <f t="shared" si="10"/>
        <v/>
      </c>
      <c r="W22" s="56"/>
      <c r="X22" s="57">
        <f t="shared" si="11"/>
        <v>0</v>
      </c>
      <c r="Y22" s="57">
        <f t="shared" si="12"/>
        <v>1</v>
      </c>
      <c r="Z22" s="57" t="str">
        <f t="shared" si="13"/>
        <v/>
      </c>
      <c r="AA22" s="57" t="str">
        <f t="shared" si="14"/>
        <v/>
      </c>
      <c r="AB22" s="56"/>
      <c r="AC22" s="57">
        <f t="shared" si="18"/>
        <v>0</v>
      </c>
      <c r="AD22" s="57">
        <f t="shared" si="15"/>
        <v>1</v>
      </c>
      <c r="AE22" s="57" t="str">
        <f t="shared" si="16"/>
        <v/>
      </c>
      <c r="AF22" s="57" t="str">
        <f t="shared" si="17"/>
        <v/>
      </c>
      <c r="AG22" s="56"/>
    </row>
    <row r="23" spans="2:33" ht="15.75" x14ac:dyDescent="0.2">
      <c r="B23" s="39">
        <f>'Plan de test'!B26</f>
        <v>15</v>
      </c>
      <c r="C23" s="41" t="str">
        <f>IF('Plan de test'!D26="","",'Plan de test'!$D26)</f>
        <v>succés</v>
      </c>
      <c r="D23" s="39" t="str">
        <f>IF('Testeur 1'!C24="","",'Testeur 1'!C24)</f>
        <v>succés</v>
      </c>
      <c r="E23" s="76" t="str">
        <f>VLOOKUP(B23,'Testeur 1'!$F$10:$G$29,2,FALSE)</f>
        <v>succés</v>
      </c>
      <c r="F23" s="39" t="str">
        <f>IF('Testeur 2'!C24="","",'Testeur 2'!C24)</f>
        <v>succés</v>
      </c>
      <c r="G23" s="76" t="str">
        <f>VLOOKUP(B23,'Testeur 2'!$F$10:$G$29,2,FALSE)</f>
        <v>succés</v>
      </c>
      <c r="H23" s="74" t="str">
        <f>IF('Testeur 3'!C24="","",'Testeur 3'!C24)</f>
        <v>succés</v>
      </c>
      <c r="I23" s="77" t="str">
        <f>VLOOKUP(B23,'Testeur 3'!$F$10:$G$29,2,FALSE)</f>
        <v>succés</v>
      </c>
      <c r="J23" s="55" t="str">
        <f t="shared" si="1"/>
        <v>OK</v>
      </c>
      <c r="K23" s="41" t="str">
        <f t="shared" si="2"/>
        <v>OK</v>
      </c>
      <c r="L23" s="57">
        <f t="shared" si="3"/>
        <v>1</v>
      </c>
      <c r="M23" s="57">
        <f t="shared" si="4"/>
        <v>1</v>
      </c>
      <c r="N23" s="57">
        <f t="shared" si="5"/>
        <v>1</v>
      </c>
      <c r="O23" s="56">
        <f t="shared" si="6"/>
        <v>3</v>
      </c>
      <c r="P23" s="56" t="str">
        <f t="shared" si="7"/>
        <v>OK</v>
      </c>
      <c r="Q23" s="56" t="str">
        <f t="shared" si="19"/>
        <v>OK</v>
      </c>
      <c r="R23" s="56"/>
      <c r="S23" s="57">
        <f t="shared" si="8"/>
        <v>0</v>
      </c>
      <c r="T23" s="57">
        <f t="shared" si="9"/>
        <v>0</v>
      </c>
      <c r="U23" s="57" t="str">
        <f t="shared" si="0"/>
        <v/>
      </c>
      <c r="V23" s="57" t="str">
        <f t="shared" si="10"/>
        <v/>
      </c>
      <c r="W23" s="56"/>
      <c r="X23" s="57">
        <f t="shared" si="11"/>
        <v>0</v>
      </c>
      <c r="Y23" s="57">
        <f t="shared" si="12"/>
        <v>0</v>
      </c>
      <c r="Z23" s="57" t="str">
        <f t="shared" si="13"/>
        <v/>
      </c>
      <c r="AA23" s="57" t="str">
        <f t="shared" si="14"/>
        <v/>
      </c>
      <c r="AB23" s="56"/>
      <c r="AC23" s="57">
        <f t="shared" si="18"/>
        <v>0</v>
      </c>
      <c r="AD23" s="57">
        <f t="shared" si="15"/>
        <v>0</v>
      </c>
      <c r="AE23" s="57" t="str">
        <f t="shared" si="16"/>
        <v/>
      </c>
      <c r="AF23" s="57" t="str">
        <f t="shared" si="17"/>
        <v/>
      </c>
      <c r="AG23" s="56"/>
    </row>
    <row r="24" spans="2:33" ht="15.75" x14ac:dyDescent="0.2">
      <c r="B24" s="39">
        <f>'Plan de test'!B27</f>
        <v>16</v>
      </c>
      <c r="C24" s="41" t="str">
        <f>IF('Plan de test'!D27="","",'Plan de test'!$D27)</f>
        <v>succés</v>
      </c>
      <c r="D24" s="39" t="str">
        <f>IF('Testeur 1'!C25="","",'Testeur 1'!C25)</f>
        <v>succés</v>
      </c>
      <c r="E24" s="76" t="str">
        <f>VLOOKUP(B24,'Testeur 1'!$F$10:$G$29,2,FALSE)</f>
        <v>succés</v>
      </c>
      <c r="F24" s="39" t="str">
        <f>IF('Testeur 2'!C25="","",'Testeur 2'!C25)</f>
        <v>succés</v>
      </c>
      <c r="G24" s="76" t="str">
        <f>VLOOKUP(B24,'Testeur 2'!$F$10:$G$29,2,FALSE)</f>
        <v>échec</v>
      </c>
      <c r="H24" s="74" t="str">
        <f>IF('Testeur 3'!C25="","",'Testeur 3'!C25)</f>
        <v>succés</v>
      </c>
      <c r="I24" s="77" t="str">
        <f>VLOOKUP(B24,'Testeur 3'!$F$10:$G$29,2,FALSE)</f>
        <v>échec</v>
      </c>
      <c r="J24" s="55" t="str">
        <f t="shared" si="1"/>
        <v>X</v>
      </c>
      <c r="K24" s="41" t="str">
        <f t="shared" si="2"/>
        <v>X</v>
      </c>
      <c r="L24" s="57">
        <f t="shared" si="3"/>
        <v>1</v>
      </c>
      <c r="M24" s="57">
        <f t="shared" si="4"/>
        <v>0</v>
      </c>
      <c r="N24" s="57">
        <f t="shared" si="5"/>
        <v>0</v>
      </c>
      <c r="O24" s="56">
        <f t="shared" si="6"/>
        <v>1</v>
      </c>
      <c r="P24" s="56" t="str">
        <f t="shared" si="7"/>
        <v>X</v>
      </c>
      <c r="Q24" s="56" t="str">
        <f>IF(P24="OK",IF(I24=C24,"OK","X"),"X")</f>
        <v>X</v>
      </c>
      <c r="R24" s="56"/>
      <c r="S24" s="57">
        <f t="shared" si="8"/>
        <v>0</v>
      </c>
      <c r="T24" s="57">
        <f t="shared" si="9"/>
        <v>0</v>
      </c>
      <c r="U24" s="57" t="str">
        <f t="shared" si="0"/>
        <v/>
      </c>
      <c r="V24" s="57" t="str">
        <f t="shared" si="10"/>
        <v/>
      </c>
      <c r="W24" s="56"/>
      <c r="X24" s="57">
        <f t="shared" si="11"/>
        <v>0</v>
      </c>
      <c r="Y24" s="57">
        <f t="shared" si="12"/>
        <v>1</v>
      </c>
      <c r="Z24" s="57" t="str">
        <f t="shared" si="13"/>
        <v/>
      </c>
      <c r="AA24" s="57" t="str">
        <f t="shared" si="14"/>
        <v/>
      </c>
      <c r="AB24" s="56"/>
      <c r="AC24" s="57">
        <f t="shared" si="18"/>
        <v>0</v>
      </c>
      <c r="AD24" s="57">
        <f t="shared" si="15"/>
        <v>1</v>
      </c>
      <c r="AE24" s="57" t="str">
        <f t="shared" si="16"/>
        <v/>
      </c>
      <c r="AF24" s="57" t="str">
        <f t="shared" si="17"/>
        <v/>
      </c>
      <c r="AG24" s="56"/>
    </row>
    <row r="25" spans="2:33" ht="15.75" x14ac:dyDescent="0.2">
      <c r="B25" s="39">
        <f>'Plan de test'!B28</f>
        <v>17</v>
      </c>
      <c r="C25" s="41" t="str">
        <f>IF('Plan de test'!D28="","",'Plan de test'!$D28)</f>
        <v>succés</v>
      </c>
      <c r="D25" s="39" t="str">
        <f>IF('Testeur 1'!C26="","",'Testeur 1'!C26)</f>
        <v>succés</v>
      </c>
      <c r="E25" s="76" t="str">
        <f>VLOOKUP(B25,'Testeur 1'!$F$10:$G$29,2,FALSE)</f>
        <v>succés</v>
      </c>
      <c r="F25" s="39" t="str">
        <f>IF('Testeur 2'!C26="","",'Testeur 2'!C26)</f>
        <v>succés</v>
      </c>
      <c r="G25" s="76" t="str">
        <f>VLOOKUP(B25,'Testeur 2'!$F$10:$G$29,2,FALSE)</f>
        <v>succés</v>
      </c>
      <c r="H25" s="74" t="str">
        <f>IF('Testeur 3'!C26="","",'Testeur 3'!C26)</f>
        <v>succés</v>
      </c>
      <c r="I25" s="77" t="str">
        <f>VLOOKUP(B25,'Testeur 3'!$F$10:$G$29,2,FALSE)</f>
        <v>succés</v>
      </c>
      <c r="J25" s="55" t="str">
        <f t="shared" si="1"/>
        <v>OK</v>
      </c>
      <c r="K25" s="41" t="str">
        <f t="shared" si="2"/>
        <v>OK</v>
      </c>
      <c r="L25" s="57">
        <f t="shared" si="3"/>
        <v>1</v>
      </c>
      <c r="M25" s="57">
        <f t="shared" si="4"/>
        <v>1</v>
      </c>
      <c r="N25" s="57">
        <f t="shared" si="5"/>
        <v>1</v>
      </c>
      <c r="O25" s="56">
        <f t="shared" si="6"/>
        <v>3</v>
      </c>
      <c r="P25" s="56" t="str">
        <f t="shared" si="7"/>
        <v>OK</v>
      </c>
      <c r="Q25" s="56" t="str">
        <f t="shared" si="19"/>
        <v>OK</v>
      </c>
      <c r="R25" s="56"/>
      <c r="S25" s="57">
        <f t="shared" si="8"/>
        <v>0</v>
      </c>
      <c r="T25" s="57">
        <f t="shared" si="9"/>
        <v>0</v>
      </c>
      <c r="U25" s="57" t="str">
        <f t="shared" si="0"/>
        <v/>
      </c>
      <c r="V25" s="57" t="str">
        <f t="shared" si="10"/>
        <v/>
      </c>
      <c r="W25" s="56"/>
      <c r="X25" s="57">
        <f t="shared" si="11"/>
        <v>0</v>
      </c>
      <c r="Y25" s="57">
        <f t="shared" si="12"/>
        <v>0</v>
      </c>
      <c r="Z25" s="57" t="str">
        <f t="shared" si="13"/>
        <v/>
      </c>
      <c r="AA25" s="57" t="str">
        <f t="shared" si="14"/>
        <v/>
      </c>
      <c r="AB25" s="56"/>
      <c r="AC25" s="57">
        <f t="shared" si="18"/>
        <v>0</v>
      </c>
      <c r="AD25" s="57">
        <f t="shared" si="15"/>
        <v>0</v>
      </c>
      <c r="AE25" s="57" t="str">
        <f t="shared" si="16"/>
        <v/>
      </c>
      <c r="AF25" s="57" t="str">
        <f t="shared" si="17"/>
        <v/>
      </c>
      <c r="AG25" s="56"/>
    </row>
    <row r="26" spans="2:33" ht="15.75" x14ac:dyDescent="0.2">
      <c r="B26" s="39">
        <f>'Plan de test'!B29</f>
        <v>18</v>
      </c>
      <c r="C26" s="41" t="str">
        <f>IF('Plan de test'!D29="","",'Plan de test'!$D29)</f>
        <v>succés</v>
      </c>
      <c r="D26" s="39" t="str">
        <f>IF('Testeur 1'!C27="","",'Testeur 1'!C27)</f>
        <v>succés</v>
      </c>
      <c r="E26" s="76" t="str">
        <f>VLOOKUP(B26,'Testeur 1'!$F$10:$G$29,2,FALSE)</f>
        <v>succés</v>
      </c>
      <c r="F26" s="39" t="str">
        <f>IF('Testeur 2'!C27="","",'Testeur 2'!C27)</f>
        <v>échec</v>
      </c>
      <c r="G26" s="76" t="str">
        <f>VLOOKUP(B26,'Testeur 2'!$F$10:$G$29,2,FALSE)</f>
        <v>succés</v>
      </c>
      <c r="H26" s="74" t="str">
        <f>IF('Testeur 3'!C27="","",'Testeur 3'!C27)</f>
        <v>échec</v>
      </c>
      <c r="I26" s="77" t="str">
        <f>VLOOKUP(B26,'Testeur 3'!$F$10:$G$29,2,FALSE)</f>
        <v>succés</v>
      </c>
      <c r="J26" s="55" t="str">
        <f t="shared" si="1"/>
        <v>X</v>
      </c>
      <c r="K26" s="41" t="str">
        <f t="shared" si="2"/>
        <v>X</v>
      </c>
      <c r="L26" s="57">
        <f t="shared" si="3"/>
        <v>1</v>
      </c>
      <c r="M26" s="57">
        <f t="shared" si="4"/>
        <v>0</v>
      </c>
      <c r="N26" s="57">
        <f t="shared" si="5"/>
        <v>0</v>
      </c>
      <c r="O26" s="56">
        <f t="shared" si="6"/>
        <v>1</v>
      </c>
      <c r="P26" s="56" t="str">
        <f t="shared" si="7"/>
        <v>X</v>
      </c>
      <c r="Q26" s="56" t="str">
        <f t="shared" si="19"/>
        <v>X</v>
      </c>
      <c r="R26" s="56"/>
      <c r="S26" s="57">
        <f t="shared" si="8"/>
        <v>0</v>
      </c>
      <c r="T26" s="57">
        <f t="shared" si="9"/>
        <v>0</v>
      </c>
      <c r="U26" s="57" t="str">
        <f t="shared" si="0"/>
        <v/>
      </c>
      <c r="V26" s="57" t="str">
        <f t="shared" si="10"/>
        <v/>
      </c>
      <c r="W26" s="56"/>
      <c r="X26" s="57">
        <f t="shared" si="11"/>
        <v>1</v>
      </c>
      <c r="Y26" s="57">
        <f t="shared" si="12"/>
        <v>0</v>
      </c>
      <c r="Z26" s="57" t="str">
        <f t="shared" si="13"/>
        <v/>
      </c>
      <c r="AA26" s="57" t="str">
        <f t="shared" si="14"/>
        <v/>
      </c>
      <c r="AB26" s="56"/>
      <c r="AC26" s="57">
        <f t="shared" si="18"/>
        <v>1</v>
      </c>
      <c r="AD26" s="57">
        <f t="shared" si="15"/>
        <v>0</v>
      </c>
      <c r="AE26" s="57" t="str">
        <f t="shared" si="16"/>
        <v/>
      </c>
      <c r="AF26" s="57" t="str">
        <f t="shared" si="17"/>
        <v/>
      </c>
      <c r="AG26" s="56"/>
    </row>
    <row r="27" spans="2:33" ht="15.75" x14ac:dyDescent="0.2">
      <c r="B27" s="39">
        <f>'Plan de test'!B30</f>
        <v>19</v>
      </c>
      <c r="C27" s="41" t="str">
        <f>IF('Plan de test'!D30="","",'Plan de test'!$D30)</f>
        <v>succés</v>
      </c>
      <c r="D27" s="39" t="str">
        <f>IF('Testeur 1'!C28="","",'Testeur 1'!C28)</f>
        <v>succés</v>
      </c>
      <c r="E27" s="76" t="str">
        <f>VLOOKUP(B27,'Testeur 1'!$F$10:$G$29,2,FALSE)</f>
        <v>succés</v>
      </c>
      <c r="F27" s="39" t="str">
        <f>IF('Testeur 2'!C28="","",'Testeur 2'!C28)</f>
        <v>succés</v>
      </c>
      <c r="G27" s="76" t="str">
        <f>VLOOKUP(B27,'Testeur 2'!$F$10:$G$29,2,FALSE)</f>
        <v>échec</v>
      </c>
      <c r="H27" s="74" t="str">
        <f>IF('Testeur 3'!C28="","",'Testeur 3'!C28)</f>
        <v>succés</v>
      </c>
      <c r="I27" s="77" t="str">
        <f>VLOOKUP(B27,'Testeur 3'!$F$10:$G$29,2,FALSE)</f>
        <v>échec</v>
      </c>
      <c r="J27" s="55" t="str">
        <f t="shared" si="1"/>
        <v>X</v>
      </c>
      <c r="K27" s="41" t="str">
        <f t="shared" si="2"/>
        <v>X</v>
      </c>
      <c r="L27" s="57">
        <f t="shared" si="3"/>
        <v>1</v>
      </c>
      <c r="M27" s="57">
        <f t="shared" si="4"/>
        <v>0</v>
      </c>
      <c r="N27" s="57">
        <f t="shared" si="5"/>
        <v>0</v>
      </c>
      <c r="O27" s="56">
        <f t="shared" si="6"/>
        <v>1</v>
      </c>
      <c r="P27" s="56" t="str">
        <f t="shared" si="7"/>
        <v>X</v>
      </c>
      <c r="Q27" s="56" t="str">
        <f t="shared" si="19"/>
        <v>X</v>
      </c>
      <c r="R27" s="56"/>
      <c r="S27" s="57">
        <f t="shared" si="8"/>
        <v>0</v>
      </c>
      <c r="T27" s="57">
        <f t="shared" si="9"/>
        <v>0</v>
      </c>
      <c r="U27" s="57" t="str">
        <f t="shared" si="0"/>
        <v/>
      </c>
      <c r="V27" s="57" t="str">
        <f t="shared" si="10"/>
        <v/>
      </c>
      <c r="W27" s="56"/>
      <c r="X27" s="57">
        <f t="shared" si="11"/>
        <v>0</v>
      </c>
      <c r="Y27" s="57">
        <f t="shared" si="12"/>
        <v>1</v>
      </c>
      <c r="Z27" s="57" t="str">
        <f t="shared" si="13"/>
        <v/>
      </c>
      <c r="AA27" s="57" t="str">
        <f t="shared" si="14"/>
        <v/>
      </c>
      <c r="AB27" s="56"/>
      <c r="AC27" s="57">
        <f t="shared" si="18"/>
        <v>0</v>
      </c>
      <c r="AD27" s="57">
        <f t="shared" si="15"/>
        <v>1</v>
      </c>
      <c r="AE27" s="57" t="str">
        <f t="shared" si="16"/>
        <v/>
      </c>
      <c r="AF27" s="57" t="str">
        <f t="shared" si="17"/>
        <v/>
      </c>
      <c r="AG27" s="56"/>
    </row>
    <row r="28" spans="2:33" ht="16.5" thickBot="1" x14ac:dyDescent="0.25">
      <c r="B28" s="42">
        <f>'Plan de test'!B31</f>
        <v>20</v>
      </c>
      <c r="C28" s="49" t="str">
        <f>IF('Plan de test'!D31="","",'Plan de test'!$D31)</f>
        <v>succés</v>
      </c>
      <c r="D28" s="42" t="str">
        <f>IF('Testeur 1'!C29="","",'Testeur 1'!C29)</f>
        <v>succés</v>
      </c>
      <c r="E28" s="76" t="str">
        <f>VLOOKUP(B28,'Testeur 1'!$F$10:$G$29,2,FALSE)</f>
        <v>succés</v>
      </c>
      <c r="F28" s="42" t="str">
        <f>IF('Testeur 2'!C29="","",'Testeur 2'!C29)</f>
        <v>succés</v>
      </c>
      <c r="G28" s="76" t="str">
        <f>VLOOKUP(B28,'Testeur 2'!$F$10:$G$29,2,FALSE)</f>
        <v>succés</v>
      </c>
      <c r="H28" s="75" t="str">
        <f>IF('Testeur 3'!C29="","",'Testeur 3'!C29)</f>
        <v>succés</v>
      </c>
      <c r="I28" s="49" t="str">
        <f>VLOOKUP(B28,'Testeur 3'!$F$10:$G$29,2,FALSE)</f>
        <v>succés</v>
      </c>
      <c r="J28" s="67" t="str">
        <f t="shared" si="1"/>
        <v>OK</v>
      </c>
      <c r="K28" s="49" t="str">
        <f t="shared" si="2"/>
        <v>OK</v>
      </c>
      <c r="L28" s="57">
        <f t="shared" ref="L28" si="20">IF(D28=E28,1,0)</f>
        <v>1</v>
      </c>
      <c r="M28" s="57">
        <f t="shared" ref="M28" si="21">IF(F28=G28,1,0)</f>
        <v>1</v>
      </c>
      <c r="N28" s="57">
        <f t="shared" ref="N28" si="22">IF(H28=I28,1,0)</f>
        <v>1</v>
      </c>
      <c r="O28" s="56">
        <f t="shared" ref="O28" si="23">SUM(L28:N28)</f>
        <v>3</v>
      </c>
      <c r="P28" s="56" t="str">
        <f t="shared" si="7"/>
        <v>OK</v>
      </c>
      <c r="Q28" s="56" t="str">
        <f t="shared" ref="Q28" si="24">IF(P28="OK",IF(I28=C28,"OK","X"),"X")</f>
        <v>OK</v>
      </c>
      <c r="R28" s="56"/>
      <c r="S28" s="57">
        <f t="shared" si="8"/>
        <v>0</v>
      </c>
      <c r="T28" s="57">
        <f t="shared" si="9"/>
        <v>0</v>
      </c>
      <c r="U28" s="57" t="str">
        <f t="shared" si="0"/>
        <v/>
      </c>
      <c r="V28" s="57" t="str">
        <f t="shared" si="10"/>
        <v/>
      </c>
      <c r="W28" s="56"/>
      <c r="X28" s="57">
        <f t="shared" si="11"/>
        <v>0</v>
      </c>
      <c r="Y28" s="57">
        <f t="shared" si="12"/>
        <v>0</v>
      </c>
      <c r="Z28" s="57" t="str">
        <f t="shared" si="13"/>
        <v/>
      </c>
      <c r="AA28" s="57" t="str">
        <f t="shared" si="14"/>
        <v/>
      </c>
      <c r="AB28" s="56"/>
      <c r="AC28" s="57">
        <f t="shared" si="18"/>
        <v>0</v>
      </c>
      <c r="AD28" s="57">
        <f t="shared" si="15"/>
        <v>0</v>
      </c>
      <c r="AE28" s="57" t="str">
        <f t="shared" si="16"/>
        <v/>
      </c>
      <c r="AF28" s="57" t="str">
        <f t="shared" si="17"/>
        <v/>
      </c>
      <c r="AG28" s="56"/>
    </row>
    <row r="29" spans="2:33" x14ac:dyDescent="0.2">
      <c r="B29" s="158" t="s">
        <v>83</v>
      </c>
      <c r="C29" s="38" t="s">
        <v>7</v>
      </c>
      <c r="D29" s="128">
        <f>D5+D6</f>
        <v>20</v>
      </c>
      <c r="E29" s="128"/>
      <c r="F29" s="128">
        <f>D29</f>
        <v>20</v>
      </c>
      <c r="G29" s="128"/>
      <c r="H29" s="147">
        <f>F29</f>
        <v>20</v>
      </c>
      <c r="I29" s="147"/>
      <c r="J29" s="50">
        <f>B28</f>
        <v>20</v>
      </c>
      <c r="K29" s="129" t="s">
        <v>85</v>
      </c>
    </row>
    <row r="30" spans="2:33" x14ac:dyDescent="0.2">
      <c r="B30" s="151"/>
      <c r="C30" s="40" t="s">
        <v>23</v>
      </c>
      <c r="D30" s="135">
        <f>D29-COUNTIF($J9:$J28,"X")</f>
        <v>12</v>
      </c>
      <c r="E30" s="135"/>
      <c r="F30" s="135">
        <f>F29-COUNTIF($J9:$J28,"X")</f>
        <v>12</v>
      </c>
      <c r="G30" s="135"/>
      <c r="H30" s="135">
        <f>H29-COUNTIF($J9:$J28,"X")</f>
        <v>12</v>
      </c>
      <c r="I30" s="135"/>
      <c r="J30" s="51">
        <f>COUNTIF(J9:J28,"OK")</f>
        <v>12</v>
      </c>
      <c r="K30" s="130"/>
    </row>
    <row r="31" spans="2:33" ht="15.75" thickBot="1" x14ac:dyDescent="0.25">
      <c r="B31" s="151"/>
      <c r="C31" s="40" t="s">
        <v>8</v>
      </c>
      <c r="D31" s="163">
        <f>Conclusion!D30/Conclusion!D29</f>
        <v>0.6</v>
      </c>
      <c r="E31" s="163"/>
      <c r="F31" s="163">
        <f>Conclusion!F30/Conclusion!F29</f>
        <v>0.6</v>
      </c>
      <c r="G31" s="163"/>
      <c r="H31" s="163">
        <f>Conclusion!H30/Conclusion!H29</f>
        <v>0.6</v>
      </c>
      <c r="I31" s="163"/>
      <c r="J31" s="70">
        <f>Conclusion!J30/Conclusion!J29</f>
        <v>0.6</v>
      </c>
      <c r="K31" s="130"/>
    </row>
    <row r="32" spans="2:33" x14ac:dyDescent="0.2">
      <c r="B32" s="158" t="s">
        <v>84</v>
      </c>
      <c r="C32" s="38" t="s">
        <v>7</v>
      </c>
      <c r="D32" s="128">
        <f>D29</f>
        <v>20</v>
      </c>
      <c r="E32" s="128"/>
      <c r="F32" s="128">
        <f t="shared" ref="F32" si="25">F29</f>
        <v>20</v>
      </c>
      <c r="G32" s="128"/>
      <c r="H32" s="128">
        <f t="shared" ref="H32" si="26">H29</f>
        <v>20</v>
      </c>
      <c r="I32" s="128"/>
      <c r="J32" s="161" t="s">
        <v>86</v>
      </c>
      <c r="K32" s="52">
        <f>B28</f>
        <v>20</v>
      </c>
    </row>
    <row r="33" spans="2:11" x14ac:dyDescent="0.2">
      <c r="B33" s="151"/>
      <c r="C33" s="40" t="s">
        <v>23</v>
      </c>
      <c r="D33" s="135">
        <f>D30</f>
        <v>12</v>
      </c>
      <c r="E33" s="135"/>
      <c r="F33" s="135">
        <f t="shared" ref="F33" si="27">F30</f>
        <v>12</v>
      </c>
      <c r="G33" s="135"/>
      <c r="H33" s="135">
        <f t="shared" ref="H33" si="28">H30</f>
        <v>12</v>
      </c>
      <c r="I33" s="135"/>
      <c r="J33" s="162"/>
      <c r="K33" s="53">
        <f>COUNTIF(K9:K28,"OK")</f>
        <v>10</v>
      </c>
    </row>
    <row r="34" spans="2:11" ht="15.75" thickBot="1" x14ac:dyDescent="0.25">
      <c r="B34" s="151"/>
      <c r="C34" s="40" t="s">
        <v>8</v>
      </c>
      <c r="D34" s="163">
        <f>Conclusion!D33/Conclusion!D32</f>
        <v>0.6</v>
      </c>
      <c r="E34" s="163"/>
      <c r="F34" s="163">
        <f>Conclusion!F33/Conclusion!F32</f>
        <v>0.6</v>
      </c>
      <c r="G34" s="163"/>
      <c r="H34" s="163">
        <f>Conclusion!H33/Conclusion!H32</f>
        <v>0.6</v>
      </c>
      <c r="I34" s="163"/>
      <c r="J34" s="162"/>
      <c r="K34" s="71">
        <f>Conclusion!K33/Conclusion!K32</f>
        <v>0.5</v>
      </c>
    </row>
    <row r="35" spans="2:11" x14ac:dyDescent="0.2">
      <c r="B35" s="144" t="s">
        <v>50</v>
      </c>
      <c r="C35" s="128"/>
      <c r="D35" s="122">
        <f>SUM(U9:V28)</f>
        <v>0</v>
      </c>
      <c r="E35" s="123"/>
      <c r="F35" s="122">
        <f>SUM(Z9:AA28)</f>
        <v>6</v>
      </c>
      <c r="G35" s="123"/>
      <c r="H35" s="122">
        <f>SUM(AE9:AF28)</f>
        <v>6</v>
      </c>
      <c r="I35" s="123"/>
      <c r="J35" s="124"/>
      <c r="K35" s="125"/>
    </row>
    <row r="36" spans="2:11" x14ac:dyDescent="0.2">
      <c r="B36" s="134" t="s">
        <v>49</v>
      </c>
      <c r="C36" s="135"/>
      <c r="D36" s="145">
        <f>SUM(S9:T28)</f>
        <v>0</v>
      </c>
      <c r="E36" s="133"/>
      <c r="F36" s="145">
        <f>SUM(X9:Y28)</f>
        <v>6</v>
      </c>
      <c r="G36" s="133"/>
      <c r="H36" s="145">
        <f>SUM(AC9:AD28)</f>
        <v>6</v>
      </c>
      <c r="I36" s="133"/>
      <c r="J36" s="126"/>
      <c r="K36" s="127"/>
    </row>
    <row r="37" spans="2:11" ht="15" customHeight="1" x14ac:dyDescent="0.2">
      <c r="B37" s="154" t="s">
        <v>87</v>
      </c>
      <c r="C37" s="133"/>
      <c r="D37" s="153">
        <f>(D35+F35+H35)/(D6*D4*D3)</f>
        <v>0.4</v>
      </c>
      <c r="E37" s="153"/>
      <c r="F37" s="148" t="s">
        <v>51</v>
      </c>
      <c r="G37" s="149"/>
      <c r="H37" s="149"/>
      <c r="I37" s="149"/>
      <c r="J37" s="149"/>
      <c r="K37" s="150"/>
    </row>
    <row r="38" spans="2:11" x14ac:dyDescent="0.2">
      <c r="B38" s="154" t="s">
        <v>88</v>
      </c>
      <c r="C38" s="133"/>
      <c r="D38" s="142">
        <f>(D36+F36+H36)/(D5*D4*D3)</f>
        <v>0.13333333333333333</v>
      </c>
      <c r="E38" s="143"/>
      <c r="F38" s="138"/>
      <c r="G38" s="138"/>
      <c r="H38" s="138"/>
      <c r="I38" s="138"/>
      <c r="J38" s="138"/>
      <c r="K38" s="139"/>
    </row>
    <row r="39" spans="2:11" x14ac:dyDescent="0.2">
      <c r="B39" s="151" t="s">
        <v>44</v>
      </c>
      <c r="C39" s="152"/>
      <c r="D39" s="152"/>
      <c r="E39" s="148"/>
      <c r="F39" s="138"/>
      <c r="G39" s="138"/>
      <c r="H39" s="138"/>
      <c r="I39" s="138"/>
      <c r="J39" s="138"/>
      <c r="K39" s="139"/>
    </row>
    <row r="40" spans="2:11" ht="15" customHeight="1" x14ac:dyDescent="0.2">
      <c r="B40" s="146" t="s">
        <v>39</v>
      </c>
      <c r="C40" s="147"/>
      <c r="D40" s="147"/>
      <c r="E40" s="43" t="str">
        <f>IF(K35&gt;=0.9,"Acceptable",IF(AND(K35&lt;0.9,K35&gt;=0.8),"Marginal",IF(K35&lt;0.8,"Inacceptable")))</f>
        <v>Inacceptable</v>
      </c>
      <c r="F40" s="138"/>
      <c r="G40" s="138"/>
      <c r="H40" s="138"/>
      <c r="I40" s="138"/>
      <c r="J40" s="138"/>
      <c r="K40" s="139"/>
    </row>
    <row r="41" spans="2:11" x14ac:dyDescent="0.2">
      <c r="B41" s="134" t="s">
        <v>42</v>
      </c>
      <c r="C41" s="135"/>
      <c r="D41" s="135"/>
      <c r="E41" s="43" t="str">
        <f>IF(D37&lt;=0.02,"Acceptable",IF(AND(D37&gt;0.02,D37&lt;=0.05),"Marginal",IF(D37&gt;0.05,"Inacceptable")))</f>
        <v>Inacceptable</v>
      </c>
      <c r="F41" s="138"/>
      <c r="G41" s="138"/>
      <c r="H41" s="138"/>
      <c r="I41" s="138"/>
      <c r="J41" s="138"/>
      <c r="K41" s="139"/>
    </row>
    <row r="42" spans="2:11" ht="15.75" thickBot="1" x14ac:dyDescent="0.25">
      <c r="B42" s="136" t="s">
        <v>43</v>
      </c>
      <c r="C42" s="137"/>
      <c r="D42" s="137"/>
      <c r="E42" s="35" t="str">
        <f>IF(D38&lt;=0.05,"Acceptable",IF(AND(D38&gt;0.05,D38&lt;=0.1),"Marginal",IF(D38&gt;0.1,"Inacceptable")))</f>
        <v>Inacceptable</v>
      </c>
      <c r="F42" s="140"/>
      <c r="G42" s="140"/>
      <c r="H42" s="140"/>
      <c r="I42" s="140"/>
      <c r="J42" s="140"/>
      <c r="K42" s="141"/>
    </row>
    <row r="43" spans="2:11" x14ac:dyDescent="0.2">
      <c r="B43" s="5"/>
      <c r="C43" s="5"/>
      <c r="D43" s="5"/>
      <c r="E43" s="5"/>
      <c r="F43" s="5"/>
      <c r="G43" s="5"/>
      <c r="H43" s="5"/>
      <c r="I43" s="5"/>
      <c r="J43" s="5"/>
      <c r="K43" s="5"/>
    </row>
    <row r="44" spans="2:11" x14ac:dyDescent="0.2">
      <c r="B44" s="1" t="s">
        <v>74</v>
      </c>
      <c r="C44" s="5"/>
      <c r="D44" s="5"/>
      <c r="E44" s="5"/>
      <c r="F44" s="5"/>
      <c r="G44" s="5"/>
      <c r="H44" s="5"/>
      <c r="I44" s="5"/>
      <c r="J44" s="5"/>
      <c r="K44" s="5"/>
    </row>
    <row r="45" spans="2:11" x14ac:dyDescent="0.2">
      <c r="B45" s="1" t="s">
        <v>75</v>
      </c>
      <c r="C45" s="5"/>
      <c r="D45" s="5"/>
      <c r="E45" s="5"/>
      <c r="F45" s="5"/>
      <c r="G45" s="5"/>
      <c r="H45" s="5"/>
      <c r="I45" s="5"/>
      <c r="J45" s="5"/>
      <c r="K45" s="5"/>
    </row>
    <row r="46" spans="2:11" x14ac:dyDescent="0.2">
      <c r="B46" s="5"/>
      <c r="C46" s="5"/>
      <c r="D46" s="5"/>
      <c r="E46" s="5"/>
      <c r="F46" s="5"/>
      <c r="G46" s="5"/>
      <c r="H46" s="5"/>
      <c r="I46" s="5"/>
      <c r="J46" s="5"/>
      <c r="K46" s="5"/>
    </row>
  </sheetData>
  <sheetProtection selectLockedCells="1"/>
  <protectedRanges>
    <protectedRange sqref="D3:D6 H41:K42" name="summary"/>
  </protectedRanges>
  <mergeCells count="60">
    <mergeCell ref="B2:D2"/>
    <mergeCell ref="B3:C3"/>
    <mergeCell ref="B4:C4"/>
    <mergeCell ref="B5:C5"/>
    <mergeCell ref="J32:J34"/>
    <mergeCell ref="D31:E31"/>
    <mergeCell ref="F31:G31"/>
    <mergeCell ref="H31:I31"/>
    <mergeCell ref="D34:E34"/>
    <mergeCell ref="F34:G34"/>
    <mergeCell ref="H34:I34"/>
    <mergeCell ref="H32:I32"/>
    <mergeCell ref="D33:E33"/>
    <mergeCell ref="F33:G33"/>
    <mergeCell ref="H33:I33"/>
    <mergeCell ref="B32:B34"/>
    <mergeCell ref="B29:B31"/>
    <mergeCell ref="D29:E29"/>
    <mergeCell ref="F29:G29"/>
    <mergeCell ref="H29:I29"/>
    <mergeCell ref="D30:E30"/>
    <mergeCell ref="F30:G30"/>
    <mergeCell ref="H30:I30"/>
    <mergeCell ref="B6:C6"/>
    <mergeCell ref="D7:E7"/>
    <mergeCell ref="F7:G7"/>
    <mergeCell ref="H7:I7"/>
    <mergeCell ref="C7:C8"/>
    <mergeCell ref="B7:B8"/>
    <mergeCell ref="B41:D41"/>
    <mergeCell ref="B42:D42"/>
    <mergeCell ref="F38:K42"/>
    <mergeCell ref="D38:E38"/>
    <mergeCell ref="B35:C35"/>
    <mergeCell ref="B36:C36"/>
    <mergeCell ref="D36:E36"/>
    <mergeCell ref="F36:G36"/>
    <mergeCell ref="H36:I36"/>
    <mergeCell ref="B40:D40"/>
    <mergeCell ref="F37:K37"/>
    <mergeCell ref="B39:E39"/>
    <mergeCell ref="D37:E37"/>
    <mergeCell ref="B37:C37"/>
    <mergeCell ref="B38:C38"/>
    <mergeCell ref="AE8:AF8"/>
    <mergeCell ref="E2:H2"/>
    <mergeCell ref="D35:E35"/>
    <mergeCell ref="F35:G35"/>
    <mergeCell ref="H35:I35"/>
    <mergeCell ref="J35:K36"/>
    <mergeCell ref="S8:T8"/>
    <mergeCell ref="U8:V8"/>
    <mergeCell ref="X8:Y8"/>
    <mergeCell ref="Z8:AA8"/>
    <mergeCell ref="AC8:AD8"/>
    <mergeCell ref="D32:E32"/>
    <mergeCell ref="F32:G32"/>
    <mergeCell ref="K29:K31"/>
    <mergeCell ref="K7:K8"/>
    <mergeCell ref="J7:J8"/>
  </mergeCells>
  <conditionalFormatting sqref="C9:I28">
    <cfRule type="containsText" dxfId="22" priority="1" operator="containsText" text="succés">
      <formula>NOT(ISERROR(SEARCH("succés",C9)))</formula>
    </cfRule>
    <cfRule type="containsText" dxfId="21" priority="2" operator="containsText" text="échec">
      <formula>NOT(ISERROR(SEARCH("échec",C9)))</formula>
    </cfRule>
  </conditionalFormatting>
  <conditionalFormatting sqref="D31 F31 H31 D34 F34 H34">
    <cfRule type="cellIs" dxfId="20" priority="26" stopIfTrue="1" operator="greaterThanOrEqual">
      <formula>0.9</formula>
    </cfRule>
    <cfRule type="cellIs" dxfId="19" priority="27" stopIfTrue="1" operator="lessThan">
      <formula>0.9</formula>
    </cfRule>
  </conditionalFormatting>
  <conditionalFormatting sqref="D37">
    <cfRule type="cellIs" dxfId="18" priority="8" operator="lessThanOrEqual">
      <formula>0.02</formula>
    </cfRule>
    <cfRule type="cellIs" dxfId="17" priority="9" operator="between">
      <formula>0.02</formula>
      <formula>0.05</formula>
    </cfRule>
    <cfRule type="cellIs" dxfId="16" priority="10" operator="greaterThan">
      <formula>0.05</formula>
    </cfRule>
  </conditionalFormatting>
  <conditionalFormatting sqref="D38">
    <cfRule type="cellIs" dxfId="15" priority="5" operator="lessThanOrEqual">
      <formula>0.05</formula>
    </cfRule>
    <cfRule type="cellIs" dxfId="14" priority="6" operator="between">
      <formula>0.05</formula>
      <formula>0.1</formula>
    </cfRule>
    <cfRule type="cellIs" dxfId="13" priority="7" operator="greaterThan">
      <formula>0.1</formula>
    </cfRule>
  </conditionalFormatting>
  <conditionalFormatting sqref="E40:E42">
    <cfRule type="cellIs" dxfId="12" priority="21" operator="equal">
      <formula>"Nicht akzeptierbar"</formula>
    </cfRule>
    <cfRule type="cellIs" dxfId="11" priority="22" operator="equal">
      <formula>"Bedingt akzeptierbar"</formula>
    </cfRule>
    <cfRule type="cellIs" dxfId="10" priority="23" operator="equal">
      <formula>"Akzeptierbar"</formula>
    </cfRule>
  </conditionalFormatting>
  <conditionalFormatting sqref="E92 G92 I92">
    <cfRule type="cellIs" dxfId="9" priority="138" stopIfTrue="1" operator="equal">
      <formula>"OK"</formula>
    </cfRule>
    <cfRule type="cellIs" dxfId="8" priority="139" stopIfTrue="1" operator="equal">
      <formula>"Schulung"</formula>
    </cfRule>
  </conditionalFormatting>
  <conditionalFormatting sqref="J31">
    <cfRule type="cellIs" dxfId="7" priority="17" operator="greaterThanOrEqual">
      <formula>0.9</formula>
    </cfRule>
    <cfRule type="cellIs" dxfId="6" priority="18" operator="between">
      <formula>0.9</formula>
      <formula>0.8</formula>
    </cfRule>
    <cfRule type="cellIs" dxfId="5" priority="19" operator="lessThan">
      <formula>0.8</formula>
    </cfRule>
  </conditionalFormatting>
  <conditionalFormatting sqref="J9:K28">
    <cfRule type="cellIs" dxfId="4" priority="96" operator="equal">
      <formula>"OK"</formula>
    </cfRule>
    <cfRule type="cellIs" dxfId="3" priority="97" operator="equal">
      <formula>"X"</formula>
    </cfRule>
  </conditionalFormatting>
  <conditionalFormatting sqref="K34">
    <cfRule type="cellIs" dxfId="2" priority="11" operator="greaterThanOrEqual">
      <formula>0.9</formula>
    </cfRule>
    <cfRule type="cellIs" dxfId="1" priority="12" operator="between">
      <formula>0.9</formula>
      <formula>0.8</formula>
    </cfRule>
    <cfRule type="cellIs" dxfId="0" priority="13" operator="lessThan">
      <formula>0.8</formula>
    </cfRule>
  </conditionalFormatting>
  <printOptions horizontalCentered="1"/>
  <pageMargins left="0.39370078740157483" right="0.39370078740157483" top="0.7626225490196078" bottom="0.78740157480314965" header="0.31496062992125984" footer="0.31496062992125984"/>
  <pageSetup paperSize="9" scale="49" fitToHeight="2" orientation="portrait" verticalDpi="1200" r:id="rId1"/>
  <headerFooter>
    <oddHeader>&amp;C&amp;14
Attributive Measurement System Analysis
by MSA&amp;R
Page &amp;P from  &amp;N</oddHeader>
    <oddFooter>&amp;CCONFIDENTIAL / FOR INTERNAL USE 
GE-GP-158-F-004 R0 
Printed copies are uncontrolled unless stamped “controlled” by document control</oddFooter>
  </headerFooter>
  <ignoredErrors>
    <ignoredError sqref="F28"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baseColWidth="10" defaultColWidth="11.42578125" defaultRowHeight="12.75" x14ac:dyDescent="0.2"/>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5</vt:i4>
      </vt:variant>
      <vt:variant>
        <vt:lpstr>Plages nommées</vt:lpstr>
      </vt:variant>
      <vt:variant>
        <vt:i4>5</vt:i4>
      </vt:variant>
    </vt:vector>
  </HeadingPairs>
  <TitlesOfParts>
    <vt:vector size="10" baseType="lpstr">
      <vt:lpstr>Plan de test</vt:lpstr>
      <vt:lpstr>Testeur 1</vt:lpstr>
      <vt:lpstr>Testeur 2</vt:lpstr>
      <vt:lpstr>Testeur 3</vt:lpstr>
      <vt:lpstr>Conclusion</vt:lpstr>
      <vt:lpstr>Conclusion!Zone_d_impression</vt:lpstr>
      <vt:lpstr>'Plan de test'!Zone_d_impression</vt:lpstr>
      <vt:lpstr>'Testeur 1'!Zone_d_impression</vt:lpstr>
      <vt:lpstr>'Testeur 2'!Zone_d_impression</vt:lpstr>
      <vt:lpstr>'Testeur 3'!Zone_d_impression</vt:lpstr>
    </vt:vector>
  </TitlesOfParts>
  <Company>Copyright 1997, Six Sigma Consultants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Gage R&amp;R Spreadsheet for Attribute Data</dc:title>
  <dc:creator>Marcel</dc:creator>
  <dc:description>Last modified 6/1/97:  Added Statistical Report page_x000d_
and increased worksheet size from 30 to 100._x000d_
Last modified by:  J. Hathaway</dc:description>
  <cp:lastModifiedBy>morgan Germa Colliou</cp:lastModifiedBy>
  <cp:lastPrinted>2016-06-13T13:57:56Z</cp:lastPrinted>
  <dcterms:created xsi:type="dcterms:W3CDTF">1997-06-03T19:15:02Z</dcterms:created>
  <dcterms:modified xsi:type="dcterms:W3CDTF">2025-11-17T12:27:26Z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APDOKNR">
    <vt:lpwstr>309889</vt:lpwstr>
  </property>
  <property fmtid="{D5CDD505-2E9C-101B-9397-08002B2CF9AE}" pid="3" name="SAPDOKAR">
    <vt:lpwstr>QMS</vt:lpwstr>
  </property>
  <property fmtid="{D5CDD505-2E9C-101B-9397-08002B2CF9AE}" pid="4" name="SAPDOKTL">
    <vt:lpwstr>DE</vt:lpwstr>
  </property>
  <property fmtid="{D5CDD505-2E9C-101B-9397-08002B2CF9AE}" pid="5" name="SAPDOKVR">
    <vt:lpwstr>01</vt:lpwstr>
  </property>
  <property fmtid="{D5CDD505-2E9C-101B-9397-08002B2CF9AE}" pid="6" name="SAPDWNAM">
    <vt:lpwstr>SCHENKS</vt:lpwstr>
  </property>
  <property fmtid="{D5CDD505-2E9C-101B-9397-08002B2CF9AE}" pid="7" name="SAPDOKST">
    <vt:lpwstr>M2</vt:lpwstr>
  </property>
  <property fmtid="{D5CDD505-2E9C-101B-9397-08002B2CF9AE}" pid="8" name="SAPSTBEZ">
    <vt:lpwstr>Prüfung Hauptsp.</vt:lpwstr>
  </property>
  <property fmtid="{D5CDD505-2E9C-101B-9397-08002B2CF9AE}" pid="9" name="SAPDARTXT">
    <vt:lpwstr>QMS Dokument</vt:lpwstr>
  </property>
  <property fmtid="{D5CDD505-2E9C-101B-9397-08002B2CF9AE}" pid="10" name="SAPDKTXT">
    <vt:lpwstr>attributive Messsystemanalyse nach MSA</vt:lpwstr>
  </property>
  <property fmtid="{D5CDD505-2E9C-101B-9397-08002B2CF9AE}" pid="11" name="SAPAENNR">
    <vt:lpwstr>500000029057</vt:lpwstr>
  </property>
  <property fmtid="{D5CDD505-2E9C-101B-9397-08002B2CF9AE}" pid="12" name="SAPDATUV">
    <vt:lpwstr>30.11.9999</vt:lpwstr>
  </property>
  <property fmtid="{D5CDD505-2E9C-101B-9397-08002B2CF9AE}" pid="13" name="SAPAETXT">
    <vt:lpwstr>309798 MSA Prozesse überfüh. Marcel Hind</vt:lpwstr>
  </property>
  <property fmtid="{D5CDD505-2E9C-101B-9397-08002B2CF9AE}" pid="14" name="SAPFILENAME">
    <vt:lpwstr>309889_QMS_DE_01_#01.xlsx</vt:lpwstr>
  </property>
  <property fmtid="{D5CDD505-2E9C-101B-9397-08002B2CF9AE}" pid="15" name="SAPPDMDVSDOKUMENTTYP">
    <vt:lpwstr>WT-FO</vt:lpwstr>
  </property>
  <property fmtid="{D5CDD505-2E9C-101B-9397-08002B2CF9AE}" pid="16" name="SAPPDMDVSQMSMASTERLANGU">
    <vt:lpwstr>ja</vt:lpwstr>
  </property>
  <property fmtid="{D5CDD505-2E9C-101B-9397-08002B2CF9AE}" pid="17" name="SAPPDMDVSQMSOLDDOC">
    <vt:lpwstr>F WT.50.0102-4</vt:lpwstr>
  </property>
  <property fmtid="{D5CDD505-2E9C-101B-9397-08002B2CF9AE}" pid="18" name="SAPPDMDVSQMSPROWNER">
    <vt:lpwstr>Technical Services Manager</vt:lpwstr>
  </property>
  <property fmtid="{D5CDD505-2E9C-101B-9397-08002B2CF9AE}" pid="19" name="SAPPDMDVSQMSSCOPE">
    <vt:lpwstr>Standort spezifisch</vt:lpwstr>
  </property>
  <property fmtid="{D5CDD505-2E9C-101B-9397-08002B2CF9AE}" pid="20" name="SAPPDMDVSQMSSITESCOPE">
    <vt:lpwstr>Winterthur</vt:lpwstr>
  </property>
</Properties>
</file>