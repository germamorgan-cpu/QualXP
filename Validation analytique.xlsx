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gan\Desktop\Excel payant\"/>
    </mc:Choice>
  </mc:AlternateContent>
  <bookViews>
    <workbookView xWindow="0" yWindow="0" windowWidth="19200" windowHeight="8550" tabRatio="872"/>
  </bookViews>
  <sheets>
    <sheet name="Bilan" sheetId="2" r:id="rId1"/>
    <sheet name="linéarité" sheetId="1" r:id="rId2"/>
    <sheet name="justesse" sheetId="8" r:id="rId3"/>
    <sheet name="fidélité" sheetId="9" r:id="rId4"/>
    <sheet name="robustesse" sheetId="3" r:id="rId5"/>
  </sheets>
  <externalReferences>
    <externalReference r:id="rId6"/>
  </externalReferences>
  <definedNames>
    <definedName name="ANALYTES">'[1]validation de méthode'!$AD$6:$AD$461</definedName>
  </definedNames>
  <calcPr calcId="152511"/>
</workbook>
</file>

<file path=xl/calcChain.xml><?xml version="1.0" encoding="utf-8"?>
<calcChain xmlns="http://schemas.openxmlformats.org/spreadsheetml/2006/main">
  <c r="G10" i="2" l="1"/>
  <c r="E10" i="2"/>
  <c r="J69" i="2" l="1"/>
  <c r="J70" i="2"/>
  <c r="J71" i="2"/>
  <c r="J63" i="2"/>
  <c r="J64" i="2"/>
  <c r="J65" i="2"/>
  <c r="J66" i="2"/>
  <c r="J67" i="2"/>
  <c r="J62" i="2"/>
  <c r="N16" i="3"/>
  <c r="K69" i="2" s="1"/>
  <c r="N17" i="3" l="1"/>
  <c r="K70" i="2" s="1"/>
  <c r="N18" i="3"/>
  <c r="K71" i="2" s="1"/>
  <c r="J10" i="3"/>
  <c r="J9" i="3"/>
  <c r="J14" i="3"/>
  <c r="I14" i="3"/>
  <c r="H14" i="3"/>
  <c r="O9" i="3" l="1"/>
  <c r="O10" i="3" s="1"/>
  <c r="O11" i="3" s="1"/>
  <c r="O12" i="3" s="1"/>
  <c r="O13" i="3" s="1"/>
  <c r="O14" i="3" s="1"/>
  <c r="P9" i="3"/>
  <c r="P10" i="3" s="1"/>
  <c r="P11" i="3" s="1"/>
  <c r="P12" i="3" s="1"/>
  <c r="P13" i="3" s="1"/>
  <c r="P14" i="3" s="1"/>
  <c r="N10" i="3"/>
  <c r="N12" i="3"/>
  <c r="N14" i="3"/>
  <c r="N8" i="3"/>
  <c r="H12" i="3"/>
  <c r="H11" i="3"/>
  <c r="N11" i="3" l="1"/>
  <c r="K64" i="2" s="1"/>
  <c r="K65" i="2"/>
  <c r="N9" i="3"/>
  <c r="K62" i="2" s="1"/>
  <c r="K63" i="2"/>
  <c r="N13" i="3"/>
  <c r="K66" i="2" s="1"/>
  <c r="K67" i="2"/>
  <c r="L12" i="8"/>
  <c r="F69" i="1" l="1"/>
  <c r="I9" i="3" l="1"/>
  <c r="D32" i="1" l="1"/>
  <c r="D33" i="1" l="1"/>
  <c r="M86" i="1" s="1"/>
  <c r="M85" i="1"/>
  <c r="E33" i="1"/>
  <c r="D35" i="1"/>
  <c r="M88" i="1" s="1"/>
  <c r="D29" i="1"/>
  <c r="D38" i="1"/>
  <c r="M91" i="1" s="1"/>
  <c r="E32" i="1"/>
  <c r="N85" i="1" s="1"/>
  <c r="D34" i="1" l="1"/>
  <c r="G127" i="1"/>
  <c r="N86" i="1"/>
  <c r="E34" i="1"/>
  <c r="M87" i="1"/>
  <c r="E29" i="1"/>
  <c r="N82" i="1" s="1"/>
  <c r="M82" i="1"/>
  <c r="D30" i="1"/>
  <c r="E38" i="1"/>
  <c r="N91" i="1" s="1"/>
  <c r="D39" i="1"/>
  <c r="D36" i="1"/>
  <c r="M89" i="1" s="1"/>
  <c r="E35" i="1"/>
  <c r="N88" i="1" s="1"/>
  <c r="G126" i="1"/>
  <c r="F32" i="1"/>
  <c r="D26" i="1"/>
  <c r="J29" i="1"/>
  <c r="D31" i="1" l="1"/>
  <c r="M83" i="1"/>
  <c r="G128" i="1"/>
  <c r="N87" i="1"/>
  <c r="D40" i="1"/>
  <c r="M92" i="1"/>
  <c r="E26" i="1"/>
  <c r="N79" i="1" s="1"/>
  <c r="M79" i="1"/>
  <c r="E30" i="1"/>
  <c r="E39" i="1"/>
  <c r="J32" i="1"/>
  <c r="D27" i="1"/>
  <c r="D37" i="1"/>
  <c r="E36" i="1"/>
  <c r="N89" i="1" s="1"/>
  <c r="J38" i="1"/>
  <c r="J35" i="1"/>
  <c r="J30" i="1"/>
  <c r="K29" i="1"/>
  <c r="J26" i="1"/>
  <c r="N92" i="1" l="1"/>
  <c r="E37" i="1"/>
  <c r="N90" i="1" s="1"/>
  <c r="M90" i="1"/>
  <c r="N83" i="1"/>
  <c r="E40" i="1"/>
  <c r="N93" i="1" s="1"/>
  <c r="M93" i="1"/>
  <c r="E31" i="1"/>
  <c r="N84" i="1" s="1"/>
  <c r="M84" i="1"/>
  <c r="D28" i="1"/>
  <c r="M81" i="1" s="1"/>
  <c r="M80" i="1"/>
  <c r="K38" i="1"/>
  <c r="E8" i="8"/>
  <c r="F8" i="8" s="1"/>
  <c r="C5" i="9"/>
  <c r="C6" i="9" s="1"/>
  <c r="C7" i="9" s="1"/>
  <c r="C8" i="9" s="1"/>
  <c r="C9" i="9" s="1"/>
  <c r="C10" i="9" s="1"/>
  <c r="K30" i="1"/>
  <c r="D5" i="8"/>
  <c r="J36" i="1"/>
  <c r="K36" i="1" s="1"/>
  <c r="K32" i="1"/>
  <c r="J31" i="1"/>
  <c r="E27" i="1"/>
  <c r="N80" i="1" s="1"/>
  <c r="J33" i="1"/>
  <c r="K33" i="1" s="1"/>
  <c r="N32" i="1"/>
  <c r="D8" i="9" s="1"/>
  <c r="O32" i="1"/>
  <c r="D9" i="9" s="1"/>
  <c r="P32" i="1"/>
  <c r="D10" i="9" s="1"/>
  <c r="M32" i="1"/>
  <c r="D7" i="9" s="1"/>
  <c r="L32" i="1"/>
  <c r="D6" i="9" s="1"/>
  <c r="K35" i="1"/>
  <c r="F35" i="1"/>
  <c r="J39" i="1"/>
  <c r="E28" i="1"/>
  <c r="K26" i="1"/>
  <c r="J27" i="1"/>
  <c r="F29" i="1" l="1"/>
  <c r="F38" i="1"/>
  <c r="F26" i="1"/>
  <c r="N81" i="1"/>
  <c r="O79" i="1" s="1"/>
  <c r="J37" i="1"/>
  <c r="K37" i="1" s="1"/>
  <c r="R36" i="1" s="1"/>
  <c r="E17" i="8"/>
  <c r="F17" i="8" s="1"/>
  <c r="J5" i="9"/>
  <c r="E15" i="8"/>
  <c r="E14" i="8"/>
  <c r="F14" i="8" s="1"/>
  <c r="D11" i="9"/>
  <c r="E9" i="8"/>
  <c r="J28" i="1"/>
  <c r="K39" i="1"/>
  <c r="C11" i="9"/>
  <c r="C12" i="9" s="1"/>
  <c r="C13" i="9" s="1"/>
  <c r="C14" i="9" s="1"/>
  <c r="C15" i="9" s="1"/>
  <c r="C16" i="9" s="1"/>
  <c r="K31" i="1"/>
  <c r="R30" i="1" s="1"/>
  <c r="E5" i="8"/>
  <c r="D5" i="9"/>
  <c r="D10" i="8"/>
  <c r="J40" i="1"/>
  <c r="E11" i="8"/>
  <c r="F11" i="8" s="1"/>
  <c r="J6" i="9"/>
  <c r="E12" i="8"/>
  <c r="J34" i="1"/>
  <c r="O33" i="1"/>
  <c r="D15" i="9" s="1"/>
  <c r="N33" i="1"/>
  <c r="D14" i="9" s="1"/>
  <c r="L33" i="1"/>
  <c r="D12" i="9" s="1"/>
  <c r="P33" i="1"/>
  <c r="D16" i="9" s="1"/>
  <c r="M33" i="1"/>
  <c r="D13" i="9" s="1"/>
  <c r="C78" i="1"/>
  <c r="C43" i="1" a="1"/>
  <c r="C43" i="1" s="1"/>
  <c r="K27" i="1"/>
  <c r="D81" i="1"/>
  <c r="D78" i="1"/>
  <c r="F78" i="1"/>
  <c r="E12" i="2"/>
  <c r="C69" i="1" l="1"/>
  <c r="D16" i="8"/>
  <c r="F5" i="9"/>
  <c r="R5" i="9" s="1"/>
  <c r="E5" i="9"/>
  <c r="K28" i="1"/>
  <c r="E7" i="8" s="1"/>
  <c r="F7" i="8" s="1"/>
  <c r="E6" i="8"/>
  <c r="C17" i="9"/>
  <c r="C18" i="9" s="1"/>
  <c r="C19" i="9" s="1"/>
  <c r="C20" i="9" s="1"/>
  <c r="C21" i="9" s="1"/>
  <c r="C22" i="9" s="1"/>
  <c r="K40" i="1"/>
  <c r="E10" i="8"/>
  <c r="F10" i="8" s="1"/>
  <c r="G10" i="8" s="1"/>
  <c r="E18" i="8"/>
  <c r="E16" i="8"/>
  <c r="F16" i="8" s="1"/>
  <c r="D19" i="8"/>
  <c r="K34" i="1"/>
  <c r="N34" i="1"/>
  <c r="D20" i="9" s="1"/>
  <c r="O34" i="1"/>
  <c r="D21" i="9" s="1"/>
  <c r="M34" i="1"/>
  <c r="D19" i="9" s="1"/>
  <c r="L34" i="1"/>
  <c r="D18" i="9" s="1"/>
  <c r="P34" i="1"/>
  <c r="D22" i="9" s="1"/>
  <c r="D13" i="8"/>
  <c r="E11" i="9"/>
  <c r="F11" i="9"/>
  <c r="R6" i="9" s="1"/>
  <c r="C46" i="1"/>
  <c r="D45" i="1"/>
  <c r="C47" i="1"/>
  <c r="D47" i="1"/>
  <c r="D46" i="1"/>
  <c r="C45" i="1"/>
  <c r="D43" i="1"/>
  <c r="C44" i="1"/>
  <c r="D44" i="1"/>
  <c r="L5" i="8"/>
  <c r="G16" i="8" l="1"/>
  <c r="Q5" i="9"/>
  <c r="R27" i="1"/>
  <c r="Q6" i="9"/>
  <c r="E19" i="8"/>
  <c r="F19" i="8" s="1"/>
  <c r="G19" i="8" s="1"/>
  <c r="R39" i="1"/>
  <c r="C88" i="1"/>
  <c r="D17" i="9"/>
  <c r="O80" i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F88" i="1"/>
  <c r="D88" i="1"/>
  <c r="D91" i="1"/>
  <c r="E13" i="8"/>
  <c r="F13" i="8" s="1"/>
  <c r="G13" i="8" s="1"/>
  <c r="R33" i="1"/>
  <c r="I43" i="1" a="1"/>
  <c r="P79" i="1" l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J44" i="1"/>
  <c r="J45" i="1"/>
  <c r="I43" i="1"/>
  <c r="J47" i="1"/>
  <c r="I44" i="1"/>
  <c r="I45" i="1"/>
  <c r="J43" i="1"/>
  <c r="I47" i="1"/>
  <c r="I46" i="1"/>
  <c r="J46" i="1"/>
  <c r="E17" i="9"/>
  <c r="J4" i="9" s="1"/>
  <c r="F17" i="9"/>
  <c r="R7" i="9" s="1"/>
  <c r="Q7" i="9" l="1"/>
  <c r="J11" i="9"/>
  <c r="K18" i="9" s="1"/>
  <c r="J18" i="2" s="1"/>
  <c r="M57" i="1"/>
  <c r="L57" i="1"/>
  <c r="L55" i="1"/>
  <c r="L52" i="1"/>
  <c r="M58" i="1"/>
  <c r="L58" i="1"/>
  <c r="L51" i="1"/>
  <c r="L56" i="1"/>
  <c r="M50" i="1"/>
  <c r="M55" i="1"/>
  <c r="M56" i="1"/>
  <c r="L50" i="1"/>
  <c r="L64" i="1"/>
  <c r="M51" i="1"/>
  <c r="M52" i="1"/>
  <c r="M53" i="1"/>
  <c r="L53" i="1"/>
  <c r="M63" i="1"/>
  <c r="M64" i="1"/>
  <c r="M54" i="1"/>
  <c r="L54" i="1"/>
  <c r="M59" i="1"/>
  <c r="M60" i="1"/>
  <c r="M61" i="1"/>
  <c r="L61" i="1"/>
  <c r="L63" i="1"/>
  <c r="L60" i="1"/>
  <c r="M62" i="1"/>
  <c r="L62" i="1"/>
  <c r="L59" i="1"/>
  <c r="J18" i="9" l="1"/>
  <c r="J12" i="9"/>
  <c r="D8" i="8"/>
  <c r="G8" i="8" s="1"/>
  <c r="D11" i="8"/>
  <c r="G11" i="8" s="1"/>
  <c r="D14" i="8"/>
  <c r="G14" i="8" s="1"/>
  <c r="D17" i="8"/>
  <c r="G17" i="8" s="1"/>
  <c r="D12" i="8"/>
  <c r="D7" i="8" l="1"/>
  <c r="G7" i="8" s="1"/>
  <c r="D6" i="8"/>
  <c r="D18" i="8"/>
  <c r="D15" i="8"/>
  <c r="D9" i="8"/>
  <c r="E11" i="2" l="1"/>
  <c r="J12" i="3" l="1"/>
  <c r="I12" i="3"/>
  <c r="J11" i="3"/>
  <c r="I11" i="3"/>
  <c r="I10" i="3"/>
  <c r="H10" i="3"/>
  <c r="H9" i="3"/>
  <c r="B43" i="2" l="1"/>
  <c r="K11" i="9" l="1"/>
  <c r="L11" i="9" s="1"/>
  <c r="J13" i="9"/>
  <c r="K19" i="9" l="1"/>
  <c r="J19" i="9"/>
  <c r="K13" i="9"/>
  <c r="L13" i="9" s="1"/>
  <c r="J8" i="3" l="1"/>
  <c r="I8" i="3"/>
  <c r="H8" i="3"/>
  <c r="F70" i="1" l="1"/>
  <c r="L6" i="8" s="1"/>
  <c r="C91" i="1" l="1"/>
  <c r="G91" i="1" s="1"/>
  <c r="C81" i="1"/>
  <c r="G81" i="1" s="1"/>
  <c r="F9" i="8" l="1"/>
  <c r="G9" i="8" s="1"/>
  <c r="F15" i="8"/>
  <c r="G15" i="8" s="1"/>
  <c r="F18" i="8"/>
  <c r="G18" i="8" s="1"/>
  <c r="F12" i="8"/>
  <c r="G12" i="8" s="1"/>
  <c r="F6" i="8"/>
  <c r="G6" i="8" s="1"/>
  <c r="J127" i="1"/>
  <c r="G78" i="1"/>
  <c r="G93" i="1"/>
  <c r="G89" i="1"/>
  <c r="G83" i="1"/>
  <c r="G79" i="1"/>
  <c r="H8" i="8" l="1"/>
  <c r="I8" i="8"/>
  <c r="I17" i="8"/>
  <c r="H17" i="8"/>
  <c r="I14" i="8"/>
  <c r="H14" i="8"/>
  <c r="H11" i="8"/>
  <c r="I11" i="8"/>
  <c r="F5" i="8"/>
  <c r="G5" i="8" s="1"/>
  <c r="H78" i="1"/>
  <c r="G88" i="1"/>
  <c r="G90" i="1" s="1"/>
  <c r="J93" i="1" s="1"/>
  <c r="J126" i="1"/>
  <c r="G80" i="1"/>
  <c r="E81" i="1"/>
  <c r="C100" i="1"/>
  <c r="D100" i="1" s="1"/>
  <c r="E78" i="1"/>
  <c r="C117" i="1"/>
  <c r="F82" i="1"/>
  <c r="H82" i="1" s="1"/>
  <c r="D117" i="1"/>
  <c r="Q9" i="8" l="1"/>
  <c r="P9" i="8"/>
  <c r="Q7" i="8"/>
  <c r="P7" i="8"/>
  <c r="Q8" i="8"/>
  <c r="P8" i="8"/>
  <c r="Q6" i="8"/>
  <c r="P6" i="8"/>
  <c r="F35" i="8"/>
  <c r="F34" i="8"/>
  <c r="F33" i="8"/>
  <c r="F31" i="8"/>
  <c r="F30" i="8"/>
  <c r="F32" i="8"/>
  <c r="F27" i="8"/>
  <c r="F29" i="8"/>
  <c r="F28" i="8"/>
  <c r="F26" i="8"/>
  <c r="F25" i="8"/>
  <c r="F24" i="8"/>
  <c r="L20" i="8"/>
  <c r="P20" i="8" s="1"/>
  <c r="P22" i="8" s="1"/>
  <c r="S21" i="8" s="1"/>
  <c r="I5" i="8"/>
  <c r="L4" i="8" s="1"/>
  <c r="H5" i="8"/>
  <c r="M21" i="8"/>
  <c r="M20" i="8"/>
  <c r="J81" i="1"/>
  <c r="L11" i="8"/>
  <c r="O20" i="8"/>
  <c r="C71" i="1"/>
  <c r="J79" i="1"/>
  <c r="H88" i="1"/>
  <c r="F100" i="1"/>
  <c r="E88" i="1"/>
  <c r="E91" i="1"/>
  <c r="C101" i="1"/>
  <c r="D101" i="1" s="1"/>
  <c r="C105" i="1" s="1"/>
  <c r="F81" i="1"/>
  <c r="H81" i="1" s="1"/>
  <c r="F92" i="1"/>
  <c r="H92" i="1" s="1"/>
  <c r="J83" i="1"/>
  <c r="J82" i="1"/>
  <c r="K82" i="1"/>
  <c r="J89" i="1"/>
  <c r="J92" i="1"/>
  <c r="J91" i="1"/>
  <c r="Q5" i="8" l="1"/>
  <c r="P5" i="8"/>
  <c r="F23" i="8"/>
  <c r="F22" i="8"/>
  <c r="F21" i="8"/>
  <c r="N20" i="8"/>
  <c r="N21" i="8"/>
  <c r="L10" i="8"/>
  <c r="L13" i="8" s="1"/>
  <c r="Q20" i="8"/>
  <c r="F83" i="1"/>
  <c r="K83" i="1" s="1"/>
  <c r="C118" i="1"/>
  <c r="C111" i="1"/>
  <c r="G105" i="1"/>
  <c r="D111" i="1" s="1"/>
  <c r="D105" i="1"/>
  <c r="D106" i="1"/>
  <c r="F91" i="1"/>
  <c r="F89" i="1" s="1"/>
  <c r="H89" i="1" s="1"/>
  <c r="E100" i="1"/>
  <c r="G100" i="1" s="1"/>
  <c r="F79" i="1"/>
  <c r="H79" i="1" s="1"/>
  <c r="K92" i="1"/>
  <c r="E16" i="2" l="1"/>
  <c r="O21" i="8"/>
  <c r="O22" i="8" s="1"/>
  <c r="Q22" i="8" s="1"/>
  <c r="L14" i="8"/>
  <c r="F17" i="2" s="1"/>
  <c r="E111" i="1"/>
  <c r="J14" i="2" s="1"/>
  <c r="H83" i="1"/>
  <c r="K89" i="1"/>
  <c r="F90" i="1"/>
  <c r="K90" i="1" s="1"/>
  <c r="E105" i="1"/>
  <c r="F105" i="1" s="1"/>
  <c r="F93" i="1"/>
  <c r="H93" i="1" s="1"/>
  <c r="H91" i="1"/>
  <c r="F80" i="1"/>
  <c r="K80" i="1" s="1"/>
  <c r="K78" i="1" s="1"/>
  <c r="K79" i="1"/>
  <c r="H105" i="1" l="1"/>
  <c r="E14" i="2" s="1"/>
  <c r="E17" i="2"/>
  <c r="E18" i="2"/>
  <c r="T21" i="8"/>
  <c r="T22" i="8"/>
  <c r="Q21" i="8"/>
  <c r="R21" i="8" s="1"/>
  <c r="U21" i="8" s="1"/>
  <c r="H90" i="1"/>
  <c r="I92" i="1" s="1"/>
  <c r="K93" i="1"/>
  <c r="K88" i="1" s="1"/>
  <c r="H80" i="1"/>
  <c r="I81" i="1" s="1"/>
  <c r="I83" i="1" l="1"/>
  <c r="T20" i="8"/>
  <c r="I91" i="1"/>
  <c r="I93" i="1"/>
  <c r="I89" i="1"/>
  <c r="I82" i="1"/>
  <c r="I79" i="1"/>
  <c r="J16" i="2" l="1"/>
  <c r="L16" i="2" s="1"/>
  <c r="J17" i="2"/>
  <c r="L17" i="2" s="1"/>
</calcChain>
</file>

<file path=xl/sharedStrings.xml><?xml version="1.0" encoding="utf-8"?>
<sst xmlns="http://schemas.openxmlformats.org/spreadsheetml/2006/main" count="362" uniqueCount="212">
  <si>
    <t>niveau</t>
  </si>
  <si>
    <t>série 1</t>
  </si>
  <si>
    <t>série 2</t>
  </si>
  <si>
    <t>série 3</t>
  </si>
  <si>
    <t>pente</t>
  </si>
  <si>
    <t>C 5%</t>
  </si>
  <si>
    <t>moyenne</t>
  </si>
  <si>
    <t>ANOVA</t>
  </si>
  <si>
    <t>SCE</t>
  </si>
  <si>
    <t>ddl</t>
  </si>
  <si>
    <t>CM</t>
  </si>
  <si>
    <t>Fobs</t>
  </si>
  <si>
    <t>R²</t>
  </si>
  <si>
    <t>Sy/x</t>
  </si>
  <si>
    <t>SCEy/x</t>
  </si>
  <si>
    <t>SCEreg</t>
  </si>
  <si>
    <t>gamme étalon</t>
  </si>
  <si>
    <t>x</t>
  </si>
  <si>
    <t>X</t>
  </si>
  <si>
    <t>Y1</t>
  </si>
  <si>
    <t>Frég</t>
  </si>
  <si>
    <t>S²</t>
  </si>
  <si>
    <t>C 1%</t>
  </si>
  <si>
    <t>Cobs</t>
  </si>
  <si>
    <t>F5%</t>
  </si>
  <si>
    <t>contribution</t>
  </si>
  <si>
    <t>modèle</t>
  </si>
  <si>
    <t>Identification</t>
  </si>
  <si>
    <t>Origine</t>
  </si>
  <si>
    <t>résiduel</t>
  </si>
  <si>
    <t>S²x/y</t>
  </si>
  <si>
    <t>F crit 5%</t>
  </si>
  <si>
    <t>S²commun</t>
  </si>
  <si>
    <t>S²d</t>
  </si>
  <si>
    <t>S²(b1-b2)</t>
  </si>
  <si>
    <t>Tobs</t>
  </si>
  <si>
    <t>Tcrit 5%</t>
  </si>
  <si>
    <t>étalon 100%</t>
  </si>
  <si>
    <t>ordonnée</t>
  </si>
  <si>
    <t xml:space="preserve"> y = ax</t>
  </si>
  <si>
    <t>y = ax + b</t>
  </si>
  <si>
    <t>Z</t>
  </si>
  <si>
    <t>Rdt %</t>
  </si>
  <si>
    <t>C5%</t>
  </si>
  <si>
    <t>C1%</t>
  </si>
  <si>
    <t>contribution%</t>
  </si>
  <si>
    <t>total</t>
  </si>
  <si>
    <t>Conclusion</t>
  </si>
  <si>
    <t>LOD</t>
  </si>
  <si>
    <t>Système de référence retenu</t>
  </si>
  <si>
    <t>Sélectionner le système de référence</t>
  </si>
  <si>
    <t>[</t>
  </si>
  <si>
    <t>LOQ retenue</t>
  </si>
  <si>
    <t xml:space="preserve">VALIDATION D'UNE METHODE DE DOSAGE INDIRECTE D'UN ANALYTE DANS UNE FORME PHARMACEUTIQUE </t>
  </si>
  <si>
    <t>]</t>
  </si>
  <si>
    <t>1.0</t>
  </si>
  <si>
    <t>Excel V.</t>
  </si>
  <si>
    <t>oui</t>
  </si>
  <si>
    <t>non</t>
  </si>
  <si>
    <t>Méthode Validée :</t>
  </si>
  <si>
    <t>LOD - LOQ</t>
  </si>
  <si>
    <t>gamme</t>
  </si>
  <si>
    <t>Aire</t>
  </si>
  <si>
    <t>limite r</t>
  </si>
  <si>
    <t>limite Fi</t>
  </si>
  <si>
    <t>IC- (95%)</t>
  </si>
  <si>
    <t>IC+ (95%)</t>
  </si>
  <si>
    <t>R &gt; 0,998</t>
  </si>
  <si>
    <t>level</t>
  </si>
  <si>
    <t>regression</t>
  </si>
  <si>
    <t>linearity</t>
  </si>
  <si>
    <t>Ci</t>
  </si>
  <si>
    <t>serie</t>
  </si>
  <si>
    <t>inter serie</t>
  </si>
  <si>
    <t>parameter</t>
  </si>
  <si>
    <t>Responses</t>
  </si>
  <si>
    <t>slope b1</t>
  </si>
  <si>
    <t>intercept a1</t>
  </si>
  <si>
    <t>SD b1</t>
  </si>
  <si>
    <t>SD a1</t>
  </si>
  <si>
    <t>SD y/x</t>
  </si>
  <si>
    <t>dof</t>
  </si>
  <si>
    <t>Y'</t>
  </si>
  <si>
    <t>mean X</t>
  </si>
  <si>
    <t>Y'-2</t>
  </si>
  <si>
    <t>Y'-3</t>
  </si>
  <si>
    <t>Y'-4</t>
  </si>
  <si>
    <t>Y'-5</t>
  </si>
  <si>
    <t>Y'-6</t>
  </si>
  <si>
    <t>IC- 95%</t>
  </si>
  <si>
    <t>IC+ 95%</t>
  </si>
  <si>
    <t>Recouvrement moyen</t>
  </si>
  <si>
    <t>Gamme étalon</t>
  </si>
  <si>
    <t>Gamme forme reconstituée</t>
  </si>
  <si>
    <t>masse</t>
  </si>
  <si>
    <t>Changement de variable</t>
  </si>
  <si>
    <t>Etude de la linéarité</t>
  </si>
  <si>
    <t>Op 3 / J3</t>
  </si>
  <si>
    <t>Op 2 / J2</t>
  </si>
  <si>
    <t>Op1 / J1</t>
  </si>
  <si>
    <t>Aire-1</t>
  </si>
  <si>
    <t>Aire-2</t>
  </si>
  <si>
    <t>Aire-3</t>
  </si>
  <si>
    <t>Aire-4</t>
  </si>
  <si>
    <t>Aire-5</t>
  </si>
  <si>
    <t>Aire-6</t>
  </si>
  <si>
    <t>&lt; répétabilité</t>
  </si>
  <si>
    <t>CV%</t>
  </si>
  <si>
    <t>Fidélité</t>
  </si>
  <si>
    <t>Etude de la Robustesse</t>
  </si>
  <si>
    <t>Etude de la justesse</t>
  </si>
  <si>
    <t>Etude de la fidélité</t>
  </si>
  <si>
    <t>Intervalle de confiance 95%</t>
  </si>
  <si>
    <t>période de test</t>
  </si>
  <si>
    <t>Placket Burman est un plan d'exépriences utilisé pour découvrir comment les réponses (ex: aires) sont affectées par un faible changement des paramètres (T°C, pH), sans tenir compte cependant des interactions.</t>
  </si>
  <si>
    <t>niveau 0</t>
  </si>
  <si>
    <t>niveau -1</t>
  </si>
  <si>
    <t>niveau +1</t>
  </si>
  <si>
    <t xml:space="preserve">Le plan ci-dessous peut étudier de 4 à 7 facteurs à 2 niveaux en seulement 8 essais, l'équivalent de 128 essais si le plan était complet. </t>
  </si>
  <si>
    <t>Test de Cochran</t>
  </si>
  <si>
    <t>Y/X</t>
  </si>
  <si>
    <t>Log(X)</t>
  </si>
  <si>
    <t>0,95Rc</t>
  </si>
  <si>
    <t>1,05Rc</t>
  </si>
  <si>
    <t>jour</t>
  </si>
  <si>
    <t>Recouvrement [98% - 102%]</t>
  </si>
  <si>
    <t>Spécificité</t>
  </si>
  <si>
    <t xml:space="preserve">CV% répétabilité </t>
  </si>
  <si>
    <t>CV% fidélité intermédiaire</t>
  </si>
  <si>
    <t>Exactitude de la LOQ vérifiée</t>
  </si>
  <si>
    <t>Exactitude / Justesse</t>
  </si>
  <si>
    <t>Linéarité</t>
  </si>
  <si>
    <t>Recouvrement</t>
  </si>
  <si>
    <t>Justesse de la méthode</t>
  </si>
  <si>
    <t>parametre</t>
  </si>
  <si>
    <t>Test de Grubbs</t>
  </si>
  <si>
    <t>Gmin</t>
  </si>
  <si>
    <t>Gmax</t>
  </si>
  <si>
    <t>intra-série</t>
  </si>
  <si>
    <t>&lt; fidélité intermédiaire</t>
  </si>
  <si>
    <t>CV+ (95%)</t>
  </si>
  <si>
    <t>&lt; écart accaptable entre 2 mesures d'une même série</t>
  </si>
  <si>
    <t>&lt; écart accaptable entre 2 mesures de différentes séries</t>
  </si>
  <si>
    <t>Ecart acceptable</t>
  </si>
  <si>
    <t>G 5%</t>
  </si>
  <si>
    <t>G 1%</t>
  </si>
  <si>
    <t>Niveau</t>
  </si>
  <si>
    <t>Rdt% moyen</t>
  </si>
  <si>
    <t>Rdt% global</t>
  </si>
  <si>
    <t>écart-type S</t>
  </si>
  <si>
    <t>Student t</t>
  </si>
  <si>
    <t>Analyse de variances</t>
  </si>
  <si>
    <t>Etude de 3 paramètres</t>
  </si>
  <si>
    <t>essais</t>
  </si>
  <si>
    <t>Essais</t>
  </si>
  <si>
    <t>Analyse</t>
  </si>
  <si>
    <t>Domaine de linéarité</t>
  </si>
  <si>
    <t>Analyse critique des données</t>
  </si>
  <si>
    <t>forme reconstituée</t>
  </si>
  <si>
    <t>Si Cobs &lt; C5%, les variances sont homogènes</t>
  </si>
  <si>
    <t>Si C5% &lt; Cobs &lt; C1%, données aberrantes suspectées</t>
  </si>
  <si>
    <t>Si Cobs &gt; C1%, les variances sont hétérogènes</t>
  </si>
  <si>
    <t>SB²</t>
  </si>
  <si>
    <t>&gt;&gt;&gt;&gt;&gt; Validé la linéarité à partir du domaine de linéarité</t>
  </si>
  <si>
    <t>Système de référence retenue</t>
  </si>
  <si>
    <t>Les variances S²y/x des 2 gammes sont elles équivalentes ?</t>
  </si>
  <si>
    <t>étalon</t>
  </si>
  <si>
    <t>reconstituée</t>
  </si>
  <si>
    <t>Les pentes des 2 gammes sont elles équivalentes ?</t>
  </si>
  <si>
    <t>Les ordonnées des 2 gammes sont elles équivalentes ?</t>
  </si>
  <si>
    <t>&gt; Test de la spécificité</t>
  </si>
  <si>
    <t>&gt; test de justesse</t>
  </si>
  <si>
    <t>recontituée</t>
  </si>
  <si>
    <t>Les ordonnées des 2 gammes passent elles par 0 ?</t>
  </si>
  <si>
    <t>&gt; choix du système</t>
  </si>
  <si>
    <t>Séléction du système de référence</t>
  </si>
  <si>
    <r>
      <t xml:space="preserve">Si l'on prouve l'équivalence des 2 gammes et que celles-ci </t>
    </r>
    <r>
      <rPr>
        <b/>
        <sz val="11"/>
        <color rgb="FF00B050"/>
        <rFont val="Calibri"/>
        <family val="2"/>
        <scheme val="minor"/>
      </rPr>
      <t>passent par zéro</t>
    </r>
    <r>
      <rPr>
        <b/>
        <sz val="11"/>
        <color theme="1"/>
        <rFont val="Calibri"/>
        <family val="2"/>
        <scheme val="minor"/>
      </rPr>
      <t>, alors le système retenu est "étalon 100%"</t>
    </r>
  </si>
  <si>
    <r>
      <t xml:space="preserve">Si l'on prouve l'équivalence des 2 gammes et que celles-ci </t>
    </r>
    <r>
      <rPr>
        <b/>
        <sz val="11"/>
        <color rgb="FFFF0000"/>
        <rFont val="Calibri"/>
        <family val="2"/>
        <scheme val="minor"/>
      </rPr>
      <t>ne passent pas par zéro</t>
    </r>
    <r>
      <rPr>
        <b/>
        <sz val="11"/>
        <color theme="1"/>
        <rFont val="Calibri"/>
        <family val="2"/>
        <scheme val="minor"/>
      </rPr>
      <t>, alors le système retenu est "gamme étalon"</t>
    </r>
  </si>
  <si>
    <t xml:space="preserve">étalon 100 % </t>
  </si>
  <si>
    <t>étalon 100% : l'étalonnage ce fait à partir d'un seul point étalon 100% puisque la droite est linéaire et passe par l'origine 0</t>
  </si>
  <si>
    <t>gamme étalon : l'étalonnage se fait à partir d'une gamme étaon nécessitant plusieurs niveau de concentration</t>
  </si>
  <si>
    <t>jour 1</t>
  </si>
  <si>
    <t>jour 2</t>
  </si>
  <si>
    <t>jour 3</t>
  </si>
  <si>
    <t xml:space="preserve"> S i le test de Cochran est NC, </t>
  </si>
  <si>
    <t>Vérifiez la présence de données aberrante (test de Grubbs)</t>
  </si>
  <si>
    <t>Si il n'y a pas de données aberrantes</t>
  </si>
  <si>
    <t xml:space="preserve">Ne pas tenir compte du test de Cochran </t>
  </si>
  <si>
    <t>Si F &lt; F5%, l'homogénéité des recouvrements est observée</t>
  </si>
  <si>
    <t>I</t>
  </si>
  <si>
    <t>A+</t>
  </si>
  <si>
    <t>A-</t>
  </si>
  <si>
    <t>B+</t>
  </si>
  <si>
    <t>B-</t>
  </si>
  <si>
    <t>C+</t>
  </si>
  <si>
    <t>C-</t>
  </si>
  <si>
    <t>cible (100%)</t>
  </si>
  <si>
    <t>T+ (+2%)</t>
  </si>
  <si>
    <t>T- (-2%)</t>
  </si>
  <si>
    <t>Effet de matrice</t>
  </si>
  <si>
    <t>&lt; 2%</t>
  </si>
  <si>
    <t>&gt;&gt;&gt;&gt;&gt;&gt;&gt;</t>
  </si>
  <si>
    <t>&lt; 1%</t>
  </si>
  <si>
    <t>Effet</t>
  </si>
  <si>
    <t>Paramètre</t>
  </si>
  <si>
    <t>-</t>
  </si>
  <si>
    <t>Domaine d'étude</t>
  </si>
  <si>
    <t>Rapport</t>
  </si>
  <si>
    <t>Ecart accéptable entre 2 mesures</t>
  </si>
  <si>
    <t>Visa / date :</t>
  </si>
  <si>
    <t>www.methodesdevalidation.com</t>
  </si>
  <si>
    <t>Morgan GERMA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</si>
</sst>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00"/>
    <numFmt numFmtId="166" formatCode="0.0"/>
    <numFmt numFmtId="167" formatCode="0.00.E+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14" fillId="0" borderId="0" applyNumberFormat="0" applyFill="0" applyBorder="0" applyAlignment="0" applyProtection="0"/>
  </cellStyleXfs>
  <cellXfs count="250">
    <xf numFmtId="0" fontId="0" fillId="0" borderId="0" xfId="0"/>
    <xf numFmtId="0" fontId="0" fillId="0" borderId="0" xfId="0" applyAlignment="1" applyProtection="1">
      <alignment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165" fontId="0" fillId="6" borderId="1" xfId="0" applyNumberFormat="1" applyFill="1" applyBorder="1" applyAlignment="1" applyProtection="1">
      <alignment horizontal="center" vertical="center"/>
      <protection hidden="1"/>
    </xf>
    <xf numFmtId="165" fontId="0" fillId="0" borderId="1" xfId="0" applyNumberFormat="1" applyFill="1" applyBorder="1" applyAlignment="1" applyProtection="1">
      <alignment horizontal="center" vertical="center"/>
      <protection hidden="1"/>
    </xf>
    <xf numFmtId="166" fontId="3" fillId="0" borderId="1" xfId="1" applyNumberFormat="1" applyFont="1" applyFill="1" applyBorder="1" applyAlignment="1" applyProtection="1">
      <alignment horizontal="center" vertical="center"/>
      <protection hidden="1"/>
    </xf>
    <xf numFmtId="166" fontId="3" fillId="7" borderId="1" xfId="1" applyNumberFormat="1" applyFont="1" applyFill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1" fillId="0" borderId="0" xfId="0" applyFont="1" applyFill="1" applyBorder="1" applyAlignment="1" applyProtection="1">
      <alignment vertical="center"/>
      <protection hidden="1"/>
    </xf>
    <xf numFmtId="0" fontId="0" fillId="0" borderId="0" xfId="0" applyFill="1" applyBorder="1" applyAlignment="1" applyProtection="1">
      <alignment vertical="center"/>
      <protection hidden="1"/>
    </xf>
    <xf numFmtId="0" fontId="0" fillId="0" borderId="0" xfId="0" applyFill="1" applyAlignment="1" applyProtection="1">
      <alignment vertical="center"/>
      <protection hidden="1"/>
    </xf>
    <xf numFmtId="0" fontId="1" fillId="3" borderId="0" xfId="0" applyFont="1" applyFill="1" applyBorder="1" applyAlignment="1" applyProtection="1">
      <alignment vertical="center"/>
      <protection hidden="1"/>
    </xf>
    <xf numFmtId="0" fontId="0" fillId="3" borderId="0" xfId="0" applyFill="1" applyBorder="1" applyAlignment="1" applyProtection="1">
      <alignment vertical="center"/>
      <protection hidden="1"/>
    </xf>
    <xf numFmtId="0" fontId="0" fillId="3" borderId="0" xfId="0" applyFill="1" applyAlignment="1" applyProtection="1">
      <alignment vertical="center"/>
      <protection hidden="1"/>
    </xf>
    <xf numFmtId="0" fontId="1" fillId="0" borderId="0" xfId="0" applyFont="1" applyBorder="1" applyAlignment="1" applyProtection="1">
      <alignment vertical="center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165" fontId="0" fillId="4" borderId="6" xfId="0" applyNumberFormat="1" applyFill="1" applyBorder="1" applyAlignment="1" applyProtection="1">
      <alignment horizontal="center" vertical="center"/>
      <protection hidden="1"/>
    </xf>
    <xf numFmtId="1" fontId="0" fillId="4" borderId="1" xfId="0" applyNumberForma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165" fontId="0" fillId="2" borderId="6" xfId="0" applyNumberFormat="1" applyFill="1" applyBorder="1" applyAlignment="1" applyProtection="1">
      <alignment horizontal="center" vertical="center"/>
      <protection hidden="1"/>
    </xf>
    <xf numFmtId="1" fontId="0" fillId="2" borderId="1" xfId="0" applyNumberFormat="1" applyFill="1" applyBorder="1" applyAlignment="1" applyProtection="1">
      <alignment horizontal="center" vertical="center"/>
      <protection hidden="1"/>
    </xf>
    <xf numFmtId="165" fontId="0" fillId="4" borderId="1" xfId="0" applyNumberFormat="1" applyFill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vertical="center"/>
      <protection hidden="1"/>
    </xf>
    <xf numFmtId="1" fontId="0" fillId="6" borderId="1" xfId="0" applyNumberFormat="1" applyFill="1" applyBorder="1" applyAlignment="1" applyProtection="1">
      <alignment horizontal="center" vertical="center"/>
      <protection hidden="1"/>
    </xf>
    <xf numFmtId="1" fontId="0" fillId="0" borderId="1" xfId="0" applyNumberFormat="1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9" fontId="0" fillId="0" borderId="0" xfId="0" applyNumberFormat="1" applyBorder="1" applyAlignment="1" applyProtection="1">
      <alignment horizontal="center" vertical="center"/>
      <protection hidden="1"/>
    </xf>
    <xf numFmtId="164" fontId="0" fillId="0" borderId="0" xfId="0" applyNumberFormat="1" applyBorder="1" applyAlignment="1" applyProtection="1">
      <alignment horizontal="center" vertical="center"/>
      <protection hidden="1"/>
    </xf>
    <xf numFmtId="165" fontId="0" fillId="0" borderId="0" xfId="0" applyNumberFormat="1" applyBorder="1" applyAlignment="1" applyProtection="1">
      <alignment horizontal="center" vertical="center"/>
      <protection hidden="1"/>
    </xf>
    <xf numFmtId="0" fontId="0" fillId="8" borderId="9" xfId="0" applyFill="1" applyBorder="1" applyAlignment="1" applyProtection="1">
      <alignment horizontal="center" vertical="center"/>
      <protection hidden="1"/>
    </xf>
    <xf numFmtId="0" fontId="0" fillId="8" borderId="8" xfId="0" applyFill="1" applyBorder="1" applyAlignment="1" applyProtection="1">
      <alignment horizontal="center" vertical="center"/>
      <protection hidden="1"/>
    </xf>
    <xf numFmtId="0" fontId="0" fillId="8" borderId="8" xfId="0" applyFill="1" applyBorder="1" applyAlignment="1" applyProtection="1">
      <alignment vertical="center"/>
      <protection hidden="1"/>
    </xf>
    <xf numFmtId="0" fontId="0" fillId="8" borderId="10" xfId="0" applyFill="1" applyBorder="1" applyAlignment="1" applyProtection="1">
      <alignment horizontal="center" vertical="center"/>
      <protection hidden="1"/>
    </xf>
    <xf numFmtId="0" fontId="0" fillId="8" borderId="11" xfId="0" applyFill="1" applyBorder="1" applyAlignment="1" applyProtection="1">
      <alignment horizontal="center" vertical="center"/>
      <protection hidden="1"/>
    </xf>
    <xf numFmtId="0" fontId="0" fillId="8" borderId="0" xfId="0" applyFill="1" applyBorder="1" applyAlignment="1" applyProtection="1">
      <alignment horizontal="center" vertical="center"/>
      <protection hidden="1"/>
    </xf>
    <xf numFmtId="0" fontId="0" fillId="8" borderId="0" xfId="0" applyFill="1" applyBorder="1" applyAlignment="1" applyProtection="1">
      <alignment vertical="center"/>
      <protection hidden="1"/>
    </xf>
    <xf numFmtId="0" fontId="0" fillId="8" borderId="12" xfId="0" applyFill="1" applyBorder="1" applyAlignment="1" applyProtection="1">
      <alignment horizontal="center" vertical="center"/>
      <protection hidden="1"/>
    </xf>
    <xf numFmtId="11" fontId="2" fillId="0" borderId="0" xfId="0" applyNumberFormat="1" applyFont="1" applyFill="1" applyBorder="1" applyAlignment="1" applyProtection="1">
      <alignment horizontal="center" vertical="center"/>
      <protection hidden="1"/>
    </xf>
    <xf numFmtId="0" fontId="0" fillId="8" borderId="13" xfId="0" applyFill="1" applyBorder="1" applyAlignment="1" applyProtection="1">
      <alignment horizontal="center" vertical="center"/>
      <protection hidden="1"/>
    </xf>
    <xf numFmtId="0" fontId="0" fillId="8" borderId="14" xfId="0" applyFill="1" applyBorder="1" applyAlignment="1" applyProtection="1">
      <alignment horizontal="center" vertical="center"/>
      <protection hidden="1"/>
    </xf>
    <xf numFmtId="0" fontId="0" fillId="8" borderId="14" xfId="0" applyFill="1" applyBorder="1" applyAlignment="1" applyProtection="1">
      <alignment vertical="center"/>
      <protection hidden="1"/>
    </xf>
    <xf numFmtId="0" fontId="0" fillId="8" borderId="15" xfId="0" applyFill="1" applyBorder="1" applyAlignment="1" applyProtection="1">
      <alignment horizontal="center" vertical="center"/>
      <protection hidden="1"/>
    </xf>
    <xf numFmtId="0" fontId="7" fillId="0" borderId="0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165" fontId="0" fillId="0" borderId="1" xfId="0" applyNumberFormat="1" applyBorder="1" applyAlignment="1" applyProtection="1">
      <alignment horizontal="center" vertical="center"/>
      <protection hidden="1"/>
    </xf>
    <xf numFmtId="0" fontId="2" fillId="7" borderId="0" xfId="0" applyFont="1" applyFill="1" applyBorder="1" applyAlignment="1" applyProtection="1">
      <alignment vertical="center"/>
      <protection hidden="1"/>
    </xf>
    <xf numFmtId="10" fontId="0" fillId="9" borderId="1" xfId="0" applyNumberFormat="1" applyFill="1" applyBorder="1" applyAlignment="1" applyProtection="1">
      <alignment horizontal="center" vertic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11" fontId="0" fillId="0" borderId="1" xfId="0" applyNumberFormat="1" applyFill="1" applyBorder="1" applyAlignment="1" applyProtection="1">
      <alignment horizontal="center" vertical="center"/>
      <protection hidden="1"/>
    </xf>
    <xf numFmtId="9" fontId="0" fillId="0" borderId="1" xfId="0" applyNumberFormat="1" applyFill="1" applyBorder="1" applyAlignment="1" applyProtection="1">
      <alignment horizontal="center" vertical="center"/>
      <protection hidden="1"/>
    </xf>
    <xf numFmtId="0" fontId="2" fillId="7" borderId="0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Fill="1" applyBorder="1" applyAlignment="1" applyProtection="1">
      <alignment horizontal="center" vertical="center"/>
      <protection hidden="1"/>
    </xf>
    <xf numFmtId="2" fontId="2" fillId="7" borderId="0" xfId="0" applyNumberFormat="1" applyFont="1" applyFill="1" applyBorder="1" applyAlignment="1" applyProtection="1">
      <alignment horizontal="center" vertical="center"/>
      <protection hidden="1"/>
    </xf>
    <xf numFmtId="11" fontId="2" fillId="7" borderId="0" xfId="0" applyNumberFormat="1" applyFont="1" applyFill="1" applyBorder="1" applyAlignment="1" applyProtection="1">
      <alignment horizontal="center" vertical="center"/>
      <protection hidden="1"/>
    </xf>
    <xf numFmtId="0" fontId="0" fillId="9" borderId="3" xfId="0" applyFill="1" applyBorder="1" applyAlignment="1" applyProtection="1">
      <alignment horizontal="center" vertical="center"/>
      <protection hidden="1"/>
    </xf>
    <xf numFmtId="0" fontId="0" fillId="2" borderId="3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11" fontId="0" fillId="2" borderId="1" xfId="0" applyNumberFormat="1" applyFill="1" applyBorder="1" applyAlignment="1" applyProtection="1">
      <alignment horizontal="center" vertical="center"/>
      <protection hidden="1"/>
    </xf>
    <xf numFmtId="2" fontId="0" fillId="2" borderId="1" xfId="0" applyNumberFormat="1" applyFill="1" applyBorder="1" applyAlignment="1" applyProtection="1">
      <alignment horizontal="center" vertical="center"/>
      <protection hidden="1"/>
    </xf>
    <xf numFmtId="9" fontId="0" fillId="2" borderId="1" xfId="0" applyNumberFormat="1" applyFill="1" applyBorder="1" applyAlignment="1" applyProtection="1">
      <alignment horizontal="center" vertical="center"/>
      <protection hidden="1"/>
    </xf>
    <xf numFmtId="2" fontId="3" fillId="2" borderId="1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Alignment="1" applyProtection="1">
      <alignment vertical="center"/>
      <protection hidden="1"/>
    </xf>
    <xf numFmtId="0" fontId="0" fillId="0" borderId="3" xfId="0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2" fontId="0" fillId="0" borderId="0" xfId="0" applyNumberForma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horizontal="left" vertical="center"/>
      <protection hidden="1"/>
    </xf>
    <xf numFmtId="2" fontId="0" fillId="0" borderId="0" xfId="0" applyNumberFormat="1" applyFill="1" applyAlignment="1" applyProtection="1">
      <alignment vertical="center"/>
      <protection hidden="1"/>
    </xf>
    <xf numFmtId="0" fontId="0" fillId="0" borderId="0" xfId="0" applyFill="1" applyBorder="1" applyAlignment="1" applyProtection="1">
      <alignment horizontal="right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11" fontId="0" fillId="0" borderId="1" xfId="0" applyNumberFormat="1" applyBorder="1" applyAlignment="1" applyProtection="1">
      <alignment horizontal="center" vertical="center"/>
      <protection hidden="1"/>
    </xf>
    <xf numFmtId="11" fontId="0" fillId="0" borderId="0" xfId="0" applyNumberFormat="1" applyBorder="1" applyAlignment="1" applyProtection="1">
      <alignment vertical="center"/>
      <protection hidden="1"/>
    </xf>
    <xf numFmtId="11" fontId="0" fillId="9" borderId="1" xfId="0" applyNumberFormat="1" applyFill="1" applyBorder="1" applyAlignment="1" applyProtection="1">
      <alignment horizontal="center" vertical="center"/>
      <protection hidden="1"/>
    </xf>
    <xf numFmtId="0" fontId="0" fillId="5" borderId="0" xfId="0" applyFill="1" applyBorder="1" applyAlignment="1" applyProtection="1">
      <alignment vertical="center"/>
      <protection hidden="1"/>
    </xf>
    <xf numFmtId="0" fontId="1" fillId="5" borderId="0" xfId="0" applyFont="1" applyFill="1" applyBorder="1" applyAlignment="1" applyProtection="1">
      <alignment vertical="center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11" fontId="0" fillId="0" borderId="0" xfId="0" applyNumberFormat="1" applyAlignment="1" applyProtection="1">
      <alignment vertical="center"/>
      <protection hidden="1"/>
    </xf>
    <xf numFmtId="11" fontId="0" fillId="0" borderId="0" xfId="0" applyNumberFormat="1" applyFill="1" applyBorder="1" applyAlignment="1" applyProtection="1">
      <alignment vertical="center"/>
      <protection hidden="1"/>
    </xf>
    <xf numFmtId="0" fontId="0" fillId="0" borderId="0" xfId="0" applyNumberFormat="1" applyAlignment="1" applyProtection="1">
      <alignment vertical="center"/>
      <protection hidden="1"/>
    </xf>
    <xf numFmtId="0" fontId="0" fillId="0" borderId="0" xfId="0" applyNumberForma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left" vertical="center"/>
      <protection hidden="1"/>
    </xf>
    <xf numFmtId="0" fontId="5" fillId="0" borderId="0" xfId="0" applyFont="1" applyFill="1" applyBorder="1" applyAlignment="1" applyProtection="1">
      <alignment horizontal="center" vertical="center"/>
      <protection hidden="1"/>
    </xf>
    <xf numFmtId="165" fontId="0" fillId="6" borderId="6" xfId="0" applyNumberFormat="1" applyFill="1" applyBorder="1" applyAlignment="1" applyProtection="1">
      <alignment horizontal="center" vertical="center"/>
      <protection hidden="1"/>
    </xf>
    <xf numFmtId="11" fontId="0" fillId="6" borderId="1" xfId="0" applyNumberFormat="1" applyFill="1" applyBorder="1" applyAlignment="1" applyProtection="1">
      <alignment horizontal="center" vertical="center"/>
      <protection hidden="1"/>
    </xf>
    <xf numFmtId="10" fontId="0" fillId="6" borderId="1" xfId="0" applyNumberFormat="1" applyFill="1" applyBorder="1" applyAlignment="1" applyProtection="1">
      <alignment horizontal="center" vertical="center"/>
      <protection hidden="1"/>
    </xf>
    <xf numFmtId="9" fontId="0" fillId="9" borderId="1" xfId="0" applyNumberFormat="1" applyFill="1" applyBorder="1" applyAlignment="1" applyProtection="1">
      <alignment horizontal="center" vertical="center"/>
      <protection hidden="1"/>
    </xf>
    <xf numFmtId="165" fontId="0" fillId="0" borderId="6" xfId="0" applyNumberFormat="1" applyFill="1" applyBorder="1" applyAlignment="1" applyProtection="1">
      <alignment horizontal="center" vertical="center"/>
      <protection hidden="1"/>
    </xf>
    <xf numFmtId="11" fontId="0" fillId="7" borderId="1" xfId="0" applyNumberFormat="1" applyFill="1" applyBorder="1" applyAlignment="1" applyProtection="1">
      <alignment horizontal="center" vertical="center"/>
      <protection hidden="1"/>
    </xf>
    <xf numFmtId="10" fontId="0" fillId="7" borderId="1" xfId="0" applyNumberFormat="1" applyFill="1" applyBorder="1" applyAlignment="1" applyProtection="1">
      <alignment horizontal="center" vertical="center"/>
      <protection hidden="1"/>
    </xf>
    <xf numFmtId="10" fontId="0" fillId="0" borderId="1" xfId="0" applyNumberFormat="1" applyBorder="1" applyAlignment="1" applyProtection="1">
      <alignment horizontal="center" vertical="center"/>
      <protection hidden="1"/>
    </xf>
    <xf numFmtId="10" fontId="0" fillId="0" borderId="1" xfId="0" applyNumberFormat="1" applyFill="1" applyBorder="1" applyAlignment="1" applyProtection="1">
      <alignment horizontal="center" vertical="center"/>
      <protection hidden="1"/>
    </xf>
    <xf numFmtId="0" fontId="1" fillId="3" borderId="0" xfId="0" applyFont="1" applyFill="1" applyAlignment="1" applyProtection="1">
      <alignment vertical="center"/>
      <protection hidden="1"/>
    </xf>
    <xf numFmtId="10" fontId="2" fillId="0" borderId="0" xfId="0" applyNumberFormat="1" applyFont="1" applyAlignment="1" applyProtection="1">
      <alignment vertical="center"/>
      <protection hidden="1"/>
    </xf>
    <xf numFmtId="9" fontId="2" fillId="0" borderId="0" xfId="0" applyNumberFormat="1" applyFont="1" applyAlignment="1" applyProtection="1">
      <alignment vertical="center"/>
      <protection hidden="1"/>
    </xf>
    <xf numFmtId="9" fontId="2" fillId="0" borderId="0" xfId="0" applyNumberFormat="1" applyFont="1" applyFill="1" applyBorder="1" applyAlignment="1" applyProtection="1">
      <alignment vertical="center"/>
      <protection hidden="1"/>
    </xf>
    <xf numFmtId="0" fontId="1" fillId="0" borderId="0" xfId="0" applyNumberFormat="1" applyFont="1" applyFill="1" applyBorder="1" applyAlignment="1" applyProtection="1">
      <alignment horizontal="left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0" fillId="10" borderId="1" xfId="0" applyNumberFormat="1" applyFill="1" applyBorder="1" applyAlignment="1" applyProtection="1">
      <alignment horizontal="center" vertical="center"/>
      <protection hidden="1"/>
    </xf>
    <xf numFmtId="2" fontId="0" fillId="10" borderId="1" xfId="0" applyNumberFormat="1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" fillId="3" borderId="0" xfId="0" applyFont="1" applyFill="1" applyBorder="1" applyAlignment="1" applyProtection="1">
      <alignment horizontal="left" vertical="center"/>
      <protection hidden="1"/>
    </xf>
    <xf numFmtId="0" fontId="0" fillId="3" borderId="0" xfId="0" applyFont="1" applyFill="1" applyBorder="1" applyAlignment="1" applyProtection="1">
      <alignment horizontal="left" vertical="center"/>
      <protection hidden="1"/>
    </xf>
    <xf numFmtId="167" fontId="0" fillId="0" borderId="1" xfId="0" applyNumberForma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0" fillId="3" borderId="0" xfId="0" applyFont="1" applyFill="1" applyBorder="1" applyAlignment="1" applyProtection="1">
      <alignment horizontal="center" vertical="center" wrapText="1"/>
      <protection hidden="1"/>
    </xf>
    <xf numFmtId="0" fontId="3" fillId="0" borderId="0" xfId="1" applyFont="1" applyBorder="1" applyAlignment="1" applyProtection="1">
      <alignment vertical="center"/>
      <protection hidden="1"/>
    </xf>
    <xf numFmtId="0" fontId="5" fillId="0" borderId="0" xfId="1" applyFont="1" applyBorder="1" applyAlignment="1" applyProtection="1">
      <alignment vertical="center"/>
      <protection hidden="1"/>
    </xf>
    <xf numFmtId="0" fontId="8" fillId="0" borderId="0" xfId="1" applyFont="1" applyBorder="1" applyAlignment="1" applyProtection="1">
      <alignment vertical="center"/>
      <protection hidden="1"/>
    </xf>
    <xf numFmtId="0" fontId="3" fillId="0" borderId="0" xfId="1" applyFont="1" applyBorder="1" applyAlignment="1" applyProtection="1">
      <alignment horizontal="center" vertical="center"/>
      <protection hidden="1"/>
    </xf>
    <xf numFmtId="0" fontId="1" fillId="3" borderId="0" xfId="0" applyFont="1" applyFill="1" applyBorder="1" applyAlignment="1" applyProtection="1">
      <alignment horizontal="center" vertical="center" wrapText="1"/>
      <protection hidden="1"/>
    </xf>
    <xf numFmtId="0" fontId="5" fillId="0" borderId="0" xfId="1" applyFont="1" applyBorder="1" applyAlignment="1" applyProtection="1">
      <alignment horizontal="center" vertical="center"/>
      <protection hidden="1"/>
    </xf>
    <xf numFmtId="0" fontId="5" fillId="9" borderId="1" xfId="1" applyFont="1" applyFill="1" applyBorder="1" applyAlignment="1" applyProtection="1">
      <alignment horizontal="center" vertical="center" wrapText="1"/>
      <protection hidden="1"/>
    </xf>
    <xf numFmtId="0" fontId="3" fillId="9" borderId="1" xfId="1" applyFont="1" applyFill="1" applyBorder="1" applyAlignment="1" applyProtection="1">
      <alignment horizontal="center" vertical="center"/>
      <protection hidden="1"/>
    </xf>
    <xf numFmtId="0" fontId="3" fillId="9" borderId="1" xfId="1" applyFont="1" applyFill="1" applyBorder="1" applyAlignment="1" applyProtection="1">
      <alignment horizontal="center" vertical="center" wrapText="1"/>
      <protection hidden="1"/>
    </xf>
    <xf numFmtId="2" fontId="3" fillId="0" borderId="1" xfId="1" applyNumberFormat="1" applyFont="1" applyFill="1" applyBorder="1" applyAlignment="1" applyProtection="1">
      <alignment horizontal="center" vertical="center"/>
      <protection hidden="1"/>
    </xf>
    <xf numFmtId="0" fontId="5" fillId="6" borderId="1" xfId="1" applyFont="1" applyFill="1" applyBorder="1" applyAlignment="1" applyProtection="1">
      <alignment horizontal="center" vertical="center"/>
      <protection hidden="1"/>
    </xf>
    <xf numFmtId="0" fontId="3" fillId="2" borderId="1" xfId="1" applyFont="1" applyFill="1" applyBorder="1" applyAlignment="1" applyProtection="1">
      <alignment horizontal="center" vertical="center"/>
      <protection hidden="1"/>
    </xf>
    <xf numFmtId="165" fontId="3" fillId="4" borderId="1" xfId="1" applyNumberFormat="1" applyFont="1" applyFill="1" applyBorder="1" applyAlignment="1" applyProtection="1">
      <alignment horizontal="center" vertical="center"/>
      <protection hidden="1"/>
    </xf>
    <xf numFmtId="2" fontId="3" fillId="0" borderId="0" xfId="1" applyNumberFormat="1" applyFont="1" applyAlignment="1" applyProtection="1">
      <alignment vertical="center"/>
      <protection hidden="1"/>
    </xf>
    <xf numFmtId="2" fontId="3" fillId="4" borderId="1" xfId="1" applyNumberFormat="1" applyFont="1" applyFill="1" applyBorder="1" applyAlignment="1" applyProtection="1">
      <alignment horizontal="center" vertical="center"/>
      <protection hidden="1"/>
    </xf>
    <xf numFmtId="0" fontId="3" fillId="4" borderId="1" xfId="1" applyFont="1" applyFill="1" applyBorder="1" applyAlignment="1" applyProtection="1">
      <alignment horizontal="center" vertical="center"/>
      <protection hidden="1"/>
    </xf>
    <xf numFmtId="0" fontId="3" fillId="0" borderId="0" xfId="1" applyFont="1" applyFill="1" applyBorder="1" applyAlignment="1" applyProtection="1">
      <alignment horizontal="center" vertical="center"/>
      <protection hidden="1"/>
    </xf>
    <xf numFmtId="0" fontId="5" fillId="0" borderId="0" xfId="1" applyFont="1" applyFill="1" applyBorder="1" applyAlignment="1" applyProtection="1">
      <alignment horizontal="left" vertical="center" wrapText="1"/>
      <protection hidden="1"/>
    </xf>
    <xf numFmtId="0" fontId="12" fillId="0" borderId="0" xfId="1" applyFont="1" applyFill="1" applyBorder="1" applyAlignment="1" applyProtection="1">
      <alignment horizontal="center" vertical="center" wrapText="1"/>
      <protection hidden="1"/>
    </xf>
    <xf numFmtId="0" fontId="2" fillId="0" borderId="0" xfId="1" applyFont="1" applyFill="1" applyBorder="1" applyAlignment="1" applyProtection="1">
      <alignment horizontal="center" vertical="center"/>
      <protection hidden="1"/>
    </xf>
    <xf numFmtId="2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1" applyFont="1" applyFill="1" applyAlignment="1" applyProtection="1">
      <alignment vertical="center"/>
      <protection hidden="1"/>
    </xf>
    <xf numFmtId="0" fontId="8" fillId="0" borderId="0" xfId="1" applyFont="1" applyFill="1" applyAlignment="1" applyProtection="1">
      <alignment vertical="center"/>
      <protection hidden="1"/>
    </xf>
    <xf numFmtId="0" fontId="8" fillId="0" borderId="0" xfId="1" applyFont="1" applyAlignment="1" applyProtection="1">
      <alignment vertical="center"/>
      <protection hidden="1"/>
    </xf>
    <xf numFmtId="2" fontId="3" fillId="0" borderId="1" xfId="1" applyNumberFormat="1" applyFont="1" applyBorder="1" applyAlignment="1" applyProtection="1">
      <alignment horizontal="center" vertical="center"/>
      <protection hidden="1"/>
    </xf>
    <xf numFmtId="2" fontId="3" fillId="0" borderId="0" xfId="1" applyNumberFormat="1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17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Protection="1">
      <protection hidden="1"/>
    </xf>
    <xf numFmtId="0" fontId="13" fillId="2" borderId="1" xfId="0" applyFont="1" applyFill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Fill="1" applyProtection="1">
      <protection hidden="1"/>
    </xf>
    <xf numFmtId="0" fontId="1" fillId="3" borderId="9" xfId="0" applyFont="1" applyFill="1" applyBorder="1" applyAlignment="1" applyProtection="1">
      <alignment horizontal="left" vertical="center"/>
      <protection hidden="1"/>
    </xf>
    <xf numFmtId="0" fontId="0" fillId="3" borderId="8" xfId="0" applyFont="1" applyFill="1" applyBorder="1" applyAlignment="1" applyProtection="1">
      <alignment horizontal="left" vertical="top"/>
      <protection hidden="1"/>
    </xf>
    <xf numFmtId="0" fontId="0" fillId="3" borderId="8" xfId="0" applyFont="1" applyFill="1" applyBorder="1" applyAlignment="1" applyProtection="1">
      <alignment horizontal="center" vertical="top" wrapText="1"/>
      <protection hidden="1"/>
    </xf>
    <xf numFmtId="0" fontId="0" fillId="3" borderId="10" xfId="0" applyFont="1" applyFill="1" applyBorder="1" applyAlignment="1" applyProtection="1">
      <alignment horizontal="center" vertical="top" wrapText="1"/>
      <protection hidden="1"/>
    </xf>
    <xf numFmtId="0" fontId="0" fillId="8" borderId="11" xfId="0" applyFill="1" applyBorder="1" applyProtection="1">
      <protection hidden="1"/>
    </xf>
    <xf numFmtId="0" fontId="0" fillId="8" borderId="0" xfId="0" applyFill="1" applyBorder="1" applyProtection="1">
      <protection hidden="1"/>
    </xf>
    <xf numFmtId="2" fontId="0" fillId="7" borderId="0" xfId="0" applyNumberFormat="1" applyFill="1" applyBorder="1" applyAlignment="1" applyProtection="1">
      <alignment horizontal="right"/>
      <protection hidden="1"/>
    </xf>
    <xf numFmtId="2" fontId="0" fillId="0" borderId="0" xfId="0" applyNumberFormat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left"/>
      <protection hidden="1"/>
    </xf>
    <xf numFmtId="165" fontId="0" fillId="2" borderId="0" xfId="0" applyNumberFormat="1" applyFill="1" applyBorder="1" applyAlignment="1" applyProtection="1">
      <alignment horizontal="center"/>
      <protection hidden="1"/>
    </xf>
    <xf numFmtId="0" fontId="0" fillId="0" borderId="12" xfId="0" applyBorder="1" applyProtection="1">
      <protection hidden="1"/>
    </xf>
    <xf numFmtId="10" fontId="0" fillId="2" borderId="0" xfId="0" applyNumberFormat="1" applyFill="1" applyBorder="1" applyAlignment="1" applyProtection="1">
      <alignment horizontal="center"/>
      <protection hidden="1"/>
    </xf>
    <xf numFmtId="0" fontId="1" fillId="3" borderId="11" xfId="0" applyFont="1" applyFill="1" applyBorder="1" applyAlignment="1" applyProtection="1">
      <alignment horizontal="left" vertical="center"/>
      <protection hidden="1"/>
    </xf>
    <xf numFmtId="0" fontId="0" fillId="3" borderId="0" xfId="0" applyFont="1" applyFill="1" applyBorder="1" applyAlignment="1" applyProtection="1">
      <alignment horizontal="left" vertical="top"/>
      <protection hidden="1"/>
    </xf>
    <xf numFmtId="0" fontId="0" fillId="3" borderId="0" xfId="0" applyFont="1" applyFill="1" applyBorder="1" applyAlignment="1" applyProtection="1">
      <alignment horizontal="center" vertical="top" wrapText="1"/>
      <protection hidden="1"/>
    </xf>
    <xf numFmtId="0" fontId="0" fillId="3" borderId="12" xfId="0" applyFont="1" applyFill="1" applyBorder="1" applyAlignment="1" applyProtection="1">
      <alignment horizontal="center" vertical="top" wrapText="1"/>
      <protection hidden="1"/>
    </xf>
    <xf numFmtId="0" fontId="0" fillId="0" borderId="0" xfId="0" applyBorder="1" applyProtection="1">
      <protection hidden="1"/>
    </xf>
    <xf numFmtId="10" fontId="0" fillId="0" borderId="0" xfId="0" applyNumberFormat="1" applyBorder="1" applyAlignment="1" applyProtection="1">
      <alignment horizontal="center"/>
      <protection hidden="1"/>
    </xf>
    <xf numFmtId="0" fontId="0" fillId="8" borderId="12" xfId="0" applyFill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right"/>
      <protection hidden="1"/>
    </xf>
    <xf numFmtId="0" fontId="0" fillId="8" borderId="13" xfId="0" applyFill="1" applyBorder="1" applyProtection="1">
      <protection hidden="1"/>
    </xf>
    <xf numFmtId="0" fontId="0" fillId="8" borderId="14" xfId="0" applyFill="1" applyBorder="1" applyProtection="1">
      <protection hidden="1"/>
    </xf>
    <xf numFmtId="0" fontId="0" fillId="0" borderId="14" xfId="0" applyBorder="1" applyAlignment="1" applyProtection="1">
      <alignment horizontal="right"/>
      <protection hidden="1"/>
    </xf>
    <xf numFmtId="0" fontId="0" fillId="0" borderId="14" xfId="0" applyBorder="1" applyProtection="1">
      <protection hidden="1"/>
    </xf>
    <xf numFmtId="2" fontId="0" fillId="0" borderId="14" xfId="0" applyNumberFormat="1" applyBorder="1" applyAlignment="1" applyProtection="1">
      <alignment horizontal="center"/>
      <protection hidden="1"/>
    </xf>
    <xf numFmtId="0" fontId="0" fillId="8" borderId="15" xfId="0" applyFill="1" applyBorder="1" applyProtection="1">
      <protection hidden="1"/>
    </xf>
    <xf numFmtId="0" fontId="0" fillId="0" borderId="9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15" xfId="0" applyBorder="1" applyProtection="1">
      <protection hidden="1"/>
    </xf>
    <xf numFmtId="0" fontId="1" fillId="0" borderId="11" xfId="0" applyFont="1" applyBorder="1" applyProtection="1">
      <protection hidden="1"/>
    </xf>
    <xf numFmtId="0" fontId="0" fillId="8" borderId="1" xfId="0" applyFill="1" applyBorder="1" applyAlignment="1" applyProtection="1">
      <alignment horizontal="center"/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1" fillId="3" borderId="9" xfId="0" applyFont="1" applyFill="1" applyBorder="1" applyAlignment="1" applyProtection="1">
      <alignment vertical="center"/>
      <protection hidden="1"/>
    </xf>
    <xf numFmtId="0" fontId="0" fillId="3" borderId="8" xfId="0" applyFill="1" applyBorder="1" applyAlignment="1" applyProtection="1">
      <alignment vertical="center"/>
      <protection hidden="1"/>
    </xf>
    <xf numFmtId="0" fontId="0" fillId="3" borderId="10" xfId="0" applyFill="1" applyBorder="1" applyAlignment="1" applyProtection="1">
      <alignment vertical="center"/>
      <protection hidden="1"/>
    </xf>
    <xf numFmtId="0" fontId="1" fillId="0" borderId="0" xfId="0" applyFont="1" applyBorder="1" applyAlignment="1" applyProtection="1">
      <alignment horizontal="right"/>
      <protection hidden="1"/>
    </xf>
    <xf numFmtId="0" fontId="0" fillId="2" borderId="16" xfId="0" applyFill="1" applyBorder="1" applyProtection="1">
      <protection hidden="1"/>
    </xf>
    <xf numFmtId="0" fontId="0" fillId="2" borderId="17" xfId="0" applyFill="1" applyBorder="1" applyProtection="1">
      <protection hidden="1"/>
    </xf>
    <xf numFmtId="0" fontId="1" fillId="2" borderId="1" xfId="0" applyFont="1" applyFill="1" applyBorder="1" applyAlignment="1" applyProtection="1">
      <alignment horizontal="center"/>
      <protection hidden="1"/>
    </xf>
    <xf numFmtId="0" fontId="0" fillId="2" borderId="18" xfId="0" applyFill="1" applyBorder="1" applyProtection="1">
      <protection hidden="1"/>
    </xf>
    <xf numFmtId="0" fontId="0" fillId="2" borderId="19" xfId="0" applyFill="1" applyBorder="1" applyProtection="1">
      <protection hidden="1"/>
    </xf>
    <xf numFmtId="10" fontId="0" fillId="0" borderId="0" xfId="0" applyNumberFormat="1" applyBorder="1" applyAlignment="1" applyProtection="1">
      <alignment horizontal="center"/>
      <protection hidden="1"/>
    </xf>
    <xf numFmtId="0" fontId="6" fillId="0" borderId="9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10" xfId="0" applyFont="1" applyBorder="1" applyAlignment="1" applyProtection="1">
      <alignment horizontal="center" vertical="center" wrapText="1"/>
      <protection hidden="1"/>
    </xf>
    <xf numFmtId="0" fontId="6" fillId="0" borderId="11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14" xfId="0" applyFont="1" applyBorder="1" applyAlignment="1" applyProtection="1">
      <alignment horizontal="center" vertical="center" wrapText="1"/>
      <protection hidden="1"/>
    </xf>
    <xf numFmtId="0" fontId="6" fillId="0" borderId="15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10" fontId="0" fillId="0" borderId="14" xfId="0" applyNumberFormat="1" applyBorder="1" applyAlignment="1" applyProtection="1">
      <alignment horizontal="center"/>
      <protection hidden="1"/>
    </xf>
    <xf numFmtId="0" fontId="1" fillId="3" borderId="0" xfId="0" applyFont="1" applyFill="1" applyBorder="1" applyAlignment="1" applyProtection="1">
      <alignment horizontal="left" vertical="top" wrapText="1"/>
      <protection hidden="1"/>
    </xf>
    <xf numFmtId="0" fontId="0" fillId="0" borderId="0" xfId="0" applyBorder="1" applyAlignment="1" applyProtection="1">
      <alignment horizontal="center"/>
      <protection hidden="1"/>
    </xf>
    <xf numFmtId="2" fontId="0" fillId="0" borderId="0" xfId="0" applyNumberFormat="1" applyBorder="1" applyAlignment="1" applyProtection="1">
      <alignment horizontal="center"/>
      <protection hidden="1"/>
    </xf>
    <xf numFmtId="0" fontId="1" fillId="3" borderId="8" xfId="0" applyFont="1" applyFill="1" applyBorder="1" applyAlignment="1" applyProtection="1">
      <alignment horizontal="left" vertical="center" wrapText="1"/>
      <protection hidden="1"/>
    </xf>
    <xf numFmtId="0" fontId="1" fillId="2" borderId="1" xfId="0" applyFont="1" applyFill="1" applyBorder="1" applyAlignment="1" applyProtection="1">
      <alignment horizontal="left" vertical="top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12" fillId="7" borderId="0" xfId="0" applyFont="1" applyFill="1" applyBorder="1" applyAlignment="1" applyProtection="1">
      <alignment horizontal="center" vertical="center"/>
      <protection hidden="1"/>
    </xf>
    <xf numFmtId="0" fontId="1" fillId="5" borderId="0" xfId="0" applyFont="1" applyFill="1" applyBorder="1" applyAlignment="1" applyProtection="1">
      <alignment horizontal="center" vertical="center"/>
      <protection hidden="1"/>
    </xf>
    <xf numFmtId="2" fontId="0" fillId="0" borderId="6" xfId="0" applyNumberFormat="1" applyFill="1" applyBorder="1" applyAlignment="1" applyProtection="1">
      <alignment horizontal="center" vertical="center"/>
      <protection hidden="1"/>
    </xf>
    <xf numFmtId="2" fontId="0" fillId="0" borderId="2" xfId="0" applyNumberFormat="1" applyFill="1" applyBorder="1" applyAlignment="1" applyProtection="1">
      <alignment horizontal="center" vertical="center"/>
      <protection hidden="1"/>
    </xf>
    <xf numFmtId="9" fontId="0" fillId="6" borderId="6" xfId="0" applyNumberFormat="1" applyFill="1" applyBorder="1" applyAlignment="1" applyProtection="1">
      <alignment horizontal="center" vertical="center"/>
      <protection hidden="1"/>
    </xf>
    <xf numFmtId="9" fontId="0" fillId="6" borderId="7" xfId="0" applyNumberFormat="1" applyFill="1" applyBorder="1" applyAlignment="1" applyProtection="1">
      <alignment horizontal="center" vertical="center"/>
      <protection hidden="1"/>
    </xf>
    <xf numFmtId="9" fontId="0" fillId="6" borderId="2" xfId="0" applyNumberFormat="1" applyFill="1" applyBorder="1" applyAlignment="1" applyProtection="1">
      <alignment horizontal="center" vertical="center"/>
      <protection hidden="1"/>
    </xf>
    <xf numFmtId="2" fontId="1" fillId="0" borderId="6" xfId="0" applyNumberFormat="1" applyFont="1" applyFill="1" applyBorder="1" applyAlignment="1" applyProtection="1">
      <alignment horizontal="center" vertical="center"/>
      <protection hidden="1"/>
    </xf>
    <xf numFmtId="2" fontId="1" fillId="0" borderId="2" xfId="0" applyNumberFormat="1" applyFont="1" applyFill="1" applyBorder="1" applyAlignment="1" applyProtection="1">
      <alignment horizontal="center" vertical="center"/>
      <protection hidden="1"/>
    </xf>
    <xf numFmtId="0" fontId="1" fillId="6" borderId="1" xfId="0" applyFont="1" applyFill="1" applyBorder="1" applyAlignment="1" applyProtection="1">
      <alignment horizontal="center" vertical="center"/>
      <protection hidden="1"/>
    </xf>
    <xf numFmtId="0" fontId="1" fillId="6" borderId="3" xfId="0" applyFont="1" applyFill="1" applyBorder="1" applyAlignment="1" applyProtection="1">
      <alignment horizontal="center" vertical="center"/>
      <protection hidden="1"/>
    </xf>
    <xf numFmtId="0" fontId="1" fillId="6" borderId="5" xfId="0" applyFont="1" applyFill="1" applyBorder="1" applyAlignment="1" applyProtection="1">
      <alignment horizontal="center" vertical="center"/>
      <protection hidden="1"/>
    </xf>
    <xf numFmtId="0" fontId="1" fillId="6" borderId="4" xfId="0" applyFont="1" applyFill="1" applyBorder="1" applyAlignment="1" applyProtection="1">
      <alignment horizontal="center" vertical="center"/>
      <protection hidden="1"/>
    </xf>
    <xf numFmtId="11" fontId="0" fillId="0" borderId="6" xfId="0" applyNumberFormat="1" applyFill="1" applyBorder="1" applyAlignment="1" applyProtection="1">
      <alignment horizontal="center" vertical="center"/>
      <protection hidden="1"/>
    </xf>
    <xf numFmtId="11" fontId="0" fillId="0" borderId="2" xfId="0" applyNumberFormat="1" applyFill="1" applyBorder="1" applyAlignment="1" applyProtection="1">
      <alignment horizontal="center" vertical="center"/>
      <protection hidden="1"/>
    </xf>
    <xf numFmtId="11" fontId="2" fillId="0" borderId="0" xfId="0" applyNumberFormat="1" applyFont="1" applyFill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9" fontId="0" fillId="0" borderId="6" xfId="0" applyNumberFormat="1" applyBorder="1" applyAlignment="1" applyProtection="1">
      <alignment horizontal="center" vertical="center"/>
      <protection hidden="1"/>
    </xf>
    <xf numFmtId="9" fontId="0" fillId="0" borderId="7" xfId="0" applyNumberFormat="1" applyBorder="1" applyAlignment="1" applyProtection="1">
      <alignment horizontal="center" vertical="center"/>
      <protection hidden="1"/>
    </xf>
    <xf numFmtId="9" fontId="0" fillId="0" borderId="2" xfId="0" applyNumberFormat="1" applyBorder="1" applyAlignment="1" applyProtection="1">
      <alignment horizontal="center" vertical="center"/>
      <protection hidden="1"/>
    </xf>
    <xf numFmtId="0" fontId="1" fillId="0" borderId="1" xfId="0" applyFont="1" applyFill="1" applyBorder="1" applyAlignment="1" applyProtection="1">
      <alignment horizontal="center" vertical="center"/>
      <protection hidden="1"/>
    </xf>
    <xf numFmtId="10" fontId="0" fillId="6" borderId="6" xfId="0" applyNumberFormat="1" applyFill="1" applyBorder="1" applyAlignment="1" applyProtection="1">
      <alignment horizontal="center" vertical="center"/>
      <protection hidden="1"/>
    </xf>
    <xf numFmtId="0" fontId="0" fillId="6" borderId="7" xfId="0" applyFill="1" applyBorder="1" applyAlignment="1" applyProtection="1">
      <alignment horizontal="center" vertical="center"/>
      <protection hidden="1"/>
    </xf>
    <xf numFmtId="0" fontId="0" fillId="6" borderId="2" xfId="0" applyFill="1" applyBorder="1" applyAlignment="1" applyProtection="1">
      <alignment horizontal="center" vertical="center"/>
      <protection hidden="1"/>
    </xf>
    <xf numFmtId="10" fontId="0" fillId="7" borderId="6" xfId="0" applyNumberFormat="1" applyFill="1" applyBorder="1" applyAlignment="1" applyProtection="1">
      <alignment horizontal="center" vertical="center"/>
      <protection hidden="1"/>
    </xf>
    <xf numFmtId="0" fontId="0" fillId="7" borderId="7" xfId="0" applyFill="1" applyBorder="1" applyAlignment="1" applyProtection="1">
      <alignment horizontal="center" vertical="center"/>
      <protection hidden="1"/>
    </xf>
    <xf numFmtId="0" fontId="0" fillId="7" borderId="2" xfId="0" applyFill="1" applyBorder="1" applyAlignment="1" applyProtection="1">
      <alignment horizontal="center" vertical="center"/>
      <protection hidden="1"/>
    </xf>
    <xf numFmtId="0" fontId="1" fillId="0" borderId="3" xfId="0" applyFont="1" applyFill="1" applyBorder="1" applyAlignment="1" applyProtection="1">
      <alignment horizontal="center" vertical="center"/>
      <protection hidden="1"/>
    </xf>
    <xf numFmtId="0" fontId="1" fillId="0" borderId="5" xfId="0" applyFont="1" applyFill="1" applyBorder="1" applyAlignment="1" applyProtection="1">
      <alignment horizontal="center" vertical="center"/>
      <protection hidden="1"/>
    </xf>
    <xf numFmtId="0" fontId="1" fillId="0" borderId="4" xfId="0" applyFont="1" applyFill="1" applyBorder="1" applyAlignment="1" applyProtection="1">
      <alignment horizontal="center" vertical="center"/>
      <protection hidden="1"/>
    </xf>
    <xf numFmtId="11" fontId="0" fillId="6" borderId="6" xfId="0" applyNumberFormat="1" applyFill="1" applyBorder="1" applyAlignment="1" applyProtection="1">
      <alignment horizontal="center" vertical="center"/>
      <protection hidden="1"/>
    </xf>
    <xf numFmtId="11" fontId="0" fillId="6" borderId="7" xfId="0" applyNumberFormat="1" applyFill="1" applyBorder="1" applyAlignment="1" applyProtection="1">
      <alignment horizontal="center" vertical="center"/>
      <protection hidden="1"/>
    </xf>
    <xf numFmtId="11" fontId="0" fillId="6" borderId="2" xfId="0" applyNumberFormat="1" applyFill="1" applyBorder="1" applyAlignment="1" applyProtection="1">
      <alignment horizontal="center" vertical="center"/>
      <protection hidden="1"/>
    </xf>
    <xf numFmtId="11" fontId="0" fillId="7" borderId="6" xfId="0" applyNumberFormat="1" applyFill="1" applyBorder="1" applyAlignment="1" applyProtection="1">
      <alignment horizontal="center" vertical="center"/>
      <protection hidden="1"/>
    </xf>
    <xf numFmtId="11" fontId="0" fillId="7" borderId="7" xfId="0" applyNumberFormat="1" applyFill="1" applyBorder="1" applyAlignment="1" applyProtection="1">
      <alignment horizontal="center" vertical="center"/>
      <protection hidden="1"/>
    </xf>
    <xf numFmtId="11" fontId="0" fillId="7" borderId="2" xfId="0" applyNumberFormat="1" applyFill="1" applyBorder="1" applyAlignment="1" applyProtection="1">
      <alignment horizontal="center" vertical="center"/>
      <protection hidden="1"/>
    </xf>
    <xf numFmtId="2" fontId="0" fillId="0" borderId="7" xfId="0" applyNumberFormat="1" applyFill="1" applyBorder="1" applyAlignment="1" applyProtection="1">
      <alignment horizontal="center" vertical="center"/>
      <protection hidden="1"/>
    </xf>
    <xf numFmtId="0" fontId="0" fillId="0" borderId="1" xfId="0" applyNumberFormat="1" applyFill="1" applyBorder="1" applyAlignment="1" applyProtection="1">
      <alignment horizontal="center" vertical="center"/>
      <protection hidden="1"/>
    </xf>
    <xf numFmtId="11" fontId="0" fillId="0" borderId="7" xfId="0" applyNumberFormat="1" applyFill="1" applyBorder="1" applyAlignment="1" applyProtection="1">
      <alignment horizontal="center" vertical="center"/>
      <protection hidden="1"/>
    </xf>
    <xf numFmtId="0" fontId="1" fillId="3" borderId="0" xfId="0" applyFont="1" applyFill="1" applyBorder="1" applyAlignment="1" applyProtection="1">
      <alignment horizontal="left" vertical="center" wrapText="1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5" fillId="9" borderId="3" xfId="1" applyFont="1" applyFill="1" applyBorder="1" applyAlignment="1" applyProtection="1">
      <alignment horizontal="center" vertical="center"/>
      <protection hidden="1"/>
    </xf>
    <xf numFmtId="0" fontId="5" fillId="9" borderId="5" xfId="1" applyFont="1" applyFill="1" applyBorder="1" applyAlignment="1" applyProtection="1">
      <alignment horizontal="center" vertical="center"/>
      <protection hidden="1"/>
    </xf>
    <xf numFmtId="0" fontId="5" fillId="9" borderId="4" xfId="1" applyFont="1" applyFill="1" applyBorder="1" applyAlignment="1" applyProtection="1">
      <alignment horizontal="center" vertical="center"/>
      <protection hidden="1"/>
    </xf>
    <xf numFmtId="0" fontId="14" fillId="0" borderId="0" xfId="4" applyProtection="1">
      <protection hidden="1"/>
    </xf>
  </cellXfs>
  <cellStyles count="5">
    <cellStyle name="Lien hypertexte" xfId="4" builtinId="8"/>
    <cellStyle name="Normal" xfId="0" builtinId="0"/>
    <cellStyle name="Normal 2" xfId="1"/>
    <cellStyle name="Normal 2 2" xfId="3"/>
    <cellStyle name="Normal 2 3 2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Gamme étalon vs gamme forme reconstituée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gamme étalon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250567367556816E-2"/>
                  <c:y val="0.168993510069666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linéarité!$D$26:$D$40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linéarité!$E$26:$E$40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forme reconstituée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727339398151178"/>
                  <c:y val="3.24488903284088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linéarité!$J$26:$J$40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linéarité!$K$26:$K$40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2980992"/>
        <c:axId val="-1282975008"/>
      </c:scatterChart>
      <c:scatterChart>
        <c:scatterStyle val="smoothMarker"/>
        <c:varyColors val="0"/>
        <c:ser>
          <c:idx val="2"/>
          <c:order val="2"/>
          <c:tx>
            <c:v>IC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linéarité!$J$26:$J$40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linéarité!$L$50:$L$64</c:f>
              <c:numCache>
                <c:formatCode>0.00E+00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IC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linéarité!$J$26:$J$40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linéarité!$M$50:$M$64</c:f>
              <c:numCache>
                <c:formatCode>0.00E+00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2980992"/>
        <c:axId val="-1282975008"/>
      </c:scatterChart>
      <c:valAx>
        <c:axId val="-1282980992"/>
        <c:scaling>
          <c:orientation val="minMax"/>
          <c:min val="1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X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282975008"/>
        <c:crosses val="autoZero"/>
        <c:crossBetween val="midCat"/>
      </c:valAx>
      <c:valAx>
        <c:axId val="-1282975008"/>
        <c:scaling>
          <c:orientation val="minMax"/>
          <c:min val="7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28298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Domaine de linéarité (PA seul)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Y/X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linéarité!$M$79:$M$93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linéarité!$N$79:$N$93</c:f>
              <c:numCache>
                <c:formatCode>0.00E+00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2982080"/>
        <c:axId val="-1282978272"/>
      </c:scatterChart>
      <c:scatterChart>
        <c:scatterStyle val="smoothMarker"/>
        <c:varyColors val="0"/>
        <c:ser>
          <c:idx val="1"/>
          <c:order val="1"/>
          <c:tx>
            <c:v>tolérance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linéarité!$M$79:$M$93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linéarité!$O$79:$O$93</c:f>
              <c:numCache>
                <c:formatCode>0.00E+00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1,05*Rc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linéarité!$M$79:$M$93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linéarité!$P$79:$P$93</c:f>
              <c:numCache>
                <c:formatCode>0.00E+00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2982080"/>
        <c:axId val="-1282978272"/>
      </c:scatterChart>
      <c:valAx>
        <c:axId val="-1282982080"/>
        <c:scaling>
          <c:orientation val="minMax"/>
          <c:max val="1.5"/>
          <c:min val="1.2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Log10(X)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282978272"/>
        <c:crosses val="autoZero"/>
        <c:crossBetween val="midCat"/>
      </c:valAx>
      <c:valAx>
        <c:axId val="-128297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Y/X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28298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Graphique</a:t>
            </a:r>
            <a:r>
              <a:rPr lang="fr-FR" baseline="0"/>
              <a:t> d'exactitude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recouvrement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justesse!$D$5:$D$19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justesse!$G$5:$G$19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2972832"/>
        <c:axId val="-1282987520"/>
      </c:scatterChart>
      <c:scatterChart>
        <c:scatterStyle val="smoothMarker"/>
        <c:varyColors val="0"/>
        <c:ser>
          <c:idx val="1"/>
          <c:order val="1"/>
          <c:tx>
            <c:v>Tolérance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justesse!$D$5:$D$19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justesse!$H$21:$H$35</c:f>
              <c:numCache>
                <c:formatCode>0%</c:formatCode>
                <c:ptCount val="15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</c:numCache>
            </c:numRef>
          </c:yVal>
          <c:smooth val="1"/>
        </c:ser>
        <c:ser>
          <c:idx val="2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justesse!$D$5:$D$19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justesse!$I$21:$I$35</c:f>
              <c:numCache>
                <c:formatCode>0%</c:formatCode>
                <c:ptCount val="15"/>
                <c:pt idx="0">
                  <c:v>1.02</c:v>
                </c:pt>
                <c:pt idx="1">
                  <c:v>1.02</c:v>
                </c:pt>
                <c:pt idx="2">
                  <c:v>1.02</c:v>
                </c:pt>
                <c:pt idx="3">
                  <c:v>1.02</c:v>
                </c:pt>
                <c:pt idx="4">
                  <c:v>1.02</c:v>
                </c:pt>
                <c:pt idx="5">
                  <c:v>1.02</c:v>
                </c:pt>
                <c:pt idx="6">
                  <c:v>1.02</c:v>
                </c:pt>
                <c:pt idx="7">
                  <c:v>1.02</c:v>
                </c:pt>
                <c:pt idx="8">
                  <c:v>1.02</c:v>
                </c:pt>
                <c:pt idx="9">
                  <c:v>1.02</c:v>
                </c:pt>
                <c:pt idx="10">
                  <c:v>1.02</c:v>
                </c:pt>
                <c:pt idx="11">
                  <c:v>1.02</c:v>
                </c:pt>
                <c:pt idx="12">
                  <c:v>1.02</c:v>
                </c:pt>
                <c:pt idx="13">
                  <c:v>1.02</c:v>
                </c:pt>
                <c:pt idx="14">
                  <c:v>1.02</c:v>
                </c:pt>
              </c:numCache>
            </c:numRef>
          </c:yVal>
          <c:smooth val="1"/>
        </c:ser>
        <c:ser>
          <c:idx val="3"/>
          <c:order val="3"/>
          <c:tx>
            <c:v>cible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justesse!$D$5:$D$19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justesse!$G$21:$G$35</c:f>
              <c:numCache>
                <c:formatCode>0%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1"/>
        </c:ser>
        <c:ser>
          <c:idx val="4"/>
          <c:order val="4"/>
          <c:tx>
            <c:v>moyenne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justesse!$D$5:$D$19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justesse!$F$21:$F$35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2972832"/>
        <c:axId val="-1282987520"/>
      </c:scatterChart>
      <c:valAx>
        <c:axId val="-1282972832"/>
        <c:scaling>
          <c:orientation val="minMax"/>
          <c:max val="31"/>
          <c:min val="1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282987520"/>
        <c:crosses val="autoZero"/>
        <c:crossBetween val="midCat"/>
      </c:valAx>
      <c:valAx>
        <c:axId val="-12829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Recouvrement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282972832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Robustesse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effet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pPr>
                <a:solidFill>
                  <a:schemeClr val="accent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bg1"/>
                </a:solidFill>
                <a:round/>
              </a:ln>
              <a:effectLst/>
            </c:spPr>
          </c:dPt>
          <c:dPt>
            <c:idx val="4"/>
            <c:marker>
              <c:spPr>
                <a:solidFill>
                  <a:schemeClr val="accent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bg1"/>
                </a:solidFill>
                <a:round/>
              </a:ln>
              <a:effectLst/>
            </c:spPr>
          </c:dPt>
          <c:xVal>
            <c:strRef>
              <c:f>robustesse!$M$9:$M$14</c:f>
              <c:strCache>
                <c:ptCount val="6"/>
                <c:pt idx="0">
                  <c:v>A-</c:v>
                </c:pt>
                <c:pt idx="1">
                  <c:v>A+</c:v>
                </c:pt>
                <c:pt idx="2">
                  <c:v>B-</c:v>
                </c:pt>
                <c:pt idx="3">
                  <c:v>B+</c:v>
                </c:pt>
                <c:pt idx="4">
                  <c:v>C-</c:v>
                </c:pt>
                <c:pt idx="5">
                  <c:v>C+</c:v>
                </c:pt>
              </c:strCache>
            </c:strRef>
          </c:xVal>
          <c:yVal>
            <c:numRef>
              <c:f>robustesse!$N$9:$N$14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T-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strRef>
              <c:f>robustesse!$M$9:$M$14</c:f>
              <c:strCache>
                <c:ptCount val="6"/>
                <c:pt idx="0">
                  <c:v>A-</c:v>
                </c:pt>
                <c:pt idx="1">
                  <c:v>A+</c:v>
                </c:pt>
                <c:pt idx="2">
                  <c:v>B-</c:v>
                </c:pt>
                <c:pt idx="3">
                  <c:v>B+</c:v>
                </c:pt>
                <c:pt idx="4">
                  <c:v>C-</c:v>
                </c:pt>
                <c:pt idx="5">
                  <c:v>C+</c:v>
                </c:pt>
              </c:strCache>
            </c:strRef>
          </c:xVal>
          <c:yVal>
            <c:numRef>
              <c:f>robustesse!$O$9:$O$14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v>T+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strRef>
              <c:f>robustesse!$M$9:$M$14</c:f>
              <c:strCache>
                <c:ptCount val="6"/>
                <c:pt idx="0">
                  <c:v>A-</c:v>
                </c:pt>
                <c:pt idx="1">
                  <c:v>A+</c:v>
                </c:pt>
                <c:pt idx="2">
                  <c:v>B-</c:v>
                </c:pt>
                <c:pt idx="3">
                  <c:v>B+</c:v>
                </c:pt>
                <c:pt idx="4">
                  <c:v>C-</c:v>
                </c:pt>
                <c:pt idx="5">
                  <c:v>C+</c:v>
                </c:pt>
              </c:strCache>
            </c:strRef>
          </c:xVal>
          <c:yVal>
            <c:numRef>
              <c:f>robustesse!$P$9:$P$14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2984256"/>
        <c:axId val="-1282982624"/>
      </c:scatterChart>
      <c:valAx>
        <c:axId val="-1282984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paramètres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crossAx val="-1282982624"/>
        <c:crosses val="autoZero"/>
        <c:crossBetween val="midCat"/>
      </c:valAx>
      <c:valAx>
        <c:axId val="-128298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28298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gamme étalon vs gamme forme reconstituée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gamme étalon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250567367556816E-2"/>
                  <c:y val="0.168993510069666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linéarité!$D$26:$D$40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linéarité!$E$26:$E$40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forme reconstituée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727339398151178"/>
                  <c:y val="3.24488903284088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linéarité!$J$26:$J$40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linéarité!$K$26:$K$40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2983712"/>
        <c:axId val="-1282977728"/>
      </c:scatterChart>
      <c:scatterChart>
        <c:scatterStyle val="smoothMarker"/>
        <c:varyColors val="0"/>
        <c:ser>
          <c:idx val="2"/>
          <c:order val="2"/>
          <c:tx>
            <c:v>IC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linéarité!$J$26:$J$40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linéarité!$L$50:$L$64</c:f>
              <c:numCache>
                <c:formatCode>0.00E+00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IC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linéarité!$J$26:$J$40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linéarité!$M$50:$M$64</c:f>
              <c:numCache>
                <c:formatCode>0.00E+00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2983712"/>
        <c:axId val="-1282977728"/>
      </c:scatterChart>
      <c:valAx>
        <c:axId val="-1282983712"/>
        <c:scaling>
          <c:orientation val="minMax"/>
          <c:min val="1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282977728"/>
        <c:crosses val="autoZero"/>
        <c:crossBetween val="midCat"/>
      </c:valAx>
      <c:valAx>
        <c:axId val="-1282977728"/>
        <c:scaling>
          <c:orientation val="minMax"/>
          <c:min val="7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282983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Robustesse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pPr>
                <a:solidFill>
                  <a:schemeClr val="accent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bg1"/>
                </a:solidFill>
                <a:round/>
              </a:ln>
              <a:effectLst/>
            </c:spPr>
          </c:dPt>
          <c:dPt>
            <c:idx val="4"/>
            <c:marker>
              <c:spPr>
                <a:solidFill>
                  <a:schemeClr val="accent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bg1"/>
                </a:solidFill>
                <a:round/>
              </a:ln>
              <a:effectLst/>
            </c:spPr>
          </c:dPt>
          <c:dLbls>
            <c:dLbl>
              <c:idx val="0"/>
              <c:tx>
                <c:rich>
                  <a:bodyPr/>
                  <a:lstStyle/>
                  <a:p>
                    <a:fld id="{2964358A-CB38-4ADE-9C5B-DA8BC62F47A1}" type="XVALUE">
                      <a:rPr lang="en-US"/>
                      <a:pPr/>
                      <a:t>[VALEUR X]</a:t>
                    </a:fld>
                    <a:endParaRPr lang="fr-F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952781-7B51-4CC4-848D-3EB18C582EAD}" type="XVALUE">
                      <a:rPr lang="en-US"/>
                      <a:pPr/>
                      <a:t>[VALEUR X]</a:t>
                    </a:fld>
                    <a:endParaRPr lang="fr-F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BC50209-67FC-4FD6-925B-1B3603E19337}" type="XVALUE">
                      <a:rPr lang="en-US"/>
                      <a:pPr/>
                      <a:t>[VALEUR X]</a:t>
                    </a:fld>
                    <a:endParaRPr lang="fr-F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10966A-9D82-4AB8-8A29-68C07451E775}" type="XVALUE">
                      <a:rPr lang="en-US"/>
                      <a:pPr/>
                      <a:t>[VALEUR X]</a:t>
                    </a:fld>
                    <a:endParaRPr lang="fr-F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dLbl>
              <c:idx val="4"/>
              <c:layout>
                <c:manualLayout>
                  <c:x val="-5.543203377949675E-3"/>
                  <c:y val="0"/>
                </c:manualLayout>
              </c:layout>
              <c:tx>
                <c:rich>
                  <a:bodyPr/>
                  <a:lstStyle/>
                  <a:p>
                    <a:fld id="{00E1921D-0149-485E-866B-2E01554CABA3}" type="XVALUE">
                      <a:rPr lang="en-US"/>
                      <a:pPr/>
                      <a:t>[VALEUR X]</a:t>
                    </a:fld>
                    <a:endParaRPr lang="fr-F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AAC89A0-F5DC-4CE4-8388-F0B5EFEBC88A}" type="XVALUE">
                      <a:rPr lang="en-US"/>
                      <a:pPr/>
                      <a:t>[VALEUR X]</a:t>
                    </a:fld>
                    <a:endParaRPr lang="fr-F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strRef>
              <c:f>robustesse!$M$9:$M$14</c:f>
              <c:strCache>
                <c:ptCount val="6"/>
                <c:pt idx="0">
                  <c:v>A-</c:v>
                </c:pt>
                <c:pt idx="1">
                  <c:v>A+</c:v>
                </c:pt>
                <c:pt idx="2">
                  <c:v>B-</c:v>
                </c:pt>
                <c:pt idx="3">
                  <c:v>B+</c:v>
                </c:pt>
                <c:pt idx="4">
                  <c:v>C-</c:v>
                </c:pt>
                <c:pt idx="5">
                  <c:v>C+</c:v>
                </c:pt>
              </c:strCache>
            </c:strRef>
          </c:xVal>
          <c:yVal>
            <c:numRef>
              <c:f>robustesse!$N$9:$N$14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2986432"/>
        <c:axId val="-1282973920"/>
      </c:scatterChart>
      <c:scatterChart>
        <c:scatterStyle val="smoothMarker"/>
        <c:varyColors val="0"/>
        <c:ser>
          <c:idx val="1"/>
          <c:order val="1"/>
          <c:tx>
            <c:v>T-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robustesse!$M$9:$M$14</c:f>
              <c:strCache>
                <c:ptCount val="6"/>
                <c:pt idx="0">
                  <c:v>A-</c:v>
                </c:pt>
                <c:pt idx="1">
                  <c:v>A+</c:v>
                </c:pt>
                <c:pt idx="2">
                  <c:v>B-</c:v>
                </c:pt>
                <c:pt idx="3">
                  <c:v>B+</c:v>
                </c:pt>
                <c:pt idx="4">
                  <c:v>C-</c:v>
                </c:pt>
                <c:pt idx="5">
                  <c:v>C+</c:v>
                </c:pt>
              </c:strCache>
            </c:strRef>
          </c:xVal>
          <c:yVal>
            <c:numRef>
              <c:f>robustesse!$O$9:$O$14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T+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robustesse!$M$9:$M$14</c:f>
              <c:strCache>
                <c:ptCount val="6"/>
                <c:pt idx="0">
                  <c:v>A-</c:v>
                </c:pt>
                <c:pt idx="1">
                  <c:v>A+</c:v>
                </c:pt>
                <c:pt idx="2">
                  <c:v>B-</c:v>
                </c:pt>
                <c:pt idx="3">
                  <c:v>B+</c:v>
                </c:pt>
                <c:pt idx="4">
                  <c:v>C-</c:v>
                </c:pt>
                <c:pt idx="5">
                  <c:v>C+</c:v>
                </c:pt>
              </c:strCache>
            </c:strRef>
          </c:xVal>
          <c:yVal>
            <c:numRef>
              <c:f>robustesse!$P$9:$P$14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2986432"/>
        <c:axId val="-1282973920"/>
      </c:scatterChart>
      <c:valAx>
        <c:axId val="-12829864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paramètres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crossAx val="-1282973920"/>
        <c:crosses val="autoZero"/>
        <c:crossBetween val="midCat"/>
      </c:valAx>
      <c:valAx>
        <c:axId val="-128297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28298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9897</xdr:colOff>
      <xdr:row>27</xdr:row>
      <xdr:rowOff>123702</xdr:rowOff>
    </xdr:from>
    <xdr:to>
      <xdr:col>11</xdr:col>
      <xdr:colOff>762001</xdr:colOff>
      <xdr:row>43</xdr:row>
      <xdr:rowOff>73197</xdr:rowOff>
    </xdr:to>
    <xdr:graphicFrame macro="">
      <xdr:nvGraphicFramePr>
        <xdr:cNvPr id="10" name="Graphique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16496</xdr:colOff>
      <xdr:row>18</xdr:row>
      <xdr:rowOff>15669</xdr:rowOff>
    </xdr:from>
    <xdr:to>
      <xdr:col>11</xdr:col>
      <xdr:colOff>762000</xdr:colOff>
      <xdr:row>27</xdr:row>
      <xdr:rowOff>99785</xdr:rowOff>
    </xdr:to>
    <xdr:graphicFrame macro="">
      <xdr:nvGraphicFramePr>
        <xdr:cNvPr id="12" name="Graphique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9070</xdr:colOff>
      <xdr:row>43</xdr:row>
      <xdr:rowOff>108858</xdr:rowOff>
    </xdr:from>
    <xdr:to>
      <xdr:col>11</xdr:col>
      <xdr:colOff>752929</xdr:colOff>
      <xdr:row>58</xdr:row>
      <xdr:rowOff>130629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18143</xdr:colOff>
      <xdr:row>59</xdr:row>
      <xdr:rowOff>36286</xdr:rowOff>
    </xdr:from>
    <xdr:to>
      <xdr:col>8</xdr:col>
      <xdr:colOff>1119909</xdr:colOff>
      <xdr:row>72</xdr:row>
      <xdr:rowOff>136071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631831</xdr:colOff>
      <xdr:row>48</xdr:row>
      <xdr:rowOff>46186</xdr:rowOff>
    </xdr:from>
    <xdr:to>
      <xdr:col>9</xdr:col>
      <xdr:colOff>326047</xdr:colOff>
      <xdr:row>63</xdr:row>
      <xdr:rowOff>93817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83962</xdr:colOff>
      <xdr:row>97</xdr:row>
      <xdr:rowOff>98135</xdr:rowOff>
    </xdr:from>
    <xdr:to>
      <xdr:col>14</xdr:col>
      <xdr:colOff>72998</xdr:colOff>
      <xdr:row>117</xdr:row>
      <xdr:rowOff>108856</xdr:rowOff>
    </xdr:to>
    <xdr:pic>
      <xdr:nvPicPr>
        <xdr:cNvPr id="3" name="Image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194" t="30450" r="13554" b="13622"/>
        <a:stretch/>
      </xdr:blipFill>
      <xdr:spPr>
        <a:xfrm>
          <a:off x="8620176" y="18803421"/>
          <a:ext cx="6339036" cy="36392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146792</xdr:colOff>
      <xdr:row>6</xdr:row>
      <xdr:rowOff>64159</xdr:rowOff>
    </xdr:from>
    <xdr:to>
      <xdr:col>19</xdr:col>
      <xdr:colOff>888999</xdr:colOff>
      <xdr:row>21</xdr:row>
      <xdr:rowOff>59541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ersonnel-confidentiel-priv&#233;\Excel\MAQUETTE%20validation%20biologie%20m&#233;dicale%20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portée flexible"/>
      <sheetName val="validation de méthode"/>
      <sheetName val="Justesse et fidélité"/>
      <sheetName val="correlation XY"/>
      <sheetName val="étalonnage X"/>
    </sheetNames>
    <sheetDataSet>
      <sheetData sheetId="0" refreshError="1"/>
      <sheetData sheetId="1" refreshError="1"/>
      <sheetData sheetId="2">
        <row r="6">
          <cell r="AD6" t="str">
            <v>SUBSTRATS</v>
          </cell>
        </row>
        <row r="7">
          <cell r="AD7" t="str">
            <v>Acide urique</v>
          </cell>
        </row>
        <row r="8">
          <cell r="AD8" t="str">
            <v>Ammonium</v>
          </cell>
        </row>
        <row r="9">
          <cell r="AD9" t="str">
            <v>CO2</v>
          </cell>
        </row>
        <row r="10">
          <cell r="AD10" t="str">
            <v>Bilirubine Totale</v>
          </cell>
        </row>
        <row r="11">
          <cell r="AD11" t="str">
            <v>Calcium ionisé</v>
          </cell>
        </row>
        <row r="12">
          <cell r="AD12" t="str">
            <v>Calcium total</v>
          </cell>
        </row>
        <row r="13">
          <cell r="AD13" t="str">
            <v>Chlore</v>
          </cell>
        </row>
        <row r="14">
          <cell r="AD14" t="str">
            <v>Cholesterol</v>
          </cell>
        </row>
        <row r="15">
          <cell r="AD15" t="str">
            <v>HDL</v>
          </cell>
        </row>
        <row r="16">
          <cell r="AD16" t="str">
            <v>Creatinine</v>
          </cell>
        </row>
        <row r="17">
          <cell r="AD17" t="str">
            <v>Fer</v>
          </cell>
        </row>
        <row r="18">
          <cell r="AD18" t="str">
            <v>Ferritine</v>
          </cell>
        </row>
        <row r="19">
          <cell r="AD19" t="str">
            <v>Folates</v>
          </cell>
        </row>
        <row r="20">
          <cell r="AD20" t="str">
            <v>Fructosamine</v>
          </cell>
        </row>
        <row r="21">
          <cell r="AD21" t="str">
            <v>Glucose</v>
          </cell>
        </row>
        <row r="22">
          <cell r="AD22" t="str">
            <v>HbA1c</v>
          </cell>
        </row>
        <row r="23">
          <cell r="AD23" t="str">
            <v>Lactate</v>
          </cell>
        </row>
        <row r="24">
          <cell r="AD24" t="str">
            <v>Magnesium</v>
          </cell>
        </row>
        <row r="25">
          <cell r="AD25" t="str">
            <v>Phosphate</v>
          </cell>
        </row>
        <row r="26">
          <cell r="AD26" t="str">
            <v>Potassium</v>
          </cell>
        </row>
        <row r="27">
          <cell r="AD27" t="str">
            <v>Protéines totales</v>
          </cell>
        </row>
        <row r="28">
          <cell r="AD28" t="str">
            <v>Sodium</v>
          </cell>
        </row>
        <row r="29">
          <cell r="AD29" t="str">
            <v>Triglycérides</v>
          </cell>
        </row>
        <row r="30">
          <cell r="AD30" t="str">
            <v>Urée</v>
          </cell>
        </row>
        <row r="32">
          <cell r="AD32" t="str">
            <v>SUBSTRATS URINAIRES</v>
          </cell>
        </row>
        <row r="33">
          <cell r="AD33" t="str">
            <v>Acide urique U</v>
          </cell>
        </row>
        <row r="34">
          <cell r="AD34" t="str">
            <v>Calcium U</v>
          </cell>
        </row>
        <row r="35">
          <cell r="AD35" t="str">
            <v>Chlore U</v>
          </cell>
        </row>
        <row r="36">
          <cell r="AD36" t="str">
            <v>Créatinine U</v>
          </cell>
        </row>
        <row r="37">
          <cell r="AD37" t="str">
            <v>Glucose U</v>
          </cell>
        </row>
        <row r="38">
          <cell r="AD38" t="str">
            <v>Magnesium U</v>
          </cell>
        </row>
        <row r="39">
          <cell r="AD39" t="str">
            <v>MicroAlb U</v>
          </cell>
        </row>
        <row r="40">
          <cell r="AD40" t="str">
            <v>Phosphate U</v>
          </cell>
        </row>
        <row r="41">
          <cell r="AD41" t="str">
            <v>Potassium U</v>
          </cell>
        </row>
        <row r="42">
          <cell r="AD42" t="str">
            <v>Protéines U</v>
          </cell>
        </row>
        <row r="43">
          <cell r="AD43" t="str">
            <v>Sodium U</v>
          </cell>
        </row>
        <row r="44">
          <cell r="AD44" t="str">
            <v>Urée U</v>
          </cell>
        </row>
        <row r="46">
          <cell r="AD46" t="str">
            <v>ENZYMES</v>
          </cell>
        </row>
        <row r="47">
          <cell r="AD47" t="str">
            <v>5'Nu</v>
          </cell>
        </row>
        <row r="48">
          <cell r="AD48" t="str">
            <v>a-Amylase</v>
          </cell>
        </row>
        <row r="49">
          <cell r="AD49" t="str">
            <v>ALAT</v>
          </cell>
        </row>
        <row r="50">
          <cell r="AD50" t="str">
            <v>ASAT</v>
          </cell>
        </row>
        <row r="51">
          <cell r="AD51" t="str">
            <v>CK</v>
          </cell>
        </row>
        <row r="52">
          <cell r="AD52" t="str">
            <v>GGT</v>
          </cell>
        </row>
        <row r="53">
          <cell r="AD53" t="str">
            <v>LDH</v>
          </cell>
        </row>
        <row r="54">
          <cell r="AD54" t="str">
            <v>Lipase</v>
          </cell>
        </row>
        <row r="55">
          <cell r="AD55" t="str">
            <v>PAL</v>
          </cell>
        </row>
        <row r="57">
          <cell r="AD57" t="str">
            <v>PROTEINES SPECIFIQUES</v>
          </cell>
        </row>
        <row r="58">
          <cell r="AD58" t="str">
            <v>a1AT</v>
          </cell>
        </row>
        <row r="59">
          <cell r="AD59" t="str">
            <v>a2-Macroglobuline</v>
          </cell>
        </row>
        <row r="60">
          <cell r="AD60" t="str">
            <v>Albumine</v>
          </cell>
        </row>
        <row r="61">
          <cell r="AD61" t="str">
            <v>ApoA1</v>
          </cell>
        </row>
        <row r="62">
          <cell r="AD62" t="str">
            <v>ApoB</v>
          </cell>
        </row>
        <row r="63">
          <cell r="AD63" t="str">
            <v>b2-Microglobuline</v>
          </cell>
        </row>
        <row r="64">
          <cell r="AD64" t="str">
            <v>Céruléoplasmine</v>
          </cell>
        </row>
        <row r="65">
          <cell r="AD65" t="str">
            <v>C3</v>
          </cell>
        </row>
        <row r="66">
          <cell r="AD66" t="str">
            <v>C4</v>
          </cell>
        </row>
        <row r="67">
          <cell r="AD67" t="str">
            <v>CRP</v>
          </cell>
        </row>
        <row r="68">
          <cell r="AD68" t="str">
            <v>Haptoglobine</v>
          </cell>
        </row>
        <row r="69">
          <cell r="AD69" t="str">
            <v>IgA</v>
          </cell>
        </row>
        <row r="70">
          <cell r="AD70" t="str">
            <v>IgE</v>
          </cell>
        </row>
        <row r="71">
          <cell r="AD71" t="str">
            <v>IgG</v>
          </cell>
        </row>
        <row r="72">
          <cell r="AD72" t="str">
            <v>IgM</v>
          </cell>
        </row>
        <row r="73">
          <cell r="AD73" t="str">
            <v>Oroso</v>
          </cell>
        </row>
        <row r="74">
          <cell r="AD74" t="str">
            <v>PréAlb</v>
          </cell>
        </row>
        <row r="75">
          <cell r="AD75" t="str">
            <v>Transférrine</v>
          </cell>
        </row>
        <row r="77">
          <cell r="AD77" t="str">
            <v>GAZ DU SANG</v>
          </cell>
        </row>
        <row r="78">
          <cell r="AD78" t="str">
            <v>HbCO</v>
          </cell>
        </row>
        <row r="79">
          <cell r="AD79" t="str">
            <v>HbO2</v>
          </cell>
        </row>
        <row r="80">
          <cell r="AD80" t="str">
            <v>metHb</v>
          </cell>
        </row>
        <row r="82">
          <cell r="AD82" t="str">
            <v>pCO2</v>
          </cell>
        </row>
        <row r="83">
          <cell r="AD83" t="str">
            <v>pH (unité)</v>
          </cell>
        </row>
        <row r="84">
          <cell r="AD84" t="str">
            <v>pH (nmol/l)</v>
          </cell>
        </row>
        <row r="85">
          <cell r="AD85" t="str">
            <v>p02</v>
          </cell>
        </row>
        <row r="88">
          <cell r="AD88" t="str">
            <v>MEDICAMENTS</v>
          </cell>
        </row>
        <row r="89">
          <cell r="AD89" t="str">
            <v>Acide Valproïque</v>
          </cell>
        </row>
        <row r="90">
          <cell r="AD90" t="str">
            <v>Amikacine</v>
          </cell>
        </row>
        <row r="91">
          <cell r="AD91" t="str">
            <v>Carbamazépine</v>
          </cell>
        </row>
        <row r="92">
          <cell r="AD92" t="str">
            <v>Digoxine</v>
          </cell>
        </row>
        <row r="93">
          <cell r="AD93" t="str">
            <v>Gentamicine</v>
          </cell>
        </row>
        <row r="94">
          <cell r="AD94" t="str">
            <v>Lithium</v>
          </cell>
        </row>
        <row r="95">
          <cell r="AD95" t="str">
            <v>Méthotrexate</v>
          </cell>
        </row>
        <row r="96">
          <cell r="AD96" t="str">
            <v>Paracétamol</v>
          </cell>
        </row>
        <row r="97">
          <cell r="AD97" t="str">
            <v>Phénobarbital</v>
          </cell>
        </row>
        <row r="98">
          <cell r="AD98" t="str">
            <v>Phénytoïne</v>
          </cell>
        </row>
        <row r="99">
          <cell r="AD99" t="str">
            <v>Salycilates</v>
          </cell>
        </row>
        <row r="100">
          <cell r="AD100" t="str">
            <v>Théophiline</v>
          </cell>
        </row>
        <row r="101">
          <cell r="AD101" t="str">
            <v>Vancomycine</v>
          </cell>
        </row>
        <row r="103">
          <cell r="AD103" t="str">
            <v>MARQUEURS TUMORAUX</v>
          </cell>
        </row>
        <row r="104">
          <cell r="AD104" t="str">
            <v>ACE</v>
          </cell>
        </row>
        <row r="105">
          <cell r="AD105" t="str">
            <v>MEDICAMENTS</v>
          </cell>
        </row>
        <row r="106">
          <cell r="AD106" t="str">
            <v>Acide Valproïque</v>
          </cell>
        </row>
        <row r="107">
          <cell r="AD107" t="str">
            <v>Amikacine</v>
          </cell>
        </row>
        <row r="108">
          <cell r="AD108" t="str">
            <v>Carbamazépine</v>
          </cell>
        </row>
        <row r="109">
          <cell r="AD109" t="str">
            <v>Digoxine</v>
          </cell>
        </row>
        <row r="110">
          <cell r="AD110" t="str">
            <v>Gentamicine</v>
          </cell>
        </row>
        <row r="111">
          <cell r="AD111" t="str">
            <v>Lithium</v>
          </cell>
        </row>
        <row r="112">
          <cell r="AD112" t="str">
            <v>Méthotrexate</v>
          </cell>
        </row>
        <row r="113">
          <cell r="AD113" t="str">
            <v>Paracétamol</v>
          </cell>
        </row>
        <row r="114">
          <cell r="AD114" t="str">
            <v>Phénobarbital</v>
          </cell>
        </row>
        <row r="115">
          <cell r="AD115" t="str">
            <v>Phénytoïne</v>
          </cell>
        </row>
        <row r="116">
          <cell r="AD116" t="str">
            <v>Salycilates</v>
          </cell>
        </row>
        <row r="117">
          <cell r="AD117" t="str">
            <v>Théophiline</v>
          </cell>
        </row>
        <row r="118">
          <cell r="AD118" t="str">
            <v>Vancomycine</v>
          </cell>
        </row>
        <row r="119">
          <cell r="AD119" t="str">
            <v>PTH</v>
          </cell>
        </row>
        <row r="120">
          <cell r="AD120" t="str">
            <v>MARQUEURS TUMORAUX</v>
          </cell>
        </row>
        <row r="121">
          <cell r="AD121" t="str">
            <v>ACE</v>
          </cell>
        </row>
        <row r="122">
          <cell r="AD122" t="str">
            <v>AFP</v>
          </cell>
        </row>
        <row r="123">
          <cell r="AD123" t="str">
            <v>CA125</v>
          </cell>
        </row>
        <row r="124">
          <cell r="AD124" t="str">
            <v>CA15-3</v>
          </cell>
        </row>
        <row r="125">
          <cell r="AD125" t="str">
            <v>CA19-9</v>
          </cell>
        </row>
        <row r="126">
          <cell r="AD126" t="str">
            <v>PSA</v>
          </cell>
        </row>
        <row r="128">
          <cell r="AD128" t="str">
            <v>HORMONES</v>
          </cell>
        </row>
        <row r="129">
          <cell r="AD129" t="str">
            <v>Cortisol</v>
          </cell>
        </row>
        <row r="130">
          <cell r="AD130" t="str">
            <v>E2</v>
          </cell>
        </row>
        <row r="131">
          <cell r="AD131" t="str">
            <v>FSH</v>
          </cell>
        </row>
        <row r="132">
          <cell r="AD132" t="str">
            <v>GH</v>
          </cell>
        </row>
        <row r="133">
          <cell r="AD133" t="str">
            <v>HCG B</v>
          </cell>
        </row>
        <row r="134">
          <cell r="AD134" t="str">
            <v>Insuline</v>
          </cell>
        </row>
        <row r="135">
          <cell r="AD135" t="str">
            <v>LH</v>
          </cell>
        </row>
        <row r="136">
          <cell r="AD136" t="str">
            <v>PTH</v>
          </cell>
        </row>
        <row r="137">
          <cell r="AD137" t="str">
            <v>Peptide C</v>
          </cell>
        </row>
        <row r="138">
          <cell r="AD138" t="str">
            <v>Progesterone</v>
          </cell>
        </row>
        <row r="139">
          <cell r="AD139" t="str">
            <v>Prolactine</v>
          </cell>
        </row>
        <row r="140">
          <cell r="AD140" t="str">
            <v>FT3</v>
          </cell>
        </row>
        <row r="141">
          <cell r="AD141" t="str">
            <v>FT4</v>
          </cell>
        </row>
        <row r="142">
          <cell r="AD142" t="str">
            <v>Testosterone</v>
          </cell>
        </row>
        <row r="143">
          <cell r="AD143" t="str">
            <v>TSH</v>
          </cell>
        </row>
        <row r="144">
          <cell r="AD144" t="str">
            <v>a-Fetoprotein(non hepatic carcinoma)</v>
          </cell>
        </row>
        <row r="145">
          <cell r="AD145" t="str">
            <v>RICOS</v>
          </cell>
        </row>
        <row r="146">
          <cell r="AD146" t="str">
            <v>Acid phosphatase</v>
          </cell>
        </row>
        <row r="147">
          <cell r="AD147" t="str">
            <v xml:space="preserve">Sang-plasma </v>
          </cell>
        </row>
        <row r="148">
          <cell r="AD148" t="str">
            <v>11-Desoxycortisol S</v>
          </cell>
        </row>
        <row r="149">
          <cell r="AD149" t="str">
            <v>17-Hydroxyprogesterone</v>
          </cell>
        </row>
        <row r="150">
          <cell r="AD150" t="str">
            <v>5' Nucleotidase</v>
          </cell>
        </row>
        <row r="151">
          <cell r="AD151" t="str">
            <v>a1-Acid Glycoprotein</v>
          </cell>
        </row>
        <row r="152">
          <cell r="AD152" t="str">
            <v>a1-Antichymotrypsin</v>
          </cell>
        </row>
        <row r="153">
          <cell r="AD153" t="str">
            <v>a1-Antitrypsin</v>
          </cell>
        </row>
        <row r="154">
          <cell r="AD154" t="str">
            <v>a1-Globulin</v>
          </cell>
        </row>
        <row r="155">
          <cell r="AD155" t="str">
            <v>a2-Antiplasmin</v>
          </cell>
        </row>
        <row r="156">
          <cell r="AD156" t="str">
            <v>a2-Globulins</v>
          </cell>
        </row>
        <row r="157">
          <cell r="AD157" t="str">
            <v>a2-Macroglobulin</v>
          </cell>
        </row>
        <row r="158">
          <cell r="AD158" t="str">
            <v>a-Amylase (ricos)</v>
          </cell>
        </row>
        <row r="159">
          <cell r="AD159" t="str">
            <v>a-Amylase (pancreatic)</v>
          </cell>
        </row>
        <row r="160">
          <cell r="AD160" t="str">
            <v>a-Carotene</v>
          </cell>
        </row>
        <row r="161">
          <cell r="AD161" t="str">
            <v>a-Fetoprotein(non hepatic carcinoma)</v>
          </cell>
        </row>
        <row r="162">
          <cell r="AD162" t="str">
            <v>a-Tocopherol</v>
          </cell>
        </row>
        <row r="163">
          <cell r="AD163" t="str">
            <v>Acid phosphatase</v>
          </cell>
        </row>
        <row r="164">
          <cell r="AD164" t="str">
            <v>Acid phosphatase tartrate-resistant (TR-ACP)</v>
          </cell>
        </row>
        <row r="165">
          <cell r="AD165" t="str">
            <v>Acid phosphatase prostatic activity (PAP)</v>
          </cell>
        </row>
        <row r="166">
          <cell r="AD166" t="str">
            <v>Activated partial thromboplastine time</v>
          </cell>
        </row>
        <row r="167">
          <cell r="AD167" t="str">
            <v>Acyl/free carnitine</v>
          </cell>
        </row>
        <row r="168">
          <cell r="AD168" t="str">
            <v>Adiponectin</v>
          </cell>
        </row>
        <row r="169">
          <cell r="AD169" t="str">
            <v>Adenosine deaminase (ADA)</v>
          </cell>
        </row>
        <row r="170">
          <cell r="AD170" t="str">
            <v>Alanine aminopeptidase</v>
          </cell>
        </row>
        <row r="171">
          <cell r="AD171" t="str">
            <v>Alanine aminotransferase</v>
          </cell>
        </row>
        <row r="172">
          <cell r="AD172" t="str">
            <v>Albumin</v>
          </cell>
        </row>
        <row r="173">
          <cell r="AD173" t="str">
            <v>Aldosterone</v>
          </cell>
        </row>
        <row r="174">
          <cell r="AD174" t="str">
            <v>Alkaline phosphatase</v>
          </cell>
        </row>
        <row r="175">
          <cell r="AD175" t="str">
            <v>Alkaline phosphatase, bone</v>
          </cell>
        </row>
        <row r="176">
          <cell r="AD176" t="str">
            <v>Alkaline phosphatase, liver</v>
          </cell>
        </row>
        <row r="177">
          <cell r="AD177" t="str">
            <v>Alkaline phosphatase, placental</v>
          </cell>
        </row>
        <row r="178">
          <cell r="AD178" t="str">
            <v>Amyloid A</v>
          </cell>
        </row>
        <row r="179">
          <cell r="AD179" t="str">
            <v>Androstendione</v>
          </cell>
        </row>
        <row r="180">
          <cell r="AD180" t="str">
            <v>Androstenedione</v>
          </cell>
        </row>
        <row r="181">
          <cell r="AD181" t="str">
            <v>Angiotensin converting enzyme</v>
          </cell>
        </row>
        <row r="182">
          <cell r="AD182" t="str">
            <v>Antithrombin III</v>
          </cell>
        </row>
        <row r="183">
          <cell r="AD183" t="str">
            <v>Apolipoprotein A1</v>
          </cell>
        </row>
        <row r="184">
          <cell r="AD184" t="str">
            <v>Apolipoprotein B</v>
          </cell>
        </row>
        <row r="185">
          <cell r="AD185" t="str">
            <v>Ascorbic Acid</v>
          </cell>
        </row>
        <row r="186">
          <cell r="AD186" t="str">
            <v>Aspartate aminotransferase</v>
          </cell>
        </row>
        <row r="187">
          <cell r="AD187" t="str">
            <v>b-2-Microglobulin</v>
          </cell>
        </row>
        <row r="188">
          <cell r="AD188" t="str">
            <v>Basophile, count</v>
          </cell>
        </row>
        <row r="189">
          <cell r="AD189" t="str">
            <v>b-Carotene</v>
          </cell>
        </row>
        <row r="190">
          <cell r="AD190" t="str">
            <v>b-Cryptoxantin</v>
          </cell>
        </row>
        <row r="191">
          <cell r="AD191" t="str">
            <v>b-Globulins</v>
          </cell>
        </row>
        <row r="192">
          <cell r="AD192" t="str">
            <v>Bilirubin total</v>
          </cell>
        </row>
        <row r="193">
          <cell r="AD193" t="str">
            <v>Bilirubin conjugated</v>
          </cell>
        </row>
        <row r="194">
          <cell r="AD194" t="str">
            <v>CA 125 antigen</v>
          </cell>
        </row>
        <row r="195">
          <cell r="AD195" t="str">
            <v>CA 15,3 antigen</v>
          </cell>
        </row>
        <row r="196">
          <cell r="AD196" t="str">
            <v>CA 19,9 antigen</v>
          </cell>
        </row>
        <row r="197">
          <cell r="AD197" t="str">
            <v>CA 549 antigen</v>
          </cell>
        </row>
        <row r="198">
          <cell r="AD198" t="str">
            <v>Calcium</v>
          </cell>
        </row>
        <row r="199">
          <cell r="AD199" t="str">
            <v>Carbohydrate deficient transferrin</v>
          </cell>
        </row>
        <row r="200">
          <cell r="AD200" t="str">
            <v>Carcinoembryonic antigen (CEA)</v>
          </cell>
        </row>
        <row r="201">
          <cell r="AD201" t="str">
            <v>CD4 lymphocyte count</v>
          </cell>
        </row>
        <row r="202">
          <cell r="AD202" t="str">
            <v>Ceruloplasmin</v>
          </cell>
        </row>
        <row r="203">
          <cell r="AD203" t="str">
            <v>Chloride</v>
          </cell>
        </row>
        <row r="204">
          <cell r="AD204" t="str">
            <v>Cholesterol (ricos)</v>
          </cell>
        </row>
        <row r="205">
          <cell r="AD205" t="str">
            <v>Cholinesterase</v>
          </cell>
        </row>
        <row r="206">
          <cell r="AD206" t="str">
            <v>Cholinesterase, activity</v>
          </cell>
        </row>
        <row r="207">
          <cell r="AD207" t="str">
            <v>Cholinesterase, immunoreactive</v>
          </cell>
        </row>
        <row r="208">
          <cell r="AD208" t="str">
            <v>C3 complement</v>
          </cell>
        </row>
        <row r="209">
          <cell r="AD209" t="str">
            <v>C4 complement</v>
          </cell>
        </row>
        <row r="210">
          <cell r="AD210" t="str">
            <v>Chromogranin A</v>
          </cell>
        </row>
        <row r="211">
          <cell r="AD211" t="str">
            <v>Copper</v>
          </cell>
        </row>
        <row r="212">
          <cell r="AD212" t="str">
            <v>Copper</v>
          </cell>
        </row>
        <row r="213">
          <cell r="AD213" t="str">
            <v>Cortisol (ricos)</v>
          </cell>
        </row>
        <row r="214">
          <cell r="AD214" t="str">
            <v>C Peptide</v>
          </cell>
        </row>
        <row r="215">
          <cell r="AD215" t="str">
            <v>C-Propeptide type I procollagen</v>
          </cell>
        </row>
        <row r="216">
          <cell r="AD216" t="str">
            <v>C-Reactive protein</v>
          </cell>
        </row>
        <row r="217">
          <cell r="AD217" t="str">
            <v>Creatine kinase (CK)</v>
          </cell>
        </row>
        <row r="218">
          <cell r="AD218" t="str">
            <v>Creatine kinase MB, %</v>
          </cell>
        </row>
        <row r="219">
          <cell r="AD219" t="str">
            <v>Creatine kinase MB, activity</v>
          </cell>
        </row>
        <row r="220">
          <cell r="AD220" t="str">
            <v>Creatine kinase MB, mass</v>
          </cell>
        </row>
        <row r="221">
          <cell r="AD221" t="str">
            <v>Creatinine (ricos)</v>
          </cell>
        </row>
        <row r="222">
          <cell r="AD222" t="str">
            <v>Creatinine clearance</v>
          </cell>
        </row>
        <row r="223">
          <cell r="AD223" t="str">
            <v>Cyfra 21,1</v>
          </cell>
        </row>
        <row r="224">
          <cell r="AD224" t="str">
            <v>Cystastin C</v>
          </cell>
        </row>
        <row r="225">
          <cell r="AD225" t="str">
            <v>Cysteine</v>
          </cell>
        </row>
        <row r="226">
          <cell r="AD226" t="str">
            <v>Dehydroepiandrosterone sulfate</v>
          </cell>
        </row>
        <row r="227">
          <cell r="AD227" t="str">
            <v>Dipeptidyl-peptidase IV (ACE)</v>
          </cell>
        </row>
        <row r="228">
          <cell r="AD228" t="str">
            <v>Dipeptidyl-peptidase IV (ACE)</v>
          </cell>
        </row>
        <row r="229">
          <cell r="AD229" t="str">
            <v>Elastase</v>
          </cell>
        </row>
        <row r="230">
          <cell r="AD230" t="str">
            <v>Endotelial growth factor</v>
          </cell>
        </row>
        <row r="231">
          <cell r="AD231" t="str">
            <v>Eosinophils, count</v>
          </cell>
        </row>
        <row r="232">
          <cell r="AD232" t="str">
            <v>Epinephrine</v>
          </cell>
        </row>
        <row r="233">
          <cell r="AD233" t="str">
            <v>Epinephrine</v>
          </cell>
        </row>
        <row r="234">
          <cell r="AD234" t="str">
            <v>Erythrocytes, count</v>
          </cell>
        </row>
        <row r="235">
          <cell r="AD235" t="str">
            <v>Erythrocyte distribution wide</v>
          </cell>
        </row>
        <row r="236">
          <cell r="AD236" t="str">
            <v>Estradiol</v>
          </cell>
        </row>
        <row r="237">
          <cell r="AD237" t="str">
            <v>Factor V coagulation</v>
          </cell>
        </row>
        <row r="238">
          <cell r="AD238" t="str">
            <v>Factor VII coagulation</v>
          </cell>
        </row>
        <row r="239">
          <cell r="AD239" t="str">
            <v>Factor VIII coagulation</v>
          </cell>
        </row>
        <row r="240">
          <cell r="AD240" t="str">
            <v>Factor X coagulation</v>
          </cell>
        </row>
        <row r="241">
          <cell r="AD241" t="str">
            <v>Ferritin</v>
          </cell>
        </row>
        <row r="242">
          <cell r="AD242" t="str">
            <v>Fibrinogen</v>
          </cell>
        </row>
        <row r="243">
          <cell r="AD243" t="str">
            <v>Folate (ricos 1)</v>
          </cell>
        </row>
        <row r="244">
          <cell r="AD244" t="str">
            <v>Folate (ricos 2)</v>
          </cell>
        </row>
        <row r="245">
          <cell r="AD245" t="str">
            <v>Follicle stimulating hormone (males)</v>
          </cell>
        </row>
        <row r="246">
          <cell r="AD246" t="str">
            <v>Free carnitine</v>
          </cell>
        </row>
        <row r="247">
          <cell r="AD247" t="str">
            <v>Free estradiol</v>
          </cell>
        </row>
        <row r="248">
          <cell r="AD248" t="str">
            <v>Free testosterone</v>
          </cell>
        </row>
        <row r="249">
          <cell r="AD249" t="str">
            <v>Free thyroxine (FT4)</v>
          </cell>
        </row>
        <row r="250">
          <cell r="AD250" t="str">
            <v>Free Triiodothyronine (FT3)</v>
          </cell>
        </row>
        <row r="251">
          <cell r="AD251" t="str">
            <v>Fructosamine (ricos)</v>
          </cell>
        </row>
        <row r="252">
          <cell r="AD252" t="str">
            <v>Galactosyl hydroxylisine</v>
          </cell>
        </row>
        <row r="253">
          <cell r="AD253" t="str">
            <v>g-Globulins</v>
          </cell>
        </row>
        <row r="254">
          <cell r="AD254" t="str">
            <v>g-glutamyltransferase</v>
          </cell>
        </row>
        <row r="255">
          <cell r="AD255" t="str">
            <v>Globulins, total</v>
          </cell>
        </row>
        <row r="256">
          <cell r="AD256" t="str">
            <v>Glucose (ricos)</v>
          </cell>
        </row>
        <row r="257">
          <cell r="AD257" t="str">
            <v>Glucose-6-phosphate-1-dehydrogenase (G6PDH)</v>
          </cell>
        </row>
        <row r="258">
          <cell r="AD258" t="str">
            <v>Glucose-6-phosphate-1-dehydrogenase (G6PDH)</v>
          </cell>
        </row>
        <row r="259">
          <cell r="AD259" t="str">
            <v>Glutathion peroxidase</v>
          </cell>
        </row>
        <row r="260">
          <cell r="AD260" t="str">
            <v>Glycated albumin</v>
          </cell>
        </row>
        <row r="261">
          <cell r="AD261" t="str">
            <v>Glycated total protein</v>
          </cell>
        </row>
        <row r="262">
          <cell r="AD262" t="str">
            <v>Haptoglobin</v>
          </cell>
        </row>
        <row r="263">
          <cell r="AD263" t="str">
            <v>Hematocrit</v>
          </cell>
        </row>
        <row r="264">
          <cell r="AD264" t="str">
            <v>Hemoglobin</v>
          </cell>
        </row>
        <row r="265">
          <cell r="AD265" t="str">
            <v>Hemoglobin A1 C</v>
          </cell>
        </row>
        <row r="266">
          <cell r="AD266" t="str">
            <v>HDL cholesterol</v>
          </cell>
        </row>
        <row r="267">
          <cell r="AD267" t="str">
            <v>HDL 1 cholesterol</v>
          </cell>
        </row>
        <row r="268">
          <cell r="AD268" t="str">
            <v>HDL 2 cholesterol</v>
          </cell>
        </row>
        <row r="269">
          <cell r="AD269" t="str">
            <v>HDL 3 cholesterol</v>
          </cell>
        </row>
        <row r="270">
          <cell r="AD270" t="str">
            <v>Homocysteine</v>
          </cell>
        </row>
        <row r="271">
          <cell r="AD271" t="str">
            <v>Hydroxyproline/creatinine</v>
          </cell>
        </row>
        <row r="272">
          <cell r="AD272" t="str">
            <v>Hydroxybutyrate dehydrogenase</v>
          </cell>
        </row>
        <row r="273">
          <cell r="AD273" t="str">
            <v>Immunoglobulin A</v>
          </cell>
        </row>
        <row r="274">
          <cell r="AD274" t="str">
            <v>Immunoglobulin G</v>
          </cell>
        </row>
        <row r="275">
          <cell r="AD275" t="str">
            <v>Immunoglobulin M</v>
          </cell>
        </row>
        <row r="276">
          <cell r="AD276" t="str">
            <v>Immunoglobulins K chains</v>
          </cell>
        </row>
        <row r="277">
          <cell r="AD277" t="str">
            <v>Immunoglobulins l chains</v>
          </cell>
        </row>
        <row r="278">
          <cell r="AD278" t="str">
            <v>Insulin</v>
          </cell>
        </row>
        <row r="279">
          <cell r="AD279" t="str">
            <v>Insulin-like growth factor (IGF-1)</v>
          </cell>
        </row>
        <row r="280">
          <cell r="AD280" t="str">
            <v>Intercellular adhesion molecule-1</v>
          </cell>
        </row>
        <row r="281">
          <cell r="AD281" t="str">
            <v>Interferon receptor</v>
          </cell>
        </row>
        <row r="282">
          <cell r="AD282" t="str">
            <v>Interleukin-1B</v>
          </cell>
        </row>
        <row r="283">
          <cell r="AD283" t="str">
            <v>Interleukin-8</v>
          </cell>
        </row>
        <row r="284">
          <cell r="AD284" t="str">
            <v>Iron</v>
          </cell>
        </row>
        <row r="285">
          <cell r="AD285" t="str">
            <v>Lactate (ricos)</v>
          </cell>
        </row>
        <row r="286">
          <cell r="AD286" t="str">
            <v>Lactate dehydrogenase (LDH)</v>
          </cell>
        </row>
        <row r="287">
          <cell r="AD287" t="str">
            <v>Lactate dehydrogenase 1 isoform (LDH1)</v>
          </cell>
        </row>
        <row r="288">
          <cell r="AD288" t="str">
            <v>Lactate dehydrogenase 2 isoform (LDH2)</v>
          </cell>
        </row>
        <row r="289">
          <cell r="AD289" t="str">
            <v>Lactate dehydrogenase 3 isoform (LDH3)</v>
          </cell>
        </row>
        <row r="290">
          <cell r="AD290" t="str">
            <v>Lactate dehydrogenase 4 isoform (LDH4)</v>
          </cell>
        </row>
        <row r="291">
          <cell r="AD291" t="str">
            <v>Lactate dehydrogenase 5 isoform (LDH5)</v>
          </cell>
        </row>
        <row r="292">
          <cell r="AD292" t="str">
            <v>Lactoferrin</v>
          </cell>
        </row>
        <row r="293">
          <cell r="AD293" t="str">
            <v>Leukocytes, count</v>
          </cell>
        </row>
        <row r="294">
          <cell r="AD294" t="str">
            <v>LDL Cholesterol</v>
          </cell>
        </row>
        <row r="295">
          <cell r="AD295" t="str">
            <v>LDL Cholesterol (direct)</v>
          </cell>
        </row>
        <row r="296">
          <cell r="AD296" t="str">
            <v>LDL Cholesterol (oxidized)</v>
          </cell>
        </row>
        <row r="297">
          <cell r="AD297" t="str">
            <v>LDL receptor mRNA</v>
          </cell>
        </row>
        <row r="298">
          <cell r="AD298" t="str">
            <v>Leukocytes count</v>
          </cell>
        </row>
        <row r="299">
          <cell r="AD299" t="str">
            <v>Lipase (ricos)</v>
          </cell>
        </row>
        <row r="300">
          <cell r="AD300" t="str">
            <v>Lipoprotein (a)</v>
          </cell>
        </row>
        <row r="301">
          <cell r="AD301" t="str">
            <v>Lutein</v>
          </cell>
        </row>
        <row r="302">
          <cell r="AD302" t="str">
            <v>Luteinizing hormone</v>
          </cell>
        </row>
        <row r="303">
          <cell r="AD303" t="str">
            <v>Lycopenene</v>
          </cell>
        </row>
        <row r="304">
          <cell r="AD304" t="str">
            <v>Lymphocytes, count</v>
          </cell>
        </row>
        <row r="305">
          <cell r="AD305" t="str">
            <v>Lymphocytes CD4</v>
          </cell>
        </row>
        <row r="306">
          <cell r="AD306" t="str">
            <v>Magnesium (ricos)</v>
          </cell>
        </row>
        <row r="307">
          <cell r="AD307" t="str">
            <v>Magnesium (ricos2)</v>
          </cell>
        </row>
        <row r="308">
          <cell r="AD308" t="str">
            <v>Magnesium (ricos3)</v>
          </cell>
        </row>
        <row r="309">
          <cell r="AD309" t="str">
            <v>Magnesium, concentration, 24h</v>
          </cell>
        </row>
        <row r="310">
          <cell r="AD310" t="str">
            <v>Magnesium, ionized</v>
          </cell>
        </row>
        <row r="311">
          <cell r="AD311" t="str">
            <v>Magnesium, output, 24h</v>
          </cell>
        </row>
        <row r="312">
          <cell r="AD312" t="str">
            <v>Mean corpuscular hemoglobin (HCM)</v>
          </cell>
        </row>
        <row r="313">
          <cell r="AD313" t="str">
            <v>Mean corpuscular hemoglobin concentration (MCHC)</v>
          </cell>
        </row>
        <row r="314">
          <cell r="AD314" t="str">
            <v>Mean corpuscular volume (MCV)</v>
          </cell>
        </row>
        <row r="315">
          <cell r="AD315" t="str">
            <v>Mean platelet volume (MPV)</v>
          </cell>
        </row>
        <row r="316">
          <cell r="AD316" t="str">
            <v>Monocytes, count</v>
          </cell>
        </row>
        <row r="317">
          <cell r="AD317" t="str">
            <v>Mucinous carcinoma-associated antigen (MCA)</v>
          </cell>
        </row>
        <row r="318">
          <cell r="AD318" t="str">
            <v>Myeloperoxidase</v>
          </cell>
        </row>
        <row r="319">
          <cell r="AD319" t="str">
            <v>Myoglobin</v>
          </cell>
        </row>
        <row r="320">
          <cell r="AD320" t="str">
            <v>N-Acetyl Glucosaminidase, concentration, overnight</v>
          </cell>
        </row>
        <row r="321">
          <cell r="AD321" t="str">
            <v>Neutrophyles, count</v>
          </cell>
        </row>
        <row r="322">
          <cell r="AD322" t="str">
            <v>Non-inhibited arilestearase activity</v>
          </cell>
        </row>
        <row r="323">
          <cell r="AD323" t="str">
            <v>Norepinephrine</v>
          </cell>
        </row>
        <row r="324">
          <cell r="AD324" t="str">
            <v>Norepinephrine</v>
          </cell>
        </row>
        <row r="325">
          <cell r="AD325" t="str">
            <v>N-terminal (NT)-proBNP</v>
          </cell>
        </row>
        <row r="326">
          <cell r="AD326" t="str">
            <v>Osmolality</v>
          </cell>
        </row>
        <row r="327">
          <cell r="AD327" t="str">
            <v>Osteocalcin</v>
          </cell>
        </row>
        <row r="328">
          <cell r="AD328" t="str">
            <v>Osteocalcin (+1 trab)</v>
          </cell>
        </row>
        <row r="329">
          <cell r="AD329" t="str">
            <v>Oxalate, concentration, 24h</v>
          </cell>
        </row>
        <row r="330">
          <cell r="AD330" t="str">
            <v>Oxalate, output, 24h</v>
          </cell>
        </row>
        <row r="331">
          <cell r="AD331" t="str">
            <v>pCO2 (ricos)</v>
          </cell>
        </row>
        <row r="332">
          <cell r="AD332" t="str">
            <v>pH [H+]</v>
          </cell>
        </row>
        <row r="333">
          <cell r="AD333" t="str">
            <v>pH (pH units)</v>
          </cell>
        </row>
        <row r="334">
          <cell r="AD334" t="str">
            <v>Paraoxon</v>
          </cell>
        </row>
        <row r="335">
          <cell r="AD335" t="str">
            <v>Paraoxonase 1 substrate inhibition (PON 4SI)</v>
          </cell>
        </row>
        <row r="336">
          <cell r="AD336" t="str">
            <v>Paraoxonase activity (salt estimulated)</v>
          </cell>
        </row>
        <row r="337">
          <cell r="AD337" t="str">
            <v>Parathyroid hormone (PTH)</v>
          </cell>
        </row>
        <row r="338">
          <cell r="AD338" t="str">
            <v>Phenylacetate</v>
          </cell>
        </row>
        <row r="339">
          <cell r="AD339" t="str">
            <v>Phosphate (ricos)</v>
          </cell>
        </row>
        <row r="340">
          <cell r="AD340" t="str">
            <v>Phosphate tubular reabsorption</v>
          </cell>
        </row>
        <row r="341">
          <cell r="AD341" t="str">
            <v>Phospholipids</v>
          </cell>
        </row>
        <row r="342">
          <cell r="AD342" t="str">
            <v>Plasminogen</v>
          </cell>
        </row>
        <row r="343">
          <cell r="AD343" t="str">
            <v>Platelets, count</v>
          </cell>
        </row>
        <row r="344">
          <cell r="AD344" t="str">
            <v>Platelet distribution wide</v>
          </cell>
        </row>
        <row r="345">
          <cell r="AD345" t="str">
            <v>Plateletcrit</v>
          </cell>
        </row>
        <row r="346">
          <cell r="AD346" t="str">
            <v>Potassium (ricos)</v>
          </cell>
        </row>
        <row r="347">
          <cell r="AD347" t="str">
            <v>Potassium (ricos2)</v>
          </cell>
        </row>
        <row r="348">
          <cell r="AD348" t="str">
            <v>Prealbumin</v>
          </cell>
        </row>
        <row r="349">
          <cell r="AD349" t="str">
            <v>Procollagen type 1 C-terminal</v>
          </cell>
        </row>
        <row r="350">
          <cell r="AD350" t="str">
            <v>Procollagen type 1 N-terminal</v>
          </cell>
        </row>
        <row r="351">
          <cell r="AD351" t="str">
            <v>Prolactin (men)</v>
          </cell>
        </row>
        <row r="352">
          <cell r="AD352" t="str">
            <v>Prolyl endopeptidase</v>
          </cell>
        </row>
        <row r="353">
          <cell r="AD353" t="str">
            <v>Properdin factor B</v>
          </cell>
        </row>
        <row r="354">
          <cell r="AD354" t="str">
            <v>Prostatic specific antigen (PSA)</v>
          </cell>
        </row>
        <row r="355">
          <cell r="AD355" t="str">
            <v>Protein C</v>
          </cell>
        </row>
        <row r="356">
          <cell r="AD356" t="str">
            <v>Protein S</v>
          </cell>
        </row>
        <row r="357">
          <cell r="AD357" t="str">
            <v>Protein, total</v>
          </cell>
        </row>
        <row r="358">
          <cell r="AD358" t="str">
            <v>Prothrombin time</v>
          </cell>
        </row>
        <row r="359">
          <cell r="AD359" t="str">
            <v>Pyruvate</v>
          </cell>
        </row>
        <row r="360">
          <cell r="AD360" t="str">
            <v>Red cell distribution wide (RDW)</v>
          </cell>
        </row>
        <row r="361">
          <cell r="AD361" t="str">
            <v>Reticulocyte highly fluorescent, count</v>
          </cell>
        </row>
        <row r="362">
          <cell r="AD362" t="str">
            <v>Reticulocyte low fluorescent, count</v>
          </cell>
        </row>
        <row r="363">
          <cell r="AD363" t="str">
            <v>Reticulocyte medium fluorescent, count</v>
          </cell>
        </row>
        <row r="364">
          <cell r="AD364" t="str">
            <v>Reticulocyte, count</v>
          </cell>
        </row>
        <row r="365">
          <cell r="AD365" t="str">
            <v>Retinol</v>
          </cell>
        </row>
        <row r="366">
          <cell r="AD366" t="str">
            <v>Retinol</v>
          </cell>
        </row>
        <row r="367">
          <cell r="AD367" t="str">
            <v>Rheumatoid factor</v>
          </cell>
        </row>
        <row r="368">
          <cell r="AD368" t="str">
            <v>SCC antigen</v>
          </cell>
        </row>
        <row r="369">
          <cell r="AD369" t="str">
            <v>Selenium</v>
          </cell>
        </row>
        <row r="370">
          <cell r="AD370" t="str">
            <v>Selenium</v>
          </cell>
        </row>
        <row r="371">
          <cell r="AD371" t="str">
            <v>Semen, concentration</v>
          </cell>
        </row>
        <row r="372">
          <cell r="AD372" t="str">
            <v>Semen, morphology</v>
          </cell>
        </row>
        <row r="373">
          <cell r="AD373" t="str">
            <v>Semen, progressive motility</v>
          </cell>
        </row>
        <row r="374">
          <cell r="AD374" t="str">
            <v>Semen, progressive rapid motility</v>
          </cell>
        </row>
        <row r="375">
          <cell r="AD375" t="str">
            <v>Semen, total motility</v>
          </cell>
        </row>
        <row r="376">
          <cell r="AD376" t="str">
            <v>Semen, vitality</v>
          </cell>
        </row>
        <row r="377">
          <cell r="AD377" t="str">
            <v>Sex hormone binding globulin (SHBG)</v>
          </cell>
        </row>
        <row r="378">
          <cell r="AD378" t="str">
            <v>Sodium (ricos)</v>
          </cell>
        </row>
        <row r="379">
          <cell r="AD379" t="str">
            <v>Sodium (ricos2)</v>
          </cell>
        </row>
        <row r="380">
          <cell r="AD380" t="str">
            <v>Sodium (ricos3)</v>
          </cell>
        </row>
        <row r="381">
          <cell r="AD381" t="str">
            <v>Sodium Bicarbonate</v>
          </cell>
        </row>
        <row r="382">
          <cell r="AD382" t="str">
            <v>Sodium Chloride</v>
          </cell>
        </row>
        <row r="383">
          <cell r="AD383" t="str">
            <v>Soluble CD163</v>
          </cell>
        </row>
        <row r="384">
          <cell r="AD384" t="str">
            <v>Soluble CD163</v>
          </cell>
        </row>
        <row r="385">
          <cell r="AD385" t="str">
            <v>Superoxide dismutase</v>
          </cell>
        </row>
        <row r="386">
          <cell r="AD386" t="str">
            <v>Superoxide dismutase</v>
          </cell>
        </row>
        <row r="387">
          <cell r="AD387" t="str">
            <v>Testosterone (ricos)</v>
          </cell>
        </row>
        <row r="388">
          <cell r="AD388" t="str">
            <v>Testosterone (ricos2)</v>
          </cell>
        </row>
        <row r="389">
          <cell r="AD389" t="str">
            <v>Testosterone (ricos3)</v>
          </cell>
        </row>
        <row r="390">
          <cell r="AD390" t="str">
            <v>Thyroglobulin</v>
          </cell>
        </row>
        <row r="391">
          <cell r="AD391" t="str">
            <v>Thyroglobulin antibody</v>
          </cell>
        </row>
        <row r="392">
          <cell r="AD392" t="str">
            <v>Thyroid peroxidase antibody</v>
          </cell>
        </row>
        <row r="393">
          <cell r="AD393" t="str">
            <v>Thyroid stimulating hormone (TSH)</v>
          </cell>
        </row>
        <row r="394">
          <cell r="AD394" t="str">
            <v>Thyrotropin receptor antibody</v>
          </cell>
        </row>
        <row r="395">
          <cell r="AD395" t="str">
            <v>Thyroxine binding globulin (TBG)</v>
          </cell>
        </row>
        <row r="396">
          <cell r="AD396" t="str">
            <v>Thyroxine (T4)</v>
          </cell>
        </row>
        <row r="397">
          <cell r="AD397" t="str">
            <v>Tissue polypeptide antigen (TPA)</v>
          </cell>
        </row>
        <row r="398">
          <cell r="AD398" t="str">
            <v>Tissue polypeptide specific antigen (TPS)</v>
          </cell>
        </row>
        <row r="399">
          <cell r="AD399" t="str">
            <v>Total carnitine</v>
          </cell>
        </row>
        <row r="400">
          <cell r="AD400" t="str">
            <v>Transferrin</v>
          </cell>
        </row>
        <row r="401">
          <cell r="AD401" t="str">
            <v>Triglyceride</v>
          </cell>
        </row>
        <row r="402">
          <cell r="AD402" t="str">
            <v>Triiodothyronine (T3)</v>
          </cell>
        </row>
        <row r="403">
          <cell r="AD403" t="str">
            <v>Troponin I</v>
          </cell>
        </row>
        <row r="404">
          <cell r="AD404" t="str">
            <v>Tumor Necrosis Factor-a</v>
          </cell>
        </row>
        <row r="405">
          <cell r="AD405" t="str">
            <v>Urate</v>
          </cell>
        </row>
        <row r="406">
          <cell r="AD406" t="str">
            <v>Urea</v>
          </cell>
        </row>
        <row r="407">
          <cell r="AD407" t="str">
            <v>Vascular cell adhesion molecule-1</v>
          </cell>
        </row>
        <row r="408">
          <cell r="AD408" t="str">
            <v>Vascular endotelial growth factor</v>
          </cell>
        </row>
        <row r="409">
          <cell r="AD409" t="str">
            <v>Vitamin B1</v>
          </cell>
        </row>
        <row r="410">
          <cell r="AD410" t="str">
            <v>Vitamin B2 (Riboflavin)</v>
          </cell>
        </row>
        <row r="411">
          <cell r="AD411" t="str">
            <v>Vitamin B2 (Riboflavin)</v>
          </cell>
        </row>
        <row r="412">
          <cell r="AD412" t="str">
            <v>Vitamin B2 status (gluthation reductase activation)</v>
          </cell>
        </row>
        <row r="413">
          <cell r="AD413" t="str">
            <v>Vitamin B12</v>
          </cell>
        </row>
        <row r="414">
          <cell r="AD414" t="str">
            <v>Vitamin B6</v>
          </cell>
        </row>
        <row r="415">
          <cell r="AD415" t="str">
            <v>Vitamin B6</v>
          </cell>
        </row>
        <row r="416">
          <cell r="AD416" t="str">
            <v>Vitamin B6 status (AST activation)</v>
          </cell>
        </row>
        <row r="417">
          <cell r="AD417" t="str">
            <v>Vitamin E (a-Tocopherol)</v>
          </cell>
        </row>
        <row r="418">
          <cell r="AD418" t="str">
            <v>Vitamin K (Phylloquinone)</v>
          </cell>
        </row>
        <row r="419">
          <cell r="AD419" t="str">
            <v>VLDL Cholesterol</v>
          </cell>
        </row>
        <row r="420">
          <cell r="AD420" t="str">
            <v>Von Willebrand factor</v>
          </cell>
        </row>
        <row r="421">
          <cell r="AD421" t="str">
            <v>Von Willebrand factor antigen</v>
          </cell>
        </row>
        <row r="422">
          <cell r="AD422" t="str">
            <v>Water</v>
          </cell>
        </row>
        <row r="423">
          <cell r="AD423" t="str">
            <v>Zeaxanthine</v>
          </cell>
        </row>
        <row r="424">
          <cell r="AD424" t="str">
            <v>Zinc (ricos 1)</v>
          </cell>
        </row>
        <row r="425">
          <cell r="AD425" t="str">
            <v>Zinc (ricos 2)</v>
          </cell>
        </row>
        <row r="426">
          <cell r="AD426" t="str">
            <v>Creatinine, output, 24h</v>
          </cell>
        </row>
        <row r="427">
          <cell r="AD427" t="str">
            <v>URINE</v>
          </cell>
        </row>
        <row r="428">
          <cell r="AD428" t="str">
            <v>4 OH-3 methoxi-Vanil mandelic acid (VMA)</v>
          </cell>
        </row>
        <row r="429">
          <cell r="AD429" t="str">
            <v>5'-Hydroxyindolacetate, concentration</v>
          </cell>
        </row>
        <row r="430">
          <cell r="AD430" t="str">
            <v>a1-Microglobulin, concentration, first morning</v>
          </cell>
        </row>
        <row r="431">
          <cell r="AD431" t="str">
            <v>a2-Microglobulin output, first morning</v>
          </cell>
        </row>
        <row r="432">
          <cell r="AD432" t="str">
            <v>a-Amylase concentration, random</v>
          </cell>
        </row>
        <row r="433">
          <cell r="AD433" t="str">
            <v>Albumin, concentration, first morning</v>
          </cell>
        </row>
        <row r="434">
          <cell r="AD434" t="str">
            <v>Aldosterone, concentration</v>
          </cell>
        </row>
        <row r="435">
          <cell r="AD435" t="str">
            <v>Ammonia, output, 24h</v>
          </cell>
        </row>
        <row r="436">
          <cell r="AD436" t="str">
            <v>Calcium, concentration, 24h</v>
          </cell>
        </row>
        <row r="437">
          <cell r="AD437" t="str">
            <v>Calcium, ionized</v>
          </cell>
        </row>
        <row r="438">
          <cell r="AD438" t="str">
            <v>Calcium, output, 24h</v>
          </cell>
        </row>
        <row r="439">
          <cell r="AD439" t="str">
            <v>C-Terminal cross-linking telopeptide  type I collagen (s-CTx)</v>
          </cell>
        </row>
        <row r="440">
          <cell r="AD440" t="str">
            <v>C-Telopeptide of type I collagen/creatinine, 1st morning</v>
          </cell>
        </row>
        <row r="441">
          <cell r="AD441" t="str">
            <v>C-Telopeptide type I collagen/creatinine, 2nd morning</v>
          </cell>
        </row>
        <row r="442">
          <cell r="AD442" t="str">
            <v>Creatinine, concentration, 24h</v>
          </cell>
        </row>
        <row r="443">
          <cell r="AD443" t="str">
            <v>Creatinine, output, 24h</v>
          </cell>
        </row>
        <row r="444">
          <cell r="AD444" t="str">
            <v>?-aminolevulinic acid</v>
          </cell>
        </row>
        <row r="445">
          <cell r="AD445" t="str">
            <v>Deoxypyridinoline/creatinine, 24h (Delmas CC 2001)</v>
          </cell>
        </row>
        <row r="446">
          <cell r="AD446" t="str">
            <v>Deoxypyridinoline/creatinine, first morning</v>
          </cell>
        </row>
        <row r="447">
          <cell r="AD447" t="str">
            <v>Deoxipyridinoline/minute</v>
          </cell>
        </row>
        <row r="448">
          <cell r="AD448" t="str">
            <v>Estradiol</v>
          </cell>
        </row>
        <row r="449">
          <cell r="AD449" t="str">
            <v>Free estradiol</v>
          </cell>
        </row>
        <row r="450">
          <cell r="AD450" t="str">
            <v>Free testosterone</v>
          </cell>
        </row>
        <row r="451">
          <cell r="AD451" t="str">
            <v>Hydroxyproline/minute, night urine</v>
          </cell>
        </row>
        <row r="452">
          <cell r="AD452" t="str">
            <v>Magnesium, concentration, 24h</v>
          </cell>
        </row>
        <row r="453">
          <cell r="AD453" t="str">
            <v>Magnesium, ionized</v>
          </cell>
        </row>
        <row r="454">
          <cell r="AD454" t="str">
            <v>Magnesium, output, 24h</v>
          </cell>
        </row>
        <row r="455">
          <cell r="AD455" t="str">
            <v>N-Acetyl Glucosaminidase, concentration, overnight</v>
          </cell>
        </row>
        <row r="456">
          <cell r="AD456" t="str">
            <v>Nitrogen, output</v>
          </cell>
        </row>
        <row r="457">
          <cell r="AD457" t="str">
            <v>N- Telopeptide of type I collagen /creatinine, first urine</v>
          </cell>
        </row>
        <row r="458">
          <cell r="AD458" t="str">
            <v>Oxalate, concentration, 24h</v>
          </cell>
        </row>
        <row r="459">
          <cell r="AD459" t="str">
            <v>Oxalate, output, 24h</v>
          </cell>
        </row>
        <row r="460">
          <cell r="AD460" t="str">
            <v>Phosphate, concentration, 24h</v>
          </cell>
        </row>
        <row r="461">
          <cell r="AD461" t="str">
            <v>Phosphate, output, 24h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thodesdevalidation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1"/>
  <sheetViews>
    <sheetView showGridLines="0" tabSelected="1" topLeftCell="A53" zoomScale="70" zoomScaleNormal="70" workbookViewId="0">
      <selection activeCell="H82" sqref="H82"/>
    </sheetView>
  </sheetViews>
  <sheetFormatPr baseColWidth="10" defaultColWidth="11.453125" defaultRowHeight="14.5" x14ac:dyDescent="0.35"/>
  <cols>
    <col min="1" max="2" width="11.453125" style="134"/>
    <col min="3" max="3" width="12.54296875" style="134" customWidth="1"/>
    <col min="4" max="7" width="11.453125" style="134"/>
    <col min="8" max="8" width="11.1796875" style="134" customWidth="1"/>
    <col min="9" max="9" width="18.453125" style="134" customWidth="1"/>
    <col min="10" max="16384" width="11.453125" style="134"/>
  </cols>
  <sheetData>
    <row r="1" spans="2:12" ht="15" thickBot="1" x14ac:dyDescent="0.4"/>
    <row r="2" spans="2:12" ht="26.5" customHeight="1" x14ac:dyDescent="0.35">
      <c r="B2" s="187" t="s">
        <v>53</v>
      </c>
      <c r="C2" s="188"/>
      <c r="D2" s="188"/>
      <c r="E2" s="188"/>
      <c r="F2" s="188"/>
      <c r="G2" s="188"/>
      <c r="H2" s="188"/>
      <c r="I2" s="188"/>
      <c r="J2" s="188"/>
      <c r="K2" s="188"/>
      <c r="L2" s="189"/>
    </row>
    <row r="3" spans="2:12" x14ac:dyDescent="0.35">
      <c r="B3" s="190"/>
      <c r="C3" s="191"/>
      <c r="D3" s="191"/>
      <c r="E3" s="191"/>
      <c r="F3" s="191"/>
      <c r="G3" s="191"/>
      <c r="H3" s="191"/>
      <c r="I3" s="191"/>
      <c r="J3" s="191"/>
      <c r="K3" s="191"/>
      <c r="L3" s="192"/>
    </row>
    <row r="4" spans="2:12" ht="15" thickBot="1" x14ac:dyDescent="0.4"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5"/>
    </row>
    <row r="5" spans="2:12" ht="14.5" customHeight="1" x14ac:dyDescent="0.35"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</row>
    <row r="6" spans="2:12" ht="14.5" customHeight="1" x14ac:dyDescent="0.35">
      <c r="B6" s="196" t="s">
        <v>113</v>
      </c>
      <c r="C6" s="136"/>
      <c r="D6" s="135"/>
      <c r="E6" s="202"/>
      <c r="F6" s="202"/>
      <c r="G6" s="202"/>
      <c r="H6" s="202"/>
      <c r="I6" s="202"/>
      <c r="J6" s="135"/>
      <c r="K6" s="137" t="s">
        <v>207</v>
      </c>
      <c r="L6" s="138"/>
    </row>
    <row r="7" spans="2:12" ht="14.5" customHeight="1" x14ac:dyDescent="0.35">
      <c r="B7" s="196"/>
      <c r="C7" s="136"/>
      <c r="D7" s="135"/>
      <c r="E7" s="202"/>
      <c r="F7" s="202"/>
      <c r="G7" s="202"/>
      <c r="H7" s="202"/>
      <c r="I7" s="202"/>
      <c r="K7" s="137" t="s">
        <v>56</v>
      </c>
      <c r="L7" s="139" t="s">
        <v>55</v>
      </c>
    </row>
    <row r="8" spans="2:12" ht="14.5" customHeight="1" thickBot="1" x14ac:dyDescent="0.4">
      <c r="B8" s="140"/>
      <c r="C8" s="141"/>
      <c r="D8" s="135"/>
      <c r="E8" s="135"/>
      <c r="F8" s="135"/>
      <c r="G8" s="135"/>
      <c r="H8" s="135"/>
      <c r="I8" s="135"/>
    </row>
    <row r="9" spans="2:12" x14ac:dyDescent="0.35">
      <c r="B9" s="142" t="s">
        <v>131</v>
      </c>
      <c r="C9" s="143"/>
      <c r="D9" s="144"/>
      <c r="E9" s="144"/>
      <c r="F9" s="144"/>
      <c r="G9" s="144"/>
      <c r="H9" s="201" t="s">
        <v>60</v>
      </c>
      <c r="I9" s="201"/>
      <c r="J9" s="144"/>
      <c r="K9" s="144"/>
      <c r="L9" s="145"/>
    </row>
    <row r="10" spans="2:12" x14ac:dyDescent="0.35">
      <c r="B10" s="146" t="s">
        <v>206</v>
      </c>
      <c r="C10" s="147"/>
      <c r="D10" s="147"/>
      <c r="E10" s="148">
        <f>linéarité!D6</f>
        <v>0</v>
      </c>
      <c r="F10" s="149" t="s">
        <v>205</v>
      </c>
      <c r="G10" s="150">
        <f>linéarité!D20</f>
        <v>0</v>
      </c>
      <c r="H10" s="147" t="s">
        <v>48</v>
      </c>
      <c r="I10" s="147"/>
      <c r="J10" s="151"/>
      <c r="K10" s="151"/>
      <c r="L10" s="152"/>
    </row>
    <row r="11" spans="2:12" x14ac:dyDescent="0.35">
      <c r="B11" s="146" t="s">
        <v>67</v>
      </c>
      <c r="C11" s="147"/>
      <c r="D11" s="147"/>
      <c r="E11" s="200" t="e">
        <f>SQRT(linéarité!C45)</f>
        <v>#VALUE!</v>
      </c>
      <c r="F11" s="200"/>
      <c r="G11" s="200"/>
      <c r="H11" s="147" t="s">
        <v>52</v>
      </c>
      <c r="I11" s="147"/>
      <c r="J11" s="151"/>
      <c r="K11" s="151"/>
      <c r="L11" s="152"/>
    </row>
    <row r="12" spans="2:12" x14ac:dyDescent="0.35">
      <c r="B12" s="146" t="s">
        <v>49</v>
      </c>
      <c r="C12" s="147"/>
      <c r="D12" s="147"/>
      <c r="E12" s="199" t="str">
        <f>linéarité!C127</f>
        <v>étalon 100%</v>
      </c>
      <c r="F12" s="199"/>
      <c r="G12" s="199"/>
      <c r="H12" s="147" t="s">
        <v>129</v>
      </c>
      <c r="I12" s="147"/>
      <c r="J12" s="153"/>
      <c r="K12" s="153"/>
      <c r="L12" s="152"/>
    </row>
    <row r="13" spans="2:12" x14ac:dyDescent="0.35">
      <c r="B13" s="154" t="s">
        <v>126</v>
      </c>
      <c r="C13" s="155"/>
      <c r="D13" s="156"/>
      <c r="E13" s="156"/>
      <c r="F13" s="156"/>
      <c r="G13" s="156"/>
      <c r="H13" s="198" t="s">
        <v>130</v>
      </c>
      <c r="I13" s="198"/>
      <c r="J13" s="156"/>
      <c r="K13" s="156"/>
      <c r="L13" s="157"/>
    </row>
    <row r="14" spans="2:12" x14ac:dyDescent="0.35">
      <c r="B14" s="146" t="s">
        <v>199</v>
      </c>
      <c r="C14" s="147"/>
      <c r="D14" s="147"/>
      <c r="E14" s="204" t="e">
        <f>linéarité!H105</f>
        <v>#VALUE!</v>
      </c>
      <c r="F14" s="204"/>
      <c r="G14" s="204"/>
      <c r="H14" s="147" t="s">
        <v>133</v>
      </c>
      <c r="I14" s="147"/>
      <c r="J14" s="199" t="e">
        <f>linéarité!E111</f>
        <v>#VALUE!</v>
      </c>
      <c r="K14" s="199"/>
      <c r="L14" s="203"/>
    </row>
    <row r="15" spans="2:12" x14ac:dyDescent="0.35">
      <c r="B15" s="154" t="s">
        <v>132</v>
      </c>
      <c r="C15" s="155"/>
      <c r="D15" s="156"/>
      <c r="E15" s="156"/>
      <c r="F15" s="156"/>
      <c r="G15" s="156"/>
      <c r="H15" s="102" t="s">
        <v>108</v>
      </c>
      <c r="I15" s="156"/>
      <c r="J15" s="156"/>
      <c r="K15" s="156"/>
      <c r="L15" s="157"/>
    </row>
    <row r="16" spans="2:12" x14ac:dyDescent="0.35">
      <c r="B16" s="146" t="s">
        <v>91</v>
      </c>
      <c r="C16" s="147"/>
      <c r="D16" s="158"/>
      <c r="E16" s="186" t="e">
        <f>justesse!L10</f>
        <v>#DIV/0!</v>
      </c>
      <c r="F16" s="186"/>
      <c r="G16" s="158"/>
      <c r="H16" s="147" t="s">
        <v>127</v>
      </c>
      <c r="I16" s="147"/>
      <c r="J16" s="159" t="e">
        <f>fidélité!K11</f>
        <v>#DIV/0!</v>
      </c>
      <c r="K16" s="159" t="s">
        <v>202</v>
      </c>
      <c r="L16" s="160" t="e">
        <f>IF(J16&lt;K16,"ok","NC")</f>
        <v>#DIV/0!</v>
      </c>
    </row>
    <row r="17" spans="2:12" x14ac:dyDescent="0.35">
      <c r="B17" s="146" t="s">
        <v>112</v>
      </c>
      <c r="C17" s="147"/>
      <c r="D17" s="161" t="s">
        <v>51</v>
      </c>
      <c r="E17" s="159" t="e">
        <f>justesse!L13</f>
        <v>#DIV/0!</v>
      </c>
      <c r="F17" s="159" t="e">
        <f>justesse!L14</f>
        <v>#DIV/0!</v>
      </c>
      <c r="G17" s="158" t="s">
        <v>54</v>
      </c>
      <c r="H17" s="147" t="s">
        <v>128</v>
      </c>
      <c r="I17" s="147"/>
      <c r="J17" s="159" t="e">
        <f>fidélité!K13</f>
        <v>#DIV/0!</v>
      </c>
      <c r="K17" s="159" t="s">
        <v>200</v>
      </c>
      <c r="L17" s="160" t="e">
        <f>IF(J17&lt;K17,"ok","NC")</f>
        <v>#DIV/0!</v>
      </c>
    </row>
    <row r="18" spans="2:12" ht="15" thickBot="1" x14ac:dyDescent="0.4">
      <c r="B18" s="162" t="s">
        <v>125</v>
      </c>
      <c r="C18" s="163"/>
      <c r="D18" s="164"/>
      <c r="E18" s="197" t="e">
        <f>IF(justesse!L13&gt;=0.98,IF(justesse!L14&lt;=1,"oui","non"))</f>
        <v>#DIV/0!</v>
      </c>
      <c r="F18" s="197"/>
      <c r="G18" s="165"/>
      <c r="H18" s="163" t="s">
        <v>208</v>
      </c>
      <c r="I18" s="163"/>
      <c r="J18" s="166" t="e">
        <f>fidélité!K18</f>
        <v>#DIV/0!</v>
      </c>
      <c r="K18" s="166"/>
      <c r="L18" s="167"/>
    </row>
    <row r="19" spans="2:12" x14ac:dyDescent="0.35">
      <c r="B19" s="168"/>
      <c r="C19" s="169"/>
      <c r="D19" s="169"/>
      <c r="E19" s="169"/>
      <c r="F19" s="169"/>
      <c r="G19" s="169"/>
      <c r="H19" s="169"/>
      <c r="I19" s="169"/>
      <c r="J19" s="169"/>
      <c r="K19" s="169"/>
      <c r="L19" s="170"/>
    </row>
    <row r="20" spans="2:12" x14ac:dyDescent="0.35">
      <c r="B20" s="171"/>
      <c r="C20" s="158"/>
      <c r="D20" s="158"/>
      <c r="E20" s="158"/>
      <c r="F20" s="158"/>
      <c r="G20" s="158"/>
      <c r="H20" s="158"/>
      <c r="I20" s="158"/>
      <c r="J20" s="158"/>
      <c r="K20" s="158"/>
      <c r="L20" s="152"/>
    </row>
    <row r="21" spans="2:12" x14ac:dyDescent="0.35">
      <c r="B21" s="171"/>
      <c r="C21" s="158"/>
      <c r="D21" s="158"/>
      <c r="E21" s="158"/>
      <c r="F21" s="158"/>
      <c r="G21" s="158"/>
      <c r="H21" s="158"/>
      <c r="I21" s="158"/>
      <c r="J21" s="158"/>
      <c r="K21" s="158"/>
      <c r="L21" s="152"/>
    </row>
    <row r="22" spans="2:12" x14ac:dyDescent="0.35">
      <c r="B22" s="171"/>
      <c r="C22" s="158"/>
      <c r="D22" s="158"/>
      <c r="E22" s="158"/>
      <c r="F22" s="158"/>
      <c r="G22" s="158"/>
      <c r="H22" s="158"/>
      <c r="I22" s="158"/>
      <c r="J22" s="158"/>
      <c r="K22" s="158"/>
      <c r="L22" s="152"/>
    </row>
    <row r="23" spans="2:12" x14ac:dyDescent="0.35">
      <c r="B23" s="171"/>
      <c r="C23" s="158"/>
      <c r="D23" s="158"/>
      <c r="E23" s="158"/>
      <c r="F23" s="158"/>
      <c r="G23" s="158"/>
      <c r="H23" s="158"/>
      <c r="I23" s="158"/>
      <c r="J23" s="158"/>
      <c r="K23" s="158"/>
      <c r="L23" s="152"/>
    </row>
    <row r="24" spans="2:12" x14ac:dyDescent="0.35">
      <c r="B24" s="171"/>
      <c r="C24" s="158"/>
      <c r="D24" s="158"/>
      <c r="E24" s="158"/>
      <c r="F24" s="158"/>
      <c r="G24" s="158"/>
      <c r="H24" s="158"/>
      <c r="I24" s="158"/>
      <c r="J24" s="158"/>
      <c r="K24" s="158"/>
      <c r="L24" s="152"/>
    </row>
    <row r="25" spans="2:12" x14ac:dyDescent="0.35">
      <c r="B25" s="171"/>
      <c r="C25" s="158"/>
      <c r="D25" s="158"/>
      <c r="E25" s="158"/>
      <c r="F25" s="158"/>
      <c r="G25" s="158"/>
      <c r="H25" s="158"/>
      <c r="I25" s="158"/>
      <c r="J25" s="158"/>
      <c r="K25" s="158"/>
      <c r="L25" s="152"/>
    </row>
    <row r="26" spans="2:12" x14ac:dyDescent="0.35">
      <c r="B26" s="171"/>
      <c r="C26" s="158"/>
      <c r="D26" s="158"/>
      <c r="E26" s="158"/>
      <c r="F26" s="158"/>
      <c r="G26" s="158"/>
      <c r="H26" s="158"/>
      <c r="I26" s="158"/>
      <c r="J26" s="158"/>
      <c r="K26" s="158"/>
      <c r="L26" s="152"/>
    </row>
    <row r="27" spans="2:12" x14ac:dyDescent="0.35">
      <c r="B27" s="171"/>
      <c r="C27" s="158"/>
      <c r="D27" s="158"/>
      <c r="E27" s="158"/>
      <c r="F27" s="158"/>
      <c r="G27" s="158"/>
      <c r="H27" s="158"/>
      <c r="I27" s="158"/>
      <c r="J27" s="158"/>
      <c r="K27" s="158"/>
      <c r="L27" s="152"/>
    </row>
    <row r="28" spans="2:12" x14ac:dyDescent="0.35">
      <c r="B28" s="171"/>
      <c r="C28" s="158"/>
      <c r="D28" s="158"/>
      <c r="E28" s="158"/>
      <c r="F28" s="158"/>
      <c r="G28" s="158"/>
      <c r="H28" s="158"/>
      <c r="I28" s="158"/>
      <c r="J28" s="158"/>
      <c r="K28" s="158"/>
      <c r="L28" s="152"/>
    </row>
    <row r="29" spans="2:12" x14ac:dyDescent="0.35">
      <c r="B29" s="171"/>
      <c r="C29" s="158"/>
      <c r="D29" s="158"/>
      <c r="E29" s="158"/>
      <c r="F29" s="158"/>
      <c r="G29" s="158"/>
      <c r="H29" s="158"/>
      <c r="I29" s="158"/>
      <c r="J29" s="158"/>
      <c r="K29" s="158"/>
      <c r="L29" s="152"/>
    </row>
    <row r="30" spans="2:12" x14ac:dyDescent="0.35">
      <c r="B30" s="171"/>
      <c r="C30" s="158"/>
      <c r="D30" s="158"/>
      <c r="E30" s="158"/>
      <c r="F30" s="158"/>
      <c r="G30" s="158"/>
      <c r="H30" s="158"/>
      <c r="I30" s="158"/>
      <c r="J30" s="158"/>
      <c r="K30" s="158"/>
      <c r="L30" s="152"/>
    </row>
    <row r="31" spans="2:12" x14ac:dyDescent="0.35">
      <c r="B31" s="171"/>
      <c r="C31" s="158"/>
      <c r="D31" s="158"/>
      <c r="E31" s="158"/>
      <c r="F31" s="158"/>
      <c r="G31" s="158"/>
      <c r="H31" s="158"/>
      <c r="I31" s="158"/>
      <c r="J31" s="158"/>
      <c r="K31" s="158"/>
      <c r="L31" s="152"/>
    </row>
    <row r="32" spans="2:12" x14ac:dyDescent="0.35">
      <c r="B32" s="171"/>
      <c r="C32" s="158"/>
      <c r="D32" s="158"/>
      <c r="E32" s="158"/>
      <c r="F32" s="158"/>
      <c r="G32" s="158"/>
      <c r="H32" s="158"/>
      <c r="I32" s="158"/>
      <c r="J32" s="158"/>
      <c r="K32" s="158"/>
      <c r="L32" s="152"/>
    </row>
    <row r="33" spans="2:12" x14ac:dyDescent="0.35">
      <c r="B33" s="171"/>
      <c r="C33" s="158"/>
      <c r="D33" s="158"/>
      <c r="E33" s="158"/>
      <c r="F33" s="158"/>
      <c r="G33" s="158"/>
      <c r="H33" s="158"/>
      <c r="I33" s="158"/>
      <c r="J33" s="158"/>
      <c r="K33" s="158"/>
      <c r="L33" s="152"/>
    </row>
    <row r="34" spans="2:12" x14ac:dyDescent="0.35">
      <c r="B34" s="171"/>
      <c r="C34" s="158"/>
      <c r="D34" s="158"/>
      <c r="E34" s="158"/>
      <c r="F34" s="158"/>
      <c r="G34" s="158"/>
      <c r="H34" s="158"/>
      <c r="I34" s="158"/>
      <c r="J34" s="158"/>
      <c r="K34" s="158"/>
      <c r="L34" s="152"/>
    </row>
    <row r="35" spans="2:12" x14ac:dyDescent="0.35">
      <c r="B35" s="171"/>
      <c r="C35" s="158"/>
      <c r="D35" s="158"/>
      <c r="E35" s="158"/>
      <c r="F35" s="158"/>
      <c r="G35" s="158"/>
      <c r="H35" s="158"/>
      <c r="I35" s="158"/>
      <c r="J35" s="158"/>
      <c r="K35" s="158"/>
      <c r="L35" s="152"/>
    </row>
    <row r="36" spans="2:12" x14ac:dyDescent="0.35">
      <c r="B36" s="171"/>
      <c r="C36" s="158"/>
      <c r="D36" s="158"/>
      <c r="E36" s="158"/>
      <c r="F36" s="158"/>
      <c r="G36" s="158"/>
      <c r="H36" s="158"/>
      <c r="I36" s="158"/>
      <c r="J36" s="158"/>
      <c r="K36" s="158"/>
      <c r="L36" s="152"/>
    </row>
    <row r="37" spans="2:12" x14ac:dyDescent="0.35">
      <c r="B37" s="171"/>
      <c r="C37" s="158"/>
      <c r="D37" s="158"/>
      <c r="E37" s="158"/>
      <c r="F37" s="158"/>
      <c r="G37" s="158"/>
      <c r="H37" s="158"/>
      <c r="I37" s="158"/>
      <c r="J37" s="158"/>
      <c r="K37" s="158"/>
      <c r="L37" s="152"/>
    </row>
    <row r="38" spans="2:12" x14ac:dyDescent="0.35">
      <c r="B38" s="171"/>
      <c r="C38" s="158"/>
      <c r="D38" s="158"/>
      <c r="E38" s="158"/>
      <c r="F38" s="158"/>
      <c r="G38" s="158"/>
      <c r="H38" s="158"/>
      <c r="I38" s="158"/>
      <c r="J38" s="158"/>
      <c r="K38" s="158"/>
      <c r="L38" s="152"/>
    </row>
    <row r="39" spans="2:12" x14ac:dyDescent="0.35">
      <c r="B39" s="171"/>
      <c r="C39" s="158"/>
      <c r="D39" s="158"/>
      <c r="E39" s="158"/>
      <c r="F39" s="158"/>
      <c r="G39" s="158"/>
      <c r="H39" s="158"/>
      <c r="I39" s="158"/>
      <c r="J39" s="158"/>
      <c r="K39" s="158"/>
      <c r="L39" s="152"/>
    </row>
    <row r="40" spans="2:12" x14ac:dyDescent="0.35">
      <c r="B40" s="171"/>
      <c r="C40" s="158"/>
      <c r="D40" s="158"/>
      <c r="E40" s="158"/>
      <c r="F40" s="158"/>
      <c r="G40" s="158"/>
      <c r="H40" s="158"/>
      <c r="I40" s="158"/>
      <c r="J40" s="158"/>
      <c r="K40" s="158"/>
      <c r="L40" s="152"/>
    </row>
    <row r="41" spans="2:12" x14ac:dyDescent="0.35">
      <c r="B41" s="171"/>
      <c r="C41" s="158"/>
      <c r="D41" s="158"/>
      <c r="E41" s="158"/>
      <c r="F41" s="158"/>
      <c r="G41" s="158"/>
      <c r="H41" s="158"/>
      <c r="I41" s="158"/>
      <c r="J41" s="158"/>
      <c r="K41" s="158"/>
      <c r="L41" s="152"/>
    </row>
    <row r="42" spans="2:12" x14ac:dyDescent="0.35">
      <c r="B42" s="171"/>
      <c r="C42" s="158"/>
      <c r="D42" s="158"/>
      <c r="E42" s="158"/>
      <c r="F42" s="158"/>
      <c r="G42" s="158"/>
      <c r="H42" s="158"/>
      <c r="I42" s="158"/>
      <c r="J42" s="158"/>
      <c r="K42" s="158"/>
      <c r="L42" s="152"/>
    </row>
    <row r="43" spans="2:12" x14ac:dyDescent="0.35">
      <c r="B43" s="171" t="e">
        <f>robustesse!#REF!</f>
        <v>#REF!</v>
      </c>
      <c r="C43" s="158"/>
      <c r="D43" s="158"/>
      <c r="E43" s="158"/>
      <c r="F43" s="158"/>
      <c r="G43" s="158"/>
      <c r="H43" s="158"/>
      <c r="I43" s="158"/>
      <c r="J43" s="158"/>
      <c r="K43" s="158"/>
      <c r="L43" s="152"/>
    </row>
    <row r="44" spans="2:12" x14ac:dyDescent="0.35">
      <c r="B44" s="171"/>
      <c r="C44" s="158"/>
      <c r="D44" s="158"/>
      <c r="E44" s="158"/>
      <c r="F44" s="158"/>
      <c r="G44" s="158"/>
      <c r="H44" s="158"/>
      <c r="I44" s="158"/>
      <c r="J44" s="158"/>
      <c r="K44" s="158"/>
      <c r="L44" s="152"/>
    </row>
    <row r="45" spans="2:12" x14ac:dyDescent="0.35">
      <c r="B45" s="171"/>
      <c r="C45" s="158"/>
      <c r="D45" s="158"/>
      <c r="E45" s="158"/>
      <c r="F45" s="158"/>
      <c r="G45" s="158"/>
      <c r="H45" s="158"/>
      <c r="I45" s="158"/>
      <c r="J45" s="158"/>
      <c r="K45" s="158"/>
      <c r="L45" s="152"/>
    </row>
    <row r="46" spans="2:12" x14ac:dyDescent="0.35">
      <c r="B46" s="171"/>
      <c r="C46" s="158"/>
      <c r="D46" s="158"/>
      <c r="E46" s="158"/>
      <c r="F46" s="158"/>
      <c r="G46" s="158"/>
      <c r="H46" s="158"/>
      <c r="I46" s="158"/>
      <c r="J46" s="158"/>
      <c r="K46" s="158"/>
      <c r="L46" s="152"/>
    </row>
    <row r="47" spans="2:12" x14ac:dyDescent="0.35">
      <c r="B47" s="171"/>
      <c r="C47" s="158"/>
      <c r="D47" s="158"/>
      <c r="E47" s="158"/>
      <c r="F47" s="158"/>
      <c r="G47" s="158"/>
      <c r="H47" s="158"/>
      <c r="I47" s="158"/>
      <c r="J47" s="158"/>
      <c r="K47" s="158"/>
      <c r="L47" s="152"/>
    </row>
    <row r="48" spans="2:12" x14ac:dyDescent="0.35">
      <c r="B48" s="171"/>
      <c r="C48" s="158"/>
      <c r="D48" s="158"/>
      <c r="E48" s="158"/>
      <c r="F48" s="158"/>
      <c r="G48" s="158"/>
      <c r="H48" s="158"/>
      <c r="I48" s="158"/>
      <c r="J48" s="158"/>
      <c r="K48" s="158"/>
      <c r="L48" s="152"/>
    </row>
    <row r="49" spans="2:12" x14ac:dyDescent="0.35">
      <c r="B49" s="171"/>
      <c r="C49" s="158"/>
      <c r="D49" s="158"/>
      <c r="E49" s="158"/>
      <c r="F49" s="158"/>
      <c r="G49" s="158"/>
      <c r="H49" s="158"/>
      <c r="I49" s="158"/>
      <c r="J49" s="158"/>
      <c r="K49" s="158"/>
      <c r="L49" s="152"/>
    </row>
    <row r="50" spans="2:12" x14ac:dyDescent="0.35">
      <c r="B50" s="171"/>
      <c r="C50" s="158"/>
      <c r="D50" s="158"/>
      <c r="E50" s="158"/>
      <c r="F50" s="158"/>
      <c r="G50" s="158"/>
      <c r="H50" s="158"/>
      <c r="I50" s="158"/>
      <c r="J50" s="158"/>
      <c r="K50" s="158"/>
      <c r="L50" s="152"/>
    </row>
    <row r="51" spans="2:12" x14ac:dyDescent="0.35">
      <c r="B51" s="171"/>
      <c r="C51" s="158"/>
      <c r="D51" s="158"/>
      <c r="E51" s="158"/>
      <c r="F51" s="158"/>
      <c r="G51" s="158"/>
      <c r="H51" s="158"/>
      <c r="I51" s="158"/>
      <c r="J51" s="158"/>
      <c r="K51" s="158"/>
      <c r="L51" s="152"/>
    </row>
    <row r="52" spans="2:12" x14ac:dyDescent="0.35">
      <c r="B52" s="171"/>
      <c r="C52" s="158"/>
      <c r="D52" s="158"/>
      <c r="E52" s="158"/>
      <c r="F52" s="158"/>
      <c r="G52" s="158"/>
      <c r="H52" s="158"/>
      <c r="I52" s="158"/>
      <c r="J52" s="158"/>
      <c r="K52" s="158"/>
      <c r="L52" s="152"/>
    </row>
    <row r="53" spans="2:12" x14ac:dyDescent="0.35">
      <c r="B53" s="171"/>
      <c r="C53" s="158"/>
      <c r="D53" s="158"/>
      <c r="E53" s="158"/>
      <c r="F53" s="158"/>
      <c r="G53" s="158"/>
      <c r="H53" s="158"/>
      <c r="I53" s="158"/>
      <c r="J53" s="158"/>
      <c r="K53" s="158"/>
      <c r="L53" s="152"/>
    </row>
    <row r="54" spans="2:12" x14ac:dyDescent="0.35">
      <c r="B54" s="171"/>
      <c r="C54" s="158"/>
      <c r="D54" s="158"/>
      <c r="E54" s="158"/>
      <c r="F54" s="158"/>
      <c r="G54" s="158"/>
      <c r="H54" s="158"/>
      <c r="I54" s="158"/>
      <c r="J54" s="158"/>
      <c r="K54" s="158"/>
      <c r="L54" s="152"/>
    </row>
    <row r="55" spans="2:12" x14ac:dyDescent="0.35">
      <c r="B55" s="171"/>
      <c r="C55" s="158"/>
      <c r="D55" s="158"/>
      <c r="E55" s="158"/>
      <c r="F55" s="158"/>
      <c r="G55" s="158"/>
      <c r="H55" s="158"/>
      <c r="I55" s="158"/>
      <c r="J55" s="158"/>
      <c r="K55" s="158"/>
      <c r="L55" s="152"/>
    </row>
    <row r="56" spans="2:12" x14ac:dyDescent="0.35">
      <c r="B56" s="171"/>
      <c r="C56" s="158"/>
      <c r="D56" s="158"/>
      <c r="E56" s="158"/>
      <c r="F56" s="158"/>
      <c r="G56" s="158"/>
      <c r="H56" s="158"/>
      <c r="I56" s="158"/>
      <c r="J56" s="158"/>
      <c r="K56" s="158"/>
      <c r="L56" s="152"/>
    </row>
    <row r="57" spans="2:12" x14ac:dyDescent="0.35">
      <c r="B57" s="171"/>
      <c r="C57" s="158"/>
      <c r="D57" s="158"/>
      <c r="E57" s="158"/>
      <c r="F57" s="158"/>
      <c r="G57" s="158"/>
      <c r="H57" s="158"/>
      <c r="I57" s="158"/>
      <c r="J57" s="158"/>
      <c r="K57" s="158"/>
      <c r="L57" s="152"/>
    </row>
    <row r="58" spans="2:12" x14ac:dyDescent="0.35">
      <c r="B58" s="171"/>
      <c r="C58" s="158"/>
      <c r="D58" s="158"/>
      <c r="E58" s="158"/>
      <c r="F58" s="158"/>
      <c r="G58" s="158"/>
      <c r="H58" s="158"/>
      <c r="I58" s="158"/>
      <c r="J58" s="158"/>
      <c r="K58" s="158"/>
      <c r="L58" s="152"/>
    </row>
    <row r="59" spans="2:12" ht="15" thickBot="1" x14ac:dyDescent="0.4">
      <c r="B59" s="172"/>
      <c r="C59" s="165"/>
      <c r="D59" s="165"/>
      <c r="E59" s="165"/>
      <c r="F59" s="165"/>
      <c r="G59" s="165"/>
      <c r="H59" s="165"/>
      <c r="I59" s="165"/>
      <c r="J59" s="165"/>
      <c r="K59" s="165"/>
      <c r="L59" s="173"/>
    </row>
    <row r="60" spans="2:12" x14ac:dyDescent="0.35">
      <c r="B60" s="168"/>
      <c r="C60" s="169"/>
      <c r="D60" s="169"/>
      <c r="E60" s="169"/>
      <c r="F60" s="169"/>
      <c r="G60" s="169"/>
      <c r="H60" s="169"/>
      <c r="I60" s="169"/>
      <c r="J60" s="169"/>
      <c r="K60" s="169"/>
      <c r="L60" s="170"/>
    </row>
    <row r="61" spans="2:12" x14ac:dyDescent="0.35">
      <c r="B61" s="174"/>
      <c r="C61" s="158"/>
      <c r="D61" s="158"/>
      <c r="E61" s="158"/>
      <c r="F61" s="158"/>
      <c r="G61" s="158"/>
      <c r="H61" s="158"/>
      <c r="I61" s="158"/>
      <c r="J61" s="175" t="s">
        <v>204</v>
      </c>
      <c r="K61" s="175" t="s">
        <v>203</v>
      </c>
      <c r="L61" s="152"/>
    </row>
    <row r="62" spans="2:12" x14ac:dyDescent="0.35">
      <c r="B62" s="171"/>
      <c r="C62" s="158"/>
      <c r="D62" s="158"/>
      <c r="E62" s="158"/>
      <c r="F62" s="158"/>
      <c r="G62" s="158"/>
      <c r="H62" s="158"/>
      <c r="J62" s="175" t="str">
        <f>robustesse!M9</f>
        <v>A-</v>
      </c>
      <c r="K62" s="176">
        <f>robustesse!N9</f>
        <v>0</v>
      </c>
      <c r="L62" s="152"/>
    </row>
    <row r="63" spans="2:12" x14ac:dyDescent="0.35">
      <c r="B63" s="171"/>
      <c r="C63" s="158"/>
      <c r="D63" s="158"/>
      <c r="E63" s="158"/>
      <c r="F63" s="158"/>
      <c r="G63" s="158"/>
      <c r="H63" s="158"/>
      <c r="I63" s="158"/>
      <c r="J63" s="175" t="str">
        <f>robustesse!M10</f>
        <v>A+</v>
      </c>
      <c r="K63" s="176">
        <f>robustesse!N10</f>
        <v>0</v>
      </c>
      <c r="L63" s="152"/>
    </row>
    <row r="64" spans="2:12" x14ac:dyDescent="0.35">
      <c r="B64" s="171"/>
      <c r="C64" s="158"/>
      <c r="D64" s="158"/>
      <c r="E64" s="158"/>
      <c r="F64" s="158"/>
      <c r="G64" s="158"/>
      <c r="H64" s="158"/>
      <c r="I64" s="158"/>
      <c r="J64" s="175" t="str">
        <f>robustesse!M11</f>
        <v>B-</v>
      </c>
      <c r="K64" s="176">
        <f>robustesse!N11</f>
        <v>0</v>
      </c>
      <c r="L64" s="152"/>
    </row>
    <row r="65" spans="2:12" x14ac:dyDescent="0.35">
      <c r="B65" s="171"/>
      <c r="C65" s="158"/>
      <c r="D65" s="158"/>
      <c r="E65" s="158"/>
      <c r="F65" s="158"/>
      <c r="G65" s="158"/>
      <c r="H65" s="158"/>
      <c r="I65" s="158"/>
      <c r="J65" s="175" t="str">
        <f>robustesse!M12</f>
        <v>B+</v>
      </c>
      <c r="K65" s="176">
        <f>robustesse!N12</f>
        <v>0</v>
      </c>
      <c r="L65" s="152"/>
    </row>
    <row r="66" spans="2:12" x14ac:dyDescent="0.35">
      <c r="B66" s="171"/>
      <c r="C66" s="158"/>
      <c r="D66" s="158"/>
      <c r="E66" s="158"/>
      <c r="F66" s="158"/>
      <c r="G66" s="158"/>
      <c r="H66" s="158"/>
      <c r="I66" s="158"/>
      <c r="J66" s="175" t="str">
        <f>robustesse!M13</f>
        <v>C-</v>
      </c>
      <c r="K66" s="176">
        <f>robustesse!N13</f>
        <v>0</v>
      </c>
      <c r="L66" s="152"/>
    </row>
    <row r="67" spans="2:12" x14ac:dyDescent="0.35">
      <c r="B67" s="171"/>
      <c r="C67" s="158"/>
      <c r="D67" s="158"/>
      <c r="E67" s="158"/>
      <c r="F67" s="158"/>
      <c r="G67" s="158"/>
      <c r="H67" s="158"/>
      <c r="I67" s="158"/>
      <c r="J67" s="175" t="str">
        <f>robustesse!M14</f>
        <v>C+</v>
      </c>
      <c r="K67" s="176">
        <f>robustesse!N14</f>
        <v>0</v>
      </c>
      <c r="L67" s="152"/>
    </row>
    <row r="68" spans="2:12" x14ac:dyDescent="0.35">
      <c r="B68" s="171"/>
      <c r="C68" s="158"/>
      <c r="D68" s="158"/>
      <c r="E68" s="158"/>
      <c r="F68" s="158"/>
      <c r="G68" s="158"/>
      <c r="H68" s="158"/>
      <c r="I68" s="158"/>
      <c r="J68" s="158"/>
      <c r="K68" s="158"/>
      <c r="L68" s="152"/>
    </row>
    <row r="69" spans="2:12" x14ac:dyDescent="0.35">
      <c r="B69" s="171"/>
      <c r="C69" s="158"/>
      <c r="D69" s="158"/>
      <c r="E69" s="158"/>
      <c r="F69" s="158"/>
      <c r="G69" s="158"/>
      <c r="H69" s="158"/>
      <c r="I69" s="158"/>
      <c r="J69" s="175" t="str">
        <f>robustesse!M16</f>
        <v>cible (100%)</v>
      </c>
      <c r="K69" s="176">
        <f>robustesse!N16</f>
        <v>0</v>
      </c>
      <c r="L69" s="152"/>
    </row>
    <row r="70" spans="2:12" x14ac:dyDescent="0.35">
      <c r="B70" s="171"/>
      <c r="C70" s="158"/>
      <c r="D70" s="158"/>
      <c r="E70" s="158"/>
      <c r="F70" s="158"/>
      <c r="G70" s="158"/>
      <c r="H70" s="158"/>
      <c r="I70" s="158"/>
      <c r="J70" s="175" t="str">
        <f>robustesse!M17</f>
        <v>T+ (+2%)</v>
      </c>
      <c r="K70" s="176">
        <f>robustesse!N17</f>
        <v>0</v>
      </c>
      <c r="L70" s="152"/>
    </row>
    <row r="71" spans="2:12" x14ac:dyDescent="0.35">
      <c r="B71" s="171"/>
      <c r="C71" s="158"/>
      <c r="D71" s="158"/>
      <c r="E71" s="158"/>
      <c r="F71" s="158"/>
      <c r="G71" s="158"/>
      <c r="H71" s="158"/>
      <c r="I71" s="158"/>
      <c r="J71" s="175" t="str">
        <f>robustesse!M18</f>
        <v>T- (-2%)</v>
      </c>
      <c r="K71" s="176">
        <f>robustesse!N18</f>
        <v>0</v>
      </c>
      <c r="L71" s="152"/>
    </row>
    <row r="72" spans="2:12" x14ac:dyDescent="0.35">
      <c r="B72" s="171"/>
      <c r="C72" s="158"/>
      <c r="D72" s="158"/>
      <c r="E72" s="158"/>
      <c r="F72" s="158"/>
      <c r="G72" s="158"/>
      <c r="H72" s="158"/>
      <c r="I72" s="158"/>
      <c r="J72" s="158"/>
      <c r="K72" s="158"/>
      <c r="L72" s="152"/>
    </row>
    <row r="73" spans="2:12" ht="15" thickBot="1" x14ac:dyDescent="0.4">
      <c r="B73" s="172"/>
      <c r="C73" s="165"/>
      <c r="D73" s="165"/>
      <c r="E73" s="165"/>
      <c r="F73" s="165"/>
      <c r="G73" s="165"/>
      <c r="H73" s="165"/>
      <c r="I73" s="165"/>
      <c r="J73" s="165"/>
      <c r="K73" s="165"/>
      <c r="L73" s="173"/>
    </row>
    <row r="74" spans="2:12" x14ac:dyDescent="0.35">
      <c r="B74" s="177" t="s">
        <v>47</v>
      </c>
      <c r="C74" s="178"/>
      <c r="D74" s="178"/>
      <c r="E74" s="178"/>
      <c r="F74" s="178"/>
      <c r="G74" s="178"/>
      <c r="H74" s="178"/>
      <c r="I74" s="178"/>
      <c r="J74" s="178"/>
      <c r="K74" s="178"/>
      <c r="L74" s="179"/>
    </row>
    <row r="75" spans="2:12" x14ac:dyDescent="0.35">
      <c r="B75" s="171"/>
      <c r="C75" s="158"/>
      <c r="D75" s="158"/>
      <c r="E75" s="158"/>
      <c r="F75" s="158"/>
      <c r="G75" s="158"/>
      <c r="H75" s="158"/>
      <c r="I75" s="158"/>
      <c r="J75" s="158"/>
      <c r="K75" s="158"/>
      <c r="L75" s="152"/>
    </row>
    <row r="76" spans="2:12" x14ac:dyDescent="0.35">
      <c r="B76" s="174" t="s">
        <v>59</v>
      </c>
      <c r="C76" s="158"/>
      <c r="D76" s="139" t="s">
        <v>57</v>
      </c>
      <c r="E76" s="139" t="s">
        <v>58</v>
      </c>
      <c r="F76" s="158"/>
      <c r="I76" s="180" t="s">
        <v>209</v>
      </c>
      <c r="J76" s="181"/>
      <c r="K76" s="182"/>
      <c r="L76" s="152"/>
    </row>
    <row r="77" spans="2:12" x14ac:dyDescent="0.35">
      <c r="B77" s="171"/>
      <c r="C77" s="158"/>
      <c r="D77" s="183"/>
      <c r="E77" s="183"/>
      <c r="F77" s="158"/>
      <c r="I77" s="158"/>
      <c r="J77" s="184"/>
      <c r="K77" s="185"/>
      <c r="L77" s="152"/>
    </row>
    <row r="78" spans="2:12" x14ac:dyDescent="0.35">
      <c r="B78" s="171"/>
      <c r="C78" s="158"/>
      <c r="D78" s="158"/>
      <c r="E78" s="158"/>
      <c r="F78" s="158"/>
      <c r="G78" s="158"/>
      <c r="H78" s="158"/>
      <c r="I78" s="158"/>
      <c r="J78" s="158"/>
      <c r="K78" s="158"/>
      <c r="L78" s="152"/>
    </row>
    <row r="79" spans="2:12" ht="15" thickBot="1" x14ac:dyDescent="0.4">
      <c r="B79" s="172"/>
      <c r="C79" s="165"/>
      <c r="D79" s="165"/>
      <c r="E79" s="165"/>
      <c r="F79" s="165"/>
      <c r="G79" s="165"/>
      <c r="H79" s="165"/>
      <c r="I79" s="165"/>
      <c r="J79" s="165"/>
      <c r="K79" s="165"/>
      <c r="L79" s="173"/>
    </row>
    <row r="80" spans="2:12" x14ac:dyDescent="0.35">
      <c r="B80" s="249" t="s">
        <v>210</v>
      </c>
    </row>
    <row r="81" spans="2:2" x14ac:dyDescent="0.35">
      <c r="B81" s="134" t="s">
        <v>211</v>
      </c>
    </row>
  </sheetData>
  <sheetProtection algorithmName="SHA-512" hashValue="3ARM8sNe+iBpcCmlwSD6NnMPN5bJpYYjUDDXcwxgn/EBWBDfJSodlLKNB+/+fmdsrxmCQO4kM3jO7XUwoPDqWQ==" saltValue="UdJOszYyjfiD7WlsePHYmg==" spinCount="100000" sheet="1" objects="1" scenarios="1"/>
  <protectedRanges>
    <protectedRange sqref="C6:C7 E6 L6 J10:K12 D77:E77 J76:K77" name="Plage1"/>
  </protectedRanges>
  <mergeCells count="11">
    <mergeCell ref="E16:F16"/>
    <mergeCell ref="B2:L4"/>
    <mergeCell ref="B6:B7"/>
    <mergeCell ref="E18:F18"/>
    <mergeCell ref="H13:I13"/>
    <mergeCell ref="E12:G12"/>
    <mergeCell ref="E11:G11"/>
    <mergeCell ref="H9:I9"/>
    <mergeCell ref="E6:I7"/>
    <mergeCell ref="J14:L14"/>
    <mergeCell ref="E14:G14"/>
  </mergeCells>
  <hyperlinks>
    <hyperlink ref="B80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R170"/>
  <sheetViews>
    <sheetView showGridLines="0" topLeftCell="A32" zoomScale="55" zoomScaleNormal="55" workbookViewId="0">
      <selection activeCell="D45" sqref="D45"/>
    </sheetView>
  </sheetViews>
  <sheetFormatPr baseColWidth="10" defaultColWidth="11.453125" defaultRowHeight="14.5" x14ac:dyDescent="0.35"/>
  <cols>
    <col min="1" max="1" width="11.453125" style="1"/>
    <col min="2" max="2" width="13.1796875" style="1" customWidth="1"/>
    <col min="3" max="3" width="14.7265625" style="1" customWidth="1"/>
    <col min="4" max="4" width="15.54296875" style="1" customWidth="1"/>
    <col min="5" max="5" width="15.1796875" style="1" customWidth="1"/>
    <col min="6" max="6" width="15.26953125" style="1" customWidth="1"/>
    <col min="7" max="7" width="15.54296875" style="1" customWidth="1"/>
    <col min="8" max="8" width="13.1796875" style="1" customWidth="1"/>
    <col min="9" max="9" width="15" style="1" customWidth="1"/>
    <col min="10" max="11" width="14.54296875" style="1" customWidth="1"/>
    <col min="12" max="12" width="15.1796875" style="1" customWidth="1"/>
    <col min="13" max="13" width="15.81640625" style="1" customWidth="1"/>
    <col min="14" max="14" width="15.7265625" style="1" customWidth="1"/>
    <col min="15" max="16" width="14.81640625" style="1" customWidth="1"/>
    <col min="17" max="17" width="15.81640625" style="1" customWidth="1"/>
    <col min="18" max="18" width="15.54296875" style="1" customWidth="1"/>
    <col min="19" max="19" width="14.7265625" style="1" customWidth="1"/>
    <col min="20" max="20" width="13" style="1" customWidth="1"/>
    <col min="21" max="21" width="11.453125" style="1"/>
    <col min="22" max="22" width="14.7265625" style="1" customWidth="1"/>
    <col min="23" max="24" width="11.453125" style="1"/>
    <col min="25" max="25" width="19.54296875" style="1" customWidth="1"/>
    <col min="26" max="26" width="15.453125" style="1" customWidth="1"/>
    <col min="27" max="27" width="13" style="1" customWidth="1"/>
    <col min="28" max="28" width="11.453125" style="1"/>
    <col min="29" max="29" width="14.26953125" style="1" customWidth="1"/>
    <col min="30" max="16384" width="11.453125" style="1"/>
  </cols>
  <sheetData>
    <row r="1" spans="1:17" x14ac:dyDescent="0.35">
      <c r="A1" s="7"/>
      <c r="B1" s="8"/>
      <c r="C1" s="9"/>
      <c r="D1" s="9"/>
      <c r="E1" s="9"/>
      <c r="F1" s="9"/>
      <c r="G1" s="9"/>
      <c r="H1" s="9"/>
      <c r="I1" s="9"/>
      <c r="J1" s="9"/>
      <c r="K1" s="10"/>
      <c r="L1" s="10"/>
      <c r="M1" s="10"/>
    </row>
    <row r="2" spans="1:17" x14ac:dyDescent="0.35">
      <c r="A2" s="7"/>
      <c r="B2" s="11" t="s">
        <v>96</v>
      </c>
      <c r="C2" s="12"/>
      <c r="D2" s="12"/>
      <c r="E2" s="12"/>
      <c r="F2" s="12"/>
      <c r="G2" s="12"/>
      <c r="H2" s="12"/>
      <c r="I2" s="12"/>
      <c r="J2" s="12"/>
      <c r="K2" s="13"/>
      <c r="L2" s="13"/>
      <c r="M2" s="10"/>
    </row>
    <row r="3" spans="1:17" x14ac:dyDescent="0.35">
      <c r="A3" s="7"/>
      <c r="B3" s="8"/>
      <c r="C3" s="9"/>
      <c r="D3" s="9"/>
      <c r="E3" s="9"/>
      <c r="F3" s="9"/>
      <c r="G3" s="9"/>
      <c r="H3" s="9"/>
      <c r="I3" s="9"/>
      <c r="J3" s="9"/>
      <c r="K3" s="10"/>
      <c r="L3" s="10"/>
      <c r="M3" s="10"/>
    </row>
    <row r="4" spans="1:17" x14ac:dyDescent="0.35">
      <c r="A4" s="7"/>
      <c r="B4" s="14" t="s">
        <v>92</v>
      </c>
      <c r="C4" s="9"/>
      <c r="D4" s="9"/>
      <c r="E4" s="9"/>
      <c r="F4" s="9"/>
      <c r="H4" s="14" t="s">
        <v>93</v>
      </c>
      <c r="I4" s="9"/>
      <c r="J4" s="9"/>
      <c r="K4" s="9"/>
      <c r="L4" s="10"/>
      <c r="M4" s="10"/>
    </row>
    <row r="5" spans="1:17" x14ac:dyDescent="0.35">
      <c r="A5" s="7"/>
      <c r="B5" s="2" t="s">
        <v>68</v>
      </c>
      <c r="C5" s="2" t="s">
        <v>72</v>
      </c>
      <c r="D5" s="2" t="s">
        <v>94</v>
      </c>
      <c r="E5" s="2" t="s">
        <v>62</v>
      </c>
      <c r="F5" s="9"/>
      <c r="H5" s="2" t="s">
        <v>68</v>
      </c>
      <c r="I5" s="2" t="s">
        <v>72</v>
      </c>
      <c r="J5" s="2" t="s">
        <v>94</v>
      </c>
      <c r="K5" s="2" t="s">
        <v>100</v>
      </c>
      <c r="L5" s="10"/>
      <c r="M5" s="10"/>
    </row>
    <row r="6" spans="1:17" x14ac:dyDescent="0.35">
      <c r="A6" s="7"/>
      <c r="B6" s="209">
        <v>0.8</v>
      </c>
      <c r="C6" s="15" t="s">
        <v>99</v>
      </c>
      <c r="D6" s="16"/>
      <c r="E6" s="17"/>
      <c r="F6" s="9"/>
      <c r="H6" s="209">
        <v>0.8</v>
      </c>
      <c r="I6" s="15" t="s">
        <v>99</v>
      </c>
      <c r="J6" s="16"/>
      <c r="K6" s="17"/>
      <c r="L6" s="10"/>
      <c r="M6" s="10"/>
    </row>
    <row r="7" spans="1:17" x14ac:dyDescent="0.35">
      <c r="A7" s="7"/>
      <c r="B7" s="210"/>
      <c r="C7" s="15" t="s">
        <v>98</v>
      </c>
      <c r="D7" s="16"/>
      <c r="E7" s="17"/>
      <c r="F7" s="9"/>
      <c r="H7" s="210"/>
      <c r="I7" s="15" t="s">
        <v>98</v>
      </c>
      <c r="J7" s="16"/>
      <c r="K7" s="17"/>
      <c r="L7" s="10"/>
      <c r="M7" s="10"/>
    </row>
    <row r="8" spans="1:17" x14ac:dyDescent="0.35">
      <c r="A8" s="7"/>
      <c r="B8" s="211"/>
      <c r="C8" s="15" t="s">
        <v>97</v>
      </c>
      <c r="D8" s="16"/>
      <c r="E8" s="17"/>
      <c r="F8" s="9"/>
      <c r="H8" s="211"/>
      <c r="I8" s="15" t="s">
        <v>97</v>
      </c>
      <c r="J8" s="16"/>
      <c r="K8" s="17"/>
      <c r="L8" s="10"/>
      <c r="M8" s="10"/>
    </row>
    <row r="9" spans="1:17" x14ac:dyDescent="0.35">
      <c r="A9" s="7"/>
      <c r="B9" s="222">
        <v>0.9</v>
      </c>
      <c r="C9" s="18">
        <v>1</v>
      </c>
      <c r="D9" s="16"/>
      <c r="E9" s="17"/>
      <c r="F9" s="9"/>
      <c r="H9" s="222">
        <v>0.9</v>
      </c>
      <c r="I9" s="18">
        <v>1</v>
      </c>
      <c r="J9" s="16"/>
      <c r="K9" s="17"/>
      <c r="L9" s="10"/>
      <c r="M9" s="10"/>
    </row>
    <row r="10" spans="1:17" x14ac:dyDescent="0.35">
      <c r="A10" s="7"/>
      <c r="B10" s="223"/>
      <c r="C10" s="18">
        <v>2</v>
      </c>
      <c r="D10" s="16"/>
      <c r="E10" s="17"/>
      <c r="F10" s="9"/>
      <c r="H10" s="223"/>
      <c r="I10" s="18">
        <v>2</v>
      </c>
      <c r="J10" s="16"/>
      <c r="K10" s="17"/>
      <c r="L10" s="10"/>
      <c r="M10" s="10"/>
    </row>
    <row r="11" spans="1:17" x14ac:dyDescent="0.35">
      <c r="A11" s="7"/>
      <c r="B11" s="224"/>
      <c r="C11" s="18">
        <v>3</v>
      </c>
      <c r="D11" s="16"/>
      <c r="E11" s="17"/>
      <c r="F11" s="9"/>
      <c r="H11" s="224"/>
      <c r="I11" s="18">
        <v>3</v>
      </c>
      <c r="J11" s="16"/>
      <c r="K11" s="17"/>
      <c r="L11" s="2" t="s">
        <v>101</v>
      </c>
      <c r="M11" s="2" t="s">
        <v>102</v>
      </c>
      <c r="N11" s="2" t="s">
        <v>103</v>
      </c>
      <c r="O11" s="2" t="s">
        <v>104</v>
      </c>
      <c r="P11" s="2" t="s">
        <v>105</v>
      </c>
    </row>
    <row r="12" spans="1:17" x14ac:dyDescent="0.35">
      <c r="A12" s="7"/>
      <c r="B12" s="209">
        <v>1</v>
      </c>
      <c r="C12" s="15">
        <v>1</v>
      </c>
      <c r="D12" s="16"/>
      <c r="E12" s="17"/>
      <c r="F12" s="9"/>
      <c r="H12" s="209">
        <v>1</v>
      </c>
      <c r="I12" s="15">
        <v>1</v>
      </c>
      <c r="J12" s="19"/>
      <c r="K12" s="20"/>
      <c r="L12" s="20"/>
      <c r="M12" s="20"/>
      <c r="N12" s="20"/>
      <c r="O12" s="20"/>
      <c r="P12" s="20"/>
      <c r="Q12" s="1" t="s">
        <v>106</v>
      </c>
    </row>
    <row r="13" spans="1:17" x14ac:dyDescent="0.35">
      <c r="A13" s="7"/>
      <c r="B13" s="210"/>
      <c r="C13" s="15">
        <v>2</v>
      </c>
      <c r="D13" s="16"/>
      <c r="E13" s="17"/>
      <c r="F13" s="9"/>
      <c r="H13" s="210"/>
      <c r="I13" s="15">
        <v>2</v>
      </c>
      <c r="J13" s="19"/>
      <c r="K13" s="20"/>
      <c r="L13" s="20"/>
      <c r="M13" s="20"/>
      <c r="N13" s="20"/>
      <c r="O13" s="20"/>
      <c r="P13" s="20"/>
      <c r="Q13" s="1" t="s">
        <v>106</v>
      </c>
    </row>
    <row r="14" spans="1:17" x14ac:dyDescent="0.35">
      <c r="A14" s="7"/>
      <c r="B14" s="211"/>
      <c r="C14" s="15">
        <v>3</v>
      </c>
      <c r="D14" s="16"/>
      <c r="E14" s="17"/>
      <c r="F14" s="9"/>
      <c r="H14" s="211"/>
      <c r="I14" s="15">
        <v>3</v>
      </c>
      <c r="J14" s="19"/>
      <c r="K14" s="20"/>
      <c r="L14" s="20"/>
      <c r="M14" s="20"/>
      <c r="N14" s="20"/>
      <c r="O14" s="20"/>
      <c r="P14" s="20"/>
      <c r="Q14" s="1" t="s">
        <v>106</v>
      </c>
    </row>
    <row r="15" spans="1:17" x14ac:dyDescent="0.35">
      <c r="A15" s="7"/>
      <c r="B15" s="222">
        <v>1.1000000000000001</v>
      </c>
      <c r="C15" s="18">
        <v>1</v>
      </c>
      <c r="D15" s="16"/>
      <c r="E15" s="17"/>
      <c r="F15" s="9"/>
      <c r="H15" s="222">
        <v>1.1000000000000001</v>
      </c>
      <c r="I15" s="18">
        <v>1</v>
      </c>
      <c r="J15" s="16"/>
      <c r="K15" s="17"/>
      <c r="L15" s="10"/>
      <c r="M15" s="10"/>
    </row>
    <row r="16" spans="1:17" x14ac:dyDescent="0.35">
      <c r="A16" s="7"/>
      <c r="B16" s="223"/>
      <c r="C16" s="18">
        <v>2</v>
      </c>
      <c r="D16" s="16"/>
      <c r="E16" s="17"/>
      <c r="F16" s="9"/>
      <c r="H16" s="223"/>
      <c r="I16" s="18">
        <v>2</v>
      </c>
      <c r="J16" s="16"/>
      <c r="K16" s="17"/>
      <c r="L16" s="10"/>
      <c r="M16" s="10"/>
    </row>
    <row r="17" spans="1:18" x14ac:dyDescent="0.35">
      <c r="A17" s="7"/>
      <c r="B17" s="224"/>
      <c r="C17" s="18">
        <v>3</v>
      </c>
      <c r="D17" s="16"/>
      <c r="E17" s="17"/>
      <c r="F17" s="9"/>
      <c r="H17" s="224"/>
      <c r="I17" s="18">
        <v>3</v>
      </c>
      <c r="J17" s="16"/>
      <c r="K17" s="17"/>
      <c r="L17" s="10"/>
      <c r="M17" s="10"/>
    </row>
    <row r="18" spans="1:18" x14ac:dyDescent="0.35">
      <c r="A18" s="7"/>
      <c r="B18" s="209">
        <v>1.2</v>
      </c>
      <c r="C18" s="15">
        <v>1</v>
      </c>
      <c r="D18" s="16"/>
      <c r="E18" s="17"/>
      <c r="F18" s="9"/>
      <c r="H18" s="209">
        <v>1.2</v>
      </c>
      <c r="I18" s="15">
        <v>1</v>
      </c>
      <c r="J18" s="16"/>
      <c r="K18" s="17"/>
      <c r="L18" s="10"/>
      <c r="M18" s="10"/>
    </row>
    <row r="19" spans="1:18" s="10" customFormat="1" x14ac:dyDescent="0.35">
      <c r="A19" s="9"/>
      <c r="B19" s="210"/>
      <c r="C19" s="15">
        <v>2</v>
      </c>
      <c r="D19" s="16"/>
      <c r="E19" s="17"/>
      <c r="F19" s="9"/>
      <c r="H19" s="210"/>
      <c r="I19" s="15">
        <v>2</v>
      </c>
      <c r="J19" s="16"/>
      <c r="K19" s="17"/>
    </row>
    <row r="20" spans="1:18" s="10" customFormat="1" x14ac:dyDescent="0.35">
      <c r="A20" s="9"/>
      <c r="B20" s="211"/>
      <c r="C20" s="15">
        <v>3</v>
      </c>
      <c r="D20" s="21"/>
      <c r="E20" s="17"/>
      <c r="F20" s="9"/>
      <c r="H20" s="211"/>
      <c r="I20" s="15">
        <v>3</v>
      </c>
      <c r="J20" s="21"/>
      <c r="K20" s="17"/>
    </row>
    <row r="21" spans="1:18" s="10" customFormat="1" x14ac:dyDescent="0.35">
      <c r="A21" s="9"/>
      <c r="B21" s="8"/>
      <c r="C21" s="9"/>
      <c r="D21" s="9"/>
      <c r="E21" s="9"/>
      <c r="F21" s="9"/>
      <c r="G21" s="9"/>
      <c r="H21" s="9"/>
      <c r="I21" s="9"/>
      <c r="J21" s="9"/>
    </row>
    <row r="22" spans="1:18" s="10" customFormat="1" x14ac:dyDescent="0.35">
      <c r="A22" s="9"/>
      <c r="B22" s="11" t="s">
        <v>95</v>
      </c>
      <c r="C22" s="12"/>
      <c r="D22" s="12"/>
      <c r="E22" s="12"/>
      <c r="F22" s="12"/>
      <c r="G22" s="12"/>
      <c r="H22" s="12"/>
      <c r="I22" s="12"/>
      <c r="J22" s="12"/>
      <c r="K22" s="13"/>
      <c r="L22" s="13"/>
    </row>
    <row r="23" spans="1:18" x14ac:dyDescent="0.35">
      <c r="A23" s="7"/>
      <c r="B23" s="8"/>
      <c r="C23" s="9"/>
      <c r="D23" s="9"/>
      <c r="E23" s="9"/>
      <c r="F23" s="9"/>
      <c r="G23" s="9"/>
      <c r="H23" s="9"/>
      <c r="I23" s="9"/>
      <c r="J23" s="9"/>
      <c r="K23" s="10"/>
      <c r="L23" s="10"/>
      <c r="N23" s="10"/>
      <c r="O23" s="10"/>
    </row>
    <row r="24" spans="1:18" x14ac:dyDescent="0.35">
      <c r="A24" s="7"/>
      <c r="B24" s="14" t="s">
        <v>92</v>
      </c>
      <c r="C24" s="7"/>
      <c r="D24" s="22"/>
      <c r="E24" s="22"/>
      <c r="F24" s="23"/>
      <c r="H24" s="14" t="s">
        <v>93</v>
      </c>
      <c r="I24" s="7"/>
      <c r="J24" s="22"/>
      <c r="N24" s="10"/>
      <c r="O24" s="10"/>
    </row>
    <row r="25" spans="1:18" x14ac:dyDescent="0.35">
      <c r="A25" s="7"/>
      <c r="B25" s="2" t="s">
        <v>68</v>
      </c>
      <c r="C25" s="2" t="s">
        <v>72</v>
      </c>
      <c r="D25" s="2" t="s">
        <v>83</v>
      </c>
      <c r="E25" s="2" t="s">
        <v>82</v>
      </c>
      <c r="F25" s="23" t="s">
        <v>21</v>
      </c>
      <c r="H25" s="2" t="s">
        <v>68</v>
      </c>
      <c r="I25" s="2" t="s">
        <v>72</v>
      </c>
      <c r="J25" s="2" t="s">
        <v>83</v>
      </c>
      <c r="K25" s="2" t="s">
        <v>82</v>
      </c>
      <c r="N25" s="10"/>
      <c r="O25" s="10"/>
      <c r="R25" s="24"/>
    </row>
    <row r="26" spans="1:18" x14ac:dyDescent="0.35">
      <c r="A26" s="7"/>
      <c r="B26" s="209">
        <v>0.8</v>
      </c>
      <c r="C26" s="15">
        <v>1</v>
      </c>
      <c r="D26" s="3" t="e">
        <f>AVERAGE(D6:D8)</f>
        <v>#DIV/0!</v>
      </c>
      <c r="E26" s="25" t="e">
        <f>E6*D26/D6</f>
        <v>#DIV/0!</v>
      </c>
      <c r="F26" s="220" t="e">
        <f>VAR(E26:E28)</f>
        <v>#DIV/0!</v>
      </c>
      <c r="H26" s="209">
        <v>0.8</v>
      </c>
      <c r="I26" s="15">
        <v>1</v>
      </c>
      <c r="J26" s="3" t="e">
        <f>AVERAGE(J6:J8)</f>
        <v>#DIV/0!</v>
      </c>
      <c r="K26" s="25" t="e">
        <f>K6*J26/J6</f>
        <v>#DIV/0!</v>
      </c>
      <c r="N26" s="10"/>
      <c r="O26" s="10"/>
      <c r="R26" s="23" t="s">
        <v>21</v>
      </c>
    </row>
    <row r="27" spans="1:18" x14ac:dyDescent="0.35">
      <c r="A27" s="7"/>
      <c r="B27" s="210"/>
      <c r="C27" s="15">
        <v>2</v>
      </c>
      <c r="D27" s="3" t="e">
        <f>D26</f>
        <v>#DIV/0!</v>
      </c>
      <c r="E27" s="25" t="e">
        <f t="shared" ref="E27:E40" si="0">E7*D27/D7</f>
        <v>#DIV/0!</v>
      </c>
      <c r="F27" s="220"/>
      <c r="H27" s="210"/>
      <c r="I27" s="15">
        <v>2</v>
      </c>
      <c r="J27" s="3" t="e">
        <f>J26</f>
        <v>#DIV/0!</v>
      </c>
      <c r="K27" s="25" t="e">
        <f t="shared" ref="K27:K40" si="1">K7*J27/J7</f>
        <v>#DIV/0!</v>
      </c>
      <c r="N27" s="10"/>
      <c r="O27" s="10"/>
      <c r="R27" s="220" t="e">
        <f>VAR(K26:K28)</f>
        <v>#DIV/0!</v>
      </c>
    </row>
    <row r="28" spans="1:18" x14ac:dyDescent="0.35">
      <c r="A28" s="7"/>
      <c r="B28" s="211"/>
      <c r="C28" s="15">
        <v>3</v>
      </c>
      <c r="D28" s="3" t="e">
        <f>D27</f>
        <v>#DIV/0!</v>
      </c>
      <c r="E28" s="25" t="e">
        <f t="shared" si="0"/>
        <v>#DIV/0!</v>
      </c>
      <c r="F28" s="220"/>
      <c r="H28" s="211"/>
      <c r="I28" s="15">
        <v>3</v>
      </c>
      <c r="J28" s="3" t="e">
        <f>J27</f>
        <v>#DIV/0!</v>
      </c>
      <c r="K28" s="25" t="e">
        <f t="shared" si="1"/>
        <v>#DIV/0!</v>
      </c>
      <c r="N28" s="10"/>
      <c r="O28" s="10"/>
      <c r="R28" s="220"/>
    </row>
    <row r="29" spans="1:18" x14ac:dyDescent="0.35">
      <c r="A29" s="7"/>
      <c r="B29" s="222">
        <v>0.9</v>
      </c>
      <c r="C29" s="18">
        <v>1</v>
      </c>
      <c r="D29" s="4" t="e">
        <f>AVERAGE(D9:D11)</f>
        <v>#DIV/0!</v>
      </c>
      <c r="E29" s="26" t="e">
        <f t="shared" si="0"/>
        <v>#DIV/0!</v>
      </c>
      <c r="F29" s="220" t="e">
        <f t="shared" ref="F29" si="2">VAR(E29:E31)</f>
        <v>#DIV/0!</v>
      </c>
      <c r="H29" s="222">
        <v>0.9</v>
      </c>
      <c r="I29" s="18">
        <v>1</v>
      </c>
      <c r="J29" s="4" t="e">
        <f>AVERAGE(J9:J11)</f>
        <v>#DIV/0!</v>
      </c>
      <c r="K29" s="26" t="e">
        <f t="shared" si="1"/>
        <v>#DIV/0!</v>
      </c>
      <c r="N29" s="10"/>
      <c r="O29" s="10"/>
      <c r="R29" s="220"/>
    </row>
    <row r="30" spans="1:18" x14ac:dyDescent="0.35">
      <c r="A30" s="7"/>
      <c r="B30" s="223"/>
      <c r="C30" s="18">
        <v>2</v>
      </c>
      <c r="D30" s="4" t="e">
        <f>D29</f>
        <v>#DIV/0!</v>
      </c>
      <c r="E30" s="26" t="e">
        <f t="shared" si="0"/>
        <v>#DIV/0!</v>
      </c>
      <c r="F30" s="220"/>
      <c r="H30" s="223"/>
      <c r="I30" s="18">
        <v>2</v>
      </c>
      <c r="J30" s="4" t="e">
        <f>J29</f>
        <v>#DIV/0!</v>
      </c>
      <c r="K30" s="26" t="e">
        <f t="shared" si="1"/>
        <v>#DIV/0!</v>
      </c>
      <c r="N30" s="10"/>
      <c r="O30" s="10"/>
      <c r="R30" s="220" t="e">
        <f>VAR(K29:K31)</f>
        <v>#DIV/0!</v>
      </c>
    </row>
    <row r="31" spans="1:18" x14ac:dyDescent="0.35">
      <c r="A31" s="7"/>
      <c r="B31" s="224"/>
      <c r="C31" s="18">
        <v>3</v>
      </c>
      <c r="D31" s="4" t="e">
        <f>D30</f>
        <v>#DIV/0!</v>
      </c>
      <c r="E31" s="26" t="e">
        <f t="shared" si="0"/>
        <v>#DIV/0!</v>
      </c>
      <c r="F31" s="220"/>
      <c r="H31" s="224"/>
      <c r="I31" s="18">
        <v>3</v>
      </c>
      <c r="J31" s="4" t="e">
        <f>J30</f>
        <v>#DIV/0!</v>
      </c>
      <c r="K31" s="26" t="e">
        <f t="shared" si="1"/>
        <v>#DIV/0!</v>
      </c>
      <c r="L31" s="27" t="s">
        <v>84</v>
      </c>
      <c r="M31" s="27" t="s">
        <v>85</v>
      </c>
      <c r="N31" s="27" t="s">
        <v>86</v>
      </c>
      <c r="O31" s="27" t="s">
        <v>87</v>
      </c>
      <c r="P31" s="27" t="s">
        <v>88</v>
      </c>
      <c r="R31" s="220"/>
    </row>
    <row r="32" spans="1:18" x14ac:dyDescent="0.35">
      <c r="A32" s="7"/>
      <c r="B32" s="209">
        <v>1</v>
      </c>
      <c r="C32" s="15">
        <v>1</v>
      </c>
      <c r="D32" s="3" t="e">
        <f>AVERAGE(D12:D14)</f>
        <v>#DIV/0!</v>
      </c>
      <c r="E32" s="25" t="e">
        <f t="shared" si="0"/>
        <v>#DIV/0!</v>
      </c>
      <c r="F32" s="220" t="e">
        <f t="shared" ref="F32" si="3">VAR(E32:E34)</f>
        <v>#DIV/0!</v>
      </c>
      <c r="H32" s="209">
        <v>1</v>
      </c>
      <c r="I32" s="15">
        <v>1</v>
      </c>
      <c r="J32" s="3" t="e">
        <f>AVERAGE(J12:J14)</f>
        <v>#DIV/0!</v>
      </c>
      <c r="K32" s="25" t="e">
        <f t="shared" si="1"/>
        <v>#DIV/0!</v>
      </c>
      <c r="L32" s="26" t="e">
        <f t="shared" ref="L32:P34" si="4">L12*$J32/$J12</f>
        <v>#DIV/0!</v>
      </c>
      <c r="M32" s="26" t="e">
        <f t="shared" si="4"/>
        <v>#DIV/0!</v>
      </c>
      <c r="N32" s="26" t="e">
        <f t="shared" si="4"/>
        <v>#DIV/0!</v>
      </c>
      <c r="O32" s="26" t="e">
        <f t="shared" si="4"/>
        <v>#DIV/0!</v>
      </c>
      <c r="P32" s="26" t="e">
        <f t="shared" si="4"/>
        <v>#DIV/0!</v>
      </c>
      <c r="R32" s="220"/>
    </row>
    <row r="33" spans="1:18" x14ac:dyDescent="0.35">
      <c r="A33" s="7"/>
      <c r="B33" s="210"/>
      <c r="C33" s="15">
        <v>2</v>
      </c>
      <c r="D33" s="3" t="e">
        <f>D32</f>
        <v>#DIV/0!</v>
      </c>
      <c r="E33" s="25" t="e">
        <f t="shared" si="0"/>
        <v>#DIV/0!</v>
      </c>
      <c r="F33" s="220"/>
      <c r="H33" s="210"/>
      <c r="I33" s="15">
        <v>2</v>
      </c>
      <c r="J33" s="3" t="e">
        <f>J32</f>
        <v>#DIV/0!</v>
      </c>
      <c r="K33" s="25" t="e">
        <f t="shared" si="1"/>
        <v>#DIV/0!</v>
      </c>
      <c r="L33" s="26" t="e">
        <f t="shared" si="4"/>
        <v>#DIV/0!</v>
      </c>
      <c r="M33" s="26" t="e">
        <f t="shared" si="4"/>
        <v>#DIV/0!</v>
      </c>
      <c r="N33" s="26" t="e">
        <f t="shared" si="4"/>
        <v>#DIV/0!</v>
      </c>
      <c r="O33" s="26" t="e">
        <f t="shared" si="4"/>
        <v>#DIV/0!</v>
      </c>
      <c r="P33" s="26" t="e">
        <f t="shared" si="4"/>
        <v>#DIV/0!</v>
      </c>
      <c r="R33" s="220" t="e">
        <f>VAR(K32:K34)</f>
        <v>#DIV/0!</v>
      </c>
    </row>
    <row r="34" spans="1:18" x14ac:dyDescent="0.35">
      <c r="A34" s="7"/>
      <c r="B34" s="211"/>
      <c r="C34" s="15">
        <v>3</v>
      </c>
      <c r="D34" s="3" t="e">
        <f>D33</f>
        <v>#DIV/0!</v>
      </c>
      <c r="E34" s="25" t="e">
        <f t="shared" si="0"/>
        <v>#DIV/0!</v>
      </c>
      <c r="F34" s="220"/>
      <c r="H34" s="211"/>
      <c r="I34" s="15">
        <v>3</v>
      </c>
      <c r="J34" s="3" t="e">
        <f>J33</f>
        <v>#DIV/0!</v>
      </c>
      <c r="K34" s="25" t="e">
        <f t="shared" si="1"/>
        <v>#DIV/0!</v>
      </c>
      <c r="L34" s="26" t="e">
        <f t="shared" si="4"/>
        <v>#DIV/0!</v>
      </c>
      <c r="M34" s="26" t="e">
        <f t="shared" si="4"/>
        <v>#DIV/0!</v>
      </c>
      <c r="N34" s="26" t="e">
        <f t="shared" si="4"/>
        <v>#DIV/0!</v>
      </c>
      <c r="O34" s="26" t="e">
        <f t="shared" si="4"/>
        <v>#DIV/0!</v>
      </c>
      <c r="P34" s="26" t="e">
        <f t="shared" si="4"/>
        <v>#DIV/0!</v>
      </c>
      <c r="R34" s="220"/>
    </row>
    <row r="35" spans="1:18" x14ac:dyDescent="0.35">
      <c r="A35" s="7"/>
      <c r="B35" s="222">
        <v>1.1000000000000001</v>
      </c>
      <c r="C35" s="18">
        <v>1</v>
      </c>
      <c r="D35" s="4" t="e">
        <f>AVERAGE(D15:D17)</f>
        <v>#DIV/0!</v>
      </c>
      <c r="E35" s="26" t="e">
        <f t="shared" si="0"/>
        <v>#DIV/0!</v>
      </c>
      <c r="F35" s="220" t="e">
        <f t="shared" ref="F35" si="5">VAR(E35:E37)</f>
        <v>#DIV/0!</v>
      </c>
      <c r="H35" s="222">
        <v>1.1000000000000001</v>
      </c>
      <c r="I35" s="18">
        <v>1</v>
      </c>
      <c r="J35" s="4" t="e">
        <f>AVERAGE(J15:J17)</f>
        <v>#DIV/0!</v>
      </c>
      <c r="K35" s="26" t="e">
        <f t="shared" si="1"/>
        <v>#DIV/0!</v>
      </c>
      <c r="N35" s="10"/>
      <c r="O35" s="10"/>
      <c r="R35" s="220"/>
    </row>
    <row r="36" spans="1:18" x14ac:dyDescent="0.35">
      <c r="A36" s="7"/>
      <c r="B36" s="223"/>
      <c r="C36" s="18">
        <v>2</v>
      </c>
      <c r="D36" s="4" t="e">
        <f>D35</f>
        <v>#DIV/0!</v>
      </c>
      <c r="E36" s="26" t="e">
        <f t="shared" si="0"/>
        <v>#DIV/0!</v>
      </c>
      <c r="F36" s="220"/>
      <c r="H36" s="223"/>
      <c r="I36" s="18">
        <v>2</v>
      </c>
      <c r="J36" s="4" t="e">
        <f>J35</f>
        <v>#DIV/0!</v>
      </c>
      <c r="K36" s="26" t="e">
        <f t="shared" si="1"/>
        <v>#DIV/0!</v>
      </c>
      <c r="N36" s="10"/>
      <c r="O36" s="10"/>
      <c r="R36" s="220" t="e">
        <f>VAR(K35:K37)</f>
        <v>#DIV/0!</v>
      </c>
    </row>
    <row r="37" spans="1:18" x14ac:dyDescent="0.35">
      <c r="A37" s="7"/>
      <c r="B37" s="224"/>
      <c r="C37" s="18">
        <v>3</v>
      </c>
      <c r="D37" s="4" t="e">
        <f>D36</f>
        <v>#DIV/0!</v>
      </c>
      <c r="E37" s="26" t="e">
        <f t="shared" si="0"/>
        <v>#DIV/0!</v>
      </c>
      <c r="F37" s="220"/>
      <c r="H37" s="224"/>
      <c r="I37" s="18">
        <v>3</v>
      </c>
      <c r="J37" s="4" t="e">
        <f>J36</f>
        <v>#DIV/0!</v>
      </c>
      <c r="K37" s="26" t="e">
        <f t="shared" si="1"/>
        <v>#DIV/0!</v>
      </c>
      <c r="N37" s="10"/>
      <c r="O37" s="10"/>
      <c r="R37" s="220"/>
    </row>
    <row r="38" spans="1:18" x14ac:dyDescent="0.35">
      <c r="A38" s="7"/>
      <c r="B38" s="209">
        <v>1.2</v>
      </c>
      <c r="C38" s="15">
        <v>1</v>
      </c>
      <c r="D38" s="3" t="e">
        <f>AVERAGE(D18:D20)</f>
        <v>#DIV/0!</v>
      </c>
      <c r="E38" s="25" t="e">
        <f t="shared" si="0"/>
        <v>#DIV/0!</v>
      </c>
      <c r="F38" s="220" t="e">
        <f t="shared" ref="F38" si="6">VAR(E38:E40)</f>
        <v>#DIV/0!</v>
      </c>
      <c r="H38" s="209">
        <v>1.2</v>
      </c>
      <c r="I38" s="15">
        <v>1</v>
      </c>
      <c r="J38" s="3" t="e">
        <f>AVERAGE(J18:J20)</f>
        <v>#DIV/0!</v>
      </c>
      <c r="K38" s="25" t="e">
        <f t="shared" si="1"/>
        <v>#DIV/0!</v>
      </c>
      <c r="N38" s="10"/>
      <c r="O38" s="10"/>
      <c r="R38" s="220"/>
    </row>
    <row r="39" spans="1:18" x14ac:dyDescent="0.35">
      <c r="A39" s="7"/>
      <c r="B39" s="210"/>
      <c r="C39" s="15">
        <v>2</v>
      </c>
      <c r="D39" s="3" t="e">
        <f>D38</f>
        <v>#DIV/0!</v>
      </c>
      <c r="E39" s="25" t="e">
        <f t="shared" si="0"/>
        <v>#DIV/0!</v>
      </c>
      <c r="F39" s="220"/>
      <c r="H39" s="210"/>
      <c r="I39" s="15">
        <v>2</v>
      </c>
      <c r="J39" s="3" t="e">
        <f>J38</f>
        <v>#DIV/0!</v>
      </c>
      <c r="K39" s="25" t="e">
        <f t="shared" si="1"/>
        <v>#DIV/0!</v>
      </c>
      <c r="N39" s="10"/>
      <c r="O39" s="10"/>
      <c r="R39" s="220" t="e">
        <f>VAR(K38:K40)</f>
        <v>#DIV/0!</v>
      </c>
    </row>
    <row r="40" spans="1:18" x14ac:dyDescent="0.35">
      <c r="A40" s="7"/>
      <c r="B40" s="211"/>
      <c r="C40" s="15">
        <v>3</v>
      </c>
      <c r="D40" s="3" t="e">
        <f>D39</f>
        <v>#DIV/0!</v>
      </c>
      <c r="E40" s="25" t="e">
        <f t="shared" si="0"/>
        <v>#DIV/0!</v>
      </c>
      <c r="F40" s="220"/>
      <c r="H40" s="211"/>
      <c r="I40" s="15">
        <v>3</v>
      </c>
      <c r="J40" s="3" t="e">
        <f>J39</f>
        <v>#DIV/0!</v>
      </c>
      <c r="K40" s="25" t="e">
        <f t="shared" si="1"/>
        <v>#DIV/0!</v>
      </c>
      <c r="N40" s="10"/>
      <c r="O40" s="10"/>
      <c r="R40" s="220"/>
    </row>
    <row r="41" spans="1:18" x14ac:dyDescent="0.35">
      <c r="A41" s="7"/>
      <c r="B41" s="28"/>
      <c r="C41" s="22"/>
      <c r="D41" s="7"/>
      <c r="E41" s="7"/>
      <c r="F41" s="7"/>
      <c r="G41" s="7"/>
      <c r="H41" s="7"/>
      <c r="I41" s="7"/>
      <c r="J41" s="7"/>
      <c r="K41" s="7"/>
      <c r="N41" s="10"/>
      <c r="O41" s="10"/>
      <c r="R41" s="220"/>
    </row>
    <row r="42" spans="1:18" x14ac:dyDescent="0.35">
      <c r="A42" s="7"/>
      <c r="B42" s="14" t="s">
        <v>92</v>
      </c>
      <c r="C42" s="22"/>
      <c r="D42" s="7"/>
      <c r="E42" s="7"/>
      <c r="F42" s="7"/>
      <c r="G42" s="7"/>
      <c r="H42" s="14" t="s">
        <v>93</v>
      </c>
      <c r="I42" s="7"/>
      <c r="J42" s="7"/>
      <c r="K42" s="7"/>
      <c r="N42" s="10"/>
      <c r="O42" s="10"/>
    </row>
    <row r="43" spans="1:18" x14ac:dyDescent="0.35">
      <c r="A43" s="7"/>
      <c r="B43" s="2" t="s">
        <v>76</v>
      </c>
      <c r="C43" s="18" t="e">
        <f t="array" ref="C43:D47">LINEST(E26:E40,D26:D40,1,1)</f>
        <v>#VALUE!</v>
      </c>
      <c r="D43" s="18" t="e">
        <v>#VALUE!</v>
      </c>
      <c r="E43" s="2" t="s">
        <v>77</v>
      </c>
      <c r="F43" s="7"/>
      <c r="G43" s="7"/>
      <c r="H43" s="2" t="s">
        <v>76</v>
      </c>
      <c r="I43" s="18" t="e">
        <f t="array" ref="I43:J47">LINEST(K26:K40,J26:J40,1,1)</f>
        <v>#VALUE!</v>
      </c>
      <c r="J43" s="18" t="e">
        <v>#VALUE!</v>
      </c>
      <c r="K43" s="2" t="s">
        <v>77</v>
      </c>
      <c r="N43" s="10"/>
      <c r="O43" s="10"/>
    </row>
    <row r="44" spans="1:18" x14ac:dyDescent="0.35">
      <c r="A44" s="7"/>
      <c r="B44" s="2" t="s">
        <v>78</v>
      </c>
      <c r="C44" s="18" t="e">
        <v>#VALUE!</v>
      </c>
      <c r="D44" s="18" t="e">
        <v>#VALUE!</v>
      </c>
      <c r="E44" s="2" t="s">
        <v>79</v>
      </c>
      <c r="F44" s="7"/>
      <c r="G44" s="7"/>
      <c r="H44" s="2" t="s">
        <v>78</v>
      </c>
      <c r="I44" s="18" t="e">
        <v>#VALUE!</v>
      </c>
      <c r="J44" s="18" t="e">
        <v>#VALUE!</v>
      </c>
      <c r="K44" s="2" t="s">
        <v>79</v>
      </c>
      <c r="N44" s="10"/>
      <c r="O44" s="10"/>
    </row>
    <row r="45" spans="1:18" x14ac:dyDescent="0.35">
      <c r="A45" s="7"/>
      <c r="B45" s="2" t="s">
        <v>12</v>
      </c>
      <c r="C45" s="18" t="e">
        <v>#VALUE!</v>
      </c>
      <c r="D45" s="18" t="e">
        <v>#VALUE!</v>
      </c>
      <c r="E45" s="2" t="s">
        <v>80</v>
      </c>
      <c r="F45" s="29"/>
      <c r="G45" s="7"/>
      <c r="H45" s="2" t="s">
        <v>12</v>
      </c>
      <c r="I45" s="18" t="e">
        <v>#VALUE!</v>
      </c>
      <c r="J45" s="18" t="e">
        <v>#VALUE!</v>
      </c>
      <c r="K45" s="2" t="s">
        <v>80</v>
      </c>
      <c r="L45" s="30"/>
    </row>
    <row r="46" spans="1:18" x14ac:dyDescent="0.35">
      <c r="A46" s="7"/>
      <c r="B46" s="2" t="s">
        <v>20</v>
      </c>
      <c r="C46" s="18" t="e">
        <v>#VALUE!</v>
      </c>
      <c r="D46" s="18" t="e">
        <v>#VALUE!</v>
      </c>
      <c r="E46" s="2" t="s">
        <v>81</v>
      </c>
      <c r="F46" s="29"/>
      <c r="G46" s="7"/>
      <c r="H46" s="2" t="s">
        <v>20</v>
      </c>
      <c r="I46" s="18" t="e">
        <v>#VALUE!</v>
      </c>
      <c r="J46" s="18" t="e">
        <v>#VALUE!</v>
      </c>
      <c r="K46" s="2" t="s">
        <v>81</v>
      </c>
      <c r="L46" s="29"/>
    </row>
    <row r="47" spans="1:18" x14ac:dyDescent="0.35">
      <c r="A47" s="7"/>
      <c r="B47" s="2" t="s">
        <v>15</v>
      </c>
      <c r="C47" s="18" t="e">
        <v>#VALUE!</v>
      </c>
      <c r="D47" s="18" t="e">
        <v>#VALUE!</v>
      </c>
      <c r="E47" s="2" t="s">
        <v>14</v>
      </c>
      <c r="F47" s="7"/>
      <c r="G47" s="7"/>
      <c r="H47" s="2" t="s">
        <v>15</v>
      </c>
      <c r="I47" s="18" t="e">
        <v>#VALUE!</v>
      </c>
      <c r="J47" s="18" t="e">
        <v>#VALUE!</v>
      </c>
      <c r="K47" s="2" t="s">
        <v>14</v>
      </c>
    </row>
    <row r="48" spans="1:18" ht="15" thickBot="1" x14ac:dyDescent="0.4">
      <c r="A48" s="7"/>
      <c r="B48" s="22"/>
      <c r="C48" s="22"/>
      <c r="D48" s="22"/>
      <c r="E48" s="22"/>
      <c r="F48" s="7"/>
      <c r="G48" s="7"/>
      <c r="H48" s="22"/>
      <c r="I48" s="22"/>
      <c r="J48" s="22"/>
      <c r="K48" s="22"/>
    </row>
    <row r="49" spans="1:13" x14ac:dyDescent="0.35">
      <c r="A49" s="7"/>
      <c r="B49" s="22"/>
      <c r="C49" s="31"/>
      <c r="D49" s="32"/>
      <c r="E49" s="32"/>
      <c r="F49" s="33"/>
      <c r="G49" s="33"/>
      <c r="H49" s="32"/>
      <c r="I49" s="32"/>
      <c r="J49" s="34"/>
      <c r="K49" s="22"/>
      <c r="L49" s="23" t="s">
        <v>89</v>
      </c>
      <c r="M49" s="23" t="s">
        <v>90</v>
      </c>
    </row>
    <row r="50" spans="1:13" x14ac:dyDescent="0.35">
      <c r="A50" s="7"/>
      <c r="B50" s="22"/>
      <c r="C50" s="35"/>
      <c r="D50" s="36"/>
      <c r="E50" s="36"/>
      <c r="F50" s="37"/>
      <c r="G50" s="37"/>
      <c r="H50" s="36"/>
      <c r="I50" s="36"/>
      <c r="J50" s="38"/>
      <c r="K50" s="22"/>
      <c r="L50" s="39" t="e">
        <f>(J26*I$43+$J$43)-TINV(0.05,$J$46)*$J$45*SQRT(1+1/COUNT($J$26:$J$40)+(J26-AVERAGE($J$26:$J$40))^2/DEVSQ($J$26:$J$40))</f>
        <v>#DIV/0!</v>
      </c>
      <c r="M50" s="39" t="e">
        <f>(J26*I$43+$J$43)+TINV(0.05,$J$46)*$J$45*SQRT(1+1/COUNT($J$26:$J$40)+(J26-AVERAGE($J$26:$J$40))^2/DEVSQ($J$26:$J$40))</f>
        <v>#DIV/0!</v>
      </c>
    </row>
    <row r="51" spans="1:13" x14ac:dyDescent="0.35">
      <c r="A51" s="7"/>
      <c r="B51" s="22"/>
      <c r="C51" s="35"/>
      <c r="D51" s="36"/>
      <c r="E51" s="36"/>
      <c r="F51" s="37"/>
      <c r="G51" s="37"/>
      <c r="H51" s="36"/>
      <c r="I51" s="36"/>
      <c r="J51" s="38"/>
      <c r="K51" s="22"/>
      <c r="L51" s="39" t="e">
        <f t="shared" ref="L51:L63" si="7">(J27*I$43+$J$43)-TINV(0.05,$J$46)*$J$45*SQRT(1+1/COUNT($J$26:$J$40)+(J27-AVERAGE($J$26:$J$40))^2/DEVSQ($J$26:$J$40))</f>
        <v>#DIV/0!</v>
      </c>
      <c r="M51" s="39" t="e">
        <f t="shared" ref="M51:M64" si="8">(J27*I$43+$J$43)+TINV(0.05,$J$46)*$J$45*SQRT(1+1/COUNT($J$26:$J$40)+(J27-AVERAGE($J$26:$J$40))^2/DEVSQ($J$26:$J$40))</f>
        <v>#DIV/0!</v>
      </c>
    </row>
    <row r="52" spans="1:13" x14ac:dyDescent="0.35">
      <c r="A52" s="7"/>
      <c r="B52" s="22"/>
      <c r="C52" s="35"/>
      <c r="D52" s="36"/>
      <c r="E52" s="36"/>
      <c r="F52" s="37"/>
      <c r="G52" s="37"/>
      <c r="H52" s="36"/>
      <c r="I52" s="36"/>
      <c r="J52" s="38"/>
      <c r="K52" s="22"/>
      <c r="L52" s="39" t="e">
        <f t="shared" si="7"/>
        <v>#DIV/0!</v>
      </c>
      <c r="M52" s="39" t="e">
        <f t="shared" si="8"/>
        <v>#DIV/0!</v>
      </c>
    </row>
    <row r="53" spans="1:13" x14ac:dyDescent="0.35">
      <c r="A53" s="7"/>
      <c r="B53" s="22"/>
      <c r="C53" s="35"/>
      <c r="D53" s="36"/>
      <c r="E53" s="36"/>
      <c r="F53" s="37"/>
      <c r="G53" s="37"/>
      <c r="H53" s="36"/>
      <c r="I53" s="36"/>
      <c r="J53" s="38"/>
      <c r="K53" s="22"/>
      <c r="L53" s="39" t="e">
        <f t="shared" si="7"/>
        <v>#DIV/0!</v>
      </c>
      <c r="M53" s="39" t="e">
        <f t="shared" si="8"/>
        <v>#DIV/0!</v>
      </c>
    </row>
    <row r="54" spans="1:13" x14ac:dyDescent="0.35">
      <c r="A54" s="7"/>
      <c r="B54" s="22"/>
      <c r="C54" s="35"/>
      <c r="D54" s="36"/>
      <c r="E54" s="36"/>
      <c r="F54" s="37"/>
      <c r="G54" s="37"/>
      <c r="H54" s="36"/>
      <c r="I54" s="36"/>
      <c r="J54" s="38"/>
      <c r="K54" s="22"/>
      <c r="L54" s="39" t="e">
        <f t="shared" si="7"/>
        <v>#DIV/0!</v>
      </c>
      <c r="M54" s="39" t="e">
        <f t="shared" si="8"/>
        <v>#DIV/0!</v>
      </c>
    </row>
    <row r="55" spans="1:13" x14ac:dyDescent="0.35">
      <c r="A55" s="7"/>
      <c r="B55" s="22"/>
      <c r="C55" s="35"/>
      <c r="D55" s="36"/>
      <c r="E55" s="36"/>
      <c r="F55" s="37"/>
      <c r="G55" s="37"/>
      <c r="H55" s="36"/>
      <c r="I55" s="36"/>
      <c r="J55" s="38"/>
      <c r="K55" s="22"/>
      <c r="L55" s="39" t="e">
        <f t="shared" si="7"/>
        <v>#DIV/0!</v>
      </c>
      <c r="M55" s="39" t="e">
        <f t="shared" si="8"/>
        <v>#DIV/0!</v>
      </c>
    </row>
    <row r="56" spans="1:13" x14ac:dyDescent="0.35">
      <c r="A56" s="7"/>
      <c r="B56" s="22"/>
      <c r="C56" s="35"/>
      <c r="D56" s="36"/>
      <c r="E56" s="36"/>
      <c r="F56" s="37"/>
      <c r="G56" s="37"/>
      <c r="H56" s="36"/>
      <c r="I56" s="36"/>
      <c r="J56" s="38"/>
      <c r="K56" s="22"/>
      <c r="L56" s="39" t="e">
        <f t="shared" si="7"/>
        <v>#DIV/0!</v>
      </c>
      <c r="M56" s="39" t="e">
        <f t="shared" si="8"/>
        <v>#DIV/0!</v>
      </c>
    </row>
    <row r="57" spans="1:13" x14ac:dyDescent="0.35">
      <c r="A57" s="7"/>
      <c r="B57" s="22"/>
      <c r="C57" s="35"/>
      <c r="D57" s="36"/>
      <c r="E57" s="36"/>
      <c r="F57" s="37"/>
      <c r="G57" s="37"/>
      <c r="H57" s="36"/>
      <c r="I57" s="36"/>
      <c r="J57" s="38"/>
      <c r="K57" s="22"/>
      <c r="L57" s="39" t="e">
        <f t="shared" si="7"/>
        <v>#DIV/0!</v>
      </c>
      <c r="M57" s="39" t="e">
        <f t="shared" si="8"/>
        <v>#DIV/0!</v>
      </c>
    </row>
    <row r="58" spans="1:13" x14ac:dyDescent="0.35">
      <c r="A58" s="7"/>
      <c r="B58" s="22"/>
      <c r="C58" s="35"/>
      <c r="D58" s="36"/>
      <c r="E58" s="36"/>
      <c r="F58" s="37"/>
      <c r="G58" s="37"/>
      <c r="H58" s="36"/>
      <c r="I58" s="36"/>
      <c r="J58" s="38"/>
      <c r="K58" s="22"/>
      <c r="L58" s="39" t="e">
        <f t="shared" si="7"/>
        <v>#DIV/0!</v>
      </c>
      <c r="M58" s="39" t="e">
        <f t="shared" si="8"/>
        <v>#DIV/0!</v>
      </c>
    </row>
    <row r="59" spans="1:13" x14ac:dyDescent="0.35">
      <c r="A59" s="7"/>
      <c r="B59" s="22"/>
      <c r="C59" s="35"/>
      <c r="D59" s="36"/>
      <c r="E59" s="36"/>
      <c r="F59" s="37"/>
      <c r="G59" s="37"/>
      <c r="H59" s="36"/>
      <c r="I59" s="36"/>
      <c r="J59" s="38"/>
      <c r="K59" s="22"/>
      <c r="L59" s="39" t="e">
        <f t="shared" si="7"/>
        <v>#DIV/0!</v>
      </c>
      <c r="M59" s="39" t="e">
        <f t="shared" si="8"/>
        <v>#DIV/0!</v>
      </c>
    </row>
    <row r="60" spans="1:13" x14ac:dyDescent="0.35">
      <c r="A60" s="7"/>
      <c r="B60" s="22"/>
      <c r="C60" s="35"/>
      <c r="D60" s="36"/>
      <c r="E60" s="36"/>
      <c r="F60" s="37"/>
      <c r="G60" s="37"/>
      <c r="H60" s="36"/>
      <c r="I60" s="36"/>
      <c r="J60" s="38"/>
      <c r="K60" s="22"/>
      <c r="L60" s="39" t="e">
        <f t="shared" si="7"/>
        <v>#DIV/0!</v>
      </c>
      <c r="M60" s="39" t="e">
        <f t="shared" si="8"/>
        <v>#DIV/0!</v>
      </c>
    </row>
    <row r="61" spans="1:13" x14ac:dyDescent="0.35">
      <c r="A61" s="7"/>
      <c r="B61" s="22"/>
      <c r="C61" s="35"/>
      <c r="D61" s="36"/>
      <c r="E61" s="36"/>
      <c r="F61" s="37"/>
      <c r="G61" s="37"/>
      <c r="H61" s="36"/>
      <c r="I61" s="36"/>
      <c r="J61" s="38"/>
      <c r="K61" s="22"/>
      <c r="L61" s="39" t="e">
        <f t="shared" si="7"/>
        <v>#DIV/0!</v>
      </c>
      <c r="M61" s="39" t="e">
        <f t="shared" si="8"/>
        <v>#DIV/0!</v>
      </c>
    </row>
    <row r="62" spans="1:13" x14ac:dyDescent="0.35">
      <c r="A62" s="7"/>
      <c r="B62" s="22"/>
      <c r="C62" s="35"/>
      <c r="D62" s="36"/>
      <c r="E62" s="36"/>
      <c r="F62" s="37"/>
      <c r="G62" s="37"/>
      <c r="H62" s="36"/>
      <c r="I62" s="36"/>
      <c r="J62" s="38"/>
      <c r="K62" s="22"/>
      <c r="L62" s="39" t="e">
        <f t="shared" si="7"/>
        <v>#DIV/0!</v>
      </c>
      <c r="M62" s="39" t="e">
        <f t="shared" si="8"/>
        <v>#DIV/0!</v>
      </c>
    </row>
    <row r="63" spans="1:13" x14ac:dyDescent="0.35">
      <c r="A63" s="7"/>
      <c r="B63" s="22"/>
      <c r="C63" s="35"/>
      <c r="D63" s="36"/>
      <c r="E63" s="36"/>
      <c r="F63" s="37"/>
      <c r="G63" s="37"/>
      <c r="H63" s="36"/>
      <c r="I63" s="36"/>
      <c r="J63" s="38"/>
      <c r="K63" s="22"/>
      <c r="L63" s="39" t="e">
        <f t="shared" si="7"/>
        <v>#DIV/0!</v>
      </c>
      <c r="M63" s="39" t="e">
        <f t="shared" si="8"/>
        <v>#DIV/0!</v>
      </c>
    </row>
    <row r="64" spans="1:13" ht="15" thickBot="1" x14ac:dyDescent="0.4">
      <c r="A64" s="7"/>
      <c r="B64" s="22"/>
      <c r="C64" s="40"/>
      <c r="D64" s="41"/>
      <c r="E64" s="41"/>
      <c r="F64" s="42"/>
      <c r="G64" s="42"/>
      <c r="H64" s="41"/>
      <c r="I64" s="41"/>
      <c r="J64" s="43"/>
      <c r="K64" s="22"/>
      <c r="L64" s="39" t="e">
        <f>(J40*I$43+$J$43)-TINV(0.05,$J$46)*$J$45*SQRT(1+1/COUNT($J$26:$J$40)+(J40-AVERAGE($J$26:$J$40))^2/DEVSQ($J$26:$J$40))</f>
        <v>#DIV/0!</v>
      </c>
      <c r="M64" s="39" t="e">
        <f t="shared" si="8"/>
        <v>#DIV/0!</v>
      </c>
    </row>
    <row r="65" spans="1:16" x14ac:dyDescent="0.35">
      <c r="A65" s="7"/>
      <c r="B65" s="14"/>
      <c r="C65" s="7"/>
      <c r="D65" s="7"/>
      <c r="E65" s="7"/>
      <c r="F65" s="7"/>
      <c r="G65" s="7"/>
      <c r="H65" s="7"/>
      <c r="I65" s="7"/>
      <c r="J65" s="7"/>
      <c r="K65" s="7"/>
    </row>
    <row r="66" spans="1:16" x14ac:dyDescent="0.35">
      <c r="A66" s="7"/>
      <c r="B66" s="11" t="s">
        <v>157</v>
      </c>
      <c r="C66" s="12"/>
      <c r="D66" s="12"/>
      <c r="E66" s="12"/>
      <c r="F66" s="12"/>
      <c r="G66" s="12"/>
      <c r="H66" s="12"/>
      <c r="I66" s="12"/>
      <c r="J66" s="12"/>
      <c r="K66" s="12"/>
      <c r="L66" s="13"/>
    </row>
    <row r="67" spans="1:16" x14ac:dyDescent="0.35">
      <c r="A67" s="7"/>
      <c r="B67" s="44" t="s">
        <v>119</v>
      </c>
      <c r="C67" s="7"/>
      <c r="D67" s="7"/>
      <c r="E67" s="7"/>
      <c r="F67" s="7"/>
      <c r="G67" s="7"/>
      <c r="H67" s="7"/>
      <c r="I67" s="7"/>
      <c r="J67" s="7"/>
      <c r="K67" s="7"/>
    </row>
    <row r="68" spans="1:16" x14ac:dyDescent="0.35">
      <c r="A68" s="7"/>
      <c r="B68" s="45" t="s">
        <v>16</v>
      </c>
      <c r="E68" s="7"/>
      <c r="F68" s="7"/>
      <c r="G68" s="7"/>
      <c r="H68" s="7"/>
      <c r="K68" s="7"/>
    </row>
    <row r="69" spans="1:16" x14ac:dyDescent="0.35">
      <c r="A69" s="7"/>
      <c r="B69" s="2" t="s">
        <v>23</v>
      </c>
      <c r="C69" s="46" t="e">
        <f>MAX(F26:F40)/SUM(F26:F40)</f>
        <v>#DIV/0!</v>
      </c>
      <c r="E69" s="2" t="s">
        <v>5</v>
      </c>
      <c r="F69" s="46">
        <f>1/((1+(5-1)/FINV(0.05/5,3-1,(5-1)*(3-1))))</f>
        <v>0.683772233983162</v>
      </c>
      <c r="G69" s="7"/>
      <c r="H69" s="14" t="s">
        <v>159</v>
      </c>
      <c r="I69" s="7"/>
      <c r="J69" s="7"/>
      <c r="K69" s="7"/>
    </row>
    <row r="70" spans="1:16" x14ac:dyDescent="0.35">
      <c r="A70" s="7"/>
      <c r="B70" s="14" t="s">
        <v>158</v>
      </c>
      <c r="C70" s="7"/>
      <c r="E70" s="2" t="s">
        <v>22</v>
      </c>
      <c r="F70" s="46">
        <f>1/((1+(5-1)/FINV(0.01/5,3-1,(5-1)*(3-1))))</f>
        <v>0.78852574731188707</v>
      </c>
      <c r="H70" s="14" t="s">
        <v>160</v>
      </c>
      <c r="K70" s="7"/>
    </row>
    <row r="71" spans="1:16" x14ac:dyDescent="0.35">
      <c r="A71" s="7"/>
      <c r="B71" s="2" t="s">
        <v>23</v>
      </c>
      <c r="C71" s="46" t="e">
        <f>MAX(O26:O40)/SUM(O26:O40)</f>
        <v>#DIV/0!</v>
      </c>
      <c r="E71" s="7"/>
      <c r="H71" s="14" t="s">
        <v>161</v>
      </c>
      <c r="K71" s="7"/>
    </row>
    <row r="72" spans="1:16" x14ac:dyDescent="0.35">
      <c r="A72" s="7"/>
      <c r="B72" s="14"/>
      <c r="C72" s="7"/>
      <c r="D72" s="7"/>
      <c r="E72" s="7"/>
      <c r="F72" s="7"/>
      <c r="G72" s="7"/>
      <c r="H72" s="7"/>
      <c r="I72" s="7"/>
      <c r="J72" s="7"/>
      <c r="K72" s="7"/>
    </row>
    <row r="73" spans="1:16" x14ac:dyDescent="0.35">
      <c r="A73" s="7"/>
      <c r="B73" s="11" t="s">
        <v>7</v>
      </c>
      <c r="C73" s="12"/>
      <c r="D73" s="12"/>
      <c r="E73" s="12"/>
      <c r="F73" s="12"/>
      <c r="G73" s="12"/>
      <c r="H73" s="12"/>
      <c r="I73" s="12"/>
      <c r="J73" s="12"/>
      <c r="K73" s="12"/>
      <c r="L73" s="13"/>
    </row>
    <row r="74" spans="1:16" x14ac:dyDescent="0.35">
      <c r="A74" s="7"/>
      <c r="B74" s="14"/>
      <c r="C74" s="7"/>
      <c r="D74" s="7"/>
      <c r="E74" s="7"/>
      <c r="F74" s="7"/>
      <c r="G74" s="7"/>
      <c r="H74" s="7"/>
      <c r="I74" s="7"/>
      <c r="J74" s="7"/>
      <c r="K74" s="7"/>
    </row>
    <row r="75" spans="1:16" x14ac:dyDescent="0.35">
      <c r="A75" s="7"/>
      <c r="B75" s="14" t="s">
        <v>16</v>
      </c>
      <c r="C75" s="7"/>
      <c r="D75" s="7"/>
      <c r="E75" s="7"/>
      <c r="F75" s="7"/>
      <c r="G75" s="7"/>
      <c r="H75" s="7"/>
      <c r="I75" s="7"/>
      <c r="J75" s="7"/>
      <c r="K75" s="7"/>
      <c r="M75" s="47"/>
      <c r="N75" s="47"/>
      <c r="O75" s="47"/>
      <c r="P75" s="47"/>
    </row>
    <row r="76" spans="1:16" x14ac:dyDescent="0.35">
      <c r="A76" s="7"/>
      <c r="B76" s="214" t="s">
        <v>27</v>
      </c>
      <c r="C76" s="214"/>
      <c r="D76" s="214"/>
      <c r="E76" s="214"/>
      <c r="F76" s="215" t="s">
        <v>7</v>
      </c>
      <c r="G76" s="216"/>
      <c r="H76" s="216"/>
      <c r="I76" s="216"/>
      <c r="J76" s="216"/>
      <c r="K76" s="217"/>
      <c r="M76" s="205" t="s">
        <v>156</v>
      </c>
      <c r="N76" s="205"/>
      <c r="O76" s="205"/>
      <c r="P76" s="205"/>
    </row>
    <row r="77" spans="1:16" x14ac:dyDescent="0.35">
      <c r="A77" s="7"/>
      <c r="B77" s="2" t="s">
        <v>28</v>
      </c>
      <c r="C77" s="2" t="s">
        <v>0</v>
      </c>
      <c r="D77" s="2" t="s">
        <v>162</v>
      </c>
      <c r="E77" s="2" t="s">
        <v>71</v>
      </c>
      <c r="F77" s="2" t="s">
        <v>8</v>
      </c>
      <c r="G77" s="2" t="s">
        <v>9</v>
      </c>
      <c r="H77" s="2" t="s">
        <v>10</v>
      </c>
      <c r="I77" s="2" t="s">
        <v>11</v>
      </c>
      <c r="J77" s="2" t="s">
        <v>24</v>
      </c>
      <c r="K77" s="48" t="s">
        <v>25</v>
      </c>
      <c r="M77" s="47"/>
      <c r="N77" s="47"/>
      <c r="O77" s="47"/>
      <c r="P77" s="47"/>
    </row>
    <row r="78" spans="1:16" x14ac:dyDescent="0.35">
      <c r="A78" s="7"/>
      <c r="B78" s="2" t="s">
        <v>46</v>
      </c>
      <c r="C78" s="49">
        <f>COUNT(E26:E40)</f>
        <v>0</v>
      </c>
      <c r="D78" s="50" t="e">
        <f>SUM(E26:E40)^2</f>
        <v>#DIV/0!</v>
      </c>
      <c r="E78" s="50" t="e">
        <f>D78/C78</f>
        <v>#DIV/0!</v>
      </c>
      <c r="F78" s="50" t="e">
        <f>DEVSQ(E26:E40)</f>
        <v>#DIV/0!</v>
      </c>
      <c r="G78" s="50">
        <f>C78-1</f>
        <v>-1</v>
      </c>
      <c r="H78" s="50" t="e">
        <f t="shared" ref="H78:H83" si="9">F78/G78</f>
        <v>#DIV/0!</v>
      </c>
      <c r="I78" s="49" t="s">
        <v>17</v>
      </c>
      <c r="J78" s="49" t="s">
        <v>17</v>
      </c>
      <c r="K78" s="51" t="e">
        <f>SUM(K80:K83)</f>
        <v>#DIV/0!</v>
      </c>
      <c r="M78" s="52" t="s">
        <v>121</v>
      </c>
      <c r="N78" s="52" t="s">
        <v>120</v>
      </c>
      <c r="O78" s="52" t="s">
        <v>122</v>
      </c>
      <c r="P78" s="52" t="s">
        <v>123</v>
      </c>
    </row>
    <row r="79" spans="1:16" x14ac:dyDescent="0.35">
      <c r="A79" s="7"/>
      <c r="B79" s="2" t="s">
        <v>26</v>
      </c>
      <c r="C79" s="49" t="s">
        <v>17</v>
      </c>
      <c r="D79" s="50" t="s">
        <v>17</v>
      </c>
      <c r="E79" s="50" t="s">
        <v>17</v>
      </c>
      <c r="F79" s="50" t="e">
        <f>F81</f>
        <v>#DIV/0!</v>
      </c>
      <c r="G79" s="50">
        <f>G81</f>
        <v>4</v>
      </c>
      <c r="H79" s="50" t="e">
        <f t="shared" si="9"/>
        <v>#DIV/0!</v>
      </c>
      <c r="I79" s="53" t="e">
        <f>H79/H80</f>
        <v>#DIV/0!</v>
      </c>
      <c r="J79" s="53" t="e">
        <f>FINV(0.05,G79,G80)</f>
        <v>#NUM!</v>
      </c>
      <c r="K79" s="51" t="e">
        <f>F79/F78</f>
        <v>#DIV/0!</v>
      </c>
      <c r="M79" s="54" t="e">
        <f>LOG10(D26)</f>
        <v>#DIV/0!</v>
      </c>
      <c r="N79" s="55" t="e">
        <f>E26/D26</f>
        <v>#DIV/0!</v>
      </c>
      <c r="O79" s="55" t="e">
        <f>0.95*AVERAGE(N79:N93)</f>
        <v>#DIV/0!</v>
      </c>
      <c r="P79" s="55" t="e">
        <f>1.05*AVERAGE(N79:N93)</f>
        <v>#DIV/0!</v>
      </c>
    </row>
    <row r="80" spans="1:16" x14ac:dyDescent="0.35">
      <c r="A80" s="7"/>
      <c r="B80" s="56" t="s">
        <v>29</v>
      </c>
      <c r="C80" s="49" t="s">
        <v>17</v>
      </c>
      <c r="D80" s="50" t="s">
        <v>17</v>
      </c>
      <c r="E80" s="50" t="s">
        <v>17</v>
      </c>
      <c r="F80" s="50" t="e">
        <f>F78-F79</f>
        <v>#DIV/0!</v>
      </c>
      <c r="G80" s="50">
        <f>G78-G79</f>
        <v>-5</v>
      </c>
      <c r="H80" s="50" t="e">
        <f t="shared" si="9"/>
        <v>#DIV/0!</v>
      </c>
      <c r="I80" s="53" t="s">
        <v>17</v>
      </c>
      <c r="J80" s="49" t="s">
        <v>17</v>
      </c>
      <c r="K80" s="51" t="e">
        <f>F80/F78</f>
        <v>#DIV/0!</v>
      </c>
      <c r="M80" s="54" t="e">
        <f t="shared" ref="M80:M93" si="10">LOG10(D27)</f>
        <v>#DIV/0!</v>
      </c>
      <c r="N80" s="55" t="e">
        <f t="shared" ref="N80:N93" si="11">E27/D27</f>
        <v>#DIV/0!</v>
      </c>
      <c r="O80" s="55" t="e">
        <f>O79</f>
        <v>#DIV/0!</v>
      </c>
      <c r="P80" s="55" t="e">
        <f>P79</f>
        <v>#DIV/0!</v>
      </c>
    </row>
    <row r="81" spans="1:18" x14ac:dyDescent="0.35">
      <c r="A81" s="7"/>
      <c r="B81" s="56" t="s">
        <v>0</v>
      </c>
      <c r="C81" s="49">
        <f>COUNT(B26:B40)</f>
        <v>5</v>
      </c>
      <c r="D81" s="50" t="e">
        <f>SUM(E26:E28)^2+SUM(E29:E31)^2+SUM(E32:E34)^2+SUM(E35:E37)^2+SUM(E38:E40)^2</f>
        <v>#DIV/0!</v>
      </c>
      <c r="E81" s="50" t="e">
        <f>D81*C81/C78</f>
        <v>#DIV/0!</v>
      </c>
      <c r="F81" s="50" t="e">
        <f>E81-E78</f>
        <v>#DIV/0!</v>
      </c>
      <c r="G81" s="50">
        <f>C81-1</f>
        <v>4</v>
      </c>
      <c r="H81" s="50" t="e">
        <f t="shared" si="9"/>
        <v>#DIV/0!</v>
      </c>
      <c r="I81" s="53" t="e">
        <f>H81/H80</f>
        <v>#DIV/0!</v>
      </c>
      <c r="J81" s="53" t="e">
        <f>FINV(0.05,G81,G80)</f>
        <v>#NUM!</v>
      </c>
      <c r="K81" s="51" t="s">
        <v>17</v>
      </c>
      <c r="M81" s="54" t="e">
        <f t="shared" si="10"/>
        <v>#DIV/0!</v>
      </c>
      <c r="N81" s="55" t="e">
        <f t="shared" si="11"/>
        <v>#DIV/0!</v>
      </c>
      <c r="O81" s="55" t="e">
        <f t="shared" ref="O81:O93" si="12">O80</f>
        <v>#DIV/0!</v>
      </c>
      <c r="P81" s="55" t="e">
        <f t="shared" ref="P81:P93" si="13">P80</f>
        <v>#DIV/0!</v>
      </c>
    </row>
    <row r="82" spans="1:18" x14ac:dyDescent="0.35">
      <c r="A82" s="7"/>
      <c r="B82" s="57" t="s">
        <v>69</v>
      </c>
      <c r="C82" s="58" t="s">
        <v>17</v>
      </c>
      <c r="D82" s="20" t="s">
        <v>17</v>
      </c>
      <c r="E82" s="59" t="s">
        <v>17</v>
      </c>
      <c r="F82" s="59" t="e">
        <f>C47</f>
        <v>#VALUE!</v>
      </c>
      <c r="G82" s="59">
        <v>1</v>
      </c>
      <c r="H82" s="59" t="e">
        <f t="shared" si="9"/>
        <v>#VALUE!</v>
      </c>
      <c r="I82" s="60" t="e">
        <f>H82/H80</f>
        <v>#VALUE!</v>
      </c>
      <c r="J82" s="60" t="e">
        <f>FINV(0.05,G82,G80)</f>
        <v>#NUM!</v>
      </c>
      <c r="K82" s="61" t="e">
        <f>F82/F78</f>
        <v>#VALUE!</v>
      </c>
      <c r="M82" s="54" t="e">
        <f t="shared" si="10"/>
        <v>#DIV/0!</v>
      </c>
      <c r="N82" s="55" t="e">
        <f t="shared" si="11"/>
        <v>#DIV/0!</v>
      </c>
      <c r="O82" s="55" t="e">
        <f t="shared" si="12"/>
        <v>#DIV/0!</v>
      </c>
      <c r="P82" s="55" t="e">
        <f t="shared" si="13"/>
        <v>#DIV/0!</v>
      </c>
    </row>
    <row r="83" spans="1:18" x14ac:dyDescent="0.35">
      <c r="A83" s="7"/>
      <c r="B83" s="57" t="s">
        <v>70</v>
      </c>
      <c r="C83" s="58" t="s">
        <v>17</v>
      </c>
      <c r="D83" s="20" t="s">
        <v>17</v>
      </c>
      <c r="E83" s="59" t="s">
        <v>17</v>
      </c>
      <c r="F83" s="59" t="e">
        <f>F81-F82</f>
        <v>#DIV/0!</v>
      </c>
      <c r="G83" s="59">
        <f>G81-G82</f>
        <v>3</v>
      </c>
      <c r="H83" s="59" t="e">
        <f t="shared" si="9"/>
        <v>#DIV/0!</v>
      </c>
      <c r="I83" s="62" t="e">
        <f>H83/H80</f>
        <v>#DIV/0!</v>
      </c>
      <c r="J83" s="60" t="e">
        <f>FINV(0.05,G83,G80)</f>
        <v>#NUM!</v>
      </c>
      <c r="K83" s="61" t="e">
        <f>F83/F78</f>
        <v>#DIV/0!</v>
      </c>
      <c r="M83" s="54" t="e">
        <f t="shared" si="10"/>
        <v>#DIV/0!</v>
      </c>
      <c r="N83" s="55" t="e">
        <f t="shared" si="11"/>
        <v>#DIV/0!</v>
      </c>
      <c r="O83" s="55" t="e">
        <f t="shared" si="12"/>
        <v>#DIV/0!</v>
      </c>
      <c r="P83" s="55" t="e">
        <f t="shared" si="13"/>
        <v>#DIV/0!</v>
      </c>
    </row>
    <row r="84" spans="1:18" x14ac:dyDescent="0.35">
      <c r="A84" s="7"/>
      <c r="B84" s="8"/>
      <c r="C84" s="9"/>
      <c r="D84" s="9"/>
      <c r="E84" s="9"/>
      <c r="F84" s="9"/>
      <c r="G84" s="9"/>
      <c r="H84" s="9"/>
      <c r="I84" s="9"/>
      <c r="J84" s="9"/>
      <c r="K84" s="9"/>
      <c r="L84" s="10"/>
      <c r="M84" s="54" t="e">
        <f t="shared" si="10"/>
        <v>#DIV/0!</v>
      </c>
      <c r="N84" s="55" t="e">
        <f t="shared" si="11"/>
        <v>#DIV/0!</v>
      </c>
      <c r="O84" s="55" t="e">
        <f t="shared" si="12"/>
        <v>#DIV/0!</v>
      </c>
      <c r="P84" s="55" t="e">
        <f t="shared" si="13"/>
        <v>#DIV/0!</v>
      </c>
    </row>
    <row r="85" spans="1:18" x14ac:dyDescent="0.35">
      <c r="A85" s="7"/>
      <c r="B85" s="14" t="s">
        <v>158</v>
      </c>
      <c r="C85" s="9"/>
      <c r="D85" s="9"/>
      <c r="E85" s="9"/>
      <c r="F85" s="9"/>
      <c r="G85" s="9"/>
      <c r="H85" s="9"/>
      <c r="I85" s="9"/>
      <c r="J85" s="9"/>
      <c r="K85" s="9"/>
      <c r="L85" s="10"/>
      <c r="M85" s="54" t="e">
        <f t="shared" si="10"/>
        <v>#DIV/0!</v>
      </c>
      <c r="N85" s="55" t="e">
        <f t="shared" si="11"/>
        <v>#DIV/0!</v>
      </c>
      <c r="O85" s="55" t="e">
        <f t="shared" si="12"/>
        <v>#DIV/0!</v>
      </c>
      <c r="P85" s="55" t="e">
        <f t="shared" si="13"/>
        <v>#DIV/0!</v>
      </c>
    </row>
    <row r="86" spans="1:18" x14ac:dyDescent="0.35">
      <c r="A86" s="7"/>
      <c r="B86" s="214" t="s">
        <v>27</v>
      </c>
      <c r="C86" s="214"/>
      <c r="D86" s="214"/>
      <c r="E86" s="214"/>
      <c r="F86" s="215" t="s">
        <v>7</v>
      </c>
      <c r="G86" s="216"/>
      <c r="H86" s="216"/>
      <c r="I86" s="216"/>
      <c r="J86" s="216"/>
      <c r="K86" s="217"/>
      <c r="L86" s="10"/>
      <c r="M86" s="54" t="e">
        <f t="shared" si="10"/>
        <v>#DIV/0!</v>
      </c>
      <c r="N86" s="55" t="e">
        <f t="shared" si="11"/>
        <v>#DIV/0!</v>
      </c>
      <c r="O86" s="55" t="e">
        <f t="shared" si="12"/>
        <v>#DIV/0!</v>
      </c>
      <c r="P86" s="55" t="e">
        <f t="shared" si="13"/>
        <v>#DIV/0!</v>
      </c>
    </row>
    <row r="87" spans="1:18" x14ac:dyDescent="0.35">
      <c r="A87" s="7"/>
      <c r="B87" s="2" t="s">
        <v>28</v>
      </c>
      <c r="C87" s="2" t="s">
        <v>0</v>
      </c>
      <c r="D87" s="2" t="s">
        <v>162</v>
      </c>
      <c r="E87" s="2" t="s">
        <v>71</v>
      </c>
      <c r="F87" s="2" t="s">
        <v>8</v>
      </c>
      <c r="G87" s="2" t="s">
        <v>9</v>
      </c>
      <c r="H87" s="2" t="s">
        <v>10</v>
      </c>
      <c r="I87" s="2" t="s">
        <v>11</v>
      </c>
      <c r="J87" s="2" t="s">
        <v>24</v>
      </c>
      <c r="K87" s="48" t="s">
        <v>25</v>
      </c>
      <c r="L87" s="10"/>
      <c r="M87" s="54" t="e">
        <f t="shared" si="10"/>
        <v>#DIV/0!</v>
      </c>
      <c r="N87" s="55" t="e">
        <f t="shared" si="11"/>
        <v>#DIV/0!</v>
      </c>
      <c r="O87" s="55" t="e">
        <f t="shared" si="12"/>
        <v>#DIV/0!</v>
      </c>
      <c r="P87" s="55" t="e">
        <f t="shared" si="13"/>
        <v>#DIV/0!</v>
      </c>
    </row>
    <row r="88" spans="1:18" x14ac:dyDescent="0.35">
      <c r="A88" s="7"/>
      <c r="B88" s="2" t="s">
        <v>46</v>
      </c>
      <c r="C88" s="49">
        <f>COUNT(K26:K40)</f>
        <v>0</v>
      </c>
      <c r="D88" s="50" t="e">
        <f>SUM(K26:K40)^2</f>
        <v>#DIV/0!</v>
      </c>
      <c r="E88" s="50" t="e">
        <f>D88/C88</f>
        <v>#DIV/0!</v>
      </c>
      <c r="F88" s="50" t="e">
        <f>DEVSQ(K26:K40)</f>
        <v>#DIV/0!</v>
      </c>
      <c r="G88" s="50">
        <f>C88-1</f>
        <v>-1</v>
      </c>
      <c r="H88" s="50" t="e">
        <f t="shared" ref="H88:H93" si="14">F88/G88</f>
        <v>#DIV/0!</v>
      </c>
      <c r="I88" s="49" t="s">
        <v>17</v>
      </c>
      <c r="J88" s="49" t="s">
        <v>17</v>
      </c>
      <c r="K88" s="51" t="e">
        <f>SUM(K90:K93)</f>
        <v>#DIV/0!</v>
      </c>
      <c r="M88" s="54" t="e">
        <f t="shared" si="10"/>
        <v>#DIV/0!</v>
      </c>
      <c r="N88" s="55" t="e">
        <f t="shared" si="11"/>
        <v>#DIV/0!</v>
      </c>
      <c r="O88" s="55" t="e">
        <f t="shared" si="12"/>
        <v>#DIV/0!</v>
      </c>
      <c r="P88" s="55" t="e">
        <f t="shared" si="13"/>
        <v>#DIV/0!</v>
      </c>
    </row>
    <row r="89" spans="1:18" x14ac:dyDescent="0.35">
      <c r="A89" s="7"/>
      <c r="B89" s="2" t="s">
        <v>26</v>
      </c>
      <c r="C89" s="49" t="s">
        <v>17</v>
      </c>
      <c r="D89" s="50" t="s">
        <v>17</v>
      </c>
      <c r="E89" s="50" t="s">
        <v>17</v>
      </c>
      <c r="F89" s="50" t="e">
        <f>F91</f>
        <v>#DIV/0!</v>
      </c>
      <c r="G89" s="50">
        <f>G91</f>
        <v>4</v>
      </c>
      <c r="H89" s="50" t="e">
        <f t="shared" si="14"/>
        <v>#DIV/0!</v>
      </c>
      <c r="I89" s="53" t="e">
        <f>H89/H90</f>
        <v>#DIV/0!</v>
      </c>
      <c r="J89" s="53" t="e">
        <f>FINV(0.05,G89,G90)</f>
        <v>#NUM!</v>
      </c>
      <c r="K89" s="51" t="e">
        <f>F89/F88</f>
        <v>#DIV/0!</v>
      </c>
      <c r="M89" s="54" t="e">
        <f t="shared" si="10"/>
        <v>#DIV/0!</v>
      </c>
      <c r="N89" s="55" t="e">
        <f t="shared" si="11"/>
        <v>#DIV/0!</v>
      </c>
      <c r="O89" s="55" t="e">
        <f t="shared" si="12"/>
        <v>#DIV/0!</v>
      </c>
      <c r="P89" s="55" t="e">
        <f t="shared" si="13"/>
        <v>#DIV/0!</v>
      </c>
    </row>
    <row r="90" spans="1:18" x14ac:dyDescent="0.35">
      <c r="A90" s="7"/>
      <c r="B90" s="56" t="s">
        <v>29</v>
      </c>
      <c r="C90" s="49" t="s">
        <v>17</v>
      </c>
      <c r="D90" s="50" t="s">
        <v>17</v>
      </c>
      <c r="E90" s="50" t="s">
        <v>17</v>
      </c>
      <c r="F90" s="50" t="e">
        <f>F88-F89</f>
        <v>#DIV/0!</v>
      </c>
      <c r="G90" s="50">
        <f>G88-G89</f>
        <v>-5</v>
      </c>
      <c r="H90" s="50" t="e">
        <f t="shared" si="14"/>
        <v>#DIV/0!</v>
      </c>
      <c r="I90" s="53" t="s">
        <v>17</v>
      </c>
      <c r="J90" s="49" t="s">
        <v>17</v>
      </c>
      <c r="K90" s="51" t="e">
        <f>F90/F88</f>
        <v>#DIV/0!</v>
      </c>
      <c r="M90" s="54" t="e">
        <f t="shared" si="10"/>
        <v>#DIV/0!</v>
      </c>
      <c r="N90" s="55" t="e">
        <f t="shared" si="11"/>
        <v>#DIV/0!</v>
      </c>
      <c r="O90" s="55" t="e">
        <f t="shared" si="12"/>
        <v>#DIV/0!</v>
      </c>
      <c r="P90" s="55" t="e">
        <f t="shared" si="13"/>
        <v>#DIV/0!</v>
      </c>
    </row>
    <row r="91" spans="1:18" x14ac:dyDescent="0.35">
      <c r="A91" s="7"/>
      <c r="B91" s="56" t="s">
        <v>0</v>
      </c>
      <c r="C91" s="49">
        <f>COUNT(H26:H40)</f>
        <v>5</v>
      </c>
      <c r="D91" s="50" t="e">
        <f>SUM(K26:K28)^2+SUM(K29:K31)^2+SUM(K32:K34)^2+SUM(K35:K37)^2+SUM(K38:K40)^2</f>
        <v>#DIV/0!</v>
      </c>
      <c r="E91" s="50" t="e">
        <f>D91*C91/C88</f>
        <v>#DIV/0!</v>
      </c>
      <c r="F91" s="50" t="e">
        <f>E91-E88</f>
        <v>#DIV/0!</v>
      </c>
      <c r="G91" s="50">
        <f>C91-1</f>
        <v>4</v>
      </c>
      <c r="H91" s="50" t="e">
        <f t="shared" si="14"/>
        <v>#DIV/0!</v>
      </c>
      <c r="I91" s="53" t="e">
        <f>H91/H90</f>
        <v>#DIV/0!</v>
      </c>
      <c r="J91" s="53" t="e">
        <f>FINV(0.05,G91,G90)</f>
        <v>#NUM!</v>
      </c>
      <c r="K91" s="51" t="s">
        <v>17</v>
      </c>
      <c r="M91" s="54" t="e">
        <f t="shared" si="10"/>
        <v>#DIV/0!</v>
      </c>
      <c r="N91" s="55" t="e">
        <f t="shared" si="11"/>
        <v>#DIV/0!</v>
      </c>
      <c r="O91" s="55" t="e">
        <f t="shared" si="12"/>
        <v>#DIV/0!</v>
      </c>
      <c r="P91" s="55" t="e">
        <f t="shared" si="13"/>
        <v>#DIV/0!</v>
      </c>
    </row>
    <row r="92" spans="1:18" x14ac:dyDescent="0.35">
      <c r="A92" s="7"/>
      <c r="B92" s="57" t="s">
        <v>69</v>
      </c>
      <c r="C92" s="58" t="s">
        <v>17</v>
      </c>
      <c r="D92" s="20" t="s">
        <v>17</v>
      </c>
      <c r="E92" s="59" t="s">
        <v>17</v>
      </c>
      <c r="F92" s="59" t="e">
        <f>I47</f>
        <v>#VALUE!</v>
      </c>
      <c r="G92" s="59">
        <v>1</v>
      </c>
      <c r="H92" s="59" t="e">
        <f t="shared" si="14"/>
        <v>#VALUE!</v>
      </c>
      <c r="I92" s="60" t="e">
        <f>H92/H90</f>
        <v>#VALUE!</v>
      </c>
      <c r="J92" s="60" t="e">
        <f>FINV(0.05,G92,G90)</f>
        <v>#NUM!</v>
      </c>
      <c r="K92" s="61" t="e">
        <f>F92/F88</f>
        <v>#VALUE!</v>
      </c>
      <c r="M92" s="54" t="e">
        <f t="shared" si="10"/>
        <v>#DIV/0!</v>
      </c>
      <c r="N92" s="55" t="e">
        <f t="shared" si="11"/>
        <v>#DIV/0!</v>
      </c>
      <c r="O92" s="55" t="e">
        <f t="shared" si="12"/>
        <v>#DIV/0!</v>
      </c>
      <c r="P92" s="55" t="e">
        <f t="shared" si="13"/>
        <v>#DIV/0!</v>
      </c>
    </row>
    <row r="93" spans="1:18" x14ac:dyDescent="0.35">
      <c r="A93" s="7"/>
      <c r="B93" s="57" t="s">
        <v>70</v>
      </c>
      <c r="C93" s="58" t="s">
        <v>17</v>
      </c>
      <c r="D93" s="20" t="s">
        <v>17</v>
      </c>
      <c r="E93" s="59" t="s">
        <v>17</v>
      </c>
      <c r="F93" s="59" t="e">
        <f>F91-F92</f>
        <v>#DIV/0!</v>
      </c>
      <c r="G93" s="59">
        <f>G91-G92</f>
        <v>3</v>
      </c>
      <c r="H93" s="59" t="e">
        <f t="shared" si="14"/>
        <v>#DIV/0!</v>
      </c>
      <c r="I93" s="62" t="e">
        <f>H93/H90</f>
        <v>#DIV/0!</v>
      </c>
      <c r="J93" s="60" t="e">
        <f>FINV(0.05,G93,G90)</f>
        <v>#NUM!</v>
      </c>
      <c r="K93" s="61" t="e">
        <f>F93/F88</f>
        <v>#DIV/0!</v>
      </c>
      <c r="M93" s="54" t="e">
        <f t="shared" si="10"/>
        <v>#DIV/0!</v>
      </c>
      <c r="N93" s="55" t="e">
        <f t="shared" si="11"/>
        <v>#DIV/0!</v>
      </c>
      <c r="O93" s="55" t="e">
        <f t="shared" si="12"/>
        <v>#DIV/0!</v>
      </c>
      <c r="P93" s="55" t="e">
        <f t="shared" si="13"/>
        <v>#DIV/0!</v>
      </c>
    </row>
    <row r="94" spans="1:18" x14ac:dyDescent="0.35">
      <c r="A94" s="7"/>
      <c r="B94" s="14"/>
      <c r="C94" s="7"/>
      <c r="D94" s="7"/>
      <c r="E94" s="7"/>
      <c r="F94" s="7"/>
      <c r="G94" s="7"/>
      <c r="H94" s="7"/>
      <c r="I94" s="7"/>
      <c r="J94" s="7"/>
      <c r="K94" s="7"/>
    </row>
    <row r="95" spans="1:18" x14ac:dyDescent="0.35">
      <c r="A95" s="7"/>
      <c r="B95" s="14" t="s">
        <v>163</v>
      </c>
      <c r="C95" s="7"/>
      <c r="D95" s="7"/>
      <c r="E95" s="7"/>
      <c r="F95" s="7"/>
      <c r="G95" s="7"/>
      <c r="H95" s="7"/>
      <c r="I95" s="7"/>
      <c r="J95" s="7"/>
      <c r="K95" s="7"/>
      <c r="N95" s="10"/>
      <c r="O95" s="10"/>
      <c r="P95" s="10"/>
      <c r="Q95" s="10"/>
      <c r="R95" s="10"/>
    </row>
    <row r="96" spans="1:18" x14ac:dyDescent="0.35">
      <c r="A96" s="7"/>
      <c r="B96" s="14"/>
      <c r="C96" s="7"/>
      <c r="D96" s="7"/>
      <c r="E96" s="7"/>
      <c r="F96" s="7"/>
      <c r="G96" s="7"/>
      <c r="H96" s="7"/>
      <c r="I96" s="7"/>
      <c r="J96" s="7"/>
      <c r="K96" s="7"/>
      <c r="N96" s="10"/>
      <c r="O96" s="10"/>
      <c r="P96" s="10"/>
      <c r="Q96" s="10"/>
      <c r="R96" s="10"/>
    </row>
    <row r="97" spans="1:18" x14ac:dyDescent="0.35">
      <c r="A97" s="7"/>
      <c r="B97" s="11" t="s">
        <v>164</v>
      </c>
      <c r="C97" s="12"/>
      <c r="D97" s="12"/>
      <c r="E97" s="12"/>
      <c r="F97" s="12"/>
      <c r="G97" s="12"/>
      <c r="H97" s="12"/>
      <c r="I97" s="12"/>
      <c r="J97" s="12"/>
      <c r="K97" s="12"/>
      <c r="L97" s="13"/>
      <c r="N97" s="10"/>
      <c r="O97" s="10"/>
      <c r="P97" s="10"/>
      <c r="Q97" s="10"/>
      <c r="R97" s="10"/>
    </row>
    <row r="98" spans="1:18" x14ac:dyDescent="0.35">
      <c r="A98" s="7"/>
      <c r="B98" s="63" t="s">
        <v>165</v>
      </c>
      <c r="C98" s="10"/>
      <c r="D98" s="10"/>
      <c r="E98" s="10"/>
      <c r="F98" s="10"/>
      <c r="G98" s="10"/>
      <c r="H98" s="10"/>
      <c r="I98" s="7"/>
      <c r="J98" s="7"/>
      <c r="K98" s="7"/>
      <c r="N98" s="10"/>
      <c r="O98" s="10"/>
      <c r="P98" s="10"/>
      <c r="Q98" s="10"/>
      <c r="R98" s="10"/>
    </row>
    <row r="99" spans="1:18" x14ac:dyDescent="0.35">
      <c r="A99" s="7"/>
      <c r="B99" s="2" t="s">
        <v>61</v>
      </c>
      <c r="C99" s="2" t="s">
        <v>13</v>
      </c>
      <c r="D99" s="2" t="s">
        <v>30</v>
      </c>
      <c r="E99" s="2" t="s">
        <v>11</v>
      </c>
      <c r="F99" s="2" t="s">
        <v>31</v>
      </c>
      <c r="G99" s="2" t="s">
        <v>47</v>
      </c>
      <c r="H99" s="10"/>
      <c r="I99" s="7"/>
      <c r="J99" s="7"/>
      <c r="K99" s="7"/>
      <c r="N99" s="10"/>
      <c r="O99" s="10"/>
      <c r="P99" s="10"/>
      <c r="Q99" s="10"/>
      <c r="R99" s="10"/>
    </row>
    <row r="100" spans="1:18" x14ac:dyDescent="0.35">
      <c r="A100" s="7"/>
      <c r="B100" s="64" t="s">
        <v>166</v>
      </c>
      <c r="C100" s="50" t="e">
        <f>D45</f>
        <v>#VALUE!</v>
      </c>
      <c r="D100" s="50" t="e">
        <f>C100^2</f>
        <v>#VALUE!</v>
      </c>
      <c r="E100" s="207" t="e">
        <f>MAX(D100:D101)/MIN(D100:D101)</f>
        <v>#VALUE!</v>
      </c>
      <c r="F100" s="207" t="e">
        <f>FINV(0.05,D46,J46)</f>
        <v>#VALUE!</v>
      </c>
      <c r="G100" s="196" t="e">
        <f>IF(ABS(E100)&lt;F100,"S² équivalentes","S² hétérogène")</f>
        <v>#VALUE!</v>
      </c>
      <c r="H100" s="10"/>
      <c r="I100" s="7"/>
      <c r="J100" s="7"/>
      <c r="K100" s="7"/>
      <c r="N100" s="10"/>
      <c r="O100" s="10"/>
      <c r="P100" s="10"/>
      <c r="Q100" s="10"/>
      <c r="R100" s="10"/>
    </row>
    <row r="101" spans="1:18" x14ac:dyDescent="0.35">
      <c r="A101" s="7"/>
      <c r="B101" s="64" t="s">
        <v>167</v>
      </c>
      <c r="C101" s="50" t="e">
        <f>J45</f>
        <v>#VALUE!</v>
      </c>
      <c r="D101" s="50" t="e">
        <f>C101^2</f>
        <v>#VALUE!</v>
      </c>
      <c r="E101" s="208"/>
      <c r="F101" s="208"/>
      <c r="G101" s="196"/>
      <c r="H101" s="10"/>
      <c r="I101" s="7"/>
      <c r="J101" s="7"/>
      <c r="K101" s="7"/>
      <c r="N101" s="10"/>
      <c r="O101" s="10"/>
      <c r="P101" s="10"/>
      <c r="Q101" s="10"/>
      <c r="R101" s="10"/>
    </row>
    <row r="102" spans="1:18" x14ac:dyDescent="0.35">
      <c r="A102" s="7"/>
      <c r="B102" s="65"/>
      <c r="C102" s="66"/>
      <c r="D102" s="66"/>
      <c r="E102" s="66"/>
      <c r="F102" s="66"/>
      <c r="G102" s="67"/>
      <c r="H102" s="10"/>
      <c r="I102" s="7"/>
      <c r="J102" s="7"/>
      <c r="K102" s="7"/>
      <c r="N102" s="10"/>
      <c r="O102" s="10"/>
      <c r="P102" s="10"/>
      <c r="Q102" s="10"/>
      <c r="R102" s="10"/>
    </row>
    <row r="103" spans="1:18" x14ac:dyDescent="0.35">
      <c r="A103" s="7"/>
      <c r="B103" s="67" t="s">
        <v>168</v>
      </c>
      <c r="C103" s="10"/>
      <c r="D103" s="10"/>
      <c r="E103" s="10"/>
      <c r="F103" s="10"/>
      <c r="G103" s="10"/>
      <c r="H103" s="10"/>
      <c r="I103" s="7"/>
      <c r="J103" s="7"/>
      <c r="K103" s="7"/>
      <c r="N103" s="10"/>
      <c r="O103" s="10"/>
      <c r="P103" s="10"/>
      <c r="Q103" s="10"/>
      <c r="R103" s="10"/>
    </row>
    <row r="104" spans="1:18" x14ac:dyDescent="0.35">
      <c r="A104" s="7"/>
      <c r="B104" s="2" t="s">
        <v>61</v>
      </c>
      <c r="C104" s="2" t="s">
        <v>32</v>
      </c>
      <c r="D104" s="2" t="s">
        <v>33</v>
      </c>
      <c r="E104" s="2" t="s">
        <v>34</v>
      </c>
      <c r="F104" s="2" t="s">
        <v>35</v>
      </c>
      <c r="G104" s="2" t="s">
        <v>36</v>
      </c>
      <c r="H104" s="2" t="s">
        <v>47</v>
      </c>
      <c r="I104" s="7"/>
      <c r="J104" s="7"/>
      <c r="K104" s="7"/>
      <c r="N104" s="10"/>
      <c r="O104" s="10"/>
      <c r="P104" s="10"/>
      <c r="Q104" s="10"/>
      <c r="R104" s="10"/>
    </row>
    <row r="105" spans="1:18" x14ac:dyDescent="0.35">
      <c r="A105" s="7"/>
      <c r="B105" s="64" t="s">
        <v>166</v>
      </c>
      <c r="C105" s="218" t="e">
        <f>(D101+D100)/2</f>
        <v>#VALUE!</v>
      </c>
      <c r="D105" s="50" t="e">
        <f>C105/DEVSQ(D26:D40)</f>
        <v>#VALUE!</v>
      </c>
      <c r="E105" s="218" t="e">
        <f>D105+D106</f>
        <v>#VALUE!</v>
      </c>
      <c r="F105" s="207" t="e">
        <f>(C43-I43)/SQRT(E105)</f>
        <v>#VALUE!</v>
      </c>
      <c r="G105" s="207" t="e">
        <f>_xlfn.T.INV.2T(0.05,D46+J46)</f>
        <v>#VALUE!</v>
      </c>
      <c r="H105" s="196" t="e">
        <f>IF(ABS(F105)&lt;G105," pas d'effet de matrice","effet de matrice")</f>
        <v>#VALUE!</v>
      </c>
      <c r="I105" s="7"/>
      <c r="J105" s="7"/>
      <c r="K105" s="7"/>
      <c r="N105" s="10"/>
      <c r="O105" s="10"/>
      <c r="P105" s="10"/>
      <c r="Q105" s="10"/>
      <c r="R105" s="10"/>
    </row>
    <row r="106" spans="1:18" x14ac:dyDescent="0.35">
      <c r="A106" s="7"/>
      <c r="B106" s="64" t="s">
        <v>167</v>
      </c>
      <c r="C106" s="219"/>
      <c r="D106" s="50" t="e">
        <f>C105/DEVSQ(J26:J40)</f>
        <v>#VALUE!</v>
      </c>
      <c r="E106" s="219"/>
      <c r="F106" s="208"/>
      <c r="G106" s="208"/>
      <c r="H106" s="196"/>
      <c r="J106" s="7"/>
      <c r="K106" s="7"/>
      <c r="N106" s="10"/>
      <c r="O106" s="10"/>
      <c r="P106" s="10"/>
      <c r="Q106" s="10"/>
      <c r="R106" s="10"/>
    </row>
    <row r="107" spans="1:18" x14ac:dyDescent="0.35">
      <c r="A107" s="7"/>
      <c r="B107" s="67" t="s">
        <v>170</v>
      </c>
      <c r="C107" s="66"/>
      <c r="D107" s="66"/>
      <c r="E107" s="66"/>
      <c r="F107" s="10"/>
      <c r="G107" s="66"/>
      <c r="H107" s="67"/>
      <c r="I107" s="7"/>
      <c r="J107" s="7"/>
      <c r="K107" s="7"/>
      <c r="N107" s="10"/>
      <c r="O107" s="10"/>
      <c r="P107" s="10"/>
      <c r="Q107" s="10"/>
      <c r="R107" s="10"/>
    </row>
    <row r="108" spans="1:18" x14ac:dyDescent="0.35">
      <c r="A108" s="7"/>
      <c r="B108" s="10"/>
      <c r="C108" s="10"/>
      <c r="D108" s="10"/>
      <c r="E108" s="10"/>
      <c r="F108" s="10"/>
      <c r="G108" s="10"/>
      <c r="H108" s="10"/>
      <c r="I108" s="7"/>
      <c r="J108" s="7"/>
      <c r="K108" s="7"/>
      <c r="N108" s="10"/>
      <c r="O108" s="10"/>
      <c r="P108" s="10"/>
      <c r="Q108" s="10"/>
      <c r="R108" s="10"/>
    </row>
    <row r="109" spans="1:18" x14ac:dyDescent="0.35">
      <c r="A109" s="7"/>
      <c r="B109" s="67" t="s">
        <v>169</v>
      </c>
      <c r="C109" s="10"/>
      <c r="D109" s="10"/>
      <c r="E109" s="68"/>
      <c r="F109" s="10"/>
      <c r="G109" s="10"/>
      <c r="H109" s="10"/>
      <c r="I109" s="7"/>
      <c r="J109" s="7"/>
      <c r="K109" s="7"/>
      <c r="N109" s="10"/>
      <c r="O109" s="10"/>
      <c r="P109" s="10"/>
      <c r="Q109" s="10"/>
      <c r="R109" s="10"/>
    </row>
    <row r="110" spans="1:18" x14ac:dyDescent="0.35">
      <c r="A110" s="7"/>
      <c r="B110" s="2" t="s">
        <v>61</v>
      </c>
      <c r="C110" s="2" t="s">
        <v>35</v>
      </c>
      <c r="D110" s="2" t="s">
        <v>36</v>
      </c>
      <c r="E110" s="2" t="s">
        <v>47</v>
      </c>
      <c r="F110" s="10"/>
      <c r="G110" s="10"/>
      <c r="H110" s="10"/>
      <c r="I110" s="7"/>
      <c r="J110" s="7"/>
      <c r="K110" s="7"/>
      <c r="N110" s="10"/>
      <c r="O110" s="10"/>
      <c r="P110" s="10"/>
      <c r="Q110" s="10"/>
      <c r="R110" s="10"/>
    </row>
    <row r="111" spans="1:18" x14ac:dyDescent="0.35">
      <c r="A111" s="7"/>
      <c r="B111" s="64" t="s">
        <v>166</v>
      </c>
      <c r="C111" s="207" t="e">
        <f>(D43-J43)/SQRT(D44^2+J44^2)</f>
        <v>#VALUE!</v>
      </c>
      <c r="D111" s="207" t="e">
        <f>G105</f>
        <v>#VALUE!</v>
      </c>
      <c r="E111" s="221" t="e">
        <f>IF(ABS(C111)&lt;D111,"pas de biais","biais significatif")</f>
        <v>#VALUE!</v>
      </c>
      <c r="F111" s="10"/>
      <c r="G111" s="10"/>
      <c r="H111" s="10"/>
      <c r="I111" s="7"/>
      <c r="J111" s="7"/>
      <c r="K111" s="7"/>
      <c r="N111" s="10"/>
      <c r="O111" s="10"/>
      <c r="P111" s="10"/>
      <c r="Q111" s="10"/>
      <c r="R111" s="10"/>
    </row>
    <row r="112" spans="1:18" x14ac:dyDescent="0.35">
      <c r="A112" s="7"/>
      <c r="B112" s="64" t="s">
        <v>167</v>
      </c>
      <c r="C112" s="208"/>
      <c r="D112" s="208"/>
      <c r="E112" s="221"/>
      <c r="G112" s="10"/>
      <c r="H112" s="69"/>
      <c r="I112" s="7"/>
      <c r="J112" s="7"/>
      <c r="K112" s="7"/>
      <c r="N112" s="10"/>
      <c r="O112" s="10"/>
      <c r="P112" s="10"/>
      <c r="Q112" s="10"/>
      <c r="R112" s="10"/>
    </row>
    <row r="113" spans="1:18" x14ac:dyDescent="0.35">
      <c r="A113" s="7"/>
      <c r="B113" s="67" t="s">
        <v>171</v>
      </c>
      <c r="C113" s="10"/>
      <c r="D113" s="10"/>
      <c r="E113" s="10"/>
      <c r="F113" s="10"/>
      <c r="G113" s="10"/>
      <c r="H113" s="69"/>
      <c r="I113" s="7"/>
      <c r="J113" s="7"/>
      <c r="K113" s="7"/>
      <c r="N113" s="10"/>
      <c r="O113" s="10"/>
      <c r="P113" s="10"/>
      <c r="Q113" s="10"/>
      <c r="R113" s="10"/>
    </row>
    <row r="114" spans="1:18" x14ac:dyDescent="0.35">
      <c r="A114" s="7"/>
      <c r="B114" s="10"/>
      <c r="C114" s="10"/>
      <c r="D114" s="10"/>
      <c r="E114" s="10"/>
      <c r="F114" s="10"/>
      <c r="G114" s="10"/>
      <c r="H114" s="69"/>
      <c r="I114" s="7"/>
      <c r="J114" s="7"/>
      <c r="K114" s="7"/>
      <c r="N114" s="10"/>
      <c r="O114" s="10"/>
      <c r="P114" s="10"/>
      <c r="Q114" s="10"/>
      <c r="R114" s="10"/>
    </row>
    <row r="115" spans="1:18" x14ac:dyDescent="0.35">
      <c r="A115" s="7"/>
      <c r="B115" s="67" t="s">
        <v>173</v>
      </c>
      <c r="C115" s="10"/>
      <c r="D115" s="10"/>
      <c r="E115" s="10"/>
      <c r="F115" s="10"/>
      <c r="G115" s="10"/>
      <c r="H115" s="69"/>
      <c r="I115" s="7"/>
      <c r="J115" s="7"/>
      <c r="K115" s="7"/>
      <c r="N115" s="10"/>
      <c r="O115" s="10"/>
      <c r="P115" s="10"/>
      <c r="Q115" s="10"/>
      <c r="R115" s="10"/>
    </row>
    <row r="116" spans="1:18" x14ac:dyDescent="0.35">
      <c r="A116" s="7"/>
      <c r="B116" s="2" t="s">
        <v>61</v>
      </c>
      <c r="C116" s="2" t="s">
        <v>35</v>
      </c>
      <c r="D116" s="2" t="s">
        <v>36</v>
      </c>
      <c r="E116" s="10"/>
      <c r="F116" s="10"/>
      <c r="G116" s="10"/>
      <c r="H116" s="69"/>
      <c r="I116" s="7"/>
      <c r="J116" s="7"/>
      <c r="K116" s="7"/>
      <c r="N116" s="10"/>
      <c r="O116" s="10"/>
      <c r="P116" s="10"/>
      <c r="Q116" s="10"/>
      <c r="R116" s="10"/>
    </row>
    <row r="117" spans="1:18" x14ac:dyDescent="0.35">
      <c r="A117" s="7"/>
      <c r="B117" s="64" t="s">
        <v>166</v>
      </c>
      <c r="C117" s="53" t="e">
        <f>D43/D44</f>
        <v>#VALUE!</v>
      </c>
      <c r="D117" s="212" t="e">
        <f>_xlfn.T.INV.2T(0.05,D46)</f>
        <v>#VALUE!</v>
      </c>
      <c r="E117" s="67"/>
      <c r="F117" s="10"/>
      <c r="G117" s="10"/>
      <c r="H117" s="69"/>
      <c r="I117" s="7"/>
      <c r="J117" s="7"/>
      <c r="K117" s="7"/>
      <c r="N117" s="10"/>
      <c r="O117" s="10"/>
      <c r="P117" s="10"/>
      <c r="Q117" s="10"/>
      <c r="R117" s="10"/>
    </row>
    <row r="118" spans="1:18" x14ac:dyDescent="0.35">
      <c r="A118" s="7"/>
      <c r="B118" s="64" t="s">
        <v>172</v>
      </c>
      <c r="C118" s="53" t="e">
        <f>J43/J44</f>
        <v>#VALUE!</v>
      </c>
      <c r="D118" s="213"/>
      <c r="E118" s="67"/>
      <c r="F118" s="10"/>
      <c r="G118" s="10"/>
      <c r="H118" s="10"/>
      <c r="I118" s="7"/>
      <c r="J118" s="7"/>
      <c r="K118" s="7"/>
      <c r="N118" s="10"/>
      <c r="O118" s="10"/>
      <c r="P118" s="10"/>
      <c r="Q118" s="10"/>
      <c r="R118" s="10"/>
    </row>
    <row r="119" spans="1:18" x14ac:dyDescent="0.35">
      <c r="A119" s="7"/>
      <c r="B119" s="67" t="s">
        <v>174</v>
      </c>
      <c r="C119" s="7"/>
      <c r="D119" s="7"/>
      <c r="E119" s="7"/>
      <c r="F119" s="7"/>
      <c r="G119" s="7"/>
      <c r="H119" s="7"/>
      <c r="I119" s="7"/>
      <c r="J119" s="7"/>
      <c r="K119" s="7"/>
      <c r="N119" s="10"/>
      <c r="O119" s="10"/>
      <c r="P119" s="10"/>
      <c r="Q119" s="10"/>
      <c r="R119" s="10"/>
    </row>
    <row r="120" spans="1:18" x14ac:dyDescent="0.35">
      <c r="A120" s="7"/>
      <c r="B120" s="14"/>
      <c r="C120" s="7"/>
      <c r="D120" s="7"/>
      <c r="E120" s="7"/>
      <c r="F120" s="7"/>
      <c r="G120" s="7"/>
      <c r="H120" s="7"/>
      <c r="I120" s="7"/>
      <c r="J120" s="7"/>
      <c r="K120" s="7"/>
      <c r="N120" s="10"/>
      <c r="O120" s="10"/>
      <c r="P120" s="10"/>
      <c r="Q120" s="10"/>
      <c r="R120" s="10"/>
    </row>
    <row r="121" spans="1:18" x14ac:dyDescent="0.35">
      <c r="A121" s="7"/>
      <c r="B121" s="11" t="s">
        <v>175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3"/>
      <c r="N121" s="10"/>
      <c r="O121" s="10"/>
      <c r="P121" s="10"/>
      <c r="Q121" s="10"/>
      <c r="R121" s="10"/>
    </row>
    <row r="122" spans="1:18" x14ac:dyDescent="0.35">
      <c r="A122" s="7"/>
      <c r="B122" s="14" t="s">
        <v>176</v>
      </c>
      <c r="C122" s="7"/>
      <c r="D122" s="7"/>
      <c r="E122" s="7"/>
      <c r="F122" s="7"/>
      <c r="G122" s="7"/>
      <c r="H122" s="7"/>
      <c r="I122" s="7"/>
      <c r="J122" s="7"/>
      <c r="K122" s="7"/>
      <c r="N122" s="10"/>
      <c r="O122" s="10"/>
      <c r="P122" s="10"/>
      <c r="Q122" s="10"/>
      <c r="R122" s="10"/>
    </row>
    <row r="123" spans="1:18" x14ac:dyDescent="0.35">
      <c r="A123" s="7"/>
      <c r="B123" s="14" t="s">
        <v>177</v>
      </c>
      <c r="C123" s="7"/>
      <c r="D123" s="7"/>
      <c r="E123" s="7"/>
      <c r="F123" s="7"/>
      <c r="G123" s="7"/>
      <c r="H123" s="7"/>
      <c r="I123" s="7"/>
      <c r="J123" s="7"/>
      <c r="K123" s="7"/>
      <c r="N123" s="10"/>
      <c r="O123" s="10"/>
      <c r="P123" s="10"/>
      <c r="Q123" s="10"/>
      <c r="R123" s="10"/>
    </row>
    <row r="124" spans="1:18" x14ac:dyDescent="0.35">
      <c r="A124" s="7"/>
      <c r="B124" s="14"/>
      <c r="C124" s="7"/>
      <c r="D124" s="7"/>
      <c r="E124" s="7"/>
      <c r="F124" s="7"/>
      <c r="G124" s="7"/>
      <c r="H124" s="7"/>
      <c r="I124" s="7"/>
      <c r="J124" s="7"/>
      <c r="K124" s="7"/>
      <c r="N124" s="10"/>
      <c r="O124" s="10"/>
      <c r="P124" s="10"/>
      <c r="Q124" s="10"/>
      <c r="R124" s="10"/>
    </row>
    <row r="125" spans="1:18" x14ac:dyDescent="0.35">
      <c r="A125" s="7"/>
      <c r="B125" s="206" t="s">
        <v>50</v>
      </c>
      <c r="C125" s="206"/>
      <c r="D125" s="206"/>
      <c r="E125" s="24" t="s">
        <v>37</v>
      </c>
      <c r="F125" s="45" t="s">
        <v>178</v>
      </c>
      <c r="G125" s="70" t="s">
        <v>39</v>
      </c>
      <c r="H125" s="7"/>
      <c r="I125" s="14" t="s">
        <v>16</v>
      </c>
      <c r="J125" s="71" t="s">
        <v>40</v>
      </c>
      <c r="K125" s="7"/>
      <c r="N125" s="10"/>
      <c r="O125" s="10"/>
      <c r="P125" s="10"/>
      <c r="Q125" s="10"/>
      <c r="R125" s="10"/>
    </row>
    <row r="126" spans="1:18" x14ac:dyDescent="0.35">
      <c r="A126" s="7"/>
      <c r="E126" s="24" t="s">
        <v>16</v>
      </c>
      <c r="F126" s="2" t="s">
        <v>1</v>
      </c>
      <c r="G126" s="72" t="e">
        <f>E32/D32</f>
        <v>#DIV/0!</v>
      </c>
      <c r="H126" s="73"/>
      <c r="I126" s="74" t="s">
        <v>4</v>
      </c>
      <c r="J126" s="72" t="e">
        <f>C43</f>
        <v>#VALUE!</v>
      </c>
      <c r="K126" s="7"/>
      <c r="N126" s="10"/>
      <c r="O126" s="10"/>
      <c r="P126" s="10"/>
      <c r="Q126" s="10"/>
      <c r="R126" s="10"/>
    </row>
    <row r="127" spans="1:18" x14ac:dyDescent="0.35">
      <c r="A127" s="75"/>
      <c r="B127" s="76" t="s">
        <v>201</v>
      </c>
      <c r="C127" s="77" t="s">
        <v>37</v>
      </c>
      <c r="F127" s="2" t="s">
        <v>2</v>
      </c>
      <c r="G127" s="72" t="e">
        <f t="shared" ref="G127:G128" si="15">E33/D33</f>
        <v>#DIV/0!</v>
      </c>
      <c r="H127" s="78"/>
      <c r="I127" s="74" t="s">
        <v>38</v>
      </c>
      <c r="J127" s="72" t="e">
        <f>D43</f>
        <v>#VALUE!</v>
      </c>
      <c r="N127" s="10"/>
      <c r="O127" s="10"/>
      <c r="P127" s="10"/>
      <c r="Q127" s="10"/>
      <c r="R127" s="10"/>
    </row>
    <row r="128" spans="1:18" x14ac:dyDescent="0.35">
      <c r="A128" s="9"/>
      <c r="B128" s="8"/>
      <c r="C128" s="9"/>
      <c r="D128" s="9"/>
      <c r="E128" s="9"/>
      <c r="F128" s="2" t="s">
        <v>3</v>
      </c>
      <c r="G128" s="72" t="e">
        <f t="shared" si="15"/>
        <v>#DIV/0!</v>
      </c>
      <c r="H128" s="79"/>
      <c r="I128" s="79"/>
      <c r="J128" s="79"/>
      <c r="K128" s="9"/>
      <c r="L128" s="10"/>
      <c r="N128" s="10"/>
      <c r="O128" s="10"/>
      <c r="P128" s="10"/>
      <c r="Q128" s="10"/>
      <c r="R128" s="10"/>
    </row>
    <row r="129" spans="1:18" x14ac:dyDescent="0.35">
      <c r="A129" s="9"/>
      <c r="N129" s="10"/>
      <c r="O129" s="10"/>
      <c r="P129" s="10"/>
      <c r="Q129" s="10"/>
      <c r="R129" s="10"/>
    </row>
    <row r="130" spans="1:18" x14ac:dyDescent="0.35">
      <c r="A130" s="9"/>
      <c r="B130" s="1" t="s">
        <v>179</v>
      </c>
      <c r="N130" s="10"/>
      <c r="O130" s="10"/>
      <c r="P130" s="10"/>
      <c r="Q130" s="10"/>
      <c r="R130" s="10"/>
    </row>
    <row r="131" spans="1:18" x14ac:dyDescent="0.35">
      <c r="A131" s="9"/>
      <c r="B131" s="1" t="s">
        <v>180</v>
      </c>
      <c r="N131" s="10"/>
      <c r="O131" s="10"/>
      <c r="P131" s="10"/>
      <c r="Q131" s="10"/>
      <c r="R131" s="10"/>
    </row>
    <row r="132" spans="1:18" x14ac:dyDescent="0.35">
      <c r="A132" s="9"/>
      <c r="N132" s="10"/>
      <c r="O132" s="10"/>
      <c r="P132" s="10"/>
      <c r="Q132" s="10"/>
      <c r="R132" s="10"/>
    </row>
    <row r="133" spans="1:18" x14ac:dyDescent="0.35">
      <c r="A133" s="9"/>
      <c r="N133" s="10"/>
      <c r="O133" s="10"/>
      <c r="P133" s="10"/>
      <c r="Q133" s="10"/>
      <c r="R133" s="10"/>
    </row>
    <row r="134" spans="1:18" x14ac:dyDescent="0.35">
      <c r="A134" s="9"/>
      <c r="N134" s="10"/>
      <c r="O134" s="10"/>
      <c r="P134" s="10"/>
      <c r="Q134" s="10"/>
      <c r="R134" s="10"/>
    </row>
    <row r="135" spans="1:18" x14ac:dyDescent="0.35">
      <c r="A135" s="9"/>
      <c r="N135" s="10"/>
      <c r="O135" s="10"/>
      <c r="P135" s="10"/>
      <c r="Q135" s="10"/>
      <c r="R135" s="10"/>
    </row>
    <row r="136" spans="1:18" x14ac:dyDescent="0.35">
      <c r="A136" s="9"/>
      <c r="N136" s="10"/>
      <c r="O136" s="10"/>
      <c r="P136" s="10"/>
      <c r="Q136" s="10"/>
      <c r="R136" s="10"/>
    </row>
    <row r="137" spans="1:18" x14ac:dyDescent="0.35">
      <c r="A137" s="9"/>
      <c r="N137" s="10"/>
      <c r="O137" s="10"/>
      <c r="P137" s="10"/>
      <c r="Q137" s="10"/>
      <c r="R137" s="10"/>
    </row>
    <row r="138" spans="1:18" x14ac:dyDescent="0.35">
      <c r="A138" s="9"/>
      <c r="N138" s="10"/>
      <c r="O138" s="10"/>
      <c r="P138" s="10"/>
      <c r="Q138" s="10"/>
      <c r="R138" s="10"/>
    </row>
    <row r="139" spans="1:18" x14ac:dyDescent="0.35">
      <c r="A139" s="9"/>
      <c r="N139" s="10"/>
      <c r="O139" s="10"/>
      <c r="P139" s="10"/>
      <c r="Q139" s="10"/>
      <c r="R139" s="10"/>
    </row>
    <row r="140" spans="1:18" x14ac:dyDescent="0.35">
      <c r="A140" s="9"/>
      <c r="N140" s="10"/>
      <c r="O140" s="10"/>
      <c r="P140" s="10"/>
      <c r="Q140" s="10"/>
      <c r="R140" s="10"/>
    </row>
    <row r="141" spans="1:18" x14ac:dyDescent="0.35">
      <c r="A141" s="9"/>
      <c r="N141" s="10"/>
      <c r="O141" s="10"/>
      <c r="P141" s="10"/>
      <c r="Q141" s="10"/>
      <c r="R141" s="10"/>
    </row>
    <row r="142" spans="1:18" x14ac:dyDescent="0.35">
      <c r="A142" s="9"/>
      <c r="N142" s="10"/>
      <c r="O142" s="10"/>
      <c r="P142" s="10"/>
      <c r="Q142" s="10"/>
      <c r="R142" s="10"/>
    </row>
    <row r="143" spans="1:18" x14ac:dyDescent="0.35">
      <c r="A143" s="9"/>
      <c r="N143" s="10"/>
      <c r="O143" s="10"/>
      <c r="P143" s="10"/>
      <c r="Q143" s="10"/>
      <c r="R143" s="10"/>
    </row>
    <row r="144" spans="1:18" x14ac:dyDescent="0.35">
      <c r="A144" s="9"/>
      <c r="N144" s="10"/>
      <c r="O144" s="10"/>
      <c r="P144" s="10"/>
      <c r="Q144" s="10"/>
      <c r="R144" s="10"/>
    </row>
    <row r="145" spans="1:18" x14ac:dyDescent="0.35">
      <c r="A145" s="9"/>
      <c r="N145" s="10"/>
      <c r="O145" s="10"/>
      <c r="P145" s="10"/>
      <c r="Q145" s="10"/>
      <c r="R145" s="10"/>
    </row>
    <row r="146" spans="1:18" x14ac:dyDescent="0.35">
      <c r="A146" s="9"/>
      <c r="N146" s="10"/>
      <c r="O146" s="10"/>
      <c r="P146" s="10"/>
      <c r="Q146" s="10"/>
      <c r="R146" s="10"/>
    </row>
    <row r="147" spans="1:18" x14ac:dyDescent="0.35">
      <c r="A147" s="9"/>
      <c r="N147" s="10"/>
      <c r="O147" s="10"/>
      <c r="P147" s="10"/>
      <c r="Q147" s="10"/>
      <c r="R147" s="10"/>
    </row>
    <row r="148" spans="1:18" x14ac:dyDescent="0.35">
      <c r="A148" s="9"/>
      <c r="M148" s="7"/>
      <c r="N148" s="10"/>
      <c r="O148" s="10"/>
      <c r="P148" s="10"/>
      <c r="Q148" s="80"/>
      <c r="R148" s="80"/>
    </row>
    <row r="149" spans="1:18" x14ac:dyDescent="0.35">
      <c r="A149" s="9"/>
      <c r="M149" s="7"/>
      <c r="N149" s="10"/>
      <c r="O149" s="10"/>
      <c r="P149" s="10"/>
      <c r="Q149" s="80"/>
      <c r="R149" s="80"/>
    </row>
    <row r="150" spans="1:18" x14ac:dyDescent="0.35">
      <c r="A150" s="7"/>
      <c r="M150" s="7"/>
      <c r="N150" s="10"/>
      <c r="O150" s="10"/>
      <c r="P150" s="10"/>
      <c r="Q150" s="80"/>
      <c r="R150" s="80"/>
    </row>
    <row r="151" spans="1:18" x14ac:dyDescent="0.35">
      <c r="M151" s="7"/>
    </row>
    <row r="152" spans="1:18" ht="16" customHeight="1" x14ac:dyDescent="0.35">
      <c r="M152" s="7"/>
    </row>
    <row r="153" spans="1:18" x14ac:dyDescent="0.35">
      <c r="A153" s="9"/>
      <c r="M153" s="7"/>
    </row>
    <row r="154" spans="1:18" x14ac:dyDescent="0.35">
      <c r="A154" s="9"/>
      <c r="M154" s="7"/>
    </row>
    <row r="155" spans="1:18" x14ac:dyDescent="0.35">
      <c r="A155" s="9"/>
      <c r="M155" s="7"/>
    </row>
    <row r="156" spans="1:18" x14ac:dyDescent="0.35">
      <c r="A156" s="9"/>
      <c r="M156" s="7"/>
    </row>
    <row r="157" spans="1:18" x14ac:dyDescent="0.35">
      <c r="A157" s="9"/>
      <c r="M157" s="7"/>
    </row>
    <row r="158" spans="1:18" x14ac:dyDescent="0.35">
      <c r="A158" s="9"/>
      <c r="M158" s="7"/>
    </row>
    <row r="159" spans="1:18" x14ac:dyDescent="0.35">
      <c r="A159" s="9"/>
      <c r="M159" s="7"/>
    </row>
    <row r="160" spans="1:18" x14ac:dyDescent="0.35">
      <c r="A160" s="9"/>
      <c r="M160" s="7"/>
    </row>
    <row r="161" spans="1:13" x14ac:dyDescent="0.35">
      <c r="A161" s="9"/>
      <c r="M161" s="7"/>
    </row>
    <row r="162" spans="1:13" x14ac:dyDescent="0.35">
      <c r="A162" s="9"/>
      <c r="M162" s="7"/>
    </row>
    <row r="163" spans="1:13" x14ac:dyDescent="0.35">
      <c r="A163" s="9"/>
      <c r="M163" s="7"/>
    </row>
    <row r="164" spans="1:13" x14ac:dyDescent="0.35">
      <c r="A164" s="9"/>
      <c r="M164" s="7"/>
    </row>
    <row r="165" spans="1:13" x14ac:dyDescent="0.35">
      <c r="A165" s="9"/>
      <c r="M165" s="7"/>
    </row>
    <row r="166" spans="1:13" x14ac:dyDescent="0.35">
      <c r="A166" s="9"/>
      <c r="M166" s="7"/>
    </row>
    <row r="167" spans="1:13" x14ac:dyDescent="0.35">
      <c r="A167" s="9"/>
      <c r="M167" s="7"/>
    </row>
    <row r="168" spans="1:13" x14ac:dyDescent="0.35">
      <c r="A168" s="9"/>
      <c r="B168" s="81"/>
      <c r="C168" s="66"/>
      <c r="D168" s="9"/>
      <c r="E168" s="65"/>
      <c r="F168" s="66"/>
      <c r="G168" s="82"/>
      <c r="H168" s="9"/>
      <c r="I168" s="9"/>
      <c r="J168" s="83"/>
      <c r="K168" s="83"/>
      <c r="L168" s="7"/>
      <c r="M168" s="7"/>
    </row>
    <row r="169" spans="1:13" x14ac:dyDescent="0.35">
      <c r="A169" s="9"/>
      <c r="M169" s="7"/>
    </row>
    <row r="170" spans="1:13" x14ac:dyDescent="0.35">
      <c r="A170" s="9"/>
      <c r="M170" s="7"/>
    </row>
  </sheetData>
  <sheetProtection algorithmName="SHA-512" hashValue="QHZpbsXtTUWH7Lb22OoIZW01Mzh6A8JNS4sMosy+Px+tfEhzIX6a0Y6Ns1mH6XCnD9nV3YzgNh2w6HDh3vbycQ==" saltValue="yOrWwCc/5XPOcZkFaX1NQA==" spinCount="100000" sheet="1" objects="1" scenarios="1"/>
  <protectedRanges>
    <protectedRange sqref="D6:E20 J6:K20 L12:P14 C127" name="Plage1"/>
  </protectedRanges>
  <mergeCells count="48">
    <mergeCell ref="H26:H28"/>
    <mergeCell ref="H29:H31"/>
    <mergeCell ref="H32:H34"/>
    <mergeCell ref="H35:H37"/>
    <mergeCell ref="H38:H40"/>
    <mergeCell ref="R36:R38"/>
    <mergeCell ref="R39:R41"/>
    <mergeCell ref="R27:R29"/>
    <mergeCell ref="R30:R32"/>
    <mergeCell ref="R33:R35"/>
    <mergeCell ref="F35:F37"/>
    <mergeCell ref="F38:F40"/>
    <mergeCell ref="B35:B37"/>
    <mergeCell ref="B38:B40"/>
    <mergeCell ref="F29:F31"/>
    <mergeCell ref="F32:F34"/>
    <mergeCell ref="F26:F28"/>
    <mergeCell ref="E105:E106"/>
    <mergeCell ref="H105:H106"/>
    <mergeCell ref="E111:E112"/>
    <mergeCell ref="B6:B8"/>
    <mergeCell ref="B9:B11"/>
    <mergeCell ref="B12:B14"/>
    <mergeCell ref="B15:B17"/>
    <mergeCell ref="B18:B20"/>
    <mergeCell ref="H6:H8"/>
    <mergeCell ref="H9:H11"/>
    <mergeCell ref="H12:H14"/>
    <mergeCell ref="H15:H17"/>
    <mergeCell ref="H18:H20"/>
    <mergeCell ref="B29:B31"/>
    <mergeCell ref="B32:B34"/>
    <mergeCell ref="M76:P76"/>
    <mergeCell ref="G100:G101"/>
    <mergeCell ref="B125:D125"/>
    <mergeCell ref="F105:F106"/>
    <mergeCell ref="B26:B28"/>
    <mergeCell ref="C111:C112"/>
    <mergeCell ref="D111:D112"/>
    <mergeCell ref="D117:D118"/>
    <mergeCell ref="G105:G106"/>
    <mergeCell ref="B76:E76"/>
    <mergeCell ref="F76:K76"/>
    <mergeCell ref="B86:E86"/>
    <mergeCell ref="F86:K86"/>
    <mergeCell ref="E100:E101"/>
    <mergeCell ref="F100:F101"/>
    <mergeCell ref="C105:C106"/>
  </mergeCells>
  <conditionalFormatting sqref="I83">
    <cfRule type="cellIs" dxfId="44" priority="32" operator="lessThan">
      <formula>$J$83</formula>
    </cfRule>
    <cfRule type="cellIs" dxfId="43" priority="34" operator="greaterThan">
      <formula>$J$83</formula>
    </cfRule>
    <cfRule type="cellIs" dxfId="42" priority="35" operator="lessThan">
      <formula>$J$83</formula>
    </cfRule>
    <cfRule type="cellIs" dxfId="41" priority="36" operator="lessThan">
      <formula>$J$83</formula>
    </cfRule>
  </conditionalFormatting>
  <conditionalFormatting sqref="I93">
    <cfRule type="cellIs" dxfId="40" priority="31" operator="lessThan">
      <formula>$J$93</formula>
    </cfRule>
    <cfRule type="cellIs" dxfId="39" priority="33" operator="greaterThan">
      <formula>$J$93</formula>
    </cfRule>
  </conditionalFormatting>
  <conditionalFormatting sqref="E100:E101">
    <cfRule type="cellIs" dxfId="38" priority="29" operator="greaterThan">
      <formula>$F$100</formula>
    </cfRule>
    <cfRule type="cellIs" dxfId="37" priority="30" operator="lessThan">
      <formula>$F$100</formula>
    </cfRule>
  </conditionalFormatting>
  <conditionalFormatting sqref="C111:C112">
    <cfRule type="cellIs" dxfId="36" priority="6" operator="between">
      <formula>-$D$111</formula>
      <formula>$D$111</formula>
    </cfRule>
    <cfRule type="cellIs" dxfId="35" priority="24" operator="lessThan">
      <formula>$D$111</formula>
    </cfRule>
    <cfRule type="cellIs" dxfId="34" priority="25" operator="greaterThan">
      <formula>0</formula>
    </cfRule>
    <cfRule type="cellIs" dxfId="33" priority="26" operator="greaterThan">
      <formula>$D$111</formula>
    </cfRule>
  </conditionalFormatting>
  <conditionalFormatting sqref="C117:C118">
    <cfRule type="cellIs" dxfId="32" priority="5" operator="between">
      <formula>-$D$117</formula>
      <formula>$D$117</formula>
    </cfRule>
    <cfRule type="cellIs" dxfId="31" priority="22" operator="lessThan">
      <formula>$D$117</formula>
    </cfRule>
    <cfRule type="cellIs" dxfId="30" priority="23" operator="greaterThan">
      <formula>$D$117</formula>
    </cfRule>
  </conditionalFormatting>
  <conditionalFormatting sqref="F105:F106">
    <cfRule type="cellIs" dxfId="29" priority="1" operator="greaterThan">
      <formula>$G$105</formula>
    </cfRule>
    <cfRule type="cellIs" dxfId="28" priority="2" operator="lessThan">
      <formula>-$G$105</formula>
    </cfRule>
    <cfRule type="cellIs" dxfId="27" priority="3" operator="between">
      <formula>-$G$105</formula>
      <formula>$G$105</formula>
    </cfRule>
  </conditionalFormatting>
  <conditionalFormatting sqref="C69">
    <cfRule type="cellIs" dxfId="26" priority="62" operator="lessThan">
      <formula>$F$69</formula>
    </cfRule>
    <cfRule type="cellIs" dxfId="25" priority="63" operator="greaterThan">
      <formula>$F$70</formula>
    </cfRule>
    <cfRule type="cellIs" dxfId="24" priority="64" operator="greaterThan">
      <formula>$F$69</formula>
    </cfRule>
  </conditionalFormatting>
  <conditionalFormatting sqref="C71">
    <cfRule type="cellIs" dxfId="23" priority="65" operator="greaterThan">
      <formula>$F$70</formula>
    </cfRule>
    <cfRule type="cellIs" dxfId="22" priority="66" operator="greaterThan">
      <formula>$F$69</formula>
    </cfRule>
    <cfRule type="cellIs" dxfId="21" priority="67" operator="lessThan">
      <formula>$F$69</formula>
    </cfRule>
  </conditionalFormatting>
  <dataValidations count="1">
    <dataValidation type="list" allowBlank="1" showInputMessage="1" showErrorMessage="1" sqref="C127">
      <formula1>$E$125:$E$126</formula1>
    </dataValidation>
  </dataValidations>
  <pageMargins left="0.19685039370078741" right="0.19685039370078741" top="0.39370078740157483" bottom="0.39370078740157483" header="0.19685039370078741" footer="0.19685039370078741"/>
  <pageSetup paperSize="9" scale="90" fitToHeight="4" orientation="portrait" horizontalDpi="300" verticalDpi="300" r:id="rId1"/>
  <headerFooter>
    <oddHeader>&amp;F</oddHeader>
    <oddFooter>Page &amp;P</oddFooter>
  </headerFooter>
  <ignoredErrors>
    <ignoredError sqref="D26:D28 J26:J28" formulaRange="1"/>
    <ignoredError sqref="D29:D38 J29:J38" formula="1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B2:Y40"/>
  <sheetViews>
    <sheetView showGridLines="0" zoomScale="55" zoomScaleNormal="55" workbookViewId="0">
      <selection activeCell="L27" sqref="L27"/>
    </sheetView>
  </sheetViews>
  <sheetFormatPr baseColWidth="10" defaultColWidth="11.453125" defaultRowHeight="14.5" x14ac:dyDescent="0.35"/>
  <cols>
    <col min="1" max="1" width="11.453125" style="1"/>
    <col min="2" max="2" width="9" style="1" customWidth="1"/>
    <col min="3" max="4" width="11.453125" style="1"/>
    <col min="5" max="5" width="11.54296875" style="1" customWidth="1"/>
    <col min="6" max="9" width="11.453125" style="1"/>
    <col min="10" max="10" width="3.1796875" style="1" customWidth="1"/>
    <col min="11" max="11" width="12.1796875" style="1" customWidth="1"/>
    <col min="12" max="19" width="11.453125" style="1"/>
    <col min="20" max="20" width="13.1796875" style="1" customWidth="1"/>
    <col min="21" max="16384" width="11.453125" style="1"/>
  </cols>
  <sheetData>
    <row r="2" spans="2:20" x14ac:dyDescent="0.35">
      <c r="B2" s="11" t="s">
        <v>110</v>
      </c>
      <c r="C2" s="12"/>
      <c r="D2" s="12"/>
      <c r="E2" s="12"/>
      <c r="F2" s="12"/>
      <c r="G2" s="12"/>
      <c r="H2" s="12"/>
      <c r="I2" s="12"/>
      <c r="J2" s="9"/>
      <c r="K2" s="11" t="s">
        <v>119</v>
      </c>
      <c r="L2" s="12"/>
      <c r="M2" s="12"/>
      <c r="O2" s="11" t="s">
        <v>135</v>
      </c>
      <c r="P2" s="12"/>
    </row>
    <row r="3" spans="2:20" x14ac:dyDescent="0.35">
      <c r="B3" s="8"/>
      <c r="C3" s="9"/>
      <c r="D3" s="9"/>
      <c r="E3" s="9"/>
      <c r="F3" s="9"/>
      <c r="G3" s="9"/>
      <c r="H3" s="9"/>
      <c r="I3" s="9"/>
      <c r="J3" s="9"/>
    </row>
    <row r="4" spans="2:20" x14ac:dyDescent="0.35">
      <c r="B4" s="2" t="s">
        <v>146</v>
      </c>
      <c r="C4" s="2" t="s">
        <v>124</v>
      </c>
      <c r="D4" s="2" t="s">
        <v>18</v>
      </c>
      <c r="E4" s="2" t="s">
        <v>19</v>
      </c>
      <c r="F4" s="2" t="s">
        <v>41</v>
      </c>
      <c r="G4" s="2" t="s">
        <v>42</v>
      </c>
      <c r="H4" s="2" t="s">
        <v>147</v>
      </c>
      <c r="I4" s="2" t="s">
        <v>21</v>
      </c>
      <c r="J4" s="9"/>
      <c r="K4" s="2" t="s">
        <v>23</v>
      </c>
      <c r="L4" s="4" t="e">
        <f>MAX(I5:I19)/SUM(I5:I19)</f>
        <v>#DIV/0!</v>
      </c>
      <c r="P4" s="2" t="s">
        <v>137</v>
      </c>
      <c r="Q4" s="2" t="s">
        <v>136</v>
      </c>
      <c r="S4" s="1" t="s">
        <v>186</v>
      </c>
    </row>
    <row r="5" spans="2:20" x14ac:dyDescent="0.35">
      <c r="B5" s="209">
        <v>0.8</v>
      </c>
      <c r="C5" s="15">
        <v>1</v>
      </c>
      <c r="D5" s="84" t="e">
        <f>linéarité!J26</f>
        <v>#DIV/0!</v>
      </c>
      <c r="E5" s="85" t="e">
        <f>linéarité!K26</f>
        <v>#DIV/0!</v>
      </c>
      <c r="F5" s="3" t="e">
        <f>IF(linéarité!C$127="étalon 100%",E5/linéarité!G$126,(E5-linéarité!$J$127)/linéarité!$J$126)</f>
        <v>#DIV/0!</v>
      </c>
      <c r="G5" s="86" t="e">
        <f>F5/D5</f>
        <v>#DIV/0!</v>
      </c>
      <c r="H5" s="226" t="e">
        <f>AVERAGE(G5:G7)</f>
        <v>#DIV/0!</v>
      </c>
      <c r="I5" s="235" t="e">
        <f>VAR(G5:G7)</f>
        <v>#DIV/0!</v>
      </c>
      <c r="J5" s="10"/>
      <c r="K5" s="2" t="s">
        <v>43</v>
      </c>
      <c r="L5" s="46">
        <f>linéarité!F69</f>
        <v>0.683772233983162</v>
      </c>
      <c r="O5" s="87">
        <v>0.8</v>
      </c>
      <c r="P5" s="4" t="e">
        <f>(MAX(G5:G7)-H5)/STDEV(G5:G7)</f>
        <v>#DIV/0!</v>
      </c>
      <c r="Q5" s="4" t="e">
        <f>(H5-MIN(G5:G7))/STDEV(G5:G7)</f>
        <v>#DIV/0!</v>
      </c>
      <c r="S5" s="1" t="s">
        <v>187</v>
      </c>
    </row>
    <row r="6" spans="2:20" x14ac:dyDescent="0.35">
      <c r="B6" s="210"/>
      <c r="C6" s="15">
        <v>2</v>
      </c>
      <c r="D6" s="84" t="e">
        <f>linéarité!J27</f>
        <v>#DIV/0!</v>
      </c>
      <c r="E6" s="85" t="e">
        <f>linéarité!K27</f>
        <v>#DIV/0!</v>
      </c>
      <c r="F6" s="3" t="e">
        <f>IF(linéarité!C$127="étalon 100%",E6/linéarité!G$127,(E6-linéarité!$J$127)/linéarité!$J$126)</f>
        <v>#DIV/0!</v>
      </c>
      <c r="G6" s="86" t="e">
        <f t="shared" ref="G6:G7" si="0">F6/D6</f>
        <v>#DIV/0!</v>
      </c>
      <c r="H6" s="227"/>
      <c r="I6" s="236"/>
      <c r="J6" s="10"/>
      <c r="K6" s="2" t="s">
        <v>44</v>
      </c>
      <c r="L6" s="46">
        <f>linéarité!F70</f>
        <v>0.78852574731188707</v>
      </c>
      <c r="O6" s="87">
        <v>0.9</v>
      </c>
      <c r="P6" s="4" t="e">
        <f>(MAX(G8:G10)-H8)/STDEV(G8:G10)</f>
        <v>#DIV/0!</v>
      </c>
      <c r="Q6" s="4" t="e">
        <f>(MAX(G8:G10)-H8)/STDEV(G8:G10)</f>
        <v>#DIV/0!</v>
      </c>
    </row>
    <row r="7" spans="2:20" x14ac:dyDescent="0.35">
      <c r="B7" s="211"/>
      <c r="C7" s="15">
        <v>3</v>
      </c>
      <c r="D7" s="84" t="e">
        <f>linéarité!J28</f>
        <v>#DIV/0!</v>
      </c>
      <c r="E7" s="85" t="e">
        <f>linéarité!K28</f>
        <v>#DIV/0!</v>
      </c>
      <c r="F7" s="3" t="e">
        <f>IF(linéarité!C$127="étalon 100%",E7/linéarité!G$128,(E7-linéarité!$J$127)/linéarité!$J$126)</f>
        <v>#DIV/0!</v>
      </c>
      <c r="G7" s="86" t="e">
        <f t="shared" si="0"/>
        <v>#DIV/0!</v>
      </c>
      <c r="H7" s="228"/>
      <c r="I7" s="237"/>
      <c r="J7" s="10"/>
      <c r="O7" s="87">
        <v>1</v>
      </c>
      <c r="P7" s="4" t="e">
        <f>(MAX(G11:G13)-H11)/STDEV(G11:G13)</f>
        <v>#DIV/0!</v>
      </c>
      <c r="Q7" s="4" t="e">
        <f>(MAX(G11:G13)-H11)/STDEV(G11:G13)</f>
        <v>#DIV/0!</v>
      </c>
    </row>
    <row r="8" spans="2:20" x14ac:dyDescent="0.35">
      <c r="B8" s="222">
        <v>0.9</v>
      </c>
      <c r="C8" s="18">
        <v>1</v>
      </c>
      <c r="D8" s="88" t="e">
        <f>linéarité!J29</f>
        <v>#DIV/0!</v>
      </c>
      <c r="E8" s="89" t="e">
        <f>linéarité!K29</f>
        <v>#DIV/0!</v>
      </c>
      <c r="F8" s="4" t="e">
        <f>IF(linéarité!C$127="étalon 100%",E8/linéarité!G$126,(E8-linéarité!$J$127)/linéarité!$J$126)</f>
        <v>#DIV/0!</v>
      </c>
      <c r="G8" s="90" t="e">
        <f t="shared" ref="G8:G19" si="1">F8/D8</f>
        <v>#DIV/0!</v>
      </c>
      <c r="H8" s="229" t="e">
        <f>AVERAGE(G8:G10)</f>
        <v>#DIV/0!</v>
      </c>
      <c r="I8" s="238" t="e">
        <f t="shared" ref="I8" si="2">VAR(G8:G10)</f>
        <v>#DIV/0!</v>
      </c>
      <c r="J8" s="10"/>
      <c r="K8" s="11" t="s">
        <v>91</v>
      </c>
      <c r="L8" s="12"/>
      <c r="M8" s="12"/>
      <c r="O8" s="87">
        <v>1.1000000000000001</v>
      </c>
      <c r="P8" s="4" t="e">
        <f>(MAX(G14:G16)-H14)/STDEV(G14:G16)</f>
        <v>#DIV/0!</v>
      </c>
      <c r="Q8" s="4" t="e">
        <f>(MAX(G14:G16)-H14)/STDEV(G14:G16)</f>
        <v>#DIV/0!</v>
      </c>
    </row>
    <row r="9" spans="2:20" x14ac:dyDescent="0.35">
      <c r="B9" s="223"/>
      <c r="C9" s="18">
        <v>2</v>
      </c>
      <c r="D9" s="88" t="e">
        <f>linéarité!J30</f>
        <v>#DIV/0!</v>
      </c>
      <c r="E9" s="89" t="e">
        <f>linéarité!K30</f>
        <v>#DIV/0!</v>
      </c>
      <c r="F9" s="4" t="e">
        <f>IF(linéarité!C$127="étalon 100%",E9/linéarité!G$127,(E9-linéarité!$J$127)/linéarité!$J$126)</f>
        <v>#DIV/0!</v>
      </c>
      <c r="G9" s="90" t="e">
        <f t="shared" si="1"/>
        <v>#DIV/0!</v>
      </c>
      <c r="H9" s="230"/>
      <c r="I9" s="239"/>
      <c r="J9" s="10"/>
      <c r="O9" s="87">
        <v>1.2</v>
      </c>
      <c r="P9" s="4" t="e">
        <f>(MAX(G17:G19)-H17)/STDEV(G17:G19)</f>
        <v>#DIV/0!</v>
      </c>
      <c r="Q9" s="4" t="e">
        <f>(MAX(G17:G19)-H17)/STDEV(G17:G19)</f>
        <v>#DIV/0!</v>
      </c>
    </row>
    <row r="10" spans="2:20" x14ac:dyDescent="0.35">
      <c r="B10" s="224"/>
      <c r="C10" s="18">
        <v>3</v>
      </c>
      <c r="D10" s="88" t="e">
        <f>linéarité!J31</f>
        <v>#DIV/0!</v>
      </c>
      <c r="E10" s="89" t="e">
        <f>linéarité!K31</f>
        <v>#DIV/0!</v>
      </c>
      <c r="F10" s="4" t="e">
        <f>IF(linéarité!C$127="étalon 100%",E10/linéarité!G$128,(E10-linéarité!$J$127)/linéarité!$J$126)</f>
        <v>#DIV/0!</v>
      </c>
      <c r="G10" s="90" t="e">
        <f t="shared" si="1"/>
        <v>#DIV/0!</v>
      </c>
      <c r="H10" s="231"/>
      <c r="I10" s="240"/>
      <c r="J10" s="10"/>
      <c r="K10" s="2" t="s">
        <v>148</v>
      </c>
      <c r="L10" s="91" t="e">
        <f>AVERAGE(H5:H19)</f>
        <v>#DIV/0!</v>
      </c>
      <c r="M10" s="7"/>
      <c r="P10" s="2" t="s">
        <v>144</v>
      </c>
      <c r="Q10" s="18">
        <v>1.153</v>
      </c>
    </row>
    <row r="11" spans="2:20" x14ac:dyDescent="0.35">
      <c r="B11" s="209">
        <v>1</v>
      </c>
      <c r="C11" s="15">
        <v>1</v>
      </c>
      <c r="D11" s="84" t="e">
        <f>linéarité!J32</f>
        <v>#DIV/0!</v>
      </c>
      <c r="E11" s="85" t="e">
        <f>linéarité!K32</f>
        <v>#DIV/0!</v>
      </c>
      <c r="F11" s="3" t="e">
        <f>IF(linéarité!C$127="étalon 100%",E11/linéarité!G$126,(E11-linéarité!$J$127)/linéarité!$J$126)</f>
        <v>#DIV/0!</v>
      </c>
      <c r="G11" s="86" t="e">
        <f t="shared" si="1"/>
        <v>#DIV/0!</v>
      </c>
      <c r="H11" s="226" t="e">
        <f t="shared" ref="H11" si="3">AVERAGE(G11:G13)</f>
        <v>#DIV/0!</v>
      </c>
      <c r="I11" s="235" t="e">
        <f t="shared" ref="I11" si="4">VAR(G11:G13)</f>
        <v>#DIV/0!</v>
      </c>
      <c r="J11" s="10"/>
      <c r="K11" s="2" t="s">
        <v>149</v>
      </c>
      <c r="L11" s="46" t="e">
        <f>STDEV(G5:G19)</f>
        <v>#DIV/0!</v>
      </c>
      <c r="P11" s="2" t="s">
        <v>145</v>
      </c>
      <c r="Q11" s="18">
        <v>1.155</v>
      </c>
    </row>
    <row r="12" spans="2:20" x14ac:dyDescent="0.35">
      <c r="B12" s="210"/>
      <c r="C12" s="15">
        <v>2</v>
      </c>
      <c r="D12" s="84" t="e">
        <f>linéarité!J33</f>
        <v>#DIV/0!</v>
      </c>
      <c r="E12" s="85" t="e">
        <f>linéarité!K33</f>
        <v>#DIV/0!</v>
      </c>
      <c r="F12" s="3" t="e">
        <f>IF(linéarité!C$127="étalon 100%",E12/linéarité!G$127,(E12-linéarité!$J$127)/linéarité!$J$126)</f>
        <v>#DIV/0!</v>
      </c>
      <c r="G12" s="86" t="e">
        <f t="shared" si="1"/>
        <v>#DIV/0!</v>
      </c>
      <c r="H12" s="227"/>
      <c r="I12" s="236"/>
      <c r="J12" s="10"/>
      <c r="K12" s="2" t="s">
        <v>150</v>
      </c>
      <c r="L12" s="46">
        <f>TINV(0.05,14)</f>
        <v>2.1447866879178044</v>
      </c>
    </row>
    <row r="13" spans="2:20" x14ac:dyDescent="0.35">
      <c r="B13" s="211"/>
      <c r="C13" s="15">
        <v>3</v>
      </c>
      <c r="D13" s="84" t="e">
        <f>linéarité!J34</f>
        <v>#DIV/0!</v>
      </c>
      <c r="E13" s="85" t="e">
        <f>linéarité!K34</f>
        <v>#DIV/0!</v>
      </c>
      <c r="F13" s="3" t="e">
        <f>IF(linéarité!C$127="étalon 100%",E13/linéarité!G$128,(E13-linéarité!$J$127)/linéarité!$J$126)</f>
        <v>#DIV/0!</v>
      </c>
      <c r="G13" s="86" t="e">
        <f t="shared" si="1"/>
        <v>#DIV/0!</v>
      </c>
      <c r="H13" s="228"/>
      <c r="I13" s="237"/>
      <c r="J13" s="10"/>
      <c r="K13" s="2" t="s">
        <v>65</v>
      </c>
      <c r="L13" s="91" t="e">
        <f>L10-L12*L11/SQRT(15)</f>
        <v>#DIV/0!</v>
      </c>
    </row>
    <row r="14" spans="2:20" x14ac:dyDescent="0.35">
      <c r="B14" s="222">
        <v>1.1000000000000001</v>
      </c>
      <c r="C14" s="18">
        <v>1</v>
      </c>
      <c r="D14" s="88" t="e">
        <f>linéarité!J35</f>
        <v>#DIV/0!</v>
      </c>
      <c r="E14" s="89" t="e">
        <f>linéarité!K35</f>
        <v>#DIV/0!</v>
      </c>
      <c r="F14" s="4" t="e">
        <f>IF(linéarité!C$127="étalon 100%",E14/linéarité!G$126,(E14-linéarité!$J$127)/linéarité!$J$126)</f>
        <v>#DIV/0!</v>
      </c>
      <c r="G14" s="90" t="e">
        <f t="shared" si="1"/>
        <v>#DIV/0!</v>
      </c>
      <c r="H14" s="229" t="e">
        <f t="shared" ref="H14" si="5">AVERAGE(G14:G16)</f>
        <v>#DIV/0!</v>
      </c>
      <c r="I14" s="238" t="e">
        <f t="shared" ref="I14" si="6">VAR(G14:G16)</f>
        <v>#DIV/0!</v>
      </c>
      <c r="J14" s="10"/>
      <c r="K14" s="2" t="s">
        <v>66</v>
      </c>
      <c r="L14" s="92" t="e">
        <f>L10+L12*L11/SQRT(15)</f>
        <v>#DIV/0!</v>
      </c>
      <c r="M14" s="45"/>
    </row>
    <row r="15" spans="2:20" x14ac:dyDescent="0.35">
      <c r="B15" s="223"/>
      <c r="C15" s="18">
        <v>2</v>
      </c>
      <c r="D15" s="88" t="e">
        <f>linéarité!J36</f>
        <v>#DIV/0!</v>
      </c>
      <c r="E15" s="89" t="e">
        <f>linéarité!K36</f>
        <v>#DIV/0!</v>
      </c>
      <c r="F15" s="4" t="e">
        <f>IF(linéarité!C$127="étalon 100%",E15/linéarité!G$127,(E15-linéarité!$J$127)/linéarité!$J$126)</f>
        <v>#DIV/0!</v>
      </c>
      <c r="G15" s="90" t="e">
        <f t="shared" si="1"/>
        <v>#DIV/0!</v>
      </c>
      <c r="H15" s="230"/>
      <c r="I15" s="239"/>
      <c r="J15" s="10"/>
    </row>
    <row r="16" spans="2:20" x14ac:dyDescent="0.35">
      <c r="B16" s="224"/>
      <c r="C16" s="18">
        <v>3</v>
      </c>
      <c r="D16" s="88" t="e">
        <f>linéarité!J37</f>
        <v>#DIV/0!</v>
      </c>
      <c r="E16" s="89" t="e">
        <f>linéarité!K37</f>
        <v>#DIV/0!</v>
      </c>
      <c r="F16" s="4" t="e">
        <f>IF(linéarité!C$127="étalon 100%",E16/linéarité!G$128,(E16-linéarité!$J$127)/linéarité!$J$126)</f>
        <v>#DIV/0!</v>
      </c>
      <c r="G16" s="90" t="e">
        <f t="shared" si="1"/>
        <v>#DIV/0!</v>
      </c>
      <c r="H16" s="231"/>
      <c r="I16" s="240"/>
      <c r="J16" s="10"/>
      <c r="K16" s="93" t="s">
        <v>151</v>
      </c>
      <c r="L16" s="93"/>
      <c r="M16" s="93"/>
      <c r="N16" s="93"/>
      <c r="O16" s="93"/>
      <c r="P16" s="93"/>
      <c r="Q16" s="93"/>
      <c r="R16" s="93"/>
      <c r="S16" s="93"/>
      <c r="T16" s="93"/>
    </row>
    <row r="17" spans="2:25" x14ac:dyDescent="0.35">
      <c r="B17" s="209">
        <v>1.2</v>
      </c>
      <c r="C17" s="15">
        <v>1</v>
      </c>
      <c r="D17" s="84" t="e">
        <f>linéarité!J38</f>
        <v>#DIV/0!</v>
      </c>
      <c r="E17" s="85" t="e">
        <f>linéarité!K38</f>
        <v>#DIV/0!</v>
      </c>
      <c r="F17" s="3" t="e">
        <f>IF(linéarité!C$127="étalon 100%",E17/linéarité!G$126,(E17-linéarité!$J$127)/linéarité!$J$126)</f>
        <v>#DIV/0!</v>
      </c>
      <c r="G17" s="86" t="e">
        <f t="shared" si="1"/>
        <v>#DIV/0!</v>
      </c>
      <c r="H17" s="226" t="e">
        <f t="shared" ref="H17" si="7">AVERAGE(G17:G19)</f>
        <v>#DIV/0!</v>
      </c>
      <c r="I17" s="235" t="e">
        <f t="shared" ref="I17" si="8">VAR(G17:G19)</f>
        <v>#DIV/0!</v>
      </c>
      <c r="J17" s="10"/>
    </row>
    <row r="18" spans="2:25" x14ac:dyDescent="0.35">
      <c r="B18" s="210"/>
      <c r="C18" s="15">
        <v>2</v>
      </c>
      <c r="D18" s="84" t="e">
        <f>linéarité!J39</f>
        <v>#DIV/0!</v>
      </c>
      <c r="E18" s="85" t="e">
        <f>linéarité!K39</f>
        <v>#DIV/0!</v>
      </c>
      <c r="F18" s="3" t="e">
        <f>IF(linéarité!C$127="étalon 100%",E18/linéarité!G$127,(E18-linéarité!$J$127)/linéarité!$J$126)</f>
        <v>#DIV/0!</v>
      </c>
      <c r="G18" s="86" t="e">
        <f t="shared" si="1"/>
        <v>#DIV/0!</v>
      </c>
      <c r="H18" s="227"/>
      <c r="I18" s="236"/>
      <c r="J18" s="10"/>
      <c r="K18" s="225" t="s">
        <v>27</v>
      </c>
      <c r="L18" s="225"/>
      <c r="M18" s="225"/>
      <c r="N18" s="225"/>
      <c r="O18" s="232" t="s">
        <v>7</v>
      </c>
      <c r="P18" s="233"/>
      <c r="Q18" s="233"/>
      <c r="R18" s="233"/>
      <c r="S18" s="233"/>
      <c r="T18" s="234"/>
    </row>
    <row r="19" spans="2:25" x14ac:dyDescent="0.35">
      <c r="B19" s="211"/>
      <c r="C19" s="15">
        <v>3</v>
      </c>
      <c r="D19" s="3" t="e">
        <f>linéarité!J40</f>
        <v>#DIV/0!</v>
      </c>
      <c r="E19" s="85" t="e">
        <f>linéarité!K40</f>
        <v>#DIV/0!</v>
      </c>
      <c r="F19" s="3" t="e">
        <f>IF(linéarité!C$127="étalon 100%",E19/linéarité!G$128,(E19-linéarité!$J$127)/linéarité!$J$126)</f>
        <v>#DIV/0!</v>
      </c>
      <c r="G19" s="86" t="e">
        <f t="shared" si="1"/>
        <v>#DIV/0!</v>
      </c>
      <c r="H19" s="228"/>
      <c r="I19" s="237"/>
      <c r="J19" s="10"/>
      <c r="K19" s="2" t="s">
        <v>28</v>
      </c>
      <c r="L19" s="2" t="s">
        <v>0</v>
      </c>
      <c r="M19" s="2" t="s">
        <v>162</v>
      </c>
      <c r="N19" s="2" t="s">
        <v>71</v>
      </c>
      <c r="O19" s="2" t="s">
        <v>8</v>
      </c>
      <c r="P19" s="2" t="s">
        <v>9</v>
      </c>
      <c r="Q19" s="2" t="s">
        <v>10</v>
      </c>
      <c r="R19" s="2" t="s">
        <v>11</v>
      </c>
      <c r="S19" s="2" t="s">
        <v>24</v>
      </c>
      <c r="T19" s="48" t="s">
        <v>45</v>
      </c>
    </row>
    <row r="20" spans="2:25" x14ac:dyDescent="0.35">
      <c r="B20" s="8"/>
      <c r="C20" s="9"/>
      <c r="D20" s="9"/>
      <c r="E20" s="9"/>
      <c r="F20" s="9"/>
      <c r="G20" s="9"/>
      <c r="H20" s="9"/>
      <c r="I20" s="9"/>
      <c r="J20" s="9"/>
      <c r="K20" s="56" t="s">
        <v>46</v>
      </c>
      <c r="L20" s="49">
        <f>COUNT(G5:G19)</f>
        <v>0</v>
      </c>
      <c r="M20" s="26" t="e">
        <f>SUM(G5:G19)^2</f>
        <v>#DIV/0!</v>
      </c>
      <c r="N20" s="26" t="e">
        <f>M20/L20</f>
        <v>#DIV/0!</v>
      </c>
      <c r="O20" s="53" t="e">
        <f>DEVSQ(G5:G19)</f>
        <v>#DIV/0!</v>
      </c>
      <c r="P20" s="26">
        <f>L20-1</f>
        <v>-1</v>
      </c>
      <c r="Q20" s="53" t="e">
        <f>O20/P20</f>
        <v>#DIV/0!</v>
      </c>
      <c r="R20" s="49" t="s">
        <v>17</v>
      </c>
      <c r="S20" s="49" t="s">
        <v>17</v>
      </c>
      <c r="T20" s="51" t="e">
        <f>SUM(T21:T22)</f>
        <v>#DIV/0!</v>
      </c>
    </row>
    <row r="21" spans="2:25" x14ac:dyDescent="0.35">
      <c r="F21" s="94" t="e">
        <f>H5</f>
        <v>#DIV/0!</v>
      </c>
      <c r="G21" s="95">
        <v>1</v>
      </c>
      <c r="H21" s="96">
        <v>0.98</v>
      </c>
      <c r="I21" s="96">
        <v>1.02</v>
      </c>
      <c r="K21" s="2" t="s">
        <v>0</v>
      </c>
      <c r="L21" s="49">
        <v>5</v>
      </c>
      <c r="M21" s="26" t="e">
        <f>SUM(G5:G7)^2+SUM(G8:G10)^2+SUM(G11:G13)^2+SUM(G14:G16)^2+SUM(G17:G19)^2</f>
        <v>#DIV/0!</v>
      </c>
      <c r="N21" s="26" t="e">
        <f>M21*L21/L20</f>
        <v>#DIV/0!</v>
      </c>
      <c r="O21" s="53" t="e">
        <f>N21-N20</f>
        <v>#DIV/0!</v>
      </c>
      <c r="P21" s="26">
        <v>4</v>
      </c>
      <c r="Q21" s="53" t="e">
        <f>O21/P21</f>
        <v>#DIV/0!</v>
      </c>
      <c r="R21" s="53" t="e">
        <f>Q21/Q22</f>
        <v>#DIV/0!</v>
      </c>
      <c r="S21" s="53" t="e">
        <f>FINV(0.05,P21,P22)</f>
        <v>#NUM!</v>
      </c>
      <c r="T21" s="51" t="e">
        <f>O21/O20</f>
        <v>#DIV/0!</v>
      </c>
      <c r="U21" s="14" t="e">
        <f>IF(ABS(R21)&lt;S21,"pas d'effet niveau","effet de niveau")</f>
        <v>#DIV/0!</v>
      </c>
    </row>
    <row r="22" spans="2:25" x14ac:dyDescent="0.35">
      <c r="F22" s="94" t="e">
        <f>H5</f>
        <v>#DIV/0!</v>
      </c>
      <c r="G22" s="95">
        <v>1</v>
      </c>
      <c r="H22" s="96">
        <v>0.98</v>
      </c>
      <c r="I22" s="96">
        <v>1.02</v>
      </c>
      <c r="K22" s="56" t="s">
        <v>29</v>
      </c>
      <c r="L22" s="49" t="s">
        <v>17</v>
      </c>
      <c r="M22" s="26" t="s">
        <v>17</v>
      </c>
      <c r="N22" s="26" t="s">
        <v>17</v>
      </c>
      <c r="O22" s="53" t="e">
        <f>O20-O21</f>
        <v>#DIV/0!</v>
      </c>
      <c r="P22" s="26">
        <f>P20-P21</f>
        <v>-5</v>
      </c>
      <c r="Q22" s="53" t="e">
        <f>O22/P22</f>
        <v>#DIV/0!</v>
      </c>
      <c r="R22" s="53" t="s">
        <v>17</v>
      </c>
      <c r="S22" s="49" t="s">
        <v>17</v>
      </c>
      <c r="T22" s="51" t="e">
        <f>O22/O20</f>
        <v>#DIV/0!</v>
      </c>
    </row>
    <row r="23" spans="2:25" x14ac:dyDescent="0.35">
      <c r="F23" s="94" t="e">
        <f>H5</f>
        <v>#DIV/0!</v>
      </c>
      <c r="G23" s="95">
        <v>1</v>
      </c>
      <c r="H23" s="96">
        <v>0.98</v>
      </c>
      <c r="I23" s="96">
        <v>1.02</v>
      </c>
      <c r="K23" s="97" t="s">
        <v>188</v>
      </c>
    </row>
    <row r="24" spans="2:25" x14ac:dyDescent="0.35">
      <c r="F24" s="94" t="e">
        <f>H8</f>
        <v>#DIV/0!</v>
      </c>
      <c r="G24" s="95">
        <v>1</v>
      </c>
      <c r="H24" s="96">
        <v>0.98</v>
      </c>
      <c r="I24" s="96">
        <v>1.02</v>
      </c>
    </row>
    <row r="25" spans="2:25" x14ac:dyDescent="0.35">
      <c r="F25" s="94" t="e">
        <f>H8</f>
        <v>#DIV/0!</v>
      </c>
      <c r="G25" s="95">
        <v>1</v>
      </c>
      <c r="H25" s="96">
        <v>0.98</v>
      </c>
      <c r="I25" s="96">
        <v>1.02</v>
      </c>
      <c r="S25" s="98"/>
      <c r="T25" s="98"/>
      <c r="U25" s="98"/>
      <c r="V25" s="98"/>
      <c r="W25" s="98"/>
      <c r="X25" s="98"/>
      <c r="Y25" s="98"/>
    </row>
    <row r="26" spans="2:25" x14ac:dyDescent="0.35">
      <c r="F26" s="94" t="e">
        <f>H8</f>
        <v>#DIV/0!</v>
      </c>
      <c r="G26" s="95">
        <v>1</v>
      </c>
      <c r="H26" s="96">
        <v>0.98</v>
      </c>
      <c r="I26" s="96">
        <v>1.02</v>
      </c>
      <c r="S26" s="98"/>
      <c r="T26" s="98"/>
      <c r="U26" s="98"/>
      <c r="V26" s="98"/>
      <c r="W26" s="98"/>
      <c r="X26" s="98"/>
      <c r="Y26" s="98"/>
    </row>
    <row r="27" spans="2:25" x14ac:dyDescent="0.35">
      <c r="F27" s="94" t="e">
        <f>H11</f>
        <v>#DIV/0!</v>
      </c>
      <c r="G27" s="95">
        <v>1</v>
      </c>
      <c r="H27" s="96">
        <v>0.98</v>
      </c>
      <c r="I27" s="96">
        <v>1.02</v>
      </c>
      <c r="S27" s="98"/>
      <c r="T27" s="98"/>
      <c r="U27" s="98"/>
      <c r="V27" s="98"/>
      <c r="W27" s="98"/>
      <c r="X27" s="98"/>
      <c r="Y27" s="98"/>
    </row>
    <row r="28" spans="2:25" x14ac:dyDescent="0.35">
      <c r="F28" s="94" t="e">
        <f>H11</f>
        <v>#DIV/0!</v>
      </c>
      <c r="G28" s="95">
        <v>1</v>
      </c>
      <c r="H28" s="96">
        <v>0.98</v>
      </c>
      <c r="I28" s="96">
        <v>1.02</v>
      </c>
      <c r="S28" s="98"/>
      <c r="T28" s="98"/>
      <c r="U28" s="98"/>
      <c r="V28" s="98"/>
      <c r="W28" s="98"/>
      <c r="X28" s="98"/>
      <c r="Y28" s="98"/>
    </row>
    <row r="29" spans="2:25" x14ac:dyDescent="0.35">
      <c r="F29" s="94" t="e">
        <f>H11</f>
        <v>#DIV/0!</v>
      </c>
      <c r="G29" s="95">
        <v>1</v>
      </c>
      <c r="H29" s="96">
        <v>0.98</v>
      </c>
      <c r="I29" s="96">
        <v>1.02</v>
      </c>
      <c r="S29" s="98"/>
      <c r="T29" s="98"/>
      <c r="U29" s="98"/>
      <c r="V29" s="98"/>
      <c r="W29" s="98"/>
      <c r="X29" s="98"/>
      <c r="Y29" s="98"/>
    </row>
    <row r="30" spans="2:25" x14ac:dyDescent="0.35">
      <c r="F30" s="94" t="e">
        <f>H14</f>
        <v>#DIV/0!</v>
      </c>
      <c r="G30" s="95">
        <v>1</v>
      </c>
      <c r="H30" s="96">
        <v>0.98</v>
      </c>
      <c r="I30" s="96">
        <v>1.02</v>
      </c>
      <c r="S30" s="98"/>
      <c r="T30" s="98"/>
      <c r="U30" s="98"/>
      <c r="V30" s="98"/>
      <c r="W30" s="98"/>
      <c r="X30" s="98"/>
      <c r="Y30" s="98"/>
    </row>
    <row r="31" spans="2:25" x14ac:dyDescent="0.35">
      <c r="F31" s="94" t="e">
        <f>H14</f>
        <v>#DIV/0!</v>
      </c>
      <c r="G31" s="95">
        <v>1</v>
      </c>
      <c r="H31" s="96">
        <v>0.98</v>
      </c>
      <c r="I31" s="96">
        <v>1.02</v>
      </c>
      <c r="S31" s="98"/>
      <c r="T31" s="98"/>
      <c r="U31" s="98"/>
      <c r="V31" s="98"/>
      <c r="W31" s="98"/>
      <c r="X31" s="98"/>
      <c r="Y31" s="98"/>
    </row>
    <row r="32" spans="2:25" x14ac:dyDescent="0.35">
      <c r="F32" s="94" t="e">
        <f>H14</f>
        <v>#DIV/0!</v>
      </c>
      <c r="G32" s="95">
        <v>1</v>
      </c>
      <c r="H32" s="96">
        <v>0.98</v>
      </c>
      <c r="I32" s="96">
        <v>1.02</v>
      </c>
      <c r="S32" s="98"/>
      <c r="T32" s="98"/>
      <c r="U32" s="98"/>
      <c r="X32" s="98"/>
      <c r="Y32" s="98"/>
    </row>
    <row r="33" spans="6:25" x14ac:dyDescent="0.35">
      <c r="F33" s="94" t="e">
        <f>H17</f>
        <v>#DIV/0!</v>
      </c>
      <c r="G33" s="95">
        <v>1</v>
      </c>
      <c r="H33" s="96">
        <v>0.98</v>
      </c>
      <c r="I33" s="96">
        <v>1.02</v>
      </c>
      <c r="S33" s="98"/>
      <c r="T33" s="98"/>
      <c r="U33" s="98"/>
      <c r="X33" s="98"/>
      <c r="Y33" s="98"/>
    </row>
    <row r="34" spans="6:25" x14ac:dyDescent="0.35">
      <c r="F34" s="94" t="e">
        <f>H17</f>
        <v>#DIV/0!</v>
      </c>
      <c r="G34" s="95">
        <v>1</v>
      </c>
      <c r="H34" s="96">
        <v>0.98</v>
      </c>
      <c r="I34" s="96">
        <v>1.02</v>
      </c>
      <c r="S34" s="98"/>
      <c r="T34" s="98"/>
      <c r="U34" s="98"/>
      <c r="X34" s="98"/>
      <c r="Y34" s="98"/>
    </row>
    <row r="35" spans="6:25" x14ac:dyDescent="0.35">
      <c r="F35" s="94" t="e">
        <f>H17</f>
        <v>#DIV/0!</v>
      </c>
      <c r="G35" s="95">
        <v>1</v>
      </c>
      <c r="H35" s="96">
        <v>0.98</v>
      </c>
      <c r="I35" s="96">
        <v>1.02</v>
      </c>
      <c r="S35" s="98"/>
      <c r="T35" s="98"/>
      <c r="U35" s="98"/>
      <c r="V35" s="98"/>
      <c r="W35" s="98"/>
      <c r="X35" s="98"/>
      <c r="Y35" s="98"/>
    </row>
    <row r="36" spans="6:25" x14ac:dyDescent="0.35">
      <c r="S36" s="98"/>
      <c r="T36" s="98"/>
      <c r="U36" s="98"/>
      <c r="V36" s="98"/>
      <c r="W36" s="98"/>
      <c r="X36" s="98"/>
      <c r="Y36" s="98"/>
    </row>
    <row r="37" spans="6:25" x14ac:dyDescent="0.35">
      <c r="S37" s="98"/>
      <c r="T37" s="98"/>
      <c r="U37" s="98"/>
      <c r="V37" s="98"/>
      <c r="W37" s="98"/>
      <c r="X37" s="98"/>
      <c r="Y37" s="98"/>
    </row>
    <row r="38" spans="6:25" x14ac:dyDescent="0.35">
      <c r="S38" s="98"/>
      <c r="T38" s="98"/>
      <c r="U38" s="98"/>
      <c r="V38" s="98"/>
      <c r="W38" s="98"/>
      <c r="X38" s="98"/>
      <c r="Y38" s="98"/>
    </row>
    <row r="39" spans="6:25" x14ac:dyDescent="0.35">
      <c r="S39" s="98"/>
      <c r="T39" s="98"/>
      <c r="U39" s="98"/>
      <c r="V39" s="98"/>
      <c r="W39" s="98"/>
      <c r="X39" s="98"/>
      <c r="Y39" s="98"/>
    </row>
    <row r="40" spans="6:25" x14ac:dyDescent="0.35">
      <c r="S40" s="98"/>
      <c r="T40" s="98"/>
      <c r="U40" s="98"/>
      <c r="V40" s="98"/>
      <c r="W40" s="98"/>
      <c r="X40" s="98"/>
      <c r="Y40" s="98"/>
    </row>
  </sheetData>
  <sheetProtection algorithmName="SHA-512" hashValue="VD9r7+HQgAKLzbi6Zj0m/Ejr9Fm5iwFUSGW5Lp1zboPzgzeBBuF9dzhzelRDzrS5+hvx0bHQsjKBTd0e4Cdydg==" saltValue="6D9LqgV3NO8zkBh3HD6B1Q==" spinCount="100000" sheet="1" objects="1" scenarios="1"/>
  <mergeCells count="17">
    <mergeCell ref="O18:T18"/>
    <mergeCell ref="I5:I7"/>
    <mergeCell ref="I8:I10"/>
    <mergeCell ref="I11:I13"/>
    <mergeCell ref="I14:I16"/>
    <mergeCell ref="I17:I19"/>
    <mergeCell ref="B8:B10"/>
    <mergeCell ref="B11:B13"/>
    <mergeCell ref="B14:B16"/>
    <mergeCell ref="B5:B7"/>
    <mergeCell ref="K18:N18"/>
    <mergeCell ref="B17:B19"/>
    <mergeCell ref="H5:H7"/>
    <mergeCell ref="H8:H10"/>
    <mergeCell ref="H11:H13"/>
    <mergeCell ref="H14:H16"/>
    <mergeCell ref="H17:H19"/>
  </mergeCells>
  <conditionalFormatting sqref="L4">
    <cfRule type="cellIs" dxfId="20" priority="12" operator="greaterThan">
      <formula>$L$6</formula>
    </cfRule>
    <cfRule type="cellIs" dxfId="19" priority="13" operator="lessThan">
      <formula>$L$5</formula>
    </cfRule>
    <cfRule type="cellIs" dxfId="18" priority="14" operator="greaterThan">
      <formula>$L$5</formula>
    </cfRule>
  </conditionalFormatting>
  <conditionalFormatting sqref="R21">
    <cfRule type="cellIs" dxfId="17" priority="10" operator="lessThan">
      <formula>$S$21</formula>
    </cfRule>
    <cfRule type="cellIs" dxfId="16" priority="11" operator="greaterThan">
      <formula>$S$21</formula>
    </cfRule>
  </conditionalFormatting>
  <conditionalFormatting sqref="L13">
    <cfRule type="cellIs" dxfId="15" priority="8" operator="lessThan">
      <formula>0.98</formula>
    </cfRule>
  </conditionalFormatting>
  <conditionalFormatting sqref="L14">
    <cfRule type="cellIs" dxfId="14" priority="7" operator="greaterThan">
      <formula>1.02</formula>
    </cfRule>
  </conditionalFormatting>
  <conditionalFormatting sqref="P5:Q9">
    <cfRule type="cellIs" dxfId="13" priority="2" operator="lessThan">
      <formula>$Q$10</formula>
    </cfRule>
    <cfRule type="cellIs" dxfId="12" priority="3" operator="greaterThan">
      <formula>$Q$11</formula>
    </cfRule>
    <cfRule type="cellIs" dxfId="11" priority="4" operator="greaterThan">
      <formula>$R$9</formula>
    </cfRule>
    <cfRule type="cellIs" dxfId="10" priority="5" operator="lessThan">
      <formula>$R$9</formula>
    </cfRule>
    <cfRule type="cellIs" dxfId="9" priority="6" operator="greaterThan">
      <formula>$R$9</formula>
    </cfRule>
  </conditionalFormatting>
  <conditionalFormatting sqref="Q5">
    <cfRule type="cellIs" dxfId="8" priority="1" operator="lessThan">
      <formula>1.155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B2:T23"/>
  <sheetViews>
    <sheetView showGridLines="0" zoomScale="70" zoomScaleNormal="70" workbookViewId="0">
      <selection activeCell="P25" sqref="P25"/>
    </sheetView>
  </sheetViews>
  <sheetFormatPr baseColWidth="10" defaultColWidth="11.453125" defaultRowHeight="14.5" x14ac:dyDescent="0.35"/>
  <cols>
    <col min="1" max="1" width="11.453125" style="1"/>
    <col min="2" max="2" width="9.453125" style="1" customWidth="1"/>
    <col min="3" max="3" width="12.1796875" style="1" customWidth="1"/>
    <col min="4" max="4" width="10.81640625" style="1" customWidth="1"/>
    <col min="5" max="5" width="8.81640625" style="1" customWidth="1"/>
    <col min="6" max="6" width="10.54296875" style="1" customWidth="1"/>
    <col min="7" max="7" width="2.453125" style="1" customWidth="1"/>
    <col min="8" max="8" width="3.81640625" style="1" customWidth="1"/>
    <col min="9" max="9" width="11.453125" style="1"/>
    <col min="10" max="10" width="8.7265625" style="1" customWidth="1"/>
    <col min="11" max="11" width="9.54296875" style="1" customWidth="1"/>
    <col min="12" max="12" width="9.81640625" style="1" customWidth="1"/>
    <col min="13" max="14" width="11.453125" style="1"/>
    <col min="15" max="15" width="2.81640625" style="1" customWidth="1"/>
    <col min="16" max="16" width="7.81640625" style="1" customWidth="1"/>
    <col min="17" max="16384" width="11.453125" style="1"/>
  </cols>
  <sheetData>
    <row r="2" spans="2:20" x14ac:dyDescent="0.35">
      <c r="B2" s="11" t="s">
        <v>111</v>
      </c>
      <c r="C2" s="12"/>
      <c r="D2" s="12"/>
      <c r="E2" s="12"/>
      <c r="F2" s="12"/>
      <c r="G2" s="82"/>
      <c r="I2" s="11" t="s">
        <v>119</v>
      </c>
      <c r="J2" s="12"/>
      <c r="K2" s="12"/>
      <c r="O2" s="13"/>
      <c r="P2" s="11" t="s">
        <v>135</v>
      </c>
      <c r="Q2" s="12"/>
    </row>
    <row r="3" spans="2:20" x14ac:dyDescent="0.35">
      <c r="B3" s="81"/>
      <c r="C3" s="66"/>
      <c r="D3" s="9"/>
      <c r="E3" s="9"/>
      <c r="F3" s="9"/>
      <c r="G3" s="82"/>
      <c r="O3" s="13"/>
    </row>
    <row r="4" spans="2:20" x14ac:dyDescent="0.35">
      <c r="B4" s="99" t="s">
        <v>124</v>
      </c>
      <c r="C4" s="100" t="s">
        <v>18</v>
      </c>
      <c r="D4" s="101" t="s">
        <v>82</v>
      </c>
      <c r="E4" s="101" t="s">
        <v>21</v>
      </c>
      <c r="F4" s="101" t="s">
        <v>6</v>
      </c>
      <c r="G4" s="82"/>
      <c r="I4" s="2" t="s">
        <v>23</v>
      </c>
      <c r="J4" s="4" t="e">
        <f>MAX(E5:E22)/SUM(E5:E22)</f>
        <v>#DIV/0!</v>
      </c>
      <c r="K4" s="1" t="s">
        <v>184</v>
      </c>
      <c r="O4" s="13"/>
      <c r="Q4" s="2" t="s">
        <v>137</v>
      </c>
      <c r="R4" s="2" t="s">
        <v>136</v>
      </c>
      <c r="T4" s="1" t="s">
        <v>186</v>
      </c>
    </row>
    <row r="5" spans="2:20" x14ac:dyDescent="0.35">
      <c r="B5" s="242">
        <v>1</v>
      </c>
      <c r="C5" s="53" t="e">
        <f>linéarité!J32</f>
        <v>#DIV/0!</v>
      </c>
      <c r="D5" s="53" t="e">
        <f>IF(linéarité!C127="étalon 100%",linéarité!K32/linéarité!$G$126,(linéarité!K32-linéarité!$J$127)/linéarité!$J$126)</f>
        <v>#DIV/0!</v>
      </c>
      <c r="E5" s="218" t="e">
        <f t="shared" ref="E5" si="0">VAR(D5:D10)</f>
        <v>#DIV/0!</v>
      </c>
      <c r="F5" s="207" t="e">
        <f>AVERAGE(D5:D10)</f>
        <v>#DIV/0!</v>
      </c>
      <c r="G5" s="82"/>
      <c r="I5" s="2" t="s">
        <v>43</v>
      </c>
      <c r="J5" s="46" t="e">
        <f>1/((1+(COUNT(B5:B22)-1)/FINV(0.05/COUNT(B5:B22),COUNT(C5:C10)-1,(COUNT(B5:B22)-1)*(COUNT(C5:C10)-1))))</f>
        <v>#NUM!</v>
      </c>
      <c r="K5" s="1" t="s">
        <v>185</v>
      </c>
      <c r="O5" s="13"/>
      <c r="P5" s="2" t="s">
        <v>181</v>
      </c>
      <c r="Q5" s="53" t="e">
        <f>(MAX(D5:D10)-F5)/STDEV(D5:D10)</f>
        <v>#DIV/0!</v>
      </c>
      <c r="R5" s="53" t="e">
        <f>(F5-MIN(D5:D10))/STDEV(D5:D10)</f>
        <v>#DIV/0!</v>
      </c>
      <c r="T5" s="1" t="s">
        <v>187</v>
      </c>
    </row>
    <row r="6" spans="2:20" x14ac:dyDescent="0.35">
      <c r="B6" s="242"/>
      <c r="C6" s="53" t="e">
        <f>C5</f>
        <v>#DIV/0!</v>
      </c>
      <c r="D6" s="53" t="e">
        <f>IF(linéarité!C127="étalon 100%",linéarité!L32/linéarité!$G$126,(linéarité!L32-linéarité!$J$127)/linéarité!$J$126)</f>
        <v>#DIV/0!</v>
      </c>
      <c r="E6" s="243"/>
      <c r="F6" s="241"/>
      <c r="G6" s="82"/>
      <c r="I6" s="2" t="s">
        <v>44</v>
      </c>
      <c r="J6" s="46" t="e">
        <f>1/((1+(COUNT(B5:B22)-1)/FINV(0.01/COUNT(B5:B22),COUNT(C5:C10)-1,(COUNT(B5:B22)-1)*(COUNT(C5:C10)-1))))</f>
        <v>#NUM!</v>
      </c>
      <c r="O6" s="13"/>
      <c r="P6" s="2" t="s">
        <v>182</v>
      </c>
      <c r="Q6" s="53" t="e">
        <f>(MAX(D11:D16)-F11)/STDEV(D11:D16)</f>
        <v>#DIV/0!</v>
      </c>
      <c r="R6" s="53" t="e">
        <f>(F11-MIN(D11:D16))/STDEV(D11:D16)</f>
        <v>#DIV/0!</v>
      </c>
    </row>
    <row r="7" spans="2:20" x14ac:dyDescent="0.35">
      <c r="B7" s="242"/>
      <c r="C7" s="53" t="e">
        <f t="shared" ref="C7:C10" si="1">C6</f>
        <v>#DIV/0!</v>
      </c>
      <c r="D7" s="53" t="e">
        <f>linéarité!M32/linéarité!$G$126</f>
        <v>#DIV/0!</v>
      </c>
      <c r="E7" s="243"/>
      <c r="F7" s="241"/>
      <c r="G7" s="69"/>
      <c r="O7" s="13"/>
      <c r="P7" s="2" t="s">
        <v>183</v>
      </c>
      <c r="Q7" s="53" t="e">
        <f>(MAX(D17:D22)-F17)/STDEV(D17:D22)</f>
        <v>#DIV/0!</v>
      </c>
      <c r="R7" s="53" t="e">
        <f>(F17-MIN(D17:D22))/STDEV(D17:D22)</f>
        <v>#DIV/0!</v>
      </c>
    </row>
    <row r="8" spans="2:20" x14ac:dyDescent="0.35">
      <c r="B8" s="242"/>
      <c r="C8" s="53" t="e">
        <f t="shared" si="1"/>
        <v>#DIV/0!</v>
      </c>
      <c r="D8" s="53" t="e">
        <f>linéarité!N32/linéarité!$G$126</f>
        <v>#DIV/0!</v>
      </c>
      <c r="E8" s="243"/>
      <c r="F8" s="241"/>
      <c r="G8" s="69"/>
      <c r="I8" s="102" t="s">
        <v>108</v>
      </c>
      <c r="J8" s="103"/>
      <c r="K8" s="103"/>
      <c r="O8" s="13"/>
      <c r="Q8" s="2" t="s">
        <v>144</v>
      </c>
      <c r="R8" s="18">
        <v>1.8220000000000001</v>
      </c>
    </row>
    <row r="9" spans="2:20" x14ac:dyDescent="0.35">
      <c r="B9" s="242"/>
      <c r="C9" s="53" t="e">
        <f t="shared" si="1"/>
        <v>#DIV/0!</v>
      </c>
      <c r="D9" s="53" t="e">
        <f>linéarité!O32/linéarité!$G$126</f>
        <v>#DIV/0!</v>
      </c>
      <c r="E9" s="243"/>
      <c r="F9" s="241"/>
      <c r="G9" s="69"/>
      <c r="O9" s="13"/>
      <c r="Q9" s="2" t="s">
        <v>145</v>
      </c>
      <c r="R9" s="18">
        <v>1.944</v>
      </c>
    </row>
    <row r="10" spans="2:20" x14ac:dyDescent="0.35">
      <c r="B10" s="242"/>
      <c r="C10" s="53" t="e">
        <f t="shared" si="1"/>
        <v>#DIV/0!</v>
      </c>
      <c r="D10" s="53" t="e">
        <f>linéarité!P32/linéarité!$G$126</f>
        <v>#DIV/0!</v>
      </c>
      <c r="E10" s="219"/>
      <c r="F10" s="208"/>
      <c r="G10" s="69"/>
      <c r="J10" s="2" t="s">
        <v>21</v>
      </c>
      <c r="K10" s="2" t="s">
        <v>107</v>
      </c>
      <c r="L10" s="2" t="s">
        <v>140</v>
      </c>
    </row>
    <row r="11" spans="2:20" x14ac:dyDescent="0.35">
      <c r="B11" s="242">
        <v>2</v>
      </c>
      <c r="C11" s="53" t="e">
        <f>linéarité!J33</f>
        <v>#DIV/0!</v>
      </c>
      <c r="D11" s="53" t="e">
        <f>linéarité!K33/linéarité!$G$127</f>
        <v>#DIV/0!</v>
      </c>
      <c r="E11" s="218" t="e">
        <f t="shared" ref="E11" si="2">VAR(D11:D16)</f>
        <v>#DIV/0!</v>
      </c>
      <c r="F11" s="207" t="e">
        <f t="shared" ref="F11" si="3">AVERAGE(D11:D16)</f>
        <v>#DIV/0!</v>
      </c>
      <c r="G11" s="69"/>
      <c r="I11" s="56" t="s">
        <v>138</v>
      </c>
      <c r="J11" s="104" t="e">
        <f>AVERAGE(E5:E22)</f>
        <v>#DIV/0!</v>
      </c>
      <c r="K11" s="91" t="e">
        <f>SQRT(J11)/AVERAGE(F5:F22)</f>
        <v>#DIV/0!</v>
      </c>
      <c r="L11" s="91" t="e">
        <f>K11*SQRT(CHIINV(0.05,17)/17)</f>
        <v>#DIV/0!</v>
      </c>
      <c r="M11" s="1" t="s">
        <v>106</v>
      </c>
    </row>
    <row r="12" spans="2:20" x14ac:dyDescent="0.35">
      <c r="B12" s="242"/>
      <c r="C12" s="53" t="e">
        <f>C11</f>
        <v>#DIV/0!</v>
      </c>
      <c r="D12" s="53" t="e">
        <f>linéarité!L33/linéarité!$G$127</f>
        <v>#DIV/0!</v>
      </c>
      <c r="E12" s="243"/>
      <c r="F12" s="241"/>
      <c r="G12" s="69"/>
      <c r="I12" s="56" t="s">
        <v>73</v>
      </c>
      <c r="J12" s="104" t="e">
        <f>IF(VAR(F5:F22)-J11/6&lt;0,0,VAR(F5:F22)-J11/6)</f>
        <v>#DIV/0!</v>
      </c>
    </row>
    <row r="13" spans="2:20" x14ac:dyDescent="0.35">
      <c r="B13" s="242"/>
      <c r="C13" s="53" t="e">
        <f t="shared" ref="C13:C16" si="4">C12</f>
        <v>#DIV/0!</v>
      </c>
      <c r="D13" s="53" t="e">
        <f>linéarité!M33/linéarité!$G$127</f>
        <v>#DIV/0!</v>
      </c>
      <c r="E13" s="243"/>
      <c r="F13" s="241"/>
      <c r="G13" s="69"/>
      <c r="I13" s="56" t="s">
        <v>46</v>
      </c>
      <c r="J13" s="104" t="e">
        <f>J12+J11</f>
        <v>#DIV/0!</v>
      </c>
      <c r="K13" s="91" t="e">
        <f>SQRT(J13)/AVERAGE(F5:F22)</f>
        <v>#DIV/0!</v>
      </c>
      <c r="L13" s="91" t="e">
        <f>K13*SQRT(CHIINV(0.05,17)/17)</f>
        <v>#DIV/0!</v>
      </c>
      <c r="M13" s="1" t="s">
        <v>139</v>
      </c>
    </row>
    <row r="14" spans="2:20" x14ac:dyDescent="0.35">
      <c r="B14" s="242"/>
      <c r="C14" s="53" t="e">
        <f t="shared" si="4"/>
        <v>#DIV/0!</v>
      </c>
      <c r="D14" s="53" t="e">
        <f>linéarité!N33/linéarité!$G$127</f>
        <v>#DIV/0!</v>
      </c>
      <c r="E14" s="243"/>
      <c r="F14" s="241"/>
      <c r="G14" s="69"/>
    </row>
    <row r="15" spans="2:20" x14ac:dyDescent="0.35">
      <c r="B15" s="242"/>
      <c r="C15" s="53" t="e">
        <f t="shared" si="4"/>
        <v>#DIV/0!</v>
      </c>
      <c r="D15" s="53" t="e">
        <f>linéarité!O33/linéarité!$G$127</f>
        <v>#DIV/0!</v>
      </c>
      <c r="E15" s="243"/>
      <c r="F15" s="241"/>
      <c r="G15" s="105"/>
      <c r="I15" s="102" t="s">
        <v>143</v>
      </c>
      <c r="J15" s="13"/>
      <c r="K15" s="13"/>
    </row>
    <row r="16" spans="2:20" x14ac:dyDescent="0.35">
      <c r="B16" s="242"/>
      <c r="C16" s="53" t="e">
        <f t="shared" si="4"/>
        <v>#DIV/0!</v>
      </c>
      <c r="D16" s="53" t="e">
        <f>linéarité!P33/linéarité!$G$127</f>
        <v>#DIV/0!</v>
      </c>
      <c r="E16" s="219"/>
      <c r="F16" s="208"/>
      <c r="G16" s="105"/>
    </row>
    <row r="17" spans="2:12" x14ac:dyDescent="0.35">
      <c r="B17" s="242">
        <v>3</v>
      </c>
      <c r="C17" s="53" t="e">
        <f>linéarité!J34</f>
        <v>#DIV/0!</v>
      </c>
      <c r="D17" s="53" t="e">
        <f>linéarité!K34/linéarité!$G$128</f>
        <v>#DIV/0!</v>
      </c>
      <c r="E17" s="218" t="e">
        <f>VAR(D17:D22)</f>
        <v>#DIV/0!</v>
      </c>
      <c r="F17" s="207" t="e">
        <f>AVERAGE(D17:D22)</f>
        <v>#DIV/0!</v>
      </c>
      <c r="G17" s="105"/>
      <c r="J17" s="87">
        <v>0.95</v>
      </c>
      <c r="K17" s="87">
        <v>0.99</v>
      </c>
    </row>
    <row r="18" spans="2:12" x14ac:dyDescent="0.35">
      <c r="B18" s="242"/>
      <c r="C18" s="53" t="e">
        <f>C17</f>
        <v>#DIV/0!</v>
      </c>
      <c r="D18" s="53" t="e">
        <f>linéarité!L34/linéarité!$G$128</f>
        <v>#DIV/0!</v>
      </c>
      <c r="E18" s="243"/>
      <c r="F18" s="241"/>
      <c r="G18" s="105"/>
      <c r="I18" s="56" t="s">
        <v>63</v>
      </c>
      <c r="J18" s="46" t="e">
        <f>2.83*SQRT(J11)</f>
        <v>#DIV/0!</v>
      </c>
      <c r="K18" s="46" t="e">
        <f>4.24*SQRT(J11)</f>
        <v>#DIV/0!</v>
      </c>
      <c r="L18" s="1" t="s">
        <v>141</v>
      </c>
    </row>
    <row r="19" spans="2:12" x14ac:dyDescent="0.35">
      <c r="B19" s="242"/>
      <c r="C19" s="53" t="e">
        <f t="shared" ref="C19:C22" si="5">C18</f>
        <v>#DIV/0!</v>
      </c>
      <c r="D19" s="53" t="e">
        <f>linéarité!M34/linéarité!$G$128</f>
        <v>#DIV/0!</v>
      </c>
      <c r="E19" s="243"/>
      <c r="F19" s="241"/>
      <c r="G19" s="105"/>
      <c r="I19" s="56" t="s">
        <v>64</v>
      </c>
      <c r="J19" s="46" t="e">
        <f>2.83*SQRT(J13)</f>
        <v>#DIV/0!</v>
      </c>
      <c r="K19" s="46" t="e">
        <f>4.24*SQRT(J13)</f>
        <v>#DIV/0!</v>
      </c>
      <c r="L19" s="1" t="s">
        <v>142</v>
      </c>
    </row>
    <row r="20" spans="2:12" x14ac:dyDescent="0.35">
      <c r="B20" s="242"/>
      <c r="C20" s="53" t="e">
        <f t="shared" si="5"/>
        <v>#DIV/0!</v>
      </c>
      <c r="D20" s="53" t="e">
        <f>linéarité!N34/linéarité!$G$128</f>
        <v>#DIV/0!</v>
      </c>
      <c r="E20" s="243"/>
      <c r="F20" s="241"/>
      <c r="G20" s="105"/>
    </row>
    <row r="21" spans="2:12" x14ac:dyDescent="0.35">
      <c r="B21" s="242"/>
      <c r="C21" s="53" t="e">
        <f t="shared" si="5"/>
        <v>#DIV/0!</v>
      </c>
      <c r="D21" s="53" t="e">
        <f>linéarité!O34/linéarité!$G$128</f>
        <v>#DIV/0!</v>
      </c>
      <c r="E21" s="243"/>
      <c r="F21" s="241"/>
      <c r="G21" s="105"/>
    </row>
    <row r="22" spans="2:12" x14ac:dyDescent="0.35">
      <c r="B22" s="242"/>
      <c r="C22" s="53" t="e">
        <f t="shared" si="5"/>
        <v>#DIV/0!</v>
      </c>
      <c r="D22" s="53" t="e">
        <f>linéarité!P34/linéarité!$G$128</f>
        <v>#DIV/0!</v>
      </c>
      <c r="E22" s="219"/>
      <c r="F22" s="208"/>
    </row>
    <row r="23" spans="2:12" x14ac:dyDescent="0.35">
      <c r="B23" s="67"/>
    </row>
  </sheetData>
  <sheetProtection algorithmName="SHA-512" hashValue="zwgXR1jSDp8Hiv9uWhpdTmTaIZ6G17sACGbj0XiGspr9ZhUbsqz6FMuaawXzfozTX3zW2MaC+PF26F9HBWR26Q==" saltValue="ga7xLeClNEUOZCfPkMX+8Q==" spinCount="100000" sheet="1" objects="1" scenarios="1"/>
  <mergeCells count="9">
    <mergeCell ref="F5:F10"/>
    <mergeCell ref="F11:F16"/>
    <mergeCell ref="F17:F22"/>
    <mergeCell ref="B5:B10"/>
    <mergeCell ref="B11:B16"/>
    <mergeCell ref="B17:B22"/>
    <mergeCell ref="E5:E10"/>
    <mergeCell ref="E11:E16"/>
    <mergeCell ref="E17:E22"/>
  </mergeCells>
  <conditionalFormatting sqref="Q5:R7">
    <cfRule type="cellIs" dxfId="7" priority="79" operator="greaterThan">
      <formula>$R$9</formula>
    </cfRule>
    <cfRule type="cellIs" dxfId="6" priority="80" operator="lessThan">
      <formula>$R$9</formula>
    </cfRule>
    <cfRule type="cellIs" dxfId="5" priority="81" operator="greaterThan">
      <formula>$R$9</formula>
    </cfRule>
    <cfRule type="cellIs" dxfId="4" priority="2" operator="lessThan">
      <formula>$R$9</formula>
    </cfRule>
    <cfRule type="cellIs" dxfId="3" priority="1" operator="lessThan">
      <formula>$R$8</formula>
    </cfRule>
  </conditionalFormatting>
  <pageMargins left="0.7" right="0.7" top="0.75" bottom="0.75" header="0.3" footer="0.3"/>
  <pageSetup paperSize="9" orientation="portrait" r:id="rId1"/>
  <ignoredErrors>
    <ignoredError sqref="C11 C17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3" operator="lessThan" id="{AF2DA085-DA9B-4A37-B532-0814B052C57E}">
            <xm:f>justesse!$L$5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4" operator="greaterThan" id="{87AAF4B5-2086-47DF-8A48-A07B11C525E5}">
            <xm:f>justesse!$L$5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65" operator="greaterThan" id="{FA177EF1-D300-4189-BC28-5D2F7AA5CF0F}">
            <xm:f>justesse!$L$6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2:AB31"/>
  <sheetViews>
    <sheetView showGridLines="0" zoomScale="70" zoomScaleNormal="70" workbookViewId="0">
      <selection activeCell="H9" sqref="A1:XFD1048576"/>
    </sheetView>
  </sheetViews>
  <sheetFormatPr baseColWidth="10" defaultColWidth="11.453125" defaultRowHeight="14.5" x14ac:dyDescent="0.35"/>
  <cols>
    <col min="1" max="1" width="11.453125" style="106"/>
    <col min="2" max="2" width="12.1796875" style="106" customWidth="1"/>
    <col min="3" max="3" width="13.7265625" style="106" customWidth="1"/>
    <col min="4" max="4" width="13.81640625" style="106" customWidth="1"/>
    <col min="5" max="5" width="13.7265625" style="106" customWidth="1"/>
    <col min="6" max="6" width="3.81640625" style="106" customWidth="1"/>
    <col min="7" max="7" width="11" style="106" customWidth="1"/>
    <col min="8" max="8" width="12.453125" style="106" customWidth="1"/>
    <col min="9" max="9" width="11.81640625" style="106" customWidth="1"/>
    <col min="10" max="10" width="11.453125" style="106" customWidth="1"/>
    <col min="11" max="11" width="11.6328125" style="106" customWidth="1"/>
    <col min="12" max="12" width="8.54296875" style="106" customWidth="1"/>
    <col min="13" max="13" width="9.08984375" style="106" customWidth="1"/>
    <col min="14" max="14" width="8.453125" style="106" customWidth="1"/>
    <col min="15" max="15" width="11.453125" style="106" customWidth="1"/>
    <col min="16" max="16" width="11.1796875" style="106" customWidth="1"/>
    <col min="17" max="17" width="11.453125" style="106" customWidth="1"/>
    <col min="18" max="18" width="12.453125" style="106" bestFit="1" customWidth="1"/>
    <col min="19" max="19" width="12.26953125" style="106" bestFit="1" customWidth="1"/>
    <col min="20" max="20" width="13" style="106" bestFit="1" customWidth="1"/>
    <col min="21" max="16384" width="11.453125" style="106"/>
  </cols>
  <sheetData>
    <row r="2" spans="1:28" x14ac:dyDescent="0.35">
      <c r="B2" s="244" t="s">
        <v>109</v>
      </c>
      <c r="C2" s="244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spans="1:28" x14ac:dyDescent="0.35">
      <c r="B3" s="245" t="s">
        <v>114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</row>
    <row r="4" spans="1:28" x14ac:dyDescent="0.35">
      <c r="A4" s="108"/>
      <c r="B4" s="109" t="s">
        <v>118</v>
      </c>
      <c r="C4" s="110"/>
      <c r="D4" s="108"/>
      <c r="E4" s="108"/>
      <c r="F4" s="108"/>
      <c r="G4" s="108"/>
      <c r="H4" s="108"/>
      <c r="I4" s="108"/>
      <c r="J4" s="108"/>
      <c r="K4" s="111"/>
    </row>
    <row r="5" spans="1:28" x14ac:dyDescent="0.35">
      <c r="A5" s="108"/>
      <c r="B5" s="109"/>
      <c r="C5" s="110"/>
      <c r="D5" s="108"/>
      <c r="E5" s="108"/>
      <c r="F5" s="108"/>
      <c r="G5" s="108"/>
      <c r="H5" s="108"/>
      <c r="I5" s="108"/>
      <c r="J5" s="108"/>
      <c r="K5" s="108"/>
    </row>
    <row r="6" spans="1:28" x14ac:dyDescent="0.35">
      <c r="A6" s="108"/>
      <c r="B6" s="102" t="s">
        <v>152</v>
      </c>
      <c r="C6" s="103"/>
      <c r="D6" s="107"/>
      <c r="E6" s="107"/>
      <c r="G6" s="112" t="s">
        <v>154</v>
      </c>
      <c r="H6" s="107"/>
      <c r="I6" s="103"/>
      <c r="J6" s="107"/>
      <c r="K6" s="107"/>
      <c r="L6" s="113"/>
      <c r="M6" s="112" t="s">
        <v>155</v>
      </c>
      <c r="N6" s="107"/>
      <c r="O6" s="107"/>
      <c r="P6" s="107"/>
      <c r="Q6" s="107"/>
      <c r="R6" s="107"/>
      <c r="S6" s="107"/>
      <c r="T6" s="107"/>
    </row>
    <row r="7" spans="1:28" x14ac:dyDescent="0.35">
      <c r="A7" s="108"/>
      <c r="K7" s="111"/>
      <c r="L7" s="113"/>
      <c r="M7" s="113"/>
      <c r="N7" s="113"/>
    </row>
    <row r="8" spans="1:28" x14ac:dyDescent="0.35">
      <c r="A8" s="108"/>
      <c r="C8" s="246" t="s">
        <v>134</v>
      </c>
      <c r="D8" s="247"/>
      <c r="E8" s="248"/>
      <c r="G8" s="114" t="s">
        <v>153</v>
      </c>
      <c r="H8" s="115">
        <f>C9</f>
        <v>0</v>
      </c>
      <c r="I8" s="115">
        <f>D9</f>
        <v>0</v>
      </c>
      <c r="J8" s="115">
        <f>E9</f>
        <v>0</v>
      </c>
      <c r="K8" s="115" t="s">
        <v>75</v>
      </c>
      <c r="M8" s="116" t="s">
        <v>6</v>
      </c>
      <c r="N8" s="117">
        <f>SUMPRODUCT(K15:K18,$K$9:$K$12)/4</f>
        <v>0</v>
      </c>
    </row>
    <row r="9" spans="1:28" x14ac:dyDescent="0.35">
      <c r="A9" s="108"/>
      <c r="B9" s="118" t="s">
        <v>74</v>
      </c>
      <c r="C9" s="119"/>
      <c r="D9" s="119"/>
      <c r="E9" s="119"/>
      <c r="G9" s="115">
        <v>1</v>
      </c>
      <c r="H9" s="5">
        <f>C12</f>
        <v>0</v>
      </c>
      <c r="I9" s="5">
        <f>D12</f>
        <v>0</v>
      </c>
      <c r="J9" s="5">
        <f>E11</f>
        <v>0</v>
      </c>
      <c r="K9" s="120"/>
      <c r="M9" s="116" t="s">
        <v>191</v>
      </c>
      <c r="N9" s="117">
        <f>-N10</f>
        <v>0</v>
      </c>
      <c r="O9" s="121">
        <f>N18</f>
        <v>0</v>
      </c>
      <c r="P9" s="121">
        <f>N17</f>
        <v>0</v>
      </c>
    </row>
    <row r="10" spans="1:28" x14ac:dyDescent="0.35">
      <c r="A10" s="108"/>
      <c r="B10" s="118" t="s">
        <v>115</v>
      </c>
      <c r="C10" s="122"/>
      <c r="D10" s="123"/>
      <c r="E10" s="123"/>
      <c r="G10" s="115">
        <v>2</v>
      </c>
      <c r="H10" s="6">
        <f>C11</f>
        <v>0</v>
      </c>
      <c r="I10" s="6">
        <f>D12</f>
        <v>0</v>
      </c>
      <c r="J10" s="6">
        <f>E12</f>
        <v>0</v>
      </c>
      <c r="K10" s="120"/>
      <c r="M10" s="116" t="s">
        <v>190</v>
      </c>
      <c r="N10" s="117">
        <f>SUMPRODUCT(H15:H18,$K$9:$K$12)/4</f>
        <v>0</v>
      </c>
      <c r="O10" s="121">
        <f>O9</f>
        <v>0</v>
      </c>
      <c r="P10" s="121">
        <f>P9</f>
        <v>0</v>
      </c>
    </row>
    <row r="11" spans="1:28" x14ac:dyDescent="0.35">
      <c r="A11" s="108"/>
      <c r="B11" s="118" t="s">
        <v>116</v>
      </c>
      <c r="C11" s="122"/>
      <c r="D11" s="123"/>
      <c r="E11" s="123"/>
      <c r="F11" s="124"/>
      <c r="G11" s="115">
        <v>3</v>
      </c>
      <c r="H11" s="6">
        <f>C12</f>
        <v>0</v>
      </c>
      <c r="I11" s="6">
        <f>D11</f>
        <v>0</v>
      </c>
      <c r="J11" s="6">
        <f>E12</f>
        <v>0</v>
      </c>
      <c r="K11" s="120"/>
      <c r="M11" s="116" t="s">
        <v>193</v>
      </c>
      <c r="N11" s="117">
        <f>-N12</f>
        <v>0</v>
      </c>
      <c r="O11" s="121">
        <f t="shared" ref="O11:O14" si="0">O10</f>
        <v>0</v>
      </c>
      <c r="P11" s="121">
        <f t="shared" ref="P11:P14" si="1">P10</f>
        <v>0</v>
      </c>
    </row>
    <row r="12" spans="1:28" x14ac:dyDescent="0.35">
      <c r="A12" s="108"/>
      <c r="B12" s="118" t="s">
        <v>117</v>
      </c>
      <c r="C12" s="122"/>
      <c r="D12" s="123"/>
      <c r="E12" s="123"/>
      <c r="F12" s="124"/>
      <c r="G12" s="115">
        <v>4</v>
      </c>
      <c r="H12" s="6">
        <f>C11</f>
        <v>0</v>
      </c>
      <c r="I12" s="6">
        <f>D11</f>
        <v>0</v>
      </c>
      <c r="J12" s="6">
        <f>E11</f>
        <v>0</v>
      </c>
      <c r="K12" s="120"/>
      <c r="M12" s="116" t="s">
        <v>192</v>
      </c>
      <c r="N12" s="117">
        <f>SUMPRODUCT(I15:I18,$K$9:$K$12)/4</f>
        <v>0</v>
      </c>
      <c r="O12" s="121">
        <f t="shared" si="0"/>
        <v>0</v>
      </c>
      <c r="P12" s="121">
        <f t="shared" si="1"/>
        <v>0</v>
      </c>
    </row>
    <row r="13" spans="1:28" x14ac:dyDescent="0.35">
      <c r="A13" s="108"/>
      <c r="F13" s="124"/>
      <c r="G13" s="124"/>
      <c r="H13" s="124"/>
      <c r="I13" s="124"/>
      <c r="J13" s="124"/>
      <c r="K13" s="108"/>
      <c r="L13" s="113"/>
      <c r="M13" s="116" t="s">
        <v>195</v>
      </c>
      <c r="N13" s="117">
        <f>-N14</f>
        <v>0</v>
      </c>
      <c r="O13" s="121">
        <f t="shared" si="0"/>
        <v>0</v>
      </c>
      <c r="P13" s="121">
        <f t="shared" si="1"/>
        <v>0</v>
      </c>
    </row>
    <row r="14" spans="1:28" ht="12.75" customHeight="1" x14ac:dyDescent="0.35">
      <c r="A14" s="108"/>
      <c r="B14" s="125"/>
      <c r="C14" s="125"/>
      <c r="D14" s="125"/>
      <c r="E14" s="125"/>
      <c r="F14" s="125"/>
      <c r="G14" s="126" t="s">
        <v>153</v>
      </c>
      <c r="H14" s="127">
        <f>C9</f>
        <v>0</v>
      </c>
      <c r="I14" s="127">
        <f>D9</f>
        <v>0</v>
      </c>
      <c r="J14" s="127">
        <f>E9</f>
        <v>0</v>
      </c>
      <c r="K14" s="128" t="s">
        <v>189</v>
      </c>
      <c r="L14" s="129"/>
      <c r="M14" s="116" t="s">
        <v>194</v>
      </c>
      <c r="N14" s="117">
        <f>SUMPRODUCT(J15:J18,$K$9:$K$12)/4</f>
        <v>0</v>
      </c>
      <c r="O14" s="121">
        <f t="shared" si="0"/>
        <v>0</v>
      </c>
      <c r="P14" s="121">
        <f t="shared" si="1"/>
        <v>0</v>
      </c>
      <c r="S14" s="130"/>
      <c r="T14" s="130"/>
      <c r="U14" s="130"/>
      <c r="V14" s="130"/>
      <c r="W14" s="130"/>
      <c r="X14" s="130"/>
      <c r="Y14" s="130"/>
      <c r="Z14" s="130"/>
      <c r="AA14" s="130"/>
      <c r="AB14" s="131"/>
    </row>
    <row r="15" spans="1:28" x14ac:dyDescent="0.35">
      <c r="G15" s="127">
        <v>1</v>
      </c>
      <c r="H15" s="127">
        <v>1</v>
      </c>
      <c r="I15" s="127">
        <v>1</v>
      </c>
      <c r="J15" s="127">
        <v>-1</v>
      </c>
      <c r="K15" s="127">
        <v>1</v>
      </c>
    </row>
    <row r="16" spans="1:28" x14ac:dyDescent="0.35">
      <c r="G16" s="127">
        <v>2</v>
      </c>
      <c r="H16" s="127">
        <v>-1</v>
      </c>
      <c r="I16" s="127">
        <v>1</v>
      </c>
      <c r="J16" s="127">
        <v>1</v>
      </c>
      <c r="K16" s="127">
        <v>1</v>
      </c>
      <c r="M16" s="115" t="s">
        <v>196</v>
      </c>
      <c r="N16" s="132">
        <f>linéarité!D12</f>
        <v>0</v>
      </c>
    </row>
    <row r="17" spans="7:15" x14ac:dyDescent="0.35">
      <c r="G17" s="127">
        <v>3</v>
      </c>
      <c r="H17" s="127">
        <v>1</v>
      </c>
      <c r="I17" s="127">
        <v>-1</v>
      </c>
      <c r="J17" s="127">
        <v>1</v>
      </c>
      <c r="K17" s="127">
        <v>1</v>
      </c>
      <c r="M17" s="115" t="s">
        <v>197</v>
      </c>
      <c r="N17" s="132">
        <f>2/100*N16</f>
        <v>0</v>
      </c>
      <c r="O17" s="133"/>
    </row>
    <row r="18" spans="7:15" x14ac:dyDescent="0.35">
      <c r="G18" s="127">
        <v>4</v>
      </c>
      <c r="H18" s="127">
        <v>-1</v>
      </c>
      <c r="I18" s="127">
        <v>-1</v>
      </c>
      <c r="J18" s="127">
        <v>-1</v>
      </c>
      <c r="K18" s="127">
        <v>1</v>
      </c>
      <c r="M18" s="115" t="s">
        <v>198</v>
      </c>
      <c r="N18" s="132">
        <f>-2/100*N16</f>
        <v>0</v>
      </c>
      <c r="O18" s="133"/>
    </row>
    <row r="20" spans="7:15" x14ac:dyDescent="0.35">
      <c r="N20" s="121"/>
    </row>
    <row r="21" spans="7:15" x14ac:dyDescent="0.35">
      <c r="N21" s="121"/>
    </row>
    <row r="22" spans="7:15" x14ac:dyDescent="0.35">
      <c r="N22" s="121"/>
    </row>
    <row r="27" spans="7:15" x14ac:dyDescent="0.35">
      <c r="G27" s="111"/>
      <c r="H27" s="111"/>
      <c r="I27" s="111"/>
      <c r="J27" s="111"/>
      <c r="K27" s="111"/>
    </row>
    <row r="28" spans="7:15" x14ac:dyDescent="0.35">
      <c r="G28" s="111"/>
      <c r="H28" s="111"/>
      <c r="I28" s="111"/>
      <c r="J28" s="111"/>
      <c r="K28" s="111"/>
    </row>
    <row r="29" spans="7:15" x14ac:dyDescent="0.35">
      <c r="G29" s="111"/>
      <c r="H29" s="111"/>
      <c r="I29" s="111"/>
      <c r="J29" s="111"/>
      <c r="K29" s="111"/>
    </row>
    <row r="30" spans="7:15" x14ac:dyDescent="0.35">
      <c r="G30" s="111"/>
      <c r="H30" s="111"/>
      <c r="I30" s="111"/>
      <c r="J30" s="111"/>
      <c r="K30" s="111"/>
    </row>
    <row r="31" spans="7:15" x14ac:dyDescent="0.35">
      <c r="G31" s="111"/>
      <c r="H31" s="111"/>
      <c r="I31" s="111"/>
      <c r="J31" s="111"/>
      <c r="K31" s="111"/>
    </row>
  </sheetData>
  <sheetProtection algorithmName="SHA-512" hashValue="8sLDu+YDz6rkMoSTktfwdyUTQJFxGOE0/r37jKpgqoVtBma+2J1WGN/VmWY6uQ/hNflGMGSDhkm9Wp4L7b++qw==" saltValue="jI5t//KBbFhB8gX/UlCEcw==" spinCount="100000" sheet="1" objects="1" scenarios="1"/>
  <protectedRanges>
    <protectedRange sqref="K9:K12 C9:E12" name="Plage1"/>
  </protectedRanges>
  <mergeCells count="3">
    <mergeCell ref="B2:C2"/>
    <mergeCell ref="B3:T3"/>
    <mergeCell ref="C8:E8"/>
  </mergeCells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I10:I11 H9:I9 N10:N12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Bilan</vt:lpstr>
      <vt:lpstr>linéarité</vt:lpstr>
      <vt:lpstr>justesse</vt:lpstr>
      <vt:lpstr>fidélité</vt:lpstr>
      <vt:lpstr>robustesse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</cp:lastModifiedBy>
  <cp:lastPrinted>2015-09-17T14:06:17Z</cp:lastPrinted>
  <dcterms:created xsi:type="dcterms:W3CDTF">2013-03-26T09:15:30Z</dcterms:created>
  <dcterms:modified xsi:type="dcterms:W3CDTF">2017-03-14T08:56:14Z</dcterms:modified>
</cp:coreProperties>
</file>