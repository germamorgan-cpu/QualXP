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filterPrivacy="1" defaultThemeVersion="124226"/>
  <xr:revisionPtr revIDLastSave="0" documentId="13_ncr:1_{821C9D4F-1B0F-4FE7-AE80-E93C3F69E26B}" xr6:coauthVersionLast="47" xr6:coauthVersionMax="47" xr10:uidLastSave="{00000000-0000-0000-0000-000000000000}"/>
  <bookViews>
    <workbookView xWindow="-120" yWindow="-120" windowWidth="29040" windowHeight="15720" tabRatio="922" activeTab="3" xr2:uid="{00000000-000D-0000-FFFF-FFFF00000000}"/>
  </bookViews>
  <sheets>
    <sheet name="test de dilution" sheetId="5" r:id="rId1"/>
    <sheet name="test d'interférence" sheetId="6" r:id="rId2"/>
    <sheet name="moindres carrés" sheetId="7" r:id="rId3"/>
    <sheet name="moindres rectangles" sheetId="4" r:id="rId4"/>
    <sheet name="pondéré" sheetId="10" r:id="rId5"/>
  </sheets>
  <externalReferences>
    <externalReference r:id="rId6"/>
  </externalReferences>
  <definedNames>
    <definedName name="ANALYTES">'[1]données 1'!$T$6:$T$479</definedName>
    <definedName name="_xlnm.Print_Area" localSheetId="2">'moindres carrés'!$A$2:$T$95</definedName>
    <definedName name="_xlnm.Print_Area" localSheetId="3">'moindres rectangles'!$B$2:$K$42</definedName>
    <definedName name="_xlnm.Print_Area" localSheetId="0">'test de dilution'!$B$2:$L$49</definedName>
    <definedName name="_xlnm.Print_Area" localSheetId="1">'test d''interférence'!$B$1:$N$55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49" i="6" l="1"/>
  <c r="B47" i="6"/>
  <c r="G30" i="4"/>
  <c r="H30" i="4"/>
  <c r="G32" i="4"/>
  <c r="H32" i="4"/>
  <c r="I29" i="4" l="1"/>
  <c r="N25" i="4" l="1"/>
  <c r="N32" i="4" l="1"/>
  <c r="N19" i="4"/>
  <c r="G106" i="7" l="1"/>
  <c r="C101" i="7" a="1"/>
  <c r="D102" i="7" s="1"/>
  <c r="C104" i="7" l="1"/>
  <c r="C102" i="7"/>
  <c r="D105" i="7"/>
  <c r="D103" i="7"/>
  <c r="D101" i="7"/>
  <c r="C105" i="7"/>
  <c r="C103" i="7"/>
  <c r="C101" i="7"/>
  <c r="D104" i="7"/>
  <c r="C107" i="7"/>
  <c r="C106" i="7"/>
  <c r="G107" i="7" l="1"/>
  <c r="G108" i="7" s="1"/>
  <c r="G109" i="7" s="1"/>
  <c r="G113" i="7" s="1"/>
  <c r="C111" i="7"/>
  <c r="F113" i="7" l="1"/>
  <c r="C115" i="7"/>
  <c r="C116" i="7"/>
  <c r="C112" i="7"/>
  <c r="F112" i="7" l="1"/>
  <c r="C16" i="10" l="1"/>
  <c r="C15" i="10"/>
  <c r="C14" i="10"/>
  <c r="C13" i="10"/>
  <c r="C12" i="10"/>
  <c r="L13" i="10" l="1"/>
  <c r="L14" i="10"/>
  <c r="L15" i="10"/>
  <c r="L16" i="10"/>
  <c r="L12" i="10"/>
  <c r="J13" i="10" l="1"/>
  <c r="J12" i="10"/>
  <c r="K12" i="10" s="1"/>
  <c r="I17" i="10"/>
  <c r="J17" i="10"/>
  <c r="K17" i="10" s="1"/>
  <c r="D34" i="7"/>
  <c r="L12" i="7"/>
  <c r="K21" i="7"/>
  <c r="K22" i="7" s="1"/>
  <c r="K23" i="7" s="1"/>
  <c r="K24" i="7" s="1"/>
  <c r="M20" i="7"/>
  <c r="N20" i="7"/>
  <c r="K36" i="7"/>
  <c r="K37" i="7" s="1"/>
  <c r="K38" i="7" s="1"/>
  <c r="K39" i="7" s="1"/>
  <c r="K31" i="7"/>
  <c r="K32" i="7" s="1"/>
  <c r="K33" i="7" s="1"/>
  <c r="K34" i="7" s="1"/>
  <c r="K26" i="7"/>
  <c r="K27" i="7" s="1"/>
  <c r="K28" i="7" s="1"/>
  <c r="K29" i="7" s="1"/>
  <c r="K16" i="7"/>
  <c r="K17" i="7" s="1"/>
  <c r="K18" i="7" s="1"/>
  <c r="K19" i="7" s="1"/>
  <c r="K11" i="7"/>
  <c r="K12" i="7" l="1"/>
  <c r="K13" i="7" s="1"/>
  <c r="L13" i="7"/>
  <c r="N17" i="10"/>
  <c r="O17" i="10"/>
  <c r="L14" i="7" l="1"/>
  <c r="M17" i="10"/>
  <c r="P17" i="10"/>
  <c r="C65" i="7" l="1"/>
  <c r="K13" i="10" l="1"/>
  <c r="J14" i="10"/>
  <c r="K14" i="10" s="1"/>
  <c r="J15" i="10"/>
  <c r="K15" i="10" s="1"/>
  <c r="J16" i="10"/>
  <c r="K16" i="10" s="1"/>
  <c r="U54" i="7" l="1"/>
  <c r="U55" i="7"/>
  <c r="U56" i="7"/>
  <c r="U57" i="7"/>
  <c r="U58" i="7"/>
  <c r="U59" i="7"/>
  <c r="U60" i="7"/>
  <c r="U61" i="7"/>
  <c r="U62" i="7"/>
  <c r="U63" i="7"/>
  <c r="U64" i="7"/>
  <c r="U65" i="7"/>
  <c r="U66" i="7"/>
  <c r="U67" i="7"/>
  <c r="U68" i="7"/>
  <c r="P10" i="6" l="1"/>
  <c r="Q10" i="6"/>
  <c r="P13" i="6"/>
  <c r="Q13" i="6"/>
  <c r="P16" i="6"/>
  <c r="Q16" i="6"/>
  <c r="P19" i="6"/>
  <c r="Q19" i="6"/>
  <c r="P22" i="6"/>
  <c r="Q22" i="6"/>
  <c r="K10" i="6"/>
  <c r="K11" i="6"/>
  <c r="F20" i="6" l="1"/>
  <c r="D19" i="6" s="1"/>
  <c r="T31" i="6"/>
  <c r="R34" i="6"/>
  <c r="R31" i="6"/>
  <c r="Q31" i="6"/>
  <c r="U34" i="6"/>
  <c r="U32" i="6" s="1"/>
  <c r="S34" i="6" l="1"/>
  <c r="U36" i="6"/>
  <c r="S31" i="6"/>
  <c r="U31" i="6"/>
  <c r="U33" i="6" s="1"/>
  <c r="X35" i="6" s="1"/>
  <c r="T34" i="6" l="1"/>
  <c r="T32" i="6" s="1"/>
  <c r="T33" i="6" s="1"/>
  <c r="V31" i="6"/>
  <c r="X36" i="6"/>
  <c r="X34" i="6"/>
  <c r="X32" i="6"/>
  <c r="AA56" i="7"/>
  <c r="X56" i="7"/>
  <c r="Y59" i="7"/>
  <c r="Y56" i="7"/>
  <c r="AB59" i="7"/>
  <c r="AB61" i="7" s="1"/>
  <c r="V34" i="6" l="1"/>
  <c r="V32" i="6"/>
  <c r="AB57" i="7"/>
  <c r="Y33" i="6"/>
  <c r="Y32" i="6"/>
  <c r="Z59" i="7"/>
  <c r="AB56" i="7"/>
  <c r="Z56" i="7"/>
  <c r="AA59" i="7" l="1"/>
  <c r="AA57" i="7" s="1"/>
  <c r="AB58" i="7"/>
  <c r="AE59" i="7" s="1"/>
  <c r="V33" i="6"/>
  <c r="AC56" i="7"/>
  <c r="AE60" i="7" l="1"/>
  <c r="AE57" i="7"/>
  <c r="AE61" i="7"/>
  <c r="AC59" i="7"/>
  <c r="W32" i="6"/>
  <c r="W34" i="6"/>
  <c r="AC57" i="7"/>
  <c r="AF57" i="7"/>
  <c r="AA58" i="7"/>
  <c r="AF58" i="7" l="1"/>
  <c r="AC58" i="7"/>
  <c r="AD57" i="7" l="1"/>
  <c r="AD59" i="7"/>
  <c r="I12" i="10" l="1"/>
  <c r="M12" i="10" s="1"/>
  <c r="I13" i="10"/>
  <c r="I14" i="10"/>
  <c r="I15" i="10"/>
  <c r="I16" i="10"/>
  <c r="C43" i="10"/>
  <c r="M10" i="7"/>
  <c r="N10" i="7"/>
  <c r="M15" i="7"/>
  <c r="N15" i="7"/>
  <c r="M25" i="7"/>
  <c r="N25" i="7"/>
  <c r="M30" i="7"/>
  <c r="N30" i="7"/>
  <c r="M35" i="7"/>
  <c r="N35" i="7"/>
  <c r="J43" i="7"/>
  <c r="F55" i="7"/>
  <c r="D65" i="7"/>
  <c r="K9" i="6"/>
  <c r="M10" i="6"/>
  <c r="K14" i="6"/>
  <c r="M14" i="6" s="1"/>
  <c r="K13" i="6"/>
  <c r="K15" i="6"/>
  <c r="M15" i="6" s="1"/>
  <c r="K16" i="6"/>
  <c r="M16" i="6" s="1"/>
  <c r="D42" i="6"/>
  <c r="K21" i="6"/>
  <c r="M21" i="6" s="1"/>
  <c r="K22" i="6"/>
  <c r="M22" i="6" s="1"/>
  <c r="E34" i="6"/>
  <c r="E35" i="6" s="1"/>
  <c r="F34" i="6"/>
  <c r="F35" i="6" s="1"/>
  <c r="C44" i="6"/>
  <c r="D44" i="6"/>
  <c r="G11" i="5"/>
  <c r="G17" i="5" s="1"/>
  <c r="G18" i="5" s="1"/>
  <c r="J11" i="5"/>
  <c r="K11" i="5"/>
  <c r="L11" i="5"/>
  <c r="G12" i="5"/>
  <c r="J12" i="5"/>
  <c r="J13" i="5"/>
  <c r="H14" i="5"/>
  <c r="J14" i="5"/>
  <c r="K14" i="5"/>
  <c r="F15" i="5"/>
  <c r="J15" i="5" s="1"/>
  <c r="F16" i="5"/>
  <c r="J16" i="5" s="1"/>
  <c r="H17" i="5"/>
  <c r="L17" i="5" s="1"/>
  <c r="J17" i="5"/>
  <c r="K17" i="5"/>
  <c r="F18" i="5"/>
  <c r="J18" i="5" s="1"/>
  <c r="F19" i="5"/>
  <c r="J19" i="5" s="1"/>
  <c r="G19" i="5"/>
  <c r="H20" i="5"/>
  <c r="L20" i="5" s="1"/>
  <c r="J20" i="5"/>
  <c r="K20" i="5"/>
  <c r="F21" i="5"/>
  <c r="J21" i="5" s="1"/>
  <c r="F22" i="5"/>
  <c r="J22" i="5" s="1"/>
  <c r="H23" i="5"/>
  <c r="J23" i="5"/>
  <c r="K23" i="5"/>
  <c r="L23" i="5"/>
  <c r="F24" i="5"/>
  <c r="J24" i="5" s="1"/>
  <c r="F25" i="5"/>
  <c r="J25" i="5" s="1"/>
  <c r="G42" i="5"/>
  <c r="H42" i="5"/>
  <c r="P3" i="4"/>
  <c r="P4" i="4"/>
  <c r="E5" i="4"/>
  <c r="N5" i="4"/>
  <c r="O5" i="4"/>
  <c r="P5" i="4"/>
  <c r="E6" i="4"/>
  <c r="N6" i="4"/>
  <c r="O6" i="4"/>
  <c r="P6" i="4"/>
  <c r="E7" i="4"/>
  <c r="G7" i="4"/>
  <c r="P7" i="4"/>
  <c r="E8" i="4"/>
  <c r="P8" i="4"/>
  <c r="E9" i="4"/>
  <c r="P9" i="4"/>
  <c r="E10" i="4"/>
  <c r="P10" i="4"/>
  <c r="E11" i="4"/>
  <c r="P11" i="4"/>
  <c r="E12" i="4"/>
  <c r="P12" i="4"/>
  <c r="E13" i="4"/>
  <c r="O13" i="4"/>
  <c r="P13" i="4"/>
  <c r="E14" i="4"/>
  <c r="P14" i="4"/>
  <c r="E15" i="4"/>
  <c r="P15" i="4"/>
  <c r="E16" i="4"/>
  <c r="N16" i="4"/>
  <c r="N9" i="4" s="1"/>
  <c r="N10" i="4" s="1"/>
  <c r="O16" i="4"/>
  <c r="O9" i="4" s="1"/>
  <c r="O10" i="4" s="1"/>
  <c r="P16" i="4"/>
  <c r="E17" i="4"/>
  <c r="P17" i="4"/>
  <c r="E18" i="4"/>
  <c r="P18" i="4"/>
  <c r="E19" i="4"/>
  <c r="P19" i="4"/>
  <c r="E20" i="4"/>
  <c r="P20" i="4"/>
  <c r="E21" i="4"/>
  <c r="P21" i="4"/>
  <c r="E22" i="4"/>
  <c r="P22" i="4"/>
  <c r="E23" i="4"/>
  <c r="P23" i="4"/>
  <c r="Q23" i="4"/>
  <c r="R23" i="4"/>
  <c r="S23" i="4"/>
  <c r="T23" i="4"/>
  <c r="E24" i="4"/>
  <c r="P24" i="4"/>
  <c r="Q24" i="4"/>
  <c r="R24" i="4"/>
  <c r="S24" i="4"/>
  <c r="T24" i="4"/>
  <c r="E25" i="4"/>
  <c r="P25" i="4"/>
  <c r="Q25" i="4"/>
  <c r="R25" i="4"/>
  <c r="S25" i="4"/>
  <c r="T25" i="4"/>
  <c r="E26" i="4"/>
  <c r="P26" i="4"/>
  <c r="Q26" i="4"/>
  <c r="R26" i="4"/>
  <c r="S26" i="4"/>
  <c r="T26" i="4"/>
  <c r="E27" i="4"/>
  <c r="P27" i="4"/>
  <c r="Q27" i="4"/>
  <c r="R27" i="4"/>
  <c r="S27" i="4"/>
  <c r="T27" i="4"/>
  <c r="E28" i="4"/>
  <c r="P28" i="4"/>
  <c r="Q28" i="4"/>
  <c r="R28" i="4"/>
  <c r="S28" i="4"/>
  <c r="T28" i="4"/>
  <c r="E29" i="4"/>
  <c r="P29" i="4"/>
  <c r="Q29" i="4"/>
  <c r="R29" i="4"/>
  <c r="S29" i="4"/>
  <c r="T29" i="4"/>
  <c r="E30" i="4"/>
  <c r="P30" i="4"/>
  <c r="Q30" i="4"/>
  <c r="R30" i="4"/>
  <c r="S30" i="4"/>
  <c r="T30" i="4"/>
  <c r="E31" i="4"/>
  <c r="P31" i="4"/>
  <c r="Q31" i="4"/>
  <c r="R31" i="4"/>
  <c r="S31" i="4"/>
  <c r="T31" i="4"/>
  <c r="E32" i="4"/>
  <c r="P32" i="4"/>
  <c r="Q32" i="4"/>
  <c r="R32" i="4"/>
  <c r="S32" i="4"/>
  <c r="T32" i="4"/>
  <c r="E33" i="4"/>
  <c r="E34" i="4"/>
  <c r="G5" i="4" l="1"/>
  <c r="G29" i="4" s="1"/>
  <c r="M29" i="4" s="1"/>
  <c r="N13" i="4" s="1"/>
  <c r="H29" i="4"/>
  <c r="C64" i="7"/>
  <c r="C61" i="7" s="1"/>
  <c r="D33" i="7"/>
  <c r="L14" i="5"/>
  <c r="J31" i="5"/>
  <c r="K18" i="6"/>
  <c r="M18" i="6" s="1"/>
  <c r="M9" i="6"/>
  <c r="L9" i="6" s="1"/>
  <c r="I41" i="5"/>
  <c r="M13" i="6"/>
  <c r="D63" i="7"/>
  <c r="G23" i="5"/>
  <c r="K20" i="6"/>
  <c r="M20" i="6" s="1"/>
  <c r="K12" i="6"/>
  <c r="M12" i="6" s="1"/>
  <c r="L12" i="6" s="1"/>
  <c r="J29" i="5"/>
  <c r="K23" i="6"/>
  <c r="M23" i="6" s="1"/>
  <c r="L21" i="6" s="1"/>
  <c r="K19" i="6"/>
  <c r="M19" i="6" s="1"/>
  <c r="K17" i="6"/>
  <c r="M11" i="6"/>
  <c r="D40" i="6"/>
  <c r="D43" i="6" s="1"/>
  <c r="G41" i="6" s="1"/>
  <c r="G14" i="5"/>
  <c r="C43" i="6"/>
  <c r="P15" i="10"/>
  <c r="C40" i="6"/>
  <c r="K14" i="7"/>
  <c r="F85" i="7" s="1"/>
  <c r="G20" i="5"/>
  <c r="D61" i="7"/>
  <c r="D64" i="7" s="1"/>
  <c r="G62" i="7" s="1"/>
  <c r="G13" i="5"/>
  <c r="H38" i="5"/>
  <c r="H41" i="5" s="1"/>
  <c r="K39" i="5" s="1"/>
  <c r="H40" i="5"/>
  <c r="M22" i="4" l="1"/>
  <c r="G6" i="4"/>
  <c r="D41" i="7"/>
  <c r="D42" i="7"/>
  <c r="L18" i="10"/>
  <c r="M17" i="6"/>
  <c r="L15" i="6" s="1"/>
  <c r="G42" i="6"/>
  <c r="E43" i="6"/>
  <c r="L18" i="6"/>
  <c r="C35" i="6"/>
  <c r="G24" i="5"/>
  <c r="G25" i="5"/>
  <c r="E61" i="7"/>
  <c r="G15" i="5"/>
  <c r="G16" i="5"/>
  <c r="D25" i="6" a="1"/>
  <c r="K40" i="5"/>
  <c r="C55" i="7"/>
  <c r="O12" i="10"/>
  <c r="P12" i="10"/>
  <c r="N12" i="10"/>
  <c r="O14" i="10"/>
  <c r="P14" i="10"/>
  <c r="M14" i="10"/>
  <c r="N14" i="10"/>
  <c r="O16" i="10"/>
  <c r="P16" i="10"/>
  <c r="M16" i="10"/>
  <c r="N16" i="10"/>
  <c r="O13" i="10"/>
  <c r="P13" i="10"/>
  <c r="M13" i="10"/>
  <c r="N13" i="10"/>
  <c r="O15" i="10"/>
  <c r="M15" i="10"/>
  <c r="N15" i="10"/>
  <c r="G41" i="5"/>
  <c r="G38" i="5" s="1"/>
  <c r="D44" i="7" a="1"/>
  <c r="S19" i="4"/>
  <c r="G63" i="7"/>
  <c r="G22" i="5"/>
  <c r="G21" i="5"/>
  <c r="E40" i="6"/>
  <c r="E64" i="7"/>
  <c r="N24" i="4" l="1"/>
  <c r="H6" i="4"/>
  <c r="I6" i="4"/>
  <c r="J6" i="4"/>
  <c r="N31" i="4"/>
  <c r="R9" i="4"/>
  <c r="Q3" i="4"/>
  <c r="Q9" i="4"/>
  <c r="G88" i="7"/>
  <c r="G94" i="7"/>
  <c r="G93" i="7"/>
  <c r="F90" i="7"/>
  <c r="G90" i="7"/>
  <c r="F92" i="7"/>
  <c r="G92" i="7"/>
  <c r="F91" i="7"/>
  <c r="F94" i="7"/>
  <c r="F93" i="7"/>
  <c r="G91" i="7"/>
  <c r="G86" i="7"/>
  <c r="F86" i="7"/>
  <c r="F87" i="7"/>
  <c r="G89" i="7"/>
  <c r="G112" i="7"/>
  <c r="F89" i="7"/>
  <c r="F88" i="7"/>
  <c r="G87" i="7"/>
  <c r="G85" i="7"/>
  <c r="R21" i="4"/>
  <c r="Q18" i="4"/>
  <c r="T7" i="4"/>
  <c r="T12" i="4"/>
  <c r="T22" i="4"/>
  <c r="T9" i="4"/>
  <c r="Q17" i="4"/>
  <c r="Q6" i="4"/>
  <c r="R15" i="4"/>
  <c r="R22" i="4"/>
  <c r="T8" i="4"/>
  <c r="O17" i="4"/>
  <c r="R5" i="4"/>
  <c r="T17" i="4"/>
  <c r="S5" i="4"/>
  <c r="Q13" i="4"/>
  <c r="T21" i="4"/>
  <c r="T11" i="4"/>
  <c r="T18" i="4"/>
  <c r="Q4" i="4"/>
  <c r="Q20" i="4"/>
  <c r="Q15" i="4"/>
  <c r="R13" i="4"/>
  <c r="S13" i="4"/>
  <c r="R6" i="4"/>
  <c r="T5" i="4"/>
  <c r="T15" i="4"/>
  <c r="S10" i="4"/>
  <c r="R14" i="4"/>
  <c r="S11" i="4"/>
  <c r="S8" i="4"/>
  <c r="S16" i="4"/>
  <c r="R8" i="4"/>
  <c r="Q14" i="4"/>
  <c r="S18" i="4"/>
  <c r="R16" i="4"/>
  <c r="S15" i="4"/>
  <c r="T16" i="4"/>
  <c r="Q12" i="4"/>
  <c r="R10" i="4"/>
  <c r="S22" i="4"/>
  <c r="Q7" i="4"/>
  <c r="Q22" i="4"/>
  <c r="Q19" i="4"/>
  <c r="Q5" i="4"/>
  <c r="S6" i="4"/>
  <c r="S21" i="4"/>
  <c r="Q16" i="4"/>
  <c r="T14" i="4"/>
  <c r="R19" i="4"/>
  <c r="T6" i="4"/>
  <c r="S17" i="4"/>
  <c r="S3" i="4"/>
  <c r="T3" i="4"/>
  <c r="T19" i="4"/>
  <c r="N17" i="4"/>
  <c r="D26" i="6"/>
  <c r="D29" i="6"/>
  <c r="E28" i="6"/>
  <c r="D27" i="6"/>
  <c r="D28" i="6"/>
  <c r="E26" i="6"/>
  <c r="E25" i="6"/>
  <c r="D25" i="6"/>
  <c r="E29" i="6"/>
  <c r="E27" i="6"/>
  <c r="T20" i="4"/>
  <c r="T13" i="4"/>
  <c r="Q10" i="4"/>
  <c r="S7" i="4"/>
  <c r="S12" i="4"/>
  <c r="S4" i="4"/>
  <c r="T4" i="4"/>
  <c r="R20" i="4"/>
  <c r="R17" i="4"/>
  <c r="R11" i="4"/>
  <c r="R4" i="4"/>
  <c r="S9" i="4"/>
  <c r="R7" i="4"/>
  <c r="S20" i="4"/>
  <c r="R3" i="4"/>
  <c r="R18" i="4"/>
  <c r="S14" i="4"/>
  <c r="R12" i="4"/>
  <c r="Q11" i="4"/>
  <c r="T10" i="4"/>
  <c r="Q8" i="4"/>
  <c r="K6" i="4"/>
  <c r="Q21" i="4"/>
  <c r="N18" i="10"/>
  <c r="O18" i="10"/>
  <c r="M18" i="10"/>
  <c r="P22" i="10" s="1"/>
  <c r="P18" i="10"/>
  <c r="P24" i="10" s="1"/>
  <c r="I38" i="5"/>
  <c r="G28" i="5" a="1"/>
  <c r="E45" i="7"/>
  <c r="E47" i="7"/>
  <c r="D44" i="7"/>
  <c r="D46" i="7"/>
  <c r="D48" i="7"/>
  <c r="E44" i="7"/>
  <c r="D47" i="7"/>
  <c r="D45" i="7"/>
  <c r="E46" i="7"/>
  <c r="E48" i="7"/>
  <c r="Q54" i="7" l="1"/>
  <c r="C34" i="6"/>
  <c r="AA60" i="7"/>
  <c r="AA61" i="7" s="1"/>
  <c r="C62" i="7"/>
  <c r="C63" i="7" s="1"/>
  <c r="R52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52" i="7"/>
  <c r="S52" i="7"/>
  <c r="Q56" i="7"/>
  <c r="Q57" i="7"/>
  <c r="Q58" i="7"/>
  <c r="Q59" i="7"/>
  <c r="Q60" i="7"/>
  <c r="Q61" i="7"/>
  <c r="Q62" i="7"/>
  <c r="Q63" i="7"/>
  <c r="Q64" i="7"/>
  <c r="Q65" i="7"/>
  <c r="Q66" i="7"/>
  <c r="Q67" i="7"/>
  <c r="Q68" i="7"/>
  <c r="Q69" i="7"/>
  <c r="Q70" i="7"/>
  <c r="Q71" i="7"/>
  <c r="Q72" i="7"/>
  <c r="Q73" i="7"/>
  <c r="Q74" i="7"/>
  <c r="Q75" i="7"/>
  <c r="Q76" i="7"/>
  <c r="Q77" i="7"/>
  <c r="Q78" i="7"/>
  <c r="Q79" i="7"/>
  <c r="Q80" i="7"/>
  <c r="R57" i="7"/>
  <c r="R59" i="7"/>
  <c r="R62" i="7"/>
  <c r="R64" i="7"/>
  <c r="R66" i="7"/>
  <c r="R68" i="7"/>
  <c r="R69" i="7"/>
  <c r="R71" i="7"/>
  <c r="R73" i="7"/>
  <c r="R75" i="7"/>
  <c r="R77" i="7"/>
  <c r="R79" i="7"/>
  <c r="Q52" i="7"/>
  <c r="S56" i="7"/>
  <c r="S57" i="7"/>
  <c r="S58" i="7"/>
  <c r="S59" i="7"/>
  <c r="S60" i="7"/>
  <c r="S61" i="7"/>
  <c r="S62" i="7"/>
  <c r="S63" i="7"/>
  <c r="S64" i="7"/>
  <c r="S65" i="7"/>
  <c r="S66" i="7"/>
  <c r="S67" i="7"/>
  <c r="S68" i="7"/>
  <c r="S69" i="7"/>
  <c r="S70" i="7"/>
  <c r="S71" i="7"/>
  <c r="S72" i="7"/>
  <c r="S73" i="7"/>
  <c r="S74" i="7"/>
  <c r="S75" i="7"/>
  <c r="S76" i="7"/>
  <c r="S77" i="7"/>
  <c r="S78" i="7"/>
  <c r="S79" i="7"/>
  <c r="S80" i="7"/>
  <c r="P51" i="7"/>
  <c r="R56" i="7"/>
  <c r="R58" i="7"/>
  <c r="R60" i="7"/>
  <c r="R61" i="7"/>
  <c r="R63" i="7"/>
  <c r="R65" i="7"/>
  <c r="R67" i="7"/>
  <c r="R70" i="7"/>
  <c r="R72" i="7"/>
  <c r="R74" i="7"/>
  <c r="R76" i="7"/>
  <c r="R78" i="7"/>
  <c r="R80" i="7"/>
  <c r="R53" i="7"/>
  <c r="S53" i="7"/>
  <c r="Q53" i="7"/>
  <c r="P53" i="7"/>
  <c r="P54" i="7"/>
  <c r="S54" i="7"/>
  <c r="R54" i="7"/>
  <c r="S55" i="7"/>
  <c r="Q55" i="7"/>
  <c r="P55" i="7"/>
  <c r="R55" i="7"/>
  <c r="C41" i="6"/>
  <c r="E41" i="6" s="1"/>
  <c r="F41" i="6" s="1"/>
  <c r="T35" i="6"/>
  <c r="S51" i="7"/>
  <c r="R51" i="7"/>
  <c r="F54" i="7"/>
  <c r="J44" i="7"/>
  <c r="E63" i="7"/>
  <c r="F63" i="7" s="1"/>
  <c r="P27" i="10"/>
  <c r="P23" i="10"/>
  <c r="P25" i="10"/>
  <c r="P26" i="10"/>
  <c r="G29" i="5"/>
  <c r="H30" i="5"/>
  <c r="H32" i="5"/>
  <c r="G32" i="5"/>
  <c r="G39" i="5" s="1"/>
  <c r="H29" i="5"/>
  <c r="H31" i="5"/>
  <c r="C37" i="5" s="1"/>
  <c r="G28" i="5"/>
  <c r="G30" i="5"/>
  <c r="H28" i="5"/>
  <c r="G31" i="5"/>
  <c r="C54" i="7"/>
  <c r="Q51" i="7"/>
  <c r="C36" i="5" l="1"/>
  <c r="J45" i="7"/>
  <c r="L45" i="7" s="1"/>
  <c r="P29" i="10"/>
  <c r="P30" i="10" s="1"/>
  <c r="N27" i="10" s="1"/>
  <c r="E62" i="7"/>
  <c r="F62" i="7" s="1"/>
  <c r="C42" i="6"/>
  <c r="E42" i="6" s="1"/>
  <c r="F42" i="6" s="1"/>
  <c r="V35" i="6"/>
  <c r="W35" i="6" s="1"/>
  <c r="Y35" i="6"/>
  <c r="T36" i="6"/>
  <c r="AF60" i="7"/>
  <c r="AC60" i="7"/>
  <c r="AD60" i="7" s="1"/>
  <c r="I39" i="5"/>
  <c r="J39" i="5" s="1"/>
  <c r="G40" i="5"/>
  <c r="I40" i="5" s="1"/>
  <c r="J40" i="5" s="1"/>
  <c r="B40" i="5" s="1"/>
  <c r="B42" i="5" s="1"/>
  <c r="N24" i="10" l="1"/>
  <c r="M24" i="10" s="1"/>
  <c r="L24" i="10" s="1"/>
  <c r="L31" i="10" s="1"/>
  <c r="N28" i="10"/>
  <c r="N25" i="10"/>
  <c r="M25" i="10" s="1"/>
  <c r="L25" i="10" s="1"/>
  <c r="M32" i="10" s="1"/>
  <c r="N23" i="10"/>
  <c r="N26" i="10"/>
  <c r="M26" i="10" s="1"/>
  <c r="L26" i="10" s="1"/>
  <c r="L33" i="10" s="1"/>
  <c r="C44" i="10"/>
  <c r="C45" i="10" s="1"/>
  <c r="C46" i="10" s="1"/>
  <c r="V36" i="6"/>
  <c r="W36" i="6" s="1"/>
  <c r="Y36" i="6"/>
  <c r="Y31" i="6" s="1"/>
  <c r="AF61" i="7"/>
  <c r="AF56" i="7" s="1"/>
  <c r="AC61" i="7"/>
  <c r="AD61" i="7" s="1"/>
  <c r="M45" i="7"/>
  <c r="J46" i="7"/>
  <c r="M27" i="10"/>
  <c r="L27" i="10" s="1"/>
  <c r="L34" i="10" s="1"/>
  <c r="M23" i="10" l="1"/>
  <c r="L23" i="10" s="1"/>
  <c r="L30" i="10" s="1"/>
  <c r="M31" i="10"/>
  <c r="L32" i="10"/>
  <c r="M33" i="10"/>
  <c r="E45" i="10"/>
  <c r="F45" i="10"/>
  <c r="M34" i="10"/>
  <c r="M30" i="10" l="1"/>
</calcChain>
</file>

<file path=xl/sharedStrings.xml><?xml version="1.0" encoding="utf-8"?>
<sst xmlns="http://schemas.openxmlformats.org/spreadsheetml/2006/main" count="377" uniqueCount="187">
  <si>
    <t>Tobs</t>
  </si>
  <si>
    <t>Sb</t>
  </si>
  <si>
    <t>Pente à 1</t>
  </si>
  <si>
    <t>Sa</t>
  </si>
  <si>
    <t>Ordonnée à 0</t>
  </si>
  <si>
    <t>r</t>
  </si>
  <si>
    <t>y calculé</t>
  </si>
  <si>
    <t>Max</t>
  </si>
  <si>
    <t>Min</t>
  </si>
  <si>
    <t>sce X</t>
  </si>
  <si>
    <t>Sy/x</t>
  </si>
  <si>
    <t>y</t>
  </si>
  <si>
    <t>x</t>
  </si>
  <si>
    <t>bissectrice</t>
  </si>
  <si>
    <t>r²</t>
  </si>
  <si>
    <t>star Y</t>
  </si>
  <si>
    <t>ordonnée a</t>
  </si>
  <si>
    <t>star X</t>
  </si>
  <si>
    <t>IC 99%</t>
  </si>
  <si>
    <t>pente b</t>
  </si>
  <si>
    <t>tube 1</t>
  </si>
  <si>
    <t>écart-type</t>
  </si>
  <si>
    <t>moyenne</t>
  </si>
  <si>
    <t xml:space="preserve">coeff. de regression </t>
  </si>
  <si>
    <t xml:space="preserve">l'ordonnée de la pente </t>
  </si>
  <si>
    <t>Droite d'allométrie</t>
  </si>
  <si>
    <r>
      <t xml:space="preserve"> (X</t>
    </r>
    <r>
      <rPr>
        <vertAlign val="subscript"/>
        <sz val="10"/>
        <rFont val="Times New Roman"/>
        <family val="1"/>
      </rPr>
      <t>i</t>
    </r>
    <r>
      <rPr>
        <sz val="10"/>
        <rFont val="Times New Roman"/>
        <family val="1"/>
      </rPr>
      <t xml:space="preserve"> - Y</t>
    </r>
    <r>
      <rPr>
        <vertAlign val="subscript"/>
        <sz val="10"/>
        <rFont val="Times New Roman"/>
        <family val="1"/>
      </rPr>
      <t>i</t>
    </r>
    <r>
      <rPr>
        <sz val="10"/>
        <rFont val="Times New Roman"/>
        <family val="1"/>
      </rPr>
      <t>)</t>
    </r>
  </si>
  <si>
    <t>Federari</t>
  </si>
  <si>
    <t>Bosch</t>
  </si>
  <si>
    <t>lot</t>
  </si>
  <si>
    <t>IC-</t>
  </si>
  <si>
    <t>IC+</t>
  </si>
  <si>
    <t>IC X -</t>
  </si>
  <si>
    <t>IC X +</t>
  </si>
  <si>
    <t>CORRELATION EQUIPEMENT</t>
  </si>
  <si>
    <t>Remarque:</t>
  </si>
  <si>
    <t>total</t>
  </si>
  <si>
    <t>residuel</t>
  </si>
  <si>
    <t>CONCLUSION GENERALE</t>
  </si>
  <si>
    <t>linéarité</t>
  </si>
  <si>
    <t>pente reg</t>
  </si>
  <si>
    <t>Vérification de la dilution</t>
  </si>
  <si>
    <t>factoriel</t>
  </si>
  <si>
    <t>Fcrit(5%)</t>
  </si>
  <si>
    <t>Fobs</t>
  </si>
  <si>
    <t>CM</t>
  </si>
  <si>
    <t>ddl</t>
  </si>
  <si>
    <t>SCE</t>
  </si>
  <si>
    <t>fluctuation</t>
  </si>
  <si>
    <t>T crit (5%)</t>
  </si>
  <si>
    <t>ANOVA</t>
  </si>
  <si>
    <t>Ordonnée</t>
  </si>
  <si>
    <t>Test de Student</t>
  </si>
  <si>
    <t>SCEy/x</t>
  </si>
  <si>
    <t>SCE reg</t>
  </si>
  <si>
    <t>Freg</t>
  </si>
  <si>
    <t>Cochran 5%</t>
  </si>
  <si>
    <t>R²</t>
  </si>
  <si>
    <t>Cochran</t>
  </si>
  <si>
    <t>Regression</t>
  </si>
  <si>
    <t>échantillon</t>
  </si>
  <si>
    <t>réactif</t>
  </si>
  <si>
    <t>Opérateur</t>
  </si>
  <si>
    <t>corrigées</t>
  </si>
  <si>
    <t xml:space="preserve"> mesurées</t>
  </si>
  <si>
    <t>attendue</t>
  </si>
  <si>
    <t>Rdt%</t>
  </si>
  <si>
    <t>variance</t>
  </si>
  <si>
    <t>concentration</t>
  </si>
  <si>
    <t>D</t>
  </si>
  <si>
    <t>Facteur de dilution</t>
  </si>
  <si>
    <t xml:space="preserve"> Date</t>
  </si>
  <si>
    <t>Informations sur les conditions du test</t>
  </si>
  <si>
    <t>Instruments</t>
  </si>
  <si>
    <t>doc interne</t>
  </si>
  <si>
    <t>version 1.1</t>
  </si>
  <si>
    <t>: Bio-Santé,</t>
  </si>
  <si>
    <t>Laboratoire</t>
  </si>
  <si>
    <t>Paramètre</t>
  </si>
  <si>
    <t>TEST DE DILUTION</t>
  </si>
  <si>
    <r>
      <t>Remarque:</t>
    </r>
    <r>
      <rPr>
        <sz val="12"/>
        <rFont val="Verdana"/>
        <family val="2"/>
      </rPr>
      <t xml:space="preserve"> </t>
    </r>
  </si>
  <si>
    <t>Vérification de la surcharge</t>
  </si>
  <si>
    <t>T crit 5%</t>
  </si>
  <si>
    <t>max</t>
  </si>
  <si>
    <t>min</t>
  </si>
  <si>
    <t>Bissectrice</t>
  </si>
  <si>
    <t>Test de Student (qui indique l'écart à la bissectirce)</t>
  </si>
  <si>
    <t>Informations</t>
  </si>
  <si>
    <t>100</t>
  </si>
  <si>
    <t>Ccrit (5%)</t>
  </si>
  <si>
    <t>S²max</t>
  </si>
  <si>
    <t>Cobs</t>
  </si>
  <si>
    <t>50</t>
  </si>
  <si>
    <t>Test de Cochran</t>
  </si>
  <si>
    <t>10</t>
  </si>
  <si>
    <t>5</t>
  </si>
  <si>
    <t>0</t>
  </si>
  <si>
    <t>SCE y</t>
  </si>
  <si>
    <t>S²</t>
  </si>
  <si>
    <t>concentration attentue</t>
  </si>
  <si>
    <t>concentrations  mesurées</t>
  </si>
  <si>
    <t>Surcharge</t>
  </si>
  <si>
    <t>INTERFERENCE</t>
  </si>
  <si>
    <t>Origine</t>
  </si>
  <si>
    <t>niveau</t>
  </si>
  <si>
    <t>cas de 1 observation</t>
  </si>
  <si>
    <t>IC--</t>
  </si>
  <si>
    <t>IC++</t>
  </si>
  <si>
    <t>U[X]%</t>
  </si>
  <si>
    <t>U[X] = S'/b</t>
  </si>
  <si>
    <t>[X] =(y-a)/b</t>
  </si>
  <si>
    <t>moyenne y</t>
  </si>
  <si>
    <t>réponses y</t>
  </si>
  <si>
    <t>moyenne x</t>
  </si>
  <si>
    <t>SCE x</t>
  </si>
  <si>
    <t>Dosage:</t>
  </si>
  <si>
    <t>résultat Y</t>
  </si>
  <si>
    <t>cible X</t>
  </si>
  <si>
    <t>essai</t>
  </si>
  <si>
    <t>version 1.0</t>
  </si>
  <si>
    <t>LINEARITE</t>
  </si>
  <si>
    <t>n</t>
  </si>
  <si>
    <t>C5%</t>
  </si>
  <si>
    <t>U[X] = S/b</t>
  </si>
  <si>
    <t>Intervalle de confiance</t>
  </si>
  <si>
    <t>réponses</t>
  </si>
  <si>
    <t>ord. a</t>
  </si>
  <si>
    <t>coeff b</t>
  </si>
  <si>
    <t>IT+</t>
  </si>
  <si>
    <t>IT-</t>
  </si>
  <si>
    <t>x = g(y)</t>
  </si>
  <si>
    <t>moyenne yp</t>
  </si>
  <si>
    <t>moyenne xp</t>
  </si>
  <si>
    <t>T4</t>
  </si>
  <si>
    <t>T3</t>
  </si>
  <si>
    <t>T2</t>
  </si>
  <si>
    <t>T1</t>
  </si>
  <si>
    <t>x' recalculé</t>
  </si>
  <si>
    <t>S[X]</t>
  </si>
  <si>
    <t>S[X]%</t>
  </si>
  <si>
    <t>Somme</t>
  </si>
  <si>
    <t>échantillon 1</t>
  </si>
  <si>
    <t>w*x²</t>
  </si>
  <si>
    <t>y*w</t>
  </si>
  <si>
    <t>x*w</t>
  </si>
  <si>
    <t>w*x*y</t>
  </si>
  <si>
    <t>ecart-type</t>
  </si>
  <si>
    <t>y3</t>
  </si>
  <si>
    <t>y2</t>
  </si>
  <si>
    <t>y1</t>
  </si>
  <si>
    <t>PONDERATION</t>
  </si>
  <si>
    <t>Droite d'étalonnage</t>
  </si>
  <si>
    <t>Periode :</t>
  </si>
  <si>
    <t>tube :</t>
  </si>
  <si>
    <t>lot réactifs :</t>
  </si>
  <si>
    <t>version 1</t>
  </si>
  <si>
    <t>Laboratorie Bio Santé</t>
  </si>
  <si>
    <t>S²pente</t>
  </si>
  <si>
    <t>S²ordonnée</t>
  </si>
  <si>
    <t>F5%</t>
  </si>
  <si>
    <t>Identification</t>
  </si>
  <si>
    <t>Somme²</t>
  </si>
  <si>
    <t>T</t>
  </si>
  <si>
    <t>contribution</t>
  </si>
  <si>
    <t>Total</t>
  </si>
  <si>
    <t>résiduel</t>
  </si>
  <si>
    <t>Dosage</t>
  </si>
  <si>
    <t>tableau obtenu par la matrice "droiterég"</t>
  </si>
  <si>
    <t>ce test vérifie que l'on passe bien par l'origine 0 et que la pente est égale à 1</t>
  </si>
  <si>
    <t>ce tableau vérifie que la pente est significative et que la régression est linéaire</t>
  </si>
  <si>
    <t>A partir du modèle d'étalonnage, on dose un inconnu pour en déduir son incertitude</t>
  </si>
  <si>
    <t>intervalle de confiance 95%</t>
  </si>
  <si>
    <t>Prérequis à l'étude, ce test vérifie l'absence de variances aberrantes</t>
  </si>
  <si>
    <t>régression</t>
  </si>
  <si>
    <t>Tcrit 5%</t>
  </si>
  <si>
    <t>si quantitatif Factoriel = régression + linéarité</t>
  </si>
  <si>
    <t>modèle</t>
  </si>
  <si>
    <t>y4</t>
  </si>
  <si>
    <t>y5</t>
  </si>
  <si>
    <t>1/X</t>
  </si>
  <si>
    <t>1/X²</t>
  </si>
  <si>
    <t>1/S²</t>
  </si>
  <si>
    <t>scex</t>
  </si>
  <si>
    <t>myx</t>
  </si>
  <si>
    <t>%</t>
  </si>
  <si>
    <t>k=2</t>
  </si>
  <si>
    <t>REGRESSION PONDEREE DE 1ERE ESPECE (1/X, 1/X² ou 1/S²)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</si>
</sst>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164" formatCode="0.0"/>
    <numFmt numFmtId="165" formatCode="0.000"/>
    <numFmt numFmtId="166" formatCode="#.###"/>
    <numFmt numFmtId="167" formatCode="0.0000"/>
    <numFmt numFmtId="168" formatCode="0.0E+00"/>
    <numFmt numFmtId="169" formatCode="0.00000"/>
    <numFmt numFmtId="170" formatCode="0.000%"/>
  </numFmts>
  <fonts count="4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Verdana"/>
      <family val="2"/>
    </font>
    <font>
      <sz val="10"/>
      <name val="Verdana"/>
      <family val="2"/>
    </font>
    <font>
      <sz val="10"/>
      <name val="Times New Roman"/>
      <family val="1"/>
    </font>
    <font>
      <sz val="10"/>
      <name val="Arial"/>
      <family val="2"/>
    </font>
    <font>
      <b/>
      <i/>
      <sz val="10"/>
      <name val="Times New Roman"/>
      <family val="1"/>
    </font>
    <font>
      <b/>
      <sz val="12"/>
      <name val="Verdana"/>
      <family val="2"/>
    </font>
    <font>
      <b/>
      <sz val="10"/>
      <name val="Times New Roman"/>
      <family val="1"/>
    </font>
    <font>
      <b/>
      <sz val="10"/>
      <color indexed="55"/>
      <name val="Times New Roman"/>
      <family val="1"/>
    </font>
    <font>
      <b/>
      <i/>
      <sz val="10"/>
      <name val="Arial"/>
      <family val="2"/>
    </font>
    <font>
      <b/>
      <sz val="10"/>
      <color indexed="10"/>
      <name val="Times New Roman"/>
      <family val="1"/>
    </font>
    <font>
      <i/>
      <sz val="10"/>
      <name val="Times New Roman"/>
      <family val="1"/>
    </font>
    <font>
      <i/>
      <u/>
      <sz val="10"/>
      <name val="Times New Roman"/>
      <family val="1"/>
    </font>
    <font>
      <sz val="10"/>
      <color theme="0"/>
      <name val="Times New Roman"/>
      <family val="1"/>
    </font>
    <font>
      <sz val="12"/>
      <name val="Arial"/>
      <family val="2"/>
    </font>
    <font>
      <b/>
      <sz val="10"/>
      <color theme="0"/>
      <name val="Times New Roman"/>
      <family val="1"/>
    </font>
    <font>
      <vertAlign val="subscript"/>
      <sz val="10"/>
      <name val="Times New Roman"/>
      <family val="1"/>
    </font>
    <font>
      <b/>
      <sz val="20"/>
      <name val="Verdana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b/>
      <i/>
      <sz val="10"/>
      <name val="Verdana"/>
      <family val="2"/>
    </font>
    <font>
      <b/>
      <sz val="10"/>
      <name val="Verdana"/>
      <family val="2"/>
    </font>
    <font>
      <i/>
      <u/>
      <sz val="10"/>
      <name val="Verdana"/>
      <family val="2"/>
    </font>
    <font>
      <i/>
      <sz val="10"/>
      <name val="Verdana"/>
      <family val="2"/>
    </font>
    <font>
      <b/>
      <sz val="14"/>
      <name val="Verdana"/>
      <family val="2"/>
    </font>
    <font>
      <i/>
      <sz val="12"/>
      <name val="Verdana"/>
      <family val="2"/>
    </font>
    <font>
      <i/>
      <u/>
      <sz val="12"/>
      <name val="Verdana"/>
      <family val="2"/>
    </font>
    <font>
      <i/>
      <u/>
      <sz val="10"/>
      <name val="Arial"/>
      <family val="2"/>
    </font>
    <font>
      <sz val="8"/>
      <name val="Verdana"/>
      <family val="2"/>
    </font>
    <font>
      <u/>
      <sz val="10"/>
      <name val="Arial"/>
      <family val="2"/>
    </font>
    <font>
      <i/>
      <sz val="8"/>
      <name val="Verdana"/>
      <family val="2"/>
    </font>
    <font>
      <b/>
      <sz val="18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Times New Roman"/>
      <family val="1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b/>
      <sz val="14"/>
      <name val="Arial"/>
      <family val="2"/>
    </font>
    <font>
      <b/>
      <sz val="10"/>
      <color theme="0"/>
      <name val="Arial"/>
      <family val="2"/>
    </font>
    <font>
      <sz val="10"/>
      <color theme="0"/>
      <name val="Verdana"/>
      <family val="2"/>
    </font>
    <font>
      <b/>
      <i/>
      <sz val="10"/>
      <color theme="0"/>
      <name val="Times New Roman"/>
      <family val="1"/>
    </font>
    <font>
      <b/>
      <sz val="14"/>
      <name val="Times New Roman"/>
      <family val="1"/>
    </font>
    <font>
      <b/>
      <sz val="14"/>
      <color theme="0"/>
      <name val="Times New Roman"/>
      <family val="1"/>
    </font>
  </fonts>
  <fills count="2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79998168889431442"/>
        <bgColor indexed="16"/>
      </patternFill>
    </fill>
    <fill>
      <patternFill patternType="solid">
        <fgColor rgb="FFFFC000"/>
        <bgColor indexed="64"/>
      </patternFill>
    </fill>
  </fills>
  <borders count="6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0" fontId="1" fillId="0" borderId="0"/>
    <xf numFmtId="44" fontId="5" fillId="0" borderId="0" applyFont="0" applyFill="0" applyBorder="0" applyAlignment="0" applyProtection="0"/>
    <xf numFmtId="0" fontId="5" fillId="0" borderId="0"/>
    <xf numFmtId="0" fontId="5" fillId="0" borderId="0"/>
  </cellStyleXfs>
  <cellXfs count="645">
    <xf numFmtId="0" fontId="0" fillId="0" borderId="0" xfId="0"/>
    <xf numFmtId="0" fontId="1" fillId="0" borderId="0" xfId="1"/>
    <xf numFmtId="0" fontId="1" fillId="0" borderId="0" xfId="1" applyFill="1"/>
    <xf numFmtId="0" fontId="1" fillId="0" borderId="0" xfId="1" applyBorder="1"/>
    <xf numFmtId="0" fontId="1" fillId="0" borderId="0" xfId="1" applyFill="1" applyBorder="1"/>
    <xf numFmtId="164" fontId="2" fillId="0" borderId="0" xfId="1" applyNumberFormat="1" applyFont="1" applyFill="1" applyBorder="1" applyAlignment="1">
      <alignment horizontal="center"/>
    </xf>
    <xf numFmtId="0" fontId="1" fillId="0" borderId="0" xfId="1" applyFill="1" applyBorder="1" applyAlignment="1">
      <alignment horizontal="center"/>
    </xf>
    <xf numFmtId="164" fontId="4" fillId="0" borderId="0" xfId="1" applyNumberFormat="1" applyFont="1" applyFill="1" applyBorder="1" applyAlignment="1">
      <alignment horizontal="center"/>
    </xf>
    <xf numFmtId="2" fontId="4" fillId="0" borderId="0" xfId="1" applyNumberFormat="1" applyFont="1" applyFill="1" applyBorder="1" applyAlignment="1">
      <alignment horizontal="center"/>
    </xf>
    <xf numFmtId="0" fontId="4" fillId="0" borderId="0" xfId="1" applyFont="1" applyFill="1" applyBorder="1" applyAlignment="1">
      <alignment horizontal="right"/>
    </xf>
    <xf numFmtId="165" fontId="4" fillId="0" borderId="0" xfId="1" applyNumberFormat="1" applyFont="1" applyFill="1" applyBorder="1" applyAlignment="1" applyProtection="1">
      <alignment horizontal="center" vertical="center"/>
    </xf>
    <xf numFmtId="0" fontId="4" fillId="0" borderId="0" xfId="1" applyFont="1" applyFill="1" applyBorder="1"/>
    <xf numFmtId="2" fontId="4" fillId="2" borderId="1" xfId="1" applyNumberFormat="1" applyFont="1" applyFill="1" applyBorder="1" applyAlignment="1">
      <alignment horizontal="center"/>
    </xf>
    <xf numFmtId="2" fontId="4" fillId="3" borderId="2" xfId="1" applyNumberFormat="1" applyFont="1" applyFill="1" applyBorder="1" applyAlignment="1">
      <alignment horizontal="center"/>
    </xf>
    <xf numFmtId="0" fontId="9" fillId="2" borderId="3" xfId="1" applyFont="1" applyFill="1" applyBorder="1" applyAlignment="1">
      <alignment horizontal="center"/>
    </xf>
    <xf numFmtId="0" fontId="1" fillId="2" borderId="0" xfId="1" applyFill="1" applyBorder="1"/>
    <xf numFmtId="2" fontId="4" fillId="2" borderId="4" xfId="1" applyNumberFormat="1" applyFont="1" applyFill="1" applyBorder="1" applyAlignment="1">
      <alignment horizontal="center"/>
    </xf>
    <xf numFmtId="2" fontId="4" fillId="3" borderId="5" xfId="1" applyNumberFormat="1" applyFont="1" applyFill="1" applyBorder="1" applyAlignment="1">
      <alignment horizontal="center"/>
    </xf>
    <xf numFmtId="0" fontId="9" fillId="2" borderId="6" xfId="1" applyFont="1" applyFill="1" applyBorder="1" applyAlignment="1">
      <alignment horizontal="center"/>
    </xf>
    <xf numFmtId="0" fontId="1" fillId="2" borderId="8" xfId="1" applyFill="1" applyBorder="1"/>
    <xf numFmtId="0" fontId="1" fillId="2" borderId="10" xfId="1" applyFill="1" applyBorder="1"/>
    <xf numFmtId="0" fontId="4" fillId="0" borderId="0" xfId="1" applyFont="1" applyFill="1" applyBorder="1" applyAlignment="1" applyProtection="1">
      <alignment horizontal="center"/>
      <protection hidden="1"/>
    </xf>
    <xf numFmtId="0" fontId="8" fillId="0" borderId="0" xfId="1" applyFont="1" applyFill="1" applyBorder="1" applyAlignment="1">
      <alignment horizontal="center"/>
    </xf>
    <xf numFmtId="0" fontId="4" fillId="0" borderId="0" xfId="1" applyFont="1" applyFill="1" applyBorder="1" applyAlignment="1"/>
    <xf numFmtId="0" fontId="9" fillId="2" borderId="11" xfId="1" applyFont="1" applyFill="1" applyBorder="1" applyAlignment="1">
      <alignment horizontal="center"/>
    </xf>
    <xf numFmtId="0" fontId="4" fillId="3" borderId="5" xfId="1" applyFont="1" applyFill="1" applyBorder="1" applyAlignment="1">
      <alignment horizontal="center"/>
    </xf>
    <xf numFmtId="165" fontId="8" fillId="0" borderId="0" xfId="1" applyNumberFormat="1" applyFont="1" applyFill="1" applyBorder="1" applyAlignment="1">
      <alignment horizontal="center"/>
    </xf>
    <xf numFmtId="0" fontId="11" fillId="2" borderId="6" xfId="1" applyFont="1" applyFill="1" applyBorder="1" applyAlignment="1">
      <alignment horizontal="center"/>
    </xf>
    <xf numFmtId="0" fontId="12" fillId="0" borderId="0" xfId="1" applyFont="1" applyFill="1" applyBorder="1"/>
    <xf numFmtId="0" fontId="11" fillId="2" borderId="11" xfId="1" applyFont="1" applyFill="1" applyBorder="1" applyAlignment="1">
      <alignment horizontal="center"/>
    </xf>
    <xf numFmtId="0" fontId="13" fillId="0" borderId="0" xfId="1" applyFont="1" applyFill="1" applyBorder="1"/>
    <xf numFmtId="0" fontId="12" fillId="0" borderId="0" xfId="1" applyFont="1" applyFill="1" applyBorder="1" applyAlignment="1">
      <alignment horizontal="right"/>
    </xf>
    <xf numFmtId="0" fontId="14" fillId="0" borderId="0" xfId="1" applyFont="1" applyFill="1" applyBorder="1"/>
    <xf numFmtId="0" fontId="6" fillId="0" borderId="0" xfId="1" applyFont="1" applyFill="1" applyBorder="1"/>
    <xf numFmtId="0" fontId="14" fillId="0" borderId="0" xfId="1" applyFont="1" applyFill="1" applyBorder="1" applyAlignment="1">
      <alignment vertical="center"/>
    </xf>
    <xf numFmtId="0" fontId="4" fillId="2" borderId="15" xfId="1" applyFont="1" applyFill="1" applyBorder="1"/>
    <xf numFmtId="0" fontId="14" fillId="4" borderId="8" xfId="1" applyFont="1" applyFill="1" applyBorder="1"/>
    <xf numFmtId="0" fontId="14" fillId="4" borderId="16" xfId="1" applyFont="1" applyFill="1" applyBorder="1"/>
    <xf numFmtId="167" fontId="8" fillId="0" borderId="1" xfId="1" applyNumberFormat="1" applyFont="1" applyBorder="1" applyAlignment="1">
      <alignment horizontal="center"/>
    </xf>
    <xf numFmtId="0" fontId="4" fillId="5" borderId="3" xfId="1" applyFont="1" applyFill="1" applyBorder="1" applyAlignment="1">
      <alignment horizontal="center"/>
    </xf>
    <xf numFmtId="0" fontId="4" fillId="6" borderId="6" xfId="1" applyFont="1" applyFill="1" applyBorder="1" applyAlignment="1">
      <alignment horizontal="center"/>
    </xf>
    <xf numFmtId="0" fontId="4" fillId="4" borderId="19" xfId="1" applyFont="1" applyFill="1" applyBorder="1" applyAlignment="1">
      <alignment horizontal="center"/>
    </xf>
    <xf numFmtId="0" fontId="4" fillId="8" borderId="20" xfId="1" applyFont="1" applyFill="1" applyBorder="1" applyAlignment="1">
      <alignment horizontal="center"/>
    </xf>
    <xf numFmtId="0" fontId="6" fillId="2" borderId="21" xfId="1" applyFont="1" applyFill="1" applyBorder="1" applyAlignment="1">
      <alignment horizontal="center"/>
    </xf>
    <xf numFmtId="0" fontId="8" fillId="2" borderId="20" xfId="1" applyFont="1" applyFill="1" applyBorder="1" applyAlignment="1">
      <alignment horizontal="center"/>
    </xf>
    <xf numFmtId="0" fontId="19" fillId="0" borderId="0" xfId="1" applyFont="1" applyFill="1" applyBorder="1"/>
    <xf numFmtId="164" fontId="2" fillId="0" borderId="28" xfId="1" applyNumberFormat="1" applyFont="1" applyFill="1" applyBorder="1" applyAlignment="1">
      <alignment horizontal="center"/>
    </xf>
    <xf numFmtId="0" fontId="3" fillId="0" borderId="0" xfId="1" applyFont="1" applyBorder="1"/>
    <xf numFmtId="0" fontId="1" fillId="0" borderId="10" xfId="1" applyBorder="1"/>
    <xf numFmtId="0" fontId="3" fillId="0" borderId="0" xfId="1" applyFont="1"/>
    <xf numFmtId="0" fontId="1" fillId="0" borderId="28" xfId="1" applyBorder="1"/>
    <xf numFmtId="2" fontId="1" fillId="0" borderId="29" xfId="1" applyNumberFormat="1" applyFill="1" applyBorder="1" applyAlignment="1">
      <alignment horizontal="center"/>
    </xf>
    <xf numFmtId="2" fontId="1" fillId="0" borderId="13" xfId="1" applyNumberFormat="1" applyFill="1" applyBorder="1" applyAlignment="1">
      <alignment horizontal="center"/>
    </xf>
    <xf numFmtId="2" fontId="1" fillId="0" borderId="13" xfId="1" applyNumberFormat="1" applyFont="1" applyFill="1" applyBorder="1" applyAlignment="1">
      <alignment horizontal="center"/>
    </xf>
    <xf numFmtId="0" fontId="5" fillId="0" borderId="30" xfId="1" applyFont="1" applyFill="1" applyBorder="1" applyAlignment="1"/>
    <xf numFmtId="0" fontId="1" fillId="0" borderId="29" xfId="1" applyBorder="1"/>
    <xf numFmtId="0" fontId="1" fillId="0" borderId="13" xfId="1" applyBorder="1"/>
    <xf numFmtId="0" fontId="1" fillId="0" borderId="14" xfId="1" applyBorder="1"/>
    <xf numFmtId="0" fontId="1" fillId="10" borderId="5" xfId="1" applyFill="1" applyBorder="1" applyAlignment="1">
      <alignment horizontal="center"/>
    </xf>
    <xf numFmtId="1" fontId="1" fillId="0" borderId="5" xfId="1" applyNumberFormat="1" applyBorder="1" applyAlignment="1">
      <alignment horizontal="center"/>
    </xf>
    <xf numFmtId="2" fontId="1" fillId="0" borderId="5" xfId="1" applyNumberFormat="1" applyBorder="1" applyAlignment="1">
      <alignment horizontal="center"/>
    </xf>
    <xf numFmtId="0" fontId="1" fillId="6" borderId="5" xfId="1" applyFill="1" applyBorder="1"/>
    <xf numFmtId="0" fontId="1" fillId="7" borderId="31" xfId="1" applyFill="1" applyBorder="1"/>
    <xf numFmtId="0" fontId="1" fillId="7" borderId="8" xfId="1" applyFill="1" applyBorder="1"/>
    <xf numFmtId="0" fontId="19" fillId="7" borderId="16" xfId="1" applyFont="1" applyFill="1" applyBorder="1"/>
    <xf numFmtId="0" fontId="1" fillId="10" borderId="32" xfId="1" applyFill="1" applyBorder="1" applyAlignment="1">
      <alignment horizontal="center"/>
    </xf>
    <xf numFmtId="167" fontId="1" fillId="0" borderId="5" xfId="1" applyNumberFormat="1" applyBorder="1" applyAlignment="1">
      <alignment horizontal="center"/>
    </xf>
    <xf numFmtId="0" fontId="1" fillId="7" borderId="33" xfId="1" applyFill="1" applyBorder="1"/>
    <xf numFmtId="0" fontId="1" fillId="7" borderId="25" xfId="1" applyFill="1" applyBorder="1"/>
    <xf numFmtId="0" fontId="20" fillId="7" borderId="26" xfId="1" applyFont="1" applyFill="1" applyBorder="1" applyAlignment="1"/>
    <xf numFmtId="2" fontId="1" fillId="0" borderId="1" xfId="1" applyNumberFormat="1" applyBorder="1" applyAlignment="1">
      <alignment horizontal="center"/>
    </xf>
    <xf numFmtId="2" fontId="1" fillId="0" borderId="3" xfId="1" applyNumberFormat="1" applyFont="1" applyBorder="1" applyAlignment="1">
      <alignment horizontal="center"/>
    </xf>
    <xf numFmtId="2" fontId="1" fillId="0" borderId="12" xfId="1" applyNumberFormat="1" applyBorder="1" applyAlignment="1">
      <alignment horizontal="center"/>
    </xf>
    <xf numFmtId="0" fontId="1" fillId="0" borderId="34" xfId="1" applyFill="1" applyBorder="1"/>
    <xf numFmtId="0" fontId="19" fillId="0" borderId="16" xfId="1" applyFont="1" applyFill="1" applyBorder="1"/>
    <xf numFmtId="2" fontId="1" fillId="0" borderId="19" xfId="1" applyNumberFormat="1" applyBorder="1" applyAlignment="1">
      <alignment horizontal="center"/>
    </xf>
    <xf numFmtId="2" fontId="1" fillId="0" borderId="20" xfId="1" applyNumberFormat="1" applyFont="1" applyBorder="1" applyAlignment="1">
      <alignment horizontal="center"/>
    </xf>
    <xf numFmtId="0" fontId="20" fillId="0" borderId="10" xfId="1" applyFont="1" applyFill="1" applyBorder="1" applyAlignment="1"/>
    <xf numFmtId="0" fontId="1" fillId="10" borderId="35" xfId="1" applyFill="1" applyBorder="1" applyAlignment="1">
      <alignment horizontal="center"/>
    </xf>
    <xf numFmtId="0" fontId="1" fillId="0" borderId="34" xfId="1" applyBorder="1"/>
    <xf numFmtId="0" fontId="21" fillId="0" borderId="10" xfId="1" applyFont="1" applyFill="1" applyBorder="1"/>
    <xf numFmtId="0" fontId="1" fillId="11" borderId="5" xfId="1" applyFill="1" applyBorder="1" applyAlignment="1">
      <alignment horizontal="center"/>
    </xf>
    <xf numFmtId="0" fontId="1" fillId="6" borderId="11" xfId="1" applyFill="1" applyBorder="1"/>
    <xf numFmtId="2" fontId="1" fillId="0" borderId="34" xfId="1" applyNumberFormat="1" applyFill="1" applyBorder="1" applyAlignment="1"/>
    <xf numFmtId="2" fontId="1" fillId="0" borderId="0" xfId="1" applyNumberFormat="1" applyFont="1" applyFill="1" applyBorder="1" applyAlignment="1">
      <alignment horizontal="center"/>
    </xf>
    <xf numFmtId="0" fontId="1" fillId="0" borderId="0" xfId="1" applyFont="1" applyFill="1" applyBorder="1" applyAlignment="1">
      <alignment horizontal="center"/>
    </xf>
    <xf numFmtId="0" fontId="1" fillId="0" borderId="36" xfId="1" applyFont="1" applyFill="1" applyBorder="1" applyAlignment="1">
      <alignment horizontal="center"/>
    </xf>
    <xf numFmtId="2" fontId="1" fillId="0" borderId="5" xfId="1" applyNumberFormat="1" applyFont="1" applyBorder="1" applyAlignment="1">
      <alignment horizontal="center"/>
    </xf>
    <xf numFmtId="165" fontId="1" fillId="0" borderId="0" xfId="1" applyNumberFormat="1" applyFill="1" applyBorder="1"/>
    <xf numFmtId="164" fontId="3" fillId="0" borderId="0" xfId="1" applyNumberFormat="1" applyFont="1" applyBorder="1" applyAlignment="1">
      <alignment horizontal="center"/>
    </xf>
    <xf numFmtId="2" fontId="1" fillId="0" borderId="37" xfId="1" applyNumberFormat="1" applyFill="1" applyBorder="1" applyAlignment="1">
      <alignment horizontal="center"/>
    </xf>
    <xf numFmtId="0" fontId="1" fillId="0" borderId="38" xfId="1" applyFont="1" applyFill="1" applyBorder="1"/>
    <xf numFmtId="0" fontId="3" fillId="0" borderId="38" xfId="1" applyFont="1" applyFill="1" applyBorder="1"/>
    <xf numFmtId="0" fontId="10" fillId="0" borderId="39" xfId="1" applyFont="1" applyFill="1" applyBorder="1"/>
    <xf numFmtId="0" fontId="1" fillId="0" borderId="37" xfId="1" applyBorder="1"/>
    <xf numFmtId="0" fontId="1" fillId="0" borderId="38" xfId="1" applyBorder="1"/>
    <xf numFmtId="0" fontId="10" fillId="0" borderId="40" xfId="1" applyFont="1" applyBorder="1"/>
    <xf numFmtId="0" fontId="3" fillId="0" borderId="13" xfId="1" applyFont="1" applyBorder="1"/>
    <xf numFmtId="0" fontId="1" fillId="0" borderId="30" xfId="1" applyBorder="1"/>
    <xf numFmtId="165" fontId="1" fillId="0" borderId="5" xfId="1" applyNumberFormat="1" applyBorder="1" applyAlignment="1">
      <alignment horizontal="center"/>
    </xf>
    <xf numFmtId="0" fontId="1" fillId="6" borderId="5" xfId="1" applyFill="1" applyBorder="1" applyAlignment="1">
      <alignment horizontal="left"/>
    </xf>
    <xf numFmtId="0" fontId="3" fillId="0" borderId="5" xfId="1" applyFont="1" applyFill="1" applyBorder="1" applyAlignment="1">
      <alignment horizontal="center"/>
    </xf>
    <xf numFmtId="165" fontId="3" fillId="0" borderId="5" xfId="1" applyNumberFormat="1" applyFont="1" applyFill="1" applyBorder="1" applyAlignment="1">
      <alignment horizontal="center"/>
    </xf>
    <xf numFmtId="0" fontId="1" fillId="6" borderId="5" xfId="1" applyFont="1" applyFill="1" applyBorder="1"/>
    <xf numFmtId="2" fontId="3" fillId="6" borderId="5" xfId="1" applyNumberFormat="1" applyFont="1" applyFill="1" applyBorder="1" applyAlignment="1">
      <alignment horizontal="center"/>
    </xf>
    <xf numFmtId="2" fontId="2" fillId="0" borderId="28" xfId="1" applyNumberFormat="1" applyFont="1" applyFill="1" applyBorder="1" applyAlignment="1">
      <alignment horizontal="center"/>
    </xf>
    <xf numFmtId="0" fontId="3" fillId="0" borderId="37" xfId="1" applyFont="1" applyBorder="1"/>
    <xf numFmtId="0" fontId="1" fillId="0" borderId="0" xfId="1" applyNumberFormat="1"/>
    <xf numFmtId="0" fontId="7" fillId="0" borderId="0" xfId="1" applyFont="1" applyBorder="1" applyAlignment="1">
      <alignment horizontal="center"/>
    </xf>
    <xf numFmtId="2" fontId="3" fillId="0" borderId="42" xfId="1" applyNumberFormat="1" applyFont="1" applyBorder="1" applyAlignment="1">
      <alignment horizontal="center" vertical="center"/>
    </xf>
    <xf numFmtId="165" fontId="3" fillId="3" borderId="43" xfId="1" applyNumberFormat="1" applyFont="1" applyFill="1" applyBorder="1" applyAlignment="1">
      <alignment horizontal="center"/>
    </xf>
    <xf numFmtId="2" fontId="22" fillId="2" borderId="44" xfId="1" applyNumberFormat="1" applyFont="1" applyFill="1" applyBorder="1" applyAlignment="1">
      <alignment horizontal="center" vertical="center"/>
    </xf>
    <xf numFmtId="0" fontId="22" fillId="0" borderId="16" xfId="1" applyNumberFormat="1" applyFont="1" applyFill="1" applyBorder="1" applyAlignment="1">
      <alignment horizontal="center" vertical="center"/>
    </xf>
    <xf numFmtId="2" fontId="3" fillId="0" borderId="11" xfId="1" applyNumberFormat="1" applyFont="1" applyBorder="1" applyAlignment="1">
      <alignment horizontal="center" vertical="center"/>
    </xf>
    <xf numFmtId="165" fontId="3" fillId="3" borderId="46" xfId="1" applyNumberFormat="1" applyFont="1" applyFill="1" applyBorder="1" applyAlignment="1">
      <alignment horizontal="center"/>
    </xf>
    <xf numFmtId="2" fontId="22" fillId="2" borderId="47" xfId="1" applyNumberFormat="1" applyFont="1" applyFill="1" applyBorder="1" applyAlignment="1">
      <alignment horizontal="center" vertical="center"/>
    </xf>
    <xf numFmtId="0" fontId="22" fillId="0" borderId="10" xfId="1" applyNumberFormat="1" applyFont="1" applyFill="1" applyBorder="1" applyAlignment="1">
      <alignment horizontal="center" vertical="center"/>
    </xf>
    <xf numFmtId="2" fontId="3" fillId="0" borderId="14" xfId="1" applyNumberFormat="1" applyFont="1" applyBorder="1" applyAlignment="1">
      <alignment horizontal="center" vertical="center"/>
    </xf>
    <xf numFmtId="165" fontId="3" fillId="3" borderId="49" xfId="1" applyNumberFormat="1" applyFont="1" applyFill="1" applyBorder="1" applyAlignment="1">
      <alignment horizontal="center"/>
    </xf>
    <xf numFmtId="2" fontId="22" fillId="2" borderId="50" xfId="1" applyNumberFormat="1" applyFont="1" applyFill="1" applyBorder="1" applyAlignment="1">
      <alignment horizontal="center" vertical="center"/>
    </xf>
    <xf numFmtId="0" fontId="22" fillId="3" borderId="26" xfId="1" applyNumberFormat="1" applyFont="1" applyFill="1" applyBorder="1" applyAlignment="1">
      <alignment horizontal="center" vertical="center"/>
    </xf>
    <xf numFmtId="165" fontId="3" fillId="3" borderId="38" xfId="1" applyNumberFormat="1" applyFont="1" applyFill="1" applyBorder="1" applyAlignment="1">
      <alignment horizontal="center"/>
    </xf>
    <xf numFmtId="2" fontId="3" fillId="0" borderId="18" xfId="1" applyNumberFormat="1" applyFont="1" applyBorder="1" applyAlignment="1">
      <alignment horizontal="center" vertical="center"/>
    </xf>
    <xf numFmtId="165" fontId="3" fillId="3" borderId="13" xfId="1" applyNumberFormat="1" applyFont="1" applyFill="1" applyBorder="1" applyAlignment="1">
      <alignment horizontal="center"/>
    </xf>
    <xf numFmtId="2" fontId="22" fillId="2" borderId="51" xfId="1" applyNumberFormat="1" applyFont="1" applyFill="1" applyBorder="1" applyAlignment="1">
      <alignment horizontal="center" vertical="center"/>
    </xf>
    <xf numFmtId="2" fontId="3" fillId="0" borderId="40" xfId="1" applyNumberFormat="1" applyFont="1" applyBorder="1" applyAlignment="1">
      <alignment horizontal="center" vertical="center"/>
    </xf>
    <xf numFmtId="2" fontId="22" fillId="2" borderId="52" xfId="1" applyNumberFormat="1" applyFont="1" applyFill="1" applyBorder="1" applyAlignment="1">
      <alignment horizontal="center" vertical="center"/>
    </xf>
    <xf numFmtId="0" fontId="3" fillId="0" borderId="0" xfId="1" applyFont="1" applyFill="1" applyBorder="1"/>
    <xf numFmtId="0" fontId="23" fillId="0" borderId="0" xfId="1" applyFont="1" applyFill="1" applyBorder="1" applyAlignment="1">
      <alignment horizontal="left"/>
    </xf>
    <xf numFmtId="0" fontId="3" fillId="0" borderId="10" xfId="1" applyFont="1" applyBorder="1"/>
    <xf numFmtId="0" fontId="3" fillId="9" borderId="29" xfId="1" applyFont="1" applyFill="1" applyBorder="1"/>
    <xf numFmtId="0" fontId="24" fillId="9" borderId="13" xfId="1" applyFont="1" applyFill="1" applyBorder="1" applyAlignment="1">
      <alignment horizontal="left"/>
    </xf>
    <xf numFmtId="0" fontId="3" fillId="9" borderId="14" xfId="1" applyFont="1" applyFill="1" applyBorder="1"/>
    <xf numFmtId="0" fontId="22" fillId="0" borderId="0" xfId="1" applyNumberFormat="1" applyFont="1" applyFill="1" applyBorder="1" applyAlignment="1">
      <alignment horizontal="center" vertical="center"/>
    </xf>
    <xf numFmtId="0" fontId="3" fillId="0" borderId="53" xfId="1" applyFont="1" applyFill="1" applyBorder="1"/>
    <xf numFmtId="0" fontId="3" fillId="9" borderId="34" xfId="1" applyFont="1" applyFill="1" applyBorder="1"/>
    <xf numFmtId="0" fontId="3" fillId="9" borderId="0" xfId="1" applyFont="1" applyFill="1" applyBorder="1" applyAlignment="1">
      <alignment horizontal="left"/>
    </xf>
    <xf numFmtId="0" fontId="23" fillId="9" borderId="10" xfId="1" applyFont="1" applyFill="1" applyBorder="1"/>
    <xf numFmtId="0" fontId="22" fillId="3" borderId="25" xfId="1" applyNumberFormat="1" applyFont="1" applyFill="1" applyBorder="1" applyAlignment="1">
      <alignment horizontal="center" vertical="center"/>
    </xf>
    <xf numFmtId="0" fontId="1" fillId="0" borderId="53" xfId="1" applyBorder="1" applyAlignment="1">
      <alignment horizontal="center"/>
    </xf>
    <xf numFmtId="0" fontId="3" fillId="9" borderId="34" xfId="1" applyFont="1" applyFill="1" applyBorder="1" applyAlignment="1">
      <alignment horizontal="left"/>
    </xf>
    <xf numFmtId="0" fontId="24" fillId="9" borderId="0" xfId="1" applyFont="1" applyFill="1" applyBorder="1" applyAlignment="1">
      <alignment horizontal="left"/>
    </xf>
    <xf numFmtId="0" fontId="3" fillId="9" borderId="10" xfId="1" applyFont="1" applyFill="1" applyBorder="1"/>
    <xf numFmtId="2" fontId="1" fillId="0" borderId="0" xfId="1" applyNumberFormat="1" applyAlignment="1">
      <alignment horizontal="center"/>
    </xf>
    <xf numFmtId="0" fontId="22" fillId="0" borderId="8" xfId="1" applyNumberFormat="1" applyFont="1" applyFill="1" applyBorder="1" applyAlignment="1">
      <alignment horizontal="center" vertical="center"/>
    </xf>
    <xf numFmtId="0" fontId="3" fillId="9" borderId="0" xfId="1" applyFont="1" applyFill="1" applyBorder="1"/>
    <xf numFmtId="0" fontId="24" fillId="9" borderId="10" xfId="1" applyFont="1" applyFill="1" applyBorder="1" applyAlignment="1">
      <alignment horizontal="left"/>
    </xf>
    <xf numFmtId="0" fontId="22" fillId="0" borderId="25" xfId="1" applyNumberFormat="1" applyFont="1" applyFill="1" applyBorder="1" applyAlignment="1">
      <alignment horizontal="center" vertical="center"/>
    </xf>
    <xf numFmtId="0" fontId="3" fillId="11" borderId="26" xfId="1" applyFont="1" applyFill="1" applyBorder="1" applyAlignment="1">
      <alignment horizontal="center" vertical="center"/>
    </xf>
    <xf numFmtId="0" fontId="3" fillId="9" borderId="37" xfId="1" applyFont="1" applyFill="1" applyBorder="1" applyAlignment="1">
      <alignment horizontal="left"/>
    </xf>
    <xf numFmtId="14" fontId="3" fillId="9" borderId="38" xfId="1" applyNumberFormat="1" applyFont="1" applyFill="1" applyBorder="1" applyAlignment="1">
      <alignment horizontal="left"/>
    </xf>
    <xf numFmtId="0" fontId="23" fillId="9" borderId="40" xfId="1" applyFont="1" applyFill="1" applyBorder="1" applyAlignment="1">
      <alignment horizontal="left"/>
    </xf>
    <xf numFmtId="0" fontId="3" fillId="0" borderId="28" xfId="1" applyFont="1" applyBorder="1"/>
    <xf numFmtId="0" fontId="1" fillId="0" borderId="0" xfId="1" applyBorder="1" applyAlignment="1">
      <alignment horizontal="center"/>
    </xf>
    <xf numFmtId="0" fontId="3" fillId="0" borderId="0" xfId="1" applyFont="1" applyBorder="1" applyAlignment="1">
      <alignment vertical="center"/>
    </xf>
    <xf numFmtId="0" fontId="21" fillId="0" borderId="10" xfId="1" applyFont="1" applyBorder="1" applyAlignment="1">
      <alignment vertical="center"/>
    </xf>
    <xf numFmtId="0" fontId="3" fillId="0" borderId="38" xfId="1" applyFont="1" applyBorder="1"/>
    <xf numFmtId="0" fontId="3" fillId="0" borderId="40" xfId="1" applyFont="1" applyBorder="1"/>
    <xf numFmtId="165" fontId="1" fillId="0" borderId="13" xfId="1" applyNumberFormat="1" applyBorder="1" applyAlignment="1">
      <alignment horizontal="center"/>
    </xf>
    <xf numFmtId="17" fontId="1" fillId="0" borderId="5" xfId="1" applyNumberFormat="1" applyBorder="1" applyAlignment="1">
      <alignment horizontal="center"/>
    </xf>
    <xf numFmtId="0" fontId="1" fillId="10" borderId="0" xfId="1" applyFont="1" applyFill="1" applyBorder="1"/>
    <xf numFmtId="0" fontId="2" fillId="10" borderId="0" xfId="1" applyFont="1" applyFill="1" applyBorder="1" applyAlignment="1"/>
    <xf numFmtId="0" fontId="3" fillId="0" borderId="0" xfId="1" applyFont="1" applyBorder="1" applyAlignment="1">
      <alignment horizontal="left"/>
    </xf>
    <xf numFmtId="0" fontId="3" fillId="6" borderId="0" xfId="1" applyFont="1" applyFill="1" applyBorder="1" applyAlignment="1"/>
    <xf numFmtId="0" fontId="7" fillId="6" borderId="0" xfId="1" applyFont="1" applyFill="1" applyBorder="1" applyAlignment="1"/>
    <xf numFmtId="0" fontId="24" fillId="0" borderId="10" xfId="1" applyFont="1" applyBorder="1" applyAlignment="1">
      <alignment horizontal="left"/>
    </xf>
    <xf numFmtId="0" fontId="19" fillId="0" borderId="5" xfId="1" applyFont="1" applyBorder="1" applyAlignment="1">
      <alignment horizontal="center"/>
    </xf>
    <xf numFmtId="0" fontId="24" fillId="0" borderId="0" xfId="1" applyFont="1" applyBorder="1" applyAlignment="1">
      <alignment horizontal="left"/>
    </xf>
    <xf numFmtId="0" fontId="25" fillId="6" borderId="0" xfId="1" applyFont="1" applyFill="1" applyBorder="1" applyAlignment="1">
      <alignment vertical="center"/>
    </xf>
    <xf numFmtId="0" fontId="7" fillId="6" borderId="0" xfId="1" applyFont="1" applyFill="1" applyBorder="1" applyAlignment="1">
      <alignment vertical="center"/>
    </xf>
    <xf numFmtId="0" fontId="1" fillId="0" borderId="27" xfId="1" applyBorder="1"/>
    <xf numFmtId="0" fontId="1" fillId="0" borderId="0" xfId="1" applyBorder="1" applyAlignment="1">
      <alignment horizontal="left"/>
    </xf>
    <xf numFmtId="0" fontId="1" fillId="0" borderId="0" xfId="1" applyBorder="1" applyAlignment="1"/>
    <xf numFmtId="0" fontId="1" fillId="0" borderId="0" xfId="1" applyBorder="1" applyAlignment="1">
      <alignment horizontal="center" vertical="center"/>
    </xf>
    <xf numFmtId="0" fontId="19" fillId="0" borderId="0" xfId="1" applyFont="1" applyBorder="1" applyAlignment="1">
      <alignment horizontal="center"/>
    </xf>
    <xf numFmtId="0" fontId="1" fillId="0" borderId="28" xfId="1" applyFill="1" applyBorder="1"/>
    <xf numFmtId="0" fontId="1" fillId="7" borderId="15" xfId="1" applyFill="1" applyBorder="1"/>
    <xf numFmtId="0" fontId="1" fillId="7" borderId="27" xfId="1" applyFill="1" applyBorder="1"/>
    <xf numFmtId="2" fontId="1" fillId="0" borderId="0" xfId="1" applyNumberFormat="1" applyFill="1" applyBorder="1" applyAlignment="1">
      <alignment horizontal="center"/>
    </xf>
    <xf numFmtId="0" fontId="1" fillId="0" borderId="0" xfId="1" applyFont="1" applyFill="1" applyBorder="1"/>
    <xf numFmtId="0" fontId="1" fillId="0" borderId="27" xfId="1" applyFill="1" applyBorder="1"/>
    <xf numFmtId="0" fontId="1" fillId="0" borderId="25" xfId="1" applyFill="1" applyBorder="1"/>
    <xf numFmtId="0" fontId="20" fillId="0" borderId="26" xfId="1" applyFont="1" applyFill="1" applyBorder="1" applyAlignment="1"/>
    <xf numFmtId="0" fontId="1" fillId="0" borderId="5" xfId="1" applyNumberFormat="1" applyBorder="1" applyAlignment="1">
      <alignment horizontal="center"/>
    </xf>
    <xf numFmtId="0" fontId="1" fillId="6" borderId="6" xfId="1" applyFill="1" applyBorder="1"/>
    <xf numFmtId="49" fontId="1" fillId="0" borderId="5" xfId="1" applyNumberFormat="1" applyBorder="1" applyAlignment="1">
      <alignment horizontal="center"/>
    </xf>
    <xf numFmtId="1" fontId="5" fillId="0" borderId="5" xfId="1" applyNumberFormat="1" applyFont="1" applyBorder="1" applyAlignment="1">
      <alignment horizontal="center"/>
    </xf>
    <xf numFmtId="0" fontId="19" fillId="11" borderId="5" xfId="1" applyFont="1" applyFill="1" applyBorder="1" applyAlignment="1">
      <alignment horizontal="center"/>
    </xf>
    <xf numFmtId="2" fontId="1" fillId="0" borderId="0" xfId="1" applyNumberFormat="1" applyFill="1" applyBorder="1" applyAlignment="1"/>
    <xf numFmtId="0" fontId="1" fillId="0" borderId="10" xfId="1" applyFont="1" applyFill="1" applyBorder="1" applyAlignment="1">
      <alignment horizontal="center"/>
    </xf>
    <xf numFmtId="2" fontId="1" fillId="0" borderId="38" xfId="1" applyNumberFormat="1" applyFill="1" applyBorder="1" applyAlignment="1">
      <alignment horizontal="center"/>
    </xf>
    <xf numFmtId="0" fontId="10" fillId="0" borderId="40" xfId="1" applyFont="1" applyFill="1" applyBorder="1"/>
    <xf numFmtId="2" fontId="3" fillId="0" borderId="29" xfId="1" applyNumberFormat="1" applyFont="1" applyFill="1" applyBorder="1" applyAlignment="1">
      <alignment horizontal="center"/>
    </xf>
    <xf numFmtId="0" fontId="1" fillId="0" borderId="13" xfId="1" applyFont="1" applyFill="1" applyBorder="1" applyAlignment="1">
      <alignment horizontal="center"/>
    </xf>
    <xf numFmtId="0" fontId="1" fillId="0" borderId="13" xfId="1" applyFont="1" applyFill="1" applyBorder="1"/>
    <xf numFmtId="0" fontId="1" fillId="0" borderId="14" xfId="1" applyFont="1" applyFill="1" applyBorder="1"/>
    <xf numFmtId="49" fontId="8" fillId="0" borderId="0" xfId="1" applyNumberFormat="1" applyFont="1" applyFill="1" applyBorder="1" applyAlignment="1">
      <alignment horizontal="center" vertical="center"/>
    </xf>
    <xf numFmtId="2" fontId="1" fillId="0" borderId="34" xfId="1" applyNumberFormat="1" applyFill="1" applyBorder="1" applyAlignment="1">
      <alignment horizontal="center"/>
    </xf>
    <xf numFmtId="0" fontId="1" fillId="0" borderId="5" xfId="1" applyBorder="1" applyAlignment="1">
      <alignment horizontal="center"/>
    </xf>
    <xf numFmtId="0" fontId="1" fillId="0" borderId="34" xfId="1" applyFill="1" applyBorder="1" applyAlignment="1"/>
    <xf numFmtId="0" fontId="1" fillId="0" borderId="14" xfId="1" applyFont="1" applyFill="1" applyBorder="1" applyAlignment="1">
      <alignment horizontal="left"/>
    </xf>
    <xf numFmtId="0" fontId="10" fillId="0" borderId="10" xfId="1" applyFont="1" applyFill="1" applyBorder="1"/>
    <xf numFmtId="0" fontId="1" fillId="0" borderId="37" xfId="1" applyFill="1" applyBorder="1"/>
    <xf numFmtId="0" fontId="1" fillId="0" borderId="38" xfId="1" applyFill="1" applyBorder="1"/>
    <xf numFmtId="0" fontId="1" fillId="0" borderId="10" xfId="1" applyFont="1" applyFill="1" applyBorder="1" applyAlignment="1"/>
    <xf numFmtId="0" fontId="1" fillId="0" borderId="10" xfId="1" applyFont="1" applyFill="1" applyBorder="1"/>
    <xf numFmtId="0" fontId="10" fillId="0" borderId="55" xfId="1" applyFont="1" applyFill="1" applyBorder="1"/>
    <xf numFmtId="167" fontId="1" fillId="0" borderId="5" xfId="1" applyNumberFormat="1" applyFont="1" applyBorder="1" applyAlignment="1">
      <alignment horizontal="center"/>
    </xf>
    <xf numFmtId="0" fontId="1" fillId="0" borderId="10" xfId="1" applyFill="1" applyBorder="1"/>
    <xf numFmtId="2" fontId="1" fillId="0" borderId="44" xfId="1" applyNumberFormat="1" applyBorder="1" applyAlignment="1">
      <alignment horizontal="center"/>
    </xf>
    <xf numFmtId="0" fontId="1" fillId="3" borderId="44" xfId="1" applyFill="1" applyBorder="1" applyAlignment="1">
      <alignment horizontal="center"/>
    </xf>
    <xf numFmtId="2" fontId="1" fillId="0" borderId="47" xfId="1" applyNumberFormat="1" applyBorder="1" applyAlignment="1">
      <alignment horizontal="center"/>
    </xf>
    <xf numFmtId="0" fontId="1" fillId="3" borderId="47" xfId="1" applyFill="1" applyBorder="1" applyAlignment="1">
      <alignment horizontal="center"/>
    </xf>
    <xf numFmtId="0" fontId="1" fillId="0" borderId="46" xfId="1" applyFill="1" applyBorder="1"/>
    <xf numFmtId="0" fontId="1" fillId="0" borderId="0" xfId="1" applyFill="1" applyBorder="1" applyAlignment="1"/>
    <xf numFmtId="0" fontId="1" fillId="0" borderId="11" xfId="1" applyFill="1" applyBorder="1"/>
    <xf numFmtId="2" fontId="1" fillId="0" borderId="51" xfId="1" applyNumberFormat="1" applyBorder="1" applyAlignment="1">
      <alignment horizontal="center"/>
    </xf>
    <xf numFmtId="0" fontId="1" fillId="3" borderId="51" xfId="1" applyFill="1" applyBorder="1" applyAlignment="1">
      <alignment horizontal="center"/>
    </xf>
    <xf numFmtId="0" fontId="1" fillId="0" borderId="29" xfId="1" applyFill="1" applyBorder="1"/>
    <xf numFmtId="2" fontId="1" fillId="0" borderId="13" xfId="1" applyNumberFormat="1" applyFill="1" applyBorder="1"/>
    <xf numFmtId="0" fontId="1" fillId="0" borderId="13" xfId="1" applyFill="1" applyBorder="1" applyAlignment="1">
      <alignment horizontal="center"/>
    </xf>
    <xf numFmtId="0" fontId="1" fillId="0" borderId="14" xfId="1" applyFill="1" applyBorder="1"/>
    <xf numFmtId="2" fontId="1" fillId="0" borderId="52" xfId="1" applyNumberFormat="1" applyBorder="1" applyAlignment="1">
      <alignment horizontal="center"/>
    </xf>
    <xf numFmtId="0" fontId="1" fillId="3" borderId="52" xfId="1" applyFill="1" applyBorder="1" applyAlignment="1">
      <alignment horizontal="center"/>
    </xf>
    <xf numFmtId="165" fontId="1" fillId="0" borderId="5" xfId="1" applyNumberFormat="1" applyFill="1" applyBorder="1" applyAlignment="1">
      <alignment horizontal="center"/>
    </xf>
    <xf numFmtId="0" fontId="1" fillId="12" borderId="44" xfId="1" applyFill="1" applyBorder="1" applyAlignment="1">
      <alignment horizontal="center"/>
    </xf>
    <xf numFmtId="0" fontId="1" fillId="6" borderId="12" xfId="1" applyFill="1" applyBorder="1"/>
    <xf numFmtId="165" fontId="1" fillId="0" borderId="51" xfId="1" applyNumberFormat="1" applyBorder="1" applyAlignment="1">
      <alignment horizontal="center"/>
    </xf>
    <xf numFmtId="2" fontId="1" fillId="0" borderId="50" xfId="1" applyNumberFormat="1" applyBorder="1" applyAlignment="1">
      <alignment horizontal="center"/>
    </xf>
    <xf numFmtId="0" fontId="1" fillId="3" borderId="50" xfId="1" applyFill="1" applyBorder="1" applyAlignment="1">
      <alignment horizontal="center"/>
    </xf>
    <xf numFmtId="0" fontId="3" fillId="9" borderId="13" xfId="1" applyFont="1" applyFill="1" applyBorder="1"/>
    <xf numFmtId="0" fontId="26" fillId="9" borderId="13" xfId="1" applyFont="1" applyFill="1" applyBorder="1" applyAlignment="1">
      <alignment horizontal="left"/>
    </xf>
    <xf numFmtId="0" fontId="1" fillId="9" borderId="14" xfId="1" applyFill="1" applyBorder="1"/>
    <xf numFmtId="0" fontId="27" fillId="9" borderId="0" xfId="1" applyFont="1" applyFill="1" applyBorder="1" applyAlignment="1">
      <alignment horizontal="left"/>
    </xf>
    <xf numFmtId="0" fontId="28" fillId="9" borderId="10" xfId="1" applyFont="1" applyFill="1" applyBorder="1"/>
    <xf numFmtId="0" fontId="1" fillId="9" borderId="0" xfId="1" applyFill="1" applyBorder="1" applyAlignment="1">
      <alignment horizontal="center"/>
    </xf>
    <xf numFmtId="0" fontId="26" fillId="9" borderId="0" xfId="1" applyFont="1" applyFill="1" applyBorder="1" applyAlignment="1">
      <alignment horizontal="left"/>
    </xf>
    <xf numFmtId="0" fontId="1" fillId="9" borderId="10" xfId="1" applyFill="1" applyBorder="1"/>
    <xf numFmtId="0" fontId="2" fillId="9" borderId="0" xfId="1" applyFont="1" applyFill="1" applyBorder="1"/>
    <xf numFmtId="0" fontId="1" fillId="3" borderId="42" xfId="1" applyFill="1" applyBorder="1" applyAlignment="1">
      <alignment horizontal="center"/>
    </xf>
    <xf numFmtId="0" fontId="1" fillId="3" borderId="11" xfId="1" applyFill="1" applyBorder="1" applyAlignment="1">
      <alignment horizontal="center"/>
    </xf>
    <xf numFmtId="0" fontId="1" fillId="3" borderId="18" xfId="1" applyFill="1" applyBorder="1" applyAlignment="1">
      <alignment horizontal="center"/>
    </xf>
    <xf numFmtId="0" fontId="1" fillId="10" borderId="48" xfId="1" applyFill="1" applyBorder="1" applyAlignment="1">
      <alignment horizontal="center"/>
    </xf>
    <xf numFmtId="0" fontId="1" fillId="10" borderId="26" xfId="1" applyFill="1" applyBorder="1" applyAlignment="1">
      <alignment horizontal="center"/>
    </xf>
    <xf numFmtId="0" fontId="3" fillId="9" borderId="37" xfId="1" applyFont="1" applyFill="1" applyBorder="1"/>
    <xf numFmtId="0" fontId="3" fillId="9" borderId="38" xfId="1" applyFont="1" applyFill="1" applyBorder="1"/>
    <xf numFmtId="0" fontId="1" fillId="9" borderId="38" xfId="1" applyFill="1" applyBorder="1" applyAlignment="1">
      <alignment horizontal="center"/>
    </xf>
    <xf numFmtId="0" fontId="3" fillId="9" borderId="38" xfId="1" applyFont="1" applyFill="1" applyBorder="1" applyAlignment="1">
      <alignment horizontal="left"/>
    </xf>
    <xf numFmtId="14" fontId="2" fillId="9" borderId="38" xfId="1" applyNumberFormat="1" applyFont="1" applyFill="1" applyBorder="1" applyAlignment="1">
      <alignment horizontal="left"/>
    </xf>
    <xf numFmtId="0" fontId="3" fillId="0" borderId="0" xfId="1" applyFont="1" applyFill="1" applyBorder="1" applyAlignment="1">
      <alignment vertical="center"/>
    </xf>
    <xf numFmtId="0" fontId="1" fillId="0" borderId="40" xfId="1" applyBorder="1"/>
    <xf numFmtId="0" fontId="1" fillId="0" borderId="56" xfId="1" applyBorder="1"/>
    <xf numFmtId="0" fontId="1" fillId="6" borderId="0" xfId="1" applyFill="1" applyBorder="1"/>
    <xf numFmtId="0" fontId="19" fillId="0" borderId="4" xfId="1" applyFont="1" applyBorder="1" applyAlignment="1">
      <alignment horizontal="center"/>
    </xf>
    <xf numFmtId="2" fontId="1" fillId="0" borderId="0" xfId="1" applyNumberFormat="1" applyBorder="1" applyAlignment="1">
      <alignment horizontal="center"/>
    </xf>
    <xf numFmtId="2" fontId="1" fillId="0" borderId="5" xfId="1" applyNumberFormat="1" applyFill="1" applyBorder="1" applyAlignment="1">
      <alignment horizontal="center"/>
    </xf>
    <xf numFmtId="2" fontId="29" fillId="0" borderId="15" xfId="1" applyNumberFormat="1" applyFont="1" applyFill="1" applyBorder="1" applyAlignment="1">
      <alignment horizontal="center"/>
    </xf>
    <xf numFmtId="2" fontId="2" fillId="0" borderId="8" xfId="1" applyNumberFormat="1" applyFont="1" applyFill="1" applyBorder="1" applyAlignment="1">
      <alignment horizontal="center"/>
    </xf>
    <xf numFmtId="0" fontId="2" fillId="0" borderId="8" xfId="1" applyFont="1" applyFill="1" applyBorder="1" applyAlignment="1">
      <alignment horizontal="center"/>
    </xf>
    <xf numFmtId="0" fontId="7" fillId="0" borderId="8" xfId="1" applyFont="1" applyFill="1" applyBorder="1" applyAlignment="1">
      <alignment horizontal="center"/>
    </xf>
    <xf numFmtId="0" fontId="1" fillId="0" borderId="8" xfId="1" applyFill="1" applyBorder="1" applyAlignment="1"/>
    <xf numFmtId="2" fontId="1" fillId="0" borderId="8" xfId="1" applyNumberFormat="1" applyFill="1" applyBorder="1" applyAlignment="1">
      <alignment horizontal="center"/>
    </xf>
    <xf numFmtId="2" fontId="1" fillId="0" borderId="8" xfId="1" applyNumberFormat="1" applyFont="1" applyFill="1" applyBorder="1" applyAlignment="1">
      <alignment horizontal="center"/>
    </xf>
    <xf numFmtId="0" fontId="5" fillId="0" borderId="16" xfId="1" applyFont="1" applyFill="1" applyBorder="1" applyAlignment="1"/>
    <xf numFmtId="2" fontId="2" fillId="0" borderId="0" xfId="1" applyNumberFormat="1" applyFont="1" applyFill="1" applyBorder="1" applyAlignment="1">
      <alignment horizontal="center"/>
    </xf>
    <xf numFmtId="0" fontId="2" fillId="0" borderId="0" xfId="1" applyFont="1" applyFill="1" applyBorder="1" applyAlignment="1">
      <alignment horizontal="center"/>
    </xf>
    <xf numFmtId="0" fontId="7" fillId="0" borderId="0" xfId="1" applyFont="1" applyFill="1" applyBorder="1" applyAlignment="1">
      <alignment horizontal="center"/>
    </xf>
    <xf numFmtId="1" fontId="1" fillId="0" borderId="0" xfId="1" applyNumberFormat="1" applyFont="1" applyFill="1" applyBorder="1"/>
    <xf numFmtId="0" fontId="10" fillId="0" borderId="0" xfId="1" applyFont="1" applyFill="1" applyBorder="1" applyAlignment="1">
      <alignment vertical="center"/>
    </xf>
    <xf numFmtId="0" fontId="10" fillId="0" borderId="11" xfId="1" applyFont="1" applyFill="1" applyBorder="1"/>
    <xf numFmtId="0" fontId="19" fillId="0" borderId="34" xfId="1" applyFont="1" applyFill="1" applyBorder="1" applyAlignment="1"/>
    <xf numFmtId="0" fontId="1" fillId="0" borderId="15" xfId="1" applyFill="1" applyBorder="1"/>
    <xf numFmtId="0" fontId="1" fillId="0" borderId="8" xfId="1" applyFill="1" applyBorder="1"/>
    <xf numFmtId="0" fontId="1" fillId="0" borderId="16" xfId="1" applyFill="1" applyBorder="1"/>
    <xf numFmtId="10" fontId="1" fillId="0" borderId="5" xfId="1" applyNumberFormat="1" applyFill="1" applyBorder="1" applyAlignment="1">
      <alignment horizontal="center"/>
    </xf>
    <xf numFmtId="0" fontId="5" fillId="0" borderId="10" xfId="1" applyFont="1" applyFill="1" applyBorder="1" applyAlignment="1">
      <alignment horizontal="right"/>
    </xf>
    <xf numFmtId="0" fontId="1" fillId="0" borderId="36" xfId="1" applyBorder="1"/>
    <xf numFmtId="0" fontId="7" fillId="0" borderId="0" xfId="1" applyFont="1" applyFill="1" applyBorder="1"/>
    <xf numFmtId="0" fontId="1" fillId="12" borderId="5" xfId="1" applyFill="1" applyBorder="1" applyAlignment="1">
      <alignment horizontal="center"/>
    </xf>
    <xf numFmtId="0" fontId="30" fillId="0" borderId="26" xfId="1" applyFont="1" applyFill="1" applyBorder="1" applyAlignment="1">
      <alignment horizontal="right"/>
    </xf>
    <xf numFmtId="0" fontId="5" fillId="0" borderId="0" xfId="1" applyNumberFormat="1" applyFont="1" applyFill="1" applyBorder="1" applyAlignment="1">
      <alignment horizontal="center"/>
    </xf>
    <xf numFmtId="0" fontId="1" fillId="9" borderId="0" xfId="1" applyFill="1" applyBorder="1"/>
    <xf numFmtId="0" fontId="15" fillId="0" borderId="0" xfId="1" applyNumberFormat="1" applyFont="1" applyFill="1" applyBorder="1" applyAlignment="1">
      <alignment horizontal="center"/>
    </xf>
    <xf numFmtId="0" fontId="3" fillId="0" borderId="28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31" fillId="0" borderId="0" xfId="1" applyFont="1" applyBorder="1" applyAlignment="1">
      <alignment horizontal="center"/>
    </xf>
    <xf numFmtId="0" fontId="1" fillId="0" borderId="38" xfId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13" xfId="1" applyFont="1" applyBorder="1" applyAlignment="1">
      <alignment horizontal="center"/>
    </xf>
    <xf numFmtId="0" fontId="31" fillId="0" borderId="13" xfId="1" applyFont="1" applyBorder="1" applyAlignment="1">
      <alignment horizontal="center"/>
    </xf>
    <xf numFmtId="165" fontId="1" fillId="0" borderId="0" xfId="1" applyNumberFormat="1" applyBorder="1" applyAlignment="1">
      <alignment horizontal="center"/>
    </xf>
    <xf numFmtId="10" fontId="2" fillId="0" borderId="0" xfId="1" applyNumberFormat="1" applyFont="1" applyFill="1" applyBorder="1" applyAlignment="1">
      <alignment horizontal="center"/>
    </xf>
    <xf numFmtId="0" fontId="18" fillId="0" borderId="0" xfId="1" applyFont="1" applyBorder="1" applyAlignment="1">
      <alignment vertical="center"/>
    </xf>
    <xf numFmtId="0" fontId="5" fillId="0" borderId="0" xfId="1" applyFont="1"/>
    <xf numFmtId="2" fontId="1" fillId="0" borderId="0" xfId="1" applyNumberFormat="1"/>
    <xf numFmtId="0" fontId="1" fillId="3" borderId="5" xfId="1" applyFill="1" applyBorder="1" applyAlignment="1">
      <alignment horizontal="center"/>
    </xf>
    <xf numFmtId="0" fontId="1" fillId="3" borderId="2" xfId="1" applyFill="1" applyBorder="1" applyAlignment="1">
      <alignment horizontal="center"/>
    </xf>
    <xf numFmtId="0" fontId="1" fillId="2" borderId="15" xfId="1" applyFill="1" applyBorder="1"/>
    <xf numFmtId="0" fontId="1" fillId="2" borderId="16" xfId="1" applyFill="1" applyBorder="1"/>
    <xf numFmtId="0" fontId="1" fillId="2" borderId="28" xfId="1" applyFill="1" applyBorder="1"/>
    <xf numFmtId="2" fontId="1" fillId="4" borderId="0" xfId="1" applyNumberFormat="1" applyFill="1" applyBorder="1" applyAlignment="1">
      <alignment horizontal="center"/>
    </xf>
    <xf numFmtId="165" fontId="1" fillId="2" borderId="0" xfId="1" applyNumberFormat="1" applyFill="1" applyBorder="1" applyAlignment="1">
      <alignment horizontal="center"/>
    </xf>
    <xf numFmtId="2" fontId="1" fillId="2" borderId="28" xfId="1" applyNumberFormat="1" applyFill="1" applyBorder="1"/>
    <xf numFmtId="2" fontId="5" fillId="2" borderId="1" xfId="3" applyNumberFormat="1" applyFill="1" applyBorder="1" applyAlignment="1">
      <alignment horizontal="center"/>
    </xf>
    <xf numFmtId="2" fontId="5" fillId="2" borderId="3" xfId="3" applyNumberFormat="1" applyFill="1" applyBorder="1" applyAlignment="1">
      <alignment horizontal="center"/>
    </xf>
    <xf numFmtId="2" fontId="1" fillId="2" borderId="0" xfId="1" applyNumberFormat="1" applyFill="1" applyBorder="1"/>
    <xf numFmtId="2" fontId="5" fillId="2" borderId="4" xfId="3" applyNumberFormat="1" applyFill="1" applyBorder="1" applyAlignment="1">
      <alignment horizontal="center"/>
    </xf>
    <xf numFmtId="2" fontId="5" fillId="2" borderId="6" xfId="3" applyNumberFormat="1" applyFill="1" applyBorder="1" applyAlignment="1">
      <alignment horizontal="center"/>
    </xf>
    <xf numFmtId="0" fontId="5" fillId="4" borderId="0" xfId="1" applyFont="1" applyFill="1" applyBorder="1"/>
    <xf numFmtId="2" fontId="1" fillId="2" borderId="1" xfId="1" applyNumberFormat="1" applyFill="1" applyBorder="1" applyAlignment="1">
      <alignment horizontal="center"/>
    </xf>
    <xf numFmtId="0" fontId="1" fillId="13" borderId="3" xfId="1" applyFill="1" applyBorder="1" applyAlignment="1">
      <alignment horizontal="center"/>
    </xf>
    <xf numFmtId="2" fontId="1" fillId="2" borderId="4" xfId="1" applyNumberFormat="1" applyFill="1" applyBorder="1" applyAlignment="1">
      <alignment horizontal="center"/>
    </xf>
    <xf numFmtId="0" fontId="1" fillId="13" borderId="6" xfId="1" applyFill="1" applyBorder="1" applyAlignment="1">
      <alignment horizontal="center"/>
    </xf>
    <xf numFmtId="0" fontId="5" fillId="13" borderId="19" xfId="3" applyFill="1" applyBorder="1" applyAlignment="1">
      <alignment horizontal="center" vertical="center"/>
    </xf>
    <xf numFmtId="0" fontId="5" fillId="13" borderId="20" xfId="3" applyFill="1" applyBorder="1" applyAlignment="1">
      <alignment horizontal="center" vertical="center"/>
    </xf>
    <xf numFmtId="2" fontId="1" fillId="2" borderId="44" xfId="1" applyNumberFormat="1" applyFill="1" applyBorder="1" applyAlignment="1">
      <alignment horizontal="center"/>
    </xf>
    <xf numFmtId="10" fontId="5" fillId="2" borderId="6" xfId="3" applyNumberFormat="1" applyFill="1" applyBorder="1" applyAlignment="1">
      <alignment horizontal="center"/>
    </xf>
    <xf numFmtId="0" fontId="1" fillId="13" borderId="7" xfId="1" applyFill="1" applyBorder="1"/>
    <xf numFmtId="2" fontId="1" fillId="2" borderId="47" xfId="1" applyNumberFormat="1" applyFill="1" applyBorder="1" applyAlignment="1">
      <alignment horizontal="center"/>
    </xf>
    <xf numFmtId="0" fontId="1" fillId="13" borderId="9" xfId="1" applyFill="1" applyBorder="1"/>
    <xf numFmtId="0" fontId="1" fillId="13" borderId="9" xfId="1" applyFill="1" applyBorder="1" applyAlignment="1">
      <alignment horizontal="center"/>
    </xf>
    <xf numFmtId="0" fontId="1" fillId="4" borderId="0" xfId="1" applyFill="1" applyBorder="1"/>
    <xf numFmtId="10" fontId="1" fillId="4" borderId="0" xfId="1" applyNumberFormat="1" applyFill="1" applyBorder="1" applyAlignment="1">
      <alignment horizontal="center"/>
    </xf>
    <xf numFmtId="0" fontId="5" fillId="4" borderId="10" xfId="1" applyFont="1" applyFill="1" applyBorder="1" applyAlignment="1">
      <alignment horizontal="right"/>
    </xf>
    <xf numFmtId="2" fontId="1" fillId="2" borderId="19" xfId="1" applyNumberFormat="1" applyFill="1" applyBorder="1" applyAlignment="1">
      <alignment horizontal="center"/>
    </xf>
    <xf numFmtId="0" fontId="1" fillId="13" borderId="24" xfId="1" applyFill="1" applyBorder="1" applyAlignment="1">
      <alignment horizontal="center"/>
    </xf>
    <xf numFmtId="0" fontId="5" fillId="13" borderId="48" xfId="1" applyFont="1" applyFill="1" applyBorder="1" applyAlignment="1">
      <alignment horizontal="center" vertical="center"/>
    </xf>
    <xf numFmtId="0" fontId="1" fillId="4" borderId="0" xfId="1" applyFill="1" applyBorder="1" applyAlignment="1">
      <alignment horizontal="center"/>
    </xf>
    <xf numFmtId="11" fontId="1" fillId="2" borderId="28" xfId="1" applyNumberFormat="1" applyFill="1" applyBorder="1"/>
    <xf numFmtId="11" fontId="1" fillId="2" borderId="0" xfId="1" applyNumberFormat="1" applyFill="1" applyBorder="1"/>
    <xf numFmtId="0" fontId="30" fillId="4" borderId="10" xfId="1" applyFont="1" applyFill="1" applyBorder="1" applyAlignment="1">
      <alignment horizontal="right"/>
    </xf>
    <xf numFmtId="165" fontId="1" fillId="2" borderId="63" xfId="1" applyNumberFormat="1" applyFill="1" applyBorder="1" applyAlignment="1">
      <alignment horizontal="center"/>
    </xf>
    <xf numFmtId="165" fontId="1" fillId="2" borderId="64" xfId="1" applyNumberFormat="1" applyFill="1" applyBorder="1" applyAlignment="1">
      <alignment horizontal="center"/>
    </xf>
    <xf numFmtId="165" fontId="1" fillId="2" borderId="60" xfId="1" applyNumberFormat="1" applyFill="1" applyBorder="1" applyAlignment="1">
      <alignment horizontal="center"/>
    </xf>
    <xf numFmtId="0" fontId="5" fillId="2" borderId="10" xfId="1" applyFont="1" applyFill="1" applyBorder="1" applyAlignment="1">
      <alignment horizontal="right"/>
    </xf>
    <xf numFmtId="165" fontId="1" fillId="2" borderId="65" xfId="1" applyNumberFormat="1" applyFill="1" applyBorder="1" applyAlignment="1">
      <alignment horizontal="center"/>
    </xf>
    <xf numFmtId="165" fontId="1" fillId="2" borderId="32" xfId="1" applyNumberFormat="1" applyFill="1" applyBorder="1" applyAlignment="1">
      <alignment horizontal="center"/>
    </xf>
    <xf numFmtId="2" fontId="1" fillId="2" borderId="64" xfId="1" applyNumberFormat="1" applyFill="1" applyBorder="1" applyAlignment="1">
      <alignment horizontal="center"/>
    </xf>
    <xf numFmtId="0" fontId="1" fillId="2" borderId="44" xfId="1" applyFill="1" applyBorder="1" applyAlignment="1">
      <alignment horizontal="center"/>
    </xf>
    <xf numFmtId="2" fontId="1" fillId="2" borderId="32" xfId="1" applyNumberFormat="1" applyFill="1" applyBorder="1" applyAlignment="1">
      <alignment horizontal="center"/>
    </xf>
    <xf numFmtId="0" fontId="1" fillId="2" borderId="47" xfId="1" applyFill="1" applyBorder="1" applyAlignment="1">
      <alignment horizontal="center"/>
    </xf>
    <xf numFmtId="165" fontId="1" fillId="2" borderId="19" xfId="1" applyNumberFormat="1" applyFill="1" applyBorder="1" applyAlignment="1">
      <alignment horizontal="center"/>
    </xf>
    <xf numFmtId="165" fontId="1" fillId="2" borderId="23" xfId="1" applyNumberFormat="1" applyFill="1" applyBorder="1" applyAlignment="1">
      <alignment horizontal="center"/>
    </xf>
    <xf numFmtId="2" fontId="1" fillId="2" borderId="23" xfId="1" applyNumberFormat="1" applyFill="1" applyBorder="1" applyAlignment="1">
      <alignment horizontal="center"/>
    </xf>
    <xf numFmtId="0" fontId="1" fillId="3" borderId="23" xfId="1" applyFill="1" applyBorder="1" applyAlignment="1">
      <alignment horizontal="center"/>
    </xf>
    <xf numFmtId="0" fontId="1" fillId="2" borderId="51" xfId="1" applyFill="1" applyBorder="1" applyAlignment="1">
      <alignment horizontal="center"/>
    </xf>
    <xf numFmtId="0" fontId="5" fillId="2" borderId="63" xfId="1" applyFont="1" applyFill="1" applyBorder="1" applyAlignment="1">
      <alignment horizontal="center"/>
    </xf>
    <xf numFmtId="0" fontId="5" fillId="2" borderId="64" xfId="1" applyFont="1" applyFill="1" applyBorder="1" applyAlignment="1">
      <alignment horizontal="center"/>
    </xf>
    <xf numFmtId="0" fontId="1" fillId="2" borderId="64" xfId="1" applyFill="1" applyBorder="1" applyAlignment="1">
      <alignment horizontal="center"/>
    </xf>
    <xf numFmtId="0" fontId="1" fillId="2" borderId="63" xfId="1" applyFill="1" applyBorder="1" applyAlignment="1">
      <alignment horizontal="center"/>
    </xf>
    <xf numFmtId="0" fontId="1" fillId="7" borderId="64" xfId="1" applyFill="1" applyBorder="1" applyAlignment="1">
      <alignment horizontal="center"/>
    </xf>
    <xf numFmtId="0" fontId="1" fillId="14" borderId="60" xfId="1" applyFill="1" applyBorder="1" applyAlignment="1">
      <alignment horizontal="center"/>
    </xf>
    <xf numFmtId="0" fontId="32" fillId="0" borderId="28" xfId="1" applyFont="1" applyBorder="1" applyAlignment="1">
      <alignment horizontal="center"/>
    </xf>
    <xf numFmtId="0" fontId="32" fillId="0" borderId="0" xfId="1" applyFont="1" applyBorder="1" applyAlignment="1">
      <alignment horizontal="center"/>
    </xf>
    <xf numFmtId="0" fontId="32" fillId="0" borderId="10" xfId="1" applyFont="1" applyBorder="1" applyAlignment="1">
      <alignment horizontal="center"/>
    </xf>
    <xf numFmtId="0" fontId="32" fillId="9" borderId="15" xfId="1" applyFont="1" applyFill="1" applyBorder="1" applyAlignment="1">
      <alignment horizontal="center"/>
    </xf>
    <xf numFmtId="0" fontId="32" fillId="9" borderId="8" xfId="1" applyFont="1" applyFill="1" applyBorder="1" applyAlignment="1">
      <alignment horizontal="center"/>
    </xf>
    <xf numFmtId="0" fontId="22" fillId="9" borderId="8" xfId="1" applyFont="1" applyFill="1" applyBorder="1"/>
    <xf numFmtId="0" fontId="3" fillId="9" borderId="8" xfId="1" applyFont="1" applyFill="1" applyBorder="1" applyAlignment="1">
      <alignment horizontal="center"/>
    </xf>
    <xf numFmtId="0" fontId="22" fillId="9" borderId="8" xfId="1" applyFont="1" applyFill="1" applyBorder="1" applyAlignment="1"/>
    <xf numFmtId="0" fontId="3" fillId="9" borderId="8" xfId="1" applyFont="1" applyFill="1" applyBorder="1"/>
    <xf numFmtId="0" fontId="22" fillId="9" borderId="16" xfId="1" applyFont="1" applyFill="1" applyBorder="1"/>
    <xf numFmtId="0" fontId="32" fillId="9" borderId="28" xfId="1" applyFont="1" applyFill="1" applyBorder="1" applyAlignment="1">
      <alignment horizontal="center"/>
    </xf>
    <xf numFmtId="0" fontId="32" fillId="9" borderId="0" xfId="1" applyFont="1" applyFill="1" applyBorder="1" applyAlignment="1">
      <alignment horizontal="center"/>
    </xf>
    <xf numFmtId="0" fontId="22" fillId="9" borderId="0" xfId="1" applyFont="1" applyFill="1" applyBorder="1"/>
    <xf numFmtId="0" fontId="22" fillId="9" borderId="0" xfId="1" applyFont="1" applyFill="1" applyBorder="1" applyAlignment="1">
      <alignment horizontal="center"/>
    </xf>
    <xf numFmtId="0" fontId="3" fillId="9" borderId="0" xfId="1" applyFont="1" applyFill="1" applyBorder="1" applyAlignment="1">
      <alignment horizontal="center"/>
    </xf>
    <xf numFmtId="0" fontId="22" fillId="9" borderId="10" xfId="1" applyFont="1" applyFill="1" applyBorder="1"/>
    <xf numFmtId="0" fontId="32" fillId="9" borderId="27" xfId="1" applyFont="1" applyFill="1" applyBorder="1" applyAlignment="1">
      <alignment horizontal="center"/>
    </xf>
    <xf numFmtId="0" fontId="32" fillId="9" borderId="25" xfId="1" applyFont="1" applyFill="1" applyBorder="1" applyAlignment="1">
      <alignment horizontal="center"/>
    </xf>
    <xf numFmtId="0" fontId="22" fillId="9" borderId="25" xfId="1" applyFont="1" applyFill="1" applyBorder="1"/>
    <xf numFmtId="0" fontId="22" fillId="9" borderId="25" xfId="1" applyFont="1" applyFill="1" applyBorder="1" applyAlignment="1">
      <alignment horizontal="center"/>
    </xf>
    <xf numFmtId="0" fontId="3" fillId="9" borderId="25" xfId="1" applyFont="1" applyFill="1" applyBorder="1" applyAlignment="1">
      <alignment horizontal="center"/>
    </xf>
    <xf numFmtId="0" fontId="3" fillId="9" borderId="25" xfId="1" applyFont="1" applyFill="1" applyBorder="1"/>
    <xf numFmtId="0" fontId="22" fillId="9" borderId="26" xfId="1" applyFont="1" applyFill="1" applyBorder="1"/>
    <xf numFmtId="17" fontId="4" fillId="0" borderId="5" xfId="1" applyNumberFormat="1" applyFont="1" applyBorder="1" applyAlignment="1">
      <alignment horizontal="center"/>
    </xf>
    <xf numFmtId="0" fontId="1" fillId="10" borderId="0" xfId="1" applyFill="1" applyBorder="1"/>
    <xf numFmtId="0" fontId="1" fillId="11" borderId="0" xfId="1" applyFill="1" applyBorder="1"/>
    <xf numFmtId="0" fontId="7" fillId="11" borderId="0" xfId="1" applyFont="1" applyFill="1" applyBorder="1" applyAlignment="1"/>
    <xf numFmtId="0" fontId="24" fillId="2" borderId="10" xfId="1" applyFont="1" applyFill="1" applyBorder="1" applyAlignment="1">
      <alignment horizontal="left"/>
    </xf>
    <xf numFmtId="0" fontId="19" fillId="0" borderId="19" xfId="1" applyFont="1" applyBorder="1" applyAlignment="1">
      <alignment horizontal="center"/>
    </xf>
    <xf numFmtId="17" fontId="19" fillId="0" borderId="23" xfId="1" applyNumberFormat="1" applyFont="1" applyBorder="1" applyAlignment="1">
      <alignment horizontal="center"/>
    </xf>
    <xf numFmtId="0" fontId="1" fillId="10" borderId="25" xfId="1" applyFill="1" applyBorder="1"/>
    <xf numFmtId="0" fontId="2" fillId="10" borderId="25" xfId="1" applyFont="1" applyFill="1" applyBorder="1" applyAlignment="1"/>
    <xf numFmtId="0" fontId="22" fillId="10" borderId="25" xfId="1" applyFont="1" applyFill="1" applyBorder="1" applyAlignment="1"/>
    <xf numFmtId="0" fontId="32" fillId="0" borderId="25" xfId="1" applyFont="1" applyBorder="1" applyAlignment="1">
      <alignment horizontal="center"/>
    </xf>
    <xf numFmtId="0" fontId="1" fillId="11" borderId="25" xfId="1" applyFill="1" applyBorder="1"/>
    <xf numFmtId="0" fontId="7" fillId="11" borderId="25" xfId="1" applyFont="1" applyFill="1" applyBorder="1" applyAlignment="1">
      <alignment vertical="center"/>
    </xf>
    <xf numFmtId="0" fontId="24" fillId="2" borderId="26" xfId="1" applyFont="1" applyFill="1" applyBorder="1" applyAlignment="1">
      <alignment horizontal="left"/>
    </xf>
    <xf numFmtId="165" fontId="5" fillId="0" borderId="5" xfId="3" applyNumberFormat="1" applyFill="1" applyBorder="1" applyAlignment="1">
      <alignment horizontal="center" vertical="center"/>
    </xf>
    <xf numFmtId="0" fontId="1" fillId="17" borderId="5" xfId="1" applyFill="1" applyBorder="1" applyAlignment="1">
      <alignment horizontal="center"/>
    </xf>
    <xf numFmtId="0" fontId="1" fillId="0" borderId="5" xfId="1" applyFill="1" applyBorder="1" applyAlignment="1">
      <alignment horizontal="center"/>
    </xf>
    <xf numFmtId="0" fontId="2" fillId="12" borderId="4" xfId="1" applyFont="1" applyFill="1" applyBorder="1" applyAlignment="1">
      <alignment horizontal="center"/>
    </xf>
    <xf numFmtId="0" fontId="1" fillId="17" borderId="12" xfId="1" applyFill="1" applyBorder="1"/>
    <xf numFmtId="0" fontId="1" fillId="17" borderId="5" xfId="1" applyFill="1" applyBorder="1"/>
    <xf numFmtId="0" fontId="1" fillId="17" borderId="5" xfId="1" applyFont="1" applyFill="1" applyBorder="1"/>
    <xf numFmtId="0" fontId="1" fillId="17" borderId="11" xfId="1" applyFill="1" applyBorder="1"/>
    <xf numFmtId="2" fontId="1" fillId="17" borderId="5" xfId="1" applyNumberFormat="1" applyFill="1" applyBorder="1" applyAlignment="1">
      <alignment horizontal="left"/>
    </xf>
    <xf numFmtId="0" fontId="1" fillId="17" borderId="6" xfId="1" applyFill="1" applyBorder="1" applyAlignment="1">
      <alignment horizontal="center"/>
    </xf>
    <xf numFmtId="165" fontId="1" fillId="0" borderId="0" xfId="1" applyNumberFormat="1" applyFill="1" applyBorder="1" applyAlignment="1">
      <alignment horizontal="center"/>
    </xf>
    <xf numFmtId="0" fontId="1" fillId="17" borderId="5" xfId="1" applyFill="1" applyBorder="1" applyAlignment="1">
      <alignment horizontal="left"/>
    </xf>
    <xf numFmtId="0" fontId="1" fillId="0" borderId="14" xfId="1" applyFill="1" applyBorder="1" applyAlignment="1">
      <alignment horizontal="center"/>
    </xf>
    <xf numFmtId="2" fontId="5" fillId="0" borderId="29" xfId="1" applyNumberFormat="1" applyFont="1" applyFill="1" applyBorder="1" applyAlignment="1">
      <alignment horizontal="center"/>
    </xf>
    <xf numFmtId="0" fontId="1" fillId="0" borderId="14" xfId="1" applyFont="1" applyFill="1" applyBorder="1" applyAlignment="1"/>
    <xf numFmtId="0" fontId="1" fillId="17" borderId="20" xfId="1" applyFont="1" applyFill="1" applyBorder="1" applyAlignment="1">
      <alignment horizontal="center"/>
    </xf>
    <xf numFmtId="0" fontId="33" fillId="17" borderId="57" xfId="1" applyFont="1" applyFill="1" applyBorder="1" applyAlignment="1">
      <alignment horizontal="center"/>
    </xf>
    <xf numFmtId="0" fontId="33" fillId="17" borderId="48" xfId="1" applyFont="1" applyFill="1" applyBorder="1" applyAlignment="1">
      <alignment horizontal="center"/>
    </xf>
    <xf numFmtId="49" fontId="34" fillId="0" borderId="18" xfId="1" applyNumberFormat="1" applyFont="1" applyFill="1" applyBorder="1" applyAlignment="1">
      <alignment horizontal="center" vertical="center"/>
    </xf>
    <xf numFmtId="0" fontId="33" fillId="18" borderId="51" xfId="1" applyFont="1" applyFill="1" applyBorder="1" applyAlignment="1">
      <alignment horizontal="center"/>
    </xf>
    <xf numFmtId="165" fontId="33" fillId="19" borderId="51" xfId="1" applyNumberFormat="1" applyFont="1" applyFill="1" applyBorder="1" applyAlignment="1" applyProtection="1">
      <alignment horizontal="center" vertical="center"/>
    </xf>
    <xf numFmtId="0" fontId="33" fillId="0" borderId="47" xfId="1" applyFont="1" applyBorder="1" applyAlignment="1">
      <alignment horizontal="center"/>
    </xf>
    <xf numFmtId="165" fontId="33" fillId="19" borderId="47" xfId="1" applyNumberFormat="1" applyFont="1" applyFill="1" applyBorder="1" applyAlignment="1" applyProtection="1">
      <alignment horizontal="center" vertical="center"/>
    </xf>
    <xf numFmtId="0" fontId="33" fillId="0" borderId="44" xfId="1" applyFont="1" applyBorder="1" applyAlignment="1">
      <alignment horizontal="center"/>
    </xf>
    <xf numFmtId="165" fontId="33" fillId="19" borderId="44" xfId="1" applyNumberFormat="1" applyFont="1" applyFill="1" applyBorder="1" applyAlignment="1" applyProtection="1">
      <alignment horizontal="center" vertical="center"/>
    </xf>
    <xf numFmtId="0" fontId="33" fillId="18" borderId="50" xfId="1" applyFont="1" applyFill="1" applyBorder="1" applyAlignment="1">
      <alignment horizontal="center"/>
    </xf>
    <xf numFmtId="165" fontId="33" fillId="19" borderId="50" xfId="1" applyNumberFormat="1" applyFont="1" applyFill="1" applyBorder="1" applyAlignment="1" applyProtection="1">
      <alignment horizontal="center" vertical="center"/>
    </xf>
    <xf numFmtId="0" fontId="33" fillId="0" borderId="52" xfId="1" applyFont="1" applyBorder="1" applyAlignment="1">
      <alignment horizontal="center"/>
    </xf>
    <xf numFmtId="165" fontId="33" fillId="19" borderId="52" xfId="1" applyNumberFormat="1" applyFont="1" applyFill="1" applyBorder="1" applyAlignment="1" applyProtection="1">
      <alignment horizontal="center" vertical="center"/>
    </xf>
    <xf numFmtId="0" fontId="33" fillId="17" borderId="26" xfId="1" applyFont="1" applyFill="1" applyBorder="1" applyAlignment="1">
      <alignment horizontal="center"/>
    </xf>
    <xf numFmtId="0" fontId="33" fillId="17" borderId="59" xfId="1" applyFont="1" applyFill="1" applyBorder="1" applyAlignment="1">
      <alignment horizontal="center"/>
    </xf>
    <xf numFmtId="0" fontId="33" fillId="17" borderId="58" xfId="1" applyFont="1" applyFill="1" applyBorder="1" applyAlignment="1">
      <alignment horizontal="center"/>
    </xf>
    <xf numFmtId="0" fontId="1" fillId="10" borderId="57" xfId="1" applyFill="1" applyBorder="1" applyAlignment="1">
      <alignment horizontal="center"/>
    </xf>
    <xf numFmtId="2" fontId="1" fillId="0" borderId="4" xfId="1" applyNumberFormat="1" applyFill="1" applyBorder="1" applyAlignment="1">
      <alignment horizontal="center"/>
    </xf>
    <xf numFmtId="2" fontId="1" fillId="0" borderId="0" xfId="1" applyNumberFormat="1" applyFill="1" applyBorder="1"/>
    <xf numFmtId="0" fontId="1" fillId="0" borderId="13" xfId="1" applyFill="1" applyBorder="1"/>
    <xf numFmtId="0" fontId="34" fillId="0" borderId="18" xfId="1" applyNumberFormat="1" applyFont="1" applyFill="1" applyBorder="1" applyAlignment="1">
      <alignment horizontal="center" vertical="center"/>
    </xf>
    <xf numFmtId="0" fontId="34" fillId="0" borderId="14" xfId="1" applyNumberFormat="1" applyFont="1" applyFill="1" applyBorder="1" applyAlignment="1">
      <alignment horizontal="center" vertical="center"/>
    </xf>
    <xf numFmtId="0" fontId="34" fillId="0" borderId="11" xfId="1" applyNumberFormat="1" applyFont="1" applyFill="1" applyBorder="1" applyAlignment="1">
      <alignment horizontal="center" vertical="center"/>
    </xf>
    <xf numFmtId="0" fontId="34" fillId="0" borderId="42" xfId="1" applyNumberFormat="1" applyFont="1" applyFill="1" applyBorder="1" applyAlignment="1">
      <alignment horizontal="center" vertical="center"/>
    </xf>
    <xf numFmtId="0" fontId="34" fillId="0" borderId="40" xfId="1" applyNumberFormat="1" applyFont="1" applyFill="1" applyBorder="1" applyAlignment="1">
      <alignment horizontal="center" vertical="center"/>
    </xf>
    <xf numFmtId="11" fontId="1" fillId="2" borderId="23" xfId="1" applyNumberFormat="1" applyFill="1" applyBorder="1" applyAlignment="1">
      <alignment horizontal="center"/>
    </xf>
    <xf numFmtId="11" fontId="1" fillId="2" borderId="32" xfId="1" applyNumberFormat="1" applyFill="1" applyBorder="1" applyAlignment="1">
      <alignment horizontal="center"/>
    </xf>
    <xf numFmtId="11" fontId="1" fillId="2" borderId="64" xfId="1" applyNumberFormat="1" applyFill="1" applyBorder="1" applyAlignment="1">
      <alignment horizontal="center"/>
    </xf>
    <xf numFmtId="168" fontId="1" fillId="2" borderId="19" xfId="1" applyNumberFormat="1" applyFill="1" applyBorder="1" applyAlignment="1">
      <alignment horizontal="center"/>
    </xf>
    <xf numFmtId="168" fontId="1" fillId="2" borderId="65" xfId="1" applyNumberFormat="1" applyFill="1" applyBorder="1" applyAlignment="1">
      <alignment horizontal="center"/>
    </xf>
    <xf numFmtId="168" fontId="1" fillId="2" borderId="63" xfId="1" applyNumberFormat="1" applyFill="1" applyBorder="1" applyAlignment="1">
      <alignment horizontal="center"/>
    </xf>
    <xf numFmtId="169" fontId="1" fillId="2" borderId="4" xfId="1" applyNumberFormat="1" applyFill="1" applyBorder="1" applyAlignment="1">
      <alignment horizontal="center"/>
    </xf>
    <xf numFmtId="169" fontId="1" fillId="2" borderId="1" xfId="1" applyNumberFormat="1" applyFill="1" applyBorder="1" applyAlignment="1">
      <alignment horizontal="center"/>
    </xf>
    <xf numFmtId="2" fontId="1" fillId="0" borderId="32" xfId="1" applyNumberFormat="1" applyFill="1" applyBorder="1" applyAlignment="1">
      <alignment horizontal="center"/>
    </xf>
    <xf numFmtId="11" fontId="1" fillId="0" borderId="0" xfId="1" applyNumberFormat="1"/>
    <xf numFmtId="167" fontId="1" fillId="0" borderId="12" xfId="1" applyNumberFormat="1" applyBorder="1" applyAlignment="1">
      <alignment horizontal="center"/>
    </xf>
    <xf numFmtId="11" fontId="1" fillId="16" borderId="5" xfId="1" applyNumberFormat="1" applyFill="1" applyBorder="1" applyAlignment="1">
      <alignment horizontal="center"/>
    </xf>
    <xf numFmtId="0" fontId="6" fillId="4" borderId="22" xfId="1" applyFont="1" applyFill="1" applyBorder="1" applyAlignment="1">
      <alignment horizontal="center"/>
    </xf>
    <xf numFmtId="0" fontId="12" fillId="0" borderId="0" xfId="1" applyFont="1" applyFill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/>
    <xf numFmtId="0" fontId="4" fillId="0" borderId="0" xfId="1" applyFont="1" applyFill="1"/>
    <xf numFmtId="0" fontId="4" fillId="0" borderId="0" xfId="1" applyFont="1" applyBorder="1"/>
    <xf numFmtId="2" fontId="4" fillId="0" borderId="0" xfId="1" applyNumberFormat="1" applyFont="1" applyFill="1" applyBorder="1"/>
    <xf numFmtId="0" fontId="1" fillId="14" borderId="20" xfId="1" applyFill="1" applyBorder="1" applyAlignment="1">
      <alignment horizontal="center"/>
    </xf>
    <xf numFmtId="0" fontId="1" fillId="14" borderId="6" xfId="1" applyFill="1" applyBorder="1" applyAlignment="1">
      <alignment horizontal="center"/>
    </xf>
    <xf numFmtId="0" fontId="1" fillId="14" borderId="3" xfId="1" applyFill="1" applyBorder="1" applyAlignment="1">
      <alignment horizontal="center"/>
    </xf>
    <xf numFmtId="0" fontId="19" fillId="8" borderId="5" xfId="1" applyFont="1" applyFill="1" applyBorder="1" applyAlignment="1">
      <alignment horizontal="center"/>
    </xf>
    <xf numFmtId="0" fontId="5" fillId="0" borderId="0" xfId="1" applyFont="1" applyFill="1" applyBorder="1" applyAlignment="1">
      <alignment horizontal="right"/>
    </xf>
    <xf numFmtId="0" fontId="1" fillId="18" borderId="5" xfId="1" applyFill="1" applyBorder="1" applyAlignment="1">
      <alignment horizontal="center"/>
    </xf>
    <xf numFmtId="165" fontId="1" fillId="12" borderId="5" xfId="1" applyNumberFormat="1" applyFill="1" applyBorder="1" applyAlignment="1">
      <alignment horizontal="center"/>
    </xf>
    <xf numFmtId="170" fontId="1" fillId="0" borderId="5" xfId="1" applyNumberFormat="1" applyFill="1" applyBorder="1" applyAlignment="1">
      <alignment horizontal="center"/>
    </xf>
    <xf numFmtId="165" fontId="16" fillId="4" borderId="3" xfId="1" applyNumberFormat="1" applyFont="1" applyFill="1" applyBorder="1" applyAlignment="1">
      <alignment horizontal="center"/>
    </xf>
    <xf numFmtId="165" fontId="8" fillId="2" borderId="1" xfId="1" applyNumberFormat="1" applyFont="1" applyFill="1" applyBorder="1" applyAlignment="1">
      <alignment horizontal="center"/>
    </xf>
    <xf numFmtId="165" fontId="16" fillId="4" borderId="1" xfId="1" applyNumberFormat="1" applyFont="1" applyFill="1" applyBorder="1" applyAlignment="1">
      <alignment horizontal="center"/>
    </xf>
    <xf numFmtId="2" fontId="4" fillId="2" borderId="61" xfId="1" applyNumberFormat="1" applyFont="1" applyFill="1" applyBorder="1" applyAlignment="1">
      <alignment horizontal="center"/>
    </xf>
    <xf numFmtId="9" fontId="8" fillId="7" borderId="67" xfId="1" applyNumberFormat="1" applyFont="1" applyFill="1" applyBorder="1" applyAlignment="1">
      <alignment horizontal="center"/>
    </xf>
    <xf numFmtId="0" fontId="8" fillId="9" borderId="67" xfId="1" applyNumberFormat="1" applyFont="1" applyFill="1" applyBorder="1" applyAlignment="1">
      <alignment horizontal="center"/>
    </xf>
    <xf numFmtId="0" fontId="4" fillId="3" borderId="32" xfId="1" applyFont="1" applyFill="1" applyBorder="1" applyAlignment="1">
      <alignment horizontal="center"/>
    </xf>
    <xf numFmtId="0" fontId="35" fillId="18" borderId="5" xfId="0" applyFont="1" applyFill="1" applyBorder="1" applyAlignment="1">
      <alignment horizontal="center" vertical="center" wrapText="1"/>
    </xf>
    <xf numFmtId="167" fontId="8" fillId="0" borderId="19" xfId="1" applyNumberFormat="1" applyFont="1" applyBorder="1" applyAlignment="1">
      <alignment horizontal="center"/>
    </xf>
    <xf numFmtId="167" fontId="8" fillId="0" borderId="4" xfId="1" applyNumberFormat="1" applyFont="1" applyBorder="1" applyAlignment="1">
      <alignment horizontal="center"/>
    </xf>
    <xf numFmtId="0" fontId="37" fillId="0" borderId="0" xfId="1" applyFont="1"/>
    <xf numFmtId="0" fontId="37" fillId="0" borderId="0" xfId="1" applyFont="1" applyFill="1"/>
    <xf numFmtId="0" fontId="37" fillId="0" borderId="0" xfId="1" applyFont="1" applyFill="1" applyBorder="1" applyAlignment="1">
      <alignment horizontal="center"/>
    </xf>
    <xf numFmtId="0" fontId="37" fillId="0" borderId="0" xfId="1" applyFont="1" applyFill="1" applyBorder="1"/>
    <xf numFmtId="0" fontId="37" fillId="0" borderId="0" xfId="1" applyFont="1" applyBorder="1"/>
    <xf numFmtId="0" fontId="2" fillId="12" borderId="5" xfId="1" applyFont="1" applyFill="1" applyBorder="1" applyAlignment="1">
      <alignment horizontal="center"/>
    </xf>
    <xf numFmtId="0" fontId="1" fillId="0" borderId="62" xfId="1" applyBorder="1"/>
    <xf numFmtId="2" fontId="37" fillId="0" borderId="28" xfId="1" applyNumberFormat="1" applyFont="1" applyBorder="1" applyAlignment="1">
      <alignment horizontal="center"/>
    </xf>
    <xf numFmtId="0" fontId="37" fillId="4" borderId="0" xfId="1" applyFont="1" applyFill="1" applyBorder="1"/>
    <xf numFmtId="0" fontId="37" fillId="4" borderId="0" xfId="1" applyFont="1" applyFill="1" applyBorder="1" applyAlignment="1">
      <alignment horizontal="center"/>
    </xf>
    <xf numFmtId="0" fontId="36" fillId="4" borderId="0" xfId="0" applyFont="1" applyFill="1" applyBorder="1" applyAlignment="1">
      <alignment horizontal="center"/>
    </xf>
    <xf numFmtId="10" fontId="36" fillId="4" borderId="0" xfId="0" applyNumberFormat="1" applyFont="1" applyFill="1" applyBorder="1" applyAlignment="1">
      <alignment horizontal="center"/>
    </xf>
    <xf numFmtId="2" fontId="36" fillId="4" borderId="0" xfId="0" applyNumberFormat="1" applyFont="1" applyFill="1" applyBorder="1" applyAlignment="1">
      <alignment horizontal="center"/>
    </xf>
    <xf numFmtId="2" fontId="36" fillId="4" borderId="0" xfId="0" applyNumberFormat="1" applyFont="1" applyFill="1" applyBorder="1" applyAlignment="1">
      <alignment horizontal="center" vertical="center"/>
    </xf>
    <xf numFmtId="9" fontId="36" fillId="4" borderId="0" xfId="0" applyNumberFormat="1" applyFont="1" applyFill="1" applyBorder="1" applyAlignment="1">
      <alignment horizontal="center"/>
    </xf>
    <xf numFmtId="0" fontId="2" fillId="18" borderId="4" xfId="1" applyFont="1" applyFill="1" applyBorder="1" applyAlignment="1">
      <alignment horizontal="center"/>
    </xf>
    <xf numFmtId="165" fontId="14" fillId="0" borderId="0" xfId="1" applyNumberFormat="1" applyFont="1" applyFill="1" applyBorder="1" applyAlignment="1" applyProtection="1">
      <alignment horizontal="left" vertical="center"/>
    </xf>
    <xf numFmtId="2" fontId="37" fillId="0" borderId="0" xfId="1" applyNumberFormat="1" applyFont="1" applyFill="1" applyBorder="1"/>
    <xf numFmtId="0" fontId="36" fillId="0" borderId="0" xfId="0" applyFont="1" applyFill="1" applyBorder="1" applyAlignment="1">
      <alignment horizontal="center"/>
    </xf>
    <xf numFmtId="10" fontId="36" fillId="0" borderId="0" xfId="0" applyNumberFormat="1" applyFont="1" applyFill="1" applyBorder="1" applyAlignment="1">
      <alignment horizontal="center"/>
    </xf>
    <xf numFmtId="2" fontId="36" fillId="0" borderId="0" xfId="0" applyNumberFormat="1" applyFont="1" applyFill="1" applyBorder="1" applyAlignment="1">
      <alignment horizontal="center"/>
    </xf>
    <xf numFmtId="2" fontId="36" fillId="0" borderId="0" xfId="0" applyNumberFormat="1" applyFont="1" applyFill="1" applyBorder="1" applyAlignment="1">
      <alignment horizontal="center" vertical="center"/>
    </xf>
    <xf numFmtId="9" fontId="36" fillId="0" borderId="0" xfId="0" applyNumberFormat="1" applyFont="1" applyFill="1" applyBorder="1" applyAlignment="1">
      <alignment horizontal="center"/>
    </xf>
    <xf numFmtId="165" fontId="3" fillId="0" borderId="0" xfId="1" applyNumberFormat="1" applyFont="1" applyFill="1" applyBorder="1" applyAlignment="1">
      <alignment horizontal="center"/>
    </xf>
    <xf numFmtId="0" fontId="1" fillId="0" borderId="25" xfId="1" applyBorder="1"/>
    <xf numFmtId="165" fontId="3" fillId="0" borderId="25" xfId="1" applyNumberFormat="1" applyFont="1" applyFill="1" applyBorder="1" applyAlignment="1">
      <alignment horizontal="center"/>
    </xf>
    <xf numFmtId="0" fontId="1" fillId="0" borderId="6" xfId="1" applyBorder="1" applyAlignment="1">
      <alignment horizontal="center"/>
    </xf>
    <xf numFmtId="10" fontId="1" fillId="0" borderId="0" xfId="1" applyNumberFormat="1" applyBorder="1"/>
    <xf numFmtId="167" fontId="1" fillId="0" borderId="0" xfId="1" applyNumberFormat="1" applyBorder="1"/>
    <xf numFmtId="2" fontId="1" fillId="6" borderId="6" xfId="1" applyNumberFormat="1" applyFill="1" applyBorder="1" applyAlignment="1">
      <alignment horizontal="left"/>
    </xf>
    <xf numFmtId="0" fontId="1" fillId="0" borderId="16" xfId="1" applyBorder="1"/>
    <xf numFmtId="0" fontId="1" fillId="0" borderId="8" xfId="1" applyBorder="1"/>
    <xf numFmtId="0" fontId="1" fillId="0" borderId="15" xfId="1" applyBorder="1"/>
    <xf numFmtId="165" fontId="40" fillId="0" borderId="0" xfId="1" applyNumberFormat="1" applyFont="1" applyFill="1" applyBorder="1" applyAlignment="1">
      <alignment horizontal="center"/>
    </xf>
    <xf numFmtId="0" fontId="39" fillId="0" borderId="0" xfId="1" applyFont="1" applyFill="1" applyBorder="1" applyAlignment="1">
      <alignment horizontal="center"/>
    </xf>
    <xf numFmtId="0" fontId="24" fillId="0" borderId="0" xfId="1" applyFont="1" applyFill="1" applyBorder="1" applyAlignment="1">
      <alignment horizontal="left"/>
    </xf>
    <xf numFmtId="0" fontId="14" fillId="0" borderId="0" xfId="1" applyFont="1" applyFill="1" applyBorder="1" applyProtection="1">
      <protection hidden="1"/>
    </xf>
    <xf numFmtId="2" fontId="14" fillId="0" borderId="0" xfId="1" applyNumberFormat="1" applyFont="1" applyFill="1" applyBorder="1" applyAlignment="1" applyProtection="1">
      <alignment horizontal="center"/>
      <protection hidden="1"/>
    </xf>
    <xf numFmtId="165" fontId="14" fillId="0" borderId="0" xfId="1" applyNumberFormat="1" applyFont="1" applyFill="1" applyBorder="1" applyAlignment="1" applyProtection="1">
      <alignment horizontal="center"/>
      <protection hidden="1"/>
    </xf>
    <xf numFmtId="0" fontId="14" fillId="0" borderId="0" xfId="1" applyFont="1" applyFill="1" applyBorder="1" applyAlignment="1" applyProtection="1">
      <alignment horizontal="center"/>
      <protection hidden="1"/>
    </xf>
    <xf numFmtId="164" fontId="14" fillId="0" borderId="0" xfId="1" applyNumberFormat="1" applyFont="1" applyFill="1" applyBorder="1" applyAlignment="1" applyProtection="1">
      <alignment horizontal="center"/>
      <protection hidden="1"/>
    </xf>
    <xf numFmtId="0" fontId="16" fillId="0" borderId="0" xfId="1" applyFont="1" applyFill="1" applyBorder="1" applyProtection="1">
      <protection hidden="1"/>
    </xf>
    <xf numFmtId="11" fontId="14" fillId="0" borderId="0" xfId="1" applyNumberFormat="1" applyFont="1" applyFill="1" applyBorder="1" applyProtection="1">
      <protection hidden="1"/>
    </xf>
    <xf numFmtId="0" fontId="16" fillId="0" borderId="0" xfId="1" applyFont="1" applyFill="1" applyBorder="1" applyAlignment="1" applyProtection="1">
      <alignment horizontal="center"/>
      <protection hidden="1"/>
    </xf>
    <xf numFmtId="164" fontId="16" fillId="0" borderId="0" xfId="1" applyNumberFormat="1" applyFont="1" applyFill="1" applyBorder="1" applyAlignment="1" applyProtection="1">
      <alignment horizontal="center"/>
      <protection hidden="1"/>
    </xf>
    <xf numFmtId="0" fontId="16" fillId="0" borderId="0" xfId="1" applyFont="1" applyFill="1" applyBorder="1" applyAlignment="1" applyProtection="1">
      <protection hidden="1"/>
    </xf>
    <xf numFmtId="165" fontId="16" fillId="0" borderId="0" xfId="1" applyNumberFormat="1" applyFont="1" applyFill="1" applyBorder="1" applyAlignment="1" applyProtection="1">
      <alignment horizontal="center"/>
      <protection hidden="1"/>
    </xf>
    <xf numFmtId="0" fontId="16" fillId="0" borderId="0" xfId="1" applyFont="1" applyFill="1" applyBorder="1" applyAlignment="1" applyProtection="1">
      <alignment vertical="center"/>
      <protection hidden="1"/>
    </xf>
    <xf numFmtId="164" fontId="14" fillId="0" borderId="0" xfId="1" applyNumberFormat="1" applyFont="1" applyFill="1" applyBorder="1" applyProtection="1">
      <protection hidden="1"/>
    </xf>
    <xf numFmtId="164" fontId="16" fillId="0" borderId="0" xfId="1" applyNumberFormat="1" applyFont="1" applyFill="1" applyBorder="1" applyAlignment="1" applyProtection="1">
      <protection hidden="1"/>
    </xf>
    <xf numFmtId="164" fontId="14" fillId="0" borderId="0" xfId="1" applyNumberFormat="1" applyFont="1" applyFill="1" applyBorder="1"/>
    <xf numFmtId="0" fontId="14" fillId="0" borderId="0" xfId="1" applyNumberFormat="1" applyFont="1" applyFill="1" applyBorder="1" applyAlignment="1">
      <alignment horizontal="center"/>
    </xf>
    <xf numFmtId="0" fontId="14" fillId="0" borderId="0" xfId="1" applyNumberFormat="1" applyFont="1" applyFill="1" applyBorder="1" applyAlignment="1">
      <alignment horizontal="center" vertical="center"/>
    </xf>
    <xf numFmtId="0" fontId="14" fillId="0" borderId="0" xfId="1" applyFont="1" applyFill="1" applyBorder="1" applyAlignment="1">
      <alignment horizontal="center"/>
    </xf>
    <xf numFmtId="0" fontId="14" fillId="0" borderId="0" xfId="1" applyNumberFormat="1" applyFont="1" applyFill="1" applyBorder="1" applyAlignment="1">
      <alignment vertical="center"/>
    </xf>
    <xf numFmtId="2" fontId="14" fillId="0" borderId="0" xfId="1" applyNumberFormat="1" applyFont="1" applyFill="1" applyBorder="1" applyAlignment="1">
      <alignment horizontal="center" vertical="center"/>
    </xf>
    <xf numFmtId="0" fontId="14" fillId="0" borderId="0" xfId="1" applyNumberFormat="1" applyFont="1" applyFill="1" applyBorder="1" applyAlignment="1" applyProtection="1">
      <alignment horizontal="center" vertical="center"/>
    </xf>
    <xf numFmtId="0" fontId="14" fillId="0" borderId="0" xfId="1" applyFont="1" applyFill="1" applyBorder="1" applyAlignment="1">
      <alignment horizontal="right"/>
    </xf>
    <xf numFmtId="0" fontId="41" fillId="0" borderId="0" xfId="1" applyFont="1" applyFill="1" applyBorder="1" applyAlignment="1"/>
    <xf numFmtId="166" fontId="14" fillId="0" borderId="0" xfId="1" applyNumberFormat="1" applyFont="1" applyFill="1" applyBorder="1" applyAlignment="1">
      <alignment horizontal="center"/>
    </xf>
    <xf numFmtId="2" fontId="14" fillId="0" borderId="0" xfId="1" applyNumberFormat="1" applyFont="1" applyFill="1" applyBorder="1" applyAlignment="1" applyProtection="1">
      <alignment horizontal="center" vertical="center"/>
    </xf>
    <xf numFmtId="2" fontId="14" fillId="0" borderId="0" xfId="1" applyNumberFormat="1" applyFont="1" applyFill="1" applyBorder="1" applyAlignment="1">
      <alignment horizontal="center"/>
    </xf>
    <xf numFmtId="164" fontId="14" fillId="0" borderId="0" xfId="1" applyNumberFormat="1" applyFont="1" applyFill="1" applyBorder="1" applyAlignment="1">
      <alignment horizontal="center"/>
    </xf>
    <xf numFmtId="164" fontId="14" fillId="0" borderId="0" xfId="1" applyNumberFormat="1" applyFont="1" applyFill="1" applyBorder="1" applyAlignment="1" applyProtection="1">
      <alignment horizontal="center" vertical="center"/>
    </xf>
    <xf numFmtId="165" fontId="14" fillId="0" borderId="0" xfId="1" applyNumberFormat="1" applyFont="1" applyFill="1" applyBorder="1" applyAlignment="1">
      <alignment horizontal="center" vertical="center"/>
    </xf>
    <xf numFmtId="165" fontId="14" fillId="0" borderId="0" xfId="1" applyNumberFormat="1" applyFont="1" applyFill="1" applyBorder="1" applyAlignment="1" applyProtection="1">
      <alignment horizontal="center" vertical="center"/>
    </xf>
    <xf numFmtId="1" fontId="14" fillId="0" borderId="0" xfId="1" applyNumberFormat="1" applyFont="1" applyFill="1" applyBorder="1" applyAlignment="1">
      <alignment horizontal="center"/>
    </xf>
    <xf numFmtId="2" fontId="14" fillId="0" borderId="0" xfId="1" applyNumberFormat="1" applyFont="1" applyFill="1" applyBorder="1"/>
    <xf numFmtId="0" fontId="14" fillId="0" borderId="0" xfId="1" applyFont="1" applyBorder="1"/>
    <xf numFmtId="165" fontId="14" fillId="0" borderId="0" xfId="1" applyNumberFormat="1" applyFont="1" applyFill="1" applyBorder="1"/>
    <xf numFmtId="0" fontId="14" fillId="0" borderId="0" xfId="1" applyNumberFormat="1" applyFont="1" applyFill="1" applyBorder="1"/>
    <xf numFmtId="2" fontId="14" fillId="0" borderId="0" xfId="1" applyNumberFormat="1" applyFont="1" applyFill="1" applyBorder="1" applyAlignment="1">
      <alignment horizontal="right"/>
    </xf>
    <xf numFmtId="0" fontId="14" fillId="0" borderId="0" xfId="1" applyFont="1" applyFill="1" applyBorder="1" applyAlignment="1"/>
    <xf numFmtId="165" fontId="14" fillId="0" borderId="0" xfId="1" applyNumberFormat="1" applyFont="1" applyFill="1" applyBorder="1" applyAlignment="1">
      <alignment horizontal="center"/>
    </xf>
    <xf numFmtId="0" fontId="41" fillId="0" borderId="0" xfId="1" applyFont="1" applyFill="1" applyBorder="1"/>
    <xf numFmtId="167" fontId="14" fillId="0" borderId="0" xfId="1" applyNumberFormat="1" applyFont="1" applyFill="1" applyBorder="1" applyAlignment="1">
      <alignment horizontal="center"/>
    </xf>
    <xf numFmtId="0" fontId="14" fillId="0" borderId="0" xfId="1" applyFont="1" applyBorder="1" applyAlignment="1">
      <alignment horizontal="center"/>
    </xf>
    <xf numFmtId="167" fontId="14" fillId="0" borderId="0" xfId="1" applyNumberFormat="1" applyFont="1" applyFill="1" applyBorder="1" applyAlignment="1" applyProtection="1">
      <alignment horizontal="center"/>
      <protection hidden="1"/>
    </xf>
    <xf numFmtId="167" fontId="14" fillId="0" borderId="0" xfId="1" applyNumberFormat="1" applyFont="1" applyBorder="1"/>
    <xf numFmtId="0" fontId="1" fillId="20" borderId="55" xfId="1" applyFill="1" applyBorder="1" applyAlignment="1">
      <alignment horizontal="center"/>
    </xf>
    <xf numFmtId="0" fontId="4" fillId="18" borderId="4" xfId="1" applyFont="1" applyFill="1" applyBorder="1" applyAlignment="1">
      <alignment horizontal="center"/>
    </xf>
    <xf numFmtId="0" fontId="7" fillId="0" borderId="26" xfId="1" applyFont="1" applyBorder="1" applyAlignment="1">
      <alignment vertical="top" wrapText="1"/>
    </xf>
    <xf numFmtId="0" fontId="7" fillId="0" borderId="25" xfId="1" applyFont="1" applyBorder="1" applyAlignment="1">
      <alignment vertical="top" wrapText="1"/>
    </xf>
    <xf numFmtId="0" fontId="7" fillId="0" borderId="27" xfId="1" applyFont="1" applyBorder="1" applyAlignment="1">
      <alignment vertical="top" wrapText="1"/>
    </xf>
    <xf numFmtId="0" fontId="7" fillId="0" borderId="10" xfId="1" applyFont="1" applyBorder="1" applyAlignment="1">
      <alignment vertical="top" wrapText="1"/>
    </xf>
    <xf numFmtId="0" fontId="7" fillId="0" borderId="0" xfId="1" applyFont="1" applyBorder="1" applyAlignment="1">
      <alignment vertical="top" wrapText="1"/>
    </xf>
    <xf numFmtId="0" fontId="7" fillId="0" borderId="28" xfId="1" applyFont="1" applyBorder="1" applyAlignment="1">
      <alignment vertical="top" wrapText="1"/>
    </xf>
    <xf numFmtId="0" fontId="7" fillId="0" borderId="16" xfId="1" applyFont="1" applyBorder="1" applyAlignment="1">
      <alignment vertical="top" wrapText="1"/>
    </xf>
    <xf numFmtId="0" fontId="7" fillId="0" borderId="8" xfId="1" applyFont="1" applyBorder="1" applyAlignment="1">
      <alignment vertical="top" wrapText="1"/>
    </xf>
    <xf numFmtId="0" fontId="7" fillId="0" borderId="15" xfId="1" applyFont="1" applyBorder="1" applyAlignment="1">
      <alignment vertical="top" wrapText="1"/>
    </xf>
    <xf numFmtId="0" fontId="3" fillId="11" borderId="48" xfId="1" applyFont="1" applyFill="1" applyBorder="1" applyAlignment="1">
      <alignment horizontal="center" vertical="center" wrapText="1"/>
    </xf>
    <xf numFmtId="0" fontId="3" fillId="11" borderId="41" xfId="1" applyFont="1" applyFill="1" applyBorder="1" applyAlignment="1">
      <alignment horizontal="center" vertical="center" wrapText="1"/>
    </xf>
    <xf numFmtId="165" fontId="1" fillId="0" borderId="26" xfId="1" applyNumberFormat="1" applyBorder="1" applyAlignment="1">
      <alignment horizontal="center" vertical="center"/>
    </xf>
    <xf numFmtId="165" fontId="1" fillId="0" borderId="10" xfId="1" applyNumberFormat="1" applyBorder="1" applyAlignment="1">
      <alignment horizontal="center" vertical="center"/>
    </xf>
    <xf numFmtId="165" fontId="1" fillId="0" borderId="16" xfId="1" applyNumberFormat="1" applyBorder="1" applyAlignment="1">
      <alignment horizontal="center" vertical="center"/>
    </xf>
    <xf numFmtId="2" fontId="22" fillId="0" borderId="27" xfId="1" applyNumberFormat="1" applyFont="1" applyFill="1" applyBorder="1" applyAlignment="1">
      <alignment horizontal="center" vertical="center"/>
    </xf>
    <xf numFmtId="2" fontId="22" fillId="0" borderId="28" xfId="1" applyNumberFormat="1" applyFont="1" applyFill="1" applyBorder="1" applyAlignment="1">
      <alignment horizontal="center" vertical="center"/>
    </xf>
    <xf numFmtId="2" fontId="22" fillId="0" borderId="15" xfId="1" applyNumberFormat="1" applyFont="1" applyFill="1" applyBorder="1" applyAlignment="1">
      <alignment horizontal="center" vertical="center"/>
    </xf>
    <xf numFmtId="10" fontId="3" fillId="0" borderId="48" xfId="1" applyNumberFormat="1" applyFont="1" applyBorder="1" applyAlignment="1">
      <alignment horizontal="center" vertical="center"/>
    </xf>
    <xf numFmtId="10" fontId="3" fillId="0" borderId="45" xfId="1" applyNumberFormat="1" applyFont="1" applyBorder="1" applyAlignment="1">
      <alignment horizontal="center" vertical="center"/>
    </xf>
    <xf numFmtId="10" fontId="3" fillId="0" borderId="41" xfId="1" applyNumberFormat="1" applyFont="1" applyBorder="1" applyAlignment="1">
      <alignment horizontal="center" vertical="center"/>
    </xf>
    <xf numFmtId="0" fontId="18" fillId="0" borderId="26" xfId="1" applyFont="1" applyBorder="1" applyAlignment="1">
      <alignment horizontal="center" vertical="center"/>
    </xf>
    <xf numFmtId="0" fontId="18" fillId="0" borderId="25" xfId="1" applyFont="1" applyBorder="1" applyAlignment="1">
      <alignment horizontal="center" vertical="center"/>
    </xf>
    <xf numFmtId="0" fontId="3" fillId="11" borderId="54" xfId="1" applyFont="1" applyFill="1" applyBorder="1" applyAlignment="1">
      <alignment horizontal="center" vertical="center"/>
    </xf>
    <xf numFmtId="0" fontId="3" fillId="11" borderId="22" xfId="1" applyFont="1" applyFill="1" applyBorder="1" applyAlignment="1">
      <alignment horizontal="center" vertical="center"/>
    </xf>
    <xf numFmtId="0" fontId="3" fillId="11" borderId="27" xfId="1" applyFont="1" applyFill="1" applyBorder="1" applyAlignment="1">
      <alignment horizontal="center" vertical="center"/>
    </xf>
    <xf numFmtId="2" fontId="22" fillId="3" borderId="27" xfId="1" applyNumberFormat="1" applyFont="1" applyFill="1" applyBorder="1" applyAlignment="1">
      <alignment horizontal="center" vertical="center"/>
    </xf>
    <xf numFmtId="2" fontId="22" fillId="3" borderId="28" xfId="1" applyNumberFormat="1" applyFont="1" applyFill="1" applyBorder="1" applyAlignment="1">
      <alignment horizontal="center" vertical="center"/>
    </xf>
    <xf numFmtId="2" fontId="22" fillId="3" borderId="15" xfId="1" applyNumberFormat="1" applyFont="1" applyFill="1" applyBorder="1" applyAlignment="1">
      <alignment horizontal="center" vertical="center"/>
    </xf>
    <xf numFmtId="0" fontId="3" fillId="11" borderId="48" xfId="1" applyFont="1" applyFill="1" applyBorder="1" applyAlignment="1">
      <alignment horizontal="center" vertical="center"/>
    </xf>
    <xf numFmtId="0" fontId="3" fillId="11" borderId="45" xfId="1" applyFont="1" applyFill="1" applyBorder="1" applyAlignment="1">
      <alignment horizontal="center" vertical="center"/>
    </xf>
    <xf numFmtId="0" fontId="3" fillId="11" borderId="27" xfId="1" applyFont="1" applyFill="1" applyBorder="1" applyAlignment="1">
      <alignment horizontal="center" wrapText="1"/>
    </xf>
    <xf numFmtId="0" fontId="3" fillId="11" borderId="15" xfId="1" applyFont="1" applyFill="1" applyBorder="1" applyAlignment="1">
      <alignment horizontal="center" wrapText="1"/>
    </xf>
    <xf numFmtId="0" fontId="3" fillId="11" borderId="41" xfId="1" applyFont="1" applyFill="1" applyBorder="1" applyAlignment="1">
      <alignment horizontal="center" vertical="center"/>
    </xf>
    <xf numFmtId="0" fontId="36" fillId="4" borderId="0" xfId="0" applyFont="1" applyFill="1" applyBorder="1" applyAlignment="1">
      <alignment horizontal="center"/>
    </xf>
    <xf numFmtId="165" fontId="37" fillId="4" borderId="0" xfId="1" applyNumberFormat="1" applyFont="1" applyFill="1" applyBorder="1" applyAlignment="1">
      <alignment horizontal="center" vertical="center"/>
    </xf>
    <xf numFmtId="0" fontId="7" fillId="0" borderId="26" xfId="1" applyFont="1" applyBorder="1" applyAlignment="1">
      <alignment horizontal="justify" vertical="top" wrapText="1"/>
    </xf>
    <xf numFmtId="0" fontId="7" fillId="0" borderId="25" xfId="1" applyFont="1" applyBorder="1" applyAlignment="1">
      <alignment horizontal="justify" vertical="top" wrapText="1"/>
    </xf>
    <xf numFmtId="0" fontId="7" fillId="0" borderId="27" xfId="1" applyFont="1" applyBorder="1" applyAlignment="1">
      <alignment horizontal="justify" vertical="top" wrapText="1"/>
    </xf>
    <xf numFmtId="0" fontId="7" fillId="0" borderId="10" xfId="1" applyFont="1" applyBorder="1" applyAlignment="1">
      <alignment horizontal="justify" vertical="top" wrapText="1"/>
    </xf>
    <xf numFmtId="0" fontId="7" fillId="0" borderId="0" xfId="1" applyFont="1" applyBorder="1" applyAlignment="1">
      <alignment horizontal="justify" vertical="top" wrapText="1"/>
    </xf>
    <xf numFmtId="0" fontId="7" fillId="0" borderId="28" xfId="1" applyFont="1" applyBorder="1" applyAlignment="1">
      <alignment horizontal="justify" vertical="top" wrapText="1"/>
    </xf>
    <xf numFmtId="0" fontId="7" fillId="0" borderId="16" xfId="1" applyFont="1" applyBorder="1" applyAlignment="1">
      <alignment horizontal="justify" vertical="top" wrapText="1"/>
    </xf>
    <xf numFmtId="0" fontId="7" fillId="0" borderId="8" xfId="1" applyFont="1" applyBorder="1" applyAlignment="1">
      <alignment horizontal="justify" vertical="top" wrapText="1"/>
    </xf>
    <xf numFmtId="0" fontId="7" fillId="0" borderId="15" xfId="1" applyFont="1" applyBorder="1" applyAlignment="1">
      <alignment horizontal="justify" vertical="top" wrapText="1"/>
    </xf>
    <xf numFmtId="0" fontId="18" fillId="0" borderId="27" xfId="1" applyFont="1" applyBorder="1" applyAlignment="1">
      <alignment horizontal="center" vertical="center"/>
    </xf>
    <xf numFmtId="49" fontId="8" fillId="3" borderId="14" xfId="1" applyNumberFormat="1" applyFont="1" applyFill="1" applyBorder="1" applyAlignment="1">
      <alignment horizontal="center" vertical="center"/>
    </xf>
    <xf numFmtId="49" fontId="8" fillId="3" borderId="11" xfId="1" applyNumberFormat="1" applyFont="1" applyFill="1" applyBorder="1" applyAlignment="1">
      <alignment horizontal="center" vertical="center"/>
    </xf>
    <xf numFmtId="49" fontId="8" fillId="3" borderId="40" xfId="1" applyNumberFormat="1" applyFont="1" applyFill="1" applyBorder="1" applyAlignment="1">
      <alignment horizontal="center" vertical="center"/>
    </xf>
    <xf numFmtId="49" fontId="8" fillId="3" borderId="18" xfId="1" applyNumberFormat="1" applyFont="1" applyFill="1" applyBorder="1" applyAlignment="1">
      <alignment horizontal="center" vertical="center"/>
    </xf>
    <xf numFmtId="49" fontId="8" fillId="3" borderId="42" xfId="1" applyNumberFormat="1" applyFont="1" applyFill="1" applyBorder="1" applyAlignment="1">
      <alignment horizontal="center" vertical="center"/>
    </xf>
    <xf numFmtId="49" fontId="8" fillId="0" borderId="18" xfId="1" applyNumberFormat="1" applyFont="1" applyFill="1" applyBorder="1" applyAlignment="1">
      <alignment horizontal="center" vertical="center"/>
    </xf>
    <xf numFmtId="49" fontId="8" fillId="0" borderId="11" xfId="1" applyNumberFormat="1" applyFont="1" applyFill="1" applyBorder="1" applyAlignment="1">
      <alignment horizontal="center" vertical="center"/>
    </xf>
    <xf numFmtId="49" fontId="8" fillId="0" borderId="42" xfId="1" applyNumberFormat="1" applyFont="1" applyFill="1" applyBorder="1" applyAlignment="1">
      <alignment horizontal="center" vertical="center"/>
    </xf>
    <xf numFmtId="2" fontId="1" fillId="0" borderId="48" xfId="1" applyNumberFormat="1" applyBorder="1" applyAlignment="1">
      <alignment horizontal="center" vertical="center"/>
    </xf>
    <xf numFmtId="2" fontId="1" fillId="0" borderId="45" xfId="1" applyNumberFormat="1" applyBorder="1" applyAlignment="1">
      <alignment horizontal="center" vertical="center"/>
    </xf>
    <xf numFmtId="2" fontId="1" fillId="0" borderId="41" xfId="1" applyNumberFormat="1" applyBorder="1" applyAlignment="1">
      <alignment horizontal="center" vertical="center"/>
    </xf>
    <xf numFmtId="0" fontId="36" fillId="0" borderId="0" xfId="0" applyFont="1" applyFill="1" applyBorder="1" applyAlignment="1">
      <alignment horizontal="center"/>
    </xf>
    <xf numFmtId="0" fontId="33" fillId="0" borderId="48" xfId="1" applyFont="1" applyBorder="1" applyAlignment="1">
      <alignment horizontal="center" vertical="center"/>
    </xf>
    <xf numFmtId="0" fontId="33" fillId="0" borderId="45" xfId="1" applyFont="1" applyBorder="1" applyAlignment="1">
      <alignment horizontal="center" vertical="center"/>
    </xf>
    <xf numFmtId="0" fontId="33" fillId="0" borderId="41" xfId="1" applyFont="1" applyBorder="1" applyAlignment="1">
      <alignment horizontal="center" vertical="center"/>
    </xf>
    <xf numFmtId="11" fontId="33" fillId="0" borderId="48" xfId="1" applyNumberFormat="1" applyFont="1" applyBorder="1" applyAlignment="1">
      <alignment horizontal="center" vertical="center"/>
    </xf>
    <xf numFmtId="11" fontId="33" fillId="0" borderId="45" xfId="1" applyNumberFormat="1" applyFont="1" applyBorder="1" applyAlignment="1">
      <alignment horizontal="center" vertical="center"/>
    </xf>
    <xf numFmtId="11" fontId="33" fillId="0" borderId="41" xfId="1" applyNumberFormat="1" applyFont="1" applyBorder="1" applyAlignment="1">
      <alignment horizontal="center" vertical="center"/>
    </xf>
    <xf numFmtId="0" fontId="38" fillId="0" borderId="26" xfId="1" applyFont="1" applyBorder="1" applyAlignment="1">
      <alignment horizontal="center" vertical="center"/>
    </xf>
    <xf numFmtId="0" fontId="38" fillId="0" borderId="25" xfId="1" applyFont="1" applyBorder="1" applyAlignment="1">
      <alignment horizontal="center" vertical="center"/>
    </xf>
    <xf numFmtId="0" fontId="38" fillId="0" borderId="14" xfId="1" applyFont="1" applyBorder="1" applyAlignment="1">
      <alignment horizontal="center" vertical="center"/>
    </xf>
    <xf numFmtId="0" fontId="38" fillId="0" borderId="13" xfId="1" applyFont="1" applyBorder="1" applyAlignment="1">
      <alignment horizontal="center" vertical="center"/>
    </xf>
    <xf numFmtId="0" fontId="1" fillId="17" borderId="5" xfId="1" applyFont="1" applyFill="1" applyBorder="1" applyAlignment="1">
      <alignment horizontal="center"/>
    </xf>
    <xf numFmtId="0" fontId="1" fillId="17" borderId="5" xfId="1" applyFill="1" applyBorder="1" applyAlignment="1">
      <alignment horizontal="center"/>
    </xf>
    <xf numFmtId="0" fontId="42" fillId="2" borderId="26" xfId="1" applyFont="1" applyFill="1" applyBorder="1" applyAlignment="1">
      <alignment horizontal="center" vertical="center"/>
    </xf>
    <xf numFmtId="0" fontId="42" fillId="2" borderId="25" xfId="1" applyFont="1" applyFill="1" applyBorder="1" applyAlignment="1">
      <alignment horizontal="center" vertical="center"/>
    </xf>
    <xf numFmtId="0" fontId="42" fillId="2" borderId="27" xfId="1" applyFont="1" applyFill="1" applyBorder="1" applyAlignment="1">
      <alignment horizontal="center" vertical="center"/>
    </xf>
    <xf numFmtId="0" fontId="42" fillId="2" borderId="16" xfId="1" applyFont="1" applyFill="1" applyBorder="1" applyAlignment="1">
      <alignment horizontal="center" vertical="center"/>
    </xf>
    <xf numFmtId="0" fontId="42" fillId="2" borderId="8" xfId="1" applyFont="1" applyFill="1" applyBorder="1" applyAlignment="1">
      <alignment horizontal="center" vertical="center"/>
    </xf>
    <xf numFmtId="0" fontId="43" fillId="4" borderId="8" xfId="1" applyFont="1" applyFill="1" applyBorder="1" applyAlignment="1">
      <alignment horizontal="center" vertical="center"/>
    </xf>
    <xf numFmtId="0" fontId="42" fillId="2" borderId="15" xfId="1" applyFont="1" applyFill="1" applyBorder="1" applyAlignment="1">
      <alignment horizontal="center" vertical="center"/>
    </xf>
    <xf numFmtId="0" fontId="6" fillId="4" borderId="22" xfId="1" applyFont="1" applyFill="1" applyBorder="1" applyAlignment="1">
      <alignment horizontal="center"/>
    </xf>
    <xf numFmtId="0" fontId="12" fillId="0" borderId="0" xfId="1" applyFont="1" applyFill="1" applyBorder="1" applyAlignment="1">
      <alignment horizontal="center"/>
    </xf>
    <xf numFmtId="0" fontId="4" fillId="0" borderId="0" xfId="1" applyFont="1" applyFill="1" applyBorder="1" applyAlignment="1">
      <alignment horizontal="center"/>
    </xf>
    <xf numFmtId="0" fontId="6" fillId="0" borderId="0" xfId="1" applyFont="1" applyFill="1" applyBorder="1" applyAlignment="1">
      <alignment horizontal="center"/>
    </xf>
    <xf numFmtId="0" fontId="32" fillId="0" borderId="54" xfId="1" applyFont="1" applyBorder="1" applyAlignment="1">
      <alignment horizontal="center"/>
    </xf>
    <xf numFmtId="0" fontId="32" fillId="0" borderId="22" xfId="1" applyFont="1" applyBorder="1" applyAlignment="1">
      <alignment horizontal="center"/>
    </xf>
    <xf numFmtId="0" fontId="32" fillId="0" borderId="21" xfId="1" applyFont="1" applyBorder="1" applyAlignment="1">
      <alignment horizontal="center"/>
    </xf>
    <xf numFmtId="0" fontId="5" fillId="11" borderId="59" xfId="1" applyFont="1" applyFill="1" applyBorder="1" applyAlignment="1">
      <alignment horizontal="center"/>
    </xf>
    <xf numFmtId="0" fontId="1" fillId="11" borderId="66" xfId="1" applyFill="1" applyBorder="1" applyAlignment="1">
      <alignment horizontal="center"/>
    </xf>
    <xf numFmtId="0" fontId="1" fillId="11" borderId="58" xfId="1" applyFill="1" applyBorder="1" applyAlignment="1">
      <alignment horizontal="center"/>
    </xf>
    <xf numFmtId="0" fontId="1" fillId="15" borderId="54" xfId="1" applyFill="1" applyBorder="1" applyAlignment="1">
      <alignment horizontal="center"/>
    </xf>
    <xf numFmtId="0" fontId="1" fillId="15" borderId="22" xfId="1" applyFill="1" applyBorder="1" applyAlignment="1">
      <alignment horizontal="center"/>
    </xf>
    <xf numFmtId="0" fontId="1" fillId="15" borderId="21" xfId="1" applyFill="1" applyBorder="1" applyAlignment="1">
      <alignment horizontal="center"/>
    </xf>
    <xf numFmtId="0" fontId="1" fillId="2" borderId="18" xfId="1" applyFill="1" applyBorder="1" applyAlignment="1">
      <alignment horizontal="center"/>
    </xf>
    <xf numFmtId="0" fontId="1" fillId="2" borderId="17" xfId="1" applyFill="1" applyBorder="1" applyAlignment="1">
      <alignment horizontal="center"/>
    </xf>
    <xf numFmtId="0" fontId="5" fillId="0" borderId="5" xfId="1" applyFont="1" applyFill="1" applyBorder="1" applyAlignment="1">
      <alignment horizontal="center"/>
    </xf>
    <xf numFmtId="0" fontId="1" fillId="0" borderId="4" xfId="1" applyFill="1" applyBorder="1" applyAlignment="1">
      <alignment horizontal="center"/>
    </xf>
    <xf numFmtId="0" fontId="4" fillId="4" borderId="18" xfId="1" applyFont="1" applyFill="1" applyBorder="1" applyAlignment="1">
      <alignment horizontal="center"/>
    </xf>
    <xf numFmtId="0" fontId="4" fillId="4" borderId="17" xfId="1" applyFont="1" applyFill="1" applyBorder="1" applyAlignment="1">
      <alignment horizontal="center"/>
    </xf>
    <xf numFmtId="2" fontId="4" fillId="4" borderId="18" xfId="1" applyNumberFormat="1" applyFont="1" applyFill="1" applyBorder="1" applyAlignment="1">
      <alignment horizontal="center"/>
    </xf>
    <xf numFmtId="2" fontId="4" fillId="4" borderId="17" xfId="1" applyNumberFormat="1" applyFont="1" applyFill="1" applyBorder="1" applyAlignment="1">
      <alignment horizontal="center"/>
    </xf>
  </cellXfs>
  <cellStyles count="5">
    <cellStyle name="Euro" xfId="2" xr:uid="{00000000-0005-0000-0000-000000000000}"/>
    <cellStyle name="Normal" xfId="0" builtinId="0"/>
    <cellStyle name="Normal 2" xfId="1" xr:uid="{00000000-0005-0000-0000-000002000000}"/>
    <cellStyle name="Normal 2 2" xfId="3" xr:uid="{00000000-0005-0000-0000-000003000000}"/>
    <cellStyle name="Normal 2 3 2" xfId="4" xr:uid="{00000000-0005-0000-0000-000004000000}"/>
  </cellStyles>
  <dxfs count="36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1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7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régression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trendlineType val="linear"/>
            <c:dispRSqr val="1"/>
            <c:dispEq val="1"/>
            <c:trendlineLbl>
              <c:layout>
                <c:manualLayout>
                  <c:x val="-0.2442336568394067"/>
                  <c:y val="7.6513196267133279E-2"/>
                </c:manualLayout>
              </c:layout>
              <c:numFmt formatCode="General" sourceLinked="0"/>
            </c:trendlineLbl>
          </c:trendline>
          <c:xVal>
            <c:numRef>
              <c:f>'test de dilution'!$G$11:$G$25</c:f>
              <c:numCache>
                <c:formatCode>0.00</c:formatCode>
                <c:ptCount val="1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0.5</c:v>
                </c:pt>
                <c:pt idx="4">
                  <c:v>0.5</c:v>
                </c:pt>
                <c:pt idx="5">
                  <c:v>0.5</c:v>
                </c:pt>
                <c:pt idx="6">
                  <c:v>0.25</c:v>
                </c:pt>
                <c:pt idx="7">
                  <c:v>0.25</c:v>
                </c:pt>
                <c:pt idx="8">
                  <c:v>0.25</c:v>
                </c:pt>
                <c:pt idx="9">
                  <c:v>0.16666666666666666</c:v>
                </c:pt>
                <c:pt idx="10">
                  <c:v>0.16666666666666666</c:v>
                </c:pt>
                <c:pt idx="11">
                  <c:v>0.16666666666666666</c:v>
                </c:pt>
                <c:pt idx="12">
                  <c:v>0.1</c:v>
                </c:pt>
                <c:pt idx="13">
                  <c:v>0.1</c:v>
                </c:pt>
                <c:pt idx="14">
                  <c:v>0.1</c:v>
                </c:pt>
              </c:numCache>
            </c:numRef>
          </c:xVal>
          <c:yVal>
            <c:numRef>
              <c:f>'test de dilution'!$I$11:$I$25</c:f>
              <c:numCache>
                <c:formatCode>0.000</c:formatCode>
                <c:ptCount val="15"/>
                <c:pt idx="0">
                  <c:v>10.512</c:v>
                </c:pt>
                <c:pt idx="1">
                  <c:v>10.324999999999999</c:v>
                </c:pt>
                <c:pt idx="2">
                  <c:v>10.497999999999999</c:v>
                </c:pt>
                <c:pt idx="3">
                  <c:v>5.1230000000000002</c:v>
                </c:pt>
                <c:pt idx="4">
                  <c:v>5.3</c:v>
                </c:pt>
                <c:pt idx="5">
                  <c:v>5.1230000000000002</c:v>
                </c:pt>
                <c:pt idx="6">
                  <c:v>2.5910000000000002</c:v>
                </c:pt>
                <c:pt idx="7">
                  <c:v>2.7559999999999998</c:v>
                </c:pt>
                <c:pt idx="8">
                  <c:v>2.6</c:v>
                </c:pt>
                <c:pt idx="9">
                  <c:v>1.7989999999999999</c:v>
                </c:pt>
                <c:pt idx="10">
                  <c:v>1.6419999999999999</c:v>
                </c:pt>
                <c:pt idx="11">
                  <c:v>1.7230000000000001</c:v>
                </c:pt>
                <c:pt idx="12">
                  <c:v>1.0980000000000001</c:v>
                </c:pt>
                <c:pt idx="13">
                  <c:v>1.056</c:v>
                </c:pt>
                <c:pt idx="14">
                  <c:v>1.016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D42-4067-9CD6-5A62A4C01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64264"/>
        <c:axId val="123065048"/>
      </c:scatterChart>
      <c:valAx>
        <c:axId val="123064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dilution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3065048"/>
        <c:crosses val="autoZero"/>
        <c:crossBetween val="midCat"/>
      </c:valAx>
      <c:valAx>
        <c:axId val="12306504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résultat</a:t>
                </a:r>
              </a:p>
            </c:rich>
          </c:tx>
          <c:overlay val="0"/>
        </c:title>
        <c:numFmt formatCode="0.0" sourceLinked="0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3064264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590295732787633"/>
          <c:y val="0.14117667333506626"/>
          <c:w val="0.84722365862301063"/>
          <c:h val="0.68529510181396747"/>
        </c:manualLayout>
      </c:layout>
      <c:scatterChart>
        <c:scatterStyle val="lineMarker"/>
        <c:varyColors val="0"/>
        <c:ser>
          <c:idx val="0"/>
          <c:order val="0"/>
          <c:tx>
            <c:v>points</c:v>
          </c:tx>
          <c:spPr>
            <a:ln w="28575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254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0.30367800379119275"/>
                  <c:y val="9.561751502373679E-2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50"/>
                  </a:pPr>
                  <a:endParaRPr lang="fr-FR"/>
                </a:p>
              </c:txPr>
            </c:trendlineLbl>
          </c:trendline>
          <c:xVal>
            <c:numRef>
              <c:f>'test d''interférence'!$K$9:$K$23</c:f>
              <c:numCache>
                <c:formatCode>0.00</c:formatCode>
                <c:ptCount val="15"/>
                <c:pt idx="0">
                  <c:v>5.0666666666666664</c:v>
                </c:pt>
                <c:pt idx="1">
                  <c:v>5.0666666666666664</c:v>
                </c:pt>
                <c:pt idx="2">
                  <c:v>5.0666666666666664</c:v>
                </c:pt>
                <c:pt idx="3">
                  <c:v>10.066666666666666</c:v>
                </c:pt>
                <c:pt idx="4">
                  <c:v>10.066666666666666</c:v>
                </c:pt>
                <c:pt idx="5">
                  <c:v>10.066666666666666</c:v>
                </c:pt>
                <c:pt idx="6">
                  <c:v>15.066666666666666</c:v>
                </c:pt>
                <c:pt idx="7">
                  <c:v>15.066666666666666</c:v>
                </c:pt>
                <c:pt idx="8">
                  <c:v>15.066666666666666</c:v>
                </c:pt>
                <c:pt idx="9">
                  <c:v>55.066666666666663</c:v>
                </c:pt>
                <c:pt idx="10">
                  <c:v>55.066666666666663</c:v>
                </c:pt>
                <c:pt idx="11">
                  <c:v>55.066666666666663</c:v>
                </c:pt>
                <c:pt idx="12">
                  <c:v>105.06666666666666</c:v>
                </c:pt>
                <c:pt idx="13">
                  <c:v>105.06666666666666</c:v>
                </c:pt>
                <c:pt idx="14">
                  <c:v>105.06666666666666</c:v>
                </c:pt>
              </c:numCache>
            </c:numRef>
          </c:xVal>
          <c:yVal>
            <c:numRef>
              <c:f>'test d''interférence'!$J$9:$J$23</c:f>
              <c:numCache>
                <c:formatCode>General</c:formatCode>
                <c:ptCount val="15"/>
                <c:pt idx="0">
                  <c:v>4.8</c:v>
                </c:pt>
                <c:pt idx="1">
                  <c:v>5.3</c:v>
                </c:pt>
                <c:pt idx="2">
                  <c:v>5.0999999999999996</c:v>
                </c:pt>
                <c:pt idx="3">
                  <c:v>10</c:v>
                </c:pt>
                <c:pt idx="4">
                  <c:v>10.1</c:v>
                </c:pt>
                <c:pt idx="5">
                  <c:v>9.6199999999999992</c:v>
                </c:pt>
                <c:pt idx="6">
                  <c:v>15.6</c:v>
                </c:pt>
                <c:pt idx="7">
                  <c:v>15.9</c:v>
                </c:pt>
                <c:pt idx="8">
                  <c:v>15.5</c:v>
                </c:pt>
                <c:pt idx="9">
                  <c:v>55.2</c:v>
                </c:pt>
                <c:pt idx="10">
                  <c:v>56.3</c:v>
                </c:pt>
                <c:pt idx="11">
                  <c:v>56.5</c:v>
                </c:pt>
                <c:pt idx="12">
                  <c:v>110.5</c:v>
                </c:pt>
                <c:pt idx="13">
                  <c:v>108.8</c:v>
                </c:pt>
                <c:pt idx="14">
                  <c:v>108.2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67-4CD9-855A-D0CAD9967266}"/>
            </c:ext>
          </c:extLst>
        </c:ser>
        <c:ser>
          <c:idx val="3"/>
          <c:order val="1"/>
          <c:tx>
            <c:v>bissectrice</c:v>
          </c:tx>
          <c:spPr>
            <a:ln w="31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'test d''interférence'!$E$34:$F$34</c:f>
              <c:numCache>
                <c:formatCode>General</c:formatCode>
                <c:ptCount val="2"/>
                <c:pt idx="0">
                  <c:v>4.8</c:v>
                </c:pt>
                <c:pt idx="1">
                  <c:v>110.5</c:v>
                </c:pt>
              </c:numCache>
            </c:numRef>
          </c:xVal>
          <c:yVal>
            <c:numRef>
              <c:f>'test d''interférence'!$E$35:$F$35</c:f>
              <c:numCache>
                <c:formatCode>General</c:formatCode>
                <c:ptCount val="2"/>
                <c:pt idx="0">
                  <c:v>4.8</c:v>
                </c:pt>
                <c:pt idx="1">
                  <c:v>110.5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67-4CD9-855A-D0CAD99672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3063872"/>
        <c:axId val="123066224"/>
      </c:scatterChart>
      <c:valAx>
        <c:axId val="1230638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900"/>
                  <a:t>valeurs attendues</a:t>
                </a:r>
              </a:p>
            </c:rich>
          </c:tx>
          <c:layout>
            <c:manualLayout>
              <c:xMode val="edge"/>
              <c:yMode val="edge"/>
              <c:x val="0.43923684018664333"/>
              <c:y val="0.8823542232659513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3066224"/>
        <c:crosses val="autoZero"/>
        <c:crossBetween val="midCat"/>
      </c:valAx>
      <c:valAx>
        <c:axId val="1230662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9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 sz="900"/>
                  <a:t>valeurs observées</a:t>
                </a:r>
              </a:p>
            </c:rich>
          </c:tx>
          <c:layout>
            <c:manualLayout>
              <c:xMode val="edge"/>
              <c:yMode val="edge"/>
              <c:x val="2.5460775736366289E-2"/>
              <c:y val="0.3235299534926555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2306387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1"/>
          <c:order val="0"/>
          <c:spPr>
            <a:ln w="28575">
              <a:noFill/>
            </a:ln>
          </c:spPr>
          <c:marker>
            <c:symbol val="square"/>
            <c:size val="5"/>
            <c:spPr>
              <a:solidFill>
                <a:srgbClr val="FF00FF"/>
              </a:solidFill>
              <a:ln>
                <a:solidFill>
                  <a:srgbClr val="FF00FF"/>
                </a:solidFill>
                <a:prstDash val="solid"/>
              </a:ln>
            </c:spPr>
          </c:marker>
          <c:xVal>
            <c:numRef>
              <c:f>linéarité!#REF!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xVal>
          <c:yVal>
            <c:numRef>
              <c:f>linéarité!#REF!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37-49CA-9D15-E1D6791465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08864"/>
        <c:axId val="160908080"/>
      </c:scatterChart>
      <c:valAx>
        <c:axId val="160908864"/>
        <c:scaling>
          <c:orientation val="minMax"/>
          <c:max val="1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0908080"/>
        <c:crosses val="autoZero"/>
        <c:crossBetween val="midCat"/>
        <c:majorUnit val="2"/>
        <c:minorUnit val="2"/>
      </c:valAx>
      <c:valAx>
        <c:axId val="160908080"/>
        <c:scaling>
          <c:orientation val="minMax"/>
          <c:max val="1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0908864"/>
        <c:crosses val="autoZero"/>
        <c:crossBetween val="midCat"/>
        <c:majorUnit val="2"/>
        <c:minorUnit val="2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fr-FR"/>
              <a:t>Regression</a:t>
            </a:r>
          </a:p>
        </c:rich>
      </c:tx>
      <c:layout>
        <c:manualLayout>
          <c:xMode val="edge"/>
          <c:yMode val="edge"/>
          <c:x val="0.43117410323709532"/>
          <c:y val="3.080578695778969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743232063633605"/>
          <c:y val="0.1028637736472312"/>
          <c:w val="0.82793522267206476"/>
          <c:h val="0.74407582938388628"/>
        </c:manualLayout>
      </c:layout>
      <c:scatterChart>
        <c:scatterStyle val="lineMarker"/>
        <c:varyColors val="0"/>
        <c:ser>
          <c:idx val="0"/>
          <c:order val="0"/>
          <c:tx>
            <c:v>point</c:v>
          </c:tx>
          <c:spPr>
            <a:ln w="28575">
              <a:noFill/>
            </a:ln>
          </c:spPr>
          <c:marker>
            <c:symbol val="diamond"/>
            <c:size val="4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trendline>
            <c:spPr>
              <a:ln w="12700">
                <a:solidFill>
                  <a:srgbClr val="000000"/>
                </a:solidFill>
                <a:prstDash val="solid"/>
              </a:ln>
            </c:spPr>
            <c:trendlineType val="linear"/>
            <c:dispRSqr val="1"/>
            <c:dispEq val="1"/>
            <c:trendlineLbl>
              <c:layout>
                <c:manualLayout>
                  <c:x val="-0.258939407917612"/>
                  <c:y val="-4.0386030300263694E-3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050"/>
                  </a:pPr>
                  <a:endParaRPr lang="fr-FR"/>
                </a:p>
              </c:txPr>
            </c:trendlineLbl>
          </c:trendline>
          <c:xVal>
            <c:numRef>
              <c:f>'moindres carrés'!$K$10:$K$39</c:f>
              <c:numCache>
                <c:formatCode>General</c:formatCode>
                <c:ptCount val="3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</c:numCache>
            </c:numRef>
          </c:xVal>
          <c:yVal>
            <c:numRef>
              <c:f>'moindres carrés'!$L$10:$L$39</c:f>
              <c:numCache>
                <c:formatCode>0.000</c:formatCode>
                <c:ptCount val="30"/>
                <c:pt idx="0">
                  <c:v>1E-3</c:v>
                </c:pt>
                <c:pt idx="1">
                  <c:v>1E-3</c:v>
                </c:pt>
                <c:pt idx="2">
                  <c:v>1E-3</c:v>
                </c:pt>
                <c:pt idx="3">
                  <c:v>1E-3</c:v>
                </c:pt>
                <c:pt idx="4">
                  <c:v>1E-3</c:v>
                </c:pt>
                <c:pt idx="5">
                  <c:v>4.0000000000000001E-3</c:v>
                </c:pt>
                <c:pt idx="6">
                  <c:v>5.0000000000000001E-3</c:v>
                </c:pt>
                <c:pt idx="7">
                  <c:v>5.0000000000000001E-3</c:v>
                </c:pt>
                <c:pt idx="8">
                  <c:v>4.0000000000000001E-3</c:v>
                </c:pt>
                <c:pt idx="9">
                  <c:v>4.0000000000000001E-3</c:v>
                </c:pt>
                <c:pt idx="10">
                  <c:v>8.0000000000000002E-3</c:v>
                </c:pt>
                <c:pt idx="11">
                  <c:v>8.0000000000000002E-3</c:v>
                </c:pt>
                <c:pt idx="12">
                  <c:v>8.9999999999999993E-3</c:v>
                </c:pt>
                <c:pt idx="13">
                  <c:v>8.0000000000000002E-3</c:v>
                </c:pt>
                <c:pt idx="14">
                  <c:v>7.0000000000000001E-3</c:v>
                </c:pt>
                <c:pt idx="15">
                  <c:v>1.6E-2</c:v>
                </c:pt>
                <c:pt idx="16">
                  <c:v>1.6E-2</c:v>
                </c:pt>
                <c:pt idx="17">
                  <c:v>1.9E-2</c:v>
                </c:pt>
                <c:pt idx="18">
                  <c:v>1.7000000000000001E-2</c:v>
                </c:pt>
                <c:pt idx="19">
                  <c:v>1.4999999999999999E-2</c:v>
                </c:pt>
                <c:pt idx="20">
                  <c:v>4.2000000000000003E-2</c:v>
                </c:pt>
                <c:pt idx="21">
                  <c:v>4.1000000000000002E-2</c:v>
                </c:pt>
                <c:pt idx="22">
                  <c:v>4.4999999999999998E-2</c:v>
                </c:pt>
                <c:pt idx="23">
                  <c:v>4.1000000000000002E-2</c:v>
                </c:pt>
                <c:pt idx="24">
                  <c:v>3.7999999999999999E-2</c:v>
                </c:pt>
                <c:pt idx="25">
                  <c:v>8.4000000000000005E-2</c:v>
                </c:pt>
                <c:pt idx="26">
                  <c:v>8.1000000000000003E-2</c:v>
                </c:pt>
                <c:pt idx="27">
                  <c:v>9.0999999999999998E-2</c:v>
                </c:pt>
                <c:pt idx="28">
                  <c:v>8.4000000000000005E-2</c:v>
                </c:pt>
                <c:pt idx="29">
                  <c:v>7.2999999999999995E-2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9C-4F3B-A038-6B961C086FAF}"/>
            </c:ext>
          </c:extLst>
        </c:ser>
        <c:ser>
          <c:idx val="1"/>
          <c:order val="1"/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2"/>
            <c:spPr>
              <a:noFill/>
              <a:ln w="9525">
                <a:noFill/>
              </a:ln>
            </c:spPr>
          </c:marker>
          <c:xVal>
            <c:numRef>
              <c:f>'moindres carrés'!$K$10:$K$39</c:f>
              <c:numCache>
                <c:formatCode>General</c:formatCode>
                <c:ptCount val="3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</c:numCache>
            </c:numRef>
          </c:xVal>
          <c:yVal>
            <c:numRef>
              <c:f>'moindres carrés'!$P$51:$P$80</c:f>
              <c:numCache>
                <c:formatCode>0.000</c:formatCode>
                <c:ptCount val="30"/>
                <c:pt idx="0">
                  <c:v>2.25521844295181E-3</c:v>
                </c:pt>
                <c:pt idx="1">
                  <c:v>2.25521844295181E-3</c:v>
                </c:pt>
                <c:pt idx="2">
                  <c:v>2.25521844295181E-3</c:v>
                </c:pt>
                <c:pt idx="3">
                  <c:v>2.25521844295181E-3</c:v>
                </c:pt>
                <c:pt idx="4">
                  <c:v>2.25521844295181E-3</c:v>
                </c:pt>
                <c:pt idx="5">
                  <c:v>5.4826625702950743E-3</c:v>
                </c:pt>
                <c:pt idx="6">
                  <c:v>5.4826625702950743E-3</c:v>
                </c:pt>
                <c:pt idx="7">
                  <c:v>5.4826625702950743E-3</c:v>
                </c:pt>
                <c:pt idx="8">
                  <c:v>5.4826625702950743E-3</c:v>
                </c:pt>
                <c:pt idx="9">
                  <c:v>5.4826625702950743E-3</c:v>
                </c:pt>
                <c:pt idx="10">
                  <c:v>9.5268537216414099E-3</c:v>
                </c:pt>
                <c:pt idx="11">
                  <c:v>9.5268537216414099E-3</c:v>
                </c:pt>
                <c:pt idx="12">
                  <c:v>9.5268537216414099E-3</c:v>
                </c:pt>
                <c:pt idx="13">
                  <c:v>9.5268537216414099E-3</c:v>
                </c:pt>
                <c:pt idx="14">
                  <c:v>9.5268537216414099E-3</c:v>
                </c:pt>
                <c:pt idx="15">
                  <c:v>1.7657438549996178E-2</c:v>
                </c:pt>
                <c:pt idx="16">
                  <c:v>1.7657438549996178E-2</c:v>
                </c:pt>
                <c:pt idx="17">
                  <c:v>1.7657438549996178E-2</c:v>
                </c:pt>
                <c:pt idx="18">
                  <c:v>1.7657438549996178E-2</c:v>
                </c:pt>
                <c:pt idx="19">
                  <c:v>1.7657438549996178E-2</c:v>
                </c:pt>
                <c:pt idx="20">
                  <c:v>4.2505940819908203E-2</c:v>
                </c:pt>
                <c:pt idx="21">
                  <c:v>4.2505940819908203E-2</c:v>
                </c:pt>
                <c:pt idx="22">
                  <c:v>4.2505940819908203E-2</c:v>
                </c:pt>
                <c:pt idx="23">
                  <c:v>4.2505940819908203E-2</c:v>
                </c:pt>
                <c:pt idx="24">
                  <c:v>4.2505940819908203E-2</c:v>
                </c:pt>
                <c:pt idx="25">
                  <c:v>8.4868085896111542E-2</c:v>
                </c:pt>
                <c:pt idx="26">
                  <c:v>8.4868085896111542E-2</c:v>
                </c:pt>
                <c:pt idx="27">
                  <c:v>8.4868085896111542E-2</c:v>
                </c:pt>
                <c:pt idx="28">
                  <c:v>8.4868085896111542E-2</c:v>
                </c:pt>
                <c:pt idx="29">
                  <c:v>8.4868085896111542E-2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9C-4F3B-A038-6B961C086FAF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'moindres carrés'!$K$10:$K$39</c:f>
              <c:numCache>
                <c:formatCode>General</c:formatCode>
                <c:ptCount val="3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</c:numCache>
            </c:numRef>
          </c:xVal>
          <c:yVal>
            <c:numRef>
              <c:f>'moindres carrés'!$Q$51:$Q$80</c:f>
              <c:numCache>
                <c:formatCode>0.000</c:formatCode>
                <c:ptCount val="30"/>
                <c:pt idx="0">
                  <c:v>-4.3428180383338203E-4</c:v>
                </c:pt>
                <c:pt idx="1">
                  <c:v>-4.3428180383338203E-4</c:v>
                </c:pt>
                <c:pt idx="2">
                  <c:v>-4.3428180383338203E-4</c:v>
                </c:pt>
                <c:pt idx="3">
                  <c:v>-4.3428180383338203E-4</c:v>
                </c:pt>
                <c:pt idx="4">
                  <c:v>-4.3428180383338203E-4</c:v>
                </c:pt>
                <c:pt idx="5">
                  <c:v>2.9399269613853397E-3</c:v>
                </c:pt>
                <c:pt idx="6">
                  <c:v>2.9399269613853397E-3</c:v>
                </c:pt>
                <c:pt idx="7">
                  <c:v>2.9399269613853397E-3</c:v>
                </c:pt>
                <c:pt idx="8">
                  <c:v>2.9399269613853397E-3</c:v>
                </c:pt>
                <c:pt idx="9">
                  <c:v>2.9399269613853397E-3</c:v>
                </c:pt>
                <c:pt idx="10">
                  <c:v>7.1478019257414866E-3</c:v>
                </c:pt>
                <c:pt idx="11">
                  <c:v>7.1478019257414866E-3</c:v>
                </c:pt>
                <c:pt idx="12">
                  <c:v>7.1478019257414866E-3</c:v>
                </c:pt>
                <c:pt idx="13">
                  <c:v>7.1478019257414866E-3</c:v>
                </c:pt>
                <c:pt idx="14">
                  <c:v>7.1478019257414866E-3</c:v>
                </c:pt>
                <c:pt idx="15">
                  <c:v>1.5521349328791685E-2</c:v>
                </c:pt>
                <c:pt idx="16">
                  <c:v>1.5521349328791685E-2</c:v>
                </c:pt>
                <c:pt idx="17">
                  <c:v>1.5521349328791685E-2</c:v>
                </c:pt>
                <c:pt idx="18">
                  <c:v>1.5521349328791685E-2</c:v>
                </c:pt>
                <c:pt idx="19">
                  <c:v>1.5521349328791685E-2</c:v>
                </c:pt>
                <c:pt idx="20">
                  <c:v>4.0185243753094554E-2</c:v>
                </c:pt>
                <c:pt idx="21">
                  <c:v>4.0185243753094554E-2</c:v>
                </c:pt>
                <c:pt idx="22">
                  <c:v>4.0185243753094554E-2</c:v>
                </c:pt>
                <c:pt idx="23">
                  <c:v>4.0185243753094554E-2</c:v>
                </c:pt>
                <c:pt idx="24">
                  <c:v>4.0185243753094554E-2</c:v>
                </c:pt>
                <c:pt idx="25">
                  <c:v>8.0343759833916048E-2</c:v>
                </c:pt>
                <c:pt idx="26">
                  <c:v>8.0343759833916048E-2</c:v>
                </c:pt>
                <c:pt idx="27">
                  <c:v>8.0343759833916048E-2</c:v>
                </c:pt>
                <c:pt idx="28">
                  <c:v>8.0343759833916048E-2</c:v>
                </c:pt>
                <c:pt idx="29">
                  <c:v>8.0343759833916048E-2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9C-4F3B-A038-6B961C086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08472"/>
        <c:axId val="160904944"/>
      </c:scatterChart>
      <c:scatterChart>
        <c:scatterStyle val="smoothMarker"/>
        <c:varyColors val="0"/>
        <c:ser>
          <c:idx val="3"/>
          <c:order val="3"/>
          <c:spPr>
            <a:ln w="12700">
              <a:solidFill>
                <a:schemeClr val="accent5"/>
              </a:solidFill>
            </a:ln>
          </c:spPr>
          <c:marker>
            <c:symbol val="none"/>
          </c:marker>
          <c:xVal>
            <c:numRef>
              <c:f>'moindres carrés'!$K$10:$K$39</c:f>
              <c:numCache>
                <c:formatCode>General</c:formatCode>
                <c:ptCount val="3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</c:numCache>
            </c:numRef>
          </c:xVal>
          <c:yVal>
            <c:numRef>
              <c:f>'moindres carrés'!$R$51:$R$80</c:f>
              <c:numCache>
                <c:formatCode>0.000</c:formatCode>
                <c:ptCount val="30"/>
                <c:pt idx="0">
                  <c:v>6.6479659441097943E-3</c:v>
                </c:pt>
                <c:pt idx="1">
                  <c:v>6.6479659441097943E-3</c:v>
                </c:pt>
                <c:pt idx="2">
                  <c:v>6.6479659441097943E-3</c:v>
                </c:pt>
                <c:pt idx="3">
                  <c:v>6.6479659441097943E-3</c:v>
                </c:pt>
                <c:pt idx="4">
                  <c:v>6.6479659441097943E-3</c:v>
                </c:pt>
                <c:pt idx="5">
                  <c:v>9.9320379161278987E-3</c:v>
                </c:pt>
                <c:pt idx="6">
                  <c:v>9.9320379161278987E-3</c:v>
                </c:pt>
                <c:pt idx="7">
                  <c:v>9.9320379161278987E-3</c:v>
                </c:pt>
                <c:pt idx="8">
                  <c:v>9.9320379161278987E-3</c:v>
                </c:pt>
                <c:pt idx="9">
                  <c:v>9.9320379161278987E-3</c:v>
                </c:pt>
                <c:pt idx="10">
                  <c:v>1.4040440829695522E-2</c:v>
                </c:pt>
                <c:pt idx="11">
                  <c:v>1.4040440829695522E-2</c:v>
                </c:pt>
                <c:pt idx="12">
                  <c:v>1.4040440829695522E-2</c:v>
                </c:pt>
                <c:pt idx="13">
                  <c:v>1.4040440829695522E-2</c:v>
                </c:pt>
                <c:pt idx="14">
                  <c:v>1.4040440829695522E-2</c:v>
                </c:pt>
                <c:pt idx="15">
                  <c:v>2.2268411934399376E-2</c:v>
                </c:pt>
                <c:pt idx="16">
                  <c:v>2.2268411934399376E-2</c:v>
                </c:pt>
                <c:pt idx="17">
                  <c:v>2.2268411934399376E-2</c:v>
                </c:pt>
                <c:pt idx="18">
                  <c:v>2.2268411934399376E-2</c:v>
                </c:pt>
                <c:pt idx="19">
                  <c:v>2.2268411934399376E-2</c:v>
                </c:pt>
                <c:pt idx="20">
                  <c:v>4.7042691093467828E-2</c:v>
                </c:pt>
                <c:pt idx="21">
                  <c:v>4.7042691093467828E-2</c:v>
                </c:pt>
                <c:pt idx="22">
                  <c:v>4.7042691093467828E-2</c:v>
                </c:pt>
                <c:pt idx="23">
                  <c:v>4.7042691093467828E-2</c:v>
                </c:pt>
                <c:pt idx="24">
                  <c:v>4.7042691093467828E-2</c:v>
                </c:pt>
                <c:pt idx="25">
                  <c:v>8.8624885207197412E-2</c:v>
                </c:pt>
                <c:pt idx="26">
                  <c:v>8.8624885207197412E-2</c:v>
                </c:pt>
                <c:pt idx="27">
                  <c:v>8.8624885207197412E-2</c:v>
                </c:pt>
                <c:pt idx="28">
                  <c:v>8.8624885207197412E-2</c:v>
                </c:pt>
                <c:pt idx="29">
                  <c:v>8.8624885207197412E-2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219C-4F3B-A038-6B961C086FAF}"/>
            </c:ext>
          </c:extLst>
        </c:ser>
        <c:ser>
          <c:idx val="4"/>
          <c:order val="4"/>
          <c:spPr>
            <a:ln w="12700"/>
          </c:spPr>
          <c:marker>
            <c:symbol val="none"/>
          </c:marker>
          <c:xVal>
            <c:numRef>
              <c:f>'moindres carrés'!$K$10:$K$39</c:f>
              <c:numCache>
                <c:formatCode>General</c:formatCode>
                <c:ptCount val="30"/>
                <c:pt idx="0">
                  <c:v>0.1</c:v>
                </c:pt>
                <c:pt idx="1">
                  <c:v>0.1</c:v>
                </c:pt>
                <c:pt idx="2">
                  <c:v>0.1</c:v>
                </c:pt>
                <c:pt idx="3">
                  <c:v>0.1</c:v>
                </c:pt>
                <c:pt idx="4">
                  <c:v>0.1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0.5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2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2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10</c:v>
                </c:pt>
                <c:pt idx="26">
                  <c:v>10</c:v>
                </c:pt>
                <c:pt idx="27">
                  <c:v>10</c:v>
                </c:pt>
                <c:pt idx="28">
                  <c:v>10</c:v>
                </c:pt>
                <c:pt idx="29">
                  <c:v>10</c:v>
                </c:pt>
              </c:numCache>
            </c:numRef>
          </c:xVal>
          <c:yVal>
            <c:numRef>
              <c:f>'moindres carrés'!$S$51:$S$80</c:f>
              <c:numCache>
                <c:formatCode>0.000</c:formatCode>
                <c:ptCount val="30"/>
                <c:pt idx="0">
                  <c:v>-4.8270293049913655E-3</c:v>
                </c:pt>
                <c:pt idx="1">
                  <c:v>-4.8270293049913655E-3</c:v>
                </c:pt>
                <c:pt idx="2">
                  <c:v>-4.8270293049913655E-3</c:v>
                </c:pt>
                <c:pt idx="3">
                  <c:v>-4.8270293049913655E-3</c:v>
                </c:pt>
                <c:pt idx="4">
                  <c:v>-4.8270293049913655E-3</c:v>
                </c:pt>
                <c:pt idx="5">
                  <c:v>-1.5094483844474843E-3</c:v>
                </c:pt>
                <c:pt idx="6">
                  <c:v>-1.5094483844474843E-3</c:v>
                </c:pt>
                <c:pt idx="7">
                  <c:v>-1.5094483844474843E-3</c:v>
                </c:pt>
                <c:pt idx="8">
                  <c:v>-1.5094483844474843E-3</c:v>
                </c:pt>
                <c:pt idx="9">
                  <c:v>-1.5094483844474843E-3</c:v>
                </c:pt>
                <c:pt idx="10">
                  <c:v>2.6342148176873754E-3</c:v>
                </c:pt>
                <c:pt idx="11">
                  <c:v>2.6342148176873754E-3</c:v>
                </c:pt>
                <c:pt idx="12">
                  <c:v>2.6342148176873754E-3</c:v>
                </c:pt>
                <c:pt idx="13">
                  <c:v>2.6342148176873754E-3</c:v>
                </c:pt>
                <c:pt idx="14">
                  <c:v>2.6342148176873754E-3</c:v>
                </c:pt>
                <c:pt idx="15">
                  <c:v>1.0910375944388487E-2</c:v>
                </c:pt>
                <c:pt idx="16">
                  <c:v>1.0910375944388487E-2</c:v>
                </c:pt>
                <c:pt idx="17">
                  <c:v>1.0910375944388487E-2</c:v>
                </c:pt>
                <c:pt idx="18">
                  <c:v>1.0910375944388487E-2</c:v>
                </c:pt>
                <c:pt idx="19">
                  <c:v>1.0910375944388487E-2</c:v>
                </c:pt>
                <c:pt idx="20">
                  <c:v>3.5648493479534929E-2</c:v>
                </c:pt>
                <c:pt idx="21">
                  <c:v>3.5648493479534929E-2</c:v>
                </c:pt>
                <c:pt idx="22">
                  <c:v>3.5648493479534929E-2</c:v>
                </c:pt>
                <c:pt idx="23">
                  <c:v>3.5648493479534929E-2</c:v>
                </c:pt>
                <c:pt idx="24">
                  <c:v>3.5648493479534929E-2</c:v>
                </c:pt>
                <c:pt idx="25">
                  <c:v>7.6586960522830178E-2</c:v>
                </c:pt>
                <c:pt idx="26">
                  <c:v>7.6586960522830178E-2</c:v>
                </c:pt>
                <c:pt idx="27">
                  <c:v>7.6586960522830178E-2</c:v>
                </c:pt>
                <c:pt idx="28">
                  <c:v>7.6586960522830178E-2</c:v>
                </c:pt>
                <c:pt idx="29">
                  <c:v>7.6586960522830178E-2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219C-4F3B-A038-6B961C086F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08472"/>
        <c:axId val="160904944"/>
      </c:scatterChart>
      <c:valAx>
        <c:axId val="160908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valeurs attendues</a:t>
                </a:r>
              </a:p>
            </c:rich>
          </c:tx>
          <c:layout>
            <c:manualLayout>
              <c:xMode val="edge"/>
              <c:yMode val="edge"/>
              <c:x val="0.43319833505660277"/>
              <c:y val="0.909952705187213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0904944"/>
        <c:crosses val="autoZero"/>
        <c:crossBetween val="midCat"/>
      </c:valAx>
      <c:valAx>
        <c:axId val="160904944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 sz="95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fr-FR"/>
                  <a:t>valeurs observées</a:t>
                </a:r>
              </a:p>
            </c:rich>
          </c:tx>
          <c:layout>
            <c:manualLayout>
              <c:xMode val="edge"/>
              <c:yMode val="edge"/>
              <c:x val="3.0364325671412288E-2"/>
              <c:y val="0.3672986166584249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0908472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5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 paperSize="9" orientation="landscape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profil projector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2319180690648963"/>
          <c:y val="0.15140692112271809"/>
          <c:w val="0.80867623899953678"/>
          <c:h val="0.70615354646003337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28456171685318005"/>
                  <c:y val="-4.3749682252926169E-3"/>
                </c:manualLayout>
              </c:layout>
              <c:numFmt formatCode="General" sourceLinked="0"/>
            </c:trendlineLbl>
          </c:trendline>
          <c:xVal>
            <c:numRef>
              <c:f>'moindres carrés'!$C$85:$C$99</c:f>
              <c:numCache>
                <c:formatCode>General</c:formatCode>
                <c:ptCount val="1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xVal>
          <c:yVal>
            <c:numRef>
              <c:f>'moindres carrés'!$D$85:$D$99</c:f>
              <c:numCache>
                <c:formatCode>General</c:formatCode>
                <c:ptCount val="15"/>
                <c:pt idx="0">
                  <c:v>0</c:v>
                </c:pt>
                <c:pt idx="1">
                  <c:v>9.9990000000000006</c:v>
                </c:pt>
                <c:pt idx="2">
                  <c:v>20</c:v>
                </c:pt>
                <c:pt idx="3">
                  <c:v>29.995000000000001</c:v>
                </c:pt>
                <c:pt idx="4">
                  <c:v>39.994999999999997</c:v>
                </c:pt>
                <c:pt idx="5">
                  <c:v>49.994999999999997</c:v>
                </c:pt>
                <c:pt idx="6">
                  <c:v>59.994</c:v>
                </c:pt>
                <c:pt idx="7">
                  <c:v>69.994</c:v>
                </c:pt>
                <c:pt idx="8">
                  <c:v>79.989999999999995</c:v>
                </c:pt>
                <c:pt idx="9">
                  <c:v>89.988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425-4875-BB91-2AD82245B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09256"/>
        <c:axId val="160906904"/>
      </c:scatterChart>
      <c:scatterChart>
        <c:scatterStyle val="smoothMarker"/>
        <c:varyColors val="0"/>
        <c:ser>
          <c:idx val="1"/>
          <c:order val="1"/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'moindres carrés'!$C$85:$C$99</c:f>
              <c:numCache>
                <c:formatCode>General</c:formatCode>
                <c:ptCount val="1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xVal>
          <c:yVal>
            <c:numRef>
              <c:f>'moindres carrés'!$F$85:$F$99</c:f>
              <c:numCache>
                <c:formatCode>0.000</c:formatCode>
                <c:ptCount val="15"/>
                <c:pt idx="0">
                  <c:v>-3.9964640477771405</c:v>
                </c:pt>
                <c:pt idx="1">
                  <c:v>6.006144594157405</c:v>
                </c:pt>
                <c:pt idx="2">
                  <c:v>16.010752988819092</c:v>
                </c:pt>
                <c:pt idx="3">
                  <c:v>26.009362125298832</c:v>
                </c:pt>
                <c:pt idx="4">
                  <c:v>36.012970643596624</c:v>
                </c:pt>
                <c:pt idx="5">
                  <c:v>46.016579161894278</c:v>
                </c:pt>
                <c:pt idx="6">
                  <c:v>56.019187803828174</c:v>
                </c:pt>
                <c:pt idx="7">
                  <c:v>66.022796322125572</c:v>
                </c:pt>
                <c:pt idx="8">
                  <c:v>76.022405334968298</c:v>
                </c:pt>
                <c:pt idx="9">
                  <c:v>86.024014100538153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B425-4875-BB91-2AD82245BCBC}"/>
            </c:ext>
          </c:extLst>
        </c:ser>
        <c:ser>
          <c:idx val="2"/>
          <c:order val="2"/>
          <c:spPr>
            <a:ln w="1270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'moindres carrés'!$C$85:$C$99</c:f>
              <c:numCache>
                <c:formatCode>General</c:formatCode>
                <c:ptCount val="15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</c:numCache>
            </c:numRef>
          </c:xVal>
          <c:yVal>
            <c:numRef>
              <c:f>'moindres carrés'!$G$85:$G$99</c:f>
              <c:numCache>
                <c:formatCode>0.000</c:formatCode>
                <c:ptCount val="15"/>
                <c:pt idx="0">
                  <c:v>3.9975913205044002</c:v>
                </c:pt>
                <c:pt idx="1">
                  <c:v>13.990510198569858</c:v>
                </c:pt>
                <c:pt idx="2">
                  <c:v>23.985428829362718</c:v>
                </c:pt>
                <c:pt idx="3">
                  <c:v>33.974348201973889</c:v>
                </c:pt>
                <c:pt idx="4">
                  <c:v>43.968266956403376</c:v>
                </c:pt>
                <c:pt idx="5">
                  <c:v>53.962185710832991</c:v>
                </c:pt>
                <c:pt idx="6">
                  <c:v>63.955104588899104</c:v>
                </c:pt>
                <c:pt idx="7">
                  <c:v>73.949023343329003</c:v>
                </c:pt>
                <c:pt idx="8">
                  <c:v>83.938942592304457</c:v>
                </c:pt>
                <c:pt idx="9">
                  <c:v>93.930861594007325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B425-4875-BB91-2AD82245BC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09256"/>
        <c:axId val="160906904"/>
      </c:scatterChart>
      <c:valAx>
        <c:axId val="1609092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valeur z</a:t>
                </a:r>
              </a:p>
            </c:rich>
          </c:tx>
          <c:layout>
            <c:manualLayout>
              <c:xMode val="edge"/>
              <c:yMode val="edge"/>
              <c:x val="0.46576756949521564"/>
              <c:y val="0.8832963446376626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160906904"/>
        <c:crosses val="autoZero"/>
        <c:crossBetween val="midCat"/>
      </c:valAx>
      <c:valAx>
        <c:axId val="160906904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Observé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60909256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0"/>
            <c:dispEq val="1"/>
            <c:trendlineLbl>
              <c:layout>
                <c:manualLayout>
                  <c:x val="-0.10685269229330041"/>
                  <c:y val="-9.4204891055284755E-3"/>
                </c:manualLayout>
              </c:layout>
              <c:numFmt formatCode="General" sourceLinked="0"/>
            </c:trendlineLbl>
          </c:trendline>
          <c:xVal>
            <c:numRef>
              <c:f>'moindres rectangles'!$C$5:$C$34</c:f>
              <c:numCache>
                <c:formatCode>General</c:formatCode>
                <c:ptCount val="30"/>
                <c:pt idx="0">
                  <c:v>2.95</c:v>
                </c:pt>
                <c:pt idx="1">
                  <c:v>14.9</c:v>
                </c:pt>
                <c:pt idx="2">
                  <c:v>19.899999999999999</c:v>
                </c:pt>
                <c:pt idx="3">
                  <c:v>14</c:v>
                </c:pt>
                <c:pt idx="4">
                  <c:v>14.9</c:v>
                </c:pt>
                <c:pt idx="5">
                  <c:v>35</c:v>
                </c:pt>
                <c:pt idx="6">
                  <c:v>14.2</c:v>
                </c:pt>
                <c:pt idx="7">
                  <c:v>1.6</c:v>
                </c:pt>
                <c:pt idx="8">
                  <c:v>12.05</c:v>
                </c:pt>
                <c:pt idx="9">
                  <c:v>3.7</c:v>
                </c:pt>
                <c:pt idx="10">
                  <c:v>18.05</c:v>
                </c:pt>
                <c:pt idx="11">
                  <c:v>19.600000000000001</c:v>
                </c:pt>
                <c:pt idx="12">
                  <c:v>21.1</c:v>
                </c:pt>
                <c:pt idx="13">
                  <c:v>13.75</c:v>
                </c:pt>
                <c:pt idx="14">
                  <c:v>5.4</c:v>
                </c:pt>
              </c:numCache>
            </c:numRef>
          </c:xVal>
          <c:yVal>
            <c:numRef>
              <c:f>'moindres rectangles'!$D$5:$D$34</c:f>
              <c:numCache>
                <c:formatCode>General</c:formatCode>
                <c:ptCount val="30"/>
                <c:pt idx="0">
                  <c:v>3.7</c:v>
                </c:pt>
                <c:pt idx="1">
                  <c:v>15.35</c:v>
                </c:pt>
                <c:pt idx="2">
                  <c:v>21.4</c:v>
                </c:pt>
                <c:pt idx="3">
                  <c:v>14.65</c:v>
                </c:pt>
                <c:pt idx="4">
                  <c:v>16.25</c:v>
                </c:pt>
                <c:pt idx="5">
                  <c:v>35.25</c:v>
                </c:pt>
                <c:pt idx="6">
                  <c:v>15.15</c:v>
                </c:pt>
                <c:pt idx="7">
                  <c:v>2.6</c:v>
                </c:pt>
                <c:pt idx="8">
                  <c:v>11.95</c:v>
                </c:pt>
                <c:pt idx="9">
                  <c:v>5.7</c:v>
                </c:pt>
                <c:pt idx="10">
                  <c:v>18.05</c:v>
                </c:pt>
                <c:pt idx="11">
                  <c:v>19.100000000000001</c:v>
                </c:pt>
                <c:pt idx="12">
                  <c:v>22.3</c:v>
                </c:pt>
                <c:pt idx="13">
                  <c:v>13.3</c:v>
                </c:pt>
                <c:pt idx="14">
                  <c:v>5.2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942-46A1-B6DE-36106387CB40}"/>
            </c:ext>
          </c:extLst>
        </c:ser>
        <c:ser>
          <c:idx val="1"/>
          <c:order val="1"/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'moindres rectangles'!$C$5:$C$34</c:f>
              <c:numCache>
                <c:formatCode>General</c:formatCode>
                <c:ptCount val="30"/>
                <c:pt idx="0">
                  <c:v>2.95</c:v>
                </c:pt>
                <c:pt idx="1">
                  <c:v>14.9</c:v>
                </c:pt>
                <c:pt idx="2">
                  <c:v>19.899999999999999</c:v>
                </c:pt>
                <c:pt idx="3">
                  <c:v>14</c:v>
                </c:pt>
                <c:pt idx="4">
                  <c:v>14.9</c:v>
                </c:pt>
                <c:pt idx="5">
                  <c:v>35</c:v>
                </c:pt>
                <c:pt idx="6">
                  <c:v>14.2</c:v>
                </c:pt>
                <c:pt idx="7">
                  <c:v>1.6</c:v>
                </c:pt>
                <c:pt idx="8">
                  <c:v>12.05</c:v>
                </c:pt>
                <c:pt idx="9">
                  <c:v>3.7</c:v>
                </c:pt>
                <c:pt idx="10">
                  <c:v>18.05</c:v>
                </c:pt>
                <c:pt idx="11">
                  <c:v>19.600000000000001</c:v>
                </c:pt>
                <c:pt idx="12">
                  <c:v>21.1</c:v>
                </c:pt>
                <c:pt idx="13">
                  <c:v>13.75</c:v>
                </c:pt>
                <c:pt idx="14">
                  <c:v>5.4</c:v>
                </c:pt>
              </c:numCache>
            </c:numRef>
          </c:xVal>
          <c:yVal>
            <c:numRef>
              <c:f>'moindres rectangles'!$Q$3:$Q$32</c:f>
              <c:numCache>
                <c:formatCode>0.00</c:formatCode>
                <c:ptCount val="30"/>
                <c:pt idx="0">
                  <c:v>4.3592991980849476</c:v>
                </c:pt>
                <c:pt idx="1">
                  <c:v>15.878117128484101</c:v>
                </c:pt>
                <c:pt idx="2">
                  <c:v>20.894630192211977</c:v>
                </c:pt>
                <c:pt idx="3">
                  <c:v>14.988691964246231</c:v>
                </c:pt>
                <c:pt idx="4">
                  <c:v>15.878117128484101</c:v>
                </c:pt>
                <c:pt idx="5">
                  <c:v>36.376505305656217</c:v>
                </c:pt>
                <c:pt idx="6">
                  <c:v>15.18593978876738</c:v>
                </c:pt>
                <c:pt idx="7">
                  <c:v>3.0808971550477997</c:v>
                </c:pt>
                <c:pt idx="8">
                  <c:v>13.077432792772914</c:v>
                </c:pt>
                <c:pt idx="9">
                  <c:v>5.0704647725994567</c:v>
                </c:pt>
                <c:pt idx="10">
                  <c:v>19.025529287398982</c:v>
                </c:pt>
                <c:pt idx="11">
                  <c:v>20.590704221206035</c:v>
                </c:pt>
                <c:pt idx="12">
                  <c:v>22.113040237857753</c:v>
                </c:pt>
                <c:pt idx="13">
                  <c:v>14.742456136868865</c:v>
                </c:pt>
                <c:pt idx="14">
                  <c:v>6.6855539703666302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942-46A1-B6DE-36106387CB40}"/>
            </c:ext>
          </c:extLst>
        </c:ser>
        <c:ser>
          <c:idx val="2"/>
          <c:order val="2"/>
          <c:spPr>
            <a:ln w="28575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'moindres rectangles'!$C$5:$C$34</c:f>
              <c:numCache>
                <c:formatCode>General</c:formatCode>
                <c:ptCount val="30"/>
                <c:pt idx="0">
                  <c:v>2.95</c:v>
                </c:pt>
                <c:pt idx="1">
                  <c:v>14.9</c:v>
                </c:pt>
                <c:pt idx="2">
                  <c:v>19.899999999999999</c:v>
                </c:pt>
                <c:pt idx="3">
                  <c:v>14</c:v>
                </c:pt>
                <c:pt idx="4">
                  <c:v>14.9</c:v>
                </c:pt>
                <c:pt idx="5">
                  <c:v>35</c:v>
                </c:pt>
                <c:pt idx="6">
                  <c:v>14.2</c:v>
                </c:pt>
                <c:pt idx="7">
                  <c:v>1.6</c:v>
                </c:pt>
                <c:pt idx="8">
                  <c:v>12.05</c:v>
                </c:pt>
                <c:pt idx="9">
                  <c:v>3.7</c:v>
                </c:pt>
                <c:pt idx="10">
                  <c:v>18.05</c:v>
                </c:pt>
                <c:pt idx="11">
                  <c:v>19.600000000000001</c:v>
                </c:pt>
                <c:pt idx="12">
                  <c:v>21.1</c:v>
                </c:pt>
                <c:pt idx="13">
                  <c:v>13.75</c:v>
                </c:pt>
                <c:pt idx="14">
                  <c:v>5.4</c:v>
                </c:pt>
              </c:numCache>
            </c:numRef>
          </c:xVal>
          <c:yVal>
            <c:numRef>
              <c:f>'moindres rectangles'!$R$3:$R$32</c:f>
              <c:numCache>
                <c:formatCode>0.00</c:formatCode>
                <c:ptCount val="30"/>
                <c:pt idx="0">
                  <c:v>3.0302520143954594</c:v>
                </c:pt>
                <c:pt idx="1">
                  <c:v>15.078877567142166</c:v>
                </c:pt>
                <c:pt idx="2">
                  <c:v>19.923219517282845</c:v>
                </c:pt>
                <c:pt idx="3">
                  <c:v>14.193348828883694</c:v>
                </c:pt>
                <c:pt idx="4">
                  <c:v>15.078877567142166</c:v>
                </c:pt>
                <c:pt idx="5">
                  <c:v>34.221126545721667</c:v>
                </c:pt>
                <c:pt idx="6">
                  <c:v>14.390535204917287</c:v>
                </c:pt>
                <c:pt idx="7">
                  <c:v>1.6462232036880957</c:v>
                </c:pt>
                <c:pt idx="8">
                  <c:v>12.258874544948274</c:v>
                </c:pt>
                <c:pt idx="9">
                  <c:v>3.7982146919612334</c:v>
                </c:pt>
                <c:pt idx="10">
                  <c:v>18.143804066964478</c:v>
                </c:pt>
                <c:pt idx="11">
                  <c:v>19.63549418745669</c:v>
                </c:pt>
                <c:pt idx="12">
                  <c:v>21.071414674965531</c:v>
                </c:pt>
                <c:pt idx="13">
                  <c:v>13.946541905567633</c:v>
                </c:pt>
                <c:pt idx="14">
                  <c:v>5.5358161989093713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942-46A1-B6DE-36106387C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02200"/>
        <c:axId val="160905728"/>
      </c:scatterChart>
      <c:valAx>
        <c:axId val="160902200"/>
        <c:scaling>
          <c:orientation val="minMax"/>
          <c:min val="1.4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60905728"/>
        <c:crosses val="autoZero"/>
        <c:crossBetween val="midCat"/>
      </c:valAx>
      <c:valAx>
        <c:axId val="160905728"/>
        <c:scaling>
          <c:orientation val="minMax"/>
          <c:min val="1.4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60902200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200" b="1"/>
              <a:t>régression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175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pondéré!$C$12:$C$17</c:f>
              <c:numCache>
                <c:formatCode>General</c:formatCode>
                <c:ptCount val="6"/>
                <c:pt idx="0">
                  <c:v>488065</c:v>
                </c:pt>
                <c:pt idx="1">
                  <c:v>650259</c:v>
                </c:pt>
                <c:pt idx="2">
                  <c:v>817069</c:v>
                </c:pt>
                <c:pt idx="3">
                  <c:v>987202</c:v>
                </c:pt>
                <c:pt idx="4">
                  <c:v>1143267</c:v>
                </c:pt>
              </c:numCache>
            </c:numRef>
          </c:xVal>
          <c:yVal>
            <c:numRef>
              <c:f>pondéré!$N$23:$N$28</c:f>
              <c:numCache>
                <c:formatCode>0.00</c:formatCode>
                <c:ptCount val="6"/>
                <c:pt idx="0">
                  <c:v>489220.50620923354</c:v>
                </c:pt>
                <c:pt idx="1">
                  <c:v>650114.78758793848</c:v>
                </c:pt>
                <c:pt idx="2">
                  <c:v>815617.82941751881</c:v>
                </c:pt>
                <c:pt idx="3">
                  <c:v>981746.06205216341</c:v>
                </c:pt>
                <c:pt idx="4">
                  <c:v>1149162.8147331451</c:v>
                </c:pt>
                <c:pt idx="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C75-4511-BE07-067AD1B6D926}"/>
            </c:ext>
          </c:extLst>
        </c:ser>
        <c:ser>
          <c:idx val="1"/>
          <c:order val="1"/>
          <c:spPr>
            <a:ln w="31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pondéré!$C$12:$C$17</c:f>
              <c:numCache>
                <c:formatCode>General</c:formatCode>
                <c:ptCount val="6"/>
                <c:pt idx="0">
                  <c:v>488065</c:v>
                </c:pt>
                <c:pt idx="1">
                  <c:v>650259</c:v>
                </c:pt>
                <c:pt idx="2">
                  <c:v>817069</c:v>
                </c:pt>
                <c:pt idx="3">
                  <c:v>987202</c:v>
                </c:pt>
                <c:pt idx="4">
                  <c:v>1143267</c:v>
                </c:pt>
              </c:numCache>
            </c:numRef>
          </c:xVal>
          <c:yVal>
            <c:numRef>
              <c:f>pondéré!$L$30:$L$35</c:f>
              <c:numCache>
                <c:formatCode>0.00</c:formatCode>
                <c:ptCount val="6"/>
                <c:pt idx="0">
                  <c:v>488213.20714928274</c:v>
                </c:pt>
                <c:pt idx="1">
                  <c:v>648975.70166606735</c:v>
                </c:pt>
                <c:pt idx="2">
                  <c:v>813315.34689984785</c:v>
                </c:pt>
                <c:pt idx="3">
                  <c:v>980159.48092421028</c:v>
                </c:pt>
                <c:pt idx="4">
                  <c:v>1146601.2532744789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75-4511-BE07-067AD1B6D926}"/>
            </c:ext>
          </c:extLst>
        </c:ser>
        <c:ser>
          <c:idx val="2"/>
          <c:order val="2"/>
          <c:spPr>
            <a:ln w="3175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pondéré!$C$12:$C$17</c:f>
              <c:numCache>
                <c:formatCode>General</c:formatCode>
                <c:ptCount val="6"/>
                <c:pt idx="0">
                  <c:v>488065</c:v>
                </c:pt>
                <c:pt idx="1">
                  <c:v>650259</c:v>
                </c:pt>
                <c:pt idx="2">
                  <c:v>817069</c:v>
                </c:pt>
                <c:pt idx="3">
                  <c:v>987202</c:v>
                </c:pt>
                <c:pt idx="4">
                  <c:v>1143267</c:v>
                </c:pt>
              </c:numCache>
            </c:numRef>
          </c:xVal>
          <c:yVal>
            <c:numRef>
              <c:f>pondéré!$M$30:$M$35</c:f>
              <c:numCache>
                <c:formatCode>0.00</c:formatCode>
                <c:ptCount val="6"/>
                <c:pt idx="0">
                  <c:v>490227.80526918435</c:v>
                </c:pt>
                <c:pt idx="1">
                  <c:v>651253.87350980961</c:v>
                </c:pt>
                <c:pt idx="2">
                  <c:v>817920.31193518976</c:v>
                </c:pt>
                <c:pt idx="3">
                  <c:v>983332.64318011655</c:v>
                </c:pt>
                <c:pt idx="4">
                  <c:v>1151724.3761918112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C75-4511-BE07-067AD1B6D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0904160"/>
        <c:axId val="160904552"/>
      </c:scatterChart>
      <c:valAx>
        <c:axId val="1609041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sz="900"/>
                  <a:t>échantillon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0904552"/>
        <c:crosses val="autoZero"/>
        <c:crossBetween val="midCat"/>
      </c:valAx>
      <c:valAx>
        <c:axId val="16090455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valeur</a:t>
                </a:r>
                <a:r>
                  <a:rPr lang="en-US" baseline="0"/>
                  <a:t> retrouvé</a:t>
                </a:r>
                <a:endParaRPr lang="en-US"/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fr-FR"/>
          </a:p>
        </c:txPr>
        <c:crossAx val="160904160"/>
        <c:crosses val="autoZero"/>
        <c:crossBetween val="midCat"/>
      </c:valAx>
      <c:spPr>
        <a:noFill/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fr-FR"/>
    </a:p>
  </c:txPr>
  <c:printSettings>
    <c:headerFooter alignWithMargins="0"/>
    <c:pageMargins b="0.984251969" l="0.78740157499999996" r="0.78740157499999996" t="0.984251969" header="0.4921259845" footer="0.492125984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</xdr:colOff>
      <xdr:row>17</xdr:row>
      <xdr:rowOff>9525</xdr:rowOff>
    </xdr:from>
    <xdr:to>
      <xdr:col>4</xdr:col>
      <xdr:colOff>581025</xdr:colOff>
      <xdr:row>32</xdr:row>
      <xdr:rowOff>104775</xdr:rowOff>
    </xdr:to>
    <xdr:graphicFrame macro="">
      <xdr:nvGraphicFramePr>
        <xdr:cNvPr id="2" name="Chart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24</xdr:row>
      <xdr:rowOff>0</xdr:rowOff>
    </xdr:from>
    <xdr:to>
      <xdr:col>12</xdr:col>
      <xdr:colOff>800100</xdr:colOff>
      <xdr:row>43</xdr:row>
      <xdr:rowOff>180975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76200</xdr:colOff>
      <xdr:row>1</xdr:row>
      <xdr:rowOff>0</xdr:rowOff>
    </xdr:from>
    <xdr:to>
      <xdr:col>13</xdr:col>
      <xdr:colOff>742950</xdr:colOff>
      <xdr:row>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175371</xdr:colOff>
      <xdr:row>47</xdr:row>
      <xdr:rowOff>27214</xdr:rowOff>
    </xdr:from>
    <xdr:to>
      <xdr:col>13</xdr:col>
      <xdr:colOff>802821</xdr:colOff>
      <xdr:row>66</xdr:row>
      <xdr:rowOff>149678</xdr:rowOff>
    </xdr:to>
    <xdr:graphicFrame macro="">
      <xdr:nvGraphicFramePr>
        <xdr:cNvPr id="3" name="Chart 6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129747</xdr:colOff>
      <xdr:row>83</xdr:row>
      <xdr:rowOff>10883</xdr:rowOff>
    </xdr:from>
    <xdr:to>
      <xdr:col>20</xdr:col>
      <xdr:colOff>637935</xdr:colOff>
      <xdr:row>107</xdr:row>
      <xdr:rowOff>65312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28575</xdr:colOff>
      <xdr:row>7</xdr:row>
      <xdr:rowOff>57150</xdr:rowOff>
    </xdr:from>
    <xdr:to>
      <xdr:col>11</xdr:col>
      <xdr:colOff>19050</xdr:colOff>
      <xdr:row>25</xdr:row>
      <xdr:rowOff>114300</xdr:rowOff>
    </xdr:to>
    <xdr:graphicFrame macro="">
      <xdr:nvGraphicFramePr>
        <xdr:cNvPr id="2" name="Graphiqu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19</xdr:row>
      <xdr:rowOff>38100</xdr:rowOff>
    </xdr:from>
    <xdr:to>
      <xdr:col>10</xdr:col>
      <xdr:colOff>628650</xdr:colOff>
      <xdr:row>36</xdr:row>
      <xdr:rowOff>76200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ssier%20personnel-confidentiel-priv&#233;\Excel\SFBC-%20laboratoir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portée flexible"/>
      <sheetName val="données 1"/>
      <sheetName val="Rapport de Validation"/>
      <sheetName val="Justesse et fidélité"/>
      <sheetName val="étalonnage X"/>
      <sheetName val="correlation équipement"/>
      <sheetName val="correlation réactif"/>
      <sheetName val="Carte de contrôle"/>
      <sheetName val="Plan emboité"/>
    </sheetNames>
    <sheetDataSet>
      <sheetData sheetId="0"/>
      <sheetData sheetId="1"/>
      <sheetData sheetId="2">
        <row r="6">
          <cell r="T6" t="str">
            <v>SUBSTRATS</v>
          </cell>
        </row>
        <row r="7">
          <cell r="T7" t="str">
            <v>Acide urique</v>
          </cell>
        </row>
        <row r="8">
          <cell r="T8" t="str">
            <v>Ammonium</v>
          </cell>
        </row>
        <row r="9">
          <cell r="T9" t="str">
            <v>CO2</v>
          </cell>
        </row>
        <row r="10">
          <cell r="T10" t="str">
            <v>Bilirubine Totale</v>
          </cell>
        </row>
        <row r="11">
          <cell r="T11" t="str">
            <v>Calcium ionisé</v>
          </cell>
        </row>
        <row r="12">
          <cell r="T12" t="str">
            <v>Calcium total</v>
          </cell>
        </row>
        <row r="13">
          <cell r="T13" t="str">
            <v>Chlore</v>
          </cell>
        </row>
        <row r="14">
          <cell r="T14" t="str">
            <v>Cholesterol</v>
          </cell>
        </row>
        <row r="15">
          <cell r="T15" t="str">
            <v>HDL</v>
          </cell>
        </row>
        <row r="16">
          <cell r="T16" t="str">
            <v>Creatinine</v>
          </cell>
        </row>
        <row r="17">
          <cell r="T17" t="str">
            <v>Fer</v>
          </cell>
        </row>
        <row r="18">
          <cell r="T18" t="str">
            <v>Ferritine</v>
          </cell>
        </row>
        <row r="20">
          <cell r="T20" t="str">
            <v>Folates</v>
          </cell>
        </row>
        <row r="21">
          <cell r="T21" t="str">
            <v>Fructosamine</v>
          </cell>
        </row>
        <row r="22">
          <cell r="T22" t="str">
            <v>Glucose</v>
          </cell>
        </row>
        <row r="23">
          <cell r="T23" t="str">
            <v>HbA1c</v>
          </cell>
        </row>
        <row r="25">
          <cell r="T25" t="str">
            <v>Lactate</v>
          </cell>
        </row>
        <row r="26">
          <cell r="T26" t="str">
            <v>Magnesium</v>
          </cell>
        </row>
        <row r="27">
          <cell r="T27" t="str">
            <v>Phosphate</v>
          </cell>
        </row>
        <row r="28">
          <cell r="T28" t="str">
            <v>Potassium</v>
          </cell>
        </row>
        <row r="30">
          <cell r="T30" t="str">
            <v>Protéines totales</v>
          </cell>
        </row>
        <row r="31">
          <cell r="T31" t="str">
            <v>Sodium</v>
          </cell>
        </row>
        <row r="32">
          <cell r="T32" t="str">
            <v>Triglycérides</v>
          </cell>
        </row>
        <row r="33">
          <cell r="T33" t="str">
            <v>Urée</v>
          </cell>
        </row>
        <row r="35">
          <cell r="T35" t="str">
            <v>SUBSTRATS URINAIRES</v>
          </cell>
        </row>
        <row r="36">
          <cell r="T36" t="str">
            <v>Acide urique U</v>
          </cell>
        </row>
        <row r="37">
          <cell r="T37" t="str">
            <v>Calcium U</v>
          </cell>
        </row>
        <row r="38">
          <cell r="T38" t="str">
            <v>Chlore U</v>
          </cell>
        </row>
        <row r="39">
          <cell r="T39" t="str">
            <v>Créatinine U</v>
          </cell>
        </row>
        <row r="40">
          <cell r="T40" t="str">
            <v>Glucose U</v>
          </cell>
        </row>
        <row r="41">
          <cell r="T41" t="str">
            <v>Magnesium U</v>
          </cell>
        </row>
        <row r="42">
          <cell r="T42" t="str">
            <v>MicroAlb U</v>
          </cell>
        </row>
        <row r="43">
          <cell r="T43" t="str">
            <v>Phosphate U</v>
          </cell>
        </row>
        <row r="44">
          <cell r="T44" t="str">
            <v>Potassium U</v>
          </cell>
        </row>
        <row r="45">
          <cell r="T45" t="str">
            <v>Protéines U</v>
          </cell>
        </row>
        <row r="46">
          <cell r="T46" t="str">
            <v>Sodium U</v>
          </cell>
        </row>
        <row r="47">
          <cell r="T47" t="str">
            <v>Urée U</v>
          </cell>
        </row>
        <row r="49">
          <cell r="T49" t="str">
            <v>ENZYMES</v>
          </cell>
        </row>
        <row r="50">
          <cell r="T50" t="str">
            <v>5'Nu</v>
          </cell>
        </row>
        <row r="51">
          <cell r="T51" t="str">
            <v>a-Amylase</v>
          </cell>
        </row>
        <row r="52">
          <cell r="T52" t="str">
            <v>ALAT</v>
          </cell>
        </row>
        <row r="53">
          <cell r="T53" t="str">
            <v>ASAT</v>
          </cell>
        </row>
        <row r="54">
          <cell r="T54" t="str">
            <v>CK</v>
          </cell>
        </row>
        <row r="55">
          <cell r="T55" t="str">
            <v>GGT</v>
          </cell>
        </row>
        <row r="56">
          <cell r="T56" t="str">
            <v>LDH</v>
          </cell>
        </row>
        <row r="57">
          <cell r="T57" t="str">
            <v>Lipase</v>
          </cell>
        </row>
        <row r="58">
          <cell r="T58" t="str">
            <v>PAL</v>
          </cell>
        </row>
        <row r="60">
          <cell r="T60" t="str">
            <v>PROTEINES SPECIFIQUES</v>
          </cell>
        </row>
        <row r="61">
          <cell r="T61" t="str">
            <v>a1AT</v>
          </cell>
        </row>
        <row r="62">
          <cell r="T62" t="str">
            <v>a2-Macroglobuline</v>
          </cell>
        </row>
        <row r="63">
          <cell r="T63" t="str">
            <v>Albumine</v>
          </cell>
        </row>
        <row r="64">
          <cell r="T64" t="str">
            <v>ApoA1</v>
          </cell>
        </row>
        <row r="65">
          <cell r="T65" t="str">
            <v>ApoB</v>
          </cell>
        </row>
        <row r="66">
          <cell r="T66" t="str">
            <v>b2-Microglobuline</v>
          </cell>
        </row>
        <row r="67">
          <cell r="T67" t="str">
            <v>Céruléoplasmine</v>
          </cell>
        </row>
        <row r="68">
          <cell r="T68" t="str">
            <v>C3</v>
          </cell>
        </row>
        <row r="69">
          <cell r="T69" t="str">
            <v>C4</v>
          </cell>
        </row>
        <row r="70">
          <cell r="T70" t="str">
            <v>CRP</v>
          </cell>
        </row>
        <row r="71">
          <cell r="T71" t="str">
            <v>Haptoglobine</v>
          </cell>
        </row>
        <row r="72">
          <cell r="T72" t="str">
            <v>IgA</v>
          </cell>
        </row>
        <row r="73">
          <cell r="T73" t="str">
            <v>IgE</v>
          </cell>
        </row>
        <row r="74">
          <cell r="T74" t="str">
            <v>IgG</v>
          </cell>
        </row>
        <row r="75">
          <cell r="T75" t="str">
            <v>IgM</v>
          </cell>
        </row>
        <row r="76">
          <cell r="T76" t="str">
            <v>Oroso</v>
          </cell>
        </row>
        <row r="77">
          <cell r="T77" t="str">
            <v>PréAlb</v>
          </cell>
        </row>
        <row r="78">
          <cell r="T78" t="str">
            <v>Transférrine</v>
          </cell>
        </row>
        <row r="80">
          <cell r="T80" t="str">
            <v>GAZ DU SANG</v>
          </cell>
        </row>
        <row r="81">
          <cell r="T81" t="str">
            <v>HbCO</v>
          </cell>
        </row>
        <row r="82">
          <cell r="T82" t="str">
            <v>HbO2</v>
          </cell>
        </row>
        <row r="83">
          <cell r="T83" t="str">
            <v>metHb</v>
          </cell>
        </row>
        <row r="86">
          <cell r="T86" t="str">
            <v>pCO2</v>
          </cell>
        </row>
        <row r="87">
          <cell r="T87" t="str">
            <v>pH (unité)</v>
          </cell>
        </row>
        <row r="88">
          <cell r="T88" t="str">
            <v>pH (nmol/l)</v>
          </cell>
        </row>
        <row r="89">
          <cell r="T89" t="str">
            <v>p02</v>
          </cell>
        </row>
        <row r="106">
          <cell r="T106" t="str">
            <v>MEDICAMENTS</v>
          </cell>
        </row>
        <row r="107">
          <cell r="T107" t="str">
            <v>Acide Valproïque</v>
          </cell>
        </row>
        <row r="108">
          <cell r="T108" t="str">
            <v>Amikacine</v>
          </cell>
        </row>
        <row r="109">
          <cell r="T109" t="str">
            <v>Carbamazépine</v>
          </cell>
        </row>
        <row r="110">
          <cell r="T110" t="str">
            <v>Digoxine</v>
          </cell>
        </row>
        <row r="111">
          <cell r="T111" t="str">
            <v>Gentamicine</v>
          </cell>
        </row>
        <row r="112">
          <cell r="T112" t="str">
            <v>Lithium</v>
          </cell>
        </row>
        <row r="113">
          <cell r="T113" t="str">
            <v>Méthotrexate</v>
          </cell>
        </row>
        <row r="114">
          <cell r="T114" t="str">
            <v>Paracétamol</v>
          </cell>
        </row>
        <row r="115">
          <cell r="T115" t="str">
            <v>Phénobarbital</v>
          </cell>
        </row>
        <row r="116">
          <cell r="T116" t="str">
            <v>Phénytoïne</v>
          </cell>
        </row>
        <row r="117">
          <cell r="T117" t="str">
            <v>Salycilates</v>
          </cell>
        </row>
        <row r="118">
          <cell r="T118" t="str">
            <v>Théophiline</v>
          </cell>
        </row>
        <row r="119">
          <cell r="T119" t="str">
            <v>Vancomycine</v>
          </cell>
        </row>
        <row r="121">
          <cell r="T121" t="str">
            <v>MARQUEURS TUMORAUX</v>
          </cell>
        </row>
        <row r="122">
          <cell r="T122" t="str">
            <v>ACE</v>
          </cell>
        </row>
        <row r="123">
          <cell r="T123" t="str">
            <v>AFP</v>
          </cell>
        </row>
        <row r="124">
          <cell r="T124" t="str">
            <v>CA125</v>
          </cell>
        </row>
        <row r="125">
          <cell r="T125" t="str">
            <v>CA15-3</v>
          </cell>
        </row>
        <row r="126">
          <cell r="T126" t="str">
            <v>CA19-9</v>
          </cell>
        </row>
        <row r="127">
          <cell r="T127" t="str">
            <v>PSA</v>
          </cell>
        </row>
        <row r="129">
          <cell r="T129" t="str">
            <v>HORMONES</v>
          </cell>
        </row>
        <row r="130">
          <cell r="T130" t="str">
            <v>Cortisol</v>
          </cell>
        </row>
        <row r="131">
          <cell r="T131" t="str">
            <v>E2</v>
          </cell>
        </row>
        <row r="132">
          <cell r="T132" t="str">
            <v>FSH</v>
          </cell>
        </row>
        <row r="133">
          <cell r="T133" t="str">
            <v>GH</v>
          </cell>
        </row>
        <row r="134">
          <cell r="T134" t="str">
            <v>HCG B</v>
          </cell>
        </row>
        <row r="135">
          <cell r="T135" t="str">
            <v>Insuline</v>
          </cell>
        </row>
        <row r="136">
          <cell r="T136" t="str">
            <v>LH</v>
          </cell>
        </row>
        <row r="137">
          <cell r="T137" t="str">
            <v>PTH</v>
          </cell>
        </row>
        <row r="138">
          <cell r="T138" t="str">
            <v>Peptide C</v>
          </cell>
        </row>
        <row r="139">
          <cell r="T139" t="str">
            <v>Progesterone</v>
          </cell>
        </row>
        <row r="140">
          <cell r="T140" t="str">
            <v>Prolactine</v>
          </cell>
        </row>
        <row r="141">
          <cell r="T141" t="str">
            <v>FT3</v>
          </cell>
        </row>
        <row r="142">
          <cell r="T142" t="str">
            <v>FT4</v>
          </cell>
        </row>
        <row r="143">
          <cell r="T143" t="str">
            <v>Testosterone</v>
          </cell>
        </row>
        <row r="144">
          <cell r="T144" t="str">
            <v>TSH</v>
          </cell>
        </row>
        <row r="146">
          <cell r="T146" t="str">
            <v>RICOS</v>
          </cell>
        </row>
        <row r="148">
          <cell r="T148" t="str">
            <v xml:space="preserve">Sang-plasma </v>
          </cell>
        </row>
        <row r="149">
          <cell r="T149" t="str">
            <v>11-Desoxycortisol S</v>
          </cell>
        </row>
        <row r="150">
          <cell r="T150" t="str">
            <v>17-Hydroxyprogesterone</v>
          </cell>
        </row>
        <row r="151">
          <cell r="T151" t="str">
            <v>5' Nucleotidase</v>
          </cell>
        </row>
        <row r="152">
          <cell r="T152" t="str">
            <v>a1-Acid Glycoprotein</v>
          </cell>
        </row>
        <row r="153">
          <cell r="T153" t="str">
            <v>a1-Antichymotrypsin</v>
          </cell>
        </row>
        <row r="154">
          <cell r="T154" t="str">
            <v>a1-Antitrypsin</v>
          </cell>
        </row>
        <row r="155">
          <cell r="T155" t="str">
            <v>a1-Globulin</v>
          </cell>
        </row>
        <row r="156">
          <cell r="T156" t="str">
            <v>a2-Antiplasmin</v>
          </cell>
        </row>
        <row r="157">
          <cell r="T157" t="str">
            <v>a2-Globulins</v>
          </cell>
        </row>
        <row r="158">
          <cell r="T158" t="str">
            <v>a2-Macroglobulin</v>
          </cell>
        </row>
        <row r="159">
          <cell r="T159" t="str">
            <v>a-Amylase (ricos)</v>
          </cell>
        </row>
        <row r="160">
          <cell r="T160" t="str">
            <v>a-Amylase (pancreatic)</v>
          </cell>
        </row>
        <row r="161">
          <cell r="T161" t="str">
            <v>a-Carotene</v>
          </cell>
        </row>
        <row r="162">
          <cell r="T162" t="str">
            <v>a-Fetoprotein(non hepatic carcinoma)</v>
          </cell>
        </row>
        <row r="163">
          <cell r="T163" t="str">
            <v>a-Tocopherol</v>
          </cell>
        </row>
        <row r="164">
          <cell r="T164" t="str">
            <v>Acid phosphatase</v>
          </cell>
        </row>
        <row r="165">
          <cell r="T165" t="str">
            <v>Acid phosphatase tartrate-resistant (TR-ACP)</v>
          </cell>
        </row>
        <row r="166">
          <cell r="T166" t="str">
            <v>Acid phosphatase prostatic activity (PAP)</v>
          </cell>
        </row>
        <row r="167">
          <cell r="T167" t="str">
            <v>Activated partial thromboplastine time</v>
          </cell>
        </row>
        <row r="168">
          <cell r="T168" t="str">
            <v>Acyl/free carnitine</v>
          </cell>
        </row>
        <row r="169">
          <cell r="T169" t="str">
            <v>Adiponectin</v>
          </cell>
        </row>
        <row r="170">
          <cell r="T170" t="str">
            <v>Adenosine deaminase (ADA)</v>
          </cell>
        </row>
        <row r="171">
          <cell r="T171" t="str">
            <v>Alanine aminopeptidase</v>
          </cell>
        </row>
        <row r="172">
          <cell r="T172" t="str">
            <v>Alanine aminotransferase</v>
          </cell>
        </row>
        <row r="173">
          <cell r="T173" t="str">
            <v>Albumin</v>
          </cell>
        </row>
        <row r="174">
          <cell r="T174" t="str">
            <v>Aldosterone</v>
          </cell>
        </row>
        <row r="175">
          <cell r="T175" t="str">
            <v>Alkaline phosphatase</v>
          </cell>
        </row>
        <row r="176">
          <cell r="T176" t="str">
            <v>Alkaline phosphatase, bone</v>
          </cell>
        </row>
        <row r="177">
          <cell r="T177" t="str">
            <v>Alkaline phosphatase, liver</v>
          </cell>
        </row>
        <row r="178">
          <cell r="T178" t="str">
            <v>Alkaline phosphatase, placental</v>
          </cell>
        </row>
        <row r="179">
          <cell r="T179" t="str">
            <v>Amyloid A</v>
          </cell>
        </row>
        <row r="180">
          <cell r="T180" t="str">
            <v>Androstendione</v>
          </cell>
        </row>
        <row r="181">
          <cell r="T181" t="str">
            <v>Androstenedione</v>
          </cell>
        </row>
        <row r="182">
          <cell r="T182" t="str">
            <v>Angiotensin converting enzyme</v>
          </cell>
        </row>
        <row r="183">
          <cell r="T183" t="str">
            <v>Antithrombin III</v>
          </cell>
        </row>
        <row r="184">
          <cell r="T184" t="str">
            <v>Apolipoprotein A1</v>
          </cell>
        </row>
        <row r="185">
          <cell r="T185" t="str">
            <v>Apolipoprotein B</v>
          </cell>
        </row>
        <row r="186">
          <cell r="T186" t="str">
            <v>Ascorbic Acid</v>
          </cell>
        </row>
        <row r="187">
          <cell r="T187" t="str">
            <v>Aspartate aminotransferase</v>
          </cell>
        </row>
        <row r="188">
          <cell r="T188" t="str">
            <v>b-2-Microglobulin</v>
          </cell>
        </row>
        <row r="189">
          <cell r="T189" t="str">
            <v>Basophile, count</v>
          </cell>
        </row>
        <row r="190">
          <cell r="T190" t="str">
            <v>b-Carotene</v>
          </cell>
        </row>
        <row r="191">
          <cell r="T191" t="str">
            <v>b-Cryptoxantin</v>
          </cell>
        </row>
        <row r="192">
          <cell r="T192" t="str">
            <v>b-Globulins</v>
          </cell>
        </row>
        <row r="193">
          <cell r="T193" t="str">
            <v>Bilirubin total</v>
          </cell>
        </row>
        <row r="194">
          <cell r="T194" t="str">
            <v>Bilirubin conjugated</v>
          </cell>
        </row>
        <row r="195">
          <cell r="T195" t="str">
            <v>CA 125 antigen</v>
          </cell>
        </row>
        <row r="196">
          <cell r="T196" t="str">
            <v>CA 15,3 antigen</v>
          </cell>
        </row>
        <row r="197">
          <cell r="T197" t="str">
            <v>CA 19,9 antigen</v>
          </cell>
        </row>
        <row r="198">
          <cell r="T198" t="str">
            <v>CA 549 antigen</v>
          </cell>
        </row>
        <row r="199">
          <cell r="T199" t="str">
            <v>Calcium</v>
          </cell>
        </row>
        <row r="200">
          <cell r="T200" t="str">
            <v>Carbohydrate deficient transferrin</v>
          </cell>
        </row>
        <row r="201">
          <cell r="T201" t="str">
            <v>Carcinoembryonic antigen (CEA)</v>
          </cell>
        </row>
        <row r="202">
          <cell r="T202" t="str">
            <v>CD4 lymphocyte count</v>
          </cell>
        </row>
        <row r="203">
          <cell r="T203" t="str">
            <v>Ceruloplasmin</v>
          </cell>
        </row>
        <row r="204">
          <cell r="T204" t="str">
            <v>Chloride</v>
          </cell>
        </row>
        <row r="205">
          <cell r="T205" t="str">
            <v>Cholesterol (ricos)</v>
          </cell>
        </row>
        <row r="206">
          <cell r="T206" t="str">
            <v>Cholinesterase</v>
          </cell>
        </row>
        <row r="207">
          <cell r="T207" t="str">
            <v>Cholinesterase, activity</v>
          </cell>
        </row>
        <row r="208">
          <cell r="T208" t="str">
            <v>Cholinesterase, immunoreactive</v>
          </cell>
        </row>
        <row r="209">
          <cell r="T209" t="str">
            <v>C3 complement</v>
          </cell>
        </row>
        <row r="210">
          <cell r="T210" t="str">
            <v>C4 complement</v>
          </cell>
        </row>
        <row r="211">
          <cell r="T211" t="str">
            <v>Chromogranin A</v>
          </cell>
        </row>
        <row r="212">
          <cell r="T212" t="str">
            <v>Copper</v>
          </cell>
        </row>
        <row r="213">
          <cell r="T213" t="str">
            <v>Copper</v>
          </cell>
        </row>
        <row r="214">
          <cell r="T214" t="str">
            <v>Cortisol (ricos)</v>
          </cell>
        </row>
        <row r="215">
          <cell r="T215" t="str">
            <v>C Peptide</v>
          </cell>
        </row>
        <row r="216">
          <cell r="T216" t="str">
            <v>C-Propeptide type I procollagen</v>
          </cell>
        </row>
        <row r="217">
          <cell r="T217" t="str">
            <v>C-Reactive protein</v>
          </cell>
        </row>
        <row r="218">
          <cell r="T218" t="str">
            <v>Creatine kinase (CK)</v>
          </cell>
        </row>
        <row r="219">
          <cell r="T219" t="str">
            <v>Creatine kinase MB, %</v>
          </cell>
        </row>
        <row r="220">
          <cell r="T220" t="str">
            <v>Creatine kinase MB, activity</v>
          </cell>
        </row>
        <row r="221">
          <cell r="T221" t="str">
            <v>Creatine kinase MB, mass</v>
          </cell>
        </row>
        <row r="222">
          <cell r="T222" t="str">
            <v>Creatinine (ricos)</v>
          </cell>
        </row>
        <row r="223">
          <cell r="T223" t="str">
            <v>Creatinine clearance</v>
          </cell>
        </row>
        <row r="224">
          <cell r="T224" t="str">
            <v>Cyfra 21,1</v>
          </cell>
        </row>
        <row r="225">
          <cell r="T225" t="str">
            <v>Cystastin C</v>
          </cell>
        </row>
        <row r="226">
          <cell r="T226" t="str">
            <v>Cysteine</v>
          </cell>
        </row>
        <row r="227">
          <cell r="T227" t="str">
            <v>Dehydroepiandrosterone sulfate</v>
          </cell>
        </row>
        <row r="228">
          <cell r="T228" t="str">
            <v>Dipeptidyl-peptidase IV (ACE)</v>
          </cell>
        </row>
        <row r="229">
          <cell r="T229" t="str">
            <v>Dipeptidyl-peptidase IV (ACE)</v>
          </cell>
        </row>
        <row r="230">
          <cell r="T230" t="str">
            <v>Elastase</v>
          </cell>
        </row>
        <row r="231">
          <cell r="T231" t="str">
            <v>Endotelial growth factor</v>
          </cell>
        </row>
        <row r="232">
          <cell r="T232" t="str">
            <v>Eosinophils, count</v>
          </cell>
        </row>
        <row r="233">
          <cell r="T233" t="str">
            <v>Epinephrine</v>
          </cell>
        </row>
        <row r="234">
          <cell r="T234" t="str">
            <v>Epinephrine</v>
          </cell>
        </row>
        <row r="235">
          <cell r="T235" t="str">
            <v>Erythrocytes, count</v>
          </cell>
        </row>
        <row r="236">
          <cell r="T236" t="str">
            <v>Erythrocyte distribution wide</v>
          </cell>
        </row>
        <row r="237">
          <cell r="T237" t="str">
            <v>Estradiol</v>
          </cell>
        </row>
        <row r="238">
          <cell r="T238" t="str">
            <v>Factor V coagulation</v>
          </cell>
        </row>
        <row r="239">
          <cell r="T239" t="str">
            <v>Factor VII coagulation</v>
          </cell>
        </row>
        <row r="240">
          <cell r="T240" t="str">
            <v>Factor VIII coagulation</v>
          </cell>
        </row>
        <row r="241">
          <cell r="T241" t="str">
            <v>Factor X coagulation</v>
          </cell>
        </row>
        <row r="242">
          <cell r="T242" t="str">
            <v>Ferritin</v>
          </cell>
        </row>
        <row r="243">
          <cell r="T243" t="str">
            <v>Fibrinogen</v>
          </cell>
        </row>
        <row r="244">
          <cell r="T244" t="str">
            <v>Folate (ricos 1)</v>
          </cell>
        </row>
        <row r="245">
          <cell r="T245" t="str">
            <v>Folate (ricos 2)</v>
          </cell>
        </row>
        <row r="246">
          <cell r="T246" t="str">
            <v>Follicle stimulating hormone (males)</v>
          </cell>
        </row>
        <row r="247">
          <cell r="T247" t="str">
            <v>Free carnitine</v>
          </cell>
        </row>
        <row r="248">
          <cell r="T248" t="str">
            <v>Free estradiol</v>
          </cell>
        </row>
        <row r="249">
          <cell r="T249" t="str">
            <v>Free testosterone</v>
          </cell>
        </row>
        <row r="250">
          <cell r="T250" t="str">
            <v>Free thyroxine (FT4)</v>
          </cell>
        </row>
        <row r="251">
          <cell r="T251" t="str">
            <v>Free Triiodothyronine (FT3)</v>
          </cell>
        </row>
        <row r="252">
          <cell r="T252" t="str">
            <v>Fructosamine (ricos)</v>
          </cell>
        </row>
        <row r="253">
          <cell r="T253" t="str">
            <v>Galactosyl hydroxylisine</v>
          </cell>
        </row>
        <row r="254">
          <cell r="T254" t="str">
            <v>g-Globulins</v>
          </cell>
        </row>
        <row r="255">
          <cell r="T255" t="str">
            <v>g-glutamyltransferase</v>
          </cell>
        </row>
        <row r="256">
          <cell r="T256" t="str">
            <v>Globulins, total</v>
          </cell>
        </row>
        <row r="257">
          <cell r="T257" t="str">
            <v>Glucose (ricos)</v>
          </cell>
        </row>
        <row r="258">
          <cell r="T258" t="str">
            <v>Glucose-6-phosphate-1-dehydrogenase (G6PDH)</v>
          </cell>
        </row>
        <row r="259">
          <cell r="T259" t="str">
            <v>Glucose-6-phosphate-1-dehydrogenase (G6PDH)</v>
          </cell>
        </row>
        <row r="260">
          <cell r="T260" t="str">
            <v>Glutathion peroxidase</v>
          </cell>
        </row>
        <row r="261">
          <cell r="T261" t="str">
            <v>Glycated albumin</v>
          </cell>
        </row>
        <row r="262">
          <cell r="T262" t="str">
            <v>Glycated total protein</v>
          </cell>
        </row>
        <row r="263">
          <cell r="T263" t="str">
            <v>Haptoglobin</v>
          </cell>
        </row>
        <row r="264">
          <cell r="T264" t="str">
            <v>Hematocrit</v>
          </cell>
        </row>
        <row r="265">
          <cell r="T265" t="str">
            <v>Hemoglobin</v>
          </cell>
        </row>
        <row r="266">
          <cell r="T266" t="str">
            <v>Hemoglobin A1 C</v>
          </cell>
        </row>
        <row r="267">
          <cell r="T267" t="str">
            <v>HDL cholesterol</v>
          </cell>
        </row>
        <row r="268">
          <cell r="T268" t="str">
            <v>HDL 1 cholesterol</v>
          </cell>
        </row>
        <row r="269">
          <cell r="T269" t="str">
            <v>HDL 2 cholesterol</v>
          </cell>
        </row>
        <row r="270">
          <cell r="T270" t="str">
            <v>HDL 3 cholesterol</v>
          </cell>
        </row>
        <row r="271">
          <cell r="T271" t="str">
            <v>Homocysteine</v>
          </cell>
        </row>
        <row r="272">
          <cell r="T272" t="str">
            <v>Hydroxyproline/creatinine</v>
          </cell>
        </row>
        <row r="273">
          <cell r="T273" t="str">
            <v>Hydroxybutyrate dehydrogenase</v>
          </cell>
        </row>
        <row r="274">
          <cell r="T274" t="str">
            <v>Immunoglobulin A</v>
          </cell>
        </row>
        <row r="275">
          <cell r="T275" t="str">
            <v>Immunoglobulin G</v>
          </cell>
        </row>
        <row r="276">
          <cell r="T276" t="str">
            <v>Immunoglobulin M</v>
          </cell>
        </row>
        <row r="277">
          <cell r="T277" t="str">
            <v>Immunoglobulins K chains</v>
          </cell>
        </row>
        <row r="278">
          <cell r="T278" t="str">
            <v>Immunoglobulins l chains</v>
          </cell>
        </row>
        <row r="279">
          <cell r="T279" t="str">
            <v>Insulin</v>
          </cell>
        </row>
        <row r="280">
          <cell r="T280" t="str">
            <v>Insulin-like growth factor (IGF-1)</v>
          </cell>
        </row>
        <row r="281">
          <cell r="T281" t="str">
            <v>Intercellular adhesion molecule-1</v>
          </cell>
        </row>
        <row r="282">
          <cell r="T282" t="str">
            <v>Interferon receptor</v>
          </cell>
        </row>
        <row r="283">
          <cell r="T283" t="str">
            <v>Interleukin-1B</v>
          </cell>
        </row>
        <row r="284">
          <cell r="T284" t="str">
            <v>Interleukin-8</v>
          </cell>
        </row>
        <row r="285">
          <cell r="T285" t="str">
            <v>Iron</v>
          </cell>
        </row>
        <row r="286">
          <cell r="T286" t="str">
            <v>Lactate (ricos)</v>
          </cell>
        </row>
        <row r="287">
          <cell r="T287" t="str">
            <v>Lactate dehydrogenase (LDH)</v>
          </cell>
        </row>
        <row r="288">
          <cell r="T288" t="str">
            <v>Lactate dehydrogenase 1 isoform (LDH1)</v>
          </cell>
        </row>
        <row r="289">
          <cell r="T289" t="str">
            <v>Lactate dehydrogenase 2 isoform (LDH2)</v>
          </cell>
        </row>
        <row r="290">
          <cell r="T290" t="str">
            <v>Lactate dehydrogenase 3 isoform (LDH3)</v>
          </cell>
        </row>
        <row r="291">
          <cell r="T291" t="str">
            <v>Lactate dehydrogenase 4 isoform (LDH4)</v>
          </cell>
        </row>
        <row r="292">
          <cell r="T292" t="str">
            <v>Lactate dehydrogenase 5 isoform (LDH5)</v>
          </cell>
        </row>
        <row r="293">
          <cell r="T293" t="str">
            <v>Lactoferrin</v>
          </cell>
        </row>
        <row r="294">
          <cell r="T294" t="str">
            <v>Leukocytes, count</v>
          </cell>
        </row>
        <row r="295">
          <cell r="T295" t="str">
            <v>LDL Cholesterol</v>
          </cell>
        </row>
        <row r="296">
          <cell r="T296" t="str">
            <v>LDL Cholesterol (direct)</v>
          </cell>
        </row>
        <row r="297">
          <cell r="T297" t="str">
            <v>LDL Cholesterol (oxidized)</v>
          </cell>
        </row>
        <row r="298">
          <cell r="T298" t="str">
            <v>LDL receptor mRNA</v>
          </cell>
        </row>
        <row r="299">
          <cell r="T299" t="str">
            <v>Leukocytes count</v>
          </cell>
        </row>
        <row r="300">
          <cell r="T300" t="str">
            <v>Lipase (ricos)</v>
          </cell>
        </row>
        <row r="301">
          <cell r="T301" t="str">
            <v>Lipoprotein (a)</v>
          </cell>
        </row>
        <row r="302">
          <cell r="T302" t="str">
            <v>Lutein</v>
          </cell>
        </row>
        <row r="303">
          <cell r="T303" t="str">
            <v>Luteinizing hormone</v>
          </cell>
        </row>
        <row r="304">
          <cell r="T304" t="str">
            <v>Lycopenene</v>
          </cell>
        </row>
        <row r="305">
          <cell r="T305" t="str">
            <v>Lymphocytes, count</v>
          </cell>
        </row>
        <row r="306">
          <cell r="T306" t="str">
            <v>Lymphocytes CD4</v>
          </cell>
        </row>
        <row r="307">
          <cell r="T307" t="str">
            <v>Magnesium (ricos)</v>
          </cell>
        </row>
        <row r="308">
          <cell r="T308" t="str">
            <v>Magnesium (ricos2)</v>
          </cell>
        </row>
        <row r="309">
          <cell r="T309" t="str">
            <v>Magnesium (ricos3)</v>
          </cell>
        </row>
        <row r="310">
          <cell r="T310" t="str">
            <v>Magnesium, concentration, 24h</v>
          </cell>
        </row>
        <row r="311">
          <cell r="T311" t="str">
            <v>Magnesium, ionized</v>
          </cell>
        </row>
        <row r="312">
          <cell r="T312" t="str">
            <v>Magnesium, output, 24h</v>
          </cell>
        </row>
        <row r="313">
          <cell r="T313" t="str">
            <v>Mean corpuscular hemoglobin (HCM)</v>
          </cell>
        </row>
        <row r="314">
          <cell r="T314" t="str">
            <v>Mean corpuscular hemoglobin concentration (MCHC)</v>
          </cell>
        </row>
        <row r="315">
          <cell r="T315" t="str">
            <v>Mean corpuscular volume (MCV)</v>
          </cell>
        </row>
        <row r="316">
          <cell r="T316" t="str">
            <v>Mean platelet volume (MPV)</v>
          </cell>
        </row>
        <row r="317">
          <cell r="T317" t="str">
            <v>Monocytes, count</v>
          </cell>
        </row>
        <row r="318">
          <cell r="T318" t="str">
            <v>Mucinous carcinoma-associated antigen (MCA)</v>
          </cell>
        </row>
        <row r="319">
          <cell r="T319" t="str">
            <v>Myeloperoxidase</v>
          </cell>
        </row>
        <row r="320">
          <cell r="T320" t="str">
            <v>Myoglobin</v>
          </cell>
        </row>
        <row r="321">
          <cell r="T321" t="str">
            <v>N-Acetyl Glucosaminidase, concentration, overnight</v>
          </cell>
        </row>
        <row r="322">
          <cell r="T322" t="str">
            <v>Neutrophyles, count</v>
          </cell>
        </row>
        <row r="323">
          <cell r="T323" t="str">
            <v>Non-inhibited arilestearase activity</v>
          </cell>
        </row>
        <row r="324">
          <cell r="T324" t="str">
            <v>Norepinephrine</v>
          </cell>
        </row>
        <row r="325">
          <cell r="T325" t="str">
            <v>Norepinephrine</v>
          </cell>
        </row>
        <row r="326">
          <cell r="T326" t="str">
            <v>N-terminal (NT)-proBNP</v>
          </cell>
        </row>
        <row r="327">
          <cell r="T327" t="str">
            <v>Osmolality</v>
          </cell>
        </row>
        <row r="328">
          <cell r="T328" t="str">
            <v>Osteocalcin</v>
          </cell>
        </row>
        <row r="329">
          <cell r="T329" t="str">
            <v>Osteocalcin (+1 trab)</v>
          </cell>
        </row>
        <row r="330">
          <cell r="T330" t="str">
            <v>Oxalate, concentration, 24h</v>
          </cell>
        </row>
        <row r="331">
          <cell r="T331" t="str">
            <v>Oxalate, output, 24h</v>
          </cell>
        </row>
        <row r="332">
          <cell r="T332" t="str">
            <v>pCO2 (ricos)</v>
          </cell>
        </row>
        <row r="333">
          <cell r="T333" t="str">
            <v>pH [H+]</v>
          </cell>
        </row>
        <row r="334">
          <cell r="T334" t="str">
            <v>pH (pH units)</v>
          </cell>
        </row>
        <row r="335">
          <cell r="T335" t="str">
            <v>Paraoxon</v>
          </cell>
        </row>
        <row r="336">
          <cell r="T336" t="str">
            <v>Paraoxonase 1 substrate inhibition (PON 4SI)</v>
          </cell>
        </row>
        <row r="337">
          <cell r="T337" t="str">
            <v>Paraoxonase activity (salt estimulated)</v>
          </cell>
        </row>
        <row r="338">
          <cell r="T338" t="str">
            <v>Parathyroid hormone (PTH)</v>
          </cell>
        </row>
        <row r="339">
          <cell r="T339" t="str">
            <v>Phenylacetate</v>
          </cell>
        </row>
        <row r="340">
          <cell r="T340" t="str">
            <v>Phosphate (ricos)</v>
          </cell>
        </row>
        <row r="341">
          <cell r="T341" t="str">
            <v>Phosphate tubular reabsorption</v>
          </cell>
        </row>
        <row r="342">
          <cell r="T342" t="str">
            <v>Phospholipids</v>
          </cell>
        </row>
        <row r="343">
          <cell r="T343" t="str">
            <v>Plasminogen</v>
          </cell>
        </row>
        <row r="344">
          <cell r="T344" t="str">
            <v>Platelets, count</v>
          </cell>
        </row>
        <row r="345">
          <cell r="T345" t="str">
            <v>Platelet distribution wide</v>
          </cell>
        </row>
        <row r="346">
          <cell r="T346" t="str">
            <v>Plateletcrit</v>
          </cell>
        </row>
        <row r="347">
          <cell r="T347" t="str">
            <v>Potassium (ricos)</v>
          </cell>
        </row>
        <row r="348">
          <cell r="T348" t="str">
            <v>Potassium (ricos2)</v>
          </cell>
        </row>
        <row r="349">
          <cell r="T349" t="str">
            <v>Prealbumin</v>
          </cell>
        </row>
        <row r="350">
          <cell r="T350" t="str">
            <v>Procollagen type 1 C-terminal</v>
          </cell>
        </row>
        <row r="351">
          <cell r="T351" t="str">
            <v>Procollagen type 1 N-terminal</v>
          </cell>
        </row>
        <row r="352">
          <cell r="T352" t="str">
            <v>Prolactin (men)</v>
          </cell>
        </row>
        <row r="353">
          <cell r="T353" t="str">
            <v>Prolyl endopeptidase</v>
          </cell>
        </row>
        <row r="354">
          <cell r="T354" t="str">
            <v>Properdin factor B</v>
          </cell>
        </row>
        <row r="355">
          <cell r="T355" t="str">
            <v>Prostatic specific antigen (PSA)</v>
          </cell>
        </row>
        <row r="356">
          <cell r="T356" t="str">
            <v>Protein C</v>
          </cell>
        </row>
        <row r="357">
          <cell r="T357" t="str">
            <v>Protein S</v>
          </cell>
        </row>
        <row r="358">
          <cell r="T358" t="str">
            <v>Protein, total</v>
          </cell>
        </row>
        <row r="359">
          <cell r="T359" t="str">
            <v>Prothrombin time</v>
          </cell>
        </row>
        <row r="360">
          <cell r="T360" t="str">
            <v>Pyruvate</v>
          </cell>
        </row>
        <row r="361">
          <cell r="T361" t="str">
            <v>Red cell distribution wide (RDW)</v>
          </cell>
        </row>
        <row r="362">
          <cell r="T362" t="str">
            <v>Reticulocyte highly fluorescent, count</v>
          </cell>
        </row>
        <row r="363">
          <cell r="T363" t="str">
            <v>Reticulocyte low fluorescent, count</v>
          </cell>
        </row>
        <row r="364">
          <cell r="T364" t="str">
            <v>Reticulocyte medium fluorescent, count</v>
          </cell>
        </row>
        <row r="365">
          <cell r="T365" t="str">
            <v>Reticulocyte, count</v>
          </cell>
        </row>
        <row r="366">
          <cell r="T366" t="str">
            <v>Retinol</v>
          </cell>
        </row>
        <row r="367">
          <cell r="T367" t="str">
            <v>Retinol</v>
          </cell>
        </row>
        <row r="368">
          <cell r="T368" t="str">
            <v>Rheumatoid factor</v>
          </cell>
        </row>
        <row r="369">
          <cell r="T369" t="str">
            <v>SCC antigen</v>
          </cell>
        </row>
        <row r="370">
          <cell r="T370" t="str">
            <v>Selenium</v>
          </cell>
        </row>
        <row r="371">
          <cell r="T371" t="str">
            <v>Selenium</v>
          </cell>
        </row>
        <row r="372">
          <cell r="T372" t="str">
            <v>Semen, concentration</v>
          </cell>
        </row>
        <row r="373">
          <cell r="T373" t="str">
            <v>Semen, morphology</v>
          </cell>
        </row>
        <row r="374">
          <cell r="T374" t="str">
            <v>Semen, progressive motility</v>
          </cell>
        </row>
        <row r="375">
          <cell r="T375" t="str">
            <v>Semen, progressive rapid motility</v>
          </cell>
        </row>
        <row r="376">
          <cell r="T376" t="str">
            <v>Semen, total motility</v>
          </cell>
        </row>
        <row r="377">
          <cell r="T377" t="str">
            <v>Semen, vitality</v>
          </cell>
        </row>
        <row r="378">
          <cell r="T378" t="str">
            <v>Sex hormone binding globulin (SHBG)</v>
          </cell>
        </row>
        <row r="379">
          <cell r="T379" t="str">
            <v>Sodium (ricos)</v>
          </cell>
        </row>
        <row r="380">
          <cell r="T380" t="str">
            <v>Sodium (ricos2)</v>
          </cell>
        </row>
        <row r="381">
          <cell r="T381" t="str">
            <v>Sodium (ricos3)</v>
          </cell>
        </row>
        <row r="382">
          <cell r="T382" t="str">
            <v>Sodium Bicarbonate</v>
          </cell>
        </row>
        <row r="383">
          <cell r="T383" t="str">
            <v>Sodium Chloride</v>
          </cell>
        </row>
        <row r="384">
          <cell r="T384" t="str">
            <v>Soluble CD163</v>
          </cell>
        </row>
        <row r="385">
          <cell r="T385" t="str">
            <v>Soluble CD163</v>
          </cell>
        </row>
        <row r="386">
          <cell r="T386" t="str">
            <v>Superoxide dismutase</v>
          </cell>
        </row>
        <row r="387">
          <cell r="T387" t="str">
            <v>Superoxide dismutase</v>
          </cell>
        </row>
        <row r="388">
          <cell r="T388" t="str">
            <v>Testosterone (ricos)</v>
          </cell>
        </row>
        <row r="389">
          <cell r="T389" t="str">
            <v>Testosterone (ricos2)</v>
          </cell>
        </row>
        <row r="390">
          <cell r="T390" t="str">
            <v>Testosterone (ricos3)</v>
          </cell>
        </row>
        <row r="391">
          <cell r="T391" t="str">
            <v>Thyroglobulin</v>
          </cell>
        </row>
        <row r="392">
          <cell r="T392" t="str">
            <v>Thyroglobulin antibody</v>
          </cell>
        </row>
        <row r="393">
          <cell r="T393" t="str">
            <v>Thyroid peroxidase antibody</v>
          </cell>
        </row>
        <row r="394">
          <cell r="T394" t="str">
            <v>Thyroid stimulating hormone (TSH)</v>
          </cell>
        </row>
        <row r="395">
          <cell r="T395" t="str">
            <v>Thyrotropin receptor antibody</v>
          </cell>
        </row>
        <row r="396">
          <cell r="T396" t="str">
            <v>Thyroxine binding globulin (TBG)</v>
          </cell>
        </row>
        <row r="397">
          <cell r="T397" t="str">
            <v>Thyroxine (T4)</v>
          </cell>
        </row>
        <row r="398">
          <cell r="T398" t="str">
            <v>Tissue polypeptide antigen (TPA)</v>
          </cell>
        </row>
        <row r="399">
          <cell r="T399" t="str">
            <v>Tissue polypeptide specific antigen (TPS)</v>
          </cell>
        </row>
        <row r="400">
          <cell r="T400" t="str">
            <v>Total carnitine</v>
          </cell>
        </row>
        <row r="401">
          <cell r="T401" t="str">
            <v>Transferrin</v>
          </cell>
        </row>
        <row r="402">
          <cell r="T402" t="str">
            <v>Triglyceride</v>
          </cell>
        </row>
        <row r="403">
          <cell r="T403" t="str">
            <v>Triiodothyronine (T3)</v>
          </cell>
        </row>
        <row r="404">
          <cell r="T404" t="str">
            <v>Troponin I</v>
          </cell>
        </row>
        <row r="405">
          <cell r="T405" t="str">
            <v>Tumor Necrosis Factor-a</v>
          </cell>
        </row>
        <row r="406">
          <cell r="T406" t="str">
            <v>Urate</v>
          </cell>
        </row>
        <row r="407">
          <cell r="T407" t="str">
            <v>Urea</v>
          </cell>
        </row>
        <row r="408">
          <cell r="T408" t="str">
            <v>Vascular cell adhesion molecule-1</v>
          </cell>
        </row>
        <row r="409">
          <cell r="T409" t="str">
            <v>Vascular endotelial growth factor</v>
          </cell>
        </row>
        <row r="410">
          <cell r="T410" t="str">
            <v>Vitamin B1</v>
          </cell>
        </row>
        <row r="411">
          <cell r="T411" t="str">
            <v>Vitamin B2 (Riboflavin)</v>
          </cell>
        </row>
        <row r="412">
          <cell r="T412" t="str">
            <v>Vitamin B2 (Riboflavin)</v>
          </cell>
        </row>
        <row r="413">
          <cell r="T413" t="str">
            <v>Vitamin B2 status (gluthation reductase activation)</v>
          </cell>
        </row>
        <row r="414">
          <cell r="T414" t="str">
            <v>Vitamin B12</v>
          </cell>
        </row>
        <row r="415">
          <cell r="T415" t="str">
            <v>Vitamin B6</v>
          </cell>
        </row>
        <row r="416">
          <cell r="T416" t="str">
            <v>Vitamin B6</v>
          </cell>
        </row>
        <row r="417">
          <cell r="T417" t="str">
            <v>Vitamin B6 status (AST activation)</v>
          </cell>
        </row>
        <row r="418">
          <cell r="T418" t="str">
            <v>Vitamin E (a-Tocopherol)</v>
          </cell>
        </row>
        <row r="419">
          <cell r="T419" t="str">
            <v>Vitamin K (Phylloquinone)</v>
          </cell>
        </row>
        <row r="420">
          <cell r="T420" t="str">
            <v>VLDL Cholesterol</v>
          </cell>
        </row>
        <row r="421">
          <cell r="T421" t="str">
            <v>Von Willebrand factor</v>
          </cell>
        </row>
        <row r="422">
          <cell r="T422" t="str">
            <v>Von Willebrand factor antigen</v>
          </cell>
        </row>
        <row r="423">
          <cell r="T423" t="str">
            <v>Water</v>
          </cell>
        </row>
        <row r="424">
          <cell r="T424" t="str">
            <v>Zeaxanthine</v>
          </cell>
        </row>
        <row r="425">
          <cell r="T425" t="str">
            <v>Zinc (ricos 1)</v>
          </cell>
        </row>
        <row r="426">
          <cell r="T426" t="str">
            <v>Zinc (ricos 2)</v>
          </cell>
        </row>
        <row r="428">
          <cell r="T428" t="str">
            <v>URINE</v>
          </cell>
        </row>
        <row r="429">
          <cell r="T429" t="str">
            <v>4 OH-3 methoxi-Vanil mandelic acid (VMA)</v>
          </cell>
        </row>
        <row r="430">
          <cell r="T430" t="str">
            <v>5'-Hydroxyindolacetate, concentration</v>
          </cell>
        </row>
        <row r="431">
          <cell r="T431" t="str">
            <v>a1-Microglobulin, concentration, first morning</v>
          </cell>
        </row>
        <row r="432">
          <cell r="T432" t="str">
            <v>a2-Microglobulin output, first morning</v>
          </cell>
        </row>
        <row r="433">
          <cell r="T433" t="str">
            <v>a-Amylase concentration, random</v>
          </cell>
        </row>
        <row r="434">
          <cell r="T434" t="str">
            <v>Albumin, concentration, first morning</v>
          </cell>
        </row>
        <row r="435">
          <cell r="T435" t="str">
            <v>Aldosterone, concentration</v>
          </cell>
        </row>
        <row r="436">
          <cell r="T436" t="str">
            <v>Ammonia, output, 24h</v>
          </cell>
        </row>
        <row r="437">
          <cell r="T437" t="str">
            <v>Calcium, concentration, 24h</v>
          </cell>
        </row>
        <row r="438">
          <cell r="T438" t="str">
            <v>Calcium, ionized</v>
          </cell>
        </row>
        <row r="439">
          <cell r="T439" t="str">
            <v>Calcium, output, 24h</v>
          </cell>
        </row>
        <row r="440">
          <cell r="T440" t="str">
            <v>C-Terminal cross-linking telopeptide  type I collagen (s-CTx)</v>
          </cell>
        </row>
        <row r="441">
          <cell r="T441" t="str">
            <v>C-Telopeptide of type I collagen/creatinine, 1st morning</v>
          </cell>
        </row>
        <row r="442">
          <cell r="T442" t="str">
            <v>C-Telopeptide type I collagen/creatinine, 2nd morning</v>
          </cell>
        </row>
        <row r="443">
          <cell r="T443" t="str">
            <v>Creatinine, concentration, 24h</v>
          </cell>
        </row>
        <row r="444">
          <cell r="T444" t="str">
            <v>Creatinine, output, 24h</v>
          </cell>
        </row>
        <row r="445">
          <cell r="T445" t="str">
            <v>?-aminolevulinic acid</v>
          </cell>
        </row>
        <row r="446">
          <cell r="T446" t="str">
            <v>Deoxypyridinoline/creatinine, 24h (Delmas CC 2001)</v>
          </cell>
        </row>
        <row r="447">
          <cell r="T447" t="str">
            <v>Deoxypyridinoline/creatinine, first morning</v>
          </cell>
        </row>
        <row r="448">
          <cell r="T448" t="str">
            <v>Deoxipyridinoline/minute</v>
          </cell>
        </row>
        <row r="449">
          <cell r="T449" t="str">
            <v>Estradiol</v>
          </cell>
        </row>
        <row r="450">
          <cell r="T450" t="str">
            <v>Free estradiol</v>
          </cell>
        </row>
        <row r="451">
          <cell r="T451" t="str">
            <v>Free testosterone</v>
          </cell>
        </row>
        <row r="452">
          <cell r="T452" t="str">
            <v>Hydroxyproline/minute, night urine</v>
          </cell>
        </row>
        <row r="453">
          <cell r="T453" t="str">
            <v>Magnesium, concentration, 24h</v>
          </cell>
        </row>
        <row r="454">
          <cell r="T454" t="str">
            <v>Magnesium, ionized</v>
          </cell>
        </row>
        <row r="455">
          <cell r="T455" t="str">
            <v>Magnesium, output, 24h</v>
          </cell>
        </row>
        <row r="456">
          <cell r="T456" t="str">
            <v>N-Acetyl Glucosaminidase, concentration, overnight</v>
          </cell>
        </row>
        <row r="457">
          <cell r="T457" t="str">
            <v>Nitrogen, output</v>
          </cell>
        </row>
        <row r="458">
          <cell r="T458" t="str">
            <v>N- Telopeptide of type I collagen /creatinine, first urine</v>
          </cell>
        </row>
        <row r="459">
          <cell r="T459" t="str">
            <v>Oxalate, concentration, 24h</v>
          </cell>
        </row>
        <row r="460">
          <cell r="T460" t="str">
            <v>Oxalate, output, 24h</v>
          </cell>
        </row>
        <row r="461">
          <cell r="T461" t="str">
            <v>Phosphate, concentration, 24h</v>
          </cell>
        </row>
        <row r="462">
          <cell r="T462" t="str">
            <v>Phosphate, output, 24h</v>
          </cell>
        </row>
        <row r="463">
          <cell r="T463" t="str">
            <v>Porphobilinogen</v>
          </cell>
        </row>
        <row r="464">
          <cell r="T464" t="str">
            <v>Porphyrins</v>
          </cell>
        </row>
        <row r="465">
          <cell r="T465" t="str">
            <v>Potassium, concentration, 24h</v>
          </cell>
        </row>
        <row r="466">
          <cell r="T466" t="str">
            <v>Potassium, output</v>
          </cell>
        </row>
        <row r="467">
          <cell r="T467" t="str">
            <v>Protein, concentration, 24h</v>
          </cell>
        </row>
        <row r="468">
          <cell r="T468" t="str">
            <v>Protein, output, 24h</v>
          </cell>
        </row>
        <row r="469">
          <cell r="T469" t="str">
            <v>Pyridinoline/creatinine, morning spot</v>
          </cell>
        </row>
        <row r="470">
          <cell r="T470" t="str">
            <v>Sodium, concentration, 24 h,</v>
          </cell>
        </row>
        <row r="471">
          <cell r="T471" t="str">
            <v>Sodium output, 24 h,</v>
          </cell>
        </row>
        <row r="472">
          <cell r="T472" t="str">
            <v>Testosterone</v>
          </cell>
        </row>
        <row r="473">
          <cell r="T473" t="str">
            <v>Total catecolamines, concentration, 24h</v>
          </cell>
        </row>
        <row r="474">
          <cell r="T474" t="str">
            <v>Total porphyrins</v>
          </cell>
        </row>
        <row r="475">
          <cell r="T475" t="str">
            <v>Urate, concentration, 24h</v>
          </cell>
        </row>
        <row r="476">
          <cell r="T476" t="str">
            <v>Urate, output, 24h</v>
          </cell>
        </row>
        <row r="477">
          <cell r="T477" t="str">
            <v>Urea, concentration, 24h</v>
          </cell>
        </row>
        <row r="478">
          <cell r="T478" t="str">
            <v>Urea, output, 24h</v>
          </cell>
        </row>
        <row r="479">
          <cell r="T479" t="str">
            <v>Vanilmandelic Acid concentration, 24h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0"/>
  <sheetViews>
    <sheetView showGridLines="0" zoomScale="85" zoomScaleNormal="85" zoomScaleSheetLayoutView="85" workbookViewId="0">
      <selection activeCell="P28" sqref="P28"/>
    </sheetView>
  </sheetViews>
  <sheetFormatPr baseColWidth="10" defaultColWidth="11.42578125" defaultRowHeight="12.75" x14ac:dyDescent="0.2"/>
  <cols>
    <col min="1" max="1" width="11.42578125" style="1"/>
    <col min="2" max="2" width="12.140625" style="1" customWidth="1"/>
    <col min="3" max="3" width="12.85546875" style="1" customWidth="1"/>
    <col min="4" max="4" width="16.140625" style="1" customWidth="1"/>
    <col min="5" max="5" width="9.7109375" style="1" customWidth="1"/>
    <col min="6" max="6" width="12.5703125" style="1" customWidth="1"/>
    <col min="7" max="7" width="13.7109375" style="1" customWidth="1"/>
    <col min="8" max="8" width="14.140625" style="1" customWidth="1"/>
    <col min="9" max="9" width="12.140625" style="1" customWidth="1"/>
    <col min="10" max="10" width="14.85546875" style="1" customWidth="1"/>
    <col min="11" max="11" width="13.5703125" style="1" customWidth="1"/>
    <col min="12" max="12" width="15.42578125" style="1" customWidth="1"/>
    <col min="13" max="16384" width="11.42578125" style="1"/>
  </cols>
  <sheetData>
    <row r="1" spans="1:16" ht="13.5" thickBot="1" x14ac:dyDescent="0.25"/>
    <row r="2" spans="1:16" ht="24.75" x14ac:dyDescent="0.2">
      <c r="B2" s="568" t="s">
        <v>79</v>
      </c>
      <c r="C2" s="569"/>
      <c r="D2" s="569"/>
      <c r="E2" s="569"/>
      <c r="F2" s="569"/>
      <c r="G2" s="569"/>
      <c r="H2" s="569"/>
      <c r="I2" s="569"/>
      <c r="J2" s="569"/>
      <c r="K2" s="569"/>
      <c r="L2" s="170"/>
    </row>
    <row r="3" spans="1:16" x14ac:dyDescent="0.2">
      <c r="B3" s="48"/>
      <c r="C3" s="47"/>
      <c r="D3" s="47"/>
      <c r="E3" s="47"/>
      <c r="F3" s="47"/>
      <c r="G3" s="47"/>
      <c r="H3" s="47"/>
      <c r="I3" s="47"/>
      <c r="J3" s="47"/>
      <c r="K3" s="3"/>
      <c r="L3" s="50"/>
    </row>
    <row r="4" spans="1:16" ht="18" x14ac:dyDescent="0.2">
      <c r="A4" s="49"/>
      <c r="B4" s="165" t="s">
        <v>78</v>
      </c>
      <c r="C4" s="169"/>
      <c r="D4" s="168"/>
      <c r="E4" s="168"/>
      <c r="F4" s="167" t="s">
        <v>77</v>
      </c>
      <c r="G4" s="161" t="s">
        <v>76</v>
      </c>
      <c r="H4" s="161"/>
      <c r="I4" s="160"/>
      <c r="J4" s="166" t="s">
        <v>75</v>
      </c>
      <c r="K4" s="166" t="s">
        <v>74</v>
      </c>
      <c r="L4" s="50"/>
      <c r="M4" s="49"/>
    </row>
    <row r="5" spans="1:16" ht="15" x14ac:dyDescent="0.2">
      <c r="A5" s="49"/>
      <c r="B5" s="165" t="s">
        <v>73</v>
      </c>
      <c r="C5" s="164"/>
      <c r="D5" s="164"/>
      <c r="E5" s="163"/>
      <c r="F5" s="162"/>
      <c r="G5" s="161"/>
      <c r="H5" s="161"/>
      <c r="I5" s="160"/>
      <c r="J5" s="159">
        <v>40603</v>
      </c>
      <c r="K5" s="472"/>
      <c r="L5" s="50"/>
      <c r="M5" s="49"/>
    </row>
    <row r="6" spans="1:16" x14ac:dyDescent="0.2">
      <c r="A6" s="49"/>
      <c r="B6" s="129"/>
      <c r="C6" s="97"/>
      <c r="D6" s="97"/>
      <c r="E6" s="158"/>
      <c r="F6" s="97"/>
      <c r="G6" s="97"/>
      <c r="H6" s="97"/>
      <c r="I6" s="97"/>
      <c r="J6" s="97"/>
      <c r="K6" s="47"/>
      <c r="L6" s="152"/>
      <c r="M6" s="49"/>
    </row>
    <row r="7" spans="1:16" x14ac:dyDescent="0.2">
      <c r="A7" s="49"/>
      <c r="B7" s="157"/>
      <c r="C7" s="47"/>
      <c r="D7" s="47"/>
      <c r="E7" s="153"/>
      <c r="F7" s="47"/>
      <c r="G7" s="47"/>
      <c r="H7" s="47"/>
      <c r="I7" s="47"/>
      <c r="J7" s="47"/>
      <c r="K7" s="156"/>
      <c r="L7" s="152"/>
      <c r="M7" s="49"/>
    </row>
    <row r="8" spans="1:16" ht="13.5" thickBot="1" x14ac:dyDescent="0.25">
      <c r="A8" s="49"/>
      <c r="B8" s="155" t="s">
        <v>72</v>
      </c>
      <c r="C8" s="47"/>
      <c r="D8" s="154"/>
      <c r="E8" s="153"/>
      <c r="F8" s="3"/>
      <c r="G8" s="3"/>
      <c r="H8" s="3"/>
      <c r="I8" s="3"/>
      <c r="J8" s="3"/>
      <c r="K8" s="47"/>
      <c r="L8" s="152"/>
      <c r="M8" s="49"/>
    </row>
    <row r="9" spans="1:16" ht="13.5" thickBot="1" x14ac:dyDescent="0.25">
      <c r="A9" s="49"/>
      <c r="B9" s="151" t="s">
        <v>71</v>
      </c>
      <c r="C9" s="150"/>
      <c r="D9" s="149"/>
      <c r="E9" s="139"/>
      <c r="F9" s="578" t="s">
        <v>70</v>
      </c>
      <c r="G9" s="576" t="s">
        <v>69</v>
      </c>
      <c r="H9" s="570" t="s">
        <v>68</v>
      </c>
      <c r="I9" s="571"/>
      <c r="J9" s="572"/>
      <c r="K9" s="576" t="s">
        <v>67</v>
      </c>
      <c r="L9" s="557" t="s">
        <v>66</v>
      </c>
      <c r="M9" s="49"/>
    </row>
    <row r="10" spans="1:16" ht="13.5" thickBot="1" x14ac:dyDescent="0.25">
      <c r="A10" s="49"/>
      <c r="B10" s="146"/>
      <c r="C10" s="145"/>
      <c r="D10" s="140"/>
      <c r="E10" s="139"/>
      <c r="F10" s="579"/>
      <c r="G10" s="577"/>
      <c r="H10" s="148" t="s">
        <v>65</v>
      </c>
      <c r="I10" s="148" t="s">
        <v>64</v>
      </c>
      <c r="J10" s="148" t="s">
        <v>63</v>
      </c>
      <c r="K10" s="580"/>
      <c r="L10" s="558"/>
      <c r="M10" s="49"/>
    </row>
    <row r="11" spans="1:16" x14ac:dyDescent="0.2">
      <c r="A11" s="49"/>
      <c r="B11" s="137" t="s">
        <v>62</v>
      </c>
      <c r="C11" s="145"/>
      <c r="D11" s="140"/>
      <c r="E11" s="139"/>
      <c r="F11" s="147">
        <v>1</v>
      </c>
      <c r="G11" s="124">
        <f>F11</f>
        <v>1</v>
      </c>
      <c r="H11" s="573">
        <v>10</v>
      </c>
      <c r="I11" s="118">
        <v>10.512</v>
      </c>
      <c r="J11" s="122">
        <f t="shared" ref="J11:J25" si="0">I11*F11</f>
        <v>10.512</v>
      </c>
      <c r="K11" s="559">
        <f>IF(ISNUMBER(I11),VAR(I11:I13),"")</f>
        <v>1.0849000000000079E-2</v>
      </c>
      <c r="L11" s="565">
        <f>(I11/H11+I12/H11+I13/H11)/3</f>
        <v>1.0445</v>
      </c>
      <c r="M11" s="49"/>
      <c r="N11" s="107"/>
      <c r="O11" s="107"/>
    </row>
    <row r="12" spans="1:16" x14ac:dyDescent="0.2">
      <c r="A12" s="49"/>
      <c r="B12" s="146"/>
      <c r="C12" s="145"/>
      <c r="D12" s="140"/>
      <c r="E12" s="139"/>
      <c r="F12" s="133">
        <v>1</v>
      </c>
      <c r="G12" s="115">
        <f>F12</f>
        <v>1</v>
      </c>
      <c r="H12" s="574"/>
      <c r="I12" s="114">
        <v>10.324999999999999</v>
      </c>
      <c r="J12" s="113">
        <f t="shared" si="0"/>
        <v>10.324999999999999</v>
      </c>
      <c r="K12" s="560"/>
      <c r="L12" s="566"/>
      <c r="M12" s="49"/>
      <c r="N12" s="107"/>
      <c r="O12" s="107"/>
    </row>
    <row r="13" spans="1:16" ht="13.5" thickBot="1" x14ac:dyDescent="0.25">
      <c r="A13" s="49"/>
      <c r="B13" s="137" t="s">
        <v>61</v>
      </c>
      <c r="C13" s="145"/>
      <c r="D13" s="140"/>
      <c r="E13" s="139"/>
      <c r="F13" s="144">
        <v>1</v>
      </c>
      <c r="G13" s="126">
        <f>G11</f>
        <v>1</v>
      </c>
      <c r="H13" s="575"/>
      <c r="I13" s="110">
        <v>10.497999999999999</v>
      </c>
      <c r="J13" s="125">
        <f t="shared" si="0"/>
        <v>10.497999999999999</v>
      </c>
      <c r="K13" s="561"/>
      <c r="L13" s="567"/>
      <c r="M13" s="49"/>
      <c r="N13" s="107"/>
      <c r="O13" s="107"/>
      <c r="P13" s="143"/>
    </row>
    <row r="14" spans="1:16" x14ac:dyDescent="0.2">
      <c r="A14" s="49"/>
      <c r="B14" s="142"/>
      <c r="C14" s="141"/>
      <c r="D14" s="140"/>
      <c r="E14" s="139"/>
      <c r="F14" s="138">
        <v>2</v>
      </c>
      <c r="G14" s="124">
        <f>G11/F14</f>
        <v>0.5</v>
      </c>
      <c r="H14" s="562">
        <f>H11/F14</f>
        <v>5</v>
      </c>
      <c r="I14" s="123">
        <v>5.1230000000000002</v>
      </c>
      <c r="J14" s="122">
        <f t="shared" si="0"/>
        <v>10.246</v>
      </c>
      <c r="K14" s="559">
        <f>IF(ISNUMBER(I14),VAR(I14:I16),"")</f>
        <v>1.0442999999999952E-2</v>
      </c>
      <c r="L14" s="565">
        <f>(I14/H14+I15/H14+I16/H14)/3</f>
        <v>1.0364</v>
      </c>
      <c r="M14" s="49"/>
      <c r="N14" s="107"/>
      <c r="O14" s="107"/>
    </row>
    <row r="15" spans="1:16" x14ac:dyDescent="0.2">
      <c r="A15" s="49"/>
      <c r="B15" s="137" t="s">
        <v>60</v>
      </c>
      <c r="C15" s="136"/>
      <c r="D15" s="135"/>
      <c r="E15" s="134"/>
      <c r="F15" s="133">
        <f>F14</f>
        <v>2</v>
      </c>
      <c r="G15" s="115">
        <f>G14</f>
        <v>0.5</v>
      </c>
      <c r="H15" s="563"/>
      <c r="I15" s="114">
        <v>5.3</v>
      </c>
      <c r="J15" s="113">
        <f t="shared" si="0"/>
        <v>10.6</v>
      </c>
      <c r="K15" s="560"/>
      <c r="L15" s="566"/>
      <c r="M15" s="49"/>
      <c r="N15" s="107"/>
      <c r="O15" s="107"/>
    </row>
    <row r="16" spans="1:16" ht="13.5" thickBot="1" x14ac:dyDescent="0.25">
      <c r="A16" s="49"/>
      <c r="B16" s="132"/>
      <c r="C16" s="131"/>
      <c r="D16" s="130"/>
      <c r="E16" s="127"/>
      <c r="F16" s="112">
        <f>F14</f>
        <v>2</v>
      </c>
      <c r="G16" s="111">
        <f>G14</f>
        <v>0.5</v>
      </c>
      <c r="H16" s="564"/>
      <c r="I16" s="121">
        <v>5.1230000000000002</v>
      </c>
      <c r="J16" s="109">
        <f t="shared" si="0"/>
        <v>10.246</v>
      </c>
      <c r="K16" s="561"/>
      <c r="L16" s="567"/>
      <c r="M16" s="49"/>
      <c r="N16" s="107"/>
      <c r="O16" s="107"/>
    </row>
    <row r="17" spans="1:15" x14ac:dyDescent="0.2">
      <c r="A17" s="49"/>
      <c r="B17" s="129"/>
      <c r="C17" s="128"/>
      <c r="D17" s="127"/>
      <c r="E17" s="127"/>
      <c r="F17" s="120">
        <v>4</v>
      </c>
      <c r="G17" s="119">
        <f>G11/F17</f>
        <v>0.25</v>
      </c>
      <c r="H17" s="562">
        <f>H11/F17</f>
        <v>2.5</v>
      </c>
      <c r="I17" s="118">
        <v>2.5910000000000002</v>
      </c>
      <c r="J17" s="117">
        <f t="shared" si="0"/>
        <v>10.364000000000001</v>
      </c>
      <c r="K17" s="559">
        <f>IF(ISNUMBER(I17),VAR(I17:I19),"")</f>
        <v>8.6069999999999619E-3</v>
      </c>
      <c r="L17" s="565">
        <f>(I17/H17+I18/H17+I19/H17)/3</f>
        <v>1.0595999999999999</v>
      </c>
      <c r="M17" s="49"/>
      <c r="N17" s="107"/>
      <c r="O17" s="107"/>
    </row>
    <row r="18" spans="1:15" x14ac:dyDescent="0.2">
      <c r="A18" s="49"/>
      <c r="B18" s="48"/>
      <c r="C18" s="3"/>
      <c r="D18" s="3"/>
      <c r="E18" s="3"/>
      <c r="F18" s="116">
        <f>F17</f>
        <v>4</v>
      </c>
      <c r="G18" s="115">
        <f>G17</f>
        <v>0.25</v>
      </c>
      <c r="H18" s="563"/>
      <c r="I18" s="114">
        <v>2.7559999999999998</v>
      </c>
      <c r="J18" s="113">
        <f t="shared" si="0"/>
        <v>11.023999999999999</v>
      </c>
      <c r="K18" s="560"/>
      <c r="L18" s="566"/>
      <c r="M18" s="49"/>
      <c r="N18" s="107"/>
      <c r="O18" s="107"/>
    </row>
    <row r="19" spans="1:15" ht="13.5" thickBot="1" x14ac:dyDescent="0.25">
      <c r="A19" s="49"/>
      <c r="B19" s="48"/>
      <c r="C19" s="3"/>
      <c r="D19" s="3"/>
      <c r="E19" s="3"/>
      <c r="F19" s="112">
        <f>F17</f>
        <v>4</v>
      </c>
      <c r="G19" s="126">
        <f>G17</f>
        <v>0.25</v>
      </c>
      <c r="H19" s="564"/>
      <c r="I19" s="110">
        <v>2.6</v>
      </c>
      <c r="J19" s="125">
        <f t="shared" si="0"/>
        <v>10.4</v>
      </c>
      <c r="K19" s="561"/>
      <c r="L19" s="567"/>
      <c r="M19" s="49"/>
      <c r="N19" s="107"/>
      <c r="O19" s="107"/>
    </row>
    <row r="20" spans="1:15" x14ac:dyDescent="0.2">
      <c r="A20" s="49"/>
      <c r="B20" s="48"/>
      <c r="C20" s="3"/>
      <c r="D20" s="3"/>
      <c r="E20" s="3"/>
      <c r="F20" s="120">
        <v>6</v>
      </c>
      <c r="G20" s="124">
        <f>G11/F20</f>
        <v>0.16666666666666666</v>
      </c>
      <c r="H20" s="562">
        <f>H11/F20</f>
        <v>1.6666666666666667</v>
      </c>
      <c r="I20" s="123">
        <v>1.7989999999999999</v>
      </c>
      <c r="J20" s="122">
        <f t="shared" si="0"/>
        <v>10.794</v>
      </c>
      <c r="K20" s="559">
        <f>IF(ISNUMBER(I20),VAR(I20:I22),"")</f>
        <v>6.1643333333333359E-3</v>
      </c>
      <c r="L20" s="565">
        <f>(I20/H20+I21/H20+I22/H20)/3</f>
        <v>1.0327999999999999</v>
      </c>
      <c r="M20" s="49"/>
      <c r="N20" s="107"/>
      <c r="O20" s="107"/>
    </row>
    <row r="21" spans="1:15" x14ac:dyDescent="0.2">
      <c r="A21" s="49"/>
      <c r="B21" s="48"/>
      <c r="C21" s="3"/>
      <c r="D21" s="3"/>
      <c r="E21" s="3"/>
      <c r="F21" s="116">
        <f>F20</f>
        <v>6</v>
      </c>
      <c r="G21" s="115">
        <f>G20</f>
        <v>0.16666666666666666</v>
      </c>
      <c r="H21" s="563"/>
      <c r="I21" s="114">
        <v>1.6419999999999999</v>
      </c>
      <c r="J21" s="113">
        <f t="shared" si="0"/>
        <v>9.8520000000000003</v>
      </c>
      <c r="K21" s="560"/>
      <c r="L21" s="566"/>
      <c r="M21" s="49"/>
      <c r="N21" s="107"/>
      <c r="O21" s="107"/>
    </row>
    <row r="22" spans="1:15" ht="13.5" thickBot="1" x14ac:dyDescent="0.25">
      <c r="A22" s="49"/>
      <c r="B22" s="48"/>
      <c r="C22" s="3"/>
      <c r="D22" s="3"/>
      <c r="E22" s="3"/>
      <c r="F22" s="112">
        <f>F20</f>
        <v>6</v>
      </c>
      <c r="G22" s="111">
        <f>G20</f>
        <v>0.16666666666666666</v>
      </c>
      <c r="H22" s="564"/>
      <c r="I22" s="121">
        <v>1.7230000000000001</v>
      </c>
      <c r="J22" s="109">
        <f t="shared" si="0"/>
        <v>10.338000000000001</v>
      </c>
      <c r="K22" s="561"/>
      <c r="L22" s="567"/>
      <c r="M22" s="49"/>
      <c r="N22" s="107"/>
      <c r="O22" s="107"/>
    </row>
    <row r="23" spans="1:15" x14ac:dyDescent="0.2">
      <c r="A23" s="49"/>
      <c r="B23" s="48"/>
      <c r="C23" s="3"/>
      <c r="D23" s="3"/>
      <c r="E23" s="3"/>
      <c r="F23" s="120">
        <v>10</v>
      </c>
      <c r="G23" s="119">
        <f>G11/F23</f>
        <v>0.1</v>
      </c>
      <c r="H23" s="562">
        <f>H11/F23</f>
        <v>1</v>
      </c>
      <c r="I23" s="118">
        <v>1.0980000000000001</v>
      </c>
      <c r="J23" s="117">
        <f t="shared" si="0"/>
        <v>10.98</v>
      </c>
      <c r="K23" s="559">
        <f>IF(ISNUMBER(I23),VAR(I23:I25),"")</f>
        <v>1.6813333333333363E-3</v>
      </c>
      <c r="L23" s="565">
        <f>(I23/H23+I24/H23+I25/H23)/3</f>
        <v>1.0566666666666666</v>
      </c>
      <c r="M23" s="49"/>
      <c r="N23" s="107"/>
      <c r="O23" s="107"/>
    </row>
    <row r="24" spans="1:15" x14ac:dyDescent="0.2">
      <c r="A24" s="49"/>
      <c r="B24" s="48"/>
      <c r="C24" s="3"/>
      <c r="D24" s="3"/>
      <c r="E24" s="3"/>
      <c r="F24" s="116">
        <f>F23</f>
        <v>10</v>
      </c>
      <c r="G24" s="115">
        <f>G23</f>
        <v>0.1</v>
      </c>
      <c r="H24" s="563"/>
      <c r="I24" s="114">
        <v>1.056</v>
      </c>
      <c r="J24" s="113">
        <f t="shared" si="0"/>
        <v>10.56</v>
      </c>
      <c r="K24" s="560"/>
      <c r="L24" s="566"/>
      <c r="M24" s="49"/>
      <c r="N24" s="107"/>
      <c r="O24" s="107"/>
    </row>
    <row r="25" spans="1:15" ht="12.75" customHeight="1" thickBot="1" x14ac:dyDescent="0.25">
      <c r="A25" s="49"/>
      <c r="B25" s="48"/>
      <c r="C25" s="3"/>
      <c r="D25" s="3"/>
      <c r="E25" s="3"/>
      <c r="F25" s="112">
        <f>F23</f>
        <v>10</v>
      </c>
      <c r="G25" s="111">
        <f>G23</f>
        <v>0.1</v>
      </c>
      <c r="H25" s="564"/>
      <c r="I25" s="110">
        <v>1.016</v>
      </c>
      <c r="J25" s="109">
        <f t="shared" si="0"/>
        <v>10.16</v>
      </c>
      <c r="K25" s="561"/>
      <c r="L25" s="567"/>
      <c r="M25" s="108"/>
      <c r="N25" s="107"/>
      <c r="O25" s="107"/>
    </row>
    <row r="26" spans="1:15" ht="15" x14ac:dyDescent="0.2">
      <c r="A26" s="49"/>
      <c r="B26" s="48"/>
      <c r="C26" s="3"/>
      <c r="D26" s="3"/>
      <c r="E26" s="3"/>
      <c r="F26" s="3"/>
      <c r="G26" s="3"/>
      <c r="H26" s="47"/>
      <c r="I26" s="47"/>
      <c r="J26" s="47"/>
      <c r="K26" s="47"/>
      <c r="L26" s="46"/>
      <c r="M26" s="49"/>
      <c r="N26" s="107"/>
      <c r="O26" s="107"/>
    </row>
    <row r="27" spans="1:15" ht="15" x14ac:dyDescent="0.2">
      <c r="A27" s="49"/>
      <c r="B27" s="48"/>
      <c r="C27" s="3"/>
      <c r="D27" s="3"/>
      <c r="E27" s="3"/>
      <c r="F27" s="93" t="s">
        <v>59</v>
      </c>
      <c r="G27" s="95"/>
      <c r="H27" s="95"/>
      <c r="I27" s="95"/>
      <c r="J27" s="95"/>
      <c r="K27" s="106"/>
      <c r="L27" s="105"/>
      <c r="M27" s="49"/>
    </row>
    <row r="28" spans="1:15" ht="15" x14ac:dyDescent="0.2">
      <c r="A28" s="49"/>
      <c r="B28" s="48"/>
      <c r="C28" s="3"/>
      <c r="D28" s="3"/>
      <c r="E28" s="3"/>
      <c r="F28" s="100" t="s">
        <v>19</v>
      </c>
      <c r="G28" s="99">
        <f t="array" ref="G28:H32">LINEST(I11:I25,G11:G25,1,1)</f>
        <v>10.428648592715229</v>
      </c>
      <c r="H28" s="99">
        <v>4.5784009381906188E-3</v>
      </c>
      <c r="I28" s="61" t="s">
        <v>16</v>
      </c>
      <c r="J28" s="104" t="s">
        <v>58</v>
      </c>
      <c r="K28" s="79"/>
      <c r="L28" s="46"/>
      <c r="M28" s="49"/>
    </row>
    <row r="29" spans="1:15" ht="15" x14ac:dyDescent="0.2">
      <c r="A29" s="49"/>
      <c r="B29" s="48"/>
      <c r="C29" s="3"/>
      <c r="D29" s="3"/>
      <c r="E29" s="3"/>
      <c r="F29" s="100" t="s">
        <v>1</v>
      </c>
      <c r="G29" s="99">
        <v>6.4005103903922556E-2</v>
      </c>
      <c r="H29" s="99">
        <v>3.3261449003380017E-2</v>
      </c>
      <c r="I29" s="103" t="s">
        <v>3</v>
      </c>
      <c r="J29" s="102">
        <f>MAX(K11:K25)/(SUM(K11,K14,K17,K20,K23))</f>
        <v>0.2874313368776184</v>
      </c>
      <c r="K29" s="79"/>
      <c r="L29" s="46"/>
      <c r="M29" s="49"/>
    </row>
    <row r="30" spans="1:15" ht="15" x14ac:dyDescent="0.2">
      <c r="A30" s="49"/>
      <c r="B30" s="48"/>
      <c r="C30" s="3"/>
      <c r="D30" s="3"/>
      <c r="E30" s="3"/>
      <c r="F30" s="100" t="s">
        <v>57</v>
      </c>
      <c r="G30" s="99">
        <v>0.99951055501410868</v>
      </c>
      <c r="H30" s="99">
        <v>8.1230185009501008E-2</v>
      </c>
      <c r="I30" s="61" t="s">
        <v>10</v>
      </c>
      <c r="J30" s="101" t="s">
        <v>56</v>
      </c>
      <c r="K30" s="79"/>
      <c r="L30" s="46"/>
      <c r="M30" s="89"/>
      <c r="N30" s="88"/>
      <c r="O30" s="3"/>
    </row>
    <row r="31" spans="1:15" ht="15" x14ac:dyDescent="0.2">
      <c r="A31" s="49"/>
      <c r="B31" s="48"/>
      <c r="C31" s="3"/>
      <c r="D31" s="3"/>
      <c r="E31" s="3"/>
      <c r="F31" s="100" t="s">
        <v>55</v>
      </c>
      <c r="G31" s="99">
        <v>26547.697064500717</v>
      </c>
      <c r="H31" s="59">
        <v>13</v>
      </c>
      <c r="I31" s="61" t="s">
        <v>46</v>
      </c>
      <c r="J31" s="389">
        <f>1/((1+(COUNT(H11:H25)-1)/FINV(0.05/COUNT(H11:H25),COUNT(I11:I13)-1,(COUNT(H11:H25)-1)*(COUNT(I11:I13)-1))))</f>
        <v>0.683772233983162</v>
      </c>
      <c r="K31" s="79"/>
      <c r="L31" s="46"/>
      <c r="M31" s="89"/>
      <c r="N31" s="88"/>
      <c r="O31" s="3"/>
    </row>
    <row r="32" spans="1:15" ht="15" x14ac:dyDescent="0.2">
      <c r="A32" s="49"/>
      <c r="B32" s="48"/>
      <c r="C32" s="3"/>
      <c r="D32" s="3"/>
      <c r="E32" s="3"/>
      <c r="F32" s="100" t="s">
        <v>54</v>
      </c>
      <c r="G32" s="99">
        <v>175.17080994156319</v>
      </c>
      <c r="H32" s="99">
        <v>8.5778458436810895E-2</v>
      </c>
      <c r="I32" s="61" t="s">
        <v>53</v>
      </c>
      <c r="J32" s="3"/>
      <c r="K32" s="79"/>
      <c r="L32" s="46"/>
      <c r="M32" s="89"/>
      <c r="N32" s="88"/>
      <c r="O32" s="3"/>
    </row>
    <row r="33" spans="1:15" ht="15" x14ac:dyDescent="0.2">
      <c r="A33" s="49"/>
      <c r="B33" s="48"/>
      <c r="C33" s="3"/>
      <c r="D33" s="3"/>
      <c r="E33" s="3"/>
      <c r="F33" s="98"/>
      <c r="G33" s="56"/>
      <c r="H33" s="56"/>
      <c r="I33" s="97"/>
      <c r="J33" s="56"/>
      <c r="K33" s="55"/>
      <c r="L33" s="46"/>
      <c r="M33" s="89"/>
      <c r="N33" s="88"/>
      <c r="O33" s="3"/>
    </row>
    <row r="34" spans="1:15" ht="15" x14ac:dyDescent="0.2">
      <c r="A34" s="49"/>
      <c r="B34" s="96" t="s">
        <v>52</v>
      </c>
      <c r="C34" s="95"/>
      <c r="D34" s="94"/>
      <c r="E34" s="3"/>
      <c r="F34" s="3"/>
      <c r="G34" s="3"/>
      <c r="H34" s="3"/>
      <c r="I34" s="3"/>
      <c r="J34" s="3"/>
      <c r="K34" s="3"/>
      <c r="L34" s="46"/>
      <c r="M34" s="89"/>
      <c r="N34" s="88"/>
      <c r="O34" s="3"/>
    </row>
    <row r="35" spans="1:15" ht="15" x14ac:dyDescent="0.2">
      <c r="A35" s="49"/>
      <c r="B35" s="48" t="s">
        <v>51</v>
      </c>
      <c r="C35" s="3"/>
      <c r="D35" s="79"/>
      <c r="E35" s="3"/>
      <c r="F35" s="93" t="s">
        <v>50</v>
      </c>
      <c r="G35" s="92"/>
      <c r="H35" s="92"/>
      <c r="I35" s="91"/>
      <c r="J35" s="91"/>
      <c r="K35" s="90"/>
      <c r="L35" s="46"/>
      <c r="M35" s="89"/>
      <c r="N35" s="88"/>
      <c r="O35" s="3"/>
    </row>
    <row r="36" spans="1:15" ht="15" x14ac:dyDescent="0.2">
      <c r="A36" s="49"/>
      <c r="B36" s="82" t="s">
        <v>0</v>
      </c>
      <c r="C36" s="87">
        <f>H28/H29</f>
        <v>0.1376488720538111</v>
      </c>
      <c r="D36" s="79"/>
      <c r="E36" s="47"/>
      <c r="F36" s="86"/>
      <c r="G36" s="4"/>
      <c r="H36" s="4"/>
      <c r="I36" s="85"/>
      <c r="J36" s="84"/>
      <c r="K36" s="83"/>
      <c r="L36" s="46"/>
      <c r="M36" s="5"/>
      <c r="N36" s="3"/>
      <c r="O36" s="3"/>
    </row>
    <row r="37" spans="1:15" ht="15" x14ac:dyDescent="0.2">
      <c r="A37" s="49"/>
      <c r="B37" s="82" t="s">
        <v>49</v>
      </c>
      <c r="C37" s="60">
        <f>TINV(0.05,H31)</f>
        <v>2.1603686564627926</v>
      </c>
      <c r="D37" s="79"/>
      <c r="E37" s="3"/>
      <c r="F37" s="61" t="s">
        <v>48</v>
      </c>
      <c r="G37" s="81" t="s">
        <v>47</v>
      </c>
      <c r="H37" s="81" t="s">
        <v>46</v>
      </c>
      <c r="I37" s="81" t="s">
        <v>45</v>
      </c>
      <c r="J37" s="81" t="s">
        <v>44</v>
      </c>
      <c r="K37" s="81" t="s">
        <v>43</v>
      </c>
      <c r="L37" s="46"/>
      <c r="M37" s="5"/>
    </row>
    <row r="38" spans="1:15" ht="13.5" thickBot="1" x14ac:dyDescent="0.25">
      <c r="A38" s="49"/>
      <c r="B38" s="80"/>
      <c r="C38" s="3"/>
      <c r="D38" s="79"/>
      <c r="E38" s="3"/>
      <c r="F38" s="61" t="s">
        <v>42</v>
      </c>
      <c r="G38" s="60">
        <f>G42-G41</f>
        <v>175.18109906666666</v>
      </c>
      <c r="H38" s="59">
        <f>COUNT(K11:K25)-1</f>
        <v>4</v>
      </c>
      <c r="I38" s="60">
        <f>G38/H38</f>
        <v>43.795274766666665</v>
      </c>
      <c r="J38" s="78"/>
      <c r="K38" s="78"/>
      <c r="L38" s="50"/>
      <c r="N38" s="3"/>
    </row>
    <row r="39" spans="1:15" x14ac:dyDescent="0.2">
      <c r="A39" s="49"/>
      <c r="B39" s="77" t="s">
        <v>41</v>
      </c>
      <c r="C39" s="4"/>
      <c r="D39" s="73"/>
      <c r="E39" s="3"/>
      <c r="F39" s="61" t="s">
        <v>40</v>
      </c>
      <c r="G39" s="60">
        <f>G32</f>
        <v>175.17080994156319</v>
      </c>
      <c r="H39" s="59">
        <v>1</v>
      </c>
      <c r="I39" s="72">
        <f>G39/H39</f>
        <v>175.17080994156319</v>
      </c>
      <c r="J39" s="76">
        <f>I39/I41</f>
        <v>23204.710149985414</v>
      </c>
      <c r="K39" s="75">
        <f>FINV(0.05,H39,H41)</f>
        <v>4.9646027437307128</v>
      </c>
      <c r="L39" s="50"/>
      <c r="N39" s="3"/>
    </row>
    <row r="40" spans="1:15" ht="13.5" thickBot="1" x14ac:dyDescent="0.25">
      <c r="A40" s="49"/>
      <c r="B40" s="74" t="str">
        <f>IF(ABS(J40)&lt;K40,"pas d'écart à la linéarité","écart à la linéarité")</f>
        <v>pas d'écart à la linéarité</v>
      </c>
      <c r="C40" s="4"/>
      <c r="D40" s="73"/>
      <c r="E40" s="3"/>
      <c r="F40" s="61" t="s">
        <v>39</v>
      </c>
      <c r="G40" s="60">
        <f>G38-G39</f>
        <v>1.0289125103469132E-2</v>
      </c>
      <c r="H40" s="59">
        <f>COUNT(K11:K25)-2</f>
        <v>3</v>
      </c>
      <c r="I40" s="72">
        <f>G40/H40</f>
        <v>3.4297083678230442E-3</v>
      </c>
      <c r="J40" s="71">
        <f>I40/I41</f>
        <v>0.45433019691387455</v>
      </c>
      <c r="K40" s="70">
        <f>FINV(0.05,H40,H41)</f>
        <v>3.7082648190468448</v>
      </c>
      <c r="L40" s="50"/>
      <c r="N40" s="3"/>
    </row>
    <row r="41" spans="1:15" x14ac:dyDescent="0.2">
      <c r="A41" s="49"/>
      <c r="B41" s="69" t="s">
        <v>38</v>
      </c>
      <c r="C41" s="68"/>
      <c r="D41" s="67"/>
      <c r="E41" s="3"/>
      <c r="F41" s="61" t="s">
        <v>37</v>
      </c>
      <c r="G41" s="60">
        <f>I41*H41</f>
        <v>7.5489333333333325E-2</v>
      </c>
      <c r="H41" s="59">
        <f>H42-H38</f>
        <v>10</v>
      </c>
      <c r="I41" s="66">
        <f>AVERAGE(K11:K25)</f>
        <v>7.5489333333333321E-3</v>
      </c>
      <c r="J41" s="65"/>
      <c r="K41" s="65"/>
      <c r="L41" s="50"/>
      <c r="N41" s="3"/>
    </row>
    <row r="42" spans="1:15" ht="13.5" thickBot="1" x14ac:dyDescent="0.25">
      <c r="A42" s="49"/>
      <c r="B42" s="64" t="str">
        <f>IF(B40="pas d'écart à la linéarité",IF(ABS(C36)&lt;C37,"pas d'erreur systématique due à la méthode","erreur systématique due à la méthode"),"revoir le test")</f>
        <v>pas d'erreur systématique due à la méthode</v>
      </c>
      <c r="C42" s="63"/>
      <c r="D42" s="62"/>
      <c r="E42" s="3"/>
      <c r="F42" s="61" t="s">
        <v>36</v>
      </c>
      <c r="G42" s="60">
        <f>DEVSQ(I11:I25)</f>
        <v>175.2565884</v>
      </c>
      <c r="H42" s="59">
        <f>COUNT(I11:I25)-1</f>
        <v>14</v>
      </c>
      <c r="I42" s="58"/>
      <c r="J42" s="58"/>
      <c r="K42" s="58"/>
      <c r="L42" s="50"/>
      <c r="N42" s="3"/>
    </row>
    <row r="43" spans="1:15" x14ac:dyDescent="0.2">
      <c r="A43" s="49"/>
      <c r="B43" s="57"/>
      <c r="C43" s="56"/>
      <c r="D43" s="55"/>
      <c r="E43" s="3"/>
      <c r="F43" s="54"/>
      <c r="G43" s="53"/>
      <c r="H43" s="53"/>
      <c r="I43" s="53"/>
      <c r="J43" s="52"/>
      <c r="K43" s="51"/>
      <c r="L43" s="50"/>
      <c r="N43" s="3"/>
    </row>
    <row r="44" spans="1:15" ht="15.75" thickBot="1" x14ac:dyDescent="0.25">
      <c r="A44" s="49"/>
      <c r="B44" s="48"/>
      <c r="C44" s="3"/>
      <c r="D44" s="3"/>
      <c r="E44" s="3"/>
      <c r="F44" s="3"/>
      <c r="G44" s="3"/>
      <c r="H44" s="3"/>
      <c r="I44" s="47"/>
      <c r="J44" s="47"/>
      <c r="K44" s="47"/>
      <c r="L44" s="46"/>
      <c r="M44" s="5"/>
      <c r="N44" s="3"/>
    </row>
    <row r="45" spans="1:15" ht="12.75" customHeight="1" x14ac:dyDescent="0.2">
      <c r="B45" s="548" t="s">
        <v>35</v>
      </c>
      <c r="C45" s="549"/>
      <c r="D45" s="549"/>
      <c r="E45" s="549"/>
      <c r="F45" s="549"/>
      <c r="G45" s="549"/>
      <c r="H45" s="549"/>
      <c r="I45" s="549"/>
      <c r="J45" s="549"/>
      <c r="K45" s="549"/>
      <c r="L45" s="550"/>
    </row>
    <row r="46" spans="1:15" ht="12.75" customHeight="1" x14ac:dyDescent="0.2">
      <c r="B46" s="551"/>
      <c r="C46" s="552"/>
      <c r="D46" s="552"/>
      <c r="E46" s="552"/>
      <c r="F46" s="552"/>
      <c r="G46" s="552"/>
      <c r="H46" s="552"/>
      <c r="I46" s="552"/>
      <c r="J46" s="552"/>
      <c r="K46" s="552"/>
      <c r="L46" s="553"/>
    </row>
    <row r="47" spans="1:15" ht="12.75" customHeight="1" x14ac:dyDescent="0.2">
      <c r="B47" s="551"/>
      <c r="C47" s="552"/>
      <c r="D47" s="552"/>
      <c r="E47" s="552"/>
      <c r="F47" s="552"/>
      <c r="G47" s="552"/>
      <c r="H47" s="552"/>
      <c r="I47" s="552"/>
      <c r="J47" s="552"/>
      <c r="K47" s="552"/>
      <c r="L47" s="553"/>
    </row>
    <row r="48" spans="1:15" ht="12.75" customHeight="1" x14ac:dyDescent="0.2">
      <c r="B48" s="551"/>
      <c r="C48" s="552"/>
      <c r="D48" s="552"/>
      <c r="E48" s="552"/>
      <c r="F48" s="552"/>
      <c r="G48" s="552"/>
      <c r="H48" s="552"/>
      <c r="I48" s="552"/>
      <c r="J48" s="552"/>
      <c r="K48" s="552"/>
      <c r="L48" s="553"/>
    </row>
    <row r="49" spans="2:12" ht="13.5" customHeight="1" thickBot="1" x14ac:dyDescent="0.25">
      <c r="B49" s="554"/>
      <c r="C49" s="555"/>
      <c r="D49" s="555"/>
      <c r="E49" s="555"/>
      <c r="F49" s="555"/>
      <c r="G49" s="555"/>
      <c r="H49" s="555"/>
      <c r="I49" s="555"/>
      <c r="J49" s="555"/>
      <c r="K49" s="555"/>
      <c r="L49" s="556"/>
    </row>
    <row r="50" spans="2:12" x14ac:dyDescent="0.2">
      <c r="B50" s="45"/>
      <c r="C50" s="4"/>
      <c r="D50" s="6"/>
      <c r="F50" s="3"/>
      <c r="G50" s="3"/>
      <c r="H50" s="3"/>
      <c r="I50" s="4"/>
      <c r="J50" s="4"/>
      <c r="K50" s="4"/>
    </row>
  </sheetData>
  <protectedRanges>
    <protectedRange sqref="I11:I25 F14 F17 F20 F23 H11 H17 C4:C5 B45 G4:G5" name="Plage1"/>
  </protectedRanges>
  <mergeCells count="22">
    <mergeCell ref="B2:K2"/>
    <mergeCell ref="H9:J9"/>
    <mergeCell ref="H11:H13"/>
    <mergeCell ref="H14:H16"/>
    <mergeCell ref="K14:K16"/>
    <mergeCell ref="G9:G10"/>
    <mergeCell ref="F9:F10"/>
    <mergeCell ref="K11:K13"/>
    <mergeCell ref="K9:K10"/>
    <mergeCell ref="B45:L49"/>
    <mergeCell ref="L9:L10"/>
    <mergeCell ref="K17:K19"/>
    <mergeCell ref="K20:K22"/>
    <mergeCell ref="K23:K25"/>
    <mergeCell ref="H17:H19"/>
    <mergeCell ref="L11:L13"/>
    <mergeCell ref="L14:L16"/>
    <mergeCell ref="H23:H25"/>
    <mergeCell ref="L17:L19"/>
    <mergeCell ref="L20:L22"/>
    <mergeCell ref="L23:L25"/>
    <mergeCell ref="H20:H22"/>
  </mergeCells>
  <conditionalFormatting sqref="C36">
    <cfRule type="cellIs" dxfId="35" priority="3" stopIfTrue="1" operator="between">
      <formula>$C$37</formula>
      <formula>-$C$37</formula>
    </cfRule>
    <cfRule type="cellIs" dxfId="34" priority="4" stopIfTrue="1" operator="notBetween">
      <formula>$C$37</formula>
      <formula>-$C$37</formula>
    </cfRule>
  </conditionalFormatting>
  <conditionalFormatting sqref="J29">
    <cfRule type="cellIs" dxfId="33" priority="1" stopIfTrue="1" operator="lessThanOrEqual">
      <formula>$J$31</formula>
    </cfRule>
    <cfRule type="cellIs" dxfId="32" priority="2" stopIfTrue="1" operator="greaterThan">
      <formula>$J$31</formula>
    </cfRule>
  </conditionalFormatting>
  <conditionalFormatting sqref="J39">
    <cfRule type="cellIs" dxfId="31" priority="7" stopIfTrue="1" operator="greaterThan">
      <formula>$K$39</formula>
    </cfRule>
    <cfRule type="cellIs" dxfId="30" priority="8" stopIfTrue="1" operator="lessThan">
      <formula>$K$39</formula>
    </cfRule>
  </conditionalFormatting>
  <conditionalFormatting sqref="J40">
    <cfRule type="cellIs" dxfId="29" priority="5" stopIfTrue="1" operator="lessThanOrEqual">
      <formula>$K$40</formula>
    </cfRule>
    <cfRule type="cellIs" dxfId="28" priority="6" stopIfTrue="1" operator="greaterThan">
      <formula>$K$40</formula>
    </cfRule>
  </conditionalFormatting>
  <pageMargins left="0.78740157499999996" right="0.78740157499999996" top="0.984251969" bottom="0.984251969" header="0.4921259845" footer="0.4921259845"/>
  <pageSetup paperSize="9" scale="5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Y70"/>
  <sheetViews>
    <sheetView showGridLines="0" topLeftCell="A8" zoomScale="85" zoomScaleNormal="85" zoomScaleSheetLayoutView="100" workbookViewId="0">
      <selection activeCell="F50" sqref="F50"/>
    </sheetView>
  </sheetViews>
  <sheetFormatPr baseColWidth="10" defaultColWidth="11.42578125" defaultRowHeight="12.75" x14ac:dyDescent="0.2"/>
  <cols>
    <col min="1" max="1" width="11.42578125" style="1"/>
    <col min="2" max="3" width="14.42578125" style="1" customWidth="1"/>
    <col min="4" max="4" width="12.5703125" style="1" customWidth="1"/>
    <col min="5" max="7" width="12.28515625" style="1" bestFit="1" customWidth="1"/>
    <col min="8" max="8" width="2.7109375" style="1" customWidth="1"/>
    <col min="9" max="9" width="11.42578125" style="1"/>
    <col min="10" max="11" width="23.7109375" style="1" customWidth="1"/>
    <col min="12" max="12" width="11.5703125" style="1" bestFit="1" customWidth="1"/>
    <col min="13" max="13" width="12.28515625" style="1" bestFit="1" customWidth="1"/>
    <col min="14" max="16384" width="11.42578125" style="1"/>
  </cols>
  <sheetData>
    <row r="1" spans="2:25" ht="24.75" x14ac:dyDescent="0.2">
      <c r="B1" s="568" t="s">
        <v>102</v>
      </c>
      <c r="C1" s="569"/>
      <c r="D1" s="569"/>
      <c r="E1" s="569"/>
      <c r="F1" s="569"/>
      <c r="G1" s="569"/>
      <c r="H1" s="569"/>
      <c r="I1" s="569"/>
      <c r="J1" s="569"/>
      <c r="K1" s="569"/>
      <c r="L1" s="569"/>
      <c r="M1" s="592"/>
    </row>
    <row r="2" spans="2:25" x14ac:dyDescent="0.2">
      <c r="B2" s="48"/>
      <c r="C2" s="47"/>
      <c r="D2" s="47"/>
      <c r="E2" s="47"/>
      <c r="F2" s="47"/>
      <c r="G2" s="47"/>
      <c r="H2" s="47"/>
      <c r="I2" s="47"/>
      <c r="J2" s="47"/>
      <c r="K2" s="47"/>
      <c r="L2" s="3"/>
      <c r="M2" s="50"/>
    </row>
    <row r="3" spans="2:25" ht="18" x14ac:dyDescent="0.2">
      <c r="B3" s="165" t="s">
        <v>78</v>
      </c>
      <c r="C3" s="169"/>
      <c r="D3" s="168"/>
      <c r="E3" s="168"/>
      <c r="F3" s="168"/>
      <c r="G3" s="168"/>
      <c r="H3" s="168"/>
      <c r="I3" s="167" t="s">
        <v>77</v>
      </c>
      <c r="J3" s="161" t="s">
        <v>76</v>
      </c>
      <c r="K3" s="161"/>
      <c r="L3" s="166" t="s">
        <v>75</v>
      </c>
      <c r="M3" s="253" t="s">
        <v>74</v>
      </c>
    </row>
    <row r="4" spans="2:25" ht="15" x14ac:dyDescent="0.2">
      <c r="B4" s="165" t="s">
        <v>73</v>
      </c>
      <c r="C4" s="164"/>
      <c r="D4" s="164"/>
      <c r="E4" s="252"/>
      <c r="F4" s="163"/>
      <c r="G4" s="163"/>
      <c r="H4" s="163"/>
      <c r="I4" s="162"/>
      <c r="J4" s="161"/>
      <c r="K4" s="161"/>
      <c r="L4" s="159">
        <v>40603</v>
      </c>
      <c r="M4" s="482"/>
    </row>
    <row r="5" spans="2:25" x14ac:dyDescent="0.2">
      <c r="B5" s="48"/>
      <c r="C5" s="97"/>
      <c r="D5" s="97"/>
      <c r="E5" s="158"/>
      <c r="F5" s="97"/>
      <c r="G5" s="97"/>
      <c r="H5" s="97"/>
      <c r="I5" s="97"/>
      <c r="J5" s="97"/>
      <c r="K5" s="97"/>
      <c r="L5" s="56"/>
      <c r="M5" s="251"/>
    </row>
    <row r="6" spans="2:25" x14ac:dyDescent="0.2">
      <c r="B6" s="250"/>
      <c r="C6" s="47"/>
      <c r="D6" s="47"/>
      <c r="E6" s="153"/>
      <c r="F6" s="47"/>
      <c r="G6" s="47"/>
      <c r="H6" s="47"/>
      <c r="I6" s="47"/>
      <c r="J6" s="47"/>
      <c r="K6" s="47"/>
      <c r="L6" s="3"/>
      <c r="M6" s="473"/>
    </row>
    <row r="7" spans="2:25" ht="13.5" thickBot="1" x14ac:dyDescent="0.25">
      <c r="B7" s="155" t="s">
        <v>72</v>
      </c>
      <c r="C7" s="3"/>
      <c r="D7" s="154"/>
      <c r="E7" s="153"/>
      <c r="F7" s="154"/>
      <c r="G7" s="154"/>
      <c r="H7" s="249"/>
      <c r="I7" s="249"/>
      <c r="J7" s="3"/>
      <c r="K7" s="3"/>
      <c r="L7" s="3"/>
      <c r="M7" s="50"/>
      <c r="P7" s="475"/>
      <c r="Q7" s="475"/>
      <c r="R7" s="475"/>
    </row>
    <row r="8" spans="2:25" ht="15.75" thickBot="1" x14ac:dyDescent="0.25">
      <c r="B8" s="151" t="s">
        <v>71</v>
      </c>
      <c r="C8" s="248"/>
      <c r="D8" s="247"/>
      <c r="E8" s="246"/>
      <c r="F8" s="245"/>
      <c r="G8" s="244"/>
      <c r="H8" s="127"/>
      <c r="I8" s="243" t="s">
        <v>101</v>
      </c>
      <c r="J8" s="242" t="s">
        <v>100</v>
      </c>
      <c r="K8" s="242" t="s">
        <v>99</v>
      </c>
      <c r="L8" s="421" t="s">
        <v>66</v>
      </c>
      <c r="M8" s="50"/>
      <c r="P8" s="475"/>
      <c r="Q8" s="475"/>
      <c r="R8" s="475"/>
    </row>
    <row r="9" spans="2:25" ht="15.75" customHeight="1" x14ac:dyDescent="0.2">
      <c r="B9" s="146"/>
      <c r="C9" s="238"/>
      <c r="D9" s="136"/>
      <c r="E9" s="235"/>
      <c r="F9" s="145"/>
      <c r="G9" s="135"/>
      <c r="H9" s="127"/>
      <c r="I9" s="598" t="s">
        <v>96</v>
      </c>
      <c r="J9" s="241">
        <v>4.8</v>
      </c>
      <c r="K9" s="216">
        <f>AVERAGE(J9:J11)</f>
        <v>5.0666666666666664</v>
      </c>
      <c r="L9" s="601">
        <f>AVERAGE(M9:M11)</f>
        <v>100</v>
      </c>
      <c r="M9" s="474">
        <f t="shared" ref="M9:M23" si="0">J9*100/K9</f>
        <v>94.736842105263165</v>
      </c>
      <c r="P9" s="476" t="s">
        <v>98</v>
      </c>
      <c r="Q9" s="476" t="s">
        <v>97</v>
      </c>
      <c r="R9" s="475"/>
    </row>
    <row r="10" spans="2:25" ht="15.75" customHeight="1" x14ac:dyDescent="0.2">
      <c r="B10" s="137" t="s">
        <v>62</v>
      </c>
      <c r="C10" s="238"/>
      <c r="D10" s="136"/>
      <c r="E10" s="235"/>
      <c r="F10" s="145"/>
      <c r="G10" s="135"/>
      <c r="H10" s="127"/>
      <c r="I10" s="599"/>
      <c r="J10" s="240">
        <v>5.3</v>
      </c>
      <c r="K10" s="211">
        <f>AVERAGE(J9:J11)</f>
        <v>5.0666666666666664</v>
      </c>
      <c r="L10" s="602"/>
      <c r="M10" s="474">
        <f t="shared" si="0"/>
        <v>104.60526315789474</v>
      </c>
      <c r="P10" s="582">
        <f>VAR(J9:J11)</f>
        <v>6.3333333333333325E-2</v>
      </c>
      <c r="Q10" s="582">
        <f>DEVSQ(J9:J11)</f>
        <v>0.12666666666666665</v>
      </c>
      <c r="R10" s="475"/>
      <c r="S10" s="475"/>
      <c r="T10" s="475"/>
      <c r="U10" s="475"/>
      <c r="V10" s="475"/>
      <c r="W10" s="475"/>
      <c r="X10" s="475"/>
      <c r="Y10" s="475"/>
    </row>
    <row r="11" spans="2:25" ht="16.5" customHeight="1" thickBot="1" x14ac:dyDescent="0.25">
      <c r="B11" s="146"/>
      <c r="C11" s="238"/>
      <c r="D11" s="136"/>
      <c r="E11" s="235"/>
      <c r="F11" s="145"/>
      <c r="G11" s="135"/>
      <c r="H11" s="127"/>
      <c r="I11" s="600"/>
      <c r="J11" s="239">
        <v>5.0999999999999996</v>
      </c>
      <c r="K11" s="209">
        <f>AVERAGE(J9:J11)</f>
        <v>5.0666666666666664</v>
      </c>
      <c r="L11" s="603"/>
      <c r="M11" s="474">
        <f t="shared" si="0"/>
        <v>100.6578947368421</v>
      </c>
      <c r="P11" s="582"/>
      <c r="Q11" s="582"/>
      <c r="R11" s="475"/>
      <c r="S11" s="475"/>
      <c r="T11" s="475"/>
      <c r="U11" s="475"/>
      <c r="V11" s="475"/>
      <c r="W11" s="475"/>
      <c r="X11" s="475"/>
      <c r="Y11" s="475"/>
    </row>
    <row r="12" spans="2:25" ht="15.75" customHeight="1" x14ac:dyDescent="0.2">
      <c r="B12" s="137" t="s">
        <v>61</v>
      </c>
      <c r="C12" s="238"/>
      <c r="D12" s="136"/>
      <c r="E12" s="235"/>
      <c r="F12" s="145"/>
      <c r="G12" s="135"/>
      <c r="H12" s="127"/>
      <c r="I12" s="593" t="s">
        <v>95</v>
      </c>
      <c r="J12" s="229">
        <v>10</v>
      </c>
      <c r="K12" s="228">
        <f>K9+I12</f>
        <v>10.066666666666666</v>
      </c>
      <c r="L12" s="601">
        <f>AVERAGE(M12:M14)</f>
        <v>98.410596026490069</v>
      </c>
      <c r="M12" s="474">
        <f t="shared" si="0"/>
        <v>99.337748344370866</v>
      </c>
      <c r="P12" s="582"/>
      <c r="Q12" s="582"/>
      <c r="R12" s="475"/>
      <c r="S12" s="475"/>
      <c r="T12" s="475"/>
      <c r="U12" s="475"/>
      <c r="V12" s="475"/>
      <c r="W12" s="475"/>
      <c r="X12" s="475"/>
      <c r="Y12" s="475"/>
    </row>
    <row r="13" spans="2:25" ht="15" x14ac:dyDescent="0.2">
      <c r="B13" s="237"/>
      <c r="C13" s="236"/>
      <c r="D13" s="136"/>
      <c r="E13" s="235"/>
      <c r="F13" s="145"/>
      <c r="G13" s="135"/>
      <c r="H13" s="127"/>
      <c r="I13" s="594"/>
      <c r="J13" s="212">
        <v>10.1</v>
      </c>
      <c r="K13" s="228">
        <f>K10+I12</f>
        <v>10.066666666666666</v>
      </c>
      <c r="L13" s="602"/>
      <c r="M13" s="474">
        <f t="shared" si="0"/>
        <v>100.33112582781457</v>
      </c>
      <c r="P13" s="582">
        <f>VAR(J12:J14)</f>
        <v>6.4133333333333487E-2</v>
      </c>
      <c r="Q13" s="582">
        <f>DEVSQ(J12:J14)</f>
        <v>0.12826666666666697</v>
      </c>
      <c r="R13" s="475"/>
      <c r="S13" s="475"/>
      <c r="T13" s="475"/>
      <c r="U13" s="475"/>
      <c r="V13" s="475"/>
      <c r="W13" s="475"/>
      <c r="X13" s="475"/>
      <c r="Y13" s="475"/>
    </row>
    <row r="14" spans="2:25" ht="15.75" thickBot="1" x14ac:dyDescent="0.25">
      <c r="B14" s="234" t="s">
        <v>60</v>
      </c>
      <c r="C14" s="233"/>
      <c r="D14" s="145"/>
      <c r="E14" s="145"/>
      <c r="F14" s="145"/>
      <c r="G14" s="135"/>
      <c r="H14" s="127"/>
      <c r="I14" s="595"/>
      <c r="J14" s="223">
        <v>9.6199999999999992</v>
      </c>
      <c r="K14" s="228">
        <f>K11+I12</f>
        <v>10.066666666666666</v>
      </c>
      <c r="L14" s="603"/>
      <c r="M14" s="474">
        <f t="shared" si="0"/>
        <v>95.562913907284752</v>
      </c>
      <c r="P14" s="582"/>
      <c r="Q14" s="582"/>
      <c r="R14" s="475"/>
      <c r="S14" s="475"/>
      <c r="T14" s="475"/>
      <c r="U14" s="475"/>
      <c r="V14" s="475"/>
      <c r="W14" s="475"/>
      <c r="X14" s="475"/>
      <c r="Y14" s="475"/>
    </row>
    <row r="15" spans="2:25" ht="15.75" customHeight="1" x14ac:dyDescent="0.2">
      <c r="B15" s="232"/>
      <c r="C15" s="231"/>
      <c r="D15" s="230"/>
      <c r="E15" s="230"/>
      <c r="F15" s="230"/>
      <c r="G15" s="130"/>
      <c r="H15" s="127"/>
      <c r="I15" s="596" t="s">
        <v>94</v>
      </c>
      <c r="J15" s="217">
        <v>15.6</v>
      </c>
      <c r="K15" s="216">
        <f>K9+I15</f>
        <v>15.066666666666666</v>
      </c>
      <c r="L15" s="601">
        <f>AVERAGE(M15:M17)</f>
        <v>103.98230088495575</v>
      </c>
      <c r="M15" s="474">
        <f t="shared" si="0"/>
        <v>103.53982300884955</v>
      </c>
      <c r="P15" s="582"/>
      <c r="Q15" s="582"/>
      <c r="R15" s="475"/>
      <c r="S15" s="475"/>
      <c r="T15" s="475"/>
      <c r="U15" s="475"/>
      <c r="V15" s="475"/>
      <c r="W15" s="475"/>
      <c r="X15" s="475"/>
      <c r="Y15" s="475"/>
    </row>
    <row r="16" spans="2:25" x14ac:dyDescent="0.2">
      <c r="B16" s="48"/>
      <c r="C16" s="128"/>
      <c r="D16" s="127"/>
      <c r="E16" s="127"/>
      <c r="F16" s="127"/>
      <c r="G16" s="127"/>
      <c r="H16" s="127"/>
      <c r="I16" s="594"/>
      <c r="J16" s="212">
        <v>15.9</v>
      </c>
      <c r="K16" s="211">
        <f>K10+I15</f>
        <v>15.066666666666666</v>
      </c>
      <c r="L16" s="602"/>
      <c r="M16" s="474">
        <f t="shared" si="0"/>
        <v>105.53097345132744</v>
      </c>
      <c r="P16" s="582">
        <f>VAR(J15:J17)</f>
        <v>4.3333333333333439E-2</v>
      </c>
      <c r="Q16" s="582">
        <f>DEVSQ(J15:J17)</f>
        <v>8.6666666666666878E-2</v>
      </c>
      <c r="R16" s="475"/>
      <c r="S16" s="475"/>
      <c r="T16" s="475"/>
      <c r="U16" s="475"/>
      <c r="V16" s="475"/>
      <c r="W16" s="475"/>
      <c r="X16" s="475"/>
      <c r="Y16" s="475"/>
    </row>
    <row r="17" spans="2:25" ht="13.5" thickBot="1" x14ac:dyDescent="0.25">
      <c r="B17" s="96" t="s">
        <v>93</v>
      </c>
      <c r="C17" s="95"/>
      <c r="D17" s="203"/>
      <c r="E17" s="203"/>
      <c r="F17" s="203"/>
      <c r="G17" s="202"/>
      <c r="H17" s="3"/>
      <c r="I17" s="597"/>
      <c r="J17" s="210">
        <v>15.5</v>
      </c>
      <c r="K17" s="209">
        <f>K11+I15</f>
        <v>15.066666666666666</v>
      </c>
      <c r="L17" s="603"/>
      <c r="M17" s="474">
        <f t="shared" si="0"/>
        <v>102.87610619469027</v>
      </c>
      <c r="P17" s="582"/>
      <c r="Q17" s="582"/>
      <c r="R17" s="475"/>
      <c r="S17" s="475"/>
      <c r="T17" s="475"/>
      <c r="U17" s="475"/>
      <c r="V17" s="475"/>
      <c r="W17" s="475"/>
      <c r="X17" s="475"/>
      <c r="Y17" s="475"/>
    </row>
    <row r="18" spans="2:25" ht="15.75" customHeight="1" thickBot="1" x14ac:dyDescent="0.25">
      <c r="B18" s="48"/>
      <c r="C18" s="3"/>
      <c r="D18" s="4"/>
      <c r="E18" s="4"/>
      <c r="F18" s="3"/>
      <c r="G18" s="73"/>
      <c r="H18" s="3"/>
      <c r="I18" s="593" t="s">
        <v>92</v>
      </c>
      <c r="J18" s="229">
        <v>55.2</v>
      </c>
      <c r="K18" s="228">
        <f>K9+I18</f>
        <v>55.066666666666663</v>
      </c>
      <c r="L18" s="601">
        <f>AVERAGE(M18:M20)</f>
        <v>101.6949152542373</v>
      </c>
      <c r="M18" s="474">
        <f t="shared" si="0"/>
        <v>100.24213075060533</v>
      </c>
      <c r="P18" s="582"/>
      <c r="Q18" s="582"/>
      <c r="R18" s="475"/>
      <c r="S18" s="475"/>
      <c r="T18" s="475"/>
      <c r="U18" s="475"/>
      <c r="V18" s="475"/>
      <c r="W18" s="475"/>
      <c r="X18" s="475"/>
      <c r="Y18" s="475"/>
    </row>
    <row r="19" spans="2:25" x14ac:dyDescent="0.2">
      <c r="B19" s="48"/>
      <c r="C19" s="226" t="s">
        <v>91</v>
      </c>
      <c r="D19" s="227">
        <f>F20/SUM(P10:P24)</f>
        <v>0.68293775190326989</v>
      </c>
      <c r="E19" s="178"/>
      <c r="F19" s="81" t="s">
        <v>90</v>
      </c>
      <c r="G19" s="73"/>
      <c r="H19" s="3"/>
      <c r="I19" s="594"/>
      <c r="J19" s="212">
        <v>56.3</v>
      </c>
      <c r="K19" s="211">
        <f>K10+I18</f>
        <v>55.066666666666663</v>
      </c>
      <c r="L19" s="602"/>
      <c r="M19" s="474">
        <f t="shared" si="0"/>
        <v>102.23970944309929</v>
      </c>
      <c r="P19" s="582">
        <f>VAR(J18:J20)</f>
        <v>0.48999999999999688</v>
      </c>
      <c r="Q19" s="582">
        <f>DEVSQ(J18:J20)</f>
        <v>0.97999999999999376</v>
      </c>
      <c r="R19" s="475"/>
      <c r="S19" s="475"/>
      <c r="T19" s="475"/>
      <c r="U19" s="475"/>
      <c r="V19" s="475"/>
      <c r="W19" s="475"/>
      <c r="X19" s="475"/>
      <c r="Y19" s="475"/>
    </row>
    <row r="20" spans="2:25" ht="13.5" thickBot="1" x14ac:dyDescent="0.25">
      <c r="B20" s="208"/>
      <c r="C20" s="226" t="s">
        <v>89</v>
      </c>
      <c r="D20" s="225">
        <v>0.68400000000000005</v>
      </c>
      <c r="E20" s="178"/>
      <c r="F20" s="224">
        <f>MAX(P10:P24)</f>
        <v>1.4233333333333316</v>
      </c>
      <c r="G20" s="73"/>
      <c r="H20" s="3"/>
      <c r="I20" s="595"/>
      <c r="J20" s="223">
        <v>56.5</v>
      </c>
      <c r="K20" s="222">
        <f>K11+I18</f>
        <v>55.066666666666663</v>
      </c>
      <c r="L20" s="603"/>
      <c r="M20" s="474">
        <f t="shared" si="0"/>
        <v>102.60290556900728</v>
      </c>
      <c r="P20" s="582"/>
      <c r="Q20" s="582"/>
      <c r="R20" s="475"/>
      <c r="S20" s="475"/>
      <c r="T20" s="475"/>
      <c r="U20" s="475"/>
      <c r="V20" s="475"/>
      <c r="W20" s="475"/>
      <c r="X20" s="475"/>
      <c r="Y20" s="475"/>
    </row>
    <row r="21" spans="2:25" ht="15" customHeight="1" x14ac:dyDescent="0.2">
      <c r="B21" s="221"/>
      <c r="C21" s="56"/>
      <c r="D21" s="56"/>
      <c r="E21" s="220"/>
      <c r="F21" s="219"/>
      <c r="G21" s="218"/>
      <c r="H21" s="3"/>
      <c r="I21" s="596" t="s">
        <v>88</v>
      </c>
      <c r="J21" s="217">
        <v>110.5</v>
      </c>
      <c r="K21" s="216">
        <f>K9+I21</f>
        <v>105.06666666666666</v>
      </c>
      <c r="L21" s="601">
        <f>AVERAGE(M21:M23)</f>
        <v>103.9022842639594</v>
      </c>
      <c r="M21" s="474">
        <f t="shared" si="0"/>
        <v>105.17131979695432</v>
      </c>
      <c r="P21" s="582"/>
      <c r="Q21" s="582"/>
      <c r="R21" s="475"/>
      <c r="S21" s="475"/>
      <c r="T21" s="475"/>
      <c r="U21" s="475"/>
      <c r="V21" s="475"/>
      <c r="W21" s="475"/>
      <c r="X21" s="475"/>
      <c r="Y21" s="475"/>
    </row>
    <row r="22" spans="2:25" x14ac:dyDescent="0.2">
      <c r="B22" s="215"/>
      <c r="C22" s="84"/>
      <c r="D22" s="4"/>
      <c r="E22" s="214"/>
      <c r="F22" s="214"/>
      <c r="G22" s="213"/>
      <c r="H22" s="3"/>
      <c r="I22" s="594"/>
      <c r="J22" s="212">
        <v>108.8</v>
      </c>
      <c r="K22" s="211">
        <f>K10+I21</f>
        <v>105.06666666666666</v>
      </c>
      <c r="L22" s="602"/>
      <c r="M22" s="474">
        <f t="shared" si="0"/>
        <v>103.55329949238579</v>
      </c>
      <c r="P22" s="582">
        <f>VAR(J21:J23)</f>
        <v>1.4233333333333316</v>
      </c>
      <c r="Q22" s="582">
        <f>DEVSQ(J21:J23)</f>
        <v>2.8466666666666631</v>
      </c>
      <c r="R22" s="475"/>
      <c r="S22" s="475"/>
      <c r="T22" s="475"/>
      <c r="U22" s="475"/>
      <c r="V22" s="475"/>
      <c r="W22" s="475"/>
      <c r="X22" s="475"/>
      <c r="Y22" s="475"/>
    </row>
    <row r="23" spans="2:25" ht="13.5" thickBot="1" x14ac:dyDescent="0.25">
      <c r="B23" s="191" t="s">
        <v>87</v>
      </c>
      <c r="C23" s="190"/>
      <c r="D23" s="203"/>
      <c r="E23" s="190"/>
      <c r="F23" s="190"/>
      <c r="G23" s="202"/>
      <c r="H23" s="3"/>
      <c r="I23" s="597"/>
      <c r="J23" s="210">
        <v>108.2</v>
      </c>
      <c r="K23" s="209">
        <f>K11+I21</f>
        <v>105.06666666666666</v>
      </c>
      <c r="L23" s="603"/>
      <c r="M23" s="474">
        <f t="shared" si="0"/>
        <v>102.98223350253808</v>
      </c>
      <c r="P23" s="582"/>
      <c r="Q23" s="582"/>
      <c r="R23" s="475"/>
      <c r="S23" s="475"/>
      <c r="T23" s="475"/>
      <c r="U23" s="475"/>
      <c r="V23" s="475"/>
      <c r="W23" s="475"/>
      <c r="X23" s="475"/>
      <c r="Y23" s="475"/>
    </row>
    <row r="24" spans="2:25" x14ac:dyDescent="0.2">
      <c r="B24" s="208"/>
      <c r="C24" s="3"/>
      <c r="D24" s="3"/>
      <c r="E24" s="4"/>
      <c r="F24" s="4"/>
      <c r="G24" s="73"/>
      <c r="H24" s="3"/>
      <c r="I24" s="196"/>
      <c r="J24" s="153"/>
      <c r="K24" s="3"/>
      <c r="L24" s="3"/>
      <c r="M24" s="50"/>
      <c r="P24" s="582"/>
      <c r="Q24" s="582"/>
      <c r="R24" s="475"/>
      <c r="S24" s="475"/>
      <c r="T24" s="475"/>
      <c r="U24" s="475"/>
      <c r="V24" s="475"/>
      <c r="W24" s="475"/>
      <c r="X24" s="475"/>
      <c r="Y24" s="475"/>
    </row>
    <row r="25" spans="2:25" x14ac:dyDescent="0.2">
      <c r="B25" s="208"/>
      <c r="C25" s="394" t="s">
        <v>19</v>
      </c>
      <c r="D25" s="66">
        <f t="array" ref="D25:E29">LINEST(J9:J23,K9:K23,1,1)</f>
        <v>1.0391708449396473</v>
      </c>
      <c r="E25" s="207">
        <v>-0.39643683070256941</v>
      </c>
      <c r="F25" s="394" t="s">
        <v>16</v>
      </c>
      <c r="G25" s="73"/>
      <c r="H25" s="3"/>
      <c r="I25" s="196"/>
      <c r="J25" s="153"/>
      <c r="K25" s="3"/>
      <c r="L25" s="3"/>
      <c r="M25" s="50"/>
      <c r="P25" s="475"/>
      <c r="Q25" s="475"/>
      <c r="R25" s="475"/>
      <c r="S25" s="475"/>
      <c r="T25" s="475"/>
      <c r="U25" s="475"/>
      <c r="V25" s="475"/>
      <c r="W25" s="475"/>
      <c r="X25" s="475"/>
      <c r="Y25" s="475"/>
    </row>
    <row r="26" spans="2:25" x14ac:dyDescent="0.2">
      <c r="B26" s="48"/>
      <c r="C26" s="394" t="s">
        <v>1</v>
      </c>
      <c r="D26" s="66">
        <v>5.1211885103948779E-3</v>
      </c>
      <c r="E26" s="66">
        <v>0.27507367108717418</v>
      </c>
      <c r="F26" s="395" t="s">
        <v>3</v>
      </c>
      <c r="G26" s="79"/>
      <c r="H26" s="3"/>
      <c r="I26" s="3"/>
      <c r="J26" s="3"/>
      <c r="K26" s="3"/>
      <c r="L26" s="3"/>
      <c r="M26" s="50"/>
      <c r="P26" s="475"/>
      <c r="Q26" s="475"/>
      <c r="R26" s="475"/>
      <c r="S26" s="475"/>
      <c r="T26" s="475"/>
      <c r="U26" s="475"/>
      <c r="V26" s="475"/>
      <c r="W26" s="475"/>
      <c r="X26" s="475"/>
      <c r="Y26" s="475"/>
    </row>
    <row r="27" spans="2:25" x14ac:dyDescent="0.2">
      <c r="B27" s="206"/>
      <c r="C27" s="394" t="s">
        <v>57</v>
      </c>
      <c r="D27" s="60">
        <v>0.99968437319918557</v>
      </c>
      <c r="E27" s="60">
        <v>0.75161183844380142</v>
      </c>
      <c r="F27" s="394" t="s">
        <v>10</v>
      </c>
      <c r="G27" s="73"/>
      <c r="H27" s="3"/>
      <c r="I27" s="3"/>
      <c r="J27" s="3"/>
      <c r="K27" s="3"/>
      <c r="L27" s="3"/>
      <c r="M27" s="50"/>
      <c r="P27" s="475"/>
      <c r="Q27" s="475"/>
      <c r="R27" s="475"/>
      <c r="S27" s="475"/>
      <c r="T27" s="475"/>
      <c r="U27" s="475"/>
      <c r="V27" s="475"/>
      <c r="W27" s="475"/>
      <c r="X27" s="475"/>
      <c r="Y27" s="475"/>
    </row>
    <row r="28" spans="2:25" x14ac:dyDescent="0.2">
      <c r="B28" s="205"/>
      <c r="C28" s="394" t="s">
        <v>55</v>
      </c>
      <c r="D28" s="60">
        <v>41174.883812329957</v>
      </c>
      <c r="E28" s="59">
        <v>13</v>
      </c>
      <c r="F28" s="394" t="s">
        <v>46</v>
      </c>
      <c r="G28" s="73"/>
      <c r="H28" s="3"/>
      <c r="I28" s="3"/>
      <c r="J28" s="3"/>
      <c r="K28" s="3"/>
      <c r="L28" s="3"/>
      <c r="M28" s="50"/>
      <c r="N28" s="3"/>
      <c r="P28" s="475"/>
      <c r="Q28" s="475"/>
      <c r="R28" s="475"/>
      <c r="S28" s="475"/>
      <c r="T28" s="475"/>
      <c r="U28" s="475"/>
      <c r="V28" s="475"/>
      <c r="W28" s="475"/>
      <c r="X28" s="475"/>
      <c r="Y28" s="475"/>
    </row>
    <row r="29" spans="2:25" ht="15" x14ac:dyDescent="0.25">
      <c r="B29" s="205"/>
      <c r="C29" s="394" t="s">
        <v>54</v>
      </c>
      <c r="D29" s="60">
        <v>23260.530008709375</v>
      </c>
      <c r="E29" s="60">
        <v>7.3439646239553227</v>
      </c>
      <c r="F29" s="394" t="s">
        <v>53</v>
      </c>
      <c r="G29" s="73"/>
      <c r="H29" s="3"/>
      <c r="I29" s="3"/>
      <c r="J29" s="3"/>
      <c r="K29" s="3"/>
      <c r="L29" s="3"/>
      <c r="M29" s="50"/>
      <c r="N29" s="3"/>
      <c r="P29" s="581" t="s">
        <v>160</v>
      </c>
      <c r="Q29" s="581"/>
      <c r="R29" s="581"/>
      <c r="S29" s="581"/>
      <c r="T29" s="581" t="s">
        <v>50</v>
      </c>
      <c r="U29" s="581"/>
      <c r="V29" s="581"/>
      <c r="W29" s="581"/>
      <c r="X29" s="581"/>
      <c r="Y29" s="581"/>
    </row>
    <row r="30" spans="2:25" ht="15" x14ac:dyDescent="0.25">
      <c r="B30" s="204"/>
      <c r="C30" s="4"/>
      <c r="D30" s="178"/>
      <c r="E30" s="4"/>
      <c r="F30" s="179"/>
      <c r="G30" s="73"/>
      <c r="H30" s="3"/>
      <c r="I30" s="3"/>
      <c r="J30" s="3"/>
      <c r="K30" s="3"/>
      <c r="L30" s="3"/>
      <c r="M30" s="50"/>
      <c r="N30" s="3"/>
      <c r="P30" s="477" t="s">
        <v>103</v>
      </c>
      <c r="Q30" s="477" t="s">
        <v>104</v>
      </c>
      <c r="R30" s="477" t="s">
        <v>161</v>
      </c>
      <c r="S30" s="477" t="s">
        <v>162</v>
      </c>
      <c r="T30" s="477" t="s">
        <v>47</v>
      </c>
      <c r="U30" s="477" t="s">
        <v>46</v>
      </c>
      <c r="V30" s="477" t="s">
        <v>45</v>
      </c>
      <c r="W30" s="477" t="s">
        <v>44</v>
      </c>
      <c r="X30" s="477" t="s">
        <v>159</v>
      </c>
      <c r="Y30" s="478" t="s">
        <v>163</v>
      </c>
    </row>
    <row r="31" spans="2:25" ht="15" x14ac:dyDescent="0.25">
      <c r="B31" s="191" t="s">
        <v>86</v>
      </c>
      <c r="C31" s="203"/>
      <c r="D31" s="203"/>
      <c r="E31" s="203"/>
      <c r="F31" s="203"/>
      <c r="G31" s="202"/>
      <c r="H31" s="3"/>
      <c r="I31" s="3"/>
      <c r="J31" s="3"/>
      <c r="K31" s="3"/>
      <c r="L31" s="3"/>
      <c r="M31" s="50"/>
      <c r="N31" s="3"/>
      <c r="P31" s="477" t="s">
        <v>164</v>
      </c>
      <c r="Q31" s="477">
        <f>COUNT(J9:J23)</f>
        <v>15</v>
      </c>
      <c r="R31" s="479">
        <f>SUM(J9:J23)^2</f>
        <v>345062.25640000007</v>
      </c>
      <c r="S31" s="479">
        <f>R31/Q31</f>
        <v>23004.150426666671</v>
      </c>
      <c r="T31" s="480">
        <f>DEVSQ(J9:J23)</f>
        <v>23267.873973333331</v>
      </c>
      <c r="U31" s="477">
        <f>Q31-1</f>
        <v>14</v>
      </c>
      <c r="V31" s="479">
        <f t="shared" ref="V31:V34" si="1">T31/U31</f>
        <v>1661.990998095238</v>
      </c>
      <c r="W31" s="477" t="s">
        <v>12</v>
      </c>
      <c r="X31" s="477" t="s">
        <v>12</v>
      </c>
      <c r="Y31" s="481">
        <f>SUM(Y33:Y36)</f>
        <v>1</v>
      </c>
    </row>
    <row r="32" spans="2:25" ht="15" x14ac:dyDescent="0.25">
      <c r="B32" s="201"/>
      <c r="C32" s="179"/>
      <c r="D32" s="4"/>
      <c r="E32" s="4"/>
      <c r="F32" s="85"/>
      <c r="G32" s="73"/>
      <c r="H32" s="3"/>
      <c r="I32" s="3"/>
      <c r="J32" s="3"/>
      <c r="K32" s="3"/>
      <c r="L32" s="3"/>
      <c r="M32" s="50"/>
      <c r="N32" s="3"/>
      <c r="P32" s="477" t="s">
        <v>42</v>
      </c>
      <c r="Q32" s="477" t="s">
        <v>12</v>
      </c>
      <c r="R32" s="480" t="s">
        <v>12</v>
      </c>
      <c r="S32" s="477" t="s">
        <v>12</v>
      </c>
      <c r="T32" s="479">
        <f>T34</f>
        <v>23263.705706666657</v>
      </c>
      <c r="U32" s="477">
        <f>U34</f>
        <v>4</v>
      </c>
      <c r="V32" s="479">
        <f t="shared" si="1"/>
        <v>5815.9264266666642</v>
      </c>
      <c r="W32" s="479">
        <f>V32/V33</f>
        <v>13952.865523611847</v>
      </c>
      <c r="X32" s="479">
        <f>FINV(0.05,U32,U33)</f>
        <v>3.4780496907652281</v>
      </c>
      <c r="Y32" s="481">
        <f>T32/T31</f>
        <v>0.99982085743323812</v>
      </c>
    </row>
    <row r="33" spans="2:25" ht="15" x14ac:dyDescent="0.25">
      <c r="B33" s="200" t="s">
        <v>85</v>
      </c>
      <c r="C33" s="4"/>
      <c r="D33" s="3"/>
      <c r="E33" s="198" t="s">
        <v>84</v>
      </c>
      <c r="F33" s="198" t="s">
        <v>83</v>
      </c>
      <c r="G33" s="73"/>
      <c r="H33" s="3"/>
      <c r="I33" s="3"/>
      <c r="J33" s="3"/>
      <c r="K33" s="3"/>
      <c r="L33" s="3"/>
      <c r="M33" s="50"/>
      <c r="N33" s="3"/>
      <c r="P33" s="477" t="s">
        <v>165</v>
      </c>
      <c r="Q33" s="477" t="s">
        <v>12</v>
      </c>
      <c r="R33" s="479" t="s">
        <v>12</v>
      </c>
      <c r="S33" s="479" t="s">
        <v>12</v>
      </c>
      <c r="T33" s="479">
        <f>T31-T32</f>
        <v>4.1682666666747537</v>
      </c>
      <c r="U33" s="477">
        <f>U31-U32</f>
        <v>10</v>
      </c>
      <c r="V33" s="479">
        <f t="shared" si="1"/>
        <v>0.41682666666747537</v>
      </c>
      <c r="W33" s="479" t="s">
        <v>12</v>
      </c>
      <c r="X33" s="477" t="s">
        <v>12</v>
      </c>
      <c r="Y33" s="481">
        <f>T33/T31</f>
        <v>1.7914256676187474E-4</v>
      </c>
    </row>
    <row r="34" spans="2:25" ht="15" x14ac:dyDescent="0.25">
      <c r="B34" s="82" t="s">
        <v>0</v>
      </c>
      <c r="C34" s="87">
        <f>(D25-1)/D26</f>
        <v>7.6487801337793275</v>
      </c>
      <c r="D34" s="3"/>
      <c r="E34" s="198">
        <f>MIN(J9:J23)</f>
        <v>4.8</v>
      </c>
      <c r="F34" s="198">
        <f>MAX(J9:J23)</f>
        <v>110.5</v>
      </c>
      <c r="G34" s="199"/>
      <c r="H34" s="3"/>
      <c r="I34" s="196"/>
      <c r="J34" s="3"/>
      <c r="K34" s="3"/>
      <c r="L34" s="3"/>
      <c r="M34" s="50"/>
      <c r="N34" s="3"/>
      <c r="P34" s="477" t="s">
        <v>104</v>
      </c>
      <c r="Q34" s="477">
        <v>5</v>
      </c>
      <c r="R34" s="479">
        <f>SUM(J9:J11)^2+SUM(J12:J14)^2+SUM(J15:J17)^2+SUM(J18:J20)^2+SUM(J21:J23)^2</f>
        <v>138803.56839999999</v>
      </c>
      <c r="S34" s="479">
        <f>R34*Q34/Q31</f>
        <v>46267.856133333327</v>
      </c>
      <c r="T34" s="479">
        <f>S34-S31</f>
        <v>23263.705706666657</v>
      </c>
      <c r="U34" s="477">
        <f>Q34-1</f>
        <v>4</v>
      </c>
      <c r="V34" s="479">
        <f t="shared" si="1"/>
        <v>5815.9264266666642</v>
      </c>
      <c r="W34" s="479">
        <f>V34/V33</f>
        <v>13952.865523611847</v>
      </c>
      <c r="X34" s="479">
        <f>FINV(0.05,U34,U33)</f>
        <v>3.4780496907652281</v>
      </c>
      <c r="Y34" s="481" t="s">
        <v>12</v>
      </c>
    </row>
    <row r="35" spans="2:25" ht="15" x14ac:dyDescent="0.25">
      <c r="B35" s="82" t="s">
        <v>82</v>
      </c>
      <c r="C35" s="60">
        <f>TINV(0.05,COUNT(K9:K23)-2)</f>
        <v>2.1603686564627926</v>
      </c>
      <c r="D35" s="3"/>
      <c r="E35" s="198">
        <f>E34</f>
        <v>4.8</v>
      </c>
      <c r="F35" s="198">
        <f>F34</f>
        <v>110.5</v>
      </c>
      <c r="G35" s="197"/>
      <c r="H35" s="3"/>
      <c r="I35" s="196"/>
      <c r="J35" s="3"/>
      <c r="K35" s="3"/>
      <c r="L35" s="3"/>
      <c r="M35" s="50"/>
      <c r="N35" s="3"/>
      <c r="P35" s="477" t="s">
        <v>173</v>
      </c>
      <c r="Q35" s="477" t="s">
        <v>12</v>
      </c>
      <c r="R35" s="479" t="s">
        <v>12</v>
      </c>
      <c r="S35" s="479" t="s">
        <v>12</v>
      </c>
      <c r="T35" s="479">
        <f>D29</f>
        <v>23260.530008709375</v>
      </c>
      <c r="U35" s="477">
        <v>1</v>
      </c>
      <c r="V35" s="479">
        <f>T35/U35</f>
        <v>23260.530008709375</v>
      </c>
      <c r="W35" s="479">
        <f>V35/V33</f>
        <v>55803.843344949732</v>
      </c>
      <c r="X35" s="479">
        <f>FINV(0.05,U35,U33)</f>
        <v>4.9646027437307128</v>
      </c>
      <c r="Y35" s="481">
        <f>T35/T31</f>
        <v>0.99968437319918557</v>
      </c>
    </row>
    <row r="36" spans="2:25" ht="15" x14ac:dyDescent="0.25">
      <c r="B36" s="195"/>
      <c r="C36" s="193"/>
      <c r="D36" s="194"/>
      <c r="E36" s="193"/>
      <c r="F36" s="53"/>
      <c r="G36" s="192"/>
      <c r="H36" s="3"/>
      <c r="I36" s="3"/>
      <c r="J36" s="3"/>
      <c r="K36" s="3"/>
      <c r="L36" s="3"/>
      <c r="M36" s="50"/>
      <c r="N36" s="3"/>
      <c r="P36" s="477" t="s">
        <v>39</v>
      </c>
      <c r="Q36" s="477" t="s">
        <v>12</v>
      </c>
      <c r="R36" s="479" t="s">
        <v>12</v>
      </c>
      <c r="S36" s="479" t="s">
        <v>12</v>
      </c>
      <c r="T36" s="479">
        <f>T34-T35</f>
        <v>3.1756979572819546</v>
      </c>
      <c r="U36" s="477">
        <f>U34-U35</f>
        <v>3</v>
      </c>
      <c r="V36" s="479">
        <f>T36/U36</f>
        <v>1.0585659857606515</v>
      </c>
      <c r="W36" s="479">
        <f>V36/V33</f>
        <v>2.539583165884935</v>
      </c>
      <c r="X36" s="479">
        <f>FINV(0.05,U36,U33)</f>
        <v>3.7082648190468448</v>
      </c>
      <c r="Y36" s="481">
        <f>T36/T31</f>
        <v>1.3648423405256254E-4</v>
      </c>
    </row>
    <row r="37" spans="2:25" x14ac:dyDescent="0.2">
      <c r="B37" s="191" t="s">
        <v>50</v>
      </c>
      <c r="C37" s="92"/>
      <c r="D37" s="91"/>
      <c r="E37" s="91"/>
      <c r="F37" s="190"/>
      <c r="G37" s="90"/>
      <c r="H37" s="3"/>
      <c r="I37" s="3"/>
      <c r="J37" s="3"/>
      <c r="K37" s="3"/>
      <c r="L37" s="3"/>
      <c r="M37" s="50"/>
    </row>
    <row r="38" spans="2:25" x14ac:dyDescent="0.2">
      <c r="B38" s="189"/>
      <c r="C38" s="4"/>
      <c r="D38" s="85"/>
      <c r="E38" s="84"/>
      <c r="F38" s="188"/>
      <c r="G38" s="83"/>
      <c r="H38" s="3"/>
      <c r="I38" s="3"/>
      <c r="J38" s="3"/>
      <c r="K38" s="3"/>
      <c r="L38" s="3"/>
      <c r="M38" s="50"/>
    </row>
    <row r="39" spans="2:25" x14ac:dyDescent="0.2">
      <c r="B39" s="184" t="s">
        <v>48</v>
      </c>
      <c r="C39" s="187" t="s">
        <v>47</v>
      </c>
      <c r="D39" s="187" t="s">
        <v>46</v>
      </c>
      <c r="E39" s="187" t="s">
        <v>45</v>
      </c>
      <c r="F39" s="187" t="s">
        <v>44</v>
      </c>
      <c r="G39" s="187" t="s">
        <v>43</v>
      </c>
      <c r="H39" s="3"/>
      <c r="I39" s="3"/>
      <c r="J39" s="3"/>
      <c r="K39" s="3"/>
      <c r="L39" s="3"/>
      <c r="M39" s="50"/>
    </row>
    <row r="40" spans="2:25" ht="13.5" thickBot="1" x14ac:dyDescent="0.25">
      <c r="B40" s="184" t="s">
        <v>42</v>
      </c>
      <c r="C40" s="60">
        <f>C44-C43</f>
        <v>23263.705706666664</v>
      </c>
      <c r="D40" s="186">
        <f>COUNT(P10:P24)-1</f>
        <v>4</v>
      </c>
      <c r="E40" s="60">
        <f>C40/D40</f>
        <v>5815.926426666666</v>
      </c>
      <c r="F40" s="78"/>
      <c r="G40" s="78"/>
      <c r="H40" s="3"/>
      <c r="I40" s="3"/>
      <c r="J40" s="3"/>
      <c r="K40" s="3"/>
      <c r="L40" s="3"/>
      <c r="M40" s="50"/>
    </row>
    <row r="41" spans="2:25" x14ac:dyDescent="0.2">
      <c r="B41" s="184" t="s">
        <v>40</v>
      </c>
      <c r="C41" s="60">
        <f>D29</f>
        <v>23260.530008709375</v>
      </c>
      <c r="D41" s="183">
        <v>1</v>
      </c>
      <c r="E41" s="72">
        <f>C41/D41</f>
        <v>23260.530008709375</v>
      </c>
      <c r="F41" s="76">
        <f>E41/E43</f>
        <v>55803.843345058129</v>
      </c>
      <c r="G41" s="75">
        <f>FINV(0.01,D41,D43)</f>
        <v>10.044289273396597</v>
      </c>
      <c r="H41" s="3"/>
      <c r="I41" s="3"/>
      <c r="J41" s="3"/>
      <c r="K41" s="3"/>
      <c r="L41" s="3"/>
      <c r="M41" s="50"/>
      <c r="N41" s="3"/>
      <c r="O41" s="3"/>
    </row>
    <row r="42" spans="2:25" ht="13.5" thickBot="1" x14ac:dyDescent="0.25">
      <c r="B42" s="184" t="s">
        <v>39</v>
      </c>
      <c r="C42" s="60">
        <f>C40-C41</f>
        <v>3.1756979572892305</v>
      </c>
      <c r="D42" s="59">
        <f>COUNT(P10:P24)-2</f>
        <v>3</v>
      </c>
      <c r="E42" s="72">
        <f>C42/D42</f>
        <v>1.0585659857630769</v>
      </c>
      <c r="F42" s="71">
        <f>E42/E43</f>
        <v>2.5395831658956869</v>
      </c>
      <c r="G42" s="70">
        <f>FINV(0.05,D42,D43)</f>
        <v>3.7082648190468448</v>
      </c>
      <c r="H42" s="3"/>
      <c r="I42" s="3"/>
      <c r="J42" s="3"/>
      <c r="K42" s="3"/>
      <c r="L42" s="3"/>
      <c r="M42" s="50"/>
      <c r="N42" s="3"/>
      <c r="O42" s="3"/>
    </row>
    <row r="43" spans="2:25" x14ac:dyDescent="0.2">
      <c r="B43" s="184" t="s">
        <v>37</v>
      </c>
      <c r="C43" s="60">
        <f>SUM(Q10:Q23)</f>
        <v>4.168266666666657</v>
      </c>
      <c r="D43" s="185">
        <f>D44-D40</f>
        <v>10</v>
      </c>
      <c r="E43" s="60">
        <f>C43/D43</f>
        <v>0.41682666666666568</v>
      </c>
      <c r="F43" s="65"/>
      <c r="G43" s="65"/>
      <c r="H43" s="3"/>
      <c r="I43" s="3"/>
      <c r="J43" s="3"/>
      <c r="K43" s="3"/>
      <c r="L43" s="3"/>
      <c r="M43" s="50"/>
      <c r="N43" s="3"/>
      <c r="O43" s="3"/>
    </row>
    <row r="44" spans="2:25" x14ac:dyDescent="0.2">
      <c r="B44" s="184" t="s">
        <v>36</v>
      </c>
      <c r="C44" s="60">
        <f>DEVSQ(J9:J23)</f>
        <v>23267.873973333331</v>
      </c>
      <c r="D44" s="183">
        <f>COUNT(J9:J23)-1</f>
        <v>14</v>
      </c>
      <c r="E44" s="58"/>
      <c r="F44" s="58"/>
      <c r="G44" s="58"/>
      <c r="H44" s="3"/>
      <c r="I44" s="3"/>
      <c r="J44" s="3"/>
      <c r="K44" s="3"/>
      <c r="L44" s="3"/>
      <c r="M44" s="50"/>
      <c r="N44" s="3"/>
      <c r="O44" s="3"/>
    </row>
    <row r="45" spans="2:25" ht="13.5" thickBot="1" x14ac:dyDescent="0.25">
      <c r="H45" s="47"/>
      <c r="I45" s="3"/>
      <c r="J45" s="3"/>
      <c r="K45" s="3"/>
      <c r="L45" s="3"/>
      <c r="M45" s="50"/>
      <c r="N45" s="3"/>
      <c r="O45" s="3"/>
    </row>
    <row r="46" spans="2:25" x14ac:dyDescent="0.2">
      <c r="B46" s="182" t="s">
        <v>81</v>
      </c>
      <c r="C46" s="181"/>
      <c r="D46" s="180"/>
      <c r="E46" s="179"/>
      <c r="F46" s="84"/>
      <c r="G46" s="178"/>
      <c r="H46" s="3"/>
      <c r="I46" s="3"/>
      <c r="J46" s="3"/>
      <c r="K46" s="3"/>
      <c r="L46" s="3"/>
      <c r="M46" s="50"/>
      <c r="N46" s="3"/>
      <c r="O46" s="3"/>
    </row>
    <row r="47" spans="2:25" ht="13.5" thickBot="1" x14ac:dyDescent="0.25">
      <c r="B47" s="74" t="str">
        <f>IF(ABS(F42)&lt;G42,"pas d'écart à la linéarité","écart à la linéarité")</f>
        <v>pas d'écart à la linéarité</v>
      </c>
      <c r="C47" s="4"/>
      <c r="D47" s="175"/>
      <c r="H47" s="3"/>
      <c r="I47" s="3"/>
      <c r="J47" s="3"/>
      <c r="K47" s="3"/>
      <c r="L47" s="3"/>
      <c r="M47" s="50"/>
      <c r="N47" s="3"/>
      <c r="O47" s="3"/>
    </row>
    <row r="48" spans="2:25" x14ac:dyDescent="0.2">
      <c r="B48" s="69" t="s">
        <v>38</v>
      </c>
      <c r="C48" s="68"/>
      <c r="D48" s="177"/>
      <c r="H48" s="3"/>
      <c r="I48" s="45"/>
      <c r="M48" s="50"/>
      <c r="N48" s="3"/>
      <c r="O48" s="3"/>
    </row>
    <row r="49" spans="1:15" ht="13.5" thickBot="1" x14ac:dyDescent="0.25">
      <c r="B49" s="64" t="str">
        <f>IF(B47="pas d'écart à la linéarité",IF(ABS(C34)&lt;C35,"pas d'erreur systématique due à la méthode","erreur systématique due à la méthode"),"revoir le test")</f>
        <v>erreur systématique due à la méthode</v>
      </c>
      <c r="C49" s="63"/>
      <c r="D49" s="176"/>
      <c r="H49" s="3"/>
      <c r="I49" s="4"/>
      <c r="M49" s="50"/>
      <c r="N49" s="3"/>
      <c r="O49" s="3"/>
    </row>
    <row r="50" spans="1:15" ht="13.5" thickBot="1" x14ac:dyDescent="0.25">
      <c r="B50" s="48"/>
      <c r="C50" s="3"/>
      <c r="D50" s="3"/>
      <c r="E50" s="3"/>
      <c r="F50" s="3"/>
      <c r="G50" s="3"/>
      <c r="H50" s="3"/>
      <c r="I50" s="3"/>
      <c r="J50" s="4"/>
      <c r="K50" s="4"/>
      <c r="L50" s="4"/>
      <c r="M50" s="175"/>
      <c r="N50" s="4"/>
      <c r="O50" s="3"/>
    </row>
    <row r="51" spans="1:15" x14ac:dyDescent="0.2">
      <c r="A51" s="3"/>
      <c r="B51" s="583" t="s">
        <v>80</v>
      </c>
      <c r="C51" s="584"/>
      <c r="D51" s="584"/>
      <c r="E51" s="584"/>
      <c r="F51" s="584"/>
      <c r="G51" s="584"/>
      <c r="H51" s="584"/>
      <c r="I51" s="584"/>
      <c r="J51" s="584"/>
      <c r="K51" s="584"/>
      <c r="L51" s="584"/>
      <c r="M51" s="585"/>
      <c r="N51" s="4"/>
      <c r="O51" s="3"/>
    </row>
    <row r="52" spans="1:15" x14ac:dyDescent="0.2">
      <c r="A52" s="3"/>
      <c r="B52" s="586"/>
      <c r="C52" s="587"/>
      <c r="D52" s="587"/>
      <c r="E52" s="587"/>
      <c r="F52" s="587"/>
      <c r="G52" s="587"/>
      <c r="H52" s="587"/>
      <c r="I52" s="587"/>
      <c r="J52" s="587"/>
      <c r="K52" s="587"/>
      <c r="L52" s="587"/>
      <c r="M52" s="588"/>
      <c r="N52" s="4"/>
      <c r="O52" s="3"/>
    </row>
    <row r="53" spans="1:15" x14ac:dyDescent="0.2">
      <c r="A53" s="3"/>
      <c r="B53" s="586"/>
      <c r="C53" s="587"/>
      <c r="D53" s="587"/>
      <c r="E53" s="587"/>
      <c r="F53" s="587"/>
      <c r="G53" s="587"/>
      <c r="H53" s="587"/>
      <c r="I53" s="587"/>
      <c r="J53" s="587"/>
      <c r="K53" s="587"/>
      <c r="L53" s="587"/>
      <c r="M53" s="588"/>
      <c r="N53" s="4"/>
      <c r="O53" s="3"/>
    </row>
    <row r="54" spans="1:15" x14ac:dyDescent="0.2">
      <c r="A54" s="3"/>
      <c r="B54" s="586"/>
      <c r="C54" s="587"/>
      <c r="D54" s="587"/>
      <c r="E54" s="587"/>
      <c r="F54" s="587"/>
      <c r="G54" s="587"/>
      <c r="H54" s="587"/>
      <c r="I54" s="587"/>
      <c r="J54" s="587"/>
      <c r="K54" s="587"/>
      <c r="L54" s="587"/>
      <c r="M54" s="588"/>
      <c r="N54" s="4"/>
      <c r="O54" s="3"/>
    </row>
    <row r="55" spans="1:15" ht="13.5" thickBot="1" x14ac:dyDescent="0.25">
      <c r="A55" s="3"/>
      <c r="B55" s="589"/>
      <c r="C55" s="590"/>
      <c r="D55" s="590"/>
      <c r="E55" s="590"/>
      <c r="F55" s="590"/>
      <c r="G55" s="590"/>
      <c r="H55" s="590"/>
      <c r="I55" s="590"/>
      <c r="J55" s="590"/>
      <c r="K55" s="590"/>
      <c r="L55" s="590"/>
      <c r="M55" s="591"/>
      <c r="N55" s="4"/>
      <c r="O55" s="3"/>
    </row>
    <row r="56" spans="1:15" x14ac:dyDescent="0.2">
      <c r="A56" s="3"/>
      <c r="B56" s="174"/>
      <c r="C56" s="3"/>
      <c r="D56" s="3"/>
      <c r="E56" s="3"/>
      <c r="F56" s="3"/>
      <c r="G56" s="3"/>
      <c r="H56" s="3"/>
      <c r="I56" s="3"/>
      <c r="J56" s="4"/>
      <c r="K56" s="4"/>
      <c r="L56" s="4"/>
      <c r="M56" s="4"/>
      <c r="N56" s="4"/>
      <c r="O56" s="3"/>
    </row>
    <row r="57" spans="1:15" x14ac:dyDescent="0.2">
      <c r="A57" s="3"/>
      <c r="B57" s="3"/>
      <c r="C57" s="3"/>
      <c r="D57" s="3"/>
      <c r="E57" s="3"/>
      <c r="F57" s="3"/>
      <c r="G57" s="3"/>
      <c r="H57" s="3"/>
      <c r="I57" s="3"/>
      <c r="J57" s="4"/>
      <c r="K57" s="4"/>
      <c r="L57" s="4"/>
      <c r="M57" s="4"/>
      <c r="N57" s="4"/>
      <c r="O57" s="3"/>
    </row>
    <row r="58" spans="1:15" x14ac:dyDescent="0.2">
      <c r="A58" s="3"/>
      <c r="B58" s="153"/>
      <c r="C58" s="153"/>
      <c r="D58" s="3"/>
      <c r="E58" s="3"/>
      <c r="F58" s="3"/>
      <c r="G58" s="3"/>
      <c r="H58" s="3"/>
      <c r="I58" s="3"/>
      <c r="J58" s="4"/>
      <c r="K58" s="4"/>
      <c r="L58" s="4"/>
      <c r="M58" s="4"/>
      <c r="N58" s="4"/>
      <c r="O58" s="3"/>
    </row>
    <row r="59" spans="1:15" x14ac:dyDescent="0.2">
      <c r="A59" s="3"/>
      <c r="B59" s="172"/>
      <c r="C59" s="172"/>
      <c r="D59" s="153"/>
      <c r="E59" s="173"/>
      <c r="F59" s="3"/>
      <c r="G59" s="3"/>
      <c r="H59" s="3"/>
      <c r="I59" s="3"/>
      <c r="J59" s="4"/>
      <c r="K59" s="4"/>
      <c r="L59" s="4"/>
      <c r="M59" s="4"/>
      <c r="N59" s="4"/>
      <c r="O59" s="3"/>
    </row>
    <row r="60" spans="1:15" x14ac:dyDescent="0.2">
      <c r="A60" s="3"/>
      <c r="B60" s="172"/>
      <c r="C60" s="172"/>
      <c r="D60" s="153"/>
      <c r="E60" s="173"/>
      <c r="F60" s="3"/>
      <c r="G60" s="3"/>
      <c r="H60" s="3"/>
      <c r="I60" s="3"/>
      <c r="J60" s="3"/>
      <c r="K60" s="3"/>
      <c r="L60" s="3"/>
      <c r="M60" s="3"/>
      <c r="N60" s="3"/>
      <c r="O60" s="3"/>
    </row>
    <row r="61" spans="1:15" x14ac:dyDescent="0.2">
      <c r="A61" s="3"/>
      <c r="B61" s="172"/>
      <c r="C61" s="172"/>
      <c r="D61" s="153"/>
      <c r="E61" s="173"/>
      <c r="F61" s="3"/>
      <c r="G61" s="3"/>
      <c r="H61" s="3"/>
      <c r="I61" s="3"/>
      <c r="J61" s="3"/>
      <c r="K61" s="3"/>
      <c r="L61" s="3"/>
      <c r="M61" s="3"/>
      <c r="N61" s="3"/>
      <c r="O61" s="3"/>
    </row>
    <row r="62" spans="1:15" x14ac:dyDescent="0.2">
      <c r="A62" s="3"/>
      <c r="B62" s="172"/>
      <c r="C62" s="172"/>
      <c r="D62" s="153"/>
      <c r="E62" s="173"/>
      <c r="F62" s="3"/>
      <c r="G62" s="3"/>
      <c r="H62" s="3"/>
      <c r="I62" s="3"/>
      <c r="J62" s="3"/>
      <c r="K62" s="3"/>
      <c r="L62" s="3"/>
      <c r="M62" s="3"/>
      <c r="N62" s="3"/>
      <c r="O62" s="3"/>
    </row>
    <row r="63" spans="1:15" x14ac:dyDescent="0.2">
      <c r="A63" s="3"/>
      <c r="B63" s="172"/>
      <c r="C63" s="172"/>
      <c r="D63" s="153"/>
      <c r="E63" s="171"/>
      <c r="F63" s="3"/>
      <c r="G63" s="3"/>
      <c r="H63" s="3"/>
      <c r="I63" s="3"/>
      <c r="J63" s="3"/>
      <c r="K63" s="3"/>
      <c r="L63" s="3"/>
      <c r="M63" s="3"/>
      <c r="N63" s="3"/>
      <c r="O63" s="3"/>
    </row>
    <row r="64" spans="1:15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</row>
    <row r="65" spans="1:15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</row>
    <row r="66" spans="1:15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5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5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5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5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</row>
  </sheetData>
  <protectedRanges>
    <protectedRange sqref="J9:J23 I12:I23 C3:C4 J3:J4 C8:C15" name="Plage1"/>
    <protectedRange sqref="B51" name="Plage1_1"/>
  </protectedRanges>
  <mergeCells count="24">
    <mergeCell ref="B1:M1"/>
    <mergeCell ref="I18:I20"/>
    <mergeCell ref="I21:I23"/>
    <mergeCell ref="I9:I11"/>
    <mergeCell ref="I12:I14"/>
    <mergeCell ref="I15:I17"/>
    <mergeCell ref="L9:L11"/>
    <mergeCell ref="L21:L23"/>
    <mergeCell ref="L18:L20"/>
    <mergeCell ref="L15:L17"/>
    <mergeCell ref="L12:L14"/>
    <mergeCell ref="T29:Y29"/>
    <mergeCell ref="Q22:Q24"/>
    <mergeCell ref="B51:M55"/>
    <mergeCell ref="Q10:Q12"/>
    <mergeCell ref="Q13:Q15"/>
    <mergeCell ref="Q16:Q18"/>
    <mergeCell ref="Q19:Q21"/>
    <mergeCell ref="P29:S29"/>
    <mergeCell ref="P10:P12"/>
    <mergeCell ref="P13:P15"/>
    <mergeCell ref="P16:P18"/>
    <mergeCell ref="P19:P21"/>
    <mergeCell ref="P22:P24"/>
  </mergeCells>
  <conditionalFormatting sqref="C34">
    <cfRule type="cellIs" dxfId="27" priority="1" stopIfTrue="1" operator="between">
      <formula>$C$35</formula>
      <formula>-$C$35</formula>
    </cfRule>
    <cfRule type="cellIs" dxfId="26" priority="2" stopIfTrue="1" operator="notBetween">
      <formula>$C$35</formula>
      <formula>-$C$35</formula>
    </cfRule>
  </conditionalFormatting>
  <conditionalFormatting sqref="F41">
    <cfRule type="cellIs" dxfId="25" priority="3" stopIfTrue="1" operator="greaterThan">
      <formula>$G$41</formula>
    </cfRule>
    <cfRule type="cellIs" dxfId="24" priority="4" stopIfTrue="1" operator="lessThan">
      <formula>$G$41</formula>
    </cfRule>
  </conditionalFormatting>
  <conditionalFormatting sqref="F42">
    <cfRule type="cellIs" dxfId="23" priority="5" stopIfTrue="1" operator="lessThanOrEqual">
      <formula>$G$42</formula>
    </cfRule>
    <cfRule type="cellIs" dxfId="22" priority="6" stopIfTrue="1" operator="greaterThan">
      <formula>$G$42</formula>
    </cfRule>
  </conditionalFormatting>
  <pageMargins left="1.02" right="0.78740157499999996" top="0.17" bottom="0.17" header="0.4921259845" footer="0.4921259845"/>
  <pageSetup paperSize="9" scale="73" orientation="landscape" r:id="rId1"/>
  <headerFooter alignWithMargins="0"/>
  <ignoredErrors>
    <ignoredError sqref="P10:Y36 K9:K11" formulaRange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H117"/>
  <sheetViews>
    <sheetView showGridLines="0" topLeftCell="A12" zoomScale="70" zoomScaleNormal="70" zoomScaleSheetLayoutView="85" workbookViewId="0">
      <selection activeCell="R54" sqref="R54"/>
    </sheetView>
  </sheetViews>
  <sheetFormatPr baseColWidth="10" defaultColWidth="11.42578125" defaultRowHeight="12.75" x14ac:dyDescent="0.2"/>
  <cols>
    <col min="1" max="1" width="11.28515625" style="1" customWidth="1"/>
    <col min="2" max="2" width="11.42578125" style="1"/>
    <col min="3" max="3" width="13.5703125" style="1" bestFit="1" customWidth="1"/>
    <col min="4" max="4" width="12.42578125" style="1" bestFit="1" customWidth="1"/>
    <col min="5" max="6" width="12.28515625" style="1" bestFit="1" customWidth="1"/>
    <col min="7" max="7" width="11.5703125" style="1" bestFit="1" customWidth="1"/>
    <col min="8" max="8" width="3.42578125" style="1" customWidth="1"/>
    <col min="9" max="9" width="11.5703125" style="1" customWidth="1"/>
    <col min="10" max="10" width="11.5703125" style="1" bestFit="1" customWidth="1"/>
    <col min="11" max="12" width="11.42578125" style="1"/>
    <col min="13" max="13" width="12" style="1" bestFit="1" customWidth="1"/>
    <col min="14" max="14" width="12.42578125" style="1" bestFit="1" customWidth="1"/>
    <col min="15" max="15" width="2" style="1" customWidth="1"/>
    <col min="16" max="16" width="13.28515625" style="1" bestFit="1" customWidth="1"/>
    <col min="17" max="17" width="13.7109375" style="1" customWidth="1"/>
    <col min="18" max="16384" width="11.42578125" style="1"/>
  </cols>
  <sheetData>
    <row r="1" spans="2:18" ht="13.5" thickBot="1" x14ac:dyDescent="0.25"/>
    <row r="2" spans="2:18" ht="24.75" x14ac:dyDescent="0.2">
      <c r="B2" s="568" t="s">
        <v>120</v>
      </c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92"/>
      <c r="O2" s="292"/>
      <c r="P2" s="292"/>
      <c r="Q2" s="292"/>
    </row>
    <row r="3" spans="2:18" x14ac:dyDescent="0.2">
      <c r="B3" s="48"/>
      <c r="C3" s="47"/>
      <c r="D3" s="47"/>
      <c r="E3" s="47"/>
      <c r="F3" s="47"/>
      <c r="G3" s="47"/>
      <c r="H3" s="47"/>
      <c r="I3" s="47"/>
      <c r="J3" s="47"/>
      <c r="K3" s="47"/>
      <c r="L3" s="285"/>
      <c r="M3" s="284"/>
      <c r="N3" s="283"/>
      <c r="O3" s="47"/>
      <c r="P3" s="47"/>
      <c r="Q3" s="47"/>
    </row>
    <row r="4" spans="2:18" ht="18" x14ac:dyDescent="0.2">
      <c r="B4" s="165" t="s">
        <v>78</v>
      </c>
      <c r="C4" s="169"/>
      <c r="D4" s="169"/>
      <c r="E4" s="168"/>
      <c r="F4" s="168"/>
      <c r="G4" s="168"/>
      <c r="H4" s="168"/>
      <c r="I4" s="167" t="s">
        <v>77</v>
      </c>
      <c r="J4" s="161"/>
      <c r="K4" s="161"/>
      <c r="L4" s="161"/>
      <c r="M4" s="166" t="s">
        <v>119</v>
      </c>
      <c r="N4" s="253" t="s">
        <v>74</v>
      </c>
      <c r="O4" s="291"/>
      <c r="P4" s="282"/>
    </row>
    <row r="5" spans="2:18" ht="15" x14ac:dyDescent="0.2">
      <c r="B5" s="165" t="s">
        <v>73</v>
      </c>
      <c r="C5" s="164"/>
      <c r="D5" s="164"/>
      <c r="E5" s="252"/>
      <c r="F5" s="163"/>
      <c r="G5" s="163"/>
      <c r="H5" s="163"/>
      <c r="I5" s="162"/>
      <c r="J5" s="161"/>
      <c r="K5" s="161"/>
      <c r="L5" s="161"/>
      <c r="M5" s="159">
        <v>40238</v>
      </c>
      <c r="N5" s="392"/>
      <c r="O5" s="291"/>
      <c r="P5" s="282"/>
    </row>
    <row r="6" spans="2:18" ht="15" x14ac:dyDescent="0.2">
      <c r="B6" s="48"/>
      <c r="C6" s="97"/>
      <c r="D6" s="97"/>
      <c r="E6" s="290"/>
      <c r="F6" s="97"/>
      <c r="G6" s="97"/>
      <c r="H6" s="97"/>
      <c r="I6" s="97"/>
      <c r="J6" s="97"/>
      <c r="K6" s="97"/>
      <c r="L6" s="289"/>
      <c r="M6" s="288"/>
      <c r="N6" s="287"/>
      <c r="P6" s="282"/>
    </row>
    <row r="7" spans="2:18" ht="15" x14ac:dyDescent="0.2">
      <c r="B7" s="250"/>
      <c r="C7" s="47"/>
      <c r="D7" s="47"/>
      <c r="E7" s="286"/>
      <c r="F7" s="47"/>
      <c r="G7" s="47"/>
      <c r="H7" s="47"/>
      <c r="I7" s="47"/>
      <c r="J7" s="47"/>
      <c r="K7" s="47"/>
      <c r="L7" s="285"/>
      <c r="M7" s="284"/>
      <c r="N7" s="283"/>
      <c r="P7" s="282"/>
    </row>
    <row r="8" spans="2:18" ht="15.75" thickBot="1" x14ac:dyDescent="0.25">
      <c r="B8" s="155" t="s">
        <v>72</v>
      </c>
      <c r="C8" s="3"/>
      <c r="D8" s="154"/>
      <c r="E8" s="153"/>
      <c r="F8" s="154"/>
      <c r="G8" s="154"/>
      <c r="H8" s="249"/>
      <c r="I8" s="249"/>
      <c r="J8" s="3"/>
      <c r="K8" s="3"/>
      <c r="L8" s="3"/>
      <c r="M8" s="3"/>
      <c r="N8" s="50"/>
      <c r="P8" s="282"/>
    </row>
    <row r="9" spans="2:18" ht="15.75" thickBot="1" x14ac:dyDescent="0.25">
      <c r="B9" s="151" t="s">
        <v>71</v>
      </c>
      <c r="C9" s="150"/>
      <c r="D9" s="247"/>
      <c r="E9" s="246"/>
      <c r="F9" s="245"/>
      <c r="G9" s="244"/>
      <c r="H9" s="127"/>
      <c r="I9" s="405" t="s">
        <v>104</v>
      </c>
      <c r="J9" s="418" t="s">
        <v>118</v>
      </c>
      <c r="K9" s="419" t="s">
        <v>117</v>
      </c>
      <c r="L9" s="420" t="s">
        <v>116</v>
      </c>
      <c r="M9" s="406" t="s">
        <v>98</v>
      </c>
      <c r="N9" s="406" t="s">
        <v>97</v>
      </c>
      <c r="P9" s="282"/>
    </row>
    <row r="10" spans="2:18" ht="15" x14ac:dyDescent="0.2">
      <c r="B10" s="146"/>
      <c r="C10" s="281"/>
      <c r="D10" s="136"/>
      <c r="E10" s="235"/>
      <c r="F10" s="145"/>
      <c r="G10" s="135"/>
      <c r="H10" s="127"/>
      <c r="I10" s="605">
        <v>1</v>
      </c>
      <c r="J10" s="425">
        <v>1</v>
      </c>
      <c r="K10" s="408">
        <v>0.1</v>
      </c>
      <c r="L10" s="409">
        <v>1E-3</v>
      </c>
      <c r="M10" s="608">
        <f>IF(ISNUMBER(L10),VAR(L10:L14),"")</f>
        <v>0</v>
      </c>
      <c r="N10" s="608">
        <f>IF(ISNUMBER(L10),DEVSQ(L10:L14),"")</f>
        <v>0</v>
      </c>
      <c r="P10" s="282"/>
    </row>
    <row r="11" spans="2:18" ht="15" x14ac:dyDescent="0.2">
      <c r="B11" s="146"/>
      <c r="C11" s="281"/>
      <c r="D11" s="136"/>
      <c r="E11" s="235"/>
      <c r="F11" s="145"/>
      <c r="G11" s="135"/>
      <c r="H11" s="127"/>
      <c r="I11" s="606"/>
      <c r="J11" s="426">
        <v>2</v>
      </c>
      <c r="K11" s="410">
        <f>K10</f>
        <v>0.1</v>
      </c>
      <c r="L11" s="415">
        <v>1E-3</v>
      </c>
      <c r="M11" s="609"/>
      <c r="N11" s="609"/>
      <c r="P11" s="282"/>
    </row>
    <row r="12" spans="2:18" ht="15" x14ac:dyDescent="0.2">
      <c r="B12" s="146"/>
      <c r="C12" s="281"/>
      <c r="D12" s="136"/>
      <c r="E12" s="235"/>
      <c r="F12" s="145"/>
      <c r="G12" s="135"/>
      <c r="H12" s="127"/>
      <c r="I12" s="606"/>
      <c r="J12" s="426">
        <v>3</v>
      </c>
      <c r="K12" s="410">
        <f>K11</f>
        <v>0.1</v>
      </c>
      <c r="L12" s="415">
        <f>L11</f>
        <v>1E-3</v>
      </c>
      <c r="M12" s="609"/>
      <c r="N12" s="609"/>
      <c r="P12" s="282"/>
      <c r="R12" s="439"/>
    </row>
    <row r="13" spans="2:18" x14ac:dyDescent="0.2">
      <c r="B13" s="137" t="s">
        <v>62</v>
      </c>
      <c r="C13" s="281"/>
      <c r="D13" s="136"/>
      <c r="E13" s="235"/>
      <c r="F13" s="145"/>
      <c r="G13" s="135"/>
      <c r="H13" s="127"/>
      <c r="I13" s="606"/>
      <c r="J13" s="427">
        <v>4</v>
      </c>
      <c r="K13" s="410">
        <f>K12</f>
        <v>0.1</v>
      </c>
      <c r="L13" s="411">
        <f>L12</f>
        <v>1E-3</v>
      </c>
      <c r="M13" s="609"/>
      <c r="N13" s="609"/>
      <c r="O13" s="6"/>
      <c r="P13" s="6"/>
    </row>
    <row r="14" spans="2:18" ht="13.5" thickBot="1" x14ac:dyDescent="0.25">
      <c r="B14" s="146"/>
      <c r="C14" s="281"/>
      <c r="D14" s="136"/>
      <c r="E14" s="235"/>
      <c r="F14" s="145"/>
      <c r="G14" s="135"/>
      <c r="H14" s="127"/>
      <c r="I14" s="607"/>
      <c r="J14" s="428">
        <v>5</v>
      </c>
      <c r="K14" s="412">
        <f>K13</f>
        <v>0.1</v>
      </c>
      <c r="L14" s="413">
        <f>L13</f>
        <v>1E-3</v>
      </c>
      <c r="M14" s="610"/>
      <c r="N14" s="610"/>
      <c r="O14" s="280"/>
      <c r="P14" s="6"/>
    </row>
    <row r="15" spans="2:18" x14ac:dyDescent="0.2">
      <c r="B15" s="137" t="s">
        <v>61</v>
      </c>
      <c r="C15" s="281"/>
      <c r="D15" s="136"/>
      <c r="E15" s="235"/>
      <c r="F15" s="145"/>
      <c r="G15" s="135"/>
      <c r="H15" s="127"/>
      <c r="I15" s="606">
        <v>2</v>
      </c>
      <c r="J15" s="407">
        <v>1</v>
      </c>
      <c r="K15" s="414">
        <v>0.5</v>
      </c>
      <c r="L15" s="415">
        <v>4.0000000000000001E-3</v>
      </c>
      <c r="M15" s="608">
        <f>IF(ISNUMBER(L15),VAR(L15:L19),"")</f>
        <v>2.9999999999999999E-7</v>
      </c>
      <c r="N15" s="608">
        <f>IF(ISNUMBER(L15),DEVSQ(L15:L19),"")</f>
        <v>1.1999999999999999E-6</v>
      </c>
      <c r="O15" s="280"/>
      <c r="P15" s="6"/>
    </row>
    <row r="16" spans="2:18" x14ac:dyDescent="0.2">
      <c r="B16" s="137"/>
      <c r="C16" s="281"/>
      <c r="D16" s="136"/>
      <c r="E16" s="235"/>
      <c r="F16" s="145"/>
      <c r="G16" s="135"/>
      <c r="H16" s="127"/>
      <c r="I16" s="606"/>
      <c r="J16" s="426">
        <v>2</v>
      </c>
      <c r="K16" s="410">
        <f>K15</f>
        <v>0.5</v>
      </c>
      <c r="L16" s="415">
        <v>5.0000000000000001E-3</v>
      </c>
      <c r="M16" s="609"/>
      <c r="N16" s="609"/>
      <c r="O16" s="280"/>
      <c r="P16" s="6"/>
    </row>
    <row r="17" spans="2:16" x14ac:dyDescent="0.2">
      <c r="B17" s="137"/>
      <c r="C17" s="281"/>
      <c r="D17" s="136"/>
      <c r="E17" s="235"/>
      <c r="F17" s="145"/>
      <c r="G17" s="135"/>
      <c r="H17" s="127"/>
      <c r="I17" s="606"/>
      <c r="J17" s="426">
        <v>3</v>
      </c>
      <c r="K17" s="410">
        <f>K16</f>
        <v>0.5</v>
      </c>
      <c r="L17" s="415">
        <v>5.0000000000000001E-3</v>
      </c>
      <c r="M17" s="609"/>
      <c r="N17" s="609"/>
      <c r="O17" s="280"/>
      <c r="P17" s="6"/>
    </row>
    <row r="18" spans="2:16" x14ac:dyDescent="0.2">
      <c r="B18" s="237"/>
      <c r="C18" s="141"/>
      <c r="D18" s="136"/>
      <c r="E18" s="235"/>
      <c r="F18" s="145"/>
      <c r="G18" s="135"/>
      <c r="H18" s="127"/>
      <c r="I18" s="606"/>
      <c r="J18" s="427">
        <v>4</v>
      </c>
      <c r="K18" s="410">
        <f>K17</f>
        <v>0.5</v>
      </c>
      <c r="L18" s="411">
        <v>4.0000000000000001E-3</v>
      </c>
      <c r="M18" s="609"/>
      <c r="N18" s="609"/>
      <c r="O18" s="3"/>
      <c r="P18" s="6"/>
    </row>
    <row r="19" spans="2:16" ht="13.5" thickBot="1" x14ac:dyDescent="0.25">
      <c r="B19" s="234" t="s">
        <v>60</v>
      </c>
      <c r="C19" s="136"/>
      <c r="D19" s="145"/>
      <c r="E19" s="145"/>
      <c r="F19" s="145"/>
      <c r="G19" s="135"/>
      <c r="H19" s="127"/>
      <c r="I19" s="606"/>
      <c r="J19" s="429">
        <v>5</v>
      </c>
      <c r="K19" s="416">
        <f>K18</f>
        <v>0.5</v>
      </c>
      <c r="L19" s="417">
        <v>4.0000000000000001E-3</v>
      </c>
      <c r="M19" s="609"/>
      <c r="N19" s="609"/>
      <c r="O19" s="6"/>
      <c r="P19" s="6"/>
    </row>
    <row r="20" spans="2:16" x14ac:dyDescent="0.2">
      <c r="B20" s="234"/>
      <c r="C20" s="136"/>
      <c r="D20" s="145"/>
      <c r="E20" s="145"/>
      <c r="F20" s="145"/>
      <c r="G20" s="135"/>
      <c r="H20" s="127"/>
      <c r="I20" s="605">
        <v>3</v>
      </c>
      <c r="J20" s="407">
        <v>1</v>
      </c>
      <c r="K20" s="408">
        <v>1</v>
      </c>
      <c r="L20" s="409">
        <v>8.0000000000000002E-3</v>
      </c>
      <c r="M20" s="608">
        <f>IF(ISNUMBER(L20),VAR(L20:L24),"")</f>
        <v>4.9999999999999955E-7</v>
      </c>
      <c r="N20" s="608">
        <f>IF(ISNUMBER(L20),DEVSQ(L20:L24),"")</f>
        <v>1.9999999999999982E-6</v>
      </c>
      <c r="O20" s="6"/>
      <c r="P20" s="6"/>
    </row>
    <row r="21" spans="2:16" x14ac:dyDescent="0.2">
      <c r="B21" s="234"/>
      <c r="C21" s="136"/>
      <c r="D21" s="145"/>
      <c r="E21" s="145"/>
      <c r="F21" s="145"/>
      <c r="G21" s="135"/>
      <c r="H21" s="127"/>
      <c r="I21" s="606"/>
      <c r="J21" s="426">
        <v>2</v>
      </c>
      <c r="K21" s="410">
        <f>K20</f>
        <v>1</v>
      </c>
      <c r="L21" s="415">
        <v>8.0000000000000002E-3</v>
      </c>
      <c r="M21" s="609"/>
      <c r="N21" s="609"/>
      <c r="O21" s="6"/>
      <c r="P21" s="6"/>
    </row>
    <row r="22" spans="2:16" x14ac:dyDescent="0.2">
      <c r="B22" s="234"/>
      <c r="C22" s="136"/>
      <c r="D22" s="145"/>
      <c r="E22" s="145"/>
      <c r="F22" s="145"/>
      <c r="G22" s="135"/>
      <c r="H22" s="127"/>
      <c r="I22" s="606"/>
      <c r="J22" s="426">
        <v>3</v>
      </c>
      <c r="K22" s="410">
        <f>K21</f>
        <v>1</v>
      </c>
      <c r="L22" s="415">
        <v>8.9999999999999993E-3</v>
      </c>
      <c r="M22" s="609"/>
      <c r="N22" s="609"/>
      <c r="O22" s="6"/>
      <c r="P22" s="6"/>
    </row>
    <row r="23" spans="2:16" x14ac:dyDescent="0.2">
      <c r="B23" s="234"/>
      <c r="C23" s="136"/>
      <c r="D23" s="145"/>
      <c r="E23" s="145"/>
      <c r="F23" s="145"/>
      <c r="G23" s="135"/>
      <c r="H23" s="127"/>
      <c r="I23" s="606"/>
      <c r="J23" s="427">
        <v>4</v>
      </c>
      <c r="K23" s="410">
        <f>K22</f>
        <v>1</v>
      </c>
      <c r="L23" s="411">
        <v>8.0000000000000002E-3</v>
      </c>
      <c r="M23" s="609"/>
      <c r="N23" s="609"/>
      <c r="O23" s="6"/>
      <c r="P23" s="6"/>
    </row>
    <row r="24" spans="2:16" ht="13.5" thickBot="1" x14ac:dyDescent="0.25">
      <c r="B24" s="234"/>
      <c r="C24" s="136"/>
      <c r="D24" s="145"/>
      <c r="E24" s="145"/>
      <c r="F24" s="145"/>
      <c r="G24" s="135"/>
      <c r="H24" s="127"/>
      <c r="I24" s="607"/>
      <c r="J24" s="428">
        <v>5</v>
      </c>
      <c r="K24" s="412">
        <f>K23</f>
        <v>1</v>
      </c>
      <c r="L24" s="413">
        <v>7.0000000000000001E-3</v>
      </c>
      <c r="M24" s="610"/>
      <c r="N24" s="610"/>
      <c r="O24" s="6"/>
      <c r="P24" s="6"/>
    </row>
    <row r="25" spans="2:16" x14ac:dyDescent="0.2">
      <c r="B25" s="232"/>
      <c r="C25" s="131"/>
      <c r="D25" s="230"/>
      <c r="E25" s="230"/>
      <c r="F25" s="230"/>
      <c r="G25" s="130"/>
      <c r="H25" s="127"/>
      <c r="I25" s="605">
        <v>4</v>
      </c>
      <c r="J25" s="407">
        <v>1</v>
      </c>
      <c r="K25" s="408">
        <v>2</v>
      </c>
      <c r="L25" s="409">
        <v>1.6E-2</v>
      </c>
      <c r="M25" s="608">
        <f>IF(ISNUMBER(L25),VAR(L25:L29),"")</f>
        <v>2.3E-6</v>
      </c>
      <c r="N25" s="608">
        <f>IF(ISNUMBER(L25),DEVSQ(L25:L29),"")</f>
        <v>9.2E-6</v>
      </c>
      <c r="O25" s="178"/>
      <c r="P25" s="6"/>
    </row>
    <row r="26" spans="2:16" x14ac:dyDescent="0.2">
      <c r="B26" s="208"/>
      <c r="C26" s="502"/>
      <c r="D26" s="127"/>
      <c r="E26" s="127"/>
      <c r="F26" s="127"/>
      <c r="G26" s="127"/>
      <c r="H26" s="127"/>
      <c r="I26" s="606"/>
      <c r="J26" s="426">
        <v>2</v>
      </c>
      <c r="K26" s="410">
        <f>K25</f>
        <v>2</v>
      </c>
      <c r="L26" s="415">
        <v>1.6E-2</v>
      </c>
      <c r="M26" s="609"/>
      <c r="N26" s="609"/>
      <c r="O26" s="178"/>
      <c r="P26" s="6"/>
    </row>
    <row r="27" spans="2:16" x14ac:dyDescent="0.2">
      <c r="B27" s="208"/>
      <c r="C27" s="502"/>
      <c r="D27" s="127"/>
      <c r="E27" s="127"/>
      <c r="F27" s="127"/>
      <c r="G27" s="127"/>
      <c r="H27" s="127"/>
      <c r="I27" s="606"/>
      <c r="J27" s="426">
        <v>3</v>
      </c>
      <c r="K27" s="410">
        <f>K26</f>
        <v>2</v>
      </c>
      <c r="L27" s="415">
        <v>1.9E-2</v>
      </c>
      <c r="M27" s="609"/>
      <c r="N27" s="609"/>
      <c r="O27" s="178"/>
      <c r="P27" s="6"/>
    </row>
    <row r="28" spans="2:16" x14ac:dyDescent="0.2">
      <c r="B28" s="48"/>
      <c r="C28" s="128"/>
      <c r="D28" s="127"/>
      <c r="E28" s="127"/>
      <c r="F28" s="127"/>
      <c r="G28" s="127"/>
      <c r="H28" s="127"/>
      <c r="I28" s="606"/>
      <c r="J28" s="427">
        <v>4</v>
      </c>
      <c r="K28" s="410">
        <f>K27</f>
        <v>2</v>
      </c>
      <c r="L28" s="411">
        <v>1.7000000000000001E-2</v>
      </c>
      <c r="M28" s="609"/>
      <c r="N28" s="609"/>
      <c r="O28" s="4"/>
      <c r="P28" s="6"/>
    </row>
    <row r="29" spans="2:16" ht="13.5" thickBot="1" x14ac:dyDescent="0.25">
      <c r="B29" s="96" t="s">
        <v>93</v>
      </c>
      <c r="C29" s="95"/>
      <c r="D29" s="203"/>
      <c r="E29" s="203"/>
      <c r="F29" s="203"/>
      <c r="G29" s="202"/>
      <c r="H29" s="3"/>
      <c r="I29" s="607"/>
      <c r="J29" s="428">
        <v>5</v>
      </c>
      <c r="K29" s="412">
        <f>K28</f>
        <v>2</v>
      </c>
      <c r="L29" s="413">
        <v>1.4999999999999999E-2</v>
      </c>
      <c r="M29" s="610"/>
      <c r="N29" s="610"/>
      <c r="O29" s="6"/>
      <c r="P29" s="6"/>
    </row>
    <row r="30" spans="2:16" x14ac:dyDescent="0.2">
      <c r="B30" s="48"/>
      <c r="C30" s="3"/>
      <c r="D30" s="4"/>
      <c r="E30" s="4"/>
      <c r="F30" s="3"/>
      <c r="G30" s="73"/>
      <c r="H30" s="3"/>
      <c r="I30" s="606">
        <v>5</v>
      </c>
      <c r="J30" s="407">
        <v>1</v>
      </c>
      <c r="K30" s="414">
        <v>5</v>
      </c>
      <c r="L30" s="415">
        <v>4.2000000000000003E-2</v>
      </c>
      <c r="M30" s="608">
        <f>IF(ISNUMBER(L30),VAR(L30:L34),"")</f>
        <v>6.299999999999999E-6</v>
      </c>
      <c r="N30" s="608">
        <f>IF(ISNUMBER(L30),DEVSQ(L30:L34),"")</f>
        <v>2.5199999999999996E-5</v>
      </c>
      <c r="O30" s="6"/>
      <c r="P30" s="6"/>
    </row>
    <row r="31" spans="2:16" x14ac:dyDescent="0.2">
      <c r="B31" s="48"/>
      <c r="C31" s="3"/>
      <c r="D31" s="4"/>
      <c r="E31" s="4"/>
      <c r="F31" s="3"/>
      <c r="G31" s="73"/>
      <c r="H31" s="3"/>
      <c r="I31" s="606"/>
      <c r="J31" s="426">
        <v>2</v>
      </c>
      <c r="K31" s="410">
        <f>K30</f>
        <v>5</v>
      </c>
      <c r="L31" s="415">
        <v>4.1000000000000002E-2</v>
      </c>
      <c r="M31" s="609"/>
      <c r="N31" s="609"/>
      <c r="O31" s="6"/>
      <c r="P31" s="6"/>
    </row>
    <row r="32" spans="2:16" x14ac:dyDescent="0.2">
      <c r="B32" s="48"/>
      <c r="C32" s="3"/>
      <c r="D32" s="4"/>
      <c r="E32" s="4"/>
      <c r="F32" s="3"/>
      <c r="G32" s="73"/>
      <c r="H32" s="3"/>
      <c r="I32" s="606"/>
      <c r="J32" s="426">
        <v>3</v>
      </c>
      <c r="K32" s="410">
        <f>K31</f>
        <v>5</v>
      </c>
      <c r="L32" s="415">
        <v>4.4999999999999998E-2</v>
      </c>
      <c r="M32" s="609"/>
      <c r="N32" s="609"/>
      <c r="O32" s="6"/>
      <c r="P32" s="6"/>
    </row>
    <row r="33" spans="2:34" x14ac:dyDescent="0.2">
      <c r="B33" s="48"/>
      <c r="C33" s="393" t="s">
        <v>91</v>
      </c>
      <c r="D33" s="99">
        <f>MAX(M10:M39)/SUM(M10:M39)</f>
        <v>0.81818181818181823</v>
      </c>
      <c r="E33" s="178"/>
      <c r="F33" s="6"/>
      <c r="G33" s="73"/>
      <c r="H33" s="3"/>
      <c r="I33" s="606"/>
      <c r="J33" s="427">
        <v>4</v>
      </c>
      <c r="K33" s="410">
        <f>K32</f>
        <v>5</v>
      </c>
      <c r="L33" s="411">
        <v>4.1000000000000002E-2</v>
      </c>
      <c r="M33" s="609"/>
      <c r="N33" s="609"/>
      <c r="P33" s="6"/>
      <c r="Q33" s="10"/>
    </row>
    <row r="34" spans="2:34" ht="13.5" thickBot="1" x14ac:dyDescent="0.25">
      <c r="B34" s="208"/>
      <c r="C34" s="393" t="s">
        <v>122</v>
      </c>
      <c r="D34" s="389">
        <f>1/((1+(COUNT(I10:I39)-1)/FINV(0.05/COUNT(I10:I39),COUNT(J10:J14)-1,(COUNT(I10:I39)-1)*(COUNT(J10:J14)-1))))</f>
        <v>0.48034744398372142</v>
      </c>
      <c r="E34" s="178"/>
      <c r="F34" s="399"/>
      <c r="G34" s="73"/>
      <c r="H34" s="3"/>
      <c r="I34" s="606"/>
      <c r="J34" s="428">
        <v>5</v>
      </c>
      <c r="K34" s="412">
        <f>K33</f>
        <v>5</v>
      </c>
      <c r="L34" s="417">
        <v>3.7999999999999999E-2</v>
      </c>
      <c r="M34" s="610"/>
      <c r="N34" s="610"/>
      <c r="O34" s="4"/>
      <c r="P34" s="2"/>
      <c r="Q34" s="2"/>
    </row>
    <row r="35" spans="2:34" x14ac:dyDescent="0.2">
      <c r="B35" s="221" t="s">
        <v>172</v>
      </c>
      <c r="C35" s="56"/>
      <c r="D35" s="56"/>
      <c r="E35" s="220"/>
      <c r="F35" s="219"/>
      <c r="G35" s="218"/>
      <c r="H35" s="3"/>
      <c r="I35" s="605">
        <v>6</v>
      </c>
      <c r="J35" s="407">
        <v>1</v>
      </c>
      <c r="K35" s="408">
        <v>10</v>
      </c>
      <c r="L35" s="409">
        <v>8.4000000000000005E-2</v>
      </c>
      <c r="M35" s="608">
        <f>IF(ISNUMBER(L35),VAR(L35:L39),"")</f>
        <v>4.2300000000000012E-5</v>
      </c>
      <c r="N35" s="608">
        <f>IF(ISNUMBER(L35),DEVSQ(L35:L39),"")</f>
        <v>1.6920000000000005E-4</v>
      </c>
      <c r="O35" s="4"/>
      <c r="P35" s="2"/>
      <c r="Q35" s="2"/>
    </row>
    <row r="36" spans="2:34" x14ac:dyDescent="0.2">
      <c r="B36" s="208"/>
      <c r="C36" s="3"/>
      <c r="D36" s="3"/>
      <c r="E36" s="6"/>
      <c r="F36" s="423"/>
      <c r="G36" s="4"/>
      <c r="H36" s="3"/>
      <c r="I36" s="606"/>
      <c r="J36" s="426">
        <v>2</v>
      </c>
      <c r="K36" s="410">
        <f>K35</f>
        <v>10</v>
      </c>
      <c r="L36" s="415">
        <v>8.1000000000000003E-2</v>
      </c>
      <c r="M36" s="609"/>
      <c r="N36" s="609"/>
      <c r="O36" s="4"/>
      <c r="P36" s="2"/>
      <c r="Q36" s="2"/>
    </row>
    <row r="37" spans="2:34" x14ac:dyDescent="0.2">
      <c r="B37" s="208"/>
      <c r="C37" s="3"/>
      <c r="D37" s="3"/>
      <c r="E37" s="6"/>
      <c r="F37" s="423"/>
      <c r="G37" s="4"/>
      <c r="H37" s="3"/>
      <c r="I37" s="606"/>
      <c r="J37" s="426">
        <v>3</v>
      </c>
      <c r="K37" s="410">
        <f>K36</f>
        <v>10</v>
      </c>
      <c r="L37" s="415">
        <v>9.0999999999999998E-2</v>
      </c>
      <c r="M37" s="609"/>
      <c r="N37" s="609"/>
      <c r="O37" s="4"/>
      <c r="P37" s="2"/>
      <c r="Q37" s="2"/>
    </row>
    <row r="38" spans="2:34" x14ac:dyDescent="0.2">
      <c r="B38" s="221"/>
      <c r="C38" s="84"/>
      <c r="D38" s="4"/>
      <c r="E38" s="214"/>
      <c r="F38" s="214"/>
      <c r="G38" s="424"/>
      <c r="H38" s="3"/>
      <c r="I38" s="606"/>
      <c r="J38" s="427">
        <v>4</v>
      </c>
      <c r="K38" s="410">
        <f>K37</f>
        <v>10</v>
      </c>
      <c r="L38" s="411">
        <v>8.4000000000000005E-2</v>
      </c>
      <c r="M38" s="609"/>
      <c r="N38" s="609"/>
    </row>
    <row r="39" spans="2:34" ht="13.5" thickBot="1" x14ac:dyDescent="0.25">
      <c r="B39" s="191" t="s">
        <v>87</v>
      </c>
      <c r="C39" s="190"/>
      <c r="D39" s="203"/>
      <c r="E39" s="190"/>
      <c r="F39" s="190"/>
      <c r="G39" s="202"/>
      <c r="H39" s="3"/>
      <c r="I39" s="607"/>
      <c r="J39" s="428">
        <v>5</v>
      </c>
      <c r="K39" s="412">
        <f>K38</f>
        <v>10</v>
      </c>
      <c r="L39" s="413">
        <v>7.2999999999999995E-2</v>
      </c>
      <c r="M39" s="610"/>
      <c r="N39" s="610"/>
    </row>
    <row r="40" spans="2:34" ht="13.5" thickBot="1" x14ac:dyDescent="0.25">
      <c r="B40" s="208"/>
      <c r="C40" s="3"/>
      <c r="D40" s="3"/>
      <c r="E40" s="4"/>
      <c r="F40" s="4"/>
      <c r="G40" s="73"/>
      <c r="H40" s="3"/>
      <c r="I40" s="3"/>
      <c r="J40" s="3"/>
      <c r="K40" s="3"/>
      <c r="L40" s="3"/>
      <c r="M40" s="3"/>
      <c r="N40" s="50"/>
    </row>
    <row r="41" spans="2:34" x14ac:dyDescent="0.2">
      <c r="B41" s="208"/>
      <c r="C41" s="394" t="s">
        <v>114</v>
      </c>
      <c r="D41" s="60">
        <f>DEVSQ(K10:K39)</f>
        <v>363</v>
      </c>
      <c r="E41" s="4"/>
      <c r="F41" s="4"/>
      <c r="G41" s="73"/>
      <c r="H41" s="276"/>
      <c r="I41" s="404" t="s">
        <v>166</v>
      </c>
      <c r="J41" s="181"/>
      <c r="K41" s="181"/>
      <c r="L41" s="181"/>
      <c r="M41" s="181"/>
      <c r="N41" s="180"/>
    </row>
    <row r="42" spans="2:34" x14ac:dyDescent="0.2">
      <c r="B42" s="48"/>
      <c r="C42" s="400" t="s">
        <v>113</v>
      </c>
      <c r="D42" s="391">
        <f>AVERAGE(K10:K39)</f>
        <v>3.1</v>
      </c>
      <c r="E42" s="276"/>
      <c r="F42" s="3"/>
      <c r="G42" s="79"/>
      <c r="H42" s="276"/>
      <c r="I42" s="275" t="s">
        <v>112</v>
      </c>
      <c r="J42" s="278">
        <v>0.04</v>
      </c>
      <c r="K42" s="278">
        <v>0.04</v>
      </c>
      <c r="L42" s="278">
        <v>0.04</v>
      </c>
      <c r="M42" s="4"/>
      <c r="N42" s="175"/>
    </row>
    <row r="43" spans="2:34" ht="15" x14ac:dyDescent="0.2">
      <c r="B43" s="201"/>
      <c r="C43" s="3"/>
      <c r="D43" s="3"/>
      <c r="E43" s="4"/>
      <c r="F43" s="3"/>
      <c r="G43" s="73"/>
      <c r="H43" s="276"/>
      <c r="I43" s="275" t="s">
        <v>111</v>
      </c>
      <c r="J43" s="255">
        <f>AVERAGE(J42:L42)</f>
        <v>0.04</v>
      </c>
      <c r="K43" s="4"/>
      <c r="L43" s="4"/>
      <c r="M43" s="4"/>
      <c r="N43" s="175"/>
      <c r="P43" s="277"/>
    </row>
    <row r="44" spans="2:34" x14ac:dyDescent="0.2">
      <c r="B44" s="205"/>
      <c r="C44" s="394" t="s">
        <v>19</v>
      </c>
      <c r="D44" s="60">
        <f t="array" ref="D44:E48">LINEST(L10:L39,K10:K39,1,1)</f>
        <v>8.2520661157024829E-3</v>
      </c>
      <c r="E44" s="87">
        <v>8.5261707988965735E-5</v>
      </c>
      <c r="F44" s="394" t="s">
        <v>16</v>
      </c>
      <c r="G44" s="73"/>
      <c r="H44" s="276"/>
      <c r="I44" s="275" t="s">
        <v>110</v>
      </c>
      <c r="J44" s="255">
        <f>(J43-E44)/D44</f>
        <v>4.8369387414455014</v>
      </c>
      <c r="K44" s="4"/>
      <c r="L44" s="615" t="s">
        <v>171</v>
      </c>
      <c r="M44" s="616"/>
      <c r="N44" s="175"/>
      <c r="P44" s="4"/>
    </row>
    <row r="45" spans="2:34" ht="15" x14ac:dyDescent="0.2">
      <c r="B45" s="205"/>
      <c r="C45" s="394" t="s">
        <v>1</v>
      </c>
      <c r="D45" s="60">
        <v>1.429170633660299E-4</v>
      </c>
      <c r="E45" s="60">
        <v>6.6590763683516672E-4</v>
      </c>
      <c r="F45" s="395" t="s">
        <v>3</v>
      </c>
      <c r="G45" s="73"/>
      <c r="H45" s="276"/>
      <c r="I45" s="275" t="s">
        <v>109</v>
      </c>
      <c r="J45" s="255">
        <f>(E46*SQRT(1/COUNT(L10:L39)+1/COUNT(J42:L42)+(J44-D42)^2/D41))/D44</f>
        <v>0.20205867436400488</v>
      </c>
      <c r="K45" s="4"/>
      <c r="L45" s="255">
        <f>J44-TINV(0.05,E47)*J45</f>
        <v>4.423040309816594</v>
      </c>
      <c r="M45" s="255">
        <f>J44+TINV(0.05,E47)*J45</f>
        <v>5.2508371730744088</v>
      </c>
      <c r="N45" s="175"/>
      <c r="P45" s="3"/>
      <c r="Q45" s="5"/>
      <c r="R45" s="5"/>
      <c r="S45" s="3"/>
    </row>
    <row r="46" spans="2:34" ht="15" x14ac:dyDescent="0.2">
      <c r="B46" s="204"/>
      <c r="C46" s="394" t="s">
        <v>57</v>
      </c>
      <c r="D46" s="99">
        <v>0.99167146494731662</v>
      </c>
      <c r="E46" s="60">
        <v>2.7229357652035491E-3</v>
      </c>
      <c r="F46" s="394" t="s">
        <v>10</v>
      </c>
      <c r="G46" s="73"/>
      <c r="H46" s="3"/>
      <c r="I46" s="275" t="s">
        <v>108</v>
      </c>
      <c r="J46" s="274">
        <f>J45/J44</f>
        <v>4.1774081741548043E-2</v>
      </c>
      <c r="K46" s="4"/>
      <c r="L46" s="4"/>
      <c r="M46" s="4"/>
      <c r="N46" s="175"/>
      <c r="R46" s="5"/>
      <c r="S46" s="3"/>
    </row>
    <row r="47" spans="2:34" ht="15.75" thickBot="1" x14ac:dyDescent="0.25">
      <c r="B47" s="204"/>
      <c r="C47" s="394" t="s">
        <v>55</v>
      </c>
      <c r="D47" s="60">
        <v>3333.9357813687006</v>
      </c>
      <c r="E47" s="59">
        <v>28</v>
      </c>
      <c r="F47" s="394" t="s">
        <v>46</v>
      </c>
      <c r="G47" s="73"/>
      <c r="H47" s="3"/>
      <c r="I47" s="273" t="s">
        <v>170</v>
      </c>
      <c r="J47" s="272"/>
      <c r="K47" s="272"/>
      <c r="L47" s="272"/>
      <c r="M47" s="272"/>
      <c r="N47" s="271"/>
      <c r="R47" s="5"/>
      <c r="S47" s="3"/>
    </row>
    <row r="48" spans="2:34" ht="15" x14ac:dyDescent="0.2">
      <c r="B48" s="205"/>
      <c r="C48" s="394" t="s">
        <v>54</v>
      </c>
      <c r="D48" s="60">
        <v>2.4719064049586778E-2</v>
      </c>
      <c r="E48" s="60">
        <v>2.0760261707988988E-4</v>
      </c>
      <c r="F48" s="394" t="s">
        <v>53</v>
      </c>
      <c r="G48" s="270"/>
      <c r="H48" s="3"/>
      <c r="I48" s="3"/>
      <c r="J48" s="3"/>
      <c r="K48" s="3"/>
      <c r="L48" s="3"/>
      <c r="M48" s="3"/>
      <c r="N48" s="50"/>
      <c r="R48" s="5"/>
      <c r="S48" s="3"/>
      <c r="U48" s="470"/>
      <c r="V48" s="470"/>
      <c r="W48" s="470"/>
      <c r="X48" s="470"/>
      <c r="Y48" s="470"/>
      <c r="Z48" s="470"/>
      <c r="AA48" s="470"/>
      <c r="AB48" s="470"/>
      <c r="AC48" s="470"/>
      <c r="AD48" s="470"/>
      <c r="AE48" s="470"/>
      <c r="AF48" s="470"/>
      <c r="AG48" s="470"/>
      <c r="AH48" s="470"/>
    </row>
    <row r="49" spans="2:34" ht="15" x14ac:dyDescent="0.2">
      <c r="B49" s="403" t="s">
        <v>167</v>
      </c>
      <c r="C49" s="56"/>
      <c r="D49" s="56"/>
      <c r="E49" s="56"/>
      <c r="F49" s="56"/>
      <c r="G49" s="402"/>
      <c r="H49" s="3"/>
      <c r="I49" s="3"/>
      <c r="J49" s="3"/>
      <c r="K49" s="3"/>
      <c r="L49" s="3"/>
      <c r="M49" s="3"/>
      <c r="N49" s="50"/>
      <c r="R49" s="5"/>
      <c r="S49" s="3"/>
      <c r="U49" s="470"/>
      <c r="V49" s="470"/>
      <c r="W49" s="470"/>
      <c r="X49" s="470"/>
      <c r="Y49" s="470"/>
      <c r="Z49" s="470"/>
      <c r="AA49" s="470"/>
      <c r="AB49" s="470"/>
      <c r="AC49" s="470"/>
      <c r="AD49" s="470"/>
      <c r="AE49" s="470"/>
      <c r="AF49" s="470"/>
      <c r="AG49" s="470"/>
      <c r="AH49" s="470"/>
    </row>
    <row r="50" spans="2:34" x14ac:dyDescent="0.2">
      <c r="B50" s="401"/>
      <c r="C50" s="178"/>
      <c r="D50" s="178"/>
      <c r="E50" s="4"/>
      <c r="F50" s="4"/>
      <c r="G50" s="4"/>
      <c r="H50" s="3"/>
      <c r="I50" s="3"/>
      <c r="J50" s="3"/>
      <c r="K50" s="3"/>
      <c r="L50" s="3"/>
      <c r="M50" s="3"/>
      <c r="N50" s="50"/>
      <c r="P50" s="501" t="s">
        <v>31</v>
      </c>
      <c r="Q50" s="501" t="s">
        <v>30</v>
      </c>
      <c r="R50" s="501" t="s">
        <v>107</v>
      </c>
      <c r="S50" s="501" t="s">
        <v>106</v>
      </c>
      <c r="U50" s="470"/>
      <c r="V50" s="470"/>
      <c r="W50" s="470"/>
      <c r="X50" s="470"/>
      <c r="Y50" s="470"/>
      <c r="Z50" s="470"/>
      <c r="AA50" s="470"/>
      <c r="AB50" s="470"/>
      <c r="AC50" s="470"/>
      <c r="AD50" s="470"/>
      <c r="AE50" s="470"/>
      <c r="AF50" s="470"/>
      <c r="AG50" s="470"/>
      <c r="AH50" s="470"/>
    </row>
    <row r="51" spans="2:34" x14ac:dyDescent="0.2">
      <c r="B51" s="191" t="s">
        <v>52</v>
      </c>
      <c r="C51" s="203"/>
      <c r="D51" s="203"/>
      <c r="E51" s="203"/>
      <c r="F51" s="203"/>
      <c r="G51" s="202"/>
      <c r="H51" s="3"/>
      <c r="I51" s="3"/>
      <c r="J51" s="3"/>
      <c r="K51" s="3"/>
      <c r="L51" s="3"/>
      <c r="M51" s="3"/>
      <c r="N51" s="50"/>
      <c r="P51" s="500">
        <f>IF(ISNUMBER(L10),($D$44*K10+$E$44)+$C$55*$E$46*SQRT(1/COUNT($K$10:$K$39)+((K10-$D$42)^2)/$D$41),"")</f>
        <v>2.25521844295181E-3</v>
      </c>
      <c r="Q51" s="500">
        <f>IF(ISNUMBER(L10),($D$44*K10+$E$44)-$C$55*$E$46*SQRT(1/COUNT($K$10:$K$39)+((K10-$D$42)^2)/$D$41),"")</f>
        <v>-4.3428180383338203E-4</v>
      </c>
      <c r="R51" s="500">
        <f>IF(ISNUMBER(L10),($D$44*K10+$E$44)+$C$55*$E$46*SQRT(1+1/COUNT($K$10:$K$39)+((K10-$D$42)^2)/$D$41),"")</f>
        <v>6.6479659441097943E-3</v>
      </c>
      <c r="S51" s="500">
        <f>IF(ISNUMBER(L10),($D$44*K10+$E$44)-$C$55*$E$46*SQRT(1+1/COUNT($K$10:$K$39)+((K10-$D$42)^2)/$D$41),"")</f>
        <v>-4.8270293049913655E-3</v>
      </c>
      <c r="U51" s="470"/>
      <c r="V51" s="470"/>
      <c r="W51" s="470"/>
      <c r="X51" s="470"/>
      <c r="Y51" s="470"/>
      <c r="Z51" s="470"/>
      <c r="AA51" s="470"/>
      <c r="AB51" s="470"/>
      <c r="AC51" s="470"/>
      <c r="AD51" s="470"/>
      <c r="AE51" s="470"/>
      <c r="AF51" s="470"/>
      <c r="AG51" s="470"/>
      <c r="AH51" s="470"/>
    </row>
    <row r="52" spans="2:34" x14ac:dyDescent="0.2">
      <c r="B52" s="201"/>
      <c r="C52" s="179"/>
      <c r="D52" s="4"/>
      <c r="E52" s="4"/>
      <c r="F52" s="85"/>
      <c r="G52" s="73"/>
      <c r="H52" s="3"/>
      <c r="I52" s="3"/>
      <c r="J52" s="3"/>
      <c r="K52" s="3"/>
      <c r="L52" s="3"/>
      <c r="M52" s="3"/>
      <c r="N52" s="50"/>
      <c r="P52" s="500">
        <f>IF(ISNUMBER(L11),($D$44*K11+$E$44)+$C$55*$E$46*SQRT(1/COUNT($K$10:$K$39)+((K11-$D$42)^2)/$D$41),"")</f>
        <v>2.25521844295181E-3</v>
      </c>
      <c r="Q52" s="500">
        <f t="shared" ref="Q52:Q79" si="0">IF(ISNUMBER(L11),($D$44*K11+$E$44)-$C$55*$E$46*SQRT(1/COUNT($K$10:$K$39)+((K11-$D$42)^2)/$D$41),"")</f>
        <v>-4.3428180383338203E-4</v>
      </c>
      <c r="R52" s="500">
        <f t="shared" ref="R52:R79" si="1">IF(ISNUMBER(L11),($D$44*K11+$E$44)+$C$55*$E$46*SQRT(1+1/COUNT($K$10:$K$39)+((K11-$D$42)^2)/$D$41),"")</f>
        <v>6.6479659441097943E-3</v>
      </c>
      <c r="S52" s="500">
        <f t="shared" ref="S52:S79" si="2">IF(ISNUMBER(L11),($D$44*K11+$E$44)-$C$55*$E$46*SQRT(1+1/COUNT($K$10:$K$39)+((K11-$D$42)^2)/$D$41),"")</f>
        <v>-4.8270293049913655E-3</v>
      </c>
      <c r="U52" s="470"/>
      <c r="V52" s="470"/>
      <c r="W52" s="470"/>
      <c r="X52" s="470"/>
      <c r="Y52" s="470"/>
      <c r="Z52" s="470"/>
      <c r="AA52" s="470"/>
      <c r="AB52" s="470"/>
      <c r="AC52" s="470"/>
      <c r="AD52" s="470"/>
      <c r="AE52" s="470"/>
      <c r="AF52" s="470"/>
      <c r="AG52" s="470"/>
      <c r="AH52" s="470"/>
    </row>
    <row r="53" spans="2:34" x14ac:dyDescent="0.2">
      <c r="B53" s="195" t="s">
        <v>51</v>
      </c>
      <c r="C53" s="85"/>
      <c r="D53" s="3"/>
      <c r="E53" s="85" t="s">
        <v>85</v>
      </c>
      <c r="F53" s="4"/>
      <c r="G53" s="73"/>
      <c r="H53" s="3"/>
      <c r="I53" s="3"/>
      <c r="J53" s="3"/>
      <c r="K53" s="3"/>
      <c r="L53" s="3"/>
      <c r="M53" s="3"/>
      <c r="N53" s="50"/>
      <c r="P53" s="500">
        <f>IF(ISNUMBER(L12),($D$44*K12+$E$44)+$C$55*$E$46*SQRT(1/COUNT($K$10:$K$39)+((K12-$D$42)^2)/$D$41),"")</f>
        <v>2.25521844295181E-3</v>
      </c>
      <c r="Q53" s="500">
        <f t="shared" si="0"/>
        <v>-4.3428180383338203E-4</v>
      </c>
      <c r="R53" s="500">
        <f t="shared" si="1"/>
        <v>6.6479659441097943E-3</v>
      </c>
      <c r="S53" s="500">
        <f t="shared" si="2"/>
        <v>-4.8270293049913655E-3</v>
      </c>
      <c r="U53" s="470"/>
      <c r="V53" s="470"/>
      <c r="W53" s="470"/>
      <c r="X53" s="470"/>
      <c r="Y53" s="470"/>
      <c r="Z53" s="470"/>
      <c r="AA53" s="470"/>
      <c r="AB53" s="470"/>
      <c r="AC53" s="470"/>
      <c r="AD53" s="470"/>
      <c r="AE53" s="470"/>
      <c r="AF53" s="470"/>
      <c r="AG53" s="470"/>
      <c r="AH53" s="470"/>
    </row>
    <row r="54" spans="2:34" ht="15" x14ac:dyDescent="0.25">
      <c r="B54" s="396" t="s">
        <v>0</v>
      </c>
      <c r="C54" s="87">
        <f>E44/E45</f>
        <v>0.12803833936217601</v>
      </c>
      <c r="D54" s="254"/>
      <c r="E54" s="397" t="s">
        <v>0</v>
      </c>
      <c r="F54" s="87">
        <f>(1-D44)/D45</f>
        <v>6939.3248820422314</v>
      </c>
      <c r="G54" s="199"/>
      <c r="H54" s="3"/>
      <c r="I54" s="3"/>
      <c r="J54" s="3"/>
      <c r="K54" s="3"/>
      <c r="L54" s="3"/>
      <c r="M54" s="3"/>
      <c r="N54" s="50"/>
      <c r="P54" s="500">
        <f>IF(ISNUMBER(L13),($D$44*K13+$E$44)+$C$55*$E$46*SQRT(1/COUNT($K$10:$K$39)+((K13-$D$42)^2)/$D$41),"")</f>
        <v>2.25521844295181E-3</v>
      </c>
      <c r="Q54" s="500">
        <f>IF(ISNUMBER(L13),($D$44*K13+$E$44)-$C$55*$E$46*SQRT(1/COUNT($K$10:$K$39)+((K13-$D$42)^2)/$D$41),"")</f>
        <v>-4.3428180383338203E-4</v>
      </c>
      <c r="R54" s="500">
        <f t="shared" si="1"/>
        <v>6.6479659441097943E-3</v>
      </c>
      <c r="S54" s="500">
        <f t="shared" si="2"/>
        <v>-4.8270293049913655E-3</v>
      </c>
      <c r="U54" s="484">
        <f>1.1*L10+4</f>
        <v>4.0011000000000001</v>
      </c>
      <c r="V54" s="470"/>
      <c r="W54" s="604" t="s">
        <v>160</v>
      </c>
      <c r="X54" s="604"/>
      <c r="Y54" s="604"/>
      <c r="Z54" s="604"/>
      <c r="AA54" s="604" t="s">
        <v>50</v>
      </c>
      <c r="AB54" s="604"/>
      <c r="AC54" s="604"/>
      <c r="AD54" s="604"/>
      <c r="AE54" s="604"/>
      <c r="AF54" s="604"/>
      <c r="AG54" s="470"/>
      <c r="AH54" s="470"/>
    </row>
    <row r="55" spans="2:34" ht="15" x14ac:dyDescent="0.25">
      <c r="B55" s="396" t="s">
        <v>49</v>
      </c>
      <c r="C55" s="60">
        <f>TINV(0.05,COUNT(K10:K39)-2)</f>
        <v>2.0484071417952445</v>
      </c>
      <c r="D55" s="3"/>
      <c r="E55" s="393" t="s">
        <v>49</v>
      </c>
      <c r="F55" s="60">
        <f>TINV(0.05,COUNT(L10:L39)-2)</f>
        <v>2.0484071417952445</v>
      </c>
      <c r="G55" s="197"/>
      <c r="H55" s="3"/>
      <c r="I55" s="3"/>
      <c r="J55" s="3"/>
      <c r="K55" s="3"/>
      <c r="L55" s="3"/>
      <c r="M55" s="3"/>
      <c r="N55" s="50"/>
      <c r="P55" s="500">
        <f t="shared" ref="P55:P79" si="3">IF(ISNUMBER(L14),($D$44*K14+$E$44)+$C$55*$E$46*SQRT(1/COUNT($K$10:$K$39)+((K14-$D$42)^2)/$D$41),"")</f>
        <v>2.25521844295181E-3</v>
      </c>
      <c r="Q55" s="500">
        <f t="shared" si="0"/>
        <v>-4.3428180383338203E-4</v>
      </c>
      <c r="R55" s="500">
        <f t="shared" si="1"/>
        <v>6.6479659441097943E-3</v>
      </c>
      <c r="S55" s="500">
        <f t="shared" si="2"/>
        <v>-4.8270293049913655E-3</v>
      </c>
      <c r="U55" s="484">
        <f>1.1*L13+4</f>
        <v>4.0011000000000001</v>
      </c>
      <c r="V55" s="470"/>
      <c r="W55" s="485" t="s">
        <v>103</v>
      </c>
      <c r="X55" s="485" t="s">
        <v>104</v>
      </c>
      <c r="Y55" s="485" t="s">
        <v>161</v>
      </c>
      <c r="Z55" s="485" t="s">
        <v>162</v>
      </c>
      <c r="AA55" s="485" t="s">
        <v>47</v>
      </c>
      <c r="AB55" s="485" t="s">
        <v>46</v>
      </c>
      <c r="AC55" s="485" t="s">
        <v>45</v>
      </c>
      <c r="AD55" s="485" t="s">
        <v>44</v>
      </c>
      <c r="AE55" s="485" t="s">
        <v>159</v>
      </c>
      <c r="AF55" s="486" t="s">
        <v>163</v>
      </c>
      <c r="AG55" s="470"/>
      <c r="AH55" s="470"/>
    </row>
    <row r="56" spans="2:34" ht="15" x14ac:dyDescent="0.25">
      <c r="B56" s="195" t="s">
        <v>168</v>
      </c>
      <c r="C56" s="193"/>
      <c r="D56" s="194"/>
      <c r="E56" s="193"/>
      <c r="F56" s="53"/>
      <c r="G56" s="192"/>
      <c r="H56" s="47"/>
      <c r="I56" s="3"/>
      <c r="J56" s="3"/>
      <c r="K56" s="3"/>
      <c r="L56" s="3"/>
      <c r="M56" s="3"/>
      <c r="N56" s="50"/>
      <c r="P56" s="500">
        <f t="shared" si="3"/>
        <v>5.4826625702950743E-3</v>
      </c>
      <c r="Q56" s="500">
        <f t="shared" si="0"/>
        <v>2.9399269613853397E-3</v>
      </c>
      <c r="R56" s="500">
        <f t="shared" si="1"/>
        <v>9.9320379161278987E-3</v>
      </c>
      <c r="S56" s="500">
        <f t="shared" si="2"/>
        <v>-1.5094483844474843E-3</v>
      </c>
      <c r="U56" s="484">
        <f>1.1*L14+4</f>
        <v>4.0011000000000001</v>
      </c>
      <c r="V56" s="470"/>
      <c r="W56" s="485" t="s">
        <v>164</v>
      </c>
      <c r="X56" s="485">
        <f>COUNT(L10:L39)</f>
        <v>30</v>
      </c>
      <c r="Y56" s="487">
        <f>SUM(L10:L39)^2</f>
        <v>0.59289999999999987</v>
      </c>
      <c r="Z56" s="487">
        <f>Y56/X56</f>
        <v>1.9763333333333331E-2</v>
      </c>
      <c r="AA56" s="488">
        <f>DEVSQ(L10:L39)</f>
        <v>2.4926666666666666E-2</v>
      </c>
      <c r="AB56" s="485">
        <f>X56-1</f>
        <v>29</v>
      </c>
      <c r="AC56" s="487">
        <f t="shared" ref="AC56:AC59" si="4">AA56/AB56</f>
        <v>8.595402298850575E-4</v>
      </c>
      <c r="AD56" s="485" t="s">
        <v>12</v>
      </c>
      <c r="AE56" s="485" t="s">
        <v>12</v>
      </c>
      <c r="AF56" s="489">
        <f>SUM(AF58:AF61)</f>
        <v>1</v>
      </c>
      <c r="AG56" s="470"/>
      <c r="AH56" s="470"/>
    </row>
    <row r="57" spans="2:34" ht="15" x14ac:dyDescent="0.25">
      <c r="B57" s="269"/>
      <c r="C57" s="179"/>
      <c r="D57" s="179"/>
      <c r="E57" s="179"/>
      <c r="F57" s="84"/>
      <c r="G57" s="178"/>
      <c r="H57" s="3"/>
      <c r="I57" s="3"/>
      <c r="J57" s="3"/>
      <c r="K57" s="3"/>
      <c r="L57" s="3"/>
      <c r="M57" s="3"/>
      <c r="N57" s="50"/>
      <c r="P57" s="500">
        <f t="shared" si="3"/>
        <v>5.4826625702950743E-3</v>
      </c>
      <c r="Q57" s="500">
        <f t="shared" si="0"/>
        <v>2.9399269613853397E-3</v>
      </c>
      <c r="R57" s="500">
        <f t="shared" si="1"/>
        <v>9.9320379161278987E-3</v>
      </c>
      <c r="S57" s="500">
        <f t="shared" si="2"/>
        <v>-1.5094483844474843E-3</v>
      </c>
      <c r="U57" s="484">
        <f>1.1*L15+4</f>
        <v>4.0044000000000004</v>
      </c>
      <c r="V57" s="470"/>
      <c r="W57" s="485" t="s">
        <v>176</v>
      </c>
      <c r="X57" s="485" t="s">
        <v>12</v>
      </c>
      <c r="Y57" s="488" t="s">
        <v>12</v>
      </c>
      <c r="Z57" s="485" t="s">
        <v>12</v>
      </c>
      <c r="AA57" s="487">
        <f>AA59</f>
        <v>1.703933333333334E-2</v>
      </c>
      <c r="AB57" s="485">
        <f>AB59</f>
        <v>4</v>
      </c>
      <c r="AC57" s="487">
        <f t="shared" si="4"/>
        <v>4.2598333333333351E-3</v>
      </c>
      <c r="AD57" s="487">
        <f>AC57/AC58</f>
        <v>13.502134223649753</v>
      </c>
      <c r="AE57" s="487">
        <f>FINV(0.05,AB57,AB58)</f>
        <v>2.7587104697176335</v>
      </c>
      <c r="AF57" s="489">
        <f>AA57/AA56</f>
        <v>0.68357849692431161</v>
      </c>
      <c r="AG57" s="470"/>
      <c r="AH57" s="470"/>
    </row>
    <row r="58" spans="2:34" ht="15" x14ac:dyDescent="0.25">
      <c r="B58" s="191" t="s">
        <v>50</v>
      </c>
      <c r="C58" s="92"/>
      <c r="D58" s="91"/>
      <c r="E58" s="91"/>
      <c r="F58" s="190"/>
      <c r="G58" s="90"/>
      <c r="H58" s="3"/>
      <c r="I58" s="3"/>
      <c r="J58" s="3"/>
      <c r="K58" s="3"/>
      <c r="L58" s="3"/>
      <c r="M58" s="3"/>
      <c r="N58" s="50"/>
      <c r="P58" s="500">
        <f t="shared" si="3"/>
        <v>5.4826625702950743E-3</v>
      </c>
      <c r="Q58" s="500">
        <f t="shared" si="0"/>
        <v>2.9399269613853397E-3</v>
      </c>
      <c r="R58" s="500">
        <f t="shared" si="1"/>
        <v>9.9320379161278987E-3</v>
      </c>
      <c r="S58" s="500">
        <f t="shared" si="2"/>
        <v>-1.5094483844474843E-3</v>
      </c>
      <c r="U58" s="484">
        <f>1.1*L18+4</f>
        <v>4.0044000000000004</v>
      </c>
      <c r="V58" s="470"/>
      <c r="W58" s="485" t="s">
        <v>165</v>
      </c>
      <c r="X58" s="485" t="s">
        <v>12</v>
      </c>
      <c r="Y58" s="487" t="s">
        <v>12</v>
      </c>
      <c r="Z58" s="487" t="s">
        <v>12</v>
      </c>
      <c r="AA58" s="487">
        <f>AA56-AA57</f>
        <v>7.8873333333333261E-3</v>
      </c>
      <c r="AB58" s="485">
        <f>AB56-AB57</f>
        <v>25</v>
      </c>
      <c r="AC58" s="487">
        <f t="shared" si="4"/>
        <v>3.1549333333333302E-4</v>
      </c>
      <c r="AD58" s="487" t="s">
        <v>12</v>
      </c>
      <c r="AE58" s="485" t="s">
        <v>12</v>
      </c>
      <c r="AF58" s="489">
        <f>AA58/AA56</f>
        <v>0.31642150307568839</v>
      </c>
      <c r="AG58" s="470"/>
      <c r="AH58" s="470"/>
    </row>
    <row r="59" spans="2:34" ht="15" x14ac:dyDescent="0.25">
      <c r="B59" s="189"/>
      <c r="C59" s="4"/>
      <c r="D59" s="85"/>
      <c r="E59" s="84"/>
      <c r="F59" s="188"/>
      <c r="G59" s="83"/>
      <c r="H59" s="3"/>
      <c r="I59" s="45"/>
      <c r="J59" s="4"/>
      <c r="K59" s="4"/>
      <c r="L59" s="4"/>
      <c r="M59" s="4"/>
      <c r="N59" s="175"/>
      <c r="P59" s="500">
        <f t="shared" si="3"/>
        <v>5.4826625702950743E-3</v>
      </c>
      <c r="Q59" s="500">
        <f t="shared" si="0"/>
        <v>2.9399269613853397E-3</v>
      </c>
      <c r="R59" s="500">
        <f t="shared" si="1"/>
        <v>9.9320379161278987E-3</v>
      </c>
      <c r="S59" s="500">
        <f t="shared" si="2"/>
        <v>-1.5094483844474843E-3</v>
      </c>
      <c r="U59" s="484">
        <f>1.1*L19+4</f>
        <v>4.0044000000000004</v>
      </c>
      <c r="V59" s="470"/>
      <c r="W59" s="485" t="s">
        <v>104</v>
      </c>
      <c r="X59" s="485">
        <v>5</v>
      </c>
      <c r="Y59" s="487">
        <f>SUM(L10:L14)^2+SUM(L15:L19)^2+SUM(L25:L29)^2+SUM(L30:L34)^2+SUM(L35:L39)^2</f>
        <v>0.22081600000000004</v>
      </c>
      <c r="Z59" s="487">
        <f>Y59*X59/X56</f>
        <v>3.6802666666666671E-2</v>
      </c>
      <c r="AA59" s="487">
        <f>Z59-Z56</f>
        <v>1.703933333333334E-2</v>
      </c>
      <c r="AB59" s="485">
        <f>X59-1</f>
        <v>4</v>
      </c>
      <c r="AC59" s="487">
        <f t="shared" si="4"/>
        <v>4.2598333333333351E-3</v>
      </c>
      <c r="AD59" s="487">
        <f>AC59/AC58</f>
        <v>13.502134223649753</v>
      </c>
      <c r="AE59" s="487">
        <f>FINV(0.05,AB59,AB58)</f>
        <v>2.7587104697176335</v>
      </c>
      <c r="AF59" s="489" t="s">
        <v>12</v>
      </c>
      <c r="AG59" s="470"/>
      <c r="AH59" s="470"/>
    </row>
    <row r="60" spans="2:34" ht="15" x14ac:dyDescent="0.25">
      <c r="B60" s="398" t="s">
        <v>103</v>
      </c>
      <c r="C60" s="390" t="s">
        <v>47</v>
      </c>
      <c r="D60" s="390" t="s">
        <v>46</v>
      </c>
      <c r="E60" s="390" t="s">
        <v>45</v>
      </c>
      <c r="F60" s="390" t="s">
        <v>44</v>
      </c>
      <c r="G60" s="390" t="s">
        <v>43</v>
      </c>
      <c r="H60" s="3"/>
      <c r="I60" s="4"/>
      <c r="J60" s="4"/>
      <c r="K60" s="4"/>
      <c r="L60" s="4"/>
      <c r="M60" s="4"/>
      <c r="N60" s="175"/>
      <c r="P60" s="500">
        <f t="shared" si="3"/>
        <v>5.4826625702950743E-3</v>
      </c>
      <c r="Q60" s="500">
        <f t="shared" si="0"/>
        <v>2.9399269613853397E-3</v>
      </c>
      <c r="R60" s="500">
        <f t="shared" si="1"/>
        <v>9.9320379161278987E-3</v>
      </c>
      <c r="S60" s="500">
        <f t="shared" si="2"/>
        <v>-1.5094483844474843E-3</v>
      </c>
      <c r="U60" s="484">
        <f>1.1*L25+4</f>
        <v>4.0175999999999998</v>
      </c>
      <c r="V60" s="470"/>
      <c r="W60" s="485" t="s">
        <v>173</v>
      </c>
      <c r="X60" s="485" t="s">
        <v>12</v>
      </c>
      <c r="Y60" s="487" t="s">
        <v>12</v>
      </c>
      <c r="Z60" s="487" t="s">
        <v>12</v>
      </c>
      <c r="AA60" s="487">
        <f>D48</f>
        <v>2.4719064049586778E-2</v>
      </c>
      <c r="AB60" s="485">
        <v>1</v>
      </c>
      <c r="AC60" s="487">
        <f>AA60/AB60</f>
        <v>2.4719064049586778E-2</v>
      </c>
      <c r="AD60" s="487">
        <f>AC60/AC58</f>
        <v>78.350511525611111</v>
      </c>
      <c r="AE60" s="487">
        <f>FINV(0.05,AB60,AB58)</f>
        <v>4.2416990502771483</v>
      </c>
      <c r="AF60" s="489">
        <f>AA60/AA56</f>
        <v>0.99167146494731662</v>
      </c>
      <c r="AG60" s="470"/>
      <c r="AH60" s="470"/>
    </row>
    <row r="61" spans="2:34" ht="15" x14ac:dyDescent="0.25">
      <c r="B61" s="398" t="s">
        <v>42</v>
      </c>
      <c r="C61" s="99">
        <f>C65-C64</f>
        <v>2.4719866666666666E-2</v>
      </c>
      <c r="D61" s="59">
        <f>COUNT(M10:M39)-1</f>
        <v>5</v>
      </c>
      <c r="E61" s="66">
        <f>C61/D61</f>
        <v>4.9439733333333331E-3</v>
      </c>
      <c r="F61" s="78"/>
      <c r="G61" s="78"/>
      <c r="H61" s="4"/>
      <c r="I61" s="4"/>
      <c r="J61" s="4"/>
      <c r="K61" s="4"/>
      <c r="L61" s="4"/>
      <c r="M61" s="4"/>
      <c r="N61" s="175"/>
      <c r="P61" s="500">
        <f t="shared" si="3"/>
        <v>9.5268537216414099E-3</v>
      </c>
      <c r="Q61" s="500">
        <f t="shared" si="0"/>
        <v>7.1478019257414866E-3</v>
      </c>
      <c r="R61" s="500">
        <f t="shared" si="1"/>
        <v>1.4040440829695522E-2</v>
      </c>
      <c r="S61" s="500">
        <f t="shared" si="2"/>
        <v>2.6342148176873754E-3</v>
      </c>
      <c r="U61" s="484">
        <f>1.1*L28+4</f>
        <v>4.0186999999999999</v>
      </c>
      <c r="V61" s="470"/>
      <c r="W61" s="485" t="s">
        <v>39</v>
      </c>
      <c r="X61" s="485" t="s">
        <v>12</v>
      </c>
      <c r="Y61" s="487" t="s">
        <v>12</v>
      </c>
      <c r="Z61" s="487" t="s">
        <v>12</v>
      </c>
      <c r="AA61" s="487">
        <f>AA59-AA60</f>
        <v>-7.6797307162534377E-3</v>
      </c>
      <c r="AB61" s="485">
        <f>AB59-AB60</f>
        <v>3</v>
      </c>
      <c r="AC61" s="487">
        <f>AA61/AB61</f>
        <v>-2.5599102387511459E-3</v>
      </c>
      <c r="AD61" s="487">
        <f>AC61/AC58</f>
        <v>-8.1139915436707017</v>
      </c>
      <c r="AE61" s="487">
        <f>FINV(0.05,AB61,AB58)</f>
        <v>2.9912409095499513</v>
      </c>
      <c r="AF61" s="489">
        <f>AA61/AA56</f>
        <v>-0.30809296802300501</v>
      </c>
      <c r="AG61" s="470"/>
      <c r="AH61" s="470"/>
    </row>
    <row r="62" spans="2:34" x14ac:dyDescent="0.2">
      <c r="B62" s="398" t="s">
        <v>40</v>
      </c>
      <c r="C62" s="99">
        <f>D48</f>
        <v>2.4719064049586778E-2</v>
      </c>
      <c r="D62" s="59">
        <v>1</v>
      </c>
      <c r="E62" s="440">
        <f>C62/D62</f>
        <v>2.4719064049586778E-2</v>
      </c>
      <c r="F62" s="87">
        <f>E62/E64</f>
        <v>2868.750179835989</v>
      </c>
      <c r="G62" s="60">
        <f>FINV(0.05,D62,D64)</f>
        <v>4.2596772726902348</v>
      </c>
      <c r="H62" s="268"/>
      <c r="I62" s="4"/>
      <c r="J62" s="4"/>
      <c r="K62" s="4"/>
      <c r="L62" s="4"/>
      <c r="M62" s="179"/>
      <c r="N62" s="175"/>
      <c r="P62" s="500">
        <f t="shared" si="3"/>
        <v>9.5268537216414099E-3</v>
      </c>
      <c r="Q62" s="500">
        <f t="shared" si="0"/>
        <v>7.1478019257414866E-3</v>
      </c>
      <c r="R62" s="500">
        <f t="shared" si="1"/>
        <v>1.4040440829695522E-2</v>
      </c>
      <c r="S62" s="500">
        <f t="shared" si="2"/>
        <v>2.6342148176873754E-3</v>
      </c>
      <c r="U62" s="484">
        <f>1.1*L29+4</f>
        <v>4.0164999999999997</v>
      </c>
      <c r="V62" s="470"/>
      <c r="W62" s="470"/>
      <c r="X62" s="470"/>
      <c r="Y62" s="470"/>
      <c r="Z62" s="470"/>
      <c r="AA62" s="470"/>
      <c r="AB62" s="470"/>
      <c r="AC62" s="470"/>
      <c r="AD62" s="470"/>
      <c r="AE62" s="470"/>
      <c r="AF62" s="470"/>
      <c r="AG62" s="470"/>
      <c r="AH62" s="470"/>
    </row>
    <row r="63" spans="2:34" x14ac:dyDescent="0.2">
      <c r="B63" s="398" t="s">
        <v>39</v>
      </c>
      <c r="C63" s="99">
        <f>C61-C62</f>
        <v>8.0261707988832365E-7</v>
      </c>
      <c r="D63" s="59">
        <f>COUNT(M10:M39)-2</f>
        <v>4</v>
      </c>
      <c r="E63" s="440">
        <f>C63/D63</f>
        <v>2.0065426997208091E-7</v>
      </c>
      <c r="F63" s="87">
        <f>E63/E64</f>
        <v>2.3286762472581921E-2</v>
      </c>
      <c r="G63" s="60">
        <f>FINV(0.05,D63,D64)</f>
        <v>2.7762892892514786</v>
      </c>
      <c r="H63" s="4"/>
      <c r="I63" s="4"/>
      <c r="J63" s="4"/>
      <c r="K63" s="4"/>
      <c r="L63" s="4"/>
      <c r="M63" s="267"/>
      <c r="N63" s="175"/>
      <c r="P63" s="500">
        <f t="shared" si="3"/>
        <v>9.5268537216414099E-3</v>
      </c>
      <c r="Q63" s="500">
        <f t="shared" si="0"/>
        <v>7.1478019257414866E-3</v>
      </c>
      <c r="R63" s="500">
        <f t="shared" si="1"/>
        <v>1.4040440829695522E-2</v>
      </c>
      <c r="S63" s="500">
        <f t="shared" si="2"/>
        <v>2.6342148176873754E-3</v>
      </c>
      <c r="U63" s="484">
        <f>1.1*L30+4</f>
        <v>4.0461999999999998</v>
      </c>
      <c r="V63" s="470"/>
      <c r="W63" s="483" t="s">
        <v>175</v>
      </c>
      <c r="X63" s="470"/>
      <c r="Y63" s="470"/>
      <c r="Z63" s="470"/>
      <c r="AA63" s="470"/>
      <c r="AB63" s="470"/>
      <c r="AC63" s="470"/>
      <c r="AD63" s="470"/>
      <c r="AE63" s="470"/>
      <c r="AF63" s="470"/>
      <c r="AG63" s="470"/>
      <c r="AH63" s="470"/>
    </row>
    <row r="64" spans="2:34" x14ac:dyDescent="0.2">
      <c r="B64" s="398" t="s">
        <v>37</v>
      </c>
      <c r="C64" s="99">
        <f>SUM(N10:N39)</f>
        <v>2.0680000000000004E-4</v>
      </c>
      <c r="D64" s="59">
        <f>D65-D61</f>
        <v>24</v>
      </c>
      <c r="E64" s="66">
        <f>C64/D64</f>
        <v>8.6166666666666683E-6</v>
      </c>
      <c r="F64" s="65"/>
      <c r="G64" s="65"/>
      <c r="H64" s="4"/>
      <c r="I64" s="4"/>
      <c r="J64" s="4"/>
      <c r="K64" s="4"/>
      <c r="L64" s="4"/>
      <c r="M64" s="4"/>
      <c r="N64" s="175"/>
      <c r="P64" s="500">
        <f t="shared" si="3"/>
        <v>9.5268537216414099E-3</v>
      </c>
      <c r="Q64" s="500">
        <f t="shared" si="0"/>
        <v>7.1478019257414866E-3</v>
      </c>
      <c r="R64" s="500">
        <f t="shared" si="1"/>
        <v>1.4040440829695522E-2</v>
      </c>
      <c r="S64" s="500">
        <f t="shared" si="2"/>
        <v>2.6342148176873754E-3</v>
      </c>
      <c r="U64" s="484">
        <f>1.1*L33+4</f>
        <v>4.0450999999999997</v>
      </c>
      <c r="V64" s="470"/>
      <c r="W64" s="470"/>
      <c r="X64" s="470"/>
      <c r="Y64" s="470"/>
      <c r="Z64" s="470"/>
      <c r="AA64" s="470"/>
      <c r="AB64" s="470"/>
      <c r="AC64" s="470"/>
      <c r="AD64" s="470"/>
      <c r="AE64" s="470"/>
      <c r="AF64" s="470"/>
      <c r="AG64" s="470"/>
      <c r="AH64" s="470"/>
    </row>
    <row r="65" spans="1:34" x14ac:dyDescent="0.2">
      <c r="B65" s="398" t="s">
        <v>36</v>
      </c>
      <c r="C65" s="99">
        <f>DEVSQ(L10:L39)</f>
        <v>2.4926666666666666E-2</v>
      </c>
      <c r="D65" s="59">
        <f>COUNT(L10:L39)-1</f>
        <v>29</v>
      </c>
      <c r="E65" s="58"/>
      <c r="F65" s="58"/>
      <c r="G65" s="58"/>
      <c r="H65" s="4"/>
      <c r="I65" s="4"/>
      <c r="J65" s="4"/>
      <c r="K65" s="4"/>
      <c r="L65" s="4"/>
      <c r="M65" s="4"/>
      <c r="N65" s="175"/>
      <c r="P65" s="500">
        <f t="shared" si="3"/>
        <v>9.5268537216414099E-3</v>
      </c>
      <c r="Q65" s="500">
        <f t="shared" si="0"/>
        <v>7.1478019257414866E-3</v>
      </c>
      <c r="R65" s="500">
        <f t="shared" si="1"/>
        <v>1.4040440829695522E-2</v>
      </c>
      <c r="S65" s="500">
        <f t="shared" si="2"/>
        <v>2.6342148176873754E-3</v>
      </c>
      <c r="U65" s="484">
        <f>1.1*L34+4</f>
        <v>4.0418000000000003</v>
      </c>
      <c r="V65" s="470"/>
      <c r="W65" s="470"/>
      <c r="X65" s="470"/>
      <c r="Y65" s="470"/>
      <c r="Z65" s="470"/>
      <c r="AA65" s="470"/>
      <c r="AB65" s="470"/>
      <c r="AC65" s="470"/>
      <c r="AD65" s="470"/>
      <c r="AE65" s="470"/>
      <c r="AF65" s="470"/>
      <c r="AG65" s="470"/>
      <c r="AH65" s="470"/>
    </row>
    <row r="66" spans="1:34" ht="15" x14ac:dyDescent="0.2">
      <c r="B66" s="403" t="s">
        <v>169</v>
      </c>
      <c r="C66" s="53"/>
      <c r="D66" s="53"/>
      <c r="E66" s="52"/>
      <c r="F66" s="52"/>
      <c r="G66" s="51"/>
      <c r="H66" s="214"/>
      <c r="I66" s="266"/>
      <c r="J66" s="265"/>
      <c r="K66" s="265"/>
      <c r="L66" s="264"/>
      <c r="M66" s="264"/>
      <c r="N66" s="175"/>
      <c r="P66" s="500">
        <f t="shared" si="3"/>
        <v>1.7657438549996178E-2</v>
      </c>
      <c r="Q66" s="500">
        <f t="shared" si="0"/>
        <v>1.5521349328791685E-2</v>
      </c>
      <c r="R66" s="500">
        <f t="shared" si="1"/>
        <v>2.2268411934399376E-2</v>
      </c>
      <c r="S66" s="500">
        <f t="shared" si="2"/>
        <v>1.0910375944388487E-2</v>
      </c>
      <c r="U66" s="484">
        <f>1.1*L35+4</f>
        <v>4.0923999999999996</v>
      </c>
      <c r="V66" s="470"/>
      <c r="W66" s="470"/>
      <c r="X66" s="470"/>
      <c r="Y66" s="470"/>
      <c r="Z66" s="470"/>
      <c r="AA66" s="470"/>
      <c r="AB66" s="470"/>
      <c r="AC66" s="470"/>
      <c r="AD66" s="470"/>
      <c r="AE66" s="470"/>
      <c r="AF66" s="470"/>
      <c r="AG66" s="470"/>
      <c r="AH66" s="470"/>
    </row>
    <row r="67" spans="1:34" ht="15.75" thickBot="1" x14ac:dyDescent="0.25">
      <c r="B67" s="263"/>
      <c r="C67" s="262"/>
      <c r="D67" s="262"/>
      <c r="E67" s="261"/>
      <c r="F67" s="261"/>
      <c r="G67" s="261"/>
      <c r="H67" s="260"/>
      <c r="I67" s="259"/>
      <c r="J67" s="258"/>
      <c r="K67" s="258"/>
      <c r="L67" s="257"/>
      <c r="M67" s="257"/>
      <c r="N67" s="256"/>
      <c r="O67" s="49"/>
      <c r="P67" s="500">
        <f t="shared" si="3"/>
        <v>1.7657438549996178E-2</v>
      </c>
      <c r="Q67" s="500">
        <f t="shared" si="0"/>
        <v>1.5521349328791685E-2</v>
      </c>
      <c r="R67" s="500">
        <f t="shared" si="1"/>
        <v>2.2268411934399376E-2</v>
      </c>
      <c r="S67" s="500">
        <f t="shared" si="2"/>
        <v>1.0910375944388487E-2</v>
      </c>
      <c r="U67" s="484">
        <f>1.1*L38+4</f>
        <v>4.0923999999999996</v>
      </c>
      <c r="V67" s="470"/>
      <c r="W67" s="470"/>
      <c r="X67" s="470"/>
      <c r="Y67" s="470"/>
      <c r="Z67" s="470"/>
      <c r="AA67" s="470"/>
      <c r="AB67" s="470"/>
      <c r="AC67" s="470"/>
      <c r="AD67" s="470"/>
      <c r="AE67" s="470"/>
      <c r="AF67" s="470"/>
      <c r="AG67" s="470"/>
      <c r="AH67" s="470"/>
    </row>
    <row r="68" spans="1:34" x14ac:dyDescent="0.2">
      <c r="A68" s="3"/>
      <c r="B68" s="174"/>
      <c r="C68" s="153"/>
      <c r="D68" s="3"/>
      <c r="E68" s="3"/>
      <c r="F68" s="3"/>
      <c r="G68" s="3"/>
      <c r="H68" s="3"/>
      <c r="I68" s="3"/>
      <c r="J68" s="4"/>
      <c r="K68" s="4"/>
      <c r="L68" s="4"/>
      <c r="M68" s="4"/>
      <c r="N68" s="4"/>
      <c r="O68" s="4"/>
      <c r="P68" s="500">
        <f t="shared" si="3"/>
        <v>1.7657438549996178E-2</v>
      </c>
      <c r="Q68" s="500">
        <f t="shared" si="0"/>
        <v>1.5521349328791685E-2</v>
      </c>
      <c r="R68" s="500">
        <f t="shared" si="1"/>
        <v>2.2268411934399376E-2</v>
      </c>
      <c r="S68" s="500">
        <f t="shared" si="2"/>
        <v>1.0910375944388487E-2</v>
      </c>
      <c r="U68" s="484">
        <f>1.1*L39+4</f>
        <v>4.0803000000000003</v>
      </c>
      <c r="V68" s="470"/>
      <c r="W68" s="470"/>
      <c r="X68" s="470"/>
      <c r="Y68" s="470"/>
      <c r="Z68" s="470"/>
      <c r="AA68" s="470"/>
      <c r="AB68" s="470"/>
      <c r="AC68" s="470"/>
      <c r="AD68" s="470"/>
      <c r="AE68" s="470"/>
      <c r="AF68" s="470"/>
      <c r="AG68" s="470"/>
      <c r="AH68" s="470"/>
    </row>
    <row r="69" spans="1:34" x14ac:dyDescent="0.2">
      <c r="A69" s="3"/>
      <c r="E69" s="173"/>
      <c r="F69" s="3"/>
      <c r="G69" s="3"/>
      <c r="H69" s="3"/>
      <c r="I69" s="3"/>
      <c r="J69" s="3"/>
      <c r="K69" s="3"/>
      <c r="L69" s="3"/>
      <c r="M69" s="3"/>
      <c r="N69" s="3"/>
      <c r="O69" s="3"/>
      <c r="P69" s="500">
        <f t="shared" si="3"/>
        <v>1.7657438549996178E-2</v>
      </c>
      <c r="Q69" s="500">
        <f t="shared" si="0"/>
        <v>1.5521349328791685E-2</v>
      </c>
      <c r="R69" s="500">
        <f t="shared" si="1"/>
        <v>2.2268411934399376E-2</v>
      </c>
      <c r="S69" s="500">
        <f t="shared" si="2"/>
        <v>1.0910375944388487E-2</v>
      </c>
      <c r="U69" s="470"/>
      <c r="V69" s="470"/>
      <c r="W69" s="470"/>
      <c r="X69" s="470"/>
      <c r="Y69" s="470"/>
      <c r="Z69" s="470"/>
      <c r="AA69" s="470"/>
      <c r="AB69" s="470"/>
      <c r="AC69" s="470"/>
      <c r="AD69" s="470"/>
      <c r="AE69" s="470"/>
      <c r="AF69" s="470"/>
      <c r="AG69" s="470"/>
      <c r="AH69" s="470"/>
    </row>
    <row r="70" spans="1:34" x14ac:dyDescent="0.2">
      <c r="A70" s="3"/>
      <c r="F70" s="3"/>
      <c r="G70" s="3"/>
      <c r="H70" s="3"/>
      <c r="P70" s="500">
        <f t="shared" si="3"/>
        <v>1.7657438549996178E-2</v>
      </c>
      <c r="Q70" s="500">
        <f t="shared" si="0"/>
        <v>1.5521349328791685E-2</v>
      </c>
      <c r="R70" s="500">
        <f t="shared" si="1"/>
        <v>2.2268411934399376E-2</v>
      </c>
      <c r="S70" s="500">
        <f t="shared" si="2"/>
        <v>1.0910375944388487E-2</v>
      </c>
    </row>
    <row r="71" spans="1:34" x14ac:dyDescent="0.2">
      <c r="A71" s="3"/>
      <c r="P71" s="500">
        <f t="shared" si="3"/>
        <v>4.2505940819908203E-2</v>
      </c>
      <c r="Q71" s="500">
        <f t="shared" si="0"/>
        <v>4.0185243753094554E-2</v>
      </c>
      <c r="R71" s="500">
        <f t="shared" si="1"/>
        <v>4.7042691093467828E-2</v>
      </c>
      <c r="S71" s="500">
        <f t="shared" si="2"/>
        <v>3.5648493479534929E-2</v>
      </c>
    </row>
    <row r="72" spans="1:34" x14ac:dyDescent="0.2">
      <c r="A72" s="3"/>
      <c r="P72" s="500">
        <f t="shared" si="3"/>
        <v>4.2505940819908203E-2</v>
      </c>
      <c r="Q72" s="500">
        <f t="shared" si="0"/>
        <v>4.0185243753094554E-2</v>
      </c>
      <c r="R72" s="500">
        <f t="shared" si="1"/>
        <v>4.7042691093467828E-2</v>
      </c>
      <c r="S72" s="500">
        <f t="shared" si="2"/>
        <v>3.5648493479534929E-2</v>
      </c>
    </row>
    <row r="73" spans="1:34" x14ac:dyDescent="0.2">
      <c r="A73" s="3"/>
      <c r="P73" s="500">
        <f t="shared" si="3"/>
        <v>4.2505940819908203E-2</v>
      </c>
      <c r="Q73" s="500">
        <f t="shared" si="0"/>
        <v>4.0185243753094554E-2</v>
      </c>
      <c r="R73" s="500">
        <f t="shared" si="1"/>
        <v>4.7042691093467828E-2</v>
      </c>
      <c r="S73" s="500">
        <f t="shared" si="2"/>
        <v>3.5648493479534929E-2</v>
      </c>
    </row>
    <row r="74" spans="1:34" x14ac:dyDescent="0.2">
      <c r="P74" s="500">
        <f t="shared" si="3"/>
        <v>4.2505940819908203E-2</v>
      </c>
      <c r="Q74" s="500">
        <f t="shared" si="0"/>
        <v>4.0185243753094554E-2</v>
      </c>
      <c r="R74" s="500">
        <f t="shared" si="1"/>
        <v>4.7042691093467828E-2</v>
      </c>
      <c r="S74" s="500">
        <f t="shared" si="2"/>
        <v>3.5648493479534929E-2</v>
      </c>
    </row>
    <row r="75" spans="1:34" x14ac:dyDescent="0.2">
      <c r="P75" s="500">
        <f t="shared" si="3"/>
        <v>4.2505940819908203E-2</v>
      </c>
      <c r="Q75" s="500">
        <f t="shared" si="0"/>
        <v>4.0185243753094554E-2</v>
      </c>
      <c r="R75" s="500">
        <f t="shared" si="1"/>
        <v>4.7042691093467828E-2</v>
      </c>
      <c r="S75" s="500">
        <f t="shared" si="2"/>
        <v>3.5648493479534929E-2</v>
      </c>
    </row>
    <row r="76" spans="1:34" x14ac:dyDescent="0.2">
      <c r="P76" s="500">
        <f t="shared" si="3"/>
        <v>8.4868085896111542E-2</v>
      </c>
      <c r="Q76" s="500">
        <f t="shared" si="0"/>
        <v>8.0343759833916048E-2</v>
      </c>
      <c r="R76" s="500">
        <f t="shared" si="1"/>
        <v>8.8624885207197412E-2</v>
      </c>
      <c r="S76" s="500">
        <f t="shared" si="2"/>
        <v>7.6586960522830178E-2</v>
      </c>
    </row>
    <row r="77" spans="1:34" x14ac:dyDescent="0.2">
      <c r="P77" s="500">
        <f t="shared" si="3"/>
        <v>8.4868085896111542E-2</v>
      </c>
      <c r="Q77" s="500">
        <f t="shared" si="0"/>
        <v>8.0343759833916048E-2</v>
      </c>
      <c r="R77" s="500">
        <f t="shared" si="1"/>
        <v>8.8624885207197412E-2</v>
      </c>
      <c r="S77" s="500">
        <f t="shared" si="2"/>
        <v>7.6586960522830178E-2</v>
      </c>
    </row>
    <row r="78" spans="1:34" x14ac:dyDescent="0.2">
      <c r="P78" s="500">
        <f t="shared" si="3"/>
        <v>8.4868085896111542E-2</v>
      </c>
      <c r="Q78" s="500">
        <f t="shared" si="0"/>
        <v>8.0343759833916048E-2</v>
      </c>
      <c r="R78" s="500">
        <f t="shared" si="1"/>
        <v>8.8624885207197412E-2</v>
      </c>
      <c r="S78" s="500">
        <f t="shared" si="2"/>
        <v>7.6586960522830178E-2</v>
      </c>
    </row>
    <row r="79" spans="1:34" x14ac:dyDescent="0.2">
      <c r="P79" s="500">
        <f t="shared" si="3"/>
        <v>8.4868085896111542E-2</v>
      </c>
      <c r="Q79" s="500">
        <f t="shared" si="0"/>
        <v>8.0343759833916048E-2</v>
      </c>
      <c r="R79" s="500">
        <f t="shared" si="1"/>
        <v>8.8624885207197412E-2</v>
      </c>
      <c r="S79" s="500">
        <f t="shared" si="2"/>
        <v>7.6586960522830178E-2</v>
      </c>
    </row>
    <row r="80" spans="1:34" x14ac:dyDescent="0.2">
      <c r="C80" s="172"/>
      <c r="D80" s="153"/>
      <c r="P80" s="500">
        <f>IF(ISNUMBER(L39),($D$44*K39+$E$44)+$C$55*$E$46*SQRT(1/COUNT($K$10:$K$39)+((K39-$D$42)^2)/$D$41),"")</f>
        <v>8.4868085896111542E-2</v>
      </c>
      <c r="Q80" s="500">
        <f>IF(ISNUMBER(L39),($D$44*K39+$E$44)-$C$55*$E$46*SQRT(1/COUNT($K$10:$K$39)+((K39-$D$42)^2)/$D$41),"")</f>
        <v>8.0343759833916048E-2</v>
      </c>
      <c r="R80" s="500">
        <f>IF(ISNUMBER(L39),($D$44*K39+$E$44)+$C$55*$E$46*SQRT(1+1/COUNT($K$10:$K$39)+((K39-$D$42)^2)/$D$41),"")</f>
        <v>8.8624885207197412E-2</v>
      </c>
      <c r="S80" s="500">
        <f>IF(ISNUMBER(L39),($D$44*K39+$E$44)-$C$55*$E$46*SQRT(1+1/COUNT($K$10:$K$39)+((K39-$D$42)^2)/$D$41),"")</f>
        <v>7.6586960522830178E-2</v>
      </c>
    </row>
    <row r="81" spans="1:21" ht="13.5" thickBot="1" x14ac:dyDescent="0.25">
      <c r="C81" s="172"/>
      <c r="D81" s="153"/>
      <c r="P81" s="490"/>
      <c r="Q81" s="490"/>
      <c r="R81" s="490"/>
      <c r="S81" s="490"/>
    </row>
    <row r="82" spans="1:21" ht="15" customHeight="1" x14ac:dyDescent="0.2">
      <c r="B82" s="611" t="s">
        <v>105</v>
      </c>
      <c r="C82" s="612"/>
      <c r="D82" s="612"/>
      <c r="E82" s="491"/>
      <c r="F82" s="491"/>
      <c r="G82" s="491"/>
      <c r="H82" s="491"/>
      <c r="I82" s="491"/>
      <c r="J82" s="491"/>
      <c r="K82" s="491"/>
      <c r="L82" s="491"/>
      <c r="M82" s="491"/>
      <c r="N82" s="491"/>
      <c r="O82" s="491"/>
      <c r="P82" s="492"/>
      <c r="Q82" s="492"/>
      <c r="R82" s="492"/>
      <c r="S82" s="492"/>
      <c r="T82" s="491"/>
      <c r="U82" s="170"/>
    </row>
    <row r="83" spans="1:21" x14ac:dyDescent="0.2">
      <c r="B83" s="613"/>
      <c r="C83" s="614"/>
      <c r="D83" s="614"/>
      <c r="E83" s="3"/>
      <c r="F83" s="3"/>
      <c r="G83" s="3"/>
      <c r="H83" s="3"/>
      <c r="I83" s="3"/>
      <c r="J83" s="453" t="s">
        <v>112</v>
      </c>
      <c r="K83" s="3"/>
      <c r="L83" s="3"/>
      <c r="M83" s="3"/>
      <c r="N83" s="3"/>
      <c r="O83" s="3"/>
      <c r="P83" s="3"/>
      <c r="Q83" s="3"/>
      <c r="R83" s="3"/>
      <c r="S83" s="3"/>
      <c r="T83" s="3"/>
      <c r="U83" s="50"/>
    </row>
    <row r="84" spans="1:21" x14ac:dyDescent="0.2">
      <c r="B84" s="493" t="s">
        <v>104</v>
      </c>
      <c r="C84" s="198" t="s">
        <v>12</v>
      </c>
      <c r="D84" s="198" t="s">
        <v>11</v>
      </c>
      <c r="E84" s="3"/>
      <c r="F84" s="452" t="s">
        <v>30</v>
      </c>
      <c r="G84" s="452" t="s">
        <v>31</v>
      </c>
      <c r="H84" s="3"/>
      <c r="I84" s="3">
        <v>1</v>
      </c>
      <c r="J84" s="455">
        <v>90.021000000000001</v>
      </c>
      <c r="K84" s="3"/>
      <c r="L84" s="3"/>
      <c r="M84" s="4"/>
      <c r="N84" s="3"/>
      <c r="O84" s="3"/>
      <c r="P84" s="3"/>
      <c r="Q84" s="3"/>
      <c r="R84" s="3"/>
      <c r="S84" s="3"/>
      <c r="T84" s="3"/>
      <c r="U84" s="50"/>
    </row>
    <row r="85" spans="1:21" x14ac:dyDescent="0.2">
      <c r="B85" s="493">
        <v>1</v>
      </c>
      <c r="C85" s="454">
        <v>0</v>
      </c>
      <c r="D85" s="454">
        <v>0</v>
      </c>
      <c r="E85" s="3"/>
      <c r="F85" s="102">
        <f t="shared" ref="F85:F94" si="5">($C$101*D85+$D$101)-$C$112*$D$103*SQRT(1/COUNT($K$10:$K$39)+((C85-$C$106)^2)/$C$107)</f>
        <v>-3.9964640477771405</v>
      </c>
      <c r="G85" s="102">
        <f t="shared" ref="G85:G94" si="6">($C$101*D85+$D$101)+$C$112*$D$103*SQRT(1/COUNT($K$10:$K$39)+((C85-$C$106)^2)/$C$107)</f>
        <v>3.9975913205044002</v>
      </c>
      <c r="H85" s="3"/>
      <c r="I85" s="3">
        <v>2</v>
      </c>
      <c r="J85" s="455">
        <v>90.018000000000001</v>
      </c>
      <c r="K85" s="4"/>
      <c r="L85" s="4"/>
      <c r="M85" s="4"/>
      <c r="N85" s="3"/>
      <c r="O85" s="3"/>
      <c r="P85" s="3"/>
      <c r="Q85" s="3"/>
      <c r="R85" s="3"/>
      <c r="S85" s="3"/>
      <c r="T85" s="3"/>
      <c r="U85" s="50"/>
    </row>
    <row r="86" spans="1:21" x14ac:dyDescent="0.2">
      <c r="B86" s="493">
        <v>2</v>
      </c>
      <c r="C86" s="454">
        <v>10</v>
      </c>
      <c r="D86" s="454">
        <v>9.9990000000000006</v>
      </c>
      <c r="E86" s="3"/>
      <c r="F86" s="102">
        <f t="shared" si="5"/>
        <v>6.006144594157405</v>
      </c>
      <c r="G86" s="102">
        <f t="shared" si="6"/>
        <v>13.990510198569858</v>
      </c>
      <c r="H86" s="3"/>
      <c r="I86" s="3">
        <v>3</v>
      </c>
      <c r="J86" s="455">
        <v>89.997</v>
      </c>
      <c r="K86" s="4"/>
      <c r="L86" s="3"/>
      <c r="M86" s="3"/>
      <c r="N86" s="3"/>
      <c r="O86" s="3"/>
      <c r="P86" s="3"/>
      <c r="Q86" s="3"/>
      <c r="R86" s="3"/>
      <c r="S86" s="3"/>
      <c r="T86" s="3"/>
      <c r="U86" s="50"/>
    </row>
    <row r="87" spans="1:21" x14ac:dyDescent="0.2">
      <c r="B87" s="493">
        <v>3</v>
      </c>
      <c r="C87" s="454">
        <v>20</v>
      </c>
      <c r="D87" s="454">
        <v>20</v>
      </c>
      <c r="E87" s="3"/>
      <c r="F87" s="102">
        <f t="shared" si="5"/>
        <v>16.010752988819092</v>
      </c>
      <c r="G87" s="102">
        <f t="shared" si="6"/>
        <v>23.985428829362718</v>
      </c>
      <c r="H87" s="3"/>
      <c r="I87" s="3">
        <v>4</v>
      </c>
      <c r="J87" s="455">
        <v>90.013999999999996</v>
      </c>
      <c r="K87" s="4"/>
      <c r="L87" s="3"/>
      <c r="M87" s="3"/>
      <c r="N87" s="3"/>
      <c r="O87" s="3"/>
      <c r="P87" s="3"/>
      <c r="Q87" s="3"/>
      <c r="R87" s="3"/>
      <c r="S87" s="3"/>
      <c r="T87" s="3"/>
      <c r="U87" s="50"/>
    </row>
    <row r="88" spans="1:21" x14ac:dyDescent="0.2">
      <c r="B88" s="493">
        <v>4</v>
      </c>
      <c r="C88" s="454">
        <v>30</v>
      </c>
      <c r="D88" s="454">
        <v>29.995000000000001</v>
      </c>
      <c r="E88" s="3"/>
      <c r="F88" s="102">
        <f t="shared" si="5"/>
        <v>26.009362125298832</v>
      </c>
      <c r="G88" s="102">
        <f t="shared" si="6"/>
        <v>33.974348201973889</v>
      </c>
      <c r="H88" s="3"/>
      <c r="I88" s="3">
        <v>5</v>
      </c>
      <c r="J88" s="455">
        <v>90.01</v>
      </c>
      <c r="K88" s="4"/>
      <c r="L88" s="4"/>
      <c r="M88" s="4"/>
      <c r="N88" s="3"/>
      <c r="O88" s="3"/>
      <c r="P88" s="3"/>
      <c r="Q88" s="3"/>
      <c r="R88" s="3"/>
      <c r="S88" s="3"/>
      <c r="T88" s="3"/>
      <c r="U88" s="50"/>
    </row>
    <row r="89" spans="1:21" x14ac:dyDescent="0.2">
      <c r="B89" s="493">
        <v>5</v>
      </c>
      <c r="C89" s="454">
        <v>40</v>
      </c>
      <c r="D89" s="454">
        <v>39.994999999999997</v>
      </c>
      <c r="E89" s="3"/>
      <c r="F89" s="102">
        <f t="shared" si="5"/>
        <v>36.012970643596624</v>
      </c>
      <c r="G89" s="102">
        <f t="shared" si="6"/>
        <v>43.968266956403376</v>
      </c>
      <c r="H89" s="3"/>
      <c r="I89" s="3">
        <v>6</v>
      </c>
      <c r="J89" s="455">
        <v>90.015000000000001</v>
      </c>
      <c r="K89" s="3"/>
      <c r="L89" s="3"/>
      <c r="M89" s="3"/>
      <c r="N89" s="3"/>
      <c r="O89" s="3"/>
      <c r="P89" s="3"/>
      <c r="Q89" s="3"/>
      <c r="R89" s="3"/>
      <c r="S89" s="3"/>
      <c r="T89" s="3"/>
      <c r="U89" s="50"/>
    </row>
    <row r="90" spans="1:21" x14ac:dyDescent="0.2">
      <c r="B90" s="493">
        <v>6</v>
      </c>
      <c r="C90" s="454">
        <v>50</v>
      </c>
      <c r="D90" s="454">
        <v>49.994999999999997</v>
      </c>
      <c r="E90" s="3"/>
      <c r="F90" s="102">
        <f t="shared" si="5"/>
        <v>46.016579161894278</v>
      </c>
      <c r="G90" s="102">
        <f t="shared" si="6"/>
        <v>53.962185710832991</v>
      </c>
      <c r="H90" s="3"/>
      <c r="I90" s="3">
        <v>7</v>
      </c>
      <c r="J90" s="455">
        <v>90.02</v>
      </c>
      <c r="K90" s="3"/>
      <c r="L90" s="3"/>
      <c r="M90" s="3"/>
      <c r="N90" s="3"/>
      <c r="O90" s="3"/>
      <c r="P90" s="3"/>
      <c r="Q90" s="3"/>
      <c r="R90" s="3"/>
      <c r="S90" s="3"/>
      <c r="T90" s="3"/>
      <c r="U90" s="50"/>
    </row>
    <row r="91" spans="1:21" x14ac:dyDescent="0.2">
      <c r="A91" s="3"/>
      <c r="B91" s="493">
        <v>7</v>
      </c>
      <c r="C91" s="454">
        <v>60</v>
      </c>
      <c r="D91" s="454">
        <v>59.994</v>
      </c>
      <c r="E91" s="3"/>
      <c r="F91" s="102">
        <f t="shared" si="5"/>
        <v>56.019187803828174</v>
      </c>
      <c r="G91" s="102">
        <f t="shared" si="6"/>
        <v>63.955104588899104</v>
      </c>
      <c r="H91" s="276"/>
      <c r="I91" s="3">
        <v>8</v>
      </c>
      <c r="J91" s="455">
        <v>90</v>
      </c>
      <c r="K91" s="3"/>
      <c r="L91" s="3"/>
      <c r="M91" s="3"/>
      <c r="N91" s="3"/>
      <c r="O91" s="3"/>
      <c r="P91" s="3"/>
      <c r="Q91" s="3"/>
      <c r="R91" s="3"/>
      <c r="S91" s="3"/>
      <c r="T91" s="3"/>
      <c r="U91" s="50"/>
    </row>
    <row r="92" spans="1:21" x14ac:dyDescent="0.2">
      <c r="A92" s="3"/>
      <c r="B92" s="493">
        <v>8</v>
      </c>
      <c r="C92" s="454">
        <v>70</v>
      </c>
      <c r="D92" s="454">
        <v>69.994</v>
      </c>
      <c r="E92" s="3"/>
      <c r="F92" s="102">
        <f t="shared" si="5"/>
        <v>66.022796322125572</v>
      </c>
      <c r="G92" s="102">
        <f t="shared" si="6"/>
        <v>73.949023343329003</v>
      </c>
      <c r="H92" s="3"/>
      <c r="I92" s="3">
        <v>9</v>
      </c>
      <c r="J92" s="455">
        <v>90.01</v>
      </c>
      <c r="K92" s="3"/>
      <c r="L92" s="3"/>
      <c r="M92" s="3"/>
      <c r="N92" s="3"/>
      <c r="O92" s="3"/>
      <c r="P92" s="3"/>
      <c r="Q92" s="3"/>
      <c r="R92" s="3"/>
      <c r="S92" s="3"/>
      <c r="T92" s="3"/>
      <c r="U92" s="50"/>
    </row>
    <row r="93" spans="1:21" x14ac:dyDescent="0.2">
      <c r="A93" s="3"/>
      <c r="B93" s="493">
        <v>9</v>
      </c>
      <c r="C93" s="454">
        <v>80</v>
      </c>
      <c r="D93" s="454">
        <v>79.989999999999995</v>
      </c>
      <c r="E93" s="3"/>
      <c r="F93" s="102">
        <f t="shared" si="5"/>
        <v>76.022405334968298</v>
      </c>
      <c r="G93" s="102">
        <f t="shared" si="6"/>
        <v>83.938942592304457</v>
      </c>
      <c r="H93" s="4"/>
      <c r="I93" s="3">
        <v>10</v>
      </c>
      <c r="J93" s="455">
        <v>90.007999999999996</v>
      </c>
      <c r="K93" s="4"/>
      <c r="L93" s="3"/>
      <c r="M93" s="3"/>
      <c r="N93" s="3"/>
      <c r="O93" s="3"/>
      <c r="P93" s="3"/>
      <c r="Q93" s="3"/>
      <c r="R93" s="3"/>
      <c r="S93" s="3"/>
      <c r="T93" s="3"/>
      <c r="U93" s="50"/>
    </row>
    <row r="94" spans="1:21" x14ac:dyDescent="0.2">
      <c r="A94" s="3"/>
      <c r="B94" s="493">
        <v>10</v>
      </c>
      <c r="C94" s="454">
        <v>90</v>
      </c>
      <c r="D94" s="454">
        <v>89.988</v>
      </c>
      <c r="E94" s="3"/>
      <c r="F94" s="102">
        <f t="shared" si="5"/>
        <v>86.024014100538153</v>
      </c>
      <c r="G94" s="102">
        <f t="shared" si="6"/>
        <v>93.930861594007325</v>
      </c>
      <c r="H94" s="85"/>
      <c r="I94" s="3">
        <v>11</v>
      </c>
      <c r="J94" s="455">
        <v>90.013000000000005</v>
      </c>
      <c r="K94" s="3"/>
      <c r="L94" s="3"/>
      <c r="M94" s="3"/>
      <c r="N94" s="3"/>
      <c r="O94" s="3"/>
      <c r="P94" s="3"/>
      <c r="Q94" s="3"/>
      <c r="R94" s="3"/>
      <c r="S94" s="3"/>
      <c r="T94" s="3"/>
      <c r="U94" s="50"/>
    </row>
    <row r="95" spans="1:21" x14ac:dyDescent="0.2">
      <c r="A95" s="3"/>
      <c r="B95" s="493">
        <v>11</v>
      </c>
      <c r="C95" s="454"/>
      <c r="D95" s="454"/>
      <c r="E95" s="3"/>
      <c r="F95" s="102"/>
      <c r="G95" s="102"/>
      <c r="H95" s="3"/>
      <c r="I95" s="3">
        <v>12</v>
      </c>
      <c r="J95" s="455">
        <v>90.006</v>
      </c>
      <c r="K95" s="3"/>
      <c r="L95" s="3"/>
      <c r="M95" s="3"/>
      <c r="N95" s="3"/>
      <c r="O95" s="3"/>
      <c r="P95" s="3"/>
      <c r="Q95" s="3"/>
      <c r="R95" s="3"/>
      <c r="S95" s="3"/>
      <c r="T95" s="3"/>
      <c r="U95" s="50"/>
    </row>
    <row r="96" spans="1:21" x14ac:dyDescent="0.2">
      <c r="B96" s="493">
        <v>12</v>
      </c>
      <c r="C96" s="454"/>
      <c r="D96" s="454"/>
      <c r="E96" s="3"/>
      <c r="F96" s="102"/>
      <c r="G96" s="102"/>
      <c r="H96" s="3"/>
      <c r="I96" s="3">
        <v>13</v>
      </c>
      <c r="J96" s="455">
        <v>90.013000000000005</v>
      </c>
      <c r="K96" s="3"/>
      <c r="L96" s="3"/>
      <c r="M96" s="3"/>
      <c r="N96" s="3"/>
      <c r="O96" s="3"/>
      <c r="P96" s="3"/>
      <c r="Q96" s="3"/>
      <c r="R96" s="3"/>
      <c r="S96" s="3"/>
      <c r="T96" s="3"/>
      <c r="U96" s="50"/>
    </row>
    <row r="97" spans="1:21" x14ac:dyDescent="0.2">
      <c r="B97" s="493">
        <v>13</v>
      </c>
      <c r="C97" s="454"/>
      <c r="D97" s="454"/>
      <c r="E97" s="3"/>
      <c r="F97" s="102"/>
      <c r="G97" s="102"/>
      <c r="H97" s="85"/>
      <c r="I97" s="3">
        <v>14</v>
      </c>
      <c r="J97" s="455">
        <v>90.007999999999996</v>
      </c>
      <c r="K97" s="3"/>
      <c r="L97" s="3"/>
      <c r="M97" s="3"/>
      <c r="N97" s="3"/>
      <c r="O97" s="3"/>
      <c r="P97" s="3"/>
      <c r="Q97" s="3"/>
      <c r="R97" s="3"/>
      <c r="S97" s="3"/>
      <c r="T97" s="3"/>
      <c r="U97" s="50"/>
    </row>
    <row r="98" spans="1:21" x14ac:dyDescent="0.2">
      <c r="B98" s="493">
        <v>14</v>
      </c>
      <c r="C98" s="454"/>
      <c r="D98" s="454"/>
      <c r="E98" s="3"/>
      <c r="F98" s="102"/>
      <c r="G98" s="102"/>
      <c r="H98" s="3"/>
      <c r="I98" s="3">
        <v>15</v>
      </c>
      <c r="J98" s="455">
        <v>90.007999999999996</v>
      </c>
      <c r="K98" s="3"/>
      <c r="L98" s="3"/>
      <c r="M98" s="3"/>
      <c r="N98" s="3"/>
      <c r="O98" s="3"/>
      <c r="P98" s="3"/>
      <c r="Q98" s="3"/>
      <c r="R98" s="3"/>
      <c r="S98" s="3"/>
      <c r="T98" s="3"/>
      <c r="U98" s="50"/>
    </row>
    <row r="99" spans="1:21" x14ac:dyDescent="0.2">
      <c r="B99" s="493">
        <v>15</v>
      </c>
      <c r="C99" s="454"/>
      <c r="D99" s="454"/>
      <c r="E99" s="3"/>
      <c r="F99" s="102"/>
      <c r="G99" s="102"/>
      <c r="H99" s="3"/>
      <c r="I99" s="3">
        <v>16</v>
      </c>
      <c r="J99" s="455">
        <v>90.015000000000001</v>
      </c>
      <c r="K99" s="3"/>
      <c r="L99" s="3"/>
      <c r="M99" s="3"/>
      <c r="N99" s="3"/>
      <c r="O99" s="3"/>
      <c r="P99" s="3"/>
      <c r="Q99" s="3"/>
      <c r="R99" s="3"/>
      <c r="S99" s="3"/>
      <c r="T99" s="3"/>
      <c r="U99" s="50"/>
    </row>
    <row r="100" spans="1:21" x14ac:dyDescent="0.2">
      <c r="B100" s="48"/>
      <c r="C100" s="3"/>
      <c r="D100" s="3"/>
      <c r="E100" s="3"/>
      <c r="F100" s="3"/>
      <c r="G100" s="3"/>
      <c r="H100" s="3"/>
      <c r="I100" s="3">
        <v>17</v>
      </c>
      <c r="J100" s="455">
        <v>90.013000000000005</v>
      </c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50"/>
    </row>
    <row r="101" spans="1:21" x14ac:dyDescent="0.2">
      <c r="B101" s="184" t="s">
        <v>19</v>
      </c>
      <c r="C101" s="99">
        <f t="array" ref="C101:D105">LINEST(D85:D94,C85:C94,1,1)</f>
        <v>0.99987636363636379</v>
      </c>
      <c r="D101" s="99">
        <v>5.6363636362988245E-4</v>
      </c>
      <c r="E101" s="61" t="s">
        <v>16</v>
      </c>
      <c r="F101" s="3"/>
      <c r="G101" s="3"/>
      <c r="H101" s="3"/>
      <c r="I101" s="3">
        <v>18</v>
      </c>
      <c r="J101" s="455">
        <v>90.015000000000001</v>
      </c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50"/>
    </row>
    <row r="102" spans="1:21" x14ac:dyDescent="0.2">
      <c r="A102" s="3"/>
      <c r="B102" s="184" t="s">
        <v>1</v>
      </c>
      <c r="C102" s="99">
        <v>1.5516808623636602E-5</v>
      </c>
      <c r="D102" s="99">
        <v>8.2837089948181134E-4</v>
      </c>
      <c r="E102" s="103" t="s">
        <v>3</v>
      </c>
      <c r="F102" s="3"/>
      <c r="G102" s="3"/>
      <c r="H102" s="3"/>
      <c r="I102" s="3">
        <v>19</v>
      </c>
      <c r="J102" s="455">
        <v>90.016999999999996</v>
      </c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50"/>
    </row>
    <row r="103" spans="1:21" x14ac:dyDescent="0.2">
      <c r="A103" s="3"/>
      <c r="B103" s="184" t="s">
        <v>57</v>
      </c>
      <c r="C103" s="60">
        <v>0.99999999807335271</v>
      </c>
      <c r="D103" s="99">
        <v>1.4093841337144912E-3</v>
      </c>
      <c r="E103" s="61" t="s">
        <v>10</v>
      </c>
      <c r="F103" s="3"/>
      <c r="G103" s="3"/>
      <c r="H103" s="3"/>
      <c r="I103" s="3">
        <v>20</v>
      </c>
      <c r="J103" s="455">
        <v>90.010999999999996</v>
      </c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50"/>
    </row>
    <row r="104" spans="1:21" x14ac:dyDescent="0.2">
      <c r="A104" s="3"/>
      <c r="B104" s="184" t="s">
        <v>55</v>
      </c>
      <c r="C104" s="60">
        <v>4152291138.9970407</v>
      </c>
      <c r="D104" s="60">
        <v>8</v>
      </c>
      <c r="E104" s="61" t="s">
        <v>46</v>
      </c>
      <c r="F104" s="3"/>
      <c r="G104" s="3"/>
      <c r="H104" s="3"/>
      <c r="I104" s="3">
        <v>21</v>
      </c>
      <c r="J104" s="455">
        <v>90.007000000000005</v>
      </c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50"/>
    </row>
    <row r="105" spans="1:21" x14ac:dyDescent="0.2">
      <c r="A105" s="3"/>
      <c r="B105" s="184" t="s">
        <v>54</v>
      </c>
      <c r="C105" s="60">
        <v>8247.9601261090902</v>
      </c>
      <c r="D105" s="60">
        <v>1.5890909090929172E-5</v>
      </c>
      <c r="E105" s="61" t="s">
        <v>53</v>
      </c>
      <c r="F105" s="3"/>
      <c r="G105" s="3"/>
      <c r="H105" s="3"/>
      <c r="I105" s="3">
        <v>22</v>
      </c>
      <c r="J105" s="455">
        <v>90.001999999999995</v>
      </c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50"/>
    </row>
    <row r="106" spans="1:21" x14ac:dyDescent="0.2">
      <c r="A106" s="3"/>
      <c r="B106" s="493" t="s">
        <v>182</v>
      </c>
      <c r="C106" s="99">
        <f>DEVSQ(C85:C99)</f>
        <v>8250</v>
      </c>
      <c r="D106" s="3"/>
      <c r="E106" s="3"/>
      <c r="F106" s="453" t="s">
        <v>111</v>
      </c>
      <c r="G106" s="224">
        <f>AVERAGE(J84:J108)</f>
        <v>90.010360000000006</v>
      </c>
      <c r="H106" s="3"/>
      <c r="I106" s="3">
        <v>23</v>
      </c>
      <c r="J106" s="455">
        <v>90.004000000000005</v>
      </c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50"/>
    </row>
    <row r="107" spans="1:21" x14ac:dyDescent="0.2">
      <c r="A107" s="3"/>
      <c r="B107" s="493" t="s">
        <v>183</v>
      </c>
      <c r="C107" s="99">
        <f>AVERAGE(C85:C99)</f>
        <v>45</v>
      </c>
      <c r="D107" s="3"/>
      <c r="E107" s="3"/>
      <c r="F107" s="453" t="s">
        <v>110</v>
      </c>
      <c r="G107" s="224">
        <f>(G106-D101)/C101</f>
        <v>90.020926223605827</v>
      </c>
      <c r="H107" s="3"/>
      <c r="I107" s="3">
        <v>24</v>
      </c>
      <c r="J107" s="455">
        <v>90.007999999999996</v>
      </c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50"/>
    </row>
    <row r="108" spans="1:21" x14ac:dyDescent="0.2">
      <c r="A108" s="3"/>
      <c r="B108" s="48"/>
      <c r="C108" s="3"/>
      <c r="D108" s="3"/>
      <c r="E108" s="3"/>
      <c r="F108" s="453" t="s">
        <v>109</v>
      </c>
      <c r="G108" s="224">
        <f>((D103*SQRT(1/COUNT(J84:J108)+1/COUNT(D85:D99)+(G107-C107)^2/C106))/C101)</f>
        <v>8.7538330434653612E-4</v>
      </c>
      <c r="H108" s="3"/>
      <c r="I108" s="3">
        <v>25</v>
      </c>
      <c r="J108" s="455">
        <v>90.006</v>
      </c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50"/>
    </row>
    <row r="109" spans="1:21" x14ac:dyDescent="0.2">
      <c r="B109" s="201" t="s">
        <v>52</v>
      </c>
      <c r="C109" s="3"/>
      <c r="D109" s="3"/>
      <c r="E109" s="3"/>
      <c r="F109" s="453" t="s">
        <v>108</v>
      </c>
      <c r="G109" s="456">
        <f>G108/G107</f>
        <v>9.7242201460152043E-6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50"/>
    </row>
    <row r="110" spans="1:21" x14ac:dyDescent="0.2">
      <c r="B110" s="195" t="s">
        <v>51</v>
      </c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50"/>
    </row>
    <row r="111" spans="1:21" x14ac:dyDescent="0.2">
      <c r="B111" s="184" t="s">
        <v>0</v>
      </c>
      <c r="C111" s="87">
        <f>D101/D102</f>
        <v>0.6804154563885163</v>
      </c>
      <c r="D111" s="3"/>
      <c r="E111" s="3"/>
      <c r="F111" s="615" t="s">
        <v>171</v>
      </c>
      <c r="G111" s="616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50"/>
    </row>
    <row r="112" spans="1:21" x14ac:dyDescent="0.2">
      <c r="B112" s="184" t="s">
        <v>49</v>
      </c>
      <c r="C112" s="60">
        <f>TINV(0.05,D104)</f>
        <v>2.3060041352041671</v>
      </c>
      <c r="D112" s="3"/>
      <c r="E112" s="3"/>
      <c r="F112" s="224">
        <f>G107-TINV(0.05,D104)*G108</f>
        <v>90.018907586086115</v>
      </c>
      <c r="G112" s="224">
        <f>G107+TINV(0.05,D104)*G108</f>
        <v>90.022944861125538</v>
      </c>
      <c r="H112" s="3" t="s">
        <v>185</v>
      </c>
      <c r="I112" s="3"/>
      <c r="J112" s="3"/>
      <c r="K112" s="3"/>
      <c r="L112" s="3"/>
      <c r="M112" s="3"/>
      <c r="N112" s="3"/>
      <c r="O112" s="3"/>
      <c r="P112" s="494"/>
      <c r="Q112" s="3"/>
      <c r="R112" s="3"/>
      <c r="S112" s="3"/>
      <c r="T112" s="3"/>
      <c r="U112" s="50"/>
    </row>
    <row r="113" spans="2:21" x14ac:dyDescent="0.2">
      <c r="B113" s="48"/>
      <c r="C113" s="3"/>
      <c r="D113" s="3"/>
      <c r="E113" s="3"/>
      <c r="F113" s="224">
        <f>G107-G107*G109</f>
        <v>90.020050840301479</v>
      </c>
      <c r="G113" s="224">
        <f>G107+G107*G109</f>
        <v>90.021801606910174</v>
      </c>
      <c r="H113" s="3" t="s">
        <v>184</v>
      </c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50"/>
    </row>
    <row r="114" spans="2:21" x14ac:dyDescent="0.2">
      <c r="B114" s="189" t="s">
        <v>85</v>
      </c>
      <c r="C114" s="4"/>
      <c r="D114" s="3"/>
      <c r="E114" s="3"/>
      <c r="F114" s="3"/>
      <c r="G114" s="495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50"/>
    </row>
    <row r="115" spans="2:21" x14ac:dyDescent="0.2">
      <c r="B115" s="496" t="s">
        <v>0</v>
      </c>
      <c r="C115" s="87">
        <f>(C101-1)/C102</f>
        <v>-7.9678989820033435</v>
      </c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50"/>
    </row>
    <row r="116" spans="2:21" x14ac:dyDescent="0.2">
      <c r="B116" s="82" t="s">
        <v>49</v>
      </c>
      <c r="C116" s="60">
        <f>TINV(0.05,D104)</f>
        <v>2.3060041352041671</v>
      </c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50"/>
    </row>
    <row r="117" spans="2:21" ht="13.5" thickBot="1" x14ac:dyDescent="0.25">
      <c r="B117" s="497"/>
      <c r="C117" s="498"/>
      <c r="D117" s="498"/>
      <c r="E117" s="498"/>
      <c r="F117" s="498"/>
      <c r="G117" s="498"/>
      <c r="H117" s="498"/>
      <c r="I117" s="498"/>
      <c r="J117" s="498"/>
      <c r="K117" s="498"/>
      <c r="L117" s="498"/>
      <c r="M117" s="498"/>
      <c r="N117" s="498"/>
      <c r="O117" s="498"/>
      <c r="P117" s="498"/>
      <c r="Q117" s="498"/>
      <c r="R117" s="498"/>
      <c r="S117" s="498"/>
      <c r="T117" s="498"/>
      <c r="U117" s="499"/>
    </row>
  </sheetData>
  <protectedRanges>
    <protectedRange sqref="C4:C5 J4:J5 K10 K15 K25 K30 K35 P13 P15:P17 Q33 P28 P30:P32 W63 P19:P24 C9:C27 K20 L10:L39" name="Plage1"/>
  </protectedRanges>
  <dataConsolidate/>
  <mergeCells count="24">
    <mergeCell ref="B82:D83"/>
    <mergeCell ref="F111:G111"/>
    <mergeCell ref="N35:N39"/>
    <mergeCell ref="I30:I34"/>
    <mergeCell ref="I35:I39"/>
    <mergeCell ref="L44:M44"/>
    <mergeCell ref="M30:M34"/>
    <mergeCell ref="M35:M39"/>
    <mergeCell ref="W54:Z54"/>
    <mergeCell ref="AA54:AF54"/>
    <mergeCell ref="B2:N2"/>
    <mergeCell ref="I10:I14"/>
    <mergeCell ref="I15:I19"/>
    <mergeCell ref="I25:I29"/>
    <mergeCell ref="M10:M14"/>
    <mergeCell ref="M15:M19"/>
    <mergeCell ref="M25:M29"/>
    <mergeCell ref="N10:N14"/>
    <mergeCell ref="N15:N19"/>
    <mergeCell ref="N25:N29"/>
    <mergeCell ref="N30:N34"/>
    <mergeCell ref="I20:I24"/>
    <mergeCell ref="M20:M24"/>
    <mergeCell ref="N20:N24"/>
  </mergeCells>
  <conditionalFormatting sqref="C54">
    <cfRule type="cellIs" dxfId="21" priority="17" stopIfTrue="1" operator="between">
      <formula>$C$55</formula>
      <formula>-$C$55</formula>
    </cfRule>
    <cfRule type="cellIs" dxfId="20" priority="18" stopIfTrue="1" operator="notBetween">
      <formula>$C$55</formula>
      <formula>-$C$55</formula>
    </cfRule>
  </conditionalFormatting>
  <conditionalFormatting sqref="C111">
    <cfRule type="cellIs" dxfId="19" priority="3" stopIfTrue="1" operator="between">
      <formula>$C$55</formula>
      <formula>-$C$55</formula>
    </cfRule>
    <cfRule type="cellIs" dxfId="18" priority="4" stopIfTrue="1" operator="notBetween">
      <formula>$C$55</formula>
      <formula>-$C$55</formula>
    </cfRule>
  </conditionalFormatting>
  <conditionalFormatting sqref="C115">
    <cfRule type="cellIs" dxfId="17" priority="1" stopIfTrue="1" operator="between">
      <formula>$F$55</formula>
      <formula>-$F$55</formula>
    </cfRule>
    <cfRule type="cellIs" dxfId="16" priority="2" stopIfTrue="1" operator="notBetween">
      <formula>$F$55</formula>
      <formula>-$F$55</formula>
    </cfRule>
  </conditionalFormatting>
  <conditionalFormatting sqref="D33">
    <cfRule type="cellIs" dxfId="15" priority="13" stopIfTrue="1" operator="lessThan">
      <formula>$D$34</formula>
    </cfRule>
    <cfRule type="cellIs" dxfId="14" priority="14" stopIfTrue="1" operator="greaterThan">
      <formula>$D$34</formula>
    </cfRule>
  </conditionalFormatting>
  <conditionalFormatting sqref="F54">
    <cfRule type="cellIs" dxfId="13" priority="15" stopIfTrue="1" operator="between">
      <formula>$F$55</formula>
      <formula>-$F$55</formula>
    </cfRule>
    <cfRule type="cellIs" dxfId="12" priority="16" stopIfTrue="1" operator="notBetween">
      <formula>$F$55</formula>
      <formula>-$F$55</formula>
    </cfRule>
  </conditionalFormatting>
  <conditionalFormatting sqref="F62">
    <cfRule type="cellIs" dxfId="11" priority="9" stopIfTrue="1" operator="greaterThan">
      <formula>$G$62</formula>
    </cfRule>
    <cfRule type="cellIs" dxfId="10" priority="10" stopIfTrue="1" operator="lessThan">
      <formula>$G$62</formula>
    </cfRule>
  </conditionalFormatting>
  <conditionalFormatting sqref="F63">
    <cfRule type="cellIs" dxfId="9" priority="11" stopIfTrue="1" operator="lessThanOrEqual">
      <formula>$G$63</formula>
    </cfRule>
    <cfRule type="cellIs" dxfId="8" priority="12" stopIfTrue="1" operator="greaterThan">
      <formula>$G$63</formula>
    </cfRule>
  </conditionalFormatting>
  <pageMargins left="0.17" right="0.16" top="0.18" bottom="0.19" header="0.4921259845" footer="0.17"/>
  <pageSetup paperSize="9" scale="48" orientation="landscape" r:id="rId1"/>
  <headerFooter alignWithMargins="0"/>
  <ignoredErrors>
    <ignoredError sqref="M15:N39 D34" formulaRange="1"/>
  </ignoredError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95"/>
  <sheetViews>
    <sheetView showGridLines="0" tabSelected="1" zoomScaleNormal="100" zoomScaleSheetLayoutView="70" workbookViewId="0">
      <selection activeCell="M12" sqref="M12"/>
    </sheetView>
  </sheetViews>
  <sheetFormatPr baseColWidth="10" defaultColWidth="11.42578125" defaultRowHeight="12.75" x14ac:dyDescent="0.2"/>
  <cols>
    <col min="1" max="1" width="11.42578125" style="445"/>
    <col min="2" max="2" width="18.5703125" style="445" customWidth="1"/>
    <col min="3" max="4" width="11.5703125" style="445" bestFit="1" customWidth="1"/>
    <col min="5" max="5" width="11.5703125" style="445" customWidth="1"/>
    <col min="6" max="6" width="11.5703125" style="445" bestFit="1" customWidth="1"/>
    <col min="7" max="10" width="11.7109375" style="445" bestFit="1" customWidth="1"/>
    <col min="11" max="11" width="11.85546875" style="445" customWidth="1"/>
    <col min="12" max="12" width="13.42578125" style="445" customWidth="1"/>
    <col min="13" max="13" width="15.5703125" style="32" customWidth="1"/>
    <col min="14" max="14" width="13.42578125" style="32" customWidth="1"/>
    <col min="15" max="16" width="11.7109375" style="32" customWidth="1"/>
    <col min="17" max="17" width="13.85546875" style="32" customWidth="1"/>
    <col min="18" max="18" width="12" style="32" customWidth="1"/>
    <col min="19" max="19" width="11.85546875" style="32" customWidth="1"/>
    <col min="20" max="20" width="11.5703125" style="32" customWidth="1"/>
    <col min="21" max="21" width="11.42578125" style="445"/>
    <col min="22" max="22" width="11.7109375" style="445" bestFit="1" customWidth="1"/>
    <col min="23" max="16384" width="11.42578125" style="445"/>
  </cols>
  <sheetData>
    <row r="1" spans="2:28" ht="13.5" thickBot="1" x14ac:dyDescent="0.25"/>
    <row r="2" spans="2:28" ht="12.75" customHeight="1" x14ac:dyDescent="0.2">
      <c r="B2" s="617" t="s">
        <v>34</v>
      </c>
      <c r="C2" s="618"/>
      <c r="D2" s="618"/>
      <c r="E2" s="618"/>
      <c r="F2" s="618"/>
      <c r="G2" s="618"/>
      <c r="H2" s="618"/>
      <c r="I2" s="618"/>
      <c r="J2" s="618"/>
      <c r="K2" s="619"/>
      <c r="L2" s="11"/>
      <c r="N2" s="518"/>
      <c r="P2" s="520" t="s">
        <v>22</v>
      </c>
      <c r="Q2" s="520" t="s">
        <v>33</v>
      </c>
      <c r="R2" s="520" t="s">
        <v>32</v>
      </c>
      <c r="S2" s="520" t="s">
        <v>31</v>
      </c>
      <c r="T2" s="520" t="s">
        <v>30</v>
      </c>
      <c r="AB2" s="446"/>
    </row>
    <row r="3" spans="2:28" ht="13.5" customHeight="1" thickBot="1" x14ac:dyDescent="0.25">
      <c r="B3" s="620"/>
      <c r="C3" s="621"/>
      <c r="D3" s="621"/>
      <c r="E3" s="621"/>
      <c r="F3" s="621"/>
      <c r="G3" s="621"/>
      <c r="H3" s="622"/>
      <c r="I3" s="622"/>
      <c r="J3" s="622"/>
      <c r="K3" s="623"/>
      <c r="L3" s="446"/>
      <c r="N3" s="518"/>
      <c r="P3" s="520">
        <f t="shared" ref="P3:P32" si="0">IF(ISNUMBER(C5),AVERAGE(C5:D5),"")</f>
        <v>3.3250000000000002</v>
      </c>
      <c r="Q3" s="528">
        <f>IF(ISNUMBER($C$5),($C$5*$G$5+$G$6)+$N$25*$N$13*SQRT(1/COUNT($C$5:$C$34)+(($C$5-$N$5)^2)/$O$13),"")</f>
        <v>4.3592991980849476</v>
      </c>
      <c r="R3" s="528">
        <f t="shared" ref="R3:R32" si="1">IF(ISNUMBER(C5),(C5*$G$5+$G$6)-$N$25*$N$13*SQRT(1/COUNT($C$5:$C$34)+((C5-$N$5)^2)/$O$13),"")</f>
        <v>3.0302520143954594</v>
      </c>
      <c r="S3" s="528">
        <f t="shared" ref="S3:S32" si="2">IF(ISNUMBER(C5),(C5*$G$5+$G$6)+$N$25*$N$13*SQRT(1+1/COUNT($C$5:$C$34)+((C5-$N$5)^2)/$O$13),"")</f>
        <v>5.3721386955765453</v>
      </c>
      <c r="T3" s="528">
        <f t="shared" ref="T3:T32" si="3">IF(ISNUMBER(C5),(C5*$G$5+$G$6)-$N$25*$N$13*SQRT(1+1/COUNT($C$5:$C$34)+((C5-$N$5)^2)/$O$13),"")</f>
        <v>2.0174125169038613</v>
      </c>
      <c r="AB3" s="446"/>
    </row>
    <row r="4" spans="2:28" ht="15" thickBot="1" x14ac:dyDescent="0.3">
      <c r="B4" s="44" t="s">
        <v>29</v>
      </c>
      <c r="C4" s="461" t="s">
        <v>28</v>
      </c>
      <c r="D4" s="462" t="s">
        <v>27</v>
      </c>
      <c r="E4" s="41" t="s">
        <v>26</v>
      </c>
      <c r="F4" s="624" t="s">
        <v>25</v>
      </c>
      <c r="G4" s="624"/>
      <c r="H4" s="624" t="s">
        <v>24</v>
      </c>
      <c r="I4" s="624"/>
      <c r="J4" s="442" t="s">
        <v>23</v>
      </c>
      <c r="K4" s="43"/>
      <c r="L4" s="446"/>
      <c r="N4" s="520" t="s">
        <v>22</v>
      </c>
      <c r="O4" s="520" t="s">
        <v>21</v>
      </c>
      <c r="P4" s="520">
        <f t="shared" si="0"/>
        <v>15.125</v>
      </c>
      <c r="Q4" s="528">
        <f t="shared" ref="Q4:Q32" si="4">IF(ISNUMBER(C6),(C6*$G$5+$G$6)+$N$25*$N$13*SQRT(1/COUNT($C$5:$C$34)+((C6-$N$5)^2)/$O$13),"")</f>
        <v>15.878117128484101</v>
      </c>
      <c r="R4" s="528">
        <f t="shared" si="1"/>
        <v>15.078877567142166</v>
      </c>
      <c r="S4" s="528">
        <f t="shared" si="2"/>
        <v>17.069613716421422</v>
      </c>
      <c r="T4" s="528">
        <f t="shared" si="3"/>
        <v>13.887380979204844</v>
      </c>
      <c r="AB4" s="446"/>
    </row>
    <row r="5" spans="2:28" ht="15" customHeight="1" x14ac:dyDescent="0.2">
      <c r="B5" s="29" t="s">
        <v>20</v>
      </c>
      <c r="C5" s="464">
        <v>2.95</v>
      </c>
      <c r="D5" s="464">
        <v>3.7</v>
      </c>
      <c r="E5" s="460">
        <f t="shared" ref="E5:E34" si="5">IF(ISNUMBER(C5),C5-D5,"")</f>
        <v>-0.75</v>
      </c>
      <c r="F5" s="42" t="s">
        <v>19</v>
      </c>
      <c r="G5" s="465">
        <f>IF(ISNUMBER(C5),O6/O5,"")</f>
        <v>0.98608550138685613</v>
      </c>
      <c r="H5" s="641" t="s">
        <v>18</v>
      </c>
      <c r="I5" s="642"/>
      <c r="J5" s="643" t="s">
        <v>18</v>
      </c>
      <c r="K5" s="644"/>
      <c r="L5" s="446"/>
      <c r="M5" s="539" t="s">
        <v>17</v>
      </c>
      <c r="N5" s="528">
        <f>AVERAGE(C5:C34)</f>
        <v>14.073333333333332</v>
      </c>
      <c r="O5" s="528">
        <f>STDEV(C5:C34)</f>
        <v>8.5995819388973498</v>
      </c>
      <c r="P5" s="520">
        <f t="shared" si="0"/>
        <v>20.65</v>
      </c>
      <c r="Q5" s="528">
        <f t="shared" si="4"/>
        <v>20.894630192211977</v>
      </c>
      <c r="R5" s="528">
        <f t="shared" si="1"/>
        <v>19.923219517282845</v>
      </c>
      <c r="S5" s="528">
        <f t="shared" si="2"/>
        <v>22.023813397090592</v>
      </c>
      <c r="T5" s="528">
        <f t="shared" si="3"/>
        <v>18.794036312404231</v>
      </c>
      <c r="AB5" s="446"/>
    </row>
    <row r="6" spans="2:28" ht="13.5" thickBot="1" x14ac:dyDescent="0.25">
      <c r="B6" s="29">
        <v>2</v>
      </c>
      <c r="C6" s="464">
        <v>14.9</v>
      </c>
      <c r="D6" s="464">
        <v>15.35</v>
      </c>
      <c r="E6" s="460">
        <f t="shared" si="5"/>
        <v>-0.44999999999999929</v>
      </c>
      <c r="F6" s="40" t="s">
        <v>16</v>
      </c>
      <c r="G6" s="466">
        <f>IF(ISNUMBER(C5),N6-G5*N5,"")</f>
        <v>0.78582337714897754</v>
      </c>
      <c r="H6" s="457">
        <f>IF(ISNUMBER(G6),G6-N25*N25,"")</f>
        <v>-3.881369354677874</v>
      </c>
      <c r="I6" s="459">
        <f>IF(ISNUMBER(G6),G6+N25*N25,"")</f>
        <v>5.4530161089758291</v>
      </c>
      <c r="J6" s="457">
        <f>IF(ISNUMBER(G5),G5-M29*N32,"")</f>
        <v>0.93822118107977803</v>
      </c>
      <c r="K6" s="458">
        <f>IF(ISNUMBER(G5),G5+M29*N32,"")</f>
        <v>1.0339498216939342</v>
      </c>
      <c r="L6" s="446"/>
      <c r="M6" s="539" t="s">
        <v>15</v>
      </c>
      <c r="N6" s="528">
        <f>AVERAGE(D5:D34)</f>
        <v>14.663333333333332</v>
      </c>
      <c r="O6" s="528">
        <f>STDEV(D5:D34)</f>
        <v>8.479923067934946</v>
      </c>
      <c r="P6" s="520">
        <f t="shared" si="0"/>
        <v>14.324999999999999</v>
      </c>
      <c r="Q6" s="528">
        <f t="shared" si="4"/>
        <v>14.988691964246231</v>
      </c>
      <c r="R6" s="528">
        <f t="shared" si="1"/>
        <v>14.193348828883694</v>
      </c>
      <c r="S6" s="528">
        <f t="shared" si="2"/>
        <v>16.181648575961958</v>
      </c>
      <c r="T6" s="528">
        <f t="shared" si="3"/>
        <v>13.000392217167969</v>
      </c>
      <c r="AB6" s="446"/>
    </row>
    <row r="7" spans="2:28" ht="13.5" thickBot="1" x14ac:dyDescent="0.25">
      <c r="B7" s="29">
        <v>3</v>
      </c>
      <c r="C7" s="464">
        <v>19.899999999999999</v>
      </c>
      <c r="D7" s="464">
        <v>21.4</v>
      </c>
      <c r="E7" s="460">
        <f t="shared" si="5"/>
        <v>-1.5</v>
      </c>
      <c r="F7" s="39" t="s">
        <v>14</v>
      </c>
      <c r="G7" s="38">
        <f>IF(ISNUMBER(C5),RSQ(C5:C34,D5:D34),"")</f>
        <v>0.9924276588920099</v>
      </c>
      <c r="H7" s="37"/>
      <c r="I7" s="36"/>
      <c r="J7" s="36"/>
      <c r="K7" s="35"/>
      <c r="L7" s="446"/>
      <c r="N7" s="518"/>
      <c r="P7" s="520">
        <f t="shared" si="0"/>
        <v>15.574999999999999</v>
      </c>
      <c r="Q7" s="528">
        <f t="shared" si="4"/>
        <v>15.878117128484101</v>
      </c>
      <c r="R7" s="528">
        <f t="shared" si="1"/>
        <v>15.078877567142166</v>
      </c>
      <c r="S7" s="528">
        <f t="shared" si="2"/>
        <v>17.069613716421422</v>
      </c>
      <c r="T7" s="528">
        <f t="shared" si="3"/>
        <v>13.887380979204844</v>
      </c>
      <c r="AB7" s="446"/>
    </row>
    <row r="8" spans="2:28" x14ac:dyDescent="0.2">
      <c r="B8" s="29">
        <v>4</v>
      </c>
      <c r="C8" s="464">
        <v>14</v>
      </c>
      <c r="D8" s="464">
        <v>14.65</v>
      </c>
      <c r="E8" s="460">
        <f t="shared" si="5"/>
        <v>-0.65000000000000036</v>
      </c>
      <c r="F8" s="11"/>
      <c r="G8" s="11"/>
      <c r="H8" s="34"/>
      <c r="I8" s="34"/>
      <c r="J8" s="32"/>
      <c r="K8" s="11"/>
      <c r="L8" s="446"/>
      <c r="M8" s="540" t="s">
        <v>13</v>
      </c>
      <c r="O8" s="540"/>
      <c r="P8" s="520">
        <f t="shared" si="0"/>
        <v>35.125</v>
      </c>
      <c r="Q8" s="528">
        <f t="shared" si="4"/>
        <v>36.376505305656217</v>
      </c>
      <c r="R8" s="528">
        <f t="shared" si="1"/>
        <v>34.221126545721667</v>
      </c>
      <c r="S8" s="528">
        <f t="shared" si="2"/>
        <v>37.17854189748482</v>
      </c>
      <c r="T8" s="528">
        <f t="shared" si="3"/>
        <v>33.419089953893064</v>
      </c>
      <c r="AB8" s="446"/>
    </row>
    <row r="9" spans="2:28" ht="13.5" x14ac:dyDescent="0.25">
      <c r="B9" s="29">
        <v>5</v>
      </c>
      <c r="C9" s="464">
        <v>14.9</v>
      </c>
      <c r="D9" s="464">
        <v>16.25</v>
      </c>
      <c r="E9" s="460">
        <f t="shared" si="5"/>
        <v>-1.3499999999999996</v>
      </c>
      <c r="F9" s="33"/>
      <c r="G9" s="11"/>
      <c r="H9" s="32"/>
      <c r="I9" s="32"/>
      <c r="J9" s="32"/>
      <c r="K9" s="11"/>
      <c r="L9" s="446"/>
      <c r="M9" s="520" t="s">
        <v>12</v>
      </c>
      <c r="N9" s="528">
        <f>N16</f>
        <v>1.6</v>
      </c>
      <c r="O9" s="528">
        <f>O16</f>
        <v>35</v>
      </c>
      <c r="P9" s="520">
        <f t="shared" si="0"/>
        <v>14.675000000000001</v>
      </c>
      <c r="Q9" s="528">
        <f t="shared" si="4"/>
        <v>15.18593978876738</v>
      </c>
      <c r="R9" s="528">
        <f t="shared" si="1"/>
        <v>14.390535204917287</v>
      </c>
      <c r="S9" s="528">
        <f t="shared" si="2"/>
        <v>16.378873357858975</v>
      </c>
      <c r="T9" s="528">
        <f t="shared" si="3"/>
        <v>13.197601635825691</v>
      </c>
      <c r="AB9" s="446"/>
    </row>
    <row r="10" spans="2:28" ht="13.5" x14ac:dyDescent="0.25">
      <c r="B10" s="29">
        <v>6</v>
      </c>
      <c r="C10" s="464">
        <v>35</v>
      </c>
      <c r="D10" s="464">
        <v>35.25</v>
      </c>
      <c r="E10" s="460">
        <f t="shared" si="5"/>
        <v>-0.25</v>
      </c>
      <c r="F10" s="11"/>
      <c r="G10" s="443"/>
      <c r="H10" s="627"/>
      <c r="I10" s="627"/>
      <c r="J10" s="444"/>
      <c r="K10" s="11"/>
      <c r="L10" s="446"/>
      <c r="M10" s="520" t="s">
        <v>11</v>
      </c>
      <c r="N10" s="528">
        <f>N9</f>
        <v>1.6</v>
      </c>
      <c r="O10" s="528">
        <f>O9</f>
        <v>35</v>
      </c>
      <c r="P10" s="520">
        <f t="shared" si="0"/>
        <v>2.1</v>
      </c>
      <c r="Q10" s="528">
        <f t="shared" si="4"/>
        <v>3.0808971550477997</v>
      </c>
      <c r="R10" s="528">
        <f t="shared" si="1"/>
        <v>1.6462232036880957</v>
      </c>
      <c r="S10" s="528">
        <f t="shared" si="2"/>
        <v>4.0625385977203514</v>
      </c>
      <c r="T10" s="528">
        <f t="shared" si="3"/>
        <v>0.664581761015544</v>
      </c>
      <c r="AB10" s="446"/>
    </row>
    <row r="11" spans="2:28" x14ac:dyDescent="0.2">
      <c r="B11" s="29">
        <v>7</v>
      </c>
      <c r="C11" s="464">
        <v>14.2</v>
      </c>
      <c r="D11" s="464">
        <v>15.15</v>
      </c>
      <c r="E11" s="460">
        <f t="shared" si="5"/>
        <v>-0.95000000000000107</v>
      </c>
      <c r="F11" s="31"/>
      <c r="G11" s="444"/>
      <c r="H11" s="444"/>
      <c r="I11" s="444"/>
      <c r="J11" s="444"/>
      <c r="K11" s="11"/>
      <c r="L11" s="446"/>
      <c r="N11" s="536"/>
      <c r="P11" s="520">
        <f t="shared" si="0"/>
        <v>12</v>
      </c>
      <c r="Q11" s="528">
        <f t="shared" si="4"/>
        <v>13.077432792772914</v>
      </c>
      <c r="R11" s="528">
        <f t="shared" si="1"/>
        <v>12.258874544948274</v>
      </c>
      <c r="S11" s="528">
        <f t="shared" si="2"/>
        <v>14.261723476123569</v>
      </c>
      <c r="T11" s="528">
        <f t="shared" si="3"/>
        <v>11.074583861597619</v>
      </c>
      <c r="AB11" s="446"/>
    </row>
    <row r="12" spans="2:28" x14ac:dyDescent="0.2">
      <c r="B12" s="29">
        <v>8</v>
      </c>
      <c r="C12" s="464">
        <v>1.6</v>
      </c>
      <c r="D12" s="464">
        <v>2.6</v>
      </c>
      <c r="E12" s="460">
        <f t="shared" si="5"/>
        <v>-1</v>
      </c>
      <c r="F12" s="31"/>
      <c r="G12" s="444"/>
      <c r="H12" s="444"/>
      <c r="I12" s="444"/>
      <c r="J12" s="11"/>
      <c r="K12" s="11"/>
      <c r="L12" s="446"/>
      <c r="N12" s="520" t="s">
        <v>10</v>
      </c>
      <c r="O12" s="520" t="s">
        <v>9</v>
      </c>
      <c r="P12" s="520">
        <f t="shared" si="0"/>
        <v>4.7</v>
      </c>
      <c r="Q12" s="528">
        <f t="shared" si="4"/>
        <v>5.0704647725994567</v>
      </c>
      <c r="R12" s="528">
        <f t="shared" si="1"/>
        <v>3.7982146919612334</v>
      </c>
      <c r="S12" s="528">
        <f t="shared" si="2"/>
        <v>6.1006561476921091</v>
      </c>
      <c r="T12" s="528">
        <f t="shared" si="3"/>
        <v>2.7680233168685815</v>
      </c>
      <c r="AB12" s="446"/>
    </row>
    <row r="13" spans="2:28" x14ac:dyDescent="0.2">
      <c r="B13" s="29">
        <v>9</v>
      </c>
      <c r="C13" s="464">
        <v>12.05</v>
      </c>
      <c r="D13" s="464">
        <v>11.95</v>
      </c>
      <c r="E13" s="460">
        <f t="shared" si="5"/>
        <v>0.10000000000000142</v>
      </c>
      <c r="F13" s="31"/>
      <c r="G13" s="444"/>
      <c r="H13" s="444"/>
      <c r="I13" s="444"/>
      <c r="J13" s="30"/>
      <c r="K13" s="11"/>
      <c r="L13" s="446"/>
      <c r="N13" s="528">
        <f>(M29*SQRT(O13))</f>
        <v>0.71289469866347266</v>
      </c>
      <c r="O13" s="528">
        <f>DEVSQ(C5:C34)</f>
        <v>1035.3393333333333</v>
      </c>
      <c r="P13" s="520">
        <f t="shared" si="0"/>
        <v>18.05</v>
      </c>
      <c r="Q13" s="528">
        <f t="shared" si="4"/>
        <v>19.025529287398982</v>
      </c>
      <c r="R13" s="528">
        <f t="shared" si="1"/>
        <v>18.143804066964478</v>
      </c>
      <c r="S13" s="528">
        <f t="shared" si="2"/>
        <v>20.186638952359203</v>
      </c>
      <c r="T13" s="528">
        <f t="shared" si="3"/>
        <v>16.982694402004256</v>
      </c>
      <c r="AB13" s="446"/>
    </row>
    <row r="14" spans="2:28" x14ac:dyDescent="0.2">
      <c r="B14" s="29">
        <v>10</v>
      </c>
      <c r="C14" s="464">
        <v>3.7</v>
      </c>
      <c r="D14" s="464">
        <v>5.7</v>
      </c>
      <c r="E14" s="460">
        <f t="shared" si="5"/>
        <v>-2</v>
      </c>
      <c r="F14" s="28"/>
      <c r="G14" s="11"/>
      <c r="H14" s="11"/>
      <c r="I14" s="11"/>
      <c r="J14" s="11"/>
      <c r="K14" s="11"/>
      <c r="L14" s="446"/>
      <c r="P14" s="520">
        <f t="shared" si="0"/>
        <v>19.350000000000001</v>
      </c>
      <c r="Q14" s="528">
        <f t="shared" si="4"/>
        <v>20.590704221206035</v>
      </c>
      <c r="R14" s="528">
        <f t="shared" si="1"/>
        <v>19.63549418745669</v>
      </c>
      <c r="S14" s="528">
        <f t="shared" si="2"/>
        <v>21.725569942513477</v>
      </c>
      <c r="T14" s="528">
        <f t="shared" si="3"/>
        <v>18.500628466149248</v>
      </c>
      <c r="AB14" s="446"/>
    </row>
    <row r="15" spans="2:28" x14ac:dyDescent="0.2">
      <c r="B15" s="29">
        <v>11</v>
      </c>
      <c r="C15" s="464">
        <v>18.05</v>
      </c>
      <c r="D15" s="464">
        <v>18.05</v>
      </c>
      <c r="E15" s="460">
        <f t="shared" si="5"/>
        <v>0</v>
      </c>
      <c r="F15" s="11"/>
      <c r="G15" s="625"/>
      <c r="H15" s="626"/>
      <c r="I15" s="625"/>
      <c r="J15" s="625"/>
      <c r="K15" s="11"/>
      <c r="L15" s="446"/>
      <c r="N15" s="520" t="s">
        <v>8</v>
      </c>
      <c r="O15" s="520" t="s">
        <v>7</v>
      </c>
      <c r="P15" s="520">
        <f t="shared" si="0"/>
        <v>21.700000000000003</v>
      </c>
      <c r="Q15" s="528">
        <f t="shared" si="4"/>
        <v>22.113040237857753</v>
      </c>
      <c r="R15" s="528">
        <f t="shared" si="1"/>
        <v>21.071414674965531</v>
      </c>
      <c r="S15" s="528">
        <f t="shared" si="2"/>
        <v>23.218019965518309</v>
      </c>
      <c r="T15" s="528">
        <f t="shared" si="3"/>
        <v>19.966434947304975</v>
      </c>
      <c r="AB15" s="446"/>
    </row>
    <row r="16" spans="2:28" x14ac:dyDescent="0.2">
      <c r="B16" s="29">
        <v>12</v>
      </c>
      <c r="C16" s="464">
        <v>19.600000000000001</v>
      </c>
      <c r="D16" s="464">
        <v>19.100000000000001</v>
      </c>
      <c r="E16" s="460">
        <f t="shared" si="5"/>
        <v>0.5</v>
      </c>
      <c r="F16" s="11"/>
      <c r="G16" s="444"/>
      <c r="H16" s="444"/>
      <c r="I16" s="444"/>
      <c r="J16" s="444"/>
      <c r="K16" s="11"/>
      <c r="L16" s="446"/>
      <c r="N16" s="528">
        <f>MIN(C5:C34)</f>
        <v>1.6</v>
      </c>
      <c r="O16" s="528">
        <f>MAX(C5:C34)</f>
        <v>35</v>
      </c>
      <c r="P16" s="520">
        <f t="shared" si="0"/>
        <v>13.525</v>
      </c>
      <c r="Q16" s="528">
        <f t="shared" si="4"/>
        <v>14.742456136868865</v>
      </c>
      <c r="R16" s="528">
        <f t="shared" si="1"/>
        <v>13.946541905567633</v>
      </c>
      <c r="S16" s="528">
        <f t="shared" si="2"/>
        <v>15.935198614242235</v>
      </c>
      <c r="T16" s="528">
        <f t="shared" si="3"/>
        <v>12.753799428194263</v>
      </c>
      <c r="AB16" s="446"/>
    </row>
    <row r="17" spans="2:28" x14ac:dyDescent="0.2">
      <c r="B17" s="29">
        <v>13</v>
      </c>
      <c r="C17" s="464">
        <v>21.1</v>
      </c>
      <c r="D17" s="464">
        <v>22.3</v>
      </c>
      <c r="E17" s="460">
        <f t="shared" si="5"/>
        <v>-1.1999999999999993</v>
      </c>
      <c r="F17" s="9"/>
      <c r="G17" s="444"/>
      <c r="H17" s="8"/>
      <c r="I17" s="444"/>
      <c r="J17" s="8"/>
      <c r="K17" s="11"/>
      <c r="L17" s="446"/>
      <c r="M17" s="520" t="s">
        <v>6</v>
      </c>
      <c r="N17" s="528">
        <f>G5*N16+G6</f>
        <v>2.3635601793679477</v>
      </c>
      <c r="O17" s="528">
        <f>G5*O16+G6</f>
        <v>35.298815925688942</v>
      </c>
      <c r="P17" s="520">
        <f t="shared" si="0"/>
        <v>5.3000000000000007</v>
      </c>
      <c r="Q17" s="528">
        <f t="shared" si="4"/>
        <v>6.6855539703666302</v>
      </c>
      <c r="R17" s="528">
        <f t="shared" si="1"/>
        <v>5.5358161989093713</v>
      </c>
      <c r="S17" s="528">
        <f t="shared" si="2"/>
        <v>7.7545918840425756</v>
      </c>
      <c r="T17" s="528">
        <f t="shared" si="3"/>
        <v>4.4667782852334259</v>
      </c>
      <c r="AB17" s="446"/>
    </row>
    <row r="18" spans="2:28" x14ac:dyDescent="0.2">
      <c r="B18" s="29">
        <v>14</v>
      </c>
      <c r="C18" s="464">
        <v>13.75</v>
      </c>
      <c r="D18" s="464">
        <v>13.3</v>
      </c>
      <c r="E18" s="460">
        <f t="shared" si="5"/>
        <v>0.44999999999999929</v>
      </c>
      <c r="F18" s="9"/>
      <c r="G18" s="444"/>
      <c r="H18" s="8"/>
      <c r="I18" s="444"/>
      <c r="J18" s="8"/>
      <c r="K18" s="11"/>
      <c r="L18" s="446"/>
      <c r="P18" s="520" t="str">
        <f t="shared" si="0"/>
        <v/>
      </c>
      <c r="Q18" s="528" t="str">
        <f t="shared" si="4"/>
        <v/>
      </c>
      <c r="R18" s="528" t="str">
        <f t="shared" si="1"/>
        <v/>
      </c>
      <c r="S18" s="528" t="str">
        <f t="shared" si="2"/>
        <v/>
      </c>
      <c r="T18" s="528" t="str">
        <f t="shared" si="3"/>
        <v/>
      </c>
      <c r="AB18" s="446"/>
    </row>
    <row r="19" spans="2:28" x14ac:dyDescent="0.2">
      <c r="B19" s="29">
        <v>15</v>
      </c>
      <c r="C19" s="464">
        <v>5.4</v>
      </c>
      <c r="D19" s="464">
        <v>5.2</v>
      </c>
      <c r="E19" s="460">
        <f t="shared" si="5"/>
        <v>0.20000000000000018</v>
      </c>
      <c r="F19" s="11"/>
      <c r="G19" s="11"/>
      <c r="H19" s="11"/>
      <c r="I19" s="11"/>
      <c r="J19" s="11"/>
      <c r="K19" s="11"/>
      <c r="M19" s="520" t="s">
        <v>5</v>
      </c>
      <c r="N19" s="528">
        <f>IF(ISNUMBER(C5),CORREL(C5:C34,D5:D34),"")</f>
        <v>0.9962066346356111</v>
      </c>
      <c r="P19" s="520" t="str">
        <f t="shared" si="0"/>
        <v/>
      </c>
      <c r="Q19" s="528" t="str">
        <f t="shared" si="4"/>
        <v/>
      </c>
      <c r="R19" s="528" t="str">
        <f t="shared" si="1"/>
        <v/>
      </c>
      <c r="S19" s="528" t="str">
        <f t="shared" si="2"/>
        <v/>
      </c>
      <c r="T19" s="528" t="str">
        <f t="shared" si="3"/>
        <v/>
      </c>
      <c r="AB19" s="446"/>
    </row>
    <row r="20" spans="2:28" ht="13.5" x14ac:dyDescent="0.25">
      <c r="B20" s="27">
        <v>16</v>
      </c>
      <c r="C20" s="463"/>
      <c r="D20" s="463"/>
      <c r="E20" s="16" t="str">
        <f t="shared" si="5"/>
        <v/>
      </c>
      <c r="F20" s="28"/>
      <c r="G20" s="11"/>
      <c r="H20" s="11"/>
      <c r="I20" s="11"/>
      <c r="J20" s="11"/>
      <c r="K20" s="11"/>
      <c r="M20" s="541" t="s">
        <v>4</v>
      </c>
      <c r="P20" s="520" t="str">
        <f t="shared" si="0"/>
        <v/>
      </c>
      <c r="Q20" s="528" t="str">
        <f t="shared" si="4"/>
        <v/>
      </c>
      <c r="R20" s="528" t="str">
        <f t="shared" si="1"/>
        <v/>
      </c>
      <c r="S20" s="528" t="str">
        <f t="shared" si="2"/>
        <v/>
      </c>
      <c r="T20" s="528" t="str">
        <f t="shared" si="3"/>
        <v/>
      </c>
      <c r="AB20" s="446"/>
    </row>
    <row r="21" spans="2:28" x14ac:dyDescent="0.2">
      <c r="B21" s="27">
        <v>17</v>
      </c>
      <c r="C21" s="25"/>
      <c r="D21" s="25"/>
      <c r="E21" s="16" t="str">
        <f t="shared" si="5"/>
        <v/>
      </c>
      <c r="F21" s="22"/>
      <c r="G21" s="22"/>
      <c r="H21" s="22"/>
      <c r="I21" s="22"/>
      <c r="J21" s="22"/>
      <c r="K21" s="444"/>
      <c r="M21" s="520" t="s">
        <v>3</v>
      </c>
      <c r="P21" s="520" t="str">
        <f t="shared" si="0"/>
        <v/>
      </c>
      <c r="Q21" s="528" t="str">
        <f t="shared" si="4"/>
        <v/>
      </c>
      <c r="R21" s="528" t="str">
        <f t="shared" si="1"/>
        <v/>
      </c>
      <c r="S21" s="528" t="str">
        <f t="shared" si="2"/>
        <v/>
      </c>
      <c r="T21" s="528" t="str">
        <f t="shared" si="3"/>
        <v/>
      </c>
      <c r="AB21" s="446"/>
    </row>
    <row r="22" spans="2:28" x14ac:dyDescent="0.2">
      <c r="B22" s="27">
        <v>18</v>
      </c>
      <c r="C22" s="25"/>
      <c r="D22" s="25"/>
      <c r="E22" s="16" t="str">
        <f t="shared" si="5"/>
        <v/>
      </c>
      <c r="F22" s="22"/>
      <c r="G22" s="21"/>
      <c r="H22" s="21"/>
      <c r="I22" s="21"/>
      <c r="J22" s="21"/>
      <c r="K22" s="26"/>
      <c r="M22" s="542">
        <f>SQRT(H29)</f>
        <v>0.36550206516754824</v>
      </c>
      <c r="P22" s="520" t="str">
        <f t="shared" si="0"/>
        <v/>
      </c>
      <c r="Q22" s="528" t="str">
        <f t="shared" si="4"/>
        <v/>
      </c>
      <c r="R22" s="528" t="str">
        <f t="shared" si="1"/>
        <v/>
      </c>
      <c r="S22" s="528" t="str">
        <f t="shared" si="2"/>
        <v/>
      </c>
      <c r="T22" s="528" t="str">
        <f t="shared" si="3"/>
        <v/>
      </c>
      <c r="AB22" s="446"/>
    </row>
    <row r="23" spans="2:28" x14ac:dyDescent="0.2">
      <c r="B23" s="27">
        <v>19</v>
      </c>
      <c r="C23" s="25"/>
      <c r="D23" s="25"/>
      <c r="E23" s="16" t="str">
        <f t="shared" si="5"/>
        <v/>
      </c>
      <c r="F23" s="22"/>
      <c r="G23" s="21"/>
      <c r="H23" s="21"/>
      <c r="I23" s="21"/>
      <c r="J23" s="21"/>
      <c r="K23" s="444"/>
      <c r="L23" s="446"/>
      <c r="P23" s="520" t="str">
        <f t="shared" si="0"/>
        <v/>
      </c>
      <c r="Q23" s="528" t="str">
        <f t="shared" si="4"/>
        <v/>
      </c>
      <c r="R23" s="528" t="str">
        <f t="shared" si="1"/>
        <v/>
      </c>
      <c r="S23" s="528" t="str">
        <f t="shared" si="2"/>
        <v/>
      </c>
      <c r="T23" s="528" t="str">
        <f t="shared" si="3"/>
        <v/>
      </c>
      <c r="AB23" s="446"/>
    </row>
    <row r="24" spans="2:28" x14ac:dyDescent="0.2">
      <c r="B24" s="27">
        <v>20</v>
      </c>
      <c r="C24" s="25"/>
      <c r="D24" s="25"/>
      <c r="E24" s="16" t="str">
        <f t="shared" si="5"/>
        <v/>
      </c>
      <c r="F24" s="22"/>
      <c r="G24" s="21"/>
      <c r="H24" s="21"/>
      <c r="I24" s="21"/>
      <c r="J24" s="21"/>
      <c r="K24" s="26"/>
      <c r="L24" s="446"/>
      <c r="M24" s="520" t="s">
        <v>0</v>
      </c>
      <c r="N24" s="528">
        <f>G6/M22</f>
        <v>2.1499834119644485</v>
      </c>
      <c r="P24" s="520" t="str">
        <f t="shared" si="0"/>
        <v/>
      </c>
      <c r="Q24" s="528" t="str">
        <f t="shared" si="4"/>
        <v/>
      </c>
      <c r="R24" s="528" t="str">
        <f t="shared" si="1"/>
        <v/>
      </c>
      <c r="S24" s="528" t="str">
        <f t="shared" si="2"/>
        <v/>
      </c>
      <c r="T24" s="528" t="str">
        <f t="shared" si="3"/>
        <v/>
      </c>
      <c r="AB24" s="446"/>
    </row>
    <row r="25" spans="2:28" x14ac:dyDescent="0.2">
      <c r="B25" s="18">
        <v>21</v>
      </c>
      <c r="C25" s="25"/>
      <c r="D25" s="25"/>
      <c r="E25" s="16" t="str">
        <f t="shared" si="5"/>
        <v/>
      </c>
      <c r="F25" s="22"/>
      <c r="G25" s="21"/>
      <c r="H25" s="21"/>
      <c r="I25" s="21"/>
      <c r="J25" s="21"/>
      <c r="K25" s="11"/>
      <c r="L25" s="446"/>
      <c r="M25" s="520" t="s">
        <v>174</v>
      </c>
      <c r="N25" s="528">
        <f>TINV(0.05,COUNT(D5:D34)-2)</f>
        <v>2.1603686564627926</v>
      </c>
      <c r="P25" s="520" t="str">
        <f t="shared" si="0"/>
        <v/>
      </c>
      <c r="Q25" s="528" t="str">
        <f t="shared" si="4"/>
        <v/>
      </c>
      <c r="R25" s="528" t="str">
        <f t="shared" si="1"/>
        <v/>
      </c>
      <c r="S25" s="528" t="str">
        <f t="shared" si="2"/>
        <v/>
      </c>
      <c r="T25" s="528" t="str">
        <f t="shared" si="3"/>
        <v/>
      </c>
      <c r="AB25" s="446"/>
    </row>
    <row r="26" spans="2:28" x14ac:dyDescent="0.2">
      <c r="B26" s="24">
        <v>22</v>
      </c>
      <c r="C26" s="17"/>
      <c r="D26" s="17"/>
      <c r="E26" s="16" t="str">
        <f t="shared" si="5"/>
        <v/>
      </c>
      <c r="F26" s="22"/>
      <c r="G26" s="21"/>
      <c r="H26" s="21"/>
      <c r="I26" s="21"/>
      <c r="J26" s="21"/>
      <c r="K26" s="11"/>
      <c r="L26" s="446"/>
      <c r="P26" s="520" t="str">
        <f t="shared" si="0"/>
        <v/>
      </c>
      <c r="Q26" s="528" t="str">
        <f t="shared" si="4"/>
        <v/>
      </c>
      <c r="R26" s="528" t="str">
        <f t="shared" si="1"/>
        <v/>
      </c>
      <c r="S26" s="528" t="str">
        <f t="shared" si="2"/>
        <v/>
      </c>
      <c r="T26" s="528" t="str">
        <f t="shared" si="3"/>
        <v/>
      </c>
      <c r="AB26" s="446"/>
    </row>
    <row r="27" spans="2:28" ht="13.5" x14ac:dyDescent="0.25">
      <c r="B27" s="18">
        <v>23</v>
      </c>
      <c r="C27" s="17"/>
      <c r="D27" s="17"/>
      <c r="E27" s="16" t="str">
        <f t="shared" si="5"/>
        <v/>
      </c>
      <c r="F27" s="22"/>
      <c r="G27" s="21"/>
      <c r="H27" s="21"/>
      <c r="I27" s="21"/>
      <c r="J27" s="21"/>
      <c r="K27" s="23"/>
      <c r="L27" s="446"/>
      <c r="M27" s="541" t="s">
        <v>2</v>
      </c>
      <c r="P27" s="520" t="str">
        <f t="shared" si="0"/>
        <v/>
      </c>
      <c r="Q27" s="528" t="str">
        <f t="shared" si="4"/>
        <v/>
      </c>
      <c r="R27" s="528" t="str">
        <f t="shared" si="1"/>
        <v/>
      </c>
      <c r="S27" s="528" t="str">
        <f t="shared" si="2"/>
        <v/>
      </c>
      <c r="T27" s="528" t="str">
        <f t="shared" si="3"/>
        <v/>
      </c>
      <c r="AB27" s="446"/>
    </row>
    <row r="28" spans="2:28" x14ac:dyDescent="0.2">
      <c r="B28" s="18">
        <v>24</v>
      </c>
      <c r="C28" s="17"/>
      <c r="D28" s="17"/>
      <c r="E28" s="16" t="str">
        <f t="shared" si="5"/>
        <v/>
      </c>
      <c r="F28" s="22"/>
      <c r="G28" s="506" t="s">
        <v>157</v>
      </c>
      <c r="H28" s="506" t="s">
        <v>158</v>
      </c>
      <c r="I28" s="543" t="s">
        <v>121</v>
      </c>
      <c r="J28" s="535"/>
      <c r="K28" s="11"/>
      <c r="L28" s="446"/>
      <c r="M28" s="520" t="s">
        <v>1</v>
      </c>
      <c r="P28" s="520" t="str">
        <f t="shared" si="0"/>
        <v/>
      </c>
      <c r="Q28" s="528" t="str">
        <f t="shared" si="4"/>
        <v/>
      </c>
      <c r="R28" s="528" t="str">
        <f t="shared" si="1"/>
        <v/>
      </c>
      <c r="S28" s="528" t="str">
        <f t="shared" si="2"/>
        <v/>
      </c>
      <c r="T28" s="528" t="str">
        <f t="shared" si="3"/>
        <v/>
      </c>
      <c r="AB28" s="446"/>
    </row>
    <row r="29" spans="2:28" x14ac:dyDescent="0.2">
      <c r="B29" s="18">
        <v>25</v>
      </c>
      <c r="C29" s="17"/>
      <c r="D29" s="17"/>
      <c r="E29" s="16" t="str">
        <f t="shared" si="5"/>
        <v/>
      </c>
      <c r="F29" s="22"/>
      <c r="G29" s="544">
        <f>(G5^2)*(1-G7)/(I29)</f>
        <v>4.9087177026902308E-4</v>
      </c>
      <c r="H29" s="505">
        <f>O6^2/I29*(1-SQRT(G7))*(2+(AVERAGE(C5:C34)^2*(1+SQRT(G7)))/O5^2)</f>
        <v>0.13359175964174269</v>
      </c>
      <c r="I29" s="506">
        <f>COUNT(C5:D24)/2</f>
        <v>15</v>
      </c>
      <c r="J29" s="535"/>
      <c r="K29" s="11"/>
      <c r="L29" s="446"/>
      <c r="M29" s="542">
        <f>G30</f>
        <v>2.215562615384686E-2</v>
      </c>
      <c r="P29" s="520" t="str">
        <f t="shared" si="0"/>
        <v/>
      </c>
      <c r="Q29" s="528" t="str">
        <f t="shared" si="4"/>
        <v/>
      </c>
      <c r="R29" s="528" t="str">
        <f t="shared" si="1"/>
        <v/>
      </c>
      <c r="S29" s="528" t="str">
        <f t="shared" si="2"/>
        <v/>
      </c>
      <c r="T29" s="528" t="str">
        <f t="shared" si="3"/>
        <v/>
      </c>
      <c r="AB29" s="446"/>
    </row>
    <row r="30" spans="2:28" x14ac:dyDescent="0.2">
      <c r="B30" s="18">
        <v>26</v>
      </c>
      <c r="C30" s="17"/>
      <c r="D30" s="17"/>
      <c r="E30" s="16" t="str">
        <f t="shared" si="5"/>
        <v/>
      </c>
      <c r="F30" s="22"/>
      <c r="G30" s="545">
        <f>SQRT(G29)</f>
        <v>2.215562615384686E-2</v>
      </c>
      <c r="H30" s="545">
        <f>SQRT(H29)</f>
        <v>0.36550206516754824</v>
      </c>
      <c r="I30" s="506"/>
      <c r="J30" s="506"/>
      <c r="K30" s="11"/>
      <c r="L30" s="446"/>
      <c r="P30" s="520" t="str">
        <f t="shared" si="0"/>
        <v/>
      </c>
      <c r="Q30" s="528" t="str">
        <f t="shared" si="4"/>
        <v/>
      </c>
      <c r="R30" s="528" t="str">
        <f t="shared" si="1"/>
        <v/>
      </c>
      <c r="S30" s="528" t="str">
        <f t="shared" si="2"/>
        <v/>
      </c>
      <c r="T30" s="528" t="str">
        <f t="shared" si="3"/>
        <v/>
      </c>
      <c r="AB30" s="446"/>
    </row>
    <row r="31" spans="2:28" x14ac:dyDescent="0.2">
      <c r="B31" s="18">
        <v>27</v>
      </c>
      <c r="C31" s="17"/>
      <c r="D31" s="17"/>
      <c r="E31" s="16" t="str">
        <f t="shared" si="5"/>
        <v/>
      </c>
      <c r="F31" s="11"/>
      <c r="G31" s="32"/>
      <c r="H31" s="32"/>
      <c r="I31" s="32"/>
      <c r="J31" s="32"/>
      <c r="K31" s="11"/>
      <c r="L31" s="446"/>
      <c r="M31" s="520" t="s">
        <v>0</v>
      </c>
      <c r="N31" s="528">
        <f>(G5-1)/M29</f>
        <v>-0.62803454601204789</v>
      </c>
      <c r="P31" s="520" t="str">
        <f t="shared" si="0"/>
        <v/>
      </c>
      <c r="Q31" s="528" t="str">
        <f t="shared" si="4"/>
        <v/>
      </c>
      <c r="R31" s="528" t="str">
        <f t="shared" si="1"/>
        <v/>
      </c>
      <c r="S31" s="528" t="str">
        <f t="shared" si="2"/>
        <v/>
      </c>
      <c r="T31" s="528" t="str">
        <f t="shared" si="3"/>
        <v/>
      </c>
      <c r="AB31" s="446"/>
    </row>
    <row r="32" spans="2:28" x14ac:dyDescent="0.2">
      <c r="B32" s="18">
        <v>28</v>
      </c>
      <c r="C32" s="17"/>
      <c r="D32" s="17"/>
      <c r="E32" s="16" t="str">
        <f t="shared" si="5"/>
        <v/>
      </c>
      <c r="F32" s="8"/>
      <c r="G32" s="32">
        <f>CORREL(C5:C24,D5:D24)</f>
        <v>0.9962066346356111</v>
      </c>
      <c r="H32" s="32">
        <f>G32*G5</f>
        <v>0.9823449187995692</v>
      </c>
      <c r="I32" s="32"/>
      <c r="J32" s="32"/>
      <c r="K32" s="11"/>
      <c r="L32" s="446"/>
      <c r="M32" s="520" t="s">
        <v>174</v>
      </c>
      <c r="N32" s="528">
        <f>TINV(0.05,COUNT(D5:D34)-2)</f>
        <v>2.1603686564627926</v>
      </c>
      <c r="P32" s="520" t="str">
        <f t="shared" si="0"/>
        <v/>
      </c>
      <c r="Q32" s="528" t="str">
        <f t="shared" si="4"/>
        <v/>
      </c>
      <c r="R32" s="528" t="str">
        <f t="shared" si="1"/>
        <v/>
      </c>
      <c r="S32" s="528" t="str">
        <f t="shared" si="2"/>
        <v/>
      </c>
      <c r="T32" s="528" t="str">
        <f t="shared" si="3"/>
        <v/>
      </c>
      <c r="AB32" s="446"/>
    </row>
    <row r="33" spans="1:28" x14ac:dyDescent="0.2">
      <c r="B33" s="18">
        <v>29</v>
      </c>
      <c r="C33" s="17"/>
      <c r="D33" s="17"/>
      <c r="E33" s="16" t="str">
        <f t="shared" si="5"/>
        <v/>
      </c>
      <c r="F33" s="11"/>
      <c r="G33" s="32"/>
      <c r="H33" s="32"/>
      <c r="I33" s="32"/>
      <c r="J33" s="32"/>
      <c r="K33" s="11"/>
      <c r="L33" s="446"/>
      <c r="N33" s="504"/>
      <c r="O33" s="520"/>
      <c r="P33" s="520"/>
      <c r="Q33" s="507"/>
      <c r="R33" s="507"/>
      <c r="S33" s="507"/>
      <c r="T33" s="507"/>
      <c r="AB33" s="446"/>
    </row>
    <row r="34" spans="1:28" ht="13.5" thickBot="1" x14ac:dyDescent="0.25">
      <c r="B34" s="14">
        <v>30</v>
      </c>
      <c r="C34" s="13"/>
      <c r="D34" s="13"/>
      <c r="E34" s="12" t="str">
        <f t="shared" si="5"/>
        <v/>
      </c>
      <c r="F34" s="8"/>
      <c r="G34" s="11"/>
      <c r="H34" s="11"/>
      <c r="I34" s="11"/>
      <c r="J34" s="11"/>
      <c r="K34" s="11"/>
      <c r="L34" s="446"/>
      <c r="M34" s="503"/>
      <c r="N34" s="504"/>
      <c r="O34" s="505"/>
      <c r="P34" s="503"/>
      <c r="Q34" s="506"/>
      <c r="R34" s="503"/>
      <c r="S34" s="506"/>
      <c r="T34" s="507"/>
      <c r="U34" s="11"/>
      <c r="AB34" s="446"/>
    </row>
    <row r="35" spans="1:28" ht="15" customHeight="1" x14ac:dyDescent="0.2">
      <c r="A35" s="447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446"/>
      <c r="M35" s="503"/>
      <c r="N35" s="503"/>
      <c r="O35" s="503"/>
      <c r="P35" s="508"/>
      <c r="Q35" s="503"/>
      <c r="R35" s="503"/>
      <c r="S35" s="503"/>
      <c r="T35" s="509"/>
      <c r="U35" s="11"/>
      <c r="AB35" s="446"/>
    </row>
    <row r="36" spans="1:28" ht="15" customHeight="1" x14ac:dyDescent="0.2">
      <c r="A36" s="447"/>
      <c r="B36" s="11"/>
      <c r="C36" s="11"/>
      <c r="D36" s="11"/>
      <c r="E36" s="448"/>
      <c r="F36" s="11"/>
      <c r="G36" s="11"/>
      <c r="H36" s="11"/>
      <c r="I36" s="11"/>
      <c r="J36" s="11"/>
      <c r="K36" s="11"/>
      <c r="L36" s="11"/>
      <c r="M36" s="508"/>
      <c r="N36" s="510"/>
      <c r="O36" s="503"/>
      <c r="P36" s="503"/>
      <c r="Q36" s="503"/>
      <c r="R36" s="503"/>
      <c r="S36" s="511"/>
      <c r="T36" s="507"/>
      <c r="U36" s="11"/>
      <c r="AB36" s="446"/>
    </row>
    <row r="37" spans="1:28" x14ac:dyDescent="0.2">
      <c r="A37" s="447"/>
      <c r="B37" s="11"/>
      <c r="C37" s="11"/>
      <c r="D37" s="11"/>
      <c r="E37" s="11"/>
      <c r="F37" s="11"/>
      <c r="G37" s="11"/>
      <c r="H37" s="11"/>
      <c r="I37" s="11"/>
      <c r="J37" s="448"/>
      <c r="K37" s="11"/>
      <c r="L37" s="11"/>
      <c r="M37" s="507"/>
      <c r="N37" s="507"/>
      <c r="O37" s="512"/>
      <c r="P37" s="503"/>
      <c r="Q37" s="503"/>
      <c r="R37" s="503"/>
      <c r="S37" s="513"/>
      <c r="T37" s="505"/>
      <c r="U37" s="11"/>
      <c r="AB37" s="446"/>
    </row>
    <row r="38" spans="1:28" x14ac:dyDescent="0.2">
      <c r="A38" s="447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507"/>
      <c r="N38" s="507"/>
      <c r="O38" s="503"/>
      <c r="P38" s="514"/>
      <c r="Q38" s="514"/>
      <c r="R38" s="510"/>
      <c r="S38" s="513"/>
      <c r="T38" s="505"/>
      <c r="U38" s="11"/>
      <c r="AB38" s="446"/>
    </row>
    <row r="39" spans="1:28" x14ac:dyDescent="0.2">
      <c r="B39" s="11"/>
      <c r="C39" s="11"/>
      <c r="D39" s="11"/>
      <c r="E39" s="11"/>
      <c r="F39" s="11"/>
      <c r="G39" s="444"/>
      <c r="H39" s="8"/>
      <c r="I39" s="11"/>
      <c r="J39" s="8"/>
      <c r="K39" s="11"/>
      <c r="L39" s="11"/>
      <c r="M39" s="507"/>
      <c r="N39" s="507"/>
      <c r="O39" s="515"/>
      <c r="P39" s="516"/>
      <c r="Q39" s="513"/>
      <c r="R39" s="516"/>
      <c r="S39" s="513"/>
      <c r="T39" s="505"/>
      <c r="U39" s="11"/>
      <c r="AB39" s="446"/>
    </row>
    <row r="40" spans="1:28" x14ac:dyDescent="0.2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507"/>
      <c r="N40" s="507"/>
      <c r="O40" s="515"/>
      <c r="P40" s="516"/>
      <c r="Q40" s="513"/>
      <c r="R40" s="516"/>
      <c r="S40" s="513"/>
      <c r="T40" s="505"/>
      <c r="U40" s="11"/>
      <c r="AB40" s="446"/>
    </row>
    <row r="41" spans="1:28" x14ac:dyDescent="0.2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507"/>
      <c r="N41" s="507"/>
      <c r="O41" s="515"/>
      <c r="P41" s="515"/>
      <c r="Q41" s="515"/>
      <c r="R41" s="515"/>
      <c r="S41" s="513"/>
      <c r="T41" s="505"/>
      <c r="U41" s="11"/>
      <c r="AB41" s="446"/>
    </row>
    <row r="42" spans="1:28" x14ac:dyDescent="0.2">
      <c r="B42" s="11"/>
      <c r="C42" s="11"/>
      <c r="D42" s="11"/>
      <c r="E42" s="11"/>
      <c r="F42" s="11"/>
      <c r="G42" s="11"/>
      <c r="H42" s="11"/>
      <c r="I42" s="11"/>
      <c r="J42" s="11"/>
      <c r="K42" s="11"/>
      <c r="M42" s="507"/>
      <c r="N42" s="507"/>
      <c r="O42" s="515"/>
      <c r="P42" s="517"/>
      <c r="Q42" s="507"/>
      <c r="R42" s="507"/>
      <c r="S42" s="513"/>
      <c r="T42" s="505"/>
      <c r="U42" s="11"/>
      <c r="AB42" s="446"/>
    </row>
    <row r="43" spans="1:28" x14ac:dyDescent="0.2">
      <c r="M43" s="516"/>
      <c r="N43" s="516"/>
      <c r="O43" s="515"/>
      <c r="P43" s="517"/>
      <c r="Q43" s="507"/>
      <c r="R43" s="507"/>
      <c r="U43" s="11"/>
      <c r="AB43" s="446"/>
    </row>
    <row r="44" spans="1:28" x14ac:dyDescent="0.2">
      <c r="B44" s="11"/>
      <c r="C44" s="11"/>
      <c r="D44" s="11"/>
      <c r="E44" s="11"/>
      <c r="F44" s="11"/>
      <c r="G44" s="11"/>
      <c r="H44" s="11"/>
      <c r="I44" s="11"/>
      <c r="J44" s="11"/>
      <c r="K44" s="11"/>
      <c r="M44" s="516"/>
      <c r="N44" s="507"/>
      <c r="O44" s="515"/>
      <c r="P44" s="517"/>
      <c r="Q44" s="507"/>
      <c r="R44" s="507"/>
      <c r="U44" s="11"/>
      <c r="AB44" s="446"/>
    </row>
    <row r="45" spans="1:28" x14ac:dyDescent="0.2">
      <c r="B45" s="11"/>
      <c r="C45" s="11"/>
      <c r="D45" s="11"/>
      <c r="E45" s="11"/>
      <c r="F45" s="11"/>
      <c r="G45" s="11"/>
      <c r="H45" s="11"/>
      <c r="I45" s="11"/>
      <c r="J45" s="11"/>
      <c r="K45" s="11"/>
      <c r="M45" s="516"/>
      <c r="N45" s="507"/>
      <c r="O45" s="515"/>
      <c r="P45" s="517"/>
      <c r="Q45" s="507"/>
      <c r="R45" s="507"/>
      <c r="U45" s="11"/>
      <c r="AB45" s="446"/>
    </row>
    <row r="46" spans="1:28" x14ac:dyDescent="0.2">
      <c r="B46" s="11"/>
      <c r="C46" s="11"/>
      <c r="D46" s="11"/>
      <c r="E46" s="11"/>
      <c r="F46" s="11"/>
      <c r="G46" s="11"/>
      <c r="H46" s="11"/>
      <c r="I46" s="11"/>
      <c r="J46" s="11"/>
      <c r="K46" s="11"/>
      <c r="O46" s="515"/>
      <c r="P46" s="517"/>
      <c r="Q46" s="507"/>
      <c r="R46" s="507"/>
      <c r="S46" s="515"/>
      <c r="T46" s="515"/>
      <c r="U46" s="11"/>
      <c r="AB46" s="446"/>
    </row>
    <row r="47" spans="1:28" x14ac:dyDescent="0.2">
      <c r="B47" s="11"/>
      <c r="C47" s="11"/>
      <c r="D47" s="11"/>
      <c r="E47" s="11"/>
      <c r="F47" s="11"/>
      <c r="G47" s="11"/>
      <c r="H47" s="11"/>
      <c r="I47" s="11"/>
      <c r="J47" s="11"/>
      <c r="K47" s="11"/>
      <c r="M47" s="518"/>
      <c r="N47" s="519"/>
      <c r="O47" s="518"/>
      <c r="P47" s="518"/>
      <c r="Q47" s="520"/>
      <c r="R47" s="520"/>
      <c r="S47" s="504"/>
      <c r="T47" s="515"/>
      <c r="U47" s="11"/>
      <c r="AB47" s="446"/>
    </row>
    <row r="48" spans="1:28" ht="13.5" x14ac:dyDescent="0.25">
      <c r="B48" s="11"/>
      <c r="C48" s="11"/>
      <c r="D48" s="11"/>
      <c r="E48" s="11"/>
      <c r="F48" s="11"/>
      <c r="G48" s="11"/>
      <c r="H48" s="11"/>
      <c r="I48" s="11"/>
      <c r="J48" s="11"/>
      <c r="K48" s="11"/>
      <c r="M48" s="521"/>
      <c r="N48" s="522"/>
      <c r="O48" s="518"/>
      <c r="P48" s="523"/>
      <c r="R48" s="524"/>
      <c r="S48" s="525"/>
      <c r="T48" s="525"/>
      <c r="U48" s="11"/>
      <c r="AB48" s="446"/>
    </row>
    <row r="49" spans="2:28" x14ac:dyDescent="0.2">
      <c r="B49" s="11"/>
      <c r="C49" s="11"/>
      <c r="D49" s="11"/>
      <c r="E49" s="11"/>
      <c r="F49" s="11"/>
      <c r="G49" s="11"/>
      <c r="H49" s="11"/>
      <c r="I49" s="11"/>
      <c r="J49" s="11"/>
      <c r="K49" s="11"/>
      <c r="M49" s="521"/>
      <c r="N49" s="519"/>
      <c r="O49" s="526"/>
      <c r="P49" s="527"/>
      <c r="Q49" s="528"/>
      <c r="R49" s="524"/>
      <c r="S49" s="520"/>
      <c r="T49" s="520"/>
      <c r="U49" s="11"/>
      <c r="AB49" s="446"/>
    </row>
    <row r="50" spans="2:28" x14ac:dyDescent="0.2">
      <c r="B50" s="11"/>
      <c r="C50" s="11"/>
      <c r="D50" s="11"/>
      <c r="E50" s="11"/>
      <c r="F50" s="11"/>
      <c r="G50" s="11"/>
      <c r="H50" s="11"/>
      <c r="I50" s="11"/>
      <c r="J50" s="11"/>
      <c r="K50" s="11"/>
      <c r="M50" s="521"/>
      <c r="N50" s="519"/>
      <c r="O50" s="528"/>
      <c r="P50" s="527"/>
      <c r="Q50" s="529"/>
      <c r="R50" s="524"/>
      <c r="S50" s="528"/>
      <c r="T50" s="528"/>
      <c r="U50" s="11"/>
      <c r="AB50" s="446"/>
    </row>
    <row r="51" spans="2:28" x14ac:dyDescent="0.2">
      <c r="B51" s="11"/>
      <c r="C51" s="11"/>
      <c r="D51" s="11"/>
      <c r="E51" s="11"/>
      <c r="F51" s="11"/>
      <c r="G51" s="11"/>
      <c r="H51" s="11"/>
      <c r="I51" s="11"/>
      <c r="J51" s="11"/>
      <c r="K51" s="11"/>
      <c r="M51" s="521"/>
      <c r="N51" s="519"/>
      <c r="O51" s="528"/>
      <c r="P51" s="530"/>
      <c r="Q51" s="529"/>
      <c r="R51" s="524"/>
      <c r="S51" s="528"/>
      <c r="T51" s="528"/>
      <c r="U51" s="11"/>
      <c r="AB51" s="446"/>
    </row>
    <row r="52" spans="2:28" x14ac:dyDescent="0.2">
      <c r="B52" s="11"/>
      <c r="C52" s="11"/>
      <c r="D52" s="11"/>
      <c r="E52" s="11"/>
      <c r="F52" s="11"/>
      <c r="G52" s="11"/>
      <c r="H52" s="11"/>
      <c r="I52" s="11"/>
      <c r="J52" s="11"/>
      <c r="K52" s="11"/>
      <c r="M52" s="521"/>
      <c r="O52" s="531"/>
      <c r="P52" s="532"/>
      <c r="Q52" s="529"/>
      <c r="R52" s="524"/>
      <c r="S52" s="528"/>
      <c r="T52" s="528"/>
      <c r="U52" s="11"/>
      <c r="AB52" s="446"/>
    </row>
    <row r="53" spans="2:28" x14ac:dyDescent="0.2">
      <c r="B53" s="11"/>
      <c r="C53" s="11"/>
      <c r="D53" s="11"/>
      <c r="E53" s="11"/>
      <c r="F53" s="11"/>
      <c r="G53" s="11"/>
      <c r="H53" s="11"/>
      <c r="I53" s="11"/>
      <c r="J53" s="11"/>
      <c r="K53" s="11"/>
      <c r="M53" s="521"/>
      <c r="N53" s="519"/>
      <c r="O53" s="528"/>
      <c r="P53" s="523"/>
      <c r="Q53" s="529"/>
      <c r="R53" s="524"/>
      <c r="S53" s="528"/>
      <c r="T53" s="528"/>
      <c r="U53" s="11"/>
      <c r="AB53" s="446"/>
    </row>
    <row r="54" spans="2:28" x14ac:dyDescent="0.2">
      <c r="B54" s="11"/>
      <c r="C54" s="11"/>
      <c r="D54" s="11"/>
      <c r="E54" s="11"/>
      <c r="F54" s="11"/>
      <c r="G54" s="11"/>
      <c r="H54" s="11"/>
      <c r="I54" s="11"/>
      <c r="J54" s="11"/>
      <c r="K54" s="11"/>
      <c r="M54" s="521"/>
      <c r="N54" s="519"/>
      <c r="O54" s="528"/>
      <c r="P54" s="523"/>
      <c r="Q54" s="529"/>
      <c r="R54" s="524"/>
      <c r="S54" s="528"/>
      <c r="T54" s="528"/>
      <c r="U54" s="11"/>
      <c r="AB54" s="446"/>
    </row>
    <row r="55" spans="2:28" x14ac:dyDescent="0.2">
      <c r="B55" s="11"/>
      <c r="C55" s="11"/>
      <c r="D55" s="11"/>
      <c r="E55" s="11"/>
      <c r="F55" s="11"/>
      <c r="G55" s="11"/>
      <c r="H55" s="11"/>
      <c r="I55" s="11"/>
      <c r="J55" s="11"/>
      <c r="K55" s="11"/>
      <c r="M55" s="537"/>
      <c r="N55" s="519"/>
      <c r="O55" s="528"/>
      <c r="P55" s="523"/>
      <c r="Q55" s="529"/>
      <c r="R55" s="529"/>
      <c r="S55" s="533"/>
      <c r="T55" s="534"/>
      <c r="AB55" s="446"/>
    </row>
    <row r="56" spans="2:28" x14ac:dyDescent="0.2">
      <c r="B56" s="11"/>
      <c r="C56" s="11"/>
      <c r="D56" s="11"/>
      <c r="E56" s="11"/>
      <c r="F56" s="11"/>
      <c r="G56" s="11"/>
      <c r="H56" s="11"/>
      <c r="I56" s="11"/>
      <c r="J56" s="11"/>
      <c r="K56" s="11"/>
      <c r="N56" s="519"/>
      <c r="O56" s="528"/>
      <c r="P56" s="523"/>
      <c r="Q56" s="529"/>
      <c r="R56" s="538"/>
      <c r="S56" s="528"/>
      <c r="T56" s="528"/>
      <c r="AA56" s="446"/>
      <c r="AB56" s="446"/>
    </row>
    <row r="57" spans="2:28" x14ac:dyDescent="0.2">
      <c r="B57" s="11"/>
      <c r="C57" s="11"/>
      <c r="D57" s="11"/>
      <c r="E57" s="11"/>
      <c r="F57" s="11"/>
      <c r="G57" s="11"/>
      <c r="H57" s="11"/>
      <c r="I57" s="11"/>
      <c r="J57" s="11"/>
      <c r="K57" s="11"/>
      <c r="N57" s="519"/>
      <c r="O57" s="528"/>
      <c r="P57" s="523"/>
      <c r="Q57" s="529"/>
      <c r="R57" s="529"/>
      <c r="S57" s="524"/>
      <c r="AA57" s="446"/>
      <c r="AB57" s="446"/>
    </row>
    <row r="58" spans="2:28" x14ac:dyDescent="0.2">
      <c r="B58" s="11"/>
      <c r="C58" s="11"/>
      <c r="D58" s="11"/>
      <c r="E58" s="11"/>
      <c r="F58" s="11"/>
      <c r="G58" s="11"/>
      <c r="H58" s="11"/>
      <c r="I58" s="11"/>
      <c r="J58" s="11"/>
      <c r="K58" s="11"/>
      <c r="AA58" s="446"/>
      <c r="AB58" s="446"/>
    </row>
    <row r="59" spans="2:28" x14ac:dyDescent="0.2"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446"/>
    </row>
    <row r="60" spans="2:28" x14ac:dyDescent="0.2"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446"/>
    </row>
    <row r="61" spans="2:28" x14ac:dyDescent="0.2">
      <c r="B61" s="11"/>
      <c r="C61" s="11"/>
      <c r="D61" s="11"/>
      <c r="E61" s="11"/>
      <c r="F61" s="11"/>
      <c r="G61" s="11"/>
      <c r="H61" s="444"/>
      <c r="I61" s="444"/>
      <c r="J61" s="11"/>
      <c r="K61" s="11"/>
    </row>
    <row r="62" spans="2:28" x14ac:dyDescent="0.2">
      <c r="B62" s="11"/>
      <c r="C62" s="11"/>
      <c r="D62" s="11"/>
      <c r="E62" s="7"/>
      <c r="F62" s="7"/>
      <c r="G62" s="11"/>
      <c r="H62" s="7"/>
      <c r="I62" s="7"/>
      <c r="J62" s="11"/>
      <c r="K62" s="11"/>
    </row>
    <row r="63" spans="2:28" x14ac:dyDescent="0.2">
      <c r="B63" s="11"/>
      <c r="C63" s="11"/>
      <c r="D63" s="11"/>
      <c r="E63" s="7"/>
      <c r="F63" s="7"/>
      <c r="G63" s="11"/>
      <c r="H63" s="7"/>
      <c r="I63" s="7"/>
      <c r="J63" s="11"/>
      <c r="K63" s="11"/>
    </row>
    <row r="64" spans="2:28" x14ac:dyDescent="0.2">
      <c r="B64" s="11"/>
      <c r="C64" s="11"/>
      <c r="D64" s="11"/>
      <c r="E64" s="7"/>
      <c r="F64" s="7"/>
      <c r="G64" s="11"/>
      <c r="H64" s="7"/>
      <c r="I64" s="7"/>
      <c r="J64" s="11"/>
      <c r="K64" s="11"/>
    </row>
    <row r="65" spans="2:11" x14ac:dyDescent="0.2">
      <c r="B65" s="11"/>
      <c r="C65" s="11"/>
      <c r="D65" s="11"/>
      <c r="E65" s="7"/>
      <c r="F65" s="7"/>
      <c r="G65" s="11"/>
      <c r="H65" s="7"/>
      <c r="I65" s="7"/>
      <c r="J65" s="11"/>
      <c r="K65" s="11"/>
    </row>
    <row r="66" spans="2:11" x14ac:dyDescent="0.2">
      <c r="B66" s="11"/>
      <c r="C66" s="11"/>
      <c r="D66" s="11"/>
      <c r="E66" s="7"/>
      <c r="F66" s="7"/>
      <c r="G66" s="11"/>
      <c r="H66" s="7"/>
      <c r="I66" s="7"/>
      <c r="J66" s="11"/>
      <c r="K66" s="11"/>
    </row>
    <row r="67" spans="2:11" x14ac:dyDescent="0.2">
      <c r="B67" s="11"/>
      <c r="C67" s="11"/>
      <c r="D67" s="11"/>
      <c r="E67" s="7"/>
      <c r="F67" s="7"/>
      <c r="G67" s="11"/>
      <c r="H67" s="7"/>
      <c r="I67" s="7"/>
      <c r="J67" s="11"/>
      <c r="K67" s="11"/>
    </row>
    <row r="68" spans="2:11" x14ac:dyDescent="0.2">
      <c r="B68" s="11"/>
      <c r="C68" s="11"/>
      <c r="D68" s="11"/>
      <c r="E68" s="7"/>
      <c r="F68" s="7"/>
      <c r="G68" s="11"/>
      <c r="H68" s="7"/>
      <c r="I68" s="7"/>
      <c r="J68" s="11"/>
      <c r="K68" s="11"/>
    </row>
    <row r="69" spans="2:11" x14ac:dyDescent="0.2">
      <c r="B69" s="11"/>
      <c r="C69" s="11"/>
      <c r="D69" s="11"/>
      <c r="E69" s="7"/>
      <c r="F69" s="7"/>
      <c r="G69" s="11"/>
      <c r="H69" s="7"/>
      <c r="I69" s="7"/>
      <c r="J69" s="11"/>
      <c r="K69" s="11"/>
    </row>
    <row r="70" spans="2:11" x14ac:dyDescent="0.2">
      <c r="B70" s="11"/>
      <c r="C70" s="11"/>
      <c r="D70" s="11"/>
      <c r="E70" s="7"/>
      <c r="F70" s="7"/>
      <c r="G70" s="11"/>
      <c r="H70" s="7"/>
      <c r="I70" s="7"/>
      <c r="J70" s="11"/>
      <c r="K70" s="11"/>
    </row>
    <row r="71" spans="2:11" x14ac:dyDescent="0.2">
      <c r="B71" s="11"/>
      <c r="C71" s="11"/>
      <c r="D71" s="11"/>
      <c r="E71" s="7"/>
      <c r="F71" s="7"/>
      <c r="G71" s="11"/>
      <c r="H71" s="7"/>
      <c r="I71" s="7"/>
      <c r="J71" s="11"/>
      <c r="K71" s="444"/>
    </row>
    <row r="72" spans="2:11" x14ac:dyDescent="0.2">
      <c r="B72" s="11"/>
      <c r="C72" s="11"/>
      <c r="D72" s="11"/>
      <c r="E72" s="7"/>
      <c r="F72" s="7"/>
      <c r="G72" s="11"/>
      <c r="H72" s="7"/>
      <c r="I72" s="7"/>
      <c r="J72" s="11"/>
      <c r="K72" s="8"/>
    </row>
    <row r="73" spans="2:11" x14ac:dyDescent="0.2">
      <c r="B73" s="11"/>
      <c r="C73" s="11"/>
      <c r="D73" s="11"/>
      <c r="E73" s="7"/>
      <c r="F73" s="7"/>
      <c r="G73" s="11"/>
      <c r="H73" s="7"/>
      <c r="I73" s="7"/>
      <c r="J73" s="11"/>
      <c r="K73" s="11"/>
    </row>
    <row r="74" spans="2:11" x14ac:dyDescent="0.2">
      <c r="B74" s="11"/>
      <c r="C74" s="11"/>
      <c r="D74" s="11"/>
      <c r="E74" s="7"/>
      <c r="F74" s="7"/>
      <c r="G74" s="11"/>
      <c r="H74" s="7"/>
      <c r="I74" s="7"/>
      <c r="J74" s="11"/>
      <c r="K74" s="11"/>
    </row>
    <row r="75" spans="2:11" x14ac:dyDescent="0.2">
      <c r="B75" s="11"/>
      <c r="C75" s="11"/>
      <c r="D75" s="11"/>
      <c r="E75" s="7"/>
      <c r="F75" s="7"/>
      <c r="G75" s="11"/>
      <c r="H75" s="7"/>
      <c r="I75" s="7"/>
      <c r="J75" s="11"/>
      <c r="K75" s="11"/>
    </row>
    <row r="76" spans="2:11" x14ac:dyDescent="0.2">
      <c r="B76" s="11"/>
      <c r="C76" s="11"/>
      <c r="D76" s="11"/>
      <c r="E76" s="7"/>
      <c r="F76" s="7"/>
      <c r="G76" s="11"/>
      <c r="H76" s="7"/>
      <c r="I76" s="7"/>
      <c r="J76" s="11"/>
      <c r="K76" s="11"/>
    </row>
    <row r="77" spans="2:11" x14ac:dyDescent="0.2">
      <c r="B77" s="11"/>
      <c r="C77" s="11"/>
      <c r="D77" s="11"/>
      <c r="E77" s="7"/>
      <c r="F77" s="7"/>
      <c r="G77" s="11"/>
      <c r="H77" s="7"/>
      <c r="I77" s="7"/>
      <c r="J77" s="11"/>
      <c r="K77" s="11"/>
    </row>
    <row r="78" spans="2:11" x14ac:dyDescent="0.2">
      <c r="B78" s="11"/>
      <c r="C78" s="11"/>
      <c r="D78" s="11"/>
      <c r="E78" s="7"/>
      <c r="F78" s="7"/>
      <c r="G78" s="11"/>
      <c r="H78" s="7"/>
      <c r="I78" s="7"/>
      <c r="J78" s="11"/>
      <c r="K78" s="11"/>
    </row>
    <row r="79" spans="2:11" x14ac:dyDescent="0.2">
      <c r="B79" s="11"/>
      <c r="C79" s="11"/>
      <c r="D79" s="11"/>
      <c r="E79" s="7"/>
      <c r="F79" s="7"/>
      <c r="G79" s="11"/>
      <c r="H79" s="7"/>
      <c r="I79" s="7"/>
      <c r="J79" s="11"/>
      <c r="K79" s="11"/>
    </row>
    <row r="80" spans="2:11" x14ac:dyDescent="0.2">
      <c r="B80" s="11"/>
      <c r="C80" s="11"/>
      <c r="D80" s="11"/>
      <c r="E80" s="7"/>
      <c r="F80" s="7"/>
      <c r="G80" s="11"/>
      <c r="H80" s="7"/>
      <c r="I80" s="7"/>
      <c r="J80" s="11"/>
      <c r="K80" s="11"/>
    </row>
    <row r="81" spans="2:11" x14ac:dyDescent="0.2">
      <c r="B81" s="11"/>
      <c r="C81" s="11"/>
      <c r="D81" s="11"/>
      <c r="E81" s="7"/>
      <c r="F81" s="7"/>
      <c r="G81" s="11"/>
      <c r="H81" s="7"/>
      <c r="I81" s="7"/>
      <c r="J81" s="11"/>
      <c r="K81" s="11"/>
    </row>
    <row r="82" spans="2:11" x14ac:dyDescent="0.2">
      <c r="B82" s="11"/>
      <c r="C82" s="11"/>
      <c r="D82" s="11"/>
      <c r="E82" s="7"/>
      <c r="F82" s="7"/>
      <c r="G82" s="11"/>
      <c r="H82" s="7"/>
      <c r="I82" s="7"/>
      <c r="J82" s="11"/>
      <c r="K82" s="11"/>
    </row>
    <row r="83" spans="2:11" x14ac:dyDescent="0.2">
      <c r="B83" s="11"/>
      <c r="C83" s="11"/>
      <c r="D83" s="11"/>
      <c r="E83" s="7"/>
      <c r="F83" s="7"/>
      <c r="G83" s="11"/>
      <c r="H83" s="7"/>
      <c r="I83" s="7"/>
      <c r="J83" s="11"/>
      <c r="K83" s="11"/>
    </row>
    <row r="84" spans="2:11" x14ac:dyDescent="0.2">
      <c r="B84" s="11"/>
      <c r="C84" s="11"/>
      <c r="D84" s="11"/>
      <c r="E84" s="7"/>
      <c r="F84" s="7"/>
      <c r="G84" s="11"/>
      <c r="H84" s="7"/>
      <c r="I84" s="7"/>
      <c r="J84" s="11"/>
      <c r="K84" s="11"/>
    </row>
    <row r="85" spans="2:11" x14ac:dyDescent="0.2">
      <c r="B85" s="11"/>
      <c r="C85" s="11"/>
      <c r="D85" s="11"/>
      <c r="E85" s="7"/>
      <c r="F85" s="7"/>
      <c r="G85" s="11"/>
      <c r="H85" s="7"/>
      <c r="I85" s="7"/>
      <c r="J85" s="11"/>
      <c r="K85" s="11"/>
    </row>
    <row r="86" spans="2:11" x14ac:dyDescent="0.2">
      <c r="B86" s="11"/>
      <c r="C86" s="11"/>
      <c r="D86" s="11"/>
      <c r="E86" s="7"/>
      <c r="F86" s="7"/>
      <c r="G86" s="11"/>
      <c r="H86" s="7"/>
      <c r="I86" s="7"/>
      <c r="J86" s="11"/>
      <c r="K86" s="11"/>
    </row>
    <row r="87" spans="2:11" x14ac:dyDescent="0.2">
      <c r="B87" s="11"/>
      <c r="C87" s="11"/>
      <c r="D87" s="11"/>
      <c r="E87" s="7"/>
      <c r="F87" s="7"/>
      <c r="G87" s="11"/>
      <c r="H87" s="7"/>
      <c r="I87" s="7"/>
      <c r="J87" s="11"/>
      <c r="K87" s="11"/>
    </row>
    <row r="88" spans="2:11" x14ac:dyDescent="0.2">
      <c r="B88" s="11"/>
      <c r="C88" s="11"/>
      <c r="D88" s="11"/>
      <c r="E88" s="7"/>
      <c r="F88" s="7"/>
      <c r="G88" s="11"/>
      <c r="H88" s="7"/>
      <c r="I88" s="7"/>
      <c r="J88" s="11"/>
      <c r="K88" s="11"/>
    </row>
    <row r="89" spans="2:11" x14ac:dyDescent="0.2">
      <c r="B89" s="11"/>
      <c r="C89" s="11"/>
      <c r="D89" s="11"/>
      <c r="E89" s="7"/>
      <c r="F89" s="7"/>
      <c r="G89" s="11"/>
      <c r="H89" s="7"/>
      <c r="I89" s="7"/>
      <c r="J89" s="11"/>
      <c r="K89" s="11"/>
    </row>
    <row r="90" spans="2:11" x14ac:dyDescent="0.2">
      <c r="B90" s="11"/>
      <c r="C90" s="11"/>
      <c r="D90" s="11"/>
      <c r="E90" s="7"/>
      <c r="F90" s="7"/>
      <c r="G90" s="11"/>
      <c r="H90" s="7"/>
      <c r="I90" s="7"/>
      <c r="J90" s="11"/>
      <c r="K90" s="11"/>
    </row>
    <row r="91" spans="2:11" x14ac:dyDescent="0.2">
      <c r="B91" s="11"/>
      <c r="C91" s="11"/>
      <c r="D91" s="11"/>
      <c r="E91" s="7"/>
      <c r="F91" s="7"/>
      <c r="G91" s="11"/>
      <c r="H91" s="7"/>
      <c r="I91" s="7"/>
      <c r="J91" s="11"/>
      <c r="K91" s="11"/>
    </row>
    <row r="92" spans="2:11" x14ac:dyDescent="0.2">
      <c r="B92" s="11"/>
      <c r="C92" s="11"/>
      <c r="D92" s="11"/>
      <c r="E92" s="11"/>
      <c r="F92" s="11"/>
      <c r="G92" s="11"/>
      <c r="H92" s="11"/>
      <c r="I92" s="11"/>
      <c r="J92" s="11"/>
      <c r="K92" s="11"/>
    </row>
    <row r="93" spans="2:11" x14ac:dyDescent="0.2">
      <c r="B93" s="11"/>
      <c r="C93" s="11"/>
      <c r="D93" s="11"/>
      <c r="E93" s="11"/>
      <c r="F93" s="11"/>
      <c r="G93" s="11"/>
      <c r="H93" s="11"/>
      <c r="I93" s="11"/>
      <c r="J93" s="11"/>
      <c r="K93" s="11"/>
    </row>
    <row r="94" spans="2:11" x14ac:dyDescent="0.2">
      <c r="E94" s="447"/>
      <c r="F94" s="447"/>
      <c r="G94" s="447"/>
      <c r="H94" s="447"/>
      <c r="I94" s="447"/>
      <c r="J94" s="447"/>
      <c r="K94" s="447"/>
    </row>
    <row r="95" spans="2:11" x14ac:dyDescent="0.2">
      <c r="E95" s="447"/>
      <c r="F95" s="447"/>
      <c r="G95" s="447"/>
      <c r="H95" s="447"/>
      <c r="I95" s="447"/>
      <c r="J95" s="447"/>
      <c r="K95" s="447"/>
    </row>
  </sheetData>
  <protectedRanges>
    <protectedRange sqref="G17:H18 C4:D4 C26:D34 I29 G22:H29 I22:J27 I30:J30" name="Plage1"/>
    <protectedRange sqref="C25" name="Plage1_1_1"/>
    <protectedRange sqref="G11:G13" name="Plage1_2"/>
  </protectedRanges>
  <mergeCells count="8">
    <mergeCell ref="B2:K3"/>
    <mergeCell ref="F4:G4"/>
    <mergeCell ref="H4:I4"/>
    <mergeCell ref="I15:J15"/>
    <mergeCell ref="G15:H15"/>
    <mergeCell ref="H10:I10"/>
    <mergeCell ref="H5:I5"/>
    <mergeCell ref="J5:K5"/>
  </mergeCells>
  <conditionalFormatting sqref="H6">
    <cfRule type="cellIs" dxfId="7" priority="5" stopIfTrue="1" operator="lessThanOrEqual">
      <formula>0</formula>
    </cfRule>
    <cfRule type="cellIs" dxfId="6" priority="6" stopIfTrue="1" operator="greaterThan">
      <formula>0</formula>
    </cfRule>
  </conditionalFormatting>
  <conditionalFormatting sqref="I6">
    <cfRule type="cellIs" dxfId="5" priority="7" stopIfTrue="1" operator="greaterThanOrEqual">
      <formula>0</formula>
    </cfRule>
    <cfRule type="cellIs" dxfId="4" priority="8" stopIfTrue="1" operator="lessThan">
      <formula>0</formula>
    </cfRule>
  </conditionalFormatting>
  <conditionalFormatting sqref="J6">
    <cfRule type="cellIs" dxfId="3" priority="1" stopIfTrue="1" operator="lessThanOrEqual">
      <formula>1</formula>
    </cfRule>
    <cfRule type="cellIs" dxfId="2" priority="2" stopIfTrue="1" operator="greaterThan">
      <formula>1</formula>
    </cfRule>
  </conditionalFormatting>
  <conditionalFormatting sqref="K6">
    <cfRule type="cellIs" dxfId="1" priority="3" stopIfTrue="1" operator="greaterThanOrEqual">
      <formula>1</formula>
    </cfRule>
    <cfRule type="cellIs" dxfId="0" priority="4" stopIfTrue="1" operator="lessThan">
      <formula>1</formula>
    </cfRule>
  </conditionalFormatting>
  <pageMargins left="0.78740157499999996" right="0.78740157499999996" top="0.17" bottom="0.17" header="0.19" footer="0.4921259845"/>
  <pageSetup paperSize="9" scale="91" orientation="landscape" r:id="rId1"/>
  <headerFooter alignWithMargins="0"/>
  <ignoredErrors>
    <ignoredError sqref="P4:P32" formulaRange="1"/>
  </ignoredError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X47"/>
  <sheetViews>
    <sheetView showGridLines="0" zoomScale="85" zoomScaleNormal="85" zoomScaleSheetLayoutView="70" workbookViewId="0">
      <selection activeCell="P4" sqref="P4"/>
    </sheetView>
  </sheetViews>
  <sheetFormatPr baseColWidth="10" defaultColWidth="11.42578125" defaultRowHeight="12.75" x14ac:dyDescent="0.2"/>
  <cols>
    <col min="1" max="9" width="11.42578125" style="1"/>
    <col min="10" max="10" width="13.28515625" style="1" customWidth="1"/>
    <col min="11" max="11" width="12.7109375" style="1" bestFit="1" customWidth="1"/>
    <col min="12" max="16384" width="11.42578125" style="1"/>
  </cols>
  <sheetData>
    <row r="1" spans="2:24" ht="13.5" thickBot="1" x14ac:dyDescent="0.25"/>
    <row r="2" spans="2:24" ht="27.75" customHeight="1" thickBot="1" x14ac:dyDescent="0.4">
      <c r="B2" s="628" t="s">
        <v>186</v>
      </c>
      <c r="C2" s="629"/>
      <c r="D2" s="629"/>
      <c r="E2" s="629"/>
      <c r="F2" s="629"/>
      <c r="G2" s="629"/>
      <c r="H2" s="629"/>
      <c r="I2" s="629"/>
      <c r="J2" s="629"/>
      <c r="K2" s="629"/>
      <c r="L2" s="629"/>
      <c r="M2" s="629"/>
      <c r="N2" s="629"/>
      <c r="O2" s="629"/>
      <c r="P2" s="630"/>
    </row>
    <row r="3" spans="2:24" ht="15" customHeight="1" x14ac:dyDescent="0.35">
      <c r="B3" s="388" t="s">
        <v>78</v>
      </c>
      <c r="C3" s="387"/>
      <c r="D3" s="386"/>
      <c r="E3" s="386"/>
      <c r="F3" s="386"/>
      <c r="G3" s="386"/>
      <c r="H3" s="385"/>
      <c r="I3" s="385"/>
      <c r="J3" s="385"/>
      <c r="K3" s="385"/>
      <c r="L3" s="384" t="s">
        <v>156</v>
      </c>
      <c r="M3" s="383"/>
      <c r="N3" s="382"/>
      <c r="O3" s="381">
        <v>40695</v>
      </c>
      <c r="P3" s="380" t="s">
        <v>74</v>
      </c>
      <c r="Q3" s="467"/>
      <c r="R3" s="467"/>
      <c r="S3" s="467"/>
      <c r="T3" s="467"/>
      <c r="U3" s="467"/>
      <c r="V3" s="467"/>
      <c r="W3" s="467"/>
      <c r="X3" s="467"/>
    </row>
    <row r="4" spans="2:24" ht="13.5" customHeight="1" x14ac:dyDescent="0.35">
      <c r="B4" s="379" t="s">
        <v>73</v>
      </c>
      <c r="C4" s="378"/>
      <c r="D4" s="377"/>
      <c r="E4" s="377"/>
      <c r="F4" s="377"/>
      <c r="G4" s="377"/>
      <c r="H4" s="353"/>
      <c r="I4" s="353"/>
      <c r="J4" s="353"/>
      <c r="K4" s="353"/>
      <c r="L4" s="161"/>
      <c r="M4" s="161"/>
      <c r="N4" s="376"/>
      <c r="O4" s="375" t="s">
        <v>155</v>
      </c>
      <c r="P4" s="547"/>
      <c r="Q4" s="467"/>
      <c r="R4" s="467"/>
      <c r="S4" s="467"/>
      <c r="T4" s="467"/>
      <c r="U4" s="467"/>
      <c r="V4" s="467"/>
      <c r="W4" s="467"/>
      <c r="X4" s="467"/>
    </row>
    <row r="5" spans="2:24" ht="13.5" customHeight="1" thickBot="1" x14ac:dyDescent="0.4">
      <c r="B5" s="354"/>
      <c r="C5" s="353"/>
      <c r="D5" s="353"/>
      <c r="E5" s="353"/>
      <c r="F5" s="353"/>
      <c r="G5" s="353"/>
      <c r="H5" s="353"/>
      <c r="I5" s="353"/>
      <c r="J5" s="353"/>
      <c r="K5" s="353"/>
      <c r="L5" s="353"/>
      <c r="M5" s="353"/>
      <c r="N5" s="353"/>
      <c r="O5" s="353"/>
      <c r="P5" s="352"/>
      <c r="Q5" s="467"/>
      <c r="R5" s="467"/>
      <c r="S5" s="467"/>
      <c r="T5" s="467"/>
      <c r="U5" s="467"/>
      <c r="V5" s="467"/>
      <c r="W5" s="471"/>
      <c r="X5" s="467"/>
    </row>
    <row r="6" spans="2:24" ht="13.5" customHeight="1" x14ac:dyDescent="0.35">
      <c r="B6" s="374" t="s">
        <v>154</v>
      </c>
      <c r="C6" s="373"/>
      <c r="D6" s="373"/>
      <c r="E6" s="373"/>
      <c r="F6" s="373"/>
      <c r="G6" s="373"/>
      <c r="H6" s="370"/>
      <c r="I6" s="370"/>
      <c r="J6" s="370"/>
      <c r="K6" s="372"/>
      <c r="L6" s="371"/>
      <c r="M6" s="370"/>
      <c r="N6" s="369"/>
      <c r="O6" s="369"/>
      <c r="P6" s="368"/>
      <c r="Q6" s="467" t="s">
        <v>179</v>
      </c>
      <c r="R6" s="467"/>
      <c r="S6" s="467"/>
      <c r="T6" s="467"/>
      <c r="U6" s="467"/>
      <c r="V6" s="467"/>
      <c r="W6" s="471"/>
      <c r="X6" s="467"/>
    </row>
    <row r="7" spans="2:24" ht="13.5" customHeight="1" x14ac:dyDescent="0.35">
      <c r="B7" s="367" t="s">
        <v>153</v>
      </c>
      <c r="C7" s="145"/>
      <c r="D7" s="145"/>
      <c r="E7" s="145"/>
      <c r="F7" s="145"/>
      <c r="G7" s="145"/>
      <c r="H7" s="364"/>
      <c r="I7" s="364"/>
      <c r="J7" s="364"/>
      <c r="K7" s="366"/>
      <c r="L7" s="365"/>
      <c r="M7" s="364"/>
      <c r="N7" s="363"/>
      <c r="O7" s="363"/>
      <c r="P7" s="362"/>
      <c r="Q7" s="467" t="s">
        <v>180</v>
      </c>
      <c r="R7" s="467"/>
      <c r="S7" s="467"/>
      <c r="T7" s="467"/>
      <c r="U7" s="467"/>
      <c r="V7" s="467"/>
      <c r="W7" s="470"/>
      <c r="X7" s="467"/>
    </row>
    <row r="8" spans="2:24" ht="13.5" customHeight="1" thickBot="1" x14ac:dyDescent="0.4">
      <c r="B8" s="361" t="s">
        <v>152</v>
      </c>
      <c r="C8" s="360"/>
      <c r="D8" s="360"/>
      <c r="E8" s="360"/>
      <c r="F8" s="360"/>
      <c r="G8" s="360"/>
      <c r="H8" s="360"/>
      <c r="I8" s="359"/>
      <c r="J8" s="359"/>
      <c r="K8" s="358"/>
      <c r="L8" s="358"/>
      <c r="M8" s="357"/>
      <c r="N8" s="356"/>
      <c r="O8" s="356"/>
      <c r="P8" s="355"/>
      <c r="Q8" s="467" t="s">
        <v>181</v>
      </c>
      <c r="R8" s="467"/>
      <c r="S8" s="467"/>
      <c r="T8" s="467"/>
      <c r="U8" s="467"/>
      <c r="V8" s="467"/>
      <c r="W8" s="470"/>
      <c r="X8" s="467"/>
    </row>
    <row r="9" spans="2:24" ht="12.75" customHeight="1" thickBot="1" x14ac:dyDescent="0.4">
      <c r="B9" s="354"/>
      <c r="C9" s="353"/>
      <c r="D9" s="353"/>
      <c r="E9" s="353"/>
      <c r="F9" s="353"/>
      <c r="G9" s="353"/>
      <c r="H9" s="353"/>
      <c r="I9" s="353"/>
      <c r="J9" s="353"/>
      <c r="K9" s="353"/>
      <c r="L9" s="353"/>
      <c r="M9" s="353"/>
      <c r="N9" s="353"/>
      <c r="O9" s="353"/>
      <c r="P9" s="352"/>
      <c r="Q9" s="467"/>
      <c r="R9" s="467"/>
      <c r="S9" s="467"/>
      <c r="T9" s="467"/>
      <c r="U9" s="467"/>
      <c r="V9" s="467"/>
      <c r="W9" s="470"/>
      <c r="X9" s="467"/>
    </row>
    <row r="10" spans="2:24" ht="13.5" customHeight="1" thickBot="1" x14ac:dyDescent="0.25">
      <c r="B10" s="20"/>
      <c r="C10" s="631" t="s">
        <v>151</v>
      </c>
      <c r="D10" s="632"/>
      <c r="E10" s="632"/>
      <c r="F10" s="632"/>
      <c r="G10" s="632"/>
      <c r="H10" s="632"/>
      <c r="I10" s="632"/>
      <c r="J10" s="632"/>
      <c r="K10" s="633"/>
      <c r="L10" s="634" t="s">
        <v>150</v>
      </c>
      <c r="M10" s="635"/>
      <c r="N10" s="635"/>
      <c r="O10" s="635"/>
      <c r="P10" s="636"/>
      <c r="Q10" s="468"/>
      <c r="R10" s="467"/>
      <c r="S10" s="467"/>
      <c r="T10" s="467"/>
      <c r="U10" s="467"/>
      <c r="V10" s="467"/>
      <c r="W10" s="470"/>
      <c r="X10" s="467"/>
    </row>
    <row r="11" spans="2:24" ht="13.5" thickBot="1" x14ac:dyDescent="0.25">
      <c r="B11" s="20"/>
      <c r="C11" s="351" t="s">
        <v>12</v>
      </c>
      <c r="D11" s="350" t="s">
        <v>149</v>
      </c>
      <c r="E11" s="350" t="s">
        <v>148</v>
      </c>
      <c r="F11" s="350" t="s">
        <v>147</v>
      </c>
      <c r="G11" s="350" t="s">
        <v>177</v>
      </c>
      <c r="H11" s="350" t="s">
        <v>178</v>
      </c>
      <c r="I11" s="348" t="s">
        <v>111</v>
      </c>
      <c r="J11" s="348" t="s">
        <v>67</v>
      </c>
      <c r="K11" s="349" t="s">
        <v>146</v>
      </c>
      <c r="L11" s="546" t="s">
        <v>179</v>
      </c>
      <c r="M11" s="348" t="s">
        <v>145</v>
      </c>
      <c r="N11" s="347" t="s">
        <v>144</v>
      </c>
      <c r="O11" s="347" t="s">
        <v>143</v>
      </c>
      <c r="P11" s="346" t="s">
        <v>142</v>
      </c>
      <c r="Q11" s="469"/>
      <c r="R11" s="467"/>
      <c r="S11" s="467"/>
      <c r="T11" s="467"/>
      <c r="U11" s="467"/>
      <c r="V11" s="467"/>
      <c r="W11" s="470"/>
      <c r="X11" s="467"/>
    </row>
    <row r="12" spans="2:24" x14ac:dyDescent="0.2">
      <c r="B12" s="345" t="s">
        <v>141</v>
      </c>
      <c r="C12" s="449">
        <f ca="1">RANDBETWEEN(MIN(D12:H12),MAX(D12:H12))</f>
        <v>488065</v>
      </c>
      <c r="D12" s="344">
        <v>491628</v>
      </c>
      <c r="E12" s="344">
        <v>486838</v>
      </c>
      <c r="F12" s="344">
        <v>491277</v>
      </c>
      <c r="G12" s="344">
        <v>491483</v>
      </c>
      <c r="H12" s="344">
        <v>491362</v>
      </c>
      <c r="I12" s="343">
        <f t="shared" ref="I12:I17" ca="1" si="0">IF(ISNUMBER(C12),AVERAGE(D12:H12),"")</f>
        <v>490517.6</v>
      </c>
      <c r="J12" s="430">
        <f ca="1">IF(ISNUMBER(C12),VAR(D12:H12),"")</f>
        <v>4248535.3</v>
      </c>
      <c r="K12" s="433">
        <f ca="1">IF(ISNUMBER(C12),SQRT(J12),"")</f>
        <v>2061.1975402663375</v>
      </c>
      <c r="L12" s="441">
        <f ca="1">IF($L$11="1/X",1/C12,IF($L$11="1/X²",1/C12^2,IF($L$11="1/S²",1/J12,"")))</f>
        <v>2.0489074201182219E-6</v>
      </c>
      <c r="M12" s="342">
        <f ca="1">IF(ISNUMBER(C12),L12*C12*I12,"")</f>
        <v>490517.6</v>
      </c>
      <c r="N12" s="342">
        <f t="shared" ref="N12:N17" ca="1" si="1">IF(ISNUMBER(C12),C12*L12,"")</f>
        <v>1</v>
      </c>
      <c r="O12" s="342">
        <f t="shared" ref="O12:O17" ca="1" si="2">IF(ISNUMBER(C12),L12*I12,"")</f>
        <v>1.0050251503385819</v>
      </c>
      <c r="P12" s="341">
        <f t="shared" ref="P12:P17" ca="1" si="3">IF(ISNUMBER(C12),L12*C12^2,"")</f>
        <v>488065</v>
      </c>
      <c r="Q12" s="468"/>
      <c r="R12" s="467"/>
      <c r="S12" s="467"/>
      <c r="T12" s="467"/>
      <c r="U12" s="467"/>
      <c r="V12" s="467"/>
      <c r="W12" s="470"/>
      <c r="X12" s="467"/>
    </row>
    <row r="13" spans="2:24" x14ac:dyDescent="0.2">
      <c r="B13" s="340">
        <v>2</v>
      </c>
      <c r="C13" s="450">
        <f t="shared" ref="C13:C16" ca="1" si="4">RANDBETWEEN(MIN(D13:H13),MAX(D13:H13))</f>
        <v>650259</v>
      </c>
      <c r="D13" s="295">
        <v>648633</v>
      </c>
      <c r="E13" s="295">
        <v>653781</v>
      </c>
      <c r="F13" s="295">
        <v>652774</v>
      </c>
      <c r="G13" s="295">
        <v>653749</v>
      </c>
      <c r="H13" s="295">
        <v>649421</v>
      </c>
      <c r="I13" s="339">
        <f t="shared" ca="1" si="0"/>
        <v>651671.6</v>
      </c>
      <c r="J13" s="431">
        <f ca="1">IF(ISNUMBER(C13),VAR(D13:H13),"")</f>
        <v>6069683.8000000007</v>
      </c>
      <c r="K13" s="434">
        <f t="shared" ref="K13:K17" ca="1" si="5">IF(ISNUMBER(C13),SQRT(J13),"")</f>
        <v>2463.6728273047947</v>
      </c>
      <c r="L13" s="441">
        <f t="shared" ref="L13:L16" ca="1" si="6">IF($L$11="1/X",1/C13,IF($L$11="1/X²",1/C13^2,IF($L$11="1/S²",1/J13,"")))</f>
        <v>1.5378487648767644E-6</v>
      </c>
      <c r="M13" s="336">
        <f t="shared" ref="M13:M17" ca="1" si="7">IF(ISNUMBER(C13),L13*C13*I13,"")</f>
        <v>651671.6</v>
      </c>
      <c r="N13" s="336">
        <f t="shared" ca="1" si="1"/>
        <v>1</v>
      </c>
      <c r="O13" s="336">
        <f t="shared" ca="1" si="2"/>
        <v>1.0021723651652648</v>
      </c>
      <c r="P13" s="335">
        <f t="shared" ca="1" si="3"/>
        <v>650259</v>
      </c>
      <c r="Q13" s="467"/>
      <c r="R13" s="467"/>
      <c r="S13" s="467"/>
      <c r="T13" s="467"/>
      <c r="U13" s="467"/>
      <c r="V13" s="467"/>
      <c r="W13" s="470"/>
      <c r="X13" s="467"/>
    </row>
    <row r="14" spans="2:24" x14ac:dyDescent="0.2">
      <c r="B14" s="340">
        <v>3</v>
      </c>
      <c r="C14" s="450">
        <f t="shared" ca="1" si="4"/>
        <v>817069</v>
      </c>
      <c r="D14" s="295">
        <v>811400</v>
      </c>
      <c r="E14" s="295">
        <v>818169</v>
      </c>
      <c r="F14" s="295">
        <v>824575</v>
      </c>
      <c r="G14" s="295">
        <v>813778</v>
      </c>
      <c r="H14" s="295">
        <v>819287</v>
      </c>
      <c r="I14" s="339">
        <f t="shared" ca="1" si="0"/>
        <v>817441.8</v>
      </c>
      <c r="J14" s="431">
        <f t="shared" ref="J14:J17" ca="1" si="8">IF(ISNUMBER(C14),VAR(D14:H14),"")</f>
        <v>26185725.699999999</v>
      </c>
      <c r="K14" s="434">
        <f t="shared" ca="1" si="5"/>
        <v>5117.1990092236983</v>
      </c>
      <c r="L14" s="441">
        <f t="shared" ca="1" si="6"/>
        <v>1.2238868443179217E-6</v>
      </c>
      <c r="M14" s="336">
        <f t="shared" ca="1" si="7"/>
        <v>817441.8</v>
      </c>
      <c r="N14" s="336">
        <f t="shared" ca="1" si="1"/>
        <v>1</v>
      </c>
      <c r="O14" s="336">
        <f t="shared" ca="1" si="2"/>
        <v>1.0004562650155617</v>
      </c>
      <c r="P14" s="335">
        <f t="shared" ca="1" si="3"/>
        <v>817069</v>
      </c>
      <c r="Q14" s="467"/>
      <c r="R14" s="470"/>
      <c r="S14" s="469"/>
      <c r="T14" s="470"/>
      <c r="U14" s="470"/>
      <c r="V14" s="470"/>
      <c r="W14" s="471"/>
      <c r="X14" s="467"/>
    </row>
    <row r="15" spans="2:24" x14ac:dyDescent="0.2">
      <c r="B15" s="340">
        <v>4</v>
      </c>
      <c r="C15" s="450">
        <f t="shared" ca="1" si="4"/>
        <v>987202</v>
      </c>
      <c r="D15" s="295">
        <v>982352</v>
      </c>
      <c r="E15" s="295">
        <v>983872</v>
      </c>
      <c r="F15" s="295">
        <v>979059</v>
      </c>
      <c r="G15" s="295">
        <v>988175</v>
      </c>
      <c r="H15" s="295">
        <v>985733</v>
      </c>
      <c r="I15" s="339">
        <f t="shared" ca="1" si="0"/>
        <v>983838.2</v>
      </c>
      <c r="J15" s="431">
        <f t="shared" ca="1" si="8"/>
        <v>11862196.700000001</v>
      </c>
      <c r="K15" s="434">
        <f t="shared" ca="1" si="5"/>
        <v>3444.1539890080412</v>
      </c>
      <c r="L15" s="441">
        <f t="shared" ca="1" si="6"/>
        <v>1.0129639121476658E-6</v>
      </c>
      <c r="M15" s="336">
        <f t="shared" ca="1" si="7"/>
        <v>983838.2</v>
      </c>
      <c r="N15" s="336">
        <f t="shared" ca="1" si="1"/>
        <v>1</v>
      </c>
      <c r="O15" s="336">
        <f t="shared" ca="1" si="2"/>
        <v>0.99659259199231764</v>
      </c>
      <c r="P15" s="335">
        <f ca="1">IF(ISNUMBER(C15),L15*C15^2,"")</f>
        <v>987202</v>
      </c>
      <c r="Q15" s="467"/>
      <c r="R15" s="470"/>
      <c r="S15" s="470"/>
      <c r="T15" s="470"/>
      <c r="U15" s="470"/>
      <c r="V15" s="470"/>
      <c r="W15" s="471"/>
      <c r="X15" s="467"/>
    </row>
    <row r="16" spans="2:24" x14ac:dyDescent="0.2">
      <c r="B16" s="340">
        <v>5</v>
      </c>
      <c r="C16" s="450">
        <f t="shared" ca="1" si="4"/>
        <v>1143267</v>
      </c>
      <c r="D16" s="295">
        <v>1141976</v>
      </c>
      <c r="E16" s="295">
        <v>1155644</v>
      </c>
      <c r="F16" s="295">
        <v>1151403</v>
      </c>
      <c r="G16" s="295">
        <v>1155300</v>
      </c>
      <c r="H16" s="295">
        <v>1153303</v>
      </c>
      <c r="I16" s="339">
        <f t="shared" ca="1" si="0"/>
        <v>1151525.2</v>
      </c>
      <c r="J16" s="431">
        <f t="shared" ca="1" si="8"/>
        <v>31394088.699999999</v>
      </c>
      <c r="K16" s="434">
        <f t="shared" ca="1" si="5"/>
        <v>5603.0428072610684</v>
      </c>
      <c r="L16" s="441">
        <f t="shared" ca="1" si="6"/>
        <v>8.7468631562006071E-7</v>
      </c>
      <c r="M16" s="336">
        <f t="shared" ca="1" si="7"/>
        <v>1151525.2</v>
      </c>
      <c r="N16" s="336">
        <f t="shared" ca="1" si="1"/>
        <v>1</v>
      </c>
      <c r="O16" s="336">
        <f t="shared" ca="1" si="2"/>
        <v>1.0072233345316535</v>
      </c>
      <c r="P16" s="335">
        <f t="shared" ca="1" si="3"/>
        <v>1143267</v>
      </c>
      <c r="Q16" s="467"/>
      <c r="R16" s="470"/>
      <c r="S16" s="469"/>
      <c r="T16" s="470"/>
      <c r="U16" s="470"/>
      <c r="V16" s="470"/>
      <c r="W16" s="471"/>
      <c r="X16" s="467"/>
    </row>
    <row r="17" spans="2:24" ht="13.5" thickBot="1" x14ac:dyDescent="0.25">
      <c r="B17" s="338">
        <v>6</v>
      </c>
      <c r="C17" s="451"/>
      <c r="D17" s="296"/>
      <c r="E17" s="296"/>
      <c r="F17" s="296"/>
      <c r="G17" s="296"/>
      <c r="H17" s="296"/>
      <c r="I17" s="337" t="str">
        <f t="shared" si="0"/>
        <v/>
      </c>
      <c r="J17" s="432" t="str">
        <f t="shared" si="8"/>
        <v/>
      </c>
      <c r="K17" s="435" t="str">
        <f t="shared" si="5"/>
        <v/>
      </c>
      <c r="L17" s="441"/>
      <c r="M17" s="336" t="str">
        <f t="shared" si="7"/>
        <v/>
      </c>
      <c r="N17" s="336" t="str">
        <f t="shared" si="1"/>
        <v/>
      </c>
      <c r="O17" s="336" t="str">
        <f t="shared" si="2"/>
        <v/>
      </c>
      <c r="P17" s="335" t="str">
        <f t="shared" si="3"/>
        <v/>
      </c>
      <c r="Q17" s="467"/>
      <c r="R17" s="470"/>
      <c r="S17" s="470"/>
      <c r="T17" s="470"/>
      <c r="U17" s="470"/>
      <c r="V17" s="470"/>
      <c r="W17" s="467"/>
      <c r="X17" s="467"/>
    </row>
    <row r="18" spans="2:24" ht="13.5" thickBot="1" x14ac:dyDescent="0.25">
      <c r="B18" s="334"/>
      <c r="C18" s="301"/>
      <c r="D18" s="15"/>
      <c r="E18" s="15"/>
      <c r="F18" s="15"/>
      <c r="G18" s="15"/>
      <c r="H18" s="15"/>
      <c r="I18" s="15"/>
      <c r="J18" s="15"/>
      <c r="K18" s="333" t="s">
        <v>140</v>
      </c>
      <c r="L18" s="332">
        <f ca="1">SUM(L12:L17)</f>
        <v>6.6982932570806345E-6</v>
      </c>
      <c r="M18" s="332">
        <f ca="1">SUM(M12:M17)</f>
        <v>4094994.4000000004</v>
      </c>
      <c r="N18" s="332">
        <f ca="1">SUM(N12:N17)</f>
        <v>5</v>
      </c>
      <c r="O18" s="332">
        <f ca="1">SUM(O12:O17)</f>
        <v>5.0114697070433794</v>
      </c>
      <c r="P18" s="331">
        <f ca="1">SUM(P12:P17)</f>
        <v>4085862</v>
      </c>
      <c r="Q18" s="467"/>
      <c r="R18" s="470"/>
      <c r="S18" s="470"/>
      <c r="T18" s="470"/>
      <c r="U18" s="470"/>
      <c r="V18" s="470"/>
      <c r="W18" s="467"/>
      <c r="X18" s="467"/>
    </row>
    <row r="19" spans="2:24" x14ac:dyDescent="0.2">
      <c r="B19" s="330"/>
      <c r="C19" s="321"/>
      <c r="D19" s="321"/>
      <c r="E19" s="321"/>
      <c r="F19" s="321"/>
      <c r="G19" s="321"/>
      <c r="H19" s="321"/>
      <c r="I19" s="321"/>
      <c r="J19" s="15"/>
      <c r="K19" s="308"/>
      <c r="L19" s="329"/>
      <c r="M19" s="329"/>
      <c r="N19" s="329"/>
      <c r="O19" s="329"/>
      <c r="P19" s="328"/>
      <c r="Q19" s="467"/>
      <c r="R19" s="470"/>
      <c r="S19" s="470"/>
      <c r="T19" s="470"/>
      <c r="U19" s="470"/>
      <c r="V19" s="470"/>
      <c r="W19" s="467"/>
      <c r="X19" s="467"/>
    </row>
    <row r="20" spans="2:24" x14ac:dyDescent="0.2">
      <c r="B20" s="323"/>
      <c r="C20" s="327"/>
      <c r="D20" s="327"/>
      <c r="E20" s="327"/>
      <c r="F20" s="327"/>
      <c r="G20" s="327"/>
      <c r="H20" s="327"/>
      <c r="I20" s="321"/>
      <c r="J20" s="15"/>
      <c r="K20" s="15"/>
      <c r="L20" s="15"/>
      <c r="M20" s="15"/>
      <c r="N20" s="15"/>
      <c r="O20" s="15"/>
      <c r="P20" s="299"/>
    </row>
    <row r="21" spans="2:24" ht="13.5" thickBot="1" x14ac:dyDescent="0.25">
      <c r="B21" s="323"/>
      <c r="C21" s="300"/>
      <c r="D21" s="321"/>
      <c r="E21" s="321"/>
      <c r="F21" s="321"/>
      <c r="G21" s="321"/>
      <c r="H21" s="321"/>
      <c r="I21" s="321"/>
      <c r="J21" s="15"/>
      <c r="K21" s="15"/>
      <c r="L21" s="15"/>
      <c r="M21" s="15"/>
      <c r="N21" s="15"/>
      <c r="O21" s="15"/>
      <c r="P21" s="299"/>
    </row>
    <row r="22" spans="2:24" x14ac:dyDescent="0.2">
      <c r="B22" s="323"/>
      <c r="C22" s="300"/>
      <c r="D22" s="321"/>
      <c r="E22" s="321"/>
      <c r="F22" s="321"/>
      <c r="G22" s="321"/>
      <c r="H22" s="321"/>
      <c r="I22" s="321"/>
      <c r="J22" s="15"/>
      <c r="K22" s="15"/>
      <c r="L22" s="314" t="s">
        <v>139</v>
      </c>
      <c r="M22" s="313" t="s">
        <v>138</v>
      </c>
      <c r="N22" s="326" t="s">
        <v>137</v>
      </c>
      <c r="O22" s="325" t="s">
        <v>136</v>
      </c>
      <c r="P22" s="324">
        <f ca="1">M18</f>
        <v>4094994.4000000004</v>
      </c>
    </row>
    <row r="23" spans="2:24" x14ac:dyDescent="0.2">
      <c r="B23" s="323"/>
      <c r="C23" s="300"/>
      <c r="D23" s="321"/>
      <c r="E23" s="321"/>
      <c r="F23" s="321"/>
      <c r="G23" s="321"/>
      <c r="H23" s="321"/>
      <c r="I23" s="321"/>
      <c r="J23" s="15"/>
      <c r="K23" s="15"/>
      <c r="L23" s="316">
        <f ca="1">M23/N23</f>
        <v>2.0589878125835972E-3</v>
      </c>
      <c r="M23" s="255">
        <f ca="1">SQRT(((1/(2*$L$18))+((N23-$P$26)^2/(2*($P$24-$P$25)))+(J12/COUNT(D12:H12)))/$P$29^2)</f>
        <v>1007.2990599507899</v>
      </c>
      <c r="N23" s="318">
        <f t="shared" ref="N23:N28" ca="1" si="9">IF(ISNUMBER(C12),(I12-$P$30)/$P$29,"")</f>
        <v>489220.50620923354</v>
      </c>
      <c r="O23" s="320" t="s">
        <v>135</v>
      </c>
      <c r="P23" s="311">
        <f ca="1">N18*O18/L18</f>
        <v>3740855.7036121497</v>
      </c>
    </row>
    <row r="24" spans="2:24" x14ac:dyDescent="0.2">
      <c r="B24" s="323"/>
      <c r="C24" s="322"/>
      <c r="D24" s="321"/>
      <c r="E24" s="321"/>
      <c r="F24" s="321"/>
      <c r="G24" s="321"/>
      <c r="H24" s="321"/>
      <c r="I24" s="321"/>
      <c r="J24" s="15"/>
      <c r="K24" s="15"/>
      <c r="L24" s="316">
        <f t="shared" ref="L24:L27" ca="1" si="10">M24/N24</f>
        <v>1.7521304600644032E-3</v>
      </c>
      <c r="M24" s="255">
        <f t="shared" ref="M24:M27" ca="1" si="11">SQRT(((1/(2*$L$18))+((N24-$P$26)^2/(2*($P$24-$P$25)))+(J13/COUNT(D13:H13)))/$P$29^2)</f>
        <v>1139.0859218711264</v>
      </c>
      <c r="N24" s="318">
        <f t="shared" ca="1" si="9"/>
        <v>650114.78758793848</v>
      </c>
      <c r="O24" s="320" t="s">
        <v>134</v>
      </c>
      <c r="P24" s="311">
        <f ca="1">P18</f>
        <v>4085862</v>
      </c>
    </row>
    <row r="25" spans="2:24" x14ac:dyDescent="0.2">
      <c r="B25" s="20"/>
      <c r="C25" s="15"/>
      <c r="D25" s="15"/>
      <c r="E25" s="15"/>
      <c r="F25" s="15"/>
      <c r="G25" s="15"/>
      <c r="H25" s="15"/>
      <c r="I25" s="15"/>
      <c r="J25" s="15"/>
      <c r="K25" s="15"/>
      <c r="L25" s="316">
        <f t="shared" ca="1" si="10"/>
        <v>2.8229918898601122E-3</v>
      </c>
      <c r="M25" s="255">
        <f t="shared" ca="1" si="11"/>
        <v>2302.4825176709642</v>
      </c>
      <c r="N25" s="318">
        <f t="shared" ca="1" si="9"/>
        <v>815617.82941751881</v>
      </c>
      <c r="O25" s="320" t="s">
        <v>133</v>
      </c>
      <c r="P25" s="311">
        <f ca="1">N18^2/L18</f>
        <v>3732294.0397649789</v>
      </c>
    </row>
    <row r="26" spans="2:24" x14ac:dyDescent="0.2">
      <c r="B26" s="20"/>
      <c r="C26" s="15"/>
      <c r="D26" s="15"/>
      <c r="E26" s="15"/>
      <c r="F26" s="15"/>
      <c r="G26" s="15"/>
      <c r="H26" s="15"/>
      <c r="I26" s="15"/>
      <c r="J26" s="15"/>
      <c r="K26" s="15"/>
      <c r="L26" s="316">
        <f t="shared" ca="1" si="10"/>
        <v>1.6160809696925999E-3</v>
      </c>
      <c r="M26" s="255">
        <f t="shared" ca="1" si="11"/>
        <v>1586.5811279531515</v>
      </c>
      <c r="N26" s="318">
        <f t="shared" ca="1" si="9"/>
        <v>981746.06205216341</v>
      </c>
      <c r="O26" s="319" t="s">
        <v>132</v>
      </c>
      <c r="P26" s="311">
        <f ca="1">N18/L18</f>
        <v>746458.80795299576</v>
      </c>
    </row>
    <row r="27" spans="2:24" ht="13.5" thickBot="1" x14ac:dyDescent="0.25">
      <c r="B27" s="20"/>
      <c r="C27" s="15"/>
      <c r="D27" s="15"/>
      <c r="E27" s="15"/>
      <c r="F27" s="15"/>
      <c r="G27" s="15"/>
      <c r="H27" s="15"/>
      <c r="I27" s="15"/>
      <c r="J27" s="15"/>
      <c r="K27" s="15"/>
      <c r="L27" s="316">
        <f t="shared" ca="1" si="10"/>
        <v>2.2290674792335482E-3</v>
      </c>
      <c r="M27" s="255">
        <f t="shared" ca="1" si="11"/>
        <v>2561.5614586661404</v>
      </c>
      <c r="N27" s="318">
        <f t="shared" ca="1" si="9"/>
        <v>1149162.8147331451</v>
      </c>
      <c r="O27" s="317" t="s">
        <v>131</v>
      </c>
      <c r="P27" s="309">
        <f ca="1">O18/L18</f>
        <v>748171.14072242996</v>
      </c>
      <c r="R27" s="294"/>
    </row>
    <row r="28" spans="2:24" ht="13.5" thickBot="1" x14ac:dyDescent="0.25">
      <c r="B28" s="20"/>
      <c r="C28" s="15"/>
      <c r="D28" s="15"/>
      <c r="E28" s="15"/>
      <c r="F28" s="15"/>
      <c r="G28" s="15"/>
      <c r="H28" s="15"/>
      <c r="I28" s="15"/>
      <c r="J28" s="15"/>
      <c r="K28" s="15"/>
      <c r="L28" s="316"/>
      <c r="M28" s="255"/>
      <c r="N28" s="315" t="str">
        <f t="shared" si="9"/>
        <v/>
      </c>
      <c r="O28" s="637" t="s">
        <v>130</v>
      </c>
      <c r="P28" s="638"/>
    </row>
    <row r="29" spans="2:24" x14ac:dyDescent="0.2">
      <c r="B29" s="20"/>
      <c r="C29" s="15"/>
      <c r="D29" s="15"/>
      <c r="E29" s="15"/>
      <c r="F29" s="15"/>
      <c r="G29" s="15"/>
      <c r="H29" s="15"/>
      <c r="I29" s="15"/>
      <c r="J29" s="15"/>
      <c r="K29" s="15"/>
      <c r="L29" s="314" t="s">
        <v>129</v>
      </c>
      <c r="M29" s="313" t="s">
        <v>128</v>
      </c>
      <c r="N29" s="3"/>
      <c r="O29" s="312" t="s">
        <v>127</v>
      </c>
      <c r="P29" s="436">
        <f ca="1">(P22-P23)/(P24-P25)</f>
        <v>1.0016142190951076</v>
      </c>
    </row>
    <row r="30" spans="2:24" ht="13.5" thickBot="1" x14ac:dyDescent="0.25">
      <c r="B30" s="20"/>
      <c r="C30" s="15"/>
      <c r="D30" s="15"/>
      <c r="E30" s="15"/>
      <c r="F30" s="15"/>
      <c r="G30" s="15"/>
      <c r="H30" s="15"/>
      <c r="I30" s="15"/>
      <c r="J30" s="15"/>
      <c r="K30" s="15"/>
      <c r="L30" s="307">
        <f t="shared" ref="L30:L34" ca="1" si="12">N23-L23*N23</f>
        <v>488213.20714928274</v>
      </c>
      <c r="M30" s="306">
        <f ca="1">N23+L23*N23</f>
        <v>490227.80526918435</v>
      </c>
      <c r="N30" s="300"/>
      <c r="O30" s="310" t="s">
        <v>126</v>
      </c>
      <c r="P30" s="437">
        <f ca="1">O18/L18-P29*N18/L18</f>
        <v>507.38470792525914</v>
      </c>
    </row>
    <row r="31" spans="2:24" x14ac:dyDescent="0.2">
      <c r="B31" s="20"/>
      <c r="C31" s="15"/>
      <c r="D31" s="15"/>
      <c r="E31" s="15"/>
      <c r="F31" s="15"/>
      <c r="G31" s="15"/>
      <c r="H31" s="15"/>
      <c r="I31" s="15"/>
      <c r="J31" s="15"/>
      <c r="K31" s="15"/>
      <c r="L31" s="307">
        <f t="shared" ca="1" si="12"/>
        <v>648975.70166606735</v>
      </c>
      <c r="M31" s="306">
        <f t="shared" ref="M31:M34" ca="1" si="13">N24+L24*N24</f>
        <v>651253.87350980961</v>
      </c>
      <c r="N31" s="300"/>
      <c r="O31" s="3"/>
      <c r="P31" s="50"/>
    </row>
    <row r="32" spans="2:24" x14ac:dyDescent="0.2">
      <c r="B32" s="20"/>
      <c r="C32" s="15"/>
      <c r="D32" s="15"/>
      <c r="E32" s="15"/>
      <c r="F32" s="15"/>
      <c r="G32" s="15"/>
      <c r="H32" s="15"/>
      <c r="I32" s="15"/>
      <c r="J32" s="15"/>
      <c r="K32" s="15"/>
      <c r="L32" s="307">
        <f t="shared" ca="1" si="12"/>
        <v>813315.34689984785</v>
      </c>
      <c r="M32" s="306">
        <f t="shared" ca="1" si="13"/>
        <v>817920.31193518976</v>
      </c>
      <c r="N32" s="3"/>
      <c r="O32" s="308"/>
      <c r="P32" s="299"/>
    </row>
    <row r="33" spans="2:18" x14ac:dyDescent="0.2">
      <c r="B33" s="20"/>
      <c r="C33" s="15"/>
      <c r="D33" s="15"/>
      <c r="E33" s="15"/>
      <c r="F33" s="15"/>
      <c r="G33" s="15"/>
      <c r="H33" s="15"/>
      <c r="I33" s="15"/>
      <c r="J33" s="15"/>
      <c r="K33" s="15"/>
      <c r="L33" s="307">
        <f t="shared" ca="1" si="12"/>
        <v>980159.48092421028</v>
      </c>
      <c r="M33" s="306">
        <f t="shared" ca="1" si="13"/>
        <v>983332.64318011655</v>
      </c>
      <c r="N33" s="300"/>
      <c r="O33" s="15"/>
      <c r="P33" s="299"/>
    </row>
    <row r="34" spans="2:18" x14ac:dyDescent="0.2">
      <c r="B34" s="20"/>
      <c r="C34" s="15"/>
      <c r="D34" s="15"/>
      <c r="E34" s="15"/>
      <c r="F34" s="15"/>
      <c r="G34" s="15"/>
      <c r="H34" s="15"/>
      <c r="I34" s="15"/>
      <c r="J34" s="15"/>
      <c r="K34" s="15"/>
      <c r="L34" s="307">
        <f t="shared" ca="1" si="12"/>
        <v>1146601.2532744789</v>
      </c>
      <c r="M34" s="306">
        <f t="shared" ca="1" si="13"/>
        <v>1151724.3761918112</v>
      </c>
      <c r="N34" s="300"/>
      <c r="O34" s="305"/>
      <c r="P34" s="299"/>
    </row>
    <row r="35" spans="2:18" ht="13.5" thickBot="1" x14ac:dyDescent="0.25">
      <c r="B35" s="20"/>
      <c r="C35" s="15"/>
      <c r="D35" s="15"/>
      <c r="E35" s="15"/>
      <c r="F35" s="15"/>
      <c r="G35" s="15"/>
      <c r="H35" s="15"/>
      <c r="I35" s="15"/>
      <c r="J35" s="15"/>
      <c r="K35" s="15"/>
      <c r="L35" s="304"/>
      <c r="M35" s="303"/>
      <c r="N35" s="300"/>
      <c r="O35" s="15"/>
      <c r="P35" s="302"/>
      <c r="R35" s="293"/>
    </row>
    <row r="36" spans="2:18" x14ac:dyDescent="0.2">
      <c r="B36" s="20"/>
      <c r="C36" s="15"/>
      <c r="D36" s="15"/>
      <c r="E36" s="15"/>
      <c r="F36" s="15"/>
      <c r="G36" s="15"/>
      <c r="H36" s="15"/>
      <c r="I36" s="15"/>
      <c r="J36" s="15"/>
      <c r="K36" s="15"/>
      <c r="L36" s="3"/>
      <c r="M36" s="3"/>
      <c r="N36" s="300"/>
      <c r="O36" s="15"/>
      <c r="P36" s="302"/>
    </row>
    <row r="37" spans="2:18" x14ac:dyDescent="0.2">
      <c r="B37" s="20"/>
      <c r="C37" s="15"/>
      <c r="D37" s="15"/>
      <c r="E37" s="15"/>
      <c r="F37" s="15"/>
      <c r="G37" s="15"/>
      <c r="H37" s="15"/>
      <c r="I37" s="15"/>
      <c r="J37" s="15"/>
      <c r="K37" s="15"/>
      <c r="L37" s="301"/>
      <c r="M37" s="301"/>
      <c r="N37" s="300"/>
      <c r="O37" s="15"/>
      <c r="P37" s="299"/>
    </row>
    <row r="38" spans="2:18" x14ac:dyDescent="0.2">
      <c r="B38" s="20"/>
      <c r="C38" s="15"/>
      <c r="D38" s="15"/>
      <c r="E38" s="15"/>
      <c r="F38" s="15"/>
      <c r="G38" s="15"/>
      <c r="H38" s="15"/>
      <c r="I38" s="15"/>
      <c r="J38" s="15"/>
      <c r="K38" s="15"/>
      <c r="L38" s="301"/>
      <c r="M38" s="301"/>
      <c r="N38" s="300"/>
      <c r="O38" s="15"/>
      <c r="P38" s="299"/>
    </row>
    <row r="39" spans="2:18" ht="13.5" thickBot="1" x14ac:dyDescent="0.25">
      <c r="B39" s="298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297"/>
    </row>
    <row r="40" spans="2:18" ht="13.5" thickBot="1" x14ac:dyDescent="0.25"/>
    <row r="41" spans="2:18" x14ac:dyDescent="0.2">
      <c r="B41" s="279" t="s">
        <v>115</v>
      </c>
      <c r="C41" s="181"/>
      <c r="D41" s="181"/>
      <c r="E41" s="181"/>
      <c r="F41" s="180"/>
    </row>
    <row r="42" spans="2:18" x14ac:dyDescent="0.2">
      <c r="B42" s="275" t="s">
        <v>125</v>
      </c>
      <c r="C42" s="295">
        <v>5.8</v>
      </c>
      <c r="D42" s="295">
        <v>5.9</v>
      </c>
      <c r="E42" s="295">
        <v>5.7</v>
      </c>
      <c r="F42" s="175"/>
      <c r="K42" s="143"/>
      <c r="L42" s="294"/>
    </row>
    <row r="43" spans="2:18" x14ac:dyDescent="0.2">
      <c r="B43" s="275" t="s">
        <v>111</v>
      </c>
      <c r="C43" s="438">
        <f>AVERAGE(C42:E42)</f>
        <v>5.8</v>
      </c>
      <c r="D43" s="4"/>
      <c r="E43" s="4"/>
      <c r="F43" s="175"/>
    </row>
    <row r="44" spans="2:18" x14ac:dyDescent="0.2">
      <c r="B44" s="275" t="s">
        <v>110</v>
      </c>
      <c r="C44" s="255">
        <f ca="1">(C43-P30)/P29</f>
        <v>-500.77634518648091</v>
      </c>
      <c r="D44" s="4"/>
      <c r="E44" s="639" t="s">
        <v>124</v>
      </c>
      <c r="F44" s="640"/>
      <c r="K44" s="143"/>
    </row>
    <row r="45" spans="2:18" x14ac:dyDescent="0.2">
      <c r="B45" s="275" t="s">
        <v>123</v>
      </c>
      <c r="C45" s="255">
        <f ca="1">SQRT((1/(2*$L$18)+(C44-$P$26)^2/(2*($P$24-$P$25))+VAR(C42:E42)/COUNT(C42:E42))/P29^2)</f>
        <v>927.84174350849514</v>
      </c>
      <c r="D45" s="4"/>
      <c r="E45" s="255">
        <f ca="1">C44-TINV(0.025,COUNT(D12:H17)-2)*C45</f>
        <v>-2725.6249258934781</v>
      </c>
      <c r="F45" s="422">
        <f ca="1">C44+TINV(0.025,COUNT(D12:H17)-2)*C45</f>
        <v>1724.0722355205164</v>
      </c>
    </row>
    <row r="46" spans="2:18" x14ac:dyDescent="0.2">
      <c r="B46" s="275" t="s">
        <v>108</v>
      </c>
      <c r="C46" s="274">
        <f ca="1">C45/C44</f>
        <v>-1.8528066519655237</v>
      </c>
      <c r="D46" s="4"/>
      <c r="E46" s="4"/>
      <c r="F46" s="175"/>
    </row>
    <row r="47" spans="2:18" ht="13.5" thickBot="1" x14ac:dyDescent="0.25">
      <c r="B47" s="273"/>
      <c r="C47" s="272"/>
      <c r="D47" s="272"/>
      <c r="E47" s="272"/>
      <c r="F47" s="271"/>
    </row>
  </sheetData>
  <protectedRanges>
    <protectedRange sqref="C3:C4" name="Plage1_2_2"/>
    <protectedRange sqref="L3:L4" name="Plage1_2_3"/>
  </protectedRanges>
  <mergeCells count="5">
    <mergeCell ref="B2:P2"/>
    <mergeCell ref="C10:K10"/>
    <mergeCell ref="L10:P10"/>
    <mergeCell ref="O28:P28"/>
    <mergeCell ref="E44:F44"/>
  </mergeCells>
  <dataValidations count="1">
    <dataValidation type="list" allowBlank="1" showInputMessage="1" showErrorMessage="1" sqref="L11" xr:uid="{00000000-0002-0000-0600-000000000000}">
      <formula1>$Q$6:$Q$8</formula1>
    </dataValidation>
  </dataValidations>
  <pageMargins left="0.78740157499999996" right="0.78740157499999996" top="0.984251969" bottom="0.984251969" header="0.4921259845" footer="0.4921259845"/>
  <pageSetup paperSize="9" scale="2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5</vt:i4>
      </vt:variant>
      <vt:variant>
        <vt:lpstr>Plages nommées</vt:lpstr>
      </vt:variant>
      <vt:variant>
        <vt:i4>4</vt:i4>
      </vt:variant>
    </vt:vector>
  </HeadingPairs>
  <TitlesOfParts>
    <vt:vector size="9" baseType="lpstr">
      <vt:lpstr>test de dilution</vt:lpstr>
      <vt:lpstr>test d'interférence</vt:lpstr>
      <vt:lpstr>moindres carrés</vt:lpstr>
      <vt:lpstr>moindres rectangles</vt:lpstr>
      <vt:lpstr>pondéré</vt:lpstr>
      <vt:lpstr>'moindres carrés'!Zone_d_impression</vt:lpstr>
      <vt:lpstr>'moindres rectangles'!Zone_d_impression</vt:lpstr>
      <vt:lpstr>'test de dilution'!Zone_d_impression</vt:lpstr>
      <vt:lpstr>'test d''interférence'!Zone_d_impression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2025-11-18T08:45:32Z</dcterms:modified>
</cp:coreProperties>
</file>