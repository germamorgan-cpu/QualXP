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FC2A53BC-DE8B-425B-BF27-93DBF630C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C4" i="1"/>
  <c r="J12" i="1" l="1"/>
  <c r="H11" i="1"/>
  <c r="E11" i="1"/>
  <c r="J11" i="1"/>
  <c r="I12" i="1" s="1"/>
  <c r="G11" i="1"/>
  <c r="J10" i="1"/>
  <c r="F10" i="1"/>
  <c r="I11" i="1"/>
  <c r="F12" i="1"/>
  <c r="H10" i="1"/>
  <c r="H12" i="1"/>
  <c r="F11" i="1"/>
  <c r="E12" i="1" s="1"/>
  <c r="D11" i="1"/>
  <c r="C11" i="1"/>
  <c r="D12" i="1"/>
  <c r="D10" i="1"/>
  <c r="G12" i="1"/>
  <c r="B12" i="1"/>
  <c r="B11" i="1"/>
  <c r="B10" i="1"/>
  <c r="C13" i="1" l="1"/>
  <c r="C14" i="1" s="1"/>
  <c r="I13" i="1"/>
  <c r="I14" i="1" s="1"/>
  <c r="G13" i="1"/>
  <c r="G14" i="1" s="1"/>
  <c r="E13" i="1"/>
  <c r="E14" i="1" s="1"/>
</calcChain>
</file>

<file path=xl/sharedStrings.xml><?xml version="1.0" encoding="utf-8"?>
<sst xmlns="http://schemas.openxmlformats.org/spreadsheetml/2006/main" count="15" uniqueCount="15">
  <si>
    <t>classe 1</t>
  </si>
  <si>
    <t>classe 2</t>
  </si>
  <si>
    <t>m (mg)</t>
  </si>
  <si>
    <t>e (mg)</t>
  </si>
  <si>
    <t>EMT</t>
  </si>
  <si>
    <t>&gt;</t>
  </si>
  <si>
    <t>Choisir l'EMT selon la classe de la balance</t>
  </si>
  <si>
    <t>Calcul de l'EMT selon méthode réglementaire EN45501</t>
  </si>
  <si>
    <t>classe 3</t>
  </si>
  <si>
    <t>tunnel de vérification pour balance</t>
  </si>
  <si>
    <t>classe 4</t>
  </si>
  <si>
    <t>m (g)</t>
  </si>
  <si>
    <t>e (g)</t>
  </si>
  <si>
    <t>EMT (mg)</t>
  </si>
  <si>
    <t>EMT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</si>
</sst>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1" applyFont="1"/>
    <xf numFmtId="0" fontId="2" fillId="0" borderId="1" xfId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3" borderId="1" xfId="1" applyFill="1" applyBorder="1" applyAlignment="1">
      <alignment horizontal="center"/>
    </xf>
    <xf numFmtId="0" fontId="2" fillId="2" borderId="1" xfId="1" applyNumberForma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1" applyNumberFormat="1" applyFill="1" applyBorder="1" applyAlignment="1">
      <alignment horizontal="center"/>
    </xf>
    <xf numFmtId="164" fontId="2" fillId="4" borderId="1" xfId="1" applyNumberFormat="1" applyFill="1" applyBorder="1" applyAlignment="1">
      <alignment horizontal="center"/>
    </xf>
    <xf numFmtId="164" fontId="2" fillId="0" borderId="2" xfId="1" applyNumberFormat="1" applyBorder="1" applyAlignment="1">
      <alignment horizontal="center"/>
    </xf>
    <xf numFmtId="164" fontId="2" fillId="0" borderId="1" xfId="1" applyNumberFormat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3" borderId="1" xfId="1" applyFill="1" applyBorder="1" applyAlignment="1">
      <alignment horizontal="center"/>
    </xf>
    <xf numFmtId="0" fontId="2" fillId="5" borderId="1" xfId="1" applyFill="1" applyBorder="1" applyAlignment="1">
      <alignment horizontal="center"/>
    </xf>
    <xf numFmtId="0" fontId="2" fillId="5" borderId="1" xfId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showGridLines="0" tabSelected="1" zoomScaleNormal="100" workbookViewId="0">
      <selection activeCell="I21" sqref="I21"/>
    </sheetView>
  </sheetViews>
  <sheetFormatPr baseColWidth="10" defaultRowHeight="15" x14ac:dyDescent="0.25"/>
  <cols>
    <col min="5" max="5" width="11.85546875" customWidth="1"/>
  </cols>
  <sheetData>
    <row r="1" spans="2:10" x14ac:dyDescent="0.25">
      <c r="B1" s="2"/>
      <c r="C1" s="2"/>
      <c r="D1" s="2"/>
    </row>
    <row r="2" spans="2:10" x14ac:dyDescent="0.25">
      <c r="B2" s="3" t="s">
        <v>7</v>
      </c>
      <c r="C2" s="2"/>
      <c r="D2" s="2"/>
    </row>
    <row r="3" spans="2:10" x14ac:dyDescent="0.25">
      <c r="B3" s="9" t="s">
        <v>11</v>
      </c>
      <c r="C3" s="7">
        <v>200</v>
      </c>
      <c r="D3" s="2"/>
    </row>
    <row r="4" spans="2:10" x14ac:dyDescent="0.25">
      <c r="B4" s="4" t="s">
        <v>2</v>
      </c>
      <c r="C4" s="11">
        <f>C3*1000</f>
        <v>200000</v>
      </c>
      <c r="D4" s="2"/>
    </row>
    <row r="5" spans="2:10" x14ac:dyDescent="0.25">
      <c r="B5" s="8" t="s">
        <v>12</v>
      </c>
      <c r="C5" s="7">
        <v>1E-3</v>
      </c>
      <c r="D5" s="2"/>
    </row>
    <row r="6" spans="2:10" x14ac:dyDescent="0.25">
      <c r="B6" s="4" t="s">
        <v>3</v>
      </c>
      <c r="C6" s="10">
        <f>C5*1000</f>
        <v>1</v>
      </c>
      <c r="D6" s="2"/>
    </row>
    <row r="7" spans="2:10" x14ac:dyDescent="0.25">
      <c r="B7" s="1" t="s">
        <v>6</v>
      </c>
    </row>
    <row r="8" spans="2:10" x14ac:dyDescent="0.25">
      <c r="B8" s="14" t="s">
        <v>9</v>
      </c>
      <c r="C8" s="14"/>
      <c r="D8" s="14"/>
      <c r="E8" s="14"/>
      <c r="F8" s="14"/>
      <c r="G8" s="14"/>
      <c r="H8" s="14"/>
      <c r="I8" s="14"/>
      <c r="J8" s="14"/>
    </row>
    <row r="9" spans="2:10" x14ac:dyDescent="0.25">
      <c r="B9" s="6" t="s">
        <v>4</v>
      </c>
      <c r="C9" s="15" t="s">
        <v>0</v>
      </c>
      <c r="D9" s="15"/>
      <c r="E9" s="15" t="s">
        <v>1</v>
      </c>
      <c r="F9" s="15"/>
      <c r="G9" s="15" t="s">
        <v>8</v>
      </c>
      <c r="H9" s="15"/>
      <c r="I9" s="15" t="s">
        <v>10</v>
      </c>
      <c r="J9" s="15"/>
    </row>
    <row r="10" spans="2:10" x14ac:dyDescent="0.25">
      <c r="B10" s="5">
        <f>1*C6</f>
        <v>1</v>
      </c>
      <c r="C10" s="12">
        <v>0</v>
      </c>
      <c r="D10" s="12">
        <f>50000*$C$6</f>
        <v>50000</v>
      </c>
      <c r="E10" s="12">
        <v>0</v>
      </c>
      <c r="F10" s="12">
        <f>5000*$C$6</f>
        <v>5000</v>
      </c>
      <c r="G10" s="12">
        <v>0</v>
      </c>
      <c r="H10" s="12">
        <f>500*$C$6</f>
        <v>500</v>
      </c>
      <c r="I10" s="12">
        <v>0</v>
      </c>
      <c r="J10" s="12">
        <f>50*$C$6</f>
        <v>50</v>
      </c>
    </row>
    <row r="11" spans="2:10" x14ac:dyDescent="0.25">
      <c r="B11" s="4">
        <f>2*C6</f>
        <v>2</v>
      </c>
      <c r="C11" s="13">
        <f>50000*$C$6</f>
        <v>50000</v>
      </c>
      <c r="D11" s="13">
        <f>200000*$C$6</f>
        <v>200000</v>
      </c>
      <c r="E11" s="13">
        <f>5000*$C$6</f>
        <v>5000</v>
      </c>
      <c r="F11" s="13">
        <f>20000*$C$6</f>
        <v>20000</v>
      </c>
      <c r="G11" s="13">
        <f>500*$C$6</f>
        <v>500</v>
      </c>
      <c r="H11" s="13">
        <f>2000*$C$6</f>
        <v>2000</v>
      </c>
      <c r="I11" s="13">
        <f>50*$C$6</f>
        <v>50</v>
      </c>
      <c r="J11" s="13">
        <f>200*$C$6</f>
        <v>200</v>
      </c>
    </row>
    <row r="12" spans="2:10" x14ac:dyDescent="0.25">
      <c r="B12" s="4">
        <f>3*C6</f>
        <v>3</v>
      </c>
      <c r="C12" s="13" t="s">
        <v>5</v>
      </c>
      <c r="D12" s="13">
        <f>200000*$C$6</f>
        <v>200000</v>
      </c>
      <c r="E12" s="13">
        <f>F11</f>
        <v>20000</v>
      </c>
      <c r="F12" s="13">
        <f>100000*$C$6</f>
        <v>100000</v>
      </c>
      <c r="G12" s="13">
        <f>H11</f>
        <v>2000</v>
      </c>
      <c r="H12" s="13">
        <f>10000*$C$6</f>
        <v>10000</v>
      </c>
      <c r="I12" s="13">
        <f>J11</f>
        <v>200</v>
      </c>
      <c r="J12" s="13">
        <f>1000*$C$6</f>
        <v>1000</v>
      </c>
    </row>
    <row r="13" spans="2:10" x14ac:dyDescent="0.25">
      <c r="B13" s="16" t="s">
        <v>13</v>
      </c>
      <c r="C13" s="17">
        <f>IF($C$4&lt;=D10,B10,IF($C$4&lt;=D11,B11,IF($C$4&gt;D11,B12)))</f>
        <v>2</v>
      </c>
      <c r="D13" s="17"/>
      <c r="E13" s="17">
        <f>IF($C$4&lt;=F10,B10,IF($C$4&lt;=F11,B11,IF($C$4&gt;F11,B12)))</f>
        <v>3</v>
      </c>
      <c r="F13" s="17"/>
      <c r="G13" s="17">
        <f>IF($C$4&lt;=H10,B10,IF($C$4&lt;=H11,B11,IF($C$4&gt;H11,B12)))</f>
        <v>3</v>
      </c>
      <c r="H13" s="17"/>
      <c r="I13" s="17">
        <f>IF($C$4&lt;=J10,B10,IF($C$4&lt;=J11,B11,IF($C$4&gt;J11,B12)))</f>
        <v>3</v>
      </c>
      <c r="J13" s="17"/>
    </row>
    <row r="14" spans="2:10" x14ac:dyDescent="0.25">
      <c r="B14" s="16" t="s">
        <v>14</v>
      </c>
      <c r="C14" s="17">
        <f>C13/1000</f>
        <v>2E-3</v>
      </c>
      <c r="D14" s="17"/>
      <c r="E14" s="17">
        <f>E13/1000</f>
        <v>3.0000000000000001E-3</v>
      </c>
      <c r="F14" s="17"/>
      <c r="G14" s="17">
        <f t="shared" ref="G14" si="0">G13/1000</f>
        <v>3.0000000000000001E-3</v>
      </c>
      <c r="H14" s="17"/>
      <c r="I14" s="17">
        <f t="shared" ref="I14" si="1">I13/1000</f>
        <v>3.0000000000000001E-3</v>
      </c>
      <c r="J14" s="17"/>
    </row>
  </sheetData>
  <mergeCells count="13">
    <mergeCell ref="C14:D14"/>
    <mergeCell ref="E14:F14"/>
    <mergeCell ref="G14:H14"/>
    <mergeCell ref="I14:J14"/>
    <mergeCell ref="G9:H9"/>
    <mergeCell ref="G13:H13"/>
    <mergeCell ref="I9:J9"/>
    <mergeCell ref="I13:J13"/>
    <mergeCell ref="B8:J8"/>
    <mergeCell ref="C9:D9"/>
    <mergeCell ref="E9:F9"/>
    <mergeCell ref="C13:D13"/>
    <mergeCell ref="E13:F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2014-06-06T08:16:29Z</dcterms:created>
  <dcterms:modified xsi:type="dcterms:W3CDTF">2025-11-17T11:07:43Z</dcterms:modified>
</cp:coreProperties>
</file>