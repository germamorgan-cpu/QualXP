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ml.chartshapes+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32"/>
  <workbookPr/>
  <mc:AlternateContent xmlns:mc="http://schemas.openxmlformats.org/markup-compatibility/2006">
    <mc:Choice Requires="x15">
      <x15ac:absPath xmlns:x15ac="http://schemas.microsoft.com/office/spreadsheetml/2010/11/ac" url="C:\Users\morgan gc\Desktop\EmVisage\Morgan\Statistique\Excel\Excel pro\"/>
    </mc:Choice>
  </mc:AlternateContent>
  <xr:revisionPtr revIDLastSave="0" documentId="13_ncr:1_{73CF90BF-A2FD-481A-A093-9A2775FC3352}" xr6:coauthVersionLast="47" xr6:coauthVersionMax="47" xr10:uidLastSave="{00000000-0000-0000-0000-000000000000}"/>
  <bookViews>
    <workbookView xWindow="-120" yWindow="-120" windowWidth="29040" windowHeight="15720" xr2:uid="{00000000-000D-0000-FFFF-FFFF00000000}"/>
  </bookViews>
  <sheets>
    <sheet name="Attribut bayesienne " sheetId="1" r:id="rId1"/>
    <sheet name="Variable bayesienne" sheetId="3"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B20" i="1" l="1"/>
  <c r="J20" i="1"/>
  <c r="I20" i="1"/>
  <c r="H20" i="1"/>
  <c r="G20" i="1"/>
  <c r="B29" i="1" l="1"/>
  <c r="B22" i="1"/>
  <c r="B119" i="1"/>
  <c r="B118" i="1"/>
  <c r="B21" i="1"/>
  <c r="B23" i="1"/>
  <c r="B24" i="1"/>
  <c r="B25" i="1"/>
  <c r="B26" i="1"/>
  <c r="B27" i="1"/>
  <c r="B28" i="1"/>
  <c r="B30" i="1"/>
  <c r="B31" i="1"/>
  <c r="B32" i="1"/>
  <c r="B33" i="1"/>
  <c r="B34" i="1"/>
  <c r="B35" i="1"/>
  <c r="B36" i="1"/>
  <c r="B37" i="1"/>
  <c r="B38" i="1"/>
  <c r="B39" i="1"/>
  <c r="B40" i="1"/>
  <c r="B41" i="1"/>
  <c r="B42" i="1"/>
  <c r="B43" i="1"/>
  <c r="B44" i="1"/>
  <c r="B45" i="1"/>
  <c r="B46" i="1"/>
  <c r="B47" i="1"/>
  <c r="B48" i="1"/>
  <c r="B49" i="1"/>
  <c r="B50" i="1"/>
  <c r="B51" i="1"/>
  <c r="B52" i="1"/>
  <c r="B53" i="1"/>
  <c r="B54" i="1"/>
  <c r="B55" i="1"/>
  <c r="B56" i="1"/>
  <c r="B57" i="1"/>
  <c r="B58" i="1"/>
  <c r="B59" i="1"/>
  <c r="B60" i="1"/>
  <c r="B61" i="1"/>
  <c r="B62" i="1"/>
  <c r="B63" i="1"/>
  <c r="B64" i="1"/>
  <c r="B65" i="1"/>
  <c r="B66" i="1"/>
  <c r="B67" i="1"/>
  <c r="B68" i="1"/>
  <c r="B69" i="1"/>
  <c r="B70" i="1"/>
  <c r="B71" i="1"/>
  <c r="B72" i="1"/>
  <c r="B73" i="1"/>
  <c r="B74" i="1"/>
  <c r="B75" i="1"/>
  <c r="B76" i="1"/>
  <c r="B77" i="1"/>
  <c r="B78" i="1"/>
  <c r="B79" i="1"/>
  <c r="B80" i="1"/>
  <c r="B81" i="1"/>
  <c r="B82" i="1"/>
  <c r="B83" i="1"/>
  <c r="B84" i="1"/>
  <c r="B85" i="1"/>
  <c r="B86" i="1"/>
  <c r="B87" i="1"/>
  <c r="B88" i="1"/>
  <c r="B89" i="1"/>
  <c r="B90" i="1"/>
  <c r="B91" i="1"/>
  <c r="B92" i="1"/>
  <c r="B93" i="1"/>
  <c r="B94" i="1"/>
  <c r="B95" i="1"/>
  <c r="B96" i="1"/>
  <c r="B97" i="1"/>
  <c r="B98" i="1"/>
  <c r="B99" i="1"/>
  <c r="B100" i="1"/>
  <c r="B101" i="1"/>
  <c r="B102" i="1"/>
  <c r="B103" i="1"/>
  <c r="B104" i="1"/>
  <c r="B105" i="1"/>
  <c r="B106" i="1"/>
  <c r="B107" i="1"/>
  <c r="B108" i="1"/>
  <c r="B109" i="1"/>
  <c r="B110" i="1"/>
  <c r="B111" i="1"/>
  <c r="B112" i="1"/>
  <c r="B113" i="1"/>
  <c r="B114" i="1"/>
  <c r="B115" i="1"/>
  <c r="B116" i="1"/>
  <c r="B117" i="1"/>
  <c r="F23" i="1"/>
  <c r="F33" i="1"/>
  <c r="D5" i="3"/>
  <c r="C12" i="3"/>
  <c r="F12" i="3" s="1"/>
  <c r="C13" i="3"/>
  <c r="AD13" i="3"/>
  <c r="AD14" i="3" s="1"/>
  <c r="AD15" i="3" s="1"/>
  <c r="AD16" i="3" s="1"/>
  <c r="AD17" i="3" s="1"/>
  <c r="AD18" i="3" s="1"/>
  <c r="AD19" i="3" s="1"/>
  <c r="AD20" i="3" s="1"/>
  <c r="AD21" i="3" s="1"/>
  <c r="AD22" i="3" s="1"/>
  <c r="AD23" i="3" s="1"/>
  <c r="AD24" i="3" s="1"/>
  <c r="AD25" i="3" s="1"/>
  <c r="AD26" i="3" s="1"/>
  <c r="AD27" i="3" s="1"/>
  <c r="AD28" i="3" s="1"/>
  <c r="AE13" i="3"/>
  <c r="AF13" i="3"/>
  <c r="AG13" i="3"/>
  <c r="AH13" i="3"/>
  <c r="AH14" i="3" s="1"/>
  <c r="AH15" i="3" s="1"/>
  <c r="AH16" i="3" s="1"/>
  <c r="AH17" i="3" s="1"/>
  <c r="AH18" i="3" s="1"/>
  <c r="AH19" i="3" s="1"/>
  <c r="AH20" i="3" s="1"/>
  <c r="AH21" i="3" s="1"/>
  <c r="AH22" i="3" s="1"/>
  <c r="AH23" i="3" s="1"/>
  <c r="AH24" i="3" s="1"/>
  <c r="AH25" i="3" s="1"/>
  <c r="AH26" i="3" s="1"/>
  <c r="AH27" i="3" s="1"/>
  <c r="AH28" i="3" s="1"/>
  <c r="AI13" i="3"/>
  <c r="C14" i="3"/>
  <c r="F14" i="3" s="1"/>
  <c r="G14" i="3" s="1"/>
  <c r="AE14" i="3"/>
  <c r="AE15" i="3" s="1"/>
  <c r="AE16" i="3" s="1"/>
  <c r="AE17" i="3" s="1"/>
  <c r="AE18" i="3" s="1"/>
  <c r="AE19" i="3" s="1"/>
  <c r="AE20" i="3" s="1"/>
  <c r="AE21" i="3" s="1"/>
  <c r="AE22" i="3" s="1"/>
  <c r="AE23" i="3" s="1"/>
  <c r="AF14" i="3"/>
  <c r="AG14" i="3" s="1"/>
  <c r="AI14" i="3"/>
  <c r="AI15" i="3" s="1"/>
  <c r="AI16" i="3" s="1"/>
  <c r="AI17" i="3" s="1"/>
  <c r="AI18" i="3" s="1"/>
  <c r="AI19" i="3" s="1"/>
  <c r="AI20" i="3" s="1"/>
  <c r="AI21" i="3" s="1"/>
  <c r="AI22" i="3" s="1"/>
  <c r="AI23" i="3" s="1"/>
  <c r="AI24" i="3" s="1"/>
  <c r="AI25" i="3" s="1"/>
  <c r="AI26" i="3" s="1"/>
  <c r="AI27" i="3" s="1"/>
  <c r="AI28" i="3" s="1"/>
  <c r="AI29" i="3" s="1"/>
  <c r="AI30" i="3" s="1"/>
  <c r="AI31" i="3" s="1"/>
  <c r="AI32" i="3" s="1"/>
  <c r="AI33" i="3" s="1"/>
  <c r="AI34" i="3" s="1"/>
  <c r="AI35" i="3" s="1"/>
  <c r="AI36" i="3" s="1"/>
  <c r="AI37" i="3" s="1"/>
  <c r="AI38" i="3" s="1"/>
  <c r="AI39" i="3" s="1"/>
  <c r="AI40" i="3" s="1"/>
  <c r="AI41" i="3" s="1"/>
  <c r="AI42" i="3" s="1"/>
  <c r="C15" i="3"/>
  <c r="C16" i="3"/>
  <c r="F16" i="3" s="1"/>
  <c r="G16" i="3" s="1"/>
  <c r="C17" i="3"/>
  <c r="F17" i="3" s="1"/>
  <c r="C18" i="3"/>
  <c r="F18" i="3" s="1"/>
  <c r="C19" i="3"/>
  <c r="F19" i="3" s="1"/>
  <c r="C20" i="3"/>
  <c r="F20" i="3" s="1"/>
  <c r="C21" i="3"/>
  <c r="F21" i="3" s="1"/>
  <c r="C22" i="3"/>
  <c r="F22" i="3" s="1"/>
  <c r="C23" i="3"/>
  <c r="F23" i="3" s="1"/>
  <c r="C24" i="3"/>
  <c r="F24" i="3" s="1"/>
  <c r="AE24" i="3"/>
  <c r="AE25" i="3" s="1"/>
  <c r="C25" i="3"/>
  <c r="F25" i="3" s="1"/>
  <c r="C26" i="3"/>
  <c r="F26" i="3" s="1"/>
  <c r="AE26" i="3"/>
  <c r="AE27" i="3" s="1"/>
  <c r="AE28" i="3" s="1"/>
  <c r="AE29" i="3" s="1"/>
  <c r="AE30" i="3" s="1"/>
  <c r="AE31" i="3" s="1"/>
  <c r="AE32" i="3" s="1"/>
  <c r="AE33" i="3" s="1"/>
  <c r="AE34" i="3" s="1"/>
  <c r="AE35" i="3" s="1"/>
  <c r="AE36" i="3" s="1"/>
  <c r="AE37" i="3" s="1"/>
  <c r="AE38" i="3" s="1"/>
  <c r="C27" i="3"/>
  <c r="F27" i="3" s="1"/>
  <c r="C28" i="3"/>
  <c r="F28" i="3" s="1"/>
  <c r="C29" i="3"/>
  <c r="AD29" i="3"/>
  <c r="AD30" i="3" s="1"/>
  <c r="AD31" i="3" s="1"/>
  <c r="AD32" i="3" s="1"/>
  <c r="AD33" i="3" s="1"/>
  <c r="AD34" i="3" s="1"/>
  <c r="AD35" i="3" s="1"/>
  <c r="AD36" i="3" s="1"/>
  <c r="AD37" i="3" s="1"/>
  <c r="AD38" i="3" s="1"/>
  <c r="AD39" i="3" s="1"/>
  <c r="AD40" i="3" s="1"/>
  <c r="AD41" i="3" s="1"/>
  <c r="AD42" i="3" s="1"/>
  <c r="AH29" i="3"/>
  <c r="AH30" i="3" s="1"/>
  <c r="C30" i="3"/>
  <c r="F30" i="3" s="1"/>
  <c r="G30" i="3" s="1"/>
  <c r="C31" i="3"/>
  <c r="AH31" i="3"/>
  <c r="AH32" i="3" s="1"/>
  <c r="AH33" i="3" s="1"/>
  <c r="AH34" i="3" s="1"/>
  <c r="C32" i="3"/>
  <c r="F32" i="3" s="1"/>
  <c r="C33" i="3"/>
  <c r="C34" i="3"/>
  <c r="F34" i="3" s="1"/>
  <c r="G34" i="3" s="1"/>
  <c r="C35" i="3"/>
  <c r="AH35" i="3"/>
  <c r="AH36" i="3" s="1"/>
  <c r="AH37" i="3" s="1"/>
  <c r="AH38" i="3" s="1"/>
  <c r="AH39" i="3" s="1"/>
  <c r="C36" i="3"/>
  <c r="F36" i="3" s="1"/>
  <c r="C37" i="3"/>
  <c r="C38" i="3"/>
  <c r="F38" i="3" s="1"/>
  <c r="G38" i="3" s="1"/>
  <c r="C39" i="3"/>
  <c r="AE39" i="3"/>
  <c r="AE40" i="3" s="1"/>
  <c r="AE41" i="3" s="1"/>
  <c r="AE42" i="3" s="1"/>
  <c r="C40" i="3"/>
  <c r="AH40" i="3"/>
  <c r="AH41" i="3" s="1"/>
  <c r="AH42" i="3" s="1"/>
  <c r="C41" i="3"/>
  <c r="C42" i="3"/>
  <c r="F42" i="3" s="1"/>
  <c r="G42" i="3" s="1"/>
  <c r="K21" i="1"/>
  <c r="K22" i="1" s="1"/>
  <c r="K23" i="1" s="1"/>
  <c r="K24" i="1" s="1"/>
  <c r="K25" i="1" s="1"/>
  <c r="K26" i="1" s="1"/>
  <c r="K27" i="1" s="1"/>
  <c r="K28" i="1" s="1"/>
  <c r="K29" i="1" s="1"/>
  <c r="K30" i="1" s="1"/>
  <c r="K31" i="1" s="1"/>
  <c r="K32" i="1" s="1"/>
  <c r="K33" i="1" s="1"/>
  <c r="K34" i="1" s="1"/>
  <c r="K35" i="1" s="1"/>
  <c r="K36" i="1" s="1"/>
  <c r="K37" i="1" s="1"/>
  <c r="K38" i="1" s="1"/>
  <c r="K39" i="1" s="1"/>
  <c r="K40" i="1" s="1"/>
  <c r="K41" i="1" s="1"/>
  <c r="K42" i="1" s="1"/>
  <c r="K43" i="1" s="1"/>
  <c r="K44" i="1" s="1"/>
  <c r="K45" i="1" s="1"/>
  <c r="K46" i="1" s="1"/>
  <c r="K47" i="1" s="1"/>
  <c r="K48" i="1" s="1"/>
  <c r="K49" i="1" s="1"/>
  <c r="K50" i="1" s="1"/>
  <c r="K51" i="1" s="1"/>
  <c r="K52" i="1" s="1"/>
  <c r="K53" i="1" s="1"/>
  <c r="K54" i="1" s="1"/>
  <c r="K55" i="1" s="1"/>
  <c r="K56" i="1" s="1"/>
  <c r="K57" i="1" s="1"/>
  <c r="K58" i="1" s="1"/>
  <c r="K59" i="1" s="1"/>
  <c r="K60" i="1" s="1"/>
  <c r="K61" i="1" s="1"/>
  <c r="K62" i="1" s="1"/>
  <c r="K63" i="1" s="1"/>
  <c r="K64" i="1" s="1"/>
  <c r="K65" i="1" s="1"/>
  <c r="K66" i="1" s="1"/>
  <c r="K67" i="1" s="1"/>
  <c r="K68" i="1" s="1"/>
  <c r="K69" i="1" s="1"/>
  <c r="K70" i="1" s="1"/>
  <c r="K71" i="1" s="1"/>
  <c r="K72" i="1" s="1"/>
  <c r="K73" i="1" s="1"/>
  <c r="K74" i="1" s="1"/>
  <c r="K75" i="1" s="1"/>
  <c r="K76" i="1" s="1"/>
  <c r="K77" i="1" s="1"/>
  <c r="K78" i="1" s="1"/>
  <c r="K79" i="1" s="1"/>
  <c r="K80" i="1" s="1"/>
  <c r="K81" i="1" s="1"/>
  <c r="K82" i="1" s="1"/>
  <c r="K83" i="1" s="1"/>
  <c r="K84" i="1" s="1"/>
  <c r="K85" i="1" s="1"/>
  <c r="K86" i="1" s="1"/>
  <c r="K87" i="1" s="1"/>
  <c r="K88" i="1" s="1"/>
  <c r="K89" i="1" s="1"/>
  <c r="K90" i="1" s="1"/>
  <c r="K91" i="1" s="1"/>
  <c r="K92" i="1" s="1"/>
  <c r="K93" i="1" s="1"/>
  <c r="K94" i="1" s="1"/>
  <c r="K95" i="1" s="1"/>
  <c r="K96" i="1" s="1"/>
  <c r="K97" i="1" s="1"/>
  <c r="K98" i="1" s="1"/>
  <c r="K99" i="1" s="1"/>
  <c r="K100" i="1" s="1"/>
  <c r="K101" i="1" s="1"/>
  <c r="K102" i="1" s="1"/>
  <c r="K103" i="1" s="1"/>
  <c r="K104" i="1" s="1"/>
  <c r="K105" i="1" s="1"/>
  <c r="K106" i="1" s="1"/>
  <c r="K107" i="1" s="1"/>
  <c r="K108" i="1" s="1"/>
  <c r="K109" i="1" s="1"/>
  <c r="K110" i="1" s="1"/>
  <c r="K111" i="1" s="1"/>
  <c r="K112" i="1" s="1"/>
  <c r="K113" i="1" s="1"/>
  <c r="K114" i="1" s="1"/>
  <c r="K115" i="1" s="1"/>
  <c r="K116" i="1" s="1"/>
  <c r="K117" i="1" s="1"/>
  <c r="K118" i="1" s="1"/>
  <c r="K119" i="1" s="1"/>
  <c r="H21" i="1" l="1"/>
  <c r="H22" i="1" s="1"/>
  <c r="F21" i="1"/>
  <c r="F31" i="1"/>
  <c r="F28" i="1"/>
  <c r="F29" i="1"/>
  <c r="F27" i="1"/>
  <c r="F25" i="1"/>
  <c r="F20" i="1"/>
  <c r="F34" i="1"/>
  <c r="F32" i="1"/>
  <c r="F22" i="1"/>
  <c r="F30" i="1"/>
  <c r="F24" i="1"/>
  <c r="F26" i="1"/>
  <c r="D13" i="3"/>
  <c r="D15" i="3"/>
  <c r="D14" i="3"/>
  <c r="E14" i="3" s="1"/>
  <c r="H14" i="3" s="1"/>
  <c r="I14" i="3" s="1"/>
  <c r="J13" i="3"/>
  <c r="K13" i="3" s="1"/>
  <c r="L13" i="3" s="1"/>
  <c r="J19" i="3"/>
  <c r="K19" i="3" s="1"/>
  <c r="M19" i="3" s="1"/>
  <c r="N19" i="3" s="1"/>
  <c r="D24" i="3"/>
  <c r="E24" i="3" s="1"/>
  <c r="H24" i="3" s="1"/>
  <c r="I24" i="3" s="1"/>
  <c r="J20" i="3"/>
  <c r="K20" i="3" s="1"/>
  <c r="M20" i="3" s="1"/>
  <c r="N20" i="3" s="1"/>
  <c r="D16" i="3"/>
  <c r="E16" i="3" s="1"/>
  <c r="H16" i="3" s="1"/>
  <c r="I16" i="3" s="1"/>
  <c r="J25" i="3"/>
  <c r="K25" i="3" s="1"/>
  <c r="M25" i="3" s="1"/>
  <c r="N25" i="3" s="1"/>
  <c r="D23" i="3"/>
  <c r="E23" i="3" s="1"/>
  <c r="H23" i="3" s="1"/>
  <c r="I23" i="3" s="1"/>
  <c r="J18" i="3"/>
  <c r="K18" i="3" s="1"/>
  <c r="M18" i="3" s="1"/>
  <c r="N18" i="3" s="1"/>
  <c r="G12" i="3"/>
  <c r="J28" i="3"/>
  <c r="K28" i="3" s="1"/>
  <c r="M28" i="3" s="1"/>
  <c r="N28" i="3" s="1"/>
  <c r="J27" i="3"/>
  <c r="K27" i="3" s="1"/>
  <c r="M27" i="3" s="1"/>
  <c r="N27" i="3" s="1"/>
  <c r="D26" i="3"/>
  <c r="E26" i="3" s="1"/>
  <c r="H26" i="3" s="1"/>
  <c r="I26" i="3" s="1"/>
  <c r="D22" i="3"/>
  <c r="E22" i="3" s="1"/>
  <c r="H22" i="3" s="1"/>
  <c r="I22" i="3" s="1"/>
  <c r="D21" i="3"/>
  <c r="E21" i="3" s="1"/>
  <c r="H21" i="3" s="1"/>
  <c r="I21" i="3" s="1"/>
  <c r="J17" i="3"/>
  <c r="K17" i="3" s="1"/>
  <c r="L17" i="3" s="1"/>
  <c r="J14" i="3"/>
  <c r="K14" i="3" s="1"/>
  <c r="F13" i="3"/>
  <c r="D12" i="3"/>
  <c r="E12" i="3" s="1"/>
  <c r="H12" i="3" s="1"/>
  <c r="I12" i="3" s="1"/>
  <c r="J34" i="3"/>
  <c r="K34" i="3" s="1"/>
  <c r="M34" i="3" s="1"/>
  <c r="N34" i="3" s="1"/>
  <c r="J30" i="3"/>
  <c r="K30" i="3" s="1"/>
  <c r="M30" i="3" s="1"/>
  <c r="N30" i="3" s="1"/>
  <c r="D25" i="3"/>
  <c r="E25" i="3" s="1"/>
  <c r="H25" i="3" s="1"/>
  <c r="I25" i="3" s="1"/>
  <c r="J24" i="3"/>
  <c r="K24" i="3" s="1"/>
  <c r="M24" i="3" s="1"/>
  <c r="N24" i="3" s="1"/>
  <c r="J22" i="3"/>
  <c r="K22" i="3" s="1"/>
  <c r="M22" i="3" s="1"/>
  <c r="N22" i="3" s="1"/>
  <c r="D20" i="3"/>
  <c r="E20" i="3" s="1"/>
  <c r="H20" i="3" s="1"/>
  <c r="I20" i="3" s="1"/>
  <c r="D19" i="3"/>
  <c r="E19" i="3" s="1"/>
  <c r="H19" i="3" s="1"/>
  <c r="I19" i="3" s="1"/>
  <c r="J16" i="3"/>
  <c r="K16" i="3" s="1"/>
  <c r="M16" i="3" s="1"/>
  <c r="N16" i="3" s="1"/>
  <c r="J15" i="3"/>
  <c r="K15" i="3" s="1"/>
  <c r="L15" i="3" s="1"/>
  <c r="J23" i="3"/>
  <c r="K23" i="3" s="1"/>
  <c r="M23" i="3" s="1"/>
  <c r="N23" i="3" s="1"/>
  <c r="D30" i="3"/>
  <c r="E30" i="3" s="1"/>
  <c r="H30" i="3" s="1"/>
  <c r="I30" i="3" s="1"/>
  <c r="D28" i="3"/>
  <c r="E28" i="3" s="1"/>
  <c r="H28" i="3" s="1"/>
  <c r="I28" i="3" s="1"/>
  <c r="D27" i="3"/>
  <c r="E27" i="3" s="1"/>
  <c r="H27" i="3" s="1"/>
  <c r="I27" i="3" s="1"/>
  <c r="J26" i="3"/>
  <c r="K26" i="3" s="1"/>
  <c r="M26" i="3" s="1"/>
  <c r="N26" i="3" s="1"/>
  <c r="J21" i="3"/>
  <c r="K21" i="3" s="1"/>
  <c r="M21" i="3" s="1"/>
  <c r="N21" i="3" s="1"/>
  <c r="D18" i="3"/>
  <c r="E18" i="3" s="1"/>
  <c r="H18" i="3" s="1"/>
  <c r="I18" i="3" s="1"/>
  <c r="D17" i="3"/>
  <c r="E17" i="3" s="1"/>
  <c r="H17" i="3" s="1"/>
  <c r="I17" i="3" s="1"/>
  <c r="F15" i="3"/>
  <c r="G15" i="3" s="1"/>
  <c r="F40" i="3"/>
  <c r="G36" i="3"/>
  <c r="G26" i="3"/>
  <c r="F35" i="3"/>
  <c r="D34" i="3"/>
  <c r="E34" i="3" s="1"/>
  <c r="H34" i="3" s="1"/>
  <c r="I34" i="3" s="1"/>
  <c r="F33" i="3"/>
  <c r="G32" i="3"/>
  <c r="F29" i="3"/>
  <c r="J35" i="3"/>
  <c r="K35" i="3" s="1"/>
  <c r="D36" i="3"/>
  <c r="E36" i="3" s="1"/>
  <c r="H36" i="3" s="1"/>
  <c r="I36" i="3" s="1"/>
  <c r="J37" i="3"/>
  <c r="K37" i="3" s="1"/>
  <c r="D38" i="3"/>
  <c r="E38" i="3" s="1"/>
  <c r="H38" i="3" s="1"/>
  <c r="I38" i="3" s="1"/>
  <c r="J39" i="3"/>
  <c r="K39" i="3" s="1"/>
  <c r="D40" i="3"/>
  <c r="J41" i="3"/>
  <c r="K41" i="3" s="1"/>
  <c r="M41" i="3" s="1"/>
  <c r="N41" i="3" s="1"/>
  <c r="D42" i="3"/>
  <c r="E42" i="3" s="1"/>
  <c r="H42" i="3" s="1"/>
  <c r="I42" i="3" s="1"/>
  <c r="D29" i="3"/>
  <c r="D33" i="3"/>
  <c r="D35" i="3"/>
  <c r="J40" i="3"/>
  <c r="K40" i="3" s="1"/>
  <c r="M40" i="3" s="1"/>
  <c r="N40" i="3" s="1"/>
  <c r="J31" i="3"/>
  <c r="K31" i="3" s="1"/>
  <c r="D41" i="3"/>
  <c r="D31" i="3"/>
  <c r="D32" i="3"/>
  <c r="E32" i="3" s="1"/>
  <c r="H32" i="3" s="1"/>
  <c r="I32" i="3" s="1"/>
  <c r="J32" i="3"/>
  <c r="K32" i="3" s="1"/>
  <c r="J38" i="3"/>
  <c r="K38" i="3" s="1"/>
  <c r="M38" i="3" s="1"/>
  <c r="N38" i="3" s="1"/>
  <c r="J36" i="3"/>
  <c r="K36" i="3" s="1"/>
  <c r="M36" i="3" s="1"/>
  <c r="N36" i="3" s="1"/>
  <c r="D39" i="3"/>
  <c r="D37" i="3"/>
  <c r="J33" i="3"/>
  <c r="K33" i="3" s="1"/>
  <c r="J42" i="3"/>
  <c r="K42" i="3" s="1"/>
  <c r="M42" i="3" s="1"/>
  <c r="N42" i="3" s="1"/>
  <c r="J29" i="3"/>
  <c r="K29" i="3" s="1"/>
  <c r="G13" i="3"/>
  <c r="F31" i="3"/>
  <c r="G28" i="3"/>
  <c r="G24" i="3"/>
  <c r="F37" i="3"/>
  <c r="F39" i="3"/>
  <c r="F41" i="3"/>
  <c r="G23" i="3"/>
  <c r="G19" i="3"/>
  <c r="G27" i="3"/>
  <c r="G25" i="3"/>
  <c r="G21" i="3"/>
  <c r="G17" i="3"/>
  <c r="G22" i="3"/>
  <c r="G20" i="3"/>
  <c r="G18" i="3"/>
  <c r="AF15" i="3"/>
  <c r="H23" i="1" l="1"/>
  <c r="H24" i="1" s="1"/>
  <c r="G21" i="1"/>
  <c r="E13" i="3"/>
  <c r="H13" i="3" s="1"/>
  <c r="I13" i="3" s="1"/>
  <c r="M13" i="3"/>
  <c r="N13" i="3" s="1"/>
  <c r="L19" i="3"/>
  <c r="L21" i="3"/>
  <c r="L18" i="3"/>
  <c r="L28" i="3"/>
  <c r="L30" i="3"/>
  <c r="L23" i="3"/>
  <c r="L20" i="3"/>
  <c r="L26" i="3"/>
  <c r="L22" i="3"/>
  <c r="M17" i="3"/>
  <c r="N17" i="3" s="1"/>
  <c r="L34" i="3"/>
  <c r="M15" i="3"/>
  <c r="N15" i="3" s="1"/>
  <c r="L25" i="3"/>
  <c r="L40" i="3"/>
  <c r="L27" i="3"/>
  <c r="E15" i="3"/>
  <c r="H15" i="3" s="1"/>
  <c r="I15" i="3" s="1"/>
  <c r="L24" i="3"/>
  <c r="M14" i="3"/>
  <c r="N14" i="3" s="1"/>
  <c r="L14" i="3"/>
  <c r="L41" i="3"/>
  <c r="L16" i="3"/>
  <c r="M29" i="3"/>
  <c r="N29" i="3" s="1"/>
  <c r="L29" i="3"/>
  <c r="E29" i="3"/>
  <c r="H29" i="3" s="1"/>
  <c r="I29" i="3" s="1"/>
  <c r="G29" i="3"/>
  <c r="E33" i="3"/>
  <c r="H33" i="3" s="1"/>
  <c r="I33" i="3" s="1"/>
  <c r="G33" i="3"/>
  <c r="E40" i="3"/>
  <c r="H40" i="3" s="1"/>
  <c r="I40" i="3" s="1"/>
  <c r="G40" i="3"/>
  <c r="L39" i="3"/>
  <c r="M39" i="3"/>
  <c r="N39" i="3" s="1"/>
  <c r="L35" i="3"/>
  <c r="M35" i="3"/>
  <c r="N35" i="3" s="1"/>
  <c r="G39" i="3"/>
  <c r="E39" i="3"/>
  <c r="H39" i="3" s="1"/>
  <c r="I39" i="3" s="1"/>
  <c r="M33" i="3"/>
  <c r="N33" i="3" s="1"/>
  <c r="L33" i="3"/>
  <c r="L42" i="3"/>
  <c r="L38" i="3"/>
  <c r="M32" i="3"/>
  <c r="N32" i="3" s="1"/>
  <c r="L32" i="3"/>
  <c r="M37" i="3"/>
  <c r="N37" i="3" s="1"/>
  <c r="L37" i="3"/>
  <c r="L36" i="3"/>
  <c r="AF16" i="3"/>
  <c r="AG15" i="3"/>
  <c r="E41" i="3"/>
  <c r="H41" i="3" s="1"/>
  <c r="I41" i="3" s="1"/>
  <c r="G41" i="3"/>
  <c r="E37" i="3"/>
  <c r="H37" i="3" s="1"/>
  <c r="I37" i="3" s="1"/>
  <c r="G37" i="3"/>
  <c r="E31" i="3"/>
  <c r="H31" i="3" s="1"/>
  <c r="I31" i="3" s="1"/>
  <c r="G31" i="3"/>
  <c r="M31" i="3"/>
  <c r="N31" i="3" s="1"/>
  <c r="L31" i="3"/>
  <c r="G35" i="3"/>
  <c r="E35" i="3"/>
  <c r="H35" i="3" s="1"/>
  <c r="I35" i="3" s="1"/>
  <c r="G22" i="1" l="1"/>
  <c r="I22" i="1" s="1"/>
  <c r="J21" i="1"/>
  <c r="I21" i="1"/>
  <c r="H25" i="1"/>
  <c r="H26" i="1" s="1"/>
  <c r="H27" i="1" s="1"/>
  <c r="AG16" i="3"/>
  <c r="AF17" i="3"/>
  <c r="G23" i="1" l="1"/>
  <c r="J23" i="1" s="1"/>
  <c r="J22" i="1"/>
  <c r="AF18" i="3"/>
  <c r="AG17" i="3"/>
  <c r="H28" i="1"/>
  <c r="G24" i="1" l="1"/>
  <c r="J24" i="1" s="1"/>
  <c r="I23" i="1"/>
  <c r="AG18" i="3"/>
  <c r="AF19" i="3"/>
  <c r="H29" i="1"/>
  <c r="I24" i="1" l="1"/>
  <c r="G25" i="1"/>
  <c r="J25" i="1" s="1"/>
  <c r="AF20" i="3"/>
  <c r="AG19" i="3"/>
  <c r="H30" i="1"/>
  <c r="G26" i="1" l="1"/>
  <c r="I26" i="1" s="1"/>
  <c r="I25" i="1"/>
  <c r="AG20" i="3"/>
  <c r="AF21" i="3"/>
  <c r="H31" i="1"/>
  <c r="J26" i="1" l="1"/>
  <c r="G27" i="1"/>
  <c r="AF22" i="3"/>
  <c r="AG21" i="3"/>
  <c r="H32" i="1"/>
  <c r="H33" i="1" s="1"/>
  <c r="H34" i="1" s="1"/>
  <c r="J27" i="1" l="1"/>
  <c r="I27" i="1"/>
  <c r="G28" i="1"/>
  <c r="AG22" i="3"/>
  <c r="AF23" i="3"/>
  <c r="I28" i="1" l="1"/>
  <c r="G29" i="1"/>
  <c r="J28" i="1"/>
  <c r="AF24" i="3"/>
  <c r="AG23" i="3"/>
  <c r="I29" i="1"/>
  <c r="G30" i="1" l="1"/>
  <c r="I30" i="1" s="1"/>
  <c r="J29" i="1"/>
  <c r="AF25" i="3"/>
  <c r="AG24" i="3"/>
  <c r="G31" i="1" l="1"/>
  <c r="I31" i="1" s="1"/>
  <c r="J30" i="1"/>
  <c r="AF26" i="3"/>
  <c r="AG25" i="3"/>
  <c r="G32" i="1" l="1"/>
  <c r="I32" i="1" s="1"/>
  <c r="J31" i="1"/>
  <c r="AF27" i="3"/>
  <c r="AG26" i="3"/>
  <c r="G33" i="1" l="1"/>
  <c r="I33" i="1" s="1"/>
  <c r="J32" i="1"/>
  <c r="AF28" i="3"/>
  <c r="AG27" i="3"/>
  <c r="J33" i="1" l="1"/>
  <c r="G34" i="1"/>
  <c r="I34" i="1" s="1"/>
  <c r="AF29" i="3"/>
  <c r="AG28" i="3"/>
  <c r="J34" i="1" l="1"/>
  <c r="AF30" i="3"/>
  <c r="AG29" i="3"/>
  <c r="AF31" i="3" l="1"/>
  <c r="AG30" i="3"/>
  <c r="AF32" i="3" l="1"/>
  <c r="AG31" i="3"/>
  <c r="AF33" i="3" l="1"/>
  <c r="AG32" i="3"/>
  <c r="AF34" i="3" l="1"/>
  <c r="AG33" i="3"/>
  <c r="AF35" i="3" l="1"/>
  <c r="AG34" i="3"/>
  <c r="AG35" i="3" l="1"/>
  <c r="AF36" i="3"/>
  <c r="AG36" i="3" l="1"/>
  <c r="AF37" i="3"/>
  <c r="AG37" i="3" l="1"/>
  <c r="AF38" i="3"/>
  <c r="AF39" i="3" l="1"/>
  <c r="AG38" i="3"/>
  <c r="AG39" i="3" l="1"/>
  <c r="AF40" i="3"/>
  <c r="AG40" i="3" l="1"/>
  <c r="AF41" i="3"/>
  <c r="AG41" i="3" l="1"/>
  <c r="AF42" i="3"/>
  <c r="AG42" i="3" s="1"/>
  <c r="J18" i="1" l="1"/>
</calcChain>
</file>

<file path=xl/sharedStrings.xml><?xml version="1.0" encoding="utf-8"?>
<sst xmlns="http://schemas.openxmlformats.org/spreadsheetml/2006/main" count="65" uniqueCount="64">
  <si>
    <t>Jour</t>
  </si>
  <si>
    <t>hypothèse à priori</t>
  </si>
  <si>
    <t>paramètre loi beta initiale alpha</t>
  </si>
  <si>
    <t>% de défectueux acceptable</t>
  </si>
  <si>
    <t>paramètre loi beta initiale beta</t>
  </si>
  <si>
    <t>taille de l'échantillon contrôlé n</t>
  </si>
  <si>
    <t>Seuil de suspicion (50%)</t>
  </si>
  <si>
    <t>proportion bayesienne de defecteux pn</t>
  </si>
  <si>
    <t>Seuil de maîtrise (&lt;10%)</t>
  </si>
  <si>
    <t>maitrise du risque process</t>
  </si>
  <si>
    <t>process maitrisé</t>
  </si>
  <si>
    <t>process sous surveillance</t>
  </si>
  <si>
    <t>suspicion de dérive</t>
  </si>
  <si>
    <t>confiance / fiabilité*</t>
  </si>
  <si>
    <t>P&gt;50%</t>
  </si>
  <si>
    <t>P&gt;95%</t>
  </si>
  <si>
    <t>modéré</t>
  </si>
  <si>
    <t>critique</t>
  </si>
  <si>
    <t>faible</t>
  </si>
  <si>
    <t>Seuil de surveillance (30%)</t>
  </si>
  <si>
    <t>Fiabilité en temps réel :</t>
  </si>
  <si>
    <t>*formule de Bayes pour 0 NC</t>
  </si>
  <si>
    <t>risque process</t>
  </si>
  <si>
    <t>&lt; liste déroulante</t>
  </si>
  <si>
    <t>process critique retenu :</t>
  </si>
  <si>
    <t>process en dérive net</t>
  </si>
  <si>
    <t>paramètre alpha</t>
  </si>
  <si>
    <t>limite acceptable / proportion p0</t>
  </si>
  <si>
    <t>si la Proba tend vers 100% , alors la variance est significativement plus grande que prévue</t>
  </si>
  <si>
    <t>si la Proba tend vers -100% , alors la variance est significativement plus petite que prévue</t>
  </si>
  <si>
    <t>si la probabilité dépasse 95% = décalage de plus de 2s</t>
  </si>
  <si>
    <t>Proba changement variance</t>
  </si>
  <si>
    <t>z (variance)</t>
  </si>
  <si>
    <t>Écart-type var (σ_varₙ)</t>
  </si>
  <si>
    <t>Var. bayésienne (σ²ₙ)</t>
  </si>
  <si>
    <t>Var. échantillon (s²)</t>
  </si>
  <si>
    <t>Proba changement moyenne</t>
  </si>
  <si>
    <t>z (moyenne)</t>
  </si>
  <si>
    <t>Écart-type moy. (σₙ)</t>
  </si>
  <si>
    <t>variance σn</t>
  </si>
  <si>
    <t>Moyenne a post. (μₙ)</t>
  </si>
  <si>
    <t>Moy. observée (x̄)</t>
  </si>
  <si>
    <t>observation</t>
  </si>
  <si>
    <t>notez ici la limite d'alerte</t>
  </si>
  <si>
    <t>limite Proba</t>
  </si>
  <si>
    <t>notez ici le nombre d'observation ayant permis de trouver σ (dépend du risque : 29/59/299)</t>
  </si>
  <si>
    <t>nombre d'observation n0</t>
  </si>
  <si>
    <t>notez ici l'écart-type observé sur n0 observations</t>
  </si>
  <si>
    <t>écart-type connu observé σ</t>
  </si>
  <si>
    <t xml:space="preserve">notez ici Tolérance / 8 pour connaître l'écart-type </t>
  </si>
  <si>
    <t>écart-type connu a priori σ0</t>
  </si>
  <si>
    <t>Tolérance -</t>
  </si>
  <si>
    <r>
      <rPr>
        <b/>
        <sz val="10"/>
        <rFont val="Arial"/>
        <family val="2"/>
      </rPr>
      <t>Suivi des observations</t>
    </r>
    <r>
      <rPr>
        <sz val="10"/>
        <rFont val="Arial"/>
        <family val="2"/>
      </rPr>
      <t xml:space="preserve"> est une carte aux valeurs uniques qui suit vos données dans l'intervalle de tolérance.
</t>
    </r>
    <r>
      <rPr>
        <b/>
        <sz val="10"/>
        <rFont val="Arial"/>
        <family val="2"/>
      </rPr>
      <t>Probabilité d'un changement de la moyenne</t>
    </r>
    <r>
      <rPr>
        <sz val="10"/>
        <rFont val="Arial"/>
        <family val="2"/>
      </rPr>
      <t xml:space="preserve"> correspond au z-score de la moyenne bayesienne. Donc si z-score = 2, alors la graphique affichera 95%, indiquuant une dérive net de la moyenne bayesienne
</t>
    </r>
    <r>
      <rPr>
        <b/>
        <sz val="10"/>
        <rFont val="Arial"/>
        <family val="2"/>
      </rPr>
      <t>Suivi de la variance bayesienne</t>
    </r>
    <r>
      <rPr>
        <sz val="10"/>
        <rFont val="Arial"/>
        <family val="2"/>
      </rPr>
      <t xml:space="preserve"> indique simplement la variance et la variance a priori (la droite horizontale). Cela permet de savoir si l'on avait vu juste avec l'a priori.
</t>
    </r>
    <r>
      <rPr>
        <b/>
        <sz val="10"/>
        <rFont val="Arial"/>
        <family val="2"/>
      </rPr>
      <t>La probabilité d'un changement de la variance</t>
    </r>
    <r>
      <rPr>
        <sz val="10"/>
        <rFont val="Arial"/>
        <family val="2"/>
      </rPr>
      <t xml:space="preserve"> permet de voir si la variance reste stable ou si elle augment vers 100% OU rétrécit vers -100% (idéal). Tout comme pour la moyenne bayésienne, elle indique un changement strict si elle dépasse les 95%</t>
    </r>
  </si>
  <si>
    <t>Tolérance +</t>
  </si>
  <si>
    <t>notez ici la valeur cible</t>
  </si>
  <si>
    <t>moyenne connue a priori µ0</t>
  </si>
  <si>
    <t>paramètre beta</t>
  </si>
  <si>
    <t>P&lt;10%</t>
  </si>
  <si>
    <t>30%&lt;</t>
  </si>
  <si>
    <t>proba P d'observer la limite acceptable</t>
  </si>
  <si>
    <t>nb de défaut d</t>
  </si>
  <si>
    <t>proportion de défectueux % de p</t>
  </si>
  <si>
    <t>point de rupture</t>
  </si>
  <si>
    <r>
      <rPr>
        <b/>
        <u/>
        <sz val="11"/>
        <rFont val="Calibri"/>
        <family val="2"/>
        <scheme val="minor"/>
      </rPr>
      <t>Stratégie</t>
    </r>
    <r>
      <rPr>
        <sz val="11"/>
        <rFont val="Calibri"/>
        <family val="2"/>
        <scheme val="minor"/>
      </rPr>
      <t xml:space="preserve"> : lors de votre validation et selon le risque process établi (faible, modéré ou critique) donnant lieu, selon la formule de Bayes, à respectivement n = 29, 59 ou 299 pour une confiance de 95% et une fiabilité de 90, 95% et 99%, l'objectif était d'observer 0 NC. Vous avez fait la validation est tout était OK, le process est utilisé.
Votre process est alors en cours d'utilisation et vous voulez le </t>
    </r>
    <r>
      <rPr>
        <b/>
        <sz val="11"/>
        <rFont val="Calibri"/>
        <family val="2"/>
        <scheme val="minor"/>
      </rPr>
      <t>suivre par une carte de contrôle Bayesienne par attribut.</t>
    </r>
    <r>
      <rPr>
        <sz val="11"/>
        <rFont val="Calibri"/>
        <family val="2"/>
        <scheme val="minor"/>
      </rPr>
      <t xml:space="preserve"> Vous allez alors appliquer une taille d'échantillonnage n et compter le nombre de defecteux y. En fonction du nombre de defecteux y, vous avez la possibilité d'ajuster la taille de votre échantillon n. Vous devez juste vous assurer que la probabilité P(p(limite)) &lt; 30%, idéalement &lt; 10% (zone de maîtrise).
</t>
    </r>
    <r>
      <rPr>
        <b/>
        <sz val="11"/>
        <rFont val="Calibri"/>
        <family val="2"/>
        <scheme val="minor"/>
      </rPr>
      <t xml:space="preserve">Retenez que si P(pn&gt;limite) atteint 100% &lt;=&gt; vous serez alors confiant à 100% que la proportion pn de NC dépasse la limite définie par votre analyse de risque (1%, 5% ou 10%) remettant en cause la fiabilité de votre process. c'est pour cela que réagir à P=30% est une bonne approche préventive. Et l'on peut même considérer que si P&lt;10%, votre process est complétement maîtrisé.
</t>
    </r>
    <r>
      <rPr>
        <sz val="11"/>
        <rFont val="Calibri"/>
        <family val="2"/>
        <scheme val="minor"/>
      </rPr>
      <t xml:space="preserve">Pour palier au fait que la carte bayésienne devient de plus en plus robuste au fil des observations, pouvant empécher la détection de dérive rapide,une carte des ruptures permet d'identifier le jour où un changement brusque à été observé. C'est </t>
    </r>
    <r>
      <rPr>
        <b/>
        <sz val="11"/>
        <rFont val="Calibri"/>
        <family val="2"/>
        <scheme val="minor"/>
      </rPr>
      <t>le point de rupture Jour J</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</si>
</sst>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00%"/>
  </numFmts>
  <fonts count="7" x14ac:knownFonts="1">
    <font>
      <sz val="11"/>
      <color theme="1"/>
      <name val="Calibri"/>
      <family val="2"/>
      <scheme val="minor"/>
    </font>
    <font>
      <sz val="11"/>
      <color theme="0"/>
      <name val="Calibri"/>
      <family val="2"/>
      <scheme val="minor"/>
    </font>
    <font>
      <sz val="11"/>
      <name val="Calibri"/>
      <family val="2"/>
      <scheme val="minor"/>
    </font>
    <font>
      <b/>
      <u/>
      <sz val="11"/>
      <name val="Calibri"/>
      <family val="2"/>
      <scheme val="minor"/>
    </font>
    <font>
      <b/>
      <sz val="11"/>
      <name val="Calibri"/>
      <family val="2"/>
      <scheme val="minor"/>
    </font>
    <font>
      <sz val="10"/>
      <name val="Arial"/>
      <family val="2"/>
    </font>
    <font>
      <b/>
      <sz val="10"/>
      <name val="Arial"/>
      <family val="2"/>
    </font>
  </fonts>
  <fills count="15">
    <fill>
      <patternFill patternType="none"/>
    </fill>
    <fill>
      <patternFill patternType="gray125"/>
    </fill>
    <fill>
      <patternFill patternType="solid">
        <fgColor theme="4" tint="0.79998168889431442"/>
        <bgColor indexed="64"/>
      </patternFill>
    </fill>
    <fill>
      <patternFill patternType="solid">
        <fgColor theme="2"/>
        <bgColor indexed="64"/>
      </patternFill>
    </fill>
    <fill>
      <patternFill patternType="solid">
        <fgColor theme="0" tint="-4.9989318521683403E-2"/>
        <bgColor indexed="64"/>
      </patternFill>
    </fill>
    <fill>
      <patternFill patternType="solid">
        <fgColor rgb="FF92D050"/>
        <bgColor indexed="64"/>
      </patternFill>
    </fill>
    <fill>
      <patternFill patternType="solid">
        <fgColor theme="4" tint="0.59999389629810485"/>
        <bgColor indexed="64"/>
      </patternFill>
    </fill>
    <fill>
      <patternFill patternType="solid">
        <fgColor theme="3" tint="0.59999389629810485"/>
        <bgColor indexed="64"/>
      </patternFill>
    </fill>
    <fill>
      <patternFill patternType="solid">
        <fgColor theme="7" tint="0.59999389629810485"/>
        <bgColor indexed="64"/>
      </patternFill>
    </fill>
    <fill>
      <patternFill patternType="solid">
        <fgColor theme="5" tint="0.39997558519241921"/>
        <bgColor indexed="64"/>
      </patternFill>
    </fill>
    <fill>
      <patternFill patternType="solid">
        <fgColor rgb="FFFF0000"/>
        <bgColor indexed="64"/>
      </patternFill>
    </fill>
    <fill>
      <patternFill patternType="solid">
        <fgColor theme="0" tint="-0.34998626667073579"/>
        <bgColor indexed="64"/>
      </patternFill>
    </fill>
    <fill>
      <patternFill patternType="solid">
        <fgColor theme="0"/>
        <bgColor indexed="64"/>
      </patternFill>
    </fill>
    <fill>
      <patternFill patternType="solid">
        <fgColor theme="3" tint="0.749992370372631"/>
        <bgColor indexed="64"/>
      </patternFill>
    </fill>
    <fill>
      <patternFill patternType="solid">
        <fgColor rgb="FFFFFF00"/>
        <bgColor indexed="64"/>
      </patternFill>
    </fill>
  </fills>
  <borders count="16">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right/>
      <top/>
      <bottom style="thin">
        <color indexed="64"/>
      </bottom>
      <diagonal/>
    </border>
    <border>
      <left style="thin">
        <color indexed="64"/>
      </left>
      <right/>
      <top/>
      <bottom style="thin">
        <color indexed="64"/>
      </bottom>
      <diagonal/>
    </border>
    <border>
      <left/>
      <right style="thin">
        <color indexed="64"/>
      </right>
      <top/>
      <bottom/>
      <diagonal/>
    </border>
    <border>
      <left style="thin">
        <color indexed="64"/>
      </left>
      <right/>
      <top/>
      <bottom/>
      <diagonal/>
    </border>
    <border>
      <left/>
      <right style="thin">
        <color indexed="64"/>
      </right>
      <top style="thin">
        <color indexed="64"/>
      </top>
      <bottom/>
      <diagonal/>
    </border>
    <border>
      <left/>
      <right/>
      <top style="thin">
        <color indexed="64"/>
      </top>
      <bottom/>
      <diagonal/>
    </border>
    <border>
      <left style="thin">
        <color indexed="64"/>
      </left>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1">
    <xf numFmtId="0" fontId="0" fillId="0" borderId="0"/>
  </cellStyleXfs>
  <cellXfs count="72">
    <xf numFmtId="0" fontId="0" fillId="0" borderId="0" xfId="0"/>
    <xf numFmtId="0" fontId="2" fillId="0" borderId="0" xfId="0" applyFont="1"/>
    <xf numFmtId="0" fontId="2" fillId="0" borderId="0" xfId="0" applyFont="1" applyAlignment="1">
      <alignment horizontal="right"/>
    </xf>
    <xf numFmtId="9" fontId="2" fillId="0" borderId="0" xfId="0" applyNumberFormat="1" applyFont="1" applyAlignment="1">
      <alignment horizontal="center"/>
    </xf>
    <xf numFmtId="9" fontId="2" fillId="0" borderId="0" xfId="0" applyNumberFormat="1" applyFont="1"/>
    <xf numFmtId="0" fontId="2" fillId="0" borderId="1" xfId="0" applyFont="1" applyBorder="1" applyAlignment="1">
      <alignment horizontal="center" vertical="center" wrapText="1"/>
    </xf>
    <xf numFmtId="0" fontId="2" fillId="3" borderId="1" xfId="0" applyFont="1" applyFill="1" applyBorder="1" applyAlignment="1">
      <alignment horizontal="center" vertical="center" wrapText="1"/>
    </xf>
    <xf numFmtId="0" fontId="2" fillId="4" borderId="1" xfId="0" applyFont="1" applyFill="1" applyBorder="1" applyAlignment="1">
      <alignment horizontal="center" vertical="center" wrapText="1"/>
    </xf>
    <xf numFmtId="0" fontId="2" fillId="2" borderId="1" xfId="0" applyFont="1" applyFill="1" applyBorder="1" applyAlignment="1">
      <alignment horizontal="center"/>
    </xf>
    <xf numFmtId="10" fontId="2" fillId="0" borderId="1" xfId="0" applyNumberFormat="1" applyFont="1" applyBorder="1" applyAlignment="1">
      <alignment horizontal="center"/>
    </xf>
    <xf numFmtId="0" fontId="2" fillId="0" borderId="0" xfId="0" applyFont="1" applyAlignment="1">
      <alignment horizontal="left" vertical="top" wrapText="1"/>
    </xf>
    <xf numFmtId="0" fontId="2" fillId="0" borderId="0" xfId="0" applyFont="1" applyAlignment="1">
      <alignment horizontal="right" vertical="top"/>
    </xf>
    <xf numFmtId="164" fontId="4" fillId="0" borderId="1" xfId="0" applyNumberFormat="1" applyFont="1" applyBorder="1" applyAlignment="1">
      <alignment horizontal="center"/>
    </xf>
    <xf numFmtId="0" fontId="2" fillId="5" borderId="1" xfId="0" applyFont="1" applyFill="1" applyBorder="1" applyAlignment="1">
      <alignment horizontal="center"/>
    </xf>
    <xf numFmtId="9" fontId="2" fillId="5" borderId="1" xfId="0" applyNumberFormat="1" applyFont="1" applyFill="1" applyBorder="1" applyAlignment="1">
      <alignment horizontal="center"/>
    </xf>
    <xf numFmtId="0" fontId="4" fillId="0" borderId="0" xfId="0" applyFont="1" applyAlignment="1">
      <alignment horizontal="right"/>
    </xf>
    <xf numFmtId="0" fontId="2" fillId="5" borderId="1" xfId="0" applyFont="1" applyFill="1" applyBorder="1"/>
    <xf numFmtId="0" fontId="2" fillId="8" borderId="1" xfId="0" applyFont="1" applyFill="1" applyBorder="1"/>
    <xf numFmtId="0" fontId="2" fillId="9" borderId="1" xfId="0" applyFont="1" applyFill="1" applyBorder="1"/>
    <xf numFmtId="0" fontId="2" fillId="10" borderId="1" xfId="0" applyFont="1" applyFill="1" applyBorder="1"/>
    <xf numFmtId="0" fontId="5" fillId="0" borderId="0" xfId="0" applyFont="1"/>
    <xf numFmtId="0" fontId="5" fillId="0" borderId="0" xfId="0" applyFont="1" applyAlignment="1">
      <alignment horizontal="center" vertical="center" wrapText="1"/>
    </xf>
    <xf numFmtId="0" fontId="5" fillId="0" borderId="0" xfId="0" applyFont="1" applyAlignment="1">
      <alignment vertical="center" wrapText="1"/>
    </xf>
    <xf numFmtId="9" fontId="5" fillId="0" borderId="0" xfId="0" applyNumberFormat="1" applyFont="1"/>
    <xf numFmtId="164" fontId="5" fillId="0" borderId="1" xfId="0" applyNumberFormat="1" applyFont="1" applyBorder="1" applyAlignment="1">
      <alignment horizontal="center" vertical="center" wrapText="1"/>
    </xf>
    <xf numFmtId="2" fontId="5" fillId="0" borderId="1" xfId="0" applyNumberFormat="1" applyFont="1" applyBorder="1" applyAlignment="1">
      <alignment horizontal="center" vertical="center" wrapText="1"/>
    </xf>
    <xf numFmtId="2" fontId="5" fillId="0" borderId="1" xfId="0" applyNumberFormat="1" applyFont="1" applyBorder="1" applyAlignment="1">
      <alignment horizontal="center"/>
    </xf>
    <xf numFmtId="2" fontId="5" fillId="2" borderId="1" xfId="0" applyNumberFormat="1" applyFont="1" applyFill="1" applyBorder="1" applyAlignment="1">
      <alignment horizontal="center"/>
    </xf>
    <xf numFmtId="0" fontId="5" fillId="0" borderId="1" xfId="0" applyFont="1" applyBorder="1" applyAlignment="1">
      <alignment horizontal="center" vertical="center" wrapText="1"/>
    </xf>
    <xf numFmtId="0" fontId="5" fillId="0" borderId="0" xfId="0" applyFont="1" applyAlignment="1">
      <alignment horizontal="left"/>
    </xf>
    <xf numFmtId="0" fontId="5" fillId="11" borderId="1" xfId="0" applyFont="1" applyFill="1" applyBorder="1" applyAlignment="1">
      <alignment horizontal="center" vertical="center" wrapText="1"/>
    </xf>
    <xf numFmtId="9" fontId="5" fillId="6" borderId="0" xfId="0" applyNumberFormat="1" applyFont="1" applyFill="1" applyAlignment="1">
      <alignment horizontal="center"/>
    </xf>
    <xf numFmtId="0" fontId="5" fillId="0" borderId="0" xfId="0" applyFont="1" applyAlignment="1">
      <alignment horizontal="right" vertical="center"/>
    </xf>
    <xf numFmtId="0" fontId="5" fillId="6" borderId="0" xfId="0" applyFont="1" applyFill="1" applyAlignment="1">
      <alignment horizontal="center"/>
    </xf>
    <xf numFmtId="0" fontId="5" fillId="0" borderId="0" xfId="0" applyFont="1" applyAlignment="1">
      <alignment horizontal="right"/>
    </xf>
    <xf numFmtId="0" fontId="5" fillId="12" borderId="0" xfId="0" applyFont="1" applyFill="1" applyAlignment="1">
      <alignment horizontal="center"/>
    </xf>
    <xf numFmtId="0" fontId="5" fillId="13" borderId="0" xfId="0" applyFont="1" applyFill="1" applyAlignment="1">
      <alignment horizontal="center"/>
    </xf>
    <xf numFmtId="164" fontId="2" fillId="0" borderId="1" xfId="0" applyNumberFormat="1" applyFont="1" applyBorder="1" applyAlignment="1">
      <alignment horizontal="center"/>
    </xf>
    <xf numFmtId="0" fontId="2" fillId="0" borderId="1" xfId="0" applyFont="1" applyBorder="1" applyAlignment="1">
      <alignment horizontal="center"/>
    </xf>
    <xf numFmtId="0" fontId="2" fillId="10" borderId="1" xfId="0" applyFont="1" applyFill="1" applyBorder="1" applyAlignment="1">
      <alignment horizontal="center"/>
    </xf>
    <xf numFmtId="9" fontId="2" fillId="10" borderId="1" xfId="0" applyNumberFormat="1" applyFont="1" applyFill="1" applyBorder="1" applyAlignment="1">
      <alignment horizontal="center"/>
    </xf>
    <xf numFmtId="0" fontId="2" fillId="14" borderId="1" xfId="0" applyFont="1" applyFill="1" applyBorder="1" applyAlignment="1">
      <alignment horizontal="center"/>
    </xf>
    <xf numFmtId="9" fontId="2" fillId="14" borderId="1" xfId="0" applyNumberFormat="1" applyFont="1" applyFill="1" applyBorder="1" applyAlignment="1">
      <alignment horizontal="center"/>
    </xf>
    <xf numFmtId="9" fontId="1" fillId="0" borderId="0" xfId="0" applyNumberFormat="1" applyFont="1" applyBorder="1" applyAlignment="1">
      <alignment horizontal="center"/>
    </xf>
    <xf numFmtId="0" fontId="1" fillId="0" borderId="0" xfId="0" applyFont="1" applyBorder="1" applyAlignment="1">
      <alignment horizontal="center"/>
    </xf>
    <xf numFmtId="0" fontId="1" fillId="0" borderId="0" xfId="0" applyFont="1" applyFill="1" applyBorder="1" applyAlignment="1">
      <alignment horizontal="center"/>
    </xf>
    <xf numFmtId="0" fontId="1" fillId="0" borderId="0" xfId="0" applyFont="1" applyBorder="1"/>
    <xf numFmtId="0" fontId="1" fillId="0" borderId="0" xfId="0" applyFont="1" applyBorder="1" applyAlignment="1">
      <alignment horizontal="left" vertical="top" wrapText="1"/>
    </xf>
    <xf numFmtId="0" fontId="1" fillId="0" borderId="0" xfId="0" applyFont="1" applyBorder="1" applyAlignment="1">
      <alignment horizontal="left" vertical="top"/>
    </xf>
    <xf numFmtId="0" fontId="1" fillId="0" borderId="0" xfId="0" applyFont="1" applyBorder="1" applyAlignment="1">
      <alignment horizontal="center" vertical="center" wrapText="1"/>
    </xf>
    <xf numFmtId="0" fontId="2" fillId="0" borderId="0" xfId="0" applyNumberFormat="1" applyFont="1"/>
    <xf numFmtId="0" fontId="2" fillId="0" borderId="0" xfId="0" applyNumberFormat="1" applyFont="1" applyAlignment="1">
      <alignment vertical="center"/>
    </xf>
    <xf numFmtId="0" fontId="2" fillId="0" borderId="13" xfId="0" applyNumberFormat="1" applyFont="1" applyBorder="1" applyAlignment="1">
      <alignment horizontal="center" vertical="center" wrapText="1"/>
    </xf>
    <xf numFmtId="11" fontId="2" fillId="0" borderId="14" xfId="0" applyNumberFormat="1" applyFont="1" applyBorder="1" applyAlignment="1">
      <alignment horizontal="center" vertical="center"/>
    </xf>
    <xf numFmtId="165" fontId="2" fillId="0" borderId="15" xfId="0" applyNumberFormat="1" applyFont="1" applyBorder="1" applyAlignment="1">
      <alignment horizontal="center" vertical="center"/>
    </xf>
    <xf numFmtId="9" fontId="2" fillId="7" borderId="4" xfId="0" applyNumberFormat="1" applyFont="1" applyFill="1" applyBorder="1" applyAlignment="1">
      <alignment horizontal="center"/>
    </xf>
    <xf numFmtId="0" fontId="1" fillId="0" borderId="0" xfId="0" applyFont="1" applyBorder="1" applyAlignment="1">
      <alignment horizontal="center"/>
    </xf>
    <xf numFmtId="0" fontId="2" fillId="0" borderId="2" xfId="0" applyFont="1" applyBorder="1" applyAlignment="1">
      <alignment horizontal="center"/>
    </xf>
    <xf numFmtId="0" fontId="2" fillId="0" borderId="3" xfId="0" applyFont="1" applyBorder="1" applyAlignment="1">
      <alignment horizontal="center"/>
    </xf>
    <xf numFmtId="0" fontId="2" fillId="0" borderId="4" xfId="0" applyFont="1" applyBorder="1" applyAlignment="1">
      <alignment horizontal="center"/>
    </xf>
    <xf numFmtId="0" fontId="2" fillId="0" borderId="1" xfId="0" applyFont="1" applyBorder="1" applyAlignment="1">
      <alignment horizontal="left" vertical="top" wrapText="1"/>
    </xf>
    <xf numFmtId="0" fontId="2" fillId="0" borderId="1" xfId="0" applyFont="1" applyBorder="1" applyAlignment="1">
      <alignment horizontal="center"/>
    </xf>
    <xf numFmtId="0" fontId="2" fillId="0" borderId="1" xfId="0" applyFont="1" applyBorder="1" applyAlignment="1">
      <alignment horizontal="center" wrapText="1"/>
    </xf>
    <xf numFmtId="0" fontId="5" fillId="0" borderId="12" xfId="0" applyFont="1" applyBorder="1" applyAlignment="1">
      <alignment horizontal="left" vertical="top" wrapText="1"/>
    </xf>
    <xf numFmtId="0" fontId="5" fillId="0" borderId="11" xfId="0" applyFont="1" applyBorder="1" applyAlignment="1">
      <alignment horizontal="left" vertical="top"/>
    </xf>
    <xf numFmtId="0" fontId="5" fillId="0" borderId="10" xfId="0" applyFont="1" applyBorder="1" applyAlignment="1">
      <alignment horizontal="left" vertical="top"/>
    </xf>
    <xf numFmtId="0" fontId="5" fillId="0" borderId="9" xfId="0" applyFont="1" applyBorder="1" applyAlignment="1">
      <alignment horizontal="left" vertical="top"/>
    </xf>
    <xf numFmtId="0" fontId="5" fillId="0" borderId="0" xfId="0" applyFont="1" applyAlignment="1">
      <alignment horizontal="left" vertical="top"/>
    </xf>
    <xf numFmtId="0" fontId="5" fillId="0" borderId="8" xfId="0" applyFont="1" applyBorder="1" applyAlignment="1">
      <alignment horizontal="left" vertical="top"/>
    </xf>
    <xf numFmtId="0" fontId="5" fillId="0" borderId="7" xfId="0" applyFont="1" applyBorder="1" applyAlignment="1">
      <alignment horizontal="left" vertical="top"/>
    </xf>
    <xf numFmtId="0" fontId="5" fillId="0" borderId="6" xfId="0" applyFont="1" applyBorder="1" applyAlignment="1">
      <alignment horizontal="left" vertical="top"/>
    </xf>
    <xf numFmtId="0" fontId="5" fillId="0" borderId="5" xfId="0" applyFont="1" applyBorder="1" applyAlignment="1">
      <alignment horizontal="left" vertical="top"/>
    </xf>
  </cellXfs>
  <cellStyles count="1">
    <cellStyle name="Normal" xfId="0" builtinId="0"/>
  </cellStyles>
  <dxfs count="3">
    <dxf>
      <font>
        <color rgb="FF9C5700"/>
      </font>
      <fill>
        <patternFill>
          <bgColor rgb="FFFFEB9C"/>
        </patternFill>
      </fill>
    </dxf>
    <dxf>
      <font>
        <color rgb="FF006100"/>
      </font>
      <fill>
        <patternFill>
          <bgColor rgb="FFC6EF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cap="none" spc="20" baseline="0">
                <a:solidFill>
                  <a:schemeClr val="dk1">
                    <a:lumMod val="50000"/>
                    <a:lumOff val="50000"/>
                  </a:schemeClr>
                </a:solidFill>
                <a:latin typeface="+mn-lt"/>
                <a:ea typeface="+mn-ea"/>
                <a:cs typeface="+mn-cs"/>
              </a:defRPr>
            </a:pPr>
            <a:r>
              <a:rPr lang="fr-FR"/>
              <a:t>Carte de contrôle bayesienne par attribut</a:t>
            </a:r>
          </a:p>
        </c:rich>
      </c:tx>
      <c:overlay val="0"/>
      <c:spPr>
        <a:noFill/>
        <a:ln>
          <a:noFill/>
        </a:ln>
        <a:effectLst/>
      </c:spPr>
      <c:txPr>
        <a:bodyPr rot="0" spcFirstLastPara="1" vertOverflow="ellipsis" vert="horz" wrap="square" anchor="ctr" anchorCtr="1"/>
        <a:lstStyle/>
        <a:p>
          <a:pPr>
            <a:defRPr sz="1400" b="0" i="0" u="none" strike="noStrike" kern="1200" cap="none" spc="20" baseline="0">
              <a:solidFill>
                <a:schemeClr val="dk1">
                  <a:lumMod val="50000"/>
                  <a:lumOff val="50000"/>
                </a:schemeClr>
              </a:solidFill>
              <a:latin typeface="+mn-lt"/>
              <a:ea typeface="+mn-ea"/>
              <a:cs typeface="+mn-cs"/>
            </a:defRPr>
          </a:pPr>
          <a:endParaRPr lang="fr-FR"/>
        </a:p>
      </c:txPr>
    </c:title>
    <c:autoTitleDeleted val="0"/>
    <c:plotArea>
      <c:layout>
        <c:manualLayout>
          <c:layoutTarget val="inner"/>
          <c:xMode val="edge"/>
          <c:yMode val="edge"/>
          <c:x val="0.11563904493811183"/>
          <c:y val="0.11769384937571019"/>
          <c:w val="0.858579708660549"/>
          <c:h val="0.74513048323939113"/>
        </c:manualLayout>
      </c:layout>
      <c:lineChart>
        <c:grouping val="standard"/>
        <c:varyColors val="0"/>
        <c:ser>
          <c:idx val="0"/>
          <c:order val="0"/>
          <c:tx>
            <c:strRef>
              <c:f>'Attribut bayesienne '!$J$19</c:f>
              <c:strCache>
                <c:ptCount val="1"/>
                <c:pt idx="0">
                  <c:v>proba P d'observer la limite acceptable</c:v>
                </c:pt>
              </c:strCache>
            </c:strRef>
          </c:tx>
          <c:spPr>
            <a:ln w="22225" cap="rnd" cmpd="sng" algn="ctr">
              <a:solidFill>
                <a:schemeClr val="accent1"/>
              </a:solidFill>
              <a:round/>
            </a:ln>
            <a:effectLst/>
          </c:spPr>
          <c:marker>
            <c:symbol val="none"/>
          </c:marker>
          <c:val>
            <c:numRef>
              <c:f>'Attribut bayesienne '!$J$20:$J$34</c:f>
              <c:numCache>
                <c:formatCode>0.0%</c:formatCode>
                <c:ptCount val="15"/>
                <c:pt idx="0">
                  <c:v>0.24079304834923287</c:v>
                </c:pt>
                <c:pt idx="1">
                  <c:v>0.13448004201862618</c:v>
                </c:pt>
                <c:pt idx="2">
                  <c:v>0.20282149364202606</c:v>
                </c:pt>
                <c:pt idx="3">
                  <c:v>0.26496436477880403</c:v>
                </c:pt>
                <c:pt idx="4">
                  <c:v>0.17294970824079092</c:v>
                </c:pt>
                <c:pt idx="5">
                  <c:v>0.10917270481037722</c:v>
                </c:pt>
                <c:pt idx="6">
                  <c:v>6.7024198270245305E-2</c:v>
                </c:pt>
                <c:pt idx="7">
                  <c:v>9.6678003886419339E-2</c:v>
                </c:pt>
                <c:pt idx="8">
                  <c:v>6.1284906469490918E-2</c:v>
                </c:pt>
                <c:pt idx="9">
                  <c:v>8.54273909642429E-2</c:v>
                </c:pt>
                <c:pt idx="10">
                  <c:v>0.19581342926832201</c:v>
                </c:pt>
                <c:pt idx="11">
                  <c:v>0.34046305366978014</c:v>
                </c:pt>
                <c:pt idx="12">
                  <c:v>0.3208820695790473</c:v>
                </c:pt>
                <c:pt idx="13">
                  <c:v>0.49461555258036694</c:v>
                </c:pt>
                <c:pt idx="14">
                  <c:v>0.34402232975611746</c:v>
                </c:pt>
              </c:numCache>
            </c:numRef>
          </c:val>
          <c:smooth val="0"/>
          <c:extLst>
            <c:ext xmlns:c16="http://schemas.microsoft.com/office/drawing/2014/chart" uri="{C3380CC4-5D6E-409C-BE32-E72D297353CC}">
              <c16:uniqueId val="{00000000-2C47-4CDC-984F-191FAD8AE4AA}"/>
            </c:ext>
          </c:extLst>
        </c:ser>
        <c:dLbls>
          <c:showLegendKey val="0"/>
          <c:showVal val="0"/>
          <c:showCatName val="0"/>
          <c:showSerName val="0"/>
          <c:showPercent val="0"/>
          <c:showBubbleSize val="0"/>
        </c:dLbls>
        <c:dropLines>
          <c:spPr>
            <a:ln w="9525" cap="flat" cmpd="sng" algn="ctr">
              <a:solidFill>
                <a:schemeClr val="dk1">
                  <a:lumMod val="35000"/>
                  <a:lumOff val="65000"/>
                  <a:alpha val="33000"/>
                </a:schemeClr>
              </a:solidFill>
              <a:round/>
            </a:ln>
            <a:effectLst/>
          </c:spPr>
        </c:dropLines>
        <c:smooth val="0"/>
        <c:axId val="770120264"/>
        <c:axId val="770118464"/>
      </c:lineChart>
      <c:catAx>
        <c:axId val="770120264"/>
        <c:scaling>
          <c:orientation val="minMax"/>
        </c:scaling>
        <c:delete val="0"/>
        <c:axPos val="b"/>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fr-FR"/>
          </a:p>
        </c:txPr>
        <c:crossAx val="770118464"/>
        <c:crosses val="autoZero"/>
        <c:auto val="1"/>
        <c:lblAlgn val="ctr"/>
        <c:lblOffset val="100"/>
        <c:noMultiLvlLbl val="0"/>
      </c:catAx>
      <c:valAx>
        <c:axId val="770118464"/>
        <c:scaling>
          <c:orientation val="minMax"/>
        </c:scaling>
        <c:delete val="0"/>
        <c:axPos val="l"/>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fr-FR"/>
          </a:p>
        </c:txPr>
        <c:crossAx val="770120264"/>
        <c:crosses val="autoZero"/>
        <c:crossBetween val="between"/>
      </c:valAx>
      <c:spPr>
        <a:gradFill>
          <a:gsLst>
            <a:gs pos="100000">
              <a:schemeClr val="lt1">
                <a:lumMod val="95000"/>
              </a:schemeClr>
            </a:gs>
            <a:gs pos="0">
              <a:schemeClr val="lt1"/>
            </a:gs>
          </a:gsLst>
          <a:lin ang="5400000" scaled="0"/>
        </a:gradFill>
        <a:ln cmpd="sng">
          <a:solidFill>
            <a:schemeClr val="tx1"/>
          </a:solid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fr-FR"/>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9525" cap="flat" cmpd="sng" algn="ctr">
      <a:solidFill>
        <a:schemeClr val="dk1">
          <a:lumMod val="15000"/>
          <a:lumOff val="85000"/>
        </a:schemeClr>
      </a:solidFill>
      <a:round/>
    </a:ln>
    <a:effectLst/>
  </c:spPr>
  <c:txPr>
    <a:bodyPr/>
    <a:lstStyle/>
    <a:p>
      <a:pPr>
        <a:defRPr/>
      </a:pPr>
      <a:endParaRPr lang="fr-FR"/>
    </a:p>
  </c:txPr>
  <c:printSettings>
    <c:headerFooter/>
    <c:pageMargins b="0.75" l="0.7" r="0.7" t="0.75" header="0.3" footer="0.3"/>
    <c:pageSetup/>
  </c:printSettings>
  <c:userShapes r:id="rId3"/>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cap="none" spc="20" baseline="0">
                <a:solidFill>
                  <a:schemeClr val="dk1">
                    <a:lumMod val="50000"/>
                    <a:lumOff val="50000"/>
                  </a:schemeClr>
                </a:solidFill>
                <a:latin typeface="+mn-lt"/>
                <a:ea typeface="+mn-ea"/>
                <a:cs typeface="+mn-cs"/>
              </a:defRPr>
            </a:pPr>
            <a:r>
              <a:rPr lang="en-US" sz="1600"/>
              <a:t>Point de rupture</a:t>
            </a:r>
          </a:p>
        </c:rich>
      </c:tx>
      <c:overlay val="0"/>
      <c:spPr>
        <a:noFill/>
        <a:ln>
          <a:noFill/>
        </a:ln>
        <a:effectLst/>
      </c:spPr>
      <c:txPr>
        <a:bodyPr rot="0" spcFirstLastPara="1" vertOverflow="ellipsis" vert="horz" wrap="square" anchor="ctr" anchorCtr="1"/>
        <a:lstStyle/>
        <a:p>
          <a:pPr>
            <a:defRPr sz="1400" b="0" i="0" u="none" strike="noStrike" kern="1200" cap="none" spc="20" baseline="0">
              <a:solidFill>
                <a:schemeClr val="dk1">
                  <a:lumMod val="50000"/>
                  <a:lumOff val="50000"/>
                </a:schemeClr>
              </a:solidFill>
              <a:latin typeface="+mn-lt"/>
              <a:ea typeface="+mn-ea"/>
              <a:cs typeface="+mn-cs"/>
            </a:defRPr>
          </a:pPr>
          <a:endParaRPr lang="fr-FR"/>
        </a:p>
      </c:txPr>
    </c:title>
    <c:autoTitleDeleted val="0"/>
    <c:plotArea>
      <c:layout/>
      <c:lineChart>
        <c:grouping val="standard"/>
        <c:varyColors val="0"/>
        <c:ser>
          <c:idx val="0"/>
          <c:order val="0"/>
          <c:tx>
            <c:strRef>
              <c:f>'Attribut bayesienne '!$B$19</c:f>
              <c:strCache>
                <c:ptCount val="1"/>
                <c:pt idx="0">
                  <c:v>point de rupture</c:v>
                </c:pt>
              </c:strCache>
            </c:strRef>
          </c:tx>
          <c:spPr>
            <a:ln w="22225" cap="rnd" cmpd="sng" algn="ctr">
              <a:solidFill>
                <a:schemeClr val="accent1"/>
              </a:solidFill>
              <a:round/>
            </a:ln>
            <a:effectLst/>
          </c:spPr>
          <c:marker>
            <c:symbol val="none"/>
          </c:marker>
          <c:val>
            <c:numRef>
              <c:f>'Attribut bayesienne '!$B$20:$B$119</c:f>
              <c:numCache>
                <c:formatCode>0.00E+00</c:formatCode>
                <c:ptCount val="100"/>
                <c:pt idx="0">
                  <c:v>4.8148148148148148E-2</c:v>
                </c:pt>
                <c:pt idx="1">
                  <c:v>5.0980392156862744E-2</c:v>
                </c:pt>
                <c:pt idx="2">
                  <c:v>2.777777777777778E-2</c:v>
                </c:pt>
                <c:pt idx="3">
                  <c:v>1.5555555555555559E-2</c:v>
                </c:pt>
                <c:pt idx="4">
                  <c:v>2.5714285714285714E-2</c:v>
                </c:pt>
                <c:pt idx="5">
                  <c:v>3.4188034188034191E-2</c:v>
                </c:pt>
                <c:pt idx="6">
                  <c:v>4.206349206349206E-2</c:v>
                </c:pt>
                <c:pt idx="7">
                  <c:v>3.5606060606060606E-2</c:v>
                </c:pt>
                <c:pt idx="8">
                  <c:v>4.4444444444444439E-2</c:v>
                </c:pt>
                <c:pt idx="9">
                  <c:v>3.9999999999999994E-2</c:v>
                </c:pt>
                <c:pt idx="10">
                  <c:v>2.1969696969696972E-2</c:v>
                </c:pt>
                <c:pt idx="11">
                  <c:v>3.1746031746031703E-3</c:v>
                </c:pt>
                <c:pt idx="12">
                  <c:v>6.0975609756097615E-3</c:v>
                </c:pt>
                <c:pt idx="13">
                  <c:v>3.106382978723404E-2</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formatCode="0.000%">
                  <c:v>0</c:v>
                </c:pt>
              </c:numCache>
            </c:numRef>
          </c:val>
          <c:smooth val="0"/>
          <c:extLst>
            <c:ext xmlns:c16="http://schemas.microsoft.com/office/drawing/2014/chart" uri="{C3380CC4-5D6E-409C-BE32-E72D297353CC}">
              <c16:uniqueId val="{00000000-2806-42F4-9DB6-3B9961510542}"/>
            </c:ext>
          </c:extLst>
        </c:ser>
        <c:dLbls>
          <c:showLegendKey val="0"/>
          <c:showVal val="0"/>
          <c:showCatName val="0"/>
          <c:showSerName val="0"/>
          <c:showPercent val="0"/>
          <c:showBubbleSize val="0"/>
        </c:dLbls>
        <c:dropLines>
          <c:spPr>
            <a:ln w="9525" cap="flat" cmpd="sng" algn="ctr">
              <a:solidFill>
                <a:schemeClr val="dk1">
                  <a:lumMod val="35000"/>
                  <a:lumOff val="65000"/>
                  <a:alpha val="33000"/>
                </a:schemeClr>
              </a:solidFill>
              <a:round/>
            </a:ln>
            <a:effectLst/>
          </c:spPr>
        </c:dropLines>
        <c:smooth val="0"/>
        <c:axId val="821418095"/>
        <c:axId val="821419055"/>
      </c:lineChart>
      <c:catAx>
        <c:axId val="821418095"/>
        <c:scaling>
          <c:orientation val="minMax"/>
        </c:scaling>
        <c:delete val="0"/>
        <c:axPos val="b"/>
        <c:majorTickMark val="cross"/>
        <c:minorTickMark val="in"/>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fr-FR"/>
          </a:p>
        </c:txPr>
        <c:crossAx val="821419055"/>
        <c:crosses val="autoZero"/>
        <c:auto val="1"/>
        <c:lblAlgn val="ctr"/>
        <c:lblOffset val="100"/>
        <c:noMultiLvlLbl val="0"/>
      </c:catAx>
      <c:valAx>
        <c:axId val="821419055"/>
        <c:scaling>
          <c:orientation val="minMax"/>
        </c:scaling>
        <c:delete val="0"/>
        <c:axPos val="l"/>
        <c:numFmt formatCode="0.00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fr-FR"/>
          </a:p>
        </c:txPr>
        <c:crossAx val="821418095"/>
        <c:crosses val="autoZero"/>
        <c:crossBetween val="between"/>
      </c:valAx>
      <c:spPr>
        <a:gradFill>
          <a:gsLst>
            <a:gs pos="100000">
              <a:schemeClr val="lt1">
                <a:lumMod val="95000"/>
              </a:schemeClr>
            </a:gs>
            <a:gs pos="0">
              <a:schemeClr val="lt1"/>
            </a:gs>
          </a:gsLst>
          <a:lin ang="5400000" scaled="0"/>
        </a:gradFill>
        <a:ln cmpd="sng">
          <a:solidFill>
            <a:schemeClr val="tx1"/>
          </a:solid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fr-FR"/>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9525" cap="flat" cmpd="sng" algn="ctr">
      <a:solidFill>
        <a:schemeClr val="dk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cap="none" spc="0" normalizeH="0" baseline="0">
                <a:solidFill>
                  <a:schemeClr val="dk1">
                    <a:lumMod val="50000"/>
                    <a:lumOff val="50000"/>
                  </a:schemeClr>
                </a:solidFill>
                <a:latin typeface="+mj-lt"/>
                <a:ea typeface="+mj-ea"/>
                <a:cs typeface="+mj-cs"/>
              </a:defRPr>
            </a:pPr>
            <a:r>
              <a:rPr lang="fr-FR" sz="1400"/>
              <a:t>Suivi</a:t>
            </a:r>
            <a:r>
              <a:rPr lang="fr-FR" sz="1400" baseline="0"/>
              <a:t> des observations</a:t>
            </a:r>
            <a:endParaRPr lang="fr-FR" sz="1400"/>
          </a:p>
        </c:rich>
      </c:tx>
      <c:overlay val="0"/>
      <c:spPr>
        <a:noFill/>
        <a:ln>
          <a:noFill/>
        </a:ln>
        <a:effectLst/>
      </c:spPr>
      <c:txPr>
        <a:bodyPr rot="0" spcFirstLastPara="1" vertOverflow="ellipsis" vert="horz" wrap="square" anchor="ctr" anchorCtr="1"/>
        <a:lstStyle/>
        <a:p>
          <a:pPr>
            <a:defRPr sz="1400" b="1" i="0" u="none" strike="noStrike" kern="1200" cap="none" spc="0" normalizeH="0" baseline="0">
              <a:solidFill>
                <a:schemeClr val="dk1">
                  <a:lumMod val="50000"/>
                  <a:lumOff val="50000"/>
                </a:schemeClr>
              </a:solidFill>
              <a:latin typeface="+mj-lt"/>
              <a:ea typeface="+mj-ea"/>
              <a:cs typeface="+mj-cs"/>
            </a:defRPr>
          </a:pPr>
          <a:endParaRPr lang="fr-FR"/>
        </a:p>
      </c:txPr>
    </c:title>
    <c:autoTitleDeleted val="0"/>
    <c:plotArea>
      <c:layout/>
      <c:lineChart>
        <c:grouping val="standard"/>
        <c:varyColors val="0"/>
        <c:ser>
          <c:idx val="0"/>
          <c:order val="0"/>
          <c:spPr>
            <a:ln w="22225" cap="rnd">
              <a:solidFill>
                <a:schemeClr val="accent1"/>
              </a:solidFill>
              <a:round/>
            </a:ln>
            <a:effectLst/>
          </c:spPr>
          <c:marker>
            <c:symbol val="none"/>
          </c:marker>
          <c:val>
            <c:numRef>
              <c:f>'Variable bayesienne'!$C$12:$C$42</c:f>
              <c:numCache>
                <c:formatCode>0.00</c:formatCode>
                <c:ptCount val="31"/>
                <c:pt idx="0">
                  <c:v>49.929428861074932</c:v>
                </c:pt>
                <c:pt idx="1">
                  <c:v>50.044496332898085</c:v>
                </c:pt>
                <c:pt idx="2">
                  <c:v>50.090532740646182</c:v>
                </c:pt>
                <c:pt idx="3">
                  <c:v>50.033171205283246</c:v>
                </c:pt>
                <c:pt idx="4">
                  <c:v>50.016976253575329</c:v>
                </c:pt>
                <c:pt idx="5">
                  <c:v>50.060644692050687</c:v>
                </c:pt>
                <c:pt idx="6">
                  <c:v>50.013257832724229</c:v>
                </c:pt>
                <c:pt idx="7">
                  <c:v>49.988216746821095</c:v>
                </c:pt>
                <c:pt idx="8">
                  <c:v>50.019918768430728</c:v>
                </c:pt>
                <c:pt idx="9">
                  <c:v>49.927339090725859</c:v>
                </c:pt>
                <c:pt idx="10">
                  <c:v>50.078490135470801</c:v>
                </c:pt>
                <c:pt idx="11">
                  <c:v>49.994548924439208</c:v>
                </c:pt>
                <c:pt idx="12">
                  <c:v>50.007396113509046</c:v>
                </c:pt>
                <c:pt idx="13">
                  <c:v>49.903879743007231</c:v>
                </c:pt>
                <c:pt idx="14">
                  <c:v>49.971477962764212</c:v>
                </c:pt>
                <c:pt idx="15">
                  <c:v>49.987540245551472</c:v>
                </c:pt>
                <c:pt idx="16">
                  <c:v>49.99562713597679</c:v>
                </c:pt>
                <c:pt idx="17">
                  <c:v>49.976899947245073</c:v>
                </c:pt>
                <c:pt idx="18">
                  <c:v>50.022165972561879</c:v>
                </c:pt>
                <c:pt idx="19">
                  <c:v>49.98008683561531</c:v>
                </c:pt>
                <c:pt idx="20">
                  <c:v>49.958528204825811</c:v>
                </c:pt>
                <c:pt idx="21">
                  <c:v>50.01036985980673</c:v>
                </c:pt>
                <c:pt idx="22">
                  <c:v>49.926359722242694</c:v>
                </c:pt>
                <c:pt idx="23">
                  <c:v>49.983113306140893</c:v>
                </c:pt>
                <c:pt idx="24">
                  <c:v>50.009429095387702</c:v>
                </c:pt>
                <c:pt idx="25">
                  <c:v>50.003278696756666</c:v>
                </c:pt>
                <c:pt idx="26">
                  <c:v>49.971556085792585</c:v>
                </c:pt>
                <c:pt idx="27">
                  <c:v>49.923979950160444</c:v>
                </c:pt>
                <c:pt idx="28">
                  <c:v>49.996951332426875</c:v>
                </c:pt>
                <c:pt idx="29">
                  <c:v>49.969807849082066</c:v>
                </c:pt>
                <c:pt idx="30">
                  <c:v>50.039622160838228</c:v>
                </c:pt>
              </c:numCache>
            </c:numRef>
          </c:val>
          <c:smooth val="0"/>
          <c:extLst>
            <c:ext xmlns:c16="http://schemas.microsoft.com/office/drawing/2014/chart" uri="{C3380CC4-5D6E-409C-BE32-E72D297353CC}">
              <c16:uniqueId val="{00000000-923D-4DB8-A246-4415AED7DD8A}"/>
            </c:ext>
          </c:extLst>
        </c:ser>
        <c:ser>
          <c:idx val="1"/>
          <c:order val="1"/>
          <c:tx>
            <c:v>moyenne connue à priori</c:v>
          </c:tx>
          <c:spPr>
            <a:ln w="22225" cap="rnd">
              <a:solidFill>
                <a:schemeClr val="accent2"/>
              </a:solidFill>
              <a:round/>
            </a:ln>
            <a:effectLst/>
          </c:spPr>
          <c:marker>
            <c:symbol val="none"/>
          </c:marker>
          <c:val>
            <c:numRef>
              <c:f>'Variable bayesienne'!$AI$13:$AI$42</c:f>
              <c:numCache>
                <c:formatCode>General</c:formatCode>
                <c:ptCount val="30"/>
                <c:pt idx="0">
                  <c:v>50</c:v>
                </c:pt>
                <c:pt idx="1">
                  <c:v>50</c:v>
                </c:pt>
                <c:pt idx="2">
                  <c:v>50</c:v>
                </c:pt>
                <c:pt idx="3">
                  <c:v>50</c:v>
                </c:pt>
                <c:pt idx="4">
                  <c:v>50</c:v>
                </c:pt>
                <c:pt idx="5">
                  <c:v>50</c:v>
                </c:pt>
                <c:pt idx="6">
                  <c:v>50</c:v>
                </c:pt>
                <c:pt idx="7">
                  <c:v>50</c:v>
                </c:pt>
                <c:pt idx="8">
                  <c:v>50</c:v>
                </c:pt>
                <c:pt idx="9">
                  <c:v>50</c:v>
                </c:pt>
                <c:pt idx="10">
                  <c:v>50</c:v>
                </c:pt>
                <c:pt idx="11">
                  <c:v>50</c:v>
                </c:pt>
                <c:pt idx="12">
                  <c:v>50</c:v>
                </c:pt>
                <c:pt idx="13">
                  <c:v>50</c:v>
                </c:pt>
                <c:pt idx="14">
                  <c:v>50</c:v>
                </c:pt>
                <c:pt idx="15">
                  <c:v>50</c:v>
                </c:pt>
                <c:pt idx="16">
                  <c:v>50</c:v>
                </c:pt>
                <c:pt idx="17">
                  <c:v>50</c:v>
                </c:pt>
                <c:pt idx="18">
                  <c:v>50</c:v>
                </c:pt>
                <c:pt idx="19">
                  <c:v>50</c:v>
                </c:pt>
                <c:pt idx="20">
                  <c:v>50</c:v>
                </c:pt>
                <c:pt idx="21">
                  <c:v>50</c:v>
                </c:pt>
                <c:pt idx="22">
                  <c:v>50</c:v>
                </c:pt>
                <c:pt idx="23">
                  <c:v>50</c:v>
                </c:pt>
                <c:pt idx="24">
                  <c:v>50</c:v>
                </c:pt>
                <c:pt idx="25">
                  <c:v>50</c:v>
                </c:pt>
                <c:pt idx="26">
                  <c:v>50</c:v>
                </c:pt>
                <c:pt idx="27">
                  <c:v>50</c:v>
                </c:pt>
                <c:pt idx="28">
                  <c:v>50</c:v>
                </c:pt>
                <c:pt idx="29">
                  <c:v>50</c:v>
                </c:pt>
              </c:numCache>
            </c:numRef>
          </c:val>
          <c:smooth val="0"/>
          <c:extLst>
            <c:ext xmlns:c16="http://schemas.microsoft.com/office/drawing/2014/chart" uri="{C3380CC4-5D6E-409C-BE32-E72D297353CC}">
              <c16:uniqueId val="{00000001-923D-4DB8-A246-4415AED7DD8A}"/>
            </c:ext>
          </c:extLst>
        </c:ser>
        <c:ser>
          <c:idx val="2"/>
          <c:order val="2"/>
          <c:tx>
            <c:strRef>
              <c:f>'Variable bayesienne'!$C$3</c:f>
              <c:strCache>
                <c:ptCount val="1"/>
                <c:pt idx="0">
                  <c:v>Tolérance +</c:v>
                </c:pt>
              </c:strCache>
            </c:strRef>
          </c:tx>
          <c:spPr>
            <a:ln w="22225" cap="rnd">
              <a:solidFill>
                <a:srgbClr val="FF0000"/>
              </a:solidFill>
              <a:round/>
            </a:ln>
            <a:effectLst/>
          </c:spPr>
          <c:marker>
            <c:symbol val="none"/>
          </c:marker>
          <c:val>
            <c:numRef>
              <c:f>'Variable bayesienne'!$AD$13:$AD$42</c:f>
              <c:numCache>
                <c:formatCode>General</c:formatCode>
                <c:ptCount val="30"/>
                <c:pt idx="0">
                  <c:v>50.2</c:v>
                </c:pt>
                <c:pt idx="1">
                  <c:v>50.2</c:v>
                </c:pt>
                <c:pt idx="2">
                  <c:v>50.2</c:v>
                </c:pt>
                <c:pt idx="3">
                  <c:v>50.2</c:v>
                </c:pt>
                <c:pt idx="4">
                  <c:v>50.2</c:v>
                </c:pt>
                <c:pt idx="5">
                  <c:v>50.2</c:v>
                </c:pt>
                <c:pt idx="6">
                  <c:v>50.2</c:v>
                </c:pt>
                <c:pt idx="7">
                  <c:v>50.2</c:v>
                </c:pt>
                <c:pt idx="8">
                  <c:v>50.2</c:v>
                </c:pt>
                <c:pt idx="9">
                  <c:v>50.2</c:v>
                </c:pt>
                <c:pt idx="10">
                  <c:v>50.2</c:v>
                </c:pt>
                <c:pt idx="11">
                  <c:v>50.2</c:v>
                </c:pt>
                <c:pt idx="12">
                  <c:v>50.2</c:v>
                </c:pt>
                <c:pt idx="13">
                  <c:v>50.2</c:v>
                </c:pt>
                <c:pt idx="14">
                  <c:v>50.2</c:v>
                </c:pt>
                <c:pt idx="15">
                  <c:v>50.2</c:v>
                </c:pt>
                <c:pt idx="16">
                  <c:v>50.2</c:v>
                </c:pt>
                <c:pt idx="17">
                  <c:v>50.2</c:v>
                </c:pt>
                <c:pt idx="18">
                  <c:v>50.2</c:v>
                </c:pt>
                <c:pt idx="19">
                  <c:v>50.2</c:v>
                </c:pt>
                <c:pt idx="20">
                  <c:v>50.2</c:v>
                </c:pt>
                <c:pt idx="21">
                  <c:v>50.2</c:v>
                </c:pt>
                <c:pt idx="22">
                  <c:v>50.2</c:v>
                </c:pt>
                <c:pt idx="23">
                  <c:v>50.2</c:v>
                </c:pt>
                <c:pt idx="24">
                  <c:v>50.2</c:v>
                </c:pt>
                <c:pt idx="25">
                  <c:v>50.2</c:v>
                </c:pt>
                <c:pt idx="26">
                  <c:v>50.2</c:v>
                </c:pt>
                <c:pt idx="27">
                  <c:v>50.2</c:v>
                </c:pt>
                <c:pt idx="28">
                  <c:v>50.2</c:v>
                </c:pt>
                <c:pt idx="29">
                  <c:v>50.2</c:v>
                </c:pt>
              </c:numCache>
            </c:numRef>
          </c:val>
          <c:smooth val="0"/>
          <c:extLst>
            <c:ext xmlns:c16="http://schemas.microsoft.com/office/drawing/2014/chart" uri="{C3380CC4-5D6E-409C-BE32-E72D297353CC}">
              <c16:uniqueId val="{00000002-923D-4DB8-A246-4415AED7DD8A}"/>
            </c:ext>
          </c:extLst>
        </c:ser>
        <c:ser>
          <c:idx val="3"/>
          <c:order val="3"/>
          <c:tx>
            <c:strRef>
              <c:f>'Variable bayesienne'!$C$4</c:f>
              <c:strCache>
                <c:ptCount val="1"/>
                <c:pt idx="0">
                  <c:v>Tolérance -</c:v>
                </c:pt>
              </c:strCache>
            </c:strRef>
          </c:tx>
          <c:spPr>
            <a:ln w="22225" cap="rnd">
              <a:solidFill>
                <a:srgbClr val="FF0000"/>
              </a:solidFill>
              <a:round/>
            </a:ln>
            <a:effectLst/>
          </c:spPr>
          <c:marker>
            <c:symbol val="none"/>
          </c:marker>
          <c:val>
            <c:numRef>
              <c:f>'Variable bayesienne'!$AE$13:$AE$42</c:f>
              <c:numCache>
                <c:formatCode>General</c:formatCode>
                <c:ptCount val="30"/>
                <c:pt idx="0">
                  <c:v>49.8</c:v>
                </c:pt>
                <c:pt idx="1">
                  <c:v>49.8</c:v>
                </c:pt>
                <c:pt idx="2">
                  <c:v>49.8</c:v>
                </c:pt>
                <c:pt idx="3">
                  <c:v>49.8</c:v>
                </c:pt>
                <c:pt idx="4">
                  <c:v>49.8</c:v>
                </c:pt>
                <c:pt idx="5">
                  <c:v>49.8</c:v>
                </c:pt>
                <c:pt idx="6">
                  <c:v>49.8</c:v>
                </c:pt>
                <c:pt idx="7">
                  <c:v>49.8</c:v>
                </c:pt>
                <c:pt idx="8">
                  <c:v>49.8</c:v>
                </c:pt>
                <c:pt idx="9">
                  <c:v>49.8</c:v>
                </c:pt>
                <c:pt idx="10">
                  <c:v>49.8</c:v>
                </c:pt>
                <c:pt idx="11">
                  <c:v>49.8</c:v>
                </c:pt>
                <c:pt idx="12">
                  <c:v>49.8</c:v>
                </c:pt>
                <c:pt idx="13">
                  <c:v>49.8</c:v>
                </c:pt>
                <c:pt idx="14">
                  <c:v>49.8</c:v>
                </c:pt>
                <c:pt idx="15">
                  <c:v>49.8</c:v>
                </c:pt>
                <c:pt idx="16">
                  <c:v>49.8</c:v>
                </c:pt>
                <c:pt idx="17">
                  <c:v>49.8</c:v>
                </c:pt>
                <c:pt idx="18">
                  <c:v>49.8</c:v>
                </c:pt>
                <c:pt idx="19">
                  <c:v>49.8</c:v>
                </c:pt>
                <c:pt idx="20">
                  <c:v>49.8</c:v>
                </c:pt>
                <c:pt idx="21">
                  <c:v>49.8</c:v>
                </c:pt>
                <c:pt idx="22">
                  <c:v>49.8</c:v>
                </c:pt>
                <c:pt idx="23">
                  <c:v>49.8</c:v>
                </c:pt>
                <c:pt idx="24">
                  <c:v>49.8</c:v>
                </c:pt>
                <c:pt idx="25">
                  <c:v>49.8</c:v>
                </c:pt>
                <c:pt idx="26">
                  <c:v>49.8</c:v>
                </c:pt>
                <c:pt idx="27">
                  <c:v>49.8</c:v>
                </c:pt>
                <c:pt idx="28">
                  <c:v>49.8</c:v>
                </c:pt>
                <c:pt idx="29">
                  <c:v>49.8</c:v>
                </c:pt>
              </c:numCache>
            </c:numRef>
          </c:val>
          <c:smooth val="0"/>
          <c:extLst>
            <c:ext xmlns:c16="http://schemas.microsoft.com/office/drawing/2014/chart" uri="{C3380CC4-5D6E-409C-BE32-E72D297353CC}">
              <c16:uniqueId val="{00000003-923D-4DB8-A246-4415AED7DD8A}"/>
            </c:ext>
          </c:extLst>
        </c:ser>
        <c:dLbls>
          <c:showLegendKey val="0"/>
          <c:showVal val="0"/>
          <c:showCatName val="0"/>
          <c:showSerName val="0"/>
          <c:showPercent val="0"/>
          <c:showBubbleSize val="0"/>
        </c:dLbls>
        <c:smooth val="0"/>
        <c:axId val="1581988352"/>
        <c:axId val="1581995072"/>
      </c:lineChart>
      <c:catAx>
        <c:axId val="1581988352"/>
        <c:scaling>
          <c:orientation val="minMax"/>
        </c:scaling>
        <c:delete val="0"/>
        <c:axPos val="b"/>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dk1">
                    <a:lumMod val="65000"/>
                    <a:lumOff val="35000"/>
                  </a:schemeClr>
                </a:solidFill>
                <a:latin typeface="+mn-lt"/>
                <a:ea typeface="+mn-ea"/>
                <a:cs typeface="+mn-cs"/>
              </a:defRPr>
            </a:pPr>
            <a:endParaRPr lang="fr-FR"/>
          </a:p>
        </c:txPr>
        <c:crossAx val="1581995072"/>
        <c:crosses val="autoZero"/>
        <c:auto val="1"/>
        <c:lblAlgn val="ctr"/>
        <c:lblOffset val="100"/>
        <c:noMultiLvlLbl val="0"/>
      </c:catAx>
      <c:valAx>
        <c:axId val="1581995072"/>
        <c:scaling>
          <c:orientation val="minMax"/>
        </c:scaling>
        <c:delete val="0"/>
        <c:axPos val="l"/>
        <c:majorGridlines>
          <c:spPr>
            <a:ln w="9525" cap="flat" cmpd="sng" algn="ctr">
              <a:solidFill>
                <a:schemeClr val="dk1">
                  <a:lumMod val="15000"/>
                  <a:lumOff val="85000"/>
                  <a:alpha val="54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fr-FR"/>
          </a:p>
        </c:txPr>
        <c:crossAx val="1581988352"/>
        <c:crosses val="autoZero"/>
        <c:crossBetween val="between"/>
      </c:valAx>
      <c:spPr>
        <a:pattFill prst="ltDnDiag">
          <a:fgClr>
            <a:schemeClr val="dk1">
              <a:lumMod val="15000"/>
              <a:lumOff val="85000"/>
            </a:schemeClr>
          </a:fgClr>
          <a:bgClr>
            <a:schemeClr val="lt1"/>
          </a:bgClr>
        </a:patt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fr-FR"/>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9525" cap="flat" cmpd="sng" algn="ctr">
      <a:solidFill>
        <a:schemeClr val="dk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cap="none" spc="0" normalizeH="0" baseline="0">
                <a:solidFill>
                  <a:schemeClr val="dk1">
                    <a:lumMod val="50000"/>
                    <a:lumOff val="50000"/>
                  </a:schemeClr>
                </a:solidFill>
                <a:latin typeface="+mj-lt"/>
                <a:ea typeface="+mj-ea"/>
                <a:cs typeface="+mj-cs"/>
              </a:defRPr>
            </a:pPr>
            <a:r>
              <a:rPr lang="fr-FR" sz="1400" baseline="0"/>
              <a:t>Probabilité d'un changement de la moyenne</a:t>
            </a:r>
            <a:endParaRPr lang="fr-FR" sz="1400"/>
          </a:p>
        </c:rich>
      </c:tx>
      <c:overlay val="0"/>
      <c:spPr>
        <a:noFill/>
        <a:ln>
          <a:noFill/>
        </a:ln>
        <a:effectLst/>
      </c:spPr>
      <c:txPr>
        <a:bodyPr rot="0" spcFirstLastPara="1" vertOverflow="ellipsis" vert="horz" wrap="square" anchor="ctr" anchorCtr="1"/>
        <a:lstStyle/>
        <a:p>
          <a:pPr>
            <a:defRPr sz="1600" b="1" i="0" u="none" strike="noStrike" kern="1200" cap="none" spc="0" normalizeH="0" baseline="0">
              <a:solidFill>
                <a:schemeClr val="dk1">
                  <a:lumMod val="50000"/>
                  <a:lumOff val="50000"/>
                </a:schemeClr>
              </a:solidFill>
              <a:latin typeface="+mj-lt"/>
              <a:ea typeface="+mj-ea"/>
              <a:cs typeface="+mj-cs"/>
            </a:defRPr>
          </a:pPr>
          <a:endParaRPr lang="fr-FR"/>
        </a:p>
      </c:txPr>
    </c:title>
    <c:autoTitleDeleted val="0"/>
    <c:plotArea>
      <c:layout/>
      <c:lineChart>
        <c:grouping val="standard"/>
        <c:varyColors val="0"/>
        <c:ser>
          <c:idx val="7"/>
          <c:order val="0"/>
          <c:tx>
            <c:strRef>
              <c:f>'Variable bayesienne'!$I$11</c:f>
              <c:strCache>
                <c:ptCount val="1"/>
                <c:pt idx="0">
                  <c:v>Proba changement moyenne</c:v>
                </c:pt>
              </c:strCache>
            </c:strRef>
          </c:tx>
          <c:spPr>
            <a:ln w="22225" cap="rnd">
              <a:solidFill>
                <a:schemeClr val="accent2">
                  <a:lumMod val="60000"/>
                </a:schemeClr>
              </a:solidFill>
              <a:round/>
            </a:ln>
            <a:effectLst/>
          </c:spPr>
          <c:marker>
            <c:symbol val="none"/>
          </c:marker>
          <c:val>
            <c:numRef>
              <c:f>'Variable bayesienne'!$I$12:$I$42</c:f>
              <c:numCache>
                <c:formatCode>0.0%</c:formatCode>
                <c:ptCount val="31"/>
                <c:pt idx="0">
                  <c:v>-0.83169481172983528</c:v>
                </c:pt>
                <c:pt idx="1">
                  <c:v>-0.31172590002574374</c:v>
                </c:pt>
                <c:pt idx="2">
                  <c:v>0.60168167690817476</c:v>
                </c:pt>
                <c:pt idx="3">
                  <c:v>0.7428192395818245</c:v>
                </c:pt>
                <c:pt idx="4">
                  <c:v>0.77235188942323596</c:v>
                </c:pt>
                <c:pt idx="5">
                  <c:v>0.9109171372569107</c:v>
                </c:pt>
                <c:pt idx="6">
                  <c:v>0.91180450910752198</c:v>
                </c:pt>
                <c:pt idx="7">
                  <c:v>0.86717998582585709</c:v>
                </c:pt>
                <c:pt idx="8">
                  <c:v>0.88666162109293545</c:v>
                </c:pt>
                <c:pt idx="9">
                  <c:v>0.65800563693509528</c:v>
                </c:pt>
                <c:pt idx="10">
                  <c:v>0.86209679299967878</c:v>
                </c:pt>
                <c:pt idx="11">
                  <c:v>0.83407477606066194</c:v>
                </c:pt>
                <c:pt idx="12">
                  <c:v>0.83355881627236572</c:v>
                </c:pt>
                <c:pt idx="13">
                  <c:v>0.52080614453687901</c:v>
                </c:pt>
                <c:pt idx="14">
                  <c:v>0.3859507892992029</c:v>
                </c:pt>
                <c:pt idx="15">
                  <c:v>0.32006560383917582</c:v>
                </c:pt>
                <c:pt idx="16">
                  <c:v>0.29208623493572472</c:v>
                </c:pt>
                <c:pt idx="17">
                  <c:v>0.1824597916769477</c:v>
                </c:pt>
                <c:pt idx="18">
                  <c:v>0.27351248353187962</c:v>
                </c:pt>
                <c:pt idx="19">
                  <c:v>0.18318555114617241</c:v>
                </c:pt>
                <c:pt idx="20">
                  <c:v>2.6745938582231066E-3</c:v>
                </c:pt>
                <c:pt idx="21">
                  <c:v>4.6061761426905434E-2</c:v>
                </c:pt>
                <c:pt idx="22">
                  <c:v>-0.25263629787949093</c:v>
                </c:pt>
                <c:pt idx="23">
                  <c:v>-0.311256880888372</c:v>
                </c:pt>
                <c:pt idx="24">
                  <c:v>-0.27074673711247654</c:v>
                </c:pt>
                <c:pt idx="25">
                  <c:v>-0.25381953573508387</c:v>
                </c:pt>
                <c:pt idx="26">
                  <c:v>-0.34947125425945402</c:v>
                </c:pt>
                <c:pt idx="27">
                  <c:v>-0.57638990748790531</c:v>
                </c:pt>
                <c:pt idx="28">
                  <c:v>-0.57661315243925304</c:v>
                </c:pt>
                <c:pt idx="29">
                  <c:v>-0.6443823474195699</c:v>
                </c:pt>
                <c:pt idx="30">
                  <c:v>-0.53640043398683024</c:v>
                </c:pt>
              </c:numCache>
            </c:numRef>
          </c:val>
          <c:smooth val="0"/>
          <c:extLst>
            <c:ext xmlns:c16="http://schemas.microsoft.com/office/drawing/2014/chart" uri="{C3380CC4-5D6E-409C-BE32-E72D297353CC}">
              <c16:uniqueId val="{00000000-9FF8-46B1-848D-9E34536513CD}"/>
            </c:ext>
          </c:extLst>
        </c:ser>
        <c:ser>
          <c:idx val="0"/>
          <c:order val="1"/>
          <c:tx>
            <c:v>Seuil de confiance</c:v>
          </c:tx>
          <c:spPr>
            <a:ln w="22225" cap="rnd">
              <a:solidFill>
                <a:srgbClr val="FF0000"/>
              </a:solidFill>
              <a:round/>
            </a:ln>
            <a:effectLst/>
          </c:spPr>
          <c:marker>
            <c:symbol val="none"/>
          </c:marker>
          <c:val>
            <c:numRef>
              <c:f>'Variable bayesienne'!$AF$13:$AF$42</c:f>
              <c:numCache>
                <c:formatCode>0%</c:formatCode>
                <c:ptCount val="30"/>
                <c:pt idx="0">
                  <c:v>0.95</c:v>
                </c:pt>
                <c:pt idx="1">
                  <c:v>0.95</c:v>
                </c:pt>
                <c:pt idx="2">
                  <c:v>0.95</c:v>
                </c:pt>
                <c:pt idx="3">
                  <c:v>0.95</c:v>
                </c:pt>
                <c:pt idx="4">
                  <c:v>0.95</c:v>
                </c:pt>
                <c:pt idx="5">
                  <c:v>0.95</c:v>
                </c:pt>
                <c:pt idx="6">
                  <c:v>0.95</c:v>
                </c:pt>
                <c:pt idx="7">
                  <c:v>0.95</c:v>
                </c:pt>
                <c:pt idx="8">
                  <c:v>0.95</c:v>
                </c:pt>
                <c:pt idx="9">
                  <c:v>0.95</c:v>
                </c:pt>
                <c:pt idx="10">
                  <c:v>0.95</c:v>
                </c:pt>
                <c:pt idx="11">
                  <c:v>0.95</c:v>
                </c:pt>
                <c:pt idx="12">
                  <c:v>0.95</c:v>
                </c:pt>
                <c:pt idx="13">
                  <c:v>0.95</c:v>
                </c:pt>
                <c:pt idx="14">
                  <c:v>0.95</c:v>
                </c:pt>
                <c:pt idx="15">
                  <c:v>0.95</c:v>
                </c:pt>
                <c:pt idx="16">
                  <c:v>0.95</c:v>
                </c:pt>
                <c:pt idx="17">
                  <c:v>0.95</c:v>
                </c:pt>
                <c:pt idx="18">
                  <c:v>0.95</c:v>
                </c:pt>
                <c:pt idx="19">
                  <c:v>0.95</c:v>
                </c:pt>
                <c:pt idx="20">
                  <c:v>0.95</c:v>
                </c:pt>
                <c:pt idx="21">
                  <c:v>0.95</c:v>
                </c:pt>
                <c:pt idx="22">
                  <c:v>0.95</c:v>
                </c:pt>
                <c:pt idx="23">
                  <c:v>0.95</c:v>
                </c:pt>
                <c:pt idx="24">
                  <c:v>0.95</c:v>
                </c:pt>
                <c:pt idx="25">
                  <c:v>0.95</c:v>
                </c:pt>
                <c:pt idx="26">
                  <c:v>0.95</c:v>
                </c:pt>
                <c:pt idx="27">
                  <c:v>0.95</c:v>
                </c:pt>
                <c:pt idx="28">
                  <c:v>0.95</c:v>
                </c:pt>
                <c:pt idx="29">
                  <c:v>0.95</c:v>
                </c:pt>
              </c:numCache>
            </c:numRef>
          </c:val>
          <c:smooth val="0"/>
          <c:extLst>
            <c:ext xmlns:c16="http://schemas.microsoft.com/office/drawing/2014/chart" uri="{C3380CC4-5D6E-409C-BE32-E72D297353CC}">
              <c16:uniqueId val="{00000001-9FF8-46B1-848D-9E34536513CD}"/>
            </c:ext>
          </c:extLst>
        </c:ser>
        <c:ser>
          <c:idx val="1"/>
          <c:order val="2"/>
          <c:tx>
            <c:v>Seuil de confiance</c:v>
          </c:tx>
          <c:spPr>
            <a:ln w="22225" cap="rnd">
              <a:solidFill>
                <a:srgbClr val="FF0000"/>
              </a:solidFill>
              <a:round/>
            </a:ln>
            <a:effectLst/>
          </c:spPr>
          <c:marker>
            <c:symbol val="none"/>
          </c:marker>
          <c:val>
            <c:numRef>
              <c:f>'Variable bayesienne'!$AG$13:$AG$42</c:f>
              <c:numCache>
                <c:formatCode>0%</c:formatCode>
                <c:ptCount val="30"/>
                <c:pt idx="0">
                  <c:v>-0.95</c:v>
                </c:pt>
                <c:pt idx="1">
                  <c:v>-0.95</c:v>
                </c:pt>
                <c:pt idx="2">
                  <c:v>-0.95</c:v>
                </c:pt>
                <c:pt idx="3">
                  <c:v>-0.95</c:v>
                </c:pt>
                <c:pt idx="4">
                  <c:v>-0.95</c:v>
                </c:pt>
                <c:pt idx="5">
                  <c:v>-0.95</c:v>
                </c:pt>
                <c:pt idx="6">
                  <c:v>-0.95</c:v>
                </c:pt>
                <c:pt idx="7">
                  <c:v>-0.95</c:v>
                </c:pt>
                <c:pt idx="8">
                  <c:v>-0.95</c:v>
                </c:pt>
                <c:pt idx="9">
                  <c:v>-0.95</c:v>
                </c:pt>
                <c:pt idx="10">
                  <c:v>-0.95</c:v>
                </c:pt>
                <c:pt idx="11">
                  <c:v>-0.95</c:v>
                </c:pt>
                <c:pt idx="12">
                  <c:v>-0.95</c:v>
                </c:pt>
                <c:pt idx="13">
                  <c:v>-0.95</c:v>
                </c:pt>
                <c:pt idx="14">
                  <c:v>-0.95</c:v>
                </c:pt>
                <c:pt idx="15">
                  <c:v>-0.95</c:v>
                </c:pt>
                <c:pt idx="16">
                  <c:v>-0.95</c:v>
                </c:pt>
                <c:pt idx="17">
                  <c:v>-0.95</c:v>
                </c:pt>
                <c:pt idx="18">
                  <c:v>-0.95</c:v>
                </c:pt>
                <c:pt idx="19">
                  <c:v>-0.95</c:v>
                </c:pt>
                <c:pt idx="20">
                  <c:v>-0.95</c:v>
                </c:pt>
                <c:pt idx="21">
                  <c:v>-0.95</c:v>
                </c:pt>
                <c:pt idx="22">
                  <c:v>-0.95</c:v>
                </c:pt>
                <c:pt idx="23">
                  <c:v>-0.95</c:v>
                </c:pt>
                <c:pt idx="24">
                  <c:v>-0.95</c:v>
                </c:pt>
                <c:pt idx="25">
                  <c:v>-0.95</c:v>
                </c:pt>
                <c:pt idx="26">
                  <c:v>-0.95</c:v>
                </c:pt>
                <c:pt idx="27">
                  <c:v>-0.95</c:v>
                </c:pt>
                <c:pt idx="28">
                  <c:v>-0.95</c:v>
                </c:pt>
                <c:pt idx="29">
                  <c:v>-0.95</c:v>
                </c:pt>
              </c:numCache>
            </c:numRef>
          </c:val>
          <c:smooth val="0"/>
          <c:extLst>
            <c:ext xmlns:c16="http://schemas.microsoft.com/office/drawing/2014/chart" uri="{C3380CC4-5D6E-409C-BE32-E72D297353CC}">
              <c16:uniqueId val="{00000002-9FF8-46B1-848D-9E34536513CD}"/>
            </c:ext>
          </c:extLst>
        </c:ser>
        <c:dLbls>
          <c:showLegendKey val="0"/>
          <c:showVal val="0"/>
          <c:showCatName val="0"/>
          <c:showSerName val="0"/>
          <c:showPercent val="0"/>
          <c:showBubbleSize val="0"/>
        </c:dLbls>
        <c:smooth val="0"/>
        <c:axId val="1477461856"/>
        <c:axId val="1476752928"/>
      </c:lineChart>
      <c:catAx>
        <c:axId val="1477461856"/>
        <c:scaling>
          <c:orientation val="minMax"/>
        </c:scaling>
        <c:delete val="0"/>
        <c:axPos val="b"/>
        <c:majorGridlines>
          <c:spPr>
            <a:ln w="9525" cap="flat" cmpd="sng" algn="ctr">
              <a:solidFill>
                <a:schemeClr val="dk1">
                  <a:lumMod val="15000"/>
                  <a:lumOff val="85000"/>
                  <a:alpha val="54000"/>
                </a:schemeClr>
              </a:solidFill>
              <a:round/>
            </a:ln>
            <a:effectLst/>
          </c:spPr>
        </c:majorGridlines>
        <c:minorGridlines>
          <c:spPr>
            <a:ln w="9525" cap="flat" cmpd="sng" algn="ctr">
              <a:solidFill>
                <a:schemeClr val="dk1">
                  <a:lumMod val="15000"/>
                  <a:lumOff val="85000"/>
                  <a:alpha val="51000"/>
                </a:schemeClr>
              </a:solidFill>
              <a:round/>
            </a:ln>
            <a:effectLst/>
          </c:spPr>
        </c:minorGridlines>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dk1">
                    <a:lumMod val="65000"/>
                    <a:lumOff val="35000"/>
                  </a:schemeClr>
                </a:solidFill>
                <a:latin typeface="+mn-lt"/>
                <a:ea typeface="+mn-ea"/>
                <a:cs typeface="+mn-cs"/>
              </a:defRPr>
            </a:pPr>
            <a:endParaRPr lang="fr-FR"/>
          </a:p>
        </c:txPr>
        <c:crossAx val="1476752928"/>
        <c:crosses val="autoZero"/>
        <c:auto val="1"/>
        <c:lblAlgn val="ctr"/>
        <c:lblOffset val="100"/>
        <c:noMultiLvlLbl val="0"/>
      </c:catAx>
      <c:valAx>
        <c:axId val="1476752928"/>
        <c:scaling>
          <c:orientation val="minMax"/>
          <c:max val="1"/>
          <c:min val="-1"/>
        </c:scaling>
        <c:delete val="0"/>
        <c:axPos val="l"/>
        <c:majorGridlines>
          <c:spPr>
            <a:ln w="9525" cap="flat" cmpd="sng" algn="ctr">
              <a:solidFill>
                <a:schemeClr val="dk1">
                  <a:lumMod val="15000"/>
                  <a:lumOff val="85000"/>
                  <a:alpha val="54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fr-FR"/>
          </a:p>
        </c:txPr>
        <c:crossAx val="1477461856"/>
        <c:crosses val="autoZero"/>
        <c:crossBetween val="between"/>
      </c:valAx>
      <c:spPr>
        <a:pattFill prst="ltDnDiag">
          <a:fgClr>
            <a:schemeClr val="dk1">
              <a:lumMod val="15000"/>
              <a:lumOff val="85000"/>
            </a:schemeClr>
          </a:fgClr>
          <a:bgClr>
            <a:schemeClr val="lt1"/>
          </a:bgClr>
        </a:patt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fr-FR"/>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9525" cap="flat" cmpd="sng" algn="ctr">
      <a:solidFill>
        <a:schemeClr val="dk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cap="none" spc="0" normalizeH="0" baseline="0">
                <a:solidFill>
                  <a:schemeClr val="dk1">
                    <a:lumMod val="50000"/>
                    <a:lumOff val="50000"/>
                  </a:schemeClr>
                </a:solidFill>
                <a:latin typeface="+mj-lt"/>
                <a:ea typeface="+mj-ea"/>
                <a:cs typeface="+mj-cs"/>
              </a:defRPr>
            </a:pPr>
            <a:r>
              <a:rPr lang="fr-FR" sz="1400"/>
              <a:t>Suivi</a:t>
            </a:r>
            <a:r>
              <a:rPr lang="fr-FR" sz="1400" baseline="0"/>
              <a:t> de la variance bayesienne</a:t>
            </a:r>
            <a:endParaRPr lang="fr-FR" sz="1400"/>
          </a:p>
        </c:rich>
      </c:tx>
      <c:overlay val="0"/>
      <c:spPr>
        <a:noFill/>
        <a:ln>
          <a:noFill/>
        </a:ln>
        <a:effectLst/>
      </c:spPr>
      <c:txPr>
        <a:bodyPr rot="0" spcFirstLastPara="1" vertOverflow="ellipsis" vert="horz" wrap="square" anchor="ctr" anchorCtr="1"/>
        <a:lstStyle/>
        <a:p>
          <a:pPr>
            <a:defRPr sz="1400" b="1" i="0" u="none" strike="noStrike" kern="1200" cap="none" spc="0" normalizeH="0" baseline="0">
              <a:solidFill>
                <a:schemeClr val="dk1">
                  <a:lumMod val="50000"/>
                  <a:lumOff val="50000"/>
                </a:schemeClr>
              </a:solidFill>
              <a:latin typeface="+mj-lt"/>
              <a:ea typeface="+mj-ea"/>
              <a:cs typeface="+mj-cs"/>
            </a:defRPr>
          </a:pPr>
          <a:endParaRPr lang="fr-FR"/>
        </a:p>
      </c:txPr>
    </c:title>
    <c:autoTitleDeleted val="0"/>
    <c:plotArea>
      <c:layout/>
      <c:lineChart>
        <c:grouping val="standard"/>
        <c:varyColors val="0"/>
        <c:ser>
          <c:idx val="0"/>
          <c:order val="0"/>
          <c:tx>
            <c:strRef>
              <c:f>'Variable bayesienne'!$K$11</c:f>
              <c:strCache>
                <c:ptCount val="1"/>
                <c:pt idx="0">
                  <c:v>Var. bayésienne (σ²ₙ)</c:v>
                </c:pt>
              </c:strCache>
            </c:strRef>
          </c:tx>
          <c:spPr>
            <a:ln w="22225" cap="rnd">
              <a:solidFill>
                <a:schemeClr val="accent1"/>
              </a:solidFill>
              <a:round/>
            </a:ln>
            <a:effectLst/>
          </c:spPr>
          <c:marker>
            <c:symbol val="none"/>
          </c:marker>
          <c:val>
            <c:numRef>
              <c:f>'Variable bayesienne'!$K$13:$K$42</c:f>
              <c:numCache>
                <c:formatCode>0.00</c:formatCode>
                <c:ptCount val="30"/>
                <c:pt idx="0">
                  <c:v>2.3355846150984478E-3</c:v>
                </c:pt>
                <c:pt idx="1">
                  <c:v>2.8171444641009692E-3</c:v>
                </c:pt>
                <c:pt idx="2">
                  <c:v>2.5703502763534348E-3</c:v>
                </c:pt>
                <c:pt idx="3">
                  <c:v>2.3598357685021137E-3</c:v>
                </c:pt>
                <c:pt idx="4">
                  <c:v>2.2695324404485855E-3</c:v>
                </c:pt>
                <c:pt idx="5">
                  <c:v>2.1229996492586971E-3</c:v>
                </c:pt>
                <c:pt idx="6">
                  <c:v>2.0688900944752482E-3</c:v>
                </c:pt>
                <c:pt idx="7">
                  <c:v>1.9398465068542294E-3</c:v>
                </c:pt>
                <c:pt idx="8">
                  <c:v>2.2986176919821983E-3</c:v>
                </c:pt>
                <c:pt idx="9">
                  <c:v>2.3915296891346685E-3</c:v>
                </c:pt>
                <c:pt idx="10">
                  <c:v>2.2931205755112073E-3</c:v>
                </c:pt>
                <c:pt idx="11">
                  <c:v>2.1822216005503701E-3</c:v>
                </c:pt>
                <c:pt idx="12">
                  <c:v>2.6314357630774624E-3</c:v>
                </c:pt>
                <c:pt idx="13">
                  <c:v>2.5675964345858453E-3</c:v>
                </c:pt>
                <c:pt idx="14">
                  <c:v>2.4688447429239823E-3</c:v>
                </c:pt>
                <c:pt idx="15">
                  <c:v>2.3688631915833105E-3</c:v>
                </c:pt>
                <c:pt idx="16">
                  <c:v>2.301247378266208E-3</c:v>
                </c:pt>
                <c:pt idx="17">
                  <c:v>2.2272435956826203E-3</c:v>
                </c:pt>
                <c:pt idx="18">
                  <c:v>2.1636532770759487E-3</c:v>
                </c:pt>
                <c:pt idx="19">
                  <c:v>2.150968981264417E-3</c:v>
                </c:pt>
                <c:pt idx="20">
                  <c:v>2.08031690991472E-3</c:v>
                </c:pt>
                <c:pt idx="21">
                  <c:v>2.1862313158722887E-3</c:v>
                </c:pt>
                <c:pt idx="22">
                  <c:v>2.1219087123179881E-3</c:v>
                </c:pt>
                <c:pt idx="23">
                  <c:v>2.0604705755664439E-3</c:v>
                </c:pt>
                <c:pt idx="24">
                  <c:v>1.9991101991013757E-3</c:v>
                </c:pt>
                <c:pt idx="25">
                  <c:v>1.9592732508503605E-3</c:v>
                </c:pt>
                <c:pt idx="26">
                  <c:v>2.048075312246126E-3</c:v>
                </c:pt>
                <c:pt idx="27">
                  <c:v>1.9914369115003683E-3</c:v>
                </c:pt>
                <c:pt idx="28">
                  <c:v>1.9528901345173364E-3</c:v>
                </c:pt>
                <c:pt idx="29">
                  <c:v>1.9564216848985791E-3</c:v>
                </c:pt>
              </c:numCache>
            </c:numRef>
          </c:val>
          <c:smooth val="0"/>
          <c:extLst>
            <c:ext xmlns:c16="http://schemas.microsoft.com/office/drawing/2014/chart" uri="{C3380CC4-5D6E-409C-BE32-E72D297353CC}">
              <c16:uniqueId val="{00000000-BDB7-4D9B-BF35-94A9E78AE765}"/>
            </c:ext>
          </c:extLst>
        </c:ser>
        <c:ser>
          <c:idx val="1"/>
          <c:order val="1"/>
          <c:tx>
            <c:strRef>
              <c:f>'Variable bayesienne'!$C$5</c:f>
              <c:strCache>
                <c:ptCount val="1"/>
                <c:pt idx="0">
                  <c:v>écart-type connu a priori σ0</c:v>
                </c:pt>
              </c:strCache>
            </c:strRef>
          </c:tx>
          <c:spPr>
            <a:ln w="22225" cap="rnd">
              <a:solidFill>
                <a:schemeClr val="accent2"/>
              </a:solidFill>
              <a:round/>
            </a:ln>
            <a:effectLst/>
          </c:spPr>
          <c:marker>
            <c:symbol val="none"/>
          </c:marker>
          <c:val>
            <c:numRef>
              <c:f>'Variable bayesienne'!$AH$13:$AH$42</c:f>
              <c:numCache>
                <c:formatCode>General</c:formatCode>
                <c:ptCount val="30"/>
                <c:pt idx="0">
                  <c:v>1.6000000000000001E-3</c:v>
                </c:pt>
                <c:pt idx="1">
                  <c:v>1.6000000000000001E-3</c:v>
                </c:pt>
                <c:pt idx="2">
                  <c:v>1.6000000000000001E-3</c:v>
                </c:pt>
                <c:pt idx="3">
                  <c:v>1.6000000000000001E-3</c:v>
                </c:pt>
                <c:pt idx="4">
                  <c:v>1.6000000000000001E-3</c:v>
                </c:pt>
                <c:pt idx="5">
                  <c:v>1.6000000000000001E-3</c:v>
                </c:pt>
                <c:pt idx="6">
                  <c:v>1.6000000000000001E-3</c:v>
                </c:pt>
                <c:pt idx="7">
                  <c:v>1.6000000000000001E-3</c:v>
                </c:pt>
                <c:pt idx="8">
                  <c:v>1.6000000000000001E-3</c:v>
                </c:pt>
                <c:pt idx="9">
                  <c:v>1.6000000000000001E-3</c:v>
                </c:pt>
                <c:pt idx="10">
                  <c:v>1.6000000000000001E-3</c:v>
                </c:pt>
                <c:pt idx="11">
                  <c:v>1.6000000000000001E-3</c:v>
                </c:pt>
                <c:pt idx="12">
                  <c:v>1.6000000000000001E-3</c:v>
                </c:pt>
                <c:pt idx="13">
                  <c:v>1.6000000000000001E-3</c:v>
                </c:pt>
                <c:pt idx="14">
                  <c:v>1.6000000000000001E-3</c:v>
                </c:pt>
                <c:pt idx="15">
                  <c:v>1.6000000000000001E-3</c:v>
                </c:pt>
                <c:pt idx="16">
                  <c:v>1.6000000000000001E-3</c:v>
                </c:pt>
                <c:pt idx="17">
                  <c:v>1.6000000000000001E-3</c:v>
                </c:pt>
                <c:pt idx="18">
                  <c:v>1.6000000000000001E-3</c:v>
                </c:pt>
                <c:pt idx="19">
                  <c:v>1.6000000000000001E-3</c:v>
                </c:pt>
                <c:pt idx="20">
                  <c:v>1.6000000000000001E-3</c:v>
                </c:pt>
                <c:pt idx="21">
                  <c:v>1.6000000000000001E-3</c:v>
                </c:pt>
                <c:pt idx="22">
                  <c:v>1.6000000000000001E-3</c:v>
                </c:pt>
                <c:pt idx="23">
                  <c:v>1.6000000000000001E-3</c:v>
                </c:pt>
                <c:pt idx="24">
                  <c:v>1.6000000000000001E-3</c:v>
                </c:pt>
                <c:pt idx="25">
                  <c:v>1.6000000000000001E-3</c:v>
                </c:pt>
                <c:pt idx="26">
                  <c:v>1.6000000000000001E-3</c:v>
                </c:pt>
                <c:pt idx="27">
                  <c:v>1.6000000000000001E-3</c:v>
                </c:pt>
                <c:pt idx="28">
                  <c:v>1.6000000000000001E-3</c:v>
                </c:pt>
                <c:pt idx="29">
                  <c:v>1.6000000000000001E-3</c:v>
                </c:pt>
              </c:numCache>
            </c:numRef>
          </c:val>
          <c:smooth val="0"/>
          <c:extLst>
            <c:ext xmlns:c16="http://schemas.microsoft.com/office/drawing/2014/chart" uri="{C3380CC4-5D6E-409C-BE32-E72D297353CC}">
              <c16:uniqueId val="{00000001-BDB7-4D9B-BF35-94A9E78AE765}"/>
            </c:ext>
          </c:extLst>
        </c:ser>
        <c:dLbls>
          <c:showLegendKey val="0"/>
          <c:showVal val="0"/>
          <c:showCatName val="0"/>
          <c:showSerName val="0"/>
          <c:showPercent val="0"/>
          <c:showBubbleSize val="0"/>
        </c:dLbls>
        <c:smooth val="0"/>
        <c:axId val="1581986432"/>
        <c:axId val="1581989312"/>
      </c:lineChart>
      <c:catAx>
        <c:axId val="1581986432"/>
        <c:scaling>
          <c:orientation val="minMax"/>
        </c:scaling>
        <c:delete val="0"/>
        <c:axPos val="b"/>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dk1">
                    <a:lumMod val="65000"/>
                    <a:lumOff val="35000"/>
                  </a:schemeClr>
                </a:solidFill>
                <a:latin typeface="+mn-lt"/>
                <a:ea typeface="+mn-ea"/>
                <a:cs typeface="+mn-cs"/>
              </a:defRPr>
            </a:pPr>
            <a:endParaRPr lang="fr-FR"/>
          </a:p>
        </c:txPr>
        <c:crossAx val="1581989312"/>
        <c:crosses val="autoZero"/>
        <c:auto val="1"/>
        <c:lblAlgn val="ctr"/>
        <c:lblOffset val="100"/>
        <c:noMultiLvlLbl val="0"/>
      </c:catAx>
      <c:valAx>
        <c:axId val="1581989312"/>
        <c:scaling>
          <c:orientation val="minMax"/>
        </c:scaling>
        <c:delete val="0"/>
        <c:axPos val="l"/>
        <c:majorGridlines>
          <c:spPr>
            <a:ln w="9525" cap="flat" cmpd="sng" algn="ctr">
              <a:solidFill>
                <a:schemeClr val="dk1">
                  <a:lumMod val="15000"/>
                  <a:lumOff val="85000"/>
                  <a:alpha val="54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fr-FR"/>
          </a:p>
        </c:txPr>
        <c:crossAx val="1581986432"/>
        <c:crosses val="autoZero"/>
        <c:crossBetween val="between"/>
      </c:valAx>
      <c:spPr>
        <a:pattFill prst="ltDnDiag">
          <a:fgClr>
            <a:schemeClr val="dk1">
              <a:lumMod val="15000"/>
              <a:lumOff val="85000"/>
            </a:schemeClr>
          </a:fgClr>
          <a:bgClr>
            <a:schemeClr val="lt1"/>
          </a:bgClr>
        </a:patt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fr-FR"/>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9525" cap="flat" cmpd="sng" algn="ctr">
      <a:solidFill>
        <a:schemeClr val="dk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cap="none" spc="0" normalizeH="0" baseline="0">
                <a:solidFill>
                  <a:schemeClr val="dk1">
                    <a:lumMod val="50000"/>
                    <a:lumOff val="50000"/>
                  </a:schemeClr>
                </a:solidFill>
                <a:latin typeface="+mj-lt"/>
                <a:ea typeface="+mj-ea"/>
                <a:cs typeface="+mj-cs"/>
              </a:defRPr>
            </a:pPr>
            <a:r>
              <a:rPr lang="fr-FR" sz="1400"/>
              <a:t>Probabilité d'un changement de la variance</a:t>
            </a:r>
          </a:p>
        </c:rich>
      </c:tx>
      <c:overlay val="0"/>
      <c:spPr>
        <a:noFill/>
        <a:ln>
          <a:noFill/>
        </a:ln>
        <a:effectLst/>
      </c:spPr>
      <c:txPr>
        <a:bodyPr rot="0" spcFirstLastPara="1" vertOverflow="ellipsis" vert="horz" wrap="square" anchor="ctr" anchorCtr="1"/>
        <a:lstStyle/>
        <a:p>
          <a:pPr>
            <a:defRPr sz="1400" b="1" i="0" u="none" strike="noStrike" kern="1200" cap="none" spc="0" normalizeH="0" baseline="0">
              <a:solidFill>
                <a:schemeClr val="dk1">
                  <a:lumMod val="50000"/>
                  <a:lumOff val="50000"/>
                </a:schemeClr>
              </a:solidFill>
              <a:latin typeface="+mj-lt"/>
              <a:ea typeface="+mj-ea"/>
              <a:cs typeface="+mj-cs"/>
            </a:defRPr>
          </a:pPr>
          <a:endParaRPr lang="fr-FR"/>
        </a:p>
      </c:txPr>
    </c:title>
    <c:autoTitleDeleted val="0"/>
    <c:plotArea>
      <c:layout/>
      <c:lineChart>
        <c:grouping val="standard"/>
        <c:varyColors val="0"/>
        <c:ser>
          <c:idx val="0"/>
          <c:order val="0"/>
          <c:tx>
            <c:strRef>
              <c:f>'Variable bayesienne'!$N$11</c:f>
              <c:strCache>
                <c:ptCount val="1"/>
                <c:pt idx="0">
                  <c:v>Proba changement variance</c:v>
                </c:pt>
              </c:strCache>
            </c:strRef>
          </c:tx>
          <c:spPr>
            <a:ln w="22225" cap="rnd">
              <a:solidFill>
                <a:schemeClr val="accent1"/>
              </a:solidFill>
              <a:round/>
            </a:ln>
            <a:effectLst/>
          </c:spPr>
          <c:marker>
            <c:symbol val="none"/>
          </c:marker>
          <c:cat>
            <c:strLit>
              <c:ptCount val="2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extLst>
                <c:ext xmlns:c15="http://schemas.microsoft.com/office/drawing/2012/chart" uri="{02D57815-91ED-43cb-92C2-25804820EDAC}">
                  <c15:autoCat val="1"/>
                </c:ext>
              </c:extLst>
            </c:strLit>
          </c:cat>
          <c:val>
            <c:numRef>
              <c:extLst>
                <c:ext xmlns:c15="http://schemas.microsoft.com/office/drawing/2012/chart" uri="{02D57815-91ED-43cb-92C2-25804820EDAC}">
                  <c15:fullRef>
                    <c15:sqref>'Variable bayesienne'!$N$13:$N$42</c15:sqref>
                  </c15:fullRef>
                </c:ext>
              </c:extLst>
              <c:f>'Variable bayesienne'!$N$13:$N$41</c:f>
              <c:numCache>
                <c:formatCode>0.0%</c:formatCode>
                <c:ptCount val="29"/>
                <c:pt idx="0">
                  <c:v>0.67056702233350962</c:v>
                </c:pt>
                <c:pt idx="1">
                  <c:v>0.91105909715552658</c:v>
                </c:pt>
                <c:pt idx="2">
                  <c:v>0.84505957230729223</c:v>
                </c:pt>
                <c:pt idx="3">
                  <c:v>0.75527442952610513</c:v>
                </c:pt>
                <c:pt idx="4">
                  <c:v>0.71396592518783142</c:v>
                </c:pt>
                <c:pt idx="5">
                  <c:v>0.6128675569591433</c:v>
                </c:pt>
                <c:pt idx="6">
                  <c:v>0.57777538832248321</c:v>
                </c:pt>
                <c:pt idx="7">
                  <c:v>0.45200642804919178</c:v>
                </c:pt>
                <c:pt idx="8">
                  <c:v>0.79698264065815994</c:v>
                </c:pt>
                <c:pt idx="9">
                  <c:v>0.86222242560507101</c:v>
                </c:pt>
                <c:pt idx="10">
                  <c:v>0.818193416193427</c:v>
                </c:pt>
                <c:pt idx="11">
                  <c:v>0.75015110371527327</c:v>
                </c:pt>
                <c:pt idx="12">
                  <c:v>0.96328292884295474</c:v>
                </c:pt>
                <c:pt idx="13">
                  <c:v>0.95511402478313201</c:v>
                </c:pt>
                <c:pt idx="14">
                  <c:v>0.93445130197917847</c:v>
                </c:pt>
                <c:pt idx="15">
                  <c:v>0.90401492882979384</c:v>
                </c:pt>
                <c:pt idx="16">
                  <c:v>0.87875102101719338</c:v>
                </c:pt>
                <c:pt idx="17">
                  <c:v>0.84248369947207591</c:v>
                </c:pt>
                <c:pt idx="18">
                  <c:v>0.80446286584333615</c:v>
                </c:pt>
                <c:pt idx="19">
                  <c:v>0.80241436765283214</c:v>
                </c:pt>
                <c:pt idx="20">
                  <c:v>0.74701130694576334</c:v>
                </c:pt>
                <c:pt idx="21">
                  <c:v>0.8441126677615518</c:v>
                </c:pt>
                <c:pt idx="22">
                  <c:v>0.80093602854731016</c:v>
                </c:pt>
                <c:pt idx="23">
                  <c:v>0.75034034387314552</c:v>
                </c:pt>
                <c:pt idx="24">
                  <c:v>0.68905723472043068</c:v>
                </c:pt>
                <c:pt idx="25">
                  <c:v>0.64546357456091741</c:v>
                </c:pt>
                <c:pt idx="26">
                  <c:v>0.75861055641079589</c:v>
                </c:pt>
                <c:pt idx="27">
                  <c:v>0.70070846087159411</c:v>
                </c:pt>
                <c:pt idx="28">
                  <c:v>0.65720066770269581</c:v>
                </c:pt>
              </c:numCache>
            </c:numRef>
          </c:val>
          <c:smooth val="0"/>
          <c:extLst>
            <c:ext xmlns:c16="http://schemas.microsoft.com/office/drawing/2014/chart" uri="{C3380CC4-5D6E-409C-BE32-E72D297353CC}">
              <c16:uniqueId val="{00000000-D09C-477A-B41D-2497CA4F52D8}"/>
            </c:ext>
          </c:extLst>
        </c:ser>
        <c:ser>
          <c:idx val="1"/>
          <c:order val="1"/>
          <c:tx>
            <c:v>Seuil de la var augmentant</c:v>
          </c:tx>
          <c:spPr>
            <a:ln w="22225" cap="rnd">
              <a:solidFill>
                <a:srgbClr val="FF0000"/>
              </a:solidFill>
              <a:round/>
            </a:ln>
            <a:effectLst/>
          </c:spPr>
          <c:marker>
            <c:symbol val="none"/>
          </c:marker>
          <c:cat>
            <c:strLit>
              <c:ptCount val="2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extLst>
                <c:ext xmlns:c15="http://schemas.microsoft.com/office/drawing/2012/chart" uri="{02D57815-91ED-43cb-92C2-25804820EDAC}">
                  <c15:autoCat val="1"/>
                </c:ext>
              </c:extLst>
            </c:strLit>
          </c:cat>
          <c:val>
            <c:numRef>
              <c:extLst>
                <c:ext xmlns:c15="http://schemas.microsoft.com/office/drawing/2012/chart" uri="{02D57815-91ED-43cb-92C2-25804820EDAC}">
                  <c15:fullRef>
                    <c15:sqref>'Variable bayesienne'!$AF$13:$AF$42</c15:sqref>
                  </c15:fullRef>
                </c:ext>
              </c:extLst>
              <c:f>'Variable bayesienne'!$AF$13:$AF$41</c:f>
              <c:numCache>
                <c:formatCode>0%</c:formatCode>
                <c:ptCount val="29"/>
                <c:pt idx="0">
                  <c:v>0.95</c:v>
                </c:pt>
                <c:pt idx="1">
                  <c:v>0.95</c:v>
                </c:pt>
                <c:pt idx="2">
                  <c:v>0.95</c:v>
                </c:pt>
                <c:pt idx="3">
                  <c:v>0.95</c:v>
                </c:pt>
                <c:pt idx="4">
                  <c:v>0.95</c:v>
                </c:pt>
                <c:pt idx="5">
                  <c:v>0.95</c:v>
                </c:pt>
                <c:pt idx="6">
                  <c:v>0.95</c:v>
                </c:pt>
                <c:pt idx="7">
                  <c:v>0.95</c:v>
                </c:pt>
                <c:pt idx="8">
                  <c:v>0.95</c:v>
                </c:pt>
                <c:pt idx="9">
                  <c:v>0.95</c:v>
                </c:pt>
                <c:pt idx="10">
                  <c:v>0.95</c:v>
                </c:pt>
                <c:pt idx="11">
                  <c:v>0.95</c:v>
                </c:pt>
                <c:pt idx="12">
                  <c:v>0.95</c:v>
                </c:pt>
                <c:pt idx="13">
                  <c:v>0.95</c:v>
                </c:pt>
                <c:pt idx="14">
                  <c:v>0.95</c:v>
                </c:pt>
                <c:pt idx="15">
                  <c:v>0.95</c:v>
                </c:pt>
                <c:pt idx="16">
                  <c:v>0.95</c:v>
                </c:pt>
                <c:pt idx="17">
                  <c:v>0.95</c:v>
                </c:pt>
                <c:pt idx="18">
                  <c:v>0.95</c:v>
                </c:pt>
                <c:pt idx="19">
                  <c:v>0.95</c:v>
                </c:pt>
                <c:pt idx="20">
                  <c:v>0.95</c:v>
                </c:pt>
                <c:pt idx="21">
                  <c:v>0.95</c:v>
                </c:pt>
                <c:pt idx="22">
                  <c:v>0.95</c:v>
                </c:pt>
                <c:pt idx="23">
                  <c:v>0.95</c:v>
                </c:pt>
                <c:pt idx="24">
                  <c:v>0.95</c:v>
                </c:pt>
                <c:pt idx="25">
                  <c:v>0.95</c:v>
                </c:pt>
                <c:pt idx="26">
                  <c:v>0.95</c:v>
                </c:pt>
                <c:pt idx="27">
                  <c:v>0.95</c:v>
                </c:pt>
                <c:pt idx="28">
                  <c:v>0.95</c:v>
                </c:pt>
              </c:numCache>
            </c:numRef>
          </c:val>
          <c:smooth val="0"/>
          <c:extLst>
            <c:ext xmlns:c16="http://schemas.microsoft.com/office/drawing/2014/chart" uri="{C3380CC4-5D6E-409C-BE32-E72D297353CC}">
              <c16:uniqueId val="{00000001-D09C-477A-B41D-2497CA4F52D8}"/>
            </c:ext>
          </c:extLst>
        </c:ser>
        <c:ser>
          <c:idx val="2"/>
          <c:order val="2"/>
          <c:tx>
            <c:v>Seuil de la var diminuant</c:v>
          </c:tx>
          <c:spPr>
            <a:ln w="22225" cap="rnd">
              <a:solidFill>
                <a:schemeClr val="accent3"/>
              </a:solidFill>
              <a:round/>
            </a:ln>
            <a:effectLst/>
          </c:spPr>
          <c:marker>
            <c:symbol val="none"/>
          </c:marker>
          <c:cat>
            <c:strLit>
              <c:ptCount val="2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extLst>
                <c:ext xmlns:c15="http://schemas.microsoft.com/office/drawing/2012/chart" uri="{02D57815-91ED-43cb-92C2-25804820EDAC}">
                  <c15:autoCat val="1"/>
                </c:ext>
              </c:extLst>
            </c:strLit>
          </c:cat>
          <c:val>
            <c:numRef>
              <c:extLst>
                <c:ext xmlns:c15="http://schemas.microsoft.com/office/drawing/2012/chart" uri="{02D57815-91ED-43cb-92C2-25804820EDAC}">
                  <c15:fullRef>
                    <c15:sqref>'Variable bayesienne'!$AG$13:$AG$42</c15:sqref>
                  </c15:fullRef>
                </c:ext>
              </c:extLst>
              <c:f>'Variable bayesienne'!$AG$13:$AG$41</c:f>
              <c:numCache>
                <c:formatCode>0%</c:formatCode>
                <c:ptCount val="29"/>
                <c:pt idx="0">
                  <c:v>-0.95</c:v>
                </c:pt>
                <c:pt idx="1">
                  <c:v>-0.95</c:v>
                </c:pt>
                <c:pt idx="2">
                  <c:v>-0.95</c:v>
                </c:pt>
                <c:pt idx="3">
                  <c:v>-0.95</c:v>
                </c:pt>
                <c:pt idx="4">
                  <c:v>-0.95</c:v>
                </c:pt>
                <c:pt idx="5">
                  <c:v>-0.95</c:v>
                </c:pt>
                <c:pt idx="6">
                  <c:v>-0.95</c:v>
                </c:pt>
                <c:pt idx="7">
                  <c:v>-0.95</c:v>
                </c:pt>
                <c:pt idx="8">
                  <c:v>-0.95</c:v>
                </c:pt>
                <c:pt idx="9">
                  <c:v>-0.95</c:v>
                </c:pt>
                <c:pt idx="10">
                  <c:v>-0.95</c:v>
                </c:pt>
                <c:pt idx="11">
                  <c:v>-0.95</c:v>
                </c:pt>
                <c:pt idx="12">
                  <c:v>-0.95</c:v>
                </c:pt>
                <c:pt idx="13">
                  <c:v>-0.95</c:v>
                </c:pt>
                <c:pt idx="14">
                  <c:v>-0.95</c:v>
                </c:pt>
                <c:pt idx="15">
                  <c:v>-0.95</c:v>
                </c:pt>
                <c:pt idx="16">
                  <c:v>-0.95</c:v>
                </c:pt>
                <c:pt idx="17">
                  <c:v>-0.95</c:v>
                </c:pt>
                <c:pt idx="18">
                  <c:v>-0.95</c:v>
                </c:pt>
                <c:pt idx="19">
                  <c:v>-0.95</c:v>
                </c:pt>
                <c:pt idx="20">
                  <c:v>-0.95</c:v>
                </c:pt>
                <c:pt idx="21">
                  <c:v>-0.95</c:v>
                </c:pt>
                <c:pt idx="22">
                  <c:v>-0.95</c:v>
                </c:pt>
                <c:pt idx="23">
                  <c:v>-0.95</c:v>
                </c:pt>
                <c:pt idx="24">
                  <c:v>-0.95</c:v>
                </c:pt>
                <c:pt idx="25">
                  <c:v>-0.95</c:v>
                </c:pt>
                <c:pt idx="26">
                  <c:v>-0.95</c:v>
                </c:pt>
                <c:pt idx="27">
                  <c:v>-0.95</c:v>
                </c:pt>
                <c:pt idx="28">
                  <c:v>-0.95</c:v>
                </c:pt>
              </c:numCache>
            </c:numRef>
          </c:val>
          <c:smooth val="0"/>
          <c:extLst>
            <c:ext xmlns:c16="http://schemas.microsoft.com/office/drawing/2014/chart" uri="{C3380CC4-5D6E-409C-BE32-E72D297353CC}">
              <c16:uniqueId val="{00000002-D09C-477A-B41D-2497CA4F52D8}"/>
            </c:ext>
          </c:extLst>
        </c:ser>
        <c:dLbls>
          <c:showLegendKey val="0"/>
          <c:showVal val="0"/>
          <c:showCatName val="0"/>
          <c:showSerName val="0"/>
          <c:showPercent val="0"/>
          <c:showBubbleSize val="0"/>
        </c:dLbls>
        <c:smooth val="0"/>
        <c:axId val="1689631680"/>
        <c:axId val="1689629760"/>
      </c:lineChart>
      <c:catAx>
        <c:axId val="1689631680"/>
        <c:scaling>
          <c:orientation val="minMax"/>
        </c:scaling>
        <c:delete val="0"/>
        <c:axPos val="b"/>
        <c:majorGridlines>
          <c:spPr>
            <a:ln w="9525" cap="flat" cmpd="sng" algn="ctr">
              <a:solidFill>
                <a:schemeClr val="dk1">
                  <a:lumMod val="15000"/>
                  <a:lumOff val="85000"/>
                  <a:alpha val="54000"/>
                </a:schemeClr>
              </a:solidFill>
              <a:round/>
            </a:ln>
            <a:effectLst/>
          </c:spPr>
        </c:majorGridlines>
        <c:minorGridlines>
          <c:spPr>
            <a:ln w="9525" cap="flat" cmpd="sng" algn="ctr">
              <a:solidFill>
                <a:schemeClr val="dk1">
                  <a:lumMod val="15000"/>
                  <a:lumOff val="85000"/>
                  <a:alpha val="51000"/>
                </a:schemeClr>
              </a:solidFill>
              <a:round/>
            </a:ln>
            <a:effectLst/>
          </c:spPr>
        </c:minorGridlines>
        <c:numFmt formatCode="General" sourceLinked="0"/>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dk1">
                    <a:lumMod val="65000"/>
                    <a:lumOff val="35000"/>
                  </a:schemeClr>
                </a:solidFill>
                <a:latin typeface="+mn-lt"/>
                <a:ea typeface="+mn-ea"/>
                <a:cs typeface="+mn-cs"/>
              </a:defRPr>
            </a:pPr>
            <a:endParaRPr lang="fr-FR"/>
          </a:p>
        </c:txPr>
        <c:crossAx val="1689629760"/>
        <c:crosses val="autoZero"/>
        <c:auto val="1"/>
        <c:lblAlgn val="ctr"/>
        <c:lblOffset val="100"/>
        <c:noMultiLvlLbl val="0"/>
      </c:catAx>
      <c:valAx>
        <c:axId val="1689629760"/>
        <c:scaling>
          <c:orientation val="minMax"/>
          <c:max val="1"/>
          <c:min val="-1"/>
        </c:scaling>
        <c:delete val="0"/>
        <c:axPos val="l"/>
        <c:majorGridlines>
          <c:spPr>
            <a:ln w="9525" cap="flat" cmpd="sng" algn="ctr">
              <a:solidFill>
                <a:schemeClr val="dk1">
                  <a:lumMod val="15000"/>
                  <a:lumOff val="85000"/>
                  <a:alpha val="54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fr-FR"/>
          </a:p>
        </c:txPr>
        <c:crossAx val="1689631680"/>
        <c:crosses val="autoZero"/>
        <c:crossBetween val="between"/>
        <c:minorUnit val="0.1"/>
      </c:valAx>
      <c:spPr>
        <a:pattFill prst="ltDnDiag">
          <a:fgClr>
            <a:schemeClr val="dk1">
              <a:lumMod val="15000"/>
              <a:lumOff val="85000"/>
            </a:schemeClr>
          </a:fgClr>
          <a:bgClr>
            <a:schemeClr val="lt1"/>
          </a:bgClr>
        </a:patt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fr-FR"/>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9525" cap="flat" cmpd="sng" algn="ctr">
      <a:solidFill>
        <a:schemeClr val="dk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30">
  <cs:axisTitle>
    <cs:lnRef idx="0"/>
    <cs:fillRef idx="0"/>
    <cs:effectRef idx="0"/>
    <cs:fontRef idx="minor">
      <a:schemeClr val="dk1">
        <a:lumMod val="65000"/>
        <a:lumOff val="35000"/>
      </a:schemeClr>
    </cs:fontRef>
    <cs:defRPr sz="900" kern="1200" cap="all"/>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b="0" kern="1200" spc="20" baseline="0"/>
  </cs:categoryAxis>
  <cs:chartArea mods="allowNoLineOverride">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0"/>
    <cs:effectRef idx="0"/>
    <cs:fontRef idx="minor">
      <a:schemeClr val="dk1"/>
    </cs:fontRef>
    <cs:spPr>
      <a:ln w="22225" cap="rnd" cmpd="sng" algn="ctr">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cap="flat" cmpd="sng" algn="ctr">
        <a:solidFill>
          <a:schemeClr val="phClr"/>
        </a:solidFill>
        <a:round/>
      </a:ln>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65000"/>
            <a:lumOff val="35000"/>
          </a:schemeClr>
        </a:solidFill>
      </a:ln>
    </cs:spPr>
  </cs:downBar>
  <cs:dropLine>
    <cs:lnRef idx="0"/>
    <cs:fillRef idx="0"/>
    <cs:effectRef idx="0"/>
    <cs:fontRef idx="minor">
      <a:schemeClr val="dk1"/>
    </cs:fontRef>
    <cs:spPr>
      <a:ln w="9525" cap="flat" cmpd="sng" algn="ctr">
        <a:solidFill>
          <a:schemeClr val="dk1">
            <a:lumMod val="35000"/>
            <a:lumOff val="65000"/>
            <a:alpha val="33000"/>
          </a:schemeClr>
        </a:solidFill>
        <a:round/>
      </a:ln>
    </cs:spPr>
  </cs:dropLine>
  <cs:errorBar>
    <cs:lnRef idx="0"/>
    <cs:fillRef idx="0"/>
    <cs:effectRef idx="0"/>
    <cs:fontRef idx="minor">
      <a:schemeClr val="dk1"/>
    </cs:fontRef>
    <cs:spPr>
      <a:ln w="9525">
        <a:solidFill>
          <a:schemeClr val="dk1">
            <a:lumMod val="65000"/>
            <a:lumOff val="35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gradFill>
        <a:gsLst>
          <a:gs pos="100000">
            <a:schemeClr val="lt1">
              <a:lumMod val="95000"/>
            </a:schemeClr>
          </a:gs>
          <a:gs pos="0">
            <a:schemeClr val="lt1"/>
          </a:gs>
        </a:gsLst>
        <a:lin ang="5400000" scaled="0"/>
      </a:gradFill>
    </cs:spPr>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prstDash val="dash"/>
      </a:ln>
    </cs:spPr>
  </cs:seriesLine>
  <cs:title>
    <cs:lnRef idx="0"/>
    <cs:fillRef idx="0"/>
    <cs:effectRef idx="0"/>
    <cs:fontRef idx="minor">
      <a:schemeClr val="dk1">
        <a:lumMod val="50000"/>
        <a:lumOff val="50000"/>
      </a:schemeClr>
    </cs:fontRef>
    <cs:defRPr sz="1400" kern="1200" cap="none" spc="2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65000"/>
        <a:lumOff val="35000"/>
      </a:schemeClr>
    </cs:fontRef>
    <cs:defRPr sz="900" kern="1200" spc="20" baseline="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30">
  <cs:axisTitle>
    <cs:lnRef idx="0"/>
    <cs:fillRef idx="0"/>
    <cs:effectRef idx="0"/>
    <cs:fontRef idx="minor">
      <a:schemeClr val="dk1">
        <a:lumMod val="65000"/>
        <a:lumOff val="35000"/>
      </a:schemeClr>
    </cs:fontRef>
    <cs:defRPr sz="900" kern="1200" cap="all"/>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b="0" kern="1200" spc="20" baseline="0"/>
  </cs:categoryAxis>
  <cs:chartArea mods="allowNoLineOverride">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0"/>
    <cs:effectRef idx="0"/>
    <cs:fontRef idx="minor">
      <a:schemeClr val="dk1"/>
    </cs:fontRef>
    <cs:spPr>
      <a:ln w="22225" cap="rnd" cmpd="sng" algn="ctr">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cap="flat" cmpd="sng" algn="ctr">
        <a:solidFill>
          <a:schemeClr val="phClr"/>
        </a:solidFill>
        <a:round/>
      </a:ln>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65000"/>
            <a:lumOff val="35000"/>
          </a:schemeClr>
        </a:solidFill>
      </a:ln>
    </cs:spPr>
  </cs:downBar>
  <cs:dropLine>
    <cs:lnRef idx="0"/>
    <cs:fillRef idx="0"/>
    <cs:effectRef idx="0"/>
    <cs:fontRef idx="minor">
      <a:schemeClr val="dk1"/>
    </cs:fontRef>
    <cs:spPr>
      <a:ln w="9525" cap="flat" cmpd="sng" algn="ctr">
        <a:solidFill>
          <a:schemeClr val="dk1">
            <a:lumMod val="35000"/>
            <a:lumOff val="65000"/>
            <a:alpha val="33000"/>
          </a:schemeClr>
        </a:solidFill>
        <a:round/>
      </a:ln>
    </cs:spPr>
  </cs:dropLine>
  <cs:errorBar>
    <cs:lnRef idx="0"/>
    <cs:fillRef idx="0"/>
    <cs:effectRef idx="0"/>
    <cs:fontRef idx="minor">
      <a:schemeClr val="dk1"/>
    </cs:fontRef>
    <cs:spPr>
      <a:ln w="9525">
        <a:solidFill>
          <a:schemeClr val="dk1">
            <a:lumMod val="65000"/>
            <a:lumOff val="35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gradFill>
        <a:gsLst>
          <a:gs pos="100000">
            <a:schemeClr val="lt1">
              <a:lumMod val="95000"/>
            </a:schemeClr>
          </a:gs>
          <a:gs pos="0">
            <a:schemeClr val="lt1"/>
          </a:gs>
        </a:gsLst>
        <a:lin ang="5400000" scaled="0"/>
      </a:gradFill>
    </cs:spPr>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prstDash val="dash"/>
      </a:ln>
    </cs:spPr>
  </cs:seriesLine>
  <cs:title>
    <cs:lnRef idx="0"/>
    <cs:fillRef idx="0"/>
    <cs:effectRef idx="0"/>
    <cs:fontRef idx="minor">
      <a:schemeClr val="dk1">
        <a:lumMod val="50000"/>
        <a:lumOff val="50000"/>
      </a:schemeClr>
    </cs:fontRef>
    <cs:defRPr sz="1400" kern="1200" cap="none" spc="2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65000"/>
        <a:lumOff val="35000"/>
      </a:schemeClr>
    </cs:fontRef>
    <cs:defRPr sz="900" kern="1200" spc="20" baseline="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32">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ap="none" spc="0" normalizeH="0" baseline="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spPr>
      <a:pattFill prst="ltDnDiag">
        <a:fgClr>
          <a:schemeClr val="dk1">
            <a:lumMod val="15000"/>
            <a:lumOff val="85000"/>
          </a:schemeClr>
        </a:fgClr>
        <a:bgClr>
          <a:schemeClr val="lt1"/>
        </a:bgClr>
      </a:pattFill>
    </cs:spPr>
  </cs:floor>
  <cs:gridlineMajor>
    <cs:lnRef idx="0"/>
    <cs:fillRef idx="0"/>
    <cs:effectRef idx="0"/>
    <cs:fontRef idx="minor">
      <a:schemeClr val="dk1"/>
    </cs:fontRef>
    <cs:spPr>
      <a:ln w="9525" cap="flat" cmpd="sng" algn="ctr">
        <a:solidFill>
          <a:schemeClr val="dk1">
            <a:lumMod val="15000"/>
            <a:lumOff val="85000"/>
            <a:alpha val="54000"/>
          </a:schemeClr>
        </a:solidFill>
        <a:round/>
      </a:ln>
    </cs:spPr>
  </cs:gridlineMajor>
  <cs:gridlineMinor>
    <cs:lnRef idx="0"/>
    <cs:fillRef idx="0"/>
    <cs:effectRef idx="0"/>
    <cs:fontRef idx="minor">
      <a:schemeClr val="dk1"/>
    </cs:fontRef>
    <cs:spPr>
      <a:ln w="9525" cap="flat" cmpd="sng" algn="ctr">
        <a:solidFill>
          <a:schemeClr val="dk1">
            <a:lumMod val="15000"/>
            <a:lumOff val="85000"/>
            <a:alpha val="51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pattFill prst="ltDnDiag">
        <a:fgClr>
          <a:schemeClr val="dk1">
            <a:lumMod val="15000"/>
            <a:lumOff val="85000"/>
          </a:schemeClr>
        </a:fgClr>
        <a:bgClr>
          <a:schemeClr val="lt1"/>
        </a:bgClr>
      </a:pattFill>
    </cs:spPr>
  </cs:plotArea>
  <cs:plotArea3D>
    <cs:lnRef idx="0"/>
    <cs:fillRef idx="0"/>
    <cs:effectRef idx="0"/>
    <cs:fontRef idx="minor">
      <a:schemeClr val="dk1"/>
    </cs:fontRef>
    <cs:spPr>
      <a:solidFill>
        <a:schemeClr val="lt1"/>
      </a:solidFill>
    </cs:spPr>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cap="none"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spPr>
      <a:pattFill prst="ltDnDiag">
        <a:fgClr>
          <a:schemeClr val="dk1">
            <a:lumMod val="15000"/>
            <a:lumOff val="85000"/>
          </a:schemeClr>
        </a:fgClr>
        <a:bgClr>
          <a:schemeClr val="lt1"/>
        </a:bgClr>
      </a:pattFill>
    </cs:spPr>
  </cs:wall>
</cs:chartStyle>
</file>

<file path=xl/charts/style4.xml><?xml version="1.0" encoding="utf-8"?>
<cs:chartStyle xmlns:cs="http://schemas.microsoft.com/office/drawing/2012/chartStyle" xmlns:a="http://schemas.openxmlformats.org/drawingml/2006/main" id="232">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ap="none" spc="0" normalizeH="0" baseline="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spPr>
      <a:pattFill prst="ltDnDiag">
        <a:fgClr>
          <a:schemeClr val="dk1">
            <a:lumMod val="15000"/>
            <a:lumOff val="85000"/>
          </a:schemeClr>
        </a:fgClr>
        <a:bgClr>
          <a:schemeClr val="lt1"/>
        </a:bgClr>
      </a:pattFill>
    </cs:spPr>
  </cs:floor>
  <cs:gridlineMajor>
    <cs:lnRef idx="0"/>
    <cs:fillRef idx="0"/>
    <cs:effectRef idx="0"/>
    <cs:fontRef idx="minor">
      <a:schemeClr val="dk1"/>
    </cs:fontRef>
    <cs:spPr>
      <a:ln w="9525" cap="flat" cmpd="sng" algn="ctr">
        <a:solidFill>
          <a:schemeClr val="dk1">
            <a:lumMod val="15000"/>
            <a:lumOff val="85000"/>
            <a:alpha val="54000"/>
          </a:schemeClr>
        </a:solidFill>
        <a:round/>
      </a:ln>
    </cs:spPr>
  </cs:gridlineMajor>
  <cs:gridlineMinor>
    <cs:lnRef idx="0"/>
    <cs:fillRef idx="0"/>
    <cs:effectRef idx="0"/>
    <cs:fontRef idx="minor">
      <a:schemeClr val="dk1"/>
    </cs:fontRef>
    <cs:spPr>
      <a:ln w="9525" cap="flat" cmpd="sng" algn="ctr">
        <a:solidFill>
          <a:schemeClr val="dk1">
            <a:lumMod val="15000"/>
            <a:lumOff val="85000"/>
            <a:alpha val="51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pattFill prst="ltDnDiag">
        <a:fgClr>
          <a:schemeClr val="dk1">
            <a:lumMod val="15000"/>
            <a:lumOff val="85000"/>
          </a:schemeClr>
        </a:fgClr>
        <a:bgClr>
          <a:schemeClr val="lt1"/>
        </a:bgClr>
      </a:pattFill>
    </cs:spPr>
  </cs:plotArea>
  <cs:plotArea3D>
    <cs:lnRef idx="0"/>
    <cs:fillRef idx="0"/>
    <cs:effectRef idx="0"/>
    <cs:fontRef idx="minor">
      <a:schemeClr val="dk1"/>
    </cs:fontRef>
    <cs:spPr>
      <a:solidFill>
        <a:schemeClr val="lt1"/>
      </a:solidFill>
    </cs:spPr>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cap="none"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spPr>
      <a:pattFill prst="ltDnDiag">
        <a:fgClr>
          <a:schemeClr val="dk1">
            <a:lumMod val="15000"/>
            <a:lumOff val="85000"/>
          </a:schemeClr>
        </a:fgClr>
        <a:bgClr>
          <a:schemeClr val="lt1"/>
        </a:bgClr>
      </a:pattFill>
    </cs:spPr>
  </cs:wall>
</cs:chartStyle>
</file>

<file path=xl/charts/style5.xml><?xml version="1.0" encoding="utf-8"?>
<cs:chartStyle xmlns:cs="http://schemas.microsoft.com/office/drawing/2012/chartStyle" xmlns:a="http://schemas.openxmlformats.org/drawingml/2006/main" id="232">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ap="none" spc="0" normalizeH="0" baseline="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spPr>
      <a:pattFill prst="ltDnDiag">
        <a:fgClr>
          <a:schemeClr val="dk1">
            <a:lumMod val="15000"/>
            <a:lumOff val="85000"/>
          </a:schemeClr>
        </a:fgClr>
        <a:bgClr>
          <a:schemeClr val="lt1"/>
        </a:bgClr>
      </a:pattFill>
    </cs:spPr>
  </cs:floor>
  <cs:gridlineMajor>
    <cs:lnRef idx="0"/>
    <cs:fillRef idx="0"/>
    <cs:effectRef idx="0"/>
    <cs:fontRef idx="minor">
      <a:schemeClr val="dk1"/>
    </cs:fontRef>
    <cs:spPr>
      <a:ln w="9525" cap="flat" cmpd="sng" algn="ctr">
        <a:solidFill>
          <a:schemeClr val="dk1">
            <a:lumMod val="15000"/>
            <a:lumOff val="85000"/>
            <a:alpha val="54000"/>
          </a:schemeClr>
        </a:solidFill>
        <a:round/>
      </a:ln>
    </cs:spPr>
  </cs:gridlineMajor>
  <cs:gridlineMinor>
    <cs:lnRef idx="0"/>
    <cs:fillRef idx="0"/>
    <cs:effectRef idx="0"/>
    <cs:fontRef idx="minor">
      <a:schemeClr val="dk1"/>
    </cs:fontRef>
    <cs:spPr>
      <a:ln w="9525" cap="flat" cmpd="sng" algn="ctr">
        <a:solidFill>
          <a:schemeClr val="dk1">
            <a:lumMod val="15000"/>
            <a:lumOff val="85000"/>
            <a:alpha val="51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pattFill prst="ltDnDiag">
        <a:fgClr>
          <a:schemeClr val="dk1">
            <a:lumMod val="15000"/>
            <a:lumOff val="85000"/>
          </a:schemeClr>
        </a:fgClr>
        <a:bgClr>
          <a:schemeClr val="lt1"/>
        </a:bgClr>
      </a:pattFill>
    </cs:spPr>
  </cs:plotArea>
  <cs:plotArea3D>
    <cs:lnRef idx="0"/>
    <cs:fillRef idx="0"/>
    <cs:effectRef idx="0"/>
    <cs:fontRef idx="minor">
      <a:schemeClr val="dk1"/>
    </cs:fontRef>
    <cs:spPr>
      <a:solidFill>
        <a:schemeClr val="lt1"/>
      </a:solidFill>
    </cs:spPr>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cap="none"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spPr>
      <a:pattFill prst="ltDnDiag">
        <a:fgClr>
          <a:schemeClr val="dk1">
            <a:lumMod val="15000"/>
            <a:lumOff val="85000"/>
          </a:schemeClr>
        </a:fgClr>
        <a:bgClr>
          <a:schemeClr val="lt1"/>
        </a:bgClr>
      </a:pattFill>
    </cs:spPr>
  </cs:wall>
</cs:chartStyle>
</file>

<file path=xl/charts/style6.xml><?xml version="1.0" encoding="utf-8"?>
<cs:chartStyle xmlns:cs="http://schemas.microsoft.com/office/drawing/2012/chartStyle" xmlns:a="http://schemas.openxmlformats.org/drawingml/2006/main" id="232">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ap="none" spc="0" normalizeH="0" baseline="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spPr>
      <a:pattFill prst="ltDnDiag">
        <a:fgClr>
          <a:schemeClr val="dk1">
            <a:lumMod val="15000"/>
            <a:lumOff val="85000"/>
          </a:schemeClr>
        </a:fgClr>
        <a:bgClr>
          <a:schemeClr val="lt1"/>
        </a:bgClr>
      </a:pattFill>
    </cs:spPr>
  </cs:floor>
  <cs:gridlineMajor>
    <cs:lnRef idx="0"/>
    <cs:fillRef idx="0"/>
    <cs:effectRef idx="0"/>
    <cs:fontRef idx="minor">
      <a:schemeClr val="dk1"/>
    </cs:fontRef>
    <cs:spPr>
      <a:ln w="9525" cap="flat" cmpd="sng" algn="ctr">
        <a:solidFill>
          <a:schemeClr val="dk1">
            <a:lumMod val="15000"/>
            <a:lumOff val="85000"/>
            <a:alpha val="54000"/>
          </a:schemeClr>
        </a:solidFill>
        <a:round/>
      </a:ln>
    </cs:spPr>
  </cs:gridlineMajor>
  <cs:gridlineMinor>
    <cs:lnRef idx="0"/>
    <cs:fillRef idx="0"/>
    <cs:effectRef idx="0"/>
    <cs:fontRef idx="minor">
      <a:schemeClr val="dk1"/>
    </cs:fontRef>
    <cs:spPr>
      <a:ln w="9525" cap="flat" cmpd="sng" algn="ctr">
        <a:solidFill>
          <a:schemeClr val="dk1">
            <a:lumMod val="15000"/>
            <a:lumOff val="85000"/>
            <a:alpha val="51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pattFill prst="ltDnDiag">
        <a:fgClr>
          <a:schemeClr val="dk1">
            <a:lumMod val="15000"/>
            <a:lumOff val="85000"/>
          </a:schemeClr>
        </a:fgClr>
        <a:bgClr>
          <a:schemeClr val="lt1"/>
        </a:bgClr>
      </a:pattFill>
    </cs:spPr>
  </cs:plotArea>
  <cs:plotArea3D>
    <cs:lnRef idx="0"/>
    <cs:fillRef idx="0"/>
    <cs:effectRef idx="0"/>
    <cs:fontRef idx="minor">
      <a:schemeClr val="dk1"/>
    </cs:fontRef>
    <cs:spPr>
      <a:solidFill>
        <a:schemeClr val="lt1"/>
      </a:solidFill>
    </cs:spPr>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cap="none"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spPr>
      <a:pattFill prst="ltDnDiag">
        <a:fgClr>
          <a:schemeClr val="dk1">
            <a:lumMod val="15000"/>
            <a:lumOff val="85000"/>
          </a:schemeClr>
        </a:fgClr>
        <a:bgClr>
          <a:schemeClr val="lt1"/>
        </a:bgClr>
      </a:pattFill>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3" Type="http://schemas.openxmlformats.org/officeDocument/2006/relationships/chart" Target="../charts/chart5.xml"/><Relationship Id="rId2" Type="http://schemas.openxmlformats.org/officeDocument/2006/relationships/chart" Target="../charts/chart4.xml"/><Relationship Id="rId1" Type="http://schemas.openxmlformats.org/officeDocument/2006/relationships/chart" Target="../charts/chart3.xml"/><Relationship Id="rId4"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xdr:from>
      <xdr:col>10</xdr:col>
      <xdr:colOff>81899</xdr:colOff>
      <xdr:row>17</xdr:row>
      <xdr:rowOff>182785</xdr:rowOff>
    </xdr:from>
    <xdr:to>
      <xdr:col>17</xdr:col>
      <xdr:colOff>0</xdr:colOff>
      <xdr:row>37</xdr:row>
      <xdr:rowOff>66852</xdr:rowOff>
    </xdr:to>
    <xdr:graphicFrame macro="">
      <xdr:nvGraphicFramePr>
        <xdr:cNvPr id="2" name="Graphique 1">
          <a:extLst>
            <a:ext uri="{FF2B5EF4-FFF2-40B4-BE49-F238E27FC236}">
              <a16:creationId xmlns:a16="http://schemas.microsoft.com/office/drawing/2014/main" id="{709A142C-8512-B427-2321-247AB12EAB4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72837</xdr:colOff>
      <xdr:row>37</xdr:row>
      <xdr:rowOff>180415</xdr:rowOff>
    </xdr:from>
    <xdr:to>
      <xdr:col>17</xdr:col>
      <xdr:colOff>11206</xdr:colOff>
      <xdr:row>49</xdr:row>
      <xdr:rowOff>89648</xdr:rowOff>
    </xdr:to>
    <xdr:graphicFrame macro="">
      <xdr:nvGraphicFramePr>
        <xdr:cNvPr id="3" name="Graphique 2">
          <a:extLst>
            <a:ext uri="{FF2B5EF4-FFF2-40B4-BE49-F238E27FC236}">
              <a16:creationId xmlns:a16="http://schemas.microsoft.com/office/drawing/2014/main" id="{E24AB650-3297-54E0-8B0D-2D5BF6C8C63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10</xdr:col>
      <xdr:colOff>56028</xdr:colOff>
      <xdr:row>49</xdr:row>
      <xdr:rowOff>145674</xdr:rowOff>
    </xdr:from>
    <xdr:to>
      <xdr:col>16</xdr:col>
      <xdr:colOff>593911</xdr:colOff>
      <xdr:row>70</xdr:row>
      <xdr:rowOff>79571</xdr:rowOff>
    </xdr:to>
    <xdr:pic>
      <xdr:nvPicPr>
        <xdr:cNvPr id="5" name="Image 4">
          <a:extLst>
            <a:ext uri="{FF2B5EF4-FFF2-40B4-BE49-F238E27FC236}">
              <a16:creationId xmlns:a16="http://schemas.microsoft.com/office/drawing/2014/main" id="{D804F9B7-D145-4E8D-88AE-2463E1BB6ED8}"/>
            </a:ext>
          </a:extLst>
        </xdr:cNvPr>
        <xdr:cNvPicPr>
          <a:picLocks noChangeAspect="1"/>
        </xdr:cNvPicPr>
      </xdr:nvPicPr>
      <xdr:blipFill>
        <a:blip xmlns:r="http://schemas.openxmlformats.org/officeDocument/2006/relationships" r:embed="rId3"/>
        <a:stretch>
          <a:fillRect/>
        </a:stretch>
      </xdr:blipFill>
      <xdr:spPr>
        <a:xfrm>
          <a:off x="8000999" y="10298203"/>
          <a:ext cx="7407088" cy="3934397"/>
        </a:xfrm>
        <a:prstGeom prst="rect">
          <a:avLst/>
        </a:prstGeom>
        <a:ln>
          <a:solidFill>
            <a:schemeClr val="tx1"/>
          </a:solidFill>
        </a:ln>
      </xdr:spPr>
    </xdr:pic>
    <xdr:clientData/>
  </xdr:twoCellAnchor>
</xdr:wsDr>
</file>

<file path=xl/drawings/drawing2.xml><?xml version="1.0" encoding="utf-8"?>
<c:userShapes xmlns:c="http://schemas.openxmlformats.org/drawingml/2006/chart">
  <cdr:relSizeAnchor xmlns:cdr="http://schemas.openxmlformats.org/drawingml/2006/chartDrawing">
    <cdr:from>
      <cdr:x>0.01903</cdr:x>
      <cdr:y>0.15181</cdr:y>
    </cdr:from>
    <cdr:to>
      <cdr:x>0.07969</cdr:x>
      <cdr:y>0.65367</cdr:y>
    </cdr:to>
    <cdr:sp macro="" textlink="">
      <cdr:nvSpPr>
        <cdr:cNvPr id="2" name="ZoneTexte 1">
          <a:extLst xmlns:a="http://schemas.openxmlformats.org/drawingml/2006/main">
            <a:ext uri="{FF2B5EF4-FFF2-40B4-BE49-F238E27FC236}">
              <a16:creationId xmlns:a16="http://schemas.microsoft.com/office/drawing/2014/main" id="{9E46F70A-993A-2FD5-F675-D2096488726C}"/>
            </a:ext>
          </a:extLst>
        </cdr:cNvPr>
        <cdr:cNvSpPr txBox="1"/>
      </cdr:nvSpPr>
      <cdr:spPr>
        <a:xfrm xmlns:a="http://schemas.openxmlformats.org/drawingml/2006/main" rot="16200000">
          <a:off x="-713909" y="1442067"/>
          <a:ext cx="2026024" cy="367553"/>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fr-FR" sz="1200" kern="1200"/>
            <a:t>P(pn&gt;limite aceptable)</a:t>
          </a:r>
        </a:p>
      </cdr:txBody>
    </cdr:sp>
  </cdr:relSizeAnchor>
</c:userShapes>
</file>

<file path=xl/drawings/drawing3.xml><?xml version="1.0" encoding="utf-8"?>
<xdr:wsDr xmlns:xdr="http://schemas.openxmlformats.org/drawingml/2006/spreadsheetDrawing" xmlns:a="http://schemas.openxmlformats.org/drawingml/2006/main">
  <xdr:twoCellAnchor>
    <xdr:from>
      <xdr:col>14</xdr:col>
      <xdr:colOff>40901</xdr:colOff>
      <xdr:row>10</xdr:row>
      <xdr:rowOff>1121</xdr:rowOff>
    </xdr:from>
    <xdr:to>
      <xdr:col>20</xdr:col>
      <xdr:colOff>40901</xdr:colOff>
      <xdr:row>24</xdr:row>
      <xdr:rowOff>39221</xdr:rowOff>
    </xdr:to>
    <xdr:graphicFrame macro="">
      <xdr:nvGraphicFramePr>
        <xdr:cNvPr id="2" name="Graphique 1">
          <a:extLst>
            <a:ext uri="{FF2B5EF4-FFF2-40B4-BE49-F238E27FC236}">
              <a16:creationId xmlns:a16="http://schemas.microsoft.com/office/drawing/2014/main" id="{EBA1879A-5735-48FF-9389-80649A4646F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48745</xdr:colOff>
      <xdr:row>24</xdr:row>
      <xdr:rowOff>54068</xdr:rowOff>
    </xdr:from>
    <xdr:to>
      <xdr:col>20</xdr:col>
      <xdr:colOff>20170</xdr:colOff>
      <xdr:row>41</xdr:row>
      <xdr:rowOff>44824</xdr:rowOff>
    </xdr:to>
    <xdr:graphicFrame macro="">
      <xdr:nvGraphicFramePr>
        <xdr:cNvPr id="3" name="Graphique 2">
          <a:extLst>
            <a:ext uri="{FF2B5EF4-FFF2-40B4-BE49-F238E27FC236}">
              <a16:creationId xmlns:a16="http://schemas.microsoft.com/office/drawing/2014/main" id="{A1945D07-CB25-434A-B9C6-CCDC0465F2D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20</xdr:col>
      <xdr:colOff>110939</xdr:colOff>
      <xdr:row>9</xdr:row>
      <xdr:rowOff>151558</xdr:rowOff>
    </xdr:from>
    <xdr:to>
      <xdr:col>26</xdr:col>
      <xdr:colOff>536763</xdr:colOff>
      <xdr:row>24</xdr:row>
      <xdr:rowOff>33617</xdr:rowOff>
    </xdr:to>
    <xdr:graphicFrame macro="">
      <xdr:nvGraphicFramePr>
        <xdr:cNvPr id="4" name="Graphique 3">
          <a:extLst>
            <a:ext uri="{FF2B5EF4-FFF2-40B4-BE49-F238E27FC236}">
              <a16:creationId xmlns:a16="http://schemas.microsoft.com/office/drawing/2014/main" id="{F8AB337F-EC7D-4D13-9937-43098A5139A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20</xdr:col>
      <xdr:colOff>112618</xdr:colOff>
      <xdr:row>24</xdr:row>
      <xdr:rowOff>82642</xdr:rowOff>
    </xdr:from>
    <xdr:to>
      <xdr:col>26</xdr:col>
      <xdr:colOff>538442</xdr:colOff>
      <xdr:row>41</xdr:row>
      <xdr:rowOff>33618</xdr:rowOff>
    </xdr:to>
    <xdr:graphicFrame macro="">
      <xdr:nvGraphicFramePr>
        <xdr:cNvPr id="5" name="Graphique 4">
          <a:extLst>
            <a:ext uri="{FF2B5EF4-FFF2-40B4-BE49-F238E27FC236}">
              <a16:creationId xmlns:a16="http://schemas.microsoft.com/office/drawing/2014/main" id="{60DCBBAA-B3B4-4E2E-8A69-519AE89FF00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Q121"/>
  <sheetViews>
    <sheetView showGridLines="0" tabSelected="1" topLeftCell="B10" zoomScale="85" zoomScaleNormal="85" workbookViewId="0">
      <selection activeCell="T32" sqref="T32"/>
    </sheetView>
  </sheetViews>
  <sheetFormatPr baseColWidth="10" defaultColWidth="8.85546875" defaultRowHeight="15" x14ac:dyDescent="0.25"/>
  <cols>
    <col min="1" max="1" width="8.85546875" style="1"/>
    <col min="2" max="2" width="10.140625" style="1" customWidth="1"/>
    <col min="3" max="4" width="8.85546875" style="1"/>
    <col min="5" max="5" width="13.7109375" style="1" customWidth="1"/>
    <col min="6" max="6" width="12.7109375" style="1" customWidth="1"/>
    <col min="7" max="7" width="13.140625" style="1" customWidth="1"/>
    <col min="8" max="8" width="13.5703125" style="1" customWidth="1"/>
    <col min="9" max="9" width="13.28515625" style="1" customWidth="1"/>
    <col min="10" max="10" width="15.85546875" style="1" bestFit="1" customWidth="1"/>
    <col min="11" max="11" width="13.7109375" style="46" customWidth="1"/>
    <col min="12" max="12" width="11" style="46" customWidth="1"/>
    <col min="13" max="13" width="11.140625" style="46" customWidth="1"/>
    <col min="14" max="14" width="12" style="1" customWidth="1"/>
    <col min="15" max="15" width="28" style="1" customWidth="1"/>
    <col min="16" max="16" width="27.140625" style="1" customWidth="1"/>
    <col min="17" max="16384" width="8.85546875" style="1"/>
  </cols>
  <sheetData>
    <row r="2" spans="3:17" x14ac:dyDescent="0.25">
      <c r="K2" s="56" t="s">
        <v>13</v>
      </c>
      <c r="L2" s="56"/>
      <c r="M2" s="56"/>
    </row>
    <row r="3" spans="3:17" x14ac:dyDescent="0.25">
      <c r="E3" s="57" t="s">
        <v>1</v>
      </c>
      <c r="F3" s="58"/>
      <c r="G3" s="59"/>
      <c r="K3" s="43">
        <v>0.9</v>
      </c>
      <c r="L3" s="43">
        <v>0.95</v>
      </c>
      <c r="M3" s="43">
        <v>0.99</v>
      </c>
      <c r="O3" s="61" t="s">
        <v>9</v>
      </c>
      <c r="P3" s="61"/>
    </row>
    <row r="4" spans="3:17" x14ac:dyDescent="0.25">
      <c r="D4" s="2" t="s">
        <v>22</v>
      </c>
      <c r="E4" s="39" t="s">
        <v>17</v>
      </c>
      <c r="F4" s="41" t="s">
        <v>16</v>
      </c>
      <c r="G4" s="13" t="s">
        <v>18</v>
      </c>
      <c r="J4" s="4"/>
      <c r="K4" s="44">
        <v>22</v>
      </c>
      <c r="L4" s="44">
        <v>45</v>
      </c>
      <c r="M4" s="44">
        <v>229</v>
      </c>
      <c r="O4" s="38" t="s">
        <v>15</v>
      </c>
      <c r="P4" s="19" t="s">
        <v>25</v>
      </c>
    </row>
    <row r="5" spans="3:17" x14ac:dyDescent="0.25">
      <c r="D5" s="2" t="s">
        <v>27</v>
      </c>
      <c r="E5" s="40">
        <v>0.01</v>
      </c>
      <c r="F5" s="42">
        <v>0.05</v>
      </c>
      <c r="G5" s="14">
        <v>0.1</v>
      </c>
      <c r="H5" s="1" t="s">
        <v>3</v>
      </c>
      <c r="J5" s="4"/>
      <c r="K5" s="44">
        <v>29</v>
      </c>
      <c r="L5" s="45">
        <v>59</v>
      </c>
      <c r="M5" s="44">
        <v>299</v>
      </c>
      <c r="O5" s="38" t="s">
        <v>14</v>
      </c>
      <c r="P5" s="18" t="s">
        <v>12</v>
      </c>
    </row>
    <row r="6" spans="3:17" x14ac:dyDescent="0.25">
      <c r="D6" s="2" t="s">
        <v>2</v>
      </c>
      <c r="E6" s="39">
        <v>3</v>
      </c>
      <c r="F6" s="41">
        <v>2</v>
      </c>
      <c r="G6" s="13">
        <v>4</v>
      </c>
      <c r="J6" s="4"/>
      <c r="K6" s="44">
        <v>44</v>
      </c>
      <c r="L6" s="44">
        <v>90</v>
      </c>
      <c r="M6" s="44">
        <v>459</v>
      </c>
      <c r="O6" s="38" t="s">
        <v>58</v>
      </c>
      <c r="P6" s="17" t="s">
        <v>11</v>
      </c>
    </row>
    <row r="7" spans="3:17" x14ac:dyDescent="0.25">
      <c r="D7" s="2" t="s">
        <v>4</v>
      </c>
      <c r="E7" s="39">
        <v>296</v>
      </c>
      <c r="F7" s="41">
        <v>38</v>
      </c>
      <c r="G7" s="13">
        <v>36</v>
      </c>
      <c r="J7" s="4"/>
      <c r="K7" s="46" t="s">
        <v>21</v>
      </c>
      <c r="L7" s="44"/>
      <c r="M7" s="44"/>
      <c r="O7" s="38" t="s">
        <v>57</v>
      </c>
      <c r="P7" s="16" t="s">
        <v>10</v>
      </c>
    </row>
    <row r="8" spans="3:17" x14ac:dyDescent="0.25">
      <c r="D8" s="2"/>
      <c r="E8" s="2"/>
      <c r="F8" s="2"/>
      <c r="G8" s="3"/>
      <c r="L8" s="44"/>
      <c r="M8" s="44"/>
    </row>
    <row r="9" spans="3:17" ht="14.45" customHeight="1" x14ac:dyDescent="0.25">
      <c r="C9" s="60" t="s">
        <v>63</v>
      </c>
      <c r="D9" s="60"/>
      <c r="E9" s="60"/>
      <c r="F9" s="60"/>
      <c r="G9" s="60"/>
      <c r="H9" s="60"/>
      <c r="I9" s="60"/>
      <c r="J9" s="60"/>
      <c r="K9" s="60"/>
      <c r="L9" s="60"/>
      <c r="M9" s="60"/>
      <c r="N9" s="60"/>
      <c r="O9" s="60"/>
      <c r="P9" s="60"/>
      <c r="Q9" s="60"/>
    </row>
    <row r="10" spans="3:17" x14ac:dyDescent="0.25">
      <c r="C10" s="60"/>
      <c r="D10" s="60"/>
      <c r="E10" s="60"/>
      <c r="F10" s="60"/>
      <c r="G10" s="60"/>
      <c r="H10" s="60"/>
      <c r="I10" s="60"/>
      <c r="J10" s="60"/>
      <c r="K10" s="60"/>
      <c r="L10" s="60"/>
      <c r="M10" s="60"/>
      <c r="N10" s="60"/>
      <c r="O10" s="60"/>
      <c r="P10" s="60"/>
      <c r="Q10" s="60"/>
    </row>
    <row r="11" spans="3:17" x14ac:dyDescent="0.25">
      <c r="C11" s="60"/>
      <c r="D11" s="60"/>
      <c r="E11" s="60"/>
      <c r="F11" s="60"/>
      <c r="G11" s="60"/>
      <c r="H11" s="60"/>
      <c r="I11" s="60"/>
      <c r="J11" s="60"/>
      <c r="K11" s="60"/>
      <c r="L11" s="60"/>
      <c r="M11" s="60"/>
      <c r="N11" s="60"/>
      <c r="O11" s="60"/>
      <c r="P11" s="60"/>
      <c r="Q11" s="60"/>
    </row>
    <row r="12" spans="3:17" x14ac:dyDescent="0.25">
      <c r="C12" s="60"/>
      <c r="D12" s="60"/>
      <c r="E12" s="60"/>
      <c r="F12" s="60"/>
      <c r="G12" s="60"/>
      <c r="H12" s="60"/>
      <c r="I12" s="60"/>
      <c r="J12" s="60"/>
      <c r="K12" s="60"/>
      <c r="L12" s="60"/>
      <c r="M12" s="60"/>
      <c r="N12" s="60"/>
      <c r="O12" s="60"/>
      <c r="P12" s="60"/>
      <c r="Q12" s="60"/>
    </row>
    <row r="13" spans="3:17" x14ac:dyDescent="0.25">
      <c r="C13" s="60"/>
      <c r="D13" s="60"/>
      <c r="E13" s="60"/>
      <c r="F13" s="60"/>
      <c r="G13" s="60"/>
      <c r="H13" s="60"/>
      <c r="I13" s="60"/>
      <c r="J13" s="60"/>
      <c r="K13" s="60"/>
      <c r="L13" s="60"/>
      <c r="M13" s="60"/>
      <c r="N13" s="60"/>
      <c r="O13" s="60"/>
      <c r="P13" s="60"/>
      <c r="Q13" s="60"/>
    </row>
    <row r="14" spans="3:17" x14ac:dyDescent="0.25">
      <c r="C14" s="60"/>
      <c r="D14" s="60"/>
      <c r="E14" s="60"/>
      <c r="F14" s="60"/>
      <c r="G14" s="60"/>
      <c r="H14" s="60"/>
      <c r="I14" s="60"/>
      <c r="J14" s="60"/>
      <c r="K14" s="60"/>
      <c r="L14" s="60"/>
      <c r="M14" s="60"/>
      <c r="N14" s="60"/>
      <c r="O14" s="60"/>
      <c r="P14" s="60"/>
      <c r="Q14" s="60"/>
    </row>
    <row r="15" spans="3:17" ht="34.5" customHeight="1" x14ac:dyDescent="0.25">
      <c r="C15" s="60"/>
      <c r="D15" s="60"/>
      <c r="E15" s="60"/>
      <c r="F15" s="60"/>
      <c r="G15" s="60"/>
      <c r="H15" s="60"/>
      <c r="I15" s="60"/>
      <c r="J15" s="60"/>
      <c r="K15" s="60"/>
      <c r="L15" s="60"/>
      <c r="M15" s="60"/>
      <c r="N15" s="60"/>
      <c r="O15" s="60"/>
      <c r="P15" s="60"/>
      <c r="Q15" s="60"/>
    </row>
    <row r="16" spans="3:17" ht="16.149999999999999" customHeight="1" x14ac:dyDescent="0.25">
      <c r="C16" s="10"/>
      <c r="D16" s="10"/>
      <c r="E16" s="10"/>
      <c r="F16" s="10"/>
      <c r="G16" s="10"/>
      <c r="H16" s="10"/>
      <c r="I16" s="10"/>
      <c r="J16" s="10"/>
      <c r="K16" s="47"/>
      <c r="L16" s="47"/>
      <c r="M16" s="47"/>
      <c r="N16" s="10"/>
      <c r="O16" s="10"/>
      <c r="P16" s="10"/>
      <c r="Q16" s="10"/>
    </row>
    <row r="17" spans="1:17" x14ac:dyDescent="0.25">
      <c r="C17" s="62" t="s">
        <v>24</v>
      </c>
      <c r="D17" s="62"/>
      <c r="E17" s="10"/>
      <c r="F17" s="10"/>
      <c r="G17" s="11"/>
      <c r="H17" s="10"/>
      <c r="I17" s="15"/>
      <c r="J17" s="15"/>
      <c r="K17" s="48"/>
      <c r="O17" s="10"/>
      <c r="P17" s="10"/>
      <c r="Q17" s="10"/>
    </row>
    <row r="18" spans="1:17" x14ac:dyDescent="0.25">
      <c r="C18" s="62"/>
      <c r="D18" s="62"/>
      <c r="E18" s="55">
        <v>0.05</v>
      </c>
      <c r="F18" s="1" t="s">
        <v>23</v>
      </c>
      <c r="I18" s="15" t="s">
        <v>20</v>
      </c>
      <c r="J18" s="12">
        <f>(MAX(H20:H84)+1)/(MAX(H20:H84)+1+MAX(G20:G84)+1)</f>
        <v>0.95107033639143734</v>
      </c>
    </row>
    <row r="19" spans="1:17" ht="60" x14ac:dyDescent="0.25">
      <c r="A19" s="50"/>
      <c r="B19" s="52" t="s">
        <v>62</v>
      </c>
      <c r="C19" s="5" t="s">
        <v>0</v>
      </c>
      <c r="D19" s="5" t="s">
        <v>60</v>
      </c>
      <c r="E19" s="5" t="s">
        <v>5</v>
      </c>
      <c r="F19" s="5" t="s">
        <v>61</v>
      </c>
      <c r="G19" s="6" t="s">
        <v>26</v>
      </c>
      <c r="H19" s="6" t="s">
        <v>56</v>
      </c>
      <c r="I19" s="5" t="s">
        <v>7</v>
      </c>
      <c r="J19" s="7" t="s">
        <v>59</v>
      </c>
      <c r="K19" s="49" t="s">
        <v>19</v>
      </c>
      <c r="L19" s="49" t="s">
        <v>6</v>
      </c>
      <c r="M19" s="49" t="s">
        <v>8</v>
      </c>
    </row>
    <row r="20" spans="1:17" x14ac:dyDescent="0.25">
      <c r="A20" s="51"/>
      <c r="B20" s="53">
        <f>IF(ISBLANK(D21),"",ABS(SUM(D$20:D20)/SUM(E$20:E20)-SUM(D21:D$117)/(SUM(E21:E$117))))</f>
        <v>4.8148148148148148E-2</v>
      </c>
      <c r="C20" s="38">
        <v>1</v>
      </c>
      <c r="D20" s="8">
        <v>0</v>
      </c>
      <c r="E20" s="8">
        <v>15</v>
      </c>
      <c r="F20" s="9">
        <f>D20/E20</f>
        <v>0</v>
      </c>
      <c r="G20" s="38">
        <f>IF(E18=0.01,$E$6+D20,IF(E18=0.05,F6+D20,G6+D20))</f>
        <v>2</v>
      </c>
      <c r="H20" s="38">
        <f>IF(E18=0.01,$E$7+E20-D20,IF(E18=0.05,F7+E20-D20,G7+E20-D20))</f>
        <v>53</v>
      </c>
      <c r="I20" s="9">
        <f>G20/(G20+H20)</f>
        <v>3.6363636363636362E-2</v>
      </c>
      <c r="J20" s="37">
        <f>IF(ISBLANK(E20),"",(1-_xlfn.BETA.DIST($E$18,G20,H20,TRUE)))</f>
        <v>0.24079304834923287</v>
      </c>
      <c r="K20" s="43">
        <v>0.3</v>
      </c>
      <c r="L20" s="43">
        <v>0.5</v>
      </c>
      <c r="M20" s="43">
        <v>0.1</v>
      </c>
    </row>
    <row r="21" spans="1:17" x14ac:dyDescent="0.25">
      <c r="A21" s="51"/>
      <c r="B21" s="53">
        <f>IF(ISBLANK(D22),"",ABS(SUM(D$20:D21)/SUM(E$20:E21)-SUM(D22:D$117)/(SUM(E22:E$117))))</f>
        <v>5.0980392156862744E-2</v>
      </c>
      <c r="C21" s="38">
        <v>2</v>
      </c>
      <c r="D21" s="8">
        <v>0</v>
      </c>
      <c r="E21" s="8">
        <v>15</v>
      </c>
      <c r="F21" s="9">
        <f t="shared" ref="F21:F34" si="0">D21/E21</f>
        <v>0</v>
      </c>
      <c r="G21" s="38">
        <f>$G20+D21</f>
        <v>2</v>
      </c>
      <c r="H21" s="38">
        <f>$H20+E21-D21</f>
        <v>68</v>
      </c>
      <c r="I21" s="9">
        <f t="shared" ref="I21:I24" si="1">G21/(G21+H21)</f>
        <v>2.8571428571428571E-2</v>
      </c>
      <c r="J21" s="37">
        <f t="shared" ref="J21:J34" si="2">IF(ISBLANK(E21),"",(1-_xlfn.BETA.DIST($E$18,G21,H21,TRUE)))</f>
        <v>0.13448004201862618</v>
      </c>
      <c r="K21" s="43">
        <f>K20</f>
        <v>0.3</v>
      </c>
      <c r="L21" s="43">
        <v>0.5</v>
      </c>
      <c r="M21" s="43">
        <v>0.1</v>
      </c>
    </row>
    <row r="22" spans="1:17" x14ac:dyDescent="0.25">
      <c r="A22" s="51"/>
      <c r="B22" s="53">
        <f>IF(ISBLANK(D23),"",ABS(SUM(D$20:D22)/SUM(E$20:E22)-SUM(D23:D$117)/(SUM(E23:E$117))))</f>
        <v>2.777777777777778E-2</v>
      </c>
      <c r="C22" s="38">
        <v>3</v>
      </c>
      <c r="D22" s="8">
        <v>1</v>
      </c>
      <c r="E22" s="8">
        <v>15</v>
      </c>
      <c r="F22" s="9">
        <f>D22/E22</f>
        <v>6.6666666666666666E-2</v>
      </c>
      <c r="G22" s="38">
        <f t="shared" ref="G22:G34" si="3">$G21+D22</f>
        <v>3</v>
      </c>
      <c r="H22" s="38">
        <f>$H21+E22-D22</f>
        <v>82</v>
      </c>
      <c r="I22" s="9">
        <f t="shared" si="1"/>
        <v>3.5294117647058823E-2</v>
      </c>
      <c r="J22" s="37">
        <f t="shared" si="2"/>
        <v>0.20282149364202606</v>
      </c>
      <c r="K22" s="43">
        <f t="shared" ref="K22:K36" si="4">K21</f>
        <v>0.3</v>
      </c>
      <c r="L22" s="43">
        <v>0.5</v>
      </c>
      <c r="M22" s="43">
        <v>0.1</v>
      </c>
    </row>
    <row r="23" spans="1:17" x14ac:dyDescent="0.25">
      <c r="A23" s="51"/>
      <c r="B23" s="53">
        <f>IF(ISBLANK(D24),"",ABS(SUM(D$20:D23)/SUM(E$20:E23)-SUM(D24:D$117)/(SUM(E24:E$117))))</f>
        <v>1.5555555555555559E-2</v>
      </c>
      <c r="C23" s="38">
        <v>4</v>
      </c>
      <c r="D23" s="8">
        <v>1</v>
      </c>
      <c r="E23" s="8">
        <v>15</v>
      </c>
      <c r="F23" s="9">
        <f t="shared" si="0"/>
        <v>6.6666666666666666E-2</v>
      </c>
      <c r="G23" s="38">
        <f t="shared" si="3"/>
        <v>4</v>
      </c>
      <c r="H23" s="38">
        <f>$H22+E23-D23</f>
        <v>96</v>
      </c>
      <c r="I23" s="9">
        <f>G23/(G23+H23)</f>
        <v>0.04</v>
      </c>
      <c r="J23" s="37">
        <f t="shared" si="2"/>
        <v>0.26496436477880403</v>
      </c>
      <c r="K23" s="43">
        <f t="shared" si="4"/>
        <v>0.3</v>
      </c>
      <c r="L23" s="43">
        <v>0.5</v>
      </c>
      <c r="M23" s="43">
        <v>0.1</v>
      </c>
    </row>
    <row r="24" spans="1:17" x14ac:dyDescent="0.25">
      <c r="A24" s="51"/>
      <c r="B24" s="53">
        <f>IF(ISBLANK(D25),"",ABS(SUM(D$20:D24)/SUM(E$20:E24)-SUM(D25:D$117)/(SUM(E25:E$117))))</f>
        <v>2.5714285714285714E-2</v>
      </c>
      <c r="C24" s="38">
        <v>5</v>
      </c>
      <c r="D24" s="8">
        <v>0</v>
      </c>
      <c r="E24" s="8">
        <v>15</v>
      </c>
      <c r="F24" s="9">
        <f t="shared" si="0"/>
        <v>0</v>
      </c>
      <c r="G24" s="38">
        <f t="shared" si="3"/>
        <v>4</v>
      </c>
      <c r="H24" s="38">
        <f t="shared" ref="H24:H34" si="5">$H23+E24-D24</f>
        <v>111</v>
      </c>
      <c r="I24" s="9">
        <f t="shared" si="1"/>
        <v>3.4782608695652174E-2</v>
      </c>
      <c r="J24" s="37">
        <f t="shared" si="2"/>
        <v>0.17294970824079092</v>
      </c>
      <c r="K24" s="43">
        <f t="shared" si="4"/>
        <v>0.3</v>
      </c>
      <c r="L24" s="43">
        <v>0.5</v>
      </c>
      <c r="M24" s="43">
        <v>0.1</v>
      </c>
    </row>
    <row r="25" spans="1:17" x14ac:dyDescent="0.25">
      <c r="A25" s="51"/>
      <c r="B25" s="53">
        <f>IF(ISBLANK(D26),"",ABS(SUM(D$20:D25)/SUM(E$20:E25)-SUM(D26:D$117)/(SUM(E26:E$117))))</f>
        <v>3.4188034188034191E-2</v>
      </c>
      <c r="C25" s="38">
        <v>6</v>
      </c>
      <c r="D25" s="8">
        <v>0</v>
      </c>
      <c r="E25" s="8">
        <v>15</v>
      </c>
      <c r="F25" s="9">
        <f t="shared" si="0"/>
        <v>0</v>
      </c>
      <c r="G25" s="38">
        <f t="shared" si="3"/>
        <v>4</v>
      </c>
      <c r="H25" s="38">
        <f t="shared" si="5"/>
        <v>126</v>
      </c>
      <c r="I25" s="9">
        <f>G25/(G25+H25)</f>
        <v>3.0769230769230771E-2</v>
      </c>
      <c r="J25" s="37">
        <f t="shared" si="2"/>
        <v>0.10917270481037722</v>
      </c>
      <c r="K25" s="43">
        <f t="shared" si="4"/>
        <v>0.3</v>
      </c>
      <c r="L25" s="43">
        <v>0.5</v>
      </c>
      <c r="M25" s="43">
        <v>0.1</v>
      </c>
    </row>
    <row r="26" spans="1:17" x14ac:dyDescent="0.25">
      <c r="A26" s="51"/>
      <c r="B26" s="53">
        <f>IF(ISBLANK(D27),"",ABS(SUM(D$20:D26)/SUM(E$20:E26)-SUM(D27:D$117)/(SUM(E27:E$117))))</f>
        <v>4.206349206349206E-2</v>
      </c>
      <c r="C26" s="38">
        <v>7</v>
      </c>
      <c r="D26" s="8">
        <v>0</v>
      </c>
      <c r="E26" s="8">
        <v>15</v>
      </c>
      <c r="F26" s="9">
        <f t="shared" si="0"/>
        <v>0</v>
      </c>
      <c r="G26" s="38">
        <f t="shared" si="3"/>
        <v>4</v>
      </c>
      <c r="H26" s="38">
        <f t="shared" si="5"/>
        <v>141</v>
      </c>
      <c r="I26" s="9">
        <f t="shared" ref="I26:I34" si="6">G26/(G26+H26)</f>
        <v>2.7586206896551724E-2</v>
      </c>
      <c r="J26" s="37">
        <f t="shared" si="2"/>
        <v>6.7024198270245305E-2</v>
      </c>
      <c r="K26" s="43">
        <f t="shared" si="4"/>
        <v>0.3</v>
      </c>
      <c r="L26" s="43">
        <v>0.5</v>
      </c>
      <c r="M26" s="43">
        <v>0.1</v>
      </c>
    </row>
    <row r="27" spans="1:17" x14ac:dyDescent="0.25">
      <c r="A27" s="51"/>
      <c r="B27" s="53">
        <f>IF(ISBLANK(D28),"",ABS(SUM(D$20:D27)/SUM(E$20:E27)-SUM(D28:D$117)/(SUM(E28:E$117))))</f>
        <v>3.5606060606060606E-2</v>
      </c>
      <c r="C27" s="38">
        <v>8</v>
      </c>
      <c r="D27" s="8">
        <v>1</v>
      </c>
      <c r="E27" s="8">
        <v>15</v>
      </c>
      <c r="F27" s="9">
        <f t="shared" si="0"/>
        <v>6.6666666666666666E-2</v>
      </c>
      <c r="G27" s="38">
        <f t="shared" si="3"/>
        <v>5</v>
      </c>
      <c r="H27" s="38">
        <f t="shared" si="5"/>
        <v>155</v>
      </c>
      <c r="I27" s="9">
        <f>G27/(G27+H27)</f>
        <v>3.125E-2</v>
      </c>
      <c r="J27" s="37">
        <f t="shared" si="2"/>
        <v>9.6678003886419339E-2</v>
      </c>
      <c r="K27" s="43">
        <f t="shared" si="4"/>
        <v>0.3</v>
      </c>
      <c r="L27" s="43">
        <v>0.5</v>
      </c>
      <c r="M27" s="43">
        <v>0.1</v>
      </c>
    </row>
    <row r="28" spans="1:17" x14ac:dyDescent="0.25">
      <c r="A28" s="51"/>
      <c r="B28" s="53">
        <f>IF(ISBLANK(D29),"",ABS(SUM(D$20:D28)/SUM(E$20:E28)-SUM(D29:D$117)/(SUM(E29:E$117))))</f>
        <v>4.4444444444444439E-2</v>
      </c>
      <c r="C28" s="38">
        <v>9</v>
      </c>
      <c r="D28" s="8">
        <v>0</v>
      </c>
      <c r="E28" s="8">
        <v>15</v>
      </c>
      <c r="F28" s="9">
        <f>D28/E28</f>
        <v>0</v>
      </c>
      <c r="G28" s="38">
        <f t="shared" si="3"/>
        <v>5</v>
      </c>
      <c r="H28" s="38">
        <f t="shared" si="5"/>
        <v>170</v>
      </c>
      <c r="I28" s="9">
        <f>G28/(G28+H28)</f>
        <v>2.8571428571428571E-2</v>
      </c>
      <c r="J28" s="37">
        <f t="shared" si="2"/>
        <v>6.1284906469490918E-2</v>
      </c>
      <c r="K28" s="43">
        <f t="shared" si="4"/>
        <v>0.3</v>
      </c>
      <c r="L28" s="43">
        <v>0.5</v>
      </c>
      <c r="M28" s="43">
        <v>0.1</v>
      </c>
    </row>
    <row r="29" spans="1:17" x14ac:dyDescent="0.25">
      <c r="A29" s="51"/>
      <c r="B29" s="53">
        <f>IF(ISBLANK(D30),"",ABS(SUM(D$20:D29)/SUM(E$20:E29)-SUM(D30:D$117)/(SUM(E30:E$117))))</f>
        <v>3.9999999999999994E-2</v>
      </c>
      <c r="C29" s="38">
        <v>10</v>
      </c>
      <c r="D29" s="8">
        <v>1</v>
      </c>
      <c r="E29" s="8">
        <v>15</v>
      </c>
      <c r="F29" s="9">
        <f t="shared" si="0"/>
        <v>6.6666666666666666E-2</v>
      </c>
      <c r="G29" s="38">
        <f t="shared" si="3"/>
        <v>6</v>
      </c>
      <c r="H29" s="38">
        <f t="shared" si="5"/>
        <v>184</v>
      </c>
      <c r="I29" s="9">
        <f t="shared" si="6"/>
        <v>3.1578947368421054E-2</v>
      </c>
      <c r="J29" s="37">
        <f t="shared" si="2"/>
        <v>8.54273909642429E-2</v>
      </c>
      <c r="K29" s="43">
        <f t="shared" si="4"/>
        <v>0.3</v>
      </c>
      <c r="L29" s="43">
        <v>0.5</v>
      </c>
      <c r="M29" s="43">
        <v>0.1</v>
      </c>
    </row>
    <row r="30" spans="1:17" x14ac:dyDescent="0.25">
      <c r="A30" s="51"/>
      <c r="B30" s="53">
        <f>IF(ISBLANK(D31),"",ABS(SUM(D$20:D30)/SUM(E$20:E30)-SUM(D31:D$117)/(SUM(E31:E$117))))</f>
        <v>2.1969696969696972E-2</v>
      </c>
      <c r="C30" s="38">
        <v>11</v>
      </c>
      <c r="D30" s="8">
        <v>2</v>
      </c>
      <c r="E30" s="8">
        <v>15</v>
      </c>
      <c r="F30" s="9">
        <f t="shared" si="0"/>
        <v>0.13333333333333333</v>
      </c>
      <c r="G30" s="38">
        <f t="shared" si="3"/>
        <v>8</v>
      </c>
      <c r="H30" s="38">
        <f t="shared" si="5"/>
        <v>197</v>
      </c>
      <c r="I30" s="9">
        <f t="shared" si="6"/>
        <v>3.9024390243902439E-2</v>
      </c>
      <c r="J30" s="37">
        <f t="shared" si="2"/>
        <v>0.19581342926832201</v>
      </c>
      <c r="K30" s="43">
        <f t="shared" si="4"/>
        <v>0.3</v>
      </c>
      <c r="L30" s="43">
        <v>0.5</v>
      </c>
      <c r="M30" s="43">
        <v>0.1</v>
      </c>
    </row>
    <row r="31" spans="1:17" x14ac:dyDescent="0.25">
      <c r="A31" s="51"/>
      <c r="B31" s="53">
        <f>IF(ISBLANK(D32),"",ABS(SUM(D$20:D31)/SUM(E$20:E31)-SUM(D32:D$117)/(SUM(E32:E$117))))</f>
        <v>3.1746031746031703E-3</v>
      </c>
      <c r="C31" s="38">
        <v>12</v>
      </c>
      <c r="D31" s="8">
        <v>2</v>
      </c>
      <c r="E31" s="8">
        <v>15</v>
      </c>
      <c r="F31" s="9">
        <f t="shared" si="0"/>
        <v>0.13333333333333333</v>
      </c>
      <c r="G31" s="38">
        <f t="shared" si="3"/>
        <v>10</v>
      </c>
      <c r="H31" s="38">
        <f t="shared" si="5"/>
        <v>210</v>
      </c>
      <c r="I31" s="9">
        <f t="shared" si="6"/>
        <v>4.5454545454545456E-2</v>
      </c>
      <c r="J31" s="37">
        <f t="shared" si="2"/>
        <v>0.34046305366978014</v>
      </c>
      <c r="K31" s="43">
        <f t="shared" si="4"/>
        <v>0.3</v>
      </c>
      <c r="L31" s="43">
        <v>0.5</v>
      </c>
      <c r="M31" s="43">
        <v>0.1</v>
      </c>
    </row>
    <row r="32" spans="1:17" x14ac:dyDescent="0.25">
      <c r="A32" s="51"/>
      <c r="B32" s="53">
        <f>IF(ISBLANK(D33),"",ABS(SUM(D$20:D32)/SUM(E$20:E32)-SUM(D33:D$117)/(SUM(E33:E$117))))</f>
        <v>6.0975609756097615E-3</v>
      </c>
      <c r="C32" s="38">
        <v>13</v>
      </c>
      <c r="D32" s="8">
        <v>1</v>
      </c>
      <c r="E32" s="8">
        <v>25</v>
      </c>
      <c r="F32" s="9">
        <f t="shared" si="0"/>
        <v>0.04</v>
      </c>
      <c r="G32" s="38">
        <f t="shared" si="3"/>
        <v>11</v>
      </c>
      <c r="H32" s="38">
        <f t="shared" si="5"/>
        <v>234</v>
      </c>
      <c r="I32" s="9">
        <f t="shared" si="6"/>
        <v>4.4897959183673466E-2</v>
      </c>
      <c r="J32" s="37">
        <f t="shared" si="2"/>
        <v>0.3208820695790473</v>
      </c>
      <c r="K32" s="43">
        <f t="shared" si="4"/>
        <v>0.3</v>
      </c>
      <c r="L32" s="43">
        <v>0.5</v>
      </c>
      <c r="M32" s="43">
        <v>0.1</v>
      </c>
    </row>
    <row r="33" spans="1:13" x14ac:dyDescent="0.25">
      <c r="A33" s="51"/>
      <c r="B33" s="53">
        <f>IF(ISBLANK(D34),"",ABS(SUM(D$20:D33)/SUM(E$20:E33)-SUM(D34:D$117)/(SUM(E34:E$117))))</f>
        <v>3.106382978723404E-2</v>
      </c>
      <c r="C33" s="38">
        <v>14</v>
      </c>
      <c r="D33" s="8">
        <v>3</v>
      </c>
      <c r="E33" s="8">
        <v>30</v>
      </c>
      <c r="F33" s="9">
        <f t="shared" si="0"/>
        <v>0.1</v>
      </c>
      <c r="G33" s="38">
        <f t="shared" si="3"/>
        <v>14</v>
      </c>
      <c r="H33" s="38">
        <f t="shared" si="5"/>
        <v>261</v>
      </c>
      <c r="I33" s="9">
        <f t="shared" si="6"/>
        <v>5.0909090909090911E-2</v>
      </c>
      <c r="J33" s="37">
        <f t="shared" si="2"/>
        <v>0.49461555258036694</v>
      </c>
      <c r="K33" s="43">
        <f t="shared" si="4"/>
        <v>0.3</v>
      </c>
      <c r="L33" s="43">
        <v>0.5</v>
      </c>
      <c r="M33" s="43">
        <v>0.1</v>
      </c>
    </row>
    <row r="34" spans="1:13" x14ac:dyDescent="0.25">
      <c r="A34" s="51"/>
      <c r="B34" s="53" t="str">
        <f>IF(ISBLANK(D35),"",ABS(SUM(D$20:D34)/SUM(E$20:E34)-SUM(D35:D$117)/(SUM(E35:E$117))))</f>
        <v/>
      </c>
      <c r="C34" s="38">
        <v>15</v>
      </c>
      <c r="D34" s="8">
        <v>1</v>
      </c>
      <c r="E34" s="8">
        <v>50</v>
      </c>
      <c r="F34" s="9">
        <f t="shared" si="0"/>
        <v>0.02</v>
      </c>
      <c r="G34" s="38">
        <f t="shared" si="3"/>
        <v>15</v>
      </c>
      <c r="H34" s="38">
        <f t="shared" si="5"/>
        <v>310</v>
      </c>
      <c r="I34" s="9">
        <f t="shared" si="6"/>
        <v>4.6153846153846156E-2</v>
      </c>
      <c r="J34" s="37">
        <f t="shared" si="2"/>
        <v>0.34402232975611746</v>
      </c>
      <c r="K34" s="43">
        <f t="shared" si="4"/>
        <v>0.3</v>
      </c>
      <c r="L34" s="43">
        <v>0.5</v>
      </c>
      <c r="M34" s="43">
        <v>0.1</v>
      </c>
    </row>
    <row r="35" spans="1:13" x14ac:dyDescent="0.25">
      <c r="A35" s="51"/>
      <c r="B35" s="53" t="str">
        <f>IF(ISBLANK(D36),"",ABS(SUM(D$20:D35)/SUM(E$20:E35)-SUM(D36:D$117)/(SUM(E36:E$117))))</f>
        <v/>
      </c>
      <c r="C35" s="38">
        <v>16</v>
      </c>
      <c r="D35" s="8"/>
      <c r="E35" s="8"/>
      <c r="F35" s="9"/>
      <c r="G35" s="38"/>
      <c r="H35" s="38"/>
      <c r="I35" s="9"/>
      <c r="J35" s="37"/>
      <c r="K35" s="43">
        <f t="shared" si="4"/>
        <v>0.3</v>
      </c>
      <c r="L35" s="43">
        <v>0.5</v>
      </c>
      <c r="M35" s="43">
        <v>0.1</v>
      </c>
    </row>
    <row r="36" spans="1:13" x14ac:dyDescent="0.25">
      <c r="A36" s="51"/>
      <c r="B36" s="53" t="str">
        <f>IF(ISBLANK(D37),"",ABS(SUM(D$20:D36)/SUM(E$20:E36)-SUM(D37:D$117)/(SUM(E37:E$117))))</f>
        <v/>
      </c>
      <c r="C36" s="38">
        <v>17</v>
      </c>
      <c r="D36" s="8"/>
      <c r="E36" s="8"/>
      <c r="F36" s="9"/>
      <c r="G36" s="38"/>
      <c r="H36" s="38"/>
      <c r="I36" s="9"/>
      <c r="J36" s="37"/>
      <c r="K36" s="43">
        <f t="shared" si="4"/>
        <v>0.3</v>
      </c>
      <c r="L36" s="43">
        <v>0.5</v>
      </c>
      <c r="M36" s="43">
        <v>0.1</v>
      </c>
    </row>
    <row r="37" spans="1:13" x14ac:dyDescent="0.25">
      <c r="A37" s="51"/>
      <c r="B37" s="53" t="str">
        <f>IF(ISBLANK(D38),"",ABS(SUM(D$20:D37)/SUM(E$20:E37)-SUM(D38:D$117)/(SUM(E38:E$117))))</f>
        <v/>
      </c>
      <c r="C37" s="38">
        <v>18</v>
      </c>
      <c r="D37" s="8"/>
      <c r="E37" s="8"/>
      <c r="F37" s="9"/>
      <c r="G37" s="38"/>
      <c r="H37" s="38"/>
      <c r="I37" s="9"/>
      <c r="J37" s="37"/>
      <c r="K37" s="43">
        <f t="shared" ref="K37:K100" si="7">K36</f>
        <v>0.3</v>
      </c>
      <c r="L37" s="43">
        <v>0.5</v>
      </c>
      <c r="M37" s="43">
        <v>0.1</v>
      </c>
    </row>
    <row r="38" spans="1:13" x14ac:dyDescent="0.25">
      <c r="A38" s="51"/>
      <c r="B38" s="53" t="str">
        <f>IF(ISBLANK(D39),"",ABS(SUM(D$20:D38)/SUM(E$20:E38)-SUM(D39:D$117)/(SUM(E39:E$117))))</f>
        <v/>
      </c>
      <c r="C38" s="38">
        <v>19</v>
      </c>
      <c r="D38" s="8"/>
      <c r="E38" s="8"/>
      <c r="F38" s="9"/>
      <c r="G38" s="38"/>
      <c r="H38" s="38"/>
      <c r="I38" s="9"/>
      <c r="J38" s="37"/>
      <c r="K38" s="43">
        <f t="shared" si="7"/>
        <v>0.3</v>
      </c>
      <c r="L38" s="43">
        <v>0.5</v>
      </c>
      <c r="M38" s="43">
        <v>0.1</v>
      </c>
    </row>
    <row r="39" spans="1:13" x14ac:dyDescent="0.25">
      <c r="A39" s="51"/>
      <c r="B39" s="53" t="str">
        <f>IF(ISBLANK(D40),"",ABS(SUM(D$20:D39)/SUM(E$20:E39)-SUM(D40:D$117)/(SUM(E40:E$117))))</f>
        <v/>
      </c>
      <c r="C39" s="38">
        <v>20</v>
      </c>
      <c r="D39" s="8"/>
      <c r="E39" s="8"/>
      <c r="F39" s="9"/>
      <c r="G39" s="38"/>
      <c r="H39" s="38"/>
      <c r="I39" s="9"/>
      <c r="J39" s="37"/>
      <c r="K39" s="43">
        <f t="shared" si="7"/>
        <v>0.3</v>
      </c>
      <c r="L39" s="43">
        <v>0.5</v>
      </c>
      <c r="M39" s="43">
        <v>0.1</v>
      </c>
    </row>
    <row r="40" spans="1:13" x14ac:dyDescent="0.25">
      <c r="A40" s="51"/>
      <c r="B40" s="53" t="str">
        <f>IF(ISBLANK(D41),"",ABS(SUM(D$20:D40)/SUM(E$20:E40)-SUM(D41:D$117)/(SUM(E41:E$117))))</f>
        <v/>
      </c>
      <c r="C40" s="38">
        <v>21</v>
      </c>
      <c r="D40" s="8"/>
      <c r="E40" s="8"/>
      <c r="F40" s="9"/>
      <c r="G40" s="38"/>
      <c r="H40" s="38"/>
      <c r="I40" s="9"/>
      <c r="J40" s="37"/>
      <c r="K40" s="43">
        <f t="shared" si="7"/>
        <v>0.3</v>
      </c>
      <c r="L40" s="43">
        <v>0.5</v>
      </c>
      <c r="M40" s="43">
        <v>0.1</v>
      </c>
    </row>
    <row r="41" spans="1:13" x14ac:dyDescent="0.25">
      <c r="A41" s="51"/>
      <c r="B41" s="53" t="str">
        <f>IF(ISBLANK(D42),"",ABS(SUM(D$20:D41)/SUM(E$20:E41)-SUM(D42:D$117)/(SUM(E42:E$117))))</f>
        <v/>
      </c>
      <c r="C41" s="38">
        <v>22</v>
      </c>
      <c r="D41" s="8"/>
      <c r="E41" s="8"/>
      <c r="F41" s="9"/>
      <c r="G41" s="38"/>
      <c r="H41" s="38"/>
      <c r="I41" s="9"/>
      <c r="J41" s="37"/>
      <c r="K41" s="43">
        <f t="shared" si="7"/>
        <v>0.3</v>
      </c>
      <c r="L41" s="43">
        <v>0.5</v>
      </c>
      <c r="M41" s="43">
        <v>0.1</v>
      </c>
    </row>
    <row r="42" spans="1:13" x14ac:dyDescent="0.25">
      <c r="A42" s="51"/>
      <c r="B42" s="53" t="str">
        <f>IF(ISBLANK(D43),"",ABS(SUM(D$20:D42)/SUM(E$20:E42)-SUM(D43:D$117)/(SUM(E43:E$117))))</f>
        <v/>
      </c>
      <c r="C42" s="38">
        <v>23</v>
      </c>
      <c r="D42" s="8"/>
      <c r="E42" s="8"/>
      <c r="F42" s="9"/>
      <c r="G42" s="38"/>
      <c r="H42" s="38"/>
      <c r="I42" s="9"/>
      <c r="J42" s="37"/>
      <c r="K42" s="43">
        <f t="shared" si="7"/>
        <v>0.3</v>
      </c>
      <c r="L42" s="43">
        <v>0.5</v>
      </c>
      <c r="M42" s="43">
        <v>0.1</v>
      </c>
    </row>
    <row r="43" spans="1:13" x14ac:dyDescent="0.25">
      <c r="A43" s="51"/>
      <c r="B43" s="53" t="str">
        <f>IF(ISBLANK(D44),"",ABS(SUM(D$20:D43)/SUM(E$20:E43)-SUM(D44:D$117)/(SUM(E44:E$117))))</f>
        <v/>
      </c>
      <c r="C43" s="38">
        <v>24</v>
      </c>
      <c r="D43" s="8"/>
      <c r="E43" s="8"/>
      <c r="F43" s="9"/>
      <c r="G43" s="38"/>
      <c r="H43" s="38"/>
      <c r="I43" s="9"/>
      <c r="J43" s="37"/>
      <c r="K43" s="43">
        <f t="shared" si="7"/>
        <v>0.3</v>
      </c>
      <c r="L43" s="43">
        <v>0.5</v>
      </c>
      <c r="M43" s="43">
        <v>0.1</v>
      </c>
    </row>
    <row r="44" spans="1:13" x14ac:dyDescent="0.25">
      <c r="A44" s="51"/>
      <c r="B44" s="53" t="str">
        <f>IF(ISBLANK(D45),"",ABS(SUM(D$20:D44)/SUM(E$20:E44)-SUM(D45:D$117)/(SUM(E45:E$117))))</f>
        <v/>
      </c>
      <c r="C44" s="38">
        <v>25</v>
      </c>
      <c r="D44" s="8"/>
      <c r="E44" s="8"/>
      <c r="F44" s="9"/>
      <c r="G44" s="38"/>
      <c r="H44" s="38"/>
      <c r="I44" s="9"/>
      <c r="J44" s="37"/>
      <c r="K44" s="43">
        <f t="shared" si="7"/>
        <v>0.3</v>
      </c>
      <c r="L44" s="43">
        <v>0.5</v>
      </c>
      <c r="M44" s="43">
        <v>0.1</v>
      </c>
    </row>
    <row r="45" spans="1:13" x14ac:dyDescent="0.25">
      <c r="A45" s="51"/>
      <c r="B45" s="53" t="str">
        <f>IF(ISBLANK(D46),"",ABS(SUM(D$20:D45)/SUM(E$20:E45)-SUM(D46:D$117)/(SUM(E46:E$117))))</f>
        <v/>
      </c>
      <c r="C45" s="38">
        <v>26</v>
      </c>
      <c r="D45" s="8"/>
      <c r="E45" s="8"/>
      <c r="F45" s="9"/>
      <c r="G45" s="38"/>
      <c r="H45" s="38"/>
      <c r="I45" s="9"/>
      <c r="J45" s="37"/>
      <c r="K45" s="43">
        <f t="shared" si="7"/>
        <v>0.3</v>
      </c>
      <c r="L45" s="43">
        <v>0.5</v>
      </c>
      <c r="M45" s="43">
        <v>0.1</v>
      </c>
    </row>
    <row r="46" spans="1:13" x14ac:dyDescent="0.25">
      <c r="A46" s="51"/>
      <c r="B46" s="53" t="str">
        <f>IF(ISBLANK(D47),"",ABS(SUM(D$20:D46)/SUM(E$20:E46)-SUM(D47:D$117)/(SUM(E47:E$117))))</f>
        <v/>
      </c>
      <c r="C46" s="38">
        <v>27</v>
      </c>
      <c r="D46" s="8"/>
      <c r="E46" s="8"/>
      <c r="F46" s="9"/>
      <c r="G46" s="38"/>
      <c r="H46" s="38"/>
      <c r="I46" s="9"/>
      <c r="J46" s="37"/>
      <c r="K46" s="43">
        <f t="shared" si="7"/>
        <v>0.3</v>
      </c>
      <c r="L46" s="43">
        <v>0.5</v>
      </c>
      <c r="M46" s="43">
        <v>0.1</v>
      </c>
    </row>
    <row r="47" spans="1:13" x14ac:dyDescent="0.25">
      <c r="A47" s="51"/>
      <c r="B47" s="53" t="str">
        <f>IF(ISBLANK(D48),"",ABS(SUM(D$20:D47)/SUM(E$20:E47)-SUM(D48:D$117)/(SUM(E48:E$117))))</f>
        <v/>
      </c>
      <c r="C47" s="38">
        <v>28</v>
      </c>
      <c r="D47" s="8"/>
      <c r="E47" s="8"/>
      <c r="F47" s="9"/>
      <c r="G47" s="38"/>
      <c r="H47" s="38"/>
      <c r="I47" s="9"/>
      <c r="J47" s="37"/>
      <c r="K47" s="43">
        <f t="shared" si="7"/>
        <v>0.3</v>
      </c>
      <c r="L47" s="43">
        <v>0.5</v>
      </c>
      <c r="M47" s="43">
        <v>0.1</v>
      </c>
    </row>
    <row r="48" spans="1:13" x14ac:dyDescent="0.25">
      <c r="A48" s="51"/>
      <c r="B48" s="53" t="str">
        <f>IF(ISBLANK(D49),"",ABS(SUM(D$20:D48)/SUM(E$20:E48)-SUM(D49:D$117)/(SUM(E49:E$117))))</f>
        <v/>
      </c>
      <c r="C48" s="38">
        <v>29</v>
      </c>
      <c r="D48" s="8"/>
      <c r="E48" s="8"/>
      <c r="F48" s="9"/>
      <c r="G48" s="38"/>
      <c r="H48" s="38"/>
      <c r="I48" s="9"/>
      <c r="J48" s="37"/>
      <c r="K48" s="43">
        <f t="shared" si="7"/>
        <v>0.3</v>
      </c>
      <c r="L48" s="43">
        <v>0.5</v>
      </c>
      <c r="M48" s="43">
        <v>0.1</v>
      </c>
    </row>
    <row r="49" spans="1:13" x14ac:dyDescent="0.25">
      <c r="A49" s="51"/>
      <c r="B49" s="53" t="str">
        <f>IF(ISBLANK(D50),"",ABS(SUM(D$20:D49)/SUM(E$20:E49)-SUM(D50:D$117)/(SUM(E50:E$117))))</f>
        <v/>
      </c>
      <c r="C49" s="38">
        <v>30</v>
      </c>
      <c r="D49" s="8"/>
      <c r="E49" s="8"/>
      <c r="F49" s="9"/>
      <c r="G49" s="38"/>
      <c r="H49" s="38"/>
      <c r="I49" s="9"/>
      <c r="J49" s="37"/>
      <c r="K49" s="43">
        <f t="shared" si="7"/>
        <v>0.3</v>
      </c>
      <c r="L49" s="43">
        <v>0.5</v>
      </c>
      <c r="M49" s="43">
        <v>0.1</v>
      </c>
    </row>
    <row r="50" spans="1:13" x14ac:dyDescent="0.25">
      <c r="A50" s="51"/>
      <c r="B50" s="53" t="str">
        <f>IF(ISBLANK(D51),"",ABS(SUM(D$20:D50)/SUM(E$20:E50)-SUM(D51:D$117)/(SUM(E51:E$117))))</f>
        <v/>
      </c>
      <c r="C50" s="38">
        <v>31</v>
      </c>
      <c r="D50" s="8"/>
      <c r="E50" s="8"/>
      <c r="F50" s="9"/>
      <c r="G50" s="38"/>
      <c r="H50" s="38"/>
      <c r="I50" s="9"/>
      <c r="J50" s="37"/>
      <c r="K50" s="43">
        <f t="shared" si="7"/>
        <v>0.3</v>
      </c>
      <c r="L50" s="43">
        <v>0.5</v>
      </c>
      <c r="M50" s="43">
        <v>0.1</v>
      </c>
    </row>
    <row r="51" spans="1:13" x14ac:dyDescent="0.25">
      <c r="A51" s="51"/>
      <c r="B51" s="53" t="str">
        <f>IF(ISBLANK(D52),"",ABS(SUM(D$20:D51)/SUM(E$20:E51)-SUM(D52:D$117)/(SUM(E52:E$117))))</f>
        <v/>
      </c>
      <c r="C51" s="38">
        <v>32</v>
      </c>
      <c r="D51" s="8"/>
      <c r="E51" s="8"/>
      <c r="F51" s="9"/>
      <c r="G51" s="38"/>
      <c r="H51" s="38"/>
      <c r="I51" s="9"/>
      <c r="J51" s="37"/>
      <c r="K51" s="43">
        <f t="shared" si="7"/>
        <v>0.3</v>
      </c>
      <c r="L51" s="43">
        <v>0.5</v>
      </c>
      <c r="M51" s="43">
        <v>0.1</v>
      </c>
    </row>
    <row r="52" spans="1:13" x14ac:dyDescent="0.25">
      <c r="A52" s="51"/>
      <c r="B52" s="53" t="str">
        <f>IF(ISBLANK(D53),"",ABS(SUM(D$20:D52)/SUM(E$20:E52)-SUM(D53:D$117)/(SUM(E53:E$117))))</f>
        <v/>
      </c>
      <c r="C52" s="38">
        <v>33</v>
      </c>
      <c r="D52" s="8"/>
      <c r="E52" s="8"/>
      <c r="F52" s="9"/>
      <c r="G52" s="38"/>
      <c r="H52" s="38"/>
      <c r="I52" s="9"/>
      <c r="J52" s="37"/>
      <c r="K52" s="43">
        <f t="shared" si="7"/>
        <v>0.3</v>
      </c>
      <c r="L52" s="43">
        <v>0.5</v>
      </c>
      <c r="M52" s="43">
        <v>0.1</v>
      </c>
    </row>
    <row r="53" spans="1:13" x14ac:dyDescent="0.25">
      <c r="A53" s="51"/>
      <c r="B53" s="53" t="str">
        <f>IF(ISBLANK(D54),"",ABS(SUM(D$20:D53)/SUM(E$20:E53)-SUM(D54:D$117)/(SUM(E54:E$117))))</f>
        <v/>
      </c>
      <c r="C53" s="38">
        <v>34</v>
      </c>
      <c r="D53" s="8"/>
      <c r="E53" s="8"/>
      <c r="F53" s="9"/>
      <c r="G53" s="38"/>
      <c r="H53" s="38"/>
      <c r="I53" s="9"/>
      <c r="J53" s="37"/>
      <c r="K53" s="43">
        <f t="shared" si="7"/>
        <v>0.3</v>
      </c>
      <c r="L53" s="43">
        <v>0.5</v>
      </c>
      <c r="M53" s="43">
        <v>0.1</v>
      </c>
    </row>
    <row r="54" spans="1:13" x14ac:dyDescent="0.25">
      <c r="A54" s="51"/>
      <c r="B54" s="53" t="str">
        <f>IF(ISBLANK(D55),"",ABS(SUM(D$20:D54)/SUM(E$20:E54)-SUM(D55:D$117)/(SUM(E55:E$117))))</f>
        <v/>
      </c>
      <c r="C54" s="38">
        <v>35</v>
      </c>
      <c r="D54" s="8"/>
      <c r="E54" s="8"/>
      <c r="F54" s="9"/>
      <c r="G54" s="38"/>
      <c r="H54" s="38"/>
      <c r="I54" s="9"/>
      <c r="J54" s="37"/>
      <c r="K54" s="43">
        <f t="shared" si="7"/>
        <v>0.3</v>
      </c>
      <c r="L54" s="43">
        <v>0.5</v>
      </c>
      <c r="M54" s="43">
        <v>0.1</v>
      </c>
    </row>
    <row r="55" spans="1:13" x14ac:dyDescent="0.25">
      <c r="A55" s="51"/>
      <c r="B55" s="53" t="str">
        <f>IF(ISBLANK(D56),"",ABS(SUM(D$20:D55)/SUM(E$20:E55)-SUM(D56:D$117)/(SUM(E56:E$117))))</f>
        <v/>
      </c>
      <c r="C55" s="38">
        <v>36</v>
      </c>
      <c r="D55" s="8"/>
      <c r="E55" s="8"/>
      <c r="F55" s="9"/>
      <c r="G55" s="38"/>
      <c r="H55" s="38"/>
      <c r="I55" s="9"/>
      <c r="J55" s="37"/>
      <c r="K55" s="43">
        <f t="shared" si="7"/>
        <v>0.3</v>
      </c>
      <c r="L55" s="43">
        <v>0.5</v>
      </c>
      <c r="M55" s="43">
        <v>0.1</v>
      </c>
    </row>
    <row r="56" spans="1:13" x14ac:dyDescent="0.25">
      <c r="A56" s="51"/>
      <c r="B56" s="53" t="str">
        <f>IF(ISBLANK(D57),"",ABS(SUM(D$20:D56)/SUM(E$20:E56)-SUM(D57:D$117)/(SUM(E57:E$117))))</f>
        <v/>
      </c>
      <c r="C56" s="38">
        <v>37</v>
      </c>
      <c r="D56" s="8"/>
      <c r="E56" s="8"/>
      <c r="F56" s="9"/>
      <c r="G56" s="38"/>
      <c r="H56" s="38"/>
      <c r="I56" s="9"/>
      <c r="J56" s="37"/>
      <c r="K56" s="43">
        <f t="shared" si="7"/>
        <v>0.3</v>
      </c>
      <c r="L56" s="43">
        <v>0.5</v>
      </c>
      <c r="M56" s="43">
        <v>0.1</v>
      </c>
    </row>
    <row r="57" spans="1:13" x14ac:dyDescent="0.25">
      <c r="A57" s="51"/>
      <c r="B57" s="53" t="str">
        <f>IF(ISBLANK(D58),"",ABS(SUM(D$20:D57)/SUM(E$20:E57)-SUM(D58:D$117)/(SUM(E58:E$117))))</f>
        <v/>
      </c>
      <c r="C57" s="38">
        <v>38</v>
      </c>
      <c r="D57" s="8"/>
      <c r="E57" s="8"/>
      <c r="F57" s="9"/>
      <c r="G57" s="38"/>
      <c r="H57" s="38"/>
      <c r="I57" s="9"/>
      <c r="J57" s="37"/>
      <c r="K57" s="43">
        <f t="shared" si="7"/>
        <v>0.3</v>
      </c>
      <c r="L57" s="43">
        <v>0.5</v>
      </c>
      <c r="M57" s="43">
        <v>0.1</v>
      </c>
    </row>
    <row r="58" spans="1:13" x14ac:dyDescent="0.25">
      <c r="A58" s="51"/>
      <c r="B58" s="53" t="str">
        <f>IF(ISBLANK(D59),"",ABS(SUM(D$20:D58)/SUM(E$20:E58)-SUM(D59:D$117)/(SUM(E59:E$117))))</f>
        <v/>
      </c>
      <c r="C58" s="38">
        <v>39</v>
      </c>
      <c r="D58" s="8"/>
      <c r="E58" s="8"/>
      <c r="F58" s="9"/>
      <c r="G58" s="38"/>
      <c r="H58" s="38"/>
      <c r="I58" s="9"/>
      <c r="J58" s="37"/>
      <c r="K58" s="43">
        <f t="shared" si="7"/>
        <v>0.3</v>
      </c>
      <c r="L58" s="43">
        <v>0.5</v>
      </c>
      <c r="M58" s="43">
        <v>0.1</v>
      </c>
    </row>
    <row r="59" spans="1:13" x14ac:dyDescent="0.25">
      <c r="A59" s="51"/>
      <c r="B59" s="53" t="str">
        <f>IF(ISBLANK(D60),"",ABS(SUM(D$20:D59)/SUM(E$20:E59)-SUM(D60:D$117)/(SUM(E60:E$117))))</f>
        <v/>
      </c>
      <c r="C59" s="38">
        <v>40</v>
      </c>
      <c r="D59" s="8"/>
      <c r="E59" s="8"/>
      <c r="F59" s="9"/>
      <c r="G59" s="38"/>
      <c r="H59" s="38"/>
      <c r="I59" s="9"/>
      <c r="J59" s="37"/>
      <c r="K59" s="43">
        <f t="shared" si="7"/>
        <v>0.3</v>
      </c>
      <c r="L59" s="43">
        <v>0.5</v>
      </c>
      <c r="M59" s="43">
        <v>0.1</v>
      </c>
    </row>
    <row r="60" spans="1:13" x14ac:dyDescent="0.25">
      <c r="A60" s="51"/>
      <c r="B60" s="53" t="str">
        <f>IF(ISBLANK(D61),"",ABS(SUM(D$20:D60)/SUM(E$20:E60)-SUM(D61:D$117)/(SUM(E61:E$117))))</f>
        <v/>
      </c>
      <c r="C60" s="38">
        <v>41</v>
      </c>
      <c r="D60" s="8"/>
      <c r="E60" s="8"/>
      <c r="F60" s="9"/>
      <c r="G60" s="38"/>
      <c r="H60" s="38"/>
      <c r="I60" s="9"/>
      <c r="J60" s="37"/>
      <c r="K60" s="43">
        <f t="shared" si="7"/>
        <v>0.3</v>
      </c>
      <c r="L60" s="43">
        <v>0.5</v>
      </c>
      <c r="M60" s="43">
        <v>0.1</v>
      </c>
    </row>
    <row r="61" spans="1:13" x14ac:dyDescent="0.25">
      <c r="A61" s="51"/>
      <c r="B61" s="53" t="str">
        <f>IF(ISBLANK(D62),"",ABS(SUM(D$20:D61)/SUM(E$20:E61)-SUM(D62:D$117)/(SUM(E62:E$117))))</f>
        <v/>
      </c>
      <c r="C61" s="38">
        <v>42</v>
      </c>
      <c r="D61" s="8"/>
      <c r="E61" s="8"/>
      <c r="F61" s="9"/>
      <c r="G61" s="38"/>
      <c r="H61" s="38"/>
      <c r="I61" s="9"/>
      <c r="J61" s="37"/>
      <c r="K61" s="43">
        <f t="shared" si="7"/>
        <v>0.3</v>
      </c>
      <c r="L61" s="43">
        <v>0.5</v>
      </c>
      <c r="M61" s="43">
        <v>0.1</v>
      </c>
    </row>
    <row r="62" spans="1:13" x14ac:dyDescent="0.25">
      <c r="A62" s="51"/>
      <c r="B62" s="53" t="str">
        <f>IF(ISBLANK(D63),"",ABS(SUM(D$20:D62)/SUM(E$20:E62)-SUM(D63:D$117)/(SUM(E63:E$117))))</f>
        <v/>
      </c>
      <c r="C62" s="38">
        <v>43</v>
      </c>
      <c r="D62" s="8"/>
      <c r="E62" s="8"/>
      <c r="F62" s="9"/>
      <c r="G62" s="38"/>
      <c r="H62" s="38"/>
      <c r="I62" s="9"/>
      <c r="J62" s="37"/>
      <c r="K62" s="43">
        <f t="shared" si="7"/>
        <v>0.3</v>
      </c>
      <c r="L62" s="43">
        <v>0.5</v>
      </c>
      <c r="M62" s="43">
        <v>0.1</v>
      </c>
    </row>
    <row r="63" spans="1:13" x14ac:dyDescent="0.25">
      <c r="A63" s="51"/>
      <c r="B63" s="53" t="str">
        <f>IF(ISBLANK(D64),"",ABS(SUM(D$20:D63)/SUM(E$20:E63)-SUM(D64:D$117)/(SUM(E64:E$117))))</f>
        <v/>
      </c>
      <c r="C63" s="38">
        <v>44</v>
      </c>
      <c r="D63" s="8"/>
      <c r="E63" s="8"/>
      <c r="F63" s="9"/>
      <c r="G63" s="38"/>
      <c r="H63" s="38"/>
      <c r="I63" s="9"/>
      <c r="J63" s="37"/>
      <c r="K63" s="43">
        <f t="shared" si="7"/>
        <v>0.3</v>
      </c>
      <c r="L63" s="43">
        <v>0.5</v>
      </c>
      <c r="M63" s="43">
        <v>0.1</v>
      </c>
    </row>
    <row r="64" spans="1:13" x14ac:dyDescent="0.25">
      <c r="A64" s="51"/>
      <c r="B64" s="53" t="str">
        <f>IF(ISBLANK(D65),"",ABS(SUM(D$20:D64)/SUM(E$20:E64)-SUM(D65:D$117)/(SUM(E65:E$117))))</f>
        <v/>
      </c>
      <c r="C64" s="38">
        <v>45</v>
      </c>
      <c r="D64" s="8"/>
      <c r="E64" s="8"/>
      <c r="F64" s="9"/>
      <c r="G64" s="38"/>
      <c r="H64" s="38"/>
      <c r="I64" s="9"/>
      <c r="J64" s="37"/>
      <c r="K64" s="43">
        <f t="shared" si="7"/>
        <v>0.3</v>
      </c>
      <c r="L64" s="43">
        <v>0.5</v>
      </c>
      <c r="M64" s="43">
        <v>0.1</v>
      </c>
    </row>
    <row r="65" spans="1:13" x14ac:dyDescent="0.25">
      <c r="A65" s="51"/>
      <c r="B65" s="53" t="str">
        <f>IF(ISBLANK(D66),"",ABS(SUM(D$20:D65)/SUM(E$20:E65)-SUM(D66:D$117)/(SUM(E66:E$117))))</f>
        <v/>
      </c>
      <c r="C65" s="38">
        <v>46</v>
      </c>
      <c r="D65" s="8"/>
      <c r="E65" s="8"/>
      <c r="F65" s="9"/>
      <c r="G65" s="38"/>
      <c r="H65" s="38"/>
      <c r="I65" s="9"/>
      <c r="J65" s="37"/>
      <c r="K65" s="43">
        <f t="shared" si="7"/>
        <v>0.3</v>
      </c>
      <c r="L65" s="43">
        <v>0.5</v>
      </c>
      <c r="M65" s="43">
        <v>0.1</v>
      </c>
    </row>
    <row r="66" spans="1:13" x14ac:dyDescent="0.25">
      <c r="A66" s="51"/>
      <c r="B66" s="53" t="str">
        <f>IF(ISBLANK(D67),"",ABS(SUM(D$20:D66)/SUM(E$20:E66)-SUM(D67:D$117)/(SUM(E67:E$117))))</f>
        <v/>
      </c>
      <c r="C66" s="38">
        <v>47</v>
      </c>
      <c r="D66" s="8"/>
      <c r="E66" s="8"/>
      <c r="F66" s="9"/>
      <c r="G66" s="38"/>
      <c r="H66" s="38"/>
      <c r="I66" s="9"/>
      <c r="J66" s="37"/>
      <c r="K66" s="43">
        <f t="shared" si="7"/>
        <v>0.3</v>
      </c>
      <c r="L66" s="43">
        <v>0.5</v>
      </c>
      <c r="M66" s="43">
        <v>0.1</v>
      </c>
    </row>
    <row r="67" spans="1:13" x14ac:dyDescent="0.25">
      <c r="A67" s="51"/>
      <c r="B67" s="53" t="str">
        <f>IF(ISBLANK(D68),"",ABS(SUM(D$20:D67)/SUM(E$20:E67)-SUM(D68:D$117)/(SUM(E68:E$117))))</f>
        <v/>
      </c>
      <c r="C67" s="38">
        <v>48</v>
      </c>
      <c r="D67" s="8"/>
      <c r="E67" s="8"/>
      <c r="F67" s="9"/>
      <c r="G67" s="38"/>
      <c r="H67" s="38"/>
      <c r="I67" s="9"/>
      <c r="J67" s="37"/>
      <c r="K67" s="43">
        <f t="shared" si="7"/>
        <v>0.3</v>
      </c>
      <c r="L67" s="43">
        <v>0.5</v>
      </c>
      <c r="M67" s="43">
        <v>0.1</v>
      </c>
    </row>
    <row r="68" spans="1:13" x14ac:dyDescent="0.25">
      <c r="A68" s="51"/>
      <c r="B68" s="53" t="str">
        <f>IF(ISBLANK(D69),"",ABS(SUM(D$20:D68)/SUM(E$20:E68)-SUM(D69:D$117)/(SUM(E69:E$117))))</f>
        <v/>
      </c>
      <c r="C68" s="38">
        <v>49</v>
      </c>
      <c r="D68" s="8"/>
      <c r="E68" s="8"/>
      <c r="F68" s="9"/>
      <c r="G68" s="38"/>
      <c r="H68" s="38"/>
      <c r="I68" s="9"/>
      <c r="J68" s="37"/>
      <c r="K68" s="43">
        <f t="shared" si="7"/>
        <v>0.3</v>
      </c>
      <c r="L68" s="43">
        <v>0.5</v>
      </c>
      <c r="M68" s="43">
        <v>0.1</v>
      </c>
    </row>
    <row r="69" spans="1:13" x14ac:dyDescent="0.25">
      <c r="A69" s="51"/>
      <c r="B69" s="53" t="str">
        <f>IF(ISBLANK(D70),"",ABS(SUM(D$20:D69)/SUM(E$20:E69)-SUM(D70:D$117)/(SUM(E70:E$117))))</f>
        <v/>
      </c>
      <c r="C69" s="38">
        <v>50</v>
      </c>
      <c r="D69" s="8"/>
      <c r="E69" s="8"/>
      <c r="F69" s="9"/>
      <c r="G69" s="38"/>
      <c r="H69" s="38"/>
      <c r="I69" s="9"/>
      <c r="J69" s="37"/>
      <c r="K69" s="43">
        <f t="shared" si="7"/>
        <v>0.3</v>
      </c>
      <c r="L69" s="43">
        <v>0.5</v>
      </c>
      <c r="M69" s="43">
        <v>0.1</v>
      </c>
    </row>
    <row r="70" spans="1:13" x14ac:dyDescent="0.25">
      <c r="A70" s="51"/>
      <c r="B70" s="53" t="str">
        <f>IF(ISBLANK(D71),"",ABS(SUM(D$20:D70)/SUM(E$20:E70)-SUM(D71:D$117)/(SUM(E71:E$117))))</f>
        <v/>
      </c>
      <c r="C70" s="38">
        <v>51</v>
      </c>
      <c r="D70" s="8"/>
      <c r="E70" s="8"/>
      <c r="F70" s="9"/>
      <c r="G70" s="38"/>
      <c r="H70" s="38"/>
      <c r="I70" s="9"/>
      <c r="J70" s="37"/>
      <c r="K70" s="43">
        <f t="shared" si="7"/>
        <v>0.3</v>
      </c>
      <c r="L70" s="43">
        <v>0.5</v>
      </c>
      <c r="M70" s="43">
        <v>0.1</v>
      </c>
    </row>
    <row r="71" spans="1:13" x14ac:dyDescent="0.25">
      <c r="A71" s="51"/>
      <c r="B71" s="53" t="str">
        <f>IF(ISBLANK(D72),"",ABS(SUM(D$20:D71)/SUM(E$20:E71)-SUM(D72:D$117)/(SUM(E72:E$117))))</f>
        <v/>
      </c>
      <c r="C71" s="38">
        <v>52</v>
      </c>
      <c r="D71" s="8"/>
      <c r="E71" s="8"/>
      <c r="F71" s="9"/>
      <c r="G71" s="38"/>
      <c r="H71" s="38"/>
      <c r="I71" s="9"/>
      <c r="J71" s="37"/>
      <c r="K71" s="43">
        <f t="shared" si="7"/>
        <v>0.3</v>
      </c>
      <c r="L71" s="43">
        <v>0.5</v>
      </c>
      <c r="M71" s="43">
        <v>0.1</v>
      </c>
    </row>
    <row r="72" spans="1:13" x14ac:dyDescent="0.25">
      <c r="A72" s="51"/>
      <c r="B72" s="53" t="str">
        <f>IF(ISBLANK(D73),"",ABS(SUM(D$20:D72)/SUM(E$20:E72)-SUM(D73:D$117)/(SUM(E73:E$117))))</f>
        <v/>
      </c>
      <c r="C72" s="38">
        <v>53</v>
      </c>
      <c r="D72" s="8"/>
      <c r="E72" s="8"/>
      <c r="F72" s="9"/>
      <c r="G72" s="38"/>
      <c r="H72" s="38"/>
      <c r="I72" s="9"/>
      <c r="J72" s="37"/>
      <c r="K72" s="43">
        <f t="shared" si="7"/>
        <v>0.3</v>
      </c>
      <c r="L72" s="43">
        <v>0.5</v>
      </c>
      <c r="M72" s="43">
        <v>0.1</v>
      </c>
    </row>
    <row r="73" spans="1:13" x14ac:dyDescent="0.25">
      <c r="A73" s="51"/>
      <c r="B73" s="53" t="str">
        <f>IF(ISBLANK(D74),"",ABS(SUM(D$20:D73)/SUM(E$20:E73)-SUM(D74:D$117)/(SUM(E74:E$117))))</f>
        <v/>
      </c>
      <c r="C73" s="38">
        <v>54</v>
      </c>
      <c r="D73" s="8"/>
      <c r="E73" s="8"/>
      <c r="F73" s="9"/>
      <c r="G73" s="38"/>
      <c r="H73" s="38"/>
      <c r="I73" s="9"/>
      <c r="J73" s="37"/>
      <c r="K73" s="43">
        <f t="shared" si="7"/>
        <v>0.3</v>
      </c>
      <c r="L73" s="43">
        <v>0.5</v>
      </c>
      <c r="M73" s="43">
        <v>0.1</v>
      </c>
    </row>
    <row r="74" spans="1:13" x14ac:dyDescent="0.25">
      <c r="A74" s="51"/>
      <c r="B74" s="53" t="str">
        <f>IF(ISBLANK(D75),"",ABS(SUM(D$20:D74)/SUM(E$20:E74)-SUM(D75:D$117)/(SUM(E75:E$117))))</f>
        <v/>
      </c>
      <c r="C74" s="38">
        <v>55</v>
      </c>
      <c r="D74" s="8"/>
      <c r="E74" s="8"/>
      <c r="F74" s="9"/>
      <c r="G74" s="38"/>
      <c r="H74" s="38"/>
      <c r="I74" s="9"/>
      <c r="J74" s="37"/>
      <c r="K74" s="43">
        <f t="shared" si="7"/>
        <v>0.3</v>
      </c>
      <c r="L74" s="43">
        <v>0.5</v>
      </c>
      <c r="M74" s="43">
        <v>0.1</v>
      </c>
    </row>
    <row r="75" spans="1:13" x14ac:dyDescent="0.25">
      <c r="A75" s="51"/>
      <c r="B75" s="53" t="str">
        <f>IF(ISBLANK(D76),"",ABS(SUM(D$20:D75)/SUM(E$20:E75)-SUM(D76:D$117)/(SUM(E76:E$117))))</f>
        <v/>
      </c>
      <c r="C75" s="38">
        <v>56</v>
      </c>
      <c r="D75" s="8"/>
      <c r="E75" s="8"/>
      <c r="F75" s="9"/>
      <c r="G75" s="38"/>
      <c r="H75" s="38"/>
      <c r="I75" s="9"/>
      <c r="J75" s="37"/>
      <c r="K75" s="43">
        <f t="shared" si="7"/>
        <v>0.3</v>
      </c>
      <c r="L75" s="43">
        <v>0.5</v>
      </c>
      <c r="M75" s="43">
        <v>0.1</v>
      </c>
    </row>
    <row r="76" spans="1:13" x14ac:dyDescent="0.25">
      <c r="A76" s="51"/>
      <c r="B76" s="53" t="str">
        <f>IF(ISBLANK(D77),"",ABS(SUM(D$20:D76)/SUM(E$20:E76)-SUM(D77:D$117)/(SUM(E77:E$117))))</f>
        <v/>
      </c>
      <c r="C76" s="38">
        <v>57</v>
      </c>
      <c r="D76" s="8"/>
      <c r="E76" s="8"/>
      <c r="F76" s="9"/>
      <c r="G76" s="38"/>
      <c r="H76" s="38"/>
      <c r="I76" s="9"/>
      <c r="J76" s="37"/>
      <c r="K76" s="43">
        <f t="shared" si="7"/>
        <v>0.3</v>
      </c>
      <c r="L76" s="43">
        <v>0.5</v>
      </c>
      <c r="M76" s="43">
        <v>0.1</v>
      </c>
    </row>
    <row r="77" spans="1:13" x14ac:dyDescent="0.25">
      <c r="A77" s="51"/>
      <c r="B77" s="53" t="str">
        <f>IF(ISBLANK(D78),"",ABS(SUM(D$20:D77)/SUM(E$20:E77)-SUM(D78:D$117)/(SUM(E78:E$117))))</f>
        <v/>
      </c>
      <c r="C77" s="38">
        <v>58</v>
      </c>
      <c r="D77" s="8"/>
      <c r="E77" s="8"/>
      <c r="F77" s="9"/>
      <c r="G77" s="38"/>
      <c r="H77" s="38"/>
      <c r="I77" s="9"/>
      <c r="J77" s="37"/>
      <c r="K77" s="43">
        <f t="shared" si="7"/>
        <v>0.3</v>
      </c>
      <c r="L77" s="43">
        <v>0.5</v>
      </c>
      <c r="M77" s="43">
        <v>0.1</v>
      </c>
    </row>
    <row r="78" spans="1:13" x14ac:dyDescent="0.25">
      <c r="A78" s="51"/>
      <c r="B78" s="53" t="str">
        <f>IF(ISBLANK(D79),"",ABS(SUM(D$20:D78)/SUM(E$20:E78)-SUM(D79:D$117)/(SUM(E79:E$117))))</f>
        <v/>
      </c>
      <c r="C78" s="38">
        <v>59</v>
      </c>
      <c r="D78" s="8"/>
      <c r="E78" s="8"/>
      <c r="F78" s="9"/>
      <c r="G78" s="38"/>
      <c r="H78" s="38"/>
      <c r="I78" s="9"/>
      <c r="J78" s="37"/>
      <c r="K78" s="43">
        <f t="shared" si="7"/>
        <v>0.3</v>
      </c>
      <c r="L78" s="43">
        <v>0.5</v>
      </c>
      <c r="M78" s="43">
        <v>0.1</v>
      </c>
    </row>
    <row r="79" spans="1:13" x14ac:dyDescent="0.25">
      <c r="A79" s="51"/>
      <c r="B79" s="53" t="str">
        <f>IF(ISBLANK(D80),"",ABS(SUM(D$20:D79)/SUM(E$20:E79)-SUM(D80:D$117)/(SUM(E80:E$117))))</f>
        <v/>
      </c>
      <c r="C79" s="38">
        <v>60</v>
      </c>
      <c r="D79" s="8"/>
      <c r="E79" s="8"/>
      <c r="F79" s="9"/>
      <c r="G79" s="38"/>
      <c r="H79" s="38"/>
      <c r="I79" s="9"/>
      <c r="J79" s="37"/>
      <c r="K79" s="43">
        <f t="shared" si="7"/>
        <v>0.3</v>
      </c>
      <c r="L79" s="43">
        <v>0.5</v>
      </c>
      <c r="M79" s="43">
        <v>0.1</v>
      </c>
    </row>
    <row r="80" spans="1:13" x14ac:dyDescent="0.25">
      <c r="A80" s="51"/>
      <c r="B80" s="53" t="str">
        <f>IF(ISBLANK(D81),"",ABS(SUM(D$20:D80)/SUM(E$20:E80)-SUM(D81:D$117)/(SUM(E81:E$117))))</f>
        <v/>
      </c>
      <c r="C80" s="38">
        <v>61</v>
      </c>
      <c r="D80" s="8"/>
      <c r="E80" s="8"/>
      <c r="F80" s="9"/>
      <c r="G80" s="38"/>
      <c r="H80" s="38"/>
      <c r="I80" s="9"/>
      <c r="J80" s="37"/>
      <c r="K80" s="43">
        <f t="shared" si="7"/>
        <v>0.3</v>
      </c>
      <c r="L80" s="43">
        <v>0.5</v>
      </c>
      <c r="M80" s="43">
        <v>0.1</v>
      </c>
    </row>
    <row r="81" spans="1:13" x14ac:dyDescent="0.25">
      <c r="A81" s="51"/>
      <c r="B81" s="53" t="str">
        <f>IF(ISBLANK(D82),"",ABS(SUM(D$20:D81)/SUM(E$20:E81)-SUM(D82:D$117)/(SUM(E82:E$117))))</f>
        <v/>
      </c>
      <c r="C81" s="38">
        <v>62</v>
      </c>
      <c r="D81" s="8"/>
      <c r="E81" s="8"/>
      <c r="F81" s="9"/>
      <c r="G81" s="38"/>
      <c r="H81" s="38"/>
      <c r="I81" s="9"/>
      <c r="J81" s="37"/>
      <c r="K81" s="43">
        <f t="shared" si="7"/>
        <v>0.3</v>
      </c>
      <c r="L81" s="43">
        <v>0.5</v>
      </c>
      <c r="M81" s="43">
        <v>0.1</v>
      </c>
    </row>
    <row r="82" spans="1:13" x14ac:dyDescent="0.25">
      <c r="A82" s="51"/>
      <c r="B82" s="53" t="str">
        <f>IF(ISBLANK(D83),"",ABS(SUM(D$20:D82)/SUM(E$20:E82)-SUM(D83:D$117)/(SUM(E83:E$117))))</f>
        <v/>
      </c>
      <c r="C82" s="38">
        <v>63</v>
      </c>
      <c r="D82" s="8"/>
      <c r="E82" s="8"/>
      <c r="F82" s="9"/>
      <c r="G82" s="38"/>
      <c r="H82" s="38"/>
      <c r="I82" s="9"/>
      <c r="J82" s="37"/>
      <c r="K82" s="43">
        <f t="shared" si="7"/>
        <v>0.3</v>
      </c>
      <c r="L82" s="43">
        <v>0.5</v>
      </c>
      <c r="M82" s="43">
        <v>0.1</v>
      </c>
    </row>
    <row r="83" spans="1:13" x14ac:dyDescent="0.25">
      <c r="A83" s="51"/>
      <c r="B83" s="53" t="str">
        <f>IF(ISBLANK(D84),"",ABS(SUM(D$20:D83)/SUM(E$20:E83)-SUM(D84:D$117)/(SUM(E84:E$117))))</f>
        <v/>
      </c>
      <c r="C83" s="38">
        <v>64</v>
      </c>
      <c r="D83" s="8"/>
      <c r="E83" s="8"/>
      <c r="F83" s="9"/>
      <c r="G83" s="38"/>
      <c r="H83" s="38"/>
      <c r="I83" s="9"/>
      <c r="J83" s="37"/>
      <c r="K83" s="43">
        <f t="shared" si="7"/>
        <v>0.3</v>
      </c>
      <c r="L83" s="43">
        <v>0.5</v>
      </c>
      <c r="M83" s="43">
        <v>0.1</v>
      </c>
    </row>
    <row r="84" spans="1:13" x14ac:dyDescent="0.25">
      <c r="A84" s="51"/>
      <c r="B84" s="53" t="str">
        <f>IF(ISBLANK(D85),"",ABS(SUM(D$20:D84)/SUM(E$20:E84)-SUM(D85:D$117)/(SUM(E85:E$117))))</f>
        <v/>
      </c>
      <c r="C84" s="38">
        <v>65</v>
      </c>
      <c r="D84" s="8"/>
      <c r="E84" s="8"/>
      <c r="F84" s="9"/>
      <c r="G84" s="38"/>
      <c r="H84" s="38"/>
      <c r="I84" s="9"/>
      <c r="J84" s="37"/>
      <c r="K84" s="43">
        <f t="shared" si="7"/>
        <v>0.3</v>
      </c>
      <c r="L84" s="43">
        <v>0.5</v>
      </c>
      <c r="M84" s="43">
        <v>0.1</v>
      </c>
    </row>
    <row r="85" spans="1:13" x14ac:dyDescent="0.25">
      <c r="A85" s="51"/>
      <c r="B85" s="53" t="str">
        <f>IF(ISBLANK(D86),"",ABS(SUM(D$20:D85)/SUM(E$20:E85)-SUM(D86:D$117)/(SUM(E86:E$117))))</f>
        <v/>
      </c>
      <c r="C85" s="38">
        <v>66</v>
      </c>
      <c r="D85" s="8"/>
      <c r="E85" s="8"/>
      <c r="F85" s="9"/>
      <c r="G85" s="38"/>
      <c r="H85" s="38"/>
      <c r="I85" s="9"/>
      <c r="J85" s="37"/>
      <c r="K85" s="43">
        <f t="shared" si="7"/>
        <v>0.3</v>
      </c>
      <c r="L85" s="43">
        <v>0.5</v>
      </c>
      <c r="M85" s="43">
        <v>0.1</v>
      </c>
    </row>
    <row r="86" spans="1:13" x14ac:dyDescent="0.25">
      <c r="A86" s="51"/>
      <c r="B86" s="53" t="str">
        <f>IF(ISBLANK(D87),"",ABS(SUM(D$20:D86)/SUM(E$20:E86)-SUM(D87:D$117)/(SUM(E87:E$117))))</f>
        <v/>
      </c>
      <c r="C86" s="38">
        <v>67</v>
      </c>
      <c r="D86" s="8"/>
      <c r="E86" s="8"/>
      <c r="F86" s="9"/>
      <c r="G86" s="38"/>
      <c r="H86" s="38"/>
      <c r="I86" s="9"/>
      <c r="J86" s="37"/>
      <c r="K86" s="43">
        <f t="shared" si="7"/>
        <v>0.3</v>
      </c>
      <c r="L86" s="43">
        <v>0.5</v>
      </c>
      <c r="M86" s="43">
        <v>0.1</v>
      </c>
    </row>
    <row r="87" spans="1:13" x14ac:dyDescent="0.25">
      <c r="A87" s="51"/>
      <c r="B87" s="53" t="str">
        <f>IF(ISBLANK(D88),"",ABS(SUM(D$20:D87)/SUM(E$20:E87)-SUM(D88:D$117)/(SUM(E88:E$117))))</f>
        <v/>
      </c>
      <c r="C87" s="38">
        <v>68</v>
      </c>
      <c r="D87" s="8"/>
      <c r="E87" s="8"/>
      <c r="F87" s="9"/>
      <c r="G87" s="38"/>
      <c r="H87" s="38"/>
      <c r="I87" s="9"/>
      <c r="J87" s="37"/>
      <c r="K87" s="43">
        <f t="shared" si="7"/>
        <v>0.3</v>
      </c>
      <c r="L87" s="43">
        <v>0.5</v>
      </c>
      <c r="M87" s="43">
        <v>0.1</v>
      </c>
    </row>
    <row r="88" spans="1:13" x14ac:dyDescent="0.25">
      <c r="A88" s="51"/>
      <c r="B88" s="53" t="str">
        <f>IF(ISBLANK(D89),"",ABS(SUM(D$20:D88)/SUM(E$20:E88)-SUM(D89:D$117)/(SUM(E89:E$117))))</f>
        <v/>
      </c>
      <c r="C88" s="38">
        <v>69</v>
      </c>
      <c r="D88" s="8"/>
      <c r="E88" s="8"/>
      <c r="F88" s="9"/>
      <c r="G88" s="38"/>
      <c r="H88" s="38"/>
      <c r="I88" s="9"/>
      <c r="J88" s="37"/>
      <c r="K88" s="43">
        <f t="shared" si="7"/>
        <v>0.3</v>
      </c>
      <c r="L88" s="43">
        <v>0.5</v>
      </c>
      <c r="M88" s="43">
        <v>0.1</v>
      </c>
    </row>
    <row r="89" spans="1:13" x14ac:dyDescent="0.25">
      <c r="A89" s="51"/>
      <c r="B89" s="53" t="str">
        <f>IF(ISBLANK(D90),"",ABS(SUM(D$20:D89)/SUM(E$20:E89)-SUM(D90:D$117)/(SUM(E90:E$117))))</f>
        <v/>
      </c>
      <c r="C89" s="38">
        <v>70</v>
      </c>
      <c r="D89" s="8"/>
      <c r="E89" s="8"/>
      <c r="F89" s="9"/>
      <c r="G89" s="38"/>
      <c r="H89" s="38"/>
      <c r="I89" s="9"/>
      <c r="J89" s="37"/>
      <c r="K89" s="43">
        <f t="shared" si="7"/>
        <v>0.3</v>
      </c>
      <c r="L89" s="43">
        <v>0.5</v>
      </c>
      <c r="M89" s="43">
        <v>0.1</v>
      </c>
    </row>
    <row r="90" spans="1:13" x14ac:dyDescent="0.25">
      <c r="A90" s="51"/>
      <c r="B90" s="53" t="str">
        <f>IF(ISBLANK(D91),"",ABS(SUM(D$20:D90)/SUM(E$20:E90)-SUM(D91:D$117)/(SUM(E91:E$117))))</f>
        <v/>
      </c>
      <c r="C90" s="38">
        <v>71</v>
      </c>
      <c r="D90" s="8"/>
      <c r="E90" s="8"/>
      <c r="F90" s="9"/>
      <c r="G90" s="38"/>
      <c r="H90" s="38"/>
      <c r="I90" s="9"/>
      <c r="J90" s="37"/>
      <c r="K90" s="43">
        <f t="shared" si="7"/>
        <v>0.3</v>
      </c>
      <c r="L90" s="43">
        <v>0.5</v>
      </c>
      <c r="M90" s="43">
        <v>0.1</v>
      </c>
    </row>
    <row r="91" spans="1:13" x14ac:dyDescent="0.25">
      <c r="A91" s="51"/>
      <c r="B91" s="53" t="str">
        <f>IF(ISBLANK(D92),"",ABS(SUM(D$20:D91)/SUM(E$20:E91)-SUM(D92:D$117)/(SUM(E92:E$117))))</f>
        <v/>
      </c>
      <c r="C91" s="38">
        <v>72</v>
      </c>
      <c r="D91" s="8"/>
      <c r="E91" s="8"/>
      <c r="F91" s="9"/>
      <c r="G91" s="38"/>
      <c r="H91" s="38"/>
      <c r="I91" s="9"/>
      <c r="J91" s="37"/>
      <c r="K91" s="43">
        <f t="shared" si="7"/>
        <v>0.3</v>
      </c>
      <c r="L91" s="43">
        <v>0.5</v>
      </c>
      <c r="M91" s="43">
        <v>0.1</v>
      </c>
    </row>
    <row r="92" spans="1:13" x14ac:dyDescent="0.25">
      <c r="A92" s="51"/>
      <c r="B92" s="53" t="str">
        <f>IF(ISBLANK(D93),"",ABS(SUM(D$20:D92)/SUM(E$20:E92)-SUM(D93:D$117)/(SUM(E93:E$117))))</f>
        <v/>
      </c>
      <c r="C92" s="38">
        <v>73</v>
      </c>
      <c r="D92" s="8"/>
      <c r="E92" s="8"/>
      <c r="F92" s="9"/>
      <c r="G92" s="38"/>
      <c r="H92" s="38"/>
      <c r="I92" s="9"/>
      <c r="J92" s="37"/>
      <c r="K92" s="43">
        <f t="shared" si="7"/>
        <v>0.3</v>
      </c>
      <c r="L92" s="43">
        <v>0.5</v>
      </c>
      <c r="M92" s="43">
        <v>0.1</v>
      </c>
    </row>
    <row r="93" spans="1:13" x14ac:dyDescent="0.25">
      <c r="A93" s="51"/>
      <c r="B93" s="53" t="str">
        <f>IF(ISBLANK(D94),"",ABS(SUM(D$20:D93)/SUM(E$20:E93)-SUM(D94:D$117)/(SUM(E94:E$117))))</f>
        <v/>
      </c>
      <c r="C93" s="38">
        <v>74</v>
      </c>
      <c r="D93" s="8"/>
      <c r="E93" s="8"/>
      <c r="F93" s="9"/>
      <c r="G93" s="38"/>
      <c r="H93" s="38"/>
      <c r="I93" s="9"/>
      <c r="J93" s="37"/>
      <c r="K93" s="43">
        <f t="shared" si="7"/>
        <v>0.3</v>
      </c>
      <c r="L93" s="43">
        <v>0.5</v>
      </c>
      <c r="M93" s="43">
        <v>0.1</v>
      </c>
    </row>
    <row r="94" spans="1:13" x14ac:dyDescent="0.25">
      <c r="A94" s="51"/>
      <c r="B94" s="53" t="str">
        <f>IF(ISBLANK(D95),"",ABS(SUM(D$20:D94)/SUM(E$20:E94)-SUM(D95:D$117)/(SUM(E95:E$117))))</f>
        <v/>
      </c>
      <c r="C94" s="38">
        <v>75</v>
      </c>
      <c r="D94" s="8"/>
      <c r="E94" s="8"/>
      <c r="F94" s="9"/>
      <c r="G94" s="38"/>
      <c r="H94" s="38"/>
      <c r="I94" s="9"/>
      <c r="J94" s="37"/>
      <c r="K94" s="43">
        <f t="shared" si="7"/>
        <v>0.3</v>
      </c>
      <c r="L94" s="43">
        <v>0.5</v>
      </c>
      <c r="M94" s="43">
        <v>0.1</v>
      </c>
    </row>
    <row r="95" spans="1:13" x14ac:dyDescent="0.25">
      <c r="A95" s="51"/>
      <c r="B95" s="53" t="str">
        <f>IF(ISBLANK(D96),"",ABS(SUM(D$20:D95)/SUM(E$20:E95)-SUM(D96:D$117)/(SUM(E96:E$117))))</f>
        <v/>
      </c>
      <c r="C95" s="38">
        <v>76</v>
      </c>
      <c r="D95" s="8"/>
      <c r="E95" s="8"/>
      <c r="F95" s="9"/>
      <c r="G95" s="38"/>
      <c r="H95" s="38"/>
      <c r="I95" s="9"/>
      <c r="J95" s="37"/>
      <c r="K95" s="43">
        <f t="shared" si="7"/>
        <v>0.3</v>
      </c>
      <c r="L95" s="43">
        <v>0.5</v>
      </c>
      <c r="M95" s="43">
        <v>0.1</v>
      </c>
    </row>
    <row r="96" spans="1:13" x14ac:dyDescent="0.25">
      <c r="A96" s="51"/>
      <c r="B96" s="53" t="str">
        <f>IF(ISBLANK(D97),"",ABS(SUM(D$20:D96)/SUM(E$20:E96)-SUM(D97:D$117)/(SUM(E97:E$117))))</f>
        <v/>
      </c>
      <c r="C96" s="38">
        <v>77</v>
      </c>
      <c r="D96" s="8"/>
      <c r="E96" s="8"/>
      <c r="F96" s="9"/>
      <c r="G96" s="38"/>
      <c r="H96" s="38"/>
      <c r="I96" s="9"/>
      <c r="J96" s="37"/>
      <c r="K96" s="43">
        <f t="shared" si="7"/>
        <v>0.3</v>
      </c>
      <c r="L96" s="43">
        <v>0.5</v>
      </c>
      <c r="M96" s="43">
        <v>0.1</v>
      </c>
    </row>
    <row r="97" spans="1:13" x14ac:dyDescent="0.25">
      <c r="A97" s="51"/>
      <c r="B97" s="53" t="str">
        <f>IF(ISBLANK(D98),"",ABS(SUM(D$20:D97)/SUM(E$20:E97)-SUM(D98:D$117)/(SUM(E98:E$117))))</f>
        <v/>
      </c>
      <c r="C97" s="38">
        <v>78</v>
      </c>
      <c r="D97" s="8"/>
      <c r="E97" s="8"/>
      <c r="F97" s="9"/>
      <c r="G97" s="38"/>
      <c r="H97" s="38"/>
      <c r="I97" s="9"/>
      <c r="J97" s="37"/>
      <c r="K97" s="43">
        <f t="shared" si="7"/>
        <v>0.3</v>
      </c>
      <c r="L97" s="43">
        <v>0.5</v>
      </c>
      <c r="M97" s="43">
        <v>0.1</v>
      </c>
    </row>
    <row r="98" spans="1:13" x14ac:dyDescent="0.25">
      <c r="A98" s="51"/>
      <c r="B98" s="53" t="str">
        <f>IF(ISBLANK(D99),"",ABS(SUM(D$20:D98)/SUM(E$20:E98)-SUM(D99:D$117)/(SUM(E99:E$117))))</f>
        <v/>
      </c>
      <c r="C98" s="38">
        <v>79</v>
      </c>
      <c r="D98" s="8"/>
      <c r="E98" s="8"/>
      <c r="F98" s="9"/>
      <c r="G98" s="38"/>
      <c r="H98" s="38"/>
      <c r="I98" s="9"/>
      <c r="J98" s="37"/>
      <c r="K98" s="43">
        <f t="shared" si="7"/>
        <v>0.3</v>
      </c>
      <c r="L98" s="43">
        <v>0.5</v>
      </c>
      <c r="M98" s="43">
        <v>0.1</v>
      </c>
    </row>
    <row r="99" spans="1:13" x14ac:dyDescent="0.25">
      <c r="A99" s="51"/>
      <c r="B99" s="53" t="str">
        <f>IF(ISBLANK(D100),"",ABS(SUM(D$20:D99)/SUM(E$20:E99)-SUM(D100:D$117)/(SUM(E100:E$117))))</f>
        <v/>
      </c>
      <c r="C99" s="38">
        <v>80</v>
      </c>
      <c r="D99" s="8"/>
      <c r="E99" s="8"/>
      <c r="F99" s="9"/>
      <c r="G99" s="38"/>
      <c r="H99" s="38"/>
      <c r="I99" s="9"/>
      <c r="J99" s="37"/>
      <c r="K99" s="43">
        <f t="shared" si="7"/>
        <v>0.3</v>
      </c>
      <c r="L99" s="43">
        <v>0.5</v>
      </c>
      <c r="M99" s="43">
        <v>0.1</v>
      </c>
    </row>
    <row r="100" spans="1:13" x14ac:dyDescent="0.25">
      <c r="A100" s="51"/>
      <c r="B100" s="53" t="str">
        <f>IF(ISBLANK(D101),"",ABS(SUM(D$20:D100)/SUM(E$20:E100)-SUM(D101:D$117)/(SUM(E101:E$117))))</f>
        <v/>
      </c>
      <c r="C100" s="38">
        <v>81</v>
      </c>
      <c r="D100" s="8"/>
      <c r="E100" s="8"/>
      <c r="F100" s="9"/>
      <c r="G100" s="38"/>
      <c r="H100" s="38"/>
      <c r="I100" s="9"/>
      <c r="J100" s="37"/>
      <c r="K100" s="43">
        <f t="shared" si="7"/>
        <v>0.3</v>
      </c>
      <c r="L100" s="43">
        <v>0.5</v>
      </c>
      <c r="M100" s="43">
        <v>0.1</v>
      </c>
    </row>
    <row r="101" spans="1:13" x14ac:dyDescent="0.25">
      <c r="A101" s="51"/>
      <c r="B101" s="53" t="str">
        <f>IF(ISBLANK(D102),"",ABS(SUM(D$20:D101)/SUM(E$20:E101)-SUM(D102:D$117)/(SUM(E102:E$117))))</f>
        <v/>
      </c>
      <c r="C101" s="38">
        <v>82</v>
      </c>
      <c r="D101" s="8"/>
      <c r="E101" s="8"/>
      <c r="F101" s="9"/>
      <c r="G101" s="38"/>
      <c r="H101" s="38"/>
      <c r="I101" s="9"/>
      <c r="J101" s="37"/>
      <c r="K101" s="43">
        <f t="shared" ref="K101:K119" si="8">K100</f>
        <v>0.3</v>
      </c>
      <c r="L101" s="43">
        <v>0.5</v>
      </c>
      <c r="M101" s="43">
        <v>0.1</v>
      </c>
    </row>
    <row r="102" spans="1:13" x14ac:dyDescent="0.25">
      <c r="A102" s="51"/>
      <c r="B102" s="53" t="str">
        <f>IF(ISBLANK(D103),"",ABS(SUM(D$20:D102)/SUM(E$20:E102)-SUM(D103:D$117)/(SUM(E103:E$117))))</f>
        <v/>
      </c>
      <c r="C102" s="38">
        <v>83</v>
      </c>
      <c r="D102" s="8"/>
      <c r="E102" s="8"/>
      <c r="F102" s="9"/>
      <c r="G102" s="38"/>
      <c r="H102" s="38"/>
      <c r="I102" s="9"/>
      <c r="J102" s="37"/>
      <c r="K102" s="43">
        <f t="shared" si="8"/>
        <v>0.3</v>
      </c>
      <c r="L102" s="43">
        <v>0.5</v>
      </c>
      <c r="M102" s="43">
        <v>0.1</v>
      </c>
    </row>
    <row r="103" spans="1:13" x14ac:dyDescent="0.25">
      <c r="A103" s="51"/>
      <c r="B103" s="53" t="str">
        <f>IF(ISBLANK(D104),"",ABS(SUM(D$20:D103)/SUM(E$20:E103)-SUM(D104:D$117)/(SUM(E104:E$117))))</f>
        <v/>
      </c>
      <c r="C103" s="38">
        <v>84</v>
      </c>
      <c r="D103" s="8"/>
      <c r="E103" s="8"/>
      <c r="F103" s="9"/>
      <c r="G103" s="38"/>
      <c r="H103" s="38"/>
      <c r="I103" s="9"/>
      <c r="J103" s="37"/>
      <c r="K103" s="43">
        <f t="shared" si="8"/>
        <v>0.3</v>
      </c>
      <c r="L103" s="43">
        <v>0.5</v>
      </c>
      <c r="M103" s="43">
        <v>0.1</v>
      </c>
    </row>
    <row r="104" spans="1:13" x14ac:dyDescent="0.25">
      <c r="A104" s="51"/>
      <c r="B104" s="53" t="str">
        <f>IF(ISBLANK(D105),"",ABS(SUM(D$20:D104)/SUM(E$20:E104)-SUM(D105:D$117)/(SUM(E105:E$117))))</f>
        <v/>
      </c>
      <c r="C104" s="38">
        <v>85</v>
      </c>
      <c r="D104" s="8"/>
      <c r="E104" s="8"/>
      <c r="F104" s="9"/>
      <c r="G104" s="38"/>
      <c r="H104" s="38"/>
      <c r="I104" s="9"/>
      <c r="J104" s="37"/>
      <c r="K104" s="43">
        <f t="shared" si="8"/>
        <v>0.3</v>
      </c>
      <c r="L104" s="43">
        <v>0.5</v>
      </c>
      <c r="M104" s="43">
        <v>0.1</v>
      </c>
    </row>
    <row r="105" spans="1:13" x14ac:dyDescent="0.25">
      <c r="A105" s="51"/>
      <c r="B105" s="53" t="str">
        <f>IF(ISBLANK(D106),"",ABS(SUM(D$20:D105)/SUM(E$20:E105)-SUM(D106:D$117)/(SUM(E106:E$117))))</f>
        <v/>
      </c>
      <c r="C105" s="38">
        <v>86</v>
      </c>
      <c r="D105" s="8"/>
      <c r="E105" s="8"/>
      <c r="F105" s="9"/>
      <c r="G105" s="38"/>
      <c r="H105" s="38"/>
      <c r="I105" s="9"/>
      <c r="J105" s="37"/>
      <c r="K105" s="43">
        <f t="shared" si="8"/>
        <v>0.3</v>
      </c>
      <c r="L105" s="43">
        <v>0.5</v>
      </c>
      <c r="M105" s="43">
        <v>0.1</v>
      </c>
    </row>
    <row r="106" spans="1:13" x14ac:dyDescent="0.25">
      <c r="A106" s="51"/>
      <c r="B106" s="53" t="str">
        <f>IF(ISBLANK(D107),"",ABS(SUM(D$20:D106)/SUM(E$20:E106)-SUM(D107:D$117)/(SUM(E107:E$117))))</f>
        <v/>
      </c>
      <c r="C106" s="38">
        <v>87</v>
      </c>
      <c r="D106" s="8"/>
      <c r="E106" s="8"/>
      <c r="F106" s="9"/>
      <c r="G106" s="38"/>
      <c r="H106" s="38"/>
      <c r="I106" s="9"/>
      <c r="J106" s="37"/>
      <c r="K106" s="43">
        <f t="shared" si="8"/>
        <v>0.3</v>
      </c>
      <c r="L106" s="43">
        <v>0.5</v>
      </c>
      <c r="M106" s="43">
        <v>0.1</v>
      </c>
    </row>
    <row r="107" spans="1:13" x14ac:dyDescent="0.25">
      <c r="A107" s="51"/>
      <c r="B107" s="53" t="str">
        <f>IF(ISBLANK(D108),"",ABS(SUM(D$20:D107)/SUM(E$20:E107)-SUM(D108:D$117)/(SUM(E108:E$117))))</f>
        <v/>
      </c>
      <c r="C107" s="38">
        <v>88</v>
      </c>
      <c r="D107" s="8"/>
      <c r="E107" s="8"/>
      <c r="F107" s="9"/>
      <c r="G107" s="38"/>
      <c r="H107" s="38"/>
      <c r="I107" s="9"/>
      <c r="J107" s="37"/>
      <c r="K107" s="43">
        <f t="shared" si="8"/>
        <v>0.3</v>
      </c>
      <c r="L107" s="43">
        <v>0.5</v>
      </c>
      <c r="M107" s="43">
        <v>0.1</v>
      </c>
    </row>
    <row r="108" spans="1:13" x14ac:dyDescent="0.25">
      <c r="A108" s="51"/>
      <c r="B108" s="53" t="str">
        <f>IF(ISBLANK(D109),"",ABS(SUM(D$20:D108)/SUM(E$20:E108)-SUM(D109:D$117)/(SUM(E109:E$117))))</f>
        <v/>
      </c>
      <c r="C108" s="38">
        <v>89</v>
      </c>
      <c r="D108" s="8"/>
      <c r="E108" s="8"/>
      <c r="F108" s="9"/>
      <c r="G108" s="38"/>
      <c r="H108" s="38"/>
      <c r="I108" s="9"/>
      <c r="J108" s="37"/>
      <c r="K108" s="43">
        <f t="shared" si="8"/>
        <v>0.3</v>
      </c>
      <c r="L108" s="43">
        <v>0.5</v>
      </c>
      <c r="M108" s="43">
        <v>0.1</v>
      </c>
    </row>
    <row r="109" spans="1:13" x14ac:dyDescent="0.25">
      <c r="A109" s="51"/>
      <c r="B109" s="53" t="str">
        <f>IF(ISBLANK(D110),"",ABS(SUM(D$20:D109)/SUM(E$20:E109)-SUM(D110:D$117)/(SUM(E110:E$117))))</f>
        <v/>
      </c>
      <c r="C109" s="38">
        <v>90</v>
      </c>
      <c r="D109" s="8"/>
      <c r="E109" s="8"/>
      <c r="F109" s="9"/>
      <c r="G109" s="38"/>
      <c r="H109" s="38"/>
      <c r="I109" s="9"/>
      <c r="J109" s="37"/>
      <c r="K109" s="43">
        <f t="shared" si="8"/>
        <v>0.3</v>
      </c>
      <c r="L109" s="43">
        <v>0.5</v>
      </c>
      <c r="M109" s="43">
        <v>0.1</v>
      </c>
    </row>
    <row r="110" spans="1:13" x14ac:dyDescent="0.25">
      <c r="A110" s="51"/>
      <c r="B110" s="53" t="str">
        <f>IF(ISBLANK(D111),"",ABS(SUM(D$20:D110)/SUM(E$20:E110)-SUM(D111:D$117)/(SUM(E111:E$117))))</f>
        <v/>
      </c>
      <c r="C110" s="38">
        <v>91</v>
      </c>
      <c r="D110" s="8"/>
      <c r="E110" s="8"/>
      <c r="F110" s="9"/>
      <c r="G110" s="38"/>
      <c r="H110" s="38"/>
      <c r="I110" s="9"/>
      <c r="J110" s="37"/>
      <c r="K110" s="43">
        <f t="shared" si="8"/>
        <v>0.3</v>
      </c>
      <c r="L110" s="43">
        <v>0.5</v>
      </c>
      <c r="M110" s="43">
        <v>0.1</v>
      </c>
    </row>
    <row r="111" spans="1:13" x14ac:dyDescent="0.25">
      <c r="A111" s="51"/>
      <c r="B111" s="53" t="str">
        <f>IF(ISBLANK(D112),"",ABS(SUM(D$20:D111)/SUM(E$20:E111)-SUM(D112:D$117)/(SUM(E112:E$117))))</f>
        <v/>
      </c>
      <c r="C111" s="38">
        <v>92</v>
      </c>
      <c r="D111" s="8"/>
      <c r="E111" s="8"/>
      <c r="F111" s="9"/>
      <c r="G111" s="38"/>
      <c r="H111" s="38"/>
      <c r="I111" s="9"/>
      <c r="J111" s="37"/>
      <c r="K111" s="43">
        <f t="shared" si="8"/>
        <v>0.3</v>
      </c>
      <c r="L111" s="43">
        <v>0.5</v>
      </c>
      <c r="M111" s="43">
        <v>0.1</v>
      </c>
    </row>
    <row r="112" spans="1:13" x14ac:dyDescent="0.25">
      <c r="A112" s="51"/>
      <c r="B112" s="53" t="str">
        <f>IF(ISBLANK(D113),"",ABS(SUM(D$20:D112)/SUM(E$20:E112)-SUM(D113:D$117)/(SUM(E113:E$117))))</f>
        <v/>
      </c>
      <c r="C112" s="38">
        <v>93</v>
      </c>
      <c r="D112" s="8"/>
      <c r="E112" s="8"/>
      <c r="F112" s="9"/>
      <c r="G112" s="38"/>
      <c r="H112" s="38"/>
      <c r="I112" s="9"/>
      <c r="J112" s="37"/>
      <c r="K112" s="43">
        <f t="shared" si="8"/>
        <v>0.3</v>
      </c>
      <c r="L112" s="43">
        <v>0.5</v>
      </c>
      <c r="M112" s="43">
        <v>0.1</v>
      </c>
    </row>
    <row r="113" spans="1:13" x14ac:dyDescent="0.25">
      <c r="A113" s="51"/>
      <c r="B113" s="53" t="str">
        <f>IF(ISBLANK(D114),"",ABS(SUM(D$20:D113)/SUM(E$20:E113)-SUM(D114:D$117)/(SUM(E114:E$117))))</f>
        <v/>
      </c>
      <c r="C113" s="38">
        <v>94</v>
      </c>
      <c r="D113" s="8"/>
      <c r="E113" s="8"/>
      <c r="F113" s="9"/>
      <c r="G113" s="38"/>
      <c r="H113" s="38"/>
      <c r="I113" s="9"/>
      <c r="J113" s="37"/>
      <c r="K113" s="43">
        <f t="shared" si="8"/>
        <v>0.3</v>
      </c>
      <c r="L113" s="43">
        <v>0.5</v>
      </c>
      <c r="M113" s="43">
        <v>0.1</v>
      </c>
    </row>
    <row r="114" spans="1:13" x14ac:dyDescent="0.25">
      <c r="A114" s="51"/>
      <c r="B114" s="53" t="str">
        <f>IF(ISBLANK(D115),"",ABS(SUM(D$20:D114)/SUM(E$20:E114)-SUM(D115:D$117)/(SUM(E115:E$117))))</f>
        <v/>
      </c>
      <c r="C114" s="38">
        <v>95</v>
      </c>
      <c r="D114" s="8"/>
      <c r="E114" s="8"/>
      <c r="F114" s="9"/>
      <c r="G114" s="38"/>
      <c r="H114" s="38"/>
      <c r="I114" s="9"/>
      <c r="J114" s="37"/>
      <c r="K114" s="43">
        <f t="shared" si="8"/>
        <v>0.3</v>
      </c>
      <c r="L114" s="43">
        <v>0.5</v>
      </c>
      <c r="M114" s="43">
        <v>0.1</v>
      </c>
    </row>
    <row r="115" spans="1:13" x14ac:dyDescent="0.25">
      <c r="A115" s="51"/>
      <c r="B115" s="53" t="str">
        <f>IF(ISBLANK(D116),"",ABS(SUM(D$20:D115)/SUM(E$20:E115)-SUM(D116:D$117)/(SUM(E116:E$117))))</f>
        <v/>
      </c>
      <c r="C115" s="38">
        <v>96</v>
      </c>
      <c r="D115" s="8"/>
      <c r="E115" s="8"/>
      <c r="F115" s="9"/>
      <c r="G115" s="38"/>
      <c r="H115" s="38"/>
      <c r="I115" s="9"/>
      <c r="J115" s="37"/>
      <c r="K115" s="43">
        <f t="shared" si="8"/>
        <v>0.3</v>
      </c>
      <c r="L115" s="43">
        <v>0.5</v>
      </c>
      <c r="M115" s="43">
        <v>0.1</v>
      </c>
    </row>
    <row r="116" spans="1:13" x14ac:dyDescent="0.25">
      <c r="A116" s="51"/>
      <c r="B116" s="53" t="str">
        <f>IF(ISBLANK(D117),"",ABS(SUM(D$20:D116)/SUM(E$20:E116)-SUM(D117:D$117)/(SUM(E117:E$117))))</f>
        <v/>
      </c>
      <c r="C116" s="38">
        <v>97</v>
      </c>
      <c r="D116" s="8"/>
      <c r="E116" s="8"/>
      <c r="F116" s="9"/>
      <c r="G116" s="38"/>
      <c r="H116" s="38"/>
      <c r="I116" s="9"/>
      <c r="J116" s="37"/>
      <c r="K116" s="43">
        <f t="shared" si="8"/>
        <v>0.3</v>
      </c>
      <c r="L116" s="43">
        <v>0.5</v>
      </c>
      <c r="M116" s="43">
        <v>0.1</v>
      </c>
    </row>
    <row r="117" spans="1:13" x14ac:dyDescent="0.25">
      <c r="A117" s="51"/>
      <c r="B117" s="53" t="str">
        <f>IF(ISBLANK(D118),"",ABS(SUM(D$20:D117)/SUM(E$20:E117)-SUM(D$117:D118)/(SUM(E$117:E118))))</f>
        <v/>
      </c>
      <c r="C117" s="38">
        <v>98</v>
      </c>
      <c r="D117" s="8"/>
      <c r="E117" s="8"/>
      <c r="F117" s="9"/>
      <c r="G117" s="38"/>
      <c r="H117" s="38"/>
      <c r="I117" s="9"/>
      <c r="J117" s="37"/>
      <c r="K117" s="43">
        <f t="shared" si="8"/>
        <v>0.3</v>
      </c>
      <c r="L117" s="43">
        <v>0.5</v>
      </c>
      <c r="M117" s="43">
        <v>0.1</v>
      </c>
    </row>
    <row r="118" spans="1:13" x14ac:dyDescent="0.25">
      <c r="A118" s="51"/>
      <c r="B118" s="53" t="str">
        <f>IF(ISBLANK(D119),"",ABS(SUM(D$20:D118)/SUM(E$20:E118)-SUM(D$117:D119)/(SUM(E$117:E119))))</f>
        <v/>
      </c>
      <c r="C118" s="38">
        <v>99</v>
      </c>
      <c r="D118" s="8"/>
      <c r="E118" s="8"/>
      <c r="F118" s="9"/>
      <c r="G118" s="38"/>
      <c r="H118" s="38"/>
      <c r="I118" s="9"/>
      <c r="J118" s="37"/>
      <c r="K118" s="43">
        <f t="shared" si="8"/>
        <v>0.3</v>
      </c>
      <c r="L118" s="43">
        <v>0.5</v>
      </c>
      <c r="M118" s="43">
        <v>0.1</v>
      </c>
    </row>
    <row r="119" spans="1:13" x14ac:dyDescent="0.25">
      <c r="A119" s="51"/>
      <c r="B119" s="54" t="str">
        <f>IF(ISBLANK(D120),"",ABS(SUM(D$20:D119)/SUM(E$20:E119)-SUM(D$117:D120)/(SUM(E$117:E120))))</f>
        <v/>
      </c>
      <c r="C119" s="38">
        <v>100</v>
      </c>
      <c r="D119" s="8"/>
      <c r="E119" s="8"/>
      <c r="F119" s="9"/>
      <c r="G119" s="38"/>
      <c r="H119" s="38"/>
      <c r="I119" s="9"/>
      <c r="J119" s="37"/>
      <c r="K119" s="43">
        <f t="shared" si="8"/>
        <v>0.3</v>
      </c>
      <c r="L119" s="43">
        <v>0.5</v>
      </c>
      <c r="M119" s="43">
        <v>0.1</v>
      </c>
    </row>
    <row r="120" spans="1:13" x14ac:dyDescent="0.25">
      <c r="D120" s="8"/>
    </row>
    <row r="121" spans="1:13" x14ac:dyDescent="0.25">
      <c r="D121" s="8"/>
    </row>
  </sheetData>
  <mergeCells count="5">
    <mergeCell ref="K2:M2"/>
    <mergeCell ref="E3:G3"/>
    <mergeCell ref="C9:Q15"/>
    <mergeCell ref="O3:P3"/>
    <mergeCell ref="C17:D18"/>
  </mergeCells>
  <conditionalFormatting sqref="J20:J119">
    <cfRule type="cellIs" dxfId="2" priority="1" operator="greaterThan">
      <formula>0.5</formula>
    </cfRule>
    <cfRule type="cellIs" dxfId="1" priority="2" operator="lessThan">
      <formula>0.3</formula>
    </cfRule>
    <cfRule type="cellIs" dxfId="0" priority="3" operator="greaterThan">
      <formula>0.3</formula>
    </cfRule>
  </conditionalFormatting>
  <dataValidations count="1">
    <dataValidation type="list" allowBlank="1" showInputMessage="1" showErrorMessage="1" sqref="E18" xr:uid="{A5E77551-D910-40AA-A142-9F93EA60D7BA}">
      <formula1>$E$5:$G$5</formula1>
    </dataValidation>
  </dataValidation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9081FE-4DC8-424E-A0B2-E6AFBFE51B86}">
  <dimension ref="B2:AI57"/>
  <sheetViews>
    <sheetView showGridLines="0" zoomScale="85" zoomScaleNormal="85" workbookViewId="0">
      <selection activeCell="L9" sqref="L9"/>
    </sheetView>
  </sheetViews>
  <sheetFormatPr baseColWidth="10" defaultRowHeight="12.75" x14ac:dyDescent="0.2"/>
  <cols>
    <col min="1" max="26" width="11.42578125" style="20"/>
    <col min="27" max="27" width="17.85546875" style="20" customWidth="1"/>
    <col min="28" max="16384" width="11.42578125" style="20"/>
  </cols>
  <sheetData>
    <row r="2" spans="2:35" x14ac:dyDescent="0.2">
      <c r="C2" s="32" t="s">
        <v>55</v>
      </c>
      <c r="D2" s="33">
        <v>50</v>
      </c>
      <c r="E2" s="20" t="s">
        <v>54</v>
      </c>
    </row>
    <row r="3" spans="2:35" x14ac:dyDescent="0.2">
      <c r="C3" s="20" t="s">
        <v>53</v>
      </c>
      <c r="D3" s="36">
        <v>50.2</v>
      </c>
      <c r="O3" s="63" t="s">
        <v>52</v>
      </c>
      <c r="P3" s="64"/>
      <c r="Q3" s="64"/>
      <c r="R3" s="64"/>
      <c r="S3" s="64"/>
      <c r="T3" s="64"/>
      <c r="U3" s="64"/>
      <c r="V3" s="64"/>
      <c r="W3" s="64"/>
      <c r="X3" s="64"/>
      <c r="Y3" s="64"/>
      <c r="Z3" s="65"/>
    </row>
    <row r="4" spans="2:35" x14ac:dyDescent="0.2">
      <c r="C4" s="20" t="s">
        <v>51</v>
      </c>
      <c r="D4" s="36">
        <v>49.8</v>
      </c>
      <c r="O4" s="66"/>
      <c r="P4" s="67"/>
      <c r="Q4" s="67"/>
      <c r="R4" s="67"/>
      <c r="S4" s="67"/>
      <c r="T4" s="67"/>
      <c r="U4" s="67"/>
      <c r="V4" s="67"/>
      <c r="W4" s="67"/>
      <c r="X4" s="67"/>
      <c r="Y4" s="67"/>
      <c r="Z4" s="68"/>
    </row>
    <row r="5" spans="2:35" x14ac:dyDescent="0.2">
      <c r="C5" s="32" t="s">
        <v>50</v>
      </c>
      <c r="D5" s="35">
        <f>(D3-D4)/8</f>
        <v>5.0000000000000711E-2</v>
      </c>
      <c r="E5" s="20" t="s">
        <v>49</v>
      </c>
      <c r="O5" s="66"/>
      <c r="P5" s="67"/>
      <c r="Q5" s="67"/>
      <c r="R5" s="67"/>
      <c r="S5" s="67"/>
      <c r="T5" s="67"/>
      <c r="U5" s="67"/>
      <c r="V5" s="67"/>
      <c r="W5" s="67"/>
      <c r="X5" s="67"/>
      <c r="Y5" s="67"/>
      <c r="Z5" s="68"/>
      <c r="AC5" s="23"/>
    </row>
    <row r="6" spans="2:35" x14ac:dyDescent="0.2">
      <c r="C6" s="32" t="s">
        <v>48</v>
      </c>
      <c r="D6" s="33">
        <v>0.04</v>
      </c>
      <c r="E6" s="20" t="s">
        <v>47</v>
      </c>
      <c r="O6" s="66"/>
      <c r="P6" s="67"/>
      <c r="Q6" s="67"/>
      <c r="R6" s="67"/>
      <c r="S6" s="67"/>
      <c r="T6" s="67"/>
      <c r="U6" s="67"/>
      <c r="V6" s="67"/>
      <c r="W6" s="67"/>
      <c r="X6" s="67"/>
      <c r="Y6" s="67"/>
      <c r="Z6" s="68"/>
      <c r="AC6" s="23"/>
    </row>
    <row r="7" spans="2:35" x14ac:dyDescent="0.2">
      <c r="C7" s="34" t="s">
        <v>46</v>
      </c>
      <c r="D7" s="33">
        <v>10</v>
      </c>
      <c r="E7" s="20" t="s">
        <v>45</v>
      </c>
      <c r="O7" s="66"/>
      <c r="P7" s="67"/>
      <c r="Q7" s="67"/>
      <c r="R7" s="67"/>
      <c r="S7" s="67"/>
      <c r="T7" s="67"/>
      <c r="U7" s="67"/>
      <c r="V7" s="67"/>
      <c r="W7" s="67"/>
      <c r="X7" s="67"/>
      <c r="Y7" s="67"/>
      <c r="Z7" s="68"/>
    </row>
    <row r="8" spans="2:35" x14ac:dyDescent="0.2">
      <c r="C8" s="32" t="s">
        <v>44</v>
      </c>
      <c r="D8" s="31">
        <v>0.95</v>
      </c>
      <c r="E8" s="20" t="s">
        <v>43</v>
      </c>
      <c r="O8" s="66"/>
      <c r="P8" s="67"/>
      <c r="Q8" s="67"/>
      <c r="R8" s="67"/>
      <c r="S8" s="67"/>
      <c r="T8" s="67"/>
      <c r="U8" s="67"/>
      <c r="V8" s="67"/>
      <c r="W8" s="67"/>
      <c r="X8" s="67"/>
      <c r="Y8" s="67"/>
      <c r="Z8" s="68"/>
    </row>
    <row r="9" spans="2:35" x14ac:dyDescent="0.2">
      <c r="O9" s="69"/>
      <c r="P9" s="70"/>
      <c r="Q9" s="70"/>
      <c r="R9" s="70"/>
      <c r="S9" s="70"/>
      <c r="T9" s="70"/>
      <c r="U9" s="70"/>
      <c r="V9" s="70"/>
      <c r="W9" s="70"/>
      <c r="X9" s="70"/>
      <c r="Y9" s="70"/>
      <c r="Z9" s="71"/>
    </row>
    <row r="11" spans="2:35" ht="38.25" x14ac:dyDescent="0.2">
      <c r="B11" s="28" t="s">
        <v>0</v>
      </c>
      <c r="C11" s="28" t="s">
        <v>42</v>
      </c>
      <c r="D11" s="28" t="s">
        <v>41</v>
      </c>
      <c r="E11" s="28" t="s">
        <v>40</v>
      </c>
      <c r="F11" s="28" t="s">
        <v>39</v>
      </c>
      <c r="G11" s="28" t="s">
        <v>38</v>
      </c>
      <c r="H11" s="28" t="s">
        <v>37</v>
      </c>
      <c r="I11" s="28" t="s">
        <v>36</v>
      </c>
      <c r="J11" s="28" t="s">
        <v>35</v>
      </c>
      <c r="K11" s="28" t="s">
        <v>34</v>
      </c>
      <c r="L11" s="28" t="s">
        <v>33</v>
      </c>
      <c r="M11" s="28" t="s">
        <v>32</v>
      </c>
      <c r="N11" s="28" t="s">
        <v>31</v>
      </c>
    </row>
    <row r="12" spans="2:35" x14ac:dyDescent="0.2">
      <c r="B12" s="28">
        <v>1</v>
      </c>
      <c r="C12" s="27">
        <f t="shared" ref="C12:C42" ca="1" si="0">50+(RAND()-RAND())/10</f>
        <v>49.929428861074932</v>
      </c>
      <c r="D12" s="25">
        <f ca="1">AVERAGE(C12)</f>
        <v>49.929428861074932</v>
      </c>
      <c r="E12" s="25">
        <f ca="1">F12*($D$2/$D$5^2+D12/$D$6^2)</f>
        <v>49.956968817728608</v>
      </c>
      <c r="F12" s="26">
        <f t="shared" ref="F12:F42" ca="1" si="1">IF(ISBLANK(C12),"",(1/$D$5^2+B12/$D$6^2)^-1)</f>
        <v>9.7560975609757182E-4</v>
      </c>
      <c r="G12" s="25">
        <f t="shared" ref="G12:G42" ca="1" si="2">SQRT(F12)</f>
        <v>3.1234752377721386E-2</v>
      </c>
      <c r="H12" s="25">
        <f t="shared" ref="H12:H42" ca="1" si="3">(E12-$D$2)/SQRT(F12)</f>
        <v>-1.37767003083669</v>
      </c>
      <c r="I12" s="24">
        <f t="shared" ref="I12:I42" ca="1" si="4">IF(ISBLANK(C12),"",2*NORMSDIST(H12)-1)</f>
        <v>-0.83169481172983528</v>
      </c>
      <c r="J12" s="30"/>
      <c r="K12" s="30"/>
      <c r="L12" s="30"/>
      <c r="M12" s="30"/>
      <c r="N12" s="30"/>
    </row>
    <row r="13" spans="2:35" x14ac:dyDescent="0.2">
      <c r="B13" s="28">
        <v>2</v>
      </c>
      <c r="C13" s="27">
        <f t="shared" ca="1" si="0"/>
        <v>50.044496332898085</v>
      </c>
      <c r="D13" s="25">
        <f ca="1">AVERAGE(C$12:C13)</f>
        <v>49.986962596986508</v>
      </c>
      <c r="E13" s="25">
        <f t="shared" ref="E13:E42" ca="1" si="5">F13*($D$2/$D$5^2+B13*D13/$D$6^2)</f>
        <v>49.990123179535232</v>
      </c>
      <c r="F13" s="26">
        <f t="shared" ca="1" si="1"/>
        <v>6.0606060606061029E-4</v>
      </c>
      <c r="G13" s="25">
        <f t="shared" ca="1" si="2"/>
        <v>2.4618298195866632E-2</v>
      </c>
      <c r="H13" s="25">
        <f t="shared" ca="1" si="3"/>
        <v>-0.4011983438573607</v>
      </c>
      <c r="I13" s="24">
        <f t="shared" ca="1" si="4"/>
        <v>-0.31172590002574374</v>
      </c>
      <c r="J13" s="25">
        <f ca="1">VAR(C$12:C13)</f>
        <v>6.6202615358860314E-3</v>
      </c>
      <c r="K13" s="25">
        <f t="shared" ref="K13:K42" ca="1" si="6">((D$7-1)*D$6^2+(B13-1)*J13)/((D$7-1)+B13-2)</f>
        <v>2.3355846150984478E-3</v>
      </c>
      <c r="L13" s="26">
        <f t="shared" ref="L13:L42" ca="1" si="7">IF(ISBLANK(C12),"",SQRT(K13))</f>
        <v>4.8327886515949027E-2</v>
      </c>
      <c r="M13" s="25">
        <f t="shared" ref="M13:M42" ca="1" si="8">(K13-D$6^2)/(D$6^2*SQRT(2)/SQRT(D$7-1+B13-2))</f>
        <v>0.97525663026114162</v>
      </c>
      <c r="N13" s="24">
        <f t="shared" ref="N13:N42" ca="1" si="9">IF(ISBLANK(C12),"",2*NORMSDIST(M13)-1)</f>
        <v>0.67056702233350962</v>
      </c>
      <c r="AD13" s="20">
        <f>D3</f>
        <v>50.2</v>
      </c>
      <c r="AE13" s="20">
        <f>D4</f>
        <v>49.8</v>
      </c>
      <c r="AF13" s="23">
        <f>D8</f>
        <v>0.95</v>
      </c>
      <c r="AG13" s="23">
        <f t="shared" ref="AG13:AG42" si="10">-AF13</f>
        <v>-0.95</v>
      </c>
      <c r="AH13" s="20">
        <f>D6^2</f>
        <v>1.6000000000000001E-3</v>
      </c>
      <c r="AI13" s="20">
        <f>D2</f>
        <v>50</v>
      </c>
    </row>
    <row r="14" spans="2:35" x14ac:dyDescent="0.2">
      <c r="B14" s="28">
        <v>3</v>
      </c>
      <c r="C14" s="27">
        <f t="shared" ca="1" si="0"/>
        <v>50.090532740646182</v>
      </c>
      <c r="D14" s="25">
        <f ca="1">AVERAGE(C$12:C14)</f>
        <v>50.021485978206407</v>
      </c>
      <c r="E14" s="25">
        <f t="shared" ca="1" si="5"/>
        <v>50.01770822379649</v>
      </c>
      <c r="F14" s="26">
        <f t="shared" ca="1" si="1"/>
        <v>4.3956043956044178E-4</v>
      </c>
      <c r="G14" s="25">
        <f t="shared" ca="1" si="2"/>
        <v>2.0965696734438419E-2</v>
      </c>
      <c r="H14" s="25">
        <f t="shared" ca="1" si="3"/>
        <v>0.84462844334679088</v>
      </c>
      <c r="I14" s="24">
        <f t="shared" ca="1" si="4"/>
        <v>0.60168167690817476</v>
      </c>
      <c r="J14" s="25">
        <f ca="1">VAR(C$12:C14)</f>
        <v>6.8857223205048444E-3</v>
      </c>
      <c r="K14" s="25">
        <f t="shared" ca="1" si="6"/>
        <v>2.8171444641009692E-3</v>
      </c>
      <c r="L14" s="26">
        <f t="shared" ca="1" si="7"/>
        <v>5.3076778953709776E-2</v>
      </c>
      <c r="M14" s="25">
        <f t="shared" ca="1" si="8"/>
        <v>1.7010111001045745</v>
      </c>
      <c r="N14" s="24">
        <f t="shared" ca="1" si="9"/>
        <v>0.91105909715552658</v>
      </c>
      <c r="AD14" s="20">
        <f t="shared" ref="AD14:AD42" si="11">AD13</f>
        <v>50.2</v>
      </c>
      <c r="AE14" s="20">
        <f t="shared" ref="AE14:AE42" si="12">AE13</f>
        <v>49.8</v>
      </c>
      <c r="AF14" s="23">
        <f t="shared" ref="AF14:AF42" si="13">AF13</f>
        <v>0.95</v>
      </c>
      <c r="AG14" s="23">
        <f t="shared" si="10"/>
        <v>-0.95</v>
      </c>
      <c r="AH14" s="20">
        <f t="shared" ref="AH14:AH42" si="14">AH13</f>
        <v>1.6000000000000001E-3</v>
      </c>
      <c r="AI14" s="20">
        <f t="shared" ref="AI14:AI42" si="15">AI13</f>
        <v>50</v>
      </c>
    </row>
    <row r="15" spans="2:35" x14ac:dyDescent="0.2">
      <c r="B15" s="28">
        <v>4</v>
      </c>
      <c r="C15" s="27">
        <f t="shared" ca="1" si="0"/>
        <v>50.033171205283246</v>
      </c>
      <c r="D15" s="25">
        <f ca="1">AVERAGE(C$12:C15)</f>
        <v>50.024407284975617</v>
      </c>
      <c r="E15" s="25">
        <f t="shared" ca="1" si="5"/>
        <v>50.021040762910012</v>
      </c>
      <c r="F15" s="26">
        <f t="shared" ca="1" si="1"/>
        <v>3.4482758620689788E-4</v>
      </c>
      <c r="G15" s="25">
        <f t="shared" ca="1" si="2"/>
        <v>1.8569533817705222E-2</v>
      </c>
      <c r="H15" s="25">
        <f t="shared" ca="1" si="3"/>
        <v>1.1330797593825619</v>
      </c>
      <c r="I15" s="24">
        <f t="shared" ca="1" si="4"/>
        <v>0.7428192395818245</v>
      </c>
      <c r="J15" s="25">
        <f ca="1">VAR(C$12:C15)</f>
        <v>4.6246176799625942E-3</v>
      </c>
      <c r="K15" s="25">
        <f t="shared" ca="1" si="6"/>
        <v>2.5703502763534348E-3</v>
      </c>
      <c r="L15" s="26">
        <f t="shared" ca="1" si="7"/>
        <v>5.0698622036041911E-2</v>
      </c>
      <c r="M15" s="25">
        <f t="shared" ca="1" si="8"/>
        <v>1.4222956964866156</v>
      </c>
      <c r="N15" s="24">
        <f t="shared" ca="1" si="9"/>
        <v>0.84505957230729223</v>
      </c>
      <c r="AD15" s="20">
        <f t="shared" si="11"/>
        <v>50.2</v>
      </c>
      <c r="AE15" s="20">
        <f t="shared" si="12"/>
        <v>49.8</v>
      </c>
      <c r="AF15" s="23">
        <f t="shared" si="13"/>
        <v>0.95</v>
      </c>
      <c r="AG15" s="23">
        <f t="shared" si="10"/>
        <v>-0.95</v>
      </c>
      <c r="AH15" s="20">
        <f t="shared" si="14"/>
        <v>1.6000000000000001E-3</v>
      </c>
      <c r="AI15" s="20">
        <f t="shared" si="15"/>
        <v>50</v>
      </c>
    </row>
    <row r="16" spans="2:35" x14ac:dyDescent="0.2">
      <c r="B16" s="28">
        <v>5</v>
      </c>
      <c r="C16" s="27">
        <f t="shared" ca="1" si="0"/>
        <v>50.016976253575329</v>
      </c>
      <c r="D16" s="25">
        <f ca="1">AVERAGE(C$12:C16)</f>
        <v>50.02292107869556</v>
      </c>
      <c r="E16" s="25">
        <f t="shared" ca="1" si="5"/>
        <v>50.02032010522656</v>
      </c>
      <c r="F16" s="26">
        <f t="shared" ca="1" si="1"/>
        <v>2.8368794326241227E-4</v>
      </c>
      <c r="G16" s="25">
        <f t="shared" ca="1" si="2"/>
        <v>1.6843038421330406E-2</v>
      </c>
      <c r="H16" s="25">
        <f t="shared" ca="1" si="3"/>
        <v>1.2064394035238892</v>
      </c>
      <c r="I16" s="24">
        <f t="shared" ca="1" si="4"/>
        <v>0.77235188942323596</v>
      </c>
      <c r="J16" s="25">
        <f ca="1">VAR(C$12:C16)</f>
        <v>3.4795073055063405E-3</v>
      </c>
      <c r="K16" s="25">
        <f t="shared" ca="1" si="6"/>
        <v>2.3598357685021137E-3</v>
      </c>
      <c r="L16" s="26">
        <f t="shared" ca="1" si="7"/>
        <v>4.8578140850614217E-2</v>
      </c>
      <c r="M16" s="25">
        <f t="shared" ca="1" si="8"/>
        <v>1.1632562007160629</v>
      </c>
      <c r="N16" s="24">
        <f t="shared" ca="1" si="9"/>
        <v>0.75527442952610513</v>
      </c>
      <c r="AD16" s="20">
        <f t="shared" si="11"/>
        <v>50.2</v>
      </c>
      <c r="AE16" s="20">
        <f t="shared" si="12"/>
        <v>49.8</v>
      </c>
      <c r="AF16" s="23">
        <f t="shared" si="13"/>
        <v>0.95</v>
      </c>
      <c r="AG16" s="23">
        <f t="shared" si="10"/>
        <v>-0.95</v>
      </c>
      <c r="AH16" s="20">
        <f t="shared" si="14"/>
        <v>1.6000000000000001E-3</v>
      </c>
      <c r="AI16" s="20">
        <f t="shared" si="15"/>
        <v>50</v>
      </c>
    </row>
    <row r="17" spans="2:35" x14ac:dyDescent="0.2">
      <c r="B17" s="28">
        <v>6</v>
      </c>
      <c r="C17" s="27">
        <f t="shared" ca="1" si="0"/>
        <v>50.060644692050687</v>
      </c>
      <c r="D17" s="25">
        <f ca="1">AVERAGE(C$12:C17)</f>
        <v>50.029208347588082</v>
      </c>
      <c r="E17" s="25">
        <f t="shared" ca="1" si="5"/>
        <v>50.026393085169943</v>
      </c>
      <c r="F17" s="26">
        <f t="shared" ca="1" si="1"/>
        <v>2.4096385542168739E-4</v>
      </c>
      <c r="G17" s="25">
        <f t="shared" ca="1" si="2"/>
        <v>1.5523010514126677E-2</v>
      </c>
      <c r="H17" s="25">
        <f t="shared" ca="1" si="3"/>
        <v>1.7002555751620347</v>
      </c>
      <c r="I17" s="24">
        <f t="shared" ca="1" si="4"/>
        <v>0.9109171372569107</v>
      </c>
      <c r="J17" s="25">
        <f ca="1">VAR(C$12:C17)</f>
        <v>3.0207843451663225E-3</v>
      </c>
      <c r="K17" s="25">
        <f t="shared" ca="1" si="6"/>
        <v>2.2695324404485855E-3</v>
      </c>
      <c r="L17" s="26">
        <f t="shared" ca="1" si="7"/>
        <v>4.7639609994715379E-2</v>
      </c>
      <c r="M17" s="25">
        <f t="shared" ca="1" si="8"/>
        <v>1.066862180884605</v>
      </c>
      <c r="N17" s="24">
        <f t="shared" ca="1" si="9"/>
        <v>0.71396592518783142</v>
      </c>
      <c r="AD17" s="20">
        <f t="shared" si="11"/>
        <v>50.2</v>
      </c>
      <c r="AE17" s="20">
        <f t="shared" si="12"/>
        <v>49.8</v>
      </c>
      <c r="AF17" s="23">
        <f t="shared" si="13"/>
        <v>0.95</v>
      </c>
      <c r="AG17" s="23">
        <f t="shared" si="10"/>
        <v>-0.95</v>
      </c>
      <c r="AH17" s="20">
        <f t="shared" si="14"/>
        <v>1.6000000000000001E-3</v>
      </c>
      <c r="AI17" s="20">
        <f t="shared" si="15"/>
        <v>50</v>
      </c>
    </row>
    <row r="18" spans="2:35" x14ac:dyDescent="0.2">
      <c r="B18" s="28">
        <v>7</v>
      </c>
      <c r="C18" s="27">
        <f t="shared" ca="1" si="0"/>
        <v>50.013257832724229</v>
      </c>
      <c r="D18" s="25">
        <f ca="1">AVERAGE(C$12:C18)</f>
        <v>50.026929702607525</v>
      </c>
      <c r="E18" s="25">
        <f t="shared" ca="1" si="5"/>
        <v>50.024673811289617</v>
      </c>
      <c r="F18" s="26">
        <f t="shared" ca="1" si="1"/>
        <v>2.0942408376963399E-4</v>
      </c>
      <c r="G18" s="25">
        <f t="shared" ca="1" si="2"/>
        <v>1.4471492105848449E-2</v>
      </c>
      <c r="H18" s="25">
        <f t="shared" ca="1" si="3"/>
        <v>1.7049942818021642</v>
      </c>
      <c r="I18" s="24">
        <f t="shared" ca="1" si="4"/>
        <v>0.91180450910752198</v>
      </c>
      <c r="J18" s="25">
        <f ca="1">VAR(C$12:C18)</f>
        <v>2.553665848270294E-3</v>
      </c>
      <c r="K18" s="25">
        <f t="shared" ca="1" si="6"/>
        <v>2.1229996492586971E-3</v>
      </c>
      <c r="L18" s="26">
        <f t="shared" ca="1" si="7"/>
        <v>4.6076020327917827E-2</v>
      </c>
      <c r="M18" s="25">
        <f t="shared" ca="1" si="8"/>
        <v>0.86482937982032426</v>
      </c>
      <c r="N18" s="24">
        <f t="shared" ca="1" si="9"/>
        <v>0.6128675569591433</v>
      </c>
      <c r="AD18" s="20">
        <f t="shared" si="11"/>
        <v>50.2</v>
      </c>
      <c r="AE18" s="20">
        <f t="shared" si="12"/>
        <v>49.8</v>
      </c>
      <c r="AF18" s="23">
        <f t="shared" si="13"/>
        <v>0.95</v>
      </c>
      <c r="AG18" s="23">
        <f t="shared" si="10"/>
        <v>-0.95</v>
      </c>
      <c r="AH18" s="20">
        <f t="shared" si="14"/>
        <v>1.6000000000000001E-3</v>
      </c>
      <c r="AI18" s="20">
        <f t="shared" si="15"/>
        <v>50</v>
      </c>
    </row>
    <row r="19" spans="2:35" x14ac:dyDescent="0.2">
      <c r="B19" s="28">
        <v>8</v>
      </c>
      <c r="C19" s="27">
        <f t="shared" ca="1" si="0"/>
        <v>49.988216746821095</v>
      </c>
      <c r="D19" s="25">
        <f ca="1">AVERAGE(C$12:C19)</f>
        <v>50.022090583134222</v>
      </c>
      <c r="E19" s="25">
        <f t="shared" ca="1" si="5"/>
        <v>50.020454243642789</v>
      </c>
      <c r="F19" s="26">
        <f t="shared" ca="1" si="1"/>
        <v>1.8518518518518556E-4</v>
      </c>
      <c r="G19" s="25">
        <f t="shared" ca="1" si="2"/>
        <v>1.3608276348795448E-2</v>
      </c>
      <c r="H19" s="25">
        <f t="shared" ca="1" si="3"/>
        <v>1.5030737999819583</v>
      </c>
      <c r="I19" s="24">
        <f t="shared" ca="1" si="4"/>
        <v>0.86717998582585709</v>
      </c>
      <c r="J19" s="25">
        <f ca="1">VAR(C$12:C19)</f>
        <v>2.3761930595898174E-3</v>
      </c>
      <c r="K19" s="25">
        <f t="shared" ca="1" si="6"/>
        <v>2.0688900944752482E-3</v>
      </c>
      <c r="L19" s="26">
        <f t="shared" ca="1" si="7"/>
        <v>4.548505352833223E-2</v>
      </c>
      <c r="M19" s="25">
        <f t="shared" ca="1" si="8"/>
        <v>0.80256775542131842</v>
      </c>
      <c r="N19" s="24">
        <f t="shared" ca="1" si="9"/>
        <v>0.57777538832248321</v>
      </c>
      <c r="AD19" s="20">
        <f t="shared" si="11"/>
        <v>50.2</v>
      </c>
      <c r="AE19" s="20">
        <f t="shared" si="12"/>
        <v>49.8</v>
      </c>
      <c r="AF19" s="23">
        <f t="shared" si="13"/>
        <v>0.95</v>
      </c>
      <c r="AG19" s="23">
        <f t="shared" si="10"/>
        <v>-0.95</v>
      </c>
      <c r="AH19" s="20">
        <f t="shared" si="14"/>
        <v>1.6000000000000001E-3</v>
      </c>
      <c r="AI19" s="20">
        <f t="shared" si="15"/>
        <v>50</v>
      </c>
    </row>
    <row r="20" spans="2:35" x14ac:dyDescent="0.2">
      <c r="B20" s="28">
        <v>9</v>
      </c>
      <c r="C20" s="27">
        <f t="shared" ca="1" si="0"/>
        <v>50.019918768430728</v>
      </c>
      <c r="D20" s="25">
        <f ca="1">AVERAGE(C$12:C20)</f>
        <v>50.021849270389389</v>
      </c>
      <c r="E20" s="25">
        <f t="shared" ca="1" si="5"/>
        <v>50.020398696421616</v>
      </c>
      <c r="F20" s="26">
        <f t="shared" ca="1" si="1"/>
        <v>1.6597510373444013E-4</v>
      </c>
      <c r="G20" s="25">
        <f t="shared" ca="1" si="2"/>
        <v>1.2883132528016629E-2</v>
      </c>
      <c r="H20" s="25">
        <f t="shared" ca="1" si="3"/>
        <v>1.5833646341256744</v>
      </c>
      <c r="I20" s="24">
        <f t="shared" ca="1" si="4"/>
        <v>0.88666162109293545</v>
      </c>
      <c r="J20" s="25">
        <f ca="1">VAR(C$12:C20)</f>
        <v>2.0796930137084585E-3</v>
      </c>
      <c r="K20" s="25">
        <f t="shared" ca="1" si="6"/>
        <v>1.9398465068542294E-3</v>
      </c>
      <c r="L20" s="26">
        <f t="shared" ca="1" si="7"/>
        <v>4.4043688615444429E-2</v>
      </c>
      <c r="M20" s="25">
        <f t="shared" ca="1" si="8"/>
        <v>0.60076942389796517</v>
      </c>
      <c r="N20" s="24">
        <f t="shared" ca="1" si="9"/>
        <v>0.45200642804919178</v>
      </c>
      <c r="AD20" s="20">
        <f t="shared" si="11"/>
        <v>50.2</v>
      </c>
      <c r="AE20" s="20">
        <f t="shared" si="12"/>
        <v>49.8</v>
      </c>
      <c r="AF20" s="23">
        <f t="shared" si="13"/>
        <v>0.95</v>
      </c>
      <c r="AG20" s="23">
        <f t="shared" si="10"/>
        <v>-0.95</v>
      </c>
      <c r="AH20" s="20">
        <f t="shared" si="14"/>
        <v>1.6000000000000001E-3</v>
      </c>
      <c r="AI20" s="20">
        <f t="shared" si="15"/>
        <v>50</v>
      </c>
    </row>
    <row r="21" spans="2:35" x14ac:dyDescent="0.2">
      <c r="B21" s="28">
        <v>10</v>
      </c>
      <c r="C21" s="27">
        <f t="shared" ca="1" si="0"/>
        <v>49.927339090725859</v>
      </c>
      <c r="D21" s="25">
        <f ca="1">AVERAGE(C$12:C21)</f>
        <v>50.01239825242304</v>
      </c>
      <c r="E21" s="25">
        <f t="shared" ca="1" si="5"/>
        <v>50.011652492878788</v>
      </c>
      <c r="F21" s="26">
        <f t="shared" ca="1" si="1"/>
        <v>1.503759398496243E-4</v>
      </c>
      <c r="G21" s="25">
        <f t="shared" ca="1" si="2"/>
        <v>1.2262786789699326E-2</v>
      </c>
      <c r="H21" s="25">
        <f t="shared" ca="1" si="3"/>
        <v>0.95023203767811193</v>
      </c>
      <c r="I21" s="24">
        <f t="shared" ca="1" si="4"/>
        <v>0.65800563693509528</v>
      </c>
      <c r="J21" s="25">
        <f ca="1">VAR(C$12:C21)</f>
        <v>2.7418334181885965E-3</v>
      </c>
      <c r="K21" s="25">
        <f t="shared" ca="1" si="6"/>
        <v>2.2986176919821983E-3</v>
      </c>
      <c r="L21" s="26">
        <f t="shared" ca="1" si="7"/>
        <v>4.7943901509808297E-2</v>
      </c>
      <c r="M21" s="25">
        <f t="shared" ca="1" si="8"/>
        <v>1.2730019233862653</v>
      </c>
      <c r="N21" s="24">
        <f t="shared" ca="1" si="9"/>
        <v>0.79698264065815994</v>
      </c>
      <c r="AD21" s="20">
        <f t="shared" si="11"/>
        <v>50.2</v>
      </c>
      <c r="AE21" s="20">
        <f t="shared" si="12"/>
        <v>49.8</v>
      </c>
      <c r="AF21" s="23">
        <f t="shared" si="13"/>
        <v>0.95</v>
      </c>
      <c r="AG21" s="23">
        <f t="shared" si="10"/>
        <v>-0.95</v>
      </c>
      <c r="AH21" s="20">
        <f t="shared" si="14"/>
        <v>1.6000000000000001E-3</v>
      </c>
      <c r="AI21" s="20">
        <f t="shared" si="15"/>
        <v>50</v>
      </c>
    </row>
    <row r="22" spans="2:35" x14ac:dyDescent="0.2">
      <c r="B22" s="28">
        <v>11</v>
      </c>
      <c r="C22" s="27">
        <f t="shared" ca="1" si="0"/>
        <v>50.078490135470801</v>
      </c>
      <c r="D22" s="25">
        <f ca="1">AVERAGE(C$12:C22)</f>
        <v>50.018406605427373</v>
      </c>
      <c r="E22" s="25">
        <f t="shared" ca="1" si="5"/>
        <v>50.017394558393562</v>
      </c>
      <c r="F22" s="26">
        <f t="shared" ca="1" si="1"/>
        <v>1.3745704467353972E-4</v>
      </c>
      <c r="G22" s="25">
        <f t="shared" ca="1" si="2"/>
        <v>1.1724207635210992E-2</v>
      </c>
      <c r="H22" s="25">
        <f t="shared" ca="1" si="3"/>
        <v>1.48364468924291</v>
      </c>
      <c r="I22" s="24">
        <f t="shared" ca="1" si="4"/>
        <v>0.86209679299967878</v>
      </c>
      <c r="J22" s="25">
        <f ca="1">VAR(C$12:C22)</f>
        <v>2.8647534404424033E-3</v>
      </c>
      <c r="K22" s="25">
        <f t="shared" ca="1" si="6"/>
        <v>2.3915296891346685E-3</v>
      </c>
      <c r="L22" s="26">
        <f t="shared" ca="1" si="7"/>
        <v>4.8903268695810798E-2</v>
      </c>
      <c r="M22" s="25">
        <f t="shared" ca="1" si="8"/>
        <v>1.4841181671275032</v>
      </c>
      <c r="N22" s="24">
        <f t="shared" ca="1" si="9"/>
        <v>0.86222242560507101</v>
      </c>
      <c r="AD22" s="20">
        <f t="shared" si="11"/>
        <v>50.2</v>
      </c>
      <c r="AE22" s="20">
        <f t="shared" si="12"/>
        <v>49.8</v>
      </c>
      <c r="AF22" s="23">
        <f t="shared" si="13"/>
        <v>0.95</v>
      </c>
      <c r="AG22" s="23">
        <f t="shared" si="10"/>
        <v>-0.95</v>
      </c>
      <c r="AH22" s="20">
        <f t="shared" si="14"/>
        <v>1.6000000000000001E-3</v>
      </c>
      <c r="AI22" s="20">
        <f t="shared" si="15"/>
        <v>50</v>
      </c>
    </row>
    <row r="23" spans="2:35" x14ac:dyDescent="0.2">
      <c r="B23" s="28">
        <v>12</v>
      </c>
      <c r="C23" s="27">
        <f t="shared" ca="1" si="0"/>
        <v>49.994548924439208</v>
      </c>
      <c r="D23" s="25">
        <f ca="1">AVERAGE(C$12:C23)</f>
        <v>50.016418465345026</v>
      </c>
      <c r="E23" s="25">
        <f t="shared" ca="1" si="5"/>
        <v>50.015587150644009</v>
      </c>
      <c r="F23" s="26">
        <f t="shared" ca="1" si="1"/>
        <v>1.2658227848101283E-4</v>
      </c>
      <c r="G23" s="25">
        <f t="shared" ca="1" si="2"/>
        <v>1.1250879009260247E-2</v>
      </c>
      <c r="H23" s="25">
        <f t="shared" ca="1" si="3"/>
        <v>1.385416253359403</v>
      </c>
      <c r="I23" s="24">
        <f t="shared" ca="1" si="4"/>
        <v>0.83407477606066194</v>
      </c>
      <c r="J23" s="25">
        <f ca="1">VAR(C$12:C23)</f>
        <v>2.6517537213375402E-3</v>
      </c>
      <c r="K23" s="25">
        <f t="shared" ca="1" si="6"/>
        <v>2.2931205755112073E-3</v>
      </c>
      <c r="L23" s="26">
        <f t="shared" ca="1" si="7"/>
        <v>4.7886538562639996E-2</v>
      </c>
      <c r="M23" s="25">
        <f t="shared" ca="1" si="8"/>
        <v>1.3352131816960007</v>
      </c>
      <c r="N23" s="24">
        <f t="shared" ca="1" si="9"/>
        <v>0.818193416193427</v>
      </c>
      <c r="AD23" s="20">
        <f t="shared" si="11"/>
        <v>50.2</v>
      </c>
      <c r="AE23" s="20">
        <f t="shared" si="12"/>
        <v>49.8</v>
      </c>
      <c r="AF23" s="23">
        <f t="shared" si="13"/>
        <v>0.95</v>
      </c>
      <c r="AG23" s="23">
        <f t="shared" si="10"/>
        <v>-0.95</v>
      </c>
      <c r="AH23" s="20">
        <f t="shared" si="14"/>
        <v>1.6000000000000001E-3</v>
      </c>
      <c r="AI23" s="20">
        <f t="shared" si="15"/>
        <v>50</v>
      </c>
    </row>
    <row r="24" spans="2:35" x14ac:dyDescent="0.2">
      <c r="B24" s="28">
        <v>13</v>
      </c>
      <c r="C24" s="27">
        <f t="shared" ca="1" si="0"/>
        <v>50.007396113509046</v>
      </c>
      <c r="D24" s="25">
        <f ca="1">AVERAGE(C$12:C24)</f>
        <v>50.015724438280714</v>
      </c>
      <c r="E24" s="25">
        <f t="shared" ca="1" si="5"/>
        <v>50.014986634725012</v>
      </c>
      <c r="F24" s="26">
        <f t="shared" ca="1" si="1"/>
        <v>1.173020527859239E-4</v>
      </c>
      <c r="G24" s="25">
        <f t="shared" ca="1" si="2"/>
        <v>1.0830607221477653E-2</v>
      </c>
      <c r="H24" s="25">
        <f t="shared" ca="1" si="3"/>
        <v>1.3837298702230862</v>
      </c>
      <c r="I24" s="24">
        <f t="shared" ca="1" si="4"/>
        <v>0.83355881627236572</v>
      </c>
      <c r="J24" s="25">
        <f ca="1">VAR(C$12:C24)</f>
        <v>2.4370360009172832E-3</v>
      </c>
      <c r="K24" s="25">
        <f t="shared" ca="1" si="6"/>
        <v>2.1822216005503701E-3</v>
      </c>
      <c r="L24" s="26">
        <f t="shared" ca="1" si="7"/>
        <v>4.6714254789628935E-2</v>
      </c>
      <c r="M24" s="25">
        <f t="shared" ca="1" si="8"/>
        <v>1.1507164754299455</v>
      </c>
      <c r="N24" s="24">
        <f t="shared" ca="1" si="9"/>
        <v>0.75015110371527327</v>
      </c>
      <c r="AD24" s="20">
        <f t="shared" si="11"/>
        <v>50.2</v>
      </c>
      <c r="AE24" s="20">
        <f t="shared" si="12"/>
        <v>49.8</v>
      </c>
      <c r="AF24" s="23">
        <f t="shared" si="13"/>
        <v>0.95</v>
      </c>
      <c r="AG24" s="23">
        <f t="shared" si="10"/>
        <v>-0.95</v>
      </c>
      <c r="AH24" s="20">
        <f t="shared" si="14"/>
        <v>1.6000000000000001E-3</v>
      </c>
      <c r="AI24" s="20">
        <f t="shared" si="15"/>
        <v>50</v>
      </c>
    </row>
    <row r="25" spans="2:35" x14ac:dyDescent="0.2">
      <c r="B25" s="28">
        <v>14</v>
      </c>
      <c r="C25" s="27">
        <f t="shared" ca="1" si="0"/>
        <v>49.903879743007231</v>
      </c>
      <c r="D25" s="25">
        <f ca="1">AVERAGE(C$12:C25)</f>
        <v>50.007735531475468</v>
      </c>
      <c r="E25" s="25">
        <f t="shared" ca="1" si="5"/>
        <v>50.007397366165065</v>
      </c>
      <c r="F25" s="26">
        <f t="shared" ca="1" si="1"/>
        <v>1.0928961748633893E-4</v>
      </c>
      <c r="G25" s="25">
        <f t="shared" ca="1" si="2"/>
        <v>1.045416746978634E-2</v>
      </c>
      <c r="H25" s="25">
        <f t="shared" ca="1" si="3"/>
        <v>0.70759973823306876</v>
      </c>
      <c r="I25" s="24">
        <f t="shared" ca="1" si="4"/>
        <v>0.52080614453687901</v>
      </c>
      <c r="J25" s="25">
        <f ca="1">VAR(C$12:C25)</f>
        <v>3.1430885403559007E-3</v>
      </c>
      <c r="K25" s="25">
        <f t="shared" ca="1" si="6"/>
        <v>2.6314357630774624E-3</v>
      </c>
      <c r="L25" s="26">
        <f t="shared" ca="1" si="7"/>
        <v>5.1297521997436313E-2</v>
      </c>
      <c r="M25" s="25">
        <f t="shared" ca="1" si="8"/>
        <v>2.0888961648654618</v>
      </c>
      <c r="N25" s="24">
        <f t="shared" ca="1" si="9"/>
        <v>0.96328292884295474</v>
      </c>
      <c r="AD25" s="20">
        <f t="shared" si="11"/>
        <v>50.2</v>
      </c>
      <c r="AE25" s="20">
        <f t="shared" si="12"/>
        <v>49.8</v>
      </c>
      <c r="AF25" s="23">
        <f t="shared" si="13"/>
        <v>0.95</v>
      </c>
      <c r="AG25" s="23">
        <f t="shared" si="10"/>
        <v>-0.95</v>
      </c>
      <c r="AH25" s="20">
        <f t="shared" si="14"/>
        <v>1.6000000000000001E-3</v>
      </c>
      <c r="AI25" s="20">
        <f t="shared" si="15"/>
        <v>50</v>
      </c>
    </row>
    <row r="26" spans="2:35" x14ac:dyDescent="0.2">
      <c r="B26" s="28">
        <v>15</v>
      </c>
      <c r="C26" s="27">
        <f t="shared" ca="1" si="0"/>
        <v>49.971477962764212</v>
      </c>
      <c r="D26" s="25">
        <f ca="1">AVERAGE(C$12:C26)</f>
        <v>50.005318360228053</v>
      </c>
      <c r="E26" s="25">
        <f t="shared" ca="1" si="5"/>
        <v>50.005100729118965</v>
      </c>
      <c r="F26" s="26">
        <f t="shared" ca="1" si="1"/>
        <v>1.0230179028133004E-4</v>
      </c>
      <c r="G26" s="25">
        <f t="shared" ca="1" si="2"/>
        <v>1.0114434748483479E-2</v>
      </c>
      <c r="H26" s="25">
        <f t="shared" ca="1" si="3"/>
        <v>0.50430194526981831</v>
      </c>
      <c r="I26" s="24">
        <f t="shared" ca="1" si="4"/>
        <v>0.3859507892992029</v>
      </c>
      <c r="J26" s="25">
        <f ca="1">VAR(C$12:C26)</f>
        <v>3.0062229686349E-3</v>
      </c>
      <c r="K26" s="25">
        <f t="shared" ca="1" si="6"/>
        <v>2.5675964345858453E-3</v>
      </c>
      <c r="L26" s="26">
        <f t="shared" ca="1" si="7"/>
        <v>5.0671455816720376E-2</v>
      </c>
      <c r="M26" s="25">
        <f t="shared" ca="1" si="8"/>
        <v>2.0057214512543196</v>
      </c>
      <c r="N26" s="24">
        <f t="shared" ca="1" si="9"/>
        <v>0.95511402478313201</v>
      </c>
      <c r="AD26" s="20">
        <f t="shared" si="11"/>
        <v>50.2</v>
      </c>
      <c r="AE26" s="20">
        <f t="shared" si="12"/>
        <v>49.8</v>
      </c>
      <c r="AF26" s="23">
        <f t="shared" si="13"/>
        <v>0.95</v>
      </c>
      <c r="AG26" s="23">
        <f t="shared" si="10"/>
        <v>-0.95</v>
      </c>
      <c r="AH26" s="20">
        <f t="shared" si="14"/>
        <v>1.6000000000000001E-3</v>
      </c>
      <c r="AI26" s="20">
        <f t="shared" si="15"/>
        <v>50</v>
      </c>
    </row>
    <row r="27" spans="2:35" x14ac:dyDescent="0.2">
      <c r="B27" s="28">
        <v>16</v>
      </c>
      <c r="C27" s="27">
        <f t="shared" ca="1" si="0"/>
        <v>49.987540245551472</v>
      </c>
      <c r="D27" s="25">
        <f ca="1">AVERAGE(C$12:C27)</f>
        <v>50.004207228060764</v>
      </c>
      <c r="E27" s="25">
        <f t="shared" ca="1" si="5"/>
        <v>50.004045411596877</v>
      </c>
      <c r="F27" s="26">
        <f t="shared" ca="1" si="1"/>
        <v>9.6153846153846249E-5</v>
      </c>
      <c r="G27" s="25">
        <f t="shared" ca="1" si="2"/>
        <v>9.8058067569092057E-3</v>
      </c>
      <c r="H27" s="25">
        <f t="shared" ca="1" si="3"/>
        <v>0.41255265345981768</v>
      </c>
      <c r="I27" s="24">
        <f t="shared" ca="1" si="4"/>
        <v>0.32006560383917582</v>
      </c>
      <c r="J27" s="25">
        <f ca="1">VAR(C$12:C27)</f>
        <v>2.8255619391501061E-3</v>
      </c>
      <c r="K27" s="25">
        <f t="shared" ca="1" si="6"/>
        <v>2.4688447429239823E-3</v>
      </c>
      <c r="L27" s="26">
        <f t="shared" ca="1" si="7"/>
        <v>4.968747068350312E-2</v>
      </c>
      <c r="M27" s="25">
        <f t="shared" ca="1" si="8"/>
        <v>1.8414974220669031</v>
      </c>
      <c r="N27" s="24">
        <f t="shared" ca="1" si="9"/>
        <v>0.93445130197917847</v>
      </c>
      <c r="AD27" s="20">
        <f t="shared" si="11"/>
        <v>50.2</v>
      </c>
      <c r="AE27" s="20">
        <f t="shared" si="12"/>
        <v>49.8</v>
      </c>
      <c r="AF27" s="23">
        <f t="shared" si="13"/>
        <v>0.95</v>
      </c>
      <c r="AG27" s="23">
        <f t="shared" si="10"/>
        <v>-0.95</v>
      </c>
      <c r="AH27" s="20">
        <f t="shared" si="14"/>
        <v>1.6000000000000001E-3</v>
      </c>
      <c r="AI27" s="20">
        <f t="shared" si="15"/>
        <v>50</v>
      </c>
    </row>
    <row r="28" spans="2:35" x14ac:dyDescent="0.2">
      <c r="B28" s="28">
        <v>17</v>
      </c>
      <c r="C28" s="27">
        <f t="shared" ca="1" si="0"/>
        <v>49.99562713597679</v>
      </c>
      <c r="D28" s="25">
        <f ca="1">AVERAGE(C$12:C28)</f>
        <v>50.003702516761706</v>
      </c>
      <c r="E28" s="25">
        <f t="shared" ca="1" si="5"/>
        <v>50.003568185087808</v>
      </c>
      <c r="F28" s="26">
        <f t="shared" ca="1" si="1"/>
        <v>9.0702947845805072E-5</v>
      </c>
      <c r="G28" s="25">
        <f t="shared" ca="1" si="2"/>
        <v>9.5238095238095281E-3</v>
      </c>
      <c r="H28" s="25">
        <f t="shared" ca="1" si="3"/>
        <v>0.3746594342198149</v>
      </c>
      <c r="I28" s="24">
        <f t="shared" ca="1" si="4"/>
        <v>0.29208623493572472</v>
      </c>
      <c r="J28" s="25">
        <f ca="1">VAR(C$12:C28)</f>
        <v>2.6532947873749656E-3</v>
      </c>
      <c r="K28" s="25">
        <f t="shared" ca="1" si="6"/>
        <v>2.3688631915833105E-3</v>
      </c>
      <c r="L28" s="26">
        <f t="shared" ca="1" si="7"/>
        <v>4.8670968673155769E-2</v>
      </c>
      <c r="M28" s="25">
        <f t="shared" ca="1" si="8"/>
        <v>1.6646376398648215</v>
      </c>
      <c r="N28" s="24">
        <f t="shared" ca="1" si="9"/>
        <v>0.90401492882979384</v>
      </c>
      <c r="AD28" s="20">
        <f t="shared" si="11"/>
        <v>50.2</v>
      </c>
      <c r="AE28" s="20">
        <f t="shared" si="12"/>
        <v>49.8</v>
      </c>
      <c r="AF28" s="23">
        <f t="shared" si="13"/>
        <v>0.95</v>
      </c>
      <c r="AG28" s="23">
        <f t="shared" si="10"/>
        <v>-0.95</v>
      </c>
      <c r="AH28" s="20">
        <f t="shared" si="14"/>
        <v>1.6000000000000001E-3</v>
      </c>
      <c r="AI28" s="20">
        <f t="shared" si="15"/>
        <v>50</v>
      </c>
    </row>
    <row r="29" spans="2:35" x14ac:dyDescent="0.2">
      <c r="B29" s="28">
        <v>18</v>
      </c>
      <c r="C29" s="27">
        <f t="shared" ca="1" si="0"/>
        <v>49.976899947245073</v>
      </c>
      <c r="D29" s="25">
        <f ca="1">AVERAGE(C$12:C29)</f>
        <v>50.002213485121892</v>
      </c>
      <c r="E29" s="25">
        <f t="shared" ca="1" si="5"/>
        <v>50.002137485632723</v>
      </c>
      <c r="F29" s="26">
        <f t="shared" ca="1" si="1"/>
        <v>8.5836909871244709E-5</v>
      </c>
      <c r="G29" s="25">
        <f t="shared" ca="1" si="2"/>
        <v>9.264821092241594E-3</v>
      </c>
      <c r="H29" s="25">
        <f t="shared" ca="1" si="3"/>
        <v>0.23070986600191323</v>
      </c>
      <c r="I29" s="24">
        <f t="shared" ca="1" si="4"/>
        <v>0.1824597916769477</v>
      </c>
      <c r="J29" s="25">
        <f ca="1">VAR(C$12:C29)</f>
        <v>2.5371284974503062E-3</v>
      </c>
      <c r="K29" s="25">
        <f t="shared" ca="1" si="6"/>
        <v>2.301247378266208E-3</v>
      </c>
      <c r="L29" s="26">
        <f t="shared" ca="1" si="7"/>
        <v>4.797131828776658E-2</v>
      </c>
      <c r="M29" s="25">
        <f t="shared" ca="1" si="8"/>
        <v>1.5495524264416363</v>
      </c>
      <c r="N29" s="24">
        <f t="shared" ca="1" si="9"/>
        <v>0.87875102101719338</v>
      </c>
      <c r="AD29" s="20">
        <f t="shared" si="11"/>
        <v>50.2</v>
      </c>
      <c r="AE29" s="20">
        <f t="shared" si="12"/>
        <v>49.8</v>
      </c>
      <c r="AF29" s="23">
        <f t="shared" si="13"/>
        <v>0.95</v>
      </c>
      <c r="AG29" s="23">
        <f t="shared" si="10"/>
        <v>-0.95</v>
      </c>
      <c r="AH29" s="20">
        <f t="shared" si="14"/>
        <v>1.6000000000000001E-3</v>
      </c>
      <c r="AI29" s="20">
        <f t="shared" si="15"/>
        <v>50</v>
      </c>
    </row>
    <row r="30" spans="2:35" x14ac:dyDescent="0.2">
      <c r="B30" s="28">
        <v>19</v>
      </c>
      <c r="C30" s="27">
        <f t="shared" ca="1" si="0"/>
        <v>50.022165972561879</v>
      </c>
      <c r="D30" s="25">
        <f ca="1">AVERAGE(C$12:C30)</f>
        <v>50.003263616039789</v>
      </c>
      <c r="E30" s="25">
        <f t="shared" ca="1" si="5"/>
        <v>50.003157266026264</v>
      </c>
      <c r="F30" s="26">
        <f t="shared" ca="1" si="1"/>
        <v>8.146639511201637E-5</v>
      </c>
      <c r="G30" s="25">
        <f t="shared" ca="1" si="2"/>
        <v>9.0258736481304887E-3</v>
      </c>
      <c r="H30" s="25">
        <f t="shared" ca="1" si="3"/>
        <v>0.34980170888143786</v>
      </c>
      <c r="I30" s="24">
        <f t="shared" ca="1" si="4"/>
        <v>0.27351248353187962</v>
      </c>
      <c r="J30" s="25">
        <f ca="1">VAR(C$12:C30)</f>
        <v>2.417129638208229E-3</v>
      </c>
      <c r="K30" s="25">
        <f t="shared" ca="1" si="6"/>
        <v>2.2272435956826203E-3</v>
      </c>
      <c r="L30" s="26">
        <f t="shared" ca="1" si="7"/>
        <v>4.7193681734768483E-2</v>
      </c>
      <c r="M30" s="25">
        <f t="shared" ca="1" si="8"/>
        <v>1.4134743415250561</v>
      </c>
      <c r="N30" s="24">
        <f t="shared" ca="1" si="9"/>
        <v>0.84248369947207591</v>
      </c>
      <c r="AD30" s="20">
        <f t="shared" si="11"/>
        <v>50.2</v>
      </c>
      <c r="AE30" s="20">
        <f t="shared" si="12"/>
        <v>49.8</v>
      </c>
      <c r="AF30" s="23">
        <f t="shared" si="13"/>
        <v>0.95</v>
      </c>
      <c r="AG30" s="23">
        <f t="shared" si="10"/>
        <v>-0.95</v>
      </c>
      <c r="AH30" s="20">
        <f t="shared" si="14"/>
        <v>1.6000000000000001E-3</v>
      </c>
      <c r="AI30" s="20">
        <f t="shared" si="15"/>
        <v>50</v>
      </c>
    </row>
    <row r="31" spans="2:35" x14ac:dyDescent="0.2">
      <c r="B31" s="28">
        <v>20</v>
      </c>
      <c r="C31" s="27">
        <f t="shared" ca="1" si="0"/>
        <v>49.98008683561531</v>
      </c>
      <c r="D31" s="25">
        <f ca="1">AVERAGE(C$12:C31)</f>
        <v>50.002104777018566</v>
      </c>
      <c r="E31" s="25">
        <f t="shared" ca="1" si="5"/>
        <v>50.002039512614886</v>
      </c>
      <c r="F31" s="26">
        <f t="shared" ca="1" si="1"/>
        <v>7.7519379844961312E-5</v>
      </c>
      <c r="G31" s="25">
        <f t="shared" ca="1" si="2"/>
        <v>8.8045090632562426E-3</v>
      </c>
      <c r="H31" s="25">
        <f t="shared" ca="1" si="3"/>
        <v>0.23164410420076995</v>
      </c>
      <c r="I31" s="24">
        <f t="shared" ca="1" si="4"/>
        <v>0.18318555114617241</v>
      </c>
      <c r="J31" s="25">
        <f ca="1">VAR(C$12:C31)</f>
        <v>2.3167704463710852E-3</v>
      </c>
      <c r="K31" s="25">
        <f t="shared" ca="1" si="6"/>
        <v>2.1636532770759487E-3</v>
      </c>
      <c r="L31" s="26">
        <f t="shared" ca="1" si="7"/>
        <v>4.6515086553460788E-2</v>
      </c>
      <c r="M31" s="25">
        <f t="shared" ca="1" si="8"/>
        <v>1.2943714881409321</v>
      </c>
      <c r="N31" s="24">
        <f t="shared" ca="1" si="9"/>
        <v>0.80446286584333615</v>
      </c>
      <c r="AD31" s="20">
        <f t="shared" si="11"/>
        <v>50.2</v>
      </c>
      <c r="AE31" s="20">
        <f t="shared" si="12"/>
        <v>49.8</v>
      </c>
      <c r="AF31" s="23">
        <f t="shared" si="13"/>
        <v>0.95</v>
      </c>
      <c r="AG31" s="23">
        <f t="shared" si="10"/>
        <v>-0.95</v>
      </c>
      <c r="AH31" s="20">
        <f t="shared" si="14"/>
        <v>1.6000000000000001E-3</v>
      </c>
      <c r="AI31" s="20">
        <f t="shared" si="15"/>
        <v>50</v>
      </c>
    </row>
    <row r="32" spans="2:35" x14ac:dyDescent="0.2">
      <c r="B32" s="28">
        <v>21</v>
      </c>
      <c r="C32" s="27">
        <f t="shared" ca="1" si="0"/>
        <v>49.958528204825811</v>
      </c>
      <c r="D32" s="25">
        <f ca="1">AVERAGE(C$12:C32)</f>
        <v>50.000029702152247</v>
      </c>
      <c r="E32" s="25">
        <f t="shared" ca="1" si="5"/>
        <v>50.000028823715198</v>
      </c>
      <c r="F32" s="26">
        <f t="shared" ca="1" si="1"/>
        <v>7.3937153419593402E-5</v>
      </c>
      <c r="G32" s="25">
        <f t="shared" ca="1" si="2"/>
        <v>8.598671607846959E-3</v>
      </c>
      <c r="H32" s="25">
        <f t="shared" ca="1" si="3"/>
        <v>3.3521125718351222E-3</v>
      </c>
      <c r="I32" s="24">
        <f t="shared" ca="1" si="4"/>
        <v>2.6745938582231066E-3</v>
      </c>
      <c r="J32" s="25">
        <f ca="1">VAR(C$12:C32)</f>
        <v>2.2913565737701837E-3</v>
      </c>
      <c r="K32" s="25">
        <f t="shared" ca="1" si="6"/>
        <v>2.150968981264417E-3</v>
      </c>
      <c r="L32" s="26">
        <f t="shared" ca="1" si="7"/>
        <v>4.6378540094147172E-2</v>
      </c>
      <c r="M32" s="25">
        <f t="shared" ca="1" si="8"/>
        <v>1.2884607241445742</v>
      </c>
      <c r="N32" s="24">
        <f t="shared" ca="1" si="9"/>
        <v>0.80241436765283214</v>
      </c>
      <c r="AD32" s="20">
        <f t="shared" si="11"/>
        <v>50.2</v>
      </c>
      <c r="AE32" s="20">
        <f t="shared" si="12"/>
        <v>49.8</v>
      </c>
      <c r="AF32" s="23">
        <f t="shared" si="13"/>
        <v>0.95</v>
      </c>
      <c r="AG32" s="23">
        <f t="shared" si="10"/>
        <v>-0.95</v>
      </c>
      <c r="AH32" s="20">
        <f t="shared" si="14"/>
        <v>1.6000000000000001E-3</v>
      </c>
      <c r="AI32" s="20">
        <f t="shared" si="15"/>
        <v>50</v>
      </c>
    </row>
    <row r="33" spans="2:35" x14ac:dyDescent="0.2">
      <c r="B33" s="28">
        <v>22</v>
      </c>
      <c r="C33" s="27">
        <f t="shared" ca="1" si="0"/>
        <v>50.01036985980673</v>
      </c>
      <c r="D33" s="25">
        <f ca="1">AVERAGE(C$12:C33)</f>
        <v>50.000499709318362</v>
      </c>
      <c r="E33" s="25">
        <f t="shared" ca="1" si="5"/>
        <v>50.000485583259888</v>
      </c>
      <c r="F33" s="26">
        <f t="shared" ca="1" si="1"/>
        <v>7.0671378091872848E-5</v>
      </c>
      <c r="G33" s="25">
        <f t="shared" ca="1" si="2"/>
        <v>8.4066270341839749E-3</v>
      </c>
      <c r="H33" s="25">
        <f t="shared" ca="1" si="3"/>
        <v>5.7761960642866178E-2</v>
      </c>
      <c r="I33" s="24">
        <f t="shared" ca="1" si="4"/>
        <v>4.6061761426905434E-2</v>
      </c>
      <c r="J33" s="25">
        <f ca="1">VAR(C$12:C33)</f>
        <v>2.1871043041679465E-3</v>
      </c>
      <c r="K33" s="25">
        <f t="shared" ca="1" si="6"/>
        <v>2.08031690991472E-3</v>
      </c>
      <c r="L33" s="26">
        <f t="shared" ca="1" si="7"/>
        <v>4.5610491226413252E-2</v>
      </c>
      <c r="M33" s="25">
        <f t="shared" ca="1" si="8"/>
        <v>1.1431201890063065</v>
      </c>
      <c r="N33" s="24">
        <f t="shared" ca="1" si="9"/>
        <v>0.74701130694576334</v>
      </c>
      <c r="AD33" s="20">
        <f t="shared" si="11"/>
        <v>50.2</v>
      </c>
      <c r="AE33" s="20">
        <f t="shared" si="12"/>
        <v>49.8</v>
      </c>
      <c r="AF33" s="23">
        <f t="shared" si="13"/>
        <v>0.95</v>
      </c>
      <c r="AG33" s="23">
        <f t="shared" si="10"/>
        <v>-0.95</v>
      </c>
      <c r="AH33" s="20">
        <f t="shared" si="14"/>
        <v>1.6000000000000001E-3</v>
      </c>
      <c r="AI33" s="20">
        <f t="shared" si="15"/>
        <v>50</v>
      </c>
    </row>
    <row r="34" spans="2:35" x14ac:dyDescent="0.2">
      <c r="B34" s="28">
        <v>23</v>
      </c>
      <c r="C34" s="27">
        <f t="shared" ca="1" si="0"/>
        <v>49.926359722242694</v>
      </c>
      <c r="D34" s="25">
        <f ca="1">AVERAGE(C$12:C34)</f>
        <v>49.997276231619423</v>
      </c>
      <c r="E34" s="25">
        <f t="shared" ca="1" si="5"/>
        <v>49.997349971541738</v>
      </c>
      <c r="F34" s="26">
        <f t="shared" ca="1" si="1"/>
        <v>6.7681895093062662E-5</v>
      </c>
      <c r="G34" s="25">
        <f t="shared" ca="1" si="2"/>
        <v>8.2269006978972752E-3</v>
      </c>
      <c r="H34" s="25">
        <f t="shared" ca="1" si="3"/>
        <v>-0.32211747237204152</v>
      </c>
      <c r="I34" s="24">
        <f t="shared" ca="1" si="4"/>
        <v>-0.25263629787949093</v>
      </c>
      <c r="J34" s="25">
        <f ca="1">VAR(C$12:C34)</f>
        <v>2.3266790670985753E-3</v>
      </c>
      <c r="K34" s="25">
        <f t="shared" ca="1" si="6"/>
        <v>2.1862313158722887E-3</v>
      </c>
      <c r="L34" s="26">
        <f t="shared" ca="1" si="7"/>
        <v>4.6757152563776688E-2</v>
      </c>
      <c r="M34" s="25">
        <f t="shared" ca="1" si="8"/>
        <v>1.4190400771241458</v>
      </c>
      <c r="N34" s="24">
        <f t="shared" ca="1" si="9"/>
        <v>0.8441126677615518</v>
      </c>
      <c r="O34" s="20" t="s">
        <v>30</v>
      </c>
      <c r="U34" s="29" t="s">
        <v>29</v>
      </c>
      <c r="AD34" s="20">
        <f t="shared" si="11"/>
        <v>50.2</v>
      </c>
      <c r="AE34" s="20">
        <f t="shared" si="12"/>
        <v>49.8</v>
      </c>
      <c r="AF34" s="23">
        <f t="shared" si="13"/>
        <v>0.95</v>
      </c>
      <c r="AG34" s="23">
        <f t="shared" si="10"/>
        <v>-0.95</v>
      </c>
      <c r="AH34" s="20">
        <f t="shared" si="14"/>
        <v>1.6000000000000001E-3</v>
      </c>
      <c r="AI34" s="20">
        <f t="shared" si="15"/>
        <v>50</v>
      </c>
    </row>
    <row r="35" spans="2:35" x14ac:dyDescent="0.2">
      <c r="B35" s="28">
        <v>24</v>
      </c>
      <c r="C35" s="27">
        <f t="shared" ca="1" si="0"/>
        <v>49.983113306140893</v>
      </c>
      <c r="D35" s="25">
        <f ca="1">AVERAGE(C$12:C35)</f>
        <v>49.996686109724486</v>
      </c>
      <c r="E35" s="25">
        <f t="shared" ca="1" si="5"/>
        <v>49.996772184796562</v>
      </c>
      <c r="F35" s="26">
        <f t="shared" ca="1" si="1"/>
        <v>6.4935064935064976E-5</v>
      </c>
      <c r="G35" s="25">
        <f t="shared" ca="1" si="2"/>
        <v>8.0582296402538049E-3</v>
      </c>
      <c r="H35" s="25">
        <f t="shared" ca="1" si="3"/>
        <v>-0.40056133264232607</v>
      </c>
      <c r="I35" s="24">
        <f t="shared" ca="1" si="4"/>
        <v>-0.311256880888372</v>
      </c>
      <c r="J35" s="25">
        <f ca="1">VAR(C$12:C35)</f>
        <v>2.2338769600807667E-3</v>
      </c>
      <c r="K35" s="25">
        <f t="shared" ca="1" si="6"/>
        <v>2.1219087123179881E-3</v>
      </c>
      <c r="L35" s="26">
        <f t="shared" ca="1" si="7"/>
        <v>4.6064180360861608E-2</v>
      </c>
      <c r="M35" s="25">
        <f t="shared" ca="1" si="8"/>
        <v>1.2842229094710007</v>
      </c>
      <c r="N35" s="24">
        <f t="shared" ca="1" si="9"/>
        <v>0.80093602854731016</v>
      </c>
      <c r="U35" s="29" t="s">
        <v>28</v>
      </c>
      <c r="V35" s="29"/>
      <c r="AD35" s="20">
        <f t="shared" si="11"/>
        <v>50.2</v>
      </c>
      <c r="AE35" s="20">
        <f t="shared" si="12"/>
        <v>49.8</v>
      </c>
      <c r="AF35" s="23">
        <f t="shared" si="13"/>
        <v>0.95</v>
      </c>
      <c r="AG35" s="23">
        <f t="shared" si="10"/>
        <v>-0.95</v>
      </c>
      <c r="AH35" s="20">
        <f t="shared" si="14"/>
        <v>1.6000000000000001E-3</v>
      </c>
      <c r="AI35" s="20">
        <f t="shared" si="15"/>
        <v>50</v>
      </c>
    </row>
    <row r="36" spans="2:35" x14ac:dyDescent="0.2">
      <c r="B36" s="28">
        <v>25</v>
      </c>
      <c r="C36" s="27">
        <f t="shared" ca="1" si="0"/>
        <v>50.009429095387702</v>
      </c>
      <c r="D36" s="25">
        <f ca="1">AVERAGE(C$12:C36)</f>
        <v>49.997195829151018</v>
      </c>
      <c r="E36" s="25">
        <f t="shared" ca="1" si="5"/>
        <v>49.997265824055205</v>
      </c>
      <c r="F36" s="26">
        <f t="shared" ca="1" si="1"/>
        <v>6.2402496099844043E-5</v>
      </c>
      <c r="G36" s="25">
        <f t="shared" ca="1" si="2"/>
        <v>7.8995250553336466E-3</v>
      </c>
      <c r="H36" s="25">
        <f t="shared" ca="1" si="3"/>
        <v>-0.34611902939011419</v>
      </c>
      <c r="I36" s="24">
        <f t="shared" ca="1" si="4"/>
        <v>-0.27074673711247654</v>
      </c>
      <c r="J36" s="25">
        <f ca="1">VAR(C$12:C36)</f>
        <v>2.1472941007552584E-3</v>
      </c>
      <c r="K36" s="25">
        <f t="shared" ca="1" si="6"/>
        <v>2.0604705755664439E-3</v>
      </c>
      <c r="L36" s="26">
        <f t="shared" ca="1" si="7"/>
        <v>4.5392406584873243E-2</v>
      </c>
      <c r="M36" s="25">
        <f t="shared" ca="1" si="8"/>
        <v>1.1511764389161097</v>
      </c>
      <c r="N36" s="24">
        <f t="shared" ca="1" si="9"/>
        <v>0.75034034387314552</v>
      </c>
      <c r="V36" s="29"/>
      <c r="AD36" s="20">
        <f t="shared" si="11"/>
        <v>50.2</v>
      </c>
      <c r="AE36" s="20">
        <f t="shared" si="12"/>
        <v>49.8</v>
      </c>
      <c r="AF36" s="23">
        <f t="shared" si="13"/>
        <v>0.95</v>
      </c>
      <c r="AG36" s="23">
        <f t="shared" si="10"/>
        <v>-0.95</v>
      </c>
      <c r="AH36" s="20">
        <f t="shared" si="14"/>
        <v>1.6000000000000001E-3</v>
      </c>
      <c r="AI36" s="20">
        <f t="shared" si="15"/>
        <v>50</v>
      </c>
    </row>
    <row r="37" spans="2:35" x14ac:dyDescent="0.2">
      <c r="B37" s="28">
        <v>26</v>
      </c>
      <c r="C37" s="27">
        <f t="shared" ca="1" si="0"/>
        <v>50.003278696756666</v>
      </c>
      <c r="D37" s="25">
        <f ca="1">AVERAGE(C$12:C37)</f>
        <v>49.99742978559739</v>
      </c>
      <c r="E37" s="25">
        <f t="shared" ca="1" si="5"/>
        <v>49.997491532489938</v>
      </c>
      <c r="F37" s="26">
        <f t="shared" ca="1" si="1"/>
        <v>6.0060060060060099E-5</v>
      </c>
      <c r="G37" s="25">
        <f t="shared" ca="1" si="2"/>
        <v>7.7498425829212883E-3</v>
      </c>
      <c r="H37" s="25">
        <f t="shared" ca="1" si="3"/>
        <v>-0.32367980165036403</v>
      </c>
      <c r="I37" s="24">
        <f t="shared" ca="1" si="4"/>
        <v>-0.25381953573508387</v>
      </c>
      <c r="J37" s="25">
        <f ca="1">VAR(C$12:C37)</f>
        <v>2.0628254628138158E-3</v>
      </c>
      <c r="K37" s="25">
        <f t="shared" ca="1" si="6"/>
        <v>1.9991101991013757E-3</v>
      </c>
      <c r="L37" s="26">
        <f t="shared" ca="1" si="7"/>
        <v>4.4711410166772596E-2</v>
      </c>
      <c r="M37" s="25">
        <f t="shared" ca="1" si="8"/>
        <v>1.0132458078692126</v>
      </c>
      <c r="N37" s="24">
        <f t="shared" ca="1" si="9"/>
        <v>0.68905723472043068</v>
      </c>
      <c r="AD37" s="20">
        <f t="shared" si="11"/>
        <v>50.2</v>
      </c>
      <c r="AE37" s="20">
        <f t="shared" si="12"/>
        <v>49.8</v>
      </c>
      <c r="AF37" s="23">
        <f t="shared" si="13"/>
        <v>0.95</v>
      </c>
      <c r="AG37" s="23">
        <f t="shared" si="10"/>
        <v>-0.95</v>
      </c>
      <c r="AH37" s="20">
        <f t="shared" si="14"/>
        <v>1.6000000000000001E-3</v>
      </c>
      <c r="AI37" s="20">
        <f t="shared" si="15"/>
        <v>50</v>
      </c>
    </row>
    <row r="38" spans="2:35" x14ac:dyDescent="0.2">
      <c r="B38" s="28">
        <v>27</v>
      </c>
      <c r="C38" s="27">
        <f t="shared" ca="1" si="0"/>
        <v>49.971556085792585</v>
      </c>
      <c r="D38" s="25">
        <f ca="1">AVERAGE(C$12:C38)</f>
        <v>49.996471500419432</v>
      </c>
      <c r="E38" s="25">
        <f t="shared" ca="1" si="5"/>
        <v>49.996553202291047</v>
      </c>
      <c r="F38" s="26">
        <f t="shared" ca="1" si="1"/>
        <v>5.7887120115774277E-5</v>
      </c>
      <c r="G38" s="25">
        <f t="shared" ca="1" si="2"/>
        <v>7.608358569085337E-3</v>
      </c>
      <c r="H38" s="25">
        <f t="shared" ca="1" si="3"/>
        <v>-0.45302776908525294</v>
      </c>
      <c r="I38" s="24">
        <f t="shared" ca="1" si="4"/>
        <v>-0.34947125425945402</v>
      </c>
      <c r="J38" s="25">
        <f ca="1">VAR(C$12:C38)</f>
        <v>2.0082804049581637E-3</v>
      </c>
      <c r="K38" s="25">
        <f t="shared" ca="1" si="6"/>
        <v>1.9592732508503605E-3</v>
      </c>
      <c r="L38" s="26">
        <f t="shared" ca="1" si="7"/>
        <v>4.4263678686371745E-2</v>
      </c>
      <c r="M38" s="25">
        <f t="shared" ca="1" si="8"/>
        <v>0.92582597607191641</v>
      </c>
      <c r="N38" s="24">
        <f t="shared" ca="1" si="9"/>
        <v>0.64546357456091741</v>
      </c>
      <c r="AD38" s="20">
        <f t="shared" si="11"/>
        <v>50.2</v>
      </c>
      <c r="AE38" s="20">
        <f t="shared" si="12"/>
        <v>49.8</v>
      </c>
      <c r="AF38" s="23">
        <f t="shared" si="13"/>
        <v>0.95</v>
      </c>
      <c r="AG38" s="23">
        <f t="shared" si="10"/>
        <v>-0.95</v>
      </c>
      <c r="AH38" s="20">
        <f t="shared" si="14"/>
        <v>1.6000000000000001E-3</v>
      </c>
      <c r="AI38" s="20">
        <f t="shared" si="15"/>
        <v>50</v>
      </c>
    </row>
    <row r="39" spans="2:35" x14ac:dyDescent="0.2">
      <c r="B39" s="28">
        <v>28</v>
      </c>
      <c r="C39" s="27">
        <f t="shared" ca="1" si="0"/>
        <v>49.923979950160444</v>
      </c>
      <c r="D39" s="25">
        <f ca="1">AVERAGE(C$12:C39)</f>
        <v>49.993882516481612</v>
      </c>
      <c r="E39" s="25">
        <f t="shared" ca="1" si="5"/>
        <v>49.994019220023915</v>
      </c>
      <c r="F39" s="26">
        <f t="shared" ca="1" si="1"/>
        <v>5.5865921787709532E-5</v>
      </c>
      <c r="G39" s="25">
        <f t="shared" ca="1" si="2"/>
        <v>7.4743509275193611E-3</v>
      </c>
      <c r="H39" s="25">
        <f t="shared" ca="1" si="3"/>
        <v>-0.8001738256715285</v>
      </c>
      <c r="I39" s="24">
        <f t="shared" ca="1" si="4"/>
        <v>-0.57638990748790531</v>
      </c>
      <c r="J39" s="25">
        <f ca="1">VAR(C$12:C39)</f>
        <v>2.1215791084672007E-3</v>
      </c>
      <c r="K39" s="25">
        <f t="shared" ca="1" si="6"/>
        <v>2.048075312246126E-3</v>
      </c>
      <c r="L39" s="26">
        <f t="shared" ca="1" si="7"/>
        <v>4.5255666078913542E-2</v>
      </c>
      <c r="M39" s="25">
        <f t="shared" ca="1" si="8"/>
        <v>1.1715209457284621</v>
      </c>
      <c r="N39" s="24">
        <f t="shared" ca="1" si="9"/>
        <v>0.75861055641079589</v>
      </c>
      <c r="AD39" s="20">
        <f t="shared" si="11"/>
        <v>50.2</v>
      </c>
      <c r="AE39" s="20">
        <f t="shared" si="12"/>
        <v>49.8</v>
      </c>
      <c r="AF39" s="23">
        <f t="shared" si="13"/>
        <v>0.95</v>
      </c>
      <c r="AG39" s="23">
        <f t="shared" si="10"/>
        <v>-0.95</v>
      </c>
      <c r="AH39" s="20">
        <f t="shared" si="14"/>
        <v>1.6000000000000001E-3</v>
      </c>
      <c r="AI39" s="20">
        <f t="shared" si="15"/>
        <v>50</v>
      </c>
    </row>
    <row r="40" spans="2:35" x14ac:dyDescent="0.2">
      <c r="B40" s="28">
        <v>29</v>
      </c>
      <c r="C40" s="27">
        <f t="shared" ca="1" si="0"/>
        <v>49.996951332426875</v>
      </c>
      <c r="D40" s="25">
        <f ca="1">AVERAGE(C$12:C40)</f>
        <v>49.993988337721099</v>
      </c>
      <c r="E40" s="25">
        <f t="shared" ca="1" si="5"/>
        <v>49.994118144194054</v>
      </c>
      <c r="F40" s="26">
        <f t="shared" ca="1" si="1"/>
        <v>5.3981106612685589E-5</v>
      </c>
      <c r="G40" s="25">
        <f t="shared" ca="1" si="2"/>
        <v>7.3471835837064523E-3</v>
      </c>
      <c r="H40" s="25">
        <f t="shared" ca="1" si="3"/>
        <v>-0.80055925361517311</v>
      </c>
      <c r="I40" s="24">
        <f t="shared" ca="1" si="4"/>
        <v>-0.57661315243925304</v>
      </c>
      <c r="J40" s="25">
        <f ca="1">VAR(C$12:C40)</f>
        <v>2.0461331719290447E-3</v>
      </c>
      <c r="K40" s="25">
        <f t="shared" ca="1" si="6"/>
        <v>1.9914369115003683E-3</v>
      </c>
      <c r="L40" s="26">
        <f t="shared" ca="1" si="7"/>
        <v>4.4625518613237068E-2</v>
      </c>
      <c r="M40" s="25">
        <f t="shared" ca="1" si="8"/>
        <v>1.0379538544823581</v>
      </c>
      <c r="N40" s="24">
        <f t="shared" ca="1" si="9"/>
        <v>0.70070846087159411</v>
      </c>
      <c r="AD40" s="20">
        <f t="shared" si="11"/>
        <v>50.2</v>
      </c>
      <c r="AE40" s="20">
        <f t="shared" si="12"/>
        <v>49.8</v>
      </c>
      <c r="AF40" s="23">
        <f t="shared" si="13"/>
        <v>0.95</v>
      </c>
      <c r="AG40" s="23">
        <f t="shared" si="10"/>
        <v>-0.95</v>
      </c>
      <c r="AH40" s="20">
        <f t="shared" si="14"/>
        <v>1.6000000000000001E-3</v>
      </c>
      <c r="AI40" s="20">
        <f t="shared" si="15"/>
        <v>50</v>
      </c>
    </row>
    <row r="41" spans="2:35" x14ac:dyDescent="0.2">
      <c r="B41" s="28">
        <v>30</v>
      </c>
      <c r="C41" s="27">
        <f t="shared" ca="1" si="0"/>
        <v>49.969807849082066</v>
      </c>
      <c r="D41" s="25">
        <f ca="1">AVERAGE(C$12:C41)</f>
        <v>49.993182321433132</v>
      </c>
      <c r="E41" s="25">
        <f t="shared" ca="1" si="5"/>
        <v>49.99332472725176</v>
      </c>
      <c r="F41" s="26">
        <f t="shared" ca="1" si="1"/>
        <v>5.2219321148825092E-5</v>
      </c>
      <c r="G41" s="25">
        <f t="shared" ca="1" si="2"/>
        <v>7.2262937352992433E-3</v>
      </c>
      <c r="H41" s="25">
        <f t="shared" ca="1" si="3"/>
        <v>-0.92374777344462744</v>
      </c>
      <c r="I41" s="24">
        <f t="shared" ca="1" si="4"/>
        <v>-0.6443823474195699</v>
      </c>
      <c r="J41" s="25">
        <f ca="1">VAR(C$12:C41)</f>
        <v>1.995066723349705E-3</v>
      </c>
      <c r="K41" s="25">
        <f t="shared" ca="1" si="6"/>
        <v>1.9528901345173364E-3</v>
      </c>
      <c r="L41" s="26">
        <f t="shared" ca="1" si="7"/>
        <v>4.4191516544664272E-2</v>
      </c>
      <c r="M41" s="25">
        <f t="shared" ca="1" si="8"/>
        <v>0.94864866270267278</v>
      </c>
      <c r="N41" s="24">
        <f t="shared" ca="1" si="9"/>
        <v>0.65720066770269581</v>
      </c>
      <c r="AD41" s="20">
        <f t="shared" si="11"/>
        <v>50.2</v>
      </c>
      <c r="AE41" s="20">
        <f t="shared" si="12"/>
        <v>49.8</v>
      </c>
      <c r="AF41" s="23">
        <f t="shared" si="13"/>
        <v>0.95</v>
      </c>
      <c r="AG41" s="23">
        <f t="shared" si="10"/>
        <v>-0.95</v>
      </c>
      <c r="AH41" s="20">
        <f t="shared" si="14"/>
        <v>1.6000000000000001E-3</v>
      </c>
      <c r="AI41" s="20">
        <f t="shared" si="15"/>
        <v>50</v>
      </c>
    </row>
    <row r="42" spans="2:35" x14ac:dyDescent="0.2">
      <c r="B42" s="28">
        <v>31</v>
      </c>
      <c r="C42" s="27">
        <f t="shared" ca="1" si="0"/>
        <v>50.039622160838228</v>
      </c>
      <c r="D42" s="25">
        <f ca="1">AVERAGE(C$12:C42)</f>
        <v>49.994680380768784</v>
      </c>
      <c r="E42" s="25">
        <f t="shared" ca="1" si="5"/>
        <v>49.994787983686223</v>
      </c>
      <c r="F42" s="26">
        <f t="shared" ca="1" si="1"/>
        <v>5.0568900126422279E-5</v>
      </c>
      <c r="G42" s="25">
        <f t="shared" ca="1" si="2"/>
        <v>7.111181345347781E-3</v>
      </c>
      <c r="H42" s="25">
        <f t="shared" ca="1" si="3"/>
        <v>-0.73293255517762534</v>
      </c>
      <c r="I42" s="24">
        <f t="shared" ca="1" si="4"/>
        <v>-0.53640043398683024</v>
      </c>
      <c r="J42" s="25">
        <f ca="1">VAR(C$12:C42)</f>
        <v>1.9981341342048672E-3</v>
      </c>
      <c r="K42" s="25">
        <f t="shared" ca="1" si="6"/>
        <v>1.9564216848985791E-3</v>
      </c>
      <c r="L42" s="26">
        <f t="shared" ca="1" si="7"/>
        <v>4.4231455830648157E-2</v>
      </c>
      <c r="M42" s="25">
        <f t="shared" ca="1" si="8"/>
        <v>0.97100381609962683</v>
      </c>
      <c r="N42" s="24">
        <f t="shared" ca="1" si="9"/>
        <v>0.6684536217286523</v>
      </c>
      <c r="AD42" s="20">
        <f t="shared" si="11"/>
        <v>50.2</v>
      </c>
      <c r="AE42" s="20">
        <f t="shared" si="12"/>
        <v>49.8</v>
      </c>
      <c r="AF42" s="23">
        <f t="shared" si="13"/>
        <v>0.95</v>
      </c>
      <c r="AG42" s="23">
        <f t="shared" si="10"/>
        <v>-0.95</v>
      </c>
      <c r="AH42" s="20">
        <f t="shared" si="14"/>
        <v>1.6000000000000001E-3</v>
      </c>
      <c r="AI42" s="20">
        <f t="shared" si="15"/>
        <v>50</v>
      </c>
    </row>
    <row r="43" spans="2:35" x14ac:dyDescent="0.2">
      <c r="AB43" s="23"/>
    </row>
    <row r="44" spans="2:35" x14ac:dyDescent="0.2">
      <c r="AB44" s="23"/>
    </row>
    <row r="45" spans="2:35" x14ac:dyDescent="0.2">
      <c r="AB45" s="23"/>
    </row>
    <row r="46" spans="2:35" x14ac:dyDescent="0.2">
      <c r="AB46" s="23"/>
    </row>
    <row r="48" spans="2:35" x14ac:dyDescent="0.2">
      <c r="C48" s="21"/>
    </row>
    <row r="49" spans="2:3" x14ac:dyDescent="0.2">
      <c r="B49" s="22"/>
      <c r="C49" s="21"/>
    </row>
    <row r="50" spans="2:3" x14ac:dyDescent="0.2">
      <c r="B50" s="22"/>
      <c r="C50" s="21"/>
    </row>
    <row r="51" spans="2:3" x14ac:dyDescent="0.2">
      <c r="B51" s="22"/>
      <c r="C51" s="21"/>
    </row>
    <row r="52" spans="2:3" x14ac:dyDescent="0.2">
      <c r="B52" s="22"/>
      <c r="C52" s="21"/>
    </row>
    <row r="53" spans="2:3" x14ac:dyDescent="0.2">
      <c r="B53" s="22"/>
      <c r="C53" s="21"/>
    </row>
    <row r="54" spans="2:3" x14ac:dyDescent="0.2">
      <c r="B54" s="22"/>
      <c r="C54" s="21"/>
    </row>
    <row r="55" spans="2:3" x14ac:dyDescent="0.2">
      <c r="B55" s="22"/>
      <c r="C55" s="21"/>
    </row>
    <row r="56" spans="2:3" x14ac:dyDescent="0.2">
      <c r="B56" s="22"/>
      <c r="C56" s="21"/>
    </row>
    <row r="57" spans="2:3" x14ac:dyDescent="0.2">
      <c r="B57" s="22"/>
      <c r="C57" s="21"/>
    </row>
  </sheetData>
  <mergeCells count="1">
    <mergeCell ref="O3:Z9"/>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Feuilles de calcul</vt:lpstr>
      </vt:variant>
      <vt:variant>
        <vt:i4>2</vt:i4>
      </vt:variant>
    </vt:vector>
  </HeadingPairs>
  <TitlesOfParts>
    <vt:vector size="2" baseType="lpstr">
      <vt:lpstr>Attribut bayesienne </vt:lpstr>
      <vt:lpstr>Variable bayesienne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Mélina MASCARO</dc:creator>
  <cp:lastModifiedBy>morgan Germa Colliou</cp:lastModifiedBy>
  <dcterms:created xsi:type="dcterms:W3CDTF">2015-06-05T18:19:34Z</dcterms:created>
  <dcterms:modified xsi:type="dcterms:W3CDTF">2025-11-17T10:28:25Z</dcterms:modified>
</cp:coreProperties>
</file>