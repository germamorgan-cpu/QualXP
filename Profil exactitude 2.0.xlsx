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64BD52AC-4D17-4BD8-AF58-0CD866C78436}" xr6:coauthVersionLast="47" xr6:coauthVersionMax="47" xr10:uidLastSave="{00000000-0000-0000-0000-000000000000}"/>
  <bookViews>
    <workbookView xWindow="-270" yWindow="780" windowWidth="27300" windowHeight="15105" xr2:uid="{00000000-000D-0000-FFFF-FFFF00000000}"/>
  </bookViews>
  <sheets>
    <sheet name="Analytique" sheetId="1" r:id="rId1"/>
    <sheet name="Récapitulatif" sheetId="2" r:id="rId2"/>
    <sheet name="Graph Profil" sheetId="3" r:id="rId3"/>
    <sheet name="80%" sheetId="4" r:id="rId4"/>
    <sheet name="90%" sheetId="5" r:id="rId5"/>
    <sheet name="100%" sheetId="6" r:id="rId6"/>
    <sheet name="110%" sheetId="7" r:id="rId7"/>
    <sheet name="120%" sheetId="8" r:id="rId8"/>
  </sheets>
  <definedNames>
    <definedName name="__123Graph_A" hidden="1">#REF!</definedName>
    <definedName name="__123Graph_ARG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NALYTES">#REF!</definedName>
    <definedName name="_xlnm.Print_Area" localSheetId="3">'80%'!$A$1:$I$40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Q33" i="1"/>
  <c r="J9" i="1" l="1"/>
  <c r="U17" i="1" l="1"/>
  <c r="I9" i="7" l="1"/>
  <c r="I8" i="6"/>
  <c r="I7" i="5"/>
  <c r="G6" i="2"/>
  <c r="F6" i="2"/>
  <c r="E6" i="2"/>
  <c r="D6" i="2"/>
  <c r="C6" i="2"/>
  <c r="F3" i="2"/>
  <c r="C3" i="2"/>
  <c r="G21" i="2" s="1"/>
  <c r="C2" i="2"/>
  <c r="B33" i="8" s="1"/>
  <c r="H38" i="1"/>
  <c r="C38" i="1"/>
  <c r="H37" i="1"/>
  <c r="C37" i="1"/>
  <c r="H36" i="1"/>
  <c r="C36" i="1"/>
  <c r="H34" i="1"/>
  <c r="H32" i="1" s="1"/>
  <c r="U19" i="1"/>
  <c r="U20" i="1" s="1"/>
  <c r="U18" i="1"/>
  <c r="K12" i="1"/>
  <c r="AD32" i="1" s="1"/>
  <c r="C6" i="8" s="1"/>
  <c r="J12" i="1"/>
  <c r="AB31" i="1" s="1"/>
  <c r="C5" i="7" s="1"/>
  <c r="I12" i="1"/>
  <c r="H12" i="1"/>
  <c r="X34" i="1" s="1"/>
  <c r="C8" i="5" s="1"/>
  <c r="G12" i="1"/>
  <c r="V33" i="1" s="1"/>
  <c r="C7" i="4" s="1"/>
  <c r="K11" i="1"/>
  <c r="J11" i="1"/>
  <c r="AA31" i="1" s="1"/>
  <c r="B5" i="7" s="1"/>
  <c r="I11" i="1"/>
  <c r="Y35" i="1" s="1"/>
  <c r="B9" i="6" s="1"/>
  <c r="H11" i="1"/>
  <c r="W34" i="1" s="1"/>
  <c r="B8" i="5" s="1"/>
  <c r="G11" i="1"/>
  <c r="K10" i="1"/>
  <c r="AD33" i="1" s="1"/>
  <c r="C7" i="8" s="1"/>
  <c r="J10" i="1"/>
  <c r="AB32" i="1" s="1"/>
  <c r="C6" i="7" s="1"/>
  <c r="I10" i="1"/>
  <c r="Z31" i="1" s="1"/>
  <c r="C5" i="6" s="1"/>
  <c r="H10" i="1"/>
  <c r="X35" i="1" s="1"/>
  <c r="C9" i="5" s="1"/>
  <c r="G10" i="1"/>
  <c r="V34" i="1" s="1"/>
  <c r="C8" i="4" s="1"/>
  <c r="K9" i="1"/>
  <c r="AA32" i="1"/>
  <c r="B6" i="7" s="1"/>
  <c r="I9" i="1"/>
  <c r="Y31" i="1" s="1"/>
  <c r="B5" i="6" s="1"/>
  <c r="H9" i="1"/>
  <c r="W35" i="1" s="1"/>
  <c r="B9" i="5" s="1"/>
  <c r="G9" i="1"/>
  <c r="K8" i="1"/>
  <c r="AD34" i="1" s="1"/>
  <c r="C8" i="8" s="1"/>
  <c r="J8" i="1"/>
  <c r="AB33" i="1" s="1"/>
  <c r="C7" i="7" s="1"/>
  <c r="I8" i="1"/>
  <c r="Z32" i="1" s="1"/>
  <c r="C6" i="6" s="1"/>
  <c r="H8" i="1"/>
  <c r="X31" i="1" s="1"/>
  <c r="C5" i="5" s="1"/>
  <c r="G8" i="1"/>
  <c r="V35" i="1" s="1"/>
  <c r="C9" i="4" s="1"/>
  <c r="K7" i="1"/>
  <c r="J7" i="1"/>
  <c r="AA33" i="1" s="1"/>
  <c r="B7" i="7" s="1"/>
  <c r="I7" i="1"/>
  <c r="H7" i="1"/>
  <c r="G7" i="1"/>
  <c r="K6" i="1"/>
  <c r="AD35" i="1" s="1"/>
  <c r="C9" i="8" s="1"/>
  <c r="J6" i="1"/>
  <c r="AB34" i="1" s="1"/>
  <c r="C8" i="7" s="1"/>
  <c r="I6" i="1"/>
  <c r="H6" i="1"/>
  <c r="G6" i="1"/>
  <c r="V31" i="1" s="1"/>
  <c r="C5" i="4" s="1"/>
  <c r="K5" i="1"/>
  <c r="J5" i="1"/>
  <c r="I5" i="1"/>
  <c r="Y33" i="1" s="1"/>
  <c r="B7" i="6" s="1"/>
  <c r="H5" i="1"/>
  <c r="G5" i="1"/>
  <c r="K7" i="2"/>
  <c r="G31" i="1" l="1"/>
  <c r="D31" i="1"/>
  <c r="H31" i="1" s="1"/>
  <c r="E31" i="1"/>
  <c r="T38" i="1"/>
  <c r="L5" i="1"/>
  <c r="U23" i="1"/>
  <c r="G14" i="1"/>
  <c r="P8" i="1"/>
  <c r="B33" i="4"/>
  <c r="B33" i="7"/>
  <c r="P11" i="1"/>
  <c r="P12" i="1"/>
  <c r="V39" i="1"/>
  <c r="G20" i="2"/>
  <c r="V38" i="1"/>
  <c r="H7" i="7"/>
  <c r="I7" i="7" s="1"/>
  <c r="W23" i="1"/>
  <c r="X39" i="1"/>
  <c r="W38" i="1"/>
  <c r="H8" i="5"/>
  <c r="I8" i="5" s="1"/>
  <c r="H6" i="7"/>
  <c r="I6" i="7" s="1"/>
  <c r="I14" i="1"/>
  <c r="W32" i="1"/>
  <c r="B6" i="5" s="1"/>
  <c r="W40" i="1"/>
  <c r="U38" i="1"/>
  <c r="V41" i="1"/>
  <c r="X32" i="1"/>
  <c r="C6" i="5" s="1"/>
  <c r="Z33" i="1"/>
  <c r="C7" i="6" s="1"/>
  <c r="H7" i="6" s="1"/>
  <c r="I7" i="6" s="1"/>
  <c r="Z35" i="1"/>
  <c r="C9" i="6" s="1"/>
  <c r="H9" i="6" s="1"/>
  <c r="I9" i="6" s="1"/>
  <c r="U41" i="1"/>
  <c r="AC34" i="1"/>
  <c r="B8" i="8" s="1"/>
  <c r="H8" i="8" s="1"/>
  <c r="I8" i="8" s="1"/>
  <c r="U31" i="1"/>
  <c r="B5" i="4" s="1"/>
  <c r="X41" i="1"/>
  <c r="AC32" i="1"/>
  <c r="B6" i="8" s="1"/>
  <c r="X38" i="1"/>
  <c r="Y23" i="1"/>
  <c r="K14" i="1"/>
  <c r="H5" i="7"/>
  <c r="T40" i="1"/>
  <c r="U34" i="1"/>
  <c r="B8" i="4" s="1"/>
  <c r="H8" i="4" s="1"/>
  <c r="I8" i="4" s="1"/>
  <c r="T41" i="1"/>
  <c r="L11" i="1"/>
  <c r="J14" i="1"/>
  <c r="U35" i="1"/>
  <c r="B9" i="4" s="1"/>
  <c r="H9" i="4" s="1"/>
  <c r="I9" i="4" s="1"/>
  <c r="T39" i="1"/>
  <c r="AC33" i="1"/>
  <c r="B7" i="8" s="1"/>
  <c r="H7" i="8" s="1"/>
  <c r="I7" i="8" s="1"/>
  <c r="X40" i="1"/>
  <c r="V23" i="1"/>
  <c r="H9" i="5"/>
  <c r="I9" i="5" s="1"/>
  <c r="U40" i="1"/>
  <c r="L9" i="1"/>
  <c r="AA34" i="1"/>
  <c r="B8" i="7" s="1"/>
  <c r="H8" i="7" s="1"/>
  <c r="I8" i="7" s="1"/>
  <c r="X23" i="1"/>
  <c r="U39" i="1"/>
  <c r="W31" i="1"/>
  <c r="B5" i="5" s="1"/>
  <c r="L7" i="1"/>
  <c r="V40" i="1"/>
  <c r="H5" i="6"/>
  <c r="U33" i="1"/>
  <c r="B7" i="4" s="1"/>
  <c r="H7" i="4" s="1"/>
  <c r="I7" i="4" s="1"/>
  <c r="AC35" i="1"/>
  <c r="B9" i="8" s="1"/>
  <c r="H9" i="8" s="1"/>
  <c r="I9" i="8" s="1"/>
  <c r="W41" i="1"/>
  <c r="Y32" i="1"/>
  <c r="B6" i="6" s="1"/>
  <c r="H6" i="6" s="1"/>
  <c r="I6" i="6" s="1"/>
  <c r="D21" i="2"/>
  <c r="E20" i="2"/>
  <c r="C20" i="2"/>
  <c r="C21" i="2"/>
  <c r="W39" i="1"/>
  <c r="H14" i="1"/>
  <c r="D20" i="2"/>
  <c r="E21" i="2"/>
  <c r="F20" i="2"/>
  <c r="F21" i="2"/>
  <c r="B33" i="6"/>
  <c r="B33" i="5"/>
  <c r="E34" i="1" l="1"/>
  <c r="F34" i="1" s="1"/>
  <c r="U24" i="1"/>
  <c r="U25" i="1" s="1"/>
  <c r="U26" i="1" s="1"/>
  <c r="E36" i="1"/>
  <c r="F36" i="1" s="1"/>
  <c r="H33" i="1"/>
  <c r="K36" i="1" s="1"/>
  <c r="W24" i="1"/>
  <c r="W25" i="1" s="1"/>
  <c r="W26" i="1" s="1"/>
  <c r="B22" i="7"/>
  <c r="B27" i="7" s="1"/>
  <c r="F16" i="2" s="1"/>
  <c r="B12" i="7"/>
  <c r="B12" i="6"/>
  <c r="B15" i="6"/>
  <c r="B11" i="6"/>
  <c r="B11" i="7"/>
  <c r="Y24" i="1"/>
  <c r="Y25" i="1" s="1"/>
  <c r="Y26" i="1" s="1"/>
  <c r="H6" i="5"/>
  <c r="I6" i="5" s="1"/>
  <c r="B22" i="5"/>
  <c r="B15" i="5"/>
  <c r="B11" i="5"/>
  <c r="H5" i="5"/>
  <c r="B12" i="5"/>
  <c r="B15" i="4"/>
  <c r="B11" i="4"/>
  <c r="H5" i="4"/>
  <c r="B12" i="4"/>
  <c r="B22" i="4"/>
  <c r="T43" i="1"/>
  <c r="Q32" i="1"/>
  <c r="I5" i="6"/>
  <c r="B14" i="6" s="1"/>
  <c r="I5" i="7"/>
  <c r="B14" i="7" s="1"/>
  <c r="E38" i="1"/>
  <c r="F38" i="1" s="1"/>
  <c r="E37" i="1"/>
  <c r="F37" i="1" s="1"/>
  <c r="F31" i="1"/>
  <c r="B22" i="8"/>
  <c r="B15" i="8"/>
  <c r="B11" i="8"/>
  <c r="B12" i="8"/>
  <c r="H6" i="8"/>
  <c r="V24" i="1"/>
  <c r="V25" i="1" s="1"/>
  <c r="V26" i="1" s="1"/>
  <c r="B22" i="6"/>
  <c r="I31" i="1"/>
  <c r="X24" i="1"/>
  <c r="X25" i="1" s="1"/>
  <c r="X26" i="1" s="1"/>
  <c r="B15" i="7"/>
  <c r="B13" i="7" l="1"/>
  <c r="G38" i="1"/>
  <c r="G34" i="1"/>
  <c r="G37" i="1"/>
  <c r="G36" i="1"/>
  <c r="P9" i="1"/>
  <c r="P10" i="1" s="1"/>
  <c r="R12" i="1" s="1"/>
  <c r="K35" i="1"/>
  <c r="K32" i="1"/>
  <c r="K37" i="1"/>
  <c r="B16" i="7"/>
  <c r="K34" i="1"/>
  <c r="K38" i="1"/>
  <c r="F7" i="2"/>
  <c r="F17" i="2" s="1"/>
  <c r="B18" i="7"/>
  <c r="B18" i="6"/>
  <c r="B23" i="6" s="1"/>
  <c r="E8" i="2" s="1"/>
  <c r="B13" i="6"/>
  <c r="B13" i="8"/>
  <c r="I6" i="8"/>
  <c r="B14" i="8" s="1"/>
  <c r="B18" i="8" s="1"/>
  <c r="G7" i="2"/>
  <c r="G17" i="2" s="1"/>
  <c r="B27" i="8"/>
  <c r="G16" i="2" s="1"/>
  <c r="B27" i="5"/>
  <c r="D16" i="2" s="1"/>
  <c r="D7" i="2"/>
  <c r="D17" i="2" s="1"/>
  <c r="B13" i="4"/>
  <c r="I5" i="4"/>
  <c r="B14" i="4" s="1"/>
  <c r="B18" i="4" s="1"/>
  <c r="I5" i="5"/>
  <c r="B14" i="5" s="1"/>
  <c r="B18" i="5" s="1"/>
  <c r="B13" i="5"/>
  <c r="C7" i="2"/>
  <c r="C17" i="2" s="1"/>
  <c r="B27" i="4"/>
  <c r="C16" i="2" s="1"/>
  <c r="Z26" i="1"/>
  <c r="Z25" i="1"/>
  <c r="U27" i="1"/>
  <c r="B27" i="6"/>
  <c r="E16" i="2" s="1"/>
  <c r="E7" i="2"/>
  <c r="E17" i="2" s="1"/>
  <c r="B16" i="6"/>
  <c r="G35" i="1" l="1"/>
  <c r="L35" i="1" s="1"/>
  <c r="R13" i="1"/>
  <c r="L34" i="1"/>
  <c r="B17" i="7"/>
  <c r="B19" i="7" s="1"/>
  <c r="B20" i="7" s="1"/>
  <c r="B25" i="7" s="1"/>
  <c r="F10" i="2" s="1"/>
  <c r="B23" i="7"/>
  <c r="F8" i="2" s="1"/>
  <c r="B17" i="6"/>
  <c r="B19" i="6" s="1"/>
  <c r="B24" i="6" s="1"/>
  <c r="E9" i="2" s="1"/>
  <c r="I34" i="1"/>
  <c r="B16" i="5"/>
  <c r="B17" i="5" s="1"/>
  <c r="B19" i="5" s="1"/>
  <c r="L37" i="1"/>
  <c r="I37" i="1"/>
  <c r="I36" i="1"/>
  <c r="L36" i="1"/>
  <c r="B16" i="4"/>
  <c r="B17" i="4" s="1"/>
  <c r="B19" i="4" s="1"/>
  <c r="B20" i="4" s="1"/>
  <c r="B25" i="4" s="1"/>
  <c r="C10" i="2" s="1"/>
  <c r="B23" i="8"/>
  <c r="G8" i="2" s="1"/>
  <c r="L38" i="1"/>
  <c r="I38" i="1"/>
  <c r="B23" i="4"/>
  <c r="C8" i="2" s="1"/>
  <c r="B16" i="8"/>
  <c r="B17" i="8" s="1"/>
  <c r="B19" i="8" s="1"/>
  <c r="B20" i="8" s="1"/>
  <c r="B25" i="8" s="1"/>
  <c r="G10" i="2" s="1"/>
  <c r="B23" i="5"/>
  <c r="D8" i="2" s="1"/>
  <c r="G32" i="1" l="1"/>
  <c r="G33" i="1" s="1"/>
  <c r="I35" i="1"/>
  <c r="B29" i="7"/>
  <c r="F11" i="2" s="1"/>
  <c r="B24" i="7"/>
  <c r="F9" i="2" s="1"/>
  <c r="B20" i="6"/>
  <c r="B25" i="6" s="1"/>
  <c r="E10" i="2" s="1"/>
  <c r="B29" i="6"/>
  <c r="B32" i="6" s="1"/>
  <c r="B29" i="5"/>
  <c r="B32" i="5" s="1"/>
  <c r="B24" i="5"/>
  <c r="D9" i="2" s="1"/>
  <c r="B20" i="5"/>
  <c r="B25" i="5" s="1"/>
  <c r="D10" i="2" s="1"/>
  <c r="B29" i="8"/>
  <c r="B24" i="8"/>
  <c r="G9" i="2" s="1"/>
  <c r="B24" i="4"/>
  <c r="C9" i="2" s="1"/>
  <c r="B29" i="4"/>
  <c r="I32" i="1" l="1"/>
  <c r="AH4" i="1" s="1"/>
  <c r="L32" i="1"/>
  <c r="AH3" i="1" s="1"/>
  <c r="B30" i="7"/>
  <c r="B31" i="7" s="1"/>
  <c r="F12" i="2" s="1"/>
  <c r="F28" i="2" s="1"/>
  <c r="F29" i="2" s="1"/>
  <c r="B32" i="7"/>
  <c r="F13" i="2" s="1"/>
  <c r="B30" i="6"/>
  <c r="B31" i="6" s="1"/>
  <c r="E12" i="2" s="1"/>
  <c r="E28" i="2" s="1"/>
  <c r="E29" i="2" s="1"/>
  <c r="E11" i="2"/>
  <c r="B30" i="5"/>
  <c r="B31" i="5" s="1"/>
  <c r="D12" i="2" s="1"/>
  <c r="D28" i="2" s="1"/>
  <c r="D29" i="2" s="1"/>
  <c r="D11" i="2"/>
  <c r="E13" i="2"/>
  <c r="B34" i="6"/>
  <c r="B35" i="6"/>
  <c r="L33" i="1"/>
  <c r="L31" i="1" s="1"/>
  <c r="I33" i="1"/>
  <c r="B32" i="4"/>
  <c r="B30" i="4"/>
  <c r="B31" i="4" s="1"/>
  <c r="C12" i="2" s="1"/>
  <c r="C28" i="2" s="1"/>
  <c r="C29" i="2" s="1"/>
  <c r="C11" i="2"/>
  <c r="B30" i="8"/>
  <c r="B31" i="8" s="1"/>
  <c r="G12" i="2" s="1"/>
  <c r="G28" i="2" s="1"/>
  <c r="G29" i="2" s="1"/>
  <c r="G11" i="2"/>
  <c r="B32" i="8"/>
  <c r="D40" i="1"/>
  <c r="D13" i="2"/>
  <c r="B35" i="5"/>
  <c r="B34" i="5"/>
  <c r="B35" i="7"/>
  <c r="B34" i="7" l="1"/>
  <c r="B36" i="7" s="1"/>
  <c r="B37" i="7" s="1"/>
  <c r="B39" i="7" s="1"/>
  <c r="F14" i="2" s="1"/>
  <c r="F18" i="2" s="1"/>
  <c r="B36" i="6"/>
  <c r="B37" i="6" s="1"/>
  <c r="B39" i="6" s="1"/>
  <c r="E14" i="2" s="1"/>
  <c r="E18" i="2" s="1"/>
  <c r="D44" i="1"/>
  <c r="D42" i="1"/>
  <c r="J34" i="1"/>
  <c r="M34" i="1" s="1"/>
  <c r="J36" i="1"/>
  <c r="M36" i="1" s="1"/>
  <c r="J35" i="1"/>
  <c r="M35" i="1" s="1"/>
  <c r="J38" i="1"/>
  <c r="M38" i="1" s="1"/>
  <c r="J37" i="1"/>
  <c r="M37" i="1" s="1"/>
  <c r="B36" i="5"/>
  <c r="B37" i="5" s="1"/>
  <c r="J32" i="1"/>
  <c r="C13" i="2"/>
  <c r="B34" i="4"/>
  <c r="B35" i="4"/>
  <c r="G13" i="2"/>
  <c r="B34" i="8"/>
  <c r="B35" i="8"/>
  <c r="B40" i="7" l="1"/>
  <c r="F15" i="2" s="1"/>
  <c r="F19" i="2" s="1"/>
  <c r="B36" i="4"/>
  <c r="B37" i="4" s="1"/>
  <c r="B39" i="4" s="1"/>
  <c r="C14" i="2" s="1"/>
  <c r="C18" i="2" s="1"/>
  <c r="B40" i="6"/>
  <c r="E15" i="2" s="1"/>
  <c r="E19" i="2" s="1"/>
  <c r="B36" i="8"/>
  <c r="B37" i="8" s="1"/>
  <c r="B39" i="5"/>
  <c r="D14" i="2" s="1"/>
  <c r="D18" i="2" s="1"/>
  <c r="B40" i="5"/>
  <c r="D15" i="2" s="1"/>
  <c r="D19" i="2" s="1"/>
  <c r="B40" i="4" l="1"/>
  <c r="C15" i="2" s="1"/>
  <c r="C19" i="2" s="1"/>
  <c r="B39" i="8"/>
  <c r="G14" i="2" s="1"/>
  <c r="G18" i="2" s="1"/>
  <c r="B40" i="8"/>
  <c r="G15" i="2" s="1"/>
  <c r="G19" i="2" s="1"/>
</calcChain>
</file>

<file path=xl/sharedStrings.xml><?xml version="1.0" encoding="utf-8"?>
<sst xmlns="http://schemas.openxmlformats.org/spreadsheetml/2006/main" count="345" uniqueCount="135">
  <si>
    <t>R²</t>
  </si>
  <si>
    <t>Essais</t>
  </si>
  <si>
    <t>cible</t>
  </si>
  <si>
    <t>total</t>
  </si>
  <si>
    <t>jour 1</t>
  </si>
  <si>
    <t>R²ajusté</t>
  </si>
  <si>
    <t>jour 2</t>
  </si>
  <si>
    <t>limite</t>
  </si>
  <si>
    <t>jour 3</t>
  </si>
  <si>
    <t>Beta</t>
  </si>
  <si>
    <t>jour 4</t>
  </si>
  <si>
    <t>jour 5</t>
  </si>
  <si>
    <t>moyenne</t>
  </si>
  <si>
    <t>S² totale</t>
  </si>
  <si>
    <t>S totale</t>
  </si>
  <si>
    <t>Min</t>
  </si>
  <si>
    <t>Max</t>
  </si>
  <si>
    <t>traitement l</t>
  </si>
  <si>
    <t>bloc b</t>
  </si>
  <si>
    <t>l/b =  k</t>
  </si>
  <si>
    <t>h (ok?)</t>
  </si>
  <si>
    <t>h= nombre de fois ou l'on observe un niveau</t>
  </si>
  <si>
    <t>λ (ok?)</t>
  </si>
  <si>
    <t>λ = nombre de fois ou l'on répète une combinaison</t>
  </si>
  <si>
    <t>E</t>
  </si>
  <si>
    <t>Efficacité</t>
  </si>
  <si>
    <t>Er</t>
  </si>
  <si>
    <t>coeff ajustement</t>
  </si>
  <si>
    <t>j1</t>
  </si>
  <si>
    <t>j2</t>
  </si>
  <si>
    <t>j3</t>
  </si>
  <si>
    <t>j4</t>
  </si>
  <si>
    <t>j5</t>
  </si>
  <si>
    <t>Somme niv</t>
  </si>
  <si>
    <t>Somme b</t>
  </si>
  <si>
    <t>biais</t>
  </si>
  <si>
    <t>biais*Er</t>
  </si>
  <si>
    <t>vaut zéro si OK</t>
  </si>
  <si>
    <t>SCE traitement</t>
  </si>
  <si>
    <t>Origine</t>
  </si>
  <si>
    <t>niveau</t>
  </si>
  <si>
    <t>SB²</t>
  </si>
  <si>
    <t>CI</t>
  </si>
  <si>
    <t>SCE</t>
  </si>
  <si>
    <t>ddl</t>
  </si>
  <si>
    <t>CM</t>
  </si>
  <si>
    <t>Fobs</t>
  </si>
  <si>
    <t>F5%</t>
  </si>
  <si>
    <t>contrib%</t>
  </si>
  <si>
    <t>Prérequis</t>
  </si>
  <si>
    <t>Total</t>
  </si>
  <si>
    <t>x</t>
  </si>
  <si>
    <t>Cochran</t>
  </si>
  <si>
    <t>modèle</t>
  </si>
  <si>
    <t>Cobs</t>
  </si>
  <si>
    <t>résiduel</t>
  </si>
  <si>
    <t>C1%</t>
  </si>
  <si>
    <t>[X]</t>
  </si>
  <si>
    <t>Cobs &lt; C 1% = OK</t>
  </si>
  <si>
    <t>jour</t>
  </si>
  <si>
    <t>R²aj</t>
  </si>
  <si>
    <t>Catégorie</t>
  </si>
  <si>
    <t>&lt; nombre de catégorie détectable par la méthode</t>
  </si>
  <si>
    <t>version 1</t>
  </si>
  <si>
    <t>Morgan GERMA</t>
  </si>
  <si>
    <t>Profil d'exactitude</t>
  </si>
  <si>
    <t>Probabilité tolérance (bêta)</t>
  </si>
  <si>
    <t>Limite d'acceptabilité</t>
  </si>
  <si>
    <t>Niveaux</t>
  </si>
  <si>
    <t>Niveau A</t>
  </si>
  <si>
    <t>Niveau B</t>
  </si>
  <si>
    <t>Niveau C</t>
  </si>
  <si>
    <t>Niveau D</t>
  </si>
  <si>
    <t>Niveau E</t>
  </si>
  <si>
    <t>Valeur cible</t>
  </si>
  <si>
    <t>Moyenne niveau</t>
  </si>
  <si>
    <t>Ecart-type de répétabilité (sr)</t>
  </si>
  <si>
    <t>Ecart-type inter-séries (sL)</t>
  </si>
  <si>
    <t>Ecart-type de fidélité (sFI)</t>
  </si>
  <si>
    <t>Rapport des variances (R)</t>
  </si>
  <si>
    <t>Coefficient intermédiaire</t>
  </si>
  <si>
    <t>Nombre de degrés liberté</t>
  </si>
  <si>
    <t>Valeur basse tolérance</t>
  </si>
  <si>
    <t>Valeur haute tolérance</t>
  </si>
  <si>
    <t>Biais (%)</t>
  </si>
  <si>
    <t>Recouvrement (justesse)</t>
  </si>
  <si>
    <t>Limite basse tolérance (%)</t>
  </si>
  <si>
    <t>Limite haute tolérance (%)</t>
  </si>
  <si>
    <t>Limite d'acceptabilité basse</t>
  </si>
  <si>
    <t>Limite d'acceptabilité haute</t>
  </si>
  <si>
    <t>Incertitude</t>
  </si>
  <si>
    <t>Ecart-type de l'IT (sIT)</t>
  </si>
  <si>
    <t>Incertitude élargie relative</t>
  </si>
  <si>
    <t>Répétition 1</t>
  </si>
  <si>
    <t>Répétition 2</t>
  </si>
  <si>
    <t>Répétition 3</t>
  </si>
  <si>
    <t>Répétition 4</t>
  </si>
  <si>
    <t>Répétition 5</t>
  </si>
  <si>
    <t>nk</t>
  </si>
  <si>
    <t>SCEk</t>
  </si>
  <si>
    <t>LOQ</t>
  </si>
  <si>
    <t>&lt; coefficient de détermination</t>
  </si>
  <si>
    <t>&lt; coefficient de détermination ajusté</t>
  </si>
  <si>
    <t>&lt; limite de quantification</t>
  </si>
  <si>
    <r>
      <t xml:space="preserve">équiv </t>
    </r>
    <r>
      <rPr>
        <sz val="11"/>
        <color theme="1"/>
        <rFont val="Calibri"/>
        <family val="2"/>
      </rPr>
      <t>β</t>
    </r>
  </si>
  <si>
    <t>Carré de Youden: 3 facteurs a 5 niveaux</t>
  </si>
  <si>
    <t>Cpk</t>
  </si>
  <si>
    <t>Cp</t>
  </si>
  <si>
    <t>opérateur</t>
  </si>
  <si>
    <t>outils A</t>
  </si>
  <si>
    <t>outils B</t>
  </si>
  <si>
    <t>Jour (Série) 1</t>
  </si>
  <si>
    <t>Jour (Série) 2</t>
  </si>
  <si>
    <t>Jour (Série) 3</t>
  </si>
  <si>
    <t>Jour (Série) 4</t>
  </si>
  <si>
    <t>Jour (Série) 5</t>
  </si>
  <si>
    <t>Nombre de séries (K)</t>
  </si>
  <si>
    <t>Nombre de mesures (IK)</t>
  </si>
  <si>
    <t>Nombre de répétitions (I)</t>
  </si>
  <si>
    <t>SCE résiduelle</t>
  </si>
  <si>
    <t>SCE totale</t>
  </si>
  <si>
    <t>SCE inter-séries</t>
  </si>
  <si>
    <t>Valeur intermédiaire de s²L</t>
  </si>
  <si>
    <t>Variance de répétabilité (s²r)</t>
  </si>
  <si>
    <t>Variance inter-séries (s²L)</t>
  </si>
  <si>
    <t>Variance de fidélité (s²FI)</t>
  </si>
  <si>
    <t>Fidélité</t>
  </si>
  <si>
    <t>Justesse</t>
  </si>
  <si>
    <t>Facteur de couverture</t>
  </si>
  <si>
    <t>Coefficient B²</t>
  </si>
  <si>
    <t>t Student bas</t>
  </si>
  <si>
    <t>t Student haut</t>
  </si>
  <si>
    <t>t Student interpolé</t>
  </si>
  <si>
    <t>Facteur de couverture (ktol)</t>
  </si>
  <si>
    <t>Intervalle de tolérance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</si>
</sst>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"/>
    <numFmt numFmtId="167" formatCode="0.00000"/>
    <numFmt numFmtId="168" formatCode="0.0000000"/>
    <numFmt numFmtId="169" formatCode="0.000000"/>
    <numFmt numFmtId="170" formatCode="0.0%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sz val="9"/>
      <color theme="0" tint="-0.249977111117893"/>
      <name val="Arial"/>
      <family val="2"/>
    </font>
    <font>
      <sz val="8"/>
      <name val="Tahoma"/>
      <family val="2"/>
    </font>
    <font>
      <sz val="9"/>
      <color indexed="23"/>
      <name val="Arial"/>
      <family val="2"/>
    </font>
    <font>
      <b/>
      <sz val="9"/>
      <name val="Verdana"/>
      <family val="2"/>
    </font>
    <font>
      <sz val="8"/>
      <color indexed="20"/>
      <name val="Verdan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" fillId="9" borderId="0"/>
    <xf numFmtId="0" fontId="4" fillId="10" borderId="0"/>
    <xf numFmtId="0" fontId="4" fillId="0" borderId="0">
      <alignment horizontal="right"/>
      <protection locked="0"/>
    </xf>
    <xf numFmtId="9" fontId="7" fillId="10" borderId="0" applyFont="0" applyBorder="0" applyAlignment="0"/>
    <xf numFmtId="0" fontId="10" fillId="10" borderId="0"/>
  </cellStyleXfs>
  <cellXfs count="154">
    <xf numFmtId="0" fontId="0" fillId="0" borderId="0" xfId="0"/>
    <xf numFmtId="0" fontId="3" fillId="9" borderId="0" xfId="3" applyFont="1"/>
    <xf numFmtId="0" fontId="2" fillId="9" borderId="0" xfId="3"/>
    <xf numFmtId="0" fontId="4" fillId="10" borderId="0" xfId="4" applyFont="1"/>
    <xf numFmtId="9" fontId="4" fillId="0" borderId="21" xfId="5" applyNumberFormat="1" applyFont="1" applyBorder="1">
      <alignment horizontal="right"/>
      <protection locked="0"/>
    </xf>
    <xf numFmtId="10" fontId="0" fillId="0" borderId="21" xfId="5" applyNumberFormat="1" applyFont="1" applyBorder="1">
      <alignment horizontal="right"/>
      <protection locked="0"/>
    </xf>
    <xf numFmtId="0" fontId="4" fillId="10" borderId="9" xfId="4" applyFont="1" applyBorder="1"/>
    <xf numFmtId="0" fontId="5" fillId="10" borderId="0" xfId="4" applyFont="1"/>
    <xf numFmtId="0" fontId="5" fillId="0" borderId="9" xfId="0" applyFont="1" applyBorder="1"/>
    <xf numFmtId="0" fontId="5" fillId="10" borderId="9" xfId="4" applyFont="1" applyBorder="1"/>
    <xf numFmtId="1" fontId="5" fillId="10" borderId="9" xfId="4" applyNumberFormat="1" applyFont="1" applyBorder="1"/>
    <xf numFmtId="0" fontId="4" fillId="0" borderId="9" xfId="0" applyFont="1" applyBorder="1"/>
    <xf numFmtId="165" fontId="4" fillId="10" borderId="9" xfId="4" applyNumberFormat="1" applyFont="1" applyBorder="1"/>
    <xf numFmtId="0" fontId="6" fillId="10" borderId="0" xfId="4" applyFont="1"/>
    <xf numFmtId="0" fontId="4" fillId="10" borderId="0" xfId="4"/>
    <xf numFmtId="10" fontId="4" fillId="10" borderId="9" xfId="6" applyNumberFormat="1" applyFont="1" applyBorder="1"/>
    <xf numFmtId="10" fontId="5" fillId="10" borderId="9" xfId="6" applyNumberFormat="1" applyFont="1" applyBorder="1"/>
    <xf numFmtId="10" fontId="5" fillId="10" borderId="9" xfId="4" applyNumberFormat="1" applyFont="1" applyBorder="1"/>
    <xf numFmtId="0" fontId="5" fillId="10" borderId="0" xfId="4" applyFont="1" applyBorder="1"/>
    <xf numFmtId="10" fontId="5" fillId="10" borderId="0" xfId="4" applyNumberFormat="1" applyFont="1" applyBorder="1"/>
    <xf numFmtId="166" fontId="4" fillId="10" borderId="0" xfId="4" applyNumberFormat="1" applyFont="1"/>
    <xf numFmtId="10" fontId="4" fillId="10" borderId="0" xfId="6" applyNumberFormat="1" applyFont="1"/>
    <xf numFmtId="0" fontId="8" fillId="10" borderId="0" xfId="4" applyFont="1"/>
    <xf numFmtId="166" fontId="8" fillId="10" borderId="0" xfId="4" applyNumberFormat="1" applyFont="1"/>
    <xf numFmtId="10" fontId="8" fillId="10" borderId="0" xfId="6" applyNumberFormat="1" applyFont="1"/>
    <xf numFmtId="0" fontId="9" fillId="9" borderId="0" xfId="3" applyFont="1"/>
    <xf numFmtId="0" fontId="4" fillId="0" borderId="21" xfId="5" applyBorder="1">
      <alignment horizontal="right"/>
      <protection locked="0"/>
    </xf>
    <xf numFmtId="166" fontId="4" fillId="0" borderId="9" xfId="5" applyNumberFormat="1" applyBorder="1" applyAlignment="1">
      <alignment horizontal="center"/>
      <protection locked="0"/>
    </xf>
    <xf numFmtId="165" fontId="4" fillId="0" borderId="9" xfId="5" applyNumberFormat="1" applyBorder="1" applyAlignment="1">
      <alignment horizontal="center"/>
      <protection locked="0"/>
    </xf>
    <xf numFmtId="0" fontId="4" fillId="0" borderId="9" xfId="5" applyBorder="1" applyAlignment="1">
      <alignment horizontal="center"/>
      <protection locked="0"/>
    </xf>
    <xf numFmtId="1" fontId="4" fillId="10" borderId="0" xfId="4" applyNumberFormat="1"/>
    <xf numFmtId="167" fontId="4" fillId="10" borderId="0" xfId="4" applyNumberFormat="1"/>
    <xf numFmtId="0" fontId="10" fillId="10" borderId="0" xfId="7"/>
    <xf numFmtId="168" fontId="4" fillId="10" borderId="0" xfId="4" applyNumberFormat="1"/>
    <xf numFmtId="10" fontId="0" fillId="10" borderId="0" xfId="6" applyNumberFormat="1" applyFont="1"/>
    <xf numFmtId="0" fontId="2" fillId="9" borderId="0" xfId="3" applyFont="1"/>
    <xf numFmtId="165" fontId="4" fillId="0" borderId="21" xfId="5" applyNumberFormat="1" applyBorder="1">
      <alignment horizontal="right"/>
      <protection locked="0"/>
    </xf>
    <xf numFmtId="169" fontId="4" fillId="10" borderId="0" xfId="4" applyNumberFormat="1"/>
    <xf numFmtId="0" fontId="0" fillId="0" borderId="0" xfId="0" applyFont="1"/>
    <xf numFmtId="0" fontId="0" fillId="0" borderId="0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0" xfId="0" applyFont="1" applyBorder="1"/>
    <xf numFmtId="0" fontId="0" fillId="0" borderId="4" xfId="0" applyFont="1" applyBorder="1"/>
    <xf numFmtId="0" fontId="0" fillId="0" borderId="0" xfId="0" applyFont="1" applyBorder="1" applyAlignment="1"/>
    <xf numFmtId="0" fontId="0" fillId="2" borderId="0" xfId="0" applyFont="1" applyFill="1" applyBorder="1"/>
    <xf numFmtId="0" fontId="0" fillId="2" borderId="8" xfId="0" applyFont="1" applyFill="1" applyBorder="1"/>
    <xf numFmtId="0" fontId="0" fillId="0" borderId="0" xfId="0" applyFont="1" applyBorder="1" applyAlignment="1">
      <alignment horizontal="center"/>
    </xf>
    <xf numFmtId="9" fontId="0" fillId="0" borderId="0" xfId="0" applyNumberFormat="1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9" fontId="0" fillId="0" borderId="11" xfId="0" applyNumberFormat="1" applyFont="1" applyFill="1" applyBorder="1" applyAlignment="1">
      <alignment horizontal="center"/>
    </xf>
    <xf numFmtId="9" fontId="0" fillId="0" borderId="12" xfId="0" applyNumberFormat="1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10" fontId="12" fillId="3" borderId="9" xfId="1" applyNumberFormat="1" applyFont="1" applyFill="1" applyBorder="1" applyAlignment="1">
      <alignment horizontal="center"/>
    </xf>
    <xf numFmtId="10" fontId="12" fillId="5" borderId="9" xfId="1" applyNumberFormat="1" applyFont="1" applyFill="1" applyBorder="1" applyAlignment="1">
      <alignment horizontal="center"/>
    </xf>
    <xf numFmtId="10" fontId="12" fillId="6" borderId="9" xfId="1" applyNumberFormat="1" applyFont="1" applyFill="1" applyBorder="1" applyAlignment="1">
      <alignment horizontal="center"/>
    </xf>
    <xf numFmtId="10" fontId="12" fillId="0" borderId="9" xfId="1" applyNumberFormat="1" applyFont="1" applyBorder="1" applyAlignment="1">
      <alignment horizontal="center"/>
    </xf>
    <xf numFmtId="10" fontId="12" fillId="7" borderId="14" xfId="1" applyNumberFormat="1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170" fontId="0" fillId="3" borderId="9" xfId="0" applyNumberFormat="1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  <xf numFmtId="10" fontId="0" fillId="3" borderId="9" xfId="0" applyNumberFormat="1" applyFont="1" applyFill="1" applyBorder="1" applyAlignment="1">
      <alignment horizontal="center"/>
    </xf>
    <xf numFmtId="165" fontId="0" fillId="0" borderId="0" xfId="0" applyNumberFormat="1" applyFont="1" applyFill="1" applyBorder="1"/>
    <xf numFmtId="10" fontId="12" fillId="7" borderId="9" xfId="1" applyNumberFormat="1" applyFont="1" applyFill="1" applyBorder="1" applyAlignment="1">
      <alignment horizontal="center"/>
    </xf>
    <xf numFmtId="10" fontId="12" fillId="8" borderId="14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7" borderId="9" xfId="0" applyFont="1" applyFill="1" applyBorder="1" applyAlignment="1">
      <alignment horizontal="center"/>
    </xf>
    <xf numFmtId="10" fontId="0" fillId="0" borderId="9" xfId="0" applyNumberFormat="1" applyFont="1" applyBorder="1" applyAlignment="1" applyProtection="1">
      <alignment horizontal="center"/>
      <protection hidden="1"/>
    </xf>
    <xf numFmtId="10" fontId="12" fillId="2" borderId="9" xfId="1" applyNumberFormat="1" applyFont="1" applyFill="1" applyBorder="1" applyAlignment="1">
      <alignment horizontal="center"/>
    </xf>
    <xf numFmtId="10" fontId="12" fillId="6" borderId="14" xfId="1" applyNumberFormat="1" applyFont="1" applyFill="1" applyBorder="1" applyAlignment="1">
      <alignment horizontal="center"/>
    </xf>
    <xf numFmtId="11" fontId="0" fillId="0" borderId="9" xfId="0" applyNumberFormat="1" applyFont="1" applyBorder="1" applyAlignment="1" applyProtection="1">
      <alignment horizontal="center"/>
      <protection hidden="1"/>
    </xf>
    <xf numFmtId="2" fontId="0" fillId="0" borderId="8" xfId="0" applyNumberFormat="1" applyFont="1" applyBorder="1" applyAlignment="1">
      <alignment horizontal="center"/>
    </xf>
    <xf numFmtId="10" fontId="12" fillId="5" borderId="14" xfId="1" applyNumberFormat="1" applyFont="1" applyFill="1" applyBorder="1" applyAlignment="1">
      <alignment horizontal="center"/>
    </xf>
    <xf numFmtId="10" fontId="12" fillId="6" borderId="16" xfId="1" applyNumberFormat="1" applyFont="1" applyFill="1" applyBorder="1" applyAlignment="1">
      <alignment horizontal="center"/>
    </xf>
    <xf numFmtId="10" fontId="12" fillId="2" borderId="16" xfId="1" applyNumberFormat="1" applyFont="1" applyFill="1" applyBorder="1" applyAlignment="1">
      <alignment horizontal="center"/>
    </xf>
    <xf numFmtId="10" fontId="12" fillId="7" borderId="16" xfId="1" applyNumberFormat="1" applyFont="1" applyFill="1" applyBorder="1" applyAlignment="1">
      <alignment horizontal="center"/>
    </xf>
    <xf numFmtId="10" fontId="12" fillId="3" borderId="16" xfId="1" applyNumberFormat="1" applyFont="1" applyFill="1" applyBorder="1" applyAlignment="1">
      <alignment horizontal="center"/>
    </xf>
    <xf numFmtId="10" fontId="12" fillId="5" borderId="17" xfId="1" applyNumberFormat="1" applyFont="1" applyFill="1" applyBorder="1" applyAlignment="1">
      <alignment horizontal="center"/>
    </xf>
    <xf numFmtId="0" fontId="0" fillId="0" borderId="8" xfId="0" applyFont="1" applyBorder="1"/>
    <xf numFmtId="0" fontId="0" fillId="0" borderId="18" xfId="0" applyFont="1" applyBorder="1"/>
    <xf numFmtId="0" fontId="0" fillId="0" borderId="19" xfId="0" applyFont="1" applyBorder="1" applyAlignment="1">
      <alignment horizontal="center" vertical="center"/>
    </xf>
    <xf numFmtId="2" fontId="0" fillId="0" borderId="19" xfId="0" applyNumberFormat="1" applyFont="1" applyBorder="1" applyAlignment="1">
      <alignment horizontal="center" vertical="center"/>
    </xf>
    <xf numFmtId="0" fontId="0" fillId="0" borderId="19" xfId="0" applyFont="1" applyBorder="1"/>
    <xf numFmtId="0" fontId="0" fillId="0" borderId="20" xfId="0" applyFont="1" applyBorder="1"/>
    <xf numFmtId="0" fontId="0" fillId="4" borderId="4" xfId="0" applyFont="1" applyFill="1" applyBorder="1"/>
    <xf numFmtId="0" fontId="0" fillId="4" borderId="0" xfId="0" applyFont="1" applyFill="1" applyBorder="1"/>
    <xf numFmtId="0" fontId="0" fillId="4" borderId="0" xfId="0" applyFont="1" applyFill="1" applyBorder="1" applyAlignment="1">
      <alignment horizontal="center"/>
    </xf>
    <xf numFmtId="2" fontId="0" fillId="4" borderId="0" xfId="0" applyNumberFormat="1" applyFont="1" applyFill="1" applyBorder="1" applyAlignment="1">
      <alignment horizontal="center"/>
    </xf>
    <xf numFmtId="0" fontId="0" fillId="4" borderId="8" xfId="0" applyFont="1" applyFill="1" applyBorder="1"/>
    <xf numFmtId="0" fontId="0" fillId="0" borderId="3" xfId="0" applyFont="1" applyBorder="1"/>
    <xf numFmtId="10" fontId="0" fillId="7" borderId="9" xfId="0" applyNumberFormat="1" applyFont="1" applyFill="1" applyBorder="1" applyAlignment="1">
      <alignment horizontal="center"/>
    </xf>
    <xf numFmtId="0" fontId="0" fillId="0" borderId="0" xfId="0" applyFont="1" applyBorder="1" applyProtection="1">
      <protection hidden="1"/>
    </xf>
    <xf numFmtId="2" fontId="0" fillId="7" borderId="9" xfId="0" applyNumberFormat="1" applyFont="1" applyFill="1" applyBorder="1" applyAlignment="1">
      <alignment horizontal="center"/>
    </xf>
    <xf numFmtId="11" fontId="0" fillId="7" borderId="9" xfId="0" applyNumberFormat="1" applyFont="1" applyFill="1" applyBorder="1" applyAlignment="1">
      <alignment horizontal="center" vertical="center"/>
    </xf>
    <xf numFmtId="11" fontId="0" fillId="7" borderId="9" xfId="0" applyNumberFormat="1" applyFont="1" applyFill="1" applyBorder="1" applyAlignment="1">
      <alignment horizontal="center"/>
    </xf>
    <xf numFmtId="9" fontId="0" fillId="7" borderId="9" xfId="0" applyNumberFormat="1" applyFont="1" applyFill="1" applyBorder="1" applyAlignment="1">
      <alignment horizontal="center"/>
    </xf>
    <xf numFmtId="2" fontId="0" fillId="7" borderId="9" xfId="0" applyNumberFormat="1" applyFont="1" applyFill="1" applyBorder="1" applyAlignment="1">
      <alignment horizontal="center" vertical="center"/>
    </xf>
    <xf numFmtId="1" fontId="0" fillId="7" borderId="9" xfId="0" applyNumberFormat="1" applyFont="1" applyFill="1" applyBorder="1" applyAlignment="1">
      <alignment horizontal="center"/>
    </xf>
    <xf numFmtId="165" fontId="0" fillId="2" borderId="9" xfId="0" applyNumberFormat="1" applyFont="1" applyFill="1" applyBorder="1" applyAlignment="1">
      <alignment horizontal="center"/>
    </xf>
    <xf numFmtId="165" fontId="0" fillId="0" borderId="9" xfId="0" applyNumberFormat="1" applyFont="1" applyBorder="1" applyAlignment="1" applyProtection="1">
      <alignment horizontal="center"/>
      <protection hidden="1"/>
    </xf>
    <xf numFmtId="164" fontId="0" fillId="3" borderId="9" xfId="0" applyNumberFormat="1" applyFont="1" applyFill="1" applyBorder="1" applyAlignment="1">
      <alignment horizontal="center"/>
    </xf>
    <xf numFmtId="2" fontId="0" fillId="3" borderId="9" xfId="0" applyNumberFormat="1" applyFont="1" applyFill="1" applyBorder="1" applyAlignment="1">
      <alignment horizontal="center"/>
    </xf>
    <xf numFmtId="11" fontId="0" fillId="3" borderId="9" xfId="0" applyNumberFormat="1" applyFont="1" applyFill="1" applyBorder="1" applyAlignment="1">
      <alignment horizontal="center"/>
    </xf>
    <xf numFmtId="9" fontId="0" fillId="3" borderId="9" xfId="0" applyNumberFormat="1" applyFont="1" applyFill="1" applyBorder="1" applyAlignment="1">
      <alignment horizontal="center"/>
    </xf>
    <xf numFmtId="164" fontId="0" fillId="3" borderId="9" xfId="0" applyNumberFormat="1" applyFont="1" applyFill="1" applyBorder="1" applyAlignment="1">
      <alignment horizontal="center" vertical="center"/>
    </xf>
    <xf numFmtId="9" fontId="0" fillId="2" borderId="9" xfId="0" applyNumberFormat="1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4" borderId="9" xfId="0" applyFont="1" applyFill="1" applyBorder="1" applyAlignment="1" applyProtection="1">
      <alignment horizontal="center"/>
      <protection hidden="1"/>
    </xf>
    <xf numFmtId="0" fontId="14" fillId="0" borderId="9" xfId="2" applyFont="1" applyBorder="1" applyAlignment="1" applyProtection="1">
      <alignment horizontal="center"/>
      <protection hidden="1"/>
    </xf>
    <xf numFmtId="0" fontId="0" fillId="0" borderId="19" xfId="1" applyFont="1" applyBorder="1"/>
    <xf numFmtId="0" fontId="0" fillId="0" borderId="0" xfId="1" applyFont="1"/>
    <xf numFmtId="0" fontId="0" fillId="0" borderId="0" xfId="0" applyFont="1" applyAlignment="1">
      <alignment horizontal="right"/>
    </xf>
    <xf numFmtId="17" fontId="0" fillId="0" borderId="0" xfId="0" applyNumberFormat="1" applyFont="1"/>
    <xf numFmtId="2" fontId="0" fillId="0" borderId="0" xfId="0" applyNumberFormat="1" applyFont="1"/>
    <xf numFmtId="0" fontId="0" fillId="2" borderId="0" xfId="0" applyFont="1" applyFill="1" applyBorder="1" applyAlignment="1">
      <alignment horizontal="left"/>
    </xf>
    <xf numFmtId="0" fontId="0" fillId="5" borderId="9" xfId="0" applyFont="1" applyFill="1" applyBorder="1" applyAlignment="1">
      <alignment horizontal="center"/>
    </xf>
    <xf numFmtId="0" fontId="0" fillId="5" borderId="9" xfId="0" applyFont="1" applyFill="1" applyBorder="1" applyAlignment="1" applyProtection="1">
      <alignment horizontal="center"/>
      <protection hidden="1"/>
    </xf>
    <xf numFmtId="165" fontId="0" fillId="0" borderId="20" xfId="0" applyNumberFormat="1" applyFont="1" applyBorder="1" applyAlignment="1">
      <alignment horizontal="center"/>
    </xf>
    <xf numFmtId="10" fontId="0" fillId="0" borderId="22" xfId="0" applyNumberFormat="1" applyFont="1" applyBorder="1" applyAlignment="1" applyProtection="1">
      <alignment horizontal="center"/>
      <protection hidden="1"/>
    </xf>
    <xf numFmtId="0" fontId="0" fillId="0" borderId="23" xfId="0" applyFont="1" applyBorder="1"/>
    <xf numFmtId="0" fontId="0" fillId="5" borderId="24" xfId="0" applyFont="1" applyFill="1" applyBorder="1" applyAlignment="1">
      <alignment horizontal="center"/>
    </xf>
    <xf numFmtId="0" fontId="0" fillId="0" borderId="24" xfId="0" applyFont="1" applyBorder="1"/>
    <xf numFmtId="165" fontId="0" fillId="0" borderId="14" xfId="0" applyNumberFormat="1" applyFont="1" applyBorder="1" applyAlignment="1">
      <alignment horizontal="center"/>
    </xf>
    <xf numFmtId="1" fontId="15" fillId="3" borderId="9" xfId="0" applyNumberFormat="1" applyFont="1" applyFill="1" applyBorder="1" applyAlignment="1">
      <alignment horizontal="center"/>
    </xf>
    <xf numFmtId="1" fontId="0" fillId="3" borderId="9" xfId="0" applyNumberFormat="1" applyFont="1" applyFill="1" applyBorder="1" applyAlignment="1">
      <alignment horizontal="center"/>
    </xf>
    <xf numFmtId="0" fontId="16" fillId="0" borderId="0" xfId="0" applyFont="1" applyFill="1" applyBorder="1"/>
    <xf numFmtId="0" fontId="16" fillId="0" borderId="0" xfId="0" applyFont="1" applyBorder="1"/>
    <xf numFmtId="0" fontId="16" fillId="0" borderId="0" xfId="1" applyFont="1" applyFill="1" applyBorder="1" applyAlignment="1">
      <alignment horizontal="center"/>
    </xf>
    <xf numFmtId="0" fontId="16" fillId="0" borderId="0" xfId="1" applyFont="1" applyFill="1" applyBorder="1"/>
    <xf numFmtId="0" fontId="16" fillId="0" borderId="0" xfId="1" applyFont="1" applyFill="1" applyBorder="1" applyAlignment="1">
      <alignment horizontal="left"/>
    </xf>
    <xf numFmtId="10" fontId="16" fillId="0" borderId="0" xfId="1" applyNumberFormat="1" applyFont="1" applyFill="1" applyBorder="1" applyAlignment="1">
      <alignment horizontal="center"/>
    </xf>
    <xf numFmtId="164" fontId="16" fillId="2" borderId="0" xfId="1" applyNumberFormat="1" applyFont="1" applyFill="1" applyBorder="1" applyAlignment="1">
      <alignment horizontal="center"/>
    </xf>
    <xf numFmtId="1" fontId="16" fillId="0" borderId="0" xfId="1" applyNumberFormat="1" applyFont="1" applyFill="1" applyBorder="1" applyAlignment="1">
      <alignment horizontal="center"/>
    </xf>
    <xf numFmtId="11" fontId="16" fillId="0" borderId="0" xfId="1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0" fontId="16" fillId="0" borderId="0" xfId="0" applyNumberFormat="1" applyFont="1" applyFill="1" applyBorder="1" applyAlignment="1">
      <alignment horizontal="center"/>
    </xf>
    <xf numFmtId="11" fontId="16" fillId="0" borderId="0" xfId="0" applyNumberFormat="1" applyFont="1" applyFill="1" applyBorder="1"/>
    <xf numFmtId="11" fontId="16" fillId="2" borderId="0" xfId="1" applyNumberFormat="1" applyFont="1" applyFill="1" applyBorder="1" applyAlignment="1">
      <alignment horizontal="center"/>
    </xf>
    <xf numFmtId="0" fontId="16" fillId="0" borderId="8" xfId="0" applyFont="1" applyBorder="1"/>
    <xf numFmtId="9" fontId="16" fillId="0" borderId="0" xfId="0" applyNumberFormat="1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0" fillId="4" borderId="9" xfId="0" applyFont="1" applyFill="1" applyBorder="1" applyAlignment="1" applyProtection="1">
      <alignment horizontal="center"/>
      <protection hidden="1"/>
    </xf>
    <xf numFmtId="0" fontId="0" fillId="0" borderId="15" xfId="0" applyFont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</cellXfs>
  <cellStyles count="8">
    <cellStyle name="Formule" xfId="7" xr:uid="{00000000-0005-0000-0000-000000000000}"/>
    <cellStyle name="Normal" xfId="0" builtinId="0"/>
    <cellStyle name="Normal 2" xfId="1" xr:uid="{00000000-0005-0000-0000-000003000000}"/>
    <cellStyle name="Normal 2 2" xfId="2" xr:uid="{00000000-0005-0000-0000-000004000000}"/>
    <cellStyle name="Normal 3" xfId="4" xr:uid="{00000000-0005-0000-0000-000005000000}"/>
    <cellStyle name="Pourcentage 2" xfId="6" xr:uid="{00000000-0005-0000-0000-000006000000}"/>
    <cellStyle name="Saisie" xfId="5" xr:uid="{00000000-0005-0000-0000-000007000000}"/>
    <cellStyle name="Titre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Analytique!$C$33:$C$38</c:f>
              <c:strCache>
                <c:ptCount val="6"/>
                <c:pt idx="0">
                  <c:v>résiduel</c:v>
                </c:pt>
                <c:pt idx="1">
                  <c:v>[X]</c:v>
                </c:pt>
                <c:pt idx="2">
                  <c:v>jour</c:v>
                </c:pt>
                <c:pt idx="3">
                  <c:v>opérateur</c:v>
                </c:pt>
                <c:pt idx="4">
                  <c:v>outils A</c:v>
                </c:pt>
                <c:pt idx="5">
                  <c:v>outils B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Analytique!$C$33:$C$38</c:f>
              <c:strCache>
                <c:ptCount val="6"/>
                <c:pt idx="0">
                  <c:v>résiduel</c:v>
                </c:pt>
                <c:pt idx="1">
                  <c:v>[X]</c:v>
                </c:pt>
                <c:pt idx="2">
                  <c:v>jour</c:v>
                </c:pt>
                <c:pt idx="3">
                  <c:v>opérateur</c:v>
                </c:pt>
                <c:pt idx="4">
                  <c:v>outils A</c:v>
                </c:pt>
                <c:pt idx="5">
                  <c:v>outils B</c:v>
                </c:pt>
              </c:strCache>
            </c:strRef>
          </c:cat>
          <c:val>
            <c:numRef>
              <c:f>Analytique!$L$33:$L$38</c:f>
              <c:numCache>
                <c:formatCode>0%</c:formatCode>
                <c:ptCount val="6"/>
                <c:pt idx="0">
                  <c:v>0.54585313206961306</c:v>
                </c:pt>
                <c:pt idx="1">
                  <c:v>0.22720950127276385</c:v>
                </c:pt>
                <c:pt idx="2">
                  <c:v>0.20711734279779823</c:v>
                </c:pt>
                <c:pt idx="3">
                  <c:v>2.9794975838095888E-4</c:v>
                </c:pt>
                <c:pt idx="4">
                  <c:v>5.3963360785491904E-3</c:v>
                </c:pt>
                <c:pt idx="5">
                  <c:v>1.4125738022894838E-2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C-4B29-9048-865A246F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216448"/>
        <c:axId val="1211224608"/>
      </c:barChart>
      <c:catAx>
        <c:axId val="121121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1224608"/>
        <c:crosses val="autoZero"/>
        <c:auto val="1"/>
        <c:lblAlgn val="ctr"/>
        <c:lblOffset val="100"/>
        <c:noMultiLvlLbl val="0"/>
      </c:catAx>
      <c:valAx>
        <c:axId val="121122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121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533378759338659E-2"/>
          <c:y val="5.173734708152173E-2"/>
          <c:w val="0.87625679444486282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0.99893587744468637</c:v>
                </c:pt>
                <c:pt idx="1">
                  <c:v>0.99822880047410179</c:v>
                </c:pt>
                <c:pt idx="2">
                  <c:v>1.0009898277395712</c:v>
                </c:pt>
                <c:pt idx="3">
                  <c:v>0.99761823822872508</c:v>
                </c:pt>
                <c:pt idx="4">
                  <c:v>1.0019543986755963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C-4F50-9ABE-D203F5551EFF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0.98945184855893165</c:v>
                </c:pt>
                <c:pt idx="1">
                  <c:v>0.99232997701455095</c:v>
                </c:pt>
                <c:pt idx="2">
                  <c:v>0.98847997325247416</c:v>
                </c:pt>
                <c:pt idx="3">
                  <c:v>0.98951268122547098</c:v>
                </c:pt>
                <c:pt idx="4">
                  <c:v>0.99639763438050322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5C-4F50-9ABE-D203F5551EFF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1.0084199063304411</c:v>
                </c:pt>
                <c:pt idx="1">
                  <c:v>1.0041276239336525</c:v>
                </c:pt>
                <c:pt idx="2">
                  <c:v>1.0134996822266684</c:v>
                </c:pt>
                <c:pt idx="3">
                  <c:v>1.0057237952319793</c:v>
                </c:pt>
                <c:pt idx="4">
                  <c:v>1.0075111629706894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5C-4F50-9ABE-D203F5551EFF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5C-4F50-9ABE-D203F5551EFF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1.02</c:v>
                </c:pt>
                <c:pt idx="1">
                  <c:v>1.02</c:v>
                </c:pt>
                <c:pt idx="2">
                  <c:v>1.02</c:v>
                </c:pt>
                <c:pt idx="3">
                  <c:v>1.02</c:v>
                </c:pt>
                <c:pt idx="4">
                  <c:v>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5C-4F50-9ABE-D203F5551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225152"/>
        <c:axId val="1211221344"/>
      </c:scatterChart>
      <c:valAx>
        <c:axId val="1211225152"/>
        <c:scaling>
          <c:orientation val="minMax"/>
          <c:max val="121"/>
          <c:min val="79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 sz="1200"/>
                  <a:t>Niveaux</a:t>
                </a:r>
              </a:p>
            </c:rich>
          </c:tx>
          <c:layout>
            <c:manualLayout>
              <c:xMode val="edge"/>
              <c:yMode val="edge"/>
              <c:x val="0.78201240389653826"/>
              <c:y val="0.567660937438690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1211221344"/>
        <c:crossesAt val="1"/>
        <c:crossBetween val="midCat"/>
      </c:valAx>
      <c:valAx>
        <c:axId val="1211221344"/>
        <c:scaling>
          <c:orientation val="minMax"/>
        </c:scaling>
        <c:delete val="0"/>
        <c:axPos val="l"/>
        <c:minorGridlines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1211225152"/>
        <c:crosses val="autoZero"/>
        <c:crossBetween val="midCat"/>
      </c:valAx>
      <c:spPr>
        <a:noFill/>
        <a:ln w="25400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>
      <a:solidFill>
        <a:schemeClr val="tx1"/>
      </a:solidFill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0.99893587744468637</c:v>
                </c:pt>
                <c:pt idx="1">
                  <c:v>0.99822880047410179</c:v>
                </c:pt>
                <c:pt idx="2">
                  <c:v>1.0009898277395712</c:v>
                </c:pt>
                <c:pt idx="3">
                  <c:v>0.99761823822872508</c:v>
                </c:pt>
                <c:pt idx="4">
                  <c:v>1.0019543986755963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F-4735-AB33-915754D81DCB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0.98945184855893165</c:v>
                </c:pt>
                <c:pt idx="1">
                  <c:v>0.99232997701455095</c:v>
                </c:pt>
                <c:pt idx="2">
                  <c:v>0.98847997325247416</c:v>
                </c:pt>
                <c:pt idx="3">
                  <c:v>0.98951268122547098</c:v>
                </c:pt>
                <c:pt idx="4">
                  <c:v>0.99639763438050322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FF-4735-AB33-915754D81DCB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1.0084199063304411</c:v>
                </c:pt>
                <c:pt idx="1">
                  <c:v>1.0041276239336525</c:v>
                </c:pt>
                <c:pt idx="2">
                  <c:v>1.0134996822266684</c:v>
                </c:pt>
                <c:pt idx="3">
                  <c:v>1.0057237952319793</c:v>
                </c:pt>
                <c:pt idx="4">
                  <c:v>1.0075111629706894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FF-4735-AB33-915754D81DCB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FF-4735-AB33-915754D81DCB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1.02</c:v>
                </c:pt>
                <c:pt idx="1">
                  <c:v>1.02</c:v>
                </c:pt>
                <c:pt idx="2">
                  <c:v>1.02</c:v>
                </c:pt>
                <c:pt idx="3">
                  <c:v>1.02</c:v>
                </c:pt>
                <c:pt idx="4">
                  <c:v>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FF-4735-AB33-915754D81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219168"/>
        <c:axId val="1211227872"/>
      </c:scatterChart>
      <c:valAx>
        <c:axId val="1211219168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1211227872"/>
        <c:crossesAt val="1"/>
        <c:crossBetween val="midCat"/>
      </c:valAx>
      <c:valAx>
        <c:axId val="1211227872"/>
        <c:scaling>
          <c:orientation val="minMax"/>
          <c:max val="1.2"/>
          <c:min val="0.8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2655599535719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121121916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4" tint="0.59999389629810485"/>
  </sheetPr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81642</xdr:colOff>
      <xdr:row>14</xdr:row>
      <xdr:rowOff>74222</xdr:rowOff>
    </xdr:from>
    <xdr:to>
      <xdr:col>8</xdr:col>
      <xdr:colOff>554181</xdr:colOff>
      <xdr:row>26</xdr:row>
      <xdr:rowOff>168565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5562532" y="2817432"/>
    <xdr:ext cx="6360527" cy="2326458"/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0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298825"/>
          <a:ext cx="6667500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55545" cy="565727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B1:AJ86"/>
  <sheetViews>
    <sheetView showGridLines="0" tabSelected="1" zoomScale="85" zoomScaleNormal="85" workbookViewId="0">
      <selection activeCell="T17" sqref="T17"/>
    </sheetView>
  </sheetViews>
  <sheetFormatPr baseColWidth="10" defaultColWidth="10.85546875" defaultRowHeight="15" x14ac:dyDescent="0.25"/>
  <cols>
    <col min="1" max="1" width="2.42578125" style="38" customWidth="1"/>
    <col min="2" max="2" width="10.85546875" style="38"/>
    <col min="3" max="3" width="10.5703125" style="38" customWidth="1"/>
    <col min="4" max="4" width="10" style="38" customWidth="1"/>
    <col min="5" max="5" width="9.140625" style="38" customWidth="1"/>
    <col min="6" max="6" width="9.85546875" style="38" customWidth="1"/>
    <col min="7" max="8" width="11" style="38" bestFit="1" customWidth="1"/>
    <col min="9" max="11" width="10.85546875" style="38"/>
    <col min="12" max="12" width="8.7109375" style="38" customWidth="1"/>
    <col min="13" max="14" width="10.85546875" style="38"/>
    <col min="15" max="15" width="10.5703125" style="38" customWidth="1"/>
    <col min="16" max="16" width="9" style="38" customWidth="1"/>
    <col min="17" max="17" width="8.85546875" style="38" customWidth="1"/>
    <col min="18" max="18" width="13.140625" style="38" customWidth="1"/>
    <col min="19" max="19" width="9.85546875" style="38" customWidth="1"/>
    <col min="20" max="24" width="12.42578125" style="39" bestFit="1" customWidth="1"/>
    <col min="25" max="31" width="11" style="39" bestFit="1" customWidth="1"/>
    <col min="32" max="16384" width="10.85546875" style="38"/>
  </cols>
  <sheetData>
    <row r="1" spans="2:36" ht="15.75" thickBot="1" x14ac:dyDescent="0.3"/>
    <row r="2" spans="2:36" ht="11.45" customHeight="1" thickBot="1" x14ac:dyDescent="0.3"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  <c r="P2" s="42"/>
      <c r="Q2" s="42"/>
      <c r="R2" s="43"/>
      <c r="S2" s="44"/>
      <c r="AF2" s="44"/>
      <c r="AG2" s="44"/>
      <c r="AH2" s="44"/>
      <c r="AI2" s="44"/>
      <c r="AJ2" s="44"/>
    </row>
    <row r="3" spans="2:36" ht="13.5" customHeight="1" thickBot="1" x14ac:dyDescent="0.3">
      <c r="B3" s="45"/>
      <c r="C3" s="144"/>
      <c r="D3" s="145"/>
      <c r="E3" s="145"/>
      <c r="F3" s="146"/>
      <c r="G3" s="144"/>
      <c r="H3" s="145"/>
      <c r="I3" s="145"/>
      <c r="J3" s="145"/>
      <c r="K3" s="146"/>
      <c r="L3" s="46"/>
      <c r="M3" s="44"/>
      <c r="N3" s="44"/>
      <c r="O3" s="118" t="s">
        <v>105</v>
      </c>
      <c r="P3" s="47"/>
      <c r="Q3" s="47"/>
      <c r="R3" s="48"/>
      <c r="S3" s="44"/>
      <c r="AF3" s="44"/>
      <c r="AG3" s="49" t="s">
        <v>0</v>
      </c>
      <c r="AH3" s="50">
        <f ca="1">L32</f>
        <v>0.45414686793038705</v>
      </c>
      <c r="AI3" s="44"/>
      <c r="AJ3" s="44"/>
    </row>
    <row r="4" spans="2:36" x14ac:dyDescent="0.25">
      <c r="B4" s="45"/>
      <c r="C4" s="51" t="s">
        <v>1</v>
      </c>
      <c r="D4" s="52" t="s">
        <v>108</v>
      </c>
      <c r="E4" s="52" t="s">
        <v>109</v>
      </c>
      <c r="F4" s="52" t="s">
        <v>110</v>
      </c>
      <c r="G4" s="53">
        <v>0.8</v>
      </c>
      <c r="H4" s="53">
        <v>0.9</v>
      </c>
      <c r="I4" s="53" t="s">
        <v>2</v>
      </c>
      <c r="J4" s="53">
        <v>1.1000000000000001</v>
      </c>
      <c r="K4" s="54">
        <v>1.2</v>
      </c>
      <c r="L4" s="49" t="s">
        <v>3</v>
      </c>
      <c r="M4" s="55" t="s">
        <v>4</v>
      </c>
      <c r="N4" s="44"/>
      <c r="O4" s="44"/>
      <c r="P4" s="44"/>
      <c r="Q4" s="44"/>
      <c r="R4" s="48"/>
      <c r="S4" s="44"/>
      <c r="AF4" s="44"/>
      <c r="AG4" s="49" t="s">
        <v>5</v>
      </c>
      <c r="AH4" s="50">
        <f ca="1">(I32-I34)/I32</f>
        <v>-0.37582392970697692</v>
      </c>
      <c r="AI4" s="44"/>
      <c r="AJ4" s="44"/>
    </row>
    <row r="5" spans="2:36" ht="15.75" x14ac:dyDescent="0.25">
      <c r="B5" s="45"/>
      <c r="C5" s="147">
        <v>1</v>
      </c>
      <c r="D5" s="148">
        <v>1</v>
      </c>
      <c r="E5" s="148">
        <v>1</v>
      </c>
      <c r="F5" s="149">
        <v>-1</v>
      </c>
      <c r="G5" s="56">
        <f ca="1">1+(RAND()-RAND())/100</f>
        <v>0.99547850233136836</v>
      </c>
      <c r="H5" s="57">
        <f t="shared" ref="H5:K12" ca="1" si="0">1+(RAND()-RAND())/100</f>
        <v>0.99704294954459272</v>
      </c>
      <c r="I5" s="58">
        <f t="shared" ca="1" si="0"/>
        <v>1.0059112194836355</v>
      </c>
      <c r="J5" s="59">
        <f t="shared" ca="1" si="0"/>
        <v>0.99846785225254342</v>
      </c>
      <c r="K5" s="60">
        <f t="shared" ca="1" si="0"/>
        <v>1.0046621942807128</v>
      </c>
      <c r="L5" s="150">
        <f ca="1">SUM(G5:K6)</f>
        <v>10.002912542281306</v>
      </c>
      <c r="M5" s="61" t="s">
        <v>6</v>
      </c>
      <c r="N5" s="44"/>
      <c r="O5" s="62" t="s">
        <v>7</v>
      </c>
      <c r="P5" s="63">
        <v>0.02</v>
      </c>
      <c r="Q5" s="44"/>
      <c r="R5" s="48"/>
      <c r="S5" s="44"/>
      <c r="AF5" s="44"/>
      <c r="AG5" s="44"/>
      <c r="AH5" s="44"/>
      <c r="AI5" s="44"/>
      <c r="AJ5" s="44"/>
    </row>
    <row r="6" spans="2:36" ht="15.75" x14ac:dyDescent="0.25">
      <c r="B6" s="45"/>
      <c r="C6" s="147"/>
      <c r="D6" s="148"/>
      <c r="E6" s="148"/>
      <c r="F6" s="149"/>
      <c r="G6" s="56">
        <f ca="1">1+(RAND()-RAND())/100</f>
        <v>1.001323648310785</v>
      </c>
      <c r="H6" s="57">
        <f t="shared" ca="1" si="0"/>
        <v>0.99946188471220709</v>
      </c>
      <c r="I6" s="58">
        <f t="shared" ca="1" si="0"/>
        <v>1.0049943477505483</v>
      </c>
      <c r="J6" s="59">
        <f t="shared" ca="1" si="0"/>
        <v>0.99696093529086716</v>
      </c>
      <c r="K6" s="60">
        <f t="shared" ca="1" si="0"/>
        <v>0.99860900832404653</v>
      </c>
      <c r="L6" s="150"/>
      <c r="M6" s="64" t="s">
        <v>8</v>
      </c>
      <c r="N6" s="44"/>
      <c r="O6" s="62" t="s">
        <v>9</v>
      </c>
      <c r="P6" s="65">
        <v>0.95</v>
      </c>
      <c r="Q6" s="47"/>
      <c r="R6" s="48"/>
      <c r="S6" s="44"/>
      <c r="T6" s="66"/>
      <c r="AF6" s="44"/>
      <c r="AG6" s="44"/>
      <c r="AH6" s="44"/>
      <c r="AI6" s="44"/>
      <c r="AJ6" s="44"/>
    </row>
    <row r="7" spans="2:36" ht="15.75" x14ac:dyDescent="0.25">
      <c r="B7" s="45"/>
      <c r="C7" s="147">
        <v>2</v>
      </c>
      <c r="D7" s="149">
        <v>-1</v>
      </c>
      <c r="E7" s="148">
        <v>1</v>
      </c>
      <c r="F7" s="148">
        <v>1</v>
      </c>
      <c r="G7" s="67">
        <f t="shared" ref="G7:G12" ca="1" si="1">1+(RAND()-RAND())/100</f>
        <v>0.99314522388396087</v>
      </c>
      <c r="H7" s="56">
        <f t="shared" ca="1" si="0"/>
        <v>1.001403747301006</v>
      </c>
      <c r="I7" s="57">
        <f t="shared" ca="1" si="0"/>
        <v>1.0007479617977846</v>
      </c>
      <c r="J7" s="58">
        <f t="shared" ca="1" si="0"/>
        <v>0.99561686527663174</v>
      </c>
      <c r="K7" s="68">
        <f t="shared" ca="1" si="0"/>
        <v>1.0023701815917843</v>
      </c>
      <c r="L7" s="150">
        <f t="shared" ref="L7" ca="1" si="2">SUM(G7:K8)</f>
        <v>9.9935740223343483</v>
      </c>
      <c r="M7" s="69" t="s">
        <v>10</v>
      </c>
      <c r="N7" s="44"/>
      <c r="O7" s="44"/>
      <c r="P7" s="44"/>
      <c r="Q7" s="44"/>
      <c r="R7" s="48"/>
      <c r="S7" s="44"/>
      <c r="AF7" s="44"/>
      <c r="AG7" s="44"/>
      <c r="AH7" s="44"/>
      <c r="AI7" s="44"/>
      <c r="AJ7" s="44"/>
    </row>
    <row r="8" spans="2:36" ht="15.75" x14ac:dyDescent="0.25">
      <c r="B8" s="45"/>
      <c r="C8" s="147"/>
      <c r="D8" s="149"/>
      <c r="E8" s="148"/>
      <c r="F8" s="148"/>
      <c r="G8" s="67">
        <f t="shared" ca="1" si="1"/>
        <v>0.99803462610780025</v>
      </c>
      <c r="H8" s="56">
        <f t="shared" ca="1" si="0"/>
        <v>0.99662641680782837</v>
      </c>
      <c r="I8" s="57">
        <f t="shared" ca="1" si="0"/>
        <v>1.003456794780254</v>
      </c>
      <c r="J8" s="58">
        <f t="shared" ca="1" si="0"/>
        <v>1.0002685408653318</v>
      </c>
      <c r="K8" s="68">
        <f t="shared" ca="1" si="0"/>
        <v>1.0019036639219665</v>
      </c>
      <c r="L8" s="150"/>
      <c r="M8" s="70" t="s">
        <v>11</v>
      </c>
      <c r="N8" s="44"/>
      <c r="O8" s="120" t="s">
        <v>12</v>
      </c>
      <c r="P8" s="71">
        <f ca="1">AVERAGE(G5:K12)</f>
        <v>0.99957232968037091</v>
      </c>
      <c r="Q8" s="44"/>
      <c r="R8" s="48"/>
      <c r="S8" s="44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30"/>
      <c r="AG8" s="44"/>
      <c r="AH8" s="44"/>
      <c r="AI8" s="44"/>
      <c r="AJ8" s="44"/>
    </row>
    <row r="9" spans="2:36" ht="15.75" x14ac:dyDescent="0.25">
      <c r="B9" s="45"/>
      <c r="C9" s="147">
        <v>3</v>
      </c>
      <c r="D9" s="148">
        <v>1</v>
      </c>
      <c r="E9" s="149">
        <v>-1</v>
      </c>
      <c r="F9" s="148">
        <v>1</v>
      </c>
      <c r="G9" s="72">
        <f t="shared" ca="1" si="1"/>
        <v>1.0032292522184467</v>
      </c>
      <c r="H9" s="67">
        <f t="shared" ca="1" si="0"/>
        <v>1.000350418591553</v>
      </c>
      <c r="I9" s="56">
        <f t="shared" ca="1" si="0"/>
        <v>1.0014770214478288</v>
      </c>
      <c r="J9" s="57">
        <f ca="1">1+(RAND()-RAND())/100</f>
        <v>0.99356136002130446</v>
      </c>
      <c r="K9" s="73">
        <f t="shared" ca="1" si="0"/>
        <v>1.0037440835112066</v>
      </c>
      <c r="L9" s="150">
        <f t="shared" ref="L9" ca="1" si="3">SUM(G9:K10)</f>
        <v>9.9897183194875705</v>
      </c>
      <c r="M9" s="44"/>
      <c r="N9" s="44"/>
      <c r="O9" s="120" t="s">
        <v>13</v>
      </c>
      <c r="P9" s="74">
        <f ca="1">I31</f>
        <v>1.2069588976761099E-5</v>
      </c>
      <c r="Q9" s="47"/>
      <c r="R9" s="48"/>
      <c r="S9" s="44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30"/>
      <c r="AG9" s="44"/>
      <c r="AH9" s="44"/>
      <c r="AI9" s="44"/>
      <c r="AJ9" s="44"/>
    </row>
    <row r="10" spans="2:36" ht="15.75" x14ac:dyDescent="0.25">
      <c r="B10" s="45"/>
      <c r="C10" s="147"/>
      <c r="D10" s="148"/>
      <c r="E10" s="149"/>
      <c r="F10" s="148"/>
      <c r="G10" s="72">
        <f t="shared" ca="1" si="1"/>
        <v>1.0001412244390011</v>
      </c>
      <c r="H10" s="67">
        <f t="shared" ca="1" si="0"/>
        <v>0.99623933464824654</v>
      </c>
      <c r="I10" s="56">
        <f t="shared" ca="1" si="0"/>
        <v>0.99170437762287456</v>
      </c>
      <c r="J10" s="57">
        <f t="shared" ca="1" si="0"/>
        <v>0.9968411628738677</v>
      </c>
      <c r="K10" s="73">
        <f t="shared" ca="1" si="0"/>
        <v>1.002430084113241</v>
      </c>
      <c r="L10" s="150"/>
      <c r="M10" s="44"/>
      <c r="N10" s="44"/>
      <c r="O10" s="120" t="s">
        <v>14</v>
      </c>
      <c r="P10" s="71">
        <f ca="1">SQRT(P9)</f>
        <v>3.4741313988911099E-3</v>
      </c>
      <c r="Q10" s="44"/>
      <c r="R10" s="75"/>
      <c r="S10" s="44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30"/>
      <c r="AG10" s="44"/>
      <c r="AH10" s="44"/>
      <c r="AI10" s="44"/>
      <c r="AJ10" s="44"/>
    </row>
    <row r="11" spans="2:36" ht="15.75" x14ac:dyDescent="0.25">
      <c r="B11" s="45"/>
      <c r="C11" s="147">
        <v>4</v>
      </c>
      <c r="D11" s="149">
        <v>-1</v>
      </c>
      <c r="E11" s="149">
        <v>-1</v>
      </c>
      <c r="F11" s="149">
        <v>-1</v>
      </c>
      <c r="G11" s="58">
        <f t="shared" ca="1" si="1"/>
        <v>0.99668880950992844</v>
      </c>
      <c r="H11" s="72">
        <f t="shared" ca="1" si="0"/>
        <v>0.99721599828529639</v>
      </c>
      <c r="I11" s="67">
        <f t="shared" ca="1" si="0"/>
        <v>0.99662560061579752</v>
      </c>
      <c r="J11" s="56">
        <f t="shared" ca="1" si="0"/>
        <v>1.0030810637777972</v>
      </c>
      <c r="K11" s="76">
        <f t="shared" ca="1" si="0"/>
        <v>1.0006855844327869</v>
      </c>
      <c r="L11" s="150">
        <f ca="1">SUM(G11:K12)</f>
        <v>9.9966883031116147</v>
      </c>
      <c r="M11" s="44"/>
      <c r="N11" s="44"/>
      <c r="O11" s="120" t="s">
        <v>15</v>
      </c>
      <c r="P11" s="71">
        <f ca="1">MIN(G5:K12)</f>
        <v>0.99170437762287456</v>
      </c>
      <c r="Q11" s="44"/>
      <c r="R11" s="75"/>
      <c r="S11" s="44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30"/>
      <c r="AG11" s="44"/>
      <c r="AH11" s="44"/>
      <c r="AI11" s="44"/>
      <c r="AJ11" s="44"/>
    </row>
    <row r="12" spans="2:36" ht="16.5" thickBot="1" x14ac:dyDescent="0.3">
      <c r="B12" s="45"/>
      <c r="C12" s="152"/>
      <c r="D12" s="153"/>
      <c r="E12" s="153"/>
      <c r="F12" s="153"/>
      <c r="G12" s="77">
        <f t="shared" ca="1" si="1"/>
        <v>1.0034457327562012</v>
      </c>
      <c r="H12" s="78">
        <f t="shared" ca="1" si="0"/>
        <v>0.99856570061547323</v>
      </c>
      <c r="I12" s="79">
        <f t="shared" ca="1" si="0"/>
        <v>1.0030012984178485</v>
      </c>
      <c r="J12" s="80">
        <f t="shared" ca="1" si="0"/>
        <v>0.99614812547145826</v>
      </c>
      <c r="K12" s="81">
        <f t="shared" ca="1" si="0"/>
        <v>1.0012303892290246</v>
      </c>
      <c r="L12" s="150"/>
      <c r="M12" s="44"/>
      <c r="N12" s="44"/>
      <c r="O12" s="120" t="s">
        <v>16</v>
      </c>
      <c r="P12" s="122">
        <f ca="1">MAX(G5:K12)</f>
        <v>1.0059112194836355</v>
      </c>
      <c r="Q12" s="119" t="s">
        <v>106</v>
      </c>
      <c r="R12" s="126">
        <f ca="1">MIN((P11-(1-P5))/(3*P10),((1+P5)-P12)/(3*P10))</f>
        <v>1.1230027767142441</v>
      </c>
      <c r="S12" s="44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30"/>
      <c r="AG12" s="44"/>
      <c r="AH12" s="44"/>
      <c r="AI12" s="44"/>
      <c r="AJ12" s="44"/>
    </row>
    <row r="13" spans="2:36" ht="15.75" thickBot="1" x14ac:dyDescent="0.3">
      <c r="B13" s="83"/>
      <c r="C13" s="84"/>
      <c r="D13" s="84"/>
      <c r="E13" s="84"/>
      <c r="F13" s="84"/>
      <c r="G13" s="84"/>
      <c r="H13" s="84"/>
      <c r="I13" s="84"/>
      <c r="J13" s="84"/>
      <c r="K13" s="84"/>
      <c r="L13" s="85"/>
      <c r="M13" s="86"/>
      <c r="N13" s="86"/>
      <c r="O13" s="123"/>
      <c r="P13" s="125"/>
      <c r="Q13" s="124" t="s">
        <v>107</v>
      </c>
      <c r="R13" s="121">
        <f ca="1">(P5*2)/(6*P10)</f>
        <v>1.9189448818183923</v>
      </c>
      <c r="S13" s="44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30"/>
      <c r="AG13" s="44"/>
      <c r="AH13" s="44"/>
      <c r="AI13" s="44"/>
      <c r="AJ13" s="44"/>
    </row>
    <row r="14" spans="2:36" x14ac:dyDescent="0.25">
      <c r="B14" s="88"/>
      <c r="C14" s="89"/>
      <c r="D14" s="89"/>
      <c r="E14" s="89"/>
      <c r="F14" s="90" t="s">
        <v>3</v>
      </c>
      <c r="G14" s="91">
        <f ca="1">SUM(G5:G12)</f>
        <v>7.991487019557491</v>
      </c>
      <c r="H14" s="91">
        <f t="shared" ref="H14:K14" ca="1" si="4">SUM(H5:H12)</f>
        <v>7.9869064505062033</v>
      </c>
      <c r="I14" s="91">
        <f t="shared" ca="1" si="4"/>
        <v>8.0079186219165717</v>
      </c>
      <c r="J14" s="91">
        <f ca="1">SUM(J5:J12)</f>
        <v>7.9809459058298016</v>
      </c>
      <c r="K14" s="91">
        <f t="shared" ca="1" si="4"/>
        <v>8.0156351894047688</v>
      </c>
      <c r="L14" s="89"/>
      <c r="M14" s="89"/>
      <c r="N14" s="91"/>
      <c r="O14" s="89"/>
      <c r="P14" s="89"/>
      <c r="Q14" s="89"/>
      <c r="R14" s="92"/>
      <c r="S14" s="44"/>
      <c r="T14" s="131" t="s">
        <v>17</v>
      </c>
      <c r="U14" s="131">
        <v>5</v>
      </c>
      <c r="V14" s="132"/>
      <c r="W14" s="132"/>
      <c r="X14" s="132"/>
      <c r="Y14" s="132"/>
      <c r="Z14" s="132"/>
      <c r="AA14" s="132"/>
      <c r="AB14" s="132"/>
      <c r="AC14" s="129"/>
      <c r="AD14" s="129"/>
      <c r="AE14" s="129"/>
      <c r="AF14" s="130"/>
      <c r="AG14" s="44"/>
      <c r="AH14" s="44"/>
      <c r="AI14" s="44"/>
      <c r="AJ14" s="44"/>
    </row>
    <row r="15" spans="2:36" x14ac:dyDescent="0.25">
      <c r="B15" s="45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82"/>
      <c r="S15" s="44"/>
      <c r="T15" s="131" t="s">
        <v>18</v>
      </c>
      <c r="U15" s="131">
        <v>5</v>
      </c>
      <c r="V15" s="132"/>
      <c r="W15" s="132"/>
      <c r="X15" s="132"/>
      <c r="Y15" s="132"/>
      <c r="Z15" s="132"/>
      <c r="AA15" s="132"/>
      <c r="AB15" s="132"/>
      <c r="AC15" s="129"/>
      <c r="AD15" s="129"/>
      <c r="AE15" s="129"/>
      <c r="AF15" s="130"/>
      <c r="AG15" s="44"/>
      <c r="AH15" s="44"/>
      <c r="AI15" s="44"/>
      <c r="AJ15" s="44"/>
    </row>
    <row r="16" spans="2:36" x14ac:dyDescent="0.25">
      <c r="B16" s="45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82"/>
      <c r="S16" s="44"/>
      <c r="T16" s="131" t="s">
        <v>19</v>
      </c>
      <c r="U16" s="131">
        <v>4</v>
      </c>
      <c r="V16" s="132"/>
      <c r="W16" s="132"/>
      <c r="X16" s="132"/>
      <c r="Y16" s="132"/>
      <c r="Z16" s="132"/>
      <c r="AA16" s="132"/>
      <c r="AB16" s="132"/>
      <c r="AC16" s="129"/>
      <c r="AD16" s="129"/>
      <c r="AE16" s="129"/>
      <c r="AF16" s="130"/>
      <c r="AG16" s="44"/>
      <c r="AH16" s="44"/>
      <c r="AI16" s="44"/>
      <c r="AJ16" s="44"/>
    </row>
    <row r="17" spans="2:36" x14ac:dyDescent="0.25">
      <c r="B17" s="45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82"/>
      <c r="S17" s="44"/>
      <c r="T17" s="131" t="s">
        <v>20</v>
      </c>
      <c r="U17" s="131">
        <f>U15*U16/U14</f>
        <v>4</v>
      </c>
      <c r="V17" s="132" t="s">
        <v>21</v>
      </c>
      <c r="W17" s="132"/>
      <c r="X17" s="132"/>
      <c r="Y17" s="132"/>
      <c r="Z17" s="132"/>
      <c r="AA17" s="132"/>
      <c r="AB17" s="132"/>
      <c r="AC17" s="129"/>
      <c r="AD17" s="129"/>
      <c r="AE17" s="129"/>
      <c r="AF17" s="130"/>
      <c r="AG17" s="44"/>
      <c r="AH17" s="44"/>
      <c r="AI17" s="44"/>
      <c r="AJ17" s="44"/>
    </row>
    <row r="18" spans="2:36" x14ac:dyDescent="0.25">
      <c r="B18" s="45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82"/>
      <c r="S18" s="44"/>
      <c r="T18" s="131" t="s">
        <v>22</v>
      </c>
      <c r="U18" s="131">
        <f>U17*(U16-1)/(U14-1)</f>
        <v>3</v>
      </c>
      <c r="V18" s="133" t="s">
        <v>23</v>
      </c>
      <c r="W18" s="132"/>
      <c r="X18" s="132"/>
      <c r="Y18" s="132"/>
      <c r="Z18" s="132"/>
      <c r="AA18" s="132"/>
      <c r="AB18" s="132"/>
      <c r="AC18" s="129"/>
      <c r="AD18" s="129"/>
      <c r="AE18" s="129"/>
      <c r="AF18" s="130"/>
      <c r="AG18" s="44"/>
      <c r="AH18" s="44"/>
      <c r="AI18" s="44"/>
      <c r="AJ18" s="44"/>
    </row>
    <row r="19" spans="2:36" x14ac:dyDescent="0.25">
      <c r="B19" s="45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82"/>
      <c r="S19" s="44"/>
      <c r="T19" s="131" t="s">
        <v>24</v>
      </c>
      <c r="U19" s="134">
        <f>(U16-1)*U14/((U14-1)*U16)</f>
        <v>0.9375</v>
      </c>
      <c r="V19" s="132" t="s">
        <v>25</v>
      </c>
      <c r="W19" s="132"/>
      <c r="X19" s="132"/>
      <c r="Y19" s="132"/>
      <c r="Z19" s="132"/>
      <c r="AA19" s="132"/>
      <c r="AB19" s="132"/>
      <c r="AC19" s="129"/>
      <c r="AD19" s="129"/>
      <c r="AE19" s="129"/>
      <c r="AF19" s="130"/>
      <c r="AG19" s="44"/>
      <c r="AH19" s="44"/>
      <c r="AI19" s="44"/>
      <c r="AJ19" s="44"/>
    </row>
    <row r="20" spans="2:36" x14ac:dyDescent="0.25">
      <c r="B20" s="45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82"/>
      <c r="S20" s="44"/>
      <c r="T20" s="131" t="s">
        <v>26</v>
      </c>
      <c r="U20" s="135">
        <f>U17*U19</f>
        <v>3.75</v>
      </c>
      <c r="V20" s="132" t="s">
        <v>27</v>
      </c>
      <c r="W20" s="132"/>
      <c r="X20" s="132"/>
      <c r="Y20" s="132"/>
      <c r="Z20" s="132"/>
      <c r="AA20" s="132"/>
      <c r="AB20" s="132"/>
      <c r="AC20" s="129"/>
      <c r="AD20" s="129"/>
      <c r="AE20" s="129"/>
      <c r="AF20" s="130"/>
      <c r="AG20" s="44"/>
      <c r="AH20" s="44"/>
      <c r="AI20" s="44"/>
      <c r="AJ20" s="44"/>
    </row>
    <row r="21" spans="2:36" x14ac:dyDescent="0.25">
      <c r="B21" s="45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82"/>
      <c r="S21" s="44"/>
      <c r="T21" s="132"/>
      <c r="U21" s="132"/>
      <c r="V21" s="132"/>
      <c r="W21" s="132"/>
      <c r="X21" s="132"/>
      <c r="Y21" s="132"/>
      <c r="Z21" s="132"/>
      <c r="AA21" s="132"/>
      <c r="AB21" s="132"/>
      <c r="AC21" s="129"/>
      <c r="AD21" s="129"/>
      <c r="AE21" s="129"/>
      <c r="AF21" s="130"/>
      <c r="AG21" s="44"/>
      <c r="AH21" s="44"/>
      <c r="AI21" s="44"/>
      <c r="AJ21" s="44"/>
    </row>
    <row r="22" spans="2:36" x14ac:dyDescent="0.25">
      <c r="B22" s="45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82"/>
      <c r="S22" s="44"/>
      <c r="T22" s="132"/>
      <c r="U22" s="131" t="s">
        <v>28</v>
      </c>
      <c r="V22" s="131" t="s">
        <v>29</v>
      </c>
      <c r="W22" s="131" t="s">
        <v>30</v>
      </c>
      <c r="X22" s="131" t="s">
        <v>31</v>
      </c>
      <c r="Y22" s="131" t="s">
        <v>32</v>
      </c>
      <c r="Z22" s="132"/>
      <c r="AA22" s="132"/>
      <c r="AB22" s="132"/>
      <c r="AC22" s="129"/>
      <c r="AD22" s="129"/>
      <c r="AE22" s="129"/>
      <c r="AF22" s="130"/>
      <c r="AG22" s="44"/>
      <c r="AH22" s="44"/>
      <c r="AI22" s="44"/>
      <c r="AJ22" s="44"/>
    </row>
    <row r="23" spans="2:36" x14ac:dyDescent="0.25">
      <c r="B23" s="4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82"/>
      <c r="S23" s="44"/>
      <c r="T23" s="131" t="s">
        <v>33</v>
      </c>
      <c r="U23" s="136">
        <f ca="1">SUM(G5:G6,H7:H8,I9:I10,J11:J12)</f>
        <v>7.9872429030709462</v>
      </c>
      <c r="V23" s="136">
        <f ca="1">SUM(H5:H6,I7:I8,J9:J10,K11:K12)</f>
        <v>7.9930280873918216</v>
      </c>
      <c r="W23" s="136">
        <f ca="1">SUM(I5:I6,J7:J8,K9:K10,G11:G12)</f>
        <v>8.0130996832667254</v>
      </c>
      <c r="X23" s="136">
        <f ca="1">SUM(J5:J6,K7:K8,G9:G10,H11:H12)</f>
        <v>7.9988548086153779</v>
      </c>
      <c r="Y23" s="136">
        <f ca="1">SUM(K5:K6,G7:G8,H9:H10,I11:I12)</f>
        <v>7.990667704869967</v>
      </c>
      <c r="Z23" s="132"/>
      <c r="AA23" s="132"/>
      <c r="AB23" s="132"/>
      <c r="AC23" s="129"/>
      <c r="AD23" s="129"/>
      <c r="AE23" s="129"/>
      <c r="AF23" s="130"/>
      <c r="AG23" s="44"/>
      <c r="AH23" s="44"/>
      <c r="AI23" s="44"/>
      <c r="AJ23" s="44"/>
    </row>
    <row r="24" spans="2:36" x14ac:dyDescent="0.25">
      <c r="B24" s="45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82"/>
      <c r="S24" s="44"/>
      <c r="T24" s="131" t="s">
        <v>34</v>
      </c>
      <c r="U24" s="136">
        <f ca="1">+G14+H14+I14+J14</f>
        <v>31.967257997810069</v>
      </c>
      <c r="V24" s="136">
        <f ca="1">+H14+I14+J14+K14</f>
        <v>31.991406167657345</v>
      </c>
      <c r="W24" s="136">
        <f ca="1">+I14+J14+K14+G14</f>
        <v>31.99598673670863</v>
      </c>
      <c r="X24" s="136">
        <f ca="1">+J14+K14+G14+H14</f>
        <v>31.974974565298268</v>
      </c>
      <c r="Y24" s="136">
        <f ca="1">+K14+G14+H14+I14</f>
        <v>32.001947281385036</v>
      </c>
      <c r="Z24" s="132"/>
      <c r="AA24" s="132"/>
      <c r="AB24" s="132"/>
      <c r="AC24" s="129"/>
      <c r="AD24" s="129"/>
      <c r="AE24" s="129"/>
      <c r="AF24" s="130"/>
      <c r="AG24" s="44"/>
      <c r="AH24" s="44"/>
      <c r="AI24" s="44"/>
      <c r="AJ24" s="44"/>
    </row>
    <row r="25" spans="2:36" x14ac:dyDescent="0.25">
      <c r="B25" s="45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82"/>
      <c r="S25" s="44"/>
      <c r="T25" s="131" t="s">
        <v>35</v>
      </c>
      <c r="U25" s="137">
        <f ca="1">U23-U24/$U16</f>
        <v>-4.5715963815711191E-3</v>
      </c>
      <c r="V25" s="137">
        <f ca="1">V23-V24/$U16</f>
        <v>-4.8234545225147585E-3</v>
      </c>
      <c r="W25" s="137">
        <f ca="1">W23-W24/$U16</f>
        <v>1.4102999089567803E-2</v>
      </c>
      <c r="X25" s="137">
        <f ca="1">X23-X24/$U16</f>
        <v>5.1111672908108474E-3</v>
      </c>
      <c r="Y25" s="137">
        <f ca="1">Y23-Y24/$U16</f>
        <v>-9.8191154762918842E-3</v>
      </c>
      <c r="Z25" s="137">
        <f ca="1">SUM(U25:Y25)</f>
        <v>8.8817841970012523E-16</v>
      </c>
      <c r="AA25" s="132"/>
      <c r="AB25" s="132"/>
      <c r="AC25" s="129"/>
      <c r="AD25" s="129"/>
      <c r="AE25" s="129"/>
      <c r="AF25" s="130"/>
      <c r="AG25" s="44"/>
      <c r="AH25" s="44"/>
      <c r="AI25" s="44"/>
      <c r="AJ25" s="44"/>
    </row>
    <row r="26" spans="2:36" x14ac:dyDescent="0.25">
      <c r="B26" s="45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82"/>
      <c r="S26" s="44"/>
      <c r="T26" s="131" t="s">
        <v>36</v>
      </c>
      <c r="U26" s="137">
        <f ca="1">U25/$U20</f>
        <v>-1.219092368418965E-3</v>
      </c>
      <c r="V26" s="137">
        <f ca="1">V25/$U20</f>
        <v>-1.286254539337269E-3</v>
      </c>
      <c r="W26" s="137">
        <f ca="1">W25/$U20</f>
        <v>3.7607997572180808E-3</v>
      </c>
      <c r="X26" s="137">
        <f ca="1">X25/$U20</f>
        <v>1.3629779442162261E-3</v>
      </c>
      <c r="Y26" s="137">
        <f ca="1">Y25/$U20</f>
        <v>-2.6184307936778358E-3</v>
      </c>
      <c r="Z26" s="137">
        <f ca="1">SUM(U26:Y26)</f>
        <v>2.3678975447083417E-16</v>
      </c>
      <c r="AA26" s="132" t="s">
        <v>37</v>
      </c>
      <c r="AB26" s="132"/>
      <c r="AC26" s="129"/>
      <c r="AD26" s="129"/>
      <c r="AE26" s="129"/>
      <c r="AF26" s="130"/>
      <c r="AG26" s="44"/>
      <c r="AH26" s="44"/>
      <c r="AI26" s="44"/>
      <c r="AJ26" s="44"/>
    </row>
    <row r="27" spans="2:36" x14ac:dyDescent="0.25">
      <c r="B27" s="45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82"/>
      <c r="S27" s="44"/>
      <c r="T27" s="132" t="s">
        <v>38</v>
      </c>
      <c r="U27" s="141">
        <f ca="1">SUMSQ(U25:Y25)/U20</f>
        <v>9.7493026703605862E-5</v>
      </c>
      <c r="V27" s="132"/>
      <c r="W27" s="132"/>
      <c r="X27" s="132"/>
      <c r="Y27" s="132"/>
      <c r="Z27" s="132"/>
      <c r="AA27" s="132"/>
      <c r="AB27" s="132"/>
      <c r="AC27" s="129"/>
      <c r="AD27" s="129"/>
      <c r="AE27" s="129"/>
      <c r="AF27" s="130"/>
      <c r="AG27" s="44"/>
      <c r="AH27" s="44"/>
      <c r="AI27" s="44"/>
      <c r="AJ27" s="44"/>
    </row>
    <row r="28" spans="2:36" ht="5.45" customHeight="1" thickBot="1" x14ac:dyDescent="0.3">
      <c r="B28" s="83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7"/>
      <c r="S28" s="44"/>
      <c r="T28" s="132"/>
      <c r="U28" s="132"/>
      <c r="V28" s="132"/>
      <c r="W28" s="132"/>
      <c r="X28" s="132"/>
      <c r="Y28" s="132"/>
      <c r="Z28" s="132"/>
      <c r="AA28" s="132"/>
      <c r="AB28" s="132"/>
      <c r="AC28" s="129"/>
      <c r="AD28" s="129"/>
      <c r="AE28" s="129"/>
      <c r="AF28" s="130"/>
      <c r="AG28" s="44"/>
      <c r="AH28" s="44"/>
      <c r="AI28" s="44"/>
      <c r="AJ28" s="44"/>
    </row>
    <row r="29" spans="2:36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93"/>
      <c r="S29" s="44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30"/>
      <c r="AG29" s="44"/>
      <c r="AH29" s="44"/>
      <c r="AI29" s="44"/>
      <c r="AJ29" s="44"/>
    </row>
    <row r="30" spans="2:36" x14ac:dyDescent="0.25">
      <c r="B30" s="45"/>
      <c r="C30" s="70" t="s">
        <v>39</v>
      </c>
      <c r="D30" s="70" t="s">
        <v>40</v>
      </c>
      <c r="E30" s="70" t="s">
        <v>41</v>
      </c>
      <c r="F30" s="70" t="s">
        <v>42</v>
      </c>
      <c r="G30" s="70" t="s">
        <v>43</v>
      </c>
      <c r="H30" s="70" t="s">
        <v>44</v>
      </c>
      <c r="I30" s="70" t="s">
        <v>45</v>
      </c>
      <c r="J30" s="70" t="s">
        <v>46</v>
      </c>
      <c r="K30" s="70" t="s">
        <v>47</v>
      </c>
      <c r="L30" s="94" t="s">
        <v>48</v>
      </c>
      <c r="M30" s="94" t="s">
        <v>104</v>
      </c>
      <c r="N30" s="44"/>
      <c r="O30" s="44"/>
      <c r="P30" s="95" t="s">
        <v>49</v>
      </c>
      <c r="Q30" s="44"/>
      <c r="R30" s="82"/>
      <c r="S30" s="44"/>
      <c r="T30" s="138"/>
      <c r="U30" s="143">
        <v>0.8</v>
      </c>
      <c r="V30" s="143"/>
      <c r="W30" s="143">
        <v>0.9</v>
      </c>
      <c r="X30" s="143"/>
      <c r="Y30" s="143">
        <v>1</v>
      </c>
      <c r="Z30" s="143"/>
      <c r="AA30" s="143">
        <v>1.1000000000000001</v>
      </c>
      <c r="AB30" s="143"/>
      <c r="AC30" s="143">
        <v>1.2</v>
      </c>
      <c r="AD30" s="143"/>
      <c r="AE30" s="129"/>
      <c r="AF30" s="130"/>
      <c r="AG30" s="44"/>
      <c r="AH30" s="44"/>
      <c r="AI30" s="44"/>
      <c r="AJ30" s="44"/>
    </row>
    <row r="31" spans="2:36" x14ac:dyDescent="0.25">
      <c r="B31" s="45"/>
      <c r="C31" s="70" t="s">
        <v>50</v>
      </c>
      <c r="D31" s="70">
        <f ca="1">COUNT(G5:K12)</f>
        <v>40</v>
      </c>
      <c r="E31" s="96">
        <f ca="1">SUM(G5:K12)^2</f>
        <v>1598.6317476202305</v>
      </c>
      <c r="F31" s="96">
        <f ca="1">E31/D31</f>
        <v>39.965793690505762</v>
      </c>
      <c r="G31" s="97">
        <f ca="1">DEVSQ(G5:K12)</f>
        <v>4.7071397009368289E-4</v>
      </c>
      <c r="H31" s="70">
        <f ca="1">D31-1</f>
        <v>39</v>
      </c>
      <c r="I31" s="98">
        <f ca="1">G31/H31</f>
        <v>1.2069588976761099E-5</v>
      </c>
      <c r="J31" s="70" t="s">
        <v>51</v>
      </c>
      <c r="K31" s="70" t="s">
        <v>51</v>
      </c>
      <c r="L31" s="99">
        <f ca="1">SUM(L33:L38)</f>
        <v>1</v>
      </c>
      <c r="M31" s="70" t="s">
        <v>51</v>
      </c>
      <c r="N31" s="44"/>
      <c r="O31" s="44"/>
      <c r="P31" s="151" t="s">
        <v>52</v>
      </c>
      <c r="Q31" s="151"/>
      <c r="R31" s="82"/>
      <c r="S31" s="44"/>
      <c r="T31" s="138" t="s">
        <v>4</v>
      </c>
      <c r="U31" s="139">
        <f ca="1">G5</f>
        <v>0.99547850233136836</v>
      </c>
      <c r="V31" s="139">
        <f ca="1">G6</f>
        <v>1.001323648310785</v>
      </c>
      <c r="W31" s="139">
        <f ca="1">H7</f>
        <v>1.001403747301006</v>
      </c>
      <c r="X31" s="139">
        <f ca="1">H8</f>
        <v>0.99662641680782837</v>
      </c>
      <c r="Y31" s="139">
        <f ca="1">I9</f>
        <v>1.0014770214478288</v>
      </c>
      <c r="Z31" s="139">
        <f ca="1">I10</f>
        <v>0.99170437762287456</v>
      </c>
      <c r="AA31" s="139">
        <f ca="1">J11</f>
        <v>1.0030810637777972</v>
      </c>
      <c r="AB31" s="139">
        <f ca="1">J12</f>
        <v>0.99614812547145826</v>
      </c>
      <c r="AC31" s="138"/>
      <c r="AD31" s="138"/>
      <c r="AE31" s="129"/>
      <c r="AF31" s="130"/>
      <c r="AG31" s="44"/>
      <c r="AH31" s="44"/>
      <c r="AI31" s="44"/>
      <c r="AJ31" s="44"/>
    </row>
    <row r="32" spans="2:36" x14ac:dyDescent="0.25">
      <c r="B32" s="45"/>
      <c r="C32" s="70" t="s">
        <v>53</v>
      </c>
      <c r="D32" s="70" t="s">
        <v>51</v>
      </c>
      <c r="E32" s="100" t="s">
        <v>51</v>
      </c>
      <c r="F32" s="96" t="s">
        <v>51</v>
      </c>
      <c r="G32" s="98">
        <f ca="1">SUM(G34:G38)</f>
        <v>2.1377327520912396E-4</v>
      </c>
      <c r="H32" s="101">
        <f>SUM(H34:H38)</f>
        <v>11</v>
      </c>
      <c r="I32" s="98">
        <f ca="1">G32/H32</f>
        <v>1.943393410992036E-5</v>
      </c>
      <c r="J32" s="96">
        <f ca="1">I32/I33</f>
        <v>2.1178044813891845</v>
      </c>
      <c r="K32" s="96">
        <f ca="1">FINV(0.05,H32,H33)</f>
        <v>2.1511974556149491</v>
      </c>
      <c r="L32" s="99">
        <f ca="1">G32/G31</f>
        <v>0.45414686793038705</v>
      </c>
      <c r="M32" s="70" t="s">
        <v>51</v>
      </c>
      <c r="N32" s="44"/>
      <c r="O32" s="44"/>
      <c r="P32" s="69" t="s">
        <v>54</v>
      </c>
      <c r="Q32" s="102">
        <f ca="1">MAX(T38:X41)/SUM(T38:X41)</f>
        <v>0.22387013406783843</v>
      </c>
      <c r="R32" s="142">
        <v>20</v>
      </c>
      <c r="S32" s="44"/>
      <c r="T32" s="138" t="s">
        <v>6</v>
      </c>
      <c r="U32" s="139"/>
      <c r="V32" s="139"/>
      <c r="W32" s="139">
        <f ca="1">J5</f>
        <v>0.99846785225254342</v>
      </c>
      <c r="X32" s="139">
        <f ca="1">J6</f>
        <v>0.99696093529086716</v>
      </c>
      <c r="Y32" s="139">
        <f ca="1">I7</f>
        <v>1.0007479617977846</v>
      </c>
      <c r="Z32" s="139">
        <f ca="1">I8</f>
        <v>1.003456794780254</v>
      </c>
      <c r="AA32" s="139">
        <f ca="1">J9</f>
        <v>0.99356136002130446</v>
      </c>
      <c r="AB32" s="139">
        <f ca="1">J10</f>
        <v>0.9968411628738677</v>
      </c>
      <c r="AC32" s="139">
        <f ca="1">K11</f>
        <v>1.0006855844327869</v>
      </c>
      <c r="AD32" s="139">
        <f ca="1">K12</f>
        <v>1.0012303892290246</v>
      </c>
      <c r="AE32" s="129"/>
      <c r="AF32" s="130"/>
      <c r="AG32" s="44"/>
      <c r="AH32" s="44"/>
      <c r="AI32" s="44"/>
      <c r="AJ32" s="44"/>
    </row>
    <row r="33" spans="2:36" x14ac:dyDescent="0.25">
      <c r="B33" s="45"/>
      <c r="C33" s="70" t="s">
        <v>55</v>
      </c>
      <c r="D33" s="70" t="s">
        <v>51</v>
      </c>
      <c r="E33" s="96" t="s">
        <v>51</v>
      </c>
      <c r="F33" s="96" t="s">
        <v>51</v>
      </c>
      <c r="G33" s="98">
        <f ca="1">G31-G32</f>
        <v>2.5694069488455895E-4</v>
      </c>
      <c r="H33" s="101">
        <f ca="1">H31-H32</f>
        <v>28</v>
      </c>
      <c r="I33" s="98">
        <f ca="1">G33/H33</f>
        <v>9.1764533887342489E-6</v>
      </c>
      <c r="J33" s="96" t="s">
        <v>51</v>
      </c>
      <c r="K33" s="70" t="s">
        <v>51</v>
      </c>
      <c r="L33" s="99">
        <f ca="1">G33/G31</f>
        <v>0.54585313206961306</v>
      </c>
      <c r="M33" s="70" t="s">
        <v>51</v>
      </c>
      <c r="N33" s="44"/>
      <c r="O33" s="44"/>
      <c r="P33" s="69" t="s">
        <v>56</v>
      </c>
      <c r="Q33" s="103">
        <f>1/((1+(R32-1)/FINV(0.01/R32,R33-1,(R32)*(R33-1))))</f>
        <v>0.47498651589406576</v>
      </c>
      <c r="R33" s="142">
        <v>2</v>
      </c>
      <c r="S33" s="44"/>
      <c r="T33" s="138" t="s">
        <v>8</v>
      </c>
      <c r="U33" s="139">
        <f ca="1">G11</f>
        <v>0.99668880950992844</v>
      </c>
      <c r="V33" s="139">
        <f ca="1">G12</f>
        <v>1.0034457327562012</v>
      </c>
      <c r="W33" s="138"/>
      <c r="X33" s="138"/>
      <c r="Y33" s="139">
        <f ca="1">I5</f>
        <v>1.0059112194836355</v>
      </c>
      <c r="Z33" s="139">
        <f ca="1">I6</f>
        <v>1.0049943477505483</v>
      </c>
      <c r="AA33" s="139">
        <f ca="1">J7</f>
        <v>0.99561686527663174</v>
      </c>
      <c r="AB33" s="139">
        <f ca="1">J8</f>
        <v>1.0002685408653318</v>
      </c>
      <c r="AC33" s="139">
        <f ca="1">K9</f>
        <v>1.0037440835112066</v>
      </c>
      <c r="AD33" s="139">
        <f ca="1">K10</f>
        <v>1.002430084113241</v>
      </c>
      <c r="AE33" s="129"/>
      <c r="AF33" s="130"/>
      <c r="AG33" s="44"/>
      <c r="AH33" s="44"/>
      <c r="AI33" s="44"/>
      <c r="AJ33" s="44"/>
    </row>
    <row r="34" spans="2:36" x14ac:dyDescent="0.25">
      <c r="B34" s="45"/>
      <c r="C34" s="55" t="s">
        <v>57</v>
      </c>
      <c r="D34" s="55">
        <v>5</v>
      </c>
      <c r="E34" s="104">
        <f ca="1">SUMSQ(G14:K14)</f>
        <v>319.7272051295372</v>
      </c>
      <c r="F34" s="105">
        <f ca="1">E34*D34/$D$31</f>
        <v>39.96590064119215</v>
      </c>
      <c r="G34" s="106">
        <f ca="1">F34-F$31</f>
        <v>1.0695068638710836E-4</v>
      </c>
      <c r="H34" s="55">
        <f>D34-1</f>
        <v>4</v>
      </c>
      <c r="I34" s="106">
        <f ca="1">G34/H34</f>
        <v>2.6737671596777091E-5</v>
      </c>
      <c r="J34" s="105">
        <f ca="1">I34/I$33</f>
        <v>2.9137260839359138</v>
      </c>
      <c r="K34" s="105">
        <f ca="1">FINV(0.05,H34,H$33)</f>
        <v>2.7140758041450779</v>
      </c>
      <c r="L34" s="107">
        <f ca="1">G34/$G$31</f>
        <v>0.22720950127276385</v>
      </c>
      <c r="M34" s="107">
        <f ca="1">1-FDIST(K34/J34,H34,H$33)</f>
        <v>0.54005769319376362</v>
      </c>
      <c r="N34" s="44"/>
      <c r="O34" s="44"/>
      <c r="P34" s="95" t="s">
        <v>58</v>
      </c>
      <c r="Q34" s="44"/>
      <c r="R34" s="82"/>
      <c r="S34" s="44"/>
      <c r="T34" s="138" t="s">
        <v>10</v>
      </c>
      <c r="U34" s="139">
        <f ca="1">G9</f>
        <v>1.0032292522184467</v>
      </c>
      <c r="V34" s="139">
        <f ca="1">G10</f>
        <v>1.0001412244390011</v>
      </c>
      <c r="W34" s="139">
        <f ca="1">H11</f>
        <v>0.99721599828529639</v>
      </c>
      <c r="X34" s="139">
        <f ca="1">H12</f>
        <v>0.99856570061547323</v>
      </c>
      <c r="Y34" s="138"/>
      <c r="Z34" s="138"/>
      <c r="AA34" s="139">
        <f ca="1">J5</f>
        <v>0.99846785225254342</v>
      </c>
      <c r="AB34" s="139">
        <f ca="1">J6</f>
        <v>0.99696093529086716</v>
      </c>
      <c r="AC34" s="139">
        <f ca="1">K7</f>
        <v>1.0023701815917843</v>
      </c>
      <c r="AD34" s="139">
        <f ca="1">K8</f>
        <v>1.0019036639219665</v>
      </c>
      <c r="AE34" s="129"/>
      <c r="AF34" s="130"/>
      <c r="AG34" s="44"/>
      <c r="AH34" s="44"/>
      <c r="AI34" s="44"/>
      <c r="AJ34" s="44"/>
    </row>
    <row r="35" spans="2:36" x14ac:dyDescent="0.25">
      <c r="B35" s="45"/>
      <c r="C35" s="55" t="s">
        <v>59</v>
      </c>
      <c r="D35" s="127">
        <v>5</v>
      </c>
      <c r="E35" s="108" t="s">
        <v>51</v>
      </c>
      <c r="F35" s="105" t="s">
        <v>51</v>
      </c>
      <c r="G35" s="106">
        <f ca="1">U27</f>
        <v>9.7493026703605862E-5</v>
      </c>
      <c r="H35" s="128">
        <f>D35-1</f>
        <v>4</v>
      </c>
      <c r="I35" s="106">
        <f t="shared" ref="I35:I38" ca="1" si="5">G35/H35</f>
        <v>2.4373256675901466E-5</v>
      </c>
      <c r="J35" s="105">
        <f ca="1">I35/I$33</f>
        <v>2.656065000648729</v>
      </c>
      <c r="K35" s="105">
        <f ca="1">FINV(0.05,H35,H$33)</f>
        <v>2.7140758041450779</v>
      </c>
      <c r="L35" s="107">
        <f ca="1">G35/$G$31</f>
        <v>0.20711734279779823</v>
      </c>
      <c r="M35" s="107">
        <f ca="1">1-FDIST(K35/J35,H35,H$33)</f>
        <v>0.58685337264469517</v>
      </c>
      <c r="N35" s="44"/>
      <c r="O35" s="44"/>
      <c r="P35" s="44"/>
      <c r="Q35" s="44"/>
      <c r="R35" s="82"/>
      <c r="S35" s="44"/>
      <c r="T35" s="138" t="s">
        <v>11</v>
      </c>
      <c r="U35" s="139">
        <f ca="1">G7</f>
        <v>0.99314522388396087</v>
      </c>
      <c r="V35" s="139">
        <f ca="1">G8</f>
        <v>0.99803462610780025</v>
      </c>
      <c r="W35" s="139">
        <f ca="1">H9</f>
        <v>1.000350418591553</v>
      </c>
      <c r="X35" s="139">
        <f ca="1">H10</f>
        <v>0.99623933464824654</v>
      </c>
      <c r="Y35" s="139">
        <f ca="1">I11</f>
        <v>0.99662560061579752</v>
      </c>
      <c r="Z35" s="139">
        <f ca="1">I12</f>
        <v>1.0030012984178485</v>
      </c>
      <c r="AA35" s="138"/>
      <c r="AB35" s="138"/>
      <c r="AC35" s="139">
        <f ca="1">K5</f>
        <v>1.0046621942807128</v>
      </c>
      <c r="AD35" s="139">
        <f ca="1">K6</f>
        <v>0.99860900832404653</v>
      </c>
      <c r="AE35" s="129"/>
      <c r="AF35" s="130"/>
      <c r="AG35" s="44"/>
      <c r="AH35" s="44"/>
      <c r="AI35" s="44"/>
      <c r="AJ35" s="44"/>
    </row>
    <row r="36" spans="2:36" x14ac:dyDescent="0.25">
      <c r="B36" s="45"/>
      <c r="C36" s="55" t="str">
        <f>D4</f>
        <v>opérateur</v>
      </c>
      <c r="D36" s="55">
        <v>2</v>
      </c>
      <c r="E36" s="104">
        <f ca="1">SUM(L5,L9)^2+SUM(L7,L11)^2</f>
        <v>799.31587661509752</v>
      </c>
      <c r="F36" s="105">
        <f ca="1">E36*D36/$D$31</f>
        <v>39.965793830754876</v>
      </c>
      <c r="G36" s="106">
        <f ca="1">F36-F$31</f>
        <v>1.4024911365595472E-7</v>
      </c>
      <c r="H36" s="55">
        <f>D36-1</f>
        <v>1</v>
      </c>
      <c r="I36" s="106">
        <f t="shared" ca="1" si="5"/>
        <v>1.4024911365595472E-7</v>
      </c>
      <c r="J36" s="105">
        <f ca="1">I36/I$33</f>
        <v>1.5283585903475061E-2</v>
      </c>
      <c r="K36" s="105">
        <f ca="1">FINV(0.05,H36,H$33)</f>
        <v>4.195971818557763</v>
      </c>
      <c r="L36" s="107">
        <f ca="1">G36/$G$31</f>
        <v>2.9794975838095888E-4</v>
      </c>
      <c r="M36" s="107">
        <f ca="1">1-FDIST(K36/J36,H36,H$33)</f>
        <v>0.99999999999999944</v>
      </c>
      <c r="N36" s="44"/>
      <c r="O36" s="44"/>
      <c r="P36" s="44"/>
      <c r="Q36" s="95"/>
      <c r="R36" s="82"/>
      <c r="S36" s="44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30"/>
      <c r="AG36" s="44"/>
      <c r="AH36" s="44"/>
      <c r="AI36" s="44"/>
      <c r="AJ36" s="44"/>
    </row>
    <row r="37" spans="2:36" x14ac:dyDescent="0.25">
      <c r="B37" s="45"/>
      <c r="C37" s="55" t="str">
        <f>E4</f>
        <v>outils A</v>
      </c>
      <c r="D37" s="55">
        <v>2</v>
      </c>
      <c r="E37" s="104">
        <f ca="1">SUM(L5:L8)^2+SUM(L9:L12)^2</f>
        <v>799.3159246127309</v>
      </c>
      <c r="F37" s="105">
        <f ca="1">E37*D37/$D$31</f>
        <v>39.965796230636542</v>
      </c>
      <c r="G37" s="106">
        <f ca="1">F37-F$31</f>
        <v>2.5401307794936656E-6</v>
      </c>
      <c r="H37" s="55">
        <f>D37-1</f>
        <v>1</v>
      </c>
      <c r="I37" s="106">
        <f t="shared" ca="1" si="5"/>
        <v>2.5401307794936656E-6</v>
      </c>
      <c r="J37" s="105">
        <f ca="1">I37/I$33</f>
        <v>0.27680964223194704</v>
      </c>
      <c r="K37" s="105">
        <f ca="1">FINV(0.05,H37,H$33)</f>
        <v>4.195971818557763</v>
      </c>
      <c r="L37" s="107">
        <f ca="1">G37/$G$31</f>
        <v>5.3963360785491904E-3</v>
      </c>
      <c r="M37" s="107">
        <f ca="1">1-FDIST(K37/J37,H37,H$33)</f>
        <v>0.99944112389676376</v>
      </c>
      <c r="N37" s="44"/>
      <c r="O37" s="44"/>
      <c r="P37" s="44"/>
      <c r="Q37" s="44"/>
      <c r="R37" s="82"/>
      <c r="S37" s="44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30"/>
      <c r="AG37" s="44"/>
      <c r="AH37" s="44"/>
      <c r="AI37" s="44"/>
      <c r="AJ37" s="44"/>
    </row>
    <row r="38" spans="2:36" x14ac:dyDescent="0.25">
      <c r="B38" s="45"/>
      <c r="C38" s="55" t="str">
        <f>F4</f>
        <v>outils B</v>
      </c>
      <c r="D38" s="55">
        <v>2</v>
      </c>
      <c r="E38" s="104">
        <f ca="1">SUM(L5,L11)^2+SUM(L7:L10)^2</f>
        <v>799.3160067937597</v>
      </c>
      <c r="F38" s="105">
        <f ca="1">E38*D38/$D$31</f>
        <v>39.965800339687988</v>
      </c>
      <c r="G38" s="106">
        <f ca="1">F38-$F$31</f>
        <v>6.6491822252601196E-6</v>
      </c>
      <c r="H38" s="55">
        <f>D38-1</f>
        <v>1</v>
      </c>
      <c r="I38" s="106">
        <f t="shared" ca="1" si="5"/>
        <v>6.6491822252601196E-6</v>
      </c>
      <c r="J38" s="105">
        <f ca="1">I38/I$33</f>
        <v>0.72459172880703449</v>
      </c>
      <c r="K38" s="105">
        <f ca="1">FINV(0.05,H38,H$33)</f>
        <v>4.195971818557763</v>
      </c>
      <c r="L38" s="107">
        <f ca="1">G38/$G$31</f>
        <v>1.4125738022894838E-2</v>
      </c>
      <c r="M38" s="107">
        <f ca="1">1-FDIST(K38/J38,H38,H$33)</f>
        <v>0.97704481149351774</v>
      </c>
      <c r="N38" s="44"/>
      <c r="O38" s="44"/>
      <c r="P38" s="44"/>
      <c r="Q38" s="44"/>
      <c r="R38" s="82"/>
      <c r="S38" s="44"/>
      <c r="T38" s="138">
        <f ca="1">VAR(G5:G6)</f>
        <v>1.7082865760345342E-5</v>
      </c>
      <c r="U38" s="138">
        <f ca="1">VAR(H5:H6)</f>
        <v>2.9256236725607988E-6</v>
      </c>
      <c r="V38" s="138">
        <f ca="1">VAR(I5:I6)</f>
        <v>4.2032688746715168E-7</v>
      </c>
      <c r="W38" s="138">
        <f ca="1">VAR(J5:J6)</f>
        <v>1.1353993646938106E-6</v>
      </c>
      <c r="X38" s="138">
        <f ca="1">VAR(K5:K6)</f>
        <v>1.8320530112990831E-5</v>
      </c>
      <c r="Y38" s="129"/>
      <c r="Z38" s="129"/>
      <c r="AA38" s="129"/>
      <c r="AB38" s="129"/>
      <c r="AC38" s="129"/>
      <c r="AD38" s="129"/>
      <c r="AE38" s="129"/>
      <c r="AF38" s="130"/>
      <c r="AG38" s="44"/>
      <c r="AH38" s="44"/>
      <c r="AI38" s="44"/>
      <c r="AJ38" s="44"/>
    </row>
    <row r="39" spans="2:36" x14ac:dyDescent="0.25">
      <c r="B39" s="45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82"/>
      <c r="S39" s="44"/>
      <c r="T39" s="138">
        <f ca="1">VAR(G7:G8)</f>
        <v>1.1953127053242731E-5</v>
      </c>
      <c r="U39" s="138">
        <f ca="1">VAR(H7:H8)</f>
        <v>1.1411443320522427E-5</v>
      </c>
      <c r="V39" s="138">
        <f ca="1">VAR(I7:I8)</f>
        <v>3.6688880634569727E-6</v>
      </c>
      <c r="W39" s="138">
        <f ca="1">VAR(J7:J8)</f>
        <v>1.0819042891254001E-5</v>
      </c>
      <c r="X39" s="138">
        <f ca="1">VAR(K7:K8)</f>
        <v>1.0881936812609461E-7</v>
      </c>
      <c r="Y39" s="129"/>
      <c r="Z39" s="129"/>
      <c r="AA39" s="129"/>
      <c r="AB39" s="129"/>
      <c r="AC39" s="129"/>
      <c r="AD39" s="129"/>
      <c r="AE39" s="129"/>
      <c r="AF39" s="130"/>
      <c r="AG39" s="44"/>
      <c r="AH39" s="44"/>
      <c r="AI39" s="44"/>
      <c r="AJ39" s="44"/>
    </row>
    <row r="40" spans="2:36" x14ac:dyDescent="0.25">
      <c r="B40" s="45"/>
      <c r="C40" s="61" t="s">
        <v>0</v>
      </c>
      <c r="D40" s="109">
        <f ca="1">L32</f>
        <v>0.45414686793038705</v>
      </c>
      <c r="E40" s="44" t="s">
        <v>101</v>
      </c>
      <c r="F40" s="44"/>
      <c r="G40" s="44"/>
      <c r="H40" s="44"/>
      <c r="I40" s="44"/>
      <c r="J40" s="61" t="s">
        <v>100</v>
      </c>
      <c r="K40" s="110"/>
      <c r="L40" s="44" t="s">
        <v>103</v>
      </c>
      <c r="M40" s="44"/>
      <c r="N40" s="44"/>
      <c r="O40" s="44"/>
      <c r="P40" s="44"/>
      <c r="Q40" s="44"/>
      <c r="R40" s="82"/>
      <c r="S40" s="44"/>
      <c r="T40" s="138">
        <f ca="1">VAR(G9:G10)</f>
        <v>4.7679577833138992E-6</v>
      </c>
      <c r="U40" s="138">
        <f ca="1">VAR(H9:H10)</f>
        <v>8.4505055944562759E-6</v>
      </c>
      <c r="V40" s="138">
        <f ca="1">VAR(I9:I10)</f>
        <v>4.775228366470813E-5</v>
      </c>
      <c r="W40" s="138">
        <f ca="1">VAR(J9:J10)</f>
        <v>5.3785533758409847E-6</v>
      </c>
      <c r="X40" s="138">
        <f ca="1">VAR(K9:K10)</f>
        <v>8.6329720892699931E-7</v>
      </c>
      <c r="Y40" s="129"/>
      <c r="Z40" s="129"/>
      <c r="AA40" s="129"/>
      <c r="AB40" s="129"/>
      <c r="AC40" s="129"/>
      <c r="AD40" s="129"/>
      <c r="AE40" s="129"/>
      <c r="AF40" s="130"/>
      <c r="AG40" s="44"/>
      <c r="AH40" s="44"/>
      <c r="AI40" s="44"/>
      <c r="AJ40" s="44"/>
    </row>
    <row r="41" spans="2:36" x14ac:dyDescent="0.25">
      <c r="B41" s="45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82"/>
      <c r="S41" s="44"/>
      <c r="T41" s="138">
        <f ca="1">VAR(G11:G12)</f>
        <v>2.2828005878010541E-5</v>
      </c>
      <c r="U41" s="138">
        <f ca="1">VAR(H11:H12)</f>
        <v>9.1084819004239371E-7</v>
      </c>
      <c r="V41" s="138">
        <f ca="1">VAR(I11:I12)</f>
        <v>2.032476123153859E-5</v>
      </c>
      <c r="W41" s="138">
        <f ca="1">VAR(J11:J12)</f>
        <v>2.4032816779750635E-5</v>
      </c>
      <c r="X41" s="138">
        <f ca="1">VAR(K11:K12)</f>
        <v>1.4840613300182937E-7</v>
      </c>
      <c r="Y41" s="129"/>
      <c r="Z41" s="129"/>
      <c r="AA41" s="129"/>
      <c r="AB41" s="129"/>
      <c r="AC41" s="129"/>
      <c r="AD41" s="129"/>
      <c r="AE41" s="129"/>
      <c r="AF41" s="130"/>
      <c r="AG41" s="44"/>
      <c r="AH41" s="44"/>
      <c r="AI41" s="44"/>
      <c r="AJ41" s="44"/>
    </row>
    <row r="42" spans="2:36" x14ac:dyDescent="0.25">
      <c r="B42" s="45"/>
      <c r="C42" s="61" t="s">
        <v>60</v>
      </c>
      <c r="D42" s="109">
        <f ca="1">(I31-I33)/I31</f>
        <v>0.2397045660458961</v>
      </c>
      <c r="E42" s="44" t="s">
        <v>102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82"/>
      <c r="S42" s="44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30"/>
      <c r="AG42" s="44"/>
      <c r="AH42" s="44"/>
      <c r="AI42" s="44"/>
      <c r="AJ42" s="44"/>
    </row>
    <row r="43" spans="2:36" x14ac:dyDescent="0.25">
      <c r="B43" s="45"/>
      <c r="C43" s="44"/>
      <c r="D43" s="44"/>
      <c r="E43" s="44"/>
      <c r="F43" s="44"/>
      <c r="G43" s="44"/>
      <c r="H43" s="44"/>
      <c r="I43" s="44"/>
      <c r="L43" s="44"/>
      <c r="M43" s="44"/>
      <c r="N43" s="44"/>
      <c r="O43" s="44"/>
      <c r="P43" s="44"/>
      <c r="Q43" s="44"/>
      <c r="R43" s="82"/>
      <c r="S43" s="44"/>
      <c r="T43" s="140">
        <f ca="1">AVERAGE(T38:X41)</f>
        <v>1.0665175116712521E-5</v>
      </c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30"/>
      <c r="AG43" s="44"/>
      <c r="AH43" s="44"/>
      <c r="AI43" s="44"/>
      <c r="AJ43" s="44"/>
    </row>
    <row r="44" spans="2:36" x14ac:dyDescent="0.25">
      <c r="B44" s="45"/>
      <c r="C44" s="111" t="s">
        <v>61</v>
      </c>
      <c r="D44" s="112">
        <f ca="1">TRUNC(SQRT(I31/I33)*SQRT(2),0)</f>
        <v>1</v>
      </c>
      <c r="E44" s="95" t="s">
        <v>62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82"/>
      <c r="S44" s="44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30"/>
      <c r="AG44" s="44"/>
      <c r="AH44" s="44"/>
      <c r="AI44" s="44"/>
      <c r="AJ44" s="44"/>
    </row>
    <row r="45" spans="2:36" ht="15.75" thickBot="1" x14ac:dyDescent="0.3">
      <c r="B45" s="83"/>
      <c r="C45" s="86"/>
      <c r="D45" s="86"/>
      <c r="E45" s="86"/>
      <c r="F45" s="86"/>
      <c r="G45" s="86"/>
      <c r="H45" s="86"/>
      <c r="I45" s="86"/>
      <c r="J45" s="86"/>
      <c r="K45" s="113"/>
      <c r="L45" s="113"/>
      <c r="M45" s="113"/>
      <c r="N45" s="86"/>
      <c r="O45" s="86"/>
      <c r="P45" s="86"/>
      <c r="Q45" s="86"/>
      <c r="R45" s="87"/>
      <c r="S45" s="44"/>
      <c r="AF45" s="44"/>
      <c r="AG45" s="44"/>
      <c r="AH45" s="44"/>
      <c r="AI45" s="44"/>
      <c r="AJ45" s="44"/>
    </row>
    <row r="46" spans="2:36" x14ac:dyDescent="0.25">
      <c r="B46" s="38" t="s">
        <v>64</v>
      </c>
      <c r="K46" s="114"/>
      <c r="L46" s="114"/>
      <c r="M46" s="114"/>
      <c r="R46" s="115" t="s">
        <v>63</v>
      </c>
      <c r="S46" s="44"/>
      <c r="AF46" s="44"/>
      <c r="AG46" s="44"/>
      <c r="AH46" s="44"/>
      <c r="AI46" s="44"/>
      <c r="AJ46" s="44"/>
    </row>
    <row r="47" spans="2:36" x14ac:dyDescent="0.25">
      <c r="K47" s="114"/>
      <c r="L47" s="114"/>
      <c r="M47" s="114"/>
      <c r="R47" s="116">
        <v>42795</v>
      </c>
      <c r="S47" s="44"/>
      <c r="AF47" s="44"/>
      <c r="AG47" s="44"/>
      <c r="AH47" s="44"/>
      <c r="AI47" s="44"/>
      <c r="AJ47" s="44"/>
    </row>
    <row r="48" spans="2:36" x14ac:dyDescent="0.25">
      <c r="K48" s="114"/>
      <c r="L48" s="114"/>
      <c r="M48" s="114"/>
      <c r="S48" s="44"/>
      <c r="AF48" s="44"/>
      <c r="AG48" s="44"/>
      <c r="AH48" s="44"/>
      <c r="AI48" s="44"/>
      <c r="AJ48" s="44"/>
    </row>
    <row r="49" spans="11:36" x14ac:dyDescent="0.25">
      <c r="K49" s="114"/>
      <c r="L49" s="114"/>
      <c r="M49" s="114"/>
      <c r="S49" s="44"/>
      <c r="AF49" s="44"/>
      <c r="AG49" s="44"/>
      <c r="AH49" s="44"/>
      <c r="AI49" s="44"/>
      <c r="AJ49" s="44"/>
    </row>
    <row r="50" spans="11:36" x14ac:dyDescent="0.25">
      <c r="K50" s="114"/>
      <c r="L50" s="114"/>
      <c r="M50" s="114"/>
      <c r="S50" s="44"/>
      <c r="AF50" s="44"/>
      <c r="AG50" s="44"/>
      <c r="AH50" s="44"/>
      <c r="AI50" s="44"/>
      <c r="AJ50" s="44"/>
    </row>
    <row r="51" spans="11:36" x14ac:dyDescent="0.25">
      <c r="K51" s="114"/>
      <c r="L51" s="114"/>
      <c r="M51" s="114"/>
      <c r="S51" s="44"/>
      <c r="AF51" s="44"/>
      <c r="AG51" s="44"/>
      <c r="AH51" s="44"/>
      <c r="AI51" s="44"/>
      <c r="AJ51" s="44"/>
    </row>
    <row r="52" spans="11:36" x14ac:dyDescent="0.25">
      <c r="K52" s="114"/>
      <c r="L52" s="114"/>
      <c r="M52" s="114"/>
      <c r="S52" s="44"/>
      <c r="AF52" s="44"/>
      <c r="AG52" s="44"/>
      <c r="AH52" s="44"/>
      <c r="AI52" s="44"/>
      <c r="AJ52" s="44"/>
    </row>
    <row r="53" spans="11:36" x14ac:dyDescent="0.25">
      <c r="K53" s="114"/>
      <c r="L53" s="114"/>
      <c r="M53" s="114"/>
      <c r="Q53" s="117"/>
      <c r="S53" s="44"/>
      <c r="AF53" s="44"/>
      <c r="AG53" s="44"/>
      <c r="AH53" s="44"/>
      <c r="AI53" s="44"/>
      <c r="AJ53" s="44"/>
    </row>
    <row r="54" spans="11:36" x14ac:dyDescent="0.25">
      <c r="K54" s="114"/>
      <c r="L54" s="114"/>
      <c r="M54" s="114"/>
    </row>
    <row r="55" spans="11:36" x14ac:dyDescent="0.25">
      <c r="K55" s="114"/>
      <c r="L55" s="114"/>
      <c r="M55" s="114"/>
    </row>
    <row r="56" spans="11:36" x14ac:dyDescent="0.25">
      <c r="K56" s="114"/>
      <c r="L56" s="114"/>
      <c r="M56" s="114"/>
    </row>
    <row r="57" spans="11:36" x14ac:dyDescent="0.25">
      <c r="K57" s="114"/>
      <c r="L57" s="114"/>
      <c r="M57" s="114"/>
    </row>
    <row r="58" spans="11:36" x14ac:dyDescent="0.25">
      <c r="K58" s="114"/>
      <c r="L58" s="114"/>
      <c r="M58" s="114"/>
    </row>
    <row r="59" spans="11:36" x14ac:dyDescent="0.25">
      <c r="K59" s="114"/>
      <c r="L59" s="114"/>
      <c r="M59" s="114"/>
    </row>
    <row r="60" spans="11:36" x14ac:dyDescent="0.25">
      <c r="K60" s="114"/>
      <c r="L60" s="114"/>
      <c r="M60" s="114"/>
    </row>
    <row r="61" spans="11:36" x14ac:dyDescent="0.25">
      <c r="K61" s="114"/>
      <c r="L61" s="114"/>
      <c r="M61" s="114"/>
    </row>
    <row r="62" spans="11:36" x14ac:dyDescent="0.25">
      <c r="K62" s="114"/>
      <c r="L62" s="114"/>
      <c r="M62" s="114"/>
    </row>
    <row r="63" spans="11:36" x14ac:dyDescent="0.25">
      <c r="K63" s="114"/>
      <c r="L63" s="114"/>
      <c r="M63" s="114"/>
    </row>
    <row r="64" spans="11:36" x14ac:dyDescent="0.25">
      <c r="K64" s="114"/>
      <c r="L64" s="114"/>
      <c r="M64" s="114"/>
    </row>
    <row r="65" spans="11:13" x14ac:dyDescent="0.25">
      <c r="K65" s="114"/>
      <c r="L65" s="114"/>
      <c r="M65" s="114"/>
    </row>
    <row r="86" spans="32:34" x14ac:dyDescent="0.25">
      <c r="AF86" s="114"/>
      <c r="AG86" s="114"/>
      <c r="AH86" s="114"/>
    </row>
  </sheetData>
  <protectedRanges>
    <protectedRange sqref="M4:M8 P5:P6 G5:K12 D4:F4" name="Plage1"/>
  </protectedRanges>
  <mergeCells count="28">
    <mergeCell ref="P31:Q31"/>
    <mergeCell ref="C9:C10"/>
    <mergeCell ref="D9:D10"/>
    <mergeCell ref="E9:E10"/>
    <mergeCell ref="F9:F10"/>
    <mergeCell ref="L9:L10"/>
    <mergeCell ref="C11:C12"/>
    <mergeCell ref="D11:D12"/>
    <mergeCell ref="E11:E12"/>
    <mergeCell ref="F11:F12"/>
    <mergeCell ref="L11:L12"/>
    <mergeCell ref="L5:L6"/>
    <mergeCell ref="C7:C8"/>
    <mergeCell ref="D7:D8"/>
    <mergeCell ref="E7:E8"/>
    <mergeCell ref="F7:F8"/>
    <mergeCell ref="L7:L8"/>
    <mergeCell ref="C3:F3"/>
    <mergeCell ref="G3:K3"/>
    <mergeCell ref="C5:C6"/>
    <mergeCell ref="D5:D6"/>
    <mergeCell ref="E5:E6"/>
    <mergeCell ref="F5:F6"/>
    <mergeCell ref="U30:V30"/>
    <mergeCell ref="W30:X30"/>
    <mergeCell ref="Y30:Z30"/>
    <mergeCell ref="AA30:AB30"/>
    <mergeCell ref="AC30:AD30"/>
  </mergeCells>
  <pageMargins left="0.7" right="0.7" top="0.75" bottom="0.75" header="0.3" footer="0.3"/>
  <pageSetup paperSize="9" orientation="portrait" r:id="rId1"/>
  <ignoredErrors>
    <ignoredError sqref="L9 G3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36"/>
  <sheetViews>
    <sheetView workbookViewId="0">
      <selection activeCell="C18" sqref="C18"/>
    </sheetView>
  </sheetViews>
  <sheetFormatPr baseColWidth="10" defaultColWidth="10.42578125" defaultRowHeight="12" x14ac:dyDescent="0.2"/>
  <cols>
    <col min="1" max="1" width="7.42578125" style="3" customWidth="1"/>
    <col min="2" max="2" width="24.42578125" style="3" customWidth="1"/>
    <col min="3" max="7" width="12.7109375" style="3" bestFit="1" customWidth="1"/>
    <col min="8" max="16384" width="10.42578125" style="3"/>
  </cols>
  <sheetData>
    <row r="1" spans="1:11" s="1" customFormat="1" ht="13.5" thickBot="1" x14ac:dyDescent="0.25">
      <c r="B1" s="2" t="s">
        <v>65</v>
      </c>
    </row>
    <row r="2" spans="1:11" ht="12.75" thickBot="1" x14ac:dyDescent="0.25">
      <c r="B2" s="3" t="s">
        <v>66</v>
      </c>
      <c r="C2" s="4">
        <f>Analytique!P6</f>
        <v>0.95</v>
      </c>
      <c r="E2" s="3">
        <v>20</v>
      </c>
      <c r="F2" s="3">
        <v>100</v>
      </c>
    </row>
    <row r="3" spans="1:11" ht="15.75" thickBot="1" x14ac:dyDescent="0.3">
      <c r="B3" s="3" t="s">
        <v>67</v>
      </c>
      <c r="C3" s="5">
        <f>Analytique!P5</f>
        <v>0.02</v>
      </c>
      <c r="E3" s="3">
        <v>0.01</v>
      </c>
      <c r="F3" s="3">
        <f>E3*F2/E2</f>
        <v>0.05</v>
      </c>
    </row>
    <row r="5" spans="1:11" x14ac:dyDescent="0.2">
      <c r="B5" s="6" t="s">
        <v>68</v>
      </c>
      <c r="C5" s="6" t="s">
        <v>69</v>
      </c>
      <c r="D5" s="6" t="s">
        <v>70</v>
      </c>
      <c r="E5" s="6" t="s">
        <v>71</v>
      </c>
      <c r="F5" s="6" t="s">
        <v>72</v>
      </c>
      <c r="G5" s="6" t="s">
        <v>73</v>
      </c>
    </row>
    <row r="6" spans="1:11" s="7" customFormat="1" x14ac:dyDescent="0.2">
      <c r="A6" s="7">
        <v>2</v>
      </c>
      <c r="B6" s="8" t="s">
        <v>74</v>
      </c>
      <c r="C6" s="9">
        <f>'80%'!B2</f>
        <v>80</v>
      </c>
      <c r="D6" s="9">
        <f>'90%'!B2</f>
        <v>90</v>
      </c>
      <c r="E6" s="9">
        <f>'100%'!B2</f>
        <v>100</v>
      </c>
      <c r="F6" s="10">
        <f>'110%'!B2</f>
        <v>110</v>
      </c>
      <c r="G6" s="9">
        <f>'120%'!B2</f>
        <v>120</v>
      </c>
    </row>
    <row r="7" spans="1:11" x14ac:dyDescent="0.2">
      <c r="A7" s="3">
        <v>30</v>
      </c>
      <c r="B7" s="11" t="s">
        <v>75</v>
      </c>
      <c r="C7" s="12">
        <f ca="1">'80%'!B22</f>
        <v>79.914870195574906</v>
      </c>
      <c r="D7" s="12">
        <f ca="1">'90%'!B22</f>
        <v>89.840592042669158</v>
      </c>
      <c r="E7" s="12">
        <f ca="1">'100%'!B22</f>
        <v>100.09898277395713</v>
      </c>
      <c r="F7" s="12">
        <f ca="1">'110%'!B22</f>
        <v>109.73800620515976</v>
      </c>
      <c r="G7" s="12">
        <f ca="1">'120%'!B22</f>
        <v>120.23452784107155</v>
      </c>
      <c r="K7" s="13" t="str">
        <f>ADDRESS($A8,2,,,C$5)</f>
        <v>'Niveau A'!$B$31</v>
      </c>
    </row>
    <row r="8" spans="1:11" x14ac:dyDescent="0.2">
      <c r="A8" s="3">
        <v>31</v>
      </c>
      <c r="B8" s="11" t="s">
        <v>76</v>
      </c>
      <c r="C8" s="12">
        <f ca="1">'80%'!B23</f>
        <v>0.30101682736993712</v>
      </c>
      <c r="D8" s="12">
        <f ca="1">'90%'!B23</f>
        <v>0.21062786579930876</v>
      </c>
      <c r="E8" s="12">
        <f ca="1">'100%'!B23</f>
        <v>0.42475363402557348</v>
      </c>
      <c r="F8" s="12">
        <f ca="1">'110%'!B23</f>
        <v>0.35373942746732095</v>
      </c>
      <c r="G8" s="12">
        <f ca="1">'120%'!B23</f>
        <v>0.26455205567707651</v>
      </c>
    </row>
    <row r="9" spans="1:11" x14ac:dyDescent="0.2">
      <c r="A9" s="3">
        <v>32</v>
      </c>
      <c r="B9" s="11" t="s">
        <v>77</v>
      </c>
      <c r="C9" s="12">
        <f ca="1">'80%'!B24</f>
        <v>0</v>
      </c>
      <c r="D9" s="12">
        <f ca="1">'90%'!B24</f>
        <v>0</v>
      </c>
      <c r="E9" s="12">
        <f ca="1">'100%'!B24</f>
        <v>0.22233301694530147</v>
      </c>
      <c r="F9" s="12">
        <f ca="1">'110%'!B24</f>
        <v>0</v>
      </c>
      <c r="G9" s="12">
        <f ca="1">'120%'!B24</f>
        <v>0</v>
      </c>
      <c r="H9" s="14"/>
    </row>
    <row r="10" spans="1:11" x14ac:dyDescent="0.2">
      <c r="A10" s="3">
        <v>33</v>
      </c>
      <c r="B10" s="11" t="s">
        <v>78</v>
      </c>
      <c r="C10" s="12">
        <f ca="1">'80%'!B25</f>
        <v>0.30101682736993712</v>
      </c>
      <c r="D10" s="12">
        <f ca="1">'90%'!B25</f>
        <v>0.21062786579930876</v>
      </c>
      <c r="E10" s="12">
        <f ca="1">'100%'!B25</f>
        <v>0.47942425892097967</v>
      </c>
      <c r="F10" s="12">
        <f ca="1">'110%'!B25</f>
        <v>0.35373942746732095</v>
      </c>
      <c r="G10" s="12">
        <f ca="1">'120%'!B25</f>
        <v>0.26455205567707651</v>
      </c>
    </row>
    <row r="11" spans="1:11" x14ac:dyDescent="0.2">
      <c r="A11" s="3">
        <v>37</v>
      </c>
      <c r="B11" s="11" t="s">
        <v>79</v>
      </c>
      <c r="C11" s="12">
        <f ca="1">'80%'!B29</f>
        <v>0</v>
      </c>
      <c r="D11" s="12">
        <f ca="1">'90%'!B29</f>
        <v>0</v>
      </c>
      <c r="E11" s="12">
        <f ca="1">'100%'!B29</f>
        <v>0.27398937136929424</v>
      </c>
      <c r="F11" s="12">
        <f ca="1">'110%'!B29</f>
        <v>0</v>
      </c>
      <c r="G11" s="12">
        <f ca="1">'120%'!B29</f>
        <v>0</v>
      </c>
    </row>
    <row r="12" spans="1:11" x14ac:dyDescent="0.2">
      <c r="A12" s="3">
        <v>39</v>
      </c>
      <c r="B12" s="11" t="s">
        <v>80</v>
      </c>
      <c r="C12" s="12">
        <f ca="1">'80%'!B31</f>
        <v>1.0606601717798212</v>
      </c>
      <c r="D12" s="12">
        <f ca="1">'90%'!B31</f>
        <v>1.0606601717798212</v>
      </c>
      <c r="E12" s="12">
        <f ca="1">'100%'!B31</f>
        <v>1.0732581291992538</v>
      </c>
      <c r="F12" s="12">
        <f ca="1">'110%'!B31</f>
        <v>1.0606601717798212</v>
      </c>
      <c r="G12" s="12">
        <f ca="1">'120%'!B31</f>
        <v>1.0606601717798212</v>
      </c>
    </row>
    <row r="13" spans="1:11" x14ac:dyDescent="0.2">
      <c r="A13" s="3">
        <v>40</v>
      </c>
      <c r="B13" s="11" t="s">
        <v>81</v>
      </c>
      <c r="C13" s="12">
        <f ca="1">'80%'!B32</f>
        <v>6.8571428571428577</v>
      </c>
      <c r="D13" s="12">
        <f ca="1">'90%'!B32</f>
        <v>6.8571428571428577</v>
      </c>
      <c r="E13" s="12">
        <f ca="1">'100%'!B32</f>
        <v>6.190436278731454</v>
      </c>
      <c r="F13" s="12">
        <f ca="1">'110%'!B32</f>
        <v>6.8571428571428577</v>
      </c>
      <c r="G13" s="12">
        <f ca="1">'120%'!B32</f>
        <v>6.8571428571428577</v>
      </c>
    </row>
    <row r="14" spans="1:11" x14ac:dyDescent="0.2">
      <c r="A14" s="3">
        <v>47</v>
      </c>
      <c r="B14" s="11" t="s">
        <v>82</v>
      </c>
      <c r="C14" s="12">
        <f ca="1">'80%'!B39</f>
        <v>79.156147884714528</v>
      </c>
      <c r="D14" s="12">
        <f ca="1">'90%'!B39</f>
        <v>89.309697931309586</v>
      </c>
      <c r="E14" s="12">
        <f ca="1">'100%'!B39</f>
        <v>98.84799732524742</v>
      </c>
      <c r="F14" s="12">
        <f ca="1">'110%'!B39</f>
        <v>108.84639493480181</v>
      </c>
      <c r="G14" s="12">
        <f ca="1">'120%'!B39</f>
        <v>119.56771612566038</v>
      </c>
    </row>
    <row r="15" spans="1:11" x14ac:dyDescent="0.2">
      <c r="A15" s="3">
        <v>48</v>
      </c>
      <c r="B15" s="11" t="s">
        <v>83</v>
      </c>
      <c r="C15" s="12">
        <f ca="1">'80%'!B40</f>
        <v>80.673592506435284</v>
      </c>
      <c r="D15" s="12">
        <f ca="1">'90%'!B40</f>
        <v>90.37148615402873</v>
      </c>
      <c r="E15" s="12">
        <f ca="1">'100%'!B40</f>
        <v>101.34996822266685</v>
      </c>
      <c r="F15" s="12">
        <f ca="1">'110%'!B40</f>
        <v>110.62961747551772</v>
      </c>
      <c r="G15" s="12">
        <f ca="1">'120%'!B40</f>
        <v>120.90133955648272</v>
      </c>
    </row>
    <row r="16" spans="1:11" x14ac:dyDescent="0.2">
      <c r="A16" s="3">
        <v>35</v>
      </c>
      <c r="B16" s="11" t="s">
        <v>84</v>
      </c>
      <c r="C16" s="15">
        <f ca="1">'80%'!B27</f>
        <v>-1.0641225553136291E-3</v>
      </c>
      <c r="D16" s="15">
        <f ca="1">'90%'!B27</f>
        <v>-1.7711995258982149E-3</v>
      </c>
      <c r="E16" s="15">
        <f ca="1">'100%'!B27</f>
        <v>9.8982773957123626E-4</v>
      </c>
      <c r="F16" s="15">
        <f ca="1">'110%'!B27</f>
        <v>-2.3817617712749151E-3</v>
      </c>
      <c r="G16" s="15">
        <f ca="1">'120%'!B27</f>
        <v>1.954398675596325E-3</v>
      </c>
    </row>
    <row r="17" spans="2:7" s="7" customFormat="1" x14ac:dyDescent="0.2">
      <c r="B17" s="9" t="s">
        <v>85</v>
      </c>
      <c r="C17" s="16">
        <f ca="1">C7/C$6</f>
        <v>0.99893587744468637</v>
      </c>
      <c r="D17" s="16">
        <f t="shared" ref="D17:G17" ca="1" si="0">D7/D$6</f>
        <v>0.99822880047410179</v>
      </c>
      <c r="E17" s="16">
        <f t="shared" ca="1" si="0"/>
        <v>1.0009898277395712</v>
      </c>
      <c r="F17" s="16">
        <f t="shared" ca="1" si="0"/>
        <v>0.99761823822872508</v>
      </c>
      <c r="G17" s="16">
        <f t="shared" ca="1" si="0"/>
        <v>1.0019543986755963</v>
      </c>
    </row>
    <row r="18" spans="2:7" s="7" customFormat="1" x14ac:dyDescent="0.2">
      <c r="B18" s="9" t="s">
        <v>86</v>
      </c>
      <c r="C18" s="16">
        <f ca="1">C14/C$6</f>
        <v>0.98945184855893165</v>
      </c>
      <c r="D18" s="16">
        <f ca="1">D14/D$6</f>
        <v>0.99232997701455095</v>
      </c>
      <c r="E18" s="16">
        <f t="shared" ref="E18:G19" ca="1" si="1">E14/E$6</f>
        <v>0.98847997325247416</v>
      </c>
      <c r="F18" s="16">
        <f t="shared" ca="1" si="1"/>
        <v>0.98951268122547098</v>
      </c>
      <c r="G18" s="16">
        <f t="shared" ca="1" si="1"/>
        <v>0.99639763438050322</v>
      </c>
    </row>
    <row r="19" spans="2:7" s="7" customFormat="1" x14ac:dyDescent="0.2">
      <c r="B19" s="9" t="s">
        <v>87</v>
      </c>
      <c r="C19" s="16">
        <f ca="1">C15/C$6</f>
        <v>1.0084199063304411</v>
      </c>
      <c r="D19" s="16">
        <f ca="1">D15/D$6</f>
        <v>1.0041276239336525</v>
      </c>
      <c r="E19" s="16">
        <f t="shared" ca="1" si="1"/>
        <v>1.0134996822266684</v>
      </c>
      <c r="F19" s="16">
        <f ca="1">F15/F$6</f>
        <v>1.0057237952319793</v>
      </c>
      <c r="G19" s="16">
        <f t="shared" ca="1" si="1"/>
        <v>1.0075111629706894</v>
      </c>
    </row>
    <row r="20" spans="2:7" s="7" customFormat="1" x14ac:dyDescent="0.2">
      <c r="B20" s="9" t="s">
        <v>88</v>
      </c>
      <c r="C20" s="17">
        <f>1-$C$3</f>
        <v>0.98</v>
      </c>
      <c r="D20" s="17">
        <f t="shared" ref="D20:G20" si="2">1-$C$3</f>
        <v>0.98</v>
      </c>
      <c r="E20" s="17">
        <f t="shared" si="2"/>
        <v>0.98</v>
      </c>
      <c r="F20" s="17">
        <f t="shared" si="2"/>
        <v>0.98</v>
      </c>
      <c r="G20" s="17">
        <f t="shared" si="2"/>
        <v>0.98</v>
      </c>
    </row>
    <row r="21" spans="2:7" s="7" customFormat="1" x14ac:dyDescent="0.2">
      <c r="B21" s="9" t="s">
        <v>89</v>
      </c>
      <c r="C21" s="17">
        <f t="shared" ref="C21:G21" si="3">1+$C$3</f>
        <v>1.02</v>
      </c>
      <c r="D21" s="17">
        <f t="shared" si="3"/>
        <v>1.02</v>
      </c>
      <c r="E21" s="17">
        <f t="shared" si="3"/>
        <v>1.02</v>
      </c>
      <c r="F21" s="17">
        <f t="shared" si="3"/>
        <v>1.02</v>
      </c>
      <c r="G21" s="17">
        <f t="shared" si="3"/>
        <v>1.02</v>
      </c>
    </row>
    <row r="22" spans="2:7" s="7" customFormat="1" x14ac:dyDescent="0.2">
      <c r="B22" s="18"/>
      <c r="C22" s="19"/>
      <c r="D22" s="19"/>
      <c r="E22" s="19"/>
      <c r="F22" s="19"/>
      <c r="G22" s="19"/>
    </row>
    <row r="23" spans="2:7" s="7" customFormat="1" x14ac:dyDescent="0.2">
      <c r="B23" s="18"/>
      <c r="C23" s="19"/>
      <c r="D23" s="19"/>
      <c r="E23" s="19"/>
      <c r="F23" s="19"/>
      <c r="G23" s="19"/>
    </row>
    <row r="24" spans="2:7" s="7" customFormat="1" x14ac:dyDescent="0.2">
      <c r="B24" s="18"/>
      <c r="C24" s="19"/>
      <c r="D24" s="19"/>
      <c r="E24" s="19"/>
      <c r="F24" s="19"/>
      <c r="G24" s="19"/>
    </row>
    <row r="25" spans="2:7" s="7" customFormat="1" x14ac:dyDescent="0.2">
      <c r="B25" s="18"/>
      <c r="C25" s="19"/>
      <c r="D25" s="19"/>
      <c r="E25" s="19"/>
      <c r="F25" s="19"/>
      <c r="G25" s="19"/>
    </row>
    <row r="26" spans="2:7" s="7" customFormat="1" x14ac:dyDescent="0.2">
      <c r="B26" s="18"/>
      <c r="C26" s="19"/>
      <c r="D26" s="19"/>
      <c r="E26" s="19"/>
      <c r="F26" s="19"/>
      <c r="G26" s="19"/>
    </row>
    <row r="27" spans="2:7" s="1" customFormat="1" x14ac:dyDescent="0.2">
      <c r="B27" s="1" t="s">
        <v>90</v>
      </c>
    </row>
    <row r="28" spans="2:7" x14ac:dyDescent="0.2">
      <c r="B28" s="3" t="s">
        <v>91</v>
      </c>
      <c r="C28" s="20">
        <f t="shared" ref="C28:G28" ca="1" si="4">C$12*C$10</f>
        <v>0.3192765598268143</v>
      </c>
      <c r="D28" s="20">
        <f t="shared" ca="1" si="4"/>
        <v>0.22340458832031196</v>
      </c>
      <c r="E28" s="20">
        <f t="shared" ca="1" si="4"/>
        <v>0.5145459832222693</v>
      </c>
      <c r="F28" s="20">
        <f t="shared" ca="1" si="4"/>
        <v>0.37519732190278426</v>
      </c>
      <c r="G28" s="20">
        <f t="shared" ca="1" si="4"/>
        <v>0.2805998288191528</v>
      </c>
    </row>
    <row r="29" spans="2:7" x14ac:dyDescent="0.2">
      <c r="B29" s="3" t="s">
        <v>92</v>
      </c>
      <c r="C29" s="21">
        <f t="shared" ref="C29:G29" ca="1" si="5">2*C28/C7</f>
        <v>7.9904167783906004E-3</v>
      </c>
      <c r="D29" s="21">
        <f t="shared" ca="1" si="5"/>
        <v>4.9733552115107946E-3</v>
      </c>
      <c r="E29" s="21">
        <f t="shared" ca="1" si="5"/>
        <v>1.0280743499346316E-2</v>
      </c>
      <c r="F29" s="21">
        <f t="shared" ca="1" si="5"/>
        <v>6.8380561097736237E-3</v>
      </c>
      <c r="G29" s="21">
        <f t="shared" ca="1" si="5"/>
        <v>4.6675415765769944E-3</v>
      </c>
    </row>
    <row r="30" spans="2:7" x14ac:dyDescent="0.2">
      <c r="C30" s="20"/>
      <c r="D30" s="20"/>
      <c r="E30" s="20"/>
      <c r="F30" s="20"/>
      <c r="G30" s="20"/>
    </row>
    <row r="31" spans="2:7" s="22" customFormat="1" x14ac:dyDescent="0.2">
      <c r="F31" s="23"/>
    </row>
    <row r="32" spans="2:7" s="22" customFormat="1" x14ac:dyDescent="0.2">
      <c r="F32" s="23"/>
    </row>
    <row r="33" spans="3:7" s="22" customFormat="1" x14ac:dyDescent="0.2">
      <c r="C33" s="23"/>
      <c r="D33" s="23"/>
      <c r="E33" s="23"/>
      <c r="F33" s="23"/>
      <c r="G33" s="23"/>
    </row>
    <row r="34" spans="3:7" s="22" customFormat="1" x14ac:dyDescent="0.2">
      <c r="C34" s="23"/>
      <c r="D34" s="23"/>
      <c r="E34" s="23"/>
      <c r="F34" s="23"/>
      <c r="G34" s="23"/>
    </row>
    <row r="35" spans="3:7" s="22" customFormat="1" x14ac:dyDescent="0.2">
      <c r="C35" s="24"/>
      <c r="D35" s="24"/>
      <c r="E35" s="24"/>
      <c r="F35" s="24"/>
      <c r="G35" s="24"/>
    </row>
    <row r="36" spans="3:7" s="22" customFormat="1" x14ac:dyDescent="0.2">
      <c r="C36" s="24"/>
      <c r="D36" s="24"/>
      <c r="E36" s="24"/>
      <c r="F36" s="24"/>
      <c r="G36" s="24"/>
    </row>
  </sheetData>
  <sheetProtection pivotTables="0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I40"/>
  <sheetViews>
    <sheetView zoomScaleNormal="100" workbookViewId="0">
      <selection activeCell="I43" sqref="I43"/>
    </sheetView>
  </sheetViews>
  <sheetFormatPr baseColWidth="10" defaultColWidth="10.85546875" defaultRowHeight="12" x14ac:dyDescent="0.2"/>
  <cols>
    <col min="1" max="1" width="24.5703125" style="14" customWidth="1"/>
    <col min="2" max="2" width="17.7109375" style="14" bestFit="1" customWidth="1"/>
    <col min="3" max="3" width="11.5703125" style="14" customWidth="1"/>
    <col min="4" max="4" width="11.140625" style="14" customWidth="1"/>
    <col min="5" max="5" width="12.42578125" style="14" customWidth="1"/>
    <col min="6" max="6" width="10.28515625" style="14" customWidth="1"/>
    <col min="7" max="7" width="3.5703125" style="14" customWidth="1"/>
    <col min="8" max="8" width="6.42578125" style="14" customWidth="1"/>
    <col min="9" max="9" width="15" style="14" bestFit="1" customWidth="1"/>
    <col min="10" max="10" width="10.85546875" style="14" customWidth="1"/>
    <col min="11" max="16384" width="10.85546875" style="14"/>
  </cols>
  <sheetData>
    <row r="1" spans="1:9" ht="12.75" thickBot="1" x14ac:dyDescent="0.25">
      <c r="A1" s="25" t="s">
        <v>69</v>
      </c>
    </row>
    <row r="2" spans="1:9" ht="13.5" thickBot="1" x14ac:dyDescent="0.25">
      <c r="A2" s="2" t="s">
        <v>74</v>
      </c>
      <c r="B2" s="26">
        <v>80</v>
      </c>
    </row>
    <row r="4" spans="1:9" x14ac:dyDescent="0.2">
      <c r="B4" s="14" t="s">
        <v>93</v>
      </c>
      <c r="C4" s="14" t="s">
        <v>94</v>
      </c>
      <c r="D4" s="14" t="s">
        <v>95</v>
      </c>
      <c r="E4" s="14" t="s">
        <v>96</v>
      </c>
      <c r="F4" s="14" t="s">
        <v>97</v>
      </c>
      <c r="H4" s="14" t="s">
        <v>98</v>
      </c>
      <c r="I4" s="14" t="s">
        <v>99</v>
      </c>
    </row>
    <row r="5" spans="1:9" x14ac:dyDescent="0.2">
      <c r="A5" s="14" t="s">
        <v>111</v>
      </c>
      <c r="B5" s="27">
        <f ca="1">Analytique!U31*$B$2</f>
        <v>79.638280186509462</v>
      </c>
      <c r="C5" s="27">
        <f ca="1">Analytique!V31*$B$2</f>
        <v>80.105891864862798</v>
      </c>
      <c r="D5" s="27"/>
      <c r="E5" s="28"/>
      <c r="F5" s="29"/>
      <c r="H5" s="30">
        <f ca="1">COUNT(B5:F5)</f>
        <v>2</v>
      </c>
      <c r="I5" s="31">
        <f ca="1">IF(H5=0,"",DEVSQ(B5:F5))</f>
        <v>0.10933034086621185</v>
      </c>
    </row>
    <row r="6" spans="1:9" x14ac:dyDescent="0.2">
      <c r="A6" s="14" t="s">
        <v>112</v>
      </c>
      <c r="B6" s="27"/>
      <c r="C6" s="27"/>
      <c r="D6" s="27"/>
      <c r="E6" s="28"/>
      <c r="F6" s="29"/>
      <c r="H6" s="30"/>
      <c r="I6" s="31"/>
    </row>
    <row r="7" spans="1:9" x14ac:dyDescent="0.2">
      <c r="A7" s="14" t="s">
        <v>113</v>
      </c>
      <c r="B7" s="27">
        <f ca="1">Analytique!U33*$B$2</f>
        <v>79.735104760794272</v>
      </c>
      <c r="C7" s="27">
        <f ca="1">Analytique!V33*$B$2</f>
        <v>80.275658620496102</v>
      </c>
      <c r="D7" s="27"/>
      <c r="E7" s="28"/>
      <c r="F7" s="29"/>
      <c r="H7" s="30">
        <f ca="1">COUNT(B7:F7)</f>
        <v>2</v>
      </c>
      <c r="I7" s="31">
        <f ca="1">IF(H7=0,"",DEVSQ(B7:F7))</f>
        <v>0.14609923761927324</v>
      </c>
    </row>
    <row r="8" spans="1:9" x14ac:dyDescent="0.2">
      <c r="A8" s="14" t="s">
        <v>114</v>
      </c>
      <c r="B8" s="27">
        <f ca="1">Analytique!U34*$B$2</f>
        <v>80.258340177475731</v>
      </c>
      <c r="C8" s="27">
        <f ca="1">Analytique!V34*$B$2</f>
        <v>80.011297955120085</v>
      </c>
      <c r="D8" s="28"/>
      <c r="E8" s="28"/>
      <c r="F8" s="29"/>
      <c r="H8" s="30">
        <f ca="1">COUNT(B8:F8)</f>
        <v>2</v>
      </c>
      <c r="I8" s="31">
        <f ca="1">IF(H8=0,"",DEVSQ(B8:F8))</f>
        <v>3.051492981320808E-2</v>
      </c>
    </row>
    <row r="9" spans="1:9" x14ac:dyDescent="0.2">
      <c r="A9" s="14" t="s">
        <v>115</v>
      </c>
      <c r="B9" s="27">
        <f ca="1">Analytique!U35*$B$2</f>
        <v>79.451617910716863</v>
      </c>
      <c r="C9" s="27">
        <f ca="1">Analytique!V35*$B$2</f>
        <v>79.842770088624022</v>
      </c>
      <c r="D9" s="28"/>
      <c r="E9" s="28"/>
      <c r="F9" s="29"/>
      <c r="H9" s="30">
        <f ca="1">COUNT(B9:F9)</f>
        <v>2</v>
      </c>
      <c r="I9" s="31">
        <f ca="1">IF(H9=0,"",DEVSQ(B9:F9))</f>
        <v>7.6500013140756939E-2</v>
      </c>
    </row>
    <row r="10" spans="1:9" s="2" customFormat="1" ht="12.75" x14ac:dyDescent="0.2"/>
    <row r="11" spans="1:9" x14ac:dyDescent="0.2">
      <c r="A11" s="14" t="s">
        <v>116</v>
      </c>
      <c r="B11" s="14">
        <f ca="1">COUNT(B5:B9)</f>
        <v>4</v>
      </c>
      <c r="C11" s="32"/>
    </row>
    <row r="12" spans="1:9" x14ac:dyDescent="0.2">
      <c r="A12" s="14" t="s">
        <v>117</v>
      </c>
      <c r="B12" s="14">
        <f ca="1">COUNT(B5:F9)</f>
        <v>8</v>
      </c>
      <c r="C12" s="32"/>
    </row>
    <row r="13" spans="1:9" x14ac:dyDescent="0.2">
      <c r="A13" s="14" t="s">
        <v>118</v>
      </c>
      <c r="B13" s="14">
        <f ca="1">IF(H5*B11&lt;&gt;B12,"Calcul impossible",H5)</f>
        <v>2</v>
      </c>
      <c r="C13" s="32"/>
    </row>
    <row r="14" spans="1:9" x14ac:dyDescent="0.2">
      <c r="A14" s="14" t="s">
        <v>119</v>
      </c>
      <c r="B14" s="33">
        <f ca="1">SUM(I5:I9)</f>
        <v>0.36244452143945011</v>
      </c>
      <c r="C14" s="32"/>
    </row>
    <row r="15" spans="1:9" x14ac:dyDescent="0.2">
      <c r="A15" s="14" t="s">
        <v>120</v>
      </c>
      <c r="B15" s="33">
        <f ca="1">DEVSQ(B5:F9)</f>
        <v>0.62254625647772588</v>
      </c>
      <c r="C15" s="32"/>
    </row>
    <row r="16" spans="1:9" x14ac:dyDescent="0.2">
      <c r="A16" s="14" t="s">
        <v>121</v>
      </c>
      <c r="B16" s="33">
        <f ca="1">B15-B14</f>
        <v>0.26010173503827577</v>
      </c>
      <c r="C16" s="32"/>
    </row>
    <row r="17" spans="1:9" x14ac:dyDescent="0.2">
      <c r="A17" s="14" t="s">
        <v>122</v>
      </c>
      <c r="B17" s="33">
        <f ca="1">((B16/(B11-1))-B18)/B13</f>
        <v>-1.9552760068853037E-3</v>
      </c>
      <c r="C17" s="32"/>
    </row>
    <row r="18" spans="1:9" x14ac:dyDescent="0.2">
      <c r="A18" s="14" t="s">
        <v>123</v>
      </c>
      <c r="B18" s="33">
        <f ca="1">B14/(B12-B11)</f>
        <v>9.0611130359862527E-2</v>
      </c>
      <c r="C18" s="32"/>
    </row>
    <row r="19" spans="1:9" x14ac:dyDescent="0.2">
      <c r="A19" s="14" t="s">
        <v>124</v>
      </c>
      <c r="B19" s="33">
        <f ca="1">IF(B17&lt;0,0,B17)</f>
        <v>0</v>
      </c>
      <c r="C19" s="32"/>
    </row>
    <row r="20" spans="1:9" x14ac:dyDescent="0.2">
      <c r="A20" s="14" t="s">
        <v>125</v>
      </c>
      <c r="B20" s="33">
        <f ca="1">SUM(B18:B19)</f>
        <v>9.0611130359862527E-2</v>
      </c>
      <c r="C20" s="32"/>
    </row>
    <row r="21" spans="1:9" s="2" customFormat="1" ht="12.75" x14ac:dyDescent="0.2">
      <c r="A21" s="2" t="s">
        <v>126</v>
      </c>
    </row>
    <row r="22" spans="1:9" x14ac:dyDescent="0.2">
      <c r="A22" s="14" t="s">
        <v>75</v>
      </c>
      <c r="B22" s="33">
        <f ca="1">AVERAGE(B5:F9)</f>
        <v>79.914870195574906</v>
      </c>
      <c r="C22" s="32"/>
    </row>
    <row r="23" spans="1:9" ht="12" customHeight="1" x14ac:dyDescent="0.2">
      <c r="A23" s="14" t="s">
        <v>76</v>
      </c>
      <c r="B23" s="33">
        <f ca="1">SQRT(B18)</f>
        <v>0.30101682736993712</v>
      </c>
      <c r="C23" s="32"/>
    </row>
    <row r="24" spans="1:9" x14ac:dyDescent="0.2">
      <c r="A24" s="14" t="s">
        <v>77</v>
      </c>
      <c r="B24" s="33">
        <f ca="1">SQRT(B19)</f>
        <v>0</v>
      </c>
      <c r="C24" s="32"/>
    </row>
    <row r="25" spans="1:9" x14ac:dyDescent="0.2">
      <c r="A25" s="14" t="s">
        <v>78</v>
      </c>
      <c r="B25" s="33">
        <f ca="1">SQRT(B20)</f>
        <v>0.30101682736993712</v>
      </c>
      <c r="C25" s="32"/>
    </row>
    <row r="26" spans="1:9" s="2" customFormat="1" ht="12.75" x14ac:dyDescent="0.2">
      <c r="A26" s="2" t="s">
        <v>127</v>
      </c>
    </row>
    <row r="27" spans="1:9" ht="15" x14ac:dyDescent="0.25">
      <c r="A27" s="14" t="s">
        <v>84</v>
      </c>
      <c r="B27" s="34">
        <f ca="1">B22/B2-1</f>
        <v>-1.0641225553136291E-3</v>
      </c>
      <c r="C27" s="32"/>
    </row>
    <row r="28" spans="1:9" s="2" customFormat="1" ht="12.75" x14ac:dyDescent="0.2">
      <c r="A28" s="2" t="s">
        <v>128</v>
      </c>
    </row>
    <row r="29" spans="1:9" x14ac:dyDescent="0.2">
      <c r="A29" s="14" t="s">
        <v>79</v>
      </c>
      <c r="B29" s="33">
        <f ca="1">B19/B18</f>
        <v>0</v>
      </c>
      <c r="C29" s="32"/>
    </row>
    <row r="30" spans="1:9" x14ac:dyDescent="0.2">
      <c r="A30" s="14" t="s">
        <v>129</v>
      </c>
      <c r="B30" s="33">
        <f ca="1">(B29+1)/(B13*B29+1)</f>
        <v>1</v>
      </c>
      <c r="C30" s="32"/>
    </row>
    <row r="31" spans="1:9" x14ac:dyDescent="0.2">
      <c r="A31" s="14" t="s">
        <v>80</v>
      </c>
      <c r="B31" s="33">
        <f ca="1">SQRT(1+1/(B12*B30))</f>
        <v>1.0606601717798212</v>
      </c>
      <c r="C31" s="32"/>
    </row>
    <row r="32" spans="1:9" x14ac:dyDescent="0.2">
      <c r="A32" s="14" t="s">
        <v>81</v>
      </c>
      <c r="B32" s="33">
        <f ca="1">(B29+1)^2/((B29+1/B13)^2/(B11-1)+(1-1/B13)/B12)</f>
        <v>6.8571428571428577</v>
      </c>
      <c r="C32" s="32"/>
      <c r="I32" s="31"/>
    </row>
    <row r="33" spans="1:3" x14ac:dyDescent="0.2">
      <c r="A33" s="14" t="s">
        <v>66</v>
      </c>
      <c r="B33" s="33">
        <f>Récapitulatif!C2</f>
        <v>0.95</v>
      </c>
      <c r="C33" s="32"/>
    </row>
    <row r="34" spans="1:3" x14ac:dyDescent="0.2">
      <c r="A34" s="14" t="s">
        <v>130</v>
      </c>
      <c r="B34" s="33">
        <f ca="1">TINV(1-B33,ROUNDDOWN(B32,0))</f>
        <v>2.4469118511449688</v>
      </c>
      <c r="C34" s="32"/>
    </row>
    <row r="35" spans="1:3" x14ac:dyDescent="0.2">
      <c r="A35" s="14" t="s">
        <v>131</v>
      </c>
      <c r="B35" s="33">
        <f ca="1">TINV(1-B33,ROUNDUP(B32,0))</f>
        <v>2.3646242515927849</v>
      </c>
      <c r="C35" s="32"/>
    </row>
    <row r="36" spans="1:3" x14ac:dyDescent="0.2">
      <c r="A36" s="14" t="s">
        <v>132</v>
      </c>
      <c r="B36" s="33">
        <f ca="1">B34-(B34-B35)*(B32-ROUNDDOWN(B32,0))</f>
        <v>2.3763796229573826</v>
      </c>
      <c r="C36" s="32"/>
    </row>
    <row r="37" spans="1:3" x14ac:dyDescent="0.2">
      <c r="A37" s="14" t="s">
        <v>133</v>
      </c>
      <c r="B37" s="33">
        <f ca="1">B36*B31</f>
        <v>2.520531219100044</v>
      </c>
      <c r="C37" s="32"/>
    </row>
    <row r="38" spans="1:3" s="2" customFormat="1" ht="12.75" x14ac:dyDescent="0.2">
      <c r="A38" s="2" t="s">
        <v>134</v>
      </c>
    </row>
    <row r="39" spans="1:3" x14ac:dyDescent="0.2">
      <c r="A39" s="14" t="s">
        <v>82</v>
      </c>
      <c r="B39" s="33">
        <f ca="1">B22-B37*B25</f>
        <v>79.156147884714528</v>
      </c>
      <c r="C39" s="32"/>
    </row>
    <row r="40" spans="1:3" x14ac:dyDescent="0.2">
      <c r="A40" s="14" t="s">
        <v>83</v>
      </c>
      <c r="B40" s="33">
        <f ca="1">B22+B37*B25</f>
        <v>80.673592506435284</v>
      </c>
      <c r="C40" s="32"/>
    </row>
  </sheetData>
  <sheetProtection pivotTables="0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I40"/>
  <sheetViews>
    <sheetView zoomScaleNormal="100" workbookViewId="0">
      <selection activeCell="I43" sqref="I43"/>
    </sheetView>
  </sheetViews>
  <sheetFormatPr baseColWidth="10" defaultColWidth="10.85546875" defaultRowHeight="12" x14ac:dyDescent="0.2"/>
  <cols>
    <col min="1" max="1" width="24.5703125" style="14" customWidth="1"/>
    <col min="2" max="2" width="11.28515625" style="14" customWidth="1"/>
    <col min="3" max="4" width="11.28515625" style="14" bestFit="1" customWidth="1"/>
    <col min="5" max="6" width="10.28515625" style="14" customWidth="1"/>
    <col min="7" max="7" width="3.5703125" style="14" customWidth="1"/>
    <col min="8" max="8" width="6.42578125" style="14" customWidth="1"/>
    <col min="9" max="9" width="11.5703125" style="14" customWidth="1"/>
    <col min="10" max="10" width="10.85546875" style="14" customWidth="1"/>
    <col min="11" max="16384" width="10.85546875" style="14"/>
  </cols>
  <sheetData>
    <row r="1" spans="1:9" ht="13.5" thickBot="1" x14ac:dyDescent="0.25">
      <c r="A1" s="35" t="s">
        <v>70</v>
      </c>
    </row>
    <row r="2" spans="1:9" ht="13.5" thickBot="1" x14ac:dyDescent="0.25">
      <c r="A2" s="2" t="s">
        <v>74</v>
      </c>
      <c r="B2" s="36">
        <v>90</v>
      </c>
    </row>
    <row r="4" spans="1:9" x14ac:dyDescent="0.2">
      <c r="B4" s="14" t="s">
        <v>93</v>
      </c>
      <c r="C4" s="14" t="s">
        <v>94</v>
      </c>
      <c r="D4" s="14" t="s">
        <v>95</v>
      </c>
      <c r="E4" s="14" t="s">
        <v>96</v>
      </c>
      <c r="F4" s="14" t="s">
        <v>97</v>
      </c>
      <c r="H4" s="14" t="s">
        <v>98</v>
      </c>
      <c r="I4" s="14" t="s">
        <v>99</v>
      </c>
    </row>
    <row r="5" spans="1:9" x14ac:dyDescent="0.2">
      <c r="A5" s="14" t="s">
        <v>111</v>
      </c>
      <c r="B5" s="28">
        <f ca="1">Analytique!W31*$B$2</f>
        <v>90.12633725709054</v>
      </c>
      <c r="C5" s="28">
        <f ca="1">Analytique!X31*$B$2</f>
        <v>89.696377512704558</v>
      </c>
      <c r="D5" s="28"/>
      <c r="E5" s="28"/>
      <c r="F5" s="29"/>
      <c r="H5" s="30">
        <f ca="1">COUNT(B5:F5)</f>
        <v>2</v>
      </c>
      <c r="I5" s="31">
        <f ca="1">IF(H5=0,"",DEVSQ(B5:F5))</f>
        <v>9.2432690896229658E-2</v>
      </c>
    </row>
    <row r="6" spans="1:9" x14ac:dyDescent="0.2">
      <c r="A6" s="14" t="s">
        <v>112</v>
      </c>
      <c r="B6" s="28">
        <f ca="1">Analytique!W32*$B$2</f>
        <v>89.862106702728909</v>
      </c>
      <c r="C6" s="28">
        <f ca="1">Analytique!X32*$B$2</f>
        <v>89.726484176178047</v>
      </c>
      <c r="D6" s="28"/>
      <c r="E6" s="28"/>
      <c r="F6" s="29"/>
      <c r="H6" s="30">
        <f ca="1">COUNT(B6:F6)</f>
        <v>2</v>
      </c>
      <c r="I6" s="31">
        <f ca="1">IF(H6=0,"",DEVSQ(B6:F6))</f>
        <v>9.1967348540195355E-3</v>
      </c>
    </row>
    <row r="7" spans="1:9" x14ac:dyDescent="0.2">
      <c r="A7" s="14" t="s">
        <v>113</v>
      </c>
      <c r="B7" s="28"/>
      <c r="C7" s="28"/>
      <c r="D7" s="28"/>
      <c r="E7" s="28"/>
      <c r="F7" s="29"/>
      <c r="H7" s="30"/>
      <c r="I7" s="31" t="str">
        <f>IF(H7=0,"",DEVSQ(B7:F7))</f>
        <v/>
      </c>
    </row>
    <row r="8" spans="1:9" x14ac:dyDescent="0.2">
      <c r="A8" s="14" t="s">
        <v>114</v>
      </c>
      <c r="B8" s="28">
        <f ca="1">Analytique!W34*$B$2</f>
        <v>89.749439845676676</v>
      </c>
      <c r="C8" s="28">
        <f ca="1">Analytique!X34*$B$2</f>
        <v>89.870913055392592</v>
      </c>
      <c r="D8" s="28"/>
      <c r="E8" s="28"/>
      <c r="F8" s="29"/>
      <c r="H8" s="30">
        <f ca="1">COUNT(B8:F8)</f>
        <v>2</v>
      </c>
      <c r="I8" s="31">
        <f ca="1">IF(H8=0,"",DEVSQ(B8:F8))</f>
        <v>7.3778703393434161E-3</v>
      </c>
    </row>
    <row r="9" spans="1:9" x14ac:dyDescent="0.2">
      <c r="A9" s="14" t="s">
        <v>115</v>
      </c>
      <c r="B9" s="28">
        <f ca="1">Analytique!W35*$B$2</f>
        <v>90.031537673239768</v>
      </c>
      <c r="C9" s="28">
        <f ca="1">Analytique!X35*$B$2</f>
        <v>89.661540118342188</v>
      </c>
      <c r="D9" s="28"/>
      <c r="E9" s="28"/>
      <c r="F9" s="29"/>
      <c r="H9" s="30">
        <f ca="1">COUNT(B9:F9)</f>
        <v>2</v>
      </c>
      <c r="I9" s="31">
        <f ca="1">IF(H9=0,"",DEVSQ(B9:F9))</f>
        <v>6.8449095315093869E-2</v>
      </c>
    </row>
    <row r="10" spans="1:9" s="2" customFormat="1" ht="12.75" x14ac:dyDescent="0.2"/>
    <row r="11" spans="1:9" x14ac:dyDescent="0.2">
      <c r="A11" s="14" t="s">
        <v>116</v>
      </c>
      <c r="B11" s="14">
        <f ca="1">COUNT(B5:B9)</f>
        <v>4</v>
      </c>
      <c r="C11" s="32"/>
    </row>
    <row r="12" spans="1:9" x14ac:dyDescent="0.2">
      <c r="A12" s="14" t="s">
        <v>117</v>
      </c>
      <c r="B12" s="14">
        <f ca="1">COUNT(B5:F9)</f>
        <v>8</v>
      </c>
      <c r="C12" s="32"/>
    </row>
    <row r="13" spans="1:9" x14ac:dyDescent="0.2">
      <c r="A13" s="14" t="s">
        <v>118</v>
      </c>
      <c r="B13" s="14">
        <f ca="1">IF(H5*B11&lt;&gt;B12,"Calcul impossible",H5)</f>
        <v>2</v>
      </c>
      <c r="C13" s="32"/>
    </row>
    <row r="14" spans="1:9" x14ac:dyDescent="0.2">
      <c r="A14" s="14" t="s">
        <v>119</v>
      </c>
      <c r="B14" s="37">
        <f ca="1">SUM(I5:I9)</f>
        <v>0.1774563914046865</v>
      </c>
      <c r="C14" s="32"/>
    </row>
    <row r="15" spans="1:9" x14ac:dyDescent="0.2">
      <c r="A15" s="14" t="s">
        <v>120</v>
      </c>
      <c r="B15" s="37">
        <f ca="1">DEVSQ(B5:F9)</f>
        <v>0.19367955627860178</v>
      </c>
      <c r="C15" s="32"/>
    </row>
    <row r="16" spans="1:9" x14ac:dyDescent="0.2">
      <c r="A16" s="14" t="s">
        <v>121</v>
      </c>
      <c r="B16" s="37">
        <f ca="1">B15-B14</f>
        <v>1.6223164873915286E-2</v>
      </c>
      <c r="C16" s="32"/>
    </row>
    <row r="17" spans="1:9" x14ac:dyDescent="0.2">
      <c r="A17" s="14" t="s">
        <v>122</v>
      </c>
      <c r="B17" s="37">
        <f ca="1">((B16/(B11-1))-B18)/B13</f>
        <v>-1.9478188113266598E-2</v>
      </c>
      <c r="C17" s="32"/>
    </row>
    <row r="18" spans="1:9" x14ac:dyDescent="0.2">
      <c r="A18" s="14" t="s">
        <v>123</v>
      </c>
      <c r="B18" s="37">
        <f ca="1">B14/(B12-B11)</f>
        <v>4.4364097851171624E-2</v>
      </c>
      <c r="C18" s="32"/>
    </row>
    <row r="19" spans="1:9" x14ac:dyDescent="0.2">
      <c r="A19" s="14" t="s">
        <v>124</v>
      </c>
      <c r="B19" s="37">
        <f ca="1">IF(B17&lt;0,0,B17)</f>
        <v>0</v>
      </c>
      <c r="C19" s="32"/>
    </row>
    <row r="20" spans="1:9" x14ac:dyDescent="0.2">
      <c r="A20" s="14" t="s">
        <v>125</v>
      </c>
      <c r="B20" s="37">
        <f ca="1">SUM(B18:B19)</f>
        <v>4.4364097851171624E-2</v>
      </c>
      <c r="C20" s="32"/>
    </row>
    <row r="21" spans="1:9" s="2" customFormat="1" ht="12.75" x14ac:dyDescent="0.2">
      <c r="A21" s="2" t="s">
        <v>126</v>
      </c>
    </row>
    <row r="22" spans="1:9" x14ac:dyDescent="0.2">
      <c r="A22" s="14" t="s">
        <v>75</v>
      </c>
      <c r="B22" s="37">
        <f ca="1">AVERAGE(B5:F9)</f>
        <v>89.840592042669158</v>
      </c>
      <c r="C22" s="32"/>
    </row>
    <row r="23" spans="1:9" ht="12" customHeight="1" x14ac:dyDescent="0.2">
      <c r="A23" s="14" t="s">
        <v>76</v>
      </c>
      <c r="B23" s="37">
        <f ca="1">SQRT(B18)</f>
        <v>0.21062786579930876</v>
      </c>
      <c r="C23" s="32"/>
    </row>
    <row r="24" spans="1:9" x14ac:dyDescent="0.2">
      <c r="A24" s="14" t="s">
        <v>77</v>
      </c>
      <c r="B24" s="37">
        <f ca="1">SQRT(B19)</f>
        <v>0</v>
      </c>
      <c r="C24" s="32"/>
    </row>
    <row r="25" spans="1:9" x14ac:dyDescent="0.2">
      <c r="A25" s="14" t="s">
        <v>78</v>
      </c>
      <c r="B25" s="37">
        <f ca="1">SQRT(B20)</f>
        <v>0.21062786579930876</v>
      </c>
      <c r="C25" s="32"/>
    </row>
    <row r="26" spans="1:9" s="2" customFormat="1" ht="12.75" x14ac:dyDescent="0.2">
      <c r="A26" s="2" t="s">
        <v>127</v>
      </c>
    </row>
    <row r="27" spans="1:9" ht="15" x14ac:dyDescent="0.25">
      <c r="A27" s="14" t="s">
        <v>84</v>
      </c>
      <c r="B27" s="34">
        <f ca="1">B22/B2-1</f>
        <v>-1.7711995258982149E-3</v>
      </c>
      <c r="C27" s="32"/>
    </row>
    <row r="28" spans="1:9" s="2" customFormat="1" ht="12.75" x14ac:dyDescent="0.2">
      <c r="A28" s="2" t="s">
        <v>128</v>
      </c>
    </row>
    <row r="29" spans="1:9" x14ac:dyDescent="0.2">
      <c r="A29" s="14" t="s">
        <v>79</v>
      </c>
      <c r="B29" s="31">
        <f ca="1">B19/B18</f>
        <v>0</v>
      </c>
      <c r="C29" s="32"/>
    </row>
    <row r="30" spans="1:9" x14ac:dyDescent="0.2">
      <c r="A30" s="14" t="s">
        <v>129</v>
      </c>
      <c r="B30" s="31">
        <f ca="1">(B29+1)/(B13*B29+1)</f>
        <v>1</v>
      </c>
      <c r="C30" s="32"/>
    </row>
    <row r="31" spans="1:9" x14ac:dyDescent="0.2">
      <c r="A31" s="14" t="s">
        <v>80</v>
      </c>
      <c r="B31" s="31">
        <f ca="1">SQRT(1+1/(B12*B30))</f>
        <v>1.0606601717798212</v>
      </c>
      <c r="C31" s="32"/>
    </row>
    <row r="32" spans="1:9" x14ac:dyDescent="0.2">
      <c r="A32" s="14" t="s">
        <v>81</v>
      </c>
      <c r="B32" s="31">
        <f ca="1">(B29+1)^2/((B29+1/B13)^2/(B11-1)+(1-1/B13)/B12)</f>
        <v>6.8571428571428577</v>
      </c>
      <c r="C32" s="32"/>
      <c r="I32" s="31"/>
    </row>
    <row r="33" spans="1:3" x14ac:dyDescent="0.2">
      <c r="A33" s="14" t="s">
        <v>66</v>
      </c>
      <c r="B33" s="31">
        <f>Récapitulatif!C2</f>
        <v>0.95</v>
      </c>
      <c r="C33" s="32"/>
    </row>
    <row r="34" spans="1:3" x14ac:dyDescent="0.2">
      <c r="A34" s="14" t="s">
        <v>130</v>
      </c>
      <c r="B34" s="31">
        <f ca="1">TINV(1-B33,ROUNDDOWN(B32,0))</f>
        <v>2.4469118511449688</v>
      </c>
      <c r="C34" s="32"/>
    </row>
    <row r="35" spans="1:3" x14ac:dyDescent="0.2">
      <c r="A35" s="14" t="s">
        <v>131</v>
      </c>
      <c r="B35" s="31">
        <f ca="1">TINV(1-B33,ROUNDUP(B32,0))</f>
        <v>2.3646242515927849</v>
      </c>
      <c r="C35" s="32"/>
    </row>
    <row r="36" spans="1:3" x14ac:dyDescent="0.2">
      <c r="A36" s="14" t="s">
        <v>132</v>
      </c>
      <c r="B36" s="31">
        <f ca="1">B34-(B34-B35)*(B32-ROUNDDOWN(B32,0))</f>
        <v>2.3763796229573826</v>
      </c>
      <c r="C36" s="32"/>
    </row>
    <row r="37" spans="1:3" x14ac:dyDescent="0.2">
      <c r="A37" s="14" t="s">
        <v>133</v>
      </c>
      <c r="B37" s="31">
        <f ca="1">B36*B31</f>
        <v>2.520531219100044</v>
      </c>
      <c r="C37" s="32"/>
    </row>
    <row r="38" spans="1:3" s="2" customFormat="1" ht="12.75" x14ac:dyDescent="0.2">
      <c r="A38" s="2" t="s">
        <v>134</v>
      </c>
    </row>
    <row r="39" spans="1:3" x14ac:dyDescent="0.2">
      <c r="A39" s="14" t="s">
        <v>82</v>
      </c>
      <c r="B39" s="31">
        <f ca="1">B22-B37*B25</f>
        <v>89.309697931309586</v>
      </c>
      <c r="C39" s="32"/>
    </row>
    <row r="40" spans="1:3" x14ac:dyDescent="0.2">
      <c r="A40" s="14" t="s">
        <v>83</v>
      </c>
      <c r="B40" s="31">
        <f ca="1">B22+B37*B25</f>
        <v>90.37148615402873</v>
      </c>
      <c r="C40" s="32"/>
    </row>
  </sheetData>
  <sheetProtection pivotTables="0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I40"/>
  <sheetViews>
    <sheetView zoomScaleNormal="100" workbookViewId="0">
      <selection activeCell="I43" sqref="I43"/>
    </sheetView>
  </sheetViews>
  <sheetFormatPr baseColWidth="10" defaultColWidth="10.85546875" defaultRowHeight="12" x14ac:dyDescent="0.2"/>
  <cols>
    <col min="1" max="1" width="24.5703125" style="14" customWidth="1"/>
    <col min="2" max="2" width="11.28515625" style="14" customWidth="1"/>
    <col min="3" max="4" width="11.28515625" style="14" bestFit="1" customWidth="1"/>
    <col min="5" max="6" width="10.28515625" style="14" customWidth="1"/>
    <col min="7" max="7" width="3.5703125" style="14" customWidth="1"/>
    <col min="8" max="8" width="6.42578125" style="14" customWidth="1"/>
    <col min="9" max="9" width="11.5703125" style="14" customWidth="1"/>
    <col min="10" max="10" width="10.85546875" style="14" customWidth="1"/>
    <col min="11" max="16384" width="10.85546875" style="14"/>
  </cols>
  <sheetData>
    <row r="1" spans="1:9" ht="13.5" thickBot="1" x14ac:dyDescent="0.25">
      <c r="A1" s="35" t="s">
        <v>71</v>
      </c>
    </row>
    <row r="2" spans="1:9" ht="13.5" thickBot="1" x14ac:dyDescent="0.25">
      <c r="A2" s="2" t="s">
        <v>74</v>
      </c>
      <c r="B2" s="26">
        <v>100</v>
      </c>
    </row>
    <row r="4" spans="1:9" x14ac:dyDescent="0.2">
      <c r="B4" s="14" t="s">
        <v>93</v>
      </c>
      <c r="C4" s="14" t="s">
        <v>94</v>
      </c>
      <c r="D4" s="14" t="s">
        <v>95</v>
      </c>
      <c r="E4" s="14" t="s">
        <v>96</v>
      </c>
      <c r="F4" s="14" t="s">
        <v>97</v>
      </c>
      <c r="H4" s="14" t="s">
        <v>98</v>
      </c>
      <c r="I4" s="14" t="s">
        <v>99</v>
      </c>
    </row>
    <row r="5" spans="1:9" x14ac:dyDescent="0.2">
      <c r="A5" s="14" t="s">
        <v>111</v>
      </c>
      <c r="B5" s="28">
        <f ca="1">Analytique!Y31*$B$2</f>
        <v>100.14770214478288</v>
      </c>
      <c r="C5" s="28">
        <f ca="1">Analytique!Z31*$B$2</f>
        <v>99.170437762287449</v>
      </c>
      <c r="D5" s="28"/>
      <c r="E5" s="28"/>
      <c r="F5" s="29"/>
      <c r="H5" s="30">
        <f ca="1">COUNT(B5:F5)</f>
        <v>2</v>
      </c>
      <c r="I5" s="31">
        <f ca="1">IF(H5=0,"",DEVSQ(B5:F5))</f>
        <v>0.47752283664709128</v>
      </c>
    </row>
    <row r="6" spans="1:9" x14ac:dyDescent="0.2">
      <c r="A6" s="14" t="s">
        <v>112</v>
      </c>
      <c r="B6" s="28">
        <f ca="1">Analytique!Y32*$B$2</f>
        <v>100.07479617977846</v>
      </c>
      <c r="C6" s="28">
        <f ca="1">Analytique!Z32*$B$2</f>
        <v>100.3456794780254</v>
      </c>
      <c r="D6" s="28"/>
      <c r="E6" s="28"/>
      <c r="F6" s="29"/>
      <c r="H6" s="30">
        <f ca="1">COUNT(B6:F6)</f>
        <v>2</v>
      </c>
      <c r="I6" s="31">
        <f ca="1">IF(H6=0,"",DEVSQ(B6:F6))</f>
        <v>3.6688880634571167E-2</v>
      </c>
    </row>
    <row r="7" spans="1:9" x14ac:dyDescent="0.2">
      <c r="A7" s="14" t="s">
        <v>113</v>
      </c>
      <c r="B7" s="28">
        <f ca="1">Analytique!Y33*$B$2</f>
        <v>100.59112194836355</v>
      </c>
      <c r="C7" s="28">
        <f ca="1">Analytique!Z33*$B$2</f>
        <v>100.49943477505482</v>
      </c>
      <c r="D7" s="28"/>
      <c r="E7" s="28"/>
      <c r="F7" s="29"/>
      <c r="H7" s="30">
        <f ca="1">COUNT(B7:F7)</f>
        <v>2</v>
      </c>
      <c r="I7" s="31">
        <f ca="1">IF(H7=0,"",DEVSQ(B7:F7))</f>
        <v>4.2032688746723315E-3</v>
      </c>
    </row>
    <row r="8" spans="1:9" x14ac:dyDescent="0.2">
      <c r="A8" s="14" t="s">
        <v>114</v>
      </c>
      <c r="B8" s="28"/>
      <c r="C8" s="28"/>
      <c r="D8" s="28"/>
      <c r="E8" s="28"/>
      <c r="F8" s="29"/>
      <c r="H8" s="30"/>
      <c r="I8" s="31" t="str">
        <f>IF(H8=0,"",DEVSQ(B8:F8))</f>
        <v/>
      </c>
    </row>
    <row r="9" spans="1:9" x14ac:dyDescent="0.2">
      <c r="A9" s="14" t="s">
        <v>115</v>
      </c>
      <c r="B9" s="28">
        <f ca="1">Analytique!Y35*$B$2</f>
        <v>99.662560061579754</v>
      </c>
      <c r="C9" s="28">
        <f ca="1">Analytique!Z35*$B$2</f>
        <v>100.30012984178485</v>
      </c>
      <c r="D9" s="28"/>
      <c r="E9" s="28"/>
      <c r="F9" s="29"/>
      <c r="H9" s="30">
        <f ca="1">COUNT(B9:F9)</f>
        <v>2</v>
      </c>
      <c r="I9" s="31">
        <f ca="1">IF(H9=0,"",DEVSQ(B9:F9))</f>
        <v>0.20324761231538843</v>
      </c>
    </row>
    <row r="10" spans="1:9" s="2" customFormat="1" ht="12.75" x14ac:dyDescent="0.2"/>
    <row r="11" spans="1:9" x14ac:dyDescent="0.2">
      <c r="A11" s="14" t="s">
        <v>116</v>
      </c>
      <c r="B11" s="14">
        <f ca="1">COUNT(B5:B9)</f>
        <v>4</v>
      </c>
      <c r="C11" s="32"/>
    </row>
    <row r="12" spans="1:9" x14ac:dyDescent="0.2">
      <c r="A12" s="14" t="s">
        <v>117</v>
      </c>
      <c r="B12" s="14">
        <f ca="1">COUNT(B5:F9)</f>
        <v>8</v>
      </c>
      <c r="C12" s="32"/>
    </row>
    <row r="13" spans="1:9" x14ac:dyDescent="0.2">
      <c r="A13" s="14" t="s">
        <v>118</v>
      </c>
      <c r="B13" s="14">
        <f ca="1">IF(H5*B11&lt;&gt;B12,"Calcul impossible",H5)</f>
        <v>2</v>
      </c>
      <c r="C13" s="32"/>
    </row>
    <row r="14" spans="1:9" x14ac:dyDescent="0.2">
      <c r="A14" s="14" t="s">
        <v>119</v>
      </c>
      <c r="B14" s="37">
        <f ca="1">SUM(I5:I9)</f>
        <v>0.72166259847172332</v>
      </c>
      <c r="C14" s="32"/>
    </row>
    <row r="15" spans="1:9" x14ac:dyDescent="0.2">
      <c r="A15" s="14" t="s">
        <v>120</v>
      </c>
      <c r="B15" s="37">
        <f ca="1">DEVSQ(B5:F9)</f>
        <v>1.5595013698695142</v>
      </c>
      <c r="C15" s="32"/>
    </row>
    <row r="16" spans="1:9" x14ac:dyDescent="0.2">
      <c r="A16" s="14" t="s">
        <v>121</v>
      </c>
      <c r="B16" s="37">
        <f ca="1">B15-B14</f>
        <v>0.83783877139779084</v>
      </c>
      <c r="C16" s="32"/>
    </row>
    <row r="17" spans="1:9" x14ac:dyDescent="0.2">
      <c r="A17" s="14" t="s">
        <v>122</v>
      </c>
      <c r="B17" s="37">
        <f ca="1">((B16/(B11-1))-B18)/B13</f>
        <v>4.9431970423999716E-2</v>
      </c>
      <c r="C17" s="32"/>
    </row>
    <row r="18" spans="1:9" x14ac:dyDescent="0.2">
      <c r="A18" s="14" t="s">
        <v>123</v>
      </c>
      <c r="B18" s="37">
        <f ca="1">B14/(B12-B11)</f>
        <v>0.18041564961793083</v>
      </c>
      <c r="C18" s="32"/>
    </row>
    <row r="19" spans="1:9" x14ac:dyDescent="0.2">
      <c r="A19" s="14" t="s">
        <v>124</v>
      </c>
      <c r="B19" s="37">
        <f ca="1">IF(B17&lt;0,0,B17)</f>
        <v>4.9431970423999716E-2</v>
      </c>
      <c r="C19" s="32"/>
    </row>
    <row r="20" spans="1:9" x14ac:dyDescent="0.2">
      <c r="A20" s="14" t="s">
        <v>125</v>
      </c>
      <c r="B20" s="37">
        <f ca="1">SUM(B18:B19)</f>
        <v>0.22984762004193054</v>
      </c>
      <c r="C20" s="32"/>
    </row>
    <row r="21" spans="1:9" s="2" customFormat="1" ht="12.75" x14ac:dyDescent="0.2">
      <c r="A21" s="2" t="s">
        <v>126</v>
      </c>
    </row>
    <row r="22" spans="1:9" x14ac:dyDescent="0.2">
      <c r="A22" s="14" t="s">
        <v>75</v>
      </c>
      <c r="B22" s="37">
        <f ca="1">AVERAGE(B5:F9)</f>
        <v>100.09898277395713</v>
      </c>
      <c r="C22" s="32"/>
    </row>
    <row r="23" spans="1:9" ht="12" customHeight="1" x14ac:dyDescent="0.2">
      <c r="A23" s="14" t="s">
        <v>76</v>
      </c>
      <c r="B23" s="37">
        <f ca="1">SQRT(B18)</f>
        <v>0.42475363402557348</v>
      </c>
      <c r="C23" s="32"/>
    </row>
    <row r="24" spans="1:9" x14ac:dyDescent="0.2">
      <c r="A24" s="14" t="s">
        <v>77</v>
      </c>
      <c r="B24" s="37">
        <f ca="1">SQRT(B19)</f>
        <v>0.22233301694530147</v>
      </c>
      <c r="C24" s="32"/>
    </row>
    <row r="25" spans="1:9" x14ac:dyDescent="0.2">
      <c r="A25" s="14" t="s">
        <v>78</v>
      </c>
      <c r="B25" s="37">
        <f ca="1">SQRT(B20)</f>
        <v>0.47942425892097967</v>
      </c>
      <c r="C25" s="32"/>
    </row>
    <row r="26" spans="1:9" s="2" customFormat="1" ht="12.75" x14ac:dyDescent="0.2">
      <c r="A26" s="2" t="s">
        <v>127</v>
      </c>
    </row>
    <row r="27" spans="1:9" ht="15" x14ac:dyDescent="0.25">
      <c r="A27" s="14" t="s">
        <v>84</v>
      </c>
      <c r="B27" s="34">
        <f ca="1">B22/B2-1</f>
        <v>9.8982773957123626E-4</v>
      </c>
      <c r="C27" s="32"/>
    </row>
    <row r="28" spans="1:9" s="2" customFormat="1" ht="12.75" x14ac:dyDescent="0.2">
      <c r="A28" s="2" t="s">
        <v>128</v>
      </c>
    </row>
    <row r="29" spans="1:9" x14ac:dyDescent="0.2">
      <c r="A29" s="14" t="s">
        <v>79</v>
      </c>
      <c r="B29" s="31">
        <f ca="1">B19/B18</f>
        <v>0.27398937136929424</v>
      </c>
      <c r="C29" s="32"/>
    </row>
    <row r="30" spans="1:9" x14ac:dyDescent="0.2">
      <c r="A30" s="14" t="s">
        <v>129</v>
      </c>
      <c r="B30" s="31">
        <f ca="1">(B29+1)/(B13*B29+1)</f>
        <v>0.82300185150826477</v>
      </c>
      <c r="C30" s="32"/>
    </row>
    <row r="31" spans="1:9" x14ac:dyDescent="0.2">
      <c r="A31" s="14" t="s">
        <v>80</v>
      </c>
      <c r="B31" s="31">
        <f ca="1">SQRT(1+1/(B12*B30))</f>
        <v>1.0732581291992538</v>
      </c>
      <c r="C31" s="32"/>
    </row>
    <row r="32" spans="1:9" x14ac:dyDescent="0.2">
      <c r="A32" s="14" t="s">
        <v>81</v>
      </c>
      <c r="B32" s="31">
        <f ca="1">(B29+1)^2/((B29+1/B13)^2/(B11-1)+(1-1/B13)/B12)</f>
        <v>6.190436278731454</v>
      </c>
      <c r="C32" s="32"/>
      <c r="I32" s="31"/>
    </row>
    <row r="33" spans="1:3" x14ac:dyDescent="0.2">
      <c r="A33" s="14" t="s">
        <v>66</v>
      </c>
      <c r="B33" s="31">
        <f>Récapitulatif!C2</f>
        <v>0.95</v>
      </c>
      <c r="C33" s="32"/>
    </row>
    <row r="34" spans="1:3" x14ac:dyDescent="0.2">
      <c r="A34" s="14" t="s">
        <v>130</v>
      </c>
      <c r="B34" s="31">
        <f ca="1">TINV(1-B33,ROUNDDOWN(B32,0))</f>
        <v>2.4469118511449688</v>
      </c>
      <c r="C34" s="32"/>
    </row>
    <row r="35" spans="1:3" x14ac:dyDescent="0.2">
      <c r="A35" s="14" t="s">
        <v>131</v>
      </c>
      <c r="B35" s="31">
        <f ca="1">TINV(1-B33,ROUNDUP(B32,0))</f>
        <v>2.3646242515927849</v>
      </c>
      <c r="C35" s="32"/>
    </row>
    <row r="36" spans="1:3" x14ac:dyDescent="0.2">
      <c r="A36" s="14" t="s">
        <v>132</v>
      </c>
      <c r="B36" s="31">
        <f ca="1">B34-(B34-B35)*(B32-ROUNDDOWN(B32,0))</f>
        <v>2.4312413069005068</v>
      </c>
      <c r="C36" s="32"/>
    </row>
    <row r="37" spans="1:3" x14ac:dyDescent="0.2">
      <c r="A37" s="14" t="s">
        <v>133</v>
      </c>
      <c r="B37" s="31">
        <f ca="1">B36*B31</f>
        <v>2.6093494966759869</v>
      </c>
      <c r="C37" s="32"/>
    </row>
    <row r="38" spans="1:3" s="2" customFormat="1" ht="12.75" x14ac:dyDescent="0.2">
      <c r="A38" s="2" t="s">
        <v>134</v>
      </c>
    </row>
    <row r="39" spans="1:3" x14ac:dyDescent="0.2">
      <c r="A39" s="14" t="s">
        <v>82</v>
      </c>
      <c r="B39" s="31">
        <f ca="1">B22-B37*B25</f>
        <v>98.84799732524742</v>
      </c>
      <c r="C39" s="32"/>
    </row>
    <row r="40" spans="1:3" x14ac:dyDescent="0.2">
      <c r="A40" s="14" t="s">
        <v>83</v>
      </c>
      <c r="B40" s="31">
        <f ca="1">B22+B37*B25</f>
        <v>101.34996822266685</v>
      </c>
      <c r="C40" s="32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I40"/>
  <sheetViews>
    <sheetView zoomScaleNormal="100" workbookViewId="0">
      <selection activeCell="I43" sqref="I43"/>
    </sheetView>
  </sheetViews>
  <sheetFormatPr baseColWidth="10" defaultColWidth="10.85546875" defaultRowHeight="12" x14ac:dyDescent="0.2"/>
  <cols>
    <col min="1" max="1" width="24.5703125" style="14" customWidth="1"/>
    <col min="2" max="2" width="11.28515625" style="14" customWidth="1"/>
    <col min="3" max="4" width="11.28515625" style="14" bestFit="1" customWidth="1"/>
    <col min="5" max="6" width="10.28515625" style="14" customWidth="1"/>
    <col min="7" max="7" width="3.5703125" style="14" customWidth="1"/>
    <col min="8" max="8" width="6.42578125" style="14" customWidth="1"/>
    <col min="9" max="9" width="11.5703125" style="14" customWidth="1"/>
    <col min="10" max="10" width="10.85546875" style="14" customWidth="1"/>
    <col min="11" max="16384" width="10.85546875" style="14"/>
  </cols>
  <sheetData>
    <row r="1" spans="1:9" ht="13.5" thickBot="1" x14ac:dyDescent="0.25">
      <c r="A1" s="35" t="s">
        <v>72</v>
      </c>
    </row>
    <row r="2" spans="1:9" ht="13.5" thickBot="1" x14ac:dyDescent="0.25">
      <c r="A2" s="2" t="s">
        <v>74</v>
      </c>
      <c r="B2" s="26">
        <v>110</v>
      </c>
    </row>
    <row r="4" spans="1:9" x14ac:dyDescent="0.2">
      <c r="B4" s="14" t="s">
        <v>93</v>
      </c>
      <c r="C4" s="14" t="s">
        <v>94</v>
      </c>
      <c r="D4" s="14" t="s">
        <v>95</v>
      </c>
      <c r="E4" s="14" t="s">
        <v>96</v>
      </c>
      <c r="F4" s="14" t="s">
        <v>97</v>
      </c>
      <c r="H4" s="14" t="s">
        <v>98</v>
      </c>
      <c r="I4" s="14" t="s">
        <v>99</v>
      </c>
    </row>
    <row r="5" spans="1:9" x14ac:dyDescent="0.2">
      <c r="A5" s="14" t="s">
        <v>111</v>
      </c>
      <c r="B5" s="28">
        <f ca="1">Analytique!AA31*$B$2</f>
        <v>110.33891701555768</v>
      </c>
      <c r="C5" s="28">
        <f ca="1">Analytique!AB31*$B$2</f>
        <v>109.5762938018604</v>
      </c>
      <c r="D5" s="28"/>
      <c r="E5" s="28"/>
      <c r="F5" s="29"/>
      <c r="H5" s="30">
        <f ca="1">COUNT(B5:F5)</f>
        <v>2</v>
      </c>
      <c r="I5" s="31">
        <f ca="1">IF(H5=0,"",DEVSQ(B5:F5))</f>
        <v>0.29079708303498492</v>
      </c>
    </row>
    <row r="6" spans="1:9" x14ac:dyDescent="0.2">
      <c r="A6" s="14" t="s">
        <v>112</v>
      </c>
      <c r="B6" s="28">
        <f ca="1">Analytique!AA32*$B$2</f>
        <v>109.29174960234349</v>
      </c>
      <c r="C6" s="28">
        <f ca="1">Analytique!AB32*$B$2</f>
        <v>109.65252791612545</v>
      </c>
      <c r="D6" s="28"/>
      <c r="E6" s="28"/>
      <c r="F6" s="29"/>
      <c r="H6" s="30">
        <f ca="1">COUNT(B6:F6)</f>
        <v>2</v>
      </c>
      <c r="I6" s="31">
        <f ca="1">IF(H6=0,"",DEVSQ(B6:F6))</f>
        <v>6.5080495847678554E-2</v>
      </c>
    </row>
    <row r="7" spans="1:9" x14ac:dyDescent="0.2">
      <c r="A7" s="14" t="s">
        <v>113</v>
      </c>
      <c r="B7" s="28">
        <f ca="1">Analytique!AA33*$B$2</f>
        <v>109.51785518042949</v>
      </c>
      <c r="C7" s="28">
        <f ca="1">Analytique!AB33*$B$2</f>
        <v>110.0295394951865</v>
      </c>
      <c r="D7" s="28"/>
      <c r="E7" s="28"/>
      <c r="F7" s="29"/>
      <c r="H7" s="30">
        <f ca="1">COUNT(B7:F7)</f>
        <v>2</v>
      </c>
      <c r="I7" s="31">
        <f ca="1">IF(H7=0,"",DEVSQ(B7:F7))</f>
        <v>0.13091041898417297</v>
      </c>
    </row>
    <row r="8" spans="1:9" x14ac:dyDescent="0.2">
      <c r="A8" s="14" t="s">
        <v>114</v>
      </c>
      <c r="B8" s="28">
        <f ca="1">Analytique!AA34*$B$2</f>
        <v>109.83146374777978</v>
      </c>
      <c r="C8" s="28">
        <f ca="1">Analytique!AB34*$B$2</f>
        <v>109.66570288199539</v>
      </c>
      <c r="D8" s="28"/>
      <c r="E8" s="28"/>
      <c r="F8" s="29"/>
      <c r="H8" s="30">
        <f ca="1">COUNT(B8:F8)</f>
        <v>2</v>
      </c>
      <c r="I8" s="31">
        <f ca="1">IF(H8=0,"",DEVSQ(B8:F8))</f>
        <v>1.373833231279566E-2</v>
      </c>
    </row>
    <row r="9" spans="1:9" x14ac:dyDescent="0.2">
      <c r="A9" s="14" t="s">
        <v>115</v>
      </c>
      <c r="B9" s="28"/>
      <c r="C9" s="28"/>
      <c r="D9" s="28"/>
      <c r="E9" s="28"/>
      <c r="F9" s="29"/>
      <c r="H9" s="30"/>
      <c r="I9" s="31" t="str">
        <f>IF(H9=0,"",DEVSQ(B9:F9))</f>
        <v/>
      </c>
    </row>
    <row r="10" spans="1:9" s="2" customFormat="1" ht="12.75" x14ac:dyDescent="0.2"/>
    <row r="11" spans="1:9" x14ac:dyDescent="0.2">
      <c r="A11" s="14" t="s">
        <v>116</v>
      </c>
      <c r="B11" s="14">
        <f ca="1">COUNT(B5:B9)</f>
        <v>4</v>
      </c>
      <c r="C11" s="32"/>
    </row>
    <row r="12" spans="1:9" x14ac:dyDescent="0.2">
      <c r="A12" s="14" t="s">
        <v>117</v>
      </c>
      <c r="B12" s="14">
        <f ca="1">COUNT(B5:F9)</f>
        <v>8</v>
      </c>
      <c r="C12" s="32"/>
    </row>
    <row r="13" spans="1:9" x14ac:dyDescent="0.2">
      <c r="A13" s="14" t="s">
        <v>118</v>
      </c>
      <c r="B13" s="14">
        <f ca="1">IF(H5*B11&lt;&gt;B12,"Calcul impossible",H5)</f>
        <v>2</v>
      </c>
      <c r="C13" s="32"/>
    </row>
    <row r="14" spans="1:9" x14ac:dyDescent="0.2">
      <c r="A14" s="14" t="s">
        <v>119</v>
      </c>
      <c r="B14" s="37">
        <f ca="1">SUM(I5:I9)</f>
        <v>0.50052633017963211</v>
      </c>
      <c r="C14" s="32"/>
    </row>
    <row r="15" spans="1:9" x14ac:dyDescent="0.2">
      <c r="A15" s="14" t="s">
        <v>120</v>
      </c>
      <c r="B15" s="37">
        <f ca="1">DEVSQ(B5:F9)</f>
        <v>0.74111641258408312</v>
      </c>
      <c r="C15" s="32"/>
    </row>
    <row r="16" spans="1:9" x14ac:dyDescent="0.2">
      <c r="A16" s="14" t="s">
        <v>121</v>
      </c>
      <c r="B16" s="37">
        <f ca="1">B15-B14</f>
        <v>0.24059008240445101</v>
      </c>
      <c r="C16" s="32"/>
    </row>
    <row r="17" spans="1:9" x14ac:dyDescent="0.2">
      <c r="A17" s="14" t="s">
        <v>122</v>
      </c>
      <c r="B17" s="37">
        <f ca="1">((B16/(B11-1))-B18)/B13</f>
        <v>-2.2467444205045511E-2</v>
      </c>
      <c r="C17" s="32"/>
    </row>
    <row r="18" spans="1:9" x14ac:dyDescent="0.2">
      <c r="A18" s="14" t="s">
        <v>123</v>
      </c>
      <c r="B18" s="37">
        <f ca="1">B14/(B12-B11)</f>
        <v>0.12513158254490803</v>
      </c>
      <c r="C18" s="32"/>
    </row>
    <row r="19" spans="1:9" x14ac:dyDescent="0.2">
      <c r="A19" s="14" t="s">
        <v>124</v>
      </c>
      <c r="B19" s="37">
        <f ca="1">IF(B17&lt;0,0,B17)</f>
        <v>0</v>
      </c>
      <c r="C19" s="32"/>
    </row>
    <row r="20" spans="1:9" x14ac:dyDescent="0.2">
      <c r="A20" s="14" t="s">
        <v>125</v>
      </c>
      <c r="B20" s="37">
        <f ca="1">SUM(B18:B19)</f>
        <v>0.12513158254490803</v>
      </c>
      <c r="C20" s="32"/>
    </row>
    <row r="21" spans="1:9" s="2" customFormat="1" ht="12.75" x14ac:dyDescent="0.2">
      <c r="A21" s="2" t="s">
        <v>126</v>
      </c>
    </row>
    <row r="22" spans="1:9" x14ac:dyDescent="0.2">
      <c r="A22" s="14" t="s">
        <v>75</v>
      </c>
      <c r="B22" s="37">
        <f ca="1">AVERAGE(B5:F9)</f>
        <v>109.73800620515976</v>
      </c>
      <c r="C22" s="32"/>
    </row>
    <row r="23" spans="1:9" ht="12" customHeight="1" x14ac:dyDescent="0.2">
      <c r="A23" s="14" t="s">
        <v>76</v>
      </c>
      <c r="B23" s="37">
        <f ca="1">SQRT(B18)</f>
        <v>0.35373942746732095</v>
      </c>
      <c r="C23" s="32"/>
    </row>
    <row r="24" spans="1:9" x14ac:dyDescent="0.2">
      <c r="A24" s="14" t="s">
        <v>77</v>
      </c>
      <c r="B24" s="37">
        <f ca="1">SQRT(B19)</f>
        <v>0</v>
      </c>
      <c r="C24" s="32"/>
    </row>
    <row r="25" spans="1:9" x14ac:dyDescent="0.2">
      <c r="A25" s="14" t="s">
        <v>78</v>
      </c>
      <c r="B25" s="37">
        <f ca="1">SQRT(B20)</f>
        <v>0.35373942746732095</v>
      </c>
      <c r="C25" s="32"/>
    </row>
    <row r="26" spans="1:9" s="2" customFormat="1" ht="12.75" x14ac:dyDescent="0.2">
      <c r="A26" s="2" t="s">
        <v>127</v>
      </c>
    </row>
    <row r="27" spans="1:9" ht="15" x14ac:dyDescent="0.25">
      <c r="A27" s="14" t="s">
        <v>84</v>
      </c>
      <c r="B27" s="34">
        <f ca="1">B22/B2-1</f>
        <v>-2.3817617712749151E-3</v>
      </c>
      <c r="C27" s="32"/>
    </row>
    <row r="28" spans="1:9" s="2" customFormat="1" ht="12.75" x14ac:dyDescent="0.2">
      <c r="A28" s="2" t="s">
        <v>128</v>
      </c>
    </row>
    <row r="29" spans="1:9" x14ac:dyDescent="0.2">
      <c r="A29" s="14" t="s">
        <v>79</v>
      </c>
      <c r="B29" s="31">
        <f ca="1">B19/B18</f>
        <v>0</v>
      </c>
      <c r="C29" s="32"/>
    </row>
    <row r="30" spans="1:9" x14ac:dyDescent="0.2">
      <c r="A30" s="14" t="s">
        <v>129</v>
      </c>
      <c r="B30" s="31">
        <f ca="1">(B29+1)/(B13*B29+1)</f>
        <v>1</v>
      </c>
      <c r="C30" s="32"/>
    </row>
    <row r="31" spans="1:9" x14ac:dyDescent="0.2">
      <c r="A31" s="14" t="s">
        <v>80</v>
      </c>
      <c r="B31" s="31">
        <f ca="1">SQRT(1+1/(B12*B30))</f>
        <v>1.0606601717798212</v>
      </c>
      <c r="C31" s="32"/>
    </row>
    <row r="32" spans="1:9" x14ac:dyDescent="0.2">
      <c r="A32" s="14" t="s">
        <v>81</v>
      </c>
      <c r="B32" s="31">
        <f ca="1">(B29+1)^2/((B29+1/B13)^2/(B11-1)+(1-1/B13)/B12)</f>
        <v>6.8571428571428577</v>
      </c>
      <c r="C32" s="32"/>
      <c r="I32" s="31"/>
    </row>
    <row r="33" spans="1:3" x14ac:dyDescent="0.2">
      <c r="A33" s="14" t="s">
        <v>66</v>
      </c>
      <c r="B33" s="31">
        <f>Récapitulatif!C2</f>
        <v>0.95</v>
      </c>
      <c r="C33" s="32"/>
    </row>
    <row r="34" spans="1:3" x14ac:dyDescent="0.2">
      <c r="A34" s="14" t="s">
        <v>130</v>
      </c>
      <c r="B34" s="31">
        <f ca="1">TINV(1-B33,ROUNDDOWN(B32,0))</f>
        <v>2.4469118511449688</v>
      </c>
      <c r="C34" s="32"/>
    </row>
    <row r="35" spans="1:3" x14ac:dyDescent="0.2">
      <c r="A35" s="14" t="s">
        <v>131</v>
      </c>
      <c r="B35" s="31">
        <f ca="1">TINV(1-B33,ROUNDUP(B32,0))</f>
        <v>2.3646242515927849</v>
      </c>
      <c r="C35" s="32"/>
    </row>
    <row r="36" spans="1:3" x14ac:dyDescent="0.2">
      <c r="A36" s="14" t="s">
        <v>132</v>
      </c>
      <c r="B36" s="31">
        <f ca="1">B34-(B34-B35)*(B32-ROUNDDOWN(B32,0))</f>
        <v>2.3763796229573826</v>
      </c>
      <c r="C36" s="32"/>
    </row>
    <row r="37" spans="1:3" x14ac:dyDescent="0.2">
      <c r="A37" s="14" t="s">
        <v>133</v>
      </c>
      <c r="B37" s="31">
        <f ca="1">B36*B31</f>
        <v>2.520531219100044</v>
      </c>
      <c r="C37" s="32"/>
    </row>
    <row r="38" spans="1:3" s="2" customFormat="1" ht="12.75" x14ac:dyDescent="0.2">
      <c r="A38" s="2" t="s">
        <v>134</v>
      </c>
    </row>
    <row r="39" spans="1:3" x14ac:dyDescent="0.2">
      <c r="A39" s="14" t="s">
        <v>82</v>
      </c>
      <c r="B39" s="31">
        <f ca="1">B22-B37*B25</f>
        <v>108.84639493480181</v>
      </c>
      <c r="C39" s="32"/>
    </row>
    <row r="40" spans="1:3" x14ac:dyDescent="0.2">
      <c r="A40" s="14" t="s">
        <v>83</v>
      </c>
      <c r="B40" s="31">
        <f ca="1">B22+B37*B25</f>
        <v>110.62961747551772</v>
      </c>
      <c r="C40" s="32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40"/>
  <sheetViews>
    <sheetView zoomScaleNormal="100" workbookViewId="0">
      <selection activeCell="I43" sqref="I43"/>
    </sheetView>
  </sheetViews>
  <sheetFormatPr baseColWidth="10" defaultColWidth="10.85546875" defaultRowHeight="12" x14ac:dyDescent="0.2"/>
  <cols>
    <col min="1" max="1" width="24.5703125" style="14" customWidth="1"/>
    <col min="2" max="2" width="11.28515625" style="14" customWidth="1"/>
    <col min="3" max="3" width="10.85546875" style="14" customWidth="1"/>
    <col min="4" max="4" width="12.140625" style="14" bestFit="1" customWidth="1"/>
    <col min="5" max="6" width="10.28515625" style="14" customWidth="1"/>
    <col min="7" max="7" width="3.5703125" style="14" customWidth="1"/>
    <col min="8" max="8" width="6.42578125" style="14" customWidth="1"/>
    <col min="9" max="9" width="11.5703125" style="14" customWidth="1"/>
    <col min="10" max="10" width="10.85546875" style="14" customWidth="1"/>
    <col min="11" max="16384" width="10.85546875" style="14"/>
  </cols>
  <sheetData>
    <row r="1" spans="1:9" ht="13.5" thickBot="1" x14ac:dyDescent="0.25">
      <c r="A1" s="35" t="s">
        <v>73</v>
      </c>
    </row>
    <row r="2" spans="1:9" ht="13.5" thickBot="1" x14ac:dyDescent="0.25">
      <c r="A2" s="2" t="s">
        <v>74</v>
      </c>
      <c r="B2" s="26">
        <v>120</v>
      </c>
    </row>
    <row r="4" spans="1:9" x14ac:dyDescent="0.2">
      <c r="B4" s="14" t="s">
        <v>93</v>
      </c>
      <c r="C4" s="14" t="s">
        <v>94</v>
      </c>
      <c r="D4" s="14" t="s">
        <v>95</v>
      </c>
      <c r="E4" s="14" t="s">
        <v>96</v>
      </c>
      <c r="F4" s="14" t="s">
        <v>97</v>
      </c>
      <c r="H4" s="14" t="s">
        <v>98</v>
      </c>
      <c r="I4" s="14" t="s">
        <v>99</v>
      </c>
    </row>
    <row r="5" spans="1:9" x14ac:dyDescent="0.2">
      <c r="A5" s="14" t="s">
        <v>111</v>
      </c>
      <c r="B5" s="28"/>
      <c r="C5" s="28"/>
      <c r="D5" s="28"/>
      <c r="E5" s="29"/>
      <c r="F5" s="29"/>
      <c r="H5" s="30"/>
      <c r="I5" s="31"/>
    </row>
    <row r="6" spans="1:9" x14ac:dyDescent="0.2">
      <c r="A6" s="14" t="s">
        <v>112</v>
      </c>
      <c r="B6" s="28">
        <f ca="1">Analytique!AC32*$B$2</f>
        <v>120.08227013193442</v>
      </c>
      <c r="C6" s="28">
        <f ca="1">Analytique!AD32*$B$2</f>
        <v>120.14764670748295</v>
      </c>
      <c r="D6" s="28"/>
      <c r="E6" s="29"/>
      <c r="F6" s="29"/>
      <c r="H6" s="30">
        <f ca="1">COUNT(B6:F6)</f>
        <v>2</v>
      </c>
      <c r="I6" s="31">
        <f ca="1">IF(H6=0,"",DEVSQ(B6:F6))</f>
        <v>2.1370483152261107E-3</v>
      </c>
    </row>
    <row r="7" spans="1:9" x14ac:dyDescent="0.2">
      <c r="A7" s="14" t="s">
        <v>113</v>
      </c>
      <c r="B7" s="28">
        <f ca="1">Analytique!AC33*$B$2</f>
        <v>120.44929002134479</v>
      </c>
      <c r="C7" s="28">
        <f ca="1">Analytique!AD33*$B$2</f>
        <v>120.29161009358891</v>
      </c>
      <c r="D7" s="28"/>
      <c r="E7" s="29"/>
      <c r="F7" s="29"/>
      <c r="H7" s="30">
        <f ca="1">COUNT(B7:F7)</f>
        <v>2</v>
      </c>
      <c r="I7" s="31">
        <f ca="1">IF(H7=0,"",DEVSQ(B7:F7))</f>
        <v>1.2431479808549632E-2</v>
      </c>
    </row>
    <row r="8" spans="1:9" x14ac:dyDescent="0.2">
      <c r="A8" s="14" t="s">
        <v>114</v>
      </c>
      <c r="B8" s="28">
        <f ca="1">Analytique!AC34*$B$2</f>
        <v>120.28442179101411</v>
      </c>
      <c r="C8" s="28">
        <f ca="1">Analytique!AD34*$B$2</f>
        <v>120.22843967063598</v>
      </c>
      <c r="D8" s="29"/>
      <c r="E8" s="29"/>
      <c r="F8" s="29"/>
      <c r="H8" s="30">
        <f t="shared" ref="H8:H9" ca="1" si="0">COUNT(B8:F8)</f>
        <v>2</v>
      </c>
      <c r="I8" s="31">
        <f t="shared" ref="I8:I9" ca="1" si="1">IF(H8=0,"",DEVSQ(B8:F8))</f>
        <v>1.5669989010158617E-3</v>
      </c>
    </row>
    <row r="9" spans="1:9" x14ac:dyDescent="0.2">
      <c r="A9" s="14" t="s">
        <v>115</v>
      </c>
      <c r="B9" s="28">
        <f ca="1">Analytique!AC35*$B$2</f>
        <v>120.55946331368554</v>
      </c>
      <c r="C9" s="28">
        <f ca="1">Analytique!AD35*$B$2</f>
        <v>119.83308099888558</v>
      </c>
      <c r="D9" s="29"/>
      <c r="E9" s="29"/>
      <c r="F9" s="29"/>
      <c r="H9" s="30">
        <f t="shared" ca="1" si="0"/>
        <v>2</v>
      </c>
      <c r="I9" s="31">
        <f t="shared" ca="1" si="1"/>
        <v>0.26381563362707633</v>
      </c>
    </row>
    <row r="10" spans="1:9" s="2" customFormat="1" ht="12.75" x14ac:dyDescent="0.2"/>
    <row r="11" spans="1:9" x14ac:dyDescent="0.2">
      <c r="A11" s="14" t="s">
        <v>116</v>
      </c>
      <c r="B11" s="14">
        <f ca="1">COUNT(B5:B9)</f>
        <v>4</v>
      </c>
      <c r="C11" s="32"/>
    </row>
    <row r="12" spans="1:9" x14ac:dyDescent="0.2">
      <c r="A12" s="14" t="s">
        <v>117</v>
      </c>
      <c r="B12" s="14">
        <f ca="1">COUNT(B5:F9)</f>
        <v>8</v>
      </c>
      <c r="C12" s="32"/>
    </row>
    <row r="13" spans="1:9" x14ac:dyDescent="0.2">
      <c r="A13" s="14" t="s">
        <v>118</v>
      </c>
      <c r="B13" s="14">
        <f ca="1">IF(H6*B11&lt;&gt;B12,"Calcul impossible",H6)</f>
        <v>2</v>
      </c>
      <c r="C13" s="32"/>
    </row>
    <row r="14" spans="1:9" x14ac:dyDescent="0.2">
      <c r="A14" s="14" t="s">
        <v>119</v>
      </c>
      <c r="B14" s="37">
        <f ca="1">SUM(I5:I9)</f>
        <v>0.27995116065186793</v>
      </c>
      <c r="C14" s="32"/>
    </row>
    <row r="15" spans="1:9" x14ac:dyDescent="0.2">
      <c r="A15" s="14" t="s">
        <v>120</v>
      </c>
      <c r="B15" s="37">
        <f ca="1">DEVSQ(B5:F9)</f>
        <v>0.34938101951759004</v>
      </c>
      <c r="C15" s="32"/>
    </row>
    <row r="16" spans="1:9" x14ac:dyDescent="0.2">
      <c r="A16" s="14" t="s">
        <v>121</v>
      </c>
      <c r="B16" s="37">
        <f ca="1">B15-B14</f>
        <v>6.9429858865722116E-2</v>
      </c>
      <c r="C16" s="32"/>
    </row>
    <row r="17" spans="1:9" x14ac:dyDescent="0.2">
      <c r="A17" s="14" t="s">
        <v>122</v>
      </c>
      <c r="B17" s="37">
        <f ca="1">((B16/(B11-1))-B18)/B13</f>
        <v>-2.3422251937196471E-2</v>
      </c>
      <c r="C17" s="32"/>
    </row>
    <row r="18" spans="1:9" x14ac:dyDescent="0.2">
      <c r="A18" s="14" t="s">
        <v>123</v>
      </c>
      <c r="B18" s="37">
        <f ca="1">B14/(B12-B11)</f>
        <v>6.9987790162966981E-2</v>
      </c>
      <c r="C18" s="32"/>
    </row>
    <row r="19" spans="1:9" x14ac:dyDescent="0.2">
      <c r="A19" s="14" t="s">
        <v>124</v>
      </c>
      <c r="B19" s="37">
        <f ca="1">IF(B17&lt;0,0,B17)</f>
        <v>0</v>
      </c>
      <c r="C19" s="32"/>
    </row>
    <row r="20" spans="1:9" x14ac:dyDescent="0.2">
      <c r="A20" s="14" t="s">
        <v>125</v>
      </c>
      <c r="B20" s="37">
        <f ca="1">SUM(B18:B19)</f>
        <v>6.9987790162966981E-2</v>
      </c>
      <c r="C20" s="32"/>
    </row>
    <row r="21" spans="1:9" s="2" customFormat="1" ht="12.75" x14ac:dyDescent="0.2">
      <c r="A21" s="2" t="s">
        <v>126</v>
      </c>
    </row>
    <row r="22" spans="1:9" x14ac:dyDescent="0.2">
      <c r="A22" s="14" t="s">
        <v>75</v>
      </c>
      <c r="B22" s="37">
        <f ca="1">AVERAGE(B5:F9)</f>
        <v>120.23452784107155</v>
      </c>
      <c r="C22" s="32"/>
    </row>
    <row r="23" spans="1:9" ht="12" customHeight="1" x14ac:dyDescent="0.2">
      <c r="A23" s="14" t="s">
        <v>76</v>
      </c>
      <c r="B23" s="37">
        <f ca="1">SQRT(B18)</f>
        <v>0.26455205567707651</v>
      </c>
      <c r="C23" s="32"/>
    </row>
    <row r="24" spans="1:9" x14ac:dyDescent="0.2">
      <c r="A24" s="14" t="s">
        <v>77</v>
      </c>
      <c r="B24" s="37">
        <f ca="1">SQRT(B19)</f>
        <v>0</v>
      </c>
      <c r="C24" s="32"/>
    </row>
    <row r="25" spans="1:9" x14ac:dyDescent="0.2">
      <c r="A25" s="14" t="s">
        <v>78</v>
      </c>
      <c r="B25" s="37">
        <f ca="1">SQRT(B20)</f>
        <v>0.26455205567707651</v>
      </c>
      <c r="C25" s="32"/>
    </row>
    <row r="26" spans="1:9" s="2" customFormat="1" ht="12.75" x14ac:dyDescent="0.2">
      <c r="A26" s="2" t="s">
        <v>127</v>
      </c>
    </row>
    <row r="27" spans="1:9" ht="15" x14ac:dyDescent="0.25">
      <c r="A27" s="14" t="s">
        <v>84</v>
      </c>
      <c r="B27" s="34">
        <f ca="1">B22/B2-1</f>
        <v>1.954398675596325E-3</v>
      </c>
      <c r="C27" s="32"/>
    </row>
    <row r="28" spans="1:9" s="2" customFormat="1" ht="12.75" x14ac:dyDescent="0.2">
      <c r="A28" s="2" t="s">
        <v>128</v>
      </c>
    </row>
    <row r="29" spans="1:9" x14ac:dyDescent="0.2">
      <c r="A29" s="14" t="s">
        <v>79</v>
      </c>
      <c r="B29" s="31">
        <f ca="1">B19/B18</f>
        <v>0</v>
      </c>
      <c r="C29" s="32"/>
    </row>
    <row r="30" spans="1:9" x14ac:dyDescent="0.2">
      <c r="A30" s="14" t="s">
        <v>129</v>
      </c>
      <c r="B30" s="31">
        <f ca="1">(B29+1)/(B13*B29+1)</f>
        <v>1</v>
      </c>
      <c r="C30" s="32"/>
    </row>
    <row r="31" spans="1:9" x14ac:dyDescent="0.2">
      <c r="A31" s="14" t="s">
        <v>80</v>
      </c>
      <c r="B31" s="31">
        <f ca="1">SQRT(1+1/(B12*B30))</f>
        <v>1.0606601717798212</v>
      </c>
      <c r="C31" s="32"/>
    </row>
    <row r="32" spans="1:9" x14ac:dyDescent="0.2">
      <c r="A32" s="14" t="s">
        <v>81</v>
      </c>
      <c r="B32" s="31">
        <f ca="1">(B29+1)^2/((B29+1/B13)^2/(B11-1)+(1-1/B13)/B12)</f>
        <v>6.8571428571428577</v>
      </c>
      <c r="C32" s="32"/>
      <c r="I32" s="31"/>
    </row>
    <row r="33" spans="1:3" x14ac:dyDescent="0.2">
      <c r="A33" s="14" t="s">
        <v>66</v>
      </c>
      <c r="B33" s="31">
        <f>Récapitulatif!C2</f>
        <v>0.95</v>
      </c>
      <c r="C33" s="32"/>
    </row>
    <row r="34" spans="1:3" x14ac:dyDescent="0.2">
      <c r="A34" s="14" t="s">
        <v>130</v>
      </c>
      <c r="B34" s="31">
        <f ca="1">TINV(1-B33,ROUNDDOWN(B32,0))</f>
        <v>2.4469118511449688</v>
      </c>
      <c r="C34" s="32"/>
    </row>
    <row r="35" spans="1:3" x14ac:dyDescent="0.2">
      <c r="A35" s="14" t="s">
        <v>131</v>
      </c>
      <c r="B35" s="31">
        <f ca="1">TINV(1-B33,ROUNDUP(B32,0))</f>
        <v>2.3646242515927849</v>
      </c>
      <c r="C35" s="32"/>
    </row>
    <row r="36" spans="1:3" x14ac:dyDescent="0.2">
      <c r="A36" s="14" t="s">
        <v>132</v>
      </c>
      <c r="B36" s="31">
        <f ca="1">B34-(B34-B35)*(B32-ROUNDDOWN(B32,0))</f>
        <v>2.3763796229573826</v>
      </c>
      <c r="C36" s="32"/>
    </row>
    <row r="37" spans="1:3" x14ac:dyDescent="0.2">
      <c r="A37" s="14" t="s">
        <v>133</v>
      </c>
      <c r="B37" s="31">
        <f ca="1">B36*B31</f>
        <v>2.520531219100044</v>
      </c>
      <c r="C37" s="32"/>
    </row>
    <row r="38" spans="1:3" s="2" customFormat="1" ht="12.75" x14ac:dyDescent="0.2">
      <c r="A38" s="2" t="s">
        <v>134</v>
      </c>
    </row>
    <row r="39" spans="1:3" x14ac:dyDescent="0.2">
      <c r="A39" s="14" t="s">
        <v>82</v>
      </c>
      <c r="B39" s="31">
        <f ca="1">B22-B37*B25</f>
        <v>119.56771612566038</v>
      </c>
      <c r="C39" s="32"/>
    </row>
    <row r="40" spans="1:3" x14ac:dyDescent="0.2">
      <c r="A40" s="14" t="s">
        <v>83</v>
      </c>
      <c r="B40" s="31">
        <f ca="1">B22+B37*B25</f>
        <v>120.90133955648272</v>
      </c>
      <c r="C40" s="32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Analytique</vt:lpstr>
      <vt:lpstr>Récapitulatif</vt:lpstr>
      <vt:lpstr>80%</vt:lpstr>
      <vt:lpstr>90%</vt:lpstr>
      <vt:lpstr>100%</vt:lpstr>
      <vt:lpstr>110%</vt:lpstr>
      <vt:lpstr>120%</vt:lpstr>
      <vt:lpstr>Graph Profil</vt:lpstr>
      <vt:lpstr>'80%'!Zone_d_impression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2017-03-18T19:30:29Z</dcterms:created>
  <dcterms:modified xsi:type="dcterms:W3CDTF">2025-11-18T06:50:50Z</dcterms:modified>
</cp:coreProperties>
</file>