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organ gc\Desktop\EmVisage\Morgan\Statistique\Excel\"/>
    </mc:Choice>
  </mc:AlternateContent>
  <xr:revisionPtr revIDLastSave="0" documentId="13_ncr:1_{657B56A5-1FA9-4273-8CAB-6D7D4387B479}" xr6:coauthVersionLast="47" xr6:coauthVersionMax="47" xr10:uidLastSave="{00000000-0000-0000-0000-000000000000}"/>
  <bookViews>
    <workbookView xWindow="-120" yWindow="-120" windowWidth="29040" windowHeight="15720" tabRatio="800" activeTab="2" xr2:uid="{00000000-000D-0000-FFFF-FFFF00000000}"/>
  </bookViews>
  <sheets>
    <sheet name="Mode d'emploi" sheetId="16" r:id="rId1"/>
    <sheet name="Graph Profil" sheetId="10" r:id="rId2"/>
    <sheet name="Récapitulatif" sheetId="9" r:id="rId3"/>
    <sheet name="Niveau A" sheetId="7" r:id="rId4"/>
    <sheet name="Niveau B" sheetId="8" r:id="rId5"/>
    <sheet name="Niveau C" sheetId="11" r:id="rId6"/>
    <sheet name="Niveau D" sheetId="12" r:id="rId7"/>
    <sheet name="Niveau E" sheetId="13" r:id="rId8"/>
    <sheet name="Niveau F" sheetId="14" r:id="rId9"/>
    <sheet name="Niveau G" sheetId="18" r:id="rId10"/>
    <sheet name="Libel" sheetId="17" state="veryHidden" r:id="rId11"/>
  </sheets>
  <definedNames>
    <definedName name="__123Graph_A" hidden="1">#REF!</definedName>
    <definedName name="__123Graph_ARG" hidden="1">#REF!</definedName>
    <definedName name="__123Graph_B" hidden="1">#REF!</definedName>
    <definedName name="__123Graph_BRG" hidden="1">#REF!</definedName>
    <definedName name="__123Graph_C" hidden="1">#REF!</definedName>
    <definedName name="__123Graph_CRG" hidden="1">#REF!</definedName>
    <definedName name="__123Graph_X" hidden="1">#REF!</definedName>
    <definedName name="__123Graph_XRG" hidden="1">#REF!</definedName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xlnm.Print_Area" localSheetId="3">'Niveau A'!$A$1:$I$48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8" i="18" l="1"/>
  <c r="A47" i="18"/>
  <c r="A46" i="18"/>
  <c r="A45" i="18"/>
  <c r="A44" i="18"/>
  <c r="A43" i="18"/>
  <c r="A42" i="18"/>
  <c r="B41" i="18"/>
  <c r="A41" i="18"/>
  <c r="A40" i="18"/>
  <c r="A39" i="18"/>
  <c r="A38" i="18"/>
  <c r="A37" i="18"/>
  <c r="A36" i="18"/>
  <c r="A35" i="18"/>
  <c r="A34" i="18"/>
  <c r="A33" i="18"/>
  <c r="A32" i="18"/>
  <c r="A31" i="18"/>
  <c r="A30" i="18"/>
  <c r="A29" i="18"/>
  <c r="A28" i="18"/>
  <c r="A27" i="18"/>
  <c r="A26" i="18"/>
  <c r="A25" i="18"/>
  <c r="A24" i="18"/>
  <c r="A23" i="18"/>
  <c r="A22" i="18"/>
  <c r="A21" i="18"/>
  <c r="A20" i="18"/>
  <c r="A19" i="18"/>
  <c r="I17" i="18"/>
  <c r="H17" i="18"/>
  <c r="A17" i="18"/>
  <c r="H16" i="18"/>
  <c r="I16" i="18" s="1"/>
  <c r="A16" i="18"/>
  <c r="H15" i="18"/>
  <c r="I15" i="18" s="1"/>
  <c r="A15" i="18"/>
  <c r="H14" i="18"/>
  <c r="I14" i="18" s="1"/>
  <c r="A14" i="18"/>
  <c r="H13" i="18"/>
  <c r="I13" i="18" s="1"/>
  <c r="A13" i="18"/>
  <c r="H12" i="18"/>
  <c r="I12" i="18" s="1"/>
  <c r="A12" i="18"/>
  <c r="H11" i="18"/>
  <c r="I11" i="18" s="1"/>
  <c r="A11" i="18"/>
  <c r="H10" i="18"/>
  <c r="I10" i="18" s="1"/>
  <c r="A10" i="18"/>
  <c r="I9" i="18"/>
  <c r="H9" i="18"/>
  <c r="A9" i="18"/>
  <c r="H8" i="18"/>
  <c r="I8" i="18" s="1"/>
  <c r="A8" i="18"/>
  <c r="A7" i="18"/>
  <c r="H6" i="18"/>
  <c r="I6" i="18" s="1"/>
  <c r="A6" i="18"/>
  <c r="B30" i="18"/>
  <c r="A5" i="18"/>
  <c r="A2" i="18"/>
  <c r="I20" i="9"/>
  <c r="I21" i="9"/>
  <c r="I6" i="9"/>
  <c r="I7" i="9"/>
  <c r="H5" i="18" l="1"/>
  <c r="I5" i="18" s="1"/>
  <c r="H7" i="18"/>
  <c r="I7" i="18" s="1"/>
  <c r="B35" i="18"/>
  <c r="B20" i="18"/>
  <c r="B19" i="18"/>
  <c r="B23" i="18"/>
  <c r="I17" i="9"/>
  <c r="I16" i="9"/>
  <c r="B22" i="18" l="1"/>
  <c r="B24" i="18" s="1"/>
  <c r="B21" i="18"/>
  <c r="B26" i="18"/>
  <c r="F3" i="9"/>
  <c r="B25" i="18" l="1"/>
  <c r="B27" i="18" s="1"/>
  <c r="B37" i="18" s="1"/>
  <c r="B31" i="18"/>
  <c r="B41" i="13"/>
  <c r="B30" i="13"/>
  <c r="B35" i="13" s="1"/>
  <c r="B23" i="13"/>
  <c r="B20" i="13"/>
  <c r="B19" i="13"/>
  <c r="H7" i="13"/>
  <c r="I7" i="13" s="1"/>
  <c r="H6" i="13"/>
  <c r="I6" i="13" s="1"/>
  <c r="H5" i="13"/>
  <c r="I5" i="13" s="1"/>
  <c r="B23" i="7"/>
  <c r="B23" i="8"/>
  <c r="B23" i="11"/>
  <c r="B41" i="12"/>
  <c r="B30" i="12"/>
  <c r="B35" i="12" s="1"/>
  <c r="B23" i="12"/>
  <c r="B20" i="12"/>
  <c r="B19" i="12"/>
  <c r="H9" i="12"/>
  <c r="I9" i="12" s="1"/>
  <c r="H8" i="12"/>
  <c r="I8" i="12" s="1"/>
  <c r="H7" i="12"/>
  <c r="I7" i="12" s="1"/>
  <c r="H6" i="12"/>
  <c r="I6" i="12" s="1"/>
  <c r="H5" i="12"/>
  <c r="I5" i="12" s="1"/>
  <c r="B41" i="11"/>
  <c r="B30" i="11"/>
  <c r="B35" i="11" s="1"/>
  <c r="B20" i="11"/>
  <c r="B19" i="11"/>
  <c r="H9" i="11"/>
  <c r="I9" i="11" s="1"/>
  <c r="H8" i="11"/>
  <c r="I8" i="11" s="1"/>
  <c r="H7" i="11"/>
  <c r="I7" i="11" s="1"/>
  <c r="H6" i="11"/>
  <c r="I6" i="11" s="1"/>
  <c r="H5" i="11"/>
  <c r="B41" i="8"/>
  <c r="B30" i="8"/>
  <c r="B35" i="8" s="1"/>
  <c r="B20" i="8"/>
  <c r="B19" i="8"/>
  <c r="H9" i="8"/>
  <c r="I9" i="8" s="1"/>
  <c r="H8" i="8"/>
  <c r="I8" i="8" s="1"/>
  <c r="H7" i="8"/>
  <c r="I7" i="8" s="1"/>
  <c r="H6" i="8"/>
  <c r="I6" i="8" s="1"/>
  <c r="H5" i="8"/>
  <c r="B41" i="7"/>
  <c r="B30" i="7"/>
  <c r="B35" i="7" s="1"/>
  <c r="B20" i="7"/>
  <c r="B19" i="7"/>
  <c r="H9" i="7"/>
  <c r="I9" i="7" s="1"/>
  <c r="H8" i="7"/>
  <c r="I8" i="7" s="1"/>
  <c r="H7" i="7"/>
  <c r="I7" i="7" s="1"/>
  <c r="H6" i="7"/>
  <c r="I6" i="7" s="1"/>
  <c r="H5" i="7"/>
  <c r="I5" i="7" s="1"/>
  <c r="G7" i="9"/>
  <c r="I8" i="9"/>
  <c r="G6" i="9"/>
  <c r="I11" i="9"/>
  <c r="B28" i="18" l="1"/>
  <c r="B33" i="18" s="1"/>
  <c r="B32" i="18"/>
  <c r="B40" i="18"/>
  <c r="B38" i="18"/>
  <c r="B39" i="18" s="1"/>
  <c r="B21" i="8"/>
  <c r="I5" i="8"/>
  <c r="B21" i="13"/>
  <c r="B21" i="7"/>
  <c r="B21" i="11"/>
  <c r="B21" i="12"/>
  <c r="I5" i="11"/>
  <c r="C20" i="9"/>
  <c r="I10" i="9"/>
  <c r="I12" i="9"/>
  <c r="I9" i="9"/>
  <c r="I13" i="9"/>
  <c r="B42" i="18" l="1"/>
  <c r="B43" i="1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37" i="13"/>
  <c r="A38" i="13"/>
  <c r="A39" i="13"/>
  <c r="A40" i="13"/>
  <c r="A41" i="13"/>
  <c r="A42" i="13"/>
  <c r="A43" i="13"/>
  <c r="A44" i="13"/>
  <c r="A45" i="13"/>
  <c r="A46" i="13"/>
  <c r="A47" i="13"/>
  <c r="A48" i="13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2" i="8"/>
  <c r="A2" i="11"/>
  <c r="A2" i="12"/>
  <c r="A2" i="13"/>
  <c r="A2" i="14"/>
  <c r="A2" i="7"/>
  <c r="H17" i="8"/>
  <c r="I17" i="8" s="1"/>
  <c r="H17" i="11"/>
  <c r="I17" i="11" s="1"/>
  <c r="H17" i="12"/>
  <c r="I17" i="12" s="1"/>
  <c r="H17" i="13"/>
  <c r="I17" i="13" s="1"/>
  <c r="H17" i="14"/>
  <c r="I17" i="14" s="1"/>
  <c r="H17" i="7"/>
  <c r="I17" i="7" s="1"/>
  <c r="H12" i="8"/>
  <c r="I12" i="8" s="1"/>
  <c r="H13" i="8"/>
  <c r="I13" i="8" s="1"/>
  <c r="H14" i="8"/>
  <c r="I14" i="8" s="1"/>
  <c r="H15" i="8"/>
  <c r="I15" i="8" s="1"/>
  <c r="H16" i="8"/>
  <c r="I16" i="8" s="1"/>
  <c r="H12" i="11"/>
  <c r="I12" i="11" s="1"/>
  <c r="H13" i="11"/>
  <c r="I13" i="11" s="1"/>
  <c r="H14" i="11"/>
  <c r="I14" i="11" s="1"/>
  <c r="H15" i="11"/>
  <c r="I15" i="11" s="1"/>
  <c r="H16" i="11"/>
  <c r="I16" i="11" s="1"/>
  <c r="H12" i="12"/>
  <c r="I12" i="12" s="1"/>
  <c r="H13" i="12"/>
  <c r="I13" i="12" s="1"/>
  <c r="H14" i="12"/>
  <c r="I14" i="12" s="1"/>
  <c r="H15" i="12"/>
  <c r="I15" i="12" s="1"/>
  <c r="H16" i="12"/>
  <c r="I16" i="12" s="1"/>
  <c r="H12" i="13"/>
  <c r="I12" i="13" s="1"/>
  <c r="H13" i="13"/>
  <c r="I13" i="13" s="1"/>
  <c r="H14" i="13"/>
  <c r="I14" i="13" s="1"/>
  <c r="H15" i="13"/>
  <c r="I15" i="13" s="1"/>
  <c r="H16" i="13"/>
  <c r="I16" i="13" s="1"/>
  <c r="H12" i="14"/>
  <c r="I12" i="14" s="1"/>
  <c r="H13" i="14"/>
  <c r="I13" i="14" s="1"/>
  <c r="H14" i="14"/>
  <c r="I14" i="14" s="1"/>
  <c r="H15" i="14"/>
  <c r="I15" i="14" s="1"/>
  <c r="H16" i="14"/>
  <c r="I16" i="14" s="1"/>
  <c r="H12" i="7"/>
  <c r="I12" i="7" s="1"/>
  <c r="H13" i="7"/>
  <c r="I13" i="7" s="1"/>
  <c r="H14" i="7"/>
  <c r="I14" i="7" s="1"/>
  <c r="H15" i="7"/>
  <c r="I15" i="7" s="1"/>
  <c r="H16" i="7"/>
  <c r="I16" i="7" s="1"/>
  <c r="H10" i="8"/>
  <c r="I10" i="8" s="1"/>
  <c r="H11" i="8"/>
  <c r="I11" i="8" s="1"/>
  <c r="H10" i="11"/>
  <c r="I10" i="11"/>
  <c r="H11" i="11"/>
  <c r="I11" i="11" s="1"/>
  <c r="H10" i="12"/>
  <c r="I10" i="12" s="1"/>
  <c r="H11" i="12"/>
  <c r="I11" i="12" s="1"/>
  <c r="H8" i="13"/>
  <c r="I8" i="13" s="1"/>
  <c r="H9" i="13"/>
  <c r="I9" i="13" s="1"/>
  <c r="H10" i="13"/>
  <c r="I10" i="13" s="1"/>
  <c r="H11" i="13"/>
  <c r="I11" i="13" s="1"/>
  <c r="B20" i="14"/>
  <c r="B23" i="14"/>
  <c r="H5" i="14"/>
  <c r="I5" i="14" s="1"/>
  <c r="H6" i="14"/>
  <c r="I6" i="14" s="1"/>
  <c r="H7" i="14"/>
  <c r="I7" i="14" s="1"/>
  <c r="H8" i="14"/>
  <c r="I8" i="14" s="1"/>
  <c r="H9" i="14"/>
  <c r="I9" i="14" s="1"/>
  <c r="H10" i="14"/>
  <c r="I10" i="14" s="1"/>
  <c r="H11" i="14"/>
  <c r="I11" i="14" s="1"/>
  <c r="B19" i="14"/>
  <c r="B30" i="14"/>
  <c r="B35" i="14" s="1"/>
  <c r="H10" i="7"/>
  <c r="I10" i="7" s="1"/>
  <c r="H11" i="7"/>
  <c r="I11" i="7" s="1"/>
  <c r="B41" i="14"/>
  <c r="F20" i="9"/>
  <c r="G20" i="9"/>
  <c r="H20" i="9"/>
  <c r="F21" i="9"/>
  <c r="G21" i="9"/>
  <c r="H21" i="9"/>
  <c r="E20" i="9"/>
  <c r="E21" i="9"/>
  <c r="D20" i="9"/>
  <c r="D21" i="9"/>
  <c r="C21" i="9"/>
  <c r="M7" i="9"/>
  <c r="B9" i="9"/>
  <c r="D7" i="9"/>
  <c r="C7" i="9"/>
  <c r="E16" i="9"/>
  <c r="F7" i="9"/>
  <c r="C6" i="9"/>
  <c r="B10" i="9"/>
  <c r="B6" i="9"/>
  <c r="G16" i="9"/>
  <c r="H7" i="9"/>
  <c r="F16" i="9"/>
  <c r="H6" i="9"/>
  <c r="H16" i="9"/>
  <c r="D16" i="9"/>
  <c r="B15" i="9"/>
  <c r="B7" i="9"/>
  <c r="B12" i="9"/>
  <c r="B13" i="9"/>
  <c r="D6" i="9"/>
  <c r="B11" i="9"/>
  <c r="B8" i="9"/>
  <c r="B16" i="9"/>
  <c r="E7" i="9"/>
  <c r="F6" i="9"/>
  <c r="C16" i="9"/>
  <c r="B14" i="9"/>
  <c r="E6" i="9"/>
  <c r="B22" i="8" l="1"/>
  <c r="B22" i="11"/>
  <c r="B24" i="11" s="1"/>
  <c r="B44" i="18"/>
  <c r="B45" i="18" s="1"/>
  <c r="B26" i="11"/>
  <c r="B31" i="11" s="1"/>
  <c r="B22" i="13"/>
  <c r="B22" i="12"/>
  <c r="B22" i="7"/>
  <c r="B26" i="7" s="1"/>
  <c r="B26" i="8"/>
  <c r="B24" i="8"/>
  <c r="B21" i="14"/>
  <c r="C17" i="9"/>
  <c r="B22" i="14"/>
  <c r="B24" i="14" s="1"/>
  <c r="H17" i="9"/>
  <c r="F17" i="9"/>
  <c r="D17" i="9"/>
  <c r="G17" i="9"/>
  <c r="E17" i="9"/>
  <c r="B47" i="18" l="1"/>
  <c r="B48" i="18"/>
  <c r="B26" i="14"/>
  <c r="B25" i="14" s="1"/>
  <c r="B27" i="14" s="1"/>
  <c r="B32" i="14" s="1"/>
  <c r="B25" i="11"/>
  <c r="B27" i="11" s="1"/>
  <c r="B28" i="11" s="1"/>
  <c r="B33" i="11" s="1"/>
  <c r="B24" i="7"/>
  <c r="B25" i="7" s="1"/>
  <c r="B27" i="7" s="1"/>
  <c r="B37" i="7" s="1"/>
  <c r="B26" i="12"/>
  <c r="B24" i="12"/>
  <c r="B26" i="13"/>
  <c r="B24" i="13"/>
  <c r="B31" i="8"/>
  <c r="B25" i="8"/>
  <c r="B27" i="8" s="1"/>
  <c r="B28" i="8" s="1"/>
  <c r="B33" i="8" s="1"/>
  <c r="B31" i="7"/>
  <c r="I14" i="9"/>
  <c r="D8" i="9"/>
  <c r="E10" i="9"/>
  <c r="D10" i="9"/>
  <c r="E8" i="9"/>
  <c r="I15" i="9"/>
  <c r="H9" i="9"/>
  <c r="I19" i="9" l="1"/>
  <c r="I18" i="9"/>
  <c r="B31" i="14"/>
  <c r="B28" i="14"/>
  <c r="B33" i="14" s="1"/>
  <c r="B37" i="14"/>
  <c r="B38" i="14" s="1"/>
  <c r="B39" i="14" s="1"/>
  <c r="B25" i="13"/>
  <c r="B27" i="13" s="1"/>
  <c r="B32" i="13" s="1"/>
  <c r="B25" i="12"/>
  <c r="B27" i="12" s="1"/>
  <c r="B32" i="12" s="1"/>
  <c r="B32" i="11"/>
  <c r="B37" i="11"/>
  <c r="B40" i="11" s="1"/>
  <c r="B28" i="7"/>
  <c r="B33" i="7" s="1"/>
  <c r="B32" i="7"/>
  <c r="B31" i="13"/>
  <c r="B31" i="12"/>
  <c r="B40" i="7"/>
  <c r="B38" i="7"/>
  <c r="B39" i="7" s="1"/>
  <c r="B37" i="8"/>
  <c r="B32" i="8"/>
  <c r="D11" i="9"/>
  <c r="H11" i="9"/>
  <c r="E11" i="9"/>
  <c r="H8" i="9"/>
  <c r="H12" i="9"/>
  <c r="C11" i="9"/>
  <c r="H10" i="9"/>
  <c r="F8" i="9"/>
  <c r="C8" i="9"/>
  <c r="F9" i="9"/>
  <c r="E9" i="9"/>
  <c r="G9" i="9"/>
  <c r="D9" i="9"/>
  <c r="G8" i="9"/>
  <c r="B40" i="14" l="1"/>
  <c r="B43" i="14" s="1"/>
  <c r="B28" i="13"/>
  <c r="B33" i="13" s="1"/>
  <c r="B37" i="13"/>
  <c r="B40" i="13" s="1"/>
  <c r="B28" i="12"/>
  <c r="B33" i="12" s="1"/>
  <c r="B37" i="12"/>
  <c r="B40" i="12" s="1"/>
  <c r="B38" i="11"/>
  <c r="B39" i="11" s="1"/>
  <c r="B40" i="8"/>
  <c r="B38" i="8"/>
  <c r="B39" i="8" s="1"/>
  <c r="B43" i="7"/>
  <c r="B42" i="7"/>
  <c r="B43" i="11"/>
  <c r="B42" i="11"/>
  <c r="H28" i="9"/>
  <c r="H29" i="9" s="1"/>
  <c r="D12" i="9"/>
  <c r="D13" i="9"/>
  <c r="F10" i="9"/>
  <c r="G10" i="9"/>
  <c r="F11" i="9"/>
  <c r="G11" i="9"/>
  <c r="E13" i="9"/>
  <c r="E12" i="9"/>
  <c r="H13" i="9"/>
  <c r="G13" i="9"/>
  <c r="C10" i="9"/>
  <c r="C9" i="9"/>
  <c r="C12" i="9"/>
  <c r="F13" i="9"/>
  <c r="C13" i="9"/>
  <c r="B42" i="14" l="1"/>
  <c r="B44" i="14" s="1"/>
  <c r="B45" i="14" s="1"/>
  <c r="B38" i="13"/>
  <c r="B39" i="13" s="1"/>
  <c r="B38" i="12"/>
  <c r="B39" i="12" s="1"/>
  <c r="B43" i="13"/>
  <c r="B42" i="13"/>
  <c r="B42" i="12"/>
  <c r="B43" i="12"/>
  <c r="B44" i="7"/>
  <c r="B45" i="7" s="1"/>
  <c r="B44" i="11"/>
  <c r="B45" i="11" s="1"/>
  <c r="B43" i="8"/>
  <c r="B42" i="8"/>
  <c r="C28" i="9"/>
  <c r="C29" i="9" s="1"/>
  <c r="D28" i="9"/>
  <c r="D29" i="9" s="1"/>
  <c r="E28" i="9"/>
  <c r="E29" i="9" s="1"/>
  <c r="G12" i="9"/>
  <c r="F12" i="9"/>
  <c r="B44" i="13" l="1"/>
  <c r="B45" i="13" s="1"/>
  <c r="G28" i="9"/>
  <c r="G29" i="9" s="1"/>
  <c r="F28" i="9"/>
  <c r="F29" i="9" s="1"/>
  <c r="B44" i="12"/>
  <c r="B45" i="12" s="1"/>
  <c r="B48" i="12" s="1"/>
  <c r="B44" i="8"/>
  <c r="B45" i="8" s="1"/>
  <c r="B47" i="8" s="1"/>
  <c r="B47" i="11"/>
  <c r="B48" i="11"/>
  <c r="B48" i="7"/>
  <c r="B47" i="7"/>
  <c r="B47" i="14"/>
  <c r="B48" i="14"/>
  <c r="C14" i="9"/>
  <c r="H14" i="9"/>
  <c r="D14" i="9"/>
  <c r="H15" i="9"/>
  <c r="B47" i="13" l="1"/>
  <c r="B48" i="13"/>
  <c r="B47" i="12"/>
  <c r="B48" i="8"/>
  <c r="C18" i="9"/>
  <c r="D18" i="9"/>
  <c r="H18" i="9"/>
  <c r="H19" i="9"/>
  <c r="G15" i="9"/>
  <c r="E15" i="9"/>
  <c r="G14" i="9"/>
  <c r="E14" i="9"/>
  <c r="F14" i="9"/>
  <c r="F15" i="9"/>
  <c r="C15" i="9"/>
  <c r="D15" i="9"/>
  <c r="G19" i="9" l="1"/>
  <c r="G18" i="9"/>
  <c r="D19" i="9"/>
  <c r="C19" i="9"/>
  <c r="F18" i="9"/>
  <c r="E19" i="9"/>
  <c r="F19" i="9"/>
  <c r="E18" i="9"/>
</calcChain>
</file>

<file path=xl/sharedStrings.xml><?xml version="1.0" encoding="utf-8"?>
<sst xmlns="http://schemas.openxmlformats.org/spreadsheetml/2006/main" count="139" uniqueCount="89">
  <si>
    <t>Répétition 1</t>
  </si>
  <si>
    <t>Répétition 2</t>
  </si>
  <si>
    <t>Répétition 3</t>
  </si>
  <si>
    <t>Répétition 4</t>
  </si>
  <si>
    <t>Répétition 5</t>
  </si>
  <si>
    <t>Valeur cible</t>
  </si>
  <si>
    <t>SCE résiduelle</t>
  </si>
  <si>
    <t>Moyenne niveau</t>
  </si>
  <si>
    <t>Nombre de séries (K)</t>
  </si>
  <si>
    <t>SCE totale</t>
  </si>
  <si>
    <t>Ecart-type inter-séries (sL)</t>
  </si>
  <si>
    <t>Ecart-type de répétabilité (sr)</t>
  </si>
  <si>
    <t>Variance de répétabilité (s²r)</t>
  </si>
  <si>
    <t>Variance de fidélité (s²FI)</t>
  </si>
  <si>
    <t>Ecart-type de fidélité (sFI)</t>
  </si>
  <si>
    <t>Variance inter-séries (s²L)</t>
  </si>
  <si>
    <t>Valeur intermédiaire de s²L</t>
  </si>
  <si>
    <t>Fidélité</t>
  </si>
  <si>
    <t>Facteur de couverture</t>
  </si>
  <si>
    <t>Rapport des variances (R)</t>
  </si>
  <si>
    <t>Nombre de degrés liberté</t>
  </si>
  <si>
    <t>Nombre de mesures (IK)</t>
  </si>
  <si>
    <t>Nombre de répétitions (I)</t>
  </si>
  <si>
    <t>Jour (Série) 1</t>
  </si>
  <si>
    <t>Jour (Série) 2</t>
  </si>
  <si>
    <t>Jour (Série) 3</t>
  </si>
  <si>
    <t>Jour (Série) 4</t>
  </si>
  <si>
    <t>Jour (Série) 5</t>
  </si>
  <si>
    <t>Jour (Série) 6</t>
  </si>
  <si>
    <t>Jour (Série) 7</t>
  </si>
  <si>
    <t>Jour (Série) 8</t>
  </si>
  <si>
    <t>Jour (Série) 9</t>
  </si>
  <si>
    <t>Coefficient B²</t>
  </si>
  <si>
    <t>Coefficient intermédiaire</t>
  </si>
  <si>
    <t>Probabilité tolérance (bêta)</t>
  </si>
  <si>
    <t>Valeur basse tolérance</t>
  </si>
  <si>
    <t>Valeur haute tolérance</t>
  </si>
  <si>
    <t>Facteur de couverture (ktol)</t>
  </si>
  <si>
    <t>t Student bas</t>
  </si>
  <si>
    <t>t Student interpolé</t>
  </si>
  <si>
    <t>t Student haut</t>
  </si>
  <si>
    <t>Intervalle de tolérance</t>
  </si>
  <si>
    <t>Profil d'exactitude</t>
  </si>
  <si>
    <t>Niveaux</t>
  </si>
  <si>
    <t>Limite d'acceptabilité</t>
  </si>
  <si>
    <t>Limite d'acceptabilité basse</t>
  </si>
  <si>
    <t>Limite d'acceptabilité haute</t>
  </si>
  <si>
    <t>Recouvrement (justesse)</t>
  </si>
  <si>
    <t>Justesse</t>
  </si>
  <si>
    <t>Biais (%)</t>
  </si>
  <si>
    <t>1) Remplir chaque feuille "Niveau" avec les données obtenues par prédiction inverse.</t>
  </si>
  <si>
    <t>Mode d'emploi</t>
  </si>
  <si>
    <t>Ces valeurs peuvent être modifiées de façon interactive.</t>
  </si>
  <si>
    <t>5) Le graphique doit être modifié manuellement en fonction du nombre de niveaux.</t>
  </si>
  <si>
    <t>4) Dans la feuille "Récapitulatif", saisir une valeur pour la proportion bêta et pour la limite d'acceptabilité.</t>
  </si>
  <si>
    <t>Utiliser la commande "Données du graphique…" de la feuille "Graph Profil" pour sélectionner les cellules correctes.</t>
  </si>
  <si>
    <t xml:space="preserve">Avant d'utiliser ce classeur, en faire une copie. </t>
  </si>
  <si>
    <t>Respecter la disposition Jour/Répétition prévue des données.</t>
  </si>
  <si>
    <t>Pour cela utiliser les cases dont le fond est blanc. Elles ne sont pas protégées. Si elles contiennent déjà des données, les effacer au préalable.</t>
  </si>
  <si>
    <t>2) Dans chaque feuille "Niveau", saisir la valeur de référence dans la case "Valeur cible"</t>
  </si>
  <si>
    <t>3) Remplir autant de feuilles "Niveau" qu'il y a de niveaux de concentration dans le plan de validation (6 max.)</t>
  </si>
  <si>
    <t>Les données à sélectionner sont en bleu. Ne pas sélectionner les cases contenant une erreur #DIV/0!</t>
  </si>
  <si>
    <t>La mise en forme du graphique est libre et peut être personnalisée.</t>
  </si>
  <si>
    <t>Le t de Student est calculé par interpolation linéaire pour tenir compte du nombre de degrés de liberté.</t>
  </si>
  <si>
    <t>Limite basse tolérance (%)</t>
  </si>
  <si>
    <t>Limite haute tolérance (%)</t>
  </si>
  <si>
    <t>nk</t>
  </si>
  <si>
    <t>SCEk</t>
  </si>
  <si>
    <t>SCE inter-séries</t>
  </si>
  <si>
    <t>Niveau A</t>
  </si>
  <si>
    <t>Niveau B</t>
  </si>
  <si>
    <t>Niveau C</t>
  </si>
  <si>
    <t>Niveau D</t>
  </si>
  <si>
    <t>Niveau E</t>
  </si>
  <si>
    <t>Niveau F</t>
  </si>
  <si>
    <t>Ecart-type de l'IT (sIT)</t>
  </si>
  <si>
    <t>Incertitude</t>
  </si>
  <si>
    <t>Incertitude élargie relative</t>
  </si>
  <si>
    <t>Jour (Série) 10</t>
  </si>
  <si>
    <t>Jour (Série) 11</t>
  </si>
  <si>
    <t>Jour (Série) 12</t>
  </si>
  <si>
    <t>Jour (Série) 13</t>
  </si>
  <si>
    <t>AVERTISSEMENT</t>
  </si>
  <si>
    <t>Ces feuilles de calcul sont libres d'emploi.</t>
  </si>
  <si>
    <t xml:space="preserve">Elles ne sont fournies qu'à titre indicatif et sans garantie pour faciliter la mise en œuvre de la norme V03-110. </t>
  </si>
  <si>
    <t>Afin d'améliorer ce programme, merci de signaler toute erreur à max.feinberg@inra.paris.fr.</t>
  </si>
  <si>
    <t>La saisie est limitée à 13 séries et 5 répétitions.</t>
  </si>
  <si>
    <t xml:space="preserve">L'Afnor décline toute responsabilité quant aux résultats obtenus ou aux conséquences résultant d'un usage inapproprié. </t>
  </si>
  <si>
    <t>Niveau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</si>
</sst>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0"/>
    <numFmt numFmtId="166" formatCode="0.000"/>
    <numFmt numFmtId="167" formatCode="0.000000"/>
    <numFmt numFmtId="168" formatCode="0.0000000"/>
  </numFmts>
  <fonts count="16" x14ac:knownFonts="1">
    <font>
      <sz val="9"/>
      <name val="Arial"/>
      <family val="2"/>
    </font>
    <font>
      <sz val="8"/>
      <name val="Tahoma"/>
      <family val="2"/>
    </font>
    <font>
      <sz val="8"/>
      <name val="Arial"/>
      <family val="2"/>
    </font>
    <font>
      <sz val="8"/>
      <name val="Tahoma"/>
      <family val="2"/>
    </font>
    <font>
      <b/>
      <sz val="10"/>
      <name val="Arial"/>
      <family val="2"/>
    </font>
    <font>
      <sz val="9"/>
      <color indexed="12"/>
      <name val="Arial"/>
      <family val="2"/>
    </font>
    <font>
      <b/>
      <sz val="9"/>
      <name val="Verdana"/>
      <family val="2"/>
    </font>
    <font>
      <sz val="8"/>
      <color indexed="20"/>
      <name val="Verdana"/>
      <family val="2"/>
    </font>
    <font>
      <sz val="9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23"/>
      <name val="Arial"/>
      <family val="2"/>
    </font>
    <font>
      <sz val="9"/>
      <name val="Arial"/>
      <family val="2"/>
    </font>
    <font>
      <b/>
      <sz val="10"/>
      <color indexed="20"/>
      <name val="Arial"/>
      <family val="2"/>
    </font>
    <font>
      <sz val="10"/>
      <name val="Arial"/>
      <family val="2"/>
    </font>
    <font>
      <sz val="9"/>
      <color theme="0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2" borderId="0"/>
    <xf numFmtId="0" fontId="7" fillId="2" borderId="0"/>
    <xf numFmtId="9" fontId="1" fillId="2" borderId="0" applyFont="0" applyBorder="0" applyAlignment="0"/>
    <xf numFmtId="0" fontId="8" fillId="0" borderId="0">
      <alignment horizontal="right"/>
      <protection locked="0"/>
    </xf>
    <xf numFmtId="0" fontId="4" fillId="3" borderId="0"/>
  </cellStyleXfs>
  <cellXfs count="55">
    <xf numFmtId="0" fontId="0" fillId="2" borderId="0" xfId="0"/>
    <xf numFmtId="164" fontId="0" fillId="2" borderId="0" xfId="0" applyNumberFormat="1"/>
    <xf numFmtId="0" fontId="4" fillId="3" borderId="0" xfId="4" applyFont="1"/>
    <xf numFmtId="0" fontId="4" fillId="3" borderId="0" xfId="4"/>
    <xf numFmtId="0" fontId="8" fillId="0" borderId="1" xfId="3" applyBorder="1">
      <alignment horizontal="right"/>
      <protection locked="0"/>
    </xf>
    <xf numFmtId="0" fontId="8" fillId="0" borderId="0" xfId="3" applyBorder="1">
      <alignment horizontal="right"/>
      <protection locked="0"/>
    </xf>
    <xf numFmtId="0" fontId="8" fillId="0" borderId="2" xfId="3" applyBorder="1">
      <alignment horizontal="right"/>
      <protection locked="0"/>
    </xf>
    <xf numFmtId="0" fontId="5" fillId="2" borderId="0" xfId="0" applyFont="1"/>
    <xf numFmtId="0" fontId="7" fillId="2" borderId="0" xfId="1"/>
    <xf numFmtId="167" fontId="0" fillId="2" borderId="0" xfId="0" applyNumberFormat="1"/>
    <xf numFmtId="1" fontId="0" fillId="2" borderId="0" xfId="0" applyNumberFormat="1"/>
    <xf numFmtId="0" fontId="8" fillId="0" borderId="4" xfId="3" applyBorder="1">
      <alignment horizontal="right"/>
      <protection locked="0"/>
    </xf>
    <xf numFmtId="0" fontId="8" fillId="0" borderId="5" xfId="3" applyBorder="1">
      <alignment horizontal="right"/>
      <protection locked="0"/>
    </xf>
    <xf numFmtId="0" fontId="8" fillId="0" borderId="6" xfId="3" applyBorder="1">
      <alignment horizontal="right"/>
      <protection locked="0"/>
    </xf>
    <xf numFmtId="166" fontId="8" fillId="0" borderId="3" xfId="3" applyNumberFormat="1" applyBorder="1">
      <alignment horizontal="right"/>
      <protection locked="0"/>
    </xf>
    <xf numFmtId="166" fontId="8" fillId="0" borderId="4" xfId="3" applyNumberFormat="1" applyBorder="1">
      <alignment horizontal="right"/>
      <protection locked="0"/>
    </xf>
    <xf numFmtId="166" fontId="8" fillId="0" borderId="2" xfId="3" applyNumberFormat="1" applyBorder="1">
      <alignment horizontal="right"/>
      <protection locked="0"/>
    </xf>
    <xf numFmtId="166" fontId="8" fillId="0" borderId="0" xfId="3" applyNumberFormat="1" applyBorder="1">
      <alignment horizontal="right"/>
      <protection locked="0"/>
    </xf>
    <xf numFmtId="168" fontId="0" fillId="2" borderId="0" xfId="0" applyNumberFormat="1"/>
    <xf numFmtId="0" fontId="6" fillId="3" borderId="0" xfId="4" applyFont="1"/>
    <xf numFmtId="0" fontId="9" fillId="3" borderId="0" xfId="4" applyFont="1"/>
    <xf numFmtId="0" fontId="10" fillId="2" borderId="0" xfId="0" applyFont="1"/>
    <xf numFmtId="0" fontId="8" fillId="2" borderId="0" xfId="0" applyFont="1"/>
    <xf numFmtId="9" fontId="10" fillId="0" borderId="1" xfId="3" applyNumberFormat="1" applyFont="1" applyBorder="1">
      <alignment horizontal="right"/>
      <protection locked="0"/>
    </xf>
    <xf numFmtId="0" fontId="10" fillId="2" borderId="7" xfId="0" applyFont="1" applyBorder="1"/>
    <xf numFmtId="0" fontId="5" fillId="2" borderId="7" xfId="0" applyFont="1" applyBorder="1"/>
    <xf numFmtId="166" fontId="5" fillId="2" borderId="7" xfId="0" applyNumberFormat="1" applyFont="1" applyBorder="1"/>
    <xf numFmtId="0" fontId="8" fillId="2" borderId="7" xfId="0" applyFont="1" applyBorder="1"/>
    <xf numFmtId="166" fontId="8" fillId="2" borderId="7" xfId="0" applyNumberFormat="1" applyFont="1" applyBorder="1"/>
    <xf numFmtId="10" fontId="8" fillId="2" borderId="7" xfId="2" applyNumberFormat="1" applyFont="1" applyBorder="1"/>
    <xf numFmtId="10" fontId="5" fillId="2" borderId="7" xfId="2" applyNumberFormat="1" applyFont="1" applyBorder="1"/>
    <xf numFmtId="10" fontId="5" fillId="2" borderId="7" xfId="0" applyNumberFormat="1" applyFont="1" applyBorder="1"/>
    <xf numFmtId="0" fontId="5" fillId="2" borderId="0" xfId="0" applyFont="1" applyBorder="1"/>
    <xf numFmtId="10" fontId="5" fillId="2" borderId="0" xfId="0" applyNumberFormat="1" applyFont="1" applyBorder="1"/>
    <xf numFmtId="165" fontId="10" fillId="2" borderId="0" xfId="0" applyNumberFormat="1" applyFont="1"/>
    <xf numFmtId="10" fontId="10" fillId="2" borderId="0" xfId="2" applyNumberFormat="1" applyFont="1"/>
    <xf numFmtId="0" fontId="11" fillId="2" borderId="0" xfId="0" applyFont="1"/>
    <xf numFmtId="165" fontId="11" fillId="2" borderId="0" xfId="0" applyNumberFormat="1" applyFont="1"/>
    <xf numFmtId="10" fontId="11" fillId="2" borderId="0" xfId="2" applyNumberFormat="1" applyFont="1"/>
    <xf numFmtId="0" fontId="12" fillId="2" borderId="0" xfId="0" applyFont="1"/>
    <xf numFmtId="0" fontId="8" fillId="0" borderId="0" xfId="3">
      <alignment horizontal="right"/>
      <protection locked="0"/>
    </xf>
    <xf numFmtId="0" fontId="14" fillId="2" borderId="0" xfId="0" applyFont="1"/>
    <xf numFmtId="0" fontId="14" fillId="2" borderId="0" xfId="0" applyFont="1" applyAlignment="1">
      <alignment wrapText="1"/>
    </xf>
    <xf numFmtId="10" fontId="0" fillId="2" borderId="0" xfId="2" applyNumberFormat="1" applyFont="1"/>
    <xf numFmtId="0" fontId="14" fillId="4" borderId="0" xfId="0" applyFont="1" applyFill="1" applyAlignment="1">
      <alignment vertical="top" wrapText="1"/>
    </xf>
    <xf numFmtId="0" fontId="14" fillId="4" borderId="0" xfId="0" applyFont="1" applyFill="1" applyAlignment="1">
      <alignment horizontal="left" vertical="top" wrapText="1" indent="2"/>
    </xf>
    <xf numFmtId="0" fontId="13" fillId="4" borderId="0" xfId="0" applyFont="1" applyFill="1" applyAlignment="1">
      <alignment vertical="top" wrapText="1"/>
    </xf>
    <xf numFmtId="0" fontId="15" fillId="2" borderId="0" xfId="0" applyFont="1"/>
    <xf numFmtId="166" fontId="8" fillId="0" borderId="1" xfId="3" applyNumberFormat="1" applyBorder="1">
      <alignment horizontal="right"/>
      <protection locked="0"/>
    </xf>
    <xf numFmtId="165" fontId="8" fillId="0" borderId="3" xfId="3" applyNumberFormat="1" applyBorder="1">
      <alignment horizontal="right"/>
      <protection locked="0"/>
    </xf>
    <xf numFmtId="165" fontId="8" fillId="0" borderId="4" xfId="3" applyNumberFormat="1" applyBorder="1">
      <alignment horizontal="right"/>
      <protection locked="0"/>
    </xf>
    <xf numFmtId="165" fontId="8" fillId="0" borderId="2" xfId="3" applyNumberFormat="1" applyBorder="1">
      <alignment horizontal="right"/>
      <protection locked="0"/>
    </xf>
    <xf numFmtId="165" fontId="8" fillId="0" borderId="0" xfId="3" applyNumberFormat="1" applyBorder="1">
      <alignment horizontal="right"/>
      <protection locked="0"/>
    </xf>
    <xf numFmtId="10" fontId="0" fillId="0" borderId="1" xfId="3" applyNumberFormat="1" applyFont="1" applyBorder="1">
      <alignment horizontal="right"/>
      <protection locked="0"/>
    </xf>
    <xf numFmtId="0" fontId="0" fillId="2" borderId="7" xfId="0" applyFont="1" applyBorder="1"/>
  </cellXfs>
  <cellStyles count="5">
    <cellStyle name="Formule" xfId="1" xr:uid="{00000000-0005-0000-0000-000000000000}"/>
    <cellStyle name="Normal" xfId="0" builtinId="0"/>
    <cellStyle name="Pourcentage" xfId="2" builtinId="5"/>
    <cellStyle name="Saisie" xfId="3" xr:uid="{00000000-0005-0000-0000-000003000000}"/>
    <cellStyle name="Titre" xfId="4" builtinId="1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calcChain" Target="calcChain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874999999999998"/>
          <c:y val="2.8619528619528625E-2"/>
          <c:w val="0.85625000000000007"/>
          <c:h val="0.91919191919191923"/>
        </c:manualLayout>
      </c:layout>
      <c:scatterChart>
        <c:scatterStyle val="lineMarker"/>
        <c:varyColors val="0"/>
        <c:ser>
          <c:idx val="0"/>
          <c:order val="0"/>
          <c:tx>
            <c:strRef>
              <c:f>Récapitulatif!$B$17</c:f>
              <c:strCache>
                <c:ptCount val="1"/>
                <c:pt idx="0">
                  <c:v>Recouvrement (justesse)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FF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Récapitulatif!$C$6:$I$6</c:f>
              <c:numCache>
                <c:formatCode>General</c:formatCode>
                <c:ptCount val="7"/>
                <c:pt idx="0">
                  <c:v>2.0079900000000004</c:v>
                </c:pt>
                <c:pt idx="1">
                  <c:v>4.0159800000000008</c:v>
                </c:pt>
                <c:pt idx="2">
                  <c:v>8.0319600000000015</c:v>
                </c:pt>
                <c:pt idx="3" formatCode="0.000">
                  <c:v>10.039950000000001</c:v>
                </c:pt>
                <c:pt idx="4">
                  <c:v>12.047940000000001</c:v>
                </c:pt>
                <c:pt idx="5">
                  <c:v>16.063920000000003</c:v>
                </c:pt>
                <c:pt idx="6">
                  <c:v>20.079900000000002</c:v>
                </c:pt>
              </c:numCache>
            </c:numRef>
          </c:xVal>
          <c:yVal>
            <c:numRef>
              <c:f>Récapitulatif!$C$17:$I$17</c:f>
              <c:numCache>
                <c:formatCode>0.00%</c:formatCode>
                <c:ptCount val="7"/>
                <c:pt idx="0">
                  <c:v>1.0048173615826386</c:v>
                </c:pt>
                <c:pt idx="1">
                  <c:v>1.0001422614778122</c:v>
                </c:pt>
                <c:pt idx="2">
                  <c:v>0.99690633122415451</c:v>
                </c:pt>
                <c:pt idx="3">
                  <c:v>0.9993018189443148</c:v>
                </c:pt>
                <c:pt idx="4">
                  <c:v>1.0004121162141204</c:v>
                </c:pt>
                <c:pt idx="5">
                  <c:v>1.0022612093740482</c:v>
                </c:pt>
                <c:pt idx="6">
                  <c:v>0.99902013235664366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5A-4F43-B122-253F66D0EA5B}"/>
            </c:ext>
          </c:extLst>
        </c:ser>
        <c:ser>
          <c:idx val="1"/>
          <c:order val="1"/>
          <c:tx>
            <c:strRef>
              <c:f>Récapitulatif!$B$18</c:f>
              <c:strCache>
                <c:ptCount val="1"/>
                <c:pt idx="0">
                  <c:v>Limite basse tolérance (%)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Récapitulatif!$C$6:$I$6</c:f>
              <c:numCache>
                <c:formatCode>General</c:formatCode>
                <c:ptCount val="7"/>
                <c:pt idx="0">
                  <c:v>2.0079900000000004</c:v>
                </c:pt>
                <c:pt idx="1">
                  <c:v>4.0159800000000008</c:v>
                </c:pt>
                <c:pt idx="2">
                  <c:v>8.0319600000000015</c:v>
                </c:pt>
                <c:pt idx="3" formatCode="0.000">
                  <c:v>10.039950000000001</c:v>
                </c:pt>
                <c:pt idx="4">
                  <c:v>12.047940000000001</c:v>
                </c:pt>
                <c:pt idx="5">
                  <c:v>16.063920000000003</c:v>
                </c:pt>
                <c:pt idx="6">
                  <c:v>20.079900000000002</c:v>
                </c:pt>
              </c:numCache>
            </c:numRef>
          </c:xVal>
          <c:yVal>
            <c:numRef>
              <c:f>Récapitulatif!$C$18:$I$18</c:f>
              <c:numCache>
                <c:formatCode>0.00%</c:formatCode>
                <c:ptCount val="7"/>
                <c:pt idx="0">
                  <c:v>0.96187429295912352</c:v>
                </c:pt>
                <c:pt idx="1">
                  <c:v>0.9713788678985652</c:v>
                </c:pt>
                <c:pt idx="2">
                  <c:v>0.98467777996868855</c:v>
                </c:pt>
                <c:pt idx="3">
                  <c:v>0.97479888416899796</c:v>
                </c:pt>
                <c:pt idx="4">
                  <c:v>0.99504663943615257</c:v>
                </c:pt>
                <c:pt idx="5">
                  <c:v>0.9798615942736989</c:v>
                </c:pt>
                <c:pt idx="6">
                  <c:v>0.99623391631209846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5A-4F43-B122-253F66D0EA5B}"/>
            </c:ext>
          </c:extLst>
        </c:ser>
        <c:ser>
          <c:idx val="2"/>
          <c:order val="2"/>
          <c:tx>
            <c:strRef>
              <c:f>Récapitulatif!$B$19</c:f>
              <c:strCache>
                <c:ptCount val="1"/>
                <c:pt idx="0">
                  <c:v>Limite haute tolérance (%)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Récapitulatif!$C$6:$I$6</c:f>
              <c:numCache>
                <c:formatCode>General</c:formatCode>
                <c:ptCount val="7"/>
                <c:pt idx="0">
                  <c:v>2.0079900000000004</c:v>
                </c:pt>
                <c:pt idx="1">
                  <c:v>4.0159800000000008</c:v>
                </c:pt>
                <c:pt idx="2">
                  <c:v>8.0319600000000015</c:v>
                </c:pt>
                <c:pt idx="3" formatCode="0.000">
                  <c:v>10.039950000000001</c:v>
                </c:pt>
                <c:pt idx="4">
                  <c:v>12.047940000000001</c:v>
                </c:pt>
                <c:pt idx="5">
                  <c:v>16.063920000000003</c:v>
                </c:pt>
                <c:pt idx="6">
                  <c:v>20.079900000000002</c:v>
                </c:pt>
              </c:numCache>
            </c:numRef>
          </c:xVal>
          <c:yVal>
            <c:numRef>
              <c:f>Récapitulatif!$C$19:$I$19</c:f>
              <c:numCache>
                <c:formatCode>0.00%</c:formatCode>
                <c:ptCount val="7"/>
                <c:pt idx="0">
                  <c:v>1.0477604302061536</c:v>
                </c:pt>
                <c:pt idx="1">
                  <c:v>1.028905655057059</c:v>
                </c:pt>
                <c:pt idx="2">
                  <c:v>1.0091348824796205</c:v>
                </c:pt>
                <c:pt idx="3">
                  <c:v>1.0238047537196315</c:v>
                </c:pt>
                <c:pt idx="4">
                  <c:v>1.0057775929920882</c:v>
                </c:pt>
                <c:pt idx="5">
                  <c:v>1.0246608244743973</c:v>
                </c:pt>
                <c:pt idx="6">
                  <c:v>1.001806348401189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05A-4F43-B122-253F66D0EA5B}"/>
            </c:ext>
          </c:extLst>
        </c:ser>
        <c:ser>
          <c:idx val="3"/>
          <c:order val="3"/>
          <c:tx>
            <c:strRef>
              <c:f>Récapitulatif!$B$20</c:f>
              <c:strCache>
                <c:ptCount val="1"/>
                <c:pt idx="0">
                  <c:v>Limite d'acceptabilité basse</c:v>
                </c:pt>
              </c:strCache>
            </c:strRef>
          </c:tx>
          <c:spPr>
            <a:ln w="25400">
              <a:solidFill>
                <a:srgbClr val="FF0000"/>
              </a:solidFill>
              <a:prstDash val="lgDash"/>
            </a:ln>
          </c:spPr>
          <c:marker>
            <c:symbol val="none"/>
          </c:marker>
          <c:xVal>
            <c:numRef>
              <c:f>Récapitulatif!$C$6:$I$6</c:f>
              <c:numCache>
                <c:formatCode>General</c:formatCode>
                <c:ptCount val="7"/>
                <c:pt idx="0">
                  <c:v>2.0079900000000004</c:v>
                </c:pt>
                <c:pt idx="1">
                  <c:v>4.0159800000000008</c:v>
                </c:pt>
                <c:pt idx="2">
                  <c:v>8.0319600000000015</c:v>
                </c:pt>
                <c:pt idx="3" formatCode="0.000">
                  <c:v>10.039950000000001</c:v>
                </c:pt>
                <c:pt idx="4">
                  <c:v>12.047940000000001</c:v>
                </c:pt>
                <c:pt idx="5">
                  <c:v>16.063920000000003</c:v>
                </c:pt>
                <c:pt idx="6">
                  <c:v>20.079900000000002</c:v>
                </c:pt>
              </c:numCache>
            </c:numRef>
          </c:xVal>
          <c:yVal>
            <c:numRef>
              <c:f>Récapitulatif!$C$20:$I$20</c:f>
              <c:numCache>
                <c:formatCode>0.00%</c:formatCode>
                <c:ptCount val="7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05A-4F43-B122-253F66D0EA5B}"/>
            </c:ext>
          </c:extLst>
        </c:ser>
        <c:ser>
          <c:idx val="4"/>
          <c:order val="4"/>
          <c:tx>
            <c:strRef>
              <c:f>Récapitulatif!$B$21</c:f>
              <c:strCache>
                <c:ptCount val="1"/>
                <c:pt idx="0">
                  <c:v>Limite d'acceptabilité haute</c:v>
                </c:pt>
              </c:strCache>
            </c:strRef>
          </c:tx>
          <c:spPr>
            <a:ln w="25400">
              <a:solidFill>
                <a:srgbClr val="FF0000"/>
              </a:solidFill>
              <a:prstDash val="lgDash"/>
            </a:ln>
          </c:spPr>
          <c:marker>
            <c:symbol val="none"/>
          </c:marker>
          <c:xVal>
            <c:numRef>
              <c:f>Récapitulatif!$C$6:$I$6</c:f>
              <c:numCache>
                <c:formatCode>General</c:formatCode>
                <c:ptCount val="7"/>
                <c:pt idx="0">
                  <c:v>2.0079900000000004</c:v>
                </c:pt>
                <c:pt idx="1">
                  <c:v>4.0159800000000008</c:v>
                </c:pt>
                <c:pt idx="2">
                  <c:v>8.0319600000000015</c:v>
                </c:pt>
                <c:pt idx="3" formatCode="0.000">
                  <c:v>10.039950000000001</c:v>
                </c:pt>
                <c:pt idx="4">
                  <c:v>12.047940000000001</c:v>
                </c:pt>
                <c:pt idx="5">
                  <c:v>16.063920000000003</c:v>
                </c:pt>
                <c:pt idx="6">
                  <c:v>20.079900000000002</c:v>
                </c:pt>
              </c:numCache>
            </c:numRef>
          </c:xVal>
          <c:yVal>
            <c:numRef>
              <c:f>Récapitulatif!$C$21:$I$21</c:f>
              <c:numCache>
                <c:formatCode>0.00%</c:formatCode>
                <c:ptCount val="7"/>
                <c:pt idx="0">
                  <c:v>1.1000000000000001</c:v>
                </c:pt>
                <c:pt idx="1">
                  <c:v>1.1000000000000001</c:v>
                </c:pt>
                <c:pt idx="2">
                  <c:v>1.1000000000000001</c:v>
                </c:pt>
                <c:pt idx="3">
                  <c:v>1.1000000000000001</c:v>
                </c:pt>
                <c:pt idx="4">
                  <c:v>1.1000000000000001</c:v>
                </c:pt>
                <c:pt idx="5">
                  <c:v>1.1000000000000001</c:v>
                </c:pt>
                <c:pt idx="6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05A-4F43-B122-253F66D0E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4492320"/>
        <c:axId val="574492864"/>
      </c:scatterChart>
      <c:valAx>
        <c:axId val="574492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600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fr-FR"/>
                  <a:t>Niveaux</a:t>
                </a:r>
              </a:p>
            </c:rich>
          </c:tx>
          <c:layout>
            <c:manualLayout>
              <c:xMode val="edge"/>
              <c:yMode val="edge"/>
              <c:x val="0.86875000000000013"/>
              <c:y val="0.9225589225589226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fr-FR"/>
          </a:p>
        </c:txPr>
        <c:crossAx val="574492864"/>
        <c:crossesAt val="1"/>
        <c:crossBetween val="midCat"/>
      </c:valAx>
      <c:valAx>
        <c:axId val="574492864"/>
        <c:scaling>
          <c:orientation val="minMax"/>
          <c:min val="0.95000000000000007"/>
        </c:scaling>
        <c:delete val="0"/>
        <c:axPos val="l"/>
        <c:title>
          <c:tx>
            <c:rich>
              <a:bodyPr/>
              <a:lstStyle/>
              <a:p>
                <a:pPr>
                  <a:defRPr sz="1600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fr-FR"/>
                  <a:t>Exactitude (%)</a:t>
                </a:r>
              </a:p>
            </c:rich>
          </c:tx>
          <c:layout>
            <c:manualLayout>
              <c:xMode val="edge"/>
              <c:yMode val="edge"/>
              <c:x val="0"/>
              <c:y val="0.34680134680134678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fr-FR"/>
          </a:p>
        </c:txPr>
        <c:crossAx val="574492320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1249218583788484"/>
          <c:y val="0.74578482160133208"/>
          <c:w val="0.61770833333333341"/>
          <c:h val="0.1245791245791246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fr-FR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 codeName="Graph2"/>
  <sheetViews>
    <sheetView zoomScale="55" workbookViewId="0"/>
  </sheetViews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144000" cy="5645727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9525</xdr:rowOff>
    </xdr:from>
    <xdr:to>
      <xdr:col>7</xdr:col>
      <xdr:colOff>733425</xdr:colOff>
      <xdr:row>25</xdr:row>
      <xdr:rowOff>47625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SpPr txBox="1">
          <a:spLocks noChangeArrowheads="1"/>
        </xdr:cNvSpPr>
      </xdr:nvSpPr>
      <xdr:spPr bwMode="auto">
        <a:xfrm>
          <a:off x="0" y="3400425"/>
          <a:ext cx="6334125" cy="4953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Les données qui servent à construire le graphique du profil sont en bleu. </a:t>
          </a:r>
        </a:p>
        <a:p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Il convient de modifier le graphique en fonction du nombre de niveaux en sélectionnant la zone correcte de données par la commande &lt;Données du graphique…&gt;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wksMdE"/>
  <dimension ref="A1:A21"/>
  <sheetViews>
    <sheetView workbookViewId="0"/>
  </sheetViews>
  <sheetFormatPr baseColWidth="10" defaultColWidth="11.42578125" defaultRowHeight="12.75" x14ac:dyDescent="0.2"/>
  <cols>
    <col min="1" max="1" width="98.5703125" style="42" customWidth="1"/>
    <col min="2" max="16384" width="11.42578125" style="41"/>
  </cols>
  <sheetData>
    <row r="1" spans="1:1" s="3" customFormat="1" ht="21" customHeight="1" x14ac:dyDescent="0.2">
      <c r="A1" s="2" t="s">
        <v>82</v>
      </c>
    </row>
    <row r="2" spans="1:1" ht="27" customHeight="1" x14ac:dyDescent="0.2">
      <c r="A2" s="46" t="s">
        <v>56</v>
      </c>
    </row>
    <row r="3" spans="1:1" ht="22.5" customHeight="1" x14ac:dyDescent="0.2">
      <c r="A3" s="46" t="s">
        <v>83</v>
      </c>
    </row>
    <row r="4" spans="1:1" ht="27.75" customHeight="1" x14ac:dyDescent="0.2">
      <c r="A4" s="46" t="s">
        <v>84</v>
      </c>
    </row>
    <row r="5" spans="1:1" ht="33" customHeight="1" x14ac:dyDescent="0.2">
      <c r="A5" s="46" t="s">
        <v>87</v>
      </c>
    </row>
    <row r="6" spans="1:1" ht="24.75" customHeight="1" x14ac:dyDescent="0.2">
      <c r="A6" s="46" t="s">
        <v>85</v>
      </c>
    </row>
    <row r="7" spans="1:1" s="3" customFormat="1" ht="21" customHeight="1" x14ac:dyDescent="0.2">
      <c r="A7" s="2" t="s">
        <v>51</v>
      </c>
    </row>
    <row r="8" spans="1:1" ht="30" customHeight="1" x14ac:dyDescent="0.2">
      <c r="A8" s="44" t="s">
        <v>50</v>
      </c>
    </row>
    <row r="9" spans="1:1" ht="30.75" customHeight="1" x14ac:dyDescent="0.2">
      <c r="A9" s="45" t="s">
        <v>58</v>
      </c>
    </row>
    <row r="10" spans="1:1" ht="22.5" customHeight="1" x14ac:dyDescent="0.2">
      <c r="A10" s="45" t="s">
        <v>57</v>
      </c>
    </row>
    <row r="11" spans="1:1" ht="22.5" customHeight="1" x14ac:dyDescent="0.2">
      <c r="A11" s="44" t="s">
        <v>59</v>
      </c>
    </row>
    <row r="12" spans="1:1" ht="28.5" customHeight="1" x14ac:dyDescent="0.2">
      <c r="A12" s="44" t="s">
        <v>60</v>
      </c>
    </row>
    <row r="13" spans="1:1" ht="22.5" customHeight="1" x14ac:dyDescent="0.2">
      <c r="A13" s="45" t="s">
        <v>86</v>
      </c>
    </row>
    <row r="14" spans="1:1" ht="22.5" customHeight="1" x14ac:dyDescent="0.2">
      <c r="A14" s="44" t="s">
        <v>54</v>
      </c>
    </row>
    <row r="15" spans="1:1" ht="22.5" customHeight="1" x14ac:dyDescent="0.2">
      <c r="A15" s="45" t="s">
        <v>52</v>
      </c>
    </row>
    <row r="16" spans="1:1" ht="22.5" customHeight="1" x14ac:dyDescent="0.2">
      <c r="A16" s="44" t="s">
        <v>53</v>
      </c>
    </row>
    <row r="17" spans="1:1" ht="30" customHeight="1" x14ac:dyDescent="0.2">
      <c r="A17" s="45" t="s">
        <v>55</v>
      </c>
    </row>
    <row r="18" spans="1:1" ht="22.5" customHeight="1" x14ac:dyDescent="0.2">
      <c r="A18" s="45" t="s">
        <v>61</v>
      </c>
    </row>
    <row r="19" spans="1:1" ht="22.5" customHeight="1" x14ac:dyDescent="0.2">
      <c r="A19" s="45" t="s">
        <v>62</v>
      </c>
    </row>
    <row r="20" spans="1:1" ht="22.5" customHeight="1" x14ac:dyDescent="0.2">
      <c r="A20" s="45"/>
    </row>
    <row r="21" spans="1:1" ht="22.5" customHeight="1" x14ac:dyDescent="0.2">
      <c r="A21" s="45" t="s">
        <v>63</v>
      </c>
    </row>
  </sheetData>
  <sheetProtection pivotTables="0"/>
  <phoneticPr fontId="2" type="noConversion"/>
  <pageMargins left="0.78740157499999996" right="0.78740157499999996" top="0.984251969" bottom="0.984251969" header="0.4921259845" footer="0.4921259845"/>
  <pageSetup paperSize="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1"/>
  <dimension ref="A1:M36"/>
  <sheetViews>
    <sheetView tabSelected="1" workbookViewId="0">
      <selection activeCell="C41" sqref="C41"/>
    </sheetView>
  </sheetViews>
  <sheetFormatPr baseColWidth="10" defaultColWidth="11.42578125" defaultRowHeight="12" x14ac:dyDescent="0.2"/>
  <cols>
    <col min="1" max="1" width="8.140625" style="39" customWidth="1"/>
    <col min="2" max="2" width="26.85546875" style="39" customWidth="1"/>
    <col min="3" max="8" width="14" style="39" bestFit="1" customWidth="1"/>
    <col min="9" max="16384" width="11.42578125" style="39"/>
  </cols>
  <sheetData>
    <row r="1" spans="1:13" s="20" customFormat="1" ht="13.5" thickBot="1" x14ac:dyDescent="0.25">
      <c r="B1" s="3" t="s">
        <v>42</v>
      </c>
    </row>
    <row r="2" spans="1:13" s="21" customFormat="1" ht="12.75" thickBot="1" x14ac:dyDescent="0.25">
      <c r="B2" s="21" t="s">
        <v>34</v>
      </c>
      <c r="C2" s="23">
        <v>0.99</v>
      </c>
      <c r="E2" s="21">
        <v>20</v>
      </c>
      <c r="F2" s="21">
        <v>100</v>
      </c>
    </row>
    <row r="3" spans="1:13" s="21" customFormat="1" ht="12.75" thickBot="1" x14ac:dyDescent="0.25">
      <c r="B3" s="21" t="s">
        <v>44</v>
      </c>
      <c r="C3" s="53">
        <v>0.1</v>
      </c>
      <c r="E3" s="21">
        <v>0.01</v>
      </c>
      <c r="F3" s="21">
        <f>E3*F2/E2</f>
        <v>0.05</v>
      </c>
    </row>
    <row r="5" spans="1:13" s="21" customFormat="1" x14ac:dyDescent="0.2">
      <c r="B5" s="24" t="s">
        <v>43</v>
      </c>
      <c r="C5" s="24" t="s">
        <v>69</v>
      </c>
      <c r="D5" s="24" t="s">
        <v>70</v>
      </c>
      <c r="E5" s="24" t="s">
        <v>71</v>
      </c>
      <c r="F5" s="24" t="s">
        <v>72</v>
      </c>
      <c r="G5" s="24" t="s">
        <v>73</v>
      </c>
      <c r="H5" s="24" t="s">
        <v>74</v>
      </c>
      <c r="I5" s="54" t="s">
        <v>88</v>
      </c>
    </row>
    <row r="6" spans="1:13" s="7" customFormat="1" x14ac:dyDescent="0.2">
      <c r="A6" s="7">
        <v>2</v>
      </c>
      <c r="B6" s="25" t="str">
        <f ca="1">INDIRECT(ADDRESS(A6,1,,,$C$5))</f>
        <v>Valeur cible</v>
      </c>
      <c r="C6" s="25">
        <f ca="1">INDIRECT(ADDRESS($A6,2,,,C$5))</f>
        <v>2.0079900000000004</v>
      </c>
      <c r="D6" s="25">
        <f t="shared" ref="D6:H7" ca="1" si="0">INDIRECT(ADDRESS($A6,2,,,D$5))</f>
        <v>4.0159800000000008</v>
      </c>
      <c r="E6" s="25">
        <f t="shared" ca="1" si="0"/>
        <v>8.0319600000000015</v>
      </c>
      <c r="F6" s="26">
        <f t="shared" ca="1" si="0"/>
        <v>10.039950000000001</v>
      </c>
      <c r="G6" s="25">
        <f ca="1">INDIRECT(ADDRESS($A6,2,,,G$5))</f>
        <v>12.047940000000001</v>
      </c>
      <c r="H6" s="25">
        <f t="shared" ca="1" si="0"/>
        <v>16.063920000000003</v>
      </c>
      <c r="I6" s="25">
        <f ca="1">INDIRECT(ADDRESS($A6,2,,,I$5))</f>
        <v>20.079900000000002</v>
      </c>
    </row>
    <row r="7" spans="1:13" s="22" customFormat="1" x14ac:dyDescent="0.2">
      <c r="A7" s="22">
        <v>30</v>
      </c>
      <c r="B7" s="27" t="str">
        <f t="shared" ref="B7:B16" ca="1" si="1">INDIRECT(ADDRESS(A7,1,,,$C$5))</f>
        <v>Moyenne niveau</v>
      </c>
      <c r="C7" s="28">
        <f ca="1">INDIRECT(ADDRESS($A7,2,,,C$5))</f>
        <v>2.0176632138843229</v>
      </c>
      <c r="D7" s="28">
        <f t="shared" ca="1" si="0"/>
        <v>4.0165513192496647</v>
      </c>
      <c r="E7" s="28">
        <f t="shared" ca="1" si="0"/>
        <v>8.0071117761391619</v>
      </c>
      <c r="F7" s="28">
        <f t="shared" ca="1" si="0"/>
        <v>10.032940297109974</v>
      </c>
      <c r="G7" s="28">
        <f ca="1">INDIRECT(ADDRESS($A7,2,,,G$5))</f>
        <v>12.052905151420751</v>
      </c>
      <c r="H7" s="28">
        <f t="shared" ca="1" si="0"/>
        <v>16.100243886487963</v>
      </c>
      <c r="I7" s="28">
        <f ca="1">INDIRECT(ADDRESS($A7,2,,,I$5))</f>
        <v>20.060224355708172</v>
      </c>
      <c r="M7" s="47" t="str">
        <f>ADDRESS($A8,2,,,C$5)</f>
        <v>'Niveau A'!$B$31</v>
      </c>
    </row>
    <row r="8" spans="1:13" s="22" customFormat="1" x14ac:dyDescent="0.2">
      <c r="A8" s="22">
        <v>31</v>
      </c>
      <c r="B8" s="27" t="str">
        <f t="shared" ca="1" si="1"/>
        <v>Ecart-type de répétabilité (sr)</v>
      </c>
      <c r="C8" s="28">
        <f ca="1">INDIRECT(ADDRESS($A8,2,,,C$5))</f>
        <v>3.8894619358437084E-3</v>
      </c>
      <c r="D8" s="28">
        <f t="shared" ref="C8:I9" ca="1" si="2">INDIRECT(ADDRESS($A8,2,,,D$5))</f>
        <v>6.3060195508474219E-3</v>
      </c>
      <c r="E8" s="28">
        <f t="shared" ca="1" si="2"/>
        <v>1.0975755942919281E-2</v>
      </c>
      <c r="F8" s="28">
        <f t="shared" ca="1" si="2"/>
        <v>2.9505610745379335E-3</v>
      </c>
      <c r="G8" s="28">
        <f ca="1">INDIRECT(ADDRESS($A8,2,,,G$5))</f>
        <v>1.5254949911734846E-2</v>
      </c>
      <c r="H8" s="28">
        <f t="shared" ca="1" si="2"/>
        <v>1.8068275213170438E-2</v>
      </c>
      <c r="I8" s="28">
        <f t="shared" ca="1" si="2"/>
        <v>9.0062384347694077E-3</v>
      </c>
    </row>
    <row r="9" spans="1:13" s="22" customFormat="1" x14ac:dyDescent="0.2">
      <c r="A9" s="22">
        <v>32</v>
      </c>
      <c r="B9" s="27" t="str">
        <f t="shared" ca="1" si="1"/>
        <v>Ecart-type inter-séries (sL)</v>
      </c>
      <c r="C9" s="28">
        <f t="shared" ca="1" si="2"/>
        <v>8.8108303023537761E-3</v>
      </c>
      <c r="D9" s="28">
        <f t="shared" ca="1" si="2"/>
        <v>1.2512090385321526E-2</v>
      </c>
      <c r="E9" s="28">
        <f t="shared" ca="1" si="2"/>
        <v>1.329410821890655E-2</v>
      </c>
      <c r="F9" s="28">
        <f t="shared" ca="1" si="2"/>
        <v>2.1741868319011995E-2</v>
      </c>
      <c r="G9" s="28">
        <f ca="1">INDIRECT(ADDRESS($A9,2,,,G$5))</f>
        <v>7.055885394672794E-3</v>
      </c>
      <c r="H9" s="28">
        <f t="shared" ca="1" si="2"/>
        <v>3.7925367810489205E-2</v>
      </c>
      <c r="I9" s="28">
        <f t="shared" ca="1" si="2"/>
        <v>7.8660294355885601E-3</v>
      </c>
      <c r="J9"/>
    </row>
    <row r="10" spans="1:13" s="22" customFormat="1" x14ac:dyDescent="0.2">
      <c r="A10" s="22">
        <v>33</v>
      </c>
      <c r="B10" s="27" t="str">
        <f t="shared" ca="1" si="1"/>
        <v>Ecart-type de fidélité (sFI)</v>
      </c>
      <c r="C10" s="28">
        <f t="shared" ref="C10:I16" ca="1" si="3">INDIRECT(ADDRESS($A10,2,,,C$5))</f>
        <v>9.6311289456248398E-3</v>
      </c>
      <c r="D10" s="28">
        <f t="shared" ca="1" si="3"/>
        <v>1.401136283114977E-2</v>
      </c>
      <c r="E10" s="28">
        <f t="shared" ca="1" si="3"/>
        <v>1.7239504977073054E-2</v>
      </c>
      <c r="F10" s="28">
        <f t="shared" ca="1" si="3"/>
        <v>2.194116333870736E-2</v>
      </c>
      <c r="G10" s="28">
        <f ca="1">INDIRECT(ADDRESS($A10,2,,,G$5))</f>
        <v>1.68077070272032E-2</v>
      </c>
      <c r="H10" s="28">
        <f t="shared" ca="1" si="3"/>
        <v>4.2009476225487036E-2</v>
      </c>
      <c r="I10" s="28">
        <f t="shared" ca="1" si="3"/>
        <v>1.1957706712637812E-2</v>
      </c>
    </row>
    <row r="11" spans="1:13" s="22" customFormat="1" x14ac:dyDescent="0.2">
      <c r="A11" s="22">
        <v>37</v>
      </c>
      <c r="B11" s="27" t="str">
        <f t="shared" ca="1" si="1"/>
        <v>Rapport des variances (R)</v>
      </c>
      <c r="C11" s="28">
        <f t="shared" ca="1" si="3"/>
        <v>5.131621573549217</v>
      </c>
      <c r="D11" s="28">
        <f t="shared" ca="1" si="3"/>
        <v>3.9368522882034389</v>
      </c>
      <c r="E11" s="28">
        <f t="shared" ca="1" si="3"/>
        <v>1.4670656092953371</v>
      </c>
      <c r="F11" s="28">
        <f t="shared" ca="1" si="3"/>
        <v>54.2980839759772</v>
      </c>
      <c r="G11" s="28">
        <f t="shared" ca="1" si="3"/>
        <v>0.2139348142041933</v>
      </c>
      <c r="H11" s="28">
        <f t="shared" ca="1" si="3"/>
        <v>4.4058145078581017</v>
      </c>
      <c r="I11" s="28">
        <f t="shared" ca="1" si="3"/>
        <v>0.76282383349199223</v>
      </c>
    </row>
    <row r="12" spans="1:13" s="22" customFormat="1" x14ac:dyDescent="0.2">
      <c r="A12" s="22">
        <v>39</v>
      </c>
      <c r="B12" s="27" t="str">
        <f t="shared" ca="1" si="1"/>
        <v>Coefficient intermédiaire</v>
      </c>
      <c r="C12" s="28">
        <f t="shared" ca="1" si="3"/>
        <v>1.1388991765954954</v>
      </c>
      <c r="D12" s="28">
        <f t="shared" ca="1" si="3"/>
        <v>1.1350420239318337</v>
      </c>
      <c r="E12" s="28">
        <f t="shared" ca="1" si="3"/>
        <v>1.1150147135677124</v>
      </c>
      <c r="F12" s="28">
        <f t="shared" ca="1" si="3"/>
        <v>1.1529591098844965</v>
      </c>
      <c r="G12" s="28">
        <f t="shared" ca="1" si="3"/>
        <v>1.0725082272428763</v>
      </c>
      <c r="H12" s="28">
        <f t="shared" ca="1" si="3"/>
        <v>1.1367608954561135</v>
      </c>
      <c r="I12" s="28">
        <f t="shared" ca="1" si="3"/>
        <v>1.0987597393133619</v>
      </c>
    </row>
    <row r="13" spans="1:13" s="22" customFormat="1" x14ac:dyDescent="0.2">
      <c r="A13" s="22">
        <v>40</v>
      </c>
      <c r="B13" s="27" t="str">
        <f t="shared" ca="1" si="1"/>
        <v>Nombre de degrés liberté</v>
      </c>
      <c r="C13" s="28">
        <f t="shared" ca="1" si="3"/>
        <v>2.5052930689039208</v>
      </c>
      <c r="D13" s="28">
        <f t="shared" ca="1" si="3"/>
        <v>2.6516886887488647</v>
      </c>
      <c r="E13" s="28">
        <f t="shared" ca="1" si="3"/>
        <v>3.5912441298874715</v>
      </c>
      <c r="F13" s="28">
        <f t="shared" ca="1" si="3"/>
        <v>2.0490080800075097</v>
      </c>
      <c r="G13" s="28">
        <f t="shared" ca="1" si="3"/>
        <v>6.5838751048870092</v>
      </c>
      <c r="H13" s="28">
        <f t="shared" ca="1" si="3"/>
        <v>2.5852137761148053</v>
      </c>
      <c r="I13" s="28">
        <f t="shared" ca="1" si="3"/>
        <v>4.6047682854063332</v>
      </c>
    </row>
    <row r="14" spans="1:13" s="22" customFormat="1" x14ac:dyDescent="0.2">
      <c r="A14" s="22">
        <v>47</v>
      </c>
      <c r="B14" s="27" t="str">
        <f t="shared" ca="1" si="1"/>
        <v>Valeur basse tolérance</v>
      </c>
      <c r="C14" s="28">
        <f t="shared" ca="1" si="3"/>
        <v>1.9314339615189908</v>
      </c>
      <c r="D14" s="28">
        <f t="shared" ca="1" si="3"/>
        <v>3.9010381059032806</v>
      </c>
      <c r="E14" s="28">
        <f t="shared" ca="1" si="3"/>
        <v>7.908892541597309</v>
      </c>
      <c r="F14" s="28">
        <f t="shared" ca="1" si="3"/>
        <v>9.7869320571125318</v>
      </c>
      <c r="G14" s="28">
        <f t="shared" ca="1" si="3"/>
        <v>11.988262209128401</v>
      </c>
      <c r="H14" s="28">
        <f t="shared" ca="1" si="3"/>
        <v>15.740418261485161</v>
      </c>
      <c r="I14" s="28">
        <f t="shared" ca="1" si="3"/>
        <v>20.004277416155308</v>
      </c>
    </row>
    <row r="15" spans="1:13" s="22" customFormat="1" x14ac:dyDescent="0.2">
      <c r="A15" s="22">
        <v>48</v>
      </c>
      <c r="B15" s="27" t="str">
        <f t="shared" ca="1" si="1"/>
        <v>Valeur haute tolérance</v>
      </c>
      <c r="C15" s="28">
        <f t="shared" ca="1" si="3"/>
        <v>2.103892466249655</v>
      </c>
      <c r="D15" s="28">
        <f t="shared" ca="1" si="3"/>
        <v>4.1320645325960488</v>
      </c>
      <c r="E15" s="28">
        <f t="shared" ca="1" si="3"/>
        <v>8.1053310106810148</v>
      </c>
      <c r="F15" s="28">
        <f t="shared" ca="1" si="3"/>
        <v>10.278948537107416</v>
      </c>
      <c r="G15" s="28">
        <f t="shared" ca="1" si="3"/>
        <v>12.117548093713101</v>
      </c>
      <c r="H15" s="28">
        <f t="shared" ca="1" si="3"/>
        <v>16.460069511490765</v>
      </c>
      <c r="I15" s="28">
        <f t="shared" ca="1" si="3"/>
        <v>20.116171295261037</v>
      </c>
    </row>
    <row r="16" spans="1:13" s="22" customFormat="1" x14ac:dyDescent="0.2">
      <c r="A16" s="22">
        <v>35</v>
      </c>
      <c r="B16" s="27" t="str">
        <f t="shared" ca="1" si="1"/>
        <v>Biais (%)</v>
      </c>
      <c r="C16" s="29">
        <f t="shared" ca="1" si="3"/>
        <v>4.8173615826385685E-3</v>
      </c>
      <c r="D16" s="29">
        <f t="shared" ca="1" si="3"/>
        <v>1.4226147781215559E-4</v>
      </c>
      <c r="E16" s="29">
        <f t="shared" ca="1" si="3"/>
        <v>-3.0936687758454928E-3</v>
      </c>
      <c r="F16" s="29">
        <f t="shared" ca="1" si="3"/>
        <v>-6.9818105568519861E-4</v>
      </c>
      <c r="G16" s="29">
        <f t="shared" ca="1" si="3"/>
        <v>4.12116214120406E-4</v>
      </c>
      <c r="H16" s="29">
        <f t="shared" ca="1" si="3"/>
        <v>2.2612093740481676E-3</v>
      </c>
      <c r="I16" s="29">
        <f t="shared" ca="1" si="3"/>
        <v>-9.798676433563358E-4</v>
      </c>
    </row>
    <row r="17" spans="2:9" s="7" customFormat="1" x14ac:dyDescent="0.2">
      <c r="B17" s="25" t="s">
        <v>47</v>
      </c>
      <c r="C17" s="30">
        <f ca="1">C7/C$6</f>
        <v>1.0048173615826386</v>
      </c>
      <c r="D17" s="30">
        <f t="shared" ref="D17:H17" ca="1" si="4">D7/D$6</f>
        <v>1.0001422614778122</v>
      </c>
      <c r="E17" s="30">
        <f t="shared" ca="1" si="4"/>
        <v>0.99690633122415451</v>
      </c>
      <c r="F17" s="30">
        <f t="shared" ca="1" si="4"/>
        <v>0.9993018189443148</v>
      </c>
      <c r="G17" s="30">
        <f t="shared" ca="1" si="4"/>
        <v>1.0004121162141204</v>
      </c>
      <c r="H17" s="30">
        <f t="shared" ca="1" si="4"/>
        <v>1.0022612093740482</v>
      </c>
      <c r="I17" s="30">
        <f t="shared" ref="I17" ca="1" si="5">I7/I$6</f>
        <v>0.99902013235664366</v>
      </c>
    </row>
    <row r="18" spans="2:9" s="7" customFormat="1" x14ac:dyDescent="0.2">
      <c r="B18" s="25" t="s">
        <v>64</v>
      </c>
      <c r="C18" s="30">
        <f ca="1">C14/C$6</f>
        <v>0.96187429295912352</v>
      </c>
      <c r="D18" s="30">
        <f ca="1">D14/D$6</f>
        <v>0.9713788678985652</v>
      </c>
      <c r="E18" s="30">
        <f t="shared" ref="E18:H19" ca="1" si="6">E14/E$6</f>
        <v>0.98467777996868855</v>
      </c>
      <c r="F18" s="30">
        <f t="shared" ca="1" si="6"/>
        <v>0.97479888416899796</v>
      </c>
      <c r="G18" s="30">
        <f t="shared" ca="1" si="6"/>
        <v>0.99504663943615257</v>
      </c>
      <c r="H18" s="30">
        <f t="shared" ca="1" si="6"/>
        <v>0.9798615942736989</v>
      </c>
      <c r="I18" s="30">
        <f t="shared" ref="I18" ca="1" si="7">I14/I$6</f>
        <v>0.99623391631209846</v>
      </c>
    </row>
    <row r="19" spans="2:9" s="7" customFormat="1" x14ac:dyDescent="0.2">
      <c r="B19" s="25" t="s">
        <v>65</v>
      </c>
      <c r="C19" s="30">
        <f ca="1">C15/C$6</f>
        <v>1.0477604302061536</v>
      </c>
      <c r="D19" s="30">
        <f ca="1">D15/D$6</f>
        <v>1.028905655057059</v>
      </c>
      <c r="E19" s="30">
        <f t="shared" ca="1" si="6"/>
        <v>1.0091348824796205</v>
      </c>
      <c r="F19" s="30">
        <f t="shared" ca="1" si="6"/>
        <v>1.0238047537196315</v>
      </c>
      <c r="G19" s="30">
        <f t="shared" ca="1" si="6"/>
        <v>1.0057775929920882</v>
      </c>
      <c r="H19" s="30">
        <f t="shared" ca="1" si="6"/>
        <v>1.0246608244743973</v>
      </c>
      <c r="I19" s="30">
        <f t="shared" ref="I19" ca="1" si="8">I15/I$6</f>
        <v>1.001806348401189</v>
      </c>
    </row>
    <row r="20" spans="2:9" s="7" customFormat="1" x14ac:dyDescent="0.2">
      <c r="B20" s="25" t="s">
        <v>45</v>
      </c>
      <c r="C20" s="31">
        <f>1-$C$3</f>
        <v>0.9</v>
      </c>
      <c r="D20" s="31">
        <f t="shared" ref="D20:I20" si="9">1-$C$3</f>
        <v>0.9</v>
      </c>
      <c r="E20" s="31">
        <f t="shared" si="9"/>
        <v>0.9</v>
      </c>
      <c r="F20" s="31">
        <f t="shared" si="9"/>
        <v>0.9</v>
      </c>
      <c r="G20" s="31">
        <f t="shared" si="9"/>
        <v>0.9</v>
      </c>
      <c r="H20" s="31">
        <f t="shared" si="9"/>
        <v>0.9</v>
      </c>
      <c r="I20" s="31">
        <f t="shared" si="9"/>
        <v>0.9</v>
      </c>
    </row>
    <row r="21" spans="2:9" s="7" customFormat="1" x14ac:dyDescent="0.2">
      <c r="B21" s="25" t="s">
        <v>46</v>
      </c>
      <c r="C21" s="31">
        <f t="shared" ref="C21:I21" si="10">1+$C$3</f>
        <v>1.1000000000000001</v>
      </c>
      <c r="D21" s="31">
        <f t="shared" si="10"/>
        <v>1.1000000000000001</v>
      </c>
      <c r="E21" s="31">
        <f t="shared" si="10"/>
        <v>1.1000000000000001</v>
      </c>
      <c r="F21" s="31">
        <f t="shared" si="10"/>
        <v>1.1000000000000001</v>
      </c>
      <c r="G21" s="31">
        <f t="shared" si="10"/>
        <v>1.1000000000000001</v>
      </c>
      <c r="H21" s="31">
        <f t="shared" si="10"/>
        <v>1.1000000000000001</v>
      </c>
      <c r="I21" s="31">
        <f t="shared" si="10"/>
        <v>1.1000000000000001</v>
      </c>
    </row>
    <row r="22" spans="2:9" s="7" customFormat="1" x14ac:dyDescent="0.2">
      <c r="B22" s="32"/>
      <c r="C22" s="33"/>
      <c r="D22" s="33"/>
      <c r="E22" s="33"/>
      <c r="F22" s="33"/>
      <c r="G22" s="33"/>
      <c r="H22" s="33"/>
    </row>
    <row r="23" spans="2:9" s="7" customFormat="1" x14ac:dyDescent="0.2">
      <c r="B23" s="32"/>
      <c r="C23" s="33"/>
      <c r="D23" s="33"/>
      <c r="E23" s="33"/>
      <c r="F23" s="33"/>
      <c r="G23" s="33"/>
      <c r="H23" s="33"/>
    </row>
    <row r="24" spans="2:9" s="7" customFormat="1" x14ac:dyDescent="0.2">
      <c r="B24" s="32"/>
      <c r="C24" s="33"/>
      <c r="D24" s="33"/>
      <c r="E24" s="33"/>
      <c r="F24" s="33"/>
      <c r="G24" s="33"/>
      <c r="H24" s="33"/>
    </row>
    <row r="25" spans="2:9" s="7" customFormat="1" x14ac:dyDescent="0.2">
      <c r="B25" s="32"/>
      <c r="C25" s="33"/>
      <c r="D25" s="33"/>
      <c r="E25" s="33"/>
      <c r="F25" s="33"/>
      <c r="G25" s="33"/>
      <c r="H25" s="33"/>
    </row>
    <row r="26" spans="2:9" s="7" customFormat="1" x14ac:dyDescent="0.2">
      <c r="B26" s="32"/>
      <c r="C26" s="33"/>
      <c r="D26" s="33"/>
      <c r="E26" s="33"/>
      <c r="F26" s="33"/>
      <c r="G26" s="33"/>
      <c r="H26" s="33"/>
    </row>
    <row r="27" spans="2:9" s="20" customFormat="1" x14ac:dyDescent="0.2">
      <c r="B27" s="20" t="s">
        <v>76</v>
      </c>
    </row>
    <row r="28" spans="2:9" s="21" customFormat="1" x14ac:dyDescent="0.2">
      <c r="B28" s="21" t="s">
        <v>75</v>
      </c>
      <c r="C28" s="34">
        <f t="shared" ref="C28:H28" ca="1" si="11">C$12*C$10</f>
        <v>1.0968884825857173E-2</v>
      </c>
      <c r="D28" s="34">
        <f t="shared" ca="1" si="11"/>
        <v>1.5903485625911502E-2</v>
      </c>
      <c r="E28" s="34">
        <f t="shared" ca="1" si="11"/>
        <v>1.9222301704060262E-2</v>
      </c>
      <c r="F28" s="34">
        <f t="shared" ca="1" si="11"/>
        <v>2.5297264152826383E-2</v>
      </c>
      <c r="G28" s="34">
        <f t="shared" ca="1" si="11"/>
        <v>1.8026404067763339E-2</v>
      </c>
      <c r="H28" s="34">
        <f t="shared" ca="1" si="11"/>
        <v>4.7754729811726952E-2</v>
      </c>
    </row>
    <row r="29" spans="2:9" s="21" customFormat="1" x14ac:dyDescent="0.2">
      <c r="B29" s="21" t="s">
        <v>77</v>
      </c>
      <c r="C29" s="35">
        <f t="shared" ref="C29:H29" ca="1" si="12">2*C28/C7</f>
        <v>1.0872860000000022E-2</v>
      </c>
      <c r="D29" s="35">
        <f t="shared" ca="1" si="12"/>
        <v>7.9189754402951059E-3</v>
      </c>
      <c r="E29" s="35">
        <f t="shared" ca="1" si="12"/>
        <v>4.801307198268886E-3</v>
      </c>
      <c r="F29" s="35">
        <f t="shared" ca="1" si="12"/>
        <v>5.0428415606366865E-3</v>
      </c>
      <c r="G29" s="35">
        <f t="shared" ca="1" si="12"/>
        <v>2.9912131293323013E-3</v>
      </c>
      <c r="H29" s="35">
        <f t="shared" ca="1" si="12"/>
        <v>5.9321747109439549E-3</v>
      </c>
    </row>
    <row r="30" spans="2:9" s="21" customFormat="1" x14ac:dyDescent="0.2">
      <c r="C30" s="34"/>
      <c r="D30" s="34"/>
      <c r="E30" s="34"/>
      <c r="F30" s="34"/>
      <c r="G30" s="34"/>
      <c r="H30" s="34"/>
    </row>
    <row r="31" spans="2:9" s="36" customFormat="1" x14ac:dyDescent="0.2">
      <c r="F31" s="37"/>
    </row>
    <row r="32" spans="2:9" s="36" customFormat="1" x14ac:dyDescent="0.2">
      <c r="F32" s="37"/>
    </row>
    <row r="33" spans="3:8" s="36" customFormat="1" x14ac:dyDescent="0.2">
      <c r="C33" s="37"/>
      <c r="D33" s="37"/>
      <c r="E33" s="37"/>
      <c r="F33" s="37"/>
      <c r="G33" s="37"/>
      <c r="H33" s="37"/>
    </row>
    <row r="34" spans="3:8" s="36" customFormat="1" x14ac:dyDescent="0.2">
      <c r="C34" s="37"/>
      <c r="D34" s="37"/>
      <c r="E34" s="37"/>
      <c r="F34" s="37"/>
      <c r="G34" s="37"/>
      <c r="H34" s="37"/>
    </row>
    <row r="35" spans="3:8" s="36" customFormat="1" x14ac:dyDescent="0.2">
      <c r="C35" s="38"/>
      <c r="D35" s="38"/>
      <c r="E35" s="38"/>
      <c r="F35" s="38"/>
      <c r="G35" s="38"/>
      <c r="H35" s="38"/>
    </row>
    <row r="36" spans="3:8" s="36" customFormat="1" x14ac:dyDescent="0.2">
      <c r="C36" s="38"/>
      <c r="D36" s="38"/>
      <c r="E36" s="38"/>
      <c r="F36" s="38"/>
      <c r="G36" s="38"/>
      <c r="H36" s="38"/>
    </row>
  </sheetData>
  <sheetProtection pivotTables="0"/>
  <phoneticPr fontId="2" type="noConversion"/>
  <pageMargins left="0.78740157499999996" right="0.78740157499999996" top="0.984251969" bottom="0.984251969" header="0.4921259845" footer="0.4921259845"/>
  <pageSetup paperSize="9" orientation="landscape" verticalDpi="0" r:id="rId1"/>
  <headerFooter alignWithMargins="0">
    <oddFooter>&amp;A&amp;RPage &amp;P</oddFooter>
  </headerFooter>
  <cellWatches>
    <cellWatch r="F7"/>
  </cellWatches>
  <ignoredErrors>
    <ignoredError sqref="F17:H19" evalError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5">
    <pageSetUpPr fitToPage="1"/>
  </sheetPr>
  <dimension ref="A1:I48"/>
  <sheetViews>
    <sheetView zoomScaleNormal="100" workbookViewId="0">
      <selection activeCell="B5" sqref="B5:D7"/>
    </sheetView>
  </sheetViews>
  <sheetFormatPr baseColWidth="10" defaultRowHeight="12" x14ac:dyDescent="0.2"/>
  <cols>
    <col min="1" max="1" width="27" customWidth="1"/>
    <col min="2" max="2" width="19.42578125" bestFit="1" customWidth="1"/>
    <col min="3" max="3" width="12.85546875" customWidth="1"/>
    <col min="4" max="4" width="12.28515625" customWidth="1"/>
    <col min="5" max="5" width="13.5703125" customWidth="1"/>
    <col min="6" max="6" width="11.28515625" customWidth="1"/>
    <col min="7" max="7" width="3.85546875" customWidth="1"/>
    <col min="8" max="8" width="7" customWidth="1"/>
    <col min="9" max="9" width="16.42578125" bestFit="1" customWidth="1"/>
    <col min="10" max="10" width="11.85546875" customWidth="1"/>
  </cols>
  <sheetData>
    <row r="1" spans="1:9" ht="12.75" thickBot="1" x14ac:dyDescent="0.25">
      <c r="A1" s="19" t="s">
        <v>69</v>
      </c>
    </row>
    <row r="2" spans="1:9" ht="13.5" thickBot="1" x14ac:dyDescent="0.25">
      <c r="A2" s="3" t="str">
        <f>Libel!A2</f>
        <v>Valeur cible</v>
      </c>
      <c r="B2" s="4">
        <v>2.0079900000000004</v>
      </c>
    </row>
    <row r="4" spans="1:9" ht="12.75" thickBot="1" x14ac:dyDescent="0.25">
      <c r="B4" t="s">
        <v>0</v>
      </c>
      <c r="C4" t="s">
        <v>1</v>
      </c>
      <c r="D4" t="s">
        <v>2</v>
      </c>
      <c r="E4" t="s">
        <v>3</v>
      </c>
      <c r="F4" t="s">
        <v>4</v>
      </c>
      <c r="H4" t="s">
        <v>66</v>
      </c>
      <c r="I4" t="s">
        <v>67</v>
      </c>
    </row>
    <row r="5" spans="1:9" x14ac:dyDescent="0.2">
      <c r="A5" t="str">
        <f>Libel!A5</f>
        <v>Jour (Série) 1</v>
      </c>
      <c r="B5" s="49">
        <v>2.006261303149131</v>
      </c>
      <c r="C5" s="50">
        <v>2.0063108007453407</v>
      </c>
      <c r="D5" s="50">
        <v>2.0159566154835562</v>
      </c>
      <c r="E5" s="15"/>
      <c r="F5" s="12"/>
      <c r="H5" s="10">
        <f>COUNT(B5:F5)</f>
        <v>3</v>
      </c>
      <c r="I5" s="1">
        <f>IF(H5=0,"",DEVSQ(B5:F5))</f>
        <v>6.2347757746021018E-5</v>
      </c>
    </row>
    <row r="6" spans="1:9" x14ac:dyDescent="0.2">
      <c r="A6" t="str">
        <f>Libel!A6</f>
        <v>Jour (Série) 2</v>
      </c>
      <c r="B6" s="51">
        <v>2.0253335949361948</v>
      </c>
      <c r="C6" s="52">
        <v>2.0256221354259503</v>
      </c>
      <c r="D6" s="52">
        <v>2.031448893925778</v>
      </c>
      <c r="E6" s="17"/>
      <c r="F6" s="13"/>
      <c r="H6" s="10">
        <f>COUNT(B6:F6)</f>
        <v>3</v>
      </c>
      <c r="I6" s="1">
        <f>IF(H6=0,"",DEVSQ(B6:F6))</f>
        <v>2.3810417320513349E-5</v>
      </c>
    </row>
    <row r="7" spans="1:9" x14ac:dyDescent="0.2">
      <c r="A7" t="str">
        <f>Libel!A7</f>
        <v>Jour (Série) 3</v>
      </c>
      <c r="B7" s="51">
        <v>2.0156005142937605</v>
      </c>
      <c r="C7" s="52">
        <v>2.0176932538946608</v>
      </c>
      <c r="D7" s="52">
        <v>2.0147418131045334</v>
      </c>
      <c r="E7" s="17"/>
      <c r="F7" s="13"/>
      <c r="H7" s="10">
        <f>COUNT(B7:F7)</f>
        <v>3</v>
      </c>
      <c r="I7" s="1">
        <f>IF(H7=0,"",DEVSQ(B7:F7))</f>
        <v>4.6093098357281547E-6</v>
      </c>
    </row>
    <row r="8" spans="1:9" x14ac:dyDescent="0.2">
      <c r="A8" t="str">
        <f>Libel!A8</f>
        <v>Jour (Série) 4</v>
      </c>
      <c r="B8" s="16"/>
      <c r="C8" s="40"/>
      <c r="D8" s="17"/>
      <c r="E8" s="17"/>
      <c r="F8" s="13"/>
      <c r="H8" s="10">
        <f>COUNT(B8:F8)</f>
        <v>0</v>
      </c>
      <c r="I8" s="1" t="str">
        <f>IF(H8=0,"",DEVSQ(B8:F8))</f>
        <v/>
      </c>
    </row>
    <row r="9" spans="1:9" x14ac:dyDescent="0.2">
      <c r="A9" t="str">
        <f>Libel!A9</f>
        <v>Jour (Série) 5</v>
      </c>
      <c r="B9" s="16"/>
      <c r="C9" s="17"/>
      <c r="D9" s="17"/>
      <c r="E9" s="17"/>
      <c r="F9" s="13"/>
      <c r="H9" s="10">
        <f>COUNT(B9:F9)</f>
        <v>0</v>
      </c>
      <c r="I9" s="1" t="str">
        <f>IF(H9=0,"",DEVSQ(B9:F9))</f>
        <v/>
      </c>
    </row>
    <row r="10" spans="1:9" x14ac:dyDescent="0.2">
      <c r="A10" t="str">
        <f>Libel!A10</f>
        <v>Jour (Série) 6</v>
      </c>
      <c r="B10" s="6"/>
      <c r="C10" s="5"/>
      <c r="D10" s="5"/>
      <c r="E10" s="5"/>
      <c r="F10" s="13"/>
      <c r="H10" s="10">
        <f t="shared" ref="H10:H11" si="0">COUNT(B10:F10)</f>
        <v>0</v>
      </c>
      <c r="I10" s="1" t="str">
        <f t="shared" ref="I10:I11" si="1">IF(H10=0,"",DEVSQ(B10:F10))</f>
        <v/>
      </c>
    </row>
    <row r="11" spans="1:9" x14ac:dyDescent="0.2">
      <c r="A11" t="str">
        <f>Libel!A11</f>
        <v>Jour (Série) 7</v>
      </c>
      <c r="B11" s="6"/>
      <c r="C11" s="5"/>
      <c r="D11" s="5"/>
      <c r="E11" s="5"/>
      <c r="F11" s="13"/>
      <c r="H11" s="10">
        <f t="shared" si="0"/>
        <v>0</v>
      </c>
      <c r="I11" s="1" t="str">
        <f t="shared" si="1"/>
        <v/>
      </c>
    </row>
    <row r="12" spans="1:9" x14ac:dyDescent="0.2">
      <c r="A12" t="str">
        <f>Libel!A12</f>
        <v>Jour (Série) 8</v>
      </c>
      <c r="B12" s="6"/>
      <c r="C12" s="5"/>
      <c r="D12" s="5"/>
      <c r="E12" s="5"/>
      <c r="F12" s="13"/>
      <c r="H12" s="10">
        <f t="shared" ref="H12:H17" si="2">COUNT(B12:F12)</f>
        <v>0</v>
      </c>
      <c r="I12" s="1" t="str">
        <f t="shared" ref="I12:I17" si="3">IF(H12=0,"",DEVSQ(B12:F12))</f>
        <v/>
      </c>
    </row>
    <row r="13" spans="1:9" x14ac:dyDescent="0.2">
      <c r="A13" t="str">
        <f>Libel!A13</f>
        <v>Jour (Série) 9</v>
      </c>
      <c r="B13" s="6"/>
      <c r="C13" s="5"/>
      <c r="D13" s="5"/>
      <c r="E13" s="5"/>
      <c r="F13" s="13"/>
      <c r="H13" s="10">
        <f t="shared" si="2"/>
        <v>0</v>
      </c>
      <c r="I13" s="1" t="str">
        <f t="shared" si="3"/>
        <v/>
      </c>
    </row>
    <row r="14" spans="1:9" x14ac:dyDescent="0.2">
      <c r="A14" t="str">
        <f>Libel!A14</f>
        <v>Jour (Série) 10</v>
      </c>
      <c r="B14" s="6"/>
      <c r="C14" s="5"/>
      <c r="D14" s="5"/>
      <c r="E14" s="5"/>
      <c r="F14" s="13"/>
      <c r="H14" s="10">
        <f t="shared" si="2"/>
        <v>0</v>
      </c>
      <c r="I14" s="1" t="str">
        <f t="shared" si="3"/>
        <v/>
      </c>
    </row>
    <row r="15" spans="1:9" x14ac:dyDescent="0.2">
      <c r="A15" t="str">
        <f>Libel!A15</f>
        <v>Jour (Série) 11</v>
      </c>
      <c r="B15" s="6"/>
      <c r="C15" s="5"/>
      <c r="D15" s="5"/>
      <c r="E15" s="5"/>
      <c r="F15" s="13"/>
      <c r="H15" s="10">
        <f t="shared" si="2"/>
        <v>0</v>
      </c>
      <c r="I15" s="1" t="str">
        <f t="shared" si="3"/>
        <v/>
      </c>
    </row>
    <row r="16" spans="1:9" x14ac:dyDescent="0.2">
      <c r="A16" t="str">
        <f>Libel!A16</f>
        <v>Jour (Série) 12</v>
      </c>
      <c r="B16" s="6"/>
      <c r="C16" s="5"/>
      <c r="D16" s="5"/>
      <c r="E16" s="5"/>
      <c r="F16" s="13"/>
      <c r="H16" s="10">
        <f t="shared" si="2"/>
        <v>0</v>
      </c>
      <c r="I16" s="1" t="str">
        <f t="shared" si="3"/>
        <v/>
      </c>
    </row>
    <row r="17" spans="1:9" x14ac:dyDescent="0.2">
      <c r="A17" t="str">
        <f>Libel!A17</f>
        <v>Jour (Série) 13</v>
      </c>
      <c r="B17" s="6"/>
      <c r="C17" s="5"/>
      <c r="D17" s="5"/>
      <c r="E17" s="5"/>
      <c r="F17" s="13"/>
      <c r="H17" s="10">
        <f t="shared" si="2"/>
        <v>0</v>
      </c>
      <c r="I17" s="1" t="str">
        <f t="shared" si="3"/>
        <v/>
      </c>
    </row>
    <row r="18" spans="1:9" s="3" customFormat="1" ht="12.75" x14ac:dyDescent="0.2"/>
    <row r="19" spans="1:9" x14ac:dyDescent="0.2">
      <c r="A19" t="str">
        <f>Libel!A19</f>
        <v>Nombre de séries (K)</v>
      </c>
      <c r="B19">
        <f>COUNT(B5:B17)</f>
        <v>3</v>
      </c>
      <c r="C19" s="8"/>
    </row>
    <row r="20" spans="1:9" x14ac:dyDescent="0.2">
      <c r="A20" t="str">
        <f>Libel!A20</f>
        <v>Nombre de mesures (IK)</v>
      </c>
      <c r="B20">
        <f>COUNT(B5:F17)</f>
        <v>9</v>
      </c>
      <c r="C20" s="8"/>
    </row>
    <row r="21" spans="1:9" x14ac:dyDescent="0.2">
      <c r="A21" t="str">
        <f>Libel!A21</f>
        <v>Nombre de répétitions (I)</v>
      </c>
      <c r="B21">
        <f>IF(H5*B19&lt;&gt;B20,"Calcul impossible",H5)</f>
        <v>3</v>
      </c>
      <c r="C21" s="8"/>
    </row>
    <row r="22" spans="1:9" x14ac:dyDescent="0.2">
      <c r="A22" t="str">
        <f>Libel!A22</f>
        <v>SCE résiduelle</v>
      </c>
      <c r="B22" s="18">
        <f>SUM(I5:I17)</f>
        <v>9.0767484902262529E-5</v>
      </c>
      <c r="C22" s="8"/>
    </row>
    <row r="23" spans="1:9" x14ac:dyDescent="0.2">
      <c r="A23" t="str">
        <f>Libel!A23</f>
        <v>SCE totale</v>
      </c>
      <c r="B23" s="18">
        <f>DEVSQ(B5:F17)</f>
        <v>5.8680769690426992E-4</v>
      </c>
      <c r="C23" s="8"/>
    </row>
    <row r="24" spans="1:9" x14ac:dyDescent="0.2">
      <c r="A24" t="str">
        <f>Libel!A24</f>
        <v>SCE inter-séries</v>
      </c>
      <c r="B24" s="18">
        <f>B23-B22</f>
        <v>4.9604021200200742E-4</v>
      </c>
      <c r="C24" s="8"/>
    </row>
    <row r="25" spans="1:9" x14ac:dyDescent="0.2">
      <c r="A25" t="str">
        <f>Libel!A25</f>
        <v>Valeur intermédiaire de s²L</v>
      </c>
      <c r="B25" s="18">
        <f>((B24/(B19-1))-B26)/B21</f>
        <v>7.7630730616875539E-5</v>
      </c>
      <c r="C25" s="8"/>
    </row>
    <row r="26" spans="1:9" x14ac:dyDescent="0.2">
      <c r="A26" t="str">
        <f>Libel!A26</f>
        <v>Variance de répétabilité (s²r)</v>
      </c>
      <c r="B26" s="18">
        <f>B22/(B20-B19)</f>
        <v>1.5127914150377088E-5</v>
      </c>
      <c r="C26" s="8"/>
    </row>
    <row r="27" spans="1:9" x14ac:dyDescent="0.2">
      <c r="A27" t="str">
        <f>Libel!A27</f>
        <v>Variance inter-séries (s²L)</v>
      </c>
      <c r="B27" s="18">
        <f>IF(B25&lt;0,0,B25)</f>
        <v>7.7630730616875539E-5</v>
      </c>
      <c r="C27" s="8"/>
    </row>
    <row r="28" spans="1:9" x14ac:dyDescent="0.2">
      <c r="A28" t="str">
        <f>Libel!A28</f>
        <v>Variance de fidélité (s²FI)</v>
      </c>
      <c r="B28" s="18">
        <f>SUM(B26:B27)</f>
        <v>9.2758644767252632E-5</v>
      </c>
      <c r="C28" s="8"/>
    </row>
    <row r="29" spans="1:9" s="3" customFormat="1" ht="12.75" x14ac:dyDescent="0.2">
      <c r="A29" s="3" t="str">
        <f>Libel!A29</f>
        <v>Fidélité</v>
      </c>
    </row>
    <row r="30" spans="1:9" x14ac:dyDescent="0.2">
      <c r="A30" t="str">
        <f>Libel!A30</f>
        <v>Moyenne niveau</v>
      </c>
      <c r="B30" s="18">
        <f>AVERAGE(B5:F17)</f>
        <v>2.0176632138843229</v>
      </c>
      <c r="C30" s="8"/>
    </row>
    <row r="31" spans="1:9" ht="12" customHeight="1" x14ac:dyDescent="0.2">
      <c r="A31" t="str">
        <f>Libel!A31</f>
        <v>Ecart-type de répétabilité (sr)</v>
      </c>
      <c r="B31" s="18">
        <f>SQRT(B26)</f>
        <v>3.8894619358437084E-3</v>
      </c>
      <c r="C31" s="8"/>
    </row>
    <row r="32" spans="1:9" x14ac:dyDescent="0.2">
      <c r="A32" t="str">
        <f>Libel!A32</f>
        <v>Ecart-type inter-séries (sL)</v>
      </c>
      <c r="B32" s="18">
        <f>SQRT(B27)</f>
        <v>8.8108303023537761E-3</v>
      </c>
      <c r="C32" s="8"/>
    </row>
    <row r="33" spans="1:9" x14ac:dyDescent="0.2">
      <c r="A33" t="str">
        <f>Libel!A33</f>
        <v>Ecart-type de fidélité (sFI)</v>
      </c>
      <c r="B33" s="18">
        <f>SQRT(B28)</f>
        <v>9.6311289456248398E-3</v>
      </c>
      <c r="C33" s="8"/>
    </row>
    <row r="34" spans="1:9" s="3" customFormat="1" ht="12.75" x14ac:dyDescent="0.2">
      <c r="A34" s="3" t="str">
        <f>Libel!A34</f>
        <v>Justesse</v>
      </c>
    </row>
    <row r="35" spans="1:9" x14ac:dyDescent="0.2">
      <c r="A35" t="str">
        <f>Libel!A35</f>
        <v>Biais (%)</v>
      </c>
      <c r="B35" s="43">
        <f>B30/B2-1</f>
        <v>4.8173615826385685E-3</v>
      </c>
      <c r="C35" s="8"/>
    </row>
    <row r="36" spans="1:9" s="3" customFormat="1" ht="12.75" x14ac:dyDescent="0.2">
      <c r="A36" s="3" t="str">
        <f>Libel!A36</f>
        <v>Facteur de couverture</v>
      </c>
    </row>
    <row r="37" spans="1:9" x14ac:dyDescent="0.2">
      <c r="A37" t="str">
        <f>Libel!A37</f>
        <v>Rapport des variances (R)</v>
      </c>
      <c r="B37" s="18">
        <f>B27/B26</f>
        <v>5.131621573549217</v>
      </c>
      <c r="C37" s="8"/>
    </row>
    <row r="38" spans="1:9" x14ac:dyDescent="0.2">
      <c r="A38" t="str">
        <f>Libel!A38</f>
        <v>Coefficient B²</v>
      </c>
      <c r="B38" s="18">
        <f>(B37+1)/(B21*B37+1)</f>
        <v>0.37399647255564533</v>
      </c>
      <c r="C38" s="8"/>
    </row>
    <row r="39" spans="1:9" x14ac:dyDescent="0.2">
      <c r="A39" t="str">
        <f>Libel!A39</f>
        <v>Coefficient intermédiaire</v>
      </c>
      <c r="B39" s="18">
        <f>SQRT(1+1/(B20*B38))</f>
        <v>1.1388991765954954</v>
      </c>
      <c r="C39" s="8"/>
    </row>
    <row r="40" spans="1:9" x14ac:dyDescent="0.2">
      <c r="A40" t="str">
        <f>Libel!A40</f>
        <v>Nombre de degrés liberté</v>
      </c>
      <c r="B40" s="18">
        <f>(B37+1)^2/((B37+1/B21)^2/(B19-1)+(1-1/B21)/B20)</f>
        <v>2.5052930689039208</v>
      </c>
      <c r="C40" s="8"/>
      <c r="I40" s="1"/>
    </row>
    <row r="41" spans="1:9" x14ac:dyDescent="0.2">
      <c r="A41" t="str">
        <f>Libel!A41</f>
        <v>Probabilité tolérance (bêta)</v>
      </c>
      <c r="B41" s="18">
        <f>Récapitulatif!C2</f>
        <v>0.99</v>
      </c>
      <c r="C41" s="8"/>
    </row>
    <row r="42" spans="1:9" x14ac:dyDescent="0.2">
      <c r="A42" t="str">
        <f>Libel!A42</f>
        <v>t Student bas</v>
      </c>
      <c r="B42" s="18">
        <f>TINV(1-B41,ROUNDDOWN(B40,0))</f>
        <v>9.9248432009182892</v>
      </c>
      <c r="C42" s="8"/>
    </row>
    <row r="43" spans="1:9" x14ac:dyDescent="0.2">
      <c r="A43" t="str">
        <f>Libel!A43</f>
        <v>t Student haut</v>
      </c>
      <c r="B43" s="18">
        <f>TINV(1-B41,ROUNDUP(B40,0))</f>
        <v>5.8409093097333553</v>
      </c>
      <c r="C43" s="8"/>
    </row>
    <row r="44" spans="1:9" x14ac:dyDescent="0.2">
      <c r="A44" t="str">
        <f>Libel!A44</f>
        <v>t Student interpolé</v>
      </c>
      <c r="B44" s="18">
        <f>B42-(B42-B43)*(B40-ROUNDDOWN(B40,0))</f>
        <v>7.8612597118407237</v>
      </c>
      <c r="C44" s="8"/>
    </row>
    <row r="45" spans="1:9" x14ac:dyDescent="0.2">
      <c r="A45" t="str">
        <f>Libel!A45</f>
        <v>Facteur de couverture (ktol)</v>
      </c>
      <c r="B45" s="18">
        <f>B44*B39</f>
        <v>8.9531822128187422</v>
      </c>
      <c r="C45" s="8"/>
    </row>
    <row r="46" spans="1:9" s="3" customFormat="1" ht="12.75" x14ac:dyDescent="0.2">
      <c r="A46" s="3" t="str">
        <f>Libel!A46</f>
        <v>Intervalle de tolérance</v>
      </c>
    </row>
    <row r="47" spans="1:9" x14ac:dyDescent="0.2">
      <c r="A47" t="str">
        <f>Libel!A47</f>
        <v>Valeur basse tolérance</v>
      </c>
      <c r="B47" s="18">
        <f>B30-B45*B33</f>
        <v>1.9314339615189908</v>
      </c>
      <c r="C47" s="8"/>
    </row>
    <row r="48" spans="1:9" x14ac:dyDescent="0.2">
      <c r="A48" t="str">
        <f>Libel!A48</f>
        <v>Valeur haute tolérance</v>
      </c>
      <c r="B48" s="18">
        <f>B30+B45*B33</f>
        <v>2.103892466249655</v>
      </c>
      <c r="C48" s="8"/>
    </row>
  </sheetData>
  <sheetProtection pivotTables="0"/>
  <phoneticPr fontId="3" type="noConversion"/>
  <printOptions headings="1" gridLines="1"/>
  <pageMargins left="0.78740157499999996" right="0.78740157499999996" top="0.49" bottom="0.76" header="0.28000000000000003" footer="0.4921259845"/>
  <pageSetup paperSize="9" orientation="landscape" horizontalDpi="300" verticalDpi="300" r:id="rId1"/>
  <headerFooter alignWithMargins="0">
    <oddFooter>&amp;A&amp;RPage &amp;P</oddFooter>
  </headerFooter>
  <rowBreaks count="1" manualBreakCount="1">
    <brk id="48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6"/>
  <dimension ref="A1:I48"/>
  <sheetViews>
    <sheetView zoomScaleNormal="100" workbookViewId="0">
      <selection activeCell="C15" sqref="C15"/>
    </sheetView>
  </sheetViews>
  <sheetFormatPr baseColWidth="10" defaultRowHeight="12" x14ac:dyDescent="0.2"/>
  <cols>
    <col min="1" max="1" width="27" customWidth="1"/>
    <col min="2" max="2" width="12.42578125" customWidth="1"/>
    <col min="3" max="4" width="12.42578125" bestFit="1" customWidth="1"/>
    <col min="5" max="6" width="11.28515625" customWidth="1"/>
    <col min="7" max="7" width="3.85546875" customWidth="1"/>
    <col min="8" max="8" width="7" customWidth="1"/>
    <col min="9" max="9" width="12.7109375" customWidth="1"/>
    <col min="10" max="10" width="11.85546875" customWidth="1"/>
  </cols>
  <sheetData>
    <row r="1" spans="1:9" ht="13.5" thickBot="1" x14ac:dyDescent="0.25">
      <c r="A1" s="2" t="s">
        <v>70</v>
      </c>
    </row>
    <row r="2" spans="1:9" ht="13.5" thickBot="1" x14ac:dyDescent="0.25">
      <c r="A2" s="3" t="str">
        <f>Libel!A2</f>
        <v>Valeur cible</v>
      </c>
      <c r="B2" s="48">
        <v>4.0159800000000008</v>
      </c>
    </row>
    <row r="4" spans="1:9" ht="12.75" thickBot="1" x14ac:dyDescent="0.25">
      <c r="B4" t="s">
        <v>0</v>
      </c>
      <c r="C4" t="s">
        <v>1</v>
      </c>
      <c r="D4" t="s">
        <v>2</v>
      </c>
      <c r="E4" t="s">
        <v>3</v>
      </c>
      <c r="F4" t="s">
        <v>4</v>
      </c>
      <c r="H4" t="s">
        <v>66</v>
      </c>
      <c r="I4" t="s">
        <v>67</v>
      </c>
    </row>
    <row r="5" spans="1:9" x14ac:dyDescent="0.2">
      <c r="A5" t="str">
        <f>Libel!A5</f>
        <v>Jour (Série) 1</v>
      </c>
      <c r="B5" s="14">
        <v>3.9989731823889541</v>
      </c>
      <c r="C5" s="15">
        <v>4.0053959060222963</v>
      </c>
      <c r="D5" s="15">
        <v>4.0072884266735986</v>
      </c>
      <c r="E5" s="15"/>
      <c r="F5" s="12"/>
      <c r="H5" s="10">
        <f>COUNT(B5:F5)</f>
        <v>3</v>
      </c>
      <c r="I5" s="1">
        <f>IF(H5=0,"",DEVSQ(B5:F5))</f>
        <v>3.7992100266404552E-5</v>
      </c>
    </row>
    <row r="6" spans="1:9" x14ac:dyDescent="0.2">
      <c r="A6" t="str">
        <f>Libel!A6</f>
        <v>Jour (Série) 2</v>
      </c>
      <c r="B6" s="16">
        <v>4.010553625923114</v>
      </c>
      <c r="C6" s="17">
        <v>4.0189688037432347</v>
      </c>
      <c r="D6" s="17">
        <v>4.0180235404070812</v>
      </c>
      <c r="E6" s="17"/>
      <c r="F6" s="13"/>
      <c r="H6" s="10">
        <f>COUNT(B6:F6)</f>
        <v>3</v>
      </c>
      <c r="I6" s="1">
        <f>IF(H6=0,"",DEVSQ(B6:F6))</f>
        <v>4.2502787638903244E-5</v>
      </c>
    </row>
    <row r="7" spans="1:9" x14ac:dyDescent="0.2">
      <c r="A7" t="str">
        <f>Libel!A7</f>
        <v>Jour (Série) 3</v>
      </c>
      <c r="B7" s="16">
        <v>4.0196892166245668</v>
      </c>
      <c r="C7" s="17">
        <v>4.0357807444010003</v>
      </c>
      <c r="D7" s="17">
        <v>4.0342884270631316</v>
      </c>
      <c r="E7" s="17"/>
      <c r="F7" s="13"/>
      <c r="H7" s="10">
        <f>COUNT(B7:F7)</f>
        <v>3</v>
      </c>
      <c r="I7" s="1">
        <f>IF(H7=0,"",DEVSQ(B7:F7))</f>
        <v>1.5810040754871173E-4</v>
      </c>
    </row>
    <row r="8" spans="1:9" x14ac:dyDescent="0.2">
      <c r="A8" t="str">
        <f>Libel!A8</f>
        <v>Jour (Série) 4</v>
      </c>
      <c r="B8" s="16"/>
      <c r="C8" s="17"/>
      <c r="D8" s="17"/>
      <c r="E8" s="17"/>
      <c r="F8" s="13"/>
      <c r="H8" s="10">
        <f>COUNT(B8:F8)</f>
        <v>0</v>
      </c>
      <c r="I8" s="1" t="str">
        <f>IF(H8=0,"",DEVSQ(B8:F8))</f>
        <v/>
      </c>
    </row>
    <row r="9" spans="1:9" x14ac:dyDescent="0.2">
      <c r="A9" t="str">
        <f>Libel!A9</f>
        <v>Jour (Série) 5</v>
      </c>
      <c r="B9" s="16"/>
      <c r="C9" s="17"/>
      <c r="D9" s="17"/>
      <c r="E9" s="17"/>
      <c r="F9" s="13"/>
      <c r="H9" s="10">
        <f>COUNT(B9:F9)</f>
        <v>0</v>
      </c>
      <c r="I9" s="1" t="str">
        <f>IF(H9=0,"",DEVSQ(B9:F9))</f>
        <v/>
      </c>
    </row>
    <row r="10" spans="1:9" x14ac:dyDescent="0.2">
      <c r="A10" t="str">
        <f>Libel!A10</f>
        <v>Jour (Série) 6</v>
      </c>
      <c r="B10" s="6"/>
      <c r="C10" s="5"/>
      <c r="D10" s="5"/>
      <c r="E10" s="5"/>
      <c r="F10" s="13"/>
      <c r="H10" s="10">
        <f t="shared" ref="H10:H11" si="0">COUNT(B10:F10)</f>
        <v>0</v>
      </c>
      <c r="I10" s="1" t="str">
        <f t="shared" ref="I10:I11" si="1">IF(H10=0,"",DEVSQ(B10:F10))</f>
        <v/>
      </c>
    </row>
    <row r="11" spans="1:9" x14ac:dyDescent="0.2">
      <c r="A11" t="str">
        <f>Libel!A11</f>
        <v>Jour (Série) 7</v>
      </c>
      <c r="B11" s="6"/>
      <c r="C11" s="5"/>
      <c r="D11" s="5"/>
      <c r="E11" s="5"/>
      <c r="F11" s="13"/>
      <c r="H11" s="10">
        <f t="shared" si="0"/>
        <v>0</v>
      </c>
      <c r="I11" s="1" t="str">
        <f t="shared" si="1"/>
        <v/>
      </c>
    </row>
    <row r="12" spans="1:9" x14ac:dyDescent="0.2">
      <c r="A12" t="str">
        <f>Libel!A12</f>
        <v>Jour (Série) 8</v>
      </c>
      <c r="B12" s="6"/>
      <c r="C12" s="5"/>
      <c r="D12" s="5"/>
      <c r="E12" s="5"/>
      <c r="F12" s="13"/>
      <c r="H12" s="10">
        <f t="shared" ref="H12:H17" si="2">COUNT(B12:F12)</f>
        <v>0</v>
      </c>
      <c r="I12" s="1" t="str">
        <f t="shared" ref="I12:I17" si="3">IF(H12=0,"",DEVSQ(B12:F12))</f>
        <v/>
      </c>
    </row>
    <row r="13" spans="1:9" x14ac:dyDescent="0.2">
      <c r="A13" t="str">
        <f>Libel!A13</f>
        <v>Jour (Série) 9</v>
      </c>
      <c r="B13" s="6"/>
      <c r="C13" s="5"/>
      <c r="D13" s="5"/>
      <c r="E13" s="5"/>
      <c r="F13" s="13"/>
      <c r="H13" s="10">
        <f t="shared" si="2"/>
        <v>0</v>
      </c>
      <c r="I13" s="1" t="str">
        <f t="shared" si="3"/>
        <v/>
      </c>
    </row>
    <row r="14" spans="1:9" x14ac:dyDescent="0.2">
      <c r="A14" t="str">
        <f>Libel!A14</f>
        <v>Jour (Série) 10</v>
      </c>
      <c r="B14" s="6"/>
      <c r="C14" s="5"/>
      <c r="D14" s="5"/>
      <c r="E14" s="5"/>
      <c r="F14" s="13"/>
      <c r="H14" s="10">
        <f t="shared" si="2"/>
        <v>0</v>
      </c>
      <c r="I14" s="1" t="str">
        <f t="shared" si="3"/>
        <v/>
      </c>
    </row>
    <row r="15" spans="1:9" x14ac:dyDescent="0.2">
      <c r="A15" t="str">
        <f>Libel!A15</f>
        <v>Jour (Série) 11</v>
      </c>
      <c r="B15" s="6"/>
      <c r="C15" s="5"/>
      <c r="D15" s="5"/>
      <c r="E15" s="5"/>
      <c r="F15" s="13"/>
      <c r="H15" s="10">
        <f t="shared" si="2"/>
        <v>0</v>
      </c>
      <c r="I15" s="1" t="str">
        <f t="shared" si="3"/>
        <v/>
      </c>
    </row>
    <row r="16" spans="1:9" x14ac:dyDescent="0.2">
      <c r="A16" t="str">
        <f>Libel!A16</f>
        <v>Jour (Série) 12</v>
      </c>
      <c r="B16" s="6"/>
      <c r="C16" s="5"/>
      <c r="D16" s="5"/>
      <c r="E16" s="5"/>
      <c r="F16" s="13"/>
      <c r="H16" s="10">
        <f t="shared" si="2"/>
        <v>0</v>
      </c>
      <c r="I16" s="1" t="str">
        <f t="shared" si="3"/>
        <v/>
      </c>
    </row>
    <row r="17" spans="1:9" x14ac:dyDescent="0.2">
      <c r="A17" t="str">
        <f>Libel!A17</f>
        <v>Jour (Série) 13</v>
      </c>
      <c r="B17" s="6"/>
      <c r="C17" s="5"/>
      <c r="D17" s="5"/>
      <c r="E17" s="5"/>
      <c r="F17" s="13"/>
      <c r="H17" s="10">
        <f t="shared" si="2"/>
        <v>0</v>
      </c>
      <c r="I17" s="1" t="str">
        <f t="shared" si="3"/>
        <v/>
      </c>
    </row>
    <row r="18" spans="1:9" s="3" customFormat="1" ht="12.75" x14ac:dyDescent="0.2"/>
    <row r="19" spans="1:9" x14ac:dyDescent="0.2">
      <c r="A19" t="str">
        <f>Libel!A19</f>
        <v>Nombre de séries (K)</v>
      </c>
      <c r="B19">
        <f>COUNT(B5:B17)</f>
        <v>3</v>
      </c>
      <c r="C19" s="8"/>
    </row>
    <row r="20" spans="1:9" x14ac:dyDescent="0.2">
      <c r="A20" t="str">
        <f>Libel!A20</f>
        <v>Nombre de mesures (IK)</v>
      </c>
      <c r="B20">
        <f>COUNT(B5:F17)</f>
        <v>9</v>
      </c>
      <c r="C20" s="8"/>
    </row>
    <row r="21" spans="1:9" x14ac:dyDescent="0.2">
      <c r="A21" t="str">
        <f>Libel!A21</f>
        <v>Nombre de répétitions (I)</v>
      </c>
      <c r="B21">
        <f>IF(H5*B19&lt;&gt;B20,"Calcul impossible",H5)</f>
        <v>3</v>
      </c>
      <c r="C21" s="8"/>
    </row>
    <row r="22" spans="1:9" x14ac:dyDescent="0.2">
      <c r="A22" t="str">
        <f>Libel!A22</f>
        <v>SCE résiduelle</v>
      </c>
      <c r="B22" s="9">
        <f>SUM(I5:I17)</f>
        <v>2.3859529545401951E-4</v>
      </c>
      <c r="C22" s="8"/>
    </row>
    <row r="23" spans="1:9" x14ac:dyDescent="0.2">
      <c r="A23" t="str">
        <f>Libel!A23</f>
        <v>SCE totale</v>
      </c>
      <c r="B23" s="9">
        <f>DEVSQ(B5:F17)</f>
        <v>1.2574414954680917E-3</v>
      </c>
      <c r="C23" s="8"/>
    </row>
    <row r="24" spans="1:9" x14ac:dyDescent="0.2">
      <c r="A24" t="str">
        <f>Libel!A24</f>
        <v>SCE inter-séries</v>
      </c>
      <c r="B24" s="9">
        <f>B23-B22</f>
        <v>1.018846200014072E-3</v>
      </c>
      <c r="C24" s="8"/>
    </row>
    <row r="25" spans="1:9" x14ac:dyDescent="0.2">
      <c r="A25" t="str">
        <f>Libel!A25</f>
        <v>Valeur intermédiaire de s²L</v>
      </c>
      <c r="B25" s="9">
        <f>((B24/(B19-1))-B26)/B21</f>
        <v>1.5655240581045538E-4</v>
      </c>
      <c r="C25" s="8"/>
    </row>
    <row r="26" spans="1:9" x14ac:dyDescent="0.2">
      <c r="A26" t="str">
        <f>Libel!A26</f>
        <v>Variance de répétabilité (s²r)</v>
      </c>
      <c r="B26" s="9">
        <f>B22/(B20-B19)</f>
        <v>3.9765882575669919E-5</v>
      </c>
      <c r="C26" s="8"/>
    </row>
    <row r="27" spans="1:9" x14ac:dyDescent="0.2">
      <c r="A27" t="str">
        <f>Libel!A27</f>
        <v>Variance inter-séries (s²L)</v>
      </c>
      <c r="B27" s="9">
        <f>IF(B25&lt;0,0,B25)</f>
        <v>1.5655240581045538E-4</v>
      </c>
      <c r="C27" s="8"/>
    </row>
    <row r="28" spans="1:9" x14ac:dyDescent="0.2">
      <c r="A28" t="str">
        <f>Libel!A28</f>
        <v>Variance de fidélité (s²FI)</v>
      </c>
      <c r="B28" s="9">
        <f>SUM(B26:B27)</f>
        <v>1.963182883861253E-4</v>
      </c>
      <c r="C28" s="8"/>
    </row>
    <row r="29" spans="1:9" s="3" customFormat="1" ht="12.75" x14ac:dyDescent="0.2">
      <c r="A29" s="3" t="str">
        <f>Libel!A29</f>
        <v>Fidélité</v>
      </c>
    </row>
    <row r="30" spans="1:9" x14ac:dyDescent="0.2">
      <c r="A30" t="str">
        <f>Libel!A30</f>
        <v>Moyenne niveau</v>
      </c>
      <c r="B30" s="9">
        <f>AVERAGE(B5:F17)</f>
        <v>4.0165513192496647</v>
      </c>
      <c r="C30" s="8"/>
    </row>
    <row r="31" spans="1:9" ht="12" customHeight="1" x14ac:dyDescent="0.2">
      <c r="A31" t="str">
        <f>Libel!A31</f>
        <v>Ecart-type de répétabilité (sr)</v>
      </c>
      <c r="B31" s="9">
        <f>SQRT(B26)</f>
        <v>6.3060195508474219E-3</v>
      </c>
      <c r="C31" s="8"/>
    </row>
    <row r="32" spans="1:9" x14ac:dyDescent="0.2">
      <c r="A32" t="str">
        <f>Libel!A32</f>
        <v>Ecart-type inter-séries (sL)</v>
      </c>
      <c r="B32" s="9">
        <f>SQRT(B27)</f>
        <v>1.2512090385321526E-2</v>
      </c>
      <c r="C32" s="8"/>
    </row>
    <row r="33" spans="1:9" x14ac:dyDescent="0.2">
      <c r="A33" t="str">
        <f>Libel!A33</f>
        <v>Ecart-type de fidélité (sFI)</v>
      </c>
      <c r="B33" s="9">
        <f>SQRT(B28)</f>
        <v>1.401136283114977E-2</v>
      </c>
      <c r="C33" s="8"/>
    </row>
    <row r="34" spans="1:9" s="3" customFormat="1" ht="12.75" x14ac:dyDescent="0.2">
      <c r="A34" s="3" t="str">
        <f>Libel!A34</f>
        <v>Justesse</v>
      </c>
    </row>
    <row r="35" spans="1:9" x14ac:dyDescent="0.2">
      <c r="A35" t="str">
        <f>Libel!A35</f>
        <v>Biais (%)</v>
      </c>
      <c r="B35" s="43">
        <f>B30/B2-1</f>
        <v>1.4226147781215559E-4</v>
      </c>
      <c r="C35" s="8"/>
    </row>
    <row r="36" spans="1:9" s="3" customFormat="1" ht="12.75" x14ac:dyDescent="0.2">
      <c r="A36" s="3" t="str">
        <f>Libel!A36</f>
        <v>Facteur de couverture</v>
      </c>
    </row>
    <row r="37" spans="1:9" x14ac:dyDescent="0.2">
      <c r="A37" t="str">
        <f>Libel!A37</f>
        <v>Rapport des variances (R)</v>
      </c>
      <c r="B37" s="1">
        <f>B27/B26</f>
        <v>3.9368522882034389</v>
      </c>
      <c r="C37" s="8"/>
    </row>
    <row r="38" spans="1:9" x14ac:dyDescent="0.2">
      <c r="A38" t="str">
        <f>Libel!A38</f>
        <v>Coefficient B²</v>
      </c>
      <c r="B38" s="1">
        <f>(B37+1)/(B21*B37+1)</f>
        <v>0.38537374607357577</v>
      </c>
      <c r="C38" s="8"/>
    </row>
    <row r="39" spans="1:9" x14ac:dyDescent="0.2">
      <c r="A39" t="str">
        <f>Libel!A39</f>
        <v>Coefficient intermédiaire</v>
      </c>
      <c r="B39" s="1">
        <f>SQRT(1+1/(B20*B38))</f>
        <v>1.1350420239318337</v>
      </c>
      <c r="C39" s="8"/>
    </row>
    <row r="40" spans="1:9" x14ac:dyDescent="0.2">
      <c r="A40" t="str">
        <f>Libel!A40</f>
        <v>Nombre de degrés liberté</v>
      </c>
      <c r="B40" s="1">
        <f>(B37+1)^2/((B37+1/B21)^2/(B19-1)+(1-1/B21)/B20)</f>
        <v>2.6516886887488647</v>
      </c>
      <c r="C40" s="8"/>
      <c r="I40" s="1"/>
    </row>
    <row r="41" spans="1:9" x14ac:dyDescent="0.2">
      <c r="A41" t="str">
        <f>Libel!A41</f>
        <v>Probabilité tolérance (bêta)</v>
      </c>
      <c r="B41" s="1">
        <f>Récapitulatif!C2</f>
        <v>0.99</v>
      </c>
      <c r="C41" s="8"/>
    </row>
    <row r="42" spans="1:9" x14ac:dyDescent="0.2">
      <c r="A42" t="str">
        <f>Libel!A42</f>
        <v>t Student bas</v>
      </c>
      <c r="B42" s="1">
        <f>TINV(1-B41,ROUNDDOWN(B40,0))</f>
        <v>9.9248432009182892</v>
      </c>
      <c r="C42" s="8"/>
    </row>
    <row r="43" spans="1:9" x14ac:dyDescent="0.2">
      <c r="A43" t="str">
        <f>Libel!A43</f>
        <v>t Student haut</v>
      </c>
      <c r="B43" s="1">
        <f>TINV(1-B41,ROUNDUP(B40,0))</f>
        <v>5.8409093097333553</v>
      </c>
      <c r="C43" s="8"/>
    </row>
    <row r="44" spans="1:9" x14ac:dyDescent="0.2">
      <c r="A44" t="str">
        <f>Libel!A44</f>
        <v>t Student interpolé</v>
      </c>
      <c r="B44" s="1">
        <f>B42-(B42-B43)*(B40-ROUNDDOWN(B40,0))</f>
        <v>7.2633896784349314</v>
      </c>
      <c r="C44" s="8"/>
    </row>
    <row r="45" spans="1:9" x14ac:dyDescent="0.2">
      <c r="A45" t="str">
        <f>Libel!A45</f>
        <v>Facteur de couverture (ktol)</v>
      </c>
      <c r="B45" s="1">
        <f>B44*B39</f>
        <v>8.2442525212163762</v>
      </c>
      <c r="C45" s="8"/>
    </row>
    <row r="46" spans="1:9" s="3" customFormat="1" ht="12.75" x14ac:dyDescent="0.2">
      <c r="A46" s="3" t="str">
        <f>Libel!A46</f>
        <v>Intervalle de tolérance</v>
      </c>
    </row>
    <row r="47" spans="1:9" x14ac:dyDescent="0.2">
      <c r="A47" t="str">
        <f>Libel!A47</f>
        <v>Valeur basse tolérance</v>
      </c>
      <c r="B47" s="1">
        <f>B30-B45*B33</f>
        <v>3.9010381059032806</v>
      </c>
      <c r="C47" s="8"/>
    </row>
    <row r="48" spans="1:9" x14ac:dyDescent="0.2">
      <c r="A48" t="str">
        <f>Libel!A48</f>
        <v>Valeur haute tolérance</v>
      </c>
      <c r="B48" s="1">
        <f>B30+B45*B33</f>
        <v>4.1320645325960488</v>
      </c>
      <c r="C48" s="8"/>
    </row>
  </sheetData>
  <sheetProtection pivotTables="0"/>
  <phoneticPr fontId="3" type="noConversion"/>
  <printOptions headings="1" gridLines="1"/>
  <pageMargins left="0.78740157499999996" right="0.78740157499999996" top="0.54" bottom="0.56999999999999995" header="0.32" footer="0.34"/>
  <pageSetup paperSize="9" scale="96" orientation="landscape" horizontalDpi="300" verticalDpi="300" r:id="rId1"/>
  <headerFooter alignWithMargins="0">
    <oddFooter>&amp;A&amp;RPage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7"/>
  <dimension ref="A1:I48"/>
  <sheetViews>
    <sheetView zoomScaleNormal="100" workbookViewId="0">
      <selection activeCell="D8" sqref="D8"/>
    </sheetView>
  </sheetViews>
  <sheetFormatPr baseColWidth="10" defaultRowHeight="12" x14ac:dyDescent="0.2"/>
  <cols>
    <col min="1" max="1" width="27" customWidth="1"/>
    <col min="2" max="2" width="12.42578125" customWidth="1"/>
    <col min="3" max="4" width="12.42578125" bestFit="1" customWidth="1"/>
    <col min="5" max="6" width="11.28515625" customWidth="1"/>
    <col min="7" max="7" width="3.85546875" customWidth="1"/>
    <col min="8" max="8" width="7" customWidth="1"/>
    <col min="9" max="9" width="12.7109375" customWidth="1"/>
    <col min="10" max="10" width="11.85546875" customWidth="1"/>
  </cols>
  <sheetData>
    <row r="1" spans="1:9" ht="13.5" thickBot="1" x14ac:dyDescent="0.25">
      <c r="A1" s="2" t="s">
        <v>71</v>
      </c>
    </row>
    <row r="2" spans="1:9" ht="13.5" thickBot="1" x14ac:dyDescent="0.25">
      <c r="A2" s="3" t="str">
        <f>Libel!A2</f>
        <v>Valeur cible</v>
      </c>
      <c r="B2" s="4">
        <v>8.0319600000000015</v>
      </c>
    </row>
    <row r="4" spans="1:9" ht="12.75" thickBot="1" x14ac:dyDescent="0.25">
      <c r="B4" t="s">
        <v>0</v>
      </c>
      <c r="C4" t="s">
        <v>1</v>
      </c>
      <c r="D4" t="s">
        <v>2</v>
      </c>
      <c r="E4" t="s">
        <v>3</v>
      </c>
      <c r="F4" t="s">
        <v>4</v>
      </c>
      <c r="H4" t="s">
        <v>66</v>
      </c>
      <c r="I4" t="s">
        <v>67</v>
      </c>
    </row>
    <row r="5" spans="1:9" x14ac:dyDescent="0.2">
      <c r="A5" t="str">
        <f>Libel!A5</f>
        <v>Jour (Série) 1</v>
      </c>
      <c r="B5" s="14">
        <v>7.9729689780810586</v>
      </c>
      <c r="C5" s="15">
        <v>8.0019831318405412</v>
      </c>
      <c r="D5" s="15">
        <v>7.9953794252902508</v>
      </c>
      <c r="E5" s="15"/>
      <c r="F5" s="12"/>
      <c r="H5" s="10">
        <f>COUNT(B5:F5)</f>
        <v>3</v>
      </c>
      <c r="I5" s="1">
        <f>IF(H5=0,"",DEVSQ(B5:F5))</f>
        <v>4.6255273423241139E-4</v>
      </c>
    </row>
    <row r="6" spans="1:9" x14ac:dyDescent="0.2">
      <c r="A6" t="str">
        <f>Libel!A6</f>
        <v>Jour (Série) 2</v>
      </c>
      <c r="B6" s="16">
        <v>8.0033635517689685</v>
      </c>
      <c r="C6" s="17">
        <v>8.024031613215838</v>
      </c>
      <c r="D6" s="17">
        <v>8.0184616088347411</v>
      </c>
      <c r="E6" s="17"/>
      <c r="F6" s="13"/>
      <c r="H6" s="10">
        <f>COUNT(B6:F6)</f>
        <v>3</v>
      </c>
      <c r="I6" s="1">
        <f>IF(H6=0,"",DEVSQ(B6:F6))</f>
        <v>2.2871501331277939E-4</v>
      </c>
    </row>
    <row r="7" spans="1:9" x14ac:dyDescent="0.2">
      <c r="A7" t="str">
        <f>Libel!A7</f>
        <v>Jour (Série) 3</v>
      </c>
      <c r="B7" s="16">
        <v>8.0115563422847913</v>
      </c>
      <c r="C7" s="17">
        <v>8.0192970860333279</v>
      </c>
      <c r="D7" s="17">
        <v>8.0169642479029442</v>
      </c>
      <c r="E7" s="17"/>
      <c r="F7" s="13"/>
      <c r="H7" s="10">
        <f>COUNT(B7:F7)</f>
        <v>3</v>
      </c>
      <c r="I7" s="1">
        <f>IF(H7=0,"",DEVSQ(B7:F7))</f>
        <v>3.1535563565976765E-5</v>
      </c>
    </row>
    <row r="8" spans="1:9" x14ac:dyDescent="0.2">
      <c r="A8" t="str">
        <f>Libel!A8</f>
        <v>Jour (Série) 4</v>
      </c>
      <c r="B8" s="16"/>
      <c r="C8" s="17"/>
      <c r="D8" s="17"/>
      <c r="E8" s="17"/>
      <c r="F8" s="13"/>
      <c r="H8" s="10">
        <f>COUNT(B8:F8)</f>
        <v>0</v>
      </c>
      <c r="I8" s="1" t="str">
        <f>IF(H8=0,"",DEVSQ(B8:F8))</f>
        <v/>
      </c>
    </row>
    <row r="9" spans="1:9" x14ac:dyDescent="0.2">
      <c r="A9" t="str">
        <f>Libel!A9</f>
        <v>Jour (Série) 5</v>
      </c>
      <c r="B9" s="16"/>
      <c r="C9" s="17"/>
      <c r="D9" s="17"/>
      <c r="E9" s="17"/>
      <c r="F9" s="13"/>
      <c r="H9" s="10">
        <f>COUNT(B9:F9)</f>
        <v>0</v>
      </c>
      <c r="I9" s="1" t="str">
        <f>IF(H9=0,"",DEVSQ(B9:F9))</f>
        <v/>
      </c>
    </row>
    <row r="10" spans="1:9" x14ac:dyDescent="0.2">
      <c r="A10" t="str">
        <f>Libel!A10</f>
        <v>Jour (Série) 6</v>
      </c>
      <c r="B10" s="6"/>
      <c r="C10" s="5"/>
      <c r="D10" s="5"/>
      <c r="E10" s="5"/>
      <c r="F10" s="13"/>
      <c r="H10" s="10">
        <f t="shared" ref="H10:H11" si="0">COUNT(B10:F10)</f>
        <v>0</v>
      </c>
      <c r="I10" s="1" t="str">
        <f t="shared" ref="I10:I11" si="1">IF(H10=0,"",DEVSQ(B10:F10))</f>
        <v/>
      </c>
    </row>
    <row r="11" spans="1:9" x14ac:dyDescent="0.2">
      <c r="A11" t="str">
        <f>Libel!A11</f>
        <v>Jour (Série) 7</v>
      </c>
      <c r="B11" s="6"/>
      <c r="C11" s="5"/>
      <c r="D11" s="5"/>
      <c r="E11" s="5"/>
      <c r="F11" s="13"/>
      <c r="H11" s="10">
        <f t="shared" si="0"/>
        <v>0</v>
      </c>
      <c r="I11" s="1" t="str">
        <f t="shared" si="1"/>
        <v/>
      </c>
    </row>
    <row r="12" spans="1:9" x14ac:dyDescent="0.2">
      <c r="A12" t="str">
        <f>Libel!A12</f>
        <v>Jour (Série) 8</v>
      </c>
      <c r="B12" s="6"/>
      <c r="C12" s="5"/>
      <c r="D12" s="5"/>
      <c r="E12" s="5"/>
      <c r="F12" s="13"/>
      <c r="H12" s="10">
        <f t="shared" ref="H12:H17" si="2">COUNT(B12:F12)</f>
        <v>0</v>
      </c>
      <c r="I12" s="1" t="str">
        <f t="shared" ref="I12:I17" si="3">IF(H12=0,"",DEVSQ(B12:F12))</f>
        <v/>
      </c>
    </row>
    <row r="13" spans="1:9" x14ac:dyDescent="0.2">
      <c r="A13" t="str">
        <f>Libel!A13</f>
        <v>Jour (Série) 9</v>
      </c>
      <c r="B13" s="6"/>
      <c r="C13" s="5"/>
      <c r="D13" s="5"/>
      <c r="E13" s="5"/>
      <c r="F13" s="13"/>
      <c r="H13" s="10">
        <f t="shared" si="2"/>
        <v>0</v>
      </c>
      <c r="I13" s="1" t="str">
        <f t="shared" si="3"/>
        <v/>
      </c>
    </row>
    <row r="14" spans="1:9" x14ac:dyDescent="0.2">
      <c r="A14" t="str">
        <f>Libel!A14</f>
        <v>Jour (Série) 10</v>
      </c>
      <c r="B14" s="6"/>
      <c r="C14" s="5"/>
      <c r="D14" s="5"/>
      <c r="E14" s="5"/>
      <c r="F14" s="13"/>
      <c r="H14" s="10">
        <f t="shared" si="2"/>
        <v>0</v>
      </c>
      <c r="I14" s="1" t="str">
        <f t="shared" si="3"/>
        <v/>
      </c>
    </row>
    <row r="15" spans="1:9" x14ac:dyDescent="0.2">
      <c r="A15" t="str">
        <f>Libel!A15</f>
        <v>Jour (Série) 11</v>
      </c>
      <c r="B15" s="6"/>
      <c r="C15" s="5"/>
      <c r="D15" s="5"/>
      <c r="E15" s="5"/>
      <c r="F15" s="13"/>
      <c r="H15" s="10">
        <f t="shared" si="2"/>
        <v>0</v>
      </c>
      <c r="I15" s="1" t="str">
        <f t="shared" si="3"/>
        <v/>
      </c>
    </row>
    <row r="16" spans="1:9" x14ac:dyDescent="0.2">
      <c r="A16" t="str">
        <f>Libel!A16</f>
        <v>Jour (Série) 12</v>
      </c>
      <c r="B16" s="6"/>
      <c r="C16" s="5"/>
      <c r="D16" s="5"/>
      <c r="E16" s="5"/>
      <c r="F16" s="13"/>
      <c r="H16" s="10">
        <f t="shared" si="2"/>
        <v>0</v>
      </c>
      <c r="I16" s="1" t="str">
        <f t="shared" si="3"/>
        <v/>
      </c>
    </row>
    <row r="17" spans="1:9" x14ac:dyDescent="0.2">
      <c r="A17" t="str">
        <f>Libel!A17</f>
        <v>Jour (Série) 13</v>
      </c>
      <c r="B17" s="6"/>
      <c r="C17" s="5"/>
      <c r="D17" s="5"/>
      <c r="E17" s="5"/>
      <c r="F17" s="13"/>
      <c r="H17" s="10">
        <f t="shared" si="2"/>
        <v>0</v>
      </c>
      <c r="I17" s="1" t="str">
        <f t="shared" si="3"/>
        <v/>
      </c>
    </row>
    <row r="18" spans="1:9" s="3" customFormat="1" ht="12.75" x14ac:dyDescent="0.2"/>
    <row r="19" spans="1:9" x14ac:dyDescent="0.2">
      <c r="A19" t="str">
        <f>Libel!A19</f>
        <v>Nombre de séries (K)</v>
      </c>
      <c r="B19">
        <f>COUNT(B5:B17)</f>
        <v>3</v>
      </c>
      <c r="C19" s="8"/>
    </row>
    <row r="20" spans="1:9" x14ac:dyDescent="0.2">
      <c r="A20" t="str">
        <f>Libel!A20</f>
        <v>Nombre de mesures (IK)</v>
      </c>
      <c r="B20">
        <f>COUNT(B5:F17)</f>
        <v>9</v>
      </c>
      <c r="C20" s="8"/>
    </row>
    <row r="21" spans="1:9" x14ac:dyDescent="0.2">
      <c r="A21" t="str">
        <f>Libel!A21</f>
        <v>Nombre de répétitions (I)</v>
      </c>
      <c r="B21">
        <f>IF(H5*B19&lt;&gt;B20,"Calcul impossible",H5)</f>
        <v>3</v>
      </c>
      <c r="C21" s="8"/>
    </row>
    <row r="22" spans="1:9" x14ac:dyDescent="0.2">
      <c r="A22" t="str">
        <f>Libel!A22</f>
        <v>SCE résiduelle</v>
      </c>
      <c r="B22" s="9">
        <f>SUM(I5:I17)</f>
        <v>7.2280331111116748E-4</v>
      </c>
      <c r="C22" s="8"/>
    </row>
    <row r="23" spans="1:9" x14ac:dyDescent="0.2">
      <c r="A23" t="str">
        <f>Libel!A23</f>
        <v>SCE totale</v>
      </c>
      <c r="B23" s="9">
        <f>DEVSQ(B5:F17)</f>
        <v>2.0241376281642152E-3</v>
      </c>
      <c r="C23" s="8"/>
    </row>
    <row r="24" spans="1:9" x14ac:dyDescent="0.2">
      <c r="A24" t="str">
        <f>Libel!A24</f>
        <v>SCE inter-séries</v>
      </c>
      <c r="B24" s="9">
        <f>B23-B22</f>
        <v>1.3013343170530478E-3</v>
      </c>
      <c r="C24" s="8"/>
    </row>
    <row r="25" spans="1:9" x14ac:dyDescent="0.2">
      <c r="A25" t="str">
        <f>Libel!A25</f>
        <v>Valeur intermédiaire de s²L</v>
      </c>
      <c r="B25" s="9">
        <f>((B24/(B19-1))-B26)/B21</f>
        <v>1.7673331333599866E-4</v>
      </c>
      <c r="C25" s="8"/>
    </row>
    <row r="26" spans="1:9" x14ac:dyDescent="0.2">
      <c r="A26" t="str">
        <f>Libel!A26</f>
        <v>Variance de répétabilité (s²r)</v>
      </c>
      <c r="B26" s="9">
        <f>B22/(B20-B19)</f>
        <v>1.2046721851852791E-4</v>
      </c>
      <c r="C26" s="8"/>
    </row>
    <row r="27" spans="1:9" x14ac:dyDescent="0.2">
      <c r="A27" t="str">
        <f>Libel!A27</f>
        <v>Variance inter-séries (s²L)</v>
      </c>
      <c r="B27" s="9">
        <f>IF(B25&lt;0,0,B25)</f>
        <v>1.7673331333599866E-4</v>
      </c>
      <c r="C27" s="8"/>
    </row>
    <row r="28" spans="1:9" x14ac:dyDescent="0.2">
      <c r="A28" t="str">
        <f>Libel!A28</f>
        <v>Variance de fidélité (s²FI)</v>
      </c>
      <c r="B28" s="9">
        <f>SUM(B26:B27)</f>
        <v>2.9720053185452658E-4</v>
      </c>
      <c r="C28" s="8"/>
    </row>
    <row r="29" spans="1:9" s="3" customFormat="1" ht="12.75" x14ac:dyDescent="0.2">
      <c r="A29" s="3" t="str">
        <f>Libel!A29</f>
        <v>Fidélité</v>
      </c>
    </row>
    <row r="30" spans="1:9" x14ac:dyDescent="0.2">
      <c r="A30" t="str">
        <f>Libel!A30</f>
        <v>Moyenne niveau</v>
      </c>
      <c r="B30" s="9">
        <f>AVERAGE(B5:F17)</f>
        <v>8.0071117761391619</v>
      </c>
      <c r="C30" s="8"/>
    </row>
    <row r="31" spans="1:9" ht="12" customHeight="1" x14ac:dyDescent="0.2">
      <c r="A31" t="str">
        <f>Libel!A31</f>
        <v>Ecart-type de répétabilité (sr)</v>
      </c>
      <c r="B31" s="9">
        <f>SQRT(B26)</f>
        <v>1.0975755942919281E-2</v>
      </c>
      <c r="C31" s="8"/>
    </row>
    <row r="32" spans="1:9" x14ac:dyDescent="0.2">
      <c r="A32" t="str">
        <f>Libel!A32</f>
        <v>Ecart-type inter-séries (sL)</v>
      </c>
      <c r="B32" s="9">
        <f>SQRT(B27)</f>
        <v>1.329410821890655E-2</v>
      </c>
      <c r="C32" s="8"/>
    </row>
    <row r="33" spans="1:9" x14ac:dyDescent="0.2">
      <c r="A33" t="str">
        <f>Libel!A33</f>
        <v>Ecart-type de fidélité (sFI)</v>
      </c>
      <c r="B33" s="9">
        <f>SQRT(B28)</f>
        <v>1.7239504977073054E-2</v>
      </c>
      <c r="C33" s="8"/>
    </row>
    <row r="34" spans="1:9" s="3" customFormat="1" ht="12.75" x14ac:dyDescent="0.2">
      <c r="A34" s="3" t="str">
        <f>Libel!A34</f>
        <v>Justesse</v>
      </c>
    </row>
    <row r="35" spans="1:9" x14ac:dyDescent="0.2">
      <c r="A35" t="str">
        <f>Libel!A35</f>
        <v>Biais (%)</v>
      </c>
      <c r="B35" s="43">
        <f>B30/B2-1</f>
        <v>-3.0936687758454928E-3</v>
      </c>
      <c r="C35" s="8"/>
    </row>
    <row r="36" spans="1:9" s="3" customFormat="1" ht="12.75" x14ac:dyDescent="0.2">
      <c r="A36" s="3" t="str">
        <f>Libel!A36</f>
        <v>Facteur de couverture</v>
      </c>
    </row>
    <row r="37" spans="1:9" x14ac:dyDescent="0.2">
      <c r="A37" t="str">
        <f>Libel!A37</f>
        <v>Rapport des variances (R)</v>
      </c>
      <c r="B37" s="1">
        <f>B27/B26</f>
        <v>1.4670656092953371</v>
      </c>
      <c r="C37" s="8"/>
    </row>
    <row r="38" spans="1:9" x14ac:dyDescent="0.2">
      <c r="A38" t="str">
        <f>Libel!A38</f>
        <v>Coefficient B²</v>
      </c>
      <c r="B38" s="1">
        <f>(B37+1)/(B21*B37+1)</f>
        <v>0.45676276719967795</v>
      </c>
      <c r="C38" s="8"/>
    </row>
    <row r="39" spans="1:9" x14ac:dyDescent="0.2">
      <c r="A39" t="str">
        <f>Libel!A39</f>
        <v>Coefficient intermédiaire</v>
      </c>
      <c r="B39" s="1">
        <f>SQRT(1+1/(B20*B38))</f>
        <v>1.1150147135677124</v>
      </c>
      <c r="C39" s="8"/>
    </row>
    <row r="40" spans="1:9" x14ac:dyDescent="0.2">
      <c r="A40" t="str">
        <f>Libel!A40</f>
        <v>Nombre de degrés liberté</v>
      </c>
      <c r="B40" s="1">
        <f>(B37+1)^2/((B37+1/B21)^2/(B19-1)+(1-1/B21)/B20)</f>
        <v>3.5912441298874715</v>
      </c>
      <c r="C40" s="8"/>
      <c r="I40" s="1"/>
    </row>
    <row r="41" spans="1:9" x14ac:dyDescent="0.2">
      <c r="A41" t="str">
        <f>Libel!A41</f>
        <v>Probabilité tolérance (bêta)</v>
      </c>
      <c r="B41" s="1">
        <f>Récapitulatif!C2</f>
        <v>0.99</v>
      </c>
      <c r="C41" s="8"/>
    </row>
    <row r="42" spans="1:9" x14ac:dyDescent="0.2">
      <c r="A42" t="str">
        <f>Libel!A42</f>
        <v>t Student bas</v>
      </c>
      <c r="B42" s="1">
        <f>TINV(1-B41,ROUNDDOWN(B40,0))</f>
        <v>5.8409093097333553</v>
      </c>
      <c r="C42" s="8"/>
    </row>
    <row r="43" spans="1:9" x14ac:dyDescent="0.2">
      <c r="A43" t="str">
        <f>Libel!A43</f>
        <v>t Student haut</v>
      </c>
      <c r="B43" s="1">
        <f>TINV(1-B41,ROUNDUP(B40,0))</f>
        <v>4.6040948713499921</v>
      </c>
      <c r="C43" s="8"/>
    </row>
    <row r="44" spans="1:9" x14ac:dyDescent="0.2">
      <c r="A44" t="str">
        <f>Libel!A44</f>
        <v>t Student interpolé</v>
      </c>
      <c r="B44" s="1">
        <f>B42-(B42-B43)*(B40-ROUNDDOWN(B40,0))</f>
        <v>5.1096500332791219</v>
      </c>
      <c r="C44" s="8"/>
    </row>
    <row r="45" spans="1:9" x14ac:dyDescent="0.2">
      <c r="A45" t="str">
        <f>Libel!A45</f>
        <v>Facteur de couverture (ktol)</v>
      </c>
      <c r="B45" s="1">
        <f>B44*B39</f>
        <v>5.6973349682879721</v>
      </c>
      <c r="C45" s="8"/>
    </row>
    <row r="46" spans="1:9" s="3" customFormat="1" ht="12.75" x14ac:dyDescent="0.2">
      <c r="A46" s="3" t="str">
        <f>Libel!A46</f>
        <v>Intervalle de tolérance</v>
      </c>
    </row>
    <row r="47" spans="1:9" x14ac:dyDescent="0.2">
      <c r="A47" t="str">
        <f>Libel!A47</f>
        <v>Valeur basse tolérance</v>
      </c>
      <c r="B47" s="1">
        <f>B30-B45*B33</f>
        <v>7.908892541597309</v>
      </c>
      <c r="C47" s="8"/>
    </row>
    <row r="48" spans="1:9" x14ac:dyDescent="0.2">
      <c r="A48" t="str">
        <f>Libel!A48</f>
        <v>Valeur haute tolérance</v>
      </c>
      <c r="B48" s="1">
        <f>B30+B45*B33</f>
        <v>8.1053310106810148</v>
      </c>
      <c r="C48" s="8"/>
    </row>
  </sheetData>
  <sheetProtection selectLockedCells="1" pivotTables="0"/>
  <phoneticPr fontId="3" type="noConversion"/>
  <printOptions headings="1" gridLines="1"/>
  <pageMargins left="0.78740157499999996" right="0.78740157499999996" top="0.56999999999999995" bottom="0.56999999999999995" header="0.33" footer="0.34"/>
  <pageSetup paperSize="9" scale="96" orientation="landscape" horizontalDpi="300" verticalDpi="300" r:id="rId1"/>
  <headerFooter alignWithMargins="0">
    <oddFooter>&amp;A&amp;RPage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8"/>
  <dimension ref="A1:I48"/>
  <sheetViews>
    <sheetView zoomScaleNormal="100" workbookViewId="0">
      <selection activeCell="D8" sqref="D8"/>
    </sheetView>
  </sheetViews>
  <sheetFormatPr baseColWidth="10" defaultRowHeight="12" x14ac:dyDescent="0.2"/>
  <cols>
    <col min="1" max="1" width="27" customWidth="1"/>
    <col min="2" max="2" width="12.42578125" customWidth="1"/>
    <col min="3" max="4" width="12.42578125" bestFit="1" customWidth="1"/>
    <col min="5" max="6" width="11.28515625" customWidth="1"/>
    <col min="7" max="7" width="3.85546875" customWidth="1"/>
    <col min="8" max="8" width="7" customWidth="1"/>
    <col min="9" max="9" width="12.7109375" customWidth="1"/>
    <col min="10" max="10" width="11.85546875" customWidth="1"/>
  </cols>
  <sheetData>
    <row r="1" spans="1:9" ht="13.5" thickBot="1" x14ac:dyDescent="0.25">
      <c r="A1" s="2" t="s">
        <v>72</v>
      </c>
    </row>
    <row r="2" spans="1:9" ht="13.5" thickBot="1" x14ac:dyDescent="0.25">
      <c r="A2" s="3" t="str">
        <f>Libel!A2</f>
        <v>Valeur cible</v>
      </c>
      <c r="B2" s="4">
        <v>10.039950000000001</v>
      </c>
    </row>
    <row r="4" spans="1:9" ht="12.75" thickBot="1" x14ac:dyDescent="0.25">
      <c r="B4" t="s">
        <v>0</v>
      </c>
      <c r="C4" t="s">
        <v>1</v>
      </c>
      <c r="D4" t="s">
        <v>2</v>
      </c>
      <c r="E4" t="s">
        <v>3</v>
      </c>
      <c r="F4" t="s">
        <v>4</v>
      </c>
      <c r="H4" t="s">
        <v>66</v>
      </c>
      <c r="I4" t="s">
        <v>67</v>
      </c>
    </row>
    <row r="5" spans="1:9" x14ac:dyDescent="0.2">
      <c r="A5" t="str">
        <f>Libel!A5</f>
        <v>Jour (Série) 1</v>
      </c>
      <c r="B5" s="14">
        <v>10.024916108595777</v>
      </c>
      <c r="C5" s="15">
        <v>10.029754791857515</v>
      </c>
      <c r="D5" s="15">
        <v>10.027472741545044</v>
      </c>
      <c r="E5" s="15"/>
      <c r="F5" s="12"/>
      <c r="H5" s="10">
        <f>COUNT(B5:F5)</f>
        <v>3</v>
      </c>
      <c r="I5" s="1">
        <f>IF(H5=0,"",DEVSQ(B5:F5))</f>
        <v>1.1718993791117573E-5</v>
      </c>
    </row>
    <row r="6" spans="1:9" x14ac:dyDescent="0.2">
      <c r="A6" t="str">
        <f>Libel!A6</f>
        <v>Jour (Série) 2</v>
      </c>
      <c r="B6" s="16">
        <v>10.011270254702225</v>
      </c>
      <c r="C6" s="17">
        <v>10.017208206854203</v>
      </c>
      <c r="D6" s="17">
        <v>10.014869621372601</v>
      </c>
      <c r="E6" s="17"/>
      <c r="F6" s="13"/>
      <c r="H6" s="10">
        <f>COUNT(B6:F6)</f>
        <v>3</v>
      </c>
      <c r="I6" s="1">
        <f>IF(H6=0,"",DEVSQ(B6:F6))</f>
        <v>1.7894566080583947E-5</v>
      </c>
    </row>
    <row r="7" spans="1:9" x14ac:dyDescent="0.2">
      <c r="A7" t="str">
        <f>Libel!A7</f>
        <v>Jour (Série) 3</v>
      </c>
      <c r="B7" s="16">
        <v>10.053188267583637</v>
      </c>
      <c r="C7" s="17">
        <v>10.058206526247741</v>
      </c>
      <c r="D7" s="17">
        <v>10.059576155231023</v>
      </c>
      <c r="E7" s="17"/>
      <c r="F7" s="13"/>
      <c r="H7" s="10">
        <f>COUNT(B7:F7)</f>
        <v>3</v>
      </c>
      <c r="I7" s="1">
        <f>IF(H7=0,"",DEVSQ(B7:F7))</f>
        <v>2.2621304055769148E-5</v>
      </c>
    </row>
    <row r="8" spans="1:9" x14ac:dyDescent="0.2">
      <c r="A8" t="str">
        <f>Libel!A8</f>
        <v>Jour (Série) 4</v>
      </c>
      <c r="B8" s="16"/>
      <c r="C8" s="17"/>
      <c r="D8" s="17"/>
      <c r="E8" s="17"/>
      <c r="F8" s="13"/>
      <c r="H8" s="10">
        <f>COUNT(B8:F8)</f>
        <v>0</v>
      </c>
      <c r="I8" s="1" t="str">
        <f>IF(H8=0,"",DEVSQ(B8:F8))</f>
        <v/>
      </c>
    </row>
    <row r="9" spans="1:9" x14ac:dyDescent="0.2">
      <c r="A9" t="str">
        <f>Libel!A9</f>
        <v>Jour (Série) 5</v>
      </c>
      <c r="B9" s="16"/>
      <c r="C9" s="17"/>
      <c r="D9" s="17"/>
      <c r="E9" s="17"/>
      <c r="F9" s="13"/>
      <c r="H9" s="10">
        <f>COUNT(B9:F9)</f>
        <v>0</v>
      </c>
      <c r="I9" s="1" t="str">
        <f>IF(H9=0,"",DEVSQ(B9:F9))</f>
        <v/>
      </c>
    </row>
    <row r="10" spans="1:9" x14ac:dyDescent="0.2">
      <c r="A10" t="str">
        <f>Libel!A10</f>
        <v>Jour (Série) 6</v>
      </c>
      <c r="B10" s="6"/>
      <c r="C10" s="5"/>
      <c r="D10" s="5"/>
      <c r="E10" s="5"/>
      <c r="F10" s="13"/>
      <c r="H10" s="10">
        <f t="shared" ref="H10:H11" si="0">COUNT(B10:F10)</f>
        <v>0</v>
      </c>
      <c r="I10" s="1" t="str">
        <f t="shared" ref="I10:I11" si="1">IF(H10=0,"",DEVSQ(B10:F10))</f>
        <v/>
      </c>
    </row>
    <row r="11" spans="1:9" x14ac:dyDescent="0.2">
      <c r="A11" t="str">
        <f>Libel!A11</f>
        <v>Jour (Série) 7</v>
      </c>
      <c r="B11" s="6"/>
      <c r="C11" s="5"/>
      <c r="D11" s="5"/>
      <c r="E11" s="5"/>
      <c r="F11" s="13"/>
      <c r="H11" s="10">
        <f t="shared" si="0"/>
        <v>0</v>
      </c>
      <c r="I11" s="1" t="str">
        <f t="shared" si="1"/>
        <v/>
      </c>
    </row>
    <row r="12" spans="1:9" x14ac:dyDescent="0.2">
      <c r="A12" t="str">
        <f>Libel!A12</f>
        <v>Jour (Série) 8</v>
      </c>
      <c r="B12" s="6"/>
      <c r="C12" s="5"/>
      <c r="D12" s="5"/>
      <c r="E12" s="5"/>
      <c r="F12" s="13"/>
      <c r="H12" s="10">
        <f t="shared" ref="H12:H17" si="2">COUNT(B12:F12)</f>
        <v>0</v>
      </c>
      <c r="I12" s="1" t="str">
        <f t="shared" ref="I12:I17" si="3">IF(H12=0,"",DEVSQ(B12:F12))</f>
        <v/>
      </c>
    </row>
    <row r="13" spans="1:9" x14ac:dyDescent="0.2">
      <c r="A13" t="str">
        <f>Libel!A13</f>
        <v>Jour (Série) 9</v>
      </c>
      <c r="B13" s="6"/>
      <c r="C13" s="5"/>
      <c r="D13" s="5"/>
      <c r="E13" s="5"/>
      <c r="F13" s="13"/>
      <c r="H13" s="10">
        <f t="shared" si="2"/>
        <v>0</v>
      </c>
      <c r="I13" s="1" t="str">
        <f t="shared" si="3"/>
        <v/>
      </c>
    </row>
    <row r="14" spans="1:9" x14ac:dyDescent="0.2">
      <c r="A14" t="str">
        <f>Libel!A14</f>
        <v>Jour (Série) 10</v>
      </c>
      <c r="B14" s="6"/>
      <c r="C14" s="5"/>
      <c r="D14" s="5"/>
      <c r="E14" s="5"/>
      <c r="F14" s="13"/>
      <c r="H14" s="10">
        <f t="shared" si="2"/>
        <v>0</v>
      </c>
      <c r="I14" s="1" t="str">
        <f t="shared" si="3"/>
        <v/>
      </c>
    </row>
    <row r="15" spans="1:9" x14ac:dyDescent="0.2">
      <c r="A15" t="str">
        <f>Libel!A15</f>
        <v>Jour (Série) 11</v>
      </c>
      <c r="B15" s="6"/>
      <c r="C15" s="5"/>
      <c r="D15" s="5"/>
      <c r="E15" s="5"/>
      <c r="F15" s="13"/>
      <c r="H15" s="10">
        <f t="shared" si="2"/>
        <v>0</v>
      </c>
      <c r="I15" s="1" t="str">
        <f t="shared" si="3"/>
        <v/>
      </c>
    </row>
    <row r="16" spans="1:9" x14ac:dyDescent="0.2">
      <c r="A16" t="str">
        <f>Libel!A16</f>
        <v>Jour (Série) 12</v>
      </c>
      <c r="B16" s="6"/>
      <c r="C16" s="5"/>
      <c r="D16" s="5"/>
      <c r="E16" s="5"/>
      <c r="F16" s="13"/>
      <c r="H16" s="10">
        <f t="shared" si="2"/>
        <v>0</v>
      </c>
      <c r="I16" s="1" t="str">
        <f t="shared" si="3"/>
        <v/>
      </c>
    </row>
    <row r="17" spans="1:9" x14ac:dyDescent="0.2">
      <c r="A17" t="str">
        <f>Libel!A17</f>
        <v>Jour (Série) 13</v>
      </c>
      <c r="B17" s="6"/>
      <c r="C17" s="5"/>
      <c r="D17" s="5"/>
      <c r="E17" s="5"/>
      <c r="F17" s="13"/>
      <c r="H17" s="10">
        <f t="shared" si="2"/>
        <v>0</v>
      </c>
      <c r="I17" s="1" t="str">
        <f t="shared" si="3"/>
        <v/>
      </c>
    </row>
    <row r="18" spans="1:9" s="3" customFormat="1" ht="12.75" x14ac:dyDescent="0.2"/>
    <row r="19" spans="1:9" x14ac:dyDescent="0.2">
      <c r="A19" t="str">
        <f>Libel!A19</f>
        <v>Nombre de séries (K)</v>
      </c>
      <c r="B19">
        <f>COUNT(B5:B17)</f>
        <v>3</v>
      </c>
      <c r="C19" s="8"/>
    </row>
    <row r="20" spans="1:9" x14ac:dyDescent="0.2">
      <c r="A20" t="str">
        <f>Libel!A20</f>
        <v>Nombre de mesures (IK)</v>
      </c>
      <c r="B20">
        <f>COUNT(B5:F17)</f>
        <v>9</v>
      </c>
      <c r="C20" s="8"/>
    </row>
    <row r="21" spans="1:9" x14ac:dyDescent="0.2">
      <c r="A21" t="str">
        <f>Libel!A21</f>
        <v>Nombre de répétitions (I)</v>
      </c>
      <c r="B21">
        <f>IF(H5*B19&lt;&gt;B20,"Calcul impossible",H5)</f>
        <v>3</v>
      </c>
      <c r="C21" s="8"/>
    </row>
    <row r="22" spans="1:9" x14ac:dyDescent="0.2">
      <c r="A22" t="str">
        <f>Libel!A22</f>
        <v>SCE résiduelle</v>
      </c>
      <c r="B22" s="9">
        <f>SUM(I5:I17)</f>
        <v>5.2234863927470668E-5</v>
      </c>
      <c r="C22" s="8"/>
    </row>
    <row r="23" spans="1:9" x14ac:dyDescent="0.2">
      <c r="A23" t="str">
        <f>Libel!A23</f>
        <v>SCE totale</v>
      </c>
      <c r="B23" s="9">
        <f>DEVSQ(B5:F17)</f>
        <v>2.9058995132441724E-3</v>
      </c>
      <c r="C23" s="8"/>
    </row>
    <row r="24" spans="1:9" x14ac:dyDescent="0.2">
      <c r="A24" t="str">
        <f>Libel!A24</f>
        <v>SCE inter-séries</v>
      </c>
      <c r="B24" s="9">
        <f>B23-B22</f>
        <v>2.8536646493167016E-3</v>
      </c>
      <c r="C24" s="8"/>
    </row>
    <row r="25" spans="1:9" x14ac:dyDescent="0.2">
      <c r="A25" t="str">
        <f>Libel!A25</f>
        <v>Valeur intermédiaire de s²L</v>
      </c>
      <c r="B25" s="9">
        <f>((B24/(B19-1))-B26)/B21</f>
        <v>4.7270883800125743E-4</v>
      </c>
      <c r="C25" s="8"/>
    </row>
    <row r="26" spans="1:9" x14ac:dyDescent="0.2">
      <c r="A26" t="str">
        <f>Libel!A26</f>
        <v>Variance de répétabilité (s²r)</v>
      </c>
      <c r="B26" s="9">
        <f>B22/(B20-B19)</f>
        <v>8.7058106545784452E-6</v>
      </c>
      <c r="C26" s="8"/>
    </row>
    <row r="27" spans="1:9" x14ac:dyDescent="0.2">
      <c r="A27" t="str">
        <f>Libel!A27</f>
        <v>Variance inter-séries (s²L)</v>
      </c>
      <c r="B27" s="9">
        <f>IF(B25&lt;0,0,B25)</f>
        <v>4.7270883800125743E-4</v>
      </c>
      <c r="C27" s="8"/>
    </row>
    <row r="28" spans="1:9" x14ac:dyDescent="0.2">
      <c r="A28" t="str">
        <f>Libel!A28</f>
        <v>Variance de fidélité (s²FI)</v>
      </c>
      <c r="B28" s="9">
        <f>SUM(B26:B27)</f>
        <v>4.8141464865583585E-4</v>
      </c>
      <c r="C28" s="8"/>
    </row>
    <row r="29" spans="1:9" s="3" customFormat="1" ht="12.75" x14ac:dyDescent="0.2">
      <c r="A29" s="3" t="str">
        <f>Libel!A29</f>
        <v>Fidélité</v>
      </c>
    </row>
    <row r="30" spans="1:9" x14ac:dyDescent="0.2">
      <c r="A30" t="str">
        <f>Libel!A30</f>
        <v>Moyenne niveau</v>
      </c>
      <c r="B30" s="9">
        <f>AVERAGE(B5:F17)</f>
        <v>10.032940297109974</v>
      </c>
      <c r="C30" s="8"/>
    </row>
    <row r="31" spans="1:9" ht="12" customHeight="1" x14ac:dyDescent="0.2">
      <c r="A31" t="str">
        <f>Libel!A31</f>
        <v>Ecart-type de répétabilité (sr)</v>
      </c>
      <c r="B31" s="9">
        <f>SQRT(B26)</f>
        <v>2.9505610745379335E-3</v>
      </c>
      <c r="C31" s="8"/>
    </row>
    <row r="32" spans="1:9" x14ac:dyDescent="0.2">
      <c r="A32" t="str">
        <f>Libel!A32</f>
        <v>Ecart-type inter-séries (sL)</v>
      </c>
      <c r="B32" s="9">
        <f>SQRT(B27)</f>
        <v>2.1741868319011995E-2</v>
      </c>
      <c r="C32" s="8"/>
    </row>
    <row r="33" spans="1:9" x14ac:dyDescent="0.2">
      <c r="A33" t="str">
        <f>Libel!A33</f>
        <v>Ecart-type de fidélité (sFI)</v>
      </c>
      <c r="B33" s="9">
        <f>SQRT(B28)</f>
        <v>2.194116333870736E-2</v>
      </c>
      <c r="C33" s="8"/>
    </row>
    <row r="34" spans="1:9" s="3" customFormat="1" ht="12.75" x14ac:dyDescent="0.2">
      <c r="A34" s="3" t="str">
        <f>Libel!A34</f>
        <v>Justesse</v>
      </c>
    </row>
    <row r="35" spans="1:9" x14ac:dyDescent="0.2">
      <c r="A35" t="str">
        <f>Libel!A35</f>
        <v>Biais (%)</v>
      </c>
      <c r="B35" s="43">
        <f>B30/B2-1</f>
        <v>-6.9818105568519861E-4</v>
      </c>
      <c r="C35" s="8"/>
    </row>
    <row r="36" spans="1:9" s="3" customFormat="1" ht="12.75" x14ac:dyDescent="0.2">
      <c r="A36" s="3" t="str">
        <f>Libel!A36</f>
        <v>Facteur de couverture</v>
      </c>
    </row>
    <row r="37" spans="1:9" x14ac:dyDescent="0.2">
      <c r="A37" t="str">
        <f>Libel!A37</f>
        <v>Rapport des variances (R)</v>
      </c>
      <c r="B37" s="1">
        <f>B27/B26</f>
        <v>54.2980839759772</v>
      </c>
      <c r="C37" s="8"/>
    </row>
    <row r="38" spans="1:9" x14ac:dyDescent="0.2">
      <c r="A38" t="str">
        <f>Libel!A38</f>
        <v>Coefficient B²</v>
      </c>
      <c r="B38" s="1">
        <f>(B37+1)/(B21*B37+1)</f>
        <v>0.33740099683479535</v>
      </c>
      <c r="C38" s="8"/>
    </row>
    <row r="39" spans="1:9" x14ac:dyDescent="0.2">
      <c r="A39" t="str">
        <f>Libel!A39</f>
        <v>Coefficient intermédiaire</v>
      </c>
      <c r="B39" s="1">
        <f>SQRT(1+1/(B20*B38))</f>
        <v>1.1529591098844965</v>
      </c>
      <c r="C39" s="8"/>
    </row>
    <row r="40" spans="1:9" x14ac:dyDescent="0.2">
      <c r="A40" t="str">
        <f>Libel!A40</f>
        <v>Nombre de degrés liberté</v>
      </c>
      <c r="B40" s="1">
        <f>(B37+1)^2/((B37+1/B21)^2/(B19-1)+(1-1/B21)/B20)</f>
        <v>2.0490080800075097</v>
      </c>
      <c r="C40" s="8"/>
      <c r="I40" s="1"/>
    </row>
    <row r="41" spans="1:9" x14ac:dyDescent="0.2">
      <c r="A41" t="str">
        <f>Libel!A41</f>
        <v>Probabilité tolérance (bêta)</v>
      </c>
      <c r="B41" s="1">
        <f>Récapitulatif!C2</f>
        <v>0.99</v>
      </c>
      <c r="C41" s="8"/>
    </row>
    <row r="42" spans="1:9" x14ac:dyDescent="0.2">
      <c r="A42" t="str">
        <f>Libel!A42</f>
        <v>t Student bas</v>
      </c>
      <c r="B42" s="1">
        <f>TINV(1-B41,ROUNDDOWN(B40,0))</f>
        <v>9.9248432009182892</v>
      </c>
      <c r="C42" s="8"/>
    </row>
    <row r="43" spans="1:9" x14ac:dyDescent="0.2">
      <c r="A43" t="str">
        <f>Libel!A43</f>
        <v>t Student haut</v>
      </c>
      <c r="B43" s="1">
        <f>TINV(1-B41,ROUNDUP(B40,0))</f>
        <v>5.8409093097333553</v>
      </c>
      <c r="C43" s="8"/>
    </row>
    <row r="44" spans="1:9" x14ac:dyDescent="0.2">
      <c r="A44" t="str">
        <f>Libel!A44</f>
        <v>t Student interpolé</v>
      </c>
      <c r="B44" s="1">
        <f>B42-(B42-B43)*(B40-ROUNDDOWN(B40,0))</f>
        <v>9.7246974420337171</v>
      </c>
      <c r="C44" s="8"/>
    </row>
    <row r="45" spans="1:9" x14ac:dyDescent="0.2">
      <c r="A45" t="str">
        <f>Libel!A45</f>
        <v>Facteur de couverture (ktol)</v>
      </c>
      <c r="B45" s="1">
        <f>B44*B39</f>
        <v>11.212178506663234</v>
      </c>
      <c r="C45" s="8"/>
    </row>
    <row r="46" spans="1:9" s="3" customFormat="1" ht="12.75" x14ac:dyDescent="0.2">
      <c r="A46" s="3" t="str">
        <f>Libel!A46</f>
        <v>Intervalle de tolérance</v>
      </c>
    </row>
    <row r="47" spans="1:9" x14ac:dyDescent="0.2">
      <c r="A47" t="str">
        <f>Libel!A47</f>
        <v>Valeur basse tolérance</v>
      </c>
      <c r="B47" s="1">
        <f>B30-B45*B33</f>
        <v>9.7869320571125318</v>
      </c>
      <c r="C47" s="8"/>
    </row>
    <row r="48" spans="1:9" x14ac:dyDescent="0.2">
      <c r="A48" t="str">
        <f>Libel!A48</f>
        <v>Valeur haute tolérance</v>
      </c>
      <c r="B48" s="1">
        <f>B30+B45*B33</f>
        <v>10.278948537107416</v>
      </c>
      <c r="C48" s="8"/>
    </row>
  </sheetData>
  <sheetProtection selectLockedCells="1" pivotTables="0"/>
  <phoneticPr fontId="3" type="noConversion"/>
  <printOptions headings="1" gridLines="1"/>
  <pageMargins left="0.78740157499999996" right="0.78740157499999996" top="0.56999999999999995" bottom="0.56999999999999995" header="0.33" footer="0.34"/>
  <pageSetup paperSize="9" scale="96" orientation="landscape" horizontalDpi="300" verticalDpi="300" r:id="rId1"/>
  <headerFooter alignWithMargins="0">
    <oddFooter>&amp;A&amp;RPage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9"/>
  <dimension ref="A1:I48"/>
  <sheetViews>
    <sheetView zoomScaleNormal="100" workbookViewId="0">
      <selection activeCell="D12" sqref="D12"/>
    </sheetView>
  </sheetViews>
  <sheetFormatPr baseColWidth="10" defaultRowHeight="12" x14ac:dyDescent="0.2"/>
  <cols>
    <col min="1" max="1" width="27" customWidth="1"/>
    <col min="2" max="2" width="12.42578125" customWidth="1"/>
    <col min="3" max="3" width="11.85546875" customWidth="1"/>
    <col min="4" max="4" width="13.42578125" bestFit="1" customWidth="1"/>
    <col min="5" max="6" width="11.28515625" customWidth="1"/>
    <col min="7" max="7" width="3.85546875" customWidth="1"/>
    <col min="8" max="8" width="7" customWidth="1"/>
    <col min="9" max="9" width="12.7109375" customWidth="1"/>
    <col min="10" max="10" width="11.85546875" customWidth="1"/>
  </cols>
  <sheetData>
    <row r="1" spans="1:9" ht="13.5" thickBot="1" x14ac:dyDescent="0.25">
      <c r="A1" s="2" t="s">
        <v>73</v>
      </c>
    </row>
    <row r="2" spans="1:9" ht="13.5" thickBot="1" x14ac:dyDescent="0.25">
      <c r="A2" s="3" t="str">
        <f>Libel!A2</f>
        <v>Valeur cible</v>
      </c>
      <c r="B2" s="4">
        <v>12.047940000000001</v>
      </c>
    </row>
    <row r="4" spans="1:9" ht="12.75" thickBot="1" x14ac:dyDescent="0.25">
      <c r="B4" t="s">
        <v>0</v>
      </c>
      <c r="C4" t="s">
        <v>1</v>
      </c>
      <c r="D4" t="s">
        <v>2</v>
      </c>
      <c r="E4" t="s">
        <v>3</v>
      </c>
      <c r="F4" t="s">
        <v>4</v>
      </c>
      <c r="H4" t="s">
        <v>66</v>
      </c>
      <c r="I4" t="s">
        <v>67</v>
      </c>
    </row>
    <row r="5" spans="1:9" x14ac:dyDescent="0.2">
      <c r="A5" t="str">
        <f>Libel!A5</f>
        <v>Jour (Série) 1</v>
      </c>
      <c r="B5" s="14">
        <v>12.043882826545696</v>
      </c>
      <c r="C5" s="15">
        <v>12.022015210794464</v>
      </c>
      <c r="D5" s="15">
        <v>12.054547329964205</v>
      </c>
      <c r="E5" s="11"/>
      <c r="F5" s="12"/>
      <c r="H5" s="10">
        <f>COUNT(B5:F5)</f>
        <v>3</v>
      </c>
      <c r="I5" s="1">
        <f>IF(H5=0,"",DEVSQ(B5:F5))</f>
        <v>5.5008767649370035E-4</v>
      </c>
    </row>
    <row r="6" spans="1:9" x14ac:dyDescent="0.2">
      <c r="A6" t="str">
        <f>Libel!A6</f>
        <v>Jour (Série) 2</v>
      </c>
      <c r="B6" s="16">
        <v>12.039037692175446</v>
      </c>
      <c r="C6" s="17">
        <v>12.070807290319211</v>
      </c>
      <c r="D6" s="17">
        <v>12.07491641185482</v>
      </c>
      <c r="E6" s="5"/>
      <c r="F6" s="13"/>
      <c r="H6" s="10">
        <f>COUNT(B6:F6)</f>
        <v>3</v>
      </c>
      <c r="I6" s="1">
        <f>IF(H6=0,"",DEVSQ(B6:F6))</f>
        <v>7.7115825728060164E-4</v>
      </c>
    </row>
    <row r="7" spans="1:9" x14ac:dyDescent="0.2">
      <c r="A7" t="str">
        <f>Libel!A7</f>
        <v>Jour (Série) 3</v>
      </c>
      <c r="B7" s="16">
        <v>12.051739572954546</v>
      </c>
      <c r="C7" s="17">
        <v>12.055486376777612</v>
      </c>
      <c r="D7" s="17">
        <v>12.063713651400747</v>
      </c>
      <c r="E7" s="5"/>
      <c r="F7" s="13"/>
      <c r="H7" s="10">
        <f>COUNT(B7:F7)</f>
        <v>3</v>
      </c>
      <c r="I7" s="1">
        <f>IF(H7=0,"",DEVSQ(B7:F7))</f>
        <v>7.5035047082932024E-5</v>
      </c>
    </row>
    <row r="8" spans="1:9" x14ac:dyDescent="0.2">
      <c r="A8" t="str">
        <f>Libel!A8</f>
        <v>Jour (Série) 4</v>
      </c>
      <c r="B8" s="6"/>
      <c r="C8" s="5"/>
      <c r="D8" s="5"/>
      <c r="E8" s="5"/>
      <c r="F8" s="13"/>
      <c r="H8" s="10">
        <f t="shared" ref="H8:H11" si="0">COUNT(B8:F8)</f>
        <v>0</v>
      </c>
      <c r="I8" s="1" t="str">
        <f t="shared" ref="I8:I11" si="1">IF(H8=0,"",DEVSQ(B8:F8))</f>
        <v/>
      </c>
    </row>
    <row r="9" spans="1:9" x14ac:dyDescent="0.2">
      <c r="A9" t="str">
        <f>Libel!A9</f>
        <v>Jour (Série) 5</v>
      </c>
      <c r="B9" s="6"/>
      <c r="C9" s="5"/>
      <c r="D9" s="5"/>
      <c r="E9" s="5"/>
      <c r="F9" s="13"/>
      <c r="H9" s="10">
        <f t="shared" si="0"/>
        <v>0</v>
      </c>
      <c r="I9" s="1" t="str">
        <f t="shared" si="1"/>
        <v/>
      </c>
    </row>
    <row r="10" spans="1:9" x14ac:dyDescent="0.2">
      <c r="A10" t="str">
        <f>Libel!A10</f>
        <v>Jour (Série) 6</v>
      </c>
      <c r="B10" s="6"/>
      <c r="C10" s="5"/>
      <c r="D10" s="5"/>
      <c r="E10" s="5"/>
      <c r="F10" s="13"/>
      <c r="H10" s="10">
        <f t="shared" si="0"/>
        <v>0</v>
      </c>
      <c r="I10" s="1" t="str">
        <f t="shared" si="1"/>
        <v/>
      </c>
    </row>
    <row r="11" spans="1:9" x14ac:dyDescent="0.2">
      <c r="A11" t="str">
        <f>Libel!A11</f>
        <v>Jour (Série) 7</v>
      </c>
      <c r="B11" s="6"/>
      <c r="C11" s="5"/>
      <c r="D11" s="5"/>
      <c r="E11" s="5"/>
      <c r="F11" s="13"/>
      <c r="H11" s="10">
        <f t="shared" si="0"/>
        <v>0</v>
      </c>
      <c r="I11" s="1" t="str">
        <f t="shared" si="1"/>
        <v/>
      </c>
    </row>
    <row r="12" spans="1:9" x14ac:dyDescent="0.2">
      <c r="A12" t="str">
        <f>Libel!A12</f>
        <v>Jour (Série) 8</v>
      </c>
      <c r="B12" s="6"/>
      <c r="C12" s="5"/>
      <c r="D12" s="5"/>
      <c r="E12" s="5"/>
      <c r="F12" s="13"/>
      <c r="H12" s="10">
        <f t="shared" ref="H12:H17" si="2">COUNT(B12:F12)</f>
        <v>0</v>
      </c>
      <c r="I12" s="1" t="str">
        <f t="shared" ref="I12:I17" si="3">IF(H12=0,"",DEVSQ(B12:F12))</f>
        <v/>
      </c>
    </row>
    <row r="13" spans="1:9" x14ac:dyDescent="0.2">
      <c r="A13" t="str">
        <f>Libel!A13</f>
        <v>Jour (Série) 9</v>
      </c>
      <c r="B13" s="6"/>
      <c r="C13" s="5"/>
      <c r="D13" s="5"/>
      <c r="E13" s="5"/>
      <c r="F13" s="13"/>
      <c r="H13" s="10">
        <f t="shared" si="2"/>
        <v>0</v>
      </c>
      <c r="I13" s="1" t="str">
        <f t="shared" si="3"/>
        <v/>
      </c>
    </row>
    <row r="14" spans="1:9" x14ac:dyDescent="0.2">
      <c r="A14" t="str">
        <f>Libel!A14</f>
        <v>Jour (Série) 10</v>
      </c>
      <c r="B14" s="6"/>
      <c r="C14" s="5"/>
      <c r="D14" s="5"/>
      <c r="E14" s="5"/>
      <c r="F14" s="13"/>
      <c r="H14" s="10">
        <f t="shared" si="2"/>
        <v>0</v>
      </c>
      <c r="I14" s="1" t="str">
        <f t="shared" si="3"/>
        <v/>
      </c>
    </row>
    <row r="15" spans="1:9" x14ac:dyDescent="0.2">
      <c r="A15" t="str">
        <f>Libel!A15</f>
        <v>Jour (Série) 11</v>
      </c>
      <c r="B15" s="6"/>
      <c r="C15" s="5"/>
      <c r="D15" s="5"/>
      <c r="E15" s="5"/>
      <c r="F15" s="13"/>
      <c r="H15" s="10">
        <f t="shared" si="2"/>
        <v>0</v>
      </c>
      <c r="I15" s="1" t="str">
        <f t="shared" si="3"/>
        <v/>
      </c>
    </row>
    <row r="16" spans="1:9" x14ac:dyDescent="0.2">
      <c r="A16" t="str">
        <f>Libel!A16</f>
        <v>Jour (Série) 12</v>
      </c>
      <c r="B16" s="6"/>
      <c r="C16" s="5"/>
      <c r="D16" s="5"/>
      <c r="E16" s="5"/>
      <c r="F16" s="13"/>
      <c r="H16" s="10">
        <f t="shared" si="2"/>
        <v>0</v>
      </c>
      <c r="I16" s="1" t="str">
        <f t="shared" si="3"/>
        <v/>
      </c>
    </row>
    <row r="17" spans="1:9" x14ac:dyDescent="0.2">
      <c r="A17" t="str">
        <f>Libel!A17</f>
        <v>Jour (Série) 13</v>
      </c>
      <c r="B17" s="6"/>
      <c r="C17" s="5"/>
      <c r="D17" s="5"/>
      <c r="E17" s="5"/>
      <c r="F17" s="13"/>
      <c r="H17" s="10">
        <f t="shared" si="2"/>
        <v>0</v>
      </c>
      <c r="I17" s="1" t="str">
        <f t="shared" si="3"/>
        <v/>
      </c>
    </row>
    <row r="18" spans="1:9" s="3" customFormat="1" ht="12.75" x14ac:dyDescent="0.2"/>
    <row r="19" spans="1:9" x14ac:dyDescent="0.2">
      <c r="A19" t="str">
        <f>Libel!A19</f>
        <v>Nombre de séries (K)</v>
      </c>
      <c r="B19">
        <f>COUNT(B5:B17)</f>
        <v>3</v>
      </c>
      <c r="C19" s="8"/>
    </row>
    <row r="20" spans="1:9" x14ac:dyDescent="0.2">
      <c r="A20" t="str">
        <f>Libel!A20</f>
        <v>Nombre de mesures (IK)</v>
      </c>
      <c r="B20">
        <f>COUNT(B5:F17)</f>
        <v>9</v>
      </c>
      <c r="C20" s="8"/>
    </row>
    <row r="21" spans="1:9" x14ac:dyDescent="0.2">
      <c r="A21" t="str">
        <f>Libel!A21</f>
        <v>Nombre de répétitions (I)</v>
      </c>
      <c r="B21">
        <f>IF(H5*B19&lt;&gt;B20,"Calcul impossible",H5)</f>
        <v>3</v>
      </c>
      <c r="C21" s="8"/>
    </row>
    <row r="22" spans="1:9" x14ac:dyDescent="0.2">
      <c r="A22" t="str">
        <f>Libel!A22</f>
        <v>SCE résiduelle</v>
      </c>
      <c r="B22" s="9">
        <f>SUM(I5:I17)</f>
        <v>1.3962809808572339E-3</v>
      </c>
      <c r="C22" s="8"/>
    </row>
    <row r="23" spans="1:9" x14ac:dyDescent="0.2">
      <c r="A23" t="str">
        <f>Libel!A23</f>
        <v>SCE totale</v>
      </c>
      <c r="B23" s="9">
        <f>DEVSQ(B5:F17)</f>
        <v>2.160421086692853E-3</v>
      </c>
      <c r="C23" s="8"/>
    </row>
    <row r="24" spans="1:9" x14ac:dyDescent="0.2">
      <c r="A24" t="str">
        <f>Libel!A24</f>
        <v>SCE inter-séries</v>
      </c>
      <c r="B24" s="9">
        <f>B23-B22</f>
        <v>7.6414010583561909E-4</v>
      </c>
      <c r="C24" s="8"/>
    </row>
    <row r="25" spans="1:9" x14ac:dyDescent="0.2">
      <c r="A25" t="str">
        <f>Libel!A25</f>
        <v>Valeur intermédiaire de s²L</v>
      </c>
      <c r="B25" s="9">
        <f>((B24/(B19-1))-B26)/B21</f>
        <v>4.9785518702756852E-5</v>
      </c>
      <c r="C25" s="8"/>
    </row>
    <row r="26" spans="1:9" x14ac:dyDescent="0.2">
      <c r="A26" t="str">
        <f>Libel!A26</f>
        <v>Variance de répétabilité (s²r)</v>
      </c>
      <c r="B26" s="9">
        <f>B22/(B20-B19)</f>
        <v>2.3271349680953899E-4</v>
      </c>
      <c r="C26" s="8"/>
    </row>
    <row r="27" spans="1:9" x14ac:dyDescent="0.2">
      <c r="A27" t="str">
        <f>Libel!A27</f>
        <v>Variance inter-séries (s²L)</v>
      </c>
      <c r="B27" s="9">
        <f>IF(B25&lt;0,0,B25)</f>
        <v>4.9785518702756852E-5</v>
      </c>
      <c r="C27" s="8"/>
    </row>
    <row r="28" spans="1:9" x14ac:dyDescent="0.2">
      <c r="A28" t="str">
        <f>Libel!A28</f>
        <v>Variance de fidélité (s²FI)</v>
      </c>
      <c r="B28" s="9">
        <f>SUM(B26:B27)</f>
        <v>2.8249901551229584E-4</v>
      </c>
      <c r="C28" s="8"/>
    </row>
    <row r="29" spans="1:9" s="3" customFormat="1" ht="12.75" x14ac:dyDescent="0.2">
      <c r="A29" s="3" t="str">
        <f>Libel!A29</f>
        <v>Fidélité</v>
      </c>
    </row>
    <row r="30" spans="1:9" x14ac:dyDescent="0.2">
      <c r="A30" t="str">
        <f>Libel!A30</f>
        <v>Moyenne niveau</v>
      </c>
      <c r="B30" s="9">
        <f>AVERAGE(B5:F17)</f>
        <v>12.052905151420751</v>
      </c>
      <c r="C30" s="8"/>
    </row>
    <row r="31" spans="1:9" ht="12" customHeight="1" x14ac:dyDescent="0.2">
      <c r="A31" t="str">
        <f>Libel!A31</f>
        <v>Ecart-type de répétabilité (sr)</v>
      </c>
      <c r="B31" s="9">
        <f>SQRT(B26)</f>
        <v>1.5254949911734846E-2</v>
      </c>
      <c r="C31" s="8"/>
    </row>
    <row r="32" spans="1:9" x14ac:dyDescent="0.2">
      <c r="A32" t="str">
        <f>Libel!A32</f>
        <v>Ecart-type inter-séries (sL)</v>
      </c>
      <c r="B32" s="9">
        <f>SQRT(B27)</f>
        <v>7.055885394672794E-3</v>
      </c>
      <c r="C32" s="8"/>
    </row>
    <row r="33" spans="1:9" x14ac:dyDescent="0.2">
      <c r="A33" t="str">
        <f>Libel!A33</f>
        <v>Ecart-type de fidélité (sFI)</v>
      </c>
      <c r="B33" s="9">
        <f>SQRT(B28)</f>
        <v>1.68077070272032E-2</v>
      </c>
      <c r="C33" s="8"/>
    </row>
    <row r="34" spans="1:9" s="3" customFormat="1" ht="12.75" x14ac:dyDescent="0.2">
      <c r="A34" s="3" t="str">
        <f>Libel!A34</f>
        <v>Justesse</v>
      </c>
    </row>
    <row r="35" spans="1:9" x14ac:dyDescent="0.2">
      <c r="A35" t="str">
        <f>Libel!A35</f>
        <v>Biais (%)</v>
      </c>
      <c r="B35" s="43">
        <f>B30/B2-1</f>
        <v>4.12116214120406E-4</v>
      </c>
      <c r="C35" s="8"/>
    </row>
    <row r="36" spans="1:9" s="3" customFormat="1" ht="12.75" x14ac:dyDescent="0.2">
      <c r="A36" s="3" t="str">
        <f>Libel!A36</f>
        <v>Facteur de couverture</v>
      </c>
    </row>
    <row r="37" spans="1:9" x14ac:dyDescent="0.2">
      <c r="A37" t="str">
        <f>Libel!A37</f>
        <v>Rapport des variances (R)</v>
      </c>
      <c r="B37" s="1">
        <f>B27/B26</f>
        <v>0.2139348142041933</v>
      </c>
      <c r="C37" s="8"/>
    </row>
    <row r="38" spans="1:9" x14ac:dyDescent="0.2">
      <c r="A38" t="str">
        <f>Libel!A38</f>
        <v>Coefficient B²</v>
      </c>
      <c r="B38" s="1">
        <f>(B37+1)/(B21*B37+1)</f>
        <v>0.73939062576324632</v>
      </c>
      <c r="C38" s="8"/>
    </row>
    <row r="39" spans="1:9" x14ac:dyDescent="0.2">
      <c r="A39" t="str">
        <f>Libel!A39</f>
        <v>Coefficient intermédiaire</v>
      </c>
      <c r="B39" s="1">
        <f>SQRT(1+1/(B20*B38))</f>
        <v>1.0725082272428763</v>
      </c>
      <c r="C39" s="8"/>
    </row>
    <row r="40" spans="1:9" x14ac:dyDescent="0.2">
      <c r="A40" t="str">
        <f>Libel!A40</f>
        <v>Nombre de degrés liberté</v>
      </c>
      <c r="B40" s="1">
        <f>(B37+1)^2/((B37+1/B21)^2/(B19-1)+(1-1/B21)/B20)</f>
        <v>6.5838751048870092</v>
      </c>
      <c r="C40" s="8"/>
      <c r="I40" s="1"/>
    </row>
    <row r="41" spans="1:9" x14ac:dyDescent="0.2">
      <c r="A41" t="str">
        <f>Libel!A41</f>
        <v>Probabilité tolérance (bêta)</v>
      </c>
      <c r="B41" s="1">
        <f>Récapitulatif!C2</f>
        <v>0.99</v>
      </c>
      <c r="C41" s="8"/>
    </row>
    <row r="42" spans="1:9" x14ac:dyDescent="0.2">
      <c r="A42" t="str">
        <f>Libel!A42</f>
        <v>t Student bas</v>
      </c>
      <c r="B42" s="1">
        <f>TINV(1-B41,ROUNDDOWN(B40,0))</f>
        <v>3.7074280213247786</v>
      </c>
      <c r="C42" s="8"/>
    </row>
    <row r="43" spans="1:9" x14ac:dyDescent="0.2">
      <c r="A43" t="str">
        <f>Libel!A43</f>
        <v>t Student haut</v>
      </c>
      <c r="B43" s="1">
        <f>TINV(1-B41,ROUNDUP(B40,0))</f>
        <v>3.4994832973504928</v>
      </c>
      <c r="C43" s="8"/>
    </row>
    <row r="44" spans="1:9" x14ac:dyDescent="0.2">
      <c r="A44" t="str">
        <f>Libel!A44</f>
        <v>t Student interpolé</v>
      </c>
      <c r="B44" s="1">
        <f>B42-(B42-B43)*(B40-ROUNDDOWN(B40,0))</f>
        <v>3.5860142738035923</v>
      </c>
      <c r="C44" s="8"/>
    </row>
    <row r="45" spans="1:9" x14ac:dyDescent="0.2">
      <c r="A45" t="str">
        <f>Libel!A45</f>
        <v>Facteur de couverture (ktol)</v>
      </c>
      <c r="B45" s="1">
        <f>B44*B39</f>
        <v>3.8460298116647413</v>
      </c>
      <c r="C45" s="8"/>
    </row>
    <row r="46" spans="1:9" s="3" customFormat="1" ht="12.75" x14ac:dyDescent="0.2">
      <c r="A46" s="3" t="str">
        <f>Libel!A46</f>
        <v>Intervalle de tolérance</v>
      </c>
    </row>
    <row r="47" spans="1:9" x14ac:dyDescent="0.2">
      <c r="A47" t="str">
        <f>Libel!A47</f>
        <v>Valeur basse tolérance</v>
      </c>
      <c r="B47" s="1">
        <f>B30-B45*B33</f>
        <v>11.988262209128401</v>
      </c>
      <c r="C47" s="8"/>
    </row>
    <row r="48" spans="1:9" x14ac:dyDescent="0.2">
      <c r="A48" t="str">
        <f>Libel!A48</f>
        <v>Valeur haute tolérance</v>
      </c>
      <c r="B48" s="1">
        <f>B30+B45*B33</f>
        <v>12.117548093713101</v>
      </c>
      <c r="C48" s="8"/>
    </row>
  </sheetData>
  <sheetProtection pivotTables="0"/>
  <phoneticPr fontId="3" type="noConversion"/>
  <printOptions headings="1" gridLines="1"/>
  <pageMargins left="0.78740157499999996" right="0.78740157499999996" top="0.56999999999999995" bottom="0.56999999999999995" header="0.33" footer="0.34"/>
  <pageSetup paperSize="9" scale="96" orientation="landscape" horizontalDpi="300" verticalDpi="300" r:id="rId1"/>
  <headerFooter alignWithMargins="0">
    <oddFooter>&amp;A&amp;RPage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10"/>
  <dimension ref="A1:I48"/>
  <sheetViews>
    <sheetView zoomScaleNormal="100" workbookViewId="0">
      <selection activeCell="B5" sqref="B5:D7"/>
    </sheetView>
  </sheetViews>
  <sheetFormatPr baseColWidth="10" defaultRowHeight="12" x14ac:dyDescent="0.2"/>
  <cols>
    <col min="1" max="1" width="27" customWidth="1"/>
    <col min="2" max="2" width="12.42578125" customWidth="1"/>
    <col min="3" max="3" width="11.85546875" customWidth="1"/>
    <col min="4" max="6" width="11.28515625" customWidth="1"/>
    <col min="7" max="7" width="3.85546875" customWidth="1"/>
    <col min="8" max="8" width="7" customWidth="1"/>
    <col min="9" max="9" width="17.42578125" bestFit="1" customWidth="1"/>
    <col min="10" max="10" width="11.85546875" customWidth="1"/>
  </cols>
  <sheetData>
    <row r="1" spans="1:9" ht="13.5" thickBot="1" x14ac:dyDescent="0.25">
      <c r="A1" s="2" t="s">
        <v>74</v>
      </c>
    </row>
    <row r="2" spans="1:9" ht="13.5" thickBot="1" x14ac:dyDescent="0.25">
      <c r="A2" s="3" t="str">
        <f>Libel!A2</f>
        <v>Valeur cible</v>
      </c>
      <c r="B2" s="4">
        <v>16.063920000000003</v>
      </c>
    </row>
    <row r="4" spans="1:9" ht="12.75" thickBot="1" x14ac:dyDescent="0.25">
      <c r="B4" t="s">
        <v>0</v>
      </c>
      <c r="C4" t="s">
        <v>1</v>
      </c>
      <c r="D4" t="s">
        <v>2</v>
      </c>
      <c r="E4" t="s">
        <v>3</v>
      </c>
      <c r="F4" t="s">
        <v>4</v>
      </c>
      <c r="H4" t="s">
        <v>66</v>
      </c>
      <c r="I4" t="s">
        <v>67</v>
      </c>
    </row>
    <row r="5" spans="1:9" x14ac:dyDescent="0.2">
      <c r="A5" t="str">
        <f>Libel!A5</f>
        <v>Jour (Série) 1</v>
      </c>
      <c r="B5" s="14">
        <v>16.127871781740001</v>
      </c>
      <c r="C5" s="15">
        <v>16.155241137414997</v>
      </c>
      <c r="D5" s="15">
        <v>16.13968974336024</v>
      </c>
      <c r="E5" s="11"/>
      <c r="F5" s="12"/>
      <c r="H5" s="10">
        <f>COUNT(B5:F5)</f>
        <v>3</v>
      </c>
      <c r="I5" s="1">
        <f>IF(H5=0,"",DEVSQ(B5:F5))</f>
        <v>3.7686390132272188E-4</v>
      </c>
    </row>
    <row r="6" spans="1:9" x14ac:dyDescent="0.2">
      <c r="A6" t="str">
        <f>Libel!A6</f>
        <v>Jour (Série) 2</v>
      </c>
      <c r="B6" s="16">
        <v>16.080851293905202</v>
      </c>
      <c r="C6" s="17">
        <v>16.092867363203162</v>
      </c>
      <c r="D6" s="17">
        <v>16.1184026100821</v>
      </c>
      <c r="E6" s="5"/>
      <c r="F6" s="13"/>
      <c r="H6" s="10">
        <f t="shared" ref="H6:H11" si="0">COUNT(B6:F6)</f>
        <v>3</v>
      </c>
      <c r="I6" s="1">
        <f>IF(H6=0,"",DEVSQ(B6:F6))</f>
        <v>7.3551203371970434E-4</v>
      </c>
    </row>
    <row r="7" spans="1:9" x14ac:dyDescent="0.2">
      <c r="A7" t="str">
        <f>Libel!A7</f>
        <v>Jour (Série) 3</v>
      </c>
      <c r="B7" s="16">
        <v>16.051340170204622</v>
      </c>
      <c r="C7" s="17">
        <v>16.049770204978859</v>
      </c>
      <c r="D7" s="17">
        <v>16.086160673502462</v>
      </c>
      <c r="E7" s="5"/>
      <c r="F7" s="13"/>
      <c r="H7" s="10">
        <f t="shared" si="0"/>
        <v>3</v>
      </c>
      <c r="I7" s="1">
        <f>IF(H7=0,"",DEVSQ(B7:F7))</f>
        <v>8.4639948003078906E-4</v>
      </c>
    </row>
    <row r="8" spans="1:9" x14ac:dyDescent="0.2">
      <c r="A8" t="str">
        <f>Libel!A8</f>
        <v>Jour (Série) 4</v>
      </c>
      <c r="B8" s="6"/>
      <c r="C8" s="5"/>
      <c r="D8" s="5"/>
      <c r="E8" s="5"/>
      <c r="F8" s="13"/>
      <c r="H8" s="10">
        <f t="shared" si="0"/>
        <v>0</v>
      </c>
      <c r="I8" s="1" t="str">
        <f t="shared" ref="I8:I11" si="1">IF(H8=0,"",DEVSQ(B8:F8))</f>
        <v/>
      </c>
    </row>
    <row r="9" spans="1:9" x14ac:dyDescent="0.2">
      <c r="A9" t="str">
        <f>Libel!A9</f>
        <v>Jour (Série) 5</v>
      </c>
      <c r="B9" s="6"/>
      <c r="C9" s="5"/>
      <c r="D9" s="5"/>
      <c r="E9" s="5"/>
      <c r="F9" s="13"/>
      <c r="H9" s="10">
        <f t="shared" si="0"/>
        <v>0</v>
      </c>
      <c r="I9" s="1" t="str">
        <f t="shared" si="1"/>
        <v/>
      </c>
    </row>
    <row r="10" spans="1:9" x14ac:dyDescent="0.2">
      <c r="A10" t="str">
        <f>Libel!A10</f>
        <v>Jour (Série) 6</v>
      </c>
      <c r="B10" s="6"/>
      <c r="C10" s="5"/>
      <c r="D10" s="5"/>
      <c r="E10" s="5"/>
      <c r="F10" s="13"/>
      <c r="H10" s="10">
        <f t="shared" si="0"/>
        <v>0</v>
      </c>
      <c r="I10" s="1" t="str">
        <f t="shared" si="1"/>
        <v/>
      </c>
    </row>
    <row r="11" spans="1:9" x14ac:dyDescent="0.2">
      <c r="A11" t="str">
        <f>Libel!A11</f>
        <v>Jour (Série) 7</v>
      </c>
      <c r="B11" s="6"/>
      <c r="C11" s="5"/>
      <c r="D11" s="5"/>
      <c r="E11" s="5"/>
      <c r="F11" s="13"/>
      <c r="H11" s="10">
        <f t="shared" si="0"/>
        <v>0</v>
      </c>
      <c r="I11" s="1" t="str">
        <f t="shared" si="1"/>
        <v/>
      </c>
    </row>
    <row r="12" spans="1:9" x14ac:dyDescent="0.2">
      <c r="A12" t="str">
        <f>Libel!A12</f>
        <v>Jour (Série) 8</v>
      </c>
      <c r="B12" s="6"/>
      <c r="C12" s="5"/>
      <c r="D12" s="5"/>
      <c r="E12" s="5"/>
      <c r="F12" s="13"/>
      <c r="H12" s="10">
        <f t="shared" ref="H12:H17" si="2">COUNT(B12:F12)</f>
        <v>0</v>
      </c>
      <c r="I12" s="1" t="str">
        <f t="shared" ref="I12:I17" si="3">IF(H12=0,"",DEVSQ(B12:F12))</f>
        <v/>
      </c>
    </row>
    <row r="13" spans="1:9" x14ac:dyDescent="0.2">
      <c r="A13" t="str">
        <f>Libel!A13</f>
        <v>Jour (Série) 9</v>
      </c>
      <c r="B13" s="6"/>
      <c r="C13" s="5"/>
      <c r="D13" s="5"/>
      <c r="E13" s="5"/>
      <c r="F13" s="13"/>
      <c r="H13" s="10">
        <f t="shared" si="2"/>
        <v>0</v>
      </c>
      <c r="I13" s="1" t="str">
        <f t="shared" si="3"/>
        <v/>
      </c>
    </row>
    <row r="14" spans="1:9" x14ac:dyDescent="0.2">
      <c r="A14" t="str">
        <f>Libel!A14</f>
        <v>Jour (Série) 10</v>
      </c>
      <c r="B14" s="6"/>
      <c r="C14" s="5"/>
      <c r="D14" s="5"/>
      <c r="E14" s="5"/>
      <c r="F14" s="13"/>
      <c r="H14" s="10">
        <f t="shared" si="2"/>
        <v>0</v>
      </c>
      <c r="I14" s="1" t="str">
        <f t="shared" si="3"/>
        <v/>
      </c>
    </row>
    <row r="15" spans="1:9" x14ac:dyDescent="0.2">
      <c r="A15" t="str">
        <f>Libel!A15</f>
        <v>Jour (Série) 11</v>
      </c>
      <c r="B15" s="6"/>
      <c r="C15" s="5"/>
      <c r="D15" s="5"/>
      <c r="E15" s="5"/>
      <c r="F15" s="13"/>
      <c r="H15" s="10">
        <f t="shared" si="2"/>
        <v>0</v>
      </c>
      <c r="I15" s="1" t="str">
        <f t="shared" si="3"/>
        <v/>
      </c>
    </row>
    <row r="16" spans="1:9" x14ac:dyDescent="0.2">
      <c r="A16" t="str">
        <f>Libel!A16</f>
        <v>Jour (Série) 12</v>
      </c>
      <c r="B16" s="6"/>
      <c r="C16" s="5"/>
      <c r="D16" s="5"/>
      <c r="E16" s="5"/>
      <c r="F16" s="13"/>
      <c r="H16" s="10">
        <f t="shared" si="2"/>
        <v>0</v>
      </c>
      <c r="I16" s="1" t="str">
        <f t="shared" si="3"/>
        <v/>
      </c>
    </row>
    <row r="17" spans="1:9" x14ac:dyDescent="0.2">
      <c r="A17" t="str">
        <f>Libel!A17</f>
        <v>Jour (Série) 13</v>
      </c>
      <c r="B17" s="6"/>
      <c r="C17" s="5"/>
      <c r="D17" s="5"/>
      <c r="E17" s="5"/>
      <c r="F17" s="13"/>
      <c r="H17" s="10">
        <f t="shared" si="2"/>
        <v>0</v>
      </c>
      <c r="I17" s="1" t="str">
        <f t="shared" si="3"/>
        <v/>
      </c>
    </row>
    <row r="18" spans="1:9" s="3" customFormat="1" ht="12.75" x14ac:dyDescent="0.2"/>
    <row r="19" spans="1:9" x14ac:dyDescent="0.2">
      <c r="A19" t="str">
        <f>Libel!A19</f>
        <v>Nombre de séries (K)</v>
      </c>
      <c r="B19">
        <f>COUNT(B5:B17)</f>
        <v>3</v>
      </c>
      <c r="C19" s="8"/>
    </row>
    <row r="20" spans="1:9" x14ac:dyDescent="0.2">
      <c r="A20" t="str">
        <f>Libel!A20</f>
        <v>Nombre de mesures (IK)</v>
      </c>
      <c r="B20">
        <f>COUNT(B5:F17)</f>
        <v>9</v>
      </c>
      <c r="C20" s="8"/>
    </row>
    <row r="21" spans="1:9" x14ac:dyDescent="0.2">
      <c r="A21" t="str">
        <f>Libel!A21</f>
        <v>Nombre de répétitions (I)</v>
      </c>
      <c r="B21">
        <f>IF(H5*B19&lt;&gt;B20,"Calcul impossible",H5)</f>
        <v>3</v>
      </c>
      <c r="C21" s="8"/>
    </row>
    <row r="22" spans="1:9" x14ac:dyDescent="0.2">
      <c r="A22" t="str">
        <f>Libel!A22</f>
        <v>SCE résiduelle</v>
      </c>
      <c r="B22" s="9">
        <f>SUM(I5:I17)</f>
        <v>1.9587754150732152E-3</v>
      </c>
      <c r="C22" s="8"/>
    </row>
    <row r="23" spans="1:9" x14ac:dyDescent="0.2">
      <c r="A23" t="str">
        <f>Libel!A23</f>
        <v>SCE totale</v>
      </c>
      <c r="B23" s="9">
        <f>DEVSQ(B5:E17)</f>
        <v>1.12417016947963E-2</v>
      </c>
      <c r="C23" s="8"/>
    </row>
    <row r="24" spans="1:9" x14ac:dyDescent="0.2">
      <c r="A24" t="str">
        <f>Libel!A24</f>
        <v>SCE inter-séries</v>
      </c>
      <c r="B24" s="9">
        <f>B23-B22</f>
        <v>9.2829262797230853E-3</v>
      </c>
      <c r="C24" s="8"/>
    </row>
    <row r="25" spans="1:9" x14ac:dyDescent="0.2">
      <c r="A25" t="str">
        <f>Libel!A25</f>
        <v>Valeur intermédiaire de s²L</v>
      </c>
      <c r="B25" s="9">
        <f>((B24/(B19-1))-B26)/B21</f>
        <v>1.438333523560891E-3</v>
      </c>
      <c r="C25" s="8"/>
    </row>
    <row r="26" spans="1:9" x14ac:dyDescent="0.2">
      <c r="A26" t="str">
        <f>Libel!A26</f>
        <v>Variance de répétabilité (s²r)</v>
      </c>
      <c r="B26" s="9">
        <f>B22/(B20-B19)</f>
        <v>3.264625691788692E-4</v>
      </c>
      <c r="C26" s="8"/>
    </row>
    <row r="27" spans="1:9" x14ac:dyDescent="0.2">
      <c r="A27" t="str">
        <f>Libel!A27</f>
        <v>Variance inter-séries (s²L)</v>
      </c>
      <c r="B27" s="9">
        <f>IF(B25&lt;0,0,B25)</f>
        <v>1.438333523560891E-3</v>
      </c>
      <c r="C27" s="8"/>
    </row>
    <row r="28" spans="1:9" x14ac:dyDescent="0.2">
      <c r="A28" t="str">
        <f>Libel!A28</f>
        <v>Variance de fidélité (s²FI)</v>
      </c>
      <c r="B28" s="9">
        <f>SUM(B26:B27)</f>
        <v>1.7647960927397602E-3</v>
      </c>
      <c r="C28" s="8"/>
    </row>
    <row r="29" spans="1:9" s="3" customFormat="1" ht="12.75" x14ac:dyDescent="0.2">
      <c r="A29" s="3" t="str">
        <f>Libel!A29</f>
        <v>Fidélité</v>
      </c>
    </row>
    <row r="30" spans="1:9" x14ac:dyDescent="0.2">
      <c r="A30" t="str">
        <f>Libel!A30</f>
        <v>Moyenne niveau</v>
      </c>
      <c r="B30" s="9">
        <f>AVERAGE(B5:F17)</f>
        <v>16.100243886487963</v>
      </c>
      <c r="C30" s="8"/>
    </row>
    <row r="31" spans="1:9" ht="12" customHeight="1" x14ac:dyDescent="0.2">
      <c r="A31" t="str">
        <f>Libel!A31</f>
        <v>Ecart-type de répétabilité (sr)</v>
      </c>
      <c r="B31" s="9">
        <f>SQRT(B26)</f>
        <v>1.8068275213170438E-2</v>
      </c>
      <c r="C31" s="8"/>
    </row>
    <row r="32" spans="1:9" x14ac:dyDescent="0.2">
      <c r="A32" t="str">
        <f>Libel!A32</f>
        <v>Ecart-type inter-séries (sL)</v>
      </c>
      <c r="B32" s="9">
        <f>SQRT(B27)</f>
        <v>3.7925367810489205E-2</v>
      </c>
      <c r="C32" s="8"/>
    </row>
    <row r="33" spans="1:9" x14ac:dyDescent="0.2">
      <c r="A33" t="str">
        <f>Libel!A33</f>
        <v>Ecart-type de fidélité (sFI)</v>
      </c>
      <c r="B33" s="9">
        <f>SQRT(B28)</f>
        <v>4.2009476225487036E-2</v>
      </c>
      <c r="C33" s="8"/>
    </row>
    <row r="34" spans="1:9" s="3" customFormat="1" ht="12.75" x14ac:dyDescent="0.2">
      <c r="A34" s="3" t="str">
        <f>Libel!A34</f>
        <v>Justesse</v>
      </c>
    </row>
    <row r="35" spans="1:9" x14ac:dyDescent="0.2">
      <c r="A35" t="str">
        <f>Libel!A35</f>
        <v>Biais (%)</v>
      </c>
      <c r="B35" s="43">
        <f>B30/B2-1</f>
        <v>2.2612093740481676E-3</v>
      </c>
      <c r="C35" s="8"/>
    </row>
    <row r="36" spans="1:9" s="3" customFormat="1" ht="12.75" x14ac:dyDescent="0.2">
      <c r="A36" s="3" t="str">
        <f>Libel!A36</f>
        <v>Facteur de couverture</v>
      </c>
    </row>
    <row r="37" spans="1:9" x14ac:dyDescent="0.2">
      <c r="A37" t="str">
        <f>Libel!A37</f>
        <v>Rapport des variances (R)</v>
      </c>
      <c r="B37" s="1">
        <f>B27/B26</f>
        <v>4.4058145078581017</v>
      </c>
      <c r="C37" s="8"/>
    </row>
    <row r="38" spans="1:9" x14ac:dyDescent="0.2">
      <c r="A38" t="str">
        <f>Libel!A38</f>
        <v>Coefficient B²</v>
      </c>
      <c r="B38" s="1">
        <f>(B37+1)/(B21*B37+1)</f>
        <v>0.38022408873258989</v>
      </c>
      <c r="C38" s="8"/>
    </row>
    <row r="39" spans="1:9" x14ac:dyDescent="0.2">
      <c r="A39" t="str">
        <f>Libel!A39</f>
        <v>Coefficient intermédiaire</v>
      </c>
      <c r="B39" s="1">
        <f>SQRT(1+1/(B20*B38))</f>
        <v>1.1367608954561135</v>
      </c>
      <c r="C39" s="8"/>
    </row>
    <row r="40" spans="1:9" x14ac:dyDescent="0.2">
      <c r="A40" t="str">
        <f>Libel!A40</f>
        <v>Nombre de degrés liberté</v>
      </c>
      <c r="B40" s="1">
        <f>(B37+1)^2/((B37+1/B21)^2/(B19-1)+(1-1/B21)/B20)</f>
        <v>2.5852137761148053</v>
      </c>
      <c r="C40" s="8"/>
      <c r="I40" s="1"/>
    </row>
    <row r="41" spans="1:9" x14ac:dyDescent="0.2">
      <c r="A41" t="str">
        <f>Libel!A41</f>
        <v>Probabilité tolérance (bêta)</v>
      </c>
      <c r="B41" s="1">
        <f>Récapitulatif!C2</f>
        <v>0.99</v>
      </c>
      <c r="C41" s="8"/>
    </row>
    <row r="42" spans="1:9" x14ac:dyDescent="0.2">
      <c r="A42" t="str">
        <f>Libel!A42</f>
        <v>t Student bas</v>
      </c>
      <c r="B42" s="1">
        <f>TINV(1-B41,ROUNDDOWN(B40,0))</f>
        <v>9.9248432009182892</v>
      </c>
      <c r="C42" s="8"/>
    </row>
    <row r="43" spans="1:9" x14ac:dyDescent="0.2">
      <c r="A43" t="str">
        <f>Libel!A43</f>
        <v>t Student haut</v>
      </c>
      <c r="B43" s="1">
        <f>TINV(1-B41,ROUNDUP(B40,0))</f>
        <v>5.8409093097333553</v>
      </c>
      <c r="C43" s="8"/>
    </row>
    <row r="44" spans="1:9" x14ac:dyDescent="0.2">
      <c r="A44" t="str">
        <f>Libel!A44</f>
        <v>t Student interpolé</v>
      </c>
      <c r="B44" s="1">
        <f>B42-(B42-B43)*(B40-ROUNDDOWN(B40,0))</f>
        <v>7.5348688270547237</v>
      </c>
      <c r="C44" s="8"/>
    </row>
    <row r="45" spans="1:9" x14ac:dyDescent="0.2">
      <c r="A45" t="str">
        <f>Libel!A45</f>
        <v>Facteur de couverture (ktol)</v>
      </c>
      <c r="B45" s="1">
        <f>B44*B39</f>
        <v>8.5653442349870836</v>
      </c>
      <c r="C45" s="8"/>
    </row>
    <row r="46" spans="1:9" s="3" customFormat="1" ht="12.75" x14ac:dyDescent="0.2">
      <c r="A46" s="3" t="str">
        <f>Libel!A46</f>
        <v>Intervalle de tolérance</v>
      </c>
    </row>
    <row r="47" spans="1:9" x14ac:dyDescent="0.2">
      <c r="A47" t="str">
        <f>Libel!A47</f>
        <v>Valeur basse tolérance</v>
      </c>
      <c r="B47" s="1">
        <f>B30-B45*B33</f>
        <v>15.740418261485161</v>
      </c>
      <c r="C47" s="8"/>
    </row>
    <row r="48" spans="1:9" x14ac:dyDescent="0.2">
      <c r="A48" t="str">
        <f>Libel!A48</f>
        <v>Valeur haute tolérance</v>
      </c>
      <c r="B48" s="1">
        <f>B30+B45*B33</f>
        <v>16.460069511490765</v>
      </c>
      <c r="C48" s="8"/>
    </row>
  </sheetData>
  <sheetProtection pivotTables="0"/>
  <phoneticPr fontId="3" type="noConversion"/>
  <printOptions headings="1" gridLines="1"/>
  <pageMargins left="0.78740157499999996" right="0.78740157499999996" top="0.56999999999999995" bottom="0.56999999999999995" header="0.33" footer="0.34"/>
  <pageSetup paperSize="9" scale="96" orientation="landscape" horizontalDpi="300" verticalDpi="300" r:id="rId1"/>
  <headerFooter alignWithMargins="0">
    <oddFooter>&amp;A&amp;RPage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48"/>
  <sheetViews>
    <sheetView topLeftCell="A13" zoomScaleNormal="100" workbookViewId="0">
      <selection activeCell="C11" sqref="C11"/>
    </sheetView>
  </sheetViews>
  <sheetFormatPr baseColWidth="10" defaultRowHeight="12" x14ac:dyDescent="0.2"/>
  <cols>
    <col min="1" max="1" width="27" customWidth="1"/>
    <col min="2" max="2" width="12.42578125" customWidth="1"/>
    <col min="3" max="3" width="11.85546875" customWidth="1"/>
    <col min="4" max="6" width="11.28515625" customWidth="1"/>
    <col min="7" max="7" width="3.85546875" customWidth="1"/>
    <col min="8" max="8" width="7" customWidth="1"/>
    <col min="9" max="9" width="17.42578125" bestFit="1" customWidth="1"/>
    <col min="10" max="10" width="11.85546875" customWidth="1"/>
  </cols>
  <sheetData>
    <row r="1" spans="1:9" ht="13.5" thickBot="1" x14ac:dyDescent="0.25">
      <c r="A1" s="2" t="s">
        <v>74</v>
      </c>
    </row>
    <row r="2" spans="1:9" ht="13.5" thickBot="1" x14ac:dyDescent="0.25">
      <c r="A2" s="3" t="str">
        <f>Libel!A2</f>
        <v>Valeur cible</v>
      </c>
      <c r="B2" s="4">
        <v>20.079900000000002</v>
      </c>
    </row>
    <row r="4" spans="1:9" ht="12.75" thickBot="1" x14ac:dyDescent="0.25">
      <c r="B4" t="s">
        <v>0</v>
      </c>
      <c r="C4" t="s">
        <v>1</v>
      </c>
      <c r="D4" t="s">
        <v>2</v>
      </c>
      <c r="E4" t="s">
        <v>3</v>
      </c>
      <c r="F4" t="s">
        <v>4</v>
      </c>
      <c r="H4" t="s">
        <v>66</v>
      </c>
      <c r="I4" t="s">
        <v>67</v>
      </c>
    </row>
    <row r="5" spans="1:9" x14ac:dyDescent="0.2">
      <c r="A5" t="str">
        <f>Libel!A5</f>
        <v>Jour (Série) 1</v>
      </c>
      <c r="B5" s="14">
        <v>20.066902686596507</v>
      </c>
      <c r="C5" s="15">
        <v>20.054139344347231</v>
      </c>
      <c r="D5" s="15">
        <v>20.078681120515505</v>
      </c>
      <c r="E5" s="11"/>
      <c r="F5" s="12"/>
      <c r="H5" s="10">
        <f>COUNT(B5:F5)</f>
        <v>3</v>
      </c>
      <c r="I5" s="1">
        <f>IF(H5=0,"",DEVSQ(B5:F5))</f>
        <v>3.0131106281666757E-4</v>
      </c>
    </row>
    <row r="6" spans="1:9" x14ac:dyDescent="0.2">
      <c r="A6" t="str">
        <f>Libel!A6</f>
        <v>Jour (Série) 2</v>
      </c>
      <c r="B6" s="16">
        <v>20.047058724938669</v>
      </c>
      <c r="C6" s="17">
        <v>20.048723697398863</v>
      </c>
      <c r="D6" s="17">
        <v>20.052386754104173</v>
      </c>
      <c r="E6" s="5"/>
      <c r="F6" s="13"/>
      <c r="H6" s="10">
        <f t="shared" ref="H6:H17" si="0">COUNT(B6:F6)</f>
        <v>3</v>
      </c>
      <c r="I6" s="1">
        <f>IF(H6=0,"",DEVSQ(B6:F6))</f>
        <v>1.4859337502662105E-5</v>
      </c>
    </row>
    <row r="7" spans="1:9" x14ac:dyDescent="0.2">
      <c r="A7" t="str">
        <f>Libel!A7</f>
        <v>Jour (Série) 3</v>
      </c>
      <c r="B7" s="16">
        <v>20.056816319793445</v>
      </c>
      <c r="C7" s="17">
        <v>20.062447902937599</v>
      </c>
      <c r="D7" s="17">
        <v>20.07486265074153</v>
      </c>
      <c r="E7" s="5"/>
      <c r="F7" s="13"/>
      <c r="H7" s="10">
        <f t="shared" si="0"/>
        <v>3</v>
      </c>
      <c r="I7" s="1">
        <f>IF(H7=0,"",DEVSQ(B7:F7))</f>
        <v>1.7050358414417657E-4</v>
      </c>
    </row>
    <row r="8" spans="1:9" x14ac:dyDescent="0.2">
      <c r="A8" t="str">
        <f>Libel!A8</f>
        <v>Jour (Série) 4</v>
      </c>
      <c r="B8" s="6"/>
      <c r="C8" s="5"/>
      <c r="D8" s="5"/>
      <c r="E8" s="5"/>
      <c r="F8" s="13"/>
      <c r="H8" s="10">
        <f t="shared" si="0"/>
        <v>0</v>
      </c>
      <c r="I8" s="1" t="str">
        <f t="shared" ref="I8:I17" si="1">IF(H8=0,"",DEVSQ(B8:F8))</f>
        <v/>
      </c>
    </row>
    <row r="9" spans="1:9" x14ac:dyDescent="0.2">
      <c r="A9" t="str">
        <f>Libel!A9</f>
        <v>Jour (Série) 5</v>
      </c>
      <c r="B9" s="6"/>
      <c r="C9" s="5"/>
      <c r="D9" s="5"/>
      <c r="E9" s="5"/>
      <c r="F9" s="13"/>
      <c r="H9" s="10">
        <f t="shared" si="0"/>
        <v>0</v>
      </c>
      <c r="I9" s="1" t="str">
        <f t="shared" si="1"/>
        <v/>
      </c>
    </row>
    <row r="10" spans="1:9" x14ac:dyDescent="0.2">
      <c r="A10" t="str">
        <f>Libel!A10</f>
        <v>Jour (Série) 6</v>
      </c>
      <c r="B10" s="6"/>
      <c r="C10" s="5"/>
      <c r="D10" s="5"/>
      <c r="E10" s="5"/>
      <c r="F10" s="13"/>
      <c r="H10" s="10">
        <f t="shared" si="0"/>
        <v>0</v>
      </c>
      <c r="I10" s="1" t="str">
        <f t="shared" si="1"/>
        <v/>
      </c>
    </row>
    <row r="11" spans="1:9" x14ac:dyDescent="0.2">
      <c r="A11" t="str">
        <f>Libel!A11</f>
        <v>Jour (Série) 7</v>
      </c>
      <c r="B11" s="6"/>
      <c r="C11" s="5"/>
      <c r="D11" s="5"/>
      <c r="E11" s="5"/>
      <c r="F11" s="13"/>
      <c r="H11" s="10">
        <f t="shared" si="0"/>
        <v>0</v>
      </c>
      <c r="I11" s="1" t="str">
        <f t="shared" si="1"/>
        <v/>
      </c>
    </row>
    <row r="12" spans="1:9" x14ac:dyDescent="0.2">
      <c r="A12" t="str">
        <f>Libel!A12</f>
        <v>Jour (Série) 8</v>
      </c>
      <c r="B12" s="6"/>
      <c r="C12" s="5"/>
      <c r="D12" s="5"/>
      <c r="E12" s="5"/>
      <c r="F12" s="13"/>
      <c r="H12" s="10">
        <f t="shared" si="0"/>
        <v>0</v>
      </c>
      <c r="I12" s="1" t="str">
        <f t="shared" si="1"/>
        <v/>
      </c>
    </row>
    <row r="13" spans="1:9" x14ac:dyDescent="0.2">
      <c r="A13" t="str">
        <f>Libel!A13</f>
        <v>Jour (Série) 9</v>
      </c>
      <c r="B13" s="6"/>
      <c r="C13" s="5"/>
      <c r="D13" s="5"/>
      <c r="E13" s="5"/>
      <c r="F13" s="13"/>
      <c r="H13" s="10">
        <f t="shared" si="0"/>
        <v>0</v>
      </c>
      <c r="I13" s="1" t="str">
        <f t="shared" si="1"/>
        <v/>
      </c>
    </row>
    <row r="14" spans="1:9" x14ac:dyDescent="0.2">
      <c r="A14" t="str">
        <f>Libel!A14</f>
        <v>Jour (Série) 10</v>
      </c>
      <c r="B14" s="6"/>
      <c r="C14" s="5"/>
      <c r="D14" s="5"/>
      <c r="E14" s="5"/>
      <c r="F14" s="13"/>
      <c r="H14" s="10">
        <f t="shared" si="0"/>
        <v>0</v>
      </c>
      <c r="I14" s="1" t="str">
        <f t="shared" si="1"/>
        <v/>
      </c>
    </row>
    <row r="15" spans="1:9" x14ac:dyDescent="0.2">
      <c r="A15" t="str">
        <f>Libel!A15</f>
        <v>Jour (Série) 11</v>
      </c>
      <c r="B15" s="6"/>
      <c r="C15" s="5"/>
      <c r="D15" s="5"/>
      <c r="E15" s="5"/>
      <c r="F15" s="13"/>
      <c r="H15" s="10">
        <f t="shared" si="0"/>
        <v>0</v>
      </c>
      <c r="I15" s="1" t="str">
        <f t="shared" si="1"/>
        <v/>
      </c>
    </row>
    <row r="16" spans="1:9" x14ac:dyDescent="0.2">
      <c r="A16" t="str">
        <f>Libel!A16</f>
        <v>Jour (Série) 12</v>
      </c>
      <c r="B16" s="6"/>
      <c r="C16" s="5"/>
      <c r="D16" s="5"/>
      <c r="E16" s="5"/>
      <c r="F16" s="13"/>
      <c r="H16" s="10">
        <f t="shared" si="0"/>
        <v>0</v>
      </c>
      <c r="I16" s="1" t="str">
        <f t="shared" si="1"/>
        <v/>
      </c>
    </row>
    <row r="17" spans="1:9" x14ac:dyDescent="0.2">
      <c r="A17" t="str">
        <f>Libel!A17</f>
        <v>Jour (Série) 13</v>
      </c>
      <c r="B17" s="6"/>
      <c r="C17" s="5"/>
      <c r="D17" s="5"/>
      <c r="E17" s="5"/>
      <c r="F17" s="13"/>
      <c r="H17" s="10">
        <f t="shared" si="0"/>
        <v>0</v>
      </c>
      <c r="I17" s="1" t="str">
        <f t="shared" si="1"/>
        <v/>
      </c>
    </row>
    <row r="18" spans="1:9" s="3" customFormat="1" ht="12.75" x14ac:dyDescent="0.2"/>
    <row r="19" spans="1:9" x14ac:dyDescent="0.2">
      <c r="A19" t="str">
        <f>Libel!A19</f>
        <v>Nombre de séries (K)</v>
      </c>
      <c r="B19">
        <f>COUNT(B5:B17)</f>
        <v>3</v>
      </c>
      <c r="C19" s="8"/>
    </row>
    <row r="20" spans="1:9" x14ac:dyDescent="0.2">
      <c r="A20" t="str">
        <f>Libel!A20</f>
        <v>Nombre de mesures (IK)</v>
      </c>
      <c r="B20">
        <f>COUNT(B5:F17)</f>
        <v>9</v>
      </c>
      <c r="C20" s="8"/>
    </row>
    <row r="21" spans="1:9" x14ac:dyDescent="0.2">
      <c r="A21" t="str">
        <f>Libel!A21</f>
        <v>Nombre de répétitions (I)</v>
      </c>
      <c r="B21">
        <f>IF(H5*B19&lt;&gt;B20,"Calcul impossible",H5)</f>
        <v>3</v>
      </c>
      <c r="C21" s="8"/>
    </row>
    <row r="22" spans="1:9" x14ac:dyDescent="0.2">
      <c r="A22" t="str">
        <f>Libel!A22</f>
        <v>SCE résiduelle</v>
      </c>
      <c r="B22" s="9">
        <f>SUM(I5:I17)</f>
        <v>4.8667398446350623E-4</v>
      </c>
      <c r="C22" s="8"/>
    </row>
    <row r="23" spans="1:9" x14ac:dyDescent="0.2">
      <c r="A23" t="str">
        <f>Libel!A23</f>
        <v>SCE totale</v>
      </c>
      <c r="B23" s="9">
        <f>DEVSQ(B5:E17)</f>
        <v>1.0201451604406157E-3</v>
      </c>
      <c r="C23" s="8"/>
    </row>
    <row r="24" spans="1:9" x14ac:dyDescent="0.2">
      <c r="A24" t="str">
        <f>Libel!A24</f>
        <v>SCE inter-séries</v>
      </c>
      <c r="B24" s="9">
        <f>B23-B22</f>
        <v>5.334711759771095E-4</v>
      </c>
      <c r="C24" s="8"/>
    </row>
    <row r="25" spans="1:9" x14ac:dyDescent="0.2">
      <c r="A25" t="str">
        <f>Libel!A25</f>
        <v>Valeur intermédiaire de s²L</v>
      </c>
      <c r="B25" s="9">
        <f>((B24/(B19-1))-B26)/B21</f>
        <v>6.1874419081545682E-5</v>
      </c>
      <c r="C25" s="8"/>
    </row>
    <row r="26" spans="1:9" x14ac:dyDescent="0.2">
      <c r="A26" t="str">
        <f>Libel!A26</f>
        <v>Variance de répétabilité (s²r)</v>
      </c>
      <c r="B26" s="9">
        <f>B22/(B20-B19)</f>
        <v>8.1112330743917705E-5</v>
      </c>
      <c r="C26" s="8"/>
    </row>
    <row r="27" spans="1:9" x14ac:dyDescent="0.2">
      <c r="A27" t="str">
        <f>Libel!A27</f>
        <v>Variance inter-séries (s²L)</v>
      </c>
      <c r="B27" s="9">
        <f>IF(B25&lt;0,0,B25)</f>
        <v>6.1874419081545682E-5</v>
      </c>
      <c r="C27" s="8"/>
    </row>
    <row r="28" spans="1:9" x14ac:dyDescent="0.2">
      <c r="A28" t="str">
        <f>Libel!A28</f>
        <v>Variance de fidélité (s²FI)</v>
      </c>
      <c r="B28" s="9">
        <f>SUM(B26:B27)</f>
        <v>1.4298674982546339E-4</v>
      </c>
      <c r="C28" s="8"/>
    </row>
    <row r="29" spans="1:9" s="3" customFormat="1" ht="12.75" x14ac:dyDescent="0.2">
      <c r="A29" s="3" t="str">
        <f>Libel!A29</f>
        <v>Fidélité</v>
      </c>
    </row>
    <row r="30" spans="1:9" x14ac:dyDescent="0.2">
      <c r="A30" t="str">
        <f>Libel!A30</f>
        <v>Moyenne niveau</v>
      </c>
      <c r="B30" s="9">
        <f>AVERAGE(B5:F17)</f>
        <v>20.060224355708172</v>
      </c>
      <c r="C30" s="8"/>
    </row>
    <row r="31" spans="1:9" ht="12" customHeight="1" x14ac:dyDescent="0.2">
      <c r="A31" t="str">
        <f>Libel!A31</f>
        <v>Ecart-type de répétabilité (sr)</v>
      </c>
      <c r="B31" s="9">
        <f>SQRT(B26)</f>
        <v>9.0062384347694077E-3</v>
      </c>
      <c r="C31" s="8"/>
    </row>
    <row r="32" spans="1:9" x14ac:dyDescent="0.2">
      <c r="A32" t="str">
        <f>Libel!A32</f>
        <v>Ecart-type inter-séries (sL)</v>
      </c>
      <c r="B32" s="9">
        <f>SQRT(B27)</f>
        <v>7.8660294355885601E-3</v>
      </c>
      <c r="C32" s="8"/>
    </row>
    <row r="33" spans="1:9" x14ac:dyDescent="0.2">
      <c r="A33" t="str">
        <f>Libel!A33</f>
        <v>Ecart-type de fidélité (sFI)</v>
      </c>
      <c r="B33" s="9">
        <f>SQRT(B28)</f>
        <v>1.1957706712637812E-2</v>
      </c>
      <c r="C33" s="8"/>
    </row>
    <row r="34" spans="1:9" s="3" customFormat="1" ht="12.75" x14ac:dyDescent="0.2">
      <c r="A34" s="3" t="str">
        <f>Libel!A34</f>
        <v>Justesse</v>
      </c>
    </row>
    <row r="35" spans="1:9" x14ac:dyDescent="0.2">
      <c r="A35" t="str">
        <f>Libel!A35</f>
        <v>Biais (%)</v>
      </c>
      <c r="B35" s="43">
        <f>B30/B2-1</f>
        <v>-9.798676433563358E-4</v>
      </c>
      <c r="C35" s="8"/>
    </row>
    <row r="36" spans="1:9" s="3" customFormat="1" ht="12.75" x14ac:dyDescent="0.2">
      <c r="A36" s="3" t="str">
        <f>Libel!A36</f>
        <v>Facteur de couverture</v>
      </c>
    </row>
    <row r="37" spans="1:9" x14ac:dyDescent="0.2">
      <c r="A37" t="str">
        <f>Libel!A37</f>
        <v>Rapport des variances (R)</v>
      </c>
      <c r="B37" s="1">
        <f>B27/B26</f>
        <v>0.76282383349199223</v>
      </c>
      <c r="C37" s="8"/>
    </row>
    <row r="38" spans="1:9" x14ac:dyDescent="0.2">
      <c r="A38" t="str">
        <f>Libel!A38</f>
        <v>Coefficient B²</v>
      </c>
      <c r="B38" s="1">
        <f>(B37+1)/(B21*B37+1)</f>
        <v>0.53606176402527417</v>
      </c>
      <c r="C38" s="8"/>
    </row>
    <row r="39" spans="1:9" x14ac:dyDescent="0.2">
      <c r="A39" t="str">
        <f>Libel!A39</f>
        <v>Coefficient intermédiaire</v>
      </c>
      <c r="B39" s="1">
        <f>SQRT(1+1/(B20*B38))</f>
        <v>1.0987597393133619</v>
      </c>
      <c r="C39" s="8"/>
    </row>
    <row r="40" spans="1:9" x14ac:dyDescent="0.2">
      <c r="A40" t="str">
        <f>Libel!A40</f>
        <v>Nombre de degrés liberté</v>
      </c>
      <c r="B40" s="1">
        <f>(B37+1)^2/((B37+1/B21)^2/(B19-1)+(1-1/B21)/B20)</f>
        <v>4.6047682854063332</v>
      </c>
      <c r="C40" s="8"/>
      <c r="I40" s="1"/>
    </row>
    <row r="41" spans="1:9" x14ac:dyDescent="0.2">
      <c r="A41" t="str">
        <f>Libel!A41</f>
        <v>Probabilité tolérance (bêta)</v>
      </c>
      <c r="B41" s="1">
        <f>Récapitulatif!C2</f>
        <v>0.99</v>
      </c>
      <c r="C41" s="8"/>
    </row>
    <row r="42" spans="1:9" x14ac:dyDescent="0.2">
      <c r="A42" t="str">
        <f>Libel!A42</f>
        <v>t Student bas</v>
      </c>
      <c r="B42" s="1">
        <f>TINV(1-B41,ROUNDDOWN(B40,0))</f>
        <v>4.6040948713499921</v>
      </c>
      <c r="C42" s="8"/>
    </row>
    <row r="43" spans="1:9" x14ac:dyDescent="0.2">
      <c r="A43" t="str">
        <f>Libel!A43</f>
        <v>t Student haut</v>
      </c>
      <c r="B43" s="1">
        <f>TINV(1-B41,ROUNDUP(B40,0))</f>
        <v>4.0321429835552269</v>
      </c>
      <c r="C43" s="8"/>
    </row>
    <row r="44" spans="1:9" x14ac:dyDescent="0.2">
      <c r="A44" t="str">
        <f>Libel!A44</f>
        <v>t Student interpolé</v>
      </c>
      <c r="B44" s="1">
        <f>B42-(B42-B43)*(B40-ROUNDDOWN(B40,0))</f>
        <v>4.2581965088334366</v>
      </c>
      <c r="C44" s="8"/>
    </row>
    <row r="45" spans="1:9" x14ac:dyDescent="0.2">
      <c r="A45" t="str">
        <f>Libel!A45</f>
        <v>Facteur de couverture (ktol)</v>
      </c>
      <c r="B45" s="1">
        <f>B44*B39</f>
        <v>4.6787348859908944</v>
      </c>
      <c r="C45" s="8"/>
    </row>
    <row r="46" spans="1:9" s="3" customFormat="1" ht="12.75" x14ac:dyDescent="0.2">
      <c r="A46" s="3" t="str">
        <f>Libel!A46</f>
        <v>Intervalle de tolérance</v>
      </c>
    </row>
    <row r="47" spans="1:9" x14ac:dyDescent="0.2">
      <c r="A47" t="str">
        <f>Libel!A47</f>
        <v>Valeur basse tolérance</v>
      </c>
      <c r="B47" s="1">
        <f>B30-B45*B33</f>
        <v>20.004277416155308</v>
      </c>
      <c r="C47" s="8"/>
    </row>
    <row r="48" spans="1:9" x14ac:dyDescent="0.2">
      <c r="A48" t="str">
        <f>Libel!A48</f>
        <v>Valeur haute tolérance</v>
      </c>
      <c r="B48" s="1">
        <f>B30+B45*B33</f>
        <v>20.116171295261037</v>
      </c>
      <c r="C48" s="8"/>
    </row>
  </sheetData>
  <sheetProtection pivotTables="0"/>
  <printOptions headings="1" gridLines="1"/>
  <pageMargins left="0.78740157499999996" right="0.78740157499999996" top="0.56999999999999995" bottom="0.56999999999999995" header="0.33" footer="0.34"/>
  <pageSetup paperSize="9" scale="96" orientation="landscape" horizontalDpi="300" verticalDpi="300" r:id="rId1"/>
  <headerFooter alignWithMargins="0">
    <oddFooter>&amp;A&amp;RPage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wksLibel"/>
  <dimension ref="A2:A48"/>
  <sheetViews>
    <sheetView workbookViewId="0">
      <selection activeCell="C16" sqref="C16"/>
    </sheetView>
  </sheetViews>
  <sheetFormatPr baseColWidth="10" defaultRowHeight="12" x14ac:dyDescent="0.2"/>
  <cols>
    <col min="1" max="1" width="23.7109375" bestFit="1" customWidth="1"/>
  </cols>
  <sheetData>
    <row r="2" spans="1:1" x14ac:dyDescent="0.2">
      <c r="A2" t="s">
        <v>5</v>
      </c>
    </row>
    <row r="5" spans="1:1" x14ac:dyDescent="0.2">
      <c r="A5" t="s">
        <v>23</v>
      </c>
    </row>
    <row r="6" spans="1:1" x14ac:dyDescent="0.2">
      <c r="A6" t="s">
        <v>24</v>
      </c>
    </row>
    <row r="7" spans="1:1" x14ac:dyDescent="0.2">
      <c r="A7" t="s">
        <v>25</v>
      </c>
    </row>
    <row r="8" spans="1:1" x14ac:dyDescent="0.2">
      <c r="A8" t="s">
        <v>26</v>
      </c>
    </row>
    <row r="9" spans="1:1" x14ac:dyDescent="0.2">
      <c r="A9" t="s">
        <v>27</v>
      </c>
    </row>
    <row r="10" spans="1:1" x14ac:dyDescent="0.2">
      <c r="A10" t="s">
        <v>28</v>
      </c>
    </row>
    <row r="11" spans="1:1" x14ac:dyDescent="0.2">
      <c r="A11" t="s">
        <v>29</v>
      </c>
    </row>
    <row r="12" spans="1:1" x14ac:dyDescent="0.2">
      <c r="A12" t="s">
        <v>30</v>
      </c>
    </row>
    <row r="13" spans="1:1" x14ac:dyDescent="0.2">
      <c r="A13" t="s">
        <v>31</v>
      </c>
    </row>
    <row r="14" spans="1:1" x14ac:dyDescent="0.2">
      <c r="A14" t="s">
        <v>78</v>
      </c>
    </row>
    <row r="15" spans="1:1" x14ac:dyDescent="0.2">
      <c r="A15" t="s">
        <v>79</v>
      </c>
    </row>
    <row r="16" spans="1:1" x14ac:dyDescent="0.2">
      <c r="A16" t="s">
        <v>80</v>
      </c>
    </row>
    <row r="17" spans="1:1" x14ac:dyDescent="0.2">
      <c r="A17" t="s">
        <v>81</v>
      </c>
    </row>
    <row r="19" spans="1:1" x14ac:dyDescent="0.2">
      <c r="A19" t="s">
        <v>8</v>
      </c>
    </row>
    <row r="20" spans="1:1" x14ac:dyDescent="0.2">
      <c r="A20" t="s">
        <v>21</v>
      </c>
    </row>
    <row r="21" spans="1:1" x14ac:dyDescent="0.2">
      <c r="A21" t="s">
        <v>22</v>
      </c>
    </row>
    <row r="22" spans="1:1" x14ac:dyDescent="0.2">
      <c r="A22" t="s">
        <v>6</v>
      </c>
    </row>
    <row r="23" spans="1:1" x14ac:dyDescent="0.2">
      <c r="A23" t="s">
        <v>9</v>
      </c>
    </row>
    <row r="24" spans="1:1" x14ac:dyDescent="0.2">
      <c r="A24" t="s">
        <v>68</v>
      </c>
    </row>
    <row r="25" spans="1:1" x14ac:dyDescent="0.2">
      <c r="A25" t="s">
        <v>16</v>
      </c>
    </row>
    <row r="26" spans="1:1" x14ac:dyDescent="0.2">
      <c r="A26" t="s">
        <v>12</v>
      </c>
    </row>
    <row r="27" spans="1:1" x14ac:dyDescent="0.2">
      <c r="A27" t="s">
        <v>15</v>
      </c>
    </row>
    <row r="28" spans="1:1" x14ac:dyDescent="0.2">
      <c r="A28" t="s">
        <v>13</v>
      </c>
    </row>
    <row r="29" spans="1:1" x14ac:dyDescent="0.2">
      <c r="A29" t="s">
        <v>17</v>
      </c>
    </row>
    <row r="30" spans="1:1" x14ac:dyDescent="0.2">
      <c r="A30" t="s">
        <v>7</v>
      </c>
    </row>
    <row r="31" spans="1:1" x14ac:dyDescent="0.2">
      <c r="A31" t="s">
        <v>11</v>
      </c>
    </row>
    <row r="32" spans="1:1" x14ac:dyDescent="0.2">
      <c r="A32" t="s">
        <v>10</v>
      </c>
    </row>
    <row r="33" spans="1:1" x14ac:dyDescent="0.2">
      <c r="A33" t="s">
        <v>14</v>
      </c>
    </row>
    <row r="34" spans="1:1" x14ac:dyDescent="0.2">
      <c r="A34" t="s">
        <v>48</v>
      </c>
    </row>
    <row r="35" spans="1:1" x14ac:dyDescent="0.2">
      <c r="A35" t="s">
        <v>49</v>
      </c>
    </row>
    <row r="36" spans="1:1" x14ac:dyDescent="0.2">
      <c r="A36" t="s">
        <v>18</v>
      </c>
    </row>
    <row r="37" spans="1:1" x14ac:dyDescent="0.2">
      <c r="A37" t="s">
        <v>19</v>
      </c>
    </row>
    <row r="38" spans="1:1" x14ac:dyDescent="0.2">
      <c r="A38" t="s">
        <v>32</v>
      </c>
    </row>
    <row r="39" spans="1:1" x14ac:dyDescent="0.2">
      <c r="A39" t="s">
        <v>33</v>
      </c>
    </row>
    <row r="40" spans="1:1" x14ac:dyDescent="0.2">
      <c r="A40" t="s">
        <v>20</v>
      </c>
    </row>
    <row r="41" spans="1:1" x14ac:dyDescent="0.2">
      <c r="A41" t="s">
        <v>34</v>
      </c>
    </row>
    <row r="42" spans="1:1" x14ac:dyDescent="0.2">
      <c r="A42" t="s">
        <v>38</v>
      </c>
    </row>
    <row r="43" spans="1:1" x14ac:dyDescent="0.2">
      <c r="A43" t="s">
        <v>40</v>
      </c>
    </row>
    <row r="44" spans="1:1" x14ac:dyDescent="0.2">
      <c r="A44" t="s">
        <v>39</v>
      </c>
    </row>
    <row r="45" spans="1:1" x14ac:dyDescent="0.2">
      <c r="A45" t="s">
        <v>37</v>
      </c>
    </row>
    <row r="46" spans="1:1" x14ac:dyDescent="0.2">
      <c r="A46" t="s">
        <v>41</v>
      </c>
    </row>
    <row r="47" spans="1:1" x14ac:dyDescent="0.2">
      <c r="A47" t="s">
        <v>35</v>
      </c>
    </row>
    <row r="48" spans="1:1" x14ac:dyDescent="0.2">
      <c r="A48" t="s">
        <v>36</v>
      </c>
    </row>
  </sheetData>
  <sheetProtection password="D828" sheet="1" objects="1" scenarios="1" selectLockedCells="1"/>
  <phoneticPr fontId="2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Feuilles de calcul</vt:lpstr>
      </vt:variant>
      <vt:variant>
        <vt:i4>9</vt:i4>
      </vt:variant>
      <vt:variant>
        <vt:lpstr>Graphiques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11" baseType="lpstr">
      <vt:lpstr>Mode d'emploi</vt:lpstr>
      <vt:lpstr>Récapitulatif</vt:lpstr>
      <vt:lpstr>Niveau A</vt:lpstr>
      <vt:lpstr>Niveau B</vt:lpstr>
      <vt:lpstr>Niveau C</vt:lpstr>
      <vt:lpstr>Niveau D</vt:lpstr>
      <vt:lpstr>Niveau E</vt:lpstr>
      <vt:lpstr>Niveau F</vt:lpstr>
      <vt:lpstr>Niveau G</vt:lpstr>
      <vt:lpstr>Graph Profil</vt:lpstr>
      <vt:lpstr>'Niveau A'!Zone_d_impression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Calcu dans le cas équilibré</dc:title>
  <dc:creator>Max Feinberg</dc:creator>
  <cp:lastModifiedBy>morgan Germa Colliou</cp:lastModifiedBy>
  <cp:lastPrinted>2010-01-11T17:50:20Z</cp:lastPrinted>
  <dcterms:created xsi:type="dcterms:W3CDTF">2007-10-13T05:40:06Z</dcterms:created>
  <dcterms:modified xsi:type="dcterms:W3CDTF">2025-11-18T09:24:12Z</dcterms:modified>
</cp:coreProperties>
</file>