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3.xml" ContentType="application/vnd.openxmlformats-officedocument.drawing+xml"/>
  <Override PartName="/xl/charts/chart5.xml" ContentType="application/vnd.openxmlformats-officedocument.drawingml.chart+xml"/>
  <Override PartName="/xl/charts/style1.xml" ContentType="application/vnd.ms-office.chartstyle+xml"/>
  <Override PartName="/xl/charts/colors1.xml" ContentType="application/vnd.ms-office.chartcolorstyle+xml"/>
  <Override PartName="/xl/drawings/drawing4.xml" ContentType="application/vnd.openxmlformats-officedocument.drawing+xml"/>
  <Override PartName="/xl/charts/chart6.xml" ContentType="application/vnd.openxmlformats-officedocument.drawingml.chart+xml"/>
  <Override PartName="/xl/charts/style2.xml" ContentType="application/vnd.ms-office.chartstyle+xml"/>
  <Override PartName="/xl/charts/colors2.xml" ContentType="application/vnd.ms-office.chartcolorstyle+xml"/>
  <Override PartName="/xl/drawings/drawing5.xml" ContentType="application/vnd.openxmlformats-officedocument.drawing+xml"/>
  <Override PartName="/xl/charts/chart7.xml" ContentType="application/vnd.openxmlformats-officedocument.drawingml.chart+xml"/>
  <Override PartName="/xl/drawings/drawing6.xml" ContentType="application/vnd.openxmlformats-officedocument.drawing+xml"/>
  <Override PartName="/xl/charts/chart8.xml" ContentType="application/vnd.openxmlformats-officedocument.drawingml.chart+xml"/>
  <Override PartName="/xl/charts/style3.xml" ContentType="application/vnd.ms-office.chartstyle+xml"/>
  <Override PartName="/xl/charts/colors3.xml" ContentType="application/vnd.ms-office.chartcolorstyle+xml"/>
  <Override PartName="/xl/drawings/drawing7.xml" ContentType="application/vnd.openxmlformats-officedocument.drawing+xml"/>
  <Override PartName="/xl/charts/chart9.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32"/>
  <workbookPr filterPrivacy="1" defaultThemeVersion="124226"/>
  <xr:revisionPtr revIDLastSave="0" documentId="13_ncr:1_{5D22C32C-E09E-424C-9533-BA067E7745E5}" xr6:coauthVersionLast="47" xr6:coauthVersionMax="47" xr10:uidLastSave="{00000000-0000-0000-0000-000000000000}"/>
  <bookViews>
    <workbookView xWindow="-120" yWindow="-120" windowWidth="29040" windowHeight="15720" tabRatio="947" activeTab="6" xr2:uid="{00000000-000D-0000-FFFF-FFFF00000000}"/>
  </bookViews>
  <sheets>
    <sheet name="Levey Jennings" sheetId="7" r:id="rId1"/>
    <sheet name="Shewhart" sheetId="3" r:id="rId2"/>
    <sheet name="EWMA" sheetId="9" r:id="rId3"/>
    <sheet name="Cusum" sheetId="4" r:id="rId4"/>
    <sheet name="Carre de Youden" sheetId="5" r:id="rId5"/>
    <sheet name="Cusum simplifiée" sheetId="1" r:id="rId6"/>
    <sheet name="Cusum correlation" sheetId="2" r:id="rId7"/>
  </sheets>
  <definedNames>
    <definedName name="A">EWMA!$PJQ$2</definedName>
    <definedName name="PO_1000">EWMA!$AB$14:$AB$20</definedName>
    <definedName name="PO_370">EWMA!$Z$14:$Z$20</definedName>
    <definedName name="PO_500">EWMA!$AA$14:$AA$20</definedName>
    <definedName name="POM_100">Cusum!$T$11:$T$17</definedName>
    <definedName name="POM_1000">Cusum!$W$11:$W$17</definedName>
    <definedName name="POM_370">Cusum!$U$11:$U$17</definedName>
    <definedName name="POM_500">Cusum!$V$11:$V$17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40" i="7" l="1"/>
  <c r="C5" i="7"/>
  <c r="E41" i="7"/>
  <c r="E42" i="7"/>
  <c r="E43" i="7"/>
  <c r="E44" i="7"/>
  <c r="E45" i="7"/>
  <c r="E46" i="7"/>
  <c r="E47" i="7"/>
  <c r="E48" i="7"/>
  <c r="E49" i="7"/>
  <c r="E50" i="7"/>
  <c r="E51" i="7"/>
  <c r="E52" i="7"/>
  <c r="E53" i="7"/>
  <c r="E54" i="7"/>
  <c r="E55" i="7"/>
  <c r="E56" i="7"/>
  <c r="E57" i="7"/>
  <c r="E58" i="7"/>
  <c r="E59" i="7"/>
  <c r="E60" i="7"/>
  <c r="E61" i="7"/>
  <c r="E62" i="7"/>
  <c r="E63" i="7"/>
  <c r="E64" i="7"/>
  <c r="E65" i="7"/>
  <c r="E66" i="7"/>
  <c r="E67" i="7"/>
  <c r="E68" i="7"/>
  <c r="E69" i="7"/>
  <c r="E70" i="7"/>
  <c r="E71" i="7"/>
  <c r="E72" i="7"/>
  <c r="E73" i="7"/>
  <c r="E74" i="7"/>
  <c r="E75" i="7"/>
  <c r="E76" i="7"/>
  <c r="E77" i="7"/>
  <c r="E78" i="7"/>
  <c r="E79" i="7"/>
  <c r="E80" i="7"/>
  <c r="E81" i="7"/>
  <c r="E82" i="7"/>
  <c r="E83" i="7"/>
  <c r="E84" i="7"/>
  <c r="E85" i="7"/>
  <c r="E86" i="7"/>
  <c r="E87" i="7"/>
  <c r="E88" i="7"/>
  <c r="E89" i="7"/>
  <c r="E90" i="7"/>
  <c r="E91" i="7"/>
  <c r="E92" i="7"/>
  <c r="E93" i="7"/>
  <c r="E94" i="7"/>
  <c r="E95" i="7"/>
  <c r="E96" i="7"/>
  <c r="E97" i="7"/>
  <c r="E98" i="7"/>
  <c r="E99" i="7"/>
  <c r="E100" i="7"/>
  <c r="E101" i="7"/>
  <c r="E102" i="7"/>
  <c r="E103" i="7"/>
  <c r="E104" i="7"/>
  <c r="E105" i="7"/>
  <c r="E106" i="7"/>
  <c r="E107" i="7"/>
  <c r="E108" i="7"/>
  <c r="E109" i="7"/>
  <c r="E110" i="7"/>
  <c r="E111" i="7"/>
  <c r="E112" i="7"/>
  <c r="E113" i="7"/>
  <c r="E114" i="7"/>
  <c r="E115" i="7"/>
  <c r="E116" i="7"/>
  <c r="E117" i="7"/>
  <c r="E118" i="7"/>
  <c r="E119" i="7"/>
  <c r="E120" i="7"/>
  <c r="E121" i="7"/>
  <c r="E122" i="7"/>
  <c r="E123" i="7"/>
  <c r="E124" i="7"/>
  <c r="E125" i="7"/>
  <c r="E126" i="7"/>
  <c r="E127" i="7"/>
  <c r="E128" i="7"/>
  <c r="E129" i="7"/>
  <c r="E130" i="7"/>
  <c r="E131" i="7"/>
  <c r="E132" i="7"/>
  <c r="E133" i="7"/>
  <c r="E134" i="7"/>
  <c r="E135" i="7"/>
  <c r="E136" i="7"/>
  <c r="E137" i="7"/>
  <c r="E138" i="7"/>
  <c r="E139" i="7"/>
  <c r="E140" i="7"/>
  <c r="E141" i="7"/>
  <c r="E142" i="7"/>
  <c r="E143" i="7"/>
  <c r="E144" i="7"/>
  <c r="E145" i="7"/>
  <c r="E146" i="7"/>
  <c r="E147" i="7"/>
  <c r="E148" i="7"/>
  <c r="E149" i="7"/>
  <c r="E150" i="7"/>
  <c r="E151" i="7"/>
  <c r="E152" i="7"/>
  <c r="E153" i="7"/>
  <c r="E154" i="7"/>
  <c r="E155" i="7"/>
  <c r="E156" i="7"/>
  <c r="E157" i="7"/>
  <c r="E158" i="7"/>
  <c r="E159" i="7"/>
  <c r="E160" i="7"/>
  <c r="E161" i="7"/>
  <c r="E162" i="7"/>
  <c r="E163" i="7"/>
  <c r="E164" i="7"/>
  <c r="E165" i="7"/>
  <c r="E166" i="7"/>
  <c r="E167" i="7"/>
  <c r="E168" i="7"/>
  <c r="E169" i="7"/>
  <c r="E170" i="7"/>
  <c r="E171" i="7"/>
  <c r="E172" i="7"/>
  <c r="E173" i="7"/>
  <c r="E174" i="7"/>
  <c r="E175" i="7"/>
  <c r="E176" i="7"/>
  <c r="E177" i="7"/>
  <c r="E178" i="7"/>
  <c r="E179" i="7"/>
  <c r="E180" i="7"/>
  <c r="E181" i="7"/>
  <c r="E182" i="7"/>
  <c r="E183" i="7"/>
  <c r="E184" i="7"/>
  <c r="E185" i="7"/>
  <c r="E186" i="7"/>
  <c r="E187" i="7"/>
  <c r="E188" i="7"/>
  <c r="E189" i="7"/>
  <c r="E190" i="7"/>
  <c r="E191" i="7"/>
  <c r="E192" i="7"/>
  <c r="E193" i="7"/>
  <c r="E194" i="7"/>
  <c r="E195" i="7"/>
  <c r="E196" i="7"/>
  <c r="E197" i="7"/>
  <c r="E198" i="7"/>
  <c r="E199" i="7"/>
  <c r="E200" i="7"/>
  <c r="E201" i="7"/>
  <c r="E202" i="7"/>
  <c r="E203" i="7"/>
  <c r="E204" i="7"/>
  <c r="E205" i="7"/>
  <c r="E206" i="7"/>
  <c r="E207" i="7"/>
  <c r="E208" i="7"/>
  <c r="E209" i="7"/>
  <c r="E210" i="7"/>
  <c r="E211" i="7"/>
  <c r="E212" i="7"/>
  <c r="E213" i="7"/>
  <c r="E214" i="7"/>
  <c r="E215" i="7"/>
  <c r="E216" i="7"/>
  <c r="E217" i="7"/>
  <c r="E218" i="7"/>
  <c r="E219" i="7"/>
  <c r="E220" i="7"/>
  <c r="E221" i="7"/>
  <c r="E222" i="7"/>
  <c r="E223" i="7"/>
  <c r="E224" i="7"/>
  <c r="E225" i="7"/>
  <c r="E226" i="7"/>
  <c r="E227" i="7"/>
  <c r="E228" i="7"/>
  <c r="E229" i="7"/>
  <c r="E230" i="7"/>
  <c r="E231" i="7"/>
  <c r="E232" i="7"/>
  <c r="E233" i="7"/>
  <c r="E234" i="7"/>
  <c r="E235" i="7"/>
  <c r="E236" i="7"/>
  <c r="E237" i="7"/>
  <c r="E238" i="7"/>
  <c r="E239" i="7"/>
  <c r="E240" i="7"/>
  <c r="E241" i="7"/>
  <c r="E242" i="7"/>
  <c r="E243" i="7"/>
  <c r="E244" i="7"/>
  <c r="E245" i="7"/>
  <c r="E246" i="7"/>
  <c r="E247" i="7"/>
  <c r="E248" i="7"/>
  <c r="E249" i="7"/>
  <c r="E250" i="7"/>
  <c r="E251" i="7"/>
  <c r="E252" i="7"/>
  <c r="E253" i="7"/>
  <c r="E254" i="7"/>
  <c r="E255" i="7"/>
  <c r="E256" i="7"/>
  <c r="E257" i="7"/>
  <c r="E258" i="7"/>
  <c r="E259" i="7"/>
  <c r="E260" i="7"/>
  <c r="E261" i="7"/>
  <c r="E262" i="7"/>
  <c r="E263" i="7"/>
  <c r="E264" i="7"/>
  <c r="E265" i="7"/>
  <c r="E266" i="7"/>
  <c r="E267" i="7"/>
  <c r="E268" i="7"/>
  <c r="E269" i="7"/>
  <c r="E270" i="7"/>
  <c r="E271" i="7"/>
  <c r="E272" i="7"/>
  <c r="E273" i="7"/>
  <c r="E274" i="7"/>
  <c r="E275" i="7"/>
  <c r="E276" i="7"/>
  <c r="E277" i="7"/>
  <c r="E278" i="7"/>
  <c r="E279" i="7"/>
  <c r="E280" i="7"/>
  <c r="E281" i="7"/>
  <c r="E282" i="7"/>
  <c r="E283" i="7"/>
  <c r="E284" i="7"/>
  <c r="E285" i="7"/>
  <c r="E286" i="7"/>
  <c r="E287" i="7"/>
  <c r="E288" i="7"/>
  <c r="E289" i="7"/>
  <c r="E290" i="7"/>
  <c r="E291" i="7"/>
  <c r="E292" i="7"/>
  <c r="E293" i="7"/>
  <c r="E294" i="7"/>
  <c r="E295" i="7"/>
  <c r="E296" i="7"/>
  <c r="E297" i="7"/>
  <c r="E298" i="7"/>
  <c r="E299" i="7"/>
  <c r="E300" i="7"/>
  <c r="E301" i="7"/>
  <c r="E302" i="7"/>
  <c r="E303" i="7"/>
  <c r="E304" i="7"/>
  <c r="E305" i="7"/>
  <c r="E306" i="7"/>
  <c r="E307" i="7"/>
  <c r="E308" i="7"/>
  <c r="E309" i="7"/>
  <c r="E310" i="7"/>
  <c r="E311" i="7"/>
  <c r="E312" i="7"/>
  <c r="E313" i="7"/>
  <c r="E314" i="7"/>
  <c r="E315" i="7"/>
  <c r="E316" i="7"/>
  <c r="E317" i="7"/>
  <c r="E318" i="7"/>
  <c r="E319" i="7"/>
  <c r="E320" i="7"/>
  <c r="E321" i="7"/>
  <c r="E322" i="7"/>
  <c r="E323" i="7"/>
  <c r="E324" i="7"/>
  <c r="E325" i="7"/>
  <c r="E326" i="7"/>
  <c r="E327" i="7"/>
  <c r="E328" i="7"/>
  <c r="E329" i="7"/>
  <c r="E330" i="7"/>
  <c r="E331" i="7"/>
  <c r="E332" i="7"/>
  <c r="E333" i="7"/>
  <c r="E334" i="7"/>
  <c r="E335" i="7"/>
  <c r="E336" i="7"/>
  <c r="E337" i="7"/>
  <c r="E338" i="7"/>
  <c r="E339" i="7"/>
  <c r="E340" i="7"/>
  <c r="E341" i="7"/>
  <c r="E342" i="7"/>
  <c r="E343" i="7"/>
  <c r="E344" i="7"/>
  <c r="E345" i="7"/>
  <c r="E346" i="7"/>
  <c r="E347" i="7"/>
  <c r="E348" i="7"/>
  <c r="E349" i="7"/>
  <c r="E350" i="7"/>
  <c r="E351" i="7"/>
  <c r="E352" i="7"/>
  <c r="E353" i="7"/>
  <c r="E354" i="7"/>
  <c r="E355" i="7"/>
  <c r="E356" i="7"/>
  <c r="E357" i="7"/>
  <c r="E358" i="7"/>
  <c r="E359" i="7"/>
  <c r="E360" i="7"/>
  <c r="E361" i="7"/>
  <c r="E362" i="7"/>
  <c r="E363" i="7"/>
  <c r="E364" i="7"/>
  <c r="E365" i="7"/>
  <c r="E366" i="7"/>
  <c r="E367" i="7"/>
  <c r="E368" i="7"/>
  <c r="E369" i="7"/>
  <c r="E370" i="7"/>
  <c r="E371" i="7"/>
  <c r="E372" i="7"/>
  <c r="E373" i="7"/>
  <c r="E374" i="7"/>
  <c r="E375" i="7"/>
  <c r="E376" i="7"/>
  <c r="E377" i="7"/>
  <c r="E378" i="7"/>
  <c r="E379" i="7"/>
  <c r="E380" i="7"/>
  <c r="E381" i="7"/>
  <c r="E382" i="7"/>
  <c r="E383" i="7"/>
  <c r="E384" i="7"/>
  <c r="E385" i="7"/>
  <c r="E386" i="7"/>
  <c r="D33" i="9"/>
  <c r="E33" i="9"/>
  <c r="F33" i="9"/>
  <c r="D34" i="9"/>
  <c r="E34" i="9"/>
  <c r="F34" i="9"/>
  <c r="D35" i="9"/>
  <c r="E35" i="9"/>
  <c r="F35" i="9"/>
  <c r="D36" i="9"/>
  <c r="E36" i="9"/>
  <c r="F36" i="9"/>
  <c r="D37" i="9"/>
  <c r="E37" i="9"/>
  <c r="F37" i="9"/>
  <c r="D38" i="9"/>
  <c r="E38" i="9"/>
  <c r="F38" i="9"/>
  <c r="D39" i="9"/>
  <c r="E39" i="9"/>
  <c r="F39" i="9"/>
  <c r="D40" i="9"/>
  <c r="E40" i="9"/>
  <c r="F40" i="9"/>
  <c r="D41" i="9"/>
  <c r="E41" i="9"/>
  <c r="F41" i="9"/>
  <c r="D42" i="9"/>
  <c r="E42" i="9"/>
  <c r="F42" i="9"/>
  <c r="D43" i="9"/>
  <c r="E43" i="9"/>
  <c r="F43" i="9"/>
  <c r="D44" i="9"/>
  <c r="E44" i="9"/>
  <c r="F44" i="9"/>
  <c r="D45" i="9"/>
  <c r="E45" i="9"/>
  <c r="F45" i="9"/>
  <c r="D46" i="9"/>
  <c r="E46" i="9"/>
  <c r="F46" i="9"/>
  <c r="D47" i="9"/>
  <c r="E47" i="9"/>
  <c r="F47" i="9"/>
  <c r="D48" i="9"/>
  <c r="E48" i="9"/>
  <c r="F48" i="9"/>
  <c r="D49" i="9"/>
  <c r="E49" i="9"/>
  <c r="F49" i="9"/>
  <c r="D50" i="9"/>
  <c r="E50" i="9"/>
  <c r="F50" i="9"/>
  <c r="D51" i="9"/>
  <c r="E51" i="9"/>
  <c r="F51" i="9"/>
  <c r="D52" i="9"/>
  <c r="E52" i="9"/>
  <c r="F52" i="9"/>
  <c r="D53" i="9"/>
  <c r="E53" i="9"/>
  <c r="F53" i="9"/>
  <c r="D54" i="9"/>
  <c r="E54" i="9"/>
  <c r="F54" i="9"/>
  <c r="D55" i="9"/>
  <c r="E55" i="9"/>
  <c r="F55" i="9"/>
  <c r="D56" i="9"/>
  <c r="E56" i="9"/>
  <c r="F56" i="9"/>
  <c r="D57" i="9"/>
  <c r="E57" i="9"/>
  <c r="F57" i="9"/>
  <c r="D58" i="9"/>
  <c r="E58" i="9"/>
  <c r="F58" i="9"/>
  <c r="D59" i="9"/>
  <c r="E59" i="9"/>
  <c r="F59" i="9"/>
  <c r="D60" i="9"/>
  <c r="E60" i="9"/>
  <c r="F60" i="9"/>
  <c r="D61" i="9"/>
  <c r="E61" i="9"/>
  <c r="F61" i="9"/>
  <c r="E32" i="9"/>
  <c r="F32" i="9"/>
  <c r="D32" i="9"/>
  <c r="M32" i="9"/>
  <c r="D14" i="9"/>
  <c r="D15" i="9"/>
  <c r="I62" i="9"/>
  <c r="I64" i="9"/>
  <c r="I66" i="9"/>
  <c r="I68" i="9"/>
  <c r="I70" i="9"/>
  <c r="I72" i="9"/>
  <c r="I74" i="9"/>
  <c r="I76" i="9"/>
  <c r="I78" i="9"/>
  <c r="I80" i="9"/>
  <c r="I82" i="9"/>
  <c r="I84" i="9"/>
  <c r="I86" i="9"/>
  <c r="D24" i="9"/>
  <c r="D23" i="9"/>
  <c r="D25" i="9"/>
  <c r="C21" i="4"/>
  <c r="C35" i="4"/>
  <c r="D35" i="4"/>
  <c r="E35" i="4"/>
  <c r="C36" i="4"/>
  <c r="D36" i="4"/>
  <c r="E36" i="4"/>
  <c r="C37" i="4"/>
  <c r="D37" i="4"/>
  <c r="E37" i="4"/>
  <c r="C38" i="4"/>
  <c r="D38" i="4"/>
  <c r="E38" i="4"/>
  <c r="C39" i="4"/>
  <c r="D39" i="4"/>
  <c r="E39" i="4"/>
  <c r="C40" i="4"/>
  <c r="D40" i="4"/>
  <c r="E40" i="4"/>
  <c r="C41" i="4"/>
  <c r="D41" i="4"/>
  <c r="E41" i="4"/>
  <c r="C42" i="4"/>
  <c r="D42" i="4"/>
  <c r="E42" i="4"/>
  <c r="C43" i="4"/>
  <c r="D43" i="4"/>
  <c r="E43" i="4"/>
  <c r="C44" i="4"/>
  <c r="D44" i="4"/>
  <c r="E44" i="4"/>
  <c r="C45" i="4"/>
  <c r="D45" i="4"/>
  <c r="E45" i="4"/>
  <c r="C46" i="4"/>
  <c r="D46" i="4"/>
  <c r="E46" i="4"/>
  <c r="C47" i="4"/>
  <c r="D47" i="4"/>
  <c r="E47" i="4"/>
  <c r="C48" i="4"/>
  <c r="D48" i="4"/>
  <c r="E48" i="4"/>
  <c r="C49" i="4"/>
  <c r="D49" i="4"/>
  <c r="E49" i="4"/>
  <c r="C50" i="4"/>
  <c r="D50" i="4"/>
  <c r="E50" i="4"/>
  <c r="C51" i="4"/>
  <c r="D51" i="4"/>
  <c r="E51" i="4"/>
  <c r="C52" i="4"/>
  <c r="D52" i="4"/>
  <c r="E52" i="4"/>
  <c r="C53" i="4"/>
  <c r="D53" i="4"/>
  <c r="E53" i="4"/>
  <c r="C54" i="4"/>
  <c r="D54" i="4"/>
  <c r="E54" i="4"/>
  <c r="C55" i="4"/>
  <c r="D55" i="4"/>
  <c r="E55" i="4"/>
  <c r="C56" i="4"/>
  <c r="D56" i="4"/>
  <c r="E56" i="4"/>
  <c r="C57" i="4"/>
  <c r="D57" i="4"/>
  <c r="E57" i="4"/>
  <c r="C58" i="4"/>
  <c r="D58" i="4"/>
  <c r="E58" i="4"/>
  <c r="C59" i="4"/>
  <c r="D59" i="4"/>
  <c r="E59" i="4"/>
  <c r="C60" i="4"/>
  <c r="D60" i="4"/>
  <c r="E60" i="4"/>
  <c r="C61" i="4"/>
  <c r="D61" i="4"/>
  <c r="E61" i="4"/>
  <c r="C62" i="4"/>
  <c r="D62" i="4"/>
  <c r="E62" i="4"/>
  <c r="C63" i="4"/>
  <c r="D63" i="4"/>
  <c r="E63" i="4"/>
  <c r="C64" i="4"/>
  <c r="D64" i="4"/>
  <c r="E64" i="4"/>
  <c r="D34" i="4"/>
  <c r="E34" i="4"/>
  <c r="C34" i="4"/>
  <c r="C23" i="4"/>
  <c r="C22" i="4"/>
  <c r="O32" i="4"/>
  <c r="C13" i="4"/>
  <c r="C12" i="4"/>
  <c r="D7" i="2"/>
  <c r="N33" i="3"/>
  <c r="I33" i="3"/>
  <c r="C52" i="3"/>
  <c r="D52" i="3"/>
  <c r="E52" i="3"/>
  <c r="C53" i="3"/>
  <c r="D53" i="3"/>
  <c r="E53" i="3"/>
  <c r="C54" i="3"/>
  <c r="D54" i="3"/>
  <c r="E54" i="3"/>
  <c r="C55" i="3"/>
  <c r="D55" i="3"/>
  <c r="E55" i="3"/>
  <c r="C56" i="3"/>
  <c r="D56" i="3"/>
  <c r="E56" i="3"/>
  <c r="C57" i="3"/>
  <c r="D57" i="3"/>
  <c r="E57" i="3"/>
  <c r="C58" i="3"/>
  <c r="D58" i="3"/>
  <c r="E58" i="3"/>
  <c r="C59" i="3"/>
  <c r="D59" i="3"/>
  <c r="E59" i="3"/>
  <c r="C60" i="3"/>
  <c r="D60" i="3"/>
  <c r="E60" i="3"/>
  <c r="C61" i="3"/>
  <c r="D61" i="3"/>
  <c r="E61" i="3"/>
  <c r="C62" i="3"/>
  <c r="D62" i="3"/>
  <c r="E62" i="3"/>
  <c r="C63" i="3"/>
  <c r="D63" i="3"/>
  <c r="E63" i="3"/>
  <c r="AE19" i="3"/>
  <c r="H36" i="1"/>
  <c r="H37" i="1"/>
  <c r="H38" i="1"/>
  <c r="H39" i="1"/>
  <c r="H40" i="1"/>
  <c r="H41" i="1"/>
  <c r="H42" i="1"/>
  <c r="H43" i="1"/>
  <c r="H44" i="1"/>
  <c r="H45" i="1"/>
  <c r="H46" i="1"/>
  <c r="H47" i="1"/>
  <c r="H48" i="1"/>
  <c r="H49" i="1"/>
  <c r="H50" i="1"/>
  <c r="H51" i="1"/>
  <c r="H52" i="1"/>
  <c r="H53" i="1"/>
  <c r="H54" i="1"/>
  <c r="H55" i="1"/>
  <c r="G37" i="1"/>
  <c r="G38" i="1"/>
  <c r="G39" i="1"/>
  <c r="G40" i="1"/>
  <c r="G41" i="1"/>
  <c r="G42" i="1"/>
  <c r="G43" i="1"/>
  <c r="G44" i="1"/>
  <c r="G45" i="1"/>
  <c r="G46" i="1"/>
  <c r="G47" i="1"/>
  <c r="G48" i="1"/>
  <c r="G49" i="1"/>
  <c r="G50" i="1"/>
  <c r="G51" i="1"/>
  <c r="G52" i="1"/>
  <c r="G53" i="1"/>
  <c r="G54" i="1"/>
  <c r="G55" i="1"/>
  <c r="G36" i="1"/>
  <c r="F36" i="1"/>
  <c r="F37" i="1"/>
  <c r="F38" i="1"/>
  <c r="F39" i="1"/>
  <c r="F40" i="1"/>
  <c r="F41" i="1"/>
  <c r="F42" i="1"/>
  <c r="F43" i="1"/>
  <c r="F44" i="1"/>
  <c r="F45" i="1"/>
  <c r="F46" i="1"/>
  <c r="F47" i="1"/>
  <c r="F48" i="1"/>
  <c r="F49" i="1"/>
  <c r="F50" i="1"/>
  <c r="F51" i="1"/>
  <c r="F52" i="1"/>
  <c r="F53" i="1"/>
  <c r="F54" i="1"/>
  <c r="F55" i="1"/>
  <c r="E36" i="1"/>
  <c r="E37" i="1"/>
  <c r="E38" i="1"/>
  <c r="E39" i="1"/>
  <c r="E40" i="1"/>
  <c r="E41" i="1"/>
  <c r="E42" i="1"/>
  <c r="E43" i="1"/>
  <c r="E44" i="1"/>
  <c r="E45" i="1"/>
  <c r="E46" i="1"/>
  <c r="E47" i="1"/>
  <c r="E48" i="1"/>
  <c r="E49" i="1"/>
  <c r="E50" i="1"/>
  <c r="E51" i="1"/>
  <c r="E52" i="1"/>
  <c r="E53" i="1"/>
  <c r="E54" i="1"/>
  <c r="E55" i="1"/>
  <c r="H11" i="4" l="1"/>
  <c r="H6" i="4" s="1"/>
  <c r="H10" i="4"/>
  <c r="K13" i="9"/>
  <c r="L32" i="9"/>
  <c r="L33" i="9" s="1"/>
  <c r="L34" i="9" s="1"/>
  <c r="I32" i="9"/>
  <c r="J32" i="9" s="1"/>
  <c r="D16" i="9"/>
  <c r="D26" i="9" s="1"/>
  <c r="K32" i="9" s="1"/>
  <c r="I57" i="9"/>
  <c r="I83" i="9"/>
  <c r="I79" i="9"/>
  <c r="I75" i="9"/>
  <c r="I71" i="9"/>
  <c r="I67" i="9"/>
  <c r="I63" i="9"/>
  <c r="I85" i="9"/>
  <c r="I81" i="9"/>
  <c r="I77" i="9"/>
  <c r="I73" i="9"/>
  <c r="I69" i="9"/>
  <c r="I65" i="9"/>
  <c r="H64" i="4"/>
  <c r="C14" i="4"/>
  <c r="C24" i="4" s="1"/>
  <c r="H52" i="3"/>
  <c r="F52" i="3"/>
  <c r="G54" i="3"/>
  <c r="G59" i="3"/>
  <c r="G57" i="3"/>
  <c r="G58" i="3"/>
  <c r="G55" i="3"/>
  <c r="F58" i="3"/>
  <c r="G63" i="3"/>
  <c r="H58" i="3"/>
  <c r="H57" i="3"/>
  <c r="H55" i="3"/>
  <c r="H61" i="3"/>
  <c r="H59" i="3"/>
  <c r="H62" i="3"/>
  <c r="H56" i="3"/>
  <c r="H54" i="3"/>
  <c r="G62" i="3"/>
  <c r="F62" i="3"/>
  <c r="F61" i="3"/>
  <c r="G60" i="3"/>
  <c r="F59" i="3"/>
  <c r="G56" i="3"/>
  <c r="G53" i="3"/>
  <c r="H63" i="3"/>
  <c r="G61" i="3"/>
  <c r="H60" i="3"/>
  <c r="F55" i="3"/>
  <c r="F53" i="3"/>
  <c r="G52" i="3"/>
  <c r="F63" i="3"/>
  <c r="F60" i="3"/>
  <c r="F57" i="3"/>
  <c r="F56" i="3"/>
  <c r="F54" i="3"/>
  <c r="H53" i="3"/>
  <c r="H7" i="4" l="1"/>
  <c r="H8" i="4"/>
  <c r="C27" i="4"/>
  <c r="C28" i="4"/>
  <c r="F27" i="4"/>
  <c r="C7" i="7" l="1"/>
  <c r="S3" i="7" s="1"/>
  <c r="V66" i="7"/>
  <c r="C4" i="7"/>
  <c r="F28" i="4"/>
  <c r="L34" i="4" s="1"/>
  <c r="K34" i="4"/>
  <c r="R43" i="7"/>
  <c r="B36" i="7"/>
  <c r="B37" i="7"/>
  <c r="B38" i="7"/>
  <c r="B39" i="7"/>
  <c r="B40" i="7"/>
  <c r="B41" i="7"/>
  <c r="B42" i="7"/>
  <c r="B43" i="7"/>
  <c r="B44" i="7"/>
  <c r="B45" i="7"/>
  <c r="B46" i="7"/>
  <c r="B47" i="7"/>
  <c r="B48" i="7"/>
  <c r="B49" i="7"/>
  <c r="B50" i="7"/>
  <c r="B51" i="7"/>
  <c r="B52" i="7"/>
  <c r="B53" i="7"/>
  <c r="B54" i="7"/>
  <c r="B55" i="7"/>
  <c r="B56" i="7"/>
  <c r="B57" i="7"/>
  <c r="B58" i="7"/>
  <c r="B59" i="7"/>
  <c r="B60" i="7"/>
  <c r="B61" i="7"/>
  <c r="B62" i="7"/>
  <c r="B63" i="7"/>
  <c r="B64" i="7"/>
  <c r="B65" i="7"/>
  <c r="B66" i="7"/>
  <c r="B67" i="7"/>
  <c r="B68" i="7"/>
  <c r="B69" i="7"/>
  <c r="B70" i="7"/>
  <c r="B71" i="7"/>
  <c r="B72" i="7"/>
  <c r="B73" i="7"/>
  <c r="B74" i="7"/>
  <c r="B75" i="7"/>
  <c r="B76" i="7"/>
  <c r="B77" i="7"/>
  <c r="B78" i="7"/>
  <c r="B79" i="7"/>
  <c r="B80" i="7"/>
  <c r="B81" i="7"/>
  <c r="B82" i="7"/>
  <c r="B83" i="7"/>
  <c r="B84" i="7"/>
  <c r="B85" i="7"/>
  <c r="B86" i="7"/>
  <c r="B87" i="7"/>
  <c r="B88" i="7"/>
  <c r="B89" i="7"/>
  <c r="B90" i="7"/>
  <c r="B91" i="7"/>
  <c r="B92" i="7"/>
  <c r="B93" i="7"/>
  <c r="B94" i="7"/>
  <c r="B95" i="7"/>
  <c r="B96" i="7"/>
  <c r="B97" i="7"/>
  <c r="B98" i="7"/>
  <c r="B99" i="7"/>
  <c r="B100" i="7"/>
  <c r="B101" i="7"/>
  <c r="B102" i="7"/>
  <c r="B103" i="7"/>
  <c r="B104" i="7"/>
  <c r="B105" i="7"/>
  <c r="B106" i="7"/>
  <c r="B107" i="7"/>
  <c r="B108" i="7"/>
  <c r="B109" i="7"/>
  <c r="B110" i="7"/>
  <c r="B111" i="7"/>
  <c r="B112" i="7"/>
  <c r="B113" i="7"/>
  <c r="B114" i="7"/>
  <c r="B115" i="7"/>
  <c r="B116" i="7"/>
  <c r="B117" i="7"/>
  <c r="B118" i="7"/>
  <c r="B119" i="7"/>
  <c r="B120" i="7"/>
  <c r="B121" i="7"/>
  <c r="B122" i="7"/>
  <c r="B123" i="7"/>
  <c r="B124" i="7"/>
  <c r="B125" i="7"/>
  <c r="B126" i="7"/>
  <c r="B127" i="7"/>
  <c r="B128" i="7"/>
  <c r="B129" i="7"/>
  <c r="B130" i="7"/>
  <c r="B131" i="7"/>
  <c r="B132" i="7"/>
  <c r="B133" i="7"/>
  <c r="B134" i="7"/>
  <c r="B135" i="7"/>
  <c r="B136" i="7"/>
  <c r="B137" i="7"/>
  <c r="B138" i="7"/>
  <c r="B139" i="7"/>
  <c r="B140" i="7"/>
  <c r="B141" i="7"/>
  <c r="B142" i="7"/>
  <c r="B143" i="7"/>
  <c r="B144" i="7"/>
  <c r="B145" i="7"/>
  <c r="B146" i="7"/>
  <c r="B147" i="7"/>
  <c r="B148" i="7"/>
  <c r="B149" i="7"/>
  <c r="B150" i="7"/>
  <c r="B151" i="7"/>
  <c r="B152" i="7"/>
  <c r="B153" i="7"/>
  <c r="B154" i="7"/>
  <c r="B155" i="7"/>
  <c r="B156" i="7"/>
  <c r="B157" i="7"/>
  <c r="B158" i="7"/>
  <c r="B159" i="7"/>
  <c r="B160" i="7"/>
  <c r="B161" i="7"/>
  <c r="B162" i="7"/>
  <c r="B163" i="7"/>
  <c r="B164" i="7"/>
  <c r="B165" i="7"/>
  <c r="B166" i="7"/>
  <c r="B167" i="7"/>
  <c r="B168" i="7"/>
  <c r="B169" i="7"/>
  <c r="B170" i="7"/>
  <c r="B171" i="7"/>
  <c r="B172" i="7"/>
  <c r="B173" i="7"/>
  <c r="B174" i="7"/>
  <c r="B175" i="7"/>
  <c r="B176" i="7"/>
  <c r="B177" i="7"/>
  <c r="B178" i="7"/>
  <c r="B179" i="7"/>
  <c r="B180" i="7"/>
  <c r="B181" i="7"/>
  <c r="B182" i="7"/>
  <c r="B183" i="7"/>
  <c r="B184" i="7"/>
  <c r="B185" i="7"/>
  <c r="B186" i="7"/>
  <c r="B187" i="7"/>
  <c r="B188" i="7"/>
  <c r="B189" i="7"/>
  <c r="B190" i="7"/>
  <c r="B191" i="7"/>
  <c r="B192" i="7"/>
  <c r="B193" i="7"/>
  <c r="B194" i="7"/>
  <c r="B195" i="7"/>
  <c r="B196" i="7"/>
  <c r="B197" i="7"/>
  <c r="B198" i="7"/>
  <c r="B199" i="7"/>
  <c r="B200" i="7"/>
  <c r="B201" i="7"/>
  <c r="B202" i="7"/>
  <c r="B203" i="7"/>
  <c r="B204" i="7"/>
  <c r="B205" i="7"/>
  <c r="B206" i="7"/>
  <c r="B207" i="7"/>
  <c r="B208" i="7"/>
  <c r="B209" i="7"/>
  <c r="B210" i="7"/>
  <c r="B211" i="7"/>
  <c r="B212" i="7"/>
  <c r="B213" i="7"/>
  <c r="B214" i="7"/>
  <c r="B215" i="7"/>
  <c r="B216" i="7"/>
  <c r="B217" i="7"/>
  <c r="B218" i="7"/>
  <c r="B219" i="7"/>
  <c r="B220" i="7"/>
  <c r="B221" i="7"/>
  <c r="B222" i="7"/>
  <c r="B223" i="7"/>
  <c r="B224" i="7"/>
  <c r="B225" i="7"/>
  <c r="B226" i="7"/>
  <c r="B227" i="7"/>
  <c r="B228" i="7"/>
  <c r="B229" i="7"/>
  <c r="B230" i="7"/>
  <c r="B231" i="7"/>
  <c r="B232" i="7"/>
  <c r="B233" i="7"/>
  <c r="B234" i="7"/>
  <c r="B235" i="7"/>
  <c r="B236" i="7"/>
  <c r="B237" i="7"/>
  <c r="B238" i="7"/>
  <c r="B239" i="7"/>
  <c r="B240" i="7"/>
  <c r="B241" i="7"/>
  <c r="B242" i="7"/>
  <c r="B243" i="7"/>
  <c r="B244" i="7"/>
  <c r="B245" i="7"/>
  <c r="B246" i="7"/>
  <c r="B247" i="7"/>
  <c r="B248" i="7"/>
  <c r="B249" i="7"/>
  <c r="B250" i="7"/>
  <c r="B251" i="7"/>
  <c r="B252" i="7"/>
  <c r="B253" i="7"/>
  <c r="B254" i="7"/>
  <c r="B255" i="7"/>
  <c r="B256" i="7"/>
  <c r="B257" i="7"/>
  <c r="B258" i="7"/>
  <c r="B259" i="7"/>
  <c r="B260" i="7"/>
  <c r="B261" i="7"/>
  <c r="B262" i="7"/>
  <c r="B263" i="7"/>
  <c r="B264" i="7"/>
  <c r="B265" i="7"/>
  <c r="B266" i="7"/>
  <c r="B267" i="7"/>
  <c r="B268" i="7"/>
  <c r="B269" i="7"/>
  <c r="B270" i="7"/>
  <c r="B271" i="7"/>
  <c r="B272" i="7"/>
  <c r="B273" i="7"/>
  <c r="B274" i="7"/>
  <c r="B275" i="7"/>
  <c r="B276" i="7"/>
  <c r="B277" i="7"/>
  <c r="B278" i="7"/>
  <c r="B279" i="7"/>
  <c r="B280" i="7"/>
  <c r="B281" i="7"/>
  <c r="B282" i="7"/>
  <c r="B283" i="7"/>
  <c r="B284" i="7"/>
  <c r="B285" i="7"/>
  <c r="B286" i="7"/>
  <c r="B287" i="7"/>
  <c r="B288" i="7"/>
  <c r="B289" i="7"/>
  <c r="B290" i="7"/>
  <c r="B291" i="7"/>
  <c r="B292" i="7"/>
  <c r="B293" i="7"/>
  <c r="B294" i="7"/>
  <c r="B295" i="7"/>
  <c r="B296" i="7"/>
  <c r="B297" i="7"/>
  <c r="B298" i="7"/>
  <c r="B299" i="7"/>
  <c r="B300" i="7"/>
  <c r="B301" i="7"/>
  <c r="B302" i="7"/>
  <c r="B303" i="7"/>
  <c r="B304" i="7"/>
  <c r="B305" i="7"/>
  <c r="B306" i="7"/>
  <c r="B307" i="7"/>
  <c r="B308" i="7"/>
  <c r="B309" i="7"/>
  <c r="B310" i="7"/>
  <c r="B311" i="7"/>
  <c r="B312" i="7"/>
  <c r="B313" i="7"/>
  <c r="B314" i="7"/>
  <c r="B315" i="7"/>
  <c r="B316" i="7"/>
  <c r="B317" i="7"/>
  <c r="B318" i="7"/>
  <c r="B319" i="7"/>
  <c r="B320" i="7"/>
  <c r="B321" i="7"/>
  <c r="B322" i="7"/>
  <c r="B323" i="7"/>
  <c r="B324" i="7"/>
  <c r="B325" i="7"/>
  <c r="B326" i="7"/>
  <c r="B327" i="7"/>
  <c r="B328" i="7"/>
  <c r="B329" i="7"/>
  <c r="B330" i="7"/>
  <c r="B331" i="7"/>
  <c r="B332" i="7"/>
  <c r="B333" i="7"/>
  <c r="B334" i="7"/>
  <c r="B335" i="7"/>
  <c r="B336" i="7"/>
  <c r="B337" i="7"/>
  <c r="B338" i="7"/>
  <c r="B339" i="7"/>
  <c r="B340" i="7"/>
  <c r="B341" i="7"/>
  <c r="B342" i="7"/>
  <c r="B343" i="7"/>
  <c r="B344" i="7"/>
  <c r="B345" i="7"/>
  <c r="B346" i="7"/>
  <c r="B347" i="7"/>
  <c r="B348" i="7"/>
  <c r="B349" i="7"/>
  <c r="B350" i="7"/>
  <c r="B351" i="7"/>
  <c r="B352" i="7"/>
  <c r="B353" i="7"/>
  <c r="B354" i="7"/>
  <c r="B355" i="7"/>
  <c r="B356" i="7"/>
  <c r="B357" i="7"/>
  <c r="B358" i="7"/>
  <c r="B359" i="7"/>
  <c r="B360" i="7"/>
  <c r="B361" i="7"/>
  <c r="B362" i="7"/>
  <c r="B363" i="7"/>
  <c r="B364" i="7"/>
  <c r="B365" i="7"/>
  <c r="B366" i="7"/>
  <c r="B367" i="7"/>
  <c r="B368" i="7"/>
  <c r="B369" i="7"/>
  <c r="B370" i="7"/>
  <c r="B371" i="7"/>
  <c r="B372" i="7"/>
  <c r="B373" i="7"/>
  <c r="B374" i="7"/>
  <c r="B375" i="7"/>
  <c r="B376" i="7"/>
  <c r="B377" i="7"/>
  <c r="B378" i="7"/>
  <c r="B379" i="7"/>
  <c r="B380" i="7"/>
  <c r="B381" i="7"/>
  <c r="B382" i="7"/>
  <c r="B383" i="7"/>
  <c r="B384" i="7"/>
  <c r="B385" i="7"/>
  <c r="B386" i="7"/>
  <c r="B35" i="7"/>
  <c r="R65" i="7"/>
  <c r="S65" i="7"/>
  <c r="T65" i="7"/>
  <c r="R66" i="7"/>
  <c r="S66" i="7"/>
  <c r="T66" i="7"/>
  <c r="R67" i="7"/>
  <c r="S67" i="7"/>
  <c r="T67" i="7"/>
  <c r="R68" i="7"/>
  <c r="S68" i="7"/>
  <c r="T68" i="7"/>
  <c r="R69" i="7"/>
  <c r="S69" i="7"/>
  <c r="T69" i="7"/>
  <c r="R70" i="7"/>
  <c r="S70" i="7"/>
  <c r="T70" i="7"/>
  <c r="R71" i="7"/>
  <c r="S71" i="7"/>
  <c r="T71" i="7"/>
  <c r="R72" i="7"/>
  <c r="S72" i="7"/>
  <c r="T72" i="7"/>
  <c r="R73" i="7"/>
  <c r="S73" i="7"/>
  <c r="T73" i="7"/>
  <c r="R74" i="7"/>
  <c r="S74" i="7"/>
  <c r="T74" i="7"/>
  <c r="R75" i="7"/>
  <c r="S75" i="7"/>
  <c r="T75" i="7"/>
  <c r="R76" i="7"/>
  <c r="S76" i="7"/>
  <c r="T76" i="7"/>
  <c r="R77" i="7"/>
  <c r="S77" i="7"/>
  <c r="T77" i="7"/>
  <c r="R78" i="7"/>
  <c r="S78" i="7"/>
  <c r="T78" i="7"/>
  <c r="R79" i="7"/>
  <c r="S79" i="7"/>
  <c r="T79" i="7"/>
  <c r="R80" i="7"/>
  <c r="S80" i="7"/>
  <c r="T80" i="7"/>
  <c r="R81" i="7"/>
  <c r="S81" i="7"/>
  <c r="T81" i="7"/>
  <c r="V81" i="7"/>
  <c r="R82" i="7"/>
  <c r="S82" i="7"/>
  <c r="T82" i="7"/>
  <c r="V82" i="7"/>
  <c r="R83" i="7"/>
  <c r="S83" i="7"/>
  <c r="T83" i="7"/>
  <c r="V83" i="7"/>
  <c r="R84" i="7"/>
  <c r="S84" i="7"/>
  <c r="T84" i="7"/>
  <c r="V84" i="7"/>
  <c r="R85" i="7"/>
  <c r="S85" i="7"/>
  <c r="T85" i="7"/>
  <c r="V85" i="7"/>
  <c r="R86" i="7"/>
  <c r="S86" i="7"/>
  <c r="T86" i="7"/>
  <c r="V86" i="7"/>
  <c r="R87" i="7"/>
  <c r="S87" i="7"/>
  <c r="T87" i="7"/>
  <c r="V87" i="7"/>
  <c r="R88" i="7"/>
  <c r="S88" i="7"/>
  <c r="T88" i="7"/>
  <c r="V88" i="7"/>
  <c r="R89" i="7"/>
  <c r="S89" i="7"/>
  <c r="T89" i="7"/>
  <c r="V89" i="7"/>
  <c r="R90" i="7"/>
  <c r="S90" i="7"/>
  <c r="T90" i="7"/>
  <c r="V90" i="7"/>
  <c r="R91" i="7"/>
  <c r="S91" i="7"/>
  <c r="T91" i="7"/>
  <c r="V91" i="7"/>
  <c r="R92" i="7"/>
  <c r="S92" i="7"/>
  <c r="T92" i="7"/>
  <c r="V92" i="7"/>
  <c r="R93" i="7"/>
  <c r="S93" i="7"/>
  <c r="T93" i="7"/>
  <c r="V93" i="7"/>
  <c r="R94" i="7"/>
  <c r="S94" i="7"/>
  <c r="T94" i="7"/>
  <c r="V94" i="7"/>
  <c r="R95" i="7"/>
  <c r="S95" i="7"/>
  <c r="T95" i="7"/>
  <c r="V95" i="7"/>
  <c r="R96" i="7"/>
  <c r="S96" i="7"/>
  <c r="T96" i="7"/>
  <c r="V96" i="7"/>
  <c r="R97" i="7"/>
  <c r="S97" i="7"/>
  <c r="T97" i="7"/>
  <c r="V97" i="7"/>
  <c r="R98" i="7"/>
  <c r="S98" i="7"/>
  <c r="T98" i="7"/>
  <c r="V98" i="7"/>
  <c r="R99" i="7"/>
  <c r="S99" i="7"/>
  <c r="T99" i="7"/>
  <c r="V99" i="7"/>
  <c r="R100" i="7"/>
  <c r="S100" i="7"/>
  <c r="T100" i="7"/>
  <c r="V100" i="7"/>
  <c r="R101" i="7"/>
  <c r="S101" i="7"/>
  <c r="T101" i="7"/>
  <c r="V101" i="7"/>
  <c r="R102" i="7"/>
  <c r="S102" i="7"/>
  <c r="T102" i="7"/>
  <c r="V102" i="7"/>
  <c r="R103" i="7"/>
  <c r="S103" i="7"/>
  <c r="T103" i="7"/>
  <c r="V103" i="7"/>
  <c r="R104" i="7"/>
  <c r="S104" i="7"/>
  <c r="T104" i="7"/>
  <c r="V104" i="7"/>
  <c r="R105" i="7"/>
  <c r="S105" i="7"/>
  <c r="T105" i="7"/>
  <c r="V105" i="7"/>
  <c r="R106" i="7"/>
  <c r="S106" i="7"/>
  <c r="T106" i="7"/>
  <c r="V106" i="7"/>
  <c r="R107" i="7"/>
  <c r="S107" i="7"/>
  <c r="T107" i="7"/>
  <c r="V107" i="7"/>
  <c r="R108" i="7"/>
  <c r="S108" i="7"/>
  <c r="T108" i="7"/>
  <c r="V108" i="7"/>
  <c r="R109" i="7"/>
  <c r="S109" i="7"/>
  <c r="T109" i="7"/>
  <c r="V109" i="7"/>
  <c r="R110" i="7"/>
  <c r="S110" i="7"/>
  <c r="T110" i="7"/>
  <c r="V110" i="7"/>
  <c r="R111" i="7"/>
  <c r="S111" i="7"/>
  <c r="T111" i="7"/>
  <c r="V111" i="7"/>
  <c r="R112" i="7"/>
  <c r="S112" i="7"/>
  <c r="T112" i="7"/>
  <c r="V112" i="7"/>
  <c r="R113" i="7"/>
  <c r="S113" i="7"/>
  <c r="T113" i="7"/>
  <c r="V113" i="7"/>
  <c r="R114" i="7"/>
  <c r="S114" i="7"/>
  <c r="T114" i="7"/>
  <c r="V114" i="7"/>
  <c r="R115" i="7"/>
  <c r="S115" i="7"/>
  <c r="T115" i="7"/>
  <c r="V115" i="7"/>
  <c r="R116" i="7"/>
  <c r="S116" i="7"/>
  <c r="T116" i="7"/>
  <c r="V116" i="7"/>
  <c r="R117" i="7"/>
  <c r="S117" i="7"/>
  <c r="T117" i="7"/>
  <c r="V117" i="7"/>
  <c r="R118" i="7"/>
  <c r="S118" i="7"/>
  <c r="T118" i="7"/>
  <c r="V118" i="7"/>
  <c r="R119" i="7"/>
  <c r="S119" i="7"/>
  <c r="T119" i="7"/>
  <c r="V119" i="7"/>
  <c r="R120" i="7"/>
  <c r="S120" i="7"/>
  <c r="T120" i="7"/>
  <c r="V120" i="7"/>
  <c r="R121" i="7"/>
  <c r="S121" i="7"/>
  <c r="T121" i="7"/>
  <c r="V121" i="7"/>
  <c r="R122" i="7"/>
  <c r="S122" i="7"/>
  <c r="T122" i="7"/>
  <c r="V122" i="7"/>
  <c r="R123" i="7"/>
  <c r="S123" i="7"/>
  <c r="T123" i="7"/>
  <c r="V123" i="7"/>
  <c r="R124" i="7"/>
  <c r="S124" i="7"/>
  <c r="T124" i="7"/>
  <c r="V124" i="7"/>
  <c r="R125" i="7"/>
  <c r="S125" i="7"/>
  <c r="T125" i="7"/>
  <c r="V125" i="7"/>
  <c r="R126" i="7"/>
  <c r="S126" i="7"/>
  <c r="T126" i="7"/>
  <c r="V126" i="7"/>
  <c r="R127" i="7"/>
  <c r="S127" i="7"/>
  <c r="T127" i="7"/>
  <c r="V127" i="7"/>
  <c r="R128" i="7"/>
  <c r="S128" i="7"/>
  <c r="T128" i="7"/>
  <c r="V128" i="7"/>
  <c r="R129" i="7"/>
  <c r="S129" i="7"/>
  <c r="T129" i="7"/>
  <c r="V129" i="7"/>
  <c r="R130" i="7"/>
  <c r="S130" i="7"/>
  <c r="T130" i="7"/>
  <c r="V130" i="7"/>
  <c r="R131" i="7"/>
  <c r="S131" i="7"/>
  <c r="T131" i="7"/>
  <c r="V131" i="7"/>
  <c r="R132" i="7"/>
  <c r="S132" i="7"/>
  <c r="T132" i="7"/>
  <c r="V132" i="7"/>
  <c r="R133" i="7"/>
  <c r="S133" i="7"/>
  <c r="T133" i="7"/>
  <c r="V133" i="7"/>
  <c r="R134" i="7"/>
  <c r="S134" i="7"/>
  <c r="T134" i="7"/>
  <c r="V134" i="7"/>
  <c r="R135" i="7"/>
  <c r="S135" i="7"/>
  <c r="T135" i="7"/>
  <c r="V135" i="7"/>
  <c r="R136" i="7"/>
  <c r="S136" i="7"/>
  <c r="T136" i="7"/>
  <c r="V136" i="7"/>
  <c r="R137" i="7"/>
  <c r="S137" i="7"/>
  <c r="T137" i="7"/>
  <c r="V137" i="7"/>
  <c r="R138" i="7"/>
  <c r="S138" i="7"/>
  <c r="T138" i="7"/>
  <c r="V138" i="7"/>
  <c r="R139" i="7"/>
  <c r="S139" i="7"/>
  <c r="T139" i="7"/>
  <c r="V139" i="7"/>
  <c r="R140" i="7"/>
  <c r="S140" i="7"/>
  <c r="T140" i="7"/>
  <c r="V140" i="7"/>
  <c r="R141" i="7"/>
  <c r="S141" i="7"/>
  <c r="T141" i="7"/>
  <c r="V141" i="7"/>
  <c r="R142" i="7"/>
  <c r="S142" i="7"/>
  <c r="T142" i="7"/>
  <c r="V142" i="7"/>
  <c r="R143" i="7"/>
  <c r="S143" i="7"/>
  <c r="T143" i="7"/>
  <c r="V143" i="7"/>
  <c r="R144" i="7"/>
  <c r="S144" i="7"/>
  <c r="T144" i="7"/>
  <c r="V144" i="7"/>
  <c r="R145" i="7"/>
  <c r="S145" i="7"/>
  <c r="T145" i="7"/>
  <c r="V145" i="7"/>
  <c r="R146" i="7"/>
  <c r="S146" i="7"/>
  <c r="T146" i="7"/>
  <c r="V146" i="7"/>
  <c r="R147" i="7"/>
  <c r="S147" i="7"/>
  <c r="T147" i="7"/>
  <c r="V147" i="7"/>
  <c r="R148" i="7"/>
  <c r="S148" i="7"/>
  <c r="T148" i="7"/>
  <c r="V148" i="7"/>
  <c r="R149" i="7"/>
  <c r="S149" i="7"/>
  <c r="T149" i="7"/>
  <c r="V149" i="7"/>
  <c r="R150" i="7"/>
  <c r="S150" i="7"/>
  <c r="T150" i="7"/>
  <c r="V150" i="7"/>
  <c r="R151" i="7"/>
  <c r="S151" i="7"/>
  <c r="T151" i="7"/>
  <c r="V151" i="7"/>
  <c r="R152" i="7"/>
  <c r="S152" i="7"/>
  <c r="T152" i="7"/>
  <c r="V152" i="7"/>
  <c r="R153" i="7"/>
  <c r="S153" i="7"/>
  <c r="T153" i="7"/>
  <c r="V153" i="7"/>
  <c r="R154" i="7"/>
  <c r="S154" i="7"/>
  <c r="T154" i="7"/>
  <c r="V154" i="7"/>
  <c r="R155" i="7"/>
  <c r="S155" i="7"/>
  <c r="T155" i="7"/>
  <c r="V155" i="7"/>
  <c r="R156" i="7"/>
  <c r="S156" i="7"/>
  <c r="T156" i="7"/>
  <c r="V156" i="7"/>
  <c r="R157" i="7"/>
  <c r="S157" i="7"/>
  <c r="T157" i="7"/>
  <c r="V157" i="7"/>
  <c r="R158" i="7"/>
  <c r="S158" i="7"/>
  <c r="T158" i="7"/>
  <c r="V158" i="7"/>
  <c r="R159" i="7"/>
  <c r="S159" i="7"/>
  <c r="T159" i="7"/>
  <c r="V159" i="7"/>
  <c r="R160" i="7"/>
  <c r="S160" i="7"/>
  <c r="T160" i="7"/>
  <c r="V160" i="7"/>
  <c r="R161" i="7"/>
  <c r="S161" i="7"/>
  <c r="T161" i="7"/>
  <c r="V161" i="7"/>
  <c r="R162" i="7"/>
  <c r="S162" i="7"/>
  <c r="T162" i="7"/>
  <c r="V162" i="7"/>
  <c r="R163" i="7"/>
  <c r="S163" i="7"/>
  <c r="T163" i="7"/>
  <c r="V163" i="7"/>
  <c r="R164" i="7"/>
  <c r="S164" i="7"/>
  <c r="T164" i="7"/>
  <c r="V164" i="7"/>
  <c r="R165" i="7"/>
  <c r="S165" i="7"/>
  <c r="T165" i="7"/>
  <c r="V165" i="7"/>
  <c r="R166" i="7"/>
  <c r="S166" i="7"/>
  <c r="T166" i="7"/>
  <c r="V166" i="7"/>
  <c r="R167" i="7"/>
  <c r="S167" i="7"/>
  <c r="T167" i="7"/>
  <c r="V167" i="7"/>
  <c r="R168" i="7"/>
  <c r="S168" i="7"/>
  <c r="T168" i="7"/>
  <c r="V168" i="7"/>
  <c r="R169" i="7"/>
  <c r="S169" i="7"/>
  <c r="T169" i="7"/>
  <c r="V169" i="7"/>
  <c r="R170" i="7"/>
  <c r="S170" i="7"/>
  <c r="T170" i="7"/>
  <c r="V170" i="7"/>
  <c r="R171" i="7"/>
  <c r="S171" i="7"/>
  <c r="T171" i="7"/>
  <c r="V171" i="7"/>
  <c r="R172" i="7"/>
  <c r="S172" i="7"/>
  <c r="T172" i="7"/>
  <c r="V172" i="7"/>
  <c r="R173" i="7"/>
  <c r="S173" i="7"/>
  <c r="T173" i="7"/>
  <c r="V173" i="7"/>
  <c r="R174" i="7"/>
  <c r="S174" i="7"/>
  <c r="T174" i="7"/>
  <c r="V174" i="7"/>
  <c r="R175" i="7"/>
  <c r="S175" i="7"/>
  <c r="T175" i="7"/>
  <c r="V175" i="7"/>
  <c r="R176" i="7"/>
  <c r="S176" i="7"/>
  <c r="T176" i="7"/>
  <c r="V176" i="7"/>
  <c r="R177" i="7"/>
  <c r="S177" i="7"/>
  <c r="T177" i="7"/>
  <c r="V177" i="7"/>
  <c r="R178" i="7"/>
  <c r="S178" i="7"/>
  <c r="T178" i="7"/>
  <c r="V178" i="7"/>
  <c r="R179" i="7"/>
  <c r="S179" i="7"/>
  <c r="T179" i="7"/>
  <c r="V179" i="7"/>
  <c r="R180" i="7"/>
  <c r="S180" i="7"/>
  <c r="T180" i="7"/>
  <c r="V180" i="7"/>
  <c r="R181" i="7"/>
  <c r="S181" i="7"/>
  <c r="T181" i="7"/>
  <c r="V181" i="7"/>
  <c r="R182" i="7"/>
  <c r="S182" i="7"/>
  <c r="T182" i="7"/>
  <c r="V182" i="7"/>
  <c r="R183" i="7"/>
  <c r="S183" i="7"/>
  <c r="T183" i="7"/>
  <c r="V183" i="7"/>
  <c r="R184" i="7"/>
  <c r="S184" i="7"/>
  <c r="T184" i="7"/>
  <c r="V184" i="7"/>
  <c r="R185" i="7"/>
  <c r="S185" i="7"/>
  <c r="T185" i="7"/>
  <c r="V185" i="7"/>
  <c r="R186" i="7"/>
  <c r="S186" i="7"/>
  <c r="T186" i="7"/>
  <c r="V186" i="7"/>
  <c r="R187" i="7"/>
  <c r="S187" i="7"/>
  <c r="T187" i="7"/>
  <c r="V187" i="7"/>
  <c r="R188" i="7"/>
  <c r="S188" i="7"/>
  <c r="T188" i="7"/>
  <c r="V188" i="7"/>
  <c r="R189" i="7"/>
  <c r="S189" i="7"/>
  <c r="T189" i="7"/>
  <c r="V189" i="7"/>
  <c r="R190" i="7"/>
  <c r="S190" i="7"/>
  <c r="T190" i="7"/>
  <c r="V190" i="7"/>
  <c r="R191" i="7"/>
  <c r="S191" i="7"/>
  <c r="T191" i="7"/>
  <c r="V191" i="7"/>
  <c r="R192" i="7"/>
  <c r="S192" i="7"/>
  <c r="T192" i="7"/>
  <c r="V192" i="7"/>
  <c r="R193" i="7"/>
  <c r="S193" i="7"/>
  <c r="T193" i="7"/>
  <c r="V193" i="7"/>
  <c r="R194" i="7"/>
  <c r="S194" i="7"/>
  <c r="T194" i="7"/>
  <c r="V194" i="7"/>
  <c r="R195" i="7"/>
  <c r="S195" i="7"/>
  <c r="T195" i="7"/>
  <c r="V195" i="7"/>
  <c r="R196" i="7"/>
  <c r="S196" i="7"/>
  <c r="T196" i="7"/>
  <c r="V196" i="7"/>
  <c r="R197" i="7"/>
  <c r="S197" i="7"/>
  <c r="T197" i="7"/>
  <c r="V197" i="7"/>
  <c r="R198" i="7"/>
  <c r="S198" i="7"/>
  <c r="T198" i="7"/>
  <c r="V198" i="7"/>
  <c r="R199" i="7"/>
  <c r="S199" i="7"/>
  <c r="T199" i="7"/>
  <c r="V199" i="7"/>
  <c r="R200" i="7"/>
  <c r="S200" i="7"/>
  <c r="T200" i="7"/>
  <c r="V200" i="7"/>
  <c r="R201" i="7"/>
  <c r="S201" i="7"/>
  <c r="T201" i="7"/>
  <c r="V201" i="7"/>
  <c r="R202" i="7"/>
  <c r="S202" i="7"/>
  <c r="T202" i="7"/>
  <c r="V202" i="7"/>
  <c r="R203" i="7"/>
  <c r="S203" i="7"/>
  <c r="T203" i="7"/>
  <c r="V203" i="7"/>
  <c r="R204" i="7"/>
  <c r="S204" i="7"/>
  <c r="T204" i="7"/>
  <c r="V204" i="7"/>
  <c r="R205" i="7"/>
  <c r="S205" i="7"/>
  <c r="T205" i="7"/>
  <c r="V205" i="7"/>
  <c r="R206" i="7"/>
  <c r="S206" i="7"/>
  <c r="T206" i="7"/>
  <c r="V206" i="7"/>
  <c r="R207" i="7"/>
  <c r="S207" i="7"/>
  <c r="T207" i="7"/>
  <c r="V207" i="7"/>
  <c r="R208" i="7"/>
  <c r="S208" i="7"/>
  <c r="T208" i="7"/>
  <c r="V208" i="7"/>
  <c r="R209" i="7"/>
  <c r="S209" i="7"/>
  <c r="T209" i="7"/>
  <c r="V209" i="7"/>
  <c r="R210" i="7"/>
  <c r="S210" i="7"/>
  <c r="T210" i="7"/>
  <c r="V210" i="7"/>
  <c r="R211" i="7"/>
  <c r="S211" i="7"/>
  <c r="T211" i="7"/>
  <c r="V211" i="7"/>
  <c r="R212" i="7"/>
  <c r="S212" i="7"/>
  <c r="T212" i="7"/>
  <c r="V212" i="7"/>
  <c r="R213" i="7"/>
  <c r="S213" i="7"/>
  <c r="T213" i="7"/>
  <c r="V213" i="7"/>
  <c r="R214" i="7"/>
  <c r="S214" i="7"/>
  <c r="T214" i="7"/>
  <c r="V214" i="7"/>
  <c r="R215" i="7"/>
  <c r="S215" i="7"/>
  <c r="T215" i="7"/>
  <c r="V215" i="7"/>
  <c r="R216" i="7"/>
  <c r="S216" i="7"/>
  <c r="T216" i="7"/>
  <c r="V216" i="7"/>
  <c r="R217" i="7"/>
  <c r="S217" i="7"/>
  <c r="T217" i="7"/>
  <c r="V217" i="7"/>
  <c r="R218" i="7"/>
  <c r="S218" i="7"/>
  <c r="T218" i="7"/>
  <c r="V218" i="7"/>
  <c r="R219" i="7"/>
  <c r="S219" i="7"/>
  <c r="T219" i="7"/>
  <c r="V219" i="7"/>
  <c r="R220" i="7"/>
  <c r="S220" i="7"/>
  <c r="T220" i="7"/>
  <c r="V220" i="7"/>
  <c r="R221" i="7"/>
  <c r="S221" i="7"/>
  <c r="T221" i="7"/>
  <c r="V221" i="7"/>
  <c r="R222" i="7"/>
  <c r="S222" i="7"/>
  <c r="T222" i="7"/>
  <c r="V222" i="7"/>
  <c r="R223" i="7"/>
  <c r="S223" i="7"/>
  <c r="T223" i="7"/>
  <c r="V223" i="7"/>
  <c r="R224" i="7"/>
  <c r="S224" i="7"/>
  <c r="T224" i="7"/>
  <c r="V224" i="7"/>
  <c r="R225" i="7"/>
  <c r="S225" i="7"/>
  <c r="T225" i="7"/>
  <c r="V225" i="7"/>
  <c r="R226" i="7"/>
  <c r="S226" i="7"/>
  <c r="T226" i="7"/>
  <c r="V226" i="7"/>
  <c r="R227" i="7"/>
  <c r="S227" i="7"/>
  <c r="T227" i="7"/>
  <c r="V227" i="7"/>
  <c r="R228" i="7"/>
  <c r="S228" i="7"/>
  <c r="T228" i="7"/>
  <c r="V228" i="7"/>
  <c r="R229" i="7"/>
  <c r="S229" i="7"/>
  <c r="T229" i="7"/>
  <c r="V229" i="7"/>
  <c r="R230" i="7"/>
  <c r="S230" i="7"/>
  <c r="T230" i="7"/>
  <c r="V230" i="7"/>
  <c r="R231" i="7"/>
  <c r="S231" i="7"/>
  <c r="T231" i="7"/>
  <c r="V231" i="7"/>
  <c r="R232" i="7"/>
  <c r="S232" i="7"/>
  <c r="T232" i="7"/>
  <c r="V232" i="7"/>
  <c r="R233" i="7"/>
  <c r="S233" i="7"/>
  <c r="T233" i="7"/>
  <c r="V233" i="7"/>
  <c r="R234" i="7"/>
  <c r="S234" i="7"/>
  <c r="T234" i="7"/>
  <c r="V234" i="7"/>
  <c r="R235" i="7"/>
  <c r="S235" i="7"/>
  <c r="T235" i="7"/>
  <c r="V235" i="7"/>
  <c r="R236" i="7"/>
  <c r="S236" i="7"/>
  <c r="T236" i="7"/>
  <c r="V236" i="7"/>
  <c r="R237" i="7"/>
  <c r="S237" i="7"/>
  <c r="T237" i="7"/>
  <c r="V237" i="7"/>
  <c r="R238" i="7"/>
  <c r="S238" i="7"/>
  <c r="T238" i="7"/>
  <c r="V238" i="7"/>
  <c r="R239" i="7"/>
  <c r="S239" i="7"/>
  <c r="T239" i="7"/>
  <c r="V239" i="7"/>
  <c r="R240" i="7"/>
  <c r="S240" i="7"/>
  <c r="T240" i="7"/>
  <c r="V240" i="7"/>
  <c r="R241" i="7"/>
  <c r="S241" i="7"/>
  <c r="T241" i="7"/>
  <c r="V241" i="7"/>
  <c r="R242" i="7"/>
  <c r="S242" i="7"/>
  <c r="T242" i="7"/>
  <c r="V242" i="7"/>
  <c r="R243" i="7"/>
  <c r="S243" i="7"/>
  <c r="T243" i="7"/>
  <c r="V243" i="7"/>
  <c r="R244" i="7"/>
  <c r="S244" i="7"/>
  <c r="T244" i="7"/>
  <c r="V244" i="7"/>
  <c r="R245" i="7"/>
  <c r="S245" i="7"/>
  <c r="T245" i="7"/>
  <c r="V245" i="7"/>
  <c r="R246" i="7"/>
  <c r="S246" i="7"/>
  <c r="T246" i="7"/>
  <c r="V246" i="7"/>
  <c r="R247" i="7"/>
  <c r="S247" i="7"/>
  <c r="T247" i="7"/>
  <c r="V247" i="7"/>
  <c r="R248" i="7"/>
  <c r="S248" i="7"/>
  <c r="T248" i="7"/>
  <c r="V248" i="7"/>
  <c r="R249" i="7"/>
  <c r="S249" i="7"/>
  <c r="T249" i="7"/>
  <c r="V249" i="7"/>
  <c r="R250" i="7"/>
  <c r="S250" i="7"/>
  <c r="T250" i="7"/>
  <c r="V250" i="7"/>
  <c r="R251" i="7"/>
  <c r="S251" i="7"/>
  <c r="T251" i="7"/>
  <c r="V251" i="7"/>
  <c r="R252" i="7"/>
  <c r="S252" i="7"/>
  <c r="T252" i="7"/>
  <c r="V252" i="7"/>
  <c r="R253" i="7"/>
  <c r="S253" i="7"/>
  <c r="T253" i="7"/>
  <c r="V253" i="7"/>
  <c r="R254" i="7"/>
  <c r="S254" i="7"/>
  <c r="T254" i="7"/>
  <c r="V254" i="7"/>
  <c r="R255" i="7"/>
  <c r="S255" i="7"/>
  <c r="T255" i="7"/>
  <c r="V255" i="7"/>
  <c r="R256" i="7"/>
  <c r="S256" i="7"/>
  <c r="T256" i="7"/>
  <c r="V256" i="7"/>
  <c r="R257" i="7"/>
  <c r="S257" i="7"/>
  <c r="T257" i="7"/>
  <c r="V257" i="7"/>
  <c r="R258" i="7"/>
  <c r="S258" i="7"/>
  <c r="T258" i="7"/>
  <c r="V258" i="7"/>
  <c r="R259" i="7"/>
  <c r="S259" i="7"/>
  <c r="T259" i="7"/>
  <c r="V259" i="7"/>
  <c r="R260" i="7"/>
  <c r="S260" i="7"/>
  <c r="T260" i="7"/>
  <c r="V260" i="7"/>
  <c r="R261" i="7"/>
  <c r="S261" i="7"/>
  <c r="T261" i="7"/>
  <c r="V261" i="7"/>
  <c r="R262" i="7"/>
  <c r="S262" i="7"/>
  <c r="T262" i="7"/>
  <c r="V262" i="7"/>
  <c r="R263" i="7"/>
  <c r="S263" i="7"/>
  <c r="T263" i="7"/>
  <c r="V263" i="7"/>
  <c r="R264" i="7"/>
  <c r="S264" i="7"/>
  <c r="T264" i="7"/>
  <c r="V264" i="7"/>
  <c r="R265" i="7"/>
  <c r="S265" i="7"/>
  <c r="T265" i="7"/>
  <c r="V265" i="7"/>
  <c r="R266" i="7"/>
  <c r="S266" i="7"/>
  <c r="T266" i="7"/>
  <c r="V266" i="7"/>
  <c r="R267" i="7"/>
  <c r="S267" i="7"/>
  <c r="T267" i="7"/>
  <c r="V267" i="7"/>
  <c r="R268" i="7"/>
  <c r="S268" i="7"/>
  <c r="T268" i="7"/>
  <c r="V268" i="7"/>
  <c r="R269" i="7"/>
  <c r="S269" i="7"/>
  <c r="T269" i="7"/>
  <c r="V269" i="7"/>
  <c r="R270" i="7"/>
  <c r="S270" i="7"/>
  <c r="T270" i="7"/>
  <c r="V270" i="7"/>
  <c r="R271" i="7"/>
  <c r="S271" i="7"/>
  <c r="T271" i="7"/>
  <c r="V271" i="7"/>
  <c r="R272" i="7"/>
  <c r="S272" i="7"/>
  <c r="T272" i="7"/>
  <c r="V272" i="7"/>
  <c r="R273" i="7"/>
  <c r="S273" i="7"/>
  <c r="T273" i="7"/>
  <c r="V273" i="7"/>
  <c r="R274" i="7"/>
  <c r="S274" i="7"/>
  <c r="T274" i="7"/>
  <c r="V274" i="7"/>
  <c r="R275" i="7"/>
  <c r="S275" i="7"/>
  <c r="T275" i="7"/>
  <c r="V275" i="7"/>
  <c r="R276" i="7"/>
  <c r="S276" i="7"/>
  <c r="T276" i="7"/>
  <c r="V276" i="7"/>
  <c r="R277" i="7"/>
  <c r="S277" i="7"/>
  <c r="T277" i="7"/>
  <c r="V277" i="7"/>
  <c r="R278" i="7"/>
  <c r="S278" i="7"/>
  <c r="T278" i="7"/>
  <c r="V278" i="7"/>
  <c r="R279" i="7"/>
  <c r="S279" i="7"/>
  <c r="T279" i="7"/>
  <c r="V279" i="7"/>
  <c r="R280" i="7"/>
  <c r="S280" i="7"/>
  <c r="T280" i="7"/>
  <c r="V280" i="7"/>
  <c r="R281" i="7"/>
  <c r="S281" i="7"/>
  <c r="T281" i="7"/>
  <c r="V281" i="7"/>
  <c r="R282" i="7"/>
  <c r="S282" i="7"/>
  <c r="T282" i="7"/>
  <c r="V282" i="7"/>
  <c r="R283" i="7"/>
  <c r="S283" i="7"/>
  <c r="T283" i="7"/>
  <c r="V283" i="7"/>
  <c r="R284" i="7"/>
  <c r="S284" i="7"/>
  <c r="T284" i="7"/>
  <c r="V284" i="7"/>
  <c r="R285" i="7"/>
  <c r="S285" i="7"/>
  <c r="T285" i="7"/>
  <c r="V285" i="7"/>
  <c r="R286" i="7"/>
  <c r="S286" i="7"/>
  <c r="T286" i="7"/>
  <c r="V286" i="7"/>
  <c r="R287" i="7"/>
  <c r="S287" i="7"/>
  <c r="T287" i="7"/>
  <c r="V287" i="7"/>
  <c r="R288" i="7"/>
  <c r="S288" i="7"/>
  <c r="T288" i="7"/>
  <c r="V288" i="7"/>
  <c r="R289" i="7"/>
  <c r="S289" i="7"/>
  <c r="T289" i="7"/>
  <c r="V289" i="7"/>
  <c r="R290" i="7"/>
  <c r="S290" i="7"/>
  <c r="T290" i="7"/>
  <c r="V290" i="7"/>
  <c r="R291" i="7"/>
  <c r="S291" i="7"/>
  <c r="T291" i="7"/>
  <c r="V291" i="7"/>
  <c r="R292" i="7"/>
  <c r="S292" i="7"/>
  <c r="T292" i="7"/>
  <c r="V292" i="7"/>
  <c r="R293" i="7"/>
  <c r="S293" i="7"/>
  <c r="T293" i="7"/>
  <c r="V293" i="7"/>
  <c r="R294" i="7"/>
  <c r="S294" i="7"/>
  <c r="T294" i="7"/>
  <c r="V294" i="7"/>
  <c r="R295" i="7"/>
  <c r="S295" i="7"/>
  <c r="T295" i="7"/>
  <c r="V295" i="7"/>
  <c r="R296" i="7"/>
  <c r="S296" i="7"/>
  <c r="T296" i="7"/>
  <c r="V296" i="7"/>
  <c r="R297" i="7"/>
  <c r="S297" i="7"/>
  <c r="T297" i="7"/>
  <c r="V297" i="7"/>
  <c r="R298" i="7"/>
  <c r="S298" i="7"/>
  <c r="T298" i="7"/>
  <c r="V298" i="7"/>
  <c r="R299" i="7"/>
  <c r="S299" i="7"/>
  <c r="T299" i="7"/>
  <c r="V299" i="7"/>
  <c r="R300" i="7"/>
  <c r="S300" i="7"/>
  <c r="T300" i="7"/>
  <c r="V300" i="7"/>
  <c r="R301" i="7"/>
  <c r="S301" i="7"/>
  <c r="T301" i="7"/>
  <c r="V301" i="7"/>
  <c r="R302" i="7"/>
  <c r="S302" i="7"/>
  <c r="T302" i="7"/>
  <c r="V302" i="7"/>
  <c r="R303" i="7"/>
  <c r="S303" i="7"/>
  <c r="T303" i="7"/>
  <c r="V303" i="7"/>
  <c r="R304" i="7"/>
  <c r="S304" i="7"/>
  <c r="T304" i="7"/>
  <c r="V304" i="7"/>
  <c r="R305" i="7"/>
  <c r="S305" i="7"/>
  <c r="T305" i="7"/>
  <c r="V305" i="7"/>
  <c r="R306" i="7"/>
  <c r="S306" i="7"/>
  <c r="T306" i="7"/>
  <c r="V306" i="7"/>
  <c r="R307" i="7"/>
  <c r="S307" i="7"/>
  <c r="T307" i="7"/>
  <c r="V307" i="7"/>
  <c r="R308" i="7"/>
  <c r="S308" i="7"/>
  <c r="T308" i="7"/>
  <c r="V308" i="7"/>
  <c r="R309" i="7"/>
  <c r="S309" i="7"/>
  <c r="T309" i="7"/>
  <c r="V309" i="7"/>
  <c r="R310" i="7"/>
  <c r="S310" i="7"/>
  <c r="T310" i="7"/>
  <c r="V310" i="7"/>
  <c r="R311" i="7"/>
  <c r="S311" i="7"/>
  <c r="T311" i="7"/>
  <c r="V311" i="7"/>
  <c r="R312" i="7"/>
  <c r="S312" i="7"/>
  <c r="T312" i="7"/>
  <c r="V312" i="7"/>
  <c r="R313" i="7"/>
  <c r="S313" i="7"/>
  <c r="T313" i="7"/>
  <c r="V313" i="7"/>
  <c r="R314" i="7"/>
  <c r="S314" i="7"/>
  <c r="T314" i="7"/>
  <c r="V314" i="7"/>
  <c r="R315" i="7"/>
  <c r="S315" i="7"/>
  <c r="T315" i="7"/>
  <c r="V315" i="7"/>
  <c r="R316" i="7"/>
  <c r="S316" i="7"/>
  <c r="T316" i="7"/>
  <c r="V316" i="7"/>
  <c r="R317" i="7"/>
  <c r="S317" i="7"/>
  <c r="T317" i="7"/>
  <c r="V317" i="7"/>
  <c r="R318" i="7"/>
  <c r="S318" i="7"/>
  <c r="T318" i="7"/>
  <c r="V318" i="7"/>
  <c r="R319" i="7"/>
  <c r="S319" i="7"/>
  <c r="T319" i="7"/>
  <c r="V319" i="7"/>
  <c r="R320" i="7"/>
  <c r="S320" i="7"/>
  <c r="T320" i="7"/>
  <c r="V320" i="7"/>
  <c r="R321" i="7"/>
  <c r="S321" i="7"/>
  <c r="T321" i="7"/>
  <c r="V321" i="7"/>
  <c r="R322" i="7"/>
  <c r="S322" i="7"/>
  <c r="T322" i="7"/>
  <c r="V322" i="7"/>
  <c r="R323" i="7"/>
  <c r="S323" i="7"/>
  <c r="T323" i="7"/>
  <c r="V323" i="7"/>
  <c r="R324" i="7"/>
  <c r="S324" i="7"/>
  <c r="T324" i="7"/>
  <c r="V324" i="7"/>
  <c r="R325" i="7"/>
  <c r="S325" i="7"/>
  <c r="T325" i="7"/>
  <c r="V325" i="7"/>
  <c r="R326" i="7"/>
  <c r="S326" i="7"/>
  <c r="T326" i="7"/>
  <c r="V326" i="7"/>
  <c r="R327" i="7"/>
  <c r="S327" i="7"/>
  <c r="T327" i="7"/>
  <c r="V327" i="7"/>
  <c r="R328" i="7"/>
  <c r="S328" i="7"/>
  <c r="T328" i="7"/>
  <c r="V328" i="7"/>
  <c r="R329" i="7"/>
  <c r="S329" i="7"/>
  <c r="T329" i="7"/>
  <c r="V329" i="7"/>
  <c r="R330" i="7"/>
  <c r="S330" i="7"/>
  <c r="T330" i="7"/>
  <c r="V330" i="7"/>
  <c r="R331" i="7"/>
  <c r="S331" i="7"/>
  <c r="T331" i="7"/>
  <c r="V331" i="7"/>
  <c r="R332" i="7"/>
  <c r="S332" i="7"/>
  <c r="T332" i="7"/>
  <c r="V332" i="7"/>
  <c r="R333" i="7"/>
  <c r="S333" i="7"/>
  <c r="T333" i="7"/>
  <c r="V333" i="7"/>
  <c r="R334" i="7"/>
  <c r="S334" i="7"/>
  <c r="T334" i="7"/>
  <c r="V334" i="7"/>
  <c r="R335" i="7"/>
  <c r="S335" i="7"/>
  <c r="T335" i="7"/>
  <c r="V335" i="7"/>
  <c r="R336" i="7"/>
  <c r="S336" i="7"/>
  <c r="T336" i="7"/>
  <c r="V336" i="7"/>
  <c r="R337" i="7"/>
  <c r="S337" i="7"/>
  <c r="T337" i="7"/>
  <c r="V337" i="7"/>
  <c r="R338" i="7"/>
  <c r="S338" i="7"/>
  <c r="T338" i="7"/>
  <c r="V338" i="7"/>
  <c r="R339" i="7"/>
  <c r="S339" i="7"/>
  <c r="T339" i="7"/>
  <c r="V339" i="7"/>
  <c r="R340" i="7"/>
  <c r="S340" i="7"/>
  <c r="T340" i="7"/>
  <c r="V340" i="7"/>
  <c r="R341" i="7"/>
  <c r="S341" i="7"/>
  <c r="T341" i="7"/>
  <c r="V341" i="7"/>
  <c r="R342" i="7"/>
  <c r="S342" i="7"/>
  <c r="T342" i="7"/>
  <c r="V342" i="7"/>
  <c r="R343" i="7"/>
  <c r="S343" i="7"/>
  <c r="T343" i="7"/>
  <c r="V343" i="7"/>
  <c r="R344" i="7"/>
  <c r="S344" i="7"/>
  <c r="T344" i="7"/>
  <c r="V344" i="7"/>
  <c r="R345" i="7"/>
  <c r="S345" i="7"/>
  <c r="T345" i="7"/>
  <c r="V345" i="7"/>
  <c r="R346" i="7"/>
  <c r="S346" i="7"/>
  <c r="T346" i="7"/>
  <c r="V346" i="7"/>
  <c r="R347" i="7"/>
  <c r="S347" i="7"/>
  <c r="T347" i="7"/>
  <c r="V347" i="7"/>
  <c r="R348" i="7"/>
  <c r="S348" i="7"/>
  <c r="T348" i="7"/>
  <c r="V348" i="7"/>
  <c r="R349" i="7"/>
  <c r="S349" i="7"/>
  <c r="T349" i="7"/>
  <c r="V349" i="7"/>
  <c r="R350" i="7"/>
  <c r="S350" i="7"/>
  <c r="T350" i="7"/>
  <c r="V350" i="7"/>
  <c r="R351" i="7"/>
  <c r="S351" i="7"/>
  <c r="T351" i="7"/>
  <c r="V351" i="7"/>
  <c r="R352" i="7"/>
  <c r="S352" i="7"/>
  <c r="T352" i="7"/>
  <c r="V352" i="7"/>
  <c r="R353" i="7"/>
  <c r="S353" i="7"/>
  <c r="T353" i="7"/>
  <c r="V353" i="7"/>
  <c r="R354" i="7"/>
  <c r="S354" i="7"/>
  <c r="T354" i="7"/>
  <c r="V354" i="7"/>
  <c r="R355" i="7"/>
  <c r="S355" i="7"/>
  <c r="T355" i="7"/>
  <c r="V355" i="7"/>
  <c r="R356" i="7"/>
  <c r="S356" i="7"/>
  <c r="T356" i="7"/>
  <c r="V356" i="7"/>
  <c r="R357" i="7"/>
  <c r="S357" i="7"/>
  <c r="T357" i="7"/>
  <c r="V357" i="7"/>
  <c r="R358" i="7"/>
  <c r="S358" i="7"/>
  <c r="T358" i="7"/>
  <c r="V358" i="7"/>
  <c r="R359" i="7"/>
  <c r="S359" i="7"/>
  <c r="T359" i="7"/>
  <c r="V359" i="7"/>
  <c r="R360" i="7"/>
  <c r="S360" i="7"/>
  <c r="T360" i="7"/>
  <c r="V360" i="7"/>
  <c r="R361" i="7"/>
  <c r="S361" i="7"/>
  <c r="T361" i="7"/>
  <c r="V361" i="7"/>
  <c r="R362" i="7"/>
  <c r="S362" i="7"/>
  <c r="T362" i="7"/>
  <c r="V362" i="7"/>
  <c r="R363" i="7"/>
  <c r="S363" i="7"/>
  <c r="T363" i="7"/>
  <c r="V363" i="7"/>
  <c r="R364" i="7"/>
  <c r="S364" i="7"/>
  <c r="T364" i="7"/>
  <c r="V364" i="7"/>
  <c r="R365" i="7"/>
  <c r="S365" i="7"/>
  <c r="T365" i="7"/>
  <c r="V365" i="7"/>
  <c r="R366" i="7"/>
  <c r="S366" i="7"/>
  <c r="T366" i="7"/>
  <c r="V366" i="7"/>
  <c r="R367" i="7"/>
  <c r="S367" i="7"/>
  <c r="T367" i="7"/>
  <c r="V367" i="7"/>
  <c r="R368" i="7"/>
  <c r="S368" i="7"/>
  <c r="T368" i="7"/>
  <c r="V368" i="7"/>
  <c r="R369" i="7"/>
  <c r="S369" i="7"/>
  <c r="T369" i="7"/>
  <c r="V369" i="7"/>
  <c r="R370" i="7"/>
  <c r="S370" i="7"/>
  <c r="T370" i="7"/>
  <c r="V370" i="7"/>
  <c r="R371" i="7"/>
  <c r="S371" i="7"/>
  <c r="T371" i="7"/>
  <c r="V371" i="7"/>
  <c r="R372" i="7"/>
  <c r="S372" i="7"/>
  <c r="T372" i="7"/>
  <c r="V372" i="7"/>
  <c r="R373" i="7"/>
  <c r="S373" i="7"/>
  <c r="T373" i="7"/>
  <c r="V373" i="7"/>
  <c r="R374" i="7"/>
  <c r="S374" i="7"/>
  <c r="T374" i="7"/>
  <c r="V374" i="7"/>
  <c r="R375" i="7"/>
  <c r="S375" i="7"/>
  <c r="T375" i="7"/>
  <c r="V375" i="7"/>
  <c r="R376" i="7"/>
  <c r="S376" i="7"/>
  <c r="T376" i="7"/>
  <c r="V376" i="7"/>
  <c r="R377" i="7"/>
  <c r="S377" i="7"/>
  <c r="T377" i="7"/>
  <c r="V377" i="7"/>
  <c r="R378" i="7"/>
  <c r="S378" i="7"/>
  <c r="T378" i="7"/>
  <c r="V378" i="7"/>
  <c r="R379" i="7"/>
  <c r="S379" i="7"/>
  <c r="T379" i="7"/>
  <c r="V379" i="7"/>
  <c r="R380" i="7"/>
  <c r="S380" i="7"/>
  <c r="T380" i="7"/>
  <c r="V380" i="7"/>
  <c r="R381" i="7"/>
  <c r="S381" i="7"/>
  <c r="T381" i="7"/>
  <c r="V381" i="7"/>
  <c r="R382" i="7"/>
  <c r="S382" i="7"/>
  <c r="T382" i="7"/>
  <c r="V382" i="7"/>
  <c r="R383" i="7"/>
  <c r="S383" i="7"/>
  <c r="T383" i="7"/>
  <c r="V383" i="7"/>
  <c r="R384" i="7"/>
  <c r="S384" i="7"/>
  <c r="T384" i="7"/>
  <c r="V384" i="7"/>
  <c r="R385" i="7"/>
  <c r="S385" i="7"/>
  <c r="T385" i="7"/>
  <c r="V385" i="7"/>
  <c r="R386" i="7"/>
  <c r="S386" i="7"/>
  <c r="T386" i="7"/>
  <c r="V386" i="7"/>
  <c r="S41" i="7"/>
  <c r="S42" i="7"/>
  <c r="S43" i="7"/>
  <c r="S44" i="7"/>
  <c r="S45" i="7"/>
  <c r="S46" i="7"/>
  <c r="S47" i="7"/>
  <c r="S48" i="7"/>
  <c r="S49" i="7"/>
  <c r="S50" i="7"/>
  <c r="S51" i="7"/>
  <c r="S52" i="7"/>
  <c r="S53" i="7"/>
  <c r="S54" i="7"/>
  <c r="S55" i="7"/>
  <c r="S56" i="7"/>
  <c r="S57" i="7"/>
  <c r="S58" i="7"/>
  <c r="S59" i="7"/>
  <c r="S60" i="7"/>
  <c r="S61" i="7"/>
  <c r="S62" i="7"/>
  <c r="S63" i="7"/>
  <c r="S64" i="7"/>
  <c r="S40" i="7"/>
  <c r="R64" i="7"/>
  <c r="R41" i="7"/>
  <c r="R42" i="7"/>
  <c r="R44" i="7"/>
  <c r="R45" i="7"/>
  <c r="R46" i="7"/>
  <c r="R47" i="7"/>
  <c r="R48" i="7"/>
  <c r="R49" i="7"/>
  <c r="R50" i="7"/>
  <c r="R51" i="7"/>
  <c r="R52" i="7"/>
  <c r="R53" i="7"/>
  <c r="R54" i="7"/>
  <c r="R55" i="7"/>
  <c r="R56" i="7"/>
  <c r="R57" i="7"/>
  <c r="R58" i="7"/>
  <c r="R59" i="7"/>
  <c r="R60" i="7"/>
  <c r="R61" i="7"/>
  <c r="R62" i="7"/>
  <c r="R63" i="7"/>
  <c r="R40" i="7"/>
  <c r="T44" i="7"/>
  <c r="T45" i="7"/>
  <c r="T46" i="7"/>
  <c r="T47" i="7"/>
  <c r="T48" i="7"/>
  <c r="T49" i="7"/>
  <c r="T50" i="7"/>
  <c r="T51" i="7"/>
  <c r="T52" i="7"/>
  <c r="T53" i="7"/>
  <c r="T54" i="7"/>
  <c r="T55" i="7"/>
  <c r="T56" i="7"/>
  <c r="T57" i="7"/>
  <c r="T58" i="7"/>
  <c r="T59" i="7"/>
  <c r="T60" i="7"/>
  <c r="T61" i="7"/>
  <c r="T62" i="7"/>
  <c r="T63" i="7"/>
  <c r="T64" i="7"/>
  <c r="T43" i="7"/>
  <c r="V80" i="7" l="1"/>
  <c r="V79" i="7"/>
  <c r="V78" i="7"/>
  <c r="V77" i="7"/>
  <c r="V76" i="7"/>
  <c r="V75" i="7"/>
  <c r="V74" i="7"/>
  <c r="V73" i="7"/>
  <c r="V72" i="7"/>
  <c r="V71" i="7"/>
  <c r="V70" i="7"/>
  <c r="V69" i="7"/>
  <c r="V68" i="7"/>
  <c r="V67" i="7"/>
  <c r="I35" i="7"/>
  <c r="X35" i="7" s="1"/>
  <c r="S4" i="7"/>
  <c r="V57" i="7"/>
  <c r="V36" i="7"/>
  <c r="V64" i="7"/>
  <c r="V59" i="7"/>
  <c r="V63" i="7"/>
  <c r="V58" i="7"/>
  <c r="V62" i="7"/>
  <c r="V65" i="7"/>
  <c r="V60" i="7"/>
  <c r="V61" i="7"/>
  <c r="AF19" i="3"/>
  <c r="AF20" i="3" s="1"/>
  <c r="AE20" i="3" s="1"/>
  <c r="S5" i="7" l="1"/>
  <c r="S6" i="7" s="1"/>
  <c r="X36" i="7"/>
  <c r="S33" i="3"/>
  <c r="R33" i="3"/>
  <c r="Q33" i="3"/>
  <c r="P33" i="3"/>
  <c r="O33" i="3"/>
  <c r="D33" i="3"/>
  <c r="D34" i="3"/>
  <c r="D35" i="3"/>
  <c r="D36" i="3"/>
  <c r="D37" i="3"/>
  <c r="D38" i="3"/>
  <c r="D39" i="3"/>
  <c r="D40" i="3"/>
  <c r="D41" i="3"/>
  <c r="D42" i="3"/>
  <c r="D43" i="3"/>
  <c r="D44" i="3"/>
  <c r="D45" i="3"/>
  <c r="D46" i="3"/>
  <c r="D47" i="3"/>
  <c r="D48" i="3"/>
  <c r="D49" i="3"/>
  <c r="D50" i="3"/>
  <c r="D51" i="3"/>
  <c r="S34" i="3" l="1"/>
  <c r="S35" i="3" s="1"/>
  <c r="S36" i="3" s="1"/>
  <c r="S37" i="3" s="1"/>
  <c r="S38" i="3" s="1"/>
  <c r="S39" i="3" s="1"/>
  <c r="S40" i="3" s="1"/>
  <c r="S41" i="3" s="1"/>
  <c r="S42" i="3" s="1"/>
  <c r="S43" i="3" s="1"/>
  <c r="S44" i="3" s="1"/>
  <c r="S45" i="3" s="1"/>
  <c r="S46" i="3" s="1"/>
  <c r="S47" i="3" s="1"/>
  <c r="S48" i="3" s="1"/>
  <c r="S49" i="3" s="1"/>
  <c r="S50" i="3" s="1"/>
  <c r="S51" i="3" s="1"/>
  <c r="S52" i="3" s="1"/>
  <c r="S53" i="3" s="1"/>
  <c r="S54" i="3" s="1"/>
  <c r="S55" i="3" s="1"/>
  <c r="S56" i="3" s="1"/>
  <c r="S57" i="3" s="1"/>
  <c r="S58" i="3" s="1"/>
  <c r="S59" i="3" s="1"/>
  <c r="S60" i="3" s="1"/>
  <c r="S61" i="3" s="1"/>
  <c r="S62" i="3" s="1"/>
  <c r="S63" i="3" s="1"/>
  <c r="R34" i="3"/>
  <c r="R35" i="3" s="1"/>
  <c r="R36" i="3" s="1"/>
  <c r="R37" i="3" s="1"/>
  <c r="R38" i="3" s="1"/>
  <c r="R39" i="3" s="1"/>
  <c r="R40" i="3" s="1"/>
  <c r="R41" i="3" s="1"/>
  <c r="R42" i="3" s="1"/>
  <c r="R43" i="3" s="1"/>
  <c r="R44" i="3" s="1"/>
  <c r="R45" i="3" s="1"/>
  <c r="R46" i="3" s="1"/>
  <c r="R47" i="3" s="1"/>
  <c r="R48" i="3" s="1"/>
  <c r="R49" i="3" s="1"/>
  <c r="R50" i="3" s="1"/>
  <c r="R51" i="3" s="1"/>
  <c r="R52" i="3" s="1"/>
  <c r="R53" i="3" s="1"/>
  <c r="R54" i="3" s="1"/>
  <c r="R55" i="3" s="1"/>
  <c r="R56" i="3" s="1"/>
  <c r="R57" i="3" s="1"/>
  <c r="R58" i="3" s="1"/>
  <c r="R59" i="3" s="1"/>
  <c r="R60" i="3" s="1"/>
  <c r="R61" i="3" s="1"/>
  <c r="R62" i="3" s="1"/>
  <c r="R63" i="3" s="1"/>
  <c r="Q34" i="3"/>
  <c r="Q35" i="3" s="1"/>
  <c r="Q36" i="3" s="1"/>
  <c r="Q37" i="3" s="1"/>
  <c r="Q38" i="3" s="1"/>
  <c r="Q39" i="3" s="1"/>
  <c r="Q40" i="3" s="1"/>
  <c r="Q41" i="3" s="1"/>
  <c r="Q42" i="3" s="1"/>
  <c r="Q43" i="3" s="1"/>
  <c r="Q44" i="3" s="1"/>
  <c r="Q45" i="3" s="1"/>
  <c r="Q46" i="3" s="1"/>
  <c r="Q47" i="3" s="1"/>
  <c r="Q48" i="3" s="1"/>
  <c r="Q49" i="3" s="1"/>
  <c r="Q50" i="3" s="1"/>
  <c r="Q51" i="3" s="1"/>
  <c r="Q52" i="3" s="1"/>
  <c r="Q53" i="3" s="1"/>
  <c r="Q54" i="3" s="1"/>
  <c r="Q55" i="3" s="1"/>
  <c r="Q56" i="3" s="1"/>
  <c r="Q57" i="3" s="1"/>
  <c r="Q58" i="3" s="1"/>
  <c r="Q59" i="3" s="1"/>
  <c r="Q60" i="3" s="1"/>
  <c r="Q61" i="3" s="1"/>
  <c r="Q62" i="3" s="1"/>
  <c r="Q63" i="3" s="1"/>
  <c r="C34" i="3"/>
  <c r="E34" i="3"/>
  <c r="C35" i="3"/>
  <c r="E35" i="3"/>
  <c r="C36" i="3"/>
  <c r="E36" i="3"/>
  <c r="C37" i="3"/>
  <c r="E37" i="3"/>
  <c r="C38" i="3"/>
  <c r="E38" i="3"/>
  <c r="C39" i="3"/>
  <c r="E39" i="3"/>
  <c r="C40" i="3"/>
  <c r="E40" i="3"/>
  <c r="C41" i="3"/>
  <c r="E41" i="3"/>
  <c r="C42" i="3"/>
  <c r="E42" i="3"/>
  <c r="C43" i="3"/>
  <c r="E43" i="3"/>
  <c r="C44" i="3"/>
  <c r="E44" i="3"/>
  <c r="C45" i="3"/>
  <c r="E45" i="3"/>
  <c r="C46" i="3"/>
  <c r="E46" i="3"/>
  <c r="C47" i="3"/>
  <c r="E47" i="3"/>
  <c r="C48" i="3"/>
  <c r="E48" i="3"/>
  <c r="C49" i="3"/>
  <c r="E49" i="3"/>
  <c r="C50" i="3"/>
  <c r="E50" i="3"/>
  <c r="C51" i="3"/>
  <c r="E51" i="3"/>
  <c r="E33" i="3"/>
  <c r="C33" i="3"/>
  <c r="I33" i="9"/>
  <c r="I34" i="9"/>
  <c r="I35" i="9"/>
  <c r="I36" i="9"/>
  <c r="I37" i="9"/>
  <c r="I38" i="9"/>
  <c r="I39" i="9"/>
  <c r="I40" i="9"/>
  <c r="I41" i="9"/>
  <c r="I42" i="9"/>
  <c r="I43" i="9"/>
  <c r="I44" i="9"/>
  <c r="I45" i="9"/>
  <c r="I46" i="9"/>
  <c r="I47" i="9"/>
  <c r="I48" i="9"/>
  <c r="I49" i="9"/>
  <c r="I50" i="9"/>
  <c r="I51" i="9"/>
  <c r="I52" i="9"/>
  <c r="I53" i="9"/>
  <c r="I54" i="9"/>
  <c r="I55" i="9"/>
  <c r="I56" i="9"/>
  <c r="I58" i="9"/>
  <c r="I59" i="9"/>
  <c r="I60" i="9"/>
  <c r="I61" i="9"/>
  <c r="F33" i="3" l="1"/>
  <c r="G33" i="3"/>
  <c r="H33" i="3"/>
  <c r="G51" i="3"/>
  <c r="G47" i="3"/>
  <c r="G43" i="3"/>
  <c r="G39" i="3"/>
  <c r="G35" i="3"/>
  <c r="G50" i="3"/>
  <c r="G48" i="3"/>
  <c r="G46" i="3"/>
  <c r="G44" i="3"/>
  <c r="G42" i="3"/>
  <c r="G40" i="3"/>
  <c r="G38" i="3"/>
  <c r="G36" i="3"/>
  <c r="G34" i="3"/>
  <c r="G49" i="3"/>
  <c r="G45" i="3"/>
  <c r="G41" i="3"/>
  <c r="G37" i="3"/>
  <c r="J33" i="9"/>
  <c r="J34" i="9" s="1"/>
  <c r="C23" i="5"/>
  <c r="C22" i="5"/>
  <c r="C21" i="5"/>
  <c r="C20" i="5"/>
  <c r="C19" i="5"/>
  <c r="D19" i="5"/>
  <c r="D18" i="5"/>
  <c r="D32" i="5"/>
  <c r="D31" i="5"/>
  <c r="D30" i="5"/>
  <c r="D29" i="5"/>
  <c r="D28" i="5"/>
  <c r="D27" i="5"/>
  <c r="D26" i="5"/>
  <c r="D25" i="5"/>
  <c r="D24" i="5"/>
  <c r="D23" i="5"/>
  <c r="D22" i="5"/>
  <c r="D21" i="5"/>
  <c r="D20" i="5"/>
  <c r="C18" i="5"/>
  <c r="C24" i="5"/>
  <c r="C25" i="5"/>
  <c r="C26" i="5"/>
  <c r="C27" i="5"/>
  <c r="C28" i="5"/>
  <c r="C29" i="5"/>
  <c r="C30" i="5"/>
  <c r="C31" i="5"/>
  <c r="C32" i="5"/>
  <c r="C33" i="5"/>
  <c r="C34" i="5"/>
  <c r="C35" i="5"/>
  <c r="C36" i="5"/>
  <c r="C37" i="5"/>
  <c r="C38" i="5"/>
  <c r="C39" i="5"/>
  <c r="C40" i="5"/>
  <c r="C41" i="5"/>
  <c r="C42" i="5"/>
  <c r="C43" i="5"/>
  <c r="C44" i="5"/>
  <c r="C45" i="5"/>
  <c r="C46" i="5"/>
  <c r="D33" i="5"/>
  <c r="D34" i="5"/>
  <c r="D35" i="5"/>
  <c r="D36" i="5"/>
  <c r="D37" i="5"/>
  <c r="D38" i="5"/>
  <c r="D39" i="5"/>
  <c r="D40" i="5"/>
  <c r="D41" i="5"/>
  <c r="D42" i="5"/>
  <c r="D43" i="5"/>
  <c r="D44" i="5"/>
  <c r="D45" i="5"/>
  <c r="D46" i="5"/>
  <c r="K12" i="9" l="1"/>
  <c r="K8" i="9" s="1"/>
  <c r="D14" i="5"/>
  <c r="C14" i="5"/>
  <c r="J8" i="5"/>
  <c r="D13" i="5" s="1"/>
  <c r="I8" i="5"/>
  <c r="K9" i="9" l="1"/>
  <c r="K10" i="9"/>
  <c r="N32" i="9"/>
  <c r="D12" i="5"/>
  <c r="C12" i="5"/>
  <c r="F17" i="5" s="1"/>
  <c r="E24" i="1" l="1"/>
  <c r="V39" i="7" l="1"/>
  <c r="V43" i="7"/>
  <c r="V47" i="7"/>
  <c r="V51" i="7"/>
  <c r="V55" i="7"/>
  <c r="V40" i="7"/>
  <c r="V44" i="7"/>
  <c r="V48" i="7"/>
  <c r="V52" i="7"/>
  <c r="V56" i="7"/>
  <c r="V37" i="7"/>
  <c r="V45" i="7"/>
  <c r="V53" i="7"/>
  <c r="V41" i="7"/>
  <c r="V50" i="7"/>
  <c r="V38" i="7"/>
  <c r="V46" i="7"/>
  <c r="V54" i="7"/>
  <c r="V49" i="7"/>
  <c r="V42" i="7"/>
  <c r="P34" i="3"/>
  <c r="P35" i="3" s="1"/>
  <c r="P36" i="3" s="1"/>
  <c r="P37" i="3" s="1"/>
  <c r="P38" i="3" s="1"/>
  <c r="P39" i="3" s="1"/>
  <c r="P40" i="3" s="1"/>
  <c r="P41" i="3" s="1"/>
  <c r="P42" i="3" s="1"/>
  <c r="P43" i="3" s="1"/>
  <c r="P44" i="3" s="1"/>
  <c r="P45" i="3" s="1"/>
  <c r="P46" i="3" s="1"/>
  <c r="P47" i="3" s="1"/>
  <c r="P48" i="3" s="1"/>
  <c r="P49" i="3" s="1"/>
  <c r="P50" i="3" s="1"/>
  <c r="P51" i="3" s="1"/>
  <c r="P52" i="3" s="1"/>
  <c r="P53" i="3" s="1"/>
  <c r="P54" i="3" s="1"/>
  <c r="P55" i="3" s="1"/>
  <c r="P56" i="3" s="1"/>
  <c r="P57" i="3" s="1"/>
  <c r="P58" i="3" s="1"/>
  <c r="P59" i="3" s="1"/>
  <c r="P60" i="3" s="1"/>
  <c r="P61" i="3" s="1"/>
  <c r="P62" i="3" s="1"/>
  <c r="P63" i="3" s="1"/>
  <c r="C31" i="3"/>
  <c r="J33" i="3" s="1"/>
  <c r="E25" i="1" l="1"/>
  <c r="F30" i="2" l="1"/>
  <c r="E61" i="2"/>
  <c r="D61" i="2"/>
  <c r="H34" i="4" l="1"/>
  <c r="I34" i="4" s="1"/>
  <c r="J34" i="4" l="1"/>
  <c r="M34" i="4" l="1"/>
  <c r="J35" i="9" l="1"/>
  <c r="M33" i="9"/>
  <c r="M34" i="9" s="1"/>
  <c r="M35" i="9" s="1"/>
  <c r="M36" i="9" s="1"/>
  <c r="M37" i="9" s="1"/>
  <c r="M38" i="9" s="1"/>
  <c r="M39" i="9" s="1"/>
  <c r="M40" i="9" s="1"/>
  <c r="M41" i="9" s="1"/>
  <c r="M42" i="9" s="1"/>
  <c r="M43" i="9" s="1"/>
  <c r="M44" i="9" s="1"/>
  <c r="M45" i="9" s="1"/>
  <c r="M46" i="9" s="1"/>
  <c r="M47" i="9" s="1"/>
  <c r="M48" i="9" s="1"/>
  <c r="M49" i="9" s="1"/>
  <c r="M50" i="9" s="1"/>
  <c r="M51" i="9" s="1"/>
  <c r="M52" i="9" s="1"/>
  <c r="M53" i="9" s="1"/>
  <c r="M54" i="9" s="1"/>
  <c r="M55" i="9" s="1"/>
  <c r="M56" i="9" s="1"/>
  <c r="M57" i="9" s="1"/>
  <c r="M58" i="9" s="1"/>
  <c r="M59" i="9" s="1"/>
  <c r="M60" i="9" s="1"/>
  <c r="M61" i="9" s="1"/>
  <c r="M62" i="9" s="1"/>
  <c r="M63" i="9" s="1"/>
  <c r="M64" i="9" s="1"/>
  <c r="M65" i="9" s="1"/>
  <c r="M66" i="9" s="1"/>
  <c r="M67" i="9" s="1"/>
  <c r="M68" i="9" s="1"/>
  <c r="M69" i="9" s="1"/>
  <c r="M70" i="9" s="1"/>
  <c r="M71" i="9" s="1"/>
  <c r="M72" i="9" s="1"/>
  <c r="M73" i="9" s="1"/>
  <c r="M74" i="9" s="1"/>
  <c r="M75" i="9" s="1"/>
  <c r="M76" i="9" s="1"/>
  <c r="M77" i="9" s="1"/>
  <c r="M78" i="9" s="1"/>
  <c r="M79" i="9" s="1"/>
  <c r="M80" i="9" s="1"/>
  <c r="M81" i="9" s="1"/>
  <c r="M82" i="9" s="1"/>
  <c r="M83" i="9" s="1"/>
  <c r="M84" i="9" s="1"/>
  <c r="M85" i="9" s="1"/>
  <c r="M86" i="9" s="1"/>
  <c r="K33" i="9"/>
  <c r="N33" i="9" s="1"/>
  <c r="J36" i="9" l="1"/>
  <c r="J37" i="9" s="1"/>
  <c r="K34" i="9"/>
  <c r="K35" i="9" s="1"/>
  <c r="K36" i="9" s="1"/>
  <c r="K37" i="9" s="1"/>
  <c r="K38" i="9" s="1"/>
  <c r="K39" i="9" s="1"/>
  <c r="K40" i="9" s="1"/>
  <c r="K41" i="9" s="1"/>
  <c r="K42" i="9" s="1"/>
  <c r="K43" i="9" s="1"/>
  <c r="K44" i="9" s="1"/>
  <c r="K45" i="9" s="1"/>
  <c r="K46" i="9" s="1"/>
  <c r="K47" i="9" s="1"/>
  <c r="K48" i="9" s="1"/>
  <c r="K49" i="9" s="1"/>
  <c r="K50" i="9" s="1"/>
  <c r="K51" i="9" s="1"/>
  <c r="K52" i="9" s="1"/>
  <c r="K53" i="9" s="1"/>
  <c r="K54" i="9" s="1"/>
  <c r="K55" i="9" s="1"/>
  <c r="K56" i="9" s="1"/>
  <c r="K57" i="9" s="1"/>
  <c r="K58" i="9" s="1"/>
  <c r="K59" i="9" s="1"/>
  <c r="K60" i="9" s="1"/>
  <c r="K61" i="9" s="1"/>
  <c r="K62" i="9" s="1"/>
  <c r="K63" i="9" s="1"/>
  <c r="K64" i="9" s="1"/>
  <c r="K65" i="9" s="1"/>
  <c r="K66" i="9" s="1"/>
  <c r="K67" i="9" s="1"/>
  <c r="K68" i="9" s="1"/>
  <c r="K69" i="9" s="1"/>
  <c r="K70" i="9" s="1"/>
  <c r="K71" i="9" s="1"/>
  <c r="K72" i="9" s="1"/>
  <c r="K73" i="9" s="1"/>
  <c r="K74" i="9" s="1"/>
  <c r="K75" i="9" s="1"/>
  <c r="K76" i="9" s="1"/>
  <c r="L35" i="9"/>
  <c r="L36" i="9" s="1"/>
  <c r="L37" i="9" s="1"/>
  <c r="L38" i="9" s="1"/>
  <c r="L39" i="9" s="1"/>
  <c r="L40" i="9" s="1"/>
  <c r="L41" i="9" s="1"/>
  <c r="L42" i="9" s="1"/>
  <c r="L43" i="9" s="1"/>
  <c r="L44" i="9" s="1"/>
  <c r="L45" i="9" s="1"/>
  <c r="L46" i="9" s="1"/>
  <c r="L47" i="9" s="1"/>
  <c r="L48" i="9" s="1"/>
  <c r="L49" i="9" s="1"/>
  <c r="L50" i="9" s="1"/>
  <c r="L51" i="9" s="1"/>
  <c r="L52" i="9" s="1"/>
  <c r="L53" i="9" s="1"/>
  <c r="L54" i="9" s="1"/>
  <c r="L55" i="9" s="1"/>
  <c r="L56" i="9" s="1"/>
  <c r="L57" i="9" s="1"/>
  <c r="L58" i="9" s="1"/>
  <c r="L59" i="9" s="1"/>
  <c r="L60" i="9" s="1"/>
  <c r="L61" i="9" s="1"/>
  <c r="L62" i="9" s="1"/>
  <c r="L63" i="9" s="1"/>
  <c r="L64" i="9" s="1"/>
  <c r="L65" i="9" s="1"/>
  <c r="L66" i="9" s="1"/>
  <c r="L67" i="9" s="1"/>
  <c r="L68" i="9" s="1"/>
  <c r="L69" i="9" s="1"/>
  <c r="L70" i="9" s="1"/>
  <c r="L71" i="9" s="1"/>
  <c r="L72" i="9" s="1"/>
  <c r="L73" i="9" s="1"/>
  <c r="L74" i="9" s="1"/>
  <c r="L75" i="9" s="1"/>
  <c r="L76" i="9" s="1"/>
  <c r="L77" i="9" s="1"/>
  <c r="L78" i="9" s="1"/>
  <c r="L79" i="9" s="1"/>
  <c r="L80" i="9" s="1"/>
  <c r="L81" i="9" s="1"/>
  <c r="L82" i="9" s="1"/>
  <c r="L83" i="9" s="1"/>
  <c r="L84" i="9" s="1"/>
  <c r="L85" i="9" s="1"/>
  <c r="L86" i="9" s="1"/>
  <c r="H38" i="4"/>
  <c r="H42" i="4"/>
  <c r="H58" i="4"/>
  <c r="H51" i="4"/>
  <c r="H47" i="4"/>
  <c r="H39" i="4"/>
  <c r="H43" i="4"/>
  <c r="H54" i="4"/>
  <c r="H50" i="4"/>
  <c r="H46" i="4"/>
  <c r="H35" i="4"/>
  <c r="H40" i="4"/>
  <c r="H53" i="4"/>
  <c r="H49" i="4"/>
  <c r="H45" i="4"/>
  <c r="H37" i="4"/>
  <c r="H41" i="4"/>
  <c r="H52" i="4"/>
  <c r="H48" i="4"/>
  <c r="H44" i="4"/>
  <c r="H13" i="5"/>
  <c r="G13" i="5"/>
  <c r="H12" i="5"/>
  <c r="G12" i="5"/>
  <c r="F13" i="5"/>
  <c r="I25" i="5" s="1"/>
  <c r="E13" i="5"/>
  <c r="H23" i="5" s="1"/>
  <c r="F12" i="5"/>
  <c r="I19" i="5" s="1"/>
  <c r="G19" i="5"/>
  <c r="E12" i="5"/>
  <c r="H24" i="5" s="1"/>
  <c r="F24" i="5"/>
  <c r="C13" i="5"/>
  <c r="F23" i="5" s="1"/>
  <c r="G25" i="5"/>
  <c r="N36" i="9" l="1"/>
  <c r="N34" i="9"/>
  <c r="J38" i="9"/>
  <c r="N37" i="9"/>
  <c r="N35" i="9"/>
  <c r="K77" i="9"/>
  <c r="K78" i="9" s="1"/>
  <c r="K79" i="9" s="1"/>
  <c r="K80" i="9" s="1"/>
  <c r="K81" i="9" s="1"/>
  <c r="K82" i="9" s="1"/>
  <c r="K83" i="9" s="1"/>
  <c r="H62" i="4"/>
  <c r="H63" i="4"/>
  <c r="H57" i="4"/>
  <c r="H59" i="4"/>
  <c r="H60" i="4"/>
  <c r="F18" i="5"/>
  <c r="I20" i="5"/>
  <c r="F25" i="5"/>
  <c r="F20" i="5"/>
  <c r="H26" i="5"/>
  <c r="H20" i="5"/>
  <c r="F19" i="5"/>
  <c r="G26" i="5"/>
  <c r="H18" i="5"/>
  <c r="I23" i="5"/>
  <c r="I18" i="5"/>
  <c r="H25" i="5"/>
  <c r="G24" i="5"/>
  <c r="G18" i="5"/>
  <c r="G23" i="5"/>
  <c r="I24" i="5"/>
  <c r="G20" i="5"/>
  <c r="F26" i="5"/>
  <c r="G17" i="5"/>
  <c r="H19" i="5"/>
  <c r="I26" i="5"/>
  <c r="H17" i="5"/>
  <c r="I17" i="5" s="1"/>
  <c r="J39" i="9" l="1"/>
  <c r="N38" i="9"/>
  <c r="K84" i="9"/>
  <c r="K85" i="9" s="1"/>
  <c r="K86" i="9" s="1"/>
  <c r="H61" i="4"/>
  <c r="H55" i="4"/>
  <c r="M35" i="7"/>
  <c r="M36" i="7" s="1"/>
  <c r="M37" i="7" s="1"/>
  <c r="M38" i="7" s="1"/>
  <c r="M39" i="7" s="1"/>
  <c r="M40" i="7" s="1"/>
  <c r="M41" i="7" s="1"/>
  <c r="M42" i="7" s="1"/>
  <c r="M43" i="7" s="1"/>
  <c r="M44" i="7" s="1"/>
  <c r="M45" i="7" s="1"/>
  <c r="M46" i="7" s="1"/>
  <c r="M47" i="7" s="1"/>
  <c r="M48" i="7" s="1"/>
  <c r="M49" i="7" s="1"/>
  <c r="M50" i="7" s="1"/>
  <c r="M51" i="7" s="1"/>
  <c r="M52" i="7" s="1"/>
  <c r="M53" i="7" s="1"/>
  <c r="M54" i="7" s="1"/>
  <c r="M55" i="7" s="1"/>
  <c r="M56" i="7" s="1"/>
  <c r="M57" i="7" s="1"/>
  <c r="M58" i="7" s="1"/>
  <c r="M59" i="7" s="1"/>
  <c r="M60" i="7" s="1"/>
  <c r="M61" i="7" s="1"/>
  <c r="M62" i="7" s="1"/>
  <c r="M63" i="7" s="1"/>
  <c r="M64" i="7" s="1"/>
  <c r="M65" i="7" s="1"/>
  <c r="M66" i="7" s="1"/>
  <c r="M67" i="7" s="1"/>
  <c r="M68" i="7" s="1"/>
  <c r="M69" i="7" s="1"/>
  <c r="M70" i="7" s="1"/>
  <c r="M71" i="7" s="1"/>
  <c r="M72" i="7" s="1"/>
  <c r="M73" i="7" s="1"/>
  <c r="M74" i="7" s="1"/>
  <c r="M75" i="7" s="1"/>
  <c r="M76" i="7" s="1"/>
  <c r="M77" i="7" s="1"/>
  <c r="M78" i="7" s="1"/>
  <c r="M79" i="7" s="1"/>
  <c r="M80" i="7" s="1"/>
  <c r="M81" i="7" s="1"/>
  <c r="M82" i="7" s="1"/>
  <c r="M83" i="7" s="1"/>
  <c r="M84" i="7" s="1"/>
  <c r="M85" i="7" s="1"/>
  <c r="M86" i="7" s="1"/>
  <c r="M87" i="7" s="1"/>
  <c r="M88" i="7" s="1"/>
  <c r="M89" i="7" s="1"/>
  <c r="M90" i="7" s="1"/>
  <c r="M91" i="7" s="1"/>
  <c r="M92" i="7" s="1"/>
  <c r="M93" i="7" s="1"/>
  <c r="M94" i="7" s="1"/>
  <c r="M95" i="7" s="1"/>
  <c r="M96" i="7" s="1"/>
  <c r="M97" i="7" s="1"/>
  <c r="M98" i="7" s="1"/>
  <c r="M99" i="7" s="1"/>
  <c r="M100" i="7" s="1"/>
  <c r="M101" i="7" s="1"/>
  <c r="M102" i="7" s="1"/>
  <c r="M103" i="7" s="1"/>
  <c r="M104" i="7" s="1"/>
  <c r="M105" i="7" s="1"/>
  <c r="M106" i="7" s="1"/>
  <c r="M107" i="7" s="1"/>
  <c r="M108" i="7" s="1"/>
  <c r="M109" i="7" s="1"/>
  <c r="M110" i="7" s="1"/>
  <c r="M111" i="7" s="1"/>
  <c r="M112" i="7" s="1"/>
  <c r="M113" i="7" s="1"/>
  <c r="M114" i="7" s="1"/>
  <c r="M115" i="7" s="1"/>
  <c r="M116" i="7" s="1"/>
  <c r="M117" i="7" s="1"/>
  <c r="M118" i="7" s="1"/>
  <c r="M119" i="7" s="1"/>
  <c r="M120" i="7" s="1"/>
  <c r="M121" i="7" s="1"/>
  <c r="M122" i="7" s="1"/>
  <c r="M123" i="7" s="1"/>
  <c r="M124" i="7" s="1"/>
  <c r="M125" i="7" s="1"/>
  <c r="M126" i="7" s="1"/>
  <c r="M127" i="7" s="1"/>
  <c r="M128" i="7" s="1"/>
  <c r="M129" i="7" s="1"/>
  <c r="M130" i="7" s="1"/>
  <c r="M131" i="7" s="1"/>
  <c r="M132" i="7" s="1"/>
  <c r="M133" i="7" s="1"/>
  <c r="M134" i="7" s="1"/>
  <c r="M135" i="7" s="1"/>
  <c r="M136" i="7" s="1"/>
  <c r="M137" i="7" s="1"/>
  <c r="M138" i="7" s="1"/>
  <c r="M139" i="7" s="1"/>
  <c r="M140" i="7" s="1"/>
  <c r="M141" i="7" s="1"/>
  <c r="M142" i="7" s="1"/>
  <c r="M143" i="7" s="1"/>
  <c r="M144" i="7" s="1"/>
  <c r="M145" i="7" s="1"/>
  <c r="M146" i="7" s="1"/>
  <c r="M147" i="7" s="1"/>
  <c r="M148" i="7" s="1"/>
  <c r="M149" i="7" s="1"/>
  <c r="M150" i="7" s="1"/>
  <c r="M151" i="7" s="1"/>
  <c r="M152" i="7" s="1"/>
  <c r="M153" i="7" s="1"/>
  <c r="M154" i="7" s="1"/>
  <c r="M155" i="7" s="1"/>
  <c r="M156" i="7" s="1"/>
  <c r="M157" i="7" s="1"/>
  <c r="M158" i="7" s="1"/>
  <c r="M159" i="7" s="1"/>
  <c r="M160" i="7" s="1"/>
  <c r="M161" i="7" s="1"/>
  <c r="M162" i="7" s="1"/>
  <c r="M163" i="7" s="1"/>
  <c r="M164" i="7" s="1"/>
  <c r="M165" i="7" s="1"/>
  <c r="M166" i="7" s="1"/>
  <c r="M167" i="7" s="1"/>
  <c r="M168" i="7" s="1"/>
  <c r="M169" i="7" s="1"/>
  <c r="M170" i="7" s="1"/>
  <c r="M171" i="7" s="1"/>
  <c r="M172" i="7" s="1"/>
  <c r="M173" i="7" s="1"/>
  <c r="M174" i="7" s="1"/>
  <c r="M175" i="7" s="1"/>
  <c r="M176" i="7" s="1"/>
  <c r="M177" i="7" s="1"/>
  <c r="M178" i="7" s="1"/>
  <c r="M179" i="7" s="1"/>
  <c r="M180" i="7" s="1"/>
  <c r="M181" i="7" s="1"/>
  <c r="M182" i="7" s="1"/>
  <c r="M183" i="7" s="1"/>
  <c r="M184" i="7" s="1"/>
  <c r="M185" i="7" s="1"/>
  <c r="M186" i="7" s="1"/>
  <c r="M187" i="7" s="1"/>
  <c r="M188" i="7" s="1"/>
  <c r="M189" i="7" s="1"/>
  <c r="M190" i="7" s="1"/>
  <c r="M191" i="7" s="1"/>
  <c r="M192" i="7" s="1"/>
  <c r="M193" i="7" s="1"/>
  <c r="M194" i="7" s="1"/>
  <c r="M195" i="7" s="1"/>
  <c r="M196" i="7" s="1"/>
  <c r="M197" i="7" s="1"/>
  <c r="M198" i="7" s="1"/>
  <c r="M199" i="7" s="1"/>
  <c r="M200" i="7" s="1"/>
  <c r="M201" i="7" s="1"/>
  <c r="M202" i="7" s="1"/>
  <c r="M203" i="7" s="1"/>
  <c r="M204" i="7" s="1"/>
  <c r="M205" i="7" s="1"/>
  <c r="M206" i="7" s="1"/>
  <c r="M207" i="7" s="1"/>
  <c r="M208" i="7" s="1"/>
  <c r="M209" i="7" s="1"/>
  <c r="M210" i="7" s="1"/>
  <c r="M211" i="7" s="1"/>
  <c r="M212" i="7" s="1"/>
  <c r="M213" i="7" s="1"/>
  <c r="M214" i="7" s="1"/>
  <c r="M215" i="7" s="1"/>
  <c r="M216" i="7" s="1"/>
  <c r="M217" i="7" s="1"/>
  <c r="M218" i="7" s="1"/>
  <c r="M219" i="7" s="1"/>
  <c r="M220" i="7" s="1"/>
  <c r="M221" i="7" s="1"/>
  <c r="M222" i="7" s="1"/>
  <c r="M223" i="7" s="1"/>
  <c r="M224" i="7" s="1"/>
  <c r="M225" i="7" s="1"/>
  <c r="M226" i="7" s="1"/>
  <c r="M227" i="7" s="1"/>
  <c r="M228" i="7" s="1"/>
  <c r="M229" i="7" s="1"/>
  <c r="M230" i="7" s="1"/>
  <c r="M231" i="7" s="1"/>
  <c r="M232" i="7" s="1"/>
  <c r="M233" i="7" s="1"/>
  <c r="M234" i="7" s="1"/>
  <c r="M235" i="7" s="1"/>
  <c r="M236" i="7" s="1"/>
  <c r="M237" i="7" s="1"/>
  <c r="M238" i="7" s="1"/>
  <c r="M239" i="7" s="1"/>
  <c r="M240" i="7" s="1"/>
  <c r="M241" i="7" s="1"/>
  <c r="M242" i="7" s="1"/>
  <c r="M243" i="7" s="1"/>
  <c r="M244" i="7" s="1"/>
  <c r="M245" i="7" s="1"/>
  <c r="M246" i="7" s="1"/>
  <c r="M247" i="7" s="1"/>
  <c r="M248" i="7" s="1"/>
  <c r="M249" i="7" s="1"/>
  <c r="M250" i="7" s="1"/>
  <c r="M251" i="7" s="1"/>
  <c r="M252" i="7" s="1"/>
  <c r="M253" i="7" s="1"/>
  <c r="M254" i="7" s="1"/>
  <c r="M255" i="7" s="1"/>
  <c r="M256" i="7" s="1"/>
  <c r="M257" i="7" s="1"/>
  <c r="M258" i="7" s="1"/>
  <c r="M259" i="7" s="1"/>
  <c r="M260" i="7" s="1"/>
  <c r="M261" i="7" s="1"/>
  <c r="M262" i="7" s="1"/>
  <c r="M263" i="7" s="1"/>
  <c r="M264" i="7" s="1"/>
  <c r="M265" i="7" s="1"/>
  <c r="M266" i="7" s="1"/>
  <c r="M267" i="7" s="1"/>
  <c r="M268" i="7" s="1"/>
  <c r="M269" i="7" s="1"/>
  <c r="M270" i="7" s="1"/>
  <c r="M271" i="7" s="1"/>
  <c r="M272" i="7" s="1"/>
  <c r="M273" i="7" s="1"/>
  <c r="M274" i="7" s="1"/>
  <c r="M275" i="7" s="1"/>
  <c r="M276" i="7" s="1"/>
  <c r="M277" i="7" s="1"/>
  <c r="M278" i="7" s="1"/>
  <c r="M279" i="7" s="1"/>
  <c r="M280" i="7" s="1"/>
  <c r="M281" i="7" s="1"/>
  <c r="M282" i="7" s="1"/>
  <c r="M283" i="7" s="1"/>
  <c r="M284" i="7" s="1"/>
  <c r="M285" i="7" s="1"/>
  <c r="M286" i="7" s="1"/>
  <c r="M287" i="7" s="1"/>
  <c r="M288" i="7" s="1"/>
  <c r="M289" i="7" s="1"/>
  <c r="M290" i="7" s="1"/>
  <c r="M291" i="7" s="1"/>
  <c r="M292" i="7" s="1"/>
  <c r="M293" i="7" s="1"/>
  <c r="M294" i="7" s="1"/>
  <c r="M295" i="7" s="1"/>
  <c r="M296" i="7" s="1"/>
  <c r="M297" i="7" s="1"/>
  <c r="M298" i="7" s="1"/>
  <c r="M299" i="7" s="1"/>
  <c r="M300" i="7" s="1"/>
  <c r="M301" i="7" s="1"/>
  <c r="M302" i="7" s="1"/>
  <c r="M303" i="7" s="1"/>
  <c r="M304" i="7" s="1"/>
  <c r="M305" i="7" s="1"/>
  <c r="M306" i="7" s="1"/>
  <c r="M307" i="7" s="1"/>
  <c r="M308" i="7" s="1"/>
  <c r="M309" i="7" s="1"/>
  <c r="M310" i="7" s="1"/>
  <c r="M311" i="7" s="1"/>
  <c r="M312" i="7" s="1"/>
  <c r="M313" i="7" s="1"/>
  <c r="M314" i="7" s="1"/>
  <c r="M315" i="7" s="1"/>
  <c r="M316" i="7" s="1"/>
  <c r="M317" i="7" s="1"/>
  <c r="M318" i="7" s="1"/>
  <c r="M319" i="7" s="1"/>
  <c r="M320" i="7" s="1"/>
  <c r="M321" i="7" s="1"/>
  <c r="M322" i="7" s="1"/>
  <c r="M323" i="7" s="1"/>
  <c r="M324" i="7" s="1"/>
  <c r="M325" i="7" s="1"/>
  <c r="M326" i="7" s="1"/>
  <c r="M327" i="7" s="1"/>
  <c r="M328" i="7" s="1"/>
  <c r="M329" i="7" s="1"/>
  <c r="M330" i="7" s="1"/>
  <c r="M331" i="7" s="1"/>
  <c r="M332" i="7" s="1"/>
  <c r="M333" i="7" s="1"/>
  <c r="M334" i="7" s="1"/>
  <c r="M335" i="7" s="1"/>
  <c r="M336" i="7" s="1"/>
  <c r="M337" i="7" s="1"/>
  <c r="M338" i="7" s="1"/>
  <c r="M339" i="7" s="1"/>
  <c r="M340" i="7" s="1"/>
  <c r="M341" i="7" s="1"/>
  <c r="M342" i="7" s="1"/>
  <c r="M343" i="7" s="1"/>
  <c r="M344" i="7" s="1"/>
  <c r="M345" i="7" s="1"/>
  <c r="M346" i="7" s="1"/>
  <c r="M347" i="7" s="1"/>
  <c r="M348" i="7" s="1"/>
  <c r="M349" i="7" s="1"/>
  <c r="M350" i="7" s="1"/>
  <c r="M351" i="7" s="1"/>
  <c r="M352" i="7" s="1"/>
  <c r="M353" i="7" s="1"/>
  <c r="M354" i="7" s="1"/>
  <c r="M355" i="7" s="1"/>
  <c r="M356" i="7" s="1"/>
  <c r="M357" i="7" s="1"/>
  <c r="M358" i="7" s="1"/>
  <c r="M359" i="7" s="1"/>
  <c r="M360" i="7" s="1"/>
  <c r="M361" i="7" s="1"/>
  <c r="M362" i="7" s="1"/>
  <c r="M363" i="7" s="1"/>
  <c r="M364" i="7" s="1"/>
  <c r="M365" i="7" s="1"/>
  <c r="M366" i="7" s="1"/>
  <c r="M367" i="7" s="1"/>
  <c r="M368" i="7" s="1"/>
  <c r="M369" i="7" s="1"/>
  <c r="M370" i="7" s="1"/>
  <c r="M371" i="7" s="1"/>
  <c r="M372" i="7" s="1"/>
  <c r="M373" i="7" s="1"/>
  <c r="M374" i="7" s="1"/>
  <c r="M375" i="7" s="1"/>
  <c r="M376" i="7" s="1"/>
  <c r="M377" i="7" s="1"/>
  <c r="M378" i="7" s="1"/>
  <c r="M379" i="7" s="1"/>
  <c r="M380" i="7" s="1"/>
  <c r="M381" i="7" s="1"/>
  <c r="M382" i="7" s="1"/>
  <c r="M383" i="7" s="1"/>
  <c r="M384" i="7" s="1"/>
  <c r="M385" i="7" s="1"/>
  <c r="M386" i="7" s="1"/>
  <c r="J40" i="9" l="1"/>
  <c r="N39" i="9"/>
  <c r="N35" i="7"/>
  <c r="M4" i="7" s="1"/>
  <c r="O35" i="7"/>
  <c r="K35" i="7"/>
  <c r="L35" i="7"/>
  <c r="I3" i="7"/>
  <c r="J35" i="7"/>
  <c r="C6" i="7"/>
  <c r="P35" i="7"/>
  <c r="P36" i="7" s="1"/>
  <c r="P37" i="7" s="1"/>
  <c r="P38" i="7" s="1"/>
  <c r="P39" i="7" s="1"/>
  <c r="P40" i="7" s="1"/>
  <c r="P41" i="7" s="1"/>
  <c r="P42" i="7" s="1"/>
  <c r="P43" i="7" s="1"/>
  <c r="P44" i="7" s="1"/>
  <c r="P45" i="7" s="1"/>
  <c r="P46" i="7" s="1"/>
  <c r="P47" i="7" s="1"/>
  <c r="P48" i="7" s="1"/>
  <c r="P49" i="7" s="1"/>
  <c r="P50" i="7" s="1"/>
  <c r="P51" i="7" s="1"/>
  <c r="P52" i="7" s="1"/>
  <c r="P53" i="7" s="1"/>
  <c r="P54" i="7" s="1"/>
  <c r="P55" i="7" s="1"/>
  <c r="P56" i="7" s="1"/>
  <c r="P57" i="7" s="1"/>
  <c r="P58" i="7" s="1"/>
  <c r="P59" i="7" s="1"/>
  <c r="P60" i="7" s="1"/>
  <c r="P61" i="7" s="1"/>
  <c r="P62" i="7" s="1"/>
  <c r="P63" i="7" s="1"/>
  <c r="P64" i="7" s="1"/>
  <c r="P65" i="7" s="1"/>
  <c r="P66" i="7" s="1"/>
  <c r="P67" i="7" s="1"/>
  <c r="P68" i="7" s="1"/>
  <c r="P69" i="7" s="1"/>
  <c r="P70" i="7" s="1"/>
  <c r="P71" i="7" s="1"/>
  <c r="P72" i="7" s="1"/>
  <c r="P73" i="7" s="1"/>
  <c r="P74" i="7" s="1"/>
  <c r="P75" i="7" s="1"/>
  <c r="P76" i="7" s="1"/>
  <c r="P77" i="7" s="1"/>
  <c r="P78" i="7" s="1"/>
  <c r="P79" i="7" s="1"/>
  <c r="P80" i="7" s="1"/>
  <c r="P81" i="7" s="1"/>
  <c r="P82" i="7" s="1"/>
  <c r="P83" i="7" s="1"/>
  <c r="P84" i="7" s="1"/>
  <c r="P85" i="7" s="1"/>
  <c r="P86" i="7" s="1"/>
  <c r="P87" i="7" s="1"/>
  <c r="P88" i="7" s="1"/>
  <c r="P89" i="7" s="1"/>
  <c r="P90" i="7" s="1"/>
  <c r="P91" i="7" s="1"/>
  <c r="P92" i="7" s="1"/>
  <c r="P93" i="7" s="1"/>
  <c r="P94" i="7" s="1"/>
  <c r="P95" i="7" s="1"/>
  <c r="P96" i="7" s="1"/>
  <c r="P97" i="7" s="1"/>
  <c r="P98" i="7" s="1"/>
  <c r="P99" i="7" s="1"/>
  <c r="P100" i="7" s="1"/>
  <c r="P101" i="7" s="1"/>
  <c r="P102" i="7" s="1"/>
  <c r="P103" i="7" s="1"/>
  <c r="P104" i="7" s="1"/>
  <c r="P105" i="7" s="1"/>
  <c r="P106" i="7" s="1"/>
  <c r="P107" i="7" s="1"/>
  <c r="P108" i="7" s="1"/>
  <c r="P109" i="7" s="1"/>
  <c r="P110" i="7" s="1"/>
  <c r="P111" i="7" s="1"/>
  <c r="P112" i="7" s="1"/>
  <c r="P113" i="7" s="1"/>
  <c r="P114" i="7" s="1"/>
  <c r="P115" i="7" s="1"/>
  <c r="P116" i="7" s="1"/>
  <c r="P117" i="7" s="1"/>
  <c r="P118" i="7" s="1"/>
  <c r="P119" i="7" s="1"/>
  <c r="P120" i="7" s="1"/>
  <c r="P121" i="7" s="1"/>
  <c r="P122" i="7" s="1"/>
  <c r="P123" i="7" s="1"/>
  <c r="P124" i="7" s="1"/>
  <c r="P125" i="7" s="1"/>
  <c r="P126" i="7" s="1"/>
  <c r="P127" i="7" s="1"/>
  <c r="P128" i="7" s="1"/>
  <c r="P129" i="7" s="1"/>
  <c r="P130" i="7" s="1"/>
  <c r="P131" i="7" s="1"/>
  <c r="P132" i="7" s="1"/>
  <c r="P133" i="7" s="1"/>
  <c r="P134" i="7" s="1"/>
  <c r="P135" i="7" s="1"/>
  <c r="P136" i="7" s="1"/>
  <c r="P137" i="7" s="1"/>
  <c r="P138" i="7" s="1"/>
  <c r="P139" i="7" s="1"/>
  <c r="P140" i="7" s="1"/>
  <c r="P141" i="7" s="1"/>
  <c r="P142" i="7" s="1"/>
  <c r="P143" i="7" s="1"/>
  <c r="P144" i="7" s="1"/>
  <c r="P145" i="7" s="1"/>
  <c r="P146" i="7" s="1"/>
  <c r="P147" i="7" s="1"/>
  <c r="P148" i="7" s="1"/>
  <c r="P149" i="7" s="1"/>
  <c r="P150" i="7" s="1"/>
  <c r="P151" i="7" s="1"/>
  <c r="P152" i="7" s="1"/>
  <c r="P153" i="7" s="1"/>
  <c r="P154" i="7" s="1"/>
  <c r="P155" i="7" s="1"/>
  <c r="P156" i="7" s="1"/>
  <c r="P157" i="7" s="1"/>
  <c r="P158" i="7" s="1"/>
  <c r="P159" i="7" s="1"/>
  <c r="P160" i="7" s="1"/>
  <c r="P161" i="7" s="1"/>
  <c r="P162" i="7" s="1"/>
  <c r="P163" i="7" s="1"/>
  <c r="P164" i="7" s="1"/>
  <c r="P165" i="7" s="1"/>
  <c r="P166" i="7" s="1"/>
  <c r="P167" i="7" s="1"/>
  <c r="P168" i="7" s="1"/>
  <c r="P169" i="7" s="1"/>
  <c r="P170" i="7" s="1"/>
  <c r="P171" i="7" s="1"/>
  <c r="P172" i="7" s="1"/>
  <c r="P173" i="7" s="1"/>
  <c r="P174" i="7" s="1"/>
  <c r="P175" i="7" s="1"/>
  <c r="P176" i="7" s="1"/>
  <c r="P177" i="7" s="1"/>
  <c r="P178" i="7" s="1"/>
  <c r="P179" i="7" s="1"/>
  <c r="P180" i="7" s="1"/>
  <c r="P181" i="7" s="1"/>
  <c r="P182" i="7" s="1"/>
  <c r="P183" i="7" s="1"/>
  <c r="P184" i="7" s="1"/>
  <c r="P185" i="7" s="1"/>
  <c r="P186" i="7" s="1"/>
  <c r="P187" i="7" s="1"/>
  <c r="P188" i="7" s="1"/>
  <c r="P189" i="7" s="1"/>
  <c r="P190" i="7" s="1"/>
  <c r="P191" i="7" s="1"/>
  <c r="P192" i="7" s="1"/>
  <c r="P193" i="7" s="1"/>
  <c r="P194" i="7" s="1"/>
  <c r="P195" i="7" s="1"/>
  <c r="P196" i="7" s="1"/>
  <c r="P197" i="7" s="1"/>
  <c r="P198" i="7" s="1"/>
  <c r="P199" i="7" s="1"/>
  <c r="P200" i="7" s="1"/>
  <c r="P201" i="7" s="1"/>
  <c r="P202" i="7" s="1"/>
  <c r="P203" i="7" s="1"/>
  <c r="P204" i="7" s="1"/>
  <c r="P205" i="7" s="1"/>
  <c r="P206" i="7" s="1"/>
  <c r="P207" i="7" s="1"/>
  <c r="P208" i="7" s="1"/>
  <c r="P209" i="7" s="1"/>
  <c r="P210" i="7" s="1"/>
  <c r="P211" i="7" s="1"/>
  <c r="P212" i="7" s="1"/>
  <c r="P213" i="7" s="1"/>
  <c r="P214" i="7" s="1"/>
  <c r="P215" i="7" s="1"/>
  <c r="P216" i="7" s="1"/>
  <c r="P217" i="7" s="1"/>
  <c r="P218" i="7" s="1"/>
  <c r="P219" i="7" s="1"/>
  <c r="P220" i="7" s="1"/>
  <c r="P221" i="7" s="1"/>
  <c r="P222" i="7" s="1"/>
  <c r="P223" i="7" s="1"/>
  <c r="P224" i="7" s="1"/>
  <c r="P225" i="7" s="1"/>
  <c r="P226" i="7" s="1"/>
  <c r="P227" i="7" s="1"/>
  <c r="P228" i="7" s="1"/>
  <c r="P229" i="7" s="1"/>
  <c r="P230" i="7" s="1"/>
  <c r="P231" i="7" s="1"/>
  <c r="P232" i="7" s="1"/>
  <c r="P233" i="7" s="1"/>
  <c r="P234" i="7" s="1"/>
  <c r="P235" i="7" s="1"/>
  <c r="P236" i="7" s="1"/>
  <c r="P237" i="7" s="1"/>
  <c r="P238" i="7" s="1"/>
  <c r="P239" i="7" s="1"/>
  <c r="P240" i="7" s="1"/>
  <c r="P241" i="7" s="1"/>
  <c r="P242" i="7" s="1"/>
  <c r="P243" i="7" s="1"/>
  <c r="P244" i="7" s="1"/>
  <c r="P245" i="7" s="1"/>
  <c r="P246" i="7" s="1"/>
  <c r="P247" i="7" s="1"/>
  <c r="P248" i="7" s="1"/>
  <c r="P249" i="7" s="1"/>
  <c r="P250" i="7" s="1"/>
  <c r="P251" i="7" s="1"/>
  <c r="P252" i="7" s="1"/>
  <c r="P253" i="7" s="1"/>
  <c r="P254" i="7" s="1"/>
  <c r="P255" i="7" s="1"/>
  <c r="P256" i="7" s="1"/>
  <c r="P257" i="7" s="1"/>
  <c r="P258" i="7" s="1"/>
  <c r="P259" i="7" s="1"/>
  <c r="P260" i="7" s="1"/>
  <c r="P261" i="7" s="1"/>
  <c r="P262" i="7" s="1"/>
  <c r="P263" i="7" s="1"/>
  <c r="P264" i="7" s="1"/>
  <c r="P265" i="7" s="1"/>
  <c r="P266" i="7" s="1"/>
  <c r="P267" i="7" s="1"/>
  <c r="P268" i="7" s="1"/>
  <c r="P269" i="7" s="1"/>
  <c r="P270" i="7" s="1"/>
  <c r="P271" i="7" s="1"/>
  <c r="P272" i="7" s="1"/>
  <c r="P273" i="7" s="1"/>
  <c r="P274" i="7" s="1"/>
  <c r="P275" i="7" s="1"/>
  <c r="P276" i="7" s="1"/>
  <c r="P277" i="7" s="1"/>
  <c r="P278" i="7" s="1"/>
  <c r="P279" i="7" s="1"/>
  <c r="P280" i="7" s="1"/>
  <c r="P281" i="7" s="1"/>
  <c r="P282" i="7" s="1"/>
  <c r="P283" i="7" s="1"/>
  <c r="P284" i="7" s="1"/>
  <c r="P285" i="7" s="1"/>
  <c r="P286" i="7" s="1"/>
  <c r="P287" i="7" s="1"/>
  <c r="P288" i="7" s="1"/>
  <c r="P289" i="7" s="1"/>
  <c r="P290" i="7" s="1"/>
  <c r="P291" i="7" s="1"/>
  <c r="P292" i="7" s="1"/>
  <c r="P293" i="7" s="1"/>
  <c r="P294" i="7" s="1"/>
  <c r="P295" i="7" s="1"/>
  <c r="P296" i="7" s="1"/>
  <c r="P297" i="7" s="1"/>
  <c r="P298" i="7" s="1"/>
  <c r="P299" i="7" s="1"/>
  <c r="P300" i="7" s="1"/>
  <c r="P301" i="7" s="1"/>
  <c r="P302" i="7" s="1"/>
  <c r="P303" i="7" s="1"/>
  <c r="P304" i="7" s="1"/>
  <c r="P305" i="7" s="1"/>
  <c r="P306" i="7" s="1"/>
  <c r="P307" i="7" s="1"/>
  <c r="P308" i="7" s="1"/>
  <c r="P309" i="7" s="1"/>
  <c r="P310" i="7" s="1"/>
  <c r="P311" i="7" s="1"/>
  <c r="P312" i="7" s="1"/>
  <c r="P313" i="7" s="1"/>
  <c r="P314" i="7" s="1"/>
  <c r="P315" i="7" s="1"/>
  <c r="P316" i="7" s="1"/>
  <c r="P317" i="7" s="1"/>
  <c r="P318" i="7" s="1"/>
  <c r="P319" i="7" s="1"/>
  <c r="P320" i="7" s="1"/>
  <c r="P321" i="7" s="1"/>
  <c r="P322" i="7" s="1"/>
  <c r="P323" i="7" s="1"/>
  <c r="P324" i="7" s="1"/>
  <c r="P325" i="7" s="1"/>
  <c r="P326" i="7" s="1"/>
  <c r="P327" i="7" s="1"/>
  <c r="P328" i="7" s="1"/>
  <c r="P329" i="7" s="1"/>
  <c r="P330" i="7" s="1"/>
  <c r="P331" i="7" s="1"/>
  <c r="P332" i="7" s="1"/>
  <c r="P333" i="7" s="1"/>
  <c r="P334" i="7" s="1"/>
  <c r="P335" i="7" s="1"/>
  <c r="P336" i="7" s="1"/>
  <c r="P337" i="7" s="1"/>
  <c r="P338" i="7" s="1"/>
  <c r="P339" i="7" s="1"/>
  <c r="P340" i="7" s="1"/>
  <c r="P341" i="7" s="1"/>
  <c r="P342" i="7" s="1"/>
  <c r="P343" i="7" s="1"/>
  <c r="P344" i="7" s="1"/>
  <c r="P345" i="7" s="1"/>
  <c r="P346" i="7" s="1"/>
  <c r="P347" i="7" s="1"/>
  <c r="P348" i="7" s="1"/>
  <c r="P349" i="7" s="1"/>
  <c r="P350" i="7" s="1"/>
  <c r="P351" i="7" s="1"/>
  <c r="P352" i="7" s="1"/>
  <c r="P353" i="7" s="1"/>
  <c r="P354" i="7" s="1"/>
  <c r="P355" i="7" s="1"/>
  <c r="P356" i="7" s="1"/>
  <c r="P357" i="7" s="1"/>
  <c r="P358" i="7" s="1"/>
  <c r="P359" i="7" s="1"/>
  <c r="P360" i="7" s="1"/>
  <c r="P361" i="7" s="1"/>
  <c r="P362" i="7" s="1"/>
  <c r="P363" i="7" s="1"/>
  <c r="P364" i="7" s="1"/>
  <c r="P365" i="7" s="1"/>
  <c r="P366" i="7" s="1"/>
  <c r="P367" i="7" s="1"/>
  <c r="P368" i="7" s="1"/>
  <c r="P369" i="7" s="1"/>
  <c r="P370" i="7" s="1"/>
  <c r="P371" i="7" s="1"/>
  <c r="P372" i="7" s="1"/>
  <c r="P373" i="7" s="1"/>
  <c r="P374" i="7" s="1"/>
  <c r="P375" i="7" s="1"/>
  <c r="P376" i="7" s="1"/>
  <c r="P377" i="7" s="1"/>
  <c r="P378" i="7" s="1"/>
  <c r="P379" i="7" s="1"/>
  <c r="P380" i="7" s="1"/>
  <c r="P381" i="7" s="1"/>
  <c r="P382" i="7" s="1"/>
  <c r="P383" i="7" s="1"/>
  <c r="P384" i="7" s="1"/>
  <c r="P385" i="7" s="1"/>
  <c r="P386" i="7" s="1"/>
  <c r="F34" i="3"/>
  <c r="H34" i="3"/>
  <c r="F35" i="3"/>
  <c r="H35" i="3"/>
  <c r="F36" i="3"/>
  <c r="H36" i="3"/>
  <c r="F37" i="3"/>
  <c r="H37" i="3"/>
  <c r="F38" i="3"/>
  <c r="H38" i="3"/>
  <c r="F39" i="3"/>
  <c r="H39" i="3"/>
  <c r="F40" i="3"/>
  <c r="H40" i="3"/>
  <c r="F41" i="3"/>
  <c r="H41" i="3"/>
  <c r="F42" i="3"/>
  <c r="H42" i="3"/>
  <c r="F43" i="3"/>
  <c r="H43" i="3"/>
  <c r="F44" i="3"/>
  <c r="H44" i="3"/>
  <c r="F45" i="3"/>
  <c r="H45" i="3"/>
  <c r="F46" i="3"/>
  <c r="H46" i="3"/>
  <c r="F47" i="3"/>
  <c r="H47" i="3"/>
  <c r="F48" i="3"/>
  <c r="H48" i="3"/>
  <c r="F49" i="3"/>
  <c r="H49" i="3"/>
  <c r="F50" i="3"/>
  <c r="H50" i="3"/>
  <c r="F51" i="3"/>
  <c r="H51" i="3"/>
  <c r="J41" i="9" l="1"/>
  <c r="N40" i="9"/>
  <c r="L36" i="7"/>
  <c r="L37" i="7" s="1"/>
  <c r="L38" i="7" s="1"/>
  <c r="L39" i="7" s="1"/>
  <c r="L40" i="7" s="1"/>
  <c r="L41" i="7" s="1"/>
  <c r="L42" i="7" s="1"/>
  <c r="L43" i="7" s="1"/>
  <c r="L44" i="7" s="1"/>
  <c r="L45" i="7" s="1"/>
  <c r="L46" i="7" s="1"/>
  <c r="L47" i="7" s="1"/>
  <c r="L48" i="7" s="1"/>
  <c r="L49" i="7" s="1"/>
  <c r="L50" i="7" s="1"/>
  <c r="L51" i="7" s="1"/>
  <c r="L52" i="7" s="1"/>
  <c r="L53" i="7" s="1"/>
  <c r="L54" i="7" s="1"/>
  <c r="L55" i="7" s="1"/>
  <c r="L56" i="7" s="1"/>
  <c r="L57" i="7" s="1"/>
  <c r="L58" i="7" s="1"/>
  <c r="L59" i="7" s="1"/>
  <c r="L60" i="7" s="1"/>
  <c r="L61" i="7" s="1"/>
  <c r="L62" i="7" s="1"/>
  <c r="L63" i="7" s="1"/>
  <c r="L64" i="7" s="1"/>
  <c r="L65" i="7" s="1"/>
  <c r="L66" i="7" s="1"/>
  <c r="L67" i="7" s="1"/>
  <c r="L68" i="7" s="1"/>
  <c r="L69" i="7" s="1"/>
  <c r="L70" i="7" s="1"/>
  <c r="L71" i="7" s="1"/>
  <c r="L72" i="7" s="1"/>
  <c r="L73" i="7" s="1"/>
  <c r="L74" i="7" s="1"/>
  <c r="L75" i="7" s="1"/>
  <c r="L76" i="7" s="1"/>
  <c r="L77" i="7" s="1"/>
  <c r="L78" i="7" s="1"/>
  <c r="L79" i="7" s="1"/>
  <c r="L80" i="7" s="1"/>
  <c r="L81" i="7" s="1"/>
  <c r="L82" i="7" s="1"/>
  <c r="L83" i="7" s="1"/>
  <c r="L84" i="7" s="1"/>
  <c r="L85" i="7" s="1"/>
  <c r="L86" i="7" s="1"/>
  <c r="L87" i="7" s="1"/>
  <c r="L88" i="7" s="1"/>
  <c r="L89" i="7" s="1"/>
  <c r="L90" i="7" s="1"/>
  <c r="L91" i="7" s="1"/>
  <c r="L92" i="7" s="1"/>
  <c r="L93" i="7" s="1"/>
  <c r="L94" i="7" s="1"/>
  <c r="L95" i="7" s="1"/>
  <c r="L96" i="7" s="1"/>
  <c r="L97" i="7" s="1"/>
  <c r="L98" i="7" s="1"/>
  <c r="L99" i="7" s="1"/>
  <c r="L100" i="7" s="1"/>
  <c r="L101" i="7" s="1"/>
  <c r="L102" i="7" s="1"/>
  <c r="L103" i="7" s="1"/>
  <c r="L104" i="7" s="1"/>
  <c r="L105" i="7" s="1"/>
  <c r="L106" i="7" s="1"/>
  <c r="L107" i="7" s="1"/>
  <c r="L108" i="7" s="1"/>
  <c r="L109" i="7" s="1"/>
  <c r="L110" i="7" s="1"/>
  <c r="L111" i="7" s="1"/>
  <c r="L112" i="7" s="1"/>
  <c r="L113" i="7" s="1"/>
  <c r="L114" i="7" s="1"/>
  <c r="L115" i="7" s="1"/>
  <c r="L116" i="7" s="1"/>
  <c r="L117" i="7" s="1"/>
  <c r="L118" i="7" s="1"/>
  <c r="L119" i="7" s="1"/>
  <c r="L120" i="7" s="1"/>
  <c r="L121" i="7" s="1"/>
  <c r="L122" i="7" s="1"/>
  <c r="L123" i="7" s="1"/>
  <c r="L124" i="7" s="1"/>
  <c r="L125" i="7" s="1"/>
  <c r="L126" i="7" s="1"/>
  <c r="L127" i="7" s="1"/>
  <c r="L128" i="7" s="1"/>
  <c r="L129" i="7" s="1"/>
  <c r="L130" i="7" s="1"/>
  <c r="L131" i="7" s="1"/>
  <c r="L132" i="7" s="1"/>
  <c r="L133" i="7" s="1"/>
  <c r="L134" i="7" s="1"/>
  <c r="L135" i="7" s="1"/>
  <c r="L136" i="7" s="1"/>
  <c r="L137" i="7" s="1"/>
  <c r="L138" i="7" s="1"/>
  <c r="L139" i="7" s="1"/>
  <c r="L140" i="7" s="1"/>
  <c r="L141" i="7" s="1"/>
  <c r="L142" i="7" s="1"/>
  <c r="L143" i="7" s="1"/>
  <c r="L144" i="7" s="1"/>
  <c r="L145" i="7" s="1"/>
  <c r="L146" i="7" s="1"/>
  <c r="L147" i="7" s="1"/>
  <c r="L148" i="7" s="1"/>
  <c r="L149" i="7" s="1"/>
  <c r="L150" i="7" s="1"/>
  <c r="L151" i="7" s="1"/>
  <c r="L152" i="7" s="1"/>
  <c r="L153" i="7" s="1"/>
  <c r="L154" i="7" s="1"/>
  <c r="L155" i="7" s="1"/>
  <c r="L156" i="7" s="1"/>
  <c r="L157" i="7" s="1"/>
  <c r="L158" i="7" s="1"/>
  <c r="L159" i="7" s="1"/>
  <c r="L160" i="7" s="1"/>
  <c r="L161" i="7" s="1"/>
  <c r="L162" i="7" s="1"/>
  <c r="L163" i="7" s="1"/>
  <c r="L164" i="7" s="1"/>
  <c r="L165" i="7" s="1"/>
  <c r="L166" i="7" s="1"/>
  <c r="L167" i="7" s="1"/>
  <c r="L168" i="7" s="1"/>
  <c r="L169" i="7" s="1"/>
  <c r="L170" i="7" s="1"/>
  <c r="L171" i="7" s="1"/>
  <c r="L172" i="7" s="1"/>
  <c r="L173" i="7" s="1"/>
  <c r="L174" i="7" s="1"/>
  <c r="L175" i="7" s="1"/>
  <c r="L176" i="7" s="1"/>
  <c r="L177" i="7" s="1"/>
  <c r="L178" i="7" s="1"/>
  <c r="L179" i="7" s="1"/>
  <c r="L180" i="7" s="1"/>
  <c r="L181" i="7" s="1"/>
  <c r="L182" i="7" s="1"/>
  <c r="L183" i="7" s="1"/>
  <c r="L184" i="7" s="1"/>
  <c r="L185" i="7" s="1"/>
  <c r="L186" i="7" s="1"/>
  <c r="L187" i="7" s="1"/>
  <c r="L188" i="7" s="1"/>
  <c r="L189" i="7" s="1"/>
  <c r="L190" i="7" s="1"/>
  <c r="L191" i="7" s="1"/>
  <c r="L192" i="7" s="1"/>
  <c r="L193" i="7" s="1"/>
  <c r="L194" i="7" s="1"/>
  <c r="L195" i="7" s="1"/>
  <c r="L196" i="7" s="1"/>
  <c r="L197" i="7" s="1"/>
  <c r="L198" i="7" s="1"/>
  <c r="L199" i="7" s="1"/>
  <c r="L200" i="7" s="1"/>
  <c r="L201" i="7" s="1"/>
  <c r="L202" i="7" s="1"/>
  <c r="L203" i="7" s="1"/>
  <c r="L204" i="7" s="1"/>
  <c r="L205" i="7" s="1"/>
  <c r="L206" i="7" s="1"/>
  <c r="L207" i="7" s="1"/>
  <c r="L208" i="7" s="1"/>
  <c r="L209" i="7" s="1"/>
  <c r="L210" i="7" s="1"/>
  <c r="L211" i="7" s="1"/>
  <c r="L212" i="7" s="1"/>
  <c r="L213" i="7" s="1"/>
  <c r="L214" i="7" s="1"/>
  <c r="L215" i="7" s="1"/>
  <c r="L216" i="7" s="1"/>
  <c r="L217" i="7" s="1"/>
  <c r="L218" i="7" s="1"/>
  <c r="L219" i="7" s="1"/>
  <c r="L220" i="7" s="1"/>
  <c r="L221" i="7" s="1"/>
  <c r="L222" i="7" s="1"/>
  <c r="L223" i="7" s="1"/>
  <c r="L224" i="7" s="1"/>
  <c r="L225" i="7" s="1"/>
  <c r="L226" i="7" s="1"/>
  <c r="L227" i="7" s="1"/>
  <c r="L228" i="7" s="1"/>
  <c r="L229" i="7" s="1"/>
  <c r="L230" i="7" s="1"/>
  <c r="L231" i="7" s="1"/>
  <c r="L232" i="7" s="1"/>
  <c r="L233" i="7" s="1"/>
  <c r="L234" i="7" s="1"/>
  <c r="L235" i="7" s="1"/>
  <c r="L236" i="7" s="1"/>
  <c r="L237" i="7" s="1"/>
  <c r="L238" i="7" s="1"/>
  <c r="L239" i="7" s="1"/>
  <c r="L240" i="7" s="1"/>
  <c r="L241" i="7" s="1"/>
  <c r="L242" i="7" s="1"/>
  <c r="L243" i="7" s="1"/>
  <c r="L244" i="7" s="1"/>
  <c r="L245" i="7" s="1"/>
  <c r="L246" i="7" s="1"/>
  <c r="L247" i="7" s="1"/>
  <c r="L248" i="7" s="1"/>
  <c r="L249" i="7" s="1"/>
  <c r="L250" i="7" s="1"/>
  <c r="L251" i="7" s="1"/>
  <c r="L252" i="7" s="1"/>
  <c r="L253" i="7" s="1"/>
  <c r="L254" i="7" s="1"/>
  <c r="L255" i="7" s="1"/>
  <c r="L256" i="7" s="1"/>
  <c r="L257" i="7" s="1"/>
  <c r="L258" i="7" s="1"/>
  <c r="L259" i="7" s="1"/>
  <c r="L260" i="7" s="1"/>
  <c r="L261" i="7" s="1"/>
  <c r="L262" i="7" s="1"/>
  <c r="L263" i="7" s="1"/>
  <c r="L264" i="7" s="1"/>
  <c r="L265" i="7" s="1"/>
  <c r="L266" i="7" s="1"/>
  <c r="L267" i="7" s="1"/>
  <c r="L268" i="7" s="1"/>
  <c r="L269" i="7" s="1"/>
  <c r="L270" i="7" s="1"/>
  <c r="L271" i="7" s="1"/>
  <c r="L272" i="7" s="1"/>
  <c r="L273" i="7" s="1"/>
  <c r="L274" i="7" s="1"/>
  <c r="L275" i="7" s="1"/>
  <c r="L276" i="7" s="1"/>
  <c r="L277" i="7" s="1"/>
  <c r="L278" i="7" s="1"/>
  <c r="L279" i="7" s="1"/>
  <c r="L280" i="7" s="1"/>
  <c r="L281" i="7" s="1"/>
  <c r="L282" i="7" s="1"/>
  <c r="L283" i="7" s="1"/>
  <c r="L284" i="7" s="1"/>
  <c r="L285" i="7" s="1"/>
  <c r="L286" i="7" s="1"/>
  <c r="L287" i="7" s="1"/>
  <c r="L288" i="7" s="1"/>
  <c r="L289" i="7" s="1"/>
  <c r="L290" i="7" s="1"/>
  <c r="L291" i="7" s="1"/>
  <c r="L292" i="7" s="1"/>
  <c r="L293" i="7" s="1"/>
  <c r="L294" i="7" s="1"/>
  <c r="L295" i="7" s="1"/>
  <c r="L296" i="7" s="1"/>
  <c r="L297" i="7" s="1"/>
  <c r="L298" i="7" s="1"/>
  <c r="L299" i="7" s="1"/>
  <c r="L300" i="7" s="1"/>
  <c r="L301" i="7" s="1"/>
  <c r="L302" i="7" s="1"/>
  <c r="L303" i="7" s="1"/>
  <c r="L304" i="7" s="1"/>
  <c r="L305" i="7" s="1"/>
  <c r="L306" i="7" s="1"/>
  <c r="L307" i="7" s="1"/>
  <c r="L308" i="7" s="1"/>
  <c r="L309" i="7" s="1"/>
  <c r="L310" i="7" s="1"/>
  <c r="L311" i="7" s="1"/>
  <c r="L312" i="7" s="1"/>
  <c r="L313" i="7" s="1"/>
  <c r="L314" i="7" s="1"/>
  <c r="L315" i="7" s="1"/>
  <c r="L316" i="7" s="1"/>
  <c r="L317" i="7" s="1"/>
  <c r="L318" i="7" s="1"/>
  <c r="L319" i="7" s="1"/>
  <c r="L320" i="7" s="1"/>
  <c r="L321" i="7" s="1"/>
  <c r="L322" i="7" s="1"/>
  <c r="L323" i="7" s="1"/>
  <c r="L324" i="7" s="1"/>
  <c r="L325" i="7" s="1"/>
  <c r="L326" i="7" s="1"/>
  <c r="L327" i="7" s="1"/>
  <c r="L328" i="7" s="1"/>
  <c r="L329" i="7" s="1"/>
  <c r="L330" i="7" s="1"/>
  <c r="L331" i="7" s="1"/>
  <c r="L332" i="7" s="1"/>
  <c r="L333" i="7" s="1"/>
  <c r="L334" i="7" s="1"/>
  <c r="L335" i="7" s="1"/>
  <c r="L336" i="7" s="1"/>
  <c r="L337" i="7" s="1"/>
  <c r="L338" i="7" s="1"/>
  <c r="L339" i="7" s="1"/>
  <c r="L340" i="7" s="1"/>
  <c r="L341" i="7" s="1"/>
  <c r="L342" i="7" s="1"/>
  <c r="L343" i="7" s="1"/>
  <c r="L344" i="7" s="1"/>
  <c r="L345" i="7" s="1"/>
  <c r="L346" i="7" s="1"/>
  <c r="L347" i="7" s="1"/>
  <c r="L348" i="7" s="1"/>
  <c r="L349" i="7" s="1"/>
  <c r="L350" i="7" s="1"/>
  <c r="L351" i="7" s="1"/>
  <c r="L352" i="7" s="1"/>
  <c r="L353" i="7" s="1"/>
  <c r="L354" i="7" s="1"/>
  <c r="L355" i="7" s="1"/>
  <c r="L356" i="7" s="1"/>
  <c r="L357" i="7" s="1"/>
  <c r="L358" i="7" s="1"/>
  <c r="L359" i="7" s="1"/>
  <c r="L360" i="7" s="1"/>
  <c r="L361" i="7" s="1"/>
  <c r="L362" i="7" s="1"/>
  <c r="L363" i="7" s="1"/>
  <c r="L364" i="7" s="1"/>
  <c r="L365" i="7" s="1"/>
  <c r="L366" i="7" s="1"/>
  <c r="L367" i="7" s="1"/>
  <c r="L368" i="7" s="1"/>
  <c r="L369" i="7" s="1"/>
  <c r="L370" i="7" s="1"/>
  <c r="L371" i="7" s="1"/>
  <c r="L372" i="7" s="1"/>
  <c r="L373" i="7" s="1"/>
  <c r="L374" i="7" s="1"/>
  <c r="L375" i="7" s="1"/>
  <c r="L376" i="7" s="1"/>
  <c r="L377" i="7" s="1"/>
  <c r="L378" i="7" s="1"/>
  <c r="L379" i="7" s="1"/>
  <c r="L380" i="7" s="1"/>
  <c r="L381" i="7" s="1"/>
  <c r="L382" i="7" s="1"/>
  <c r="L383" i="7" s="1"/>
  <c r="L384" i="7" s="1"/>
  <c r="L385" i="7" s="1"/>
  <c r="L386" i="7" s="1"/>
  <c r="I6" i="7"/>
  <c r="K36" i="7"/>
  <c r="K37" i="7" s="1"/>
  <c r="K38" i="7" s="1"/>
  <c r="K39" i="7" s="1"/>
  <c r="K40" i="7" s="1"/>
  <c r="K41" i="7" s="1"/>
  <c r="K42" i="7" s="1"/>
  <c r="K43" i="7" s="1"/>
  <c r="K44" i="7" s="1"/>
  <c r="K45" i="7" s="1"/>
  <c r="K46" i="7" s="1"/>
  <c r="K47" i="7" s="1"/>
  <c r="K48" i="7" s="1"/>
  <c r="K49" i="7" s="1"/>
  <c r="K50" i="7" s="1"/>
  <c r="K51" i="7" s="1"/>
  <c r="K52" i="7" s="1"/>
  <c r="K53" i="7" s="1"/>
  <c r="K54" i="7" s="1"/>
  <c r="K55" i="7" s="1"/>
  <c r="K56" i="7" s="1"/>
  <c r="K57" i="7" s="1"/>
  <c r="K58" i="7" s="1"/>
  <c r="K59" i="7" s="1"/>
  <c r="K60" i="7" s="1"/>
  <c r="K61" i="7" s="1"/>
  <c r="K62" i="7" s="1"/>
  <c r="K63" i="7" s="1"/>
  <c r="K64" i="7" s="1"/>
  <c r="K65" i="7" s="1"/>
  <c r="K66" i="7" s="1"/>
  <c r="K67" i="7" s="1"/>
  <c r="K68" i="7" s="1"/>
  <c r="K69" i="7" s="1"/>
  <c r="K70" i="7" s="1"/>
  <c r="K71" i="7" s="1"/>
  <c r="K72" i="7" s="1"/>
  <c r="K73" i="7" s="1"/>
  <c r="K74" i="7" s="1"/>
  <c r="K75" i="7" s="1"/>
  <c r="K76" i="7" s="1"/>
  <c r="K77" i="7" s="1"/>
  <c r="K78" i="7" s="1"/>
  <c r="K79" i="7" s="1"/>
  <c r="K80" i="7" s="1"/>
  <c r="K81" i="7" s="1"/>
  <c r="K82" i="7" s="1"/>
  <c r="K83" i="7" s="1"/>
  <c r="K84" i="7" s="1"/>
  <c r="K85" i="7" s="1"/>
  <c r="K86" i="7" s="1"/>
  <c r="K87" i="7" s="1"/>
  <c r="K88" i="7" s="1"/>
  <c r="K89" i="7" s="1"/>
  <c r="K90" i="7" s="1"/>
  <c r="K91" i="7" s="1"/>
  <c r="K92" i="7" s="1"/>
  <c r="K93" i="7" s="1"/>
  <c r="K94" i="7" s="1"/>
  <c r="K95" i="7" s="1"/>
  <c r="K96" i="7" s="1"/>
  <c r="K97" i="7" s="1"/>
  <c r="K98" i="7" s="1"/>
  <c r="K99" i="7" s="1"/>
  <c r="K100" i="7" s="1"/>
  <c r="K101" i="7" s="1"/>
  <c r="K102" i="7" s="1"/>
  <c r="K103" i="7" s="1"/>
  <c r="K104" i="7" s="1"/>
  <c r="K105" i="7" s="1"/>
  <c r="K106" i="7" s="1"/>
  <c r="K107" i="7" s="1"/>
  <c r="K108" i="7" s="1"/>
  <c r="K109" i="7" s="1"/>
  <c r="K110" i="7" s="1"/>
  <c r="K111" i="7" s="1"/>
  <c r="K112" i="7" s="1"/>
  <c r="K113" i="7" s="1"/>
  <c r="K114" i="7" s="1"/>
  <c r="K115" i="7" s="1"/>
  <c r="K116" i="7" s="1"/>
  <c r="K117" i="7" s="1"/>
  <c r="K118" i="7" s="1"/>
  <c r="K119" i="7" s="1"/>
  <c r="K120" i="7" s="1"/>
  <c r="K121" i="7" s="1"/>
  <c r="K122" i="7" s="1"/>
  <c r="K123" i="7" s="1"/>
  <c r="K124" i="7" s="1"/>
  <c r="K125" i="7" s="1"/>
  <c r="K126" i="7" s="1"/>
  <c r="K127" i="7" s="1"/>
  <c r="K128" i="7" s="1"/>
  <c r="K129" i="7" s="1"/>
  <c r="K130" i="7" s="1"/>
  <c r="K131" i="7" s="1"/>
  <c r="K132" i="7" s="1"/>
  <c r="K133" i="7" s="1"/>
  <c r="K134" i="7" s="1"/>
  <c r="K135" i="7" s="1"/>
  <c r="K136" i="7" s="1"/>
  <c r="K137" i="7" s="1"/>
  <c r="K138" i="7" s="1"/>
  <c r="K139" i="7" s="1"/>
  <c r="K140" i="7" s="1"/>
  <c r="K141" i="7" s="1"/>
  <c r="K142" i="7" s="1"/>
  <c r="K143" i="7" s="1"/>
  <c r="K144" i="7" s="1"/>
  <c r="K145" i="7" s="1"/>
  <c r="K146" i="7" s="1"/>
  <c r="K147" i="7" s="1"/>
  <c r="K148" i="7" s="1"/>
  <c r="K149" i="7" s="1"/>
  <c r="K150" i="7" s="1"/>
  <c r="K151" i="7" s="1"/>
  <c r="K152" i="7" s="1"/>
  <c r="K153" i="7" s="1"/>
  <c r="K154" i="7" s="1"/>
  <c r="K155" i="7" s="1"/>
  <c r="K156" i="7" s="1"/>
  <c r="K157" i="7" s="1"/>
  <c r="K158" i="7" s="1"/>
  <c r="K159" i="7" s="1"/>
  <c r="K160" i="7" s="1"/>
  <c r="K161" i="7" s="1"/>
  <c r="K162" i="7" s="1"/>
  <c r="K163" i="7" s="1"/>
  <c r="K164" i="7" s="1"/>
  <c r="K165" i="7" s="1"/>
  <c r="K166" i="7" s="1"/>
  <c r="K167" i="7" s="1"/>
  <c r="K168" i="7" s="1"/>
  <c r="K169" i="7" s="1"/>
  <c r="K170" i="7" s="1"/>
  <c r="K171" i="7" s="1"/>
  <c r="K172" i="7" s="1"/>
  <c r="K173" i="7" s="1"/>
  <c r="K174" i="7" s="1"/>
  <c r="K175" i="7" s="1"/>
  <c r="K176" i="7" s="1"/>
  <c r="K177" i="7" s="1"/>
  <c r="K178" i="7" s="1"/>
  <c r="K179" i="7" s="1"/>
  <c r="K180" i="7" s="1"/>
  <c r="K181" i="7" s="1"/>
  <c r="K182" i="7" s="1"/>
  <c r="K183" i="7" s="1"/>
  <c r="K184" i="7" s="1"/>
  <c r="K185" i="7" s="1"/>
  <c r="K186" i="7" s="1"/>
  <c r="K187" i="7" s="1"/>
  <c r="K188" i="7" s="1"/>
  <c r="K189" i="7" s="1"/>
  <c r="K190" i="7" s="1"/>
  <c r="K191" i="7" s="1"/>
  <c r="K192" i="7" s="1"/>
  <c r="K193" i="7" s="1"/>
  <c r="K194" i="7" s="1"/>
  <c r="K195" i="7" s="1"/>
  <c r="K196" i="7" s="1"/>
  <c r="K197" i="7" s="1"/>
  <c r="K198" i="7" s="1"/>
  <c r="K199" i="7" s="1"/>
  <c r="K200" i="7" s="1"/>
  <c r="K201" i="7" s="1"/>
  <c r="K202" i="7" s="1"/>
  <c r="K203" i="7" s="1"/>
  <c r="K204" i="7" s="1"/>
  <c r="K205" i="7" s="1"/>
  <c r="K206" i="7" s="1"/>
  <c r="K207" i="7" s="1"/>
  <c r="K208" i="7" s="1"/>
  <c r="K209" i="7" s="1"/>
  <c r="K210" i="7" s="1"/>
  <c r="K211" i="7" s="1"/>
  <c r="K212" i="7" s="1"/>
  <c r="K213" i="7" s="1"/>
  <c r="K214" i="7" s="1"/>
  <c r="K215" i="7" s="1"/>
  <c r="K216" i="7" s="1"/>
  <c r="K217" i="7" s="1"/>
  <c r="K218" i="7" s="1"/>
  <c r="K219" i="7" s="1"/>
  <c r="K220" i="7" s="1"/>
  <c r="K221" i="7" s="1"/>
  <c r="K222" i="7" s="1"/>
  <c r="K223" i="7" s="1"/>
  <c r="K224" i="7" s="1"/>
  <c r="K225" i="7" s="1"/>
  <c r="K226" i="7" s="1"/>
  <c r="K227" i="7" s="1"/>
  <c r="K228" i="7" s="1"/>
  <c r="K229" i="7" s="1"/>
  <c r="K230" i="7" s="1"/>
  <c r="K231" i="7" s="1"/>
  <c r="K232" i="7" s="1"/>
  <c r="K233" i="7" s="1"/>
  <c r="K234" i="7" s="1"/>
  <c r="K235" i="7" s="1"/>
  <c r="K236" i="7" s="1"/>
  <c r="K237" i="7" s="1"/>
  <c r="K238" i="7" s="1"/>
  <c r="K239" i="7" s="1"/>
  <c r="K240" i="7" s="1"/>
  <c r="K241" i="7" s="1"/>
  <c r="K242" i="7" s="1"/>
  <c r="K243" i="7" s="1"/>
  <c r="K244" i="7" s="1"/>
  <c r="K245" i="7" s="1"/>
  <c r="K246" i="7" s="1"/>
  <c r="K247" i="7" s="1"/>
  <c r="K248" i="7" s="1"/>
  <c r="K249" i="7" s="1"/>
  <c r="K250" i="7" s="1"/>
  <c r="K251" i="7" s="1"/>
  <c r="K252" i="7" s="1"/>
  <c r="K253" i="7" s="1"/>
  <c r="K254" i="7" s="1"/>
  <c r="K255" i="7" s="1"/>
  <c r="K256" i="7" s="1"/>
  <c r="K257" i="7" s="1"/>
  <c r="K258" i="7" s="1"/>
  <c r="K259" i="7" s="1"/>
  <c r="K260" i="7" s="1"/>
  <c r="K261" i="7" s="1"/>
  <c r="K262" i="7" s="1"/>
  <c r="K263" i="7" s="1"/>
  <c r="K264" i="7" s="1"/>
  <c r="K265" i="7" s="1"/>
  <c r="K266" i="7" s="1"/>
  <c r="K267" i="7" s="1"/>
  <c r="K268" i="7" s="1"/>
  <c r="K269" i="7" s="1"/>
  <c r="K270" i="7" s="1"/>
  <c r="K271" i="7" s="1"/>
  <c r="K272" i="7" s="1"/>
  <c r="K273" i="7" s="1"/>
  <c r="K274" i="7" s="1"/>
  <c r="K275" i="7" s="1"/>
  <c r="K276" i="7" s="1"/>
  <c r="K277" i="7" s="1"/>
  <c r="K278" i="7" s="1"/>
  <c r="K279" i="7" s="1"/>
  <c r="K280" i="7" s="1"/>
  <c r="K281" i="7" s="1"/>
  <c r="K282" i="7" s="1"/>
  <c r="K283" i="7" s="1"/>
  <c r="K284" i="7" s="1"/>
  <c r="K285" i="7" s="1"/>
  <c r="K286" i="7" s="1"/>
  <c r="K287" i="7" s="1"/>
  <c r="K288" i="7" s="1"/>
  <c r="K289" i="7" s="1"/>
  <c r="K290" i="7" s="1"/>
  <c r="K291" i="7" s="1"/>
  <c r="K292" i="7" s="1"/>
  <c r="K293" i="7" s="1"/>
  <c r="K294" i="7" s="1"/>
  <c r="K295" i="7" s="1"/>
  <c r="K296" i="7" s="1"/>
  <c r="K297" i="7" s="1"/>
  <c r="K298" i="7" s="1"/>
  <c r="K299" i="7" s="1"/>
  <c r="K300" i="7" s="1"/>
  <c r="K301" i="7" s="1"/>
  <c r="K302" i="7" s="1"/>
  <c r="K303" i="7" s="1"/>
  <c r="K304" i="7" s="1"/>
  <c r="K305" i="7" s="1"/>
  <c r="K306" i="7" s="1"/>
  <c r="K307" i="7" s="1"/>
  <c r="K308" i="7" s="1"/>
  <c r="K309" i="7" s="1"/>
  <c r="K310" i="7" s="1"/>
  <c r="K311" i="7" s="1"/>
  <c r="K312" i="7" s="1"/>
  <c r="K313" i="7" s="1"/>
  <c r="K314" i="7" s="1"/>
  <c r="K315" i="7" s="1"/>
  <c r="K316" i="7" s="1"/>
  <c r="K317" i="7" s="1"/>
  <c r="K318" i="7" s="1"/>
  <c r="K319" i="7" s="1"/>
  <c r="K320" i="7" s="1"/>
  <c r="K321" i="7" s="1"/>
  <c r="K322" i="7" s="1"/>
  <c r="K323" i="7" s="1"/>
  <c r="K324" i="7" s="1"/>
  <c r="K325" i="7" s="1"/>
  <c r="K326" i="7" s="1"/>
  <c r="K327" i="7" s="1"/>
  <c r="K328" i="7" s="1"/>
  <c r="K329" i="7" s="1"/>
  <c r="K330" i="7" s="1"/>
  <c r="K331" i="7" s="1"/>
  <c r="K332" i="7" s="1"/>
  <c r="K333" i="7" s="1"/>
  <c r="K334" i="7" s="1"/>
  <c r="K335" i="7" s="1"/>
  <c r="K336" i="7" s="1"/>
  <c r="K337" i="7" s="1"/>
  <c r="K338" i="7" s="1"/>
  <c r="K339" i="7" s="1"/>
  <c r="K340" i="7" s="1"/>
  <c r="K341" i="7" s="1"/>
  <c r="K342" i="7" s="1"/>
  <c r="K343" i="7" s="1"/>
  <c r="K344" i="7" s="1"/>
  <c r="K345" i="7" s="1"/>
  <c r="K346" i="7" s="1"/>
  <c r="K347" i="7" s="1"/>
  <c r="K348" i="7" s="1"/>
  <c r="K349" i="7" s="1"/>
  <c r="K350" i="7" s="1"/>
  <c r="K351" i="7" s="1"/>
  <c r="K352" i="7" s="1"/>
  <c r="K353" i="7" s="1"/>
  <c r="K354" i="7" s="1"/>
  <c r="K355" i="7" s="1"/>
  <c r="K356" i="7" s="1"/>
  <c r="K357" i="7" s="1"/>
  <c r="K358" i="7" s="1"/>
  <c r="K359" i="7" s="1"/>
  <c r="K360" i="7" s="1"/>
  <c r="K361" i="7" s="1"/>
  <c r="K362" i="7" s="1"/>
  <c r="K363" i="7" s="1"/>
  <c r="K364" i="7" s="1"/>
  <c r="K365" i="7" s="1"/>
  <c r="K366" i="7" s="1"/>
  <c r="K367" i="7" s="1"/>
  <c r="K368" i="7" s="1"/>
  <c r="K369" i="7" s="1"/>
  <c r="K370" i="7" s="1"/>
  <c r="K371" i="7" s="1"/>
  <c r="K372" i="7" s="1"/>
  <c r="K373" i="7" s="1"/>
  <c r="K374" i="7" s="1"/>
  <c r="K375" i="7" s="1"/>
  <c r="K376" i="7" s="1"/>
  <c r="K377" i="7" s="1"/>
  <c r="K378" i="7" s="1"/>
  <c r="K379" i="7" s="1"/>
  <c r="K380" i="7" s="1"/>
  <c r="K381" i="7" s="1"/>
  <c r="K382" i="7" s="1"/>
  <c r="K383" i="7" s="1"/>
  <c r="K384" i="7" s="1"/>
  <c r="K385" i="7" s="1"/>
  <c r="K386" i="7" s="1"/>
  <c r="I5" i="7"/>
  <c r="J36" i="7"/>
  <c r="J37" i="7" s="1"/>
  <c r="J38" i="7" s="1"/>
  <c r="J39" i="7" s="1"/>
  <c r="J40" i="7" s="1"/>
  <c r="J41" i="7" s="1"/>
  <c r="J42" i="7" s="1"/>
  <c r="J43" i="7" s="1"/>
  <c r="J44" i="7" s="1"/>
  <c r="J45" i="7" s="1"/>
  <c r="J46" i="7" s="1"/>
  <c r="J47" i="7" s="1"/>
  <c r="J48" i="7" s="1"/>
  <c r="J49" i="7" s="1"/>
  <c r="J50" i="7" s="1"/>
  <c r="J51" i="7" s="1"/>
  <c r="J52" i="7" s="1"/>
  <c r="J53" i="7" s="1"/>
  <c r="J54" i="7" s="1"/>
  <c r="J55" i="7" s="1"/>
  <c r="J56" i="7" s="1"/>
  <c r="J57" i="7" s="1"/>
  <c r="J58" i="7" s="1"/>
  <c r="J59" i="7" s="1"/>
  <c r="J60" i="7" s="1"/>
  <c r="J61" i="7" s="1"/>
  <c r="J62" i="7" s="1"/>
  <c r="J63" i="7" s="1"/>
  <c r="J64" i="7" s="1"/>
  <c r="J65" i="7" s="1"/>
  <c r="J66" i="7" s="1"/>
  <c r="J67" i="7" s="1"/>
  <c r="J68" i="7" s="1"/>
  <c r="J69" i="7" s="1"/>
  <c r="J70" i="7" s="1"/>
  <c r="J71" i="7" s="1"/>
  <c r="J72" i="7" s="1"/>
  <c r="J73" i="7" s="1"/>
  <c r="J74" i="7" s="1"/>
  <c r="J75" i="7" s="1"/>
  <c r="J76" i="7" s="1"/>
  <c r="J77" i="7" s="1"/>
  <c r="J78" i="7" s="1"/>
  <c r="J79" i="7" s="1"/>
  <c r="J80" i="7" s="1"/>
  <c r="J81" i="7" s="1"/>
  <c r="J82" i="7" s="1"/>
  <c r="J83" i="7" s="1"/>
  <c r="J84" i="7" s="1"/>
  <c r="J85" i="7" s="1"/>
  <c r="J86" i="7" s="1"/>
  <c r="J87" i="7" s="1"/>
  <c r="J88" i="7" s="1"/>
  <c r="J89" i="7" s="1"/>
  <c r="J90" i="7" s="1"/>
  <c r="J91" i="7" s="1"/>
  <c r="J92" i="7" s="1"/>
  <c r="J93" i="7" s="1"/>
  <c r="J94" i="7" s="1"/>
  <c r="J95" i="7" s="1"/>
  <c r="J96" i="7" s="1"/>
  <c r="J97" i="7" s="1"/>
  <c r="J98" i="7" s="1"/>
  <c r="J99" i="7" s="1"/>
  <c r="J100" i="7" s="1"/>
  <c r="J101" i="7" s="1"/>
  <c r="J102" i="7" s="1"/>
  <c r="J103" i="7" s="1"/>
  <c r="J104" i="7" s="1"/>
  <c r="J105" i="7" s="1"/>
  <c r="J106" i="7" s="1"/>
  <c r="J107" i="7" s="1"/>
  <c r="J108" i="7" s="1"/>
  <c r="J109" i="7" s="1"/>
  <c r="J110" i="7" s="1"/>
  <c r="J111" i="7" s="1"/>
  <c r="J112" i="7" s="1"/>
  <c r="J113" i="7" s="1"/>
  <c r="J114" i="7" s="1"/>
  <c r="J115" i="7" s="1"/>
  <c r="J116" i="7" s="1"/>
  <c r="J117" i="7" s="1"/>
  <c r="J118" i="7" s="1"/>
  <c r="J119" i="7" s="1"/>
  <c r="J120" i="7" s="1"/>
  <c r="J121" i="7" s="1"/>
  <c r="J122" i="7" s="1"/>
  <c r="J123" i="7" s="1"/>
  <c r="J124" i="7" s="1"/>
  <c r="J125" i="7" s="1"/>
  <c r="J126" i="7" s="1"/>
  <c r="J127" i="7" s="1"/>
  <c r="J128" i="7" s="1"/>
  <c r="J129" i="7" s="1"/>
  <c r="J130" i="7" s="1"/>
  <c r="J131" i="7" s="1"/>
  <c r="J132" i="7" s="1"/>
  <c r="J133" i="7" s="1"/>
  <c r="J134" i="7" s="1"/>
  <c r="J135" i="7" s="1"/>
  <c r="J136" i="7" s="1"/>
  <c r="J137" i="7" s="1"/>
  <c r="J138" i="7" s="1"/>
  <c r="J139" i="7" s="1"/>
  <c r="J140" i="7" s="1"/>
  <c r="J141" i="7" s="1"/>
  <c r="J142" i="7" s="1"/>
  <c r="J143" i="7" s="1"/>
  <c r="J144" i="7" s="1"/>
  <c r="J145" i="7" s="1"/>
  <c r="J146" i="7" s="1"/>
  <c r="J147" i="7" s="1"/>
  <c r="J148" i="7" s="1"/>
  <c r="J149" i="7" s="1"/>
  <c r="J150" i="7" s="1"/>
  <c r="J151" i="7" s="1"/>
  <c r="J152" i="7" s="1"/>
  <c r="J153" i="7" s="1"/>
  <c r="J154" i="7" s="1"/>
  <c r="J155" i="7" s="1"/>
  <c r="J156" i="7" s="1"/>
  <c r="J157" i="7" s="1"/>
  <c r="J158" i="7" s="1"/>
  <c r="J159" i="7" s="1"/>
  <c r="J160" i="7" s="1"/>
  <c r="J161" i="7" s="1"/>
  <c r="J162" i="7" s="1"/>
  <c r="J163" i="7" s="1"/>
  <c r="J164" i="7" s="1"/>
  <c r="J165" i="7" s="1"/>
  <c r="J166" i="7" s="1"/>
  <c r="J167" i="7" s="1"/>
  <c r="J168" i="7" s="1"/>
  <c r="J169" i="7" s="1"/>
  <c r="J170" i="7" s="1"/>
  <c r="J171" i="7" s="1"/>
  <c r="J172" i="7" s="1"/>
  <c r="J173" i="7" s="1"/>
  <c r="J174" i="7" s="1"/>
  <c r="J175" i="7" s="1"/>
  <c r="J176" i="7" s="1"/>
  <c r="J177" i="7" s="1"/>
  <c r="J178" i="7" s="1"/>
  <c r="J179" i="7" s="1"/>
  <c r="J180" i="7" s="1"/>
  <c r="J181" i="7" s="1"/>
  <c r="J182" i="7" s="1"/>
  <c r="J183" i="7" s="1"/>
  <c r="J184" i="7" s="1"/>
  <c r="J185" i="7" s="1"/>
  <c r="J186" i="7" s="1"/>
  <c r="J187" i="7" s="1"/>
  <c r="J188" i="7" s="1"/>
  <c r="J189" i="7" s="1"/>
  <c r="J190" i="7" s="1"/>
  <c r="J191" i="7" s="1"/>
  <c r="J192" i="7" s="1"/>
  <c r="J193" i="7" s="1"/>
  <c r="J194" i="7" s="1"/>
  <c r="J195" i="7" s="1"/>
  <c r="J196" i="7" s="1"/>
  <c r="J197" i="7" s="1"/>
  <c r="J198" i="7" s="1"/>
  <c r="J199" i="7" s="1"/>
  <c r="J200" i="7" s="1"/>
  <c r="J201" i="7" s="1"/>
  <c r="J202" i="7" s="1"/>
  <c r="J203" i="7" s="1"/>
  <c r="J204" i="7" s="1"/>
  <c r="J205" i="7" s="1"/>
  <c r="J206" i="7" s="1"/>
  <c r="J207" i="7" s="1"/>
  <c r="J208" i="7" s="1"/>
  <c r="J209" i="7" s="1"/>
  <c r="J210" i="7" s="1"/>
  <c r="J211" i="7" s="1"/>
  <c r="J212" i="7" s="1"/>
  <c r="J213" i="7" s="1"/>
  <c r="J214" i="7" s="1"/>
  <c r="J215" i="7" s="1"/>
  <c r="J216" i="7" s="1"/>
  <c r="J217" i="7" s="1"/>
  <c r="J218" i="7" s="1"/>
  <c r="J219" i="7" s="1"/>
  <c r="J220" i="7" s="1"/>
  <c r="J221" i="7" s="1"/>
  <c r="J222" i="7" s="1"/>
  <c r="J223" i="7" s="1"/>
  <c r="J224" i="7" s="1"/>
  <c r="J225" i="7" s="1"/>
  <c r="J226" i="7" s="1"/>
  <c r="J227" i="7" s="1"/>
  <c r="J228" i="7" s="1"/>
  <c r="J229" i="7" s="1"/>
  <c r="J230" i="7" s="1"/>
  <c r="J231" i="7" s="1"/>
  <c r="J232" i="7" s="1"/>
  <c r="J233" i="7" s="1"/>
  <c r="J234" i="7" s="1"/>
  <c r="J235" i="7" s="1"/>
  <c r="J236" i="7" s="1"/>
  <c r="J237" i="7" s="1"/>
  <c r="J238" i="7" s="1"/>
  <c r="J239" i="7" s="1"/>
  <c r="J240" i="7" s="1"/>
  <c r="J241" i="7" s="1"/>
  <c r="J242" i="7" s="1"/>
  <c r="J243" i="7" s="1"/>
  <c r="J244" i="7" s="1"/>
  <c r="J245" i="7" s="1"/>
  <c r="J246" i="7" s="1"/>
  <c r="J247" i="7" s="1"/>
  <c r="J248" i="7" s="1"/>
  <c r="J249" i="7" s="1"/>
  <c r="J250" i="7" s="1"/>
  <c r="J251" i="7" s="1"/>
  <c r="J252" i="7" s="1"/>
  <c r="J253" i="7" s="1"/>
  <c r="J254" i="7" s="1"/>
  <c r="J255" i="7" s="1"/>
  <c r="J256" i="7" s="1"/>
  <c r="J257" i="7" s="1"/>
  <c r="J258" i="7" s="1"/>
  <c r="J259" i="7" s="1"/>
  <c r="J260" i="7" s="1"/>
  <c r="J261" i="7" s="1"/>
  <c r="J262" i="7" s="1"/>
  <c r="J263" i="7" s="1"/>
  <c r="J264" i="7" s="1"/>
  <c r="J265" i="7" s="1"/>
  <c r="J266" i="7" s="1"/>
  <c r="J267" i="7" s="1"/>
  <c r="J268" i="7" s="1"/>
  <c r="J269" i="7" s="1"/>
  <c r="J270" i="7" s="1"/>
  <c r="J271" i="7" s="1"/>
  <c r="J272" i="7" s="1"/>
  <c r="J273" i="7" s="1"/>
  <c r="J274" i="7" s="1"/>
  <c r="J275" i="7" s="1"/>
  <c r="J276" i="7" s="1"/>
  <c r="J277" i="7" s="1"/>
  <c r="J278" i="7" s="1"/>
  <c r="J279" i="7" s="1"/>
  <c r="J280" i="7" s="1"/>
  <c r="J281" i="7" s="1"/>
  <c r="J282" i="7" s="1"/>
  <c r="J283" i="7" s="1"/>
  <c r="J284" i="7" s="1"/>
  <c r="J285" i="7" s="1"/>
  <c r="J286" i="7" s="1"/>
  <c r="J287" i="7" s="1"/>
  <c r="J288" i="7" s="1"/>
  <c r="J289" i="7" s="1"/>
  <c r="J290" i="7" s="1"/>
  <c r="J291" i="7" s="1"/>
  <c r="J292" i="7" s="1"/>
  <c r="J293" i="7" s="1"/>
  <c r="J294" i="7" s="1"/>
  <c r="J295" i="7" s="1"/>
  <c r="J296" i="7" s="1"/>
  <c r="J297" i="7" s="1"/>
  <c r="J298" i="7" s="1"/>
  <c r="J299" i="7" s="1"/>
  <c r="J300" i="7" s="1"/>
  <c r="J301" i="7" s="1"/>
  <c r="J302" i="7" s="1"/>
  <c r="J303" i="7" s="1"/>
  <c r="J304" i="7" s="1"/>
  <c r="J305" i="7" s="1"/>
  <c r="J306" i="7" s="1"/>
  <c r="J307" i="7" s="1"/>
  <c r="J308" i="7" s="1"/>
  <c r="J309" i="7" s="1"/>
  <c r="J310" i="7" s="1"/>
  <c r="J311" i="7" s="1"/>
  <c r="J312" i="7" s="1"/>
  <c r="J313" i="7" s="1"/>
  <c r="J314" i="7" s="1"/>
  <c r="J315" i="7" s="1"/>
  <c r="J316" i="7" s="1"/>
  <c r="J317" i="7" s="1"/>
  <c r="J318" i="7" s="1"/>
  <c r="J319" i="7" s="1"/>
  <c r="J320" i="7" s="1"/>
  <c r="J321" i="7" s="1"/>
  <c r="J322" i="7" s="1"/>
  <c r="J323" i="7" s="1"/>
  <c r="J324" i="7" s="1"/>
  <c r="J325" i="7" s="1"/>
  <c r="J326" i="7" s="1"/>
  <c r="J327" i="7" s="1"/>
  <c r="J328" i="7" s="1"/>
  <c r="J329" i="7" s="1"/>
  <c r="J330" i="7" s="1"/>
  <c r="J331" i="7" s="1"/>
  <c r="J332" i="7" s="1"/>
  <c r="J333" i="7" s="1"/>
  <c r="J334" i="7" s="1"/>
  <c r="J335" i="7" s="1"/>
  <c r="J336" i="7" s="1"/>
  <c r="J337" i="7" s="1"/>
  <c r="J338" i="7" s="1"/>
  <c r="J339" i="7" s="1"/>
  <c r="J340" i="7" s="1"/>
  <c r="J341" i="7" s="1"/>
  <c r="J342" i="7" s="1"/>
  <c r="J343" i="7" s="1"/>
  <c r="J344" i="7" s="1"/>
  <c r="J345" i="7" s="1"/>
  <c r="J346" i="7" s="1"/>
  <c r="J347" i="7" s="1"/>
  <c r="J348" i="7" s="1"/>
  <c r="J349" i="7" s="1"/>
  <c r="J350" i="7" s="1"/>
  <c r="J351" i="7" s="1"/>
  <c r="J352" i="7" s="1"/>
  <c r="J353" i="7" s="1"/>
  <c r="J354" i="7" s="1"/>
  <c r="J355" i="7" s="1"/>
  <c r="J356" i="7" s="1"/>
  <c r="J357" i="7" s="1"/>
  <c r="J358" i="7" s="1"/>
  <c r="J359" i="7" s="1"/>
  <c r="J360" i="7" s="1"/>
  <c r="J361" i="7" s="1"/>
  <c r="J362" i="7" s="1"/>
  <c r="J363" i="7" s="1"/>
  <c r="J364" i="7" s="1"/>
  <c r="J365" i="7" s="1"/>
  <c r="J366" i="7" s="1"/>
  <c r="J367" i="7" s="1"/>
  <c r="J368" i="7" s="1"/>
  <c r="J369" i="7" s="1"/>
  <c r="J370" i="7" s="1"/>
  <c r="J371" i="7" s="1"/>
  <c r="J372" i="7" s="1"/>
  <c r="J373" i="7" s="1"/>
  <c r="J374" i="7" s="1"/>
  <c r="J375" i="7" s="1"/>
  <c r="J376" i="7" s="1"/>
  <c r="J377" i="7" s="1"/>
  <c r="J378" i="7" s="1"/>
  <c r="J379" i="7" s="1"/>
  <c r="J380" i="7" s="1"/>
  <c r="J381" i="7" s="1"/>
  <c r="J382" i="7" s="1"/>
  <c r="J383" i="7" s="1"/>
  <c r="J384" i="7" s="1"/>
  <c r="J385" i="7" s="1"/>
  <c r="J386" i="7" s="1"/>
  <c r="I4" i="7"/>
  <c r="M5" i="7"/>
  <c r="M6" i="7"/>
  <c r="N36" i="7"/>
  <c r="W36" i="7" s="1"/>
  <c r="Q36" i="7" s="1"/>
  <c r="D36" i="7" s="1"/>
  <c r="O36" i="7"/>
  <c r="O37" i="7" s="1"/>
  <c r="O38" i="7" s="1"/>
  <c r="O39" i="7" s="1"/>
  <c r="O40" i="7" s="1"/>
  <c r="O41" i="7" s="1"/>
  <c r="O42" i="7" s="1"/>
  <c r="O43" i="7" s="1"/>
  <c r="O44" i="7" s="1"/>
  <c r="O45" i="7" s="1"/>
  <c r="O46" i="7" s="1"/>
  <c r="O47" i="7" s="1"/>
  <c r="O48" i="7" s="1"/>
  <c r="O49" i="7" s="1"/>
  <c r="O50" i="7" s="1"/>
  <c r="O51" i="7" s="1"/>
  <c r="O52" i="7" s="1"/>
  <c r="O53" i="7" s="1"/>
  <c r="O54" i="7" s="1"/>
  <c r="O55" i="7" s="1"/>
  <c r="O56" i="7" s="1"/>
  <c r="O57" i="7" s="1"/>
  <c r="O58" i="7" s="1"/>
  <c r="O59" i="7" s="1"/>
  <c r="O60" i="7" s="1"/>
  <c r="O61" i="7" s="1"/>
  <c r="O62" i="7" s="1"/>
  <c r="O63" i="7" s="1"/>
  <c r="O64" i="7" s="1"/>
  <c r="O65" i="7" s="1"/>
  <c r="O66" i="7" s="1"/>
  <c r="O67" i="7" s="1"/>
  <c r="O68" i="7" s="1"/>
  <c r="O69" i="7" s="1"/>
  <c r="O70" i="7" s="1"/>
  <c r="O71" i="7" s="1"/>
  <c r="O72" i="7" s="1"/>
  <c r="O73" i="7" s="1"/>
  <c r="O74" i="7" s="1"/>
  <c r="O75" i="7" s="1"/>
  <c r="O76" i="7" s="1"/>
  <c r="O77" i="7" s="1"/>
  <c r="O78" i="7" s="1"/>
  <c r="O79" i="7" s="1"/>
  <c r="O80" i="7" s="1"/>
  <c r="O81" i="7" s="1"/>
  <c r="O82" i="7" s="1"/>
  <c r="O83" i="7" s="1"/>
  <c r="O84" i="7" s="1"/>
  <c r="O85" i="7" s="1"/>
  <c r="O86" i="7" s="1"/>
  <c r="O87" i="7" s="1"/>
  <c r="O88" i="7" s="1"/>
  <c r="O89" i="7" s="1"/>
  <c r="O90" i="7" s="1"/>
  <c r="O91" i="7" s="1"/>
  <c r="O92" i="7" s="1"/>
  <c r="O93" i="7" s="1"/>
  <c r="O94" i="7" s="1"/>
  <c r="O95" i="7" s="1"/>
  <c r="O96" i="7" s="1"/>
  <c r="O97" i="7" s="1"/>
  <c r="O98" i="7" s="1"/>
  <c r="O99" i="7" s="1"/>
  <c r="O100" i="7" s="1"/>
  <c r="O101" i="7" s="1"/>
  <c r="O102" i="7" s="1"/>
  <c r="O103" i="7" s="1"/>
  <c r="O104" i="7" s="1"/>
  <c r="O105" i="7" s="1"/>
  <c r="O106" i="7" s="1"/>
  <c r="O107" i="7" s="1"/>
  <c r="O108" i="7" s="1"/>
  <c r="O109" i="7" s="1"/>
  <c r="O110" i="7" s="1"/>
  <c r="O111" i="7" s="1"/>
  <c r="O112" i="7" s="1"/>
  <c r="O113" i="7" s="1"/>
  <c r="O114" i="7" s="1"/>
  <c r="O115" i="7" s="1"/>
  <c r="O116" i="7" s="1"/>
  <c r="O117" i="7" s="1"/>
  <c r="O118" i="7" s="1"/>
  <c r="O119" i="7" s="1"/>
  <c r="O120" i="7" s="1"/>
  <c r="O121" i="7" s="1"/>
  <c r="O122" i="7" s="1"/>
  <c r="O123" i="7" s="1"/>
  <c r="O124" i="7" s="1"/>
  <c r="O125" i="7" s="1"/>
  <c r="O126" i="7" s="1"/>
  <c r="O127" i="7" s="1"/>
  <c r="O128" i="7" s="1"/>
  <c r="O129" i="7" s="1"/>
  <c r="O130" i="7" s="1"/>
  <c r="O131" i="7" s="1"/>
  <c r="O132" i="7" s="1"/>
  <c r="O133" i="7" s="1"/>
  <c r="O134" i="7" s="1"/>
  <c r="O135" i="7" s="1"/>
  <c r="O136" i="7" s="1"/>
  <c r="O137" i="7" s="1"/>
  <c r="O138" i="7" s="1"/>
  <c r="O139" i="7" s="1"/>
  <c r="O140" i="7" s="1"/>
  <c r="O141" i="7" s="1"/>
  <c r="O142" i="7" s="1"/>
  <c r="O143" i="7" s="1"/>
  <c r="O144" i="7" s="1"/>
  <c r="O145" i="7" s="1"/>
  <c r="O146" i="7" s="1"/>
  <c r="O147" i="7" s="1"/>
  <c r="O148" i="7" s="1"/>
  <c r="O149" i="7" s="1"/>
  <c r="O150" i="7" s="1"/>
  <c r="O151" i="7" s="1"/>
  <c r="O152" i="7" s="1"/>
  <c r="O153" i="7" s="1"/>
  <c r="O154" i="7" s="1"/>
  <c r="O155" i="7" s="1"/>
  <c r="O156" i="7" s="1"/>
  <c r="O157" i="7" s="1"/>
  <c r="O158" i="7" s="1"/>
  <c r="O159" i="7" s="1"/>
  <c r="O160" i="7" s="1"/>
  <c r="O161" i="7" s="1"/>
  <c r="O162" i="7" s="1"/>
  <c r="O163" i="7" s="1"/>
  <c r="O164" i="7" s="1"/>
  <c r="O165" i="7" s="1"/>
  <c r="O166" i="7" s="1"/>
  <c r="O167" i="7" s="1"/>
  <c r="O168" i="7" s="1"/>
  <c r="O169" i="7" s="1"/>
  <c r="O170" i="7" s="1"/>
  <c r="O171" i="7" s="1"/>
  <c r="O172" i="7" s="1"/>
  <c r="O173" i="7" s="1"/>
  <c r="O174" i="7" s="1"/>
  <c r="O175" i="7" s="1"/>
  <c r="O176" i="7" s="1"/>
  <c r="O177" i="7" s="1"/>
  <c r="O178" i="7" s="1"/>
  <c r="O179" i="7" s="1"/>
  <c r="O180" i="7" s="1"/>
  <c r="O181" i="7" s="1"/>
  <c r="O182" i="7" s="1"/>
  <c r="O183" i="7" s="1"/>
  <c r="O184" i="7" s="1"/>
  <c r="O185" i="7" s="1"/>
  <c r="O186" i="7" s="1"/>
  <c r="O187" i="7" s="1"/>
  <c r="O188" i="7" s="1"/>
  <c r="O189" i="7" s="1"/>
  <c r="O190" i="7" s="1"/>
  <c r="O191" i="7" s="1"/>
  <c r="O192" i="7" s="1"/>
  <c r="O193" i="7" s="1"/>
  <c r="O194" i="7" s="1"/>
  <c r="O195" i="7" s="1"/>
  <c r="O196" i="7" s="1"/>
  <c r="O197" i="7" s="1"/>
  <c r="O198" i="7" s="1"/>
  <c r="O199" i="7" s="1"/>
  <c r="O200" i="7" s="1"/>
  <c r="O201" i="7" s="1"/>
  <c r="O202" i="7" s="1"/>
  <c r="O203" i="7" s="1"/>
  <c r="O204" i="7" s="1"/>
  <c r="O205" i="7" s="1"/>
  <c r="O206" i="7" s="1"/>
  <c r="O207" i="7" s="1"/>
  <c r="O208" i="7" s="1"/>
  <c r="O209" i="7" s="1"/>
  <c r="O210" i="7" s="1"/>
  <c r="O211" i="7" s="1"/>
  <c r="O212" i="7" s="1"/>
  <c r="O213" i="7" s="1"/>
  <c r="O214" i="7" s="1"/>
  <c r="O215" i="7" s="1"/>
  <c r="O216" i="7" s="1"/>
  <c r="O217" i="7" s="1"/>
  <c r="O218" i="7" s="1"/>
  <c r="O219" i="7" s="1"/>
  <c r="O220" i="7" s="1"/>
  <c r="O221" i="7" s="1"/>
  <c r="O222" i="7" s="1"/>
  <c r="O223" i="7" s="1"/>
  <c r="O224" i="7" s="1"/>
  <c r="O225" i="7" s="1"/>
  <c r="O226" i="7" s="1"/>
  <c r="O227" i="7" s="1"/>
  <c r="O228" i="7" s="1"/>
  <c r="O229" i="7" s="1"/>
  <c r="O230" i="7" s="1"/>
  <c r="O231" i="7" s="1"/>
  <c r="O232" i="7" s="1"/>
  <c r="O233" i="7" s="1"/>
  <c r="O234" i="7" s="1"/>
  <c r="O235" i="7" s="1"/>
  <c r="O236" i="7" s="1"/>
  <c r="O237" i="7" s="1"/>
  <c r="O238" i="7" s="1"/>
  <c r="O239" i="7" s="1"/>
  <c r="O240" i="7" s="1"/>
  <c r="O241" i="7" s="1"/>
  <c r="O242" i="7" s="1"/>
  <c r="O243" i="7" s="1"/>
  <c r="O244" i="7" s="1"/>
  <c r="O245" i="7" s="1"/>
  <c r="O246" i="7" s="1"/>
  <c r="O247" i="7" s="1"/>
  <c r="O248" i="7" s="1"/>
  <c r="O249" i="7" s="1"/>
  <c r="O250" i="7" s="1"/>
  <c r="O251" i="7" s="1"/>
  <c r="O252" i="7" s="1"/>
  <c r="O253" i="7" s="1"/>
  <c r="O254" i="7" s="1"/>
  <c r="O255" i="7" s="1"/>
  <c r="O256" i="7" s="1"/>
  <c r="O257" i="7" s="1"/>
  <c r="O258" i="7" s="1"/>
  <c r="O259" i="7" s="1"/>
  <c r="O260" i="7" s="1"/>
  <c r="O261" i="7" s="1"/>
  <c r="O262" i="7" s="1"/>
  <c r="O263" i="7" s="1"/>
  <c r="O264" i="7" s="1"/>
  <c r="O265" i="7" s="1"/>
  <c r="O266" i="7" s="1"/>
  <c r="O267" i="7" s="1"/>
  <c r="O268" i="7" s="1"/>
  <c r="O269" i="7" s="1"/>
  <c r="O270" i="7" s="1"/>
  <c r="O271" i="7" s="1"/>
  <c r="O272" i="7" s="1"/>
  <c r="O273" i="7" s="1"/>
  <c r="O274" i="7" s="1"/>
  <c r="O275" i="7" s="1"/>
  <c r="O276" i="7" s="1"/>
  <c r="O277" i="7" s="1"/>
  <c r="O278" i="7" s="1"/>
  <c r="O279" i="7" s="1"/>
  <c r="O280" i="7" s="1"/>
  <c r="O281" i="7" s="1"/>
  <c r="O282" i="7" s="1"/>
  <c r="O283" i="7" s="1"/>
  <c r="O284" i="7" s="1"/>
  <c r="O285" i="7" s="1"/>
  <c r="O286" i="7" s="1"/>
  <c r="O287" i="7" s="1"/>
  <c r="O288" i="7" s="1"/>
  <c r="O289" i="7" s="1"/>
  <c r="O290" i="7" s="1"/>
  <c r="O291" i="7" s="1"/>
  <c r="O292" i="7" s="1"/>
  <c r="O293" i="7" s="1"/>
  <c r="O294" i="7" s="1"/>
  <c r="O295" i="7" s="1"/>
  <c r="O296" i="7" s="1"/>
  <c r="O297" i="7" s="1"/>
  <c r="O298" i="7" s="1"/>
  <c r="O299" i="7" s="1"/>
  <c r="O300" i="7" s="1"/>
  <c r="O301" i="7" s="1"/>
  <c r="O302" i="7" s="1"/>
  <c r="O303" i="7" s="1"/>
  <c r="O304" i="7" s="1"/>
  <c r="O305" i="7" s="1"/>
  <c r="O306" i="7" s="1"/>
  <c r="O307" i="7" s="1"/>
  <c r="O308" i="7" s="1"/>
  <c r="O309" i="7" s="1"/>
  <c r="O310" i="7" s="1"/>
  <c r="O311" i="7" s="1"/>
  <c r="O312" i="7" s="1"/>
  <c r="O313" i="7" s="1"/>
  <c r="O314" i="7" s="1"/>
  <c r="O315" i="7" s="1"/>
  <c r="O316" i="7" s="1"/>
  <c r="O317" i="7" s="1"/>
  <c r="O318" i="7" s="1"/>
  <c r="O319" i="7" s="1"/>
  <c r="O320" i="7" s="1"/>
  <c r="O321" i="7" s="1"/>
  <c r="O322" i="7" s="1"/>
  <c r="O323" i="7" s="1"/>
  <c r="O324" i="7" s="1"/>
  <c r="O325" i="7" s="1"/>
  <c r="O326" i="7" s="1"/>
  <c r="O327" i="7" s="1"/>
  <c r="O328" i="7" s="1"/>
  <c r="O329" i="7" s="1"/>
  <c r="O330" i="7" s="1"/>
  <c r="O331" i="7" s="1"/>
  <c r="O332" i="7" s="1"/>
  <c r="O333" i="7" s="1"/>
  <c r="O334" i="7" s="1"/>
  <c r="O335" i="7" s="1"/>
  <c r="O336" i="7" s="1"/>
  <c r="O337" i="7" s="1"/>
  <c r="O338" i="7" s="1"/>
  <c r="O339" i="7" s="1"/>
  <c r="O340" i="7" s="1"/>
  <c r="O341" i="7" s="1"/>
  <c r="O342" i="7" s="1"/>
  <c r="O343" i="7" s="1"/>
  <c r="O344" i="7" s="1"/>
  <c r="O345" i="7" s="1"/>
  <c r="O346" i="7" s="1"/>
  <c r="O347" i="7" s="1"/>
  <c r="O348" i="7" s="1"/>
  <c r="O349" i="7" s="1"/>
  <c r="O350" i="7" s="1"/>
  <c r="O351" i="7" s="1"/>
  <c r="O352" i="7" s="1"/>
  <c r="O353" i="7" s="1"/>
  <c r="O354" i="7" s="1"/>
  <c r="O355" i="7" s="1"/>
  <c r="O356" i="7" s="1"/>
  <c r="O357" i="7" s="1"/>
  <c r="O358" i="7" s="1"/>
  <c r="O359" i="7" s="1"/>
  <c r="O360" i="7" s="1"/>
  <c r="O361" i="7" s="1"/>
  <c r="O362" i="7" s="1"/>
  <c r="O363" i="7" s="1"/>
  <c r="O364" i="7" s="1"/>
  <c r="O365" i="7" s="1"/>
  <c r="O366" i="7" s="1"/>
  <c r="O367" i="7" s="1"/>
  <c r="O368" i="7" s="1"/>
  <c r="O369" i="7" s="1"/>
  <c r="O370" i="7" s="1"/>
  <c r="O371" i="7" s="1"/>
  <c r="O372" i="7" s="1"/>
  <c r="O373" i="7" s="1"/>
  <c r="O374" i="7" s="1"/>
  <c r="O375" i="7" s="1"/>
  <c r="O376" i="7" s="1"/>
  <c r="O377" i="7" s="1"/>
  <c r="O378" i="7" s="1"/>
  <c r="O379" i="7" s="1"/>
  <c r="O380" i="7" s="1"/>
  <c r="O381" i="7" s="1"/>
  <c r="O382" i="7" s="1"/>
  <c r="O383" i="7" s="1"/>
  <c r="O384" i="7" s="1"/>
  <c r="O385" i="7" s="1"/>
  <c r="O386" i="7" s="1"/>
  <c r="W35" i="7"/>
  <c r="Q35" i="7" s="1"/>
  <c r="D35" i="7" s="1"/>
  <c r="I36" i="7"/>
  <c r="X37" i="7" s="1"/>
  <c r="O34" i="3"/>
  <c r="O35" i="3" s="1"/>
  <c r="O36" i="3" s="1"/>
  <c r="O37" i="3" s="1"/>
  <c r="O38" i="3" s="1"/>
  <c r="O39" i="3" s="1"/>
  <c r="O40" i="3" s="1"/>
  <c r="O41" i="3" s="1"/>
  <c r="O42" i="3" s="1"/>
  <c r="O43" i="3" s="1"/>
  <c r="O44" i="3" s="1"/>
  <c r="O45" i="3" s="1"/>
  <c r="O46" i="3" s="1"/>
  <c r="O47" i="3" s="1"/>
  <c r="O48" i="3" s="1"/>
  <c r="O49" i="3" s="1"/>
  <c r="O50" i="3" s="1"/>
  <c r="O51" i="3" s="1"/>
  <c r="O52" i="3" s="1"/>
  <c r="O53" i="3" s="1"/>
  <c r="O54" i="3" s="1"/>
  <c r="O55" i="3" s="1"/>
  <c r="O56" i="3" s="1"/>
  <c r="O57" i="3" s="1"/>
  <c r="O58" i="3" s="1"/>
  <c r="O59" i="3" s="1"/>
  <c r="O60" i="3" s="1"/>
  <c r="O61" i="3" s="1"/>
  <c r="O62" i="3" s="1"/>
  <c r="O63" i="3" s="1"/>
  <c r="N34" i="3"/>
  <c r="N35" i="3" s="1"/>
  <c r="N36" i="3" s="1"/>
  <c r="N37" i="3" s="1"/>
  <c r="N38" i="3" s="1"/>
  <c r="N39" i="3" s="1"/>
  <c r="N40" i="3" s="1"/>
  <c r="N41" i="3" s="1"/>
  <c r="N42" i="3" s="1"/>
  <c r="N43" i="3" s="1"/>
  <c r="N44" i="3" s="1"/>
  <c r="N45" i="3" s="1"/>
  <c r="N46" i="3" s="1"/>
  <c r="N47" i="3" s="1"/>
  <c r="N48" i="3" s="1"/>
  <c r="N49" i="3" s="1"/>
  <c r="N50" i="3" s="1"/>
  <c r="N51" i="3" s="1"/>
  <c r="N52" i="3" s="1"/>
  <c r="N53" i="3" s="1"/>
  <c r="N54" i="3" s="1"/>
  <c r="N55" i="3" s="1"/>
  <c r="N56" i="3" s="1"/>
  <c r="N57" i="3" s="1"/>
  <c r="N58" i="3" s="1"/>
  <c r="N59" i="3" s="1"/>
  <c r="N60" i="3" s="1"/>
  <c r="N61" i="3" s="1"/>
  <c r="N62" i="3" s="1"/>
  <c r="N63" i="3" s="1"/>
  <c r="J42" i="9" l="1"/>
  <c r="N41" i="9"/>
  <c r="N37" i="7"/>
  <c r="N38" i="7" s="1"/>
  <c r="I37" i="7"/>
  <c r="L33" i="3"/>
  <c r="L34" i="3" s="1"/>
  <c r="L35" i="3" s="1"/>
  <c r="L36" i="3" s="1"/>
  <c r="L37" i="3" s="1"/>
  <c r="L38" i="3" s="1"/>
  <c r="L39" i="3" s="1"/>
  <c r="L40" i="3" s="1"/>
  <c r="L41" i="3" s="1"/>
  <c r="L42" i="3" s="1"/>
  <c r="L43" i="3" s="1"/>
  <c r="L44" i="3" s="1"/>
  <c r="L45" i="3" s="1"/>
  <c r="L46" i="3" s="1"/>
  <c r="L47" i="3" s="1"/>
  <c r="L48" i="3" s="1"/>
  <c r="L49" i="3" s="1"/>
  <c r="L50" i="3" s="1"/>
  <c r="L51" i="3" s="1"/>
  <c r="L52" i="3" s="1"/>
  <c r="L53" i="3" s="1"/>
  <c r="L54" i="3" s="1"/>
  <c r="L55" i="3" s="1"/>
  <c r="L56" i="3" s="1"/>
  <c r="L57" i="3" s="1"/>
  <c r="L58" i="3" s="1"/>
  <c r="L59" i="3" s="1"/>
  <c r="L60" i="3" s="1"/>
  <c r="L61" i="3" s="1"/>
  <c r="L62" i="3" s="1"/>
  <c r="L63" i="3" s="1"/>
  <c r="J34" i="3"/>
  <c r="J35" i="3" s="1"/>
  <c r="J36" i="3" s="1"/>
  <c r="J37" i="3" s="1"/>
  <c r="J38" i="3" s="1"/>
  <c r="J39" i="3" s="1"/>
  <c r="J40" i="3" s="1"/>
  <c r="J41" i="3" s="1"/>
  <c r="J42" i="3" s="1"/>
  <c r="J43" i="3" s="1"/>
  <c r="J44" i="3" s="1"/>
  <c r="J45" i="3" s="1"/>
  <c r="J46" i="3" s="1"/>
  <c r="J47" i="3" s="1"/>
  <c r="J48" i="3" s="1"/>
  <c r="J49" i="3" s="1"/>
  <c r="J50" i="3" s="1"/>
  <c r="J51" i="3" s="1"/>
  <c r="J52" i="3" s="1"/>
  <c r="J53" i="3" s="1"/>
  <c r="J54" i="3" s="1"/>
  <c r="J55" i="3" s="1"/>
  <c r="J56" i="3" s="1"/>
  <c r="J57" i="3" s="1"/>
  <c r="J58" i="3" s="1"/>
  <c r="J59" i="3" s="1"/>
  <c r="J60" i="3" s="1"/>
  <c r="J61" i="3" s="1"/>
  <c r="J62" i="3" s="1"/>
  <c r="J63" i="3" s="1"/>
  <c r="K33" i="3"/>
  <c r="K34" i="3" s="1"/>
  <c r="K35" i="3" s="1"/>
  <c r="K36" i="3" s="1"/>
  <c r="K37" i="3" s="1"/>
  <c r="K38" i="3" s="1"/>
  <c r="K39" i="3" s="1"/>
  <c r="K40" i="3" s="1"/>
  <c r="K41" i="3" s="1"/>
  <c r="K42" i="3" s="1"/>
  <c r="K43" i="3" s="1"/>
  <c r="K44" i="3" s="1"/>
  <c r="K45" i="3" s="1"/>
  <c r="K46" i="3" s="1"/>
  <c r="K47" i="3" s="1"/>
  <c r="K48" i="3" s="1"/>
  <c r="K49" i="3" s="1"/>
  <c r="K50" i="3" s="1"/>
  <c r="K51" i="3" s="1"/>
  <c r="K52" i="3" s="1"/>
  <c r="K53" i="3" s="1"/>
  <c r="K54" i="3" s="1"/>
  <c r="K55" i="3" s="1"/>
  <c r="K56" i="3" s="1"/>
  <c r="K57" i="3" s="1"/>
  <c r="K58" i="3" s="1"/>
  <c r="K59" i="3" s="1"/>
  <c r="K60" i="3" s="1"/>
  <c r="K61" i="3" s="1"/>
  <c r="K62" i="3" s="1"/>
  <c r="K63" i="3" s="1"/>
  <c r="K35" i="4"/>
  <c r="K36" i="4" s="1"/>
  <c r="K37" i="4" s="1"/>
  <c r="K38" i="4" s="1"/>
  <c r="K39" i="4" s="1"/>
  <c r="K40" i="4" s="1"/>
  <c r="K41" i="4" s="1"/>
  <c r="K42" i="4" s="1"/>
  <c r="K43" i="4" s="1"/>
  <c r="K44" i="4" s="1"/>
  <c r="K45" i="4" s="1"/>
  <c r="K46" i="4" s="1"/>
  <c r="K47" i="4" s="1"/>
  <c r="K48" i="4" s="1"/>
  <c r="K49" i="4" s="1"/>
  <c r="K50" i="4" s="1"/>
  <c r="K51" i="4" s="1"/>
  <c r="K52" i="4" s="1"/>
  <c r="K53" i="4" s="1"/>
  <c r="K54" i="4" s="1"/>
  <c r="K55" i="4" s="1"/>
  <c r="K56" i="4" s="1"/>
  <c r="K57" i="4" s="1"/>
  <c r="K58" i="4" s="1"/>
  <c r="K59" i="4" s="1"/>
  <c r="K60" i="4" s="1"/>
  <c r="K61" i="4" s="1"/>
  <c r="K62" i="4" s="1"/>
  <c r="K63" i="4" s="1"/>
  <c r="K64" i="4" s="1"/>
  <c r="L35" i="4"/>
  <c r="L36" i="4" s="1"/>
  <c r="L37" i="4" s="1"/>
  <c r="L38" i="4" s="1"/>
  <c r="L39" i="4" s="1"/>
  <c r="L40" i="4" s="1"/>
  <c r="L41" i="4" s="1"/>
  <c r="L42" i="4" s="1"/>
  <c r="L43" i="4" s="1"/>
  <c r="L44" i="4" s="1"/>
  <c r="L45" i="4" s="1"/>
  <c r="L46" i="4" s="1"/>
  <c r="L47" i="4" s="1"/>
  <c r="L48" i="4" s="1"/>
  <c r="L49" i="4" s="1"/>
  <c r="L50" i="4" s="1"/>
  <c r="L51" i="4" s="1"/>
  <c r="L52" i="4" s="1"/>
  <c r="L53" i="4" s="1"/>
  <c r="L54" i="4" s="1"/>
  <c r="L55" i="4" s="1"/>
  <c r="L56" i="4" s="1"/>
  <c r="L57" i="4" s="1"/>
  <c r="L58" i="4" s="1"/>
  <c r="L59" i="4" s="1"/>
  <c r="L60" i="4" s="1"/>
  <c r="L61" i="4" s="1"/>
  <c r="L62" i="4" s="1"/>
  <c r="L63" i="4" s="1"/>
  <c r="L64" i="4" s="1"/>
  <c r="I34" i="3"/>
  <c r="I35" i="3" s="1"/>
  <c r="I36" i="3" s="1"/>
  <c r="I37" i="3" s="1"/>
  <c r="I38" i="3" s="1"/>
  <c r="I39" i="3" s="1"/>
  <c r="I40" i="3" s="1"/>
  <c r="I41" i="3" s="1"/>
  <c r="I42" i="3" s="1"/>
  <c r="I43" i="3" s="1"/>
  <c r="I44" i="3" s="1"/>
  <c r="I45" i="3" s="1"/>
  <c r="I46" i="3" s="1"/>
  <c r="I47" i="3" s="1"/>
  <c r="I48" i="3" s="1"/>
  <c r="I49" i="3" s="1"/>
  <c r="I50" i="3" s="1"/>
  <c r="I51" i="3" s="1"/>
  <c r="I52" i="3" s="1"/>
  <c r="I53" i="3" s="1"/>
  <c r="I54" i="3" s="1"/>
  <c r="I55" i="3" s="1"/>
  <c r="I56" i="3" s="1"/>
  <c r="I57" i="3" s="1"/>
  <c r="I58" i="3" s="1"/>
  <c r="I59" i="3" s="1"/>
  <c r="I60" i="3" s="1"/>
  <c r="I61" i="3" s="1"/>
  <c r="I62" i="3" s="1"/>
  <c r="I63" i="3" s="1"/>
  <c r="M33" i="3"/>
  <c r="M34" i="3" s="1"/>
  <c r="M35" i="3" s="1"/>
  <c r="M36" i="3" s="1"/>
  <c r="M37" i="3" s="1"/>
  <c r="M38" i="3" s="1"/>
  <c r="M39" i="3" s="1"/>
  <c r="M40" i="3" s="1"/>
  <c r="M41" i="3" s="1"/>
  <c r="M42" i="3" s="1"/>
  <c r="M43" i="3" s="1"/>
  <c r="M44" i="3" s="1"/>
  <c r="M45" i="3" s="1"/>
  <c r="M46" i="3" s="1"/>
  <c r="M47" i="3" s="1"/>
  <c r="M48" i="3" s="1"/>
  <c r="M49" i="3" s="1"/>
  <c r="M50" i="3" s="1"/>
  <c r="M51" i="3" s="1"/>
  <c r="M52" i="3" s="1"/>
  <c r="M53" i="3" s="1"/>
  <c r="M54" i="3" s="1"/>
  <c r="M55" i="3" s="1"/>
  <c r="M56" i="3" s="1"/>
  <c r="M57" i="3" s="1"/>
  <c r="M58" i="3" s="1"/>
  <c r="M59" i="3" s="1"/>
  <c r="M60" i="3" s="1"/>
  <c r="M61" i="3" s="1"/>
  <c r="M62" i="3" s="1"/>
  <c r="M63" i="3" s="1"/>
  <c r="J43" i="9" l="1"/>
  <c r="N42" i="9"/>
  <c r="W37" i="7"/>
  <c r="Q37" i="7" s="1"/>
  <c r="D37" i="7" s="1"/>
  <c r="N39" i="7"/>
  <c r="W38" i="7"/>
  <c r="I38" i="7"/>
  <c r="X38" i="7"/>
  <c r="E27" i="1"/>
  <c r="E26" i="1"/>
  <c r="H30" i="2"/>
  <c r="F32" i="2"/>
  <c r="F33" i="2"/>
  <c r="F34" i="2"/>
  <c r="F35" i="2"/>
  <c r="F36" i="2"/>
  <c r="F37" i="2"/>
  <c r="F38" i="2"/>
  <c r="F39" i="2"/>
  <c r="F40" i="2"/>
  <c r="F41" i="2"/>
  <c r="F42" i="2"/>
  <c r="F43" i="2"/>
  <c r="F44" i="2"/>
  <c r="F45" i="2"/>
  <c r="F46" i="2"/>
  <c r="F47" i="2"/>
  <c r="F48" i="2"/>
  <c r="F49" i="2"/>
  <c r="F50" i="2"/>
  <c r="F51" i="2"/>
  <c r="F52" i="2"/>
  <c r="F53" i="2"/>
  <c r="F54" i="2"/>
  <c r="F55" i="2"/>
  <c r="F56" i="2"/>
  <c r="F57" i="2"/>
  <c r="F58" i="2"/>
  <c r="F59" i="2"/>
  <c r="F60" i="2"/>
  <c r="F31" i="2"/>
  <c r="G60" i="2"/>
  <c r="G59" i="2"/>
  <c r="G58" i="2"/>
  <c r="G57" i="2"/>
  <c r="G56" i="2"/>
  <c r="G55" i="2"/>
  <c r="G54" i="2"/>
  <c r="G53" i="2"/>
  <c r="G52" i="2"/>
  <c r="G51" i="2"/>
  <c r="G50" i="2"/>
  <c r="G49" i="2"/>
  <c r="G48" i="2"/>
  <c r="G47" i="2"/>
  <c r="G46" i="2"/>
  <c r="G45" i="2"/>
  <c r="G44" i="2"/>
  <c r="G30" i="2"/>
  <c r="J30" i="2" s="1"/>
  <c r="E28" i="1"/>
  <c r="E29" i="1"/>
  <c r="E30" i="1"/>
  <c r="E31" i="1"/>
  <c r="E32" i="1"/>
  <c r="E33" i="1"/>
  <c r="E34" i="1"/>
  <c r="E35" i="1"/>
  <c r="F24" i="1"/>
  <c r="J44" i="9" l="1"/>
  <c r="N43" i="9"/>
  <c r="Q38" i="7"/>
  <c r="D38" i="7" s="1"/>
  <c r="I39" i="7"/>
  <c r="X39" i="7"/>
  <c r="N40" i="7"/>
  <c r="W39" i="7"/>
  <c r="F25" i="1"/>
  <c r="I35" i="4"/>
  <c r="J35" i="4"/>
  <c r="H31" i="2"/>
  <c r="I31" i="2" s="1"/>
  <c r="I30" i="2"/>
  <c r="G31" i="2"/>
  <c r="G32" i="2" l="1"/>
  <c r="J31" i="2"/>
  <c r="J45" i="9"/>
  <c r="N44" i="9"/>
  <c r="M35" i="4"/>
  <c r="I40" i="7"/>
  <c r="X40" i="7"/>
  <c r="Q39" i="7"/>
  <c r="D39" i="7" s="1"/>
  <c r="N41" i="7"/>
  <c r="W40" i="7"/>
  <c r="F26" i="1"/>
  <c r="H32" i="2"/>
  <c r="I32" i="2" s="1"/>
  <c r="G33" i="2" l="1"/>
  <c r="J32" i="2"/>
  <c r="J46" i="9"/>
  <c r="N45" i="9"/>
  <c r="Q40" i="7"/>
  <c r="D40" i="7" s="1"/>
  <c r="I41" i="7"/>
  <c r="X41" i="7"/>
  <c r="N42" i="7"/>
  <c r="W41" i="7"/>
  <c r="H33" i="2"/>
  <c r="I33" i="2" s="1"/>
  <c r="F27" i="1"/>
  <c r="G34" i="2" l="1"/>
  <c r="J33" i="2"/>
  <c r="J47" i="9"/>
  <c r="N46" i="9"/>
  <c r="H34" i="2"/>
  <c r="H35" i="2" s="1"/>
  <c r="I42" i="7"/>
  <c r="X42" i="7"/>
  <c r="Q41" i="7"/>
  <c r="D41" i="7" s="1"/>
  <c r="N43" i="7"/>
  <c r="W42" i="7"/>
  <c r="F28" i="1"/>
  <c r="I34" i="2"/>
  <c r="G35" i="2" l="1"/>
  <c r="J34" i="2"/>
  <c r="J48" i="9"/>
  <c r="N47" i="9"/>
  <c r="Q42" i="7"/>
  <c r="D42" i="7" s="1"/>
  <c r="N44" i="7"/>
  <c r="W43" i="7"/>
  <c r="I43" i="7"/>
  <c r="X43" i="7"/>
  <c r="F29" i="1"/>
  <c r="H36" i="2"/>
  <c r="I35" i="2"/>
  <c r="G36" i="2" l="1"/>
  <c r="J35" i="2"/>
  <c r="J49" i="9"/>
  <c r="N48" i="9"/>
  <c r="X44" i="7"/>
  <c r="U43" i="7"/>
  <c r="Q43" i="7" s="1"/>
  <c r="D43" i="7" s="1"/>
  <c r="I44" i="7"/>
  <c r="N45" i="7"/>
  <c r="W44" i="7"/>
  <c r="F30" i="1"/>
  <c r="I36" i="2"/>
  <c r="H37" i="2"/>
  <c r="J36" i="2" l="1"/>
  <c r="G37" i="2"/>
  <c r="J37" i="2" s="1"/>
  <c r="J50" i="9"/>
  <c r="N49" i="9"/>
  <c r="N46" i="7"/>
  <c r="W45" i="7"/>
  <c r="X45" i="7"/>
  <c r="U44" i="7"/>
  <c r="Q44" i="7" s="1"/>
  <c r="D44" i="7" s="1"/>
  <c r="I45" i="7"/>
  <c r="F31" i="1"/>
  <c r="I37" i="2"/>
  <c r="H38" i="2"/>
  <c r="G38" i="2" l="1"/>
  <c r="J51" i="9"/>
  <c r="N50" i="9"/>
  <c r="U45" i="7"/>
  <c r="Q45" i="7" s="1"/>
  <c r="D45" i="7" s="1"/>
  <c r="X46" i="7"/>
  <c r="I46" i="7"/>
  <c r="N47" i="7"/>
  <c r="W46" i="7"/>
  <c r="F32" i="1"/>
  <c r="I38" i="2"/>
  <c r="H39" i="2"/>
  <c r="G39" i="2" l="1"/>
  <c r="J38" i="2"/>
  <c r="J52" i="9"/>
  <c r="N51" i="9"/>
  <c r="N48" i="7"/>
  <c r="W47" i="7"/>
  <c r="U46" i="7"/>
  <c r="Q46" i="7" s="1"/>
  <c r="D46" i="7" s="1"/>
  <c r="X47" i="7"/>
  <c r="I47" i="7"/>
  <c r="F33" i="1"/>
  <c r="H40" i="2"/>
  <c r="I39" i="2"/>
  <c r="G40" i="2" l="1"/>
  <c r="J39" i="2"/>
  <c r="N52" i="9"/>
  <c r="J53" i="9"/>
  <c r="N53" i="9" s="1"/>
  <c r="X48" i="7"/>
  <c r="U47" i="7"/>
  <c r="Q47" i="7" s="1"/>
  <c r="D47" i="7" s="1"/>
  <c r="I48" i="7"/>
  <c r="N49" i="7"/>
  <c r="W48" i="7"/>
  <c r="F34" i="1"/>
  <c r="I40" i="2"/>
  <c r="H41" i="2"/>
  <c r="G41" i="2" l="1"/>
  <c r="J40" i="2"/>
  <c r="X49" i="7"/>
  <c r="U48" i="7"/>
  <c r="Q48" i="7" s="1"/>
  <c r="D48" i="7" s="1"/>
  <c r="I49" i="7"/>
  <c r="N50" i="7"/>
  <c r="W49" i="7"/>
  <c r="F35" i="1"/>
  <c r="H42" i="2"/>
  <c r="I41" i="2"/>
  <c r="G42" i="2" l="1"/>
  <c r="J41" i="2"/>
  <c r="G24" i="1"/>
  <c r="G25" i="1" s="1"/>
  <c r="N51" i="7"/>
  <c r="W50" i="7"/>
  <c r="U49" i="7"/>
  <c r="Q49" i="7" s="1"/>
  <c r="D49" i="7" s="1"/>
  <c r="X50" i="7"/>
  <c r="I50" i="7"/>
  <c r="H43" i="2"/>
  <c r="I42" i="2"/>
  <c r="G43" i="2" l="1"/>
  <c r="J43" i="2" s="1"/>
  <c r="J42" i="2"/>
  <c r="H24" i="1"/>
  <c r="G26" i="1"/>
  <c r="H25" i="1"/>
  <c r="U50" i="7"/>
  <c r="Q50" i="7" s="1"/>
  <c r="D50" i="7" s="1"/>
  <c r="X51" i="7"/>
  <c r="I51" i="7"/>
  <c r="N52" i="7"/>
  <c r="W51" i="7"/>
  <c r="I43" i="2"/>
  <c r="H44" i="2"/>
  <c r="J44" i="2" s="1"/>
  <c r="G27" i="1" l="1"/>
  <c r="H26" i="1"/>
  <c r="N53" i="7"/>
  <c r="W52" i="7"/>
  <c r="X52" i="7"/>
  <c r="U51" i="7"/>
  <c r="Q51" i="7" s="1"/>
  <c r="D51" i="7" s="1"/>
  <c r="I52" i="7"/>
  <c r="H45" i="2"/>
  <c r="J45" i="2" s="1"/>
  <c r="I44" i="2"/>
  <c r="G28" i="1" l="1"/>
  <c r="H27" i="1"/>
  <c r="X53" i="7"/>
  <c r="U52" i="7"/>
  <c r="Q52" i="7" s="1"/>
  <c r="D52" i="7" s="1"/>
  <c r="I53" i="7"/>
  <c r="N54" i="7"/>
  <c r="W53" i="7"/>
  <c r="H46" i="2"/>
  <c r="J46" i="2" s="1"/>
  <c r="I45" i="2"/>
  <c r="G29" i="1" l="1"/>
  <c r="H28" i="1"/>
  <c r="U53" i="7"/>
  <c r="Q53" i="7" s="1"/>
  <c r="D53" i="7" s="1"/>
  <c r="X54" i="7"/>
  <c r="I54" i="7"/>
  <c r="N55" i="7"/>
  <c r="W54" i="7"/>
  <c r="I46" i="2"/>
  <c r="H47" i="2"/>
  <c r="J47" i="2" s="1"/>
  <c r="G30" i="1" l="1"/>
  <c r="H29" i="1"/>
  <c r="N56" i="7"/>
  <c r="W55" i="7"/>
  <c r="U54" i="7"/>
  <c r="Q54" i="7" s="1"/>
  <c r="D54" i="7" s="1"/>
  <c r="X55" i="7"/>
  <c r="I55" i="7"/>
  <c r="H48" i="2"/>
  <c r="J48" i="2" s="1"/>
  <c r="I47" i="2"/>
  <c r="G31" i="1" l="1"/>
  <c r="H30" i="1"/>
  <c r="X56" i="7"/>
  <c r="U55" i="7"/>
  <c r="Q55" i="7" s="1"/>
  <c r="D55" i="7" s="1"/>
  <c r="I56" i="7"/>
  <c r="N57" i="7"/>
  <c r="W56" i="7"/>
  <c r="H49" i="2"/>
  <c r="J49" i="2" s="1"/>
  <c r="I48" i="2"/>
  <c r="G32" i="1" l="1"/>
  <c r="H31" i="1"/>
  <c r="X57" i="7"/>
  <c r="U56" i="7"/>
  <c r="Q56" i="7" s="1"/>
  <c r="D56" i="7" s="1"/>
  <c r="I57" i="7"/>
  <c r="N58" i="7"/>
  <c r="W57" i="7"/>
  <c r="I49" i="2"/>
  <c r="H50" i="2"/>
  <c r="J50" i="2" s="1"/>
  <c r="G33" i="1" l="1"/>
  <c r="H32" i="1"/>
  <c r="N59" i="7"/>
  <c r="W58" i="7"/>
  <c r="U57" i="7"/>
  <c r="Q57" i="7" s="1"/>
  <c r="D57" i="7" s="1"/>
  <c r="X58" i="7"/>
  <c r="I58" i="7"/>
  <c r="I50" i="2"/>
  <c r="H51" i="2"/>
  <c r="J51" i="2" s="1"/>
  <c r="G34" i="1" l="1"/>
  <c r="H33" i="1"/>
  <c r="U58" i="7"/>
  <c r="Q58" i="7" s="1"/>
  <c r="D58" i="7" s="1"/>
  <c r="X59" i="7"/>
  <c r="I59" i="7"/>
  <c r="N60" i="7"/>
  <c r="W59" i="7"/>
  <c r="H52" i="2"/>
  <c r="J52" i="2" s="1"/>
  <c r="I51" i="2"/>
  <c r="G35" i="1" l="1"/>
  <c r="H35" i="1" s="1"/>
  <c r="H34" i="1"/>
  <c r="N61" i="7"/>
  <c r="W60" i="7"/>
  <c r="X60" i="7"/>
  <c r="U59" i="7"/>
  <c r="Q59" i="7" s="1"/>
  <c r="D59" i="7" s="1"/>
  <c r="I60" i="7"/>
  <c r="I52" i="2"/>
  <c r="H53" i="2"/>
  <c r="J53" i="2" s="1"/>
  <c r="X61" i="7" l="1"/>
  <c r="U60" i="7"/>
  <c r="Q60" i="7" s="1"/>
  <c r="D60" i="7" s="1"/>
  <c r="I61" i="7"/>
  <c r="N62" i="7"/>
  <c r="W61" i="7"/>
  <c r="I53" i="2"/>
  <c r="H54" i="2"/>
  <c r="J54" i="2" s="1"/>
  <c r="U61" i="7" l="1"/>
  <c r="Q61" i="7" s="1"/>
  <c r="D61" i="7" s="1"/>
  <c r="X62" i="7"/>
  <c r="I62" i="7"/>
  <c r="N63" i="7"/>
  <c r="W62" i="7"/>
  <c r="I54" i="2"/>
  <c r="H55" i="2"/>
  <c r="J55" i="2" s="1"/>
  <c r="N64" i="7" l="1"/>
  <c r="W63" i="7"/>
  <c r="U62" i="7"/>
  <c r="Q62" i="7" s="1"/>
  <c r="D62" i="7" s="1"/>
  <c r="X63" i="7"/>
  <c r="I63" i="7"/>
  <c r="I55" i="2"/>
  <c r="H56" i="2"/>
  <c r="J56" i="2" s="1"/>
  <c r="X64" i="7" l="1"/>
  <c r="U63" i="7"/>
  <c r="Q63" i="7" s="1"/>
  <c r="D63" i="7" s="1"/>
  <c r="I64" i="7"/>
  <c r="W64" i="7"/>
  <c r="N65" i="7"/>
  <c r="I56" i="2"/>
  <c r="H57" i="2"/>
  <c r="J57" i="2" s="1"/>
  <c r="I65" i="7" l="1"/>
  <c r="X65" i="7"/>
  <c r="U64" i="7"/>
  <c r="Q64" i="7" s="1"/>
  <c r="D64" i="7" s="1"/>
  <c r="N66" i="7"/>
  <c r="W65" i="7"/>
  <c r="H58" i="2"/>
  <c r="J58" i="2" s="1"/>
  <c r="I57" i="2"/>
  <c r="N67" i="7" l="1"/>
  <c r="W66" i="7"/>
  <c r="X66" i="7"/>
  <c r="U65" i="7"/>
  <c r="Q65" i="7" s="1"/>
  <c r="D65" i="7" s="1"/>
  <c r="I66" i="7"/>
  <c r="H59" i="2"/>
  <c r="J59" i="2" s="1"/>
  <c r="I58" i="2"/>
  <c r="X67" i="7" l="1"/>
  <c r="I67" i="7"/>
  <c r="U66" i="7"/>
  <c r="Q66" i="7" s="1"/>
  <c r="D66" i="7" s="1"/>
  <c r="N68" i="7"/>
  <c r="W67" i="7"/>
  <c r="I59" i="2"/>
  <c r="H60" i="2"/>
  <c r="I60" i="2" l="1"/>
  <c r="J60" i="2"/>
  <c r="W68" i="7"/>
  <c r="N69" i="7"/>
  <c r="X68" i="7"/>
  <c r="I68" i="7"/>
  <c r="U67" i="7"/>
  <c r="Q67" i="7" s="1"/>
  <c r="D67" i="7" s="1"/>
  <c r="J54" i="9"/>
  <c r="J55" i="9" l="1"/>
  <c r="N54" i="9"/>
  <c r="H56" i="4"/>
  <c r="H36" i="4"/>
  <c r="I36" i="4" s="1"/>
  <c r="X69" i="7"/>
  <c r="I69" i="7"/>
  <c r="U68" i="7"/>
  <c r="Q68" i="7" s="1"/>
  <c r="D68" i="7" s="1"/>
  <c r="N70" i="7"/>
  <c r="W69" i="7"/>
  <c r="J56" i="9" l="1"/>
  <c r="N55" i="9"/>
  <c r="J36" i="4"/>
  <c r="J37" i="4" s="1"/>
  <c r="J38" i="4" s="1"/>
  <c r="J39" i="4" s="1"/>
  <c r="J40" i="4" s="1"/>
  <c r="J41" i="4" s="1"/>
  <c r="J42" i="4" s="1"/>
  <c r="J43" i="4" s="1"/>
  <c r="J44" i="4" s="1"/>
  <c r="J45" i="4" s="1"/>
  <c r="J46" i="4" s="1"/>
  <c r="J47" i="4" s="1"/>
  <c r="J48" i="4" s="1"/>
  <c r="J49" i="4" s="1"/>
  <c r="J50" i="4" s="1"/>
  <c r="J51" i="4" s="1"/>
  <c r="J52" i="4" s="1"/>
  <c r="J53" i="4" s="1"/>
  <c r="J54" i="4" s="1"/>
  <c r="J55" i="4" s="1"/>
  <c r="J56" i="4" s="1"/>
  <c r="J57" i="4" s="1"/>
  <c r="J58" i="4" s="1"/>
  <c r="J59" i="4" s="1"/>
  <c r="J60" i="4" s="1"/>
  <c r="J61" i="4" s="1"/>
  <c r="J62" i="4" s="1"/>
  <c r="J63" i="4" s="1"/>
  <c r="J64" i="4" s="1"/>
  <c r="I37" i="4"/>
  <c r="W70" i="7"/>
  <c r="N71" i="7"/>
  <c r="X70" i="7"/>
  <c r="U69" i="7"/>
  <c r="Q69" i="7" s="1"/>
  <c r="D69" i="7" s="1"/>
  <c r="I70" i="7"/>
  <c r="N56" i="9" l="1"/>
  <c r="J57" i="9"/>
  <c r="M37" i="4"/>
  <c r="M36" i="4"/>
  <c r="I38" i="4"/>
  <c r="M38" i="4" s="1"/>
  <c r="W71" i="7"/>
  <c r="N72" i="7"/>
  <c r="X71" i="7"/>
  <c r="U70" i="7"/>
  <c r="Q70" i="7" s="1"/>
  <c r="D70" i="7" s="1"/>
  <c r="I71" i="7"/>
  <c r="J58" i="9" l="1"/>
  <c r="N57" i="9"/>
  <c r="I39" i="4"/>
  <c r="M39" i="4" s="1"/>
  <c r="W72" i="7"/>
  <c r="N73" i="7"/>
  <c r="X72" i="7"/>
  <c r="I72" i="7"/>
  <c r="U71" i="7"/>
  <c r="Q71" i="7" s="1"/>
  <c r="D71" i="7" s="1"/>
  <c r="J59" i="9" l="1"/>
  <c r="N58" i="9"/>
  <c r="I40" i="4"/>
  <c r="M40" i="4" s="1"/>
  <c r="X73" i="7"/>
  <c r="I73" i="7"/>
  <c r="U72" i="7"/>
  <c r="Q72" i="7" s="1"/>
  <c r="D72" i="7" s="1"/>
  <c r="W73" i="7"/>
  <c r="N74" i="7"/>
  <c r="J60" i="9" l="1"/>
  <c r="N59" i="9"/>
  <c r="I41" i="4"/>
  <c r="M41" i="4" s="1"/>
  <c r="X74" i="7"/>
  <c r="U73" i="7"/>
  <c r="Q73" i="7" s="1"/>
  <c r="D73" i="7" s="1"/>
  <c r="I74" i="7"/>
  <c r="N75" i="7"/>
  <c r="W74" i="7"/>
  <c r="J61" i="9" l="1"/>
  <c r="N60" i="9"/>
  <c r="I42" i="4"/>
  <c r="M42" i="4" s="1"/>
  <c r="X75" i="7"/>
  <c r="I75" i="7"/>
  <c r="U74" i="7"/>
  <c r="Q74" i="7" s="1"/>
  <c r="D74" i="7" s="1"/>
  <c r="N76" i="7"/>
  <c r="W75" i="7"/>
  <c r="J62" i="9" l="1"/>
  <c r="N61" i="9"/>
  <c r="I43" i="4"/>
  <c r="M43" i="4" s="1"/>
  <c r="X76" i="7"/>
  <c r="I76" i="7"/>
  <c r="U75" i="7"/>
  <c r="Q75" i="7" s="1"/>
  <c r="D75" i="7" s="1"/>
  <c r="W76" i="7"/>
  <c r="N77" i="7"/>
  <c r="J63" i="9" l="1"/>
  <c r="N62" i="9"/>
  <c r="I44" i="4"/>
  <c r="M44" i="4" s="1"/>
  <c r="X77" i="7"/>
  <c r="U76" i="7"/>
  <c r="Q76" i="7" s="1"/>
  <c r="D76" i="7" s="1"/>
  <c r="I77" i="7"/>
  <c r="W77" i="7"/>
  <c r="N78" i="7"/>
  <c r="J64" i="9" l="1"/>
  <c r="N63" i="9"/>
  <c r="I45" i="4"/>
  <c r="M45" i="4" s="1"/>
  <c r="X78" i="7"/>
  <c r="U77" i="7"/>
  <c r="Q77" i="7" s="1"/>
  <c r="D77" i="7" s="1"/>
  <c r="I78" i="7"/>
  <c r="N79" i="7"/>
  <c r="W78" i="7"/>
  <c r="J65" i="9" l="1"/>
  <c r="N64" i="9"/>
  <c r="I46" i="4"/>
  <c r="M46" i="4" s="1"/>
  <c r="X79" i="7"/>
  <c r="I79" i="7"/>
  <c r="U78" i="7"/>
  <c r="Q78" i="7" s="1"/>
  <c r="D78" i="7" s="1"/>
  <c r="W79" i="7"/>
  <c r="N80" i="7"/>
  <c r="J66" i="9" l="1"/>
  <c r="N65" i="9"/>
  <c r="I47" i="4"/>
  <c r="M47" i="4" s="1"/>
  <c r="N81" i="7"/>
  <c r="W80" i="7"/>
  <c r="X80" i="7"/>
  <c r="I80" i="7"/>
  <c r="U79" i="7"/>
  <c r="Q79" i="7" s="1"/>
  <c r="D79" i="7" s="1"/>
  <c r="J67" i="9" l="1"/>
  <c r="N66" i="9"/>
  <c r="I48" i="4"/>
  <c r="M48" i="4" s="1"/>
  <c r="X81" i="7"/>
  <c r="U80" i="7"/>
  <c r="Q80" i="7" s="1"/>
  <c r="D80" i="7" s="1"/>
  <c r="I81" i="7"/>
  <c r="W81" i="7"/>
  <c r="N82" i="7"/>
  <c r="J68" i="9" l="1"/>
  <c r="N67" i="9"/>
  <c r="I49" i="4"/>
  <c r="M49" i="4" s="1"/>
  <c r="X82" i="7"/>
  <c r="U81" i="7"/>
  <c r="Q81" i="7" s="1"/>
  <c r="D81" i="7" s="1"/>
  <c r="I82" i="7"/>
  <c r="W82" i="7"/>
  <c r="N83" i="7"/>
  <c r="J69" i="9" l="1"/>
  <c r="N68" i="9"/>
  <c r="I50" i="4"/>
  <c r="M50" i="4" s="1"/>
  <c r="X83" i="7"/>
  <c r="I83" i="7"/>
  <c r="U82" i="7"/>
  <c r="Q82" i="7" s="1"/>
  <c r="D82" i="7" s="1"/>
  <c r="N84" i="7"/>
  <c r="W83" i="7"/>
  <c r="J70" i="9" l="1"/>
  <c r="N69" i="9"/>
  <c r="I51" i="4"/>
  <c r="M51" i="4" s="1"/>
  <c r="X84" i="7"/>
  <c r="I84" i="7"/>
  <c r="U83" i="7"/>
  <c r="Q83" i="7" s="1"/>
  <c r="D83" i="7" s="1"/>
  <c r="N85" i="7"/>
  <c r="W84" i="7"/>
  <c r="J71" i="9" l="1"/>
  <c r="N70" i="9"/>
  <c r="I52" i="4"/>
  <c r="M52" i="4" s="1"/>
  <c r="X85" i="7"/>
  <c r="U84" i="7"/>
  <c r="Q84" i="7" s="1"/>
  <c r="D84" i="7" s="1"/>
  <c r="I85" i="7"/>
  <c r="W85" i="7"/>
  <c r="N86" i="7"/>
  <c r="J72" i="9" l="1"/>
  <c r="N71" i="9"/>
  <c r="I53" i="4"/>
  <c r="M53" i="4" s="1"/>
  <c r="X86" i="7"/>
  <c r="U85" i="7"/>
  <c r="Q85" i="7" s="1"/>
  <c r="D85" i="7" s="1"/>
  <c r="I86" i="7"/>
  <c r="N87" i="7"/>
  <c r="W86" i="7"/>
  <c r="J73" i="9" l="1"/>
  <c r="N72" i="9"/>
  <c r="I54" i="4"/>
  <c r="M54" i="4" s="1"/>
  <c r="W87" i="7"/>
  <c r="N88" i="7"/>
  <c r="X87" i="7"/>
  <c r="I87" i="7"/>
  <c r="U86" i="7"/>
  <c r="Q86" i="7" s="1"/>
  <c r="D86" i="7" s="1"/>
  <c r="J74" i="9" l="1"/>
  <c r="N73" i="9"/>
  <c r="I55" i="4"/>
  <c r="M55" i="4" s="1"/>
  <c r="N89" i="7"/>
  <c r="W88" i="7"/>
  <c r="X88" i="7"/>
  <c r="I88" i="7"/>
  <c r="U87" i="7"/>
  <c r="Q87" i="7" s="1"/>
  <c r="D87" i="7" s="1"/>
  <c r="J75" i="9" l="1"/>
  <c r="N74" i="9"/>
  <c r="I56" i="4"/>
  <c r="M56" i="4" s="1"/>
  <c r="X89" i="7"/>
  <c r="U88" i="7"/>
  <c r="Q88" i="7" s="1"/>
  <c r="D88" i="7" s="1"/>
  <c r="I89" i="7"/>
  <c r="W89" i="7"/>
  <c r="N90" i="7"/>
  <c r="J76" i="9" l="1"/>
  <c r="N75" i="9"/>
  <c r="I57" i="4"/>
  <c r="M57" i="4" s="1"/>
  <c r="X90" i="7"/>
  <c r="U89" i="7"/>
  <c r="Q89" i="7" s="1"/>
  <c r="D89" i="7" s="1"/>
  <c r="I90" i="7"/>
  <c r="W90" i="7"/>
  <c r="N91" i="7"/>
  <c r="J77" i="9" l="1"/>
  <c r="N76" i="9"/>
  <c r="I58" i="4"/>
  <c r="M58" i="4" s="1"/>
  <c r="X91" i="7"/>
  <c r="I91" i="7"/>
  <c r="U90" i="7"/>
  <c r="Q90" i="7" s="1"/>
  <c r="D90" i="7" s="1"/>
  <c r="W91" i="7"/>
  <c r="N92" i="7"/>
  <c r="J78" i="9" l="1"/>
  <c r="N77" i="9"/>
  <c r="I59" i="4"/>
  <c r="M59" i="4" s="1"/>
  <c r="X92" i="7"/>
  <c r="I92" i="7"/>
  <c r="U91" i="7"/>
  <c r="Q91" i="7" s="1"/>
  <c r="D91" i="7" s="1"/>
  <c r="W92" i="7"/>
  <c r="N93" i="7"/>
  <c r="J79" i="9" l="1"/>
  <c r="N78" i="9"/>
  <c r="I60" i="4"/>
  <c r="M60" i="4" s="1"/>
  <c r="X93" i="7"/>
  <c r="U92" i="7"/>
  <c r="Q92" i="7" s="1"/>
  <c r="D92" i="7" s="1"/>
  <c r="I93" i="7"/>
  <c r="N94" i="7"/>
  <c r="W93" i="7"/>
  <c r="J80" i="9" l="1"/>
  <c r="N79" i="9"/>
  <c r="I61" i="4"/>
  <c r="M61" i="4" s="1"/>
  <c r="X94" i="7"/>
  <c r="U93" i="7"/>
  <c r="Q93" i="7" s="1"/>
  <c r="D93" i="7" s="1"/>
  <c r="I94" i="7"/>
  <c r="W94" i="7"/>
  <c r="N95" i="7"/>
  <c r="J81" i="9" l="1"/>
  <c r="N80" i="9"/>
  <c r="I62" i="4"/>
  <c r="M62" i="4" s="1"/>
  <c r="X95" i="7"/>
  <c r="I95" i="7"/>
  <c r="U94" i="7"/>
  <c r="Q94" i="7" s="1"/>
  <c r="D94" i="7" s="1"/>
  <c r="N96" i="7"/>
  <c r="W95" i="7"/>
  <c r="J82" i="9" l="1"/>
  <c r="N81" i="9"/>
  <c r="I63" i="4"/>
  <c r="N97" i="7"/>
  <c r="W96" i="7"/>
  <c r="X96" i="7"/>
  <c r="I96" i="7"/>
  <c r="U95" i="7"/>
  <c r="Q95" i="7" s="1"/>
  <c r="D95" i="7" s="1"/>
  <c r="J83" i="9" l="1"/>
  <c r="N82" i="9"/>
  <c r="M63" i="4"/>
  <c r="I64" i="4"/>
  <c r="M64" i="4" s="1"/>
  <c r="X97" i="7"/>
  <c r="U96" i="7"/>
  <c r="Q96" i="7" s="1"/>
  <c r="D96" i="7" s="1"/>
  <c r="I97" i="7"/>
  <c r="N98" i="7"/>
  <c r="W97" i="7"/>
  <c r="J84" i="9" l="1"/>
  <c r="N83" i="9"/>
  <c r="W98" i="7"/>
  <c r="N99" i="7"/>
  <c r="X98" i="7"/>
  <c r="U97" i="7"/>
  <c r="Q97" i="7" s="1"/>
  <c r="D97" i="7" s="1"/>
  <c r="I98" i="7"/>
  <c r="J85" i="9" l="1"/>
  <c r="N84" i="9"/>
  <c r="X99" i="7"/>
  <c r="I99" i="7"/>
  <c r="U98" i="7"/>
  <c r="Q98" i="7" s="1"/>
  <c r="D98" i="7" s="1"/>
  <c r="N100" i="7"/>
  <c r="W99" i="7"/>
  <c r="J86" i="9" l="1"/>
  <c r="N86" i="9" s="1"/>
  <c r="N85" i="9"/>
  <c r="W100" i="7"/>
  <c r="N101" i="7"/>
  <c r="X100" i="7"/>
  <c r="I100" i="7"/>
  <c r="U99" i="7"/>
  <c r="Q99" i="7" s="1"/>
  <c r="D99" i="7" s="1"/>
  <c r="X101" i="7" l="1"/>
  <c r="U100" i="7"/>
  <c r="Q100" i="7" s="1"/>
  <c r="D100" i="7" s="1"/>
  <c r="I101" i="7"/>
  <c r="N102" i="7"/>
  <c r="W101" i="7"/>
  <c r="W102" i="7" l="1"/>
  <c r="N103" i="7"/>
  <c r="X102" i="7"/>
  <c r="U101" i="7"/>
  <c r="Q101" i="7" s="1"/>
  <c r="D101" i="7" s="1"/>
  <c r="I102" i="7"/>
  <c r="N104" i="7" l="1"/>
  <c r="W103" i="7"/>
  <c r="X103" i="7"/>
  <c r="I103" i="7"/>
  <c r="U102" i="7"/>
  <c r="Q102" i="7" s="1"/>
  <c r="D102" i="7" s="1"/>
  <c r="X104" i="7" l="1"/>
  <c r="I104" i="7"/>
  <c r="U103" i="7"/>
  <c r="Q103" i="7" s="1"/>
  <c r="D103" i="7" s="1"/>
  <c r="N105" i="7"/>
  <c r="W104" i="7"/>
  <c r="X105" i="7" l="1"/>
  <c r="U104" i="7"/>
  <c r="Q104" i="7" s="1"/>
  <c r="D104" i="7" s="1"/>
  <c r="I105" i="7"/>
  <c r="N106" i="7"/>
  <c r="W105" i="7"/>
  <c r="X106" i="7" l="1"/>
  <c r="U105" i="7"/>
  <c r="Q105" i="7" s="1"/>
  <c r="D105" i="7" s="1"/>
  <c r="I106" i="7"/>
  <c r="W106" i="7"/>
  <c r="N107" i="7"/>
  <c r="X107" i="7" l="1"/>
  <c r="I107" i="7"/>
  <c r="U106" i="7"/>
  <c r="Q106" i="7" s="1"/>
  <c r="D106" i="7" s="1"/>
  <c r="N108" i="7"/>
  <c r="W107" i="7"/>
  <c r="W108" i="7" l="1"/>
  <c r="N109" i="7"/>
  <c r="X108" i="7"/>
  <c r="I108" i="7"/>
  <c r="U107" i="7"/>
  <c r="Q107" i="7" s="1"/>
  <c r="D107" i="7" s="1"/>
  <c r="N110" i="7" l="1"/>
  <c r="W109" i="7"/>
  <c r="X109" i="7"/>
  <c r="U108" i="7"/>
  <c r="Q108" i="7" s="1"/>
  <c r="D108" i="7" s="1"/>
  <c r="I109" i="7"/>
  <c r="X110" i="7" l="1"/>
  <c r="U109" i="7"/>
  <c r="Q109" i="7" s="1"/>
  <c r="D109" i="7" s="1"/>
  <c r="I110" i="7"/>
  <c r="N111" i="7"/>
  <c r="W110" i="7"/>
  <c r="X111" i="7" l="1"/>
  <c r="I111" i="7"/>
  <c r="U110" i="7"/>
  <c r="Q110" i="7" s="1"/>
  <c r="D110" i="7" s="1"/>
  <c r="N112" i="7"/>
  <c r="W111" i="7"/>
  <c r="X112" i="7" l="1"/>
  <c r="I112" i="7"/>
  <c r="U111" i="7"/>
  <c r="Q111" i="7" s="1"/>
  <c r="D111" i="7" s="1"/>
  <c r="W112" i="7"/>
  <c r="N113" i="7"/>
  <c r="N114" i="7" l="1"/>
  <c r="W113" i="7"/>
  <c r="X113" i="7"/>
  <c r="U112" i="7"/>
  <c r="Q112" i="7" s="1"/>
  <c r="D112" i="7" s="1"/>
  <c r="I113" i="7"/>
  <c r="X114" i="7" l="1"/>
  <c r="U113" i="7"/>
  <c r="Q113" i="7" s="1"/>
  <c r="D113" i="7" s="1"/>
  <c r="I114" i="7"/>
  <c r="W114" i="7"/>
  <c r="N115" i="7"/>
  <c r="X115" i="7" l="1"/>
  <c r="I115" i="7"/>
  <c r="U114" i="7"/>
  <c r="Q114" i="7" s="1"/>
  <c r="D114" i="7" s="1"/>
  <c r="N116" i="7"/>
  <c r="W115" i="7"/>
  <c r="W116" i="7" l="1"/>
  <c r="N117" i="7"/>
  <c r="X116" i="7"/>
  <c r="I116" i="7"/>
  <c r="U115" i="7"/>
  <c r="Q115" i="7" s="1"/>
  <c r="D115" i="7" s="1"/>
  <c r="N118" i="7" l="1"/>
  <c r="W117" i="7"/>
  <c r="X117" i="7"/>
  <c r="U116" i="7"/>
  <c r="Q116" i="7" s="1"/>
  <c r="D116" i="7" s="1"/>
  <c r="I117" i="7"/>
  <c r="X118" i="7" l="1"/>
  <c r="U117" i="7"/>
  <c r="Q117" i="7" s="1"/>
  <c r="D117" i="7" s="1"/>
  <c r="I118" i="7"/>
  <c r="W118" i="7"/>
  <c r="N119" i="7"/>
  <c r="X119" i="7" l="1"/>
  <c r="I119" i="7"/>
  <c r="U118" i="7"/>
  <c r="Q118" i="7" s="1"/>
  <c r="D118" i="7" s="1"/>
  <c r="N120" i="7"/>
  <c r="W119" i="7"/>
  <c r="X120" i="7" l="1"/>
  <c r="I120" i="7"/>
  <c r="U119" i="7"/>
  <c r="Q119" i="7" s="1"/>
  <c r="D119" i="7" s="1"/>
  <c r="W120" i="7"/>
  <c r="N121" i="7"/>
  <c r="X121" i="7" l="1"/>
  <c r="U120" i="7"/>
  <c r="Q120" i="7" s="1"/>
  <c r="D120" i="7" s="1"/>
  <c r="I121" i="7"/>
  <c r="N122" i="7"/>
  <c r="W121" i="7"/>
  <c r="X122" i="7" l="1"/>
  <c r="U121" i="7"/>
  <c r="Q121" i="7" s="1"/>
  <c r="D121" i="7" s="1"/>
  <c r="I122" i="7"/>
  <c r="W122" i="7"/>
  <c r="N123" i="7"/>
  <c r="X123" i="7" l="1"/>
  <c r="I123" i="7"/>
  <c r="U122" i="7"/>
  <c r="Q122" i="7" s="1"/>
  <c r="D122" i="7" s="1"/>
  <c r="W123" i="7"/>
  <c r="N124" i="7"/>
  <c r="X124" i="7" l="1"/>
  <c r="I124" i="7"/>
  <c r="U123" i="7"/>
  <c r="Q123" i="7" s="1"/>
  <c r="D123" i="7" s="1"/>
  <c r="N125" i="7"/>
  <c r="W124" i="7"/>
  <c r="X125" i="7" l="1"/>
  <c r="U124" i="7"/>
  <c r="Q124" i="7" s="1"/>
  <c r="D124" i="7" s="1"/>
  <c r="I125" i="7"/>
  <c r="W125" i="7"/>
  <c r="N126" i="7"/>
  <c r="X126" i="7" l="1"/>
  <c r="U125" i="7"/>
  <c r="Q125" i="7" s="1"/>
  <c r="D125" i="7" s="1"/>
  <c r="I126" i="7"/>
  <c r="N127" i="7"/>
  <c r="W126" i="7"/>
  <c r="W127" i="7" l="1"/>
  <c r="N128" i="7"/>
  <c r="X127" i="7"/>
  <c r="I127" i="7"/>
  <c r="U126" i="7"/>
  <c r="Q126" i="7" s="1"/>
  <c r="D126" i="7" s="1"/>
  <c r="X128" i="7" l="1"/>
  <c r="I128" i="7"/>
  <c r="U127" i="7"/>
  <c r="Q127" i="7" s="1"/>
  <c r="D127" i="7" s="1"/>
  <c r="W128" i="7"/>
  <c r="N129" i="7"/>
  <c r="X129" i="7" l="1"/>
  <c r="I129" i="7"/>
  <c r="U128" i="7"/>
  <c r="Q128" i="7" s="1"/>
  <c r="D128" i="7" s="1"/>
  <c r="W129" i="7"/>
  <c r="N130" i="7"/>
  <c r="X130" i="7" l="1"/>
  <c r="U129" i="7"/>
  <c r="Q129" i="7" s="1"/>
  <c r="D129" i="7" s="1"/>
  <c r="I130" i="7"/>
  <c r="W130" i="7"/>
  <c r="N131" i="7"/>
  <c r="I131" i="7" l="1"/>
  <c r="U130" i="7"/>
  <c r="Q130" i="7" s="1"/>
  <c r="D130" i="7" s="1"/>
  <c r="X131" i="7"/>
  <c r="N132" i="7"/>
  <c r="W131" i="7"/>
  <c r="W132" i="7" l="1"/>
  <c r="N133" i="7"/>
  <c r="X132" i="7"/>
  <c r="U131" i="7"/>
  <c r="Q131" i="7" s="1"/>
  <c r="D131" i="7" s="1"/>
  <c r="I132" i="7"/>
  <c r="X133" i="7" l="1"/>
  <c r="I133" i="7"/>
  <c r="U132" i="7"/>
  <c r="Q132" i="7" s="1"/>
  <c r="D132" i="7" s="1"/>
  <c r="W133" i="7"/>
  <c r="N134" i="7"/>
  <c r="X134" i="7" l="1"/>
  <c r="I134" i="7"/>
  <c r="U133" i="7"/>
  <c r="Q133" i="7" s="1"/>
  <c r="D133" i="7" s="1"/>
  <c r="W134" i="7"/>
  <c r="N135" i="7"/>
  <c r="X135" i="7" l="1"/>
  <c r="I135" i="7"/>
  <c r="U134" i="7"/>
  <c r="Q134" i="7" s="1"/>
  <c r="D134" i="7" s="1"/>
  <c r="N136" i="7"/>
  <c r="W135" i="7"/>
  <c r="N137" i="7" l="1"/>
  <c r="W136" i="7"/>
  <c r="X136" i="7"/>
  <c r="U135" i="7"/>
  <c r="Q135" i="7" s="1"/>
  <c r="D135" i="7" s="1"/>
  <c r="I136" i="7"/>
  <c r="I137" i="7" l="1"/>
  <c r="X137" i="7"/>
  <c r="U136" i="7"/>
  <c r="Q136" i="7" s="1"/>
  <c r="D136" i="7" s="1"/>
  <c r="W137" i="7"/>
  <c r="N138" i="7"/>
  <c r="N139" i="7" l="1"/>
  <c r="W138" i="7"/>
  <c r="I138" i="7"/>
  <c r="U137" i="7"/>
  <c r="Q137" i="7" s="1"/>
  <c r="D137" i="7" s="1"/>
  <c r="X138" i="7"/>
  <c r="X139" i="7" l="1"/>
  <c r="I139" i="7"/>
  <c r="U138" i="7"/>
  <c r="Q138" i="7" s="1"/>
  <c r="D138" i="7" s="1"/>
  <c r="N140" i="7"/>
  <c r="W139" i="7"/>
  <c r="X140" i="7" l="1"/>
  <c r="U139" i="7"/>
  <c r="Q139" i="7" s="1"/>
  <c r="D139" i="7" s="1"/>
  <c r="I140" i="7"/>
  <c r="N141" i="7"/>
  <c r="W140" i="7"/>
  <c r="X141" i="7" l="1"/>
  <c r="U140" i="7"/>
  <c r="Q140" i="7" s="1"/>
  <c r="D140" i="7" s="1"/>
  <c r="I141" i="7"/>
  <c r="W141" i="7"/>
  <c r="N142" i="7"/>
  <c r="X142" i="7" l="1"/>
  <c r="U141" i="7"/>
  <c r="Q141" i="7" s="1"/>
  <c r="D141" i="7" s="1"/>
  <c r="I142" i="7"/>
  <c r="W142" i="7"/>
  <c r="N143" i="7"/>
  <c r="X143" i="7" l="1"/>
  <c r="I143" i="7"/>
  <c r="U142" i="7"/>
  <c r="Q142" i="7" s="1"/>
  <c r="D142" i="7" s="1"/>
  <c r="N144" i="7"/>
  <c r="W143" i="7"/>
  <c r="U143" i="7" l="1"/>
  <c r="Q143" i="7" s="1"/>
  <c r="D143" i="7" s="1"/>
  <c r="I144" i="7"/>
  <c r="X144" i="7"/>
  <c r="W144" i="7"/>
  <c r="N145" i="7"/>
  <c r="W145" i="7" l="1"/>
  <c r="N146" i="7"/>
  <c r="I145" i="7"/>
  <c r="X145" i="7"/>
  <c r="U144" i="7"/>
  <c r="Q144" i="7" s="1"/>
  <c r="D144" i="7" s="1"/>
  <c r="X146" i="7" l="1"/>
  <c r="U145" i="7"/>
  <c r="Q145" i="7" s="1"/>
  <c r="D145" i="7" s="1"/>
  <c r="I146" i="7"/>
  <c r="N147" i="7"/>
  <c r="W146" i="7"/>
  <c r="X147" i="7" l="1"/>
  <c r="U146" i="7"/>
  <c r="Q146" i="7" s="1"/>
  <c r="D146" i="7" s="1"/>
  <c r="I147" i="7"/>
  <c r="N148" i="7"/>
  <c r="W147" i="7"/>
  <c r="W148" i="7" l="1"/>
  <c r="N149" i="7"/>
  <c r="X148" i="7"/>
  <c r="I148" i="7"/>
  <c r="U147" i="7"/>
  <c r="Q147" i="7" s="1"/>
  <c r="D147" i="7" s="1"/>
  <c r="W149" i="7" l="1"/>
  <c r="N150" i="7"/>
  <c r="X149" i="7"/>
  <c r="U148" i="7"/>
  <c r="Q148" i="7" s="1"/>
  <c r="D148" i="7" s="1"/>
  <c r="I149" i="7"/>
  <c r="N151" i="7" l="1"/>
  <c r="W150" i="7"/>
  <c r="U149" i="7"/>
  <c r="Q149" i="7" s="1"/>
  <c r="D149" i="7" s="1"/>
  <c r="X150" i="7"/>
  <c r="I150" i="7"/>
  <c r="I151" i="7" l="1"/>
  <c r="U150" i="7"/>
  <c r="Q150" i="7" s="1"/>
  <c r="D150" i="7" s="1"/>
  <c r="X151" i="7"/>
  <c r="W151" i="7"/>
  <c r="N152" i="7"/>
  <c r="W152" i="7" l="1"/>
  <c r="N153" i="7"/>
  <c r="I152" i="7"/>
  <c r="X152" i="7"/>
  <c r="U151" i="7"/>
  <c r="Q151" i="7" s="1"/>
  <c r="D151" i="7" s="1"/>
  <c r="U152" i="7" l="1"/>
  <c r="Q152" i="7" s="1"/>
  <c r="D152" i="7" s="1"/>
  <c r="I153" i="7"/>
  <c r="X153" i="7"/>
  <c r="N154" i="7"/>
  <c r="W153" i="7"/>
  <c r="N155" i="7" l="1"/>
  <c r="W154" i="7"/>
  <c r="I154" i="7"/>
  <c r="X154" i="7"/>
  <c r="U153" i="7"/>
  <c r="Q153" i="7" s="1"/>
  <c r="D153" i="7" s="1"/>
  <c r="U154" i="7" l="1"/>
  <c r="Q154" i="7" s="1"/>
  <c r="D154" i="7" s="1"/>
  <c r="I155" i="7"/>
  <c r="X155" i="7"/>
  <c r="W155" i="7"/>
  <c r="N156" i="7"/>
  <c r="X156" i="7" l="1"/>
  <c r="U155" i="7"/>
  <c r="Q155" i="7" s="1"/>
  <c r="D155" i="7" s="1"/>
  <c r="I156" i="7"/>
  <c r="W156" i="7"/>
  <c r="N157" i="7"/>
  <c r="I157" i="7" l="1"/>
  <c r="X157" i="7"/>
  <c r="U156" i="7"/>
  <c r="Q156" i="7" s="1"/>
  <c r="D156" i="7" s="1"/>
  <c r="N158" i="7"/>
  <c r="W157" i="7"/>
  <c r="U157" i="7" l="1"/>
  <c r="Q157" i="7" s="1"/>
  <c r="D157" i="7" s="1"/>
  <c r="I158" i="7"/>
  <c r="X158" i="7"/>
  <c r="N159" i="7"/>
  <c r="W158" i="7"/>
  <c r="U158" i="7" l="1"/>
  <c r="Q158" i="7" s="1"/>
  <c r="D158" i="7" s="1"/>
  <c r="I159" i="7"/>
  <c r="X159" i="7"/>
  <c r="W159" i="7"/>
  <c r="N160" i="7"/>
  <c r="W160" i="7" l="1"/>
  <c r="N161" i="7"/>
  <c r="I160" i="7"/>
  <c r="U159" i="7"/>
  <c r="Q159" i="7" s="1"/>
  <c r="D159" i="7" s="1"/>
  <c r="X160" i="7"/>
  <c r="U160" i="7" l="1"/>
  <c r="Q160" i="7" s="1"/>
  <c r="D160" i="7" s="1"/>
  <c r="I161" i="7"/>
  <c r="X161" i="7"/>
  <c r="N162" i="7"/>
  <c r="W161" i="7"/>
  <c r="U161" i="7" l="1"/>
  <c r="Q161" i="7" s="1"/>
  <c r="D161" i="7" s="1"/>
  <c r="I162" i="7"/>
  <c r="X162" i="7"/>
  <c r="W162" i="7"/>
  <c r="N163" i="7"/>
  <c r="W163" i="7" l="1"/>
  <c r="N164" i="7"/>
  <c r="X163" i="7"/>
  <c r="U162" i="7"/>
  <c r="Q162" i="7" s="1"/>
  <c r="D162" i="7" s="1"/>
  <c r="I163" i="7"/>
  <c r="U163" i="7" l="1"/>
  <c r="Q163" i="7" s="1"/>
  <c r="D163" i="7" s="1"/>
  <c r="I164" i="7"/>
  <c r="X164" i="7"/>
  <c r="W164" i="7"/>
  <c r="N165" i="7"/>
  <c r="W165" i="7" l="1"/>
  <c r="N166" i="7"/>
  <c r="U164" i="7"/>
  <c r="Q164" i="7" s="1"/>
  <c r="D164" i="7" s="1"/>
  <c r="X165" i="7"/>
  <c r="I165" i="7"/>
  <c r="U165" i="7" l="1"/>
  <c r="Q165" i="7" s="1"/>
  <c r="D165" i="7" s="1"/>
  <c r="I166" i="7"/>
  <c r="X166" i="7"/>
  <c r="W166" i="7"/>
  <c r="N167" i="7"/>
  <c r="I167" i="7" l="1"/>
  <c r="X167" i="7"/>
  <c r="U166" i="7"/>
  <c r="Q166" i="7" s="1"/>
  <c r="D166" i="7" s="1"/>
  <c r="W167" i="7"/>
  <c r="N168" i="7"/>
  <c r="W168" i="7" l="1"/>
  <c r="N169" i="7"/>
  <c r="X168" i="7"/>
  <c r="U167" i="7"/>
  <c r="Q167" i="7" s="1"/>
  <c r="D167" i="7" s="1"/>
  <c r="I168" i="7"/>
  <c r="W169" i="7" l="1"/>
  <c r="N170" i="7"/>
  <c r="U168" i="7"/>
  <c r="Q168" i="7" s="1"/>
  <c r="D168" i="7" s="1"/>
  <c r="X169" i="7"/>
  <c r="I169" i="7"/>
  <c r="W170" i="7" l="1"/>
  <c r="N171" i="7"/>
  <c r="U169" i="7"/>
  <c r="Q169" i="7" s="1"/>
  <c r="D169" i="7" s="1"/>
  <c r="X170" i="7"/>
  <c r="I170" i="7"/>
  <c r="W171" i="7" l="1"/>
  <c r="N172" i="7"/>
  <c r="U170" i="7"/>
  <c r="Q170" i="7" s="1"/>
  <c r="D170" i="7" s="1"/>
  <c r="X171" i="7"/>
  <c r="I171" i="7"/>
  <c r="W172" i="7" l="1"/>
  <c r="N173" i="7"/>
  <c r="X172" i="7"/>
  <c r="U171" i="7"/>
  <c r="Q171" i="7" s="1"/>
  <c r="D171" i="7" s="1"/>
  <c r="I172" i="7"/>
  <c r="W173" i="7" l="1"/>
  <c r="N174" i="7"/>
  <c r="I173" i="7"/>
  <c r="U172" i="7"/>
  <c r="Q172" i="7" s="1"/>
  <c r="D172" i="7" s="1"/>
  <c r="X173" i="7"/>
  <c r="I174" i="7" l="1"/>
  <c r="X174" i="7"/>
  <c r="U173" i="7"/>
  <c r="Q173" i="7" s="1"/>
  <c r="D173" i="7" s="1"/>
  <c r="W174" i="7"/>
  <c r="N175" i="7"/>
  <c r="W175" i="7" l="1"/>
  <c r="N176" i="7"/>
  <c r="I175" i="7"/>
  <c r="U174" i="7"/>
  <c r="Q174" i="7" s="1"/>
  <c r="D174" i="7" s="1"/>
  <c r="X175" i="7"/>
  <c r="U175" i="7" l="1"/>
  <c r="Q175" i="7" s="1"/>
  <c r="D175" i="7" s="1"/>
  <c r="X176" i="7"/>
  <c r="I176" i="7"/>
  <c r="N177" i="7"/>
  <c r="W176" i="7"/>
  <c r="N178" i="7" l="1"/>
  <c r="W177" i="7"/>
  <c r="U176" i="7"/>
  <c r="Q176" i="7" s="1"/>
  <c r="D176" i="7" s="1"/>
  <c r="X177" i="7"/>
  <c r="I177" i="7"/>
  <c r="X178" i="7" l="1"/>
  <c r="U177" i="7"/>
  <c r="Q177" i="7" s="1"/>
  <c r="D177" i="7" s="1"/>
  <c r="I178" i="7"/>
  <c r="W178" i="7"/>
  <c r="N179" i="7"/>
  <c r="I179" i="7" l="1"/>
  <c r="U178" i="7"/>
  <c r="Q178" i="7" s="1"/>
  <c r="D178" i="7" s="1"/>
  <c r="X179" i="7"/>
  <c r="W179" i="7"/>
  <c r="N180" i="7"/>
  <c r="W180" i="7" l="1"/>
  <c r="N181" i="7"/>
  <c r="X180" i="7"/>
  <c r="U179" i="7"/>
  <c r="Q179" i="7" s="1"/>
  <c r="D179" i="7" s="1"/>
  <c r="I180" i="7"/>
  <c r="W181" i="7" l="1"/>
  <c r="N182" i="7"/>
  <c r="X181" i="7"/>
  <c r="I181" i="7"/>
  <c r="U180" i="7"/>
  <c r="Q180" i="7" s="1"/>
  <c r="D180" i="7" s="1"/>
  <c r="X182" i="7" l="1"/>
  <c r="I182" i="7"/>
  <c r="U181" i="7"/>
  <c r="Q181" i="7" s="1"/>
  <c r="D181" i="7" s="1"/>
  <c r="W182" i="7"/>
  <c r="N183" i="7"/>
  <c r="X183" i="7" l="1"/>
  <c r="I183" i="7"/>
  <c r="U182" i="7"/>
  <c r="Q182" i="7" s="1"/>
  <c r="D182" i="7" s="1"/>
  <c r="W183" i="7"/>
  <c r="N184" i="7"/>
  <c r="X184" i="7" l="1"/>
  <c r="U183" i="7"/>
  <c r="Q183" i="7" s="1"/>
  <c r="D183" i="7" s="1"/>
  <c r="I184" i="7"/>
  <c r="W184" i="7"/>
  <c r="N185" i="7"/>
  <c r="U184" i="7" l="1"/>
  <c r="Q184" i="7" s="1"/>
  <c r="D184" i="7" s="1"/>
  <c r="X185" i="7"/>
  <c r="I185" i="7"/>
  <c r="W185" i="7"/>
  <c r="N186" i="7"/>
  <c r="W186" i="7" l="1"/>
  <c r="N187" i="7"/>
  <c r="X186" i="7"/>
  <c r="U185" i="7"/>
  <c r="Q185" i="7" s="1"/>
  <c r="D185" i="7" s="1"/>
  <c r="I186" i="7"/>
  <c r="X187" i="7" l="1"/>
  <c r="I187" i="7"/>
  <c r="U186" i="7"/>
  <c r="Q186" i="7" s="1"/>
  <c r="D186" i="7" s="1"/>
  <c r="W187" i="7"/>
  <c r="N188" i="7"/>
  <c r="I188" i="7" l="1"/>
  <c r="X188" i="7"/>
  <c r="U187" i="7"/>
  <c r="Q187" i="7" s="1"/>
  <c r="D187" i="7" s="1"/>
  <c r="W188" i="7"/>
  <c r="N189" i="7"/>
  <c r="W189" i="7" l="1"/>
  <c r="N190" i="7"/>
  <c r="X189" i="7"/>
  <c r="I189" i="7"/>
  <c r="U188" i="7"/>
  <c r="Q188" i="7" s="1"/>
  <c r="D188" i="7" s="1"/>
  <c r="W190" i="7" l="1"/>
  <c r="N191" i="7"/>
  <c r="U189" i="7"/>
  <c r="Q189" i="7" s="1"/>
  <c r="D189" i="7" s="1"/>
  <c r="I190" i="7"/>
  <c r="X190" i="7"/>
  <c r="U190" i="7" l="1"/>
  <c r="Q190" i="7" s="1"/>
  <c r="D190" i="7" s="1"/>
  <c r="X191" i="7"/>
  <c r="I191" i="7"/>
  <c r="N192" i="7"/>
  <c r="W191" i="7"/>
  <c r="W192" i="7" l="1"/>
  <c r="N193" i="7"/>
  <c r="X192" i="7"/>
  <c r="I192" i="7"/>
  <c r="U191" i="7"/>
  <c r="Q191" i="7" s="1"/>
  <c r="D191" i="7" s="1"/>
  <c r="W193" i="7" l="1"/>
  <c r="N194" i="7"/>
  <c r="U192" i="7"/>
  <c r="Q192" i="7" s="1"/>
  <c r="D192" i="7" s="1"/>
  <c r="I193" i="7"/>
  <c r="X193" i="7"/>
  <c r="N195" i="7" l="1"/>
  <c r="W194" i="7"/>
  <c r="X194" i="7"/>
  <c r="I194" i="7"/>
  <c r="U193" i="7"/>
  <c r="Q193" i="7" s="1"/>
  <c r="D193" i="7" s="1"/>
  <c r="U194" i="7" l="1"/>
  <c r="Q194" i="7" s="1"/>
  <c r="D194" i="7" s="1"/>
  <c r="I195" i="7"/>
  <c r="X195" i="7"/>
  <c r="N196" i="7"/>
  <c r="W195" i="7"/>
  <c r="I196" i="7" l="1"/>
  <c r="U195" i="7"/>
  <c r="Q195" i="7" s="1"/>
  <c r="D195" i="7" s="1"/>
  <c r="X196" i="7"/>
  <c r="W196" i="7"/>
  <c r="N197" i="7"/>
  <c r="W197" i="7" l="1"/>
  <c r="N198" i="7"/>
  <c r="X197" i="7"/>
  <c r="I197" i="7"/>
  <c r="U196" i="7"/>
  <c r="Q196" i="7" s="1"/>
  <c r="D196" i="7" s="1"/>
  <c r="W198" i="7" l="1"/>
  <c r="N199" i="7"/>
  <c r="X198" i="7"/>
  <c r="U197" i="7"/>
  <c r="Q197" i="7" s="1"/>
  <c r="D197" i="7" s="1"/>
  <c r="I198" i="7"/>
  <c r="N200" i="7" l="1"/>
  <c r="W199" i="7"/>
  <c r="I199" i="7"/>
  <c r="X199" i="7"/>
  <c r="U198" i="7"/>
  <c r="Q198" i="7" s="1"/>
  <c r="D198" i="7" s="1"/>
  <c r="U199" i="7" l="1"/>
  <c r="Q199" i="7" s="1"/>
  <c r="D199" i="7" s="1"/>
  <c r="I200" i="7"/>
  <c r="X200" i="7"/>
  <c r="W200" i="7"/>
  <c r="N201" i="7"/>
  <c r="W201" i="7" l="1"/>
  <c r="N202" i="7"/>
  <c r="X201" i="7"/>
  <c r="I201" i="7"/>
  <c r="U200" i="7"/>
  <c r="Q200" i="7" s="1"/>
  <c r="D200" i="7" s="1"/>
  <c r="X202" i="7" l="1"/>
  <c r="I202" i="7"/>
  <c r="U201" i="7"/>
  <c r="Q201" i="7" s="1"/>
  <c r="D201" i="7" s="1"/>
  <c r="N203" i="7"/>
  <c r="W202" i="7"/>
  <c r="I203" i="7" l="1"/>
  <c r="X203" i="7"/>
  <c r="U202" i="7"/>
  <c r="Q202" i="7" s="1"/>
  <c r="D202" i="7" s="1"/>
  <c r="N204" i="7"/>
  <c r="W203" i="7"/>
  <c r="N205" i="7" l="1"/>
  <c r="W204" i="7"/>
  <c r="I204" i="7"/>
  <c r="U203" i="7"/>
  <c r="Q203" i="7" s="1"/>
  <c r="D203" i="7" s="1"/>
  <c r="X204" i="7"/>
  <c r="I205" i="7" l="1"/>
  <c r="X205" i="7"/>
  <c r="U204" i="7"/>
  <c r="Q204" i="7" s="1"/>
  <c r="D204" i="7" s="1"/>
  <c r="W205" i="7"/>
  <c r="N206" i="7"/>
  <c r="W206" i="7" l="1"/>
  <c r="N207" i="7"/>
  <c r="I206" i="7"/>
  <c r="X206" i="7"/>
  <c r="U205" i="7"/>
  <c r="Q205" i="7" s="1"/>
  <c r="D205" i="7" s="1"/>
  <c r="I207" i="7" l="1"/>
  <c r="X207" i="7"/>
  <c r="U206" i="7"/>
  <c r="Q206" i="7" s="1"/>
  <c r="D206" i="7" s="1"/>
  <c r="N208" i="7"/>
  <c r="W207" i="7"/>
  <c r="N209" i="7" l="1"/>
  <c r="W208" i="7"/>
  <c r="I208" i="7"/>
  <c r="X208" i="7"/>
  <c r="U207" i="7"/>
  <c r="Q207" i="7" s="1"/>
  <c r="D207" i="7" s="1"/>
  <c r="X209" i="7" l="1"/>
  <c r="I209" i="7"/>
  <c r="U208" i="7"/>
  <c r="Q208" i="7" s="1"/>
  <c r="D208" i="7" s="1"/>
  <c r="W209" i="7"/>
  <c r="N210" i="7"/>
  <c r="W210" i="7" l="1"/>
  <c r="N211" i="7"/>
  <c r="U209" i="7"/>
  <c r="Q209" i="7" s="1"/>
  <c r="D209" i="7" s="1"/>
  <c r="I210" i="7"/>
  <c r="X210" i="7"/>
  <c r="I211" i="7" l="1"/>
  <c r="X211" i="7"/>
  <c r="U210" i="7"/>
  <c r="Q210" i="7" s="1"/>
  <c r="D210" i="7" s="1"/>
  <c r="N212" i="7"/>
  <c r="W211" i="7"/>
  <c r="N213" i="7" l="1"/>
  <c r="W212" i="7"/>
  <c r="I212" i="7"/>
  <c r="X212" i="7"/>
  <c r="U211" i="7"/>
  <c r="Q211" i="7" s="1"/>
  <c r="D211" i="7" s="1"/>
  <c r="I213" i="7" l="1"/>
  <c r="X213" i="7"/>
  <c r="U212" i="7"/>
  <c r="Q212" i="7" s="1"/>
  <c r="D212" i="7" s="1"/>
  <c r="W213" i="7"/>
  <c r="N214" i="7"/>
  <c r="N215" i="7" l="1"/>
  <c r="W214" i="7"/>
  <c r="I214" i="7"/>
  <c r="X214" i="7"/>
  <c r="U213" i="7"/>
  <c r="Q213" i="7" s="1"/>
  <c r="D213" i="7" s="1"/>
  <c r="I215" i="7" l="1"/>
  <c r="X215" i="7"/>
  <c r="U214" i="7"/>
  <c r="Q214" i="7" s="1"/>
  <c r="D214" i="7" s="1"/>
  <c r="W215" i="7"/>
  <c r="N216" i="7"/>
  <c r="W216" i="7" l="1"/>
  <c r="N217" i="7"/>
  <c r="I216" i="7"/>
  <c r="X216" i="7"/>
  <c r="U215" i="7"/>
  <c r="Q215" i="7" s="1"/>
  <c r="D215" i="7" s="1"/>
  <c r="W217" i="7" l="1"/>
  <c r="N218" i="7"/>
  <c r="U216" i="7"/>
  <c r="Q216" i="7" s="1"/>
  <c r="D216" i="7" s="1"/>
  <c r="I217" i="7"/>
  <c r="X217" i="7"/>
  <c r="U217" i="7" l="1"/>
  <c r="Q217" i="7" s="1"/>
  <c r="D217" i="7" s="1"/>
  <c r="I218" i="7"/>
  <c r="X218" i="7"/>
  <c r="W218" i="7"/>
  <c r="N219" i="7"/>
  <c r="U218" i="7" l="1"/>
  <c r="Q218" i="7" s="1"/>
  <c r="D218" i="7" s="1"/>
  <c r="I219" i="7"/>
  <c r="X219" i="7"/>
  <c r="W219" i="7"/>
  <c r="N220" i="7"/>
  <c r="X220" i="7" l="1"/>
  <c r="I220" i="7"/>
  <c r="U219" i="7"/>
  <c r="Q219" i="7" s="1"/>
  <c r="D219" i="7" s="1"/>
  <c r="W220" i="7"/>
  <c r="N221" i="7"/>
  <c r="U220" i="7" l="1"/>
  <c r="Q220" i="7" s="1"/>
  <c r="D220" i="7" s="1"/>
  <c r="I221" i="7"/>
  <c r="X221" i="7"/>
  <c r="W221" i="7"/>
  <c r="N222" i="7"/>
  <c r="U221" i="7" l="1"/>
  <c r="Q221" i="7" s="1"/>
  <c r="D221" i="7" s="1"/>
  <c r="I222" i="7"/>
  <c r="X222" i="7"/>
  <c r="W222" i="7"/>
  <c r="N223" i="7"/>
  <c r="I223" i="7" l="1"/>
  <c r="U222" i="7"/>
  <c r="Q222" i="7" s="1"/>
  <c r="D222" i="7" s="1"/>
  <c r="X223" i="7"/>
  <c r="N224" i="7"/>
  <c r="W223" i="7"/>
  <c r="U223" i="7" l="1"/>
  <c r="Q223" i="7" s="1"/>
  <c r="D223" i="7" s="1"/>
  <c r="I224" i="7"/>
  <c r="X224" i="7"/>
  <c r="W224" i="7"/>
  <c r="N225" i="7"/>
  <c r="U224" i="7" l="1"/>
  <c r="Q224" i="7" s="1"/>
  <c r="D224" i="7" s="1"/>
  <c r="X225" i="7"/>
  <c r="I225" i="7"/>
  <c r="W225" i="7"/>
  <c r="N226" i="7"/>
  <c r="U225" i="7" l="1"/>
  <c r="Q225" i="7" s="1"/>
  <c r="D225" i="7" s="1"/>
  <c r="I226" i="7"/>
  <c r="X226" i="7"/>
  <c r="W226" i="7"/>
  <c r="N227" i="7"/>
  <c r="U226" i="7" l="1"/>
  <c r="Q226" i="7" s="1"/>
  <c r="D226" i="7" s="1"/>
  <c r="I227" i="7"/>
  <c r="X227" i="7"/>
  <c r="N228" i="7"/>
  <c r="W227" i="7"/>
  <c r="X228" i="7" l="1"/>
  <c r="U227" i="7"/>
  <c r="Q227" i="7" s="1"/>
  <c r="D227" i="7" s="1"/>
  <c r="I228" i="7"/>
  <c r="W228" i="7"/>
  <c r="N229" i="7"/>
  <c r="U228" i="7" l="1"/>
  <c r="Q228" i="7" s="1"/>
  <c r="D228" i="7" s="1"/>
  <c r="I229" i="7"/>
  <c r="X229" i="7"/>
  <c r="W229" i="7"/>
  <c r="N230" i="7"/>
  <c r="U229" i="7" l="1"/>
  <c r="Q229" i="7" s="1"/>
  <c r="D229" i="7" s="1"/>
  <c r="I230" i="7"/>
  <c r="X230" i="7"/>
  <c r="N231" i="7"/>
  <c r="W230" i="7"/>
  <c r="W231" i="7" l="1"/>
  <c r="N232" i="7"/>
  <c r="I231" i="7"/>
  <c r="X231" i="7"/>
  <c r="U230" i="7"/>
  <c r="Q230" i="7" s="1"/>
  <c r="D230" i="7" s="1"/>
  <c r="X232" i="7" l="1"/>
  <c r="U231" i="7"/>
  <c r="Q231" i="7" s="1"/>
  <c r="D231" i="7" s="1"/>
  <c r="I232" i="7"/>
  <c r="W232" i="7"/>
  <c r="N233" i="7"/>
  <c r="U232" i="7" l="1"/>
  <c r="Q232" i="7" s="1"/>
  <c r="D232" i="7" s="1"/>
  <c r="I233" i="7"/>
  <c r="X233" i="7"/>
  <c r="W233" i="7"/>
  <c r="N234" i="7"/>
  <c r="X234" i="7" l="1"/>
  <c r="U233" i="7"/>
  <c r="Q233" i="7" s="1"/>
  <c r="D233" i="7" s="1"/>
  <c r="I234" i="7"/>
  <c r="W234" i="7"/>
  <c r="N235" i="7"/>
  <c r="X235" i="7" l="1"/>
  <c r="I235" i="7"/>
  <c r="U234" i="7"/>
  <c r="Q234" i="7" s="1"/>
  <c r="D234" i="7" s="1"/>
  <c r="W235" i="7"/>
  <c r="N236" i="7"/>
  <c r="X236" i="7" l="1"/>
  <c r="U235" i="7"/>
  <c r="Q235" i="7" s="1"/>
  <c r="D235" i="7" s="1"/>
  <c r="I236" i="7"/>
  <c r="N237" i="7"/>
  <c r="W236" i="7"/>
  <c r="W237" i="7" l="1"/>
  <c r="N238" i="7"/>
  <c r="X237" i="7"/>
  <c r="I237" i="7"/>
  <c r="U236" i="7"/>
  <c r="Q236" i="7" s="1"/>
  <c r="D236" i="7" s="1"/>
  <c r="X238" i="7" l="1"/>
  <c r="U237" i="7"/>
  <c r="Q237" i="7" s="1"/>
  <c r="D237" i="7" s="1"/>
  <c r="I238" i="7"/>
  <c r="N239" i="7"/>
  <c r="W238" i="7"/>
  <c r="X239" i="7" l="1"/>
  <c r="U238" i="7"/>
  <c r="Q238" i="7" s="1"/>
  <c r="D238" i="7" s="1"/>
  <c r="I239" i="7"/>
  <c r="W239" i="7"/>
  <c r="N240" i="7"/>
  <c r="U239" i="7" l="1"/>
  <c r="Q239" i="7" s="1"/>
  <c r="D239" i="7" s="1"/>
  <c r="I240" i="7"/>
  <c r="X240" i="7"/>
  <c r="W240" i="7"/>
  <c r="N241" i="7"/>
  <c r="U240" i="7" l="1"/>
  <c r="Q240" i="7" s="1"/>
  <c r="D240" i="7" s="1"/>
  <c r="I241" i="7"/>
  <c r="X241" i="7"/>
  <c r="W241" i="7"/>
  <c r="N242" i="7"/>
  <c r="W242" i="7" l="1"/>
  <c r="N243" i="7"/>
  <c r="U241" i="7"/>
  <c r="Q241" i="7" s="1"/>
  <c r="D241" i="7" s="1"/>
  <c r="I242" i="7"/>
  <c r="X242" i="7"/>
  <c r="W243" i="7" l="1"/>
  <c r="N244" i="7"/>
  <c r="U242" i="7"/>
  <c r="Q242" i="7" s="1"/>
  <c r="D242" i="7" s="1"/>
  <c r="I243" i="7"/>
  <c r="X243" i="7"/>
  <c r="W244" i="7" l="1"/>
  <c r="N245" i="7"/>
  <c r="X244" i="7"/>
  <c r="U243" i="7"/>
  <c r="Q243" i="7" s="1"/>
  <c r="D243" i="7" s="1"/>
  <c r="I244" i="7"/>
  <c r="N246" i="7" l="1"/>
  <c r="W245" i="7"/>
  <c r="X245" i="7"/>
  <c r="I245" i="7"/>
  <c r="U244" i="7"/>
  <c r="Q244" i="7" s="1"/>
  <c r="D244" i="7" s="1"/>
  <c r="U245" i="7" l="1"/>
  <c r="Q245" i="7" s="1"/>
  <c r="D245" i="7" s="1"/>
  <c r="I246" i="7"/>
  <c r="X246" i="7"/>
  <c r="W246" i="7"/>
  <c r="N247" i="7"/>
  <c r="X247" i="7" l="1"/>
  <c r="I247" i="7"/>
  <c r="U246" i="7"/>
  <c r="Q246" i="7" s="1"/>
  <c r="D246" i="7" s="1"/>
  <c r="W247" i="7"/>
  <c r="N248" i="7"/>
  <c r="U247" i="7" l="1"/>
  <c r="Q247" i="7" s="1"/>
  <c r="D247" i="7" s="1"/>
  <c r="I248" i="7"/>
  <c r="X248" i="7"/>
  <c r="W248" i="7"/>
  <c r="N249" i="7"/>
  <c r="U248" i="7" l="1"/>
  <c r="Q248" i="7" s="1"/>
  <c r="D248" i="7" s="1"/>
  <c r="I249" i="7"/>
  <c r="X249" i="7"/>
  <c r="W249" i="7"/>
  <c r="N250" i="7"/>
  <c r="N251" i="7" l="1"/>
  <c r="W250" i="7"/>
  <c r="X250" i="7"/>
  <c r="U249" i="7"/>
  <c r="Q249" i="7" s="1"/>
  <c r="D249" i="7" s="1"/>
  <c r="I250" i="7"/>
  <c r="X251" i="7" l="1"/>
  <c r="U250" i="7"/>
  <c r="Q250" i="7" s="1"/>
  <c r="D250" i="7" s="1"/>
  <c r="I251" i="7"/>
  <c r="N252" i="7"/>
  <c r="W251" i="7"/>
  <c r="X252" i="7" l="1"/>
  <c r="U251" i="7"/>
  <c r="Q251" i="7" s="1"/>
  <c r="D251" i="7" s="1"/>
  <c r="I252" i="7"/>
  <c r="N253" i="7"/>
  <c r="W252" i="7"/>
  <c r="X253" i="7" l="1"/>
  <c r="I253" i="7"/>
  <c r="U252" i="7"/>
  <c r="Q252" i="7" s="1"/>
  <c r="D252" i="7" s="1"/>
  <c r="N254" i="7"/>
  <c r="W253" i="7"/>
  <c r="X254" i="7" l="1"/>
  <c r="U253" i="7"/>
  <c r="Q253" i="7" s="1"/>
  <c r="D253" i="7" s="1"/>
  <c r="I254" i="7"/>
  <c r="N255" i="7"/>
  <c r="W254" i="7"/>
  <c r="X255" i="7" l="1"/>
  <c r="I255" i="7"/>
  <c r="U254" i="7"/>
  <c r="Q254" i="7" s="1"/>
  <c r="D254" i="7" s="1"/>
  <c r="N256" i="7"/>
  <c r="W255" i="7"/>
  <c r="X256" i="7" l="1"/>
  <c r="U255" i="7"/>
  <c r="Q255" i="7" s="1"/>
  <c r="D255" i="7" s="1"/>
  <c r="I256" i="7"/>
  <c r="N257" i="7"/>
  <c r="W256" i="7"/>
  <c r="X257" i="7" l="1"/>
  <c r="U256" i="7"/>
  <c r="Q256" i="7" s="1"/>
  <c r="D256" i="7" s="1"/>
  <c r="I257" i="7"/>
  <c r="N258" i="7"/>
  <c r="W257" i="7"/>
  <c r="X258" i="7" l="1"/>
  <c r="U257" i="7"/>
  <c r="Q257" i="7" s="1"/>
  <c r="D257" i="7" s="1"/>
  <c r="I258" i="7"/>
  <c r="N259" i="7"/>
  <c r="W258" i="7"/>
  <c r="U258" i="7" l="1"/>
  <c r="Q258" i="7" s="1"/>
  <c r="D258" i="7" s="1"/>
  <c r="I259" i="7"/>
  <c r="X259" i="7"/>
  <c r="N260" i="7"/>
  <c r="W259" i="7"/>
  <c r="X260" i="7" l="1"/>
  <c r="U259" i="7"/>
  <c r="Q259" i="7" s="1"/>
  <c r="D259" i="7" s="1"/>
  <c r="I260" i="7"/>
  <c r="N261" i="7"/>
  <c r="W260" i="7"/>
  <c r="X261" i="7" l="1"/>
  <c r="I261" i="7"/>
  <c r="U260" i="7"/>
  <c r="Q260" i="7" s="1"/>
  <c r="D260" i="7" s="1"/>
  <c r="W261" i="7"/>
  <c r="N262" i="7"/>
  <c r="W262" i="7" l="1"/>
  <c r="N263" i="7"/>
  <c r="I262" i="7"/>
  <c r="U261" i="7"/>
  <c r="Q261" i="7" s="1"/>
  <c r="D261" i="7" s="1"/>
  <c r="X262" i="7"/>
  <c r="X263" i="7" l="1"/>
  <c r="I263" i="7"/>
  <c r="U262" i="7"/>
  <c r="Q262" i="7" s="1"/>
  <c r="D262" i="7" s="1"/>
  <c r="W263" i="7"/>
  <c r="N264" i="7"/>
  <c r="U263" i="7" l="1"/>
  <c r="Q263" i="7" s="1"/>
  <c r="D263" i="7" s="1"/>
  <c r="X264" i="7"/>
  <c r="I264" i="7"/>
  <c r="W264" i="7"/>
  <c r="N265" i="7"/>
  <c r="U264" i="7" l="1"/>
  <c r="Q264" i="7" s="1"/>
  <c r="D264" i="7" s="1"/>
  <c r="X265" i="7"/>
  <c r="I265" i="7"/>
  <c r="N266" i="7"/>
  <c r="W265" i="7"/>
  <c r="X266" i="7" l="1"/>
  <c r="U265" i="7"/>
  <c r="Q265" i="7" s="1"/>
  <c r="D265" i="7" s="1"/>
  <c r="I266" i="7"/>
  <c r="N267" i="7"/>
  <c r="W266" i="7"/>
  <c r="W267" i="7" l="1"/>
  <c r="N268" i="7"/>
  <c r="I267" i="7"/>
  <c r="U266" i="7"/>
  <c r="Q266" i="7" s="1"/>
  <c r="D266" i="7" s="1"/>
  <c r="X267" i="7"/>
  <c r="U267" i="7" l="1"/>
  <c r="Q267" i="7" s="1"/>
  <c r="D267" i="7" s="1"/>
  <c r="I268" i="7"/>
  <c r="X268" i="7"/>
  <c r="W268" i="7"/>
  <c r="N269" i="7"/>
  <c r="U268" i="7" l="1"/>
  <c r="Q268" i="7" s="1"/>
  <c r="D268" i="7" s="1"/>
  <c r="I269" i="7"/>
  <c r="X269" i="7"/>
  <c r="N270" i="7"/>
  <c r="W269" i="7"/>
  <c r="I270" i="7" l="1"/>
  <c r="X270" i="7"/>
  <c r="U269" i="7"/>
  <c r="Q269" i="7" s="1"/>
  <c r="D269" i="7" s="1"/>
  <c r="W270" i="7"/>
  <c r="N271" i="7"/>
  <c r="W271" i="7" l="1"/>
  <c r="N272" i="7"/>
  <c r="U270" i="7"/>
  <c r="Q270" i="7" s="1"/>
  <c r="D270" i="7" s="1"/>
  <c r="I271" i="7"/>
  <c r="X271" i="7"/>
  <c r="W272" i="7" l="1"/>
  <c r="N273" i="7"/>
  <c r="U271" i="7"/>
  <c r="Q271" i="7" s="1"/>
  <c r="D271" i="7" s="1"/>
  <c r="I272" i="7"/>
  <c r="X272" i="7"/>
  <c r="U272" i="7" l="1"/>
  <c r="Q272" i="7" s="1"/>
  <c r="D272" i="7" s="1"/>
  <c r="X273" i="7"/>
  <c r="I273" i="7"/>
  <c r="W273" i="7"/>
  <c r="N274" i="7"/>
  <c r="U273" i="7" l="1"/>
  <c r="Q273" i="7" s="1"/>
  <c r="D273" i="7" s="1"/>
  <c r="X274" i="7"/>
  <c r="I274" i="7"/>
  <c r="W274" i="7"/>
  <c r="N275" i="7"/>
  <c r="U274" i="7" l="1"/>
  <c r="Q274" i="7" s="1"/>
  <c r="D274" i="7" s="1"/>
  <c r="I275" i="7"/>
  <c r="X275" i="7"/>
  <c r="W275" i="7"/>
  <c r="N276" i="7"/>
  <c r="N277" i="7" l="1"/>
  <c r="W276" i="7"/>
  <c r="I276" i="7"/>
  <c r="X276" i="7"/>
  <c r="U275" i="7"/>
  <c r="Q275" i="7" s="1"/>
  <c r="D275" i="7" s="1"/>
  <c r="I277" i="7" l="1"/>
  <c r="X277" i="7"/>
  <c r="U276" i="7"/>
  <c r="Q276" i="7" s="1"/>
  <c r="D276" i="7" s="1"/>
  <c r="W277" i="7"/>
  <c r="N278" i="7"/>
  <c r="W278" i="7" l="1"/>
  <c r="N279" i="7"/>
  <c r="U277" i="7"/>
  <c r="Q277" i="7" s="1"/>
  <c r="D277" i="7" s="1"/>
  <c r="I278" i="7"/>
  <c r="X278" i="7"/>
  <c r="W279" i="7" l="1"/>
  <c r="N280" i="7"/>
  <c r="I279" i="7"/>
  <c r="X279" i="7"/>
  <c r="U278" i="7"/>
  <c r="Q278" i="7" s="1"/>
  <c r="D278" i="7" s="1"/>
  <c r="U279" i="7" l="1"/>
  <c r="Q279" i="7" s="1"/>
  <c r="D279" i="7" s="1"/>
  <c r="I280" i="7"/>
  <c r="X280" i="7"/>
  <c r="N281" i="7"/>
  <c r="W280" i="7"/>
  <c r="U280" i="7" l="1"/>
  <c r="Q280" i="7" s="1"/>
  <c r="D280" i="7" s="1"/>
  <c r="I281" i="7"/>
  <c r="X281" i="7"/>
  <c r="W281" i="7"/>
  <c r="N282" i="7"/>
  <c r="W282" i="7" l="1"/>
  <c r="N283" i="7"/>
  <c r="U281" i="7"/>
  <c r="Q281" i="7" s="1"/>
  <c r="D281" i="7" s="1"/>
  <c r="I282" i="7"/>
  <c r="X282" i="7"/>
  <c r="W283" i="7" l="1"/>
  <c r="N284" i="7"/>
  <c r="U282" i="7"/>
  <c r="Q282" i="7" s="1"/>
  <c r="D282" i="7" s="1"/>
  <c r="I283" i="7"/>
  <c r="X283" i="7"/>
  <c r="U283" i="7" l="1"/>
  <c r="Q283" i="7" s="1"/>
  <c r="D283" i="7" s="1"/>
  <c r="I284" i="7"/>
  <c r="X284" i="7"/>
  <c r="W284" i="7"/>
  <c r="N285" i="7"/>
  <c r="U284" i="7" l="1"/>
  <c r="Q284" i="7" s="1"/>
  <c r="D284" i="7" s="1"/>
  <c r="I285" i="7"/>
  <c r="X285" i="7"/>
  <c r="W285" i="7"/>
  <c r="N286" i="7"/>
  <c r="U285" i="7" l="1"/>
  <c r="Q285" i="7" s="1"/>
  <c r="D285" i="7" s="1"/>
  <c r="I286" i="7"/>
  <c r="X286" i="7"/>
  <c r="W286" i="7"/>
  <c r="N287" i="7"/>
  <c r="W287" i="7" l="1"/>
  <c r="N288" i="7"/>
  <c r="X287" i="7"/>
  <c r="U286" i="7"/>
  <c r="Q286" i="7" s="1"/>
  <c r="D286" i="7" s="1"/>
  <c r="I287" i="7"/>
  <c r="U287" i="7" l="1"/>
  <c r="Q287" i="7" s="1"/>
  <c r="D287" i="7" s="1"/>
  <c r="I288" i="7"/>
  <c r="X288" i="7"/>
  <c r="W288" i="7"/>
  <c r="N289" i="7"/>
  <c r="X289" i="7" l="1"/>
  <c r="U288" i="7"/>
  <c r="Q288" i="7" s="1"/>
  <c r="D288" i="7" s="1"/>
  <c r="I289" i="7"/>
  <c r="N290" i="7"/>
  <c r="W289" i="7"/>
  <c r="U289" i="7" l="1"/>
  <c r="Q289" i="7" s="1"/>
  <c r="D289" i="7" s="1"/>
  <c r="I290" i="7"/>
  <c r="X290" i="7"/>
  <c r="W290" i="7"/>
  <c r="N291" i="7"/>
  <c r="W291" i="7" l="1"/>
  <c r="N292" i="7"/>
  <c r="U290" i="7"/>
  <c r="Q290" i="7" s="1"/>
  <c r="D290" i="7" s="1"/>
  <c r="I291" i="7"/>
  <c r="X291" i="7"/>
  <c r="W292" i="7" l="1"/>
  <c r="N293" i="7"/>
  <c r="X292" i="7"/>
  <c r="U291" i="7"/>
  <c r="Q291" i="7" s="1"/>
  <c r="D291" i="7" s="1"/>
  <c r="I292" i="7"/>
  <c r="U292" i="7" l="1"/>
  <c r="Q292" i="7" s="1"/>
  <c r="D292" i="7" s="1"/>
  <c r="I293" i="7"/>
  <c r="X293" i="7"/>
  <c r="W293" i="7"/>
  <c r="N294" i="7"/>
  <c r="X294" i="7" l="1"/>
  <c r="U293" i="7"/>
  <c r="Q293" i="7" s="1"/>
  <c r="D293" i="7" s="1"/>
  <c r="I294" i="7"/>
  <c r="W294" i="7"/>
  <c r="N295" i="7"/>
  <c r="W295" i="7" l="1"/>
  <c r="N296" i="7"/>
  <c r="U294" i="7"/>
  <c r="Q294" i="7" s="1"/>
  <c r="D294" i="7" s="1"/>
  <c r="I295" i="7"/>
  <c r="X295" i="7"/>
  <c r="X296" i="7" l="1"/>
  <c r="U295" i="7"/>
  <c r="Q295" i="7" s="1"/>
  <c r="D295" i="7" s="1"/>
  <c r="I296" i="7"/>
  <c r="N297" i="7"/>
  <c r="W296" i="7"/>
  <c r="N298" i="7" l="1"/>
  <c r="W297" i="7"/>
  <c r="X297" i="7"/>
  <c r="U296" i="7"/>
  <c r="Q296" i="7" s="1"/>
  <c r="D296" i="7" s="1"/>
  <c r="I297" i="7"/>
  <c r="X298" i="7" l="1"/>
  <c r="I298" i="7"/>
  <c r="U297" i="7"/>
  <c r="Q297" i="7" s="1"/>
  <c r="D297" i="7" s="1"/>
  <c r="W298" i="7"/>
  <c r="N299" i="7"/>
  <c r="X299" i="7" l="1"/>
  <c r="U298" i="7"/>
  <c r="Q298" i="7" s="1"/>
  <c r="D298" i="7" s="1"/>
  <c r="I299" i="7"/>
  <c r="W299" i="7"/>
  <c r="N300" i="7"/>
  <c r="X300" i="7" l="1"/>
  <c r="U299" i="7"/>
  <c r="Q299" i="7" s="1"/>
  <c r="D299" i="7" s="1"/>
  <c r="I300" i="7"/>
  <c r="W300" i="7"/>
  <c r="N301" i="7"/>
  <c r="X301" i="7" l="1"/>
  <c r="U300" i="7"/>
  <c r="Q300" i="7" s="1"/>
  <c r="D300" i="7" s="1"/>
  <c r="I301" i="7"/>
  <c r="W301" i="7"/>
  <c r="N302" i="7"/>
  <c r="X302" i="7" l="1"/>
  <c r="U301" i="7"/>
  <c r="Q301" i="7" s="1"/>
  <c r="D301" i="7" s="1"/>
  <c r="I302" i="7"/>
  <c r="W302" i="7"/>
  <c r="N303" i="7"/>
  <c r="W303" i="7" l="1"/>
  <c r="N304" i="7"/>
  <c r="X303" i="7"/>
  <c r="U302" i="7"/>
  <c r="Q302" i="7" s="1"/>
  <c r="D302" i="7" s="1"/>
  <c r="I303" i="7"/>
  <c r="W304" i="7" l="1"/>
  <c r="N305" i="7"/>
  <c r="I304" i="7"/>
  <c r="X304" i="7"/>
  <c r="U303" i="7"/>
  <c r="Q303" i="7" s="1"/>
  <c r="D303" i="7" s="1"/>
  <c r="U304" i="7" l="1"/>
  <c r="Q304" i="7" s="1"/>
  <c r="D304" i="7" s="1"/>
  <c r="I305" i="7"/>
  <c r="X305" i="7"/>
  <c r="W305" i="7"/>
  <c r="N306" i="7"/>
  <c r="U305" i="7" l="1"/>
  <c r="Q305" i="7" s="1"/>
  <c r="D305" i="7" s="1"/>
  <c r="I306" i="7"/>
  <c r="X306" i="7"/>
  <c r="W306" i="7"/>
  <c r="N307" i="7"/>
  <c r="X307" i="7" l="1"/>
  <c r="U306" i="7"/>
  <c r="Q306" i="7" s="1"/>
  <c r="D306" i="7" s="1"/>
  <c r="I307" i="7"/>
  <c r="W307" i="7"/>
  <c r="N308" i="7"/>
  <c r="X308" i="7" l="1"/>
  <c r="I308" i="7"/>
  <c r="U307" i="7"/>
  <c r="Q307" i="7" s="1"/>
  <c r="D307" i="7" s="1"/>
  <c r="N309" i="7"/>
  <c r="W308" i="7"/>
  <c r="X309" i="7" l="1"/>
  <c r="U308" i="7"/>
  <c r="Q308" i="7" s="1"/>
  <c r="D308" i="7" s="1"/>
  <c r="I309" i="7"/>
  <c r="W309" i="7"/>
  <c r="N310" i="7"/>
  <c r="X310" i="7" l="1"/>
  <c r="U309" i="7"/>
  <c r="Q309" i="7" s="1"/>
  <c r="D309" i="7" s="1"/>
  <c r="I310" i="7"/>
  <c r="W310" i="7"/>
  <c r="N311" i="7"/>
  <c r="X311" i="7" l="1"/>
  <c r="U310" i="7"/>
  <c r="Q310" i="7" s="1"/>
  <c r="D310" i="7" s="1"/>
  <c r="I311" i="7"/>
  <c r="W311" i="7"/>
  <c r="N312" i="7"/>
  <c r="X312" i="7" l="1"/>
  <c r="I312" i="7"/>
  <c r="U311" i="7"/>
  <c r="Q311" i="7" s="1"/>
  <c r="D311" i="7" s="1"/>
  <c r="W312" i="7"/>
  <c r="N313" i="7"/>
  <c r="X313" i="7" l="1"/>
  <c r="U312" i="7"/>
  <c r="Q312" i="7" s="1"/>
  <c r="D312" i="7" s="1"/>
  <c r="I313" i="7"/>
  <c r="W313" i="7"/>
  <c r="N314" i="7"/>
  <c r="X314" i="7" l="1"/>
  <c r="I314" i="7"/>
  <c r="U313" i="7"/>
  <c r="Q313" i="7" s="1"/>
  <c r="D313" i="7" s="1"/>
  <c r="W314" i="7"/>
  <c r="N315" i="7"/>
  <c r="I315" i="7" l="1"/>
  <c r="X315" i="7"/>
  <c r="U314" i="7"/>
  <c r="Q314" i="7" s="1"/>
  <c r="D314" i="7" s="1"/>
  <c r="W315" i="7"/>
  <c r="N316" i="7"/>
  <c r="W316" i="7" l="1"/>
  <c r="N317" i="7"/>
  <c r="X316" i="7"/>
  <c r="U315" i="7"/>
  <c r="Q315" i="7" s="1"/>
  <c r="D315" i="7" s="1"/>
  <c r="I316" i="7"/>
  <c r="W317" i="7" l="1"/>
  <c r="N318" i="7"/>
  <c r="X317" i="7"/>
  <c r="I317" i="7"/>
  <c r="U316" i="7"/>
  <c r="Q316" i="7" s="1"/>
  <c r="D316" i="7" s="1"/>
  <c r="W318" i="7" l="1"/>
  <c r="N319" i="7"/>
  <c r="X318" i="7"/>
  <c r="U317" i="7"/>
  <c r="Q317" i="7" s="1"/>
  <c r="D317" i="7" s="1"/>
  <c r="I318" i="7"/>
  <c r="W319" i="7" l="1"/>
  <c r="N320" i="7"/>
  <c r="X319" i="7"/>
  <c r="U318" i="7"/>
  <c r="Q318" i="7" s="1"/>
  <c r="D318" i="7" s="1"/>
  <c r="I319" i="7"/>
  <c r="W320" i="7" l="1"/>
  <c r="N321" i="7"/>
  <c r="X320" i="7"/>
  <c r="U319" i="7"/>
  <c r="Q319" i="7" s="1"/>
  <c r="D319" i="7" s="1"/>
  <c r="I320" i="7"/>
  <c r="W321" i="7" l="1"/>
  <c r="N322" i="7"/>
  <c r="X321" i="7"/>
  <c r="I321" i="7"/>
  <c r="U320" i="7"/>
  <c r="Q320" i="7" s="1"/>
  <c r="D320" i="7" s="1"/>
  <c r="X322" i="7" l="1"/>
  <c r="U321" i="7"/>
  <c r="Q321" i="7" s="1"/>
  <c r="D321" i="7" s="1"/>
  <c r="I322" i="7"/>
  <c r="W322" i="7"/>
  <c r="N323" i="7"/>
  <c r="X323" i="7" l="1"/>
  <c r="U322" i="7"/>
  <c r="Q322" i="7" s="1"/>
  <c r="D322" i="7" s="1"/>
  <c r="I323" i="7"/>
  <c r="W323" i="7"/>
  <c r="N324" i="7"/>
  <c r="I324" i="7" l="1"/>
  <c r="X324" i="7"/>
  <c r="U323" i="7"/>
  <c r="Q323" i="7" s="1"/>
  <c r="D323" i="7" s="1"/>
  <c r="W324" i="7"/>
  <c r="N325" i="7"/>
  <c r="W325" i="7" l="1"/>
  <c r="N326" i="7"/>
  <c r="I325" i="7"/>
  <c r="X325" i="7"/>
  <c r="U324" i="7"/>
  <c r="Q324" i="7" s="1"/>
  <c r="D324" i="7" s="1"/>
  <c r="U325" i="7" l="1"/>
  <c r="Q325" i="7" s="1"/>
  <c r="D325" i="7" s="1"/>
  <c r="I326" i="7"/>
  <c r="X326" i="7"/>
  <c r="W326" i="7"/>
  <c r="N327" i="7"/>
  <c r="U326" i="7" l="1"/>
  <c r="Q326" i="7" s="1"/>
  <c r="D326" i="7" s="1"/>
  <c r="I327" i="7"/>
  <c r="X327" i="7"/>
  <c r="N328" i="7"/>
  <c r="W327" i="7"/>
  <c r="U327" i="7" l="1"/>
  <c r="Q327" i="7" s="1"/>
  <c r="D327" i="7" s="1"/>
  <c r="I328" i="7"/>
  <c r="X328" i="7"/>
  <c r="N329" i="7"/>
  <c r="W328" i="7"/>
  <c r="U328" i="7" l="1"/>
  <c r="Q328" i="7" s="1"/>
  <c r="D328" i="7" s="1"/>
  <c r="X329" i="7"/>
  <c r="I329" i="7"/>
  <c r="W329" i="7"/>
  <c r="N330" i="7"/>
  <c r="U329" i="7" l="1"/>
  <c r="Q329" i="7" s="1"/>
  <c r="D329" i="7" s="1"/>
  <c r="I330" i="7"/>
  <c r="X330" i="7"/>
  <c r="N331" i="7"/>
  <c r="W330" i="7"/>
  <c r="N332" i="7" l="1"/>
  <c r="W331" i="7"/>
  <c r="U330" i="7"/>
  <c r="Q330" i="7" s="1"/>
  <c r="D330" i="7" s="1"/>
  <c r="I331" i="7"/>
  <c r="X331" i="7"/>
  <c r="N333" i="7" l="1"/>
  <c r="W332" i="7"/>
  <c r="U331" i="7"/>
  <c r="Q331" i="7" s="1"/>
  <c r="D331" i="7" s="1"/>
  <c r="I332" i="7"/>
  <c r="X332" i="7"/>
  <c r="W333" i="7" l="1"/>
  <c r="N334" i="7"/>
  <c r="X333" i="7"/>
  <c r="U332" i="7"/>
  <c r="Q332" i="7" s="1"/>
  <c r="D332" i="7" s="1"/>
  <c r="I333" i="7"/>
  <c r="N335" i="7" l="1"/>
  <c r="W334" i="7"/>
  <c r="U333" i="7"/>
  <c r="Q333" i="7" s="1"/>
  <c r="D333" i="7" s="1"/>
  <c r="I334" i="7"/>
  <c r="X334" i="7"/>
  <c r="X335" i="7" l="1"/>
  <c r="U334" i="7"/>
  <c r="Q334" i="7" s="1"/>
  <c r="D334" i="7" s="1"/>
  <c r="I335" i="7"/>
  <c r="N336" i="7"/>
  <c r="W335" i="7"/>
  <c r="X336" i="7" l="1"/>
  <c r="U335" i="7"/>
  <c r="Q335" i="7" s="1"/>
  <c r="D335" i="7" s="1"/>
  <c r="I336" i="7"/>
  <c r="N337" i="7"/>
  <c r="W336" i="7"/>
  <c r="X337" i="7" l="1"/>
  <c r="U336" i="7"/>
  <c r="Q336" i="7" s="1"/>
  <c r="D336" i="7" s="1"/>
  <c r="I337" i="7"/>
  <c r="N338" i="7"/>
  <c r="W337" i="7"/>
  <c r="X338" i="7" l="1"/>
  <c r="U337" i="7"/>
  <c r="Q337" i="7" s="1"/>
  <c r="D337" i="7" s="1"/>
  <c r="I338" i="7"/>
  <c r="W338" i="7"/>
  <c r="N339" i="7"/>
  <c r="X339" i="7" l="1"/>
  <c r="U338" i="7"/>
  <c r="Q338" i="7" s="1"/>
  <c r="D338" i="7" s="1"/>
  <c r="I339" i="7"/>
  <c r="N340" i="7"/>
  <c r="W339" i="7"/>
  <c r="N341" i="7" l="1"/>
  <c r="W340" i="7"/>
  <c r="X340" i="7"/>
  <c r="U339" i="7"/>
  <c r="Q339" i="7" s="1"/>
  <c r="D339" i="7" s="1"/>
  <c r="I340" i="7"/>
  <c r="X341" i="7" l="1"/>
  <c r="U340" i="7"/>
  <c r="Q340" i="7" s="1"/>
  <c r="D340" i="7" s="1"/>
  <c r="I341" i="7"/>
  <c r="N342" i="7"/>
  <c r="W341" i="7"/>
  <c r="W342" i="7" l="1"/>
  <c r="N343" i="7"/>
  <c r="U341" i="7"/>
  <c r="Q341" i="7" s="1"/>
  <c r="D341" i="7" s="1"/>
  <c r="I342" i="7"/>
  <c r="X342" i="7"/>
  <c r="U342" i="7" l="1"/>
  <c r="Q342" i="7" s="1"/>
  <c r="D342" i="7" s="1"/>
  <c r="I343" i="7"/>
  <c r="X343" i="7"/>
  <c r="N344" i="7"/>
  <c r="W343" i="7"/>
  <c r="W344" i="7" l="1"/>
  <c r="N345" i="7"/>
  <c r="U343" i="7"/>
  <c r="Q343" i="7" s="1"/>
  <c r="D343" i="7" s="1"/>
  <c r="I344" i="7"/>
  <c r="X344" i="7"/>
  <c r="U344" i="7" l="1"/>
  <c r="Q344" i="7" s="1"/>
  <c r="D344" i="7" s="1"/>
  <c r="I345" i="7"/>
  <c r="X345" i="7"/>
  <c r="N346" i="7"/>
  <c r="W345" i="7"/>
  <c r="N347" i="7" l="1"/>
  <c r="W346" i="7"/>
  <c r="U345" i="7"/>
  <c r="Q345" i="7" s="1"/>
  <c r="D345" i="7" s="1"/>
  <c r="I346" i="7"/>
  <c r="X346" i="7"/>
  <c r="U346" i="7" l="1"/>
  <c r="Q346" i="7" s="1"/>
  <c r="D346" i="7" s="1"/>
  <c r="I347" i="7"/>
  <c r="X347" i="7"/>
  <c r="N348" i="7"/>
  <c r="W347" i="7"/>
  <c r="W348" i="7" l="1"/>
  <c r="N349" i="7"/>
  <c r="U347" i="7"/>
  <c r="Q347" i="7" s="1"/>
  <c r="D347" i="7" s="1"/>
  <c r="I348" i="7"/>
  <c r="X348" i="7"/>
  <c r="U348" i="7" l="1"/>
  <c r="Q348" i="7" s="1"/>
  <c r="D348" i="7" s="1"/>
  <c r="I349" i="7"/>
  <c r="X349" i="7"/>
  <c r="N350" i="7"/>
  <c r="W349" i="7"/>
  <c r="N351" i="7" l="1"/>
  <c r="W350" i="7"/>
  <c r="U349" i="7"/>
  <c r="Q349" i="7" s="1"/>
  <c r="D349" i="7" s="1"/>
  <c r="I350" i="7"/>
  <c r="X350" i="7"/>
  <c r="X351" i="7" l="1"/>
  <c r="I351" i="7"/>
  <c r="U350" i="7"/>
  <c r="Q350" i="7" s="1"/>
  <c r="D350" i="7" s="1"/>
  <c r="N352" i="7"/>
  <c r="W351" i="7"/>
  <c r="U351" i="7" l="1"/>
  <c r="Q351" i="7" s="1"/>
  <c r="D351" i="7" s="1"/>
  <c r="I352" i="7"/>
  <c r="X352" i="7"/>
  <c r="N353" i="7"/>
  <c r="W352" i="7"/>
  <c r="X353" i="7" l="1"/>
  <c r="I353" i="7"/>
  <c r="U352" i="7"/>
  <c r="Q352" i="7" s="1"/>
  <c r="D352" i="7" s="1"/>
  <c r="N354" i="7"/>
  <c r="W353" i="7"/>
  <c r="I354" i="7" l="1"/>
  <c r="X354" i="7"/>
  <c r="U353" i="7"/>
  <c r="Q353" i="7" s="1"/>
  <c r="D353" i="7" s="1"/>
  <c r="N355" i="7"/>
  <c r="W354" i="7"/>
  <c r="X355" i="7" l="1"/>
  <c r="U354" i="7"/>
  <c r="Q354" i="7" s="1"/>
  <c r="D354" i="7" s="1"/>
  <c r="I355" i="7"/>
  <c r="W355" i="7"/>
  <c r="N356" i="7"/>
  <c r="I356" i="7" l="1"/>
  <c r="X356" i="7"/>
  <c r="U355" i="7"/>
  <c r="Q355" i="7" s="1"/>
  <c r="D355" i="7" s="1"/>
  <c r="W356" i="7"/>
  <c r="N357" i="7"/>
  <c r="N358" i="7" l="1"/>
  <c r="W357" i="7"/>
  <c r="U356" i="7"/>
  <c r="Q356" i="7" s="1"/>
  <c r="D356" i="7" s="1"/>
  <c r="I357" i="7"/>
  <c r="X357" i="7"/>
  <c r="N359" i="7" l="1"/>
  <c r="W358" i="7"/>
  <c r="U357" i="7"/>
  <c r="Q357" i="7" s="1"/>
  <c r="D357" i="7" s="1"/>
  <c r="I358" i="7"/>
  <c r="X358" i="7"/>
  <c r="N360" i="7" l="1"/>
  <c r="W359" i="7"/>
  <c r="U358" i="7"/>
  <c r="Q358" i="7" s="1"/>
  <c r="D358" i="7" s="1"/>
  <c r="I359" i="7"/>
  <c r="X359" i="7"/>
  <c r="N361" i="7" l="1"/>
  <c r="W360" i="7"/>
  <c r="U359" i="7"/>
  <c r="Q359" i="7" s="1"/>
  <c r="D359" i="7" s="1"/>
  <c r="I360" i="7"/>
  <c r="X360" i="7"/>
  <c r="N362" i="7" l="1"/>
  <c r="W361" i="7"/>
  <c r="U360" i="7"/>
  <c r="Q360" i="7" s="1"/>
  <c r="D360" i="7" s="1"/>
  <c r="I361" i="7"/>
  <c r="X361" i="7"/>
  <c r="W362" i="7" l="1"/>
  <c r="N363" i="7"/>
  <c r="I362" i="7"/>
  <c r="U361" i="7"/>
  <c r="Q361" i="7" s="1"/>
  <c r="D361" i="7" s="1"/>
  <c r="X362" i="7"/>
  <c r="U362" i="7" l="1"/>
  <c r="Q362" i="7" s="1"/>
  <c r="D362" i="7" s="1"/>
  <c r="I363" i="7"/>
  <c r="X363" i="7"/>
  <c r="N364" i="7"/>
  <c r="W363" i="7"/>
  <c r="U363" i="7" l="1"/>
  <c r="Q363" i="7" s="1"/>
  <c r="D363" i="7" s="1"/>
  <c r="I364" i="7"/>
  <c r="X364" i="7"/>
  <c r="W364" i="7"/>
  <c r="N365" i="7"/>
  <c r="U364" i="7" l="1"/>
  <c r="Q364" i="7" s="1"/>
  <c r="D364" i="7" s="1"/>
  <c r="I365" i="7"/>
  <c r="X365" i="7"/>
  <c r="N366" i="7"/>
  <c r="W365" i="7"/>
  <c r="N367" i="7" l="1"/>
  <c r="W366" i="7"/>
  <c r="I366" i="7"/>
  <c r="X366" i="7"/>
  <c r="U365" i="7"/>
  <c r="Q365" i="7" s="1"/>
  <c r="D365" i="7" s="1"/>
  <c r="W367" i="7" l="1"/>
  <c r="N368" i="7"/>
  <c r="X367" i="7"/>
  <c r="U366" i="7"/>
  <c r="Q366" i="7" s="1"/>
  <c r="D366" i="7" s="1"/>
  <c r="I367" i="7"/>
  <c r="N369" i="7" l="1"/>
  <c r="W368" i="7"/>
  <c r="X368" i="7"/>
  <c r="U367" i="7"/>
  <c r="Q367" i="7" s="1"/>
  <c r="D367" i="7" s="1"/>
  <c r="I368" i="7"/>
  <c r="U368" i="7" l="1"/>
  <c r="Q368" i="7" s="1"/>
  <c r="D368" i="7" s="1"/>
  <c r="I369" i="7"/>
  <c r="X369" i="7"/>
  <c r="W369" i="7"/>
  <c r="N370" i="7"/>
  <c r="X370" i="7" l="1"/>
  <c r="U369" i="7"/>
  <c r="Q369" i="7" s="1"/>
  <c r="D369" i="7" s="1"/>
  <c r="I370" i="7"/>
  <c r="N371" i="7"/>
  <c r="W370" i="7"/>
  <c r="W371" i="7" l="1"/>
  <c r="N372" i="7"/>
  <c r="U370" i="7"/>
  <c r="Q370" i="7" s="1"/>
  <c r="D370" i="7" s="1"/>
  <c r="X371" i="7"/>
  <c r="I371" i="7"/>
  <c r="W372" i="7" l="1"/>
  <c r="N373" i="7"/>
  <c r="X372" i="7"/>
  <c r="I372" i="7"/>
  <c r="U371" i="7"/>
  <c r="Q371" i="7" s="1"/>
  <c r="D371" i="7" s="1"/>
  <c r="W373" i="7" l="1"/>
  <c r="N374" i="7"/>
  <c r="I373" i="7"/>
  <c r="U372" i="7"/>
  <c r="Q372" i="7" s="1"/>
  <c r="D372" i="7" s="1"/>
  <c r="X373" i="7"/>
  <c r="U373" i="7" l="1"/>
  <c r="Q373" i="7" s="1"/>
  <c r="D373" i="7" s="1"/>
  <c r="X374" i="7"/>
  <c r="I374" i="7"/>
  <c r="W374" i="7"/>
  <c r="N375" i="7"/>
  <c r="I375" i="7" l="1"/>
  <c r="X375" i="7"/>
  <c r="U374" i="7"/>
  <c r="Q374" i="7" s="1"/>
  <c r="D374" i="7" s="1"/>
  <c r="W375" i="7"/>
  <c r="N376" i="7"/>
  <c r="N377" i="7" l="1"/>
  <c r="W376" i="7"/>
  <c r="I376" i="7"/>
  <c r="U375" i="7"/>
  <c r="Q375" i="7" s="1"/>
  <c r="D375" i="7" s="1"/>
  <c r="X376" i="7"/>
  <c r="I377" i="7" l="1"/>
  <c r="U376" i="7"/>
  <c r="Q376" i="7" s="1"/>
  <c r="D376" i="7" s="1"/>
  <c r="X377" i="7"/>
  <c r="W377" i="7"/>
  <c r="N378" i="7"/>
  <c r="X378" i="7" l="1"/>
  <c r="U377" i="7"/>
  <c r="Q377" i="7" s="1"/>
  <c r="D377" i="7" s="1"/>
  <c r="I378" i="7"/>
  <c r="W378" i="7"/>
  <c r="N379" i="7"/>
  <c r="X379" i="7" l="1"/>
  <c r="U378" i="7"/>
  <c r="Q378" i="7" s="1"/>
  <c r="D378" i="7" s="1"/>
  <c r="I379" i="7"/>
  <c r="W379" i="7"/>
  <c r="N380" i="7"/>
  <c r="X380" i="7" l="1"/>
  <c r="I380" i="7"/>
  <c r="U379" i="7"/>
  <c r="Q379" i="7" s="1"/>
  <c r="D379" i="7" s="1"/>
  <c r="W380" i="7"/>
  <c r="N381" i="7"/>
  <c r="I381" i="7" l="1"/>
  <c r="X381" i="7"/>
  <c r="U380" i="7"/>
  <c r="Q380" i="7" s="1"/>
  <c r="D380" i="7" s="1"/>
  <c r="W381" i="7"/>
  <c r="N382" i="7"/>
  <c r="W382" i="7" l="1"/>
  <c r="N383" i="7"/>
  <c r="I382" i="7"/>
  <c r="X382" i="7"/>
  <c r="U381" i="7"/>
  <c r="Q381" i="7" s="1"/>
  <c r="D381" i="7" s="1"/>
  <c r="X383" i="7" l="1"/>
  <c r="I383" i="7"/>
  <c r="U382" i="7"/>
  <c r="Q382" i="7" s="1"/>
  <c r="D382" i="7" s="1"/>
  <c r="W383" i="7"/>
  <c r="N384" i="7"/>
  <c r="X384" i="7" l="1"/>
  <c r="U383" i="7"/>
  <c r="Q383" i="7" s="1"/>
  <c r="D383" i="7" s="1"/>
  <c r="I384" i="7"/>
  <c r="W384" i="7"/>
  <c r="N385" i="7"/>
  <c r="I385" i="7" l="1"/>
  <c r="U384" i="7"/>
  <c r="Q384" i="7" s="1"/>
  <c r="D384" i="7" s="1"/>
  <c r="X385" i="7"/>
  <c r="W385" i="7"/>
  <c r="N386" i="7"/>
  <c r="W386" i="7" s="1"/>
  <c r="I386" i="7" l="1"/>
  <c r="U386" i="7" s="1"/>
  <c r="X386" i="7"/>
  <c r="U385" i="7"/>
  <c r="Q385" i="7" s="1"/>
  <c r="D385" i="7" s="1"/>
  <c r="Q386" i="7" l="1"/>
  <c r="D386" i="7" s="1"/>
</calcChain>
</file>

<file path=xl/sharedStrings.xml><?xml version="1.0" encoding="utf-8"?>
<sst xmlns="http://schemas.openxmlformats.org/spreadsheetml/2006/main" count="421" uniqueCount="246">
  <si>
    <t>h</t>
  </si>
  <si>
    <t>L-</t>
  </si>
  <si>
    <t>L+</t>
  </si>
  <si>
    <t>moyenne</t>
  </si>
  <si>
    <t>série</t>
  </si>
  <si>
    <t>k</t>
  </si>
  <si>
    <t>K-</t>
  </si>
  <si>
    <t>K+</t>
  </si>
  <si>
    <t>valeur cible</t>
  </si>
  <si>
    <t>valeur</t>
  </si>
  <si>
    <t>différence</t>
  </si>
  <si>
    <t>Cumul</t>
  </si>
  <si>
    <t>Cumul*</t>
  </si>
  <si>
    <t>valeur X</t>
  </si>
  <si>
    <t>valeur Y</t>
  </si>
  <si>
    <t>NS+/-*</t>
  </si>
  <si>
    <t>jour</t>
  </si>
  <si>
    <t>s</t>
  </si>
  <si>
    <t>ligne centrale</t>
  </si>
  <si>
    <t>LS+</t>
  </si>
  <si>
    <t>LC+</t>
  </si>
  <si>
    <t>Moyenne inter-laboratoire / valeur cible</t>
  </si>
  <si>
    <t>LS-</t>
  </si>
  <si>
    <t>LC-</t>
  </si>
  <si>
    <t>Carte</t>
  </si>
  <si>
    <t>R</t>
  </si>
  <si>
    <t>centrale</t>
  </si>
  <si>
    <t>m</t>
  </si>
  <si>
    <t>c4*s</t>
  </si>
  <si>
    <t>d2*s</t>
  </si>
  <si>
    <t>n</t>
  </si>
  <si>
    <t>c4</t>
  </si>
  <si>
    <t>d2</t>
  </si>
  <si>
    <t>D2</t>
  </si>
  <si>
    <t>D'1</t>
  </si>
  <si>
    <t>D'2</t>
  </si>
  <si>
    <t>B5*s</t>
  </si>
  <si>
    <t>D2*s</t>
  </si>
  <si>
    <t>D1*s</t>
  </si>
  <si>
    <t>D'1*s</t>
  </si>
  <si>
    <t>D'2*s</t>
  </si>
  <si>
    <t>B'6*s</t>
  </si>
  <si>
    <t>B'5*s</t>
  </si>
  <si>
    <t>B6*s</t>
  </si>
  <si>
    <t>B5</t>
  </si>
  <si>
    <t>B6</t>
  </si>
  <si>
    <t>B'5</t>
  </si>
  <si>
    <t>B'6</t>
  </si>
  <si>
    <t>D1</t>
  </si>
  <si>
    <t>-</t>
  </si>
  <si>
    <t>Formule</t>
  </si>
  <si>
    <t>Données</t>
  </si>
  <si>
    <t>L</t>
  </si>
  <si>
    <t>λ</t>
  </si>
  <si>
    <t>POM1</t>
  </si>
  <si>
    <t>Moyenne</t>
  </si>
  <si>
    <t>cible m0</t>
  </si>
  <si>
    <t>LCs</t>
  </si>
  <si>
    <t>s0</t>
  </si>
  <si>
    <t>POM0</t>
  </si>
  <si>
    <t>echantillon</t>
  </si>
  <si>
    <r>
      <rPr>
        <sz val="10"/>
        <rFont val="Calibri"/>
        <family val="2"/>
      </rPr>
      <t>δ√</t>
    </r>
    <r>
      <rPr>
        <sz val="10"/>
        <rFont val="Arial"/>
        <family val="2"/>
      </rPr>
      <t>n</t>
    </r>
  </si>
  <si>
    <t>LCi</t>
  </si>
  <si>
    <t>Centrale</t>
  </si>
  <si>
    <t>Ecart-type</t>
  </si>
  <si>
    <t>x1</t>
  </si>
  <si>
    <t>x2</t>
  </si>
  <si>
    <t>Si+</t>
  </si>
  <si>
    <t>Si-</t>
  </si>
  <si>
    <t>limite de contrôle</t>
  </si>
  <si>
    <t>Médiane</t>
  </si>
  <si>
    <t>Valeur cible</t>
  </si>
  <si>
    <t>donnée</t>
  </si>
  <si>
    <t>date</t>
  </si>
  <si>
    <t>Tolérance</t>
  </si>
  <si>
    <t>cible</t>
  </si>
  <si>
    <t>T+</t>
  </si>
  <si>
    <t>T-</t>
  </si>
  <si>
    <t>biais</t>
  </si>
  <si>
    <t>Cpk&gt;1,33</t>
  </si>
  <si>
    <t>&gt;1,67</t>
  </si>
  <si>
    <t>&gt;1,33</t>
  </si>
  <si>
    <t>trop juste</t>
  </si>
  <si>
    <t>&lt;1,33</t>
  </si>
  <si>
    <t>regle classique</t>
  </si>
  <si>
    <t>9 points du même coté = p=0,39%</t>
  </si>
  <si>
    <t>6 points successifs qui montent/descendent = p=0,28%</t>
  </si>
  <si>
    <t>regle Westgard</t>
  </si>
  <si>
    <t>1 point au dela de LS = avertissement</t>
  </si>
  <si>
    <t>1 point au de la de LC = rejet</t>
  </si>
  <si>
    <t>4 points successifs au dela de 1s = rejet</t>
  </si>
  <si>
    <t>2 points au dela de LS = rejet</t>
  </si>
  <si>
    <t>2 points espacés de 4s = rejet</t>
  </si>
  <si>
    <t>10 points du même coté = rejet</t>
  </si>
  <si>
    <t>très satisfaisant (10s/6s)</t>
  </si>
  <si>
    <t>satisfaisant (8s/6s)</t>
  </si>
  <si>
    <t>en générale, 1 valeur sur 20 sortira (fausse alarme)</t>
  </si>
  <si>
    <t>échantillon</t>
  </si>
  <si>
    <t>n1</t>
  </si>
  <si>
    <t>n2</t>
  </si>
  <si>
    <t>Etendu</t>
  </si>
  <si>
    <t>zi*</t>
  </si>
  <si>
    <t>bas</t>
  </si>
  <si>
    <t>haut</t>
  </si>
  <si>
    <t>écart-type</t>
  </si>
  <si>
    <t>x bas</t>
  </si>
  <si>
    <t>x haut</t>
  </si>
  <si>
    <t>abscisse</t>
  </si>
  <si>
    <t>ordonnée</t>
  </si>
  <si>
    <t>2s</t>
  </si>
  <si>
    <t>1s</t>
  </si>
  <si>
    <t>verticale</t>
  </si>
  <si>
    <t>horizontale</t>
  </si>
  <si>
    <t>3s</t>
  </si>
  <si>
    <t>Périmètre du carré de Youden</t>
  </si>
  <si>
    <t>contrôle</t>
  </si>
  <si>
    <t>Interprétation</t>
  </si>
  <si>
    <t>bas gauche</t>
  </si>
  <si>
    <t>haut droite</t>
  </si>
  <si>
    <t>haut gauche</t>
  </si>
  <si>
    <t xml:space="preserve">bas droite </t>
  </si>
  <si>
    <t>+</t>
  </si>
  <si>
    <t xml:space="preserve">6 points successifs du même coté </t>
  </si>
  <si>
    <t>2 inconvénients</t>
  </si>
  <si>
    <t>mauvaise efficacité : un déréglage &gt; 2 écarts-types a 16% de chance d'etre détecté en 1 contrôle</t>
  </si>
  <si>
    <t>Inconvénient</t>
  </si>
  <si>
    <t>Avantage</t>
  </si>
  <si>
    <t>k=δ/2*racine(n) = paramètre de sensibilité</t>
  </si>
  <si>
    <t>Pour le nombre de prélèvement, voir l'ISO 3951 sur l'échantillonnage</t>
  </si>
  <si>
    <t>Par exemple, pour un lot de 1000 pièces -&gt; lettre J --&gt; 35 échantillons</t>
  </si>
  <si>
    <t>Cela permet de suivre le procédé et de valider le lot</t>
  </si>
  <si>
    <t>Cp</t>
  </si>
  <si>
    <t>l'incertitude sur Cp = Cp*racine(Xi²/v)</t>
  </si>
  <si>
    <t>Borne inf</t>
  </si>
  <si>
    <t>Borne sup</t>
  </si>
  <si>
    <t>somme</t>
  </si>
  <si>
    <t>signe</t>
  </si>
  <si>
    <t>S</t>
  </si>
  <si>
    <t>My</t>
  </si>
  <si>
    <t>x3</t>
  </si>
  <si>
    <t>My mobile</t>
  </si>
  <si>
    <t>9 points successifs qui montent/descendent</t>
  </si>
  <si>
    <t>X</t>
  </si>
  <si>
    <t>9 +</t>
  </si>
  <si>
    <t>6 ↘</t>
  </si>
  <si>
    <t>9 -</t>
  </si>
  <si>
    <t>4S</t>
  </si>
  <si>
    <t>code alarme</t>
  </si>
  <si>
    <t>LC +/-</t>
  </si>
  <si>
    <t>2LS +/-</t>
  </si>
  <si>
    <t>Cpk</t>
  </si>
  <si>
    <t xml:space="preserve"> tableau</t>
  </si>
  <si>
    <t>&lt;limite de déplacement de la moyenne pour risque faible (0,135%)</t>
  </si>
  <si>
    <t>&lt;en retrait de 3s des tolérances</t>
  </si>
  <si>
    <t>&lt; établi sur les 30 premières valeurs</t>
  </si>
  <si>
    <t>Alerte</t>
  </si>
  <si>
    <t>on ne peux étudier la fidélité du preocess (écart-type ou étendu)</t>
  </si>
  <si>
    <r>
      <t>soit Cp*</t>
    </r>
    <r>
      <rPr>
        <sz val="10"/>
        <rFont val="Calibri"/>
        <family val="2"/>
      </rPr>
      <t>√</t>
    </r>
    <r>
      <rPr>
        <sz val="8.5"/>
        <rFont val="Arial"/>
        <family val="2"/>
      </rPr>
      <t>(loi Xi² inverse 2,5%; v)</t>
    </r>
    <r>
      <rPr>
        <sz val="10"/>
        <rFont val="Arial"/>
        <family val="2"/>
      </rPr>
      <t xml:space="preserve">/v) </t>
    </r>
  </si>
  <si>
    <r>
      <t>soit Cp*</t>
    </r>
    <r>
      <rPr>
        <sz val="10"/>
        <rFont val="Calibri"/>
        <family val="2"/>
      </rPr>
      <t>√</t>
    </r>
    <r>
      <rPr>
        <sz val="8.5"/>
        <rFont val="Arial"/>
        <family val="2"/>
      </rPr>
      <t>(loi Xi² inverse 97,5%; v)</t>
    </r>
    <r>
      <rPr>
        <sz val="10"/>
        <rFont val="Arial"/>
        <family val="2"/>
      </rPr>
      <t xml:space="preserve">/v) </t>
    </r>
  </si>
  <si>
    <t>v</t>
  </si>
  <si>
    <r>
      <t>m-3s/</t>
    </r>
    <r>
      <rPr>
        <sz val="11"/>
        <color theme="0"/>
        <rFont val="Calibri"/>
        <family val="2"/>
      </rPr>
      <t>√n</t>
    </r>
  </si>
  <si>
    <r>
      <t>m+3s/</t>
    </r>
    <r>
      <rPr>
        <sz val="11"/>
        <color theme="0"/>
        <rFont val="Calibri"/>
        <family val="2"/>
      </rPr>
      <t>√n</t>
    </r>
  </si>
  <si>
    <r>
      <t>m-2s/</t>
    </r>
    <r>
      <rPr>
        <sz val="11"/>
        <color theme="0"/>
        <rFont val="Calibri"/>
        <family val="2"/>
      </rPr>
      <t>√n</t>
    </r>
  </si>
  <si>
    <r>
      <t>m+2s/</t>
    </r>
    <r>
      <rPr>
        <sz val="11"/>
        <color theme="0"/>
        <rFont val="Calibri"/>
        <family val="2"/>
      </rPr>
      <t>√n</t>
    </r>
  </si>
  <si>
    <t>n =</t>
  </si>
  <si>
    <t>A partir de 30 valeurs, déterminer :</t>
  </si>
  <si>
    <t>écart-type Sy</t>
  </si>
  <si>
    <t>écart-type Sx</t>
  </si>
  <si>
    <t>*norme de suivi Vassault pour les LABM)</t>
  </si>
  <si>
    <t>Regle classique</t>
  </si>
  <si>
    <t>2/3 points au dela de la LS = p=0,19%</t>
  </si>
  <si>
    <t>Détecte mal les dérives lentes -&gt; mauvais pour l'étude de la moyenne</t>
  </si>
  <si>
    <t>Détecte bien les dérives rapides -&gt; étude de l'écart-type/étendu</t>
  </si>
  <si>
    <t>Ecart-type r estimé à partir des résultats d'essais précédents</t>
  </si>
  <si>
    <t>Une succession de 6 écarts (+ ou -) indiquant dès lors une dérive du procédé</t>
  </si>
  <si>
    <t>La carte simplifiée CUSUM (sommes cumulées) permet ici détudier la dérive entre 2 processédés</t>
  </si>
  <si>
    <t>La carte simplifiée CUSUM (sommes cumulées) permet de détecter les dérive en additionnant les écarts</t>
  </si>
  <si>
    <t xml:space="preserve"> X-Y</t>
  </si>
  <si>
    <t>NS+</t>
  </si>
  <si>
    <t>NS-</t>
  </si>
  <si>
    <t>δ/√n</t>
  </si>
  <si>
    <t>POM0 : nombre de fausses alarmes</t>
  </si>
  <si>
    <t>0.5</t>
  </si>
  <si>
    <t>0.75</t>
  </si>
  <si>
    <t>1.0</t>
  </si>
  <si>
    <t>1.5</t>
  </si>
  <si>
    <t>2.0</t>
  </si>
  <si>
    <t>2.5</t>
  </si>
  <si>
    <t>3.0</t>
  </si>
  <si>
    <t>La carte CUSUM est un outil statistique de contrôle qualité qui permet de détecter rapidement de petits changements ou dérives dans la moyenne d’un processus, en cumulant les écarts successifs par rapport à une valeur cible.</t>
  </si>
  <si>
    <t xml:space="preserve">l'écart-type des données </t>
  </si>
  <si>
    <t xml:space="preserve">Déréglage max accepté δ </t>
  </si>
  <si>
    <t>Tolérance process +</t>
  </si>
  <si>
    <t>Tolérance process -</t>
  </si>
  <si>
    <t>Tm-</t>
  </si>
  <si>
    <t>Tm+</t>
  </si>
  <si>
    <t xml:space="preserve">δ </t>
  </si>
  <si>
    <t>Données d'entrées</t>
  </si>
  <si>
    <t>Calcul du décalage δ max de la moyenne</t>
  </si>
  <si>
    <t>POM0 est le nombre de fausse alarme. 1/370 échantillons = 0,003%, 1-0,003% = 99,7% (3s)</t>
  </si>
  <si>
    <t>c</t>
  </si>
  <si>
    <t>POM_100</t>
  </si>
  <si>
    <t>POM_370</t>
  </si>
  <si>
    <t>POM_500</t>
  </si>
  <si>
    <t>POM_1000</t>
  </si>
  <si>
    <r>
      <t xml:space="preserve">POM1 est le nombre de série de contrôle souhaité pour détécter un déréglage </t>
    </r>
    <r>
      <rPr>
        <sz val="10"/>
        <rFont val="Calibri"/>
        <family val="2"/>
      </rPr>
      <t>δ</t>
    </r>
    <r>
      <rPr>
        <sz val="10"/>
        <rFont val="Arial"/>
        <family val="2"/>
      </rPr>
      <t xml:space="preserve"> (si 1 =&gt; Shewhart)</t>
    </r>
  </si>
  <si>
    <t>D'après POM0 et POM1</t>
  </si>
  <si>
    <t>arrondi sup de la taille des échantillons</t>
  </si>
  <si>
    <t>Paramétre de sensibilité</t>
  </si>
  <si>
    <t>Limite de contrôle</t>
  </si>
  <si>
    <t xml:space="preserve">L- </t>
  </si>
  <si>
    <t>n3</t>
  </si>
  <si>
    <t>n4</t>
  </si>
  <si>
    <t>n5</t>
  </si>
  <si>
    <t>Alarme</t>
  </si>
  <si>
    <t>Si une alarme est détectée "X", alors la carte de contrôle est stoppée, le process réajusté, et l'on recommence la carte à n=1</t>
  </si>
  <si>
    <t>Capabilité Process en continu</t>
  </si>
  <si>
    <t>Sélection des paramètres de carte</t>
  </si>
  <si>
    <t>soit n =</t>
  </si>
  <si>
    <r>
      <t>La </t>
    </r>
    <r>
      <rPr>
        <sz val="10"/>
        <color theme="1"/>
        <rFont val="Arial"/>
        <family val="2"/>
      </rPr>
      <t>carte EWMA</t>
    </r>
    <r>
      <rPr>
        <sz val="10"/>
        <color theme="1"/>
        <rFont val="Arial"/>
        <family val="2"/>
      </rPr>
      <t> (Exponentially Weighted Moving Average) est un outil de contrôle qualité qui permet de détecter efficacement de petites dérives dans la moyenne d’un procédé en utilisant des moyennes mobiles pondérées de façon exponentielle, ce qui la rend particulièrement adaptée à la surveillance des variations lentes ou faibles dans les processus continus</t>
    </r>
  </si>
  <si>
    <t>établies sur 30 valeurs</t>
  </si>
  <si>
    <t>δ</t>
  </si>
  <si>
    <t xml:space="preserve">σ </t>
  </si>
  <si>
    <r>
      <rPr>
        <sz val="10"/>
        <color theme="0"/>
        <rFont val="Calibri"/>
        <family val="2"/>
      </rPr>
      <t>δ√</t>
    </r>
    <r>
      <rPr>
        <sz val="10"/>
        <color theme="0"/>
        <rFont val="Arial"/>
        <family val="2"/>
      </rPr>
      <t>n</t>
    </r>
  </si>
  <si>
    <r>
      <t xml:space="preserve">Si on s'attend à des déréglages lents, </t>
    </r>
    <r>
      <rPr>
        <sz val="10"/>
        <rFont val="Calibri"/>
        <family val="2"/>
      </rPr>
      <t>λ</t>
    </r>
    <r>
      <rPr>
        <sz val="8.5"/>
        <rFont val="Arial"/>
        <family val="2"/>
      </rPr>
      <t xml:space="preserve"> </t>
    </r>
    <r>
      <rPr>
        <sz val="10"/>
        <rFont val="Arial"/>
        <family val="2"/>
      </rPr>
      <t>proche de 0,25. si déréglage brusque, λ proche de 0,5. si λ = 1 -&gt; carte de Shewhart</t>
    </r>
  </si>
  <si>
    <t>La carte de contrôle carré de Youden permet de visualiser rapidement la dispersion et d’identifier d’éventuelles dérives ou anomalies entre deux séries de mesures, facilitant ainsi le suivi de la stabilité des analyses en laboratoire.</t>
  </si>
  <si>
    <t>point dans zone :</t>
  </si>
  <si>
    <t>Sy est l'écart-type connu de la méthode Y</t>
  </si>
  <si>
    <t>Sx est l'écart-type connu de la méthode X</t>
  </si>
  <si>
    <t xml:space="preserve">soit Cp*√(loi Xi² inverse 2,5%; v)/v) </t>
  </si>
  <si>
    <t xml:space="preserve">soit Cp*√(loi Xi² inverse 97,5%; v)/v) </t>
  </si>
  <si>
    <t>σ calculé sur les v échantillons</t>
  </si>
  <si>
    <t>m0</t>
  </si>
  <si>
    <t>s0 (a priori)</t>
  </si>
  <si>
    <t>N</t>
  </si>
  <si>
    <t>Sn</t>
  </si>
  <si>
    <t>S0</t>
  </si>
  <si>
    <t>Mn</t>
  </si>
  <si>
    <t>z</t>
  </si>
  <si>
    <t>Pb</t>
  </si>
  <si>
    <t>&lt; probabilité qu'un changement est eu lieu !</t>
  </si>
  <si>
    <t>Approche Bayesienne</t>
  </si>
  <si>
    <t>Seuil</t>
  </si>
  <si>
    <t>Sobs</t>
  </si>
  <si>
    <t>Mobs</t>
  </si>
  <si>
    <r>
      <t xml:space="preserve">6 </t>
    </r>
    <r>
      <rPr>
        <sz val="11"/>
        <color theme="0"/>
        <rFont val="Calibri"/>
        <family val="2"/>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</si>
</sst>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
    <numFmt numFmtId="165" formatCode="0.0000"/>
    <numFmt numFmtId="166" formatCode="0.0"/>
    <numFmt numFmtId="167" formatCode="0.00000"/>
  </numFmts>
  <fonts count="24" x14ac:knownFonts="1">
    <font>
      <sz val="11"/>
      <color theme="1"/>
      <name val="Calibri"/>
      <family val="2"/>
      <scheme val="minor"/>
    </font>
    <font>
      <sz val="10"/>
      <name val="Arial"/>
      <family val="2"/>
    </font>
    <font>
      <sz val="10"/>
      <name val="Calibri"/>
      <family val="2"/>
    </font>
    <font>
      <sz val="8.5"/>
      <name val="Arial"/>
      <family val="2"/>
    </font>
    <font>
      <b/>
      <sz val="10"/>
      <name val="Arial"/>
      <family val="2"/>
    </font>
    <font>
      <sz val="11"/>
      <name val="Calibri"/>
      <family val="2"/>
      <scheme val="minor"/>
    </font>
    <font>
      <sz val="11"/>
      <color theme="0"/>
      <name val="Calibri"/>
      <family val="2"/>
      <scheme val="minor"/>
    </font>
    <font>
      <sz val="11"/>
      <color theme="0"/>
      <name val="Calibri"/>
      <family val="2"/>
    </font>
    <font>
      <b/>
      <sz val="11"/>
      <name val="Calibri"/>
      <family val="2"/>
      <scheme val="minor"/>
    </font>
    <font>
      <u/>
      <sz val="11"/>
      <name val="Calibri"/>
      <family val="2"/>
      <scheme val="minor"/>
    </font>
    <font>
      <b/>
      <sz val="11"/>
      <color rgb="FFFF0000"/>
      <name val="Calibri"/>
      <family val="2"/>
      <scheme val="minor"/>
    </font>
    <font>
      <b/>
      <sz val="11"/>
      <color theme="0"/>
      <name val="Calibri"/>
      <family val="2"/>
      <scheme val="minor"/>
    </font>
    <font>
      <b/>
      <u/>
      <sz val="11"/>
      <color theme="1"/>
      <name val="Calibri"/>
      <family val="2"/>
      <scheme val="minor"/>
    </font>
    <font>
      <sz val="11"/>
      <color theme="0" tint="-0.34998626667073579"/>
      <name val="Calibri"/>
      <family val="2"/>
      <scheme val="minor"/>
    </font>
    <font>
      <sz val="10"/>
      <color theme="0" tint="-0.34998626667073579"/>
      <name val="Arial"/>
      <family val="2"/>
    </font>
    <font>
      <sz val="11"/>
      <name val="Courier New"/>
      <family val="3"/>
    </font>
    <font>
      <sz val="8"/>
      <name val="Calibri"/>
      <family val="2"/>
      <scheme val="minor"/>
    </font>
    <font>
      <sz val="10"/>
      <color theme="1"/>
      <name val="Arial"/>
      <family val="2"/>
    </font>
    <font>
      <sz val="10"/>
      <color theme="0"/>
      <name val="Arial"/>
      <family val="2"/>
    </font>
    <font>
      <sz val="10"/>
      <color theme="0"/>
      <name val="Calibri"/>
      <family val="2"/>
    </font>
    <font>
      <sz val="8"/>
      <color theme="0"/>
      <name val="Arial"/>
      <family val="2"/>
    </font>
    <font>
      <sz val="10"/>
      <color theme="1"/>
      <name val="Calibri"/>
      <family val="2"/>
      <scheme val="minor"/>
    </font>
    <font>
      <sz val="11"/>
      <color theme="1"/>
      <name val="Calibri"/>
      <family val="2"/>
      <scheme val="minor"/>
    </font>
    <font>
      <b/>
      <u/>
      <sz val="11"/>
      <name val="Calibri"/>
      <family val="2"/>
      <scheme val="minor"/>
    </font>
  </fonts>
  <fills count="14">
    <fill>
      <patternFill patternType="none"/>
    </fill>
    <fill>
      <patternFill patternType="gray125"/>
    </fill>
    <fill>
      <patternFill patternType="solid">
        <fgColor theme="8" tint="0.79998168889431442"/>
        <bgColor indexed="64"/>
      </patternFill>
    </fill>
    <fill>
      <patternFill patternType="solid">
        <fgColor theme="8" tint="0.59999389629810485"/>
        <bgColor indexed="64"/>
      </patternFill>
    </fill>
    <fill>
      <patternFill patternType="solid">
        <fgColor theme="8" tint="0.39997558519241921"/>
        <bgColor indexed="64"/>
      </patternFill>
    </fill>
    <fill>
      <patternFill patternType="solid">
        <fgColor rgb="FFFF0000"/>
        <bgColor indexed="64"/>
      </patternFill>
    </fill>
    <fill>
      <patternFill patternType="solid">
        <fgColor rgb="FF00B050"/>
        <bgColor indexed="64"/>
      </patternFill>
    </fill>
    <fill>
      <patternFill patternType="solid">
        <fgColor rgb="FFFFFF00"/>
        <bgColor indexed="64"/>
      </patternFill>
    </fill>
    <fill>
      <patternFill patternType="solid">
        <fgColor theme="6" tint="0.59999389629810485"/>
        <bgColor indexed="64"/>
      </patternFill>
    </fill>
    <fill>
      <patternFill patternType="solid">
        <fgColor theme="0"/>
        <bgColor indexed="64"/>
      </patternFill>
    </fill>
    <fill>
      <patternFill patternType="solid">
        <fgColor theme="0" tint="-0.34998626667073579"/>
        <bgColor indexed="64"/>
      </patternFill>
    </fill>
    <fill>
      <patternFill patternType="solid">
        <fgColor theme="9" tint="0.59999389629810485"/>
        <bgColor indexed="64"/>
      </patternFill>
    </fill>
    <fill>
      <patternFill patternType="solid">
        <fgColor theme="0" tint="-0.249977111117893"/>
        <bgColor indexed="64"/>
      </patternFill>
    </fill>
    <fill>
      <patternFill patternType="solid">
        <fgColor theme="0" tint="-0.14999847407452621"/>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3">
    <xf numFmtId="0" fontId="0" fillId="0" borderId="0"/>
    <xf numFmtId="0" fontId="1" fillId="0" borderId="0"/>
    <xf numFmtId="9" fontId="22" fillId="0" borderId="0" applyFont="0" applyFill="0" applyBorder="0" applyAlignment="0" applyProtection="0"/>
  </cellStyleXfs>
  <cellXfs count="214">
    <xf numFmtId="0" fontId="0" fillId="0" borderId="0" xfId="0"/>
    <xf numFmtId="0" fontId="1" fillId="0" borderId="0" xfId="1"/>
    <xf numFmtId="0" fontId="1" fillId="0" borderId="1" xfId="1" applyBorder="1" applyAlignment="1">
      <alignment horizontal="center"/>
    </xf>
    <xf numFmtId="0" fontId="1" fillId="0" borderId="0" xfId="1" applyBorder="1" applyAlignment="1">
      <alignment horizontal="center"/>
    </xf>
    <xf numFmtId="0" fontId="1" fillId="0" borderId="0" xfId="1" applyFont="1" applyBorder="1" applyAlignment="1">
      <alignment horizontal="center"/>
    </xf>
    <xf numFmtId="0" fontId="1" fillId="0" borderId="1" xfId="1" applyFont="1" applyBorder="1" applyAlignment="1">
      <alignment horizontal="center"/>
    </xf>
    <xf numFmtId="0" fontId="1" fillId="0" borderId="0" xfId="1" applyFill="1" applyBorder="1" applyAlignment="1">
      <alignment horizontal="center"/>
    </xf>
    <xf numFmtId="0" fontId="1" fillId="3" borderId="1" xfId="1" applyFill="1" applyBorder="1" applyAlignment="1">
      <alignment horizontal="center"/>
    </xf>
    <xf numFmtId="0" fontId="1" fillId="0" borderId="0" xfId="1" applyAlignment="1">
      <alignment horizontal="right"/>
    </xf>
    <xf numFmtId="0" fontId="0" fillId="0" borderId="1" xfId="0" applyBorder="1" applyAlignment="1">
      <alignment horizontal="center"/>
    </xf>
    <xf numFmtId="0" fontId="0" fillId="0" borderId="0" xfId="0" applyAlignment="1">
      <alignment horizontal="right"/>
    </xf>
    <xf numFmtId="0" fontId="0" fillId="2" borderId="1" xfId="0" applyFill="1" applyBorder="1" applyAlignment="1">
      <alignment horizontal="center"/>
    </xf>
    <xf numFmtId="2" fontId="0" fillId="0" borderId="1" xfId="0" applyNumberFormat="1" applyBorder="1" applyAlignment="1">
      <alignment horizontal="center"/>
    </xf>
    <xf numFmtId="0" fontId="0" fillId="0" borderId="1" xfId="0" applyFill="1" applyBorder="1" applyAlignment="1">
      <alignment horizontal="center"/>
    </xf>
    <xf numFmtId="0" fontId="1" fillId="0" borderId="0" xfId="0" applyFont="1"/>
    <xf numFmtId="0" fontId="0" fillId="0" borderId="0" xfId="0" applyBorder="1"/>
    <xf numFmtId="0" fontId="1" fillId="0" borderId="1" xfId="0" applyFont="1" applyBorder="1" applyAlignment="1">
      <alignment horizontal="center"/>
    </xf>
    <xf numFmtId="0" fontId="0" fillId="0" borderId="0" xfId="0" applyBorder="1" applyAlignment="1">
      <alignment horizontal="center"/>
    </xf>
    <xf numFmtId="0" fontId="0" fillId="3" borderId="1" xfId="0" applyFill="1" applyBorder="1" applyAlignment="1">
      <alignment horizontal="center"/>
    </xf>
    <xf numFmtId="1" fontId="1" fillId="0" borderId="0" xfId="1" applyNumberFormat="1" applyBorder="1" applyAlignment="1">
      <alignment horizontal="center"/>
    </xf>
    <xf numFmtId="0" fontId="1" fillId="0" borderId="0" xfId="1" applyFill="1" applyBorder="1"/>
    <xf numFmtId="0" fontId="1" fillId="0" borderId="0" xfId="1" applyFill="1" applyBorder="1" applyAlignment="1">
      <alignment horizontal="right"/>
    </xf>
    <xf numFmtId="0" fontId="1" fillId="0" borderId="0" xfId="1" applyFont="1" applyFill="1" applyBorder="1" applyAlignment="1">
      <alignment horizontal="center"/>
    </xf>
    <xf numFmtId="0" fontId="1" fillId="0" borderId="0" xfId="1" applyFont="1" applyFill="1" applyBorder="1"/>
    <xf numFmtId="0" fontId="1" fillId="0" borderId="0" xfId="1" applyFont="1" applyFill="1" applyBorder="1" applyAlignment="1">
      <alignment horizontal="left"/>
    </xf>
    <xf numFmtId="0" fontId="1" fillId="0" borderId="0" xfId="1" applyFont="1" applyFill="1" applyBorder="1" applyAlignment="1">
      <alignment horizontal="right"/>
    </xf>
    <xf numFmtId="164" fontId="1" fillId="0" borderId="0" xfId="1" applyNumberFormat="1" applyFill="1" applyBorder="1" applyAlignment="1">
      <alignment horizontal="center"/>
    </xf>
    <xf numFmtId="1" fontId="1" fillId="0" borderId="0" xfId="1" applyNumberFormat="1" applyFill="1" applyBorder="1" applyAlignment="1">
      <alignment horizontal="center"/>
    </xf>
    <xf numFmtId="0" fontId="2" fillId="0" borderId="0" xfId="1" applyFont="1" applyFill="1" applyBorder="1" applyAlignment="1">
      <alignment horizontal="center"/>
    </xf>
    <xf numFmtId="0" fontId="2" fillId="0" borderId="0" xfId="1" applyFont="1" applyFill="1" applyBorder="1"/>
    <xf numFmtId="164" fontId="1" fillId="0" borderId="1" xfId="1" applyNumberFormat="1" applyFill="1" applyBorder="1" applyAlignment="1">
      <alignment horizontal="center"/>
    </xf>
    <xf numFmtId="0" fontId="1" fillId="0" borderId="0" xfId="1" applyFill="1" applyBorder="1" applyAlignment="1">
      <alignment horizontal="left"/>
    </xf>
    <xf numFmtId="0" fontId="4" fillId="0" borderId="0" xfId="1" applyFont="1" applyFill="1" applyBorder="1"/>
    <xf numFmtId="0" fontId="4" fillId="0" borderId="0" xfId="1" applyFont="1"/>
    <xf numFmtId="0" fontId="2" fillId="0" borderId="0" xfId="1" applyFont="1" applyFill="1" applyBorder="1" applyAlignment="1">
      <alignment horizontal="right"/>
    </xf>
    <xf numFmtId="2" fontId="1" fillId="0" borderId="1" xfId="1" applyNumberFormat="1" applyFill="1" applyBorder="1" applyAlignment="1">
      <alignment horizontal="center"/>
    </xf>
    <xf numFmtId="2" fontId="1" fillId="0" borderId="1" xfId="1" applyNumberFormat="1" applyBorder="1" applyAlignment="1">
      <alignment horizontal="center"/>
    </xf>
    <xf numFmtId="2" fontId="1" fillId="2" borderId="1" xfId="1" applyNumberFormat="1" applyFill="1" applyBorder="1" applyAlignment="1">
      <alignment horizontal="center"/>
    </xf>
    <xf numFmtId="0" fontId="0" fillId="0" borderId="1" xfId="0" applyBorder="1"/>
    <xf numFmtId="0" fontId="1" fillId="0" borderId="1" xfId="1" applyFill="1" applyBorder="1" applyAlignment="1">
      <alignment horizontal="center"/>
    </xf>
    <xf numFmtId="0" fontId="5" fillId="0" borderId="1" xfId="0" applyFont="1" applyFill="1" applyBorder="1" applyAlignment="1">
      <alignment horizontal="center"/>
    </xf>
    <xf numFmtId="2" fontId="0" fillId="3" borderId="1" xfId="0" applyNumberFormat="1" applyFill="1" applyBorder="1" applyAlignment="1">
      <alignment horizontal="center"/>
    </xf>
    <xf numFmtId="49" fontId="0" fillId="0" borderId="1" xfId="0" applyNumberFormat="1" applyBorder="1" applyAlignment="1">
      <alignment horizontal="center"/>
    </xf>
    <xf numFmtId="0" fontId="2" fillId="0" borderId="0" xfId="1" applyFont="1" applyFill="1" applyBorder="1" applyAlignment="1">
      <alignment horizontal="left"/>
    </xf>
    <xf numFmtId="2" fontId="0" fillId="2" borderId="1" xfId="0" applyNumberFormat="1" applyFill="1" applyBorder="1" applyAlignment="1">
      <alignment horizontal="center"/>
    </xf>
    <xf numFmtId="0" fontId="1" fillId="0" borderId="1" xfId="1" applyBorder="1"/>
    <xf numFmtId="0" fontId="0" fillId="0" borderId="1" xfId="0" applyBorder="1" applyAlignment="1">
      <alignment horizontal="center"/>
    </xf>
    <xf numFmtId="0" fontId="0" fillId="0" borderId="1" xfId="0" applyBorder="1" applyAlignment="1">
      <alignment horizontal="center"/>
    </xf>
    <xf numFmtId="166" fontId="0" fillId="3" borderId="1" xfId="0" applyNumberFormat="1" applyFill="1" applyBorder="1" applyAlignment="1">
      <alignment horizontal="center"/>
    </xf>
    <xf numFmtId="0" fontId="5" fillId="0" borderId="0" xfId="0" applyFont="1" applyFill="1" applyBorder="1" applyAlignment="1">
      <alignment horizontal="center"/>
    </xf>
    <xf numFmtId="0" fontId="5" fillId="0" borderId="1" xfId="0" applyFont="1" applyBorder="1" applyAlignment="1" applyProtection="1">
      <alignment horizontal="center"/>
      <protection hidden="1"/>
    </xf>
    <xf numFmtId="2" fontId="5" fillId="4" borderId="1" xfId="0" applyNumberFormat="1" applyFont="1" applyFill="1" applyBorder="1" applyAlignment="1" applyProtection="1">
      <alignment horizontal="center"/>
      <protection hidden="1"/>
    </xf>
    <xf numFmtId="0" fontId="5" fillId="0" borderId="0" xfId="0" applyFont="1" applyProtection="1">
      <protection hidden="1"/>
    </xf>
    <xf numFmtId="0" fontId="5" fillId="0" borderId="1" xfId="0" applyFont="1" applyBorder="1" applyProtection="1">
      <protection hidden="1"/>
    </xf>
    <xf numFmtId="164" fontId="5" fillId="0" borderId="1" xfId="0" applyNumberFormat="1" applyFont="1" applyBorder="1" applyAlignment="1" applyProtection="1">
      <alignment horizontal="center"/>
      <protection hidden="1"/>
    </xf>
    <xf numFmtId="0" fontId="5" fillId="4" borderId="1" xfId="0" applyFont="1" applyFill="1" applyBorder="1" applyAlignment="1" applyProtection="1">
      <alignment horizontal="center"/>
      <protection hidden="1"/>
    </xf>
    <xf numFmtId="0" fontId="5" fillId="0" borderId="0" xfId="0" applyFont="1" applyAlignment="1" applyProtection="1">
      <alignment horizontal="center"/>
      <protection hidden="1"/>
    </xf>
    <xf numFmtId="0" fontId="5" fillId="0" borderId="0" xfId="0" applyFont="1" applyAlignment="1" applyProtection="1">
      <alignment horizontal="left"/>
      <protection hidden="1"/>
    </xf>
    <xf numFmtId="2" fontId="5" fillId="8" borderId="1" xfId="0" applyNumberFormat="1" applyFont="1" applyFill="1" applyBorder="1" applyAlignment="1" applyProtection="1">
      <alignment horizontal="center"/>
      <protection hidden="1"/>
    </xf>
    <xf numFmtId="2" fontId="5" fillId="0" borderId="1" xfId="0" applyNumberFormat="1" applyFont="1" applyBorder="1" applyAlignment="1" applyProtection="1">
      <alignment horizontal="center"/>
      <protection hidden="1"/>
    </xf>
    <xf numFmtId="16" fontId="5" fillId="0" borderId="0" xfId="0" applyNumberFormat="1" applyFont="1" applyProtection="1">
      <protection hidden="1"/>
    </xf>
    <xf numFmtId="0" fontId="9" fillId="0" borderId="0" xfId="0" applyFont="1" applyProtection="1">
      <protection hidden="1"/>
    </xf>
    <xf numFmtId="0" fontId="5" fillId="0" borderId="0" xfId="0" applyFont="1" applyBorder="1" applyAlignment="1" applyProtection="1">
      <alignment horizontal="center"/>
      <protection hidden="1"/>
    </xf>
    <xf numFmtId="2" fontId="5" fillId="0" borderId="0" xfId="0" applyNumberFormat="1" applyFont="1" applyBorder="1" applyAlignment="1" applyProtection="1">
      <alignment horizontal="center"/>
      <protection hidden="1"/>
    </xf>
    <xf numFmtId="0" fontId="8" fillId="0" borderId="0" xfId="0" applyFont="1" applyProtection="1">
      <protection hidden="1"/>
    </xf>
    <xf numFmtId="0" fontId="5" fillId="0" borderId="0" xfId="0" applyFont="1" applyBorder="1" applyProtection="1">
      <protection hidden="1"/>
    </xf>
    <xf numFmtId="0" fontId="0" fillId="0" borderId="1" xfId="0" applyBorder="1" applyAlignment="1">
      <alignment horizontal="center"/>
    </xf>
    <xf numFmtId="0" fontId="10" fillId="0" borderId="0" xfId="0" applyFont="1"/>
    <xf numFmtId="0" fontId="0" fillId="0" borderId="1" xfId="0" applyBorder="1" applyAlignment="1">
      <alignment horizontal="center"/>
    </xf>
    <xf numFmtId="0" fontId="11" fillId="0" borderId="0" xfId="0" applyFont="1" applyFill="1" applyBorder="1" applyAlignment="1">
      <alignment horizontal="left"/>
    </xf>
    <xf numFmtId="0" fontId="11" fillId="0" borderId="0" xfId="0" applyFont="1" applyBorder="1"/>
    <xf numFmtId="0" fontId="6" fillId="0" borderId="0" xfId="0" applyFont="1" applyBorder="1"/>
    <xf numFmtId="0" fontId="6" fillId="0" borderId="0" xfId="0" applyFont="1" applyBorder="1" applyAlignment="1">
      <alignment horizontal="center"/>
    </xf>
    <xf numFmtId="164" fontId="6" fillId="0" borderId="0" xfId="0" applyNumberFormat="1" applyFont="1" applyBorder="1"/>
    <xf numFmtId="167" fontId="6" fillId="0" borderId="0" xfId="0" applyNumberFormat="1" applyFont="1" applyBorder="1"/>
    <xf numFmtId="0" fontId="6" fillId="0" borderId="0" xfId="0" applyFont="1" applyFill="1" applyBorder="1" applyAlignment="1">
      <alignment horizontal="center" vertical="center"/>
    </xf>
    <xf numFmtId="0" fontId="6" fillId="0" borderId="0" xfId="0" applyFont="1" applyBorder="1" applyAlignment="1">
      <alignment horizontal="center" vertical="center"/>
    </xf>
    <xf numFmtId="0" fontId="1" fillId="10" borderId="0" xfId="0" applyFont="1" applyFill="1"/>
    <xf numFmtId="0" fontId="0" fillId="10" borderId="0" xfId="0" applyFill="1"/>
    <xf numFmtId="0" fontId="0" fillId="10" borderId="0" xfId="0" applyFill="1" applyBorder="1" applyAlignment="1">
      <alignment horizontal="center"/>
    </xf>
    <xf numFmtId="0" fontId="12" fillId="0" borderId="0" xfId="0" applyFont="1"/>
    <xf numFmtId="166" fontId="0" fillId="0" borderId="0" xfId="0" applyNumberFormat="1" applyFill="1" applyBorder="1" applyAlignment="1">
      <alignment horizontal="center"/>
    </xf>
    <xf numFmtId="164" fontId="0" fillId="0" borderId="0" xfId="0" applyNumberFormat="1" applyFill="1" applyBorder="1" applyAlignment="1">
      <alignment horizontal="center"/>
    </xf>
    <xf numFmtId="164" fontId="6" fillId="0" borderId="0" xfId="0" applyNumberFormat="1" applyFont="1" applyBorder="1" applyAlignment="1">
      <alignment horizontal="center"/>
    </xf>
    <xf numFmtId="2" fontId="0" fillId="0" borderId="0" xfId="0" applyNumberFormat="1" applyBorder="1" applyAlignment="1">
      <alignment horizontal="center"/>
    </xf>
    <xf numFmtId="166" fontId="6" fillId="0" borderId="0" xfId="0" applyNumberFormat="1" applyFont="1" applyFill="1" applyBorder="1" applyAlignment="1">
      <alignment horizontal="center"/>
    </xf>
    <xf numFmtId="166" fontId="6" fillId="0" borderId="0" xfId="0" applyNumberFormat="1" applyFont="1" applyBorder="1" applyAlignment="1">
      <alignment horizontal="center"/>
    </xf>
    <xf numFmtId="165" fontId="0" fillId="0" borderId="0" xfId="0" applyNumberFormat="1" applyFill="1" applyBorder="1" applyAlignment="1">
      <alignment horizontal="center"/>
    </xf>
    <xf numFmtId="0" fontId="13" fillId="0" borderId="0" xfId="0" applyFont="1" applyBorder="1"/>
    <xf numFmtId="0" fontId="14" fillId="0" borderId="1" xfId="0" applyFont="1" applyBorder="1" applyAlignment="1">
      <alignment horizontal="center"/>
    </xf>
    <xf numFmtId="0" fontId="13" fillId="0" borderId="1" xfId="0" applyFont="1" applyBorder="1" applyAlignment="1">
      <alignment horizontal="center"/>
    </xf>
    <xf numFmtId="166" fontId="13" fillId="0" borderId="1" xfId="0" applyNumberFormat="1" applyFont="1" applyFill="1" applyBorder="1" applyAlignment="1">
      <alignment horizontal="center"/>
    </xf>
    <xf numFmtId="166" fontId="13" fillId="0" borderId="1" xfId="0" applyNumberFormat="1" applyFont="1" applyBorder="1" applyAlignment="1">
      <alignment horizontal="center"/>
    </xf>
    <xf numFmtId="0" fontId="1" fillId="0" borderId="0" xfId="1" applyFont="1"/>
    <xf numFmtId="0" fontId="1" fillId="11" borderId="1" xfId="0" applyFont="1" applyFill="1" applyBorder="1" applyAlignment="1">
      <alignment horizontal="center"/>
    </xf>
    <xf numFmtId="2" fontId="1" fillId="0" borderId="1" xfId="0" applyNumberFormat="1" applyFont="1" applyBorder="1" applyAlignment="1">
      <alignment horizontal="center"/>
    </xf>
    <xf numFmtId="2" fontId="1" fillId="0" borderId="1" xfId="1" applyNumberFormat="1" applyFont="1" applyBorder="1" applyAlignment="1">
      <alignment horizontal="center"/>
    </xf>
    <xf numFmtId="1" fontId="4" fillId="7" borderId="1" xfId="1" applyNumberFormat="1" applyFont="1" applyFill="1" applyBorder="1" applyAlignment="1">
      <alignment horizontal="center"/>
    </xf>
    <xf numFmtId="0" fontId="1" fillId="3" borderId="1" xfId="1" applyFont="1" applyFill="1" applyBorder="1" applyAlignment="1">
      <alignment horizontal="center"/>
    </xf>
    <xf numFmtId="0" fontId="1" fillId="0" borderId="0" xfId="1" applyFont="1" applyAlignment="1">
      <alignment horizontal="center"/>
    </xf>
    <xf numFmtId="2" fontId="1" fillId="0" borderId="1" xfId="1" applyNumberFormat="1" applyFont="1" applyBorder="1" applyAlignment="1">
      <alignment horizontal="center" vertical="center"/>
    </xf>
    <xf numFmtId="0" fontId="1" fillId="11" borderId="1" xfId="1" applyFont="1" applyFill="1" applyBorder="1" applyAlignment="1">
      <alignment horizontal="center"/>
    </xf>
    <xf numFmtId="0" fontId="1" fillId="10" borderId="0" xfId="1" applyFont="1" applyFill="1"/>
    <xf numFmtId="0" fontId="1" fillId="7" borderId="1" xfId="1" applyFont="1" applyFill="1" applyBorder="1" applyAlignment="1">
      <alignment horizontal="center"/>
    </xf>
    <xf numFmtId="2" fontId="1" fillId="2" borderId="1" xfId="1" applyNumberFormat="1" applyFont="1" applyFill="1" applyBorder="1" applyAlignment="1">
      <alignment horizontal="center"/>
    </xf>
    <xf numFmtId="0" fontId="4" fillId="0" borderId="0" xfId="1" applyFont="1" applyFill="1" applyBorder="1" applyAlignment="1">
      <alignment horizontal="right"/>
    </xf>
    <xf numFmtId="0" fontId="0" fillId="0" borderId="1" xfId="0" applyBorder="1" applyAlignment="1">
      <alignment horizontal="center"/>
    </xf>
    <xf numFmtId="166" fontId="1" fillId="0" borderId="1" xfId="0" applyNumberFormat="1" applyFont="1" applyBorder="1" applyAlignment="1">
      <alignment horizontal="center"/>
    </xf>
    <xf numFmtId="0" fontId="1" fillId="7" borderId="1" xfId="1" applyFill="1" applyBorder="1" applyAlignment="1">
      <alignment horizontal="center"/>
    </xf>
    <xf numFmtId="0" fontId="18" fillId="0" borderId="0" xfId="1" applyFont="1"/>
    <xf numFmtId="0" fontId="18" fillId="0" borderId="0" xfId="1" applyFont="1" applyFill="1" applyBorder="1"/>
    <xf numFmtId="0" fontId="18" fillId="0" borderId="0" xfId="1" applyFont="1" applyFill="1" applyBorder="1" applyAlignment="1">
      <alignment horizontal="center"/>
    </xf>
    <xf numFmtId="0" fontId="18" fillId="0" borderId="0" xfId="1" applyFont="1" applyFill="1" applyBorder="1" applyAlignment="1">
      <alignment horizontal="right"/>
    </xf>
    <xf numFmtId="166" fontId="18" fillId="0" borderId="0" xfId="1" applyNumberFormat="1" applyFont="1" applyFill="1" applyBorder="1" applyAlignment="1">
      <alignment horizontal="right"/>
    </xf>
    <xf numFmtId="1" fontId="18" fillId="0" borderId="0" xfId="1" applyNumberFormat="1" applyFont="1" applyFill="1" applyBorder="1" applyAlignment="1">
      <alignment horizontal="center"/>
    </xf>
    <xf numFmtId="2" fontId="18" fillId="0" borderId="0" xfId="1" applyNumberFormat="1" applyFont="1" applyFill="1" applyBorder="1" applyAlignment="1">
      <alignment horizontal="right"/>
    </xf>
    <xf numFmtId="166" fontId="18" fillId="0" borderId="0" xfId="1" applyNumberFormat="1" applyFont="1" applyFill="1" applyBorder="1" applyAlignment="1">
      <alignment horizontal="center"/>
    </xf>
    <xf numFmtId="164" fontId="18" fillId="0" borderId="0" xfId="1" applyNumberFormat="1" applyFont="1" applyFill="1" applyBorder="1" applyAlignment="1">
      <alignment horizontal="center"/>
    </xf>
    <xf numFmtId="2" fontId="18" fillId="0" borderId="0" xfId="1" applyNumberFormat="1" applyFont="1" applyFill="1" applyBorder="1" applyAlignment="1">
      <alignment horizontal="center"/>
    </xf>
    <xf numFmtId="3" fontId="18" fillId="0" borderId="0" xfId="1" applyNumberFormat="1" applyFont="1" applyFill="1" applyBorder="1" applyAlignment="1">
      <alignment horizontal="right"/>
    </xf>
    <xf numFmtId="1" fontId="18" fillId="0" borderId="0" xfId="1" applyNumberFormat="1" applyFont="1" applyFill="1" applyBorder="1" applyAlignment="1">
      <alignment horizontal="right"/>
    </xf>
    <xf numFmtId="1" fontId="18" fillId="0" borderId="0" xfId="1" applyNumberFormat="1" applyFont="1" applyFill="1" applyBorder="1"/>
    <xf numFmtId="164" fontId="18" fillId="0" borderId="0" xfId="1" applyNumberFormat="1" applyFont="1" applyFill="1" applyBorder="1" applyAlignment="1">
      <alignment horizontal="right"/>
    </xf>
    <xf numFmtId="0" fontId="18" fillId="0" borderId="0" xfId="1" applyFont="1" applyBorder="1"/>
    <xf numFmtId="3" fontId="18" fillId="0" borderId="0" xfId="1" applyNumberFormat="1" applyFont="1" applyBorder="1"/>
    <xf numFmtId="0" fontId="18" fillId="0" borderId="0" xfId="1" applyFont="1" applyBorder="1" applyAlignment="1">
      <alignment horizontal="center"/>
    </xf>
    <xf numFmtId="0" fontId="18" fillId="9" borderId="0" xfId="1" applyFont="1" applyFill="1" applyBorder="1"/>
    <xf numFmtId="0" fontId="1" fillId="12" borderId="0" xfId="1" applyFill="1" applyBorder="1" applyAlignment="1">
      <alignment horizontal="left"/>
    </xf>
    <xf numFmtId="0" fontId="1" fillId="12" borderId="0" xfId="1" applyFill="1"/>
    <xf numFmtId="164" fontId="1" fillId="12" borderId="0" xfId="1" applyNumberFormat="1" applyFill="1" applyBorder="1" applyAlignment="1">
      <alignment horizontal="center"/>
    </xf>
    <xf numFmtId="0" fontId="1" fillId="12" borderId="0" xfId="1" applyFill="1" applyBorder="1" applyAlignment="1">
      <alignment horizontal="right"/>
    </xf>
    <xf numFmtId="0" fontId="1" fillId="0" borderId="6" xfId="1" applyBorder="1"/>
    <xf numFmtId="0" fontId="1" fillId="0" borderId="7" xfId="1" applyBorder="1"/>
    <xf numFmtId="0" fontId="1" fillId="0" borderId="8" xfId="1" applyBorder="1"/>
    <xf numFmtId="0" fontId="1" fillId="0" borderId="5" xfId="1" applyBorder="1"/>
    <xf numFmtId="0" fontId="1" fillId="0" borderId="0" xfId="1" applyBorder="1"/>
    <xf numFmtId="0" fontId="4" fillId="0" borderId="0" xfId="1" applyFont="1" applyBorder="1" applyAlignment="1">
      <alignment horizontal="right"/>
    </xf>
    <xf numFmtId="0" fontId="4" fillId="0" borderId="0" xfId="1" applyFont="1" applyBorder="1"/>
    <xf numFmtId="0" fontId="1" fillId="0" borderId="9" xfId="1" applyFill="1" applyBorder="1"/>
    <xf numFmtId="0" fontId="1" fillId="0" borderId="5" xfId="1" applyFill="1" applyBorder="1"/>
    <xf numFmtId="0" fontId="1" fillId="0" borderId="0" xfId="1" applyFont="1" applyBorder="1" applyAlignment="1">
      <alignment horizontal="right"/>
    </xf>
    <xf numFmtId="0" fontId="1" fillId="0" borderId="0" xfId="1" applyFont="1" applyBorder="1"/>
    <xf numFmtId="0" fontId="2" fillId="0" borderId="0" xfId="1" applyFont="1" applyBorder="1" applyAlignment="1">
      <alignment horizontal="right"/>
    </xf>
    <xf numFmtId="0" fontId="1" fillId="0" borderId="0" xfId="1" applyBorder="1" applyAlignment="1">
      <alignment horizontal="right"/>
    </xf>
    <xf numFmtId="0" fontId="1" fillId="0" borderId="0" xfId="1" applyFont="1" applyBorder="1" applyAlignment="1">
      <alignment horizontal="left"/>
    </xf>
    <xf numFmtId="0" fontId="1" fillId="0" borderId="9" xfId="1" applyFont="1" applyFill="1" applyBorder="1" applyAlignment="1">
      <alignment horizontal="right"/>
    </xf>
    <xf numFmtId="0" fontId="2" fillId="0" borderId="9" xfId="1" applyFont="1" applyFill="1" applyBorder="1" applyAlignment="1">
      <alignment horizontal="center"/>
    </xf>
    <xf numFmtId="0" fontId="1" fillId="0" borderId="9" xfId="1" applyFont="1" applyFill="1" applyBorder="1" applyAlignment="1">
      <alignment horizontal="center"/>
    </xf>
    <xf numFmtId="0" fontId="1" fillId="0" borderId="9" xfId="1" applyFill="1" applyBorder="1" applyAlignment="1">
      <alignment horizontal="center"/>
    </xf>
    <xf numFmtId="0" fontId="1" fillId="0" borderId="9" xfId="1" applyBorder="1"/>
    <xf numFmtId="0" fontId="1" fillId="0" borderId="5" xfId="1" applyBorder="1" applyAlignment="1">
      <alignment horizontal="right"/>
    </xf>
    <xf numFmtId="0" fontId="1" fillId="0" borderId="10" xfId="1" applyFill="1" applyBorder="1" applyAlignment="1">
      <alignment horizontal="left"/>
    </xf>
    <xf numFmtId="0" fontId="1" fillId="0" borderId="11" xfId="1" applyBorder="1"/>
    <xf numFmtId="164" fontId="1" fillId="0" borderId="11" xfId="1" applyNumberFormat="1" applyFill="1" applyBorder="1" applyAlignment="1">
      <alignment horizontal="center"/>
    </xf>
    <xf numFmtId="0" fontId="1" fillId="0" borderId="11" xfId="1" applyFill="1" applyBorder="1" applyAlignment="1">
      <alignment horizontal="right"/>
    </xf>
    <xf numFmtId="0" fontId="1" fillId="0" borderId="12" xfId="1" applyBorder="1"/>
    <xf numFmtId="2" fontId="21" fillId="3" borderId="1" xfId="0" applyNumberFormat="1" applyFont="1" applyFill="1" applyBorder="1" applyAlignment="1">
      <alignment horizontal="center"/>
    </xf>
    <xf numFmtId="0" fontId="1" fillId="0" borderId="5" xfId="1" applyFont="1" applyBorder="1"/>
    <xf numFmtId="0" fontId="4" fillId="0" borderId="0" xfId="1" applyFont="1" applyBorder="1" applyAlignment="1">
      <alignment horizontal="right" vertical="top"/>
    </xf>
    <xf numFmtId="0" fontId="1" fillId="0" borderId="0" xfId="1" applyFont="1" applyBorder="1" applyAlignment="1">
      <alignment horizontal="left" vertical="top" wrapText="1"/>
    </xf>
    <xf numFmtId="0" fontId="1" fillId="0" borderId="9" xfId="1" applyFont="1" applyBorder="1"/>
    <xf numFmtId="0" fontId="1" fillId="0" borderId="5" xfId="1" applyFont="1" applyBorder="1" applyAlignment="1">
      <alignment horizontal="right"/>
    </xf>
    <xf numFmtId="0" fontId="4" fillId="0" borderId="5" xfId="1" applyFont="1" applyFill="1" applyBorder="1"/>
    <xf numFmtId="0" fontId="4" fillId="0" borderId="5" xfId="1" applyFont="1" applyBorder="1"/>
    <xf numFmtId="0" fontId="1" fillId="0" borderId="5" xfId="1" applyFont="1" applyFill="1" applyBorder="1" applyAlignment="1">
      <alignment horizontal="right"/>
    </xf>
    <xf numFmtId="0" fontId="1" fillId="0" borderId="5" xfId="1" applyFont="1" applyFill="1" applyBorder="1"/>
    <xf numFmtId="0" fontId="2" fillId="0" borderId="5" xfId="1" applyFont="1" applyFill="1" applyBorder="1" applyAlignment="1">
      <alignment horizontal="right"/>
    </xf>
    <xf numFmtId="0" fontId="15" fillId="0" borderId="0" xfId="0" applyFont="1" applyBorder="1"/>
    <xf numFmtId="0" fontId="1" fillId="0" borderId="10" xfId="1" applyFont="1" applyBorder="1"/>
    <xf numFmtId="0" fontId="1" fillId="0" borderId="11" xfId="1" applyFont="1" applyBorder="1"/>
    <xf numFmtId="0" fontId="1" fillId="0" borderId="12" xfId="1" applyFont="1" applyBorder="1"/>
    <xf numFmtId="0" fontId="0" fillId="12" borderId="1" xfId="0" applyFill="1" applyBorder="1"/>
    <xf numFmtId="0" fontId="0" fillId="12" borderId="0" xfId="0" applyFill="1"/>
    <xf numFmtId="164" fontId="5" fillId="0" borderId="0" xfId="0" applyNumberFormat="1" applyFont="1" applyBorder="1" applyAlignment="1" applyProtection="1">
      <alignment horizontal="center"/>
      <protection hidden="1"/>
    </xf>
    <xf numFmtId="1" fontId="5" fillId="0" borderId="1" xfId="0" applyNumberFormat="1" applyFont="1" applyBorder="1" applyAlignment="1" applyProtection="1">
      <alignment horizontal="center"/>
      <protection hidden="1"/>
    </xf>
    <xf numFmtId="9" fontId="5" fillId="0" borderId="1" xfId="2" applyNumberFormat="1" applyFont="1" applyBorder="1" applyAlignment="1" applyProtection="1">
      <alignment horizontal="center"/>
      <protection hidden="1"/>
    </xf>
    <xf numFmtId="9" fontId="5" fillId="0" borderId="0" xfId="0" applyNumberFormat="1" applyFont="1" applyProtection="1">
      <protection hidden="1"/>
    </xf>
    <xf numFmtId="165" fontId="5" fillId="4" borderId="1" xfId="0" applyNumberFormat="1" applyFont="1" applyFill="1" applyBorder="1" applyAlignment="1" applyProtection="1">
      <alignment horizontal="center"/>
      <protection hidden="1"/>
    </xf>
    <xf numFmtId="9" fontId="5" fillId="0" borderId="1" xfId="0" applyNumberFormat="1" applyFont="1" applyBorder="1" applyAlignment="1" applyProtection="1">
      <alignment horizontal="center"/>
      <protection hidden="1"/>
    </xf>
    <xf numFmtId="0" fontId="23" fillId="0" borderId="0" xfId="0" applyFont="1" applyProtection="1">
      <protection hidden="1"/>
    </xf>
    <xf numFmtId="0" fontId="6" fillId="0" borderId="0" xfId="0" applyFont="1" applyFill="1" applyBorder="1" applyAlignment="1" applyProtection="1">
      <alignment horizontal="center"/>
      <protection hidden="1"/>
    </xf>
    <xf numFmtId="164" fontId="6" fillId="0" borderId="0" xfId="0" applyNumberFormat="1" applyFont="1" applyFill="1" applyBorder="1" applyAlignment="1" applyProtection="1">
      <alignment horizontal="center"/>
      <protection hidden="1"/>
    </xf>
    <xf numFmtId="2" fontId="6" fillId="0" borderId="0" xfId="0" applyNumberFormat="1" applyFont="1" applyFill="1" applyBorder="1" applyAlignment="1" applyProtection="1">
      <alignment horizontal="center"/>
      <protection hidden="1"/>
    </xf>
    <xf numFmtId="0" fontId="6" fillId="0" borderId="0" xfId="0" applyFont="1" applyFill="1" applyProtection="1">
      <protection hidden="1"/>
    </xf>
    <xf numFmtId="0" fontId="6" fillId="0" borderId="0" xfId="0" applyFont="1" applyFill="1" applyBorder="1" applyProtection="1">
      <protection hidden="1"/>
    </xf>
    <xf numFmtId="0" fontId="6" fillId="0" borderId="0" xfId="0" applyFont="1" applyFill="1" applyAlignment="1" applyProtection="1">
      <alignment horizontal="center"/>
      <protection hidden="1"/>
    </xf>
    <xf numFmtId="0" fontId="7" fillId="0" borderId="0" xfId="0" applyFont="1" applyFill="1" applyBorder="1" applyAlignment="1" applyProtection="1">
      <alignment horizontal="center"/>
      <protection hidden="1"/>
    </xf>
    <xf numFmtId="166" fontId="6" fillId="0" borderId="0" xfId="0" applyNumberFormat="1" applyFont="1" applyFill="1" applyAlignment="1" applyProtection="1">
      <alignment horizontal="center"/>
      <protection hidden="1"/>
    </xf>
    <xf numFmtId="1" fontId="6" fillId="0" borderId="0" xfId="0" applyNumberFormat="1" applyFont="1" applyFill="1" applyBorder="1" applyAlignment="1" applyProtection="1">
      <alignment horizontal="center"/>
      <protection hidden="1"/>
    </xf>
    <xf numFmtId="166" fontId="6" fillId="0" borderId="0" xfId="0" applyNumberFormat="1" applyFont="1" applyFill="1" applyProtection="1">
      <protection hidden="1"/>
    </xf>
    <xf numFmtId="0" fontId="5" fillId="13" borderId="1" xfId="0" applyFont="1" applyFill="1" applyBorder="1" applyAlignment="1" applyProtection="1">
      <alignment horizontal="center"/>
      <protection hidden="1"/>
    </xf>
    <xf numFmtId="0" fontId="6" fillId="0" borderId="0" xfId="0" applyFont="1" applyFill="1" applyBorder="1" applyAlignment="1" applyProtection="1">
      <alignment horizontal="center" vertical="center"/>
      <protection hidden="1"/>
    </xf>
    <xf numFmtId="0" fontId="13" fillId="0" borderId="4" xfId="0" applyFont="1" applyBorder="1" applyAlignment="1">
      <alignment horizontal="center"/>
    </xf>
    <xf numFmtId="0" fontId="17" fillId="0" borderId="1" xfId="0" applyFont="1" applyBorder="1" applyAlignment="1">
      <alignment horizontal="left" vertical="top" wrapText="1"/>
    </xf>
    <xf numFmtId="0" fontId="20" fillId="0" borderId="0" xfId="1" applyFont="1" applyFill="1" applyBorder="1" applyAlignment="1">
      <alignment horizontal="center"/>
    </xf>
    <xf numFmtId="0" fontId="1" fillId="0" borderId="1" xfId="1" applyFont="1" applyBorder="1" applyAlignment="1">
      <alignment horizontal="left" vertical="top" wrapText="1"/>
    </xf>
    <xf numFmtId="0" fontId="0" fillId="0" borderId="3" xfId="0" applyBorder="1" applyAlignment="1">
      <alignment horizontal="center"/>
    </xf>
    <xf numFmtId="0" fontId="0" fillId="0" borderId="2" xfId="0" applyBorder="1" applyAlignment="1">
      <alignment horizontal="center"/>
    </xf>
    <xf numFmtId="0" fontId="0" fillId="0" borderId="1" xfId="0" applyBorder="1" applyAlignment="1">
      <alignment horizontal="center"/>
    </xf>
    <xf numFmtId="0" fontId="0" fillId="0" borderId="6" xfId="0" applyBorder="1" applyAlignment="1">
      <alignment horizontal="left" vertical="top" wrapText="1"/>
    </xf>
    <xf numFmtId="0" fontId="0" fillId="0" borderId="7" xfId="0" applyBorder="1" applyAlignment="1">
      <alignment horizontal="left" vertical="top" wrapText="1"/>
    </xf>
    <xf numFmtId="0" fontId="0" fillId="0" borderId="8" xfId="0" applyBorder="1" applyAlignment="1">
      <alignment horizontal="left" vertical="top" wrapText="1"/>
    </xf>
    <xf numFmtId="0" fontId="0" fillId="0" borderId="5" xfId="0" applyBorder="1" applyAlignment="1">
      <alignment horizontal="left" vertical="top" wrapText="1"/>
    </xf>
    <xf numFmtId="0" fontId="0" fillId="0" borderId="0" xfId="0" applyBorder="1" applyAlignment="1">
      <alignment horizontal="left" vertical="top" wrapText="1"/>
    </xf>
    <xf numFmtId="0" fontId="0" fillId="0" borderId="9" xfId="0" applyBorder="1" applyAlignment="1">
      <alignment horizontal="left" vertical="top" wrapText="1"/>
    </xf>
    <xf numFmtId="0" fontId="0" fillId="0" borderId="10" xfId="0" applyBorder="1" applyAlignment="1">
      <alignment horizontal="left" vertical="top" wrapText="1"/>
    </xf>
    <xf numFmtId="0" fontId="0" fillId="0" borderId="11" xfId="0" applyBorder="1" applyAlignment="1">
      <alignment horizontal="left" vertical="top" wrapText="1"/>
    </xf>
    <xf numFmtId="0" fontId="0" fillId="0" borderId="12" xfId="0" applyBorder="1" applyAlignment="1">
      <alignment horizontal="left" vertical="top" wrapText="1"/>
    </xf>
    <xf numFmtId="0" fontId="0" fillId="6" borderId="3" xfId="0" applyFill="1" applyBorder="1" applyAlignment="1">
      <alignment horizontal="center"/>
    </xf>
    <xf numFmtId="0" fontId="0" fillId="6" borderId="2" xfId="0" applyFill="1" applyBorder="1" applyAlignment="1">
      <alignment horizontal="center"/>
    </xf>
    <xf numFmtId="0" fontId="0" fillId="5" borderId="3" xfId="0" applyFill="1" applyBorder="1" applyAlignment="1">
      <alignment horizontal="center"/>
    </xf>
    <xf numFmtId="0" fontId="0" fillId="5" borderId="2" xfId="0" applyFill="1" applyBorder="1" applyAlignment="1">
      <alignment horizontal="center"/>
    </xf>
    <xf numFmtId="0" fontId="0" fillId="3" borderId="1" xfId="0" applyFill="1" applyBorder="1" applyAlignment="1">
      <alignment horizontal="center"/>
    </xf>
    <xf numFmtId="0" fontId="0" fillId="0" borderId="0" xfId="0" applyAlignment="1">
      <alignment horizontal="left" vertical="top" wrapText="1"/>
    </xf>
  </cellXfs>
  <cellStyles count="3">
    <cellStyle name="Normal" xfId="0" builtinId="0"/>
    <cellStyle name="Normal 2" xfId="1" xr:uid="{00000000-0005-0000-0000-000001000000}"/>
    <cellStyle name="Pourcentage" xfId="2" builtinId="5"/>
  </cellStyles>
  <dxfs count="1">
    <dxf>
      <font>
        <color rgb="FF006100"/>
      </font>
      <fill>
        <patternFill>
          <bgColor rgb="FFC6EFCE"/>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5.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6.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8.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Levey-Jennings</a:t>
            </a:r>
          </a:p>
        </c:rich>
      </c:tx>
      <c:overlay val="0"/>
    </c:title>
    <c:autoTitleDeleted val="0"/>
    <c:plotArea>
      <c:layout>
        <c:manualLayout>
          <c:layoutTarget val="inner"/>
          <c:xMode val="edge"/>
          <c:yMode val="edge"/>
          <c:x val="7.5437847316114165E-2"/>
          <c:y val="0.13278915750071069"/>
          <c:w val="0.82889230243702761"/>
          <c:h val="0.72123309524708823"/>
        </c:manualLayout>
      </c:layout>
      <c:scatterChart>
        <c:scatterStyle val="lineMarker"/>
        <c:varyColors val="0"/>
        <c:ser>
          <c:idx val="0"/>
          <c:order val="0"/>
          <c:xVal>
            <c:strRef>
              <c:f>'Levey Jennings'!$B$35:$B$387</c:f>
              <c:strCache>
                <c:ptCount val="17"/>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strCache>
            </c:strRef>
          </c:xVal>
          <c:yVal>
            <c:numRef>
              <c:f>'Levey Jennings'!$C$35:$C$387</c:f>
              <c:numCache>
                <c:formatCode>0.0000</c:formatCode>
                <c:ptCount val="353"/>
                <c:pt idx="0">
                  <c:v>54</c:v>
                </c:pt>
                <c:pt idx="1">
                  <c:v>52</c:v>
                </c:pt>
                <c:pt idx="2">
                  <c:v>51</c:v>
                </c:pt>
                <c:pt idx="3">
                  <c:v>53</c:v>
                </c:pt>
                <c:pt idx="4">
                  <c:v>50</c:v>
                </c:pt>
                <c:pt idx="5">
                  <c:v>50.5</c:v>
                </c:pt>
                <c:pt idx="6">
                  <c:v>50.1</c:v>
                </c:pt>
                <c:pt idx="7">
                  <c:v>49.7</c:v>
                </c:pt>
                <c:pt idx="8">
                  <c:v>49.3</c:v>
                </c:pt>
                <c:pt idx="9">
                  <c:v>48.9</c:v>
                </c:pt>
                <c:pt idx="10">
                  <c:v>48.5</c:v>
                </c:pt>
                <c:pt idx="11">
                  <c:v>48.1</c:v>
                </c:pt>
                <c:pt idx="12">
                  <c:v>47.7</c:v>
                </c:pt>
                <c:pt idx="13">
                  <c:v>47.3</c:v>
                </c:pt>
                <c:pt idx="14">
                  <c:v>46.9</c:v>
                </c:pt>
                <c:pt idx="15">
                  <c:v>46.5</c:v>
                </c:pt>
                <c:pt idx="16">
                  <c:v>46.1</c:v>
                </c:pt>
              </c:numCache>
            </c:numRef>
          </c:yVal>
          <c:smooth val="0"/>
          <c:extLst>
            <c:ext xmlns:c16="http://schemas.microsoft.com/office/drawing/2014/chart" uri="{C3380CC4-5D6E-409C-BE32-E72D297353CC}">
              <c16:uniqueId val="{00000000-BDAD-4013-9EEB-B3D06E19465F}"/>
            </c:ext>
          </c:extLst>
        </c:ser>
        <c:ser>
          <c:idx val="1"/>
          <c:order val="1"/>
          <c:spPr>
            <a:ln>
              <a:solidFill>
                <a:srgbClr val="00B0F0"/>
              </a:solidFill>
              <a:prstDash val="dash"/>
            </a:ln>
          </c:spPr>
          <c:marker>
            <c:symbol val="none"/>
          </c:marker>
          <c:xVal>
            <c:strRef>
              <c:f>'Levey Jennings'!$B$35:$B$387</c:f>
              <c:strCache>
                <c:ptCount val="17"/>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strCache>
            </c:strRef>
          </c:xVal>
          <c:yVal>
            <c:numRef>
              <c:f>'Levey Jennings'!$I$35:$I$386</c:f>
              <c:numCache>
                <c:formatCode>0.000</c:formatCode>
                <c:ptCount val="352"/>
                <c:pt idx="0">
                  <c:v>53.893722145136735</c:v>
                </c:pt>
                <c:pt idx="1">
                  <c:v>53.893722145136735</c:v>
                </c:pt>
                <c:pt idx="2">
                  <c:v>53.893722145136735</c:v>
                </c:pt>
                <c:pt idx="3">
                  <c:v>53.893722145136735</c:v>
                </c:pt>
                <c:pt idx="4">
                  <c:v>53.893722145136735</c:v>
                </c:pt>
                <c:pt idx="5">
                  <c:v>53.893722145136735</c:v>
                </c:pt>
                <c:pt idx="6">
                  <c:v>53.893722145136735</c:v>
                </c:pt>
                <c:pt idx="7">
                  <c:v>53.893722145136735</c:v>
                </c:pt>
                <c:pt idx="8">
                  <c:v>53.893722145136735</c:v>
                </c:pt>
                <c:pt idx="9">
                  <c:v>53.893722145136735</c:v>
                </c:pt>
                <c:pt idx="10">
                  <c:v>53.893722145136735</c:v>
                </c:pt>
                <c:pt idx="11">
                  <c:v>53.893722145136735</c:v>
                </c:pt>
                <c:pt idx="12">
                  <c:v>53.893722145136735</c:v>
                </c:pt>
                <c:pt idx="13">
                  <c:v>53.893722145136735</c:v>
                </c:pt>
                <c:pt idx="14">
                  <c:v>53.893722145136735</c:v>
                </c:pt>
                <c:pt idx="15">
                  <c:v>53.893722145136735</c:v>
                </c:pt>
                <c:pt idx="16">
                  <c:v>53.893722145136735</c:v>
                </c:pt>
                <c:pt idx="17">
                  <c:v>53.893722145136735</c:v>
                </c:pt>
                <c:pt idx="18">
                  <c:v>53.893722145136735</c:v>
                </c:pt>
                <c:pt idx="19">
                  <c:v>53.893722145136735</c:v>
                </c:pt>
                <c:pt idx="20">
                  <c:v>53.893722145136735</c:v>
                </c:pt>
                <c:pt idx="21">
                  <c:v>53.893722145136735</c:v>
                </c:pt>
                <c:pt idx="22">
                  <c:v>53.893722145136735</c:v>
                </c:pt>
                <c:pt idx="23">
                  <c:v>53.893722145136735</c:v>
                </c:pt>
                <c:pt idx="24">
                  <c:v>53.893722145136735</c:v>
                </c:pt>
                <c:pt idx="25">
                  <c:v>53.893722145136735</c:v>
                </c:pt>
                <c:pt idx="26">
                  <c:v>53.893722145136735</c:v>
                </c:pt>
                <c:pt idx="27">
                  <c:v>53.893722145136735</c:v>
                </c:pt>
                <c:pt idx="28">
                  <c:v>53.893722145136735</c:v>
                </c:pt>
                <c:pt idx="29">
                  <c:v>53.893722145136735</c:v>
                </c:pt>
                <c:pt idx="30">
                  <c:v>53.893722145136735</c:v>
                </c:pt>
                <c:pt idx="31">
                  <c:v>53.893722145136735</c:v>
                </c:pt>
                <c:pt idx="32">
                  <c:v>53.893722145136735</c:v>
                </c:pt>
                <c:pt idx="33">
                  <c:v>53.893722145136735</c:v>
                </c:pt>
                <c:pt idx="34">
                  <c:v>53.893722145136735</c:v>
                </c:pt>
                <c:pt idx="35">
                  <c:v>53.893722145136735</c:v>
                </c:pt>
                <c:pt idx="36">
                  <c:v>53.893722145136735</c:v>
                </c:pt>
                <c:pt idx="37">
                  <c:v>53.893722145136735</c:v>
                </c:pt>
                <c:pt idx="38">
                  <c:v>53.893722145136735</c:v>
                </c:pt>
                <c:pt idx="39">
                  <c:v>53.893722145136735</c:v>
                </c:pt>
                <c:pt idx="40">
                  <c:v>53.893722145136735</c:v>
                </c:pt>
                <c:pt idx="41">
                  <c:v>53.893722145136735</c:v>
                </c:pt>
                <c:pt idx="42">
                  <c:v>53.893722145136735</c:v>
                </c:pt>
                <c:pt idx="43">
                  <c:v>53.893722145136735</c:v>
                </c:pt>
                <c:pt idx="44">
                  <c:v>53.893722145136735</c:v>
                </c:pt>
                <c:pt idx="45">
                  <c:v>53.893722145136735</c:v>
                </c:pt>
                <c:pt idx="46">
                  <c:v>53.893722145136735</c:v>
                </c:pt>
                <c:pt idx="47">
                  <c:v>53.893722145136735</c:v>
                </c:pt>
                <c:pt idx="48">
                  <c:v>53.893722145136735</c:v>
                </c:pt>
                <c:pt idx="49">
                  <c:v>53.893722145136735</c:v>
                </c:pt>
                <c:pt idx="50">
                  <c:v>53.893722145136735</c:v>
                </c:pt>
                <c:pt idx="51">
                  <c:v>53.893722145136735</c:v>
                </c:pt>
                <c:pt idx="52">
                  <c:v>53.893722145136735</c:v>
                </c:pt>
                <c:pt idx="53">
                  <c:v>53.893722145136735</c:v>
                </c:pt>
                <c:pt idx="54">
                  <c:v>53.893722145136735</c:v>
                </c:pt>
                <c:pt idx="55">
                  <c:v>53.893722145136735</c:v>
                </c:pt>
                <c:pt idx="56">
                  <c:v>53.893722145136735</c:v>
                </c:pt>
                <c:pt idx="57">
                  <c:v>53.893722145136735</c:v>
                </c:pt>
                <c:pt idx="58">
                  <c:v>53.893722145136735</c:v>
                </c:pt>
                <c:pt idx="59">
                  <c:v>53.893722145136735</c:v>
                </c:pt>
                <c:pt idx="60">
                  <c:v>53.893722145136735</c:v>
                </c:pt>
                <c:pt idx="61">
                  <c:v>53.893722145136735</c:v>
                </c:pt>
                <c:pt idx="62">
                  <c:v>53.893722145136735</c:v>
                </c:pt>
                <c:pt idx="63">
                  <c:v>53.893722145136735</c:v>
                </c:pt>
                <c:pt idx="64">
                  <c:v>53.893722145136735</c:v>
                </c:pt>
                <c:pt idx="65">
                  <c:v>53.893722145136735</c:v>
                </c:pt>
                <c:pt idx="66">
                  <c:v>53.893722145136735</c:v>
                </c:pt>
                <c:pt idx="67">
                  <c:v>53.893722145136735</c:v>
                </c:pt>
                <c:pt idx="68">
                  <c:v>53.893722145136735</c:v>
                </c:pt>
                <c:pt idx="69">
                  <c:v>53.893722145136735</c:v>
                </c:pt>
                <c:pt idx="70">
                  <c:v>53.893722145136735</c:v>
                </c:pt>
                <c:pt idx="71">
                  <c:v>53.893722145136735</c:v>
                </c:pt>
                <c:pt idx="72">
                  <c:v>53.893722145136735</c:v>
                </c:pt>
                <c:pt idx="73">
                  <c:v>53.893722145136735</c:v>
                </c:pt>
                <c:pt idx="74">
                  <c:v>53.893722145136735</c:v>
                </c:pt>
                <c:pt idx="75">
                  <c:v>53.893722145136735</c:v>
                </c:pt>
                <c:pt idx="76">
                  <c:v>53.893722145136735</c:v>
                </c:pt>
                <c:pt idx="77">
                  <c:v>53.893722145136735</c:v>
                </c:pt>
                <c:pt idx="78">
                  <c:v>53.893722145136735</c:v>
                </c:pt>
                <c:pt idx="79">
                  <c:v>53.893722145136735</c:v>
                </c:pt>
                <c:pt idx="80">
                  <c:v>53.893722145136735</c:v>
                </c:pt>
                <c:pt idx="81">
                  <c:v>53.893722145136735</c:v>
                </c:pt>
                <c:pt idx="82">
                  <c:v>53.893722145136735</c:v>
                </c:pt>
                <c:pt idx="83">
                  <c:v>53.893722145136735</c:v>
                </c:pt>
                <c:pt idx="84">
                  <c:v>53.893722145136735</c:v>
                </c:pt>
                <c:pt idx="85">
                  <c:v>53.893722145136735</c:v>
                </c:pt>
                <c:pt idx="86">
                  <c:v>53.893722145136735</c:v>
                </c:pt>
                <c:pt idx="87">
                  <c:v>53.893722145136735</c:v>
                </c:pt>
                <c:pt idx="88">
                  <c:v>53.893722145136735</c:v>
                </c:pt>
                <c:pt idx="89">
                  <c:v>53.893722145136735</c:v>
                </c:pt>
                <c:pt idx="90">
                  <c:v>53.893722145136735</c:v>
                </c:pt>
                <c:pt idx="91">
                  <c:v>53.893722145136735</c:v>
                </c:pt>
                <c:pt idx="92">
                  <c:v>53.893722145136735</c:v>
                </c:pt>
                <c:pt idx="93">
                  <c:v>53.893722145136735</c:v>
                </c:pt>
                <c:pt idx="94">
                  <c:v>53.893722145136735</c:v>
                </c:pt>
                <c:pt idx="95">
                  <c:v>53.893722145136735</c:v>
                </c:pt>
                <c:pt idx="96">
                  <c:v>53.893722145136735</c:v>
                </c:pt>
                <c:pt idx="97">
                  <c:v>53.893722145136735</c:v>
                </c:pt>
                <c:pt idx="98">
                  <c:v>53.893722145136735</c:v>
                </c:pt>
                <c:pt idx="99">
                  <c:v>53.893722145136735</c:v>
                </c:pt>
                <c:pt idx="100">
                  <c:v>53.893722145136735</c:v>
                </c:pt>
                <c:pt idx="101">
                  <c:v>53.893722145136735</c:v>
                </c:pt>
                <c:pt idx="102">
                  <c:v>53.893722145136735</c:v>
                </c:pt>
                <c:pt idx="103">
                  <c:v>53.893722145136735</c:v>
                </c:pt>
                <c:pt idx="104">
                  <c:v>53.893722145136735</c:v>
                </c:pt>
                <c:pt idx="105">
                  <c:v>53.893722145136735</c:v>
                </c:pt>
                <c:pt idx="106">
                  <c:v>53.893722145136735</c:v>
                </c:pt>
                <c:pt idx="107">
                  <c:v>53.893722145136735</c:v>
                </c:pt>
                <c:pt idx="108">
                  <c:v>53.893722145136735</c:v>
                </c:pt>
                <c:pt idx="109">
                  <c:v>53.893722145136735</c:v>
                </c:pt>
                <c:pt idx="110">
                  <c:v>53.893722145136735</c:v>
                </c:pt>
                <c:pt idx="111">
                  <c:v>53.893722145136735</c:v>
                </c:pt>
                <c:pt idx="112">
                  <c:v>53.893722145136735</c:v>
                </c:pt>
                <c:pt idx="113">
                  <c:v>53.893722145136735</c:v>
                </c:pt>
                <c:pt idx="114">
                  <c:v>53.893722145136735</c:v>
                </c:pt>
                <c:pt idx="115">
                  <c:v>53.893722145136735</c:v>
                </c:pt>
                <c:pt idx="116">
                  <c:v>53.893722145136735</c:v>
                </c:pt>
                <c:pt idx="117">
                  <c:v>53.893722145136735</c:v>
                </c:pt>
                <c:pt idx="118">
                  <c:v>53.893722145136735</c:v>
                </c:pt>
                <c:pt idx="119">
                  <c:v>53.893722145136735</c:v>
                </c:pt>
                <c:pt idx="120">
                  <c:v>53.893722145136735</c:v>
                </c:pt>
                <c:pt idx="121">
                  <c:v>53.893722145136735</c:v>
                </c:pt>
                <c:pt idx="122">
                  <c:v>53.893722145136735</c:v>
                </c:pt>
                <c:pt idx="123">
                  <c:v>53.893722145136735</c:v>
                </c:pt>
                <c:pt idx="124">
                  <c:v>53.893722145136735</c:v>
                </c:pt>
                <c:pt idx="125">
                  <c:v>53.893722145136735</c:v>
                </c:pt>
                <c:pt idx="126">
                  <c:v>53.893722145136735</c:v>
                </c:pt>
                <c:pt idx="127">
                  <c:v>53.893722145136735</c:v>
                </c:pt>
                <c:pt idx="128">
                  <c:v>53.893722145136735</c:v>
                </c:pt>
                <c:pt idx="129">
                  <c:v>53.893722145136735</c:v>
                </c:pt>
                <c:pt idx="130">
                  <c:v>53.893722145136735</c:v>
                </c:pt>
                <c:pt idx="131">
                  <c:v>53.893722145136735</c:v>
                </c:pt>
                <c:pt idx="132">
                  <c:v>53.893722145136735</c:v>
                </c:pt>
                <c:pt idx="133">
                  <c:v>53.893722145136735</c:v>
                </c:pt>
                <c:pt idx="134">
                  <c:v>53.893722145136735</c:v>
                </c:pt>
                <c:pt idx="135">
                  <c:v>53.893722145136735</c:v>
                </c:pt>
                <c:pt idx="136">
                  <c:v>53.893722145136735</c:v>
                </c:pt>
                <c:pt idx="137">
                  <c:v>53.893722145136735</c:v>
                </c:pt>
                <c:pt idx="138">
                  <c:v>53.893722145136735</c:v>
                </c:pt>
                <c:pt idx="139">
                  <c:v>53.893722145136735</c:v>
                </c:pt>
                <c:pt idx="140">
                  <c:v>53.893722145136735</c:v>
                </c:pt>
                <c:pt idx="141">
                  <c:v>53.893722145136735</c:v>
                </c:pt>
                <c:pt idx="142">
                  <c:v>53.893722145136735</c:v>
                </c:pt>
                <c:pt idx="143">
                  <c:v>53.893722145136735</c:v>
                </c:pt>
                <c:pt idx="144">
                  <c:v>53.893722145136735</c:v>
                </c:pt>
                <c:pt idx="145">
                  <c:v>53.893722145136735</c:v>
                </c:pt>
                <c:pt idx="146">
                  <c:v>53.893722145136735</c:v>
                </c:pt>
                <c:pt idx="147">
                  <c:v>53.893722145136735</c:v>
                </c:pt>
                <c:pt idx="148">
                  <c:v>53.893722145136735</c:v>
                </c:pt>
                <c:pt idx="149">
                  <c:v>53.893722145136735</c:v>
                </c:pt>
                <c:pt idx="150">
                  <c:v>53.893722145136735</c:v>
                </c:pt>
                <c:pt idx="151">
                  <c:v>53.893722145136735</c:v>
                </c:pt>
                <c:pt idx="152">
                  <c:v>53.893722145136735</c:v>
                </c:pt>
                <c:pt idx="153">
                  <c:v>53.893722145136735</c:v>
                </c:pt>
                <c:pt idx="154">
                  <c:v>53.893722145136735</c:v>
                </c:pt>
                <c:pt idx="155">
                  <c:v>53.893722145136735</c:v>
                </c:pt>
                <c:pt idx="156">
                  <c:v>53.893722145136735</c:v>
                </c:pt>
                <c:pt idx="157">
                  <c:v>53.893722145136735</c:v>
                </c:pt>
                <c:pt idx="158">
                  <c:v>53.893722145136735</c:v>
                </c:pt>
                <c:pt idx="159">
                  <c:v>53.893722145136735</c:v>
                </c:pt>
                <c:pt idx="160">
                  <c:v>53.893722145136735</c:v>
                </c:pt>
                <c:pt idx="161">
                  <c:v>53.893722145136735</c:v>
                </c:pt>
                <c:pt idx="162">
                  <c:v>53.893722145136735</c:v>
                </c:pt>
                <c:pt idx="163">
                  <c:v>53.893722145136735</c:v>
                </c:pt>
                <c:pt idx="164">
                  <c:v>53.893722145136735</c:v>
                </c:pt>
                <c:pt idx="165">
                  <c:v>53.893722145136735</c:v>
                </c:pt>
                <c:pt idx="166">
                  <c:v>53.893722145136735</c:v>
                </c:pt>
                <c:pt idx="167">
                  <c:v>53.893722145136735</c:v>
                </c:pt>
                <c:pt idx="168">
                  <c:v>53.893722145136735</c:v>
                </c:pt>
                <c:pt idx="169">
                  <c:v>53.893722145136735</c:v>
                </c:pt>
                <c:pt idx="170">
                  <c:v>53.893722145136735</c:v>
                </c:pt>
                <c:pt idx="171">
                  <c:v>53.893722145136735</c:v>
                </c:pt>
                <c:pt idx="172">
                  <c:v>53.893722145136735</c:v>
                </c:pt>
                <c:pt idx="173">
                  <c:v>53.893722145136735</c:v>
                </c:pt>
                <c:pt idx="174">
                  <c:v>53.893722145136735</c:v>
                </c:pt>
                <c:pt idx="175">
                  <c:v>53.893722145136735</c:v>
                </c:pt>
                <c:pt idx="176">
                  <c:v>53.893722145136735</c:v>
                </c:pt>
                <c:pt idx="177">
                  <c:v>53.893722145136735</c:v>
                </c:pt>
                <c:pt idx="178">
                  <c:v>53.893722145136735</c:v>
                </c:pt>
                <c:pt idx="179">
                  <c:v>53.893722145136735</c:v>
                </c:pt>
                <c:pt idx="180">
                  <c:v>53.893722145136735</c:v>
                </c:pt>
                <c:pt idx="181">
                  <c:v>53.893722145136735</c:v>
                </c:pt>
                <c:pt idx="182">
                  <c:v>53.893722145136735</c:v>
                </c:pt>
                <c:pt idx="183">
                  <c:v>53.893722145136735</c:v>
                </c:pt>
                <c:pt idx="184">
                  <c:v>53.893722145136735</c:v>
                </c:pt>
                <c:pt idx="185">
                  <c:v>53.893722145136735</c:v>
                </c:pt>
                <c:pt idx="186">
                  <c:v>53.893722145136735</c:v>
                </c:pt>
                <c:pt idx="187">
                  <c:v>53.893722145136735</c:v>
                </c:pt>
                <c:pt idx="188">
                  <c:v>53.893722145136735</c:v>
                </c:pt>
                <c:pt idx="189">
                  <c:v>53.893722145136735</c:v>
                </c:pt>
                <c:pt idx="190">
                  <c:v>53.893722145136735</c:v>
                </c:pt>
                <c:pt idx="191">
                  <c:v>53.893722145136735</c:v>
                </c:pt>
                <c:pt idx="192">
                  <c:v>53.893722145136735</c:v>
                </c:pt>
                <c:pt idx="193">
                  <c:v>53.893722145136735</c:v>
                </c:pt>
                <c:pt idx="194">
                  <c:v>53.893722145136735</c:v>
                </c:pt>
                <c:pt idx="195">
                  <c:v>53.893722145136735</c:v>
                </c:pt>
                <c:pt idx="196">
                  <c:v>53.893722145136735</c:v>
                </c:pt>
                <c:pt idx="197">
                  <c:v>53.893722145136735</c:v>
                </c:pt>
                <c:pt idx="198">
                  <c:v>53.893722145136735</c:v>
                </c:pt>
                <c:pt idx="199">
                  <c:v>53.893722145136735</c:v>
                </c:pt>
                <c:pt idx="200">
                  <c:v>53.893722145136735</c:v>
                </c:pt>
                <c:pt idx="201">
                  <c:v>53.893722145136735</c:v>
                </c:pt>
                <c:pt idx="202">
                  <c:v>53.893722145136735</c:v>
                </c:pt>
                <c:pt idx="203">
                  <c:v>53.893722145136735</c:v>
                </c:pt>
                <c:pt idx="204">
                  <c:v>53.893722145136735</c:v>
                </c:pt>
                <c:pt idx="205">
                  <c:v>53.893722145136735</c:v>
                </c:pt>
                <c:pt idx="206">
                  <c:v>53.893722145136735</c:v>
                </c:pt>
                <c:pt idx="207">
                  <c:v>53.893722145136735</c:v>
                </c:pt>
                <c:pt idx="208">
                  <c:v>53.893722145136735</c:v>
                </c:pt>
                <c:pt idx="209">
                  <c:v>53.893722145136735</c:v>
                </c:pt>
                <c:pt idx="210">
                  <c:v>53.893722145136735</c:v>
                </c:pt>
                <c:pt idx="211">
                  <c:v>53.893722145136735</c:v>
                </c:pt>
                <c:pt idx="212">
                  <c:v>53.893722145136735</c:v>
                </c:pt>
                <c:pt idx="213">
                  <c:v>53.893722145136735</c:v>
                </c:pt>
                <c:pt idx="214">
                  <c:v>53.893722145136735</c:v>
                </c:pt>
                <c:pt idx="215">
                  <c:v>53.893722145136735</c:v>
                </c:pt>
                <c:pt idx="216">
                  <c:v>53.893722145136735</c:v>
                </c:pt>
                <c:pt idx="217">
                  <c:v>53.893722145136735</c:v>
                </c:pt>
                <c:pt idx="218">
                  <c:v>53.893722145136735</c:v>
                </c:pt>
                <c:pt idx="219">
                  <c:v>53.893722145136735</c:v>
                </c:pt>
                <c:pt idx="220">
                  <c:v>53.893722145136735</c:v>
                </c:pt>
                <c:pt idx="221">
                  <c:v>53.893722145136735</c:v>
                </c:pt>
                <c:pt idx="222">
                  <c:v>53.893722145136735</c:v>
                </c:pt>
                <c:pt idx="223">
                  <c:v>53.893722145136735</c:v>
                </c:pt>
                <c:pt idx="224">
                  <c:v>53.893722145136735</c:v>
                </c:pt>
                <c:pt idx="225">
                  <c:v>53.893722145136735</c:v>
                </c:pt>
                <c:pt idx="226">
                  <c:v>53.893722145136735</c:v>
                </c:pt>
                <c:pt idx="227">
                  <c:v>53.893722145136735</c:v>
                </c:pt>
                <c:pt idx="228">
                  <c:v>53.893722145136735</c:v>
                </c:pt>
                <c:pt idx="229">
                  <c:v>53.893722145136735</c:v>
                </c:pt>
                <c:pt idx="230">
                  <c:v>53.893722145136735</c:v>
                </c:pt>
                <c:pt idx="231">
                  <c:v>53.893722145136735</c:v>
                </c:pt>
                <c:pt idx="232">
                  <c:v>53.893722145136735</c:v>
                </c:pt>
                <c:pt idx="233">
                  <c:v>53.893722145136735</c:v>
                </c:pt>
                <c:pt idx="234">
                  <c:v>53.893722145136735</c:v>
                </c:pt>
                <c:pt idx="235">
                  <c:v>53.893722145136735</c:v>
                </c:pt>
                <c:pt idx="236">
                  <c:v>53.893722145136735</c:v>
                </c:pt>
                <c:pt idx="237">
                  <c:v>53.893722145136735</c:v>
                </c:pt>
                <c:pt idx="238">
                  <c:v>53.893722145136735</c:v>
                </c:pt>
                <c:pt idx="239">
                  <c:v>53.893722145136735</c:v>
                </c:pt>
                <c:pt idx="240">
                  <c:v>53.893722145136735</c:v>
                </c:pt>
                <c:pt idx="241">
                  <c:v>53.893722145136735</c:v>
                </c:pt>
                <c:pt idx="242">
                  <c:v>53.893722145136735</c:v>
                </c:pt>
                <c:pt idx="243">
                  <c:v>53.893722145136735</c:v>
                </c:pt>
                <c:pt idx="244">
                  <c:v>53.893722145136735</c:v>
                </c:pt>
                <c:pt idx="245">
                  <c:v>53.893722145136735</c:v>
                </c:pt>
                <c:pt idx="246">
                  <c:v>53.893722145136735</c:v>
                </c:pt>
                <c:pt idx="247">
                  <c:v>53.893722145136735</c:v>
                </c:pt>
                <c:pt idx="248">
                  <c:v>53.893722145136735</c:v>
                </c:pt>
                <c:pt idx="249">
                  <c:v>53.893722145136735</c:v>
                </c:pt>
                <c:pt idx="250">
                  <c:v>53.893722145136735</c:v>
                </c:pt>
                <c:pt idx="251">
                  <c:v>53.893722145136735</c:v>
                </c:pt>
                <c:pt idx="252">
                  <c:v>53.893722145136735</c:v>
                </c:pt>
                <c:pt idx="253">
                  <c:v>53.893722145136735</c:v>
                </c:pt>
                <c:pt idx="254">
                  <c:v>53.893722145136735</c:v>
                </c:pt>
                <c:pt idx="255">
                  <c:v>53.893722145136735</c:v>
                </c:pt>
                <c:pt idx="256">
                  <c:v>53.893722145136735</c:v>
                </c:pt>
                <c:pt idx="257">
                  <c:v>53.893722145136735</c:v>
                </c:pt>
                <c:pt idx="258">
                  <c:v>53.893722145136735</c:v>
                </c:pt>
                <c:pt idx="259">
                  <c:v>53.893722145136735</c:v>
                </c:pt>
                <c:pt idx="260">
                  <c:v>53.893722145136735</c:v>
                </c:pt>
                <c:pt idx="261">
                  <c:v>53.893722145136735</c:v>
                </c:pt>
                <c:pt idx="262">
                  <c:v>53.893722145136735</c:v>
                </c:pt>
                <c:pt idx="263">
                  <c:v>53.893722145136735</c:v>
                </c:pt>
                <c:pt idx="264">
                  <c:v>53.893722145136735</c:v>
                </c:pt>
                <c:pt idx="265">
                  <c:v>53.893722145136735</c:v>
                </c:pt>
                <c:pt idx="266">
                  <c:v>53.893722145136735</c:v>
                </c:pt>
                <c:pt idx="267">
                  <c:v>53.893722145136735</c:v>
                </c:pt>
                <c:pt idx="268">
                  <c:v>53.893722145136735</c:v>
                </c:pt>
                <c:pt idx="269">
                  <c:v>53.893722145136735</c:v>
                </c:pt>
                <c:pt idx="270">
                  <c:v>53.893722145136735</c:v>
                </c:pt>
                <c:pt idx="271">
                  <c:v>53.893722145136735</c:v>
                </c:pt>
                <c:pt idx="272">
                  <c:v>53.893722145136735</c:v>
                </c:pt>
                <c:pt idx="273">
                  <c:v>53.893722145136735</c:v>
                </c:pt>
                <c:pt idx="274">
                  <c:v>53.893722145136735</c:v>
                </c:pt>
                <c:pt idx="275">
                  <c:v>53.893722145136735</c:v>
                </c:pt>
                <c:pt idx="276">
                  <c:v>53.893722145136735</c:v>
                </c:pt>
                <c:pt idx="277">
                  <c:v>53.893722145136735</c:v>
                </c:pt>
                <c:pt idx="278">
                  <c:v>53.893722145136735</c:v>
                </c:pt>
                <c:pt idx="279">
                  <c:v>53.893722145136735</c:v>
                </c:pt>
                <c:pt idx="280">
                  <c:v>53.893722145136735</c:v>
                </c:pt>
                <c:pt idx="281">
                  <c:v>53.893722145136735</c:v>
                </c:pt>
                <c:pt idx="282">
                  <c:v>53.893722145136735</c:v>
                </c:pt>
                <c:pt idx="283">
                  <c:v>53.893722145136735</c:v>
                </c:pt>
                <c:pt idx="284">
                  <c:v>53.893722145136735</c:v>
                </c:pt>
                <c:pt idx="285">
                  <c:v>53.893722145136735</c:v>
                </c:pt>
                <c:pt idx="286">
                  <c:v>53.893722145136735</c:v>
                </c:pt>
                <c:pt idx="287">
                  <c:v>53.893722145136735</c:v>
                </c:pt>
                <c:pt idx="288">
                  <c:v>53.893722145136735</c:v>
                </c:pt>
                <c:pt idx="289">
                  <c:v>53.893722145136735</c:v>
                </c:pt>
                <c:pt idx="290">
                  <c:v>53.893722145136735</c:v>
                </c:pt>
                <c:pt idx="291">
                  <c:v>53.893722145136735</c:v>
                </c:pt>
                <c:pt idx="292">
                  <c:v>53.893722145136735</c:v>
                </c:pt>
                <c:pt idx="293">
                  <c:v>53.893722145136735</c:v>
                </c:pt>
                <c:pt idx="294">
                  <c:v>53.893722145136735</c:v>
                </c:pt>
                <c:pt idx="295">
                  <c:v>53.893722145136735</c:v>
                </c:pt>
                <c:pt idx="296">
                  <c:v>53.893722145136735</c:v>
                </c:pt>
                <c:pt idx="297">
                  <c:v>53.893722145136735</c:v>
                </c:pt>
                <c:pt idx="298">
                  <c:v>53.893722145136735</c:v>
                </c:pt>
                <c:pt idx="299">
                  <c:v>53.893722145136735</c:v>
                </c:pt>
                <c:pt idx="300">
                  <c:v>53.893722145136735</c:v>
                </c:pt>
                <c:pt idx="301">
                  <c:v>53.893722145136735</c:v>
                </c:pt>
                <c:pt idx="302">
                  <c:v>53.893722145136735</c:v>
                </c:pt>
                <c:pt idx="303">
                  <c:v>53.893722145136735</c:v>
                </c:pt>
                <c:pt idx="304">
                  <c:v>53.893722145136735</c:v>
                </c:pt>
                <c:pt idx="305">
                  <c:v>53.893722145136735</c:v>
                </c:pt>
                <c:pt idx="306">
                  <c:v>53.893722145136735</c:v>
                </c:pt>
                <c:pt idx="307">
                  <c:v>53.893722145136735</c:v>
                </c:pt>
                <c:pt idx="308">
                  <c:v>53.893722145136735</c:v>
                </c:pt>
                <c:pt idx="309">
                  <c:v>53.893722145136735</c:v>
                </c:pt>
                <c:pt idx="310">
                  <c:v>53.893722145136735</c:v>
                </c:pt>
                <c:pt idx="311">
                  <c:v>53.893722145136735</c:v>
                </c:pt>
                <c:pt idx="312">
                  <c:v>53.893722145136735</c:v>
                </c:pt>
                <c:pt idx="313">
                  <c:v>53.893722145136735</c:v>
                </c:pt>
                <c:pt idx="314">
                  <c:v>53.893722145136735</c:v>
                </c:pt>
                <c:pt idx="315">
                  <c:v>53.893722145136735</c:v>
                </c:pt>
                <c:pt idx="316">
                  <c:v>53.893722145136735</c:v>
                </c:pt>
                <c:pt idx="317">
                  <c:v>53.893722145136735</c:v>
                </c:pt>
                <c:pt idx="318">
                  <c:v>53.893722145136735</c:v>
                </c:pt>
                <c:pt idx="319">
                  <c:v>53.893722145136735</c:v>
                </c:pt>
                <c:pt idx="320">
                  <c:v>53.893722145136735</c:v>
                </c:pt>
                <c:pt idx="321">
                  <c:v>53.893722145136735</c:v>
                </c:pt>
                <c:pt idx="322">
                  <c:v>53.893722145136735</c:v>
                </c:pt>
                <c:pt idx="323">
                  <c:v>53.893722145136735</c:v>
                </c:pt>
                <c:pt idx="324">
                  <c:v>53.893722145136735</c:v>
                </c:pt>
                <c:pt idx="325">
                  <c:v>53.893722145136735</c:v>
                </c:pt>
                <c:pt idx="326">
                  <c:v>53.893722145136735</c:v>
                </c:pt>
                <c:pt idx="327">
                  <c:v>53.893722145136735</c:v>
                </c:pt>
                <c:pt idx="328">
                  <c:v>53.893722145136735</c:v>
                </c:pt>
                <c:pt idx="329">
                  <c:v>53.893722145136735</c:v>
                </c:pt>
                <c:pt idx="330">
                  <c:v>53.893722145136735</c:v>
                </c:pt>
                <c:pt idx="331">
                  <c:v>53.893722145136735</c:v>
                </c:pt>
                <c:pt idx="332">
                  <c:v>53.893722145136735</c:v>
                </c:pt>
                <c:pt idx="333">
                  <c:v>53.893722145136735</c:v>
                </c:pt>
                <c:pt idx="334">
                  <c:v>53.893722145136735</c:v>
                </c:pt>
                <c:pt idx="335">
                  <c:v>53.893722145136735</c:v>
                </c:pt>
                <c:pt idx="336">
                  <c:v>53.893722145136735</c:v>
                </c:pt>
                <c:pt idx="337">
                  <c:v>53.893722145136735</c:v>
                </c:pt>
                <c:pt idx="338">
                  <c:v>53.893722145136735</c:v>
                </c:pt>
                <c:pt idx="339">
                  <c:v>53.893722145136735</c:v>
                </c:pt>
                <c:pt idx="340">
                  <c:v>53.893722145136735</c:v>
                </c:pt>
                <c:pt idx="341">
                  <c:v>53.893722145136735</c:v>
                </c:pt>
                <c:pt idx="342">
                  <c:v>53.893722145136735</c:v>
                </c:pt>
                <c:pt idx="343">
                  <c:v>53.893722145136735</c:v>
                </c:pt>
                <c:pt idx="344">
                  <c:v>53.893722145136735</c:v>
                </c:pt>
                <c:pt idx="345">
                  <c:v>53.893722145136735</c:v>
                </c:pt>
                <c:pt idx="346">
                  <c:v>53.893722145136735</c:v>
                </c:pt>
                <c:pt idx="347">
                  <c:v>53.893722145136735</c:v>
                </c:pt>
                <c:pt idx="348">
                  <c:v>53.893722145136735</c:v>
                </c:pt>
                <c:pt idx="349">
                  <c:v>53.893722145136735</c:v>
                </c:pt>
                <c:pt idx="350">
                  <c:v>53.893722145136735</c:v>
                </c:pt>
                <c:pt idx="351">
                  <c:v>53.893722145136735</c:v>
                </c:pt>
              </c:numCache>
            </c:numRef>
          </c:yVal>
          <c:smooth val="0"/>
          <c:extLst>
            <c:ext xmlns:c16="http://schemas.microsoft.com/office/drawing/2014/chart" uri="{C3380CC4-5D6E-409C-BE32-E72D297353CC}">
              <c16:uniqueId val="{00000001-BDAD-4013-9EEB-B3D06E19465F}"/>
            </c:ext>
          </c:extLst>
        </c:ser>
        <c:ser>
          <c:idx val="2"/>
          <c:order val="2"/>
          <c:spPr>
            <a:ln>
              <a:solidFill>
                <a:srgbClr val="FF0000"/>
              </a:solidFill>
              <a:prstDash val="dash"/>
            </a:ln>
          </c:spPr>
          <c:marker>
            <c:symbol val="none"/>
          </c:marker>
          <c:xVal>
            <c:strRef>
              <c:f>'Levey Jennings'!$B$35:$B$387</c:f>
              <c:strCache>
                <c:ptCount val="17"/>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strCache>
            </c:strRef>
          </c:xVal>
          <c:yVal>
            <c:numRef>
              <c:f>'Levey Jennings'!$K$35:$K$388</c:f>
              <c:numCache>
                <c:formatCode>0.000</c:formatCode>
                <c:ptCount val="354"/>
                <c:pt idx="0">
                  <c:v>56.146465570646278</c:v>
                </c:pt>
                <c:pt idx="1">
                  <c:v>56.146465570646278</c:v>
                </c:pt>
                <c:pt idx="2">
                  <c:v>56.146465570646278</c:v>
                </c:pt>
                <c:pt idx="3">
                  <c:v>56.146465570646278</c:v>
                </c:pt>
                <c:pt idx="4">
                  <c:v>56.146465570646278</c:v>
                </c:pt>
                <c:pt idx="5">
                  <c:v>56.146465570646278</c:v>
                </c:pt>
                <c:pt idx="6">
                  <c:v>56.146465570646278</c:v>
                </c:pt>
                <c:pt idx="7">
                  <c:v>56.146465570646278</c:v>
                </c:pt>
                <c:pt idx="8">
                  <c:v>56.146465570646278</c:v>
                </c:pt>
                <c:pt idx="9">
                  <c:v>56.146465570646278</c:v>
                </c:pt>
                <c:pt idx="10">
                  <c:v>56.146465570646278</c:v>
                </c:pt>
                <c:pt idx="11">
                  <c:v>56.146465570646278</c:v>
                </c:pt>
                <c:pt idx="12">
                  <c:v>56.146465570646278</c:v>
                </c:pt>
                <c:pt idx="13">
                  <c:v>56.146465570646278</c:v>
                </c:pt>
                <c:pt idx="14">
                  <c:v>56.146465570646278</c:v>
                </c:pt>
                <c:pt idx="15">
                  <c:v>56.146465570646278</c:v>
                </c:pt>
                <c:pt idx="16">
                  <c:v>56.146465570646278</c:v>
                </c:pt>
                <c:pt idx="17">
                  <c:v>56.146465570646278</c:v>
                </c:pt>
                <c:pt idx="18">
                  <c:v>56.146465570646278</c:v>
                </c:pt>
                <c:pt idx="19">
                  <c:v>56.146465570646278</c:v>
                </c:pt>
                <c:pt idx="20">
                  <c:v>56.146465570646278</c:v>
                </c:pt>
                <c:pt idx="21">
                  <c:v>56.146465570646278</c:v>
                </c:pt>
                <c:pt idx="22">
                  <c:v>56.146465570646278</c:v>
                </c:pt>
                <c:pt idx="23">
                  <c:v>56.146465570646278</c:v>
                </c:pt>
                <c:pt idx="24">
                  <c:v>56.146465570646278</c:v>
                </c:pt>
                <c:pt idx="25">
                  <c:v>56.146465570646278</c:v>
                </c:pt>
                <c:pt idx="26">
                  <c:v>56.146465570646278</c:v>
                </c:pt>
                <c:pt idx="27">
                  <c:v>56.146465570646278</c:v>
                </c:pt>
                <c:pt idx="28">
                  <c:v>56.146465570646278</c:v>
                </c:pt>
                <c:pt idx="29">
                  <c:v>56.146465570646278</c:v>
                </c:pt>
                <c:pt idx="30">
                  <c:v>56.146465570646278</c:v>
                </c:pt>
                <c:pt idx="31">
                  <c:v>56.146465570646278</c:v>
                </c:pt>
                <c:pt idx="32">
                  <c:v>56.146465570646278</c:v>
                </c:pt>
                <c:pt idx="33">
                  <c:v>56.146465570646278</c:v>
                </c:pt>
                <c:pt idx="34">
                  <c:v>56.146465570646278</c:v>
                </c:pt>
                <c:pt idx="35">
                  <c:v>56.146465570646278</c:v>
                </c:pt>
                <c:pt idx="36">
                  <c:v>56.146465570646278</c:v>
                </c:pt>
                <c:pt idx="37">
                  <c:v>56.146465570646278</c:v>
                </c:pt>
                <c:pt idx="38">
                  <c:v>56.146465570646278</c:v>
                </c:pt>
                <c:pt idx="39">
                  <c:v>56.146465570646278</c:v>
                </c:pt>
                <c:pt idx="40">
                  <c:v>56.146465570646278</c:v>
                </c:pt>
                <c:pt idx="41">
                  <c:v>56.146465570646278</c:v>
                </c:pt>
                <c:pt idx="42">
                  <c:v>56.146465570646278</c:v>
                </c:pt>
                <c:pt idx="43">
                  <c:v>56.146465570646278</c:v>
                </c:pt>
                <c:pt idx="44">
                  <c:v>56.146465570646278</c:v>
                </c:pt>
                <c:pt idx="45">
                  <c:v>56.146465570646278</c:v>
                </c:pt>
                <c:pt idx="46">
                  <c:v>56.146465570646278</c:v>
                </c:pt>
                <c:pt idx="47">
                  <c:v>56.146465570646278</c:v>
                </c:pt>
                <c:pt idx="48">
                  <c:v>56.146465570646278</c:v>
                </c:pt>
                <c:pt idx="49">
                  <c:v>56.146465570646278</c:v>
                </c:pt>
                <c:pt idx="50">
                  <c:v>56.146465570646278</c:v>
                </c:pt>
                <c:pt idx="51">
                  <c:v>56.146465570646278</c:v>
                </c:pt>
                <c:pt idx="52">
                  <c:v>56.146465570646278</c:v>
                </c:pt>
                <c:pt idx="53">
                  <c:v>56.146465570646278</c:v>
                </c:pt>
                <c:pt idx="54">
                  <c:v>56.146465570646278</c:v>
                </c:pt>
                <c:pt idx="55">
                  <c:v>56.146465570646278</c:v>
                </c:pt>
                <c:pt idx="56">
                  <c:v>56.146465570646278</c:v>
                </c:pt>
                <c:pt idx="57">
                  <c:v>56.146465570646278</c:v>
                </c:pt>
                <c:pt idx="58">
                  <c:v>56.146465570646278</c:v>
                </c:pt>
                <c:pt idx="59">
                  <c:v>56.146465570646278</c:v>
                </c:pt>
                <c:pt idx="60">
                  <c:v>56.146465570646278</c:v>
                </c:pt>
                <c:pt idx="61">
                  <c:v>56.146465570646278</c:v>
                </c:pt>
                <c:pt idx="62">
                  <c:v>56.146465570646278</c:v>
                </c:pt>
                <c:pt idx="63">
                  <c:v>56.146465570646278</c:v>
                </c:pt>
                <c:pt idx="64">
                  <c:v>56.146465570646278</c:v>
                </c:pt>
                <c:pt idx="65">
                  <c:v>56.146465570646278</c:v>
                </c:pt>
                <c:pt idx="66">
                  <c:v>56.146465570646278</c:v>
                </c:pt>
                <c:pt idx="67">
                  <c:v>56.146465570646278</c:v>
                </c:pt>
                <c:pt idx="68">
                  <c:v>56.146465570646278</c:v>
                </c:pt>
                <c:pt idx="69">
                  <c:v>56.146465570646278</c:v>
                </c:pt>
                <c:pt idx="70">
                  <c:v>56.146465570646278</c:v>
                </c:pt>
                <c:pt idx="71">
                  <c:v>56.146465570646278</c:v>
                </c:pt>
                <c:pt idx="72">
                  <c:v>56.146465570646278</c:v>
                </c:pt>
                <c:pt idx="73">
                  <c:v>56.146465570646278</c:v>
                </c:pt>
                <c:pt idx="74">
                  <c:v>56.146465570646278</c:v>
                </c:pt>
                <c:pt idx="75">
                  <c:v>56.146465570646278</c:v>
                </c:pt>
                <c:pt idx="76">
                  <c:v>56.146465570646278</c:v>
                </c:pt>
                <c:pt idx="77">
                  <c:v>56.146465570646278</c:v>
                </c:pt>
                <c:pt idx="78">
                  <c:v>56.146465570646278</c:v>
                </c:pt>
                <c:pt idx="79">
                  <c:v>56.146465570646278</c:v>
                </c:pt>
                <c:pt idx="80">
                  <c:v>56.146465570646278</c:v>
                </c:pt>
                <c:pt idx="81">
                  <c:v>56.146465570646278</c:v>
                </c:pt>
                <c:pt idx="82">
                  <c:v>56.146465570646278</c:v>
                </c:pt>
                <c:pt idx="83">
                  <c:v>56.146465570646278</c:v>
                </c:pt>
                <c:pt idx="84">
                  <c:v>56.146465570646278</c:v>
                </c:pt>
                <c:pt idx="85">
                  <c:v>56.146465570646278</c:v>
                </c:pt>
                <c:pt idx="86">
                  <c:v>56.146465570646278</c:v>
                </c:pt>
                <c:pt idx="87">
                  <c:v>56.146465570646278</c:v>
                </c:pt>
                <c:pt idx="88">
                  <c:v>56.146465570646278</c:v>
                </c:pt>
                <c:pt idx="89">
                  <c:v>56.146465570646278</c:v>
                </c:pt>
                <c:pt idx="90">
                  <c:v>56.146465570646278</c:v>
                </c:pt>
                <c:pt idx="91">
                  <c:v>56.146465570646278</c:v>
                </c:pt>
                <c:pt idx="92">
                  <c:v>56.146465570646278</c:v>
                </c:pt>
                <c:pt idx="93">
                  <c:v>56.146465570646278</c:v>
                </c:pt>
                <c:pt idx="94">
                  <c:v>56.146465570646278</c:v>
                </c:pt>
                <c:pt idx="95">
                  <c:v>56.146465570646278</c:v>
                </c:pt>
                <c:pt idx="96">
                  <c:v>56.146465570646278</c:v>
                </c:pt>
                <c:pt idx="97">
                  <c:v>56.146465570646278</c:v>
                </c:pt>
                <c:pt idx="98">
                  <c:v>56.146465570646278</c:v>
                </c:pt>
                <c:pt idx="99">
                  <c:v>56.146465570646278</c:v>
                </c:pt>
                <c:pt idx="100">
                  <c:v>56.146465570646278</c:v>
                </c:pt>
                <c:pt idx="101">
                  <c:v>56.146465570646278</c:v>
                </c:pt>
                <c:pt idx="102">
                  <c:v>56.146465570646278</c:v>
                </c:pt>
                <c:pt idx="103">
                  <c:v>56.146465570646278</c:v>
                </c:pt>
                <c:pt idx="104">
                  <c:v>56.146465570646278</c:v>
                </c:pt>
                <c:pt idx="105">
                  <c:v>56.146465570646278</c:v>
                </c:pt>
                <c:pt idx="106">
                  <c:v>56.146465570646278</c:v>
                </c:pt>
                <c:pt idx="107">
                  <c:v>56.146465570646278</c:v>
                </c:pt>
                <c:pt idx="108">
                  <c:v>56.146465570646278</c:v>
                </c:pt>
                <c:pt idx="109">
                  <c:v>56.146465570646278</c:v>
                </c:pt>
                <c:pt idx="110">
                  <c:v>56.146465570646278</c:v>
                </c:pt>
                <c:pt idx="111">
                  <c:v>56.146465570646278</c:v>
                </c:pt>
                <c:pt idx="112">
                  <c:v>56.146465570646278</c:v>
                </c:pt>
                <c:pt idx="113">
                  <c:v>56.146465570646278</c:v>
                </c:pt>
                <c:pt idx="114">
                  <c:v>56.146465570646278</c:v>
                </c:pt>
                <c:pt idx="115">
                  <c:v>56.146465570646278</c:v>
                </c:pt>
                <c:pt idx="116">
                  <c:v>56.146465570646278</c:v>
                </c:pt>
                <c:pt idx="117">
                  <c:v>56.146465570646278</c:v>
                </c:pt>
                <c:pt idx="118">
                  <c:v>56.146465570646278</c:v>
                </c:pt>
                <c:pt idx="119">
                  <c:v>56.146465570646278</c:v>
                </c:pt>
                <c:pt idx="120">
                  <c:v>56.146465570646278</c:v>
                </c:pt>
                <c:pt idx="121">
                  <c:v>56.146465570646278</c:v>
                </c:pt>
                <c:pt idx="122">
                  <c:v>56.146465570646278</c:v>
                </c:pt>
                <c:pt idx="123">
                  <c:v>56.146465570646278</c:v>
                </c:pt>
                <c:pt idx="124">
                  <c:v>56.146465570646278</c:v>
                </c:pt>
                <c:pt idx="125">
                  <c:v>56.146465570646278</c:v>
                </c:pt>
                <c:pt idx="126">
                  <c:v>56.146465570646278</c:v>
                </c:pt>
                <c:pt idx="127">
                  <c:v>56.146465570646278</c:v>
                </c:pt>
                <c:pt idx="128">
                  <c:v>56.146465570646278</c:v>
                </c:pt>
                <c:pt idx="129">
                  <c:v>56.146465570646278</c:v>
                </c:pt>
                <c:pt idx="130">
                  <c:v>56.146465570646278</c:v>
                </c:pt>
                <c:pt idx="131">
                  <c:v>56.146465570646278</c:v>
                </c:pt>
                <c:pt idx="132">
                  <c:v>56.146465570646278</c:v>
                </c:pt>
                <c:pt idx="133">
                  <c:v>56.146465570646278</c:v>
                </c:pt>
                <c:pt idx="134">
                  <c:v>56.146465570646278</c:v>
                </c:pt>
                <c:pt idx="135">
                  <c:v>56.146465570646278</c:v>
                </c:pt>
                <c:pt idx="136">
                  <c:v>56.146465570646278</c:v>
                </c:pt>
                <c:pt idx="137">
                  <c:v>56.146465570646278</c:v>
                </c:pt>
                <c:pt idx="138">
                  <c:v>56.146465570646278</c:v>
                </c:pt>
                <c:pt idx="139">
                  <c:v>56.146465570646278</c:v>
                </c:pt>
                <c:pt idx="140">
                  <c:v>56.146465570646278</c:v>
                </c:pt>
                <c:pt idx="141">
                  <c:v>56.146465570646278</c:v>
                </c:pt>
                <c:pt idx="142">
                  <c:v>56.146465570646278</c:v>
                </c:pt>
                <c:pt idx="143">
                  <c:v>56.146465570646278</c:v>
                </c:pt>
                <c:pt idx="144">
                  <c:v>56.146465570646278</c:v>
                </c:pt>
                <c:pt idx="145">
                  <c:v>56.146465570646278</c:v>
                </c:pt>
                <c:pt idx="146">
                  <c:v>56.146465570646278</c:v>
                </c:pt>
                <c:pt idx="147">
                  <c:v>56.146465570646278</c:v>
                </c:pt>
                <c:pt idx="148">
                  <c:v>56.146465570646278</c:v>
                </c:pt>
                <c:pt idx="149">
                  <c:v>56.146465570646278</c:v>
                </c:pt>
                <c:pt idx="150">
                  <c:v>56.146465570646278</c:v>
                </c:pt>
                <c:pt idx="151">
                  <c:v>56.146465570646278</c:v>
                </c:pt>
                <c:pt idx="152">
                  <c:v>56.146465570646278</c:v>
                </c:pt>
                <c:pt idx="153">
                  <c:v>56.146465570646278</c:v>
                </c:pt>
                <c:pt idx="154">
                  <c:v>56.146465570646278</c:v>
                </c:pt>
                <c:pt idx="155">
                  <c:v>56.146465570646278</c:v>
                </c:pt>
                <c:pt idx="156">
                  <c:v>56.146465570646278</c:v>
                </c:pt>
                <c:pt idx="157">
                  <c:v>56.146465570646278</c:v>
                </c:pt>
                <c:pt idx="158">
                  <c:v>56.146465570646278</c:v>
                </c:pt>
                <c:pt idx="159">
                  <c:v>56.146465570646278</c:v>
                </c:pt>
                <c:pt idx="160">
                  <c:v>56.146465570646278</c:v>
                </c:pt>
                <c:pt idx="161">
                  <c:v>56.146465570646278</c:v>
                </c:pt>
                <c:pt idx="162">
                  <c:v>56.146465570646278</c:v>
                </c:pt>
                <c:pt idx="163">
                  <c:v>56.146465570646278</c:v>
                </c:pt>
                <c:pt idx="164">
                  <c:v>56.146465570646278</c:v>
                </c:pt>
                <c:pt idx="165">
                  <c:v>56.146465570646278</c:v>
                </c:pt>
                <c:pt idx="166">
                  <c:v>56.146465570646278</c:v>
                </c:pt>
                <c:pt idx="167">
                  <c:v>56.146465570646278</c:v>
                </c:pt>
                <c:pt idx="168">
                  <c:v>56.146465570646278</c:v>
                </c:pt>
                <c:pt idx="169">
                  <c:v>56.146465570646278</c:v>
                </c:pt>
                <c:pt idx="170">
                  <c:v>56.146465570646278</c:v>
                </c:pt>
                <c:pt idx="171">
                  <c:v>56.146465570646278</c:v>
                </c:pt>
                <c:pt idx="172">
                  <c:v>56.146465570646278</c:v>
                </c:pt>
                <c:pt idx="173">
                  <c:v>56.146465570646278</c:v>
                </c:pt>
                <c:pt idx="174">
                  <c:v>56.146465570646278</c:v>
                </c:pt>
                <c:pt idx="175">
                  <c:v>56.146465570646278</c:v>
                </c:pt>
                <c:pt idx="176">
                  <c:v>56.146465570646278</c:v>
                </c:pt>
                <c:pt idx="177">
                  <c:v>56.146465570646278</c:v>
                </c:pt>
                <c:pt idx="178">
                  <c:v>56.146465570646278</c:v>
                </c:pt>
                <c:pt idx="179">
                  <c:v>56.146465570646278</c:v>
                </c:pt>
                <c:pt idx="180">
                  <c:v>56.146465570646278</c:v>
                </c:pt>
                <c:pt idx="181">
                  <c:v>56.146465570646278</c:v>
                </c:pt>
                <c:pt idx="182">
                  <c:v>56.146465570646278</c:v>
                </c:pt>
                <c:pt idx="183">
                  <c:v>56.146465570646278</c:v>
                </c:pt>
                <c:pt idx="184">
                  <c:v>56.146465570646278</c:v>
                </c:pt>
                <c:pt idx="185">
                  <c:v>56.146465570646278</c:v>
                </c:pt>
                <c:pt idx="186">
                  <c:v>56.146465570646278</c:v>
                </c:pt>
                <c:pt idx="187">
                  <c:v>56.146465570646278</c:v>
                </c:pt>
                <c:pt idx="188">
                  <c:v>56.146465570646278</c:v>
                </c:pt>
                <c:pt idx="189">
                  <c:v>56.146465570646278</c:v>
                </c:pt>
                <c:pt idx="190">
                  <c:v>56.146465570646278</c:v>
                </c:pt>
                <c:pt idx="191">
                  <c:v>56.146465570646278</c:v>
                </c:pt>
                <c:pt idx="192">
                  <c:v>56.146465570646278</c:v>
                </c:pt>
                <c:pt idx="193">
                  <c:v>56.146465570646278</c:v>
                </c:pt>
                <c:pt idx="194">
                  <c:v>56.146465570646278</c:v>
                </c:pt>
                <c:pt idx="195">
                  <c:v>56.146465570646278</c:v>
                </c:pt>
                <c:pt idx="196">
                  <c:v>56.146465570646278</c:v>
                </c:pt>
                <c:pt idx="197">
                  <c:v>56.146465570646278</c:v>
                </c:pt>
                <c:pt idx="198">
                  <c:v>56.146465570646278</c:v>
                </c:pt>
                <c:pt idx="199">
                  <c:v>56.146465570646278</c:v>
                </c:pt>
                <c:pt idx="200">
                  <c:v>56.146465570646278</c:v>
                </c:pt>
                <c:pt idx="201">
                  <c:v>56.146465570646278</c:v>
                </c:pt>
                <c:pt idx="202">
                  <c:v>56.146465570646278</c:v>
                </c:pt>
                <c:pt idx="203">
                  <c:v>56.146465570646278</c:v>
                </c:pt>
                <c:pt idx="204">
                  <c:v>56.146465570646278</c:v>
                </c:pt>
                <c:pt idx="205">
                  <c:v>56.146465570646278</c:v>
                </c:pt>
                <c:pt idx="206">
                  <c:v>56.146465570646278</c:v>
                </c:pt>
                <c:pt idx="207">
                  <c:v>56.146465570646278</c:v>
                </c:pt>
                <c:pt idx="208">
                  <c:v>56.146465570646278</c:v>
                </c:pt>
                <c:pt idx="209">
                  <c:v>56.146465570646278</c:v>
                </c:pt>
                <c:pt idx="210">
                  <c:v>56.146465570646278</c:v>
                </c:pt>
                <c:pt idx="211">
                  <c:v>56.146465570646278</c:v>
                </c:pt>
                <c:pt idx="212">
                  <c:v>56.146465570646278</c:v>
                </c:pt>
                <c:pt idx="213">
                  <c:v>56.146465570646278</c:v>
                </c:pt>
                <c:pt idx="214">
                  <c:v>56.146465570646278</c:v>
                </c:pt>
                <c:pt idx="215">
                  <c:v>56.146465570646278</c:v>
                </c:pt>
                <c:pt idx="216">
                  <c:v>56.146465570646278</c:v>
                </c:pt>
                <c:pt idx="217">
                  <c:v>56.146465570646278</c:v>
                </c:pt>
                <c:pt idx="218">
                  <c:v>56.146465570646278</c:v>
                </c:pt>
                <c:pt idx="219">
                  <c:v>56.146465570646278</c:v>
                </c:pt>
                <c:pt idx="220">
                  <c:v>56.146465570646278</c:v>
                </c:pt>
                <c:pt idx="221">
                  <c:v>56.146465570646278</c:v>
                </c:pt>
                <c:pt idx="222">
                  <c:v>56.146465570646278</c:v>
                </c:pt>
                <c:pt idx="223">
                  <c:v>56.146465570646278</c:v>
                </c:pt>
                <c:pt idx="224">
                  <c:v>56.146465570646278</c:v>
                </c:pt>
                <c:pt idx="225">
                  <c:v>56.146465570646278</c:v>
                </c:pt>
                <c:pt idx="226">
                  <c:v>56.146465570646278</c:v>
                </c:pt>
                <c:pt idx="227">
                  <c:v>56.146465570646278</c:v>
                </c:pt>
                <c:pt idx="228">
                  <c:v>56.146465570646278</c:v>
                </c:pt>
                <c:pt idx="229">
                  <c:v>56.146465570646278</c:v>
                </c:pt>
                <c:pt idx="230">
                  <c:v>56.146465570646278</c:v>
                </c:pt>
                <c:pt idx="231">
                  <c:v>56.146465570646278</c:v>
                </c:pt>
                <c:pt idx="232">
                  <c:v>56.146465570646278</c:v>
                </c:pt>
                <c:pt idx="233">
                  <c:v>56.146465570646278</c:v>
                </c:pt>
                <c:pt idx="234">
                  <c:v>56.146465570646278</c:v>
                </c:pt>
                <c:pt idx="235">
                  <c:v>56.146465570646278</c:v>
                </c:pt>
                <c:pt idx="236">
                  <c:v>56.146465570646278</c:v>
                </c:pt>
                <c:pt idx="237">
                  <c:v>56.146465570646278</c:v>
                </c:pt>
                <c:pt idx="238">
                  <c:v>56.146465570646278</c:v>
                </c:pt>
                <c:pt idx="239">
                  <c:v>56.146465570646278</c:v>
                </c:pt>
                <c:pt idx="240">
                  <c:v>56.146465570646278</c:v>
                </c:pt>
                <c:pt idx="241">
                  <c:v>56.146465570646278</c:v>
                </c:pt>
                <c:pt idx="242">
                  <c:v>56.146465570646278</c:v>
                </c:pt>
                <c:pt idx="243">
                  <c:v>56.146465570646278</c:v>
                </c:pt>
                <c:pt idx="244">
                  <c:v>56.146465570646278</c:v>
                </c:pt>
                <c:pt idx="245">
                  <c:v>56.146465570646278</c:v>
                </c:pt>
                <c:pt idx="246">
                  <c:v>56.146465570646278</c:v>
                </c:pt>
                <c:pt idx="247">
                  <c:v>56.146465570646278</c:v>
                </c:pt>
                <c:pt idx="248">
                  <c:v>56.146465570646278</c:v>
                </c:pt>
                <c:pt idx="249">
                  <c:v>56.146465570646278</c:v>
                </c:pt>
                <c:pt idx="250">
                  <c:v>56.146465570646278</c:v>
                </c:pt>
                <c:pt idx="251">
                  <c:v>56.146465570646278</c:v>
                </c:pt>
                <c:pt idx="252">
                  <c:v>56.146465570646278</c:v>
                </c:pt>
                <c:pt idx="253">
                  <c:v>56.146465570646278</c:v>
                </c:pt>
                <c:pt idx="254">
                  <c:v>56.146465570646278</c:v>
                </c:pt>
                <c:pt idx="255">
                  <c:v>56.146465570646278</c:v>
                </c:pt>
                <c:pt idx="256">
                  <c:v>56.146465570646278</c:v>
                </c:pt>
                <c:pt idx="257">
                  <c:v>56.146465570646278</c:v>
                </c:pt>
                <c:pt idx="258">
                  <c:v>56.146465570646278</c:v>
                </c:pt>
                <c:pt idx="259">
                  <c:v>56.146465570646278</c:v>
                </c:pt>
                <c:pt idx="260">
                  <c:v>56.146465570646278</c:v>
                </c:pt>
                <c:pt idx="261">
                  <c:v>56.146465570646278</c:v>
                </c:pt>
                <c:pt idx="262">
                  <c:v>56.146465570646278</c:v>
                </c:pt>
                <c:pt idx="263">
                  <c:v>56.146465570646278</c:v>
                </c:pt>
                <c:pt idx="264">
                  <c:v>56.146465570646278</c:v>
                </c:pt>
                <c:pt idx="265">
                  <c:v>56.146465570646278</c:v>
                </c:pt>
                <c:pt idx="266">
                  <c:v>56.146465570646278</c:v>
                </c:pt>
                <c:pt idx="267">
                  <c:v>56.146465570646278</c:v>
                </c:pt>
                <c:pt idx="268">
                  <c:v>56.146465570646278</c:v>
                </c:pt>
                <c:pt idx="269">
                  <c:v>56.146465570646278</c:v>
                </c:pt>
                <c:pt idx="270">
                  <c:v>56.146465570646278</c:v>
                </c:pt>
                <c:pt idx="271">
                  <c:v>56.146465570646278</c:v>
                </c:pt>
                <c:pt idx="272">
                  <c:v>56.146465570646278</c:v>
                </c:pt>
                <c:pt idx="273">
                  <c:v>56.146465570646278</c:v>
                </c:pt>
                <c:pt idx="274">
                  <c:v>56.146465570646278</c:v>
                </c:pt>
                <c:pt idx="275">
                  <c:v>56.146465570646278</c:v>
                </c:pt>
                <c:pt idx="276">
                  <c:v>56.146465570646278</c:v>
                </c:pt>
                <c:pt idx="277">
                  <c:v>56.146465570646278</c:v>
                </c:pt>
                <c:pt idx="278">
                  <c:v>56.146465570646278</c:v>
                </c:pt>
                <c:pt idx="279">
                  <c:v>56.146465570646278</c:v>
                </c:pt>
                <c:pt idx="280">
                  <c:v>56.146465570646278</c:v>
                </c:pt>
                <c:pt idx="281">
                  <c:v>56.146465570646278</c:v>
                </c:pt>
                <c:pt idx="282">
                  <c:v>56.146465570646278</c:v>
                </c:pt>
                <c:pt idx="283">
                  <c:v>56.146465570646278</c:v>
                </c:pt>
                <c:pt idx="284">
                  <c:v>56.146465570646278</c:v>
                </c:pt>
                <c:pt idx="285">
                  <c:v>56.146465570646278</c:v>
                </c:pt>
                <c:pt idx="286">
                  <c:v>56.146465570646278</c:v>
                </c:pt>
                <c:pt idx="287">
                  <c:v>56.146465570646278</c:v>
                </c:pt>
                <c:pt idx="288">
                  <c:v>56.146465570646278</c:v>
                </c:pt>
                <c:pt idx="289">
                  <c:v>56.146465570646278</c:v>
                </c:pt>
                <c:pt idx="290">
                  <c:v>56.146465570646278</c:v>
                </c:pt>
                <c:pt idx="291">
                  <c:v>56.146465570646278</c:v>
                </c:pt>
                <c:pt idx="292">
                  <c:v>56.146465570646278</c:v>
                </c:pt>
                <c:pt idx="293">
                  <c:v>56.146465570646278</c:v>
                </c:pt>
                <c:pt idx="294">
                  <c:v>56.146465570646278</c:v>
                </c:pt>
                <c:pt idx="295">
                  <c:v>56.146465570646278</c:v>
                </c:pt>
                <c:pt idx="296">
                  <c:v>56.146465570646278</c:v>
                </c:pt>
                <c:pt idx="297">
                  <c:v>56.146465570646278</c:v>
                </c:pt>
                <c:pt idx="298">
                  <c:v>56.146465570646278</c:v>
                </c:pt>
                <c:pt idx="299">
                  <c:v>56.146465570646278</c:v>
                </c:pt>
                <c:pt idx="300">
                  <c:v>56.146465570646278</c:v>
                </c:pt>
                <c:pt idx="301">
                  <c:v>56.146465570646278</c:v>
                </c:pt>
                <c:pt idx="302">
                  <c:v>56.146465570646278</c:v>
                </c:pt>
                <c:pt idx="303">
                  <c:v>56.146465570646278</c:v>
                </c:pt>
                <c:pt idx="304">
                  <c:v>56.146465570646278</c:v>
                </c:pt>
                <c:pt idx="305">
                  <c:v>56.146465570646278</c:v>
                </c:pt>
                <c:pt idx="306">
                  <c:v>56.146465570646278</c:v>
                </c:pt>
                <c:pt idx="307">
                  <c:v>56.146465570646278</c:v>
                </c:pt>
                <c:pt idx="308">
                  <c:v>56.146465570646278</c:v>
                </c:pt>
                <c:pt idx="309">
                  <c:v>56.146465570646278</c:v>
                </c:pt>
                <c:pt idx="310">
                  <c:v>56.146465570646278</c:v>
                </c:pt>
                <c:pt idx="311">
                  <c:v>56.146465570646278</c:v>
                </c:pt>
                <c:pt idx="312">
                  <c:v>56.146465570646278</c:v>
                </c:pt>
                <c:pt idx="313">
                  <c:v>56.146465570646278</c:v>
                </c:pt>
                <c:pt idx="314">
                  <c:v>56.146465570646278</c:v>
                </c:pt>
                <c:pt idx="315">
                  <c:v>56.146465570646278</c:v>
                </c:pt>
                <c:pt idx="316">
                  <c:v>56.146465570646278</c:v>
                </c:pt>
                <c:pt idx="317">
                  <c:v>56.146465570646278</c:v>
                </c:pt>
                <c:pt idx="318">
                  <c:v>56.146465570646278</c:v>
                </c:pt>
                <c:pt idx="319">
                  <c:v>56.146465570646278</c:v>
                </c:pt>
                <c:pt idx="320">
                  <c:v>56.146465570646278</c:v>
                </c:pt>
                <c:pt idx="321">
                  <c:v>56.146465570646278</c:v>
                </c:pt>
                <c:pt idx="322">
                  <c:v>56.146465570646278</c:v>
                </c:pt>
                <c:pt idx="323">
                  <c:v>56.146465570646278</c:v>
                </c:pt>
                <c:pt idx="324">
                  <c:v>56.146465570646278</c:v>
                </c:pt>
                <c:pt idx="325">
                  <c:v>56.146465570646278</c:v>
                </c:pt>
                <c:pt idx="326">
                  <c:v>56.146465570646278</c:v>
                </c:pt>
                <c:pt idx="327">
                  <c:v>56.146465570646278</c:v>
                </c:pt>
                <c:pt idx="328">
                  <c:v>56.146465570646278</c:v>
                </c:pt>
                <c:pt idx="329">
                  <c:v>56.146465570646278</c:v>
                </c:pt>
                <c:pt idx="330">
                  <c:v>56.146465570646278</c:v>
                </c:pt>
                <c:pt idx="331">
                  <c:v>56.146465570646278</c:v>
                </c:pt>
                <c:pt idx="332">
                  <c:v>56.146465570646278</c:v>
                </c:pt>
                <c:pt idx="333">
                  <c:v>56.146465570646278</c:v>
                </c:pt>
                <c:pt idx="334">
                  <c:v>56.146465570646278</c:v>
                </c:pt>
                <c:pt idx="335">
                  <c:v>56.146465570646278</c:v>
                </c:pt>
                <c:pt idx="336">
                  <c:v>56.146465570646278</c:v>
                </c:pt>
                <c:pt idx="337">
                  <c:v>56.146465570646278</c:v>
                </c:pt>
                <c:pt idx="338">
                  <c:v>56.146465570646278</c:v>
                </c:pt>
                <c:pt idx="339">
                  <c:v>56.146465570646278</c:v>
                </c:pt>
                <c:pt idx="340">
                  <c:v>56.146465570646278</c:v>
                </c:pt>
                <c:pt idx="341">
                  <c:v>56.146465570646278</c:v>
                </c:pt>
                <c:pt idx="342">
                  <c:v>56.146465570646278</c:v>
                </c:pt>
                <c:pt idx="343">
                  <c:v>56.146465570646278</c:v>
                </c:pt>
                <c:pt idx="344">
                  <c:v>56.146465570646278</c:v>
                </c:pt>
                <c:pt idx="345">
                  <c:v>56.146465570646278</c:v>
                </c:pt>
                <c:pt idx="346">
                  <c:v>56.146465570646278</c:v>
                </c:pt>
                <c:pt idx="347">
                  <c:v>56.146465570646278</c:v>
                </c:pt>
                <c:pt idx="348">
                  <c:v>56.146465570646278</c:v>
                </c:pt>
                <c:pt idx="349">
                  <c:v>56.146465570646278</c:v>
                </c:pt>
                <c:pt idx="350">
                  <c:v>56.146465570646278</c:v>
                </c:pt>
                <c:pt idx="351">
                  <c:v>56.146465570646278</c:v>
                </c:pt>
              </c:numCache>
            </c:numRef>
          </c:yVal>
          <c:smooth val="0"/>
          <c:extLst>
            <c:ext xmlns:c16="http://schemas.microsoft.com/office/drawing/2014/chart" uri="{C3380CC4-5D6E-409C-BE32-E72D297353CC}">
              <c16:uniqueId val="{00000002-BDAD-4013-9EEB-B3D06E19465F}"/>
            </c:ext>
          </c:extLst>
        </c:ser>
        <c:ser>
          <c:idx val="3"/>
          <c:order val="3"/>
          <c:spPr>
            <a:ln>
              <a:solidFill>
                <a:srgbClr val="00B0F0"/>
              </a:solidFill>
              <a:prstDash val="dash"/>
            </a:ln>
          </c:spPr>
          <c:marker>
            <c:symbol val="none"/>
          </c:marker>
          <c:xVal>
            <c:strRef>
              <c:f>'Levey Jennings'!$B$35:$B$386</c:f>
              <c:strCache>
                <c:ptCount val="17"/>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strCache>
            </c:strRef>
          </c:xVal>
          <c:yVal>
            <c:numRef>
              <c:f>'Levey Jennings'!$J$35:$J$387</c:f>
              <c:numCache>
                <c:formatCode>0.000</c:formatCode>
                <c:ptCount val="353"/>
                <c:pt idx="0">
                  <c:v>44.882748443098563</c:v>
                </c:pt>
                <c:pt idx="1">
                  <c:v>44.882748443098563</c:v>
                </c:pt>
                <c:pt idx="2">
                  <c:v>44.882748443098563</c:v>
                </c:pt>
                <c:pt idx="3">
                  <c:v>44.882748443098563</c:v>
                </c:pt>
                <c:pt idx="4">
                  <c:v>44.882748443098563</c:v>
                </c:pt>
                <c:pt idx="5">
                  <c:v>44.882748443098563</c:v>
                </c:pt>
                <c:pt idx="6">
                  <c:v>44.882748443098563</c:v>
                </c:pt>
                <c:pt idx="7">
                  <c:v>44.882748443098563</c:v>
                </c:pt>
                <c:pt idx="8">
                  <c:v>44.882748443098563</c:v>
                </c:pt>
                <c:pt idx="9">
                  <c:v>44.882748443098563</c:v>
                </c:pt>
                <c:pt idx="10">
                  <c:v>44.882748443098563</c:v>
                </c:pt>
                <c:pt idx="11">
                  <c:v>44.882748443098563</c:v>
                </c:pt>
                <c:pt idx="12">
                  <c:v>44.882748443098563</c:v>
                </c:pt>
                <c:pt idx="13">
                  <c:v>44.882748443098563</c:v>
                </c:pt>
                <c:pt idx="14">
                  <c:v>44.882748443098563</c:v>
                </c:pt>
                <c:pt idx="15">
                  <c:v>44.882748443098563</c:v>
                </c:pt>
                <c:pt idx="16">
                  <c:v>44.882748443098563</c:v>
                </c:pt>
                <c:pt idx="17">
                  <c:v>44.882748443098563</c:v>
                </c:pt>
                <c:pt idx="18">
                  <c:v>44.882748443098563</c:v>
                </c:pt>
                <c:pt idx="19">
                  <c:v>44.882748443098563</c:v>
                </c:pt>
                <c:pt idx="20">
                  <c:v>44.882748443098563</c:v>
                </c:pt>
                <c:pt idx="21">
                  <c:v>44.882748443098563</c:v>
                </c:pt>
                <c:pt idx="22">
                  <c:v>44.882748443098563</c:v>
                </c:pt>
                <c:pt idx="23">
                  <c:v>44.882748443098563</c:v>
                </c:pt>
                <c:pt idx="24">
                  <c:v>44.882748443098563</c:v>
                </c:pt>
                <c:pt idx="25">
                  <c:v>44.882748443098563</c:v>
                </c:pt>
                <c:pt idx="26">
                  <c:v>44.882748443098563</c:v>
                </c:pt>
                <c:pt idx="27">
                  <c:v>44.882748443098563</c:v>
                </c:pt>
                <c:pt idx="28">
                  <c:v>44.882748443098563</c:v>
                </c:pt>
                <c:pt idx="29">
                  <c:v>44.882748443098563</c:v>
                </c:pt>
                <c:pt idx="30">
                  <c:v>44.882748443098563</c:v>
                </c:pt>
                <c:pt idx="31">
                  <c:v>44.882748443098563</c:v>
                </c:pt>
                <c:pt idx="32">
                  <c:v>44.882748443098563</c:v>
                </c:pt>
                <c:pt idx="33">
                  <c:v>44.882748443098563</c:v>
                </c:pt>
                <c:pt idx="34">
                  <c:v>44.882748443098563</c:v>
                </c:pt>
                <c:pt idx="35">
                  <c:v>44.882748443098563</c:v>
                </c:pt>
                <c:pt idx="36">
                  <c:v>44.882748443098563</c:v>
                </c:pt>
                <c:pt idx="37">
                  <c:v>44.882748443098563</c:v>
                </c:pt>
                <c:pt idx="38">
                  <c:v>44.882748443098563</c:v>
                </c:pt>
                <c:pt idx="39">
                  <c:v>44.882748443098563</c:v>
                </c:pt>
                <c:pt idx="40">
                  <c:v>44.882748443098563</c:v>
                </c:pt>
                <c:pt idx="41">
                  <c:v>44.882748443098563</c:v>
                </c:pt>
                <c:pt idx="42">
                  <c:v>44.882748443098563</c:v>
                </c:pt>
                <c:pt idx="43">
                  <c:v>44.882748443098563</c:v>
                </c:pt>
                <c:pt idx="44">
                  <c:v>44.882748443098563</c:v>
                </c:pt>
                <c:pt idx="45">
                  <c:v>44.882748443098563</c:v>
                </c:pt>
                <c:pt idx="46">
                  <c:v>44.882748443098563</c:v>
                </c:pt>
                <c:pt idx="47">
                  <c:v>44.882748443098563</c:v>
                </c:pt>
                <c:pt idx="48">
                  <c:v>44.882748443098563</c:v>
                </c:pt>
                <c:pt idx="49">
                  <c:v>44.882748443098563</c:v>
                </c:pt>
                <c:pt idx="50">
                  <c:v>44.882748443098563</c:v>
                </c:pt>
                <c:pt idx="51">
                  <c:v>44.882748443098563</c:v>
                </c:pt>
                <c:pt idx="52">
                  <c:v>44.882748443098563</c:v>
                </c:pt>
                <c:pt idx="53">
                  <c:v>44.882748443098563</c:v>
                </c:pt>
                <c:pt idx="54">
                  <c:v>44.882748443098563</c:v>
                </c:pt>
                <c:pt idx="55">
                  <c:v>44.882748443098563</c:v>
                </c:pt>
                <c:pt idx="56">
                  <c:v>44.882748443098563</c:v>
                </c:pt>
                <c:pt idx="57">
                  <c:v>44.882748443098563</c:v>
                </c:pt>
                <c:pt idx="58">
                  <c:v>44.882748443098563</c:v>
                </c:pt>
                <c:pt idx="59">
                  <c:v>44.882748443098563</c:v>
                </c:pt>
                <c:pt idx="60">
                  <c:v>44.882748443098563</c:v>
                </c:pt>
                <c:pt idx="61">
                  <c:v>44.882748443098563</c:v>
                </c:pt>
                <c:pt idx="62">
                  <c:v>44.882748443098563</c:v>
                </c:pt>
                <c:pt idx="63">
                  <c:v>44.882748443098563</c:v>
                </c:pt>
                <c:pt idx="64">
                  <c:v>44.882748443098563</c:v>
                </c:pt>
                <c:pt idx="65">
                  <c:v>44.882748443098563</c:v>
                </c:pt>
                <c:pt idx="66">
                  <c:v>44.882748443098563</c:v>
                </c:pt>
                <c:pt idx="67">
                  <c:v>44.882748443098563</c:v>
                </c:pt>
                <c:pt idx="68">
                  <c:v>44.882748443098563</c:v>
                </c:pt>
                <c:pt idx="69">
                  <c:v>44.882748443098563</c:v>
                </c:pt>
                <c:pt idx="70">
                  <c:v>44.882748443098563</c:v>
                </c:pt>
                <c:pt idx="71">
                  <c:v>44.882748443098563</c:v>
                </c:pt>
                <c:pt idx="72">
                  <c:v>44.882748443098563</c:v>
                </c:pt>
                <c:pt idx="73">
                  <c:v>44.882748443098563</c:v>
                </c:pt>
                <c:pt idx="74">
                  <c:v>44.882748443098563</c:v>
                </c:pt>
                <c:pt idx="75">
                  <c:v>44.882748443098563</c:v>
                </c:pt>
                <c:pt idx="76">
                  <c:v>44.882748443098563</c:v>
                </c:pt>
                <c:pt idx="77">
                  <c:v>44.882748443098563</c:v>
                </c:pt>
                <c:pt idx="78">
                  <c:v>44.882748443098563</c:v>
                </c:pt>
                <c:pt idx="79">
                  <c:v>44.882748443098563</c:v>
                </c:pt>
                <c:pt idx="80">
                  <c:v>44.882748443098563</c:v>
                </c:pt>
                <c:pt idx="81">
                  <c:v>44.882748443098563</c:v>
                </c:pt>
                <c:pt idx="82">
                  <c:v>44.882748443098563</c:v>
                </c:pt>
                <c:pt idx="83">
                  <c:v>44.882748443098563</c:v>
                </c:pt>
                <c:pt idx="84">
                  <c:v>44.882748443098563</c:v>
                </c:pt>
                <c:pt idx="85">
                  <c:v>44.882748443098563</c:v>
                </c:pt>
                <c:pt idx="86">
                  <c:v>44.882748443098563</c:v>
                </c:pt>
                <c:pt idx="87">
                  <c:v>44.882748443098563</c:v>
                </c:pt>
                <c:pt idx="88">
                  <c:v>44.882748443098563</c:v>
                </c:pt>
                <c:pt idx="89">
                  <c:v>44.882748443098563</c:v>
                </c:pt>
                <c:pt idx="90">
                  <c:v>44.882748443098563</c:v>
                </c:pt>
                <c:pt idx="91">
                  <c:v>44.882748443098563</c:v>
                </c:pt>
                <c:pt idx="92">
                  <c:v>44.882748443098563</c:v>
                </c:pt>
                <c:pt idx="93">
                  <c:v>44.882748443098563</c:v>
                </c:pt>
                <c:pt idx="94">
                  <c:v>44.882748443098563</c:v>
                </c:pt>
                <c:pt idx="95">
                  <c:v>44.882748443098563</c:v>
                </c:pt>
                <c:pt idx="96">
                  <c:v>44.882748443098563</c:v>
                </c:pt>
                <c:pt idx="97">
                  <c:v>44.882748443098563</c:v>
                </c:pt>
                <c:pt idx="98">
                  <c:v>44.882748443098563</c:v>
                </c:pt>
                <c:pt idx="99">
                  <c:v>44.882748443098563</c:v>
                </c:pt>
                <c:pt idx="100">
                  <c:v>44.882748443098563</c:v>
                </c:pt>
                <c:pt idx="101">
                  <c:v>44.882748443098563</c:v>
                </c:pt>
                <c:pt idx="102">
                  <c:v>44.882748443098563</c:v>
                </c:pt>
                <c:pt idx="103">
                  <c:v>44.882748443098563</c:v>
                </c:pt>
                <c:pt idx="104">
                  <c:v>44.882748443098563</c:v>
                </c:pt>
                <c:pt idx="105">
                  <c:v>44.882748443098563</c:v>
                </c:pt>
                <c:pt idx="106">
                  <c:v>44.882748443098563</c:v>
                </c:pt>
                <c:pt idx="107">
                  <c:v>44.882748443098563</c:v>
                </c:pt>
                <c:pt idx="108">
                  <c:v>44.882748443098563</c:v>
                </c:pt>
                <c:pt idx="109">
                  <c:v>44.882748443098563</c:v>
                </c:pt>
                <c:pt idx="110">
                  <c:v>44.882748443098563</c:v>
                </c:pt>
                <c:pt idx="111">
                  <c:v>44.882748443098563</c:v>
                </c:pt>
                <c:pt idx="112">
                  <c:v>44.882748443098563</c:v>
                </c:pt>
                <c:pt idx="113">
                  <c:v>44.882748443098563</c:v>
                </c:pt>
                <c:pt idx="114">
                  <c:v>44.882748443098563</c:v>
                </c:pt>
                <c:pt idx="115">
                  <c:v>44.882748443098563</c:v>
                </c:pt>
                <c:pt idx="116">
                  <c:v>44.882748443098563</c:v>
                </c:pt>
                <c:pt idx="117">
                  <c:v>44.882748443098563</c:v>
                </c:pt>
                <c:pt idx="118">
                  <c:v>44.882748443098563</c:v>
                </c:pt>
                <c:pt idx="119">
                  <c:v>44.882748443098563</c:v>
                </c:pt>
                <c:pt idx="120">
                  <c:v>44.882748443098563</c:v>
                </c:pt>
                <c:pt idx="121">
                  <c:v>44.882748443098563</c:v>
                </c:pt>
                <c:pt idx="122">
                  <c:v>44.882748443098563</c:v>
                </c:pt>
                <c:pt idx="123">
                  <c:v>44.882748443098563</c:v>
                </c:pt>
                <c:pt idx="124">
                  <c:v>44.882748443098563</c:v>
                </c:pt>
                <c:pt idx="125">
                  <c:v>44.882748443098563</c:v>
                </c:pt>
                <c:pt idx="126">
                  <c:v>44.882748443098563</c:v>
                </c:pt>
                <c:pt idx="127">
                  <c:v>44.882748443098563</c:v>
                </c:pt>
                <c:pt idx="128">
                  <c:v>44.882748443098563</c:v>
                </c:pt>
                <c:pt idx="129">
                  <c:v>44.882748443098563</c:v>
                </c:pt>
                <c:pt idx="130">
                  <c:v>44.882748443098563</c:v>
                </c:pt>
                <c:pt idx="131">
                  <c:v>44.882748443098563</c:v>
                </c:pt>
                <c:pt idx="132">
                  <c:v>44.882748443098563</c:v>
                </c:pt>
                <c:pt idx="133">
                  <c:v>44.882748443098563</c:v>
                </c:pt>
                <c:pt idx="134">
                  <c:v>44.882748443098563</c:v>
                </c:pt>
                <c:pt idx="135">
                  <c:v>44.882748443098563</c:v>
                </c:pt>
                <c:pt idx="136">
                  <c:v>44.882748443098563</c:v>
                </c:pt>
                <c:pt idx="137">
                  <c:v>44.882748443098563</c:v>
                </c:pt>
                <c:pt idx="138">
                  <c:v>44.882748443098563</c:v>
                </c:pt>
                <c:pt idx="139">
                  <c:v>44.882748443098563</c:v>
                </c:pt>
                <c:pt idx="140">
                  <c:v>44.882748443098563</c:v>
                </c:pt>
                <c:pt idx="141">
                  <c:v>44.882748443098563</c:v>
                </c:pt>
                <c:pt idx="142">
                  <c:v>44.882748443098563</c:v>
                </c:pt>
                <c:pt idx="143">
                  <c:v>44.882748443098563</c:v>
                </c:pt>
                <c:pt idx="144">
                  <c:v>44.882748443098563</c:v>
                </c:pt>
                <c:pt idx="145">
                  <c:v>44.882748443098563</c:v>
                </c:pt>
                <c:pt idx="146">
                  <c:v>44.882748443098563</c:v>
                </c:pt>
                <c:pt idx="147">
                  <c:v>44.882748443098563</c:v>
                </c:pt>
                <c:pt idx="148">
                  <c:v>44.882748443098563</c:v>
                </c:pt>
                <c:pt idx="149">
                  <c:v>44.882748443098563</c:v>
                </c:pt>
                <c:pt idx="150">
                  <c:v>44.882748443098563</c:v>
                </c:pt>
                <c:pt idx="151">
                  <c:v>44.882748443098563</c:v>
                </c:pt>
                <c:pt idx="152">
                  <c:v>44.882748443098563</c:v>
                </c:pt>
                <c:pt idx="153">
                  <c:v>44.882748443098563</c:v>
                </c:pt>
                <c:pt idx="154">
                  <c:v>44.882748443098563</c:v>
                </c:pt>
                <c:pt idx="155">
                  <c:v>44.882748443098563</c:v>
                </c:pt>
                <c:pt idx="156">
                  <c:v>44.882748443098563</c:v>
                </c:pt>
                <c:pt idx="157">
                  <c:v>44.882748443098563</c:v>
                </c:pt>
                <c:pt idx="158">
                  <c:v>44.882748443098563</c:v>
                </c:pt>
                <c:pt idx="159">
                  <c:v>44.882748443098563</c:v>
                </c:pt>
                <c:pt idx="160">
                  <c:v>44.882748443098563</c:v>
                </c:pt>
                <c:pt idx="161">
                  <c:v>44.882748443098563</c:v>
                </c:pt>
                <c:pt idx="162">
                  <c:v>44.882748443098563</c:v>
                </c:pt>
                <c:pt idx="163">
                  <c:v>44.882748443098563</c:v>
                </c:pt>
                <c:pt idx="164">
                  <c:v>44.882748443098563</c:v>
                </c:pt>
                <c:pt idx="165">
                  <c:v>44.882748443098563</c:v>
                </c:pt>
                <c:pt idx="166">
                  <c:v>44.882748443098563</c:v>
                </c:pt>
                <c:pt idx="167">
                  <c:v>44.882748443098563</c:v>
                </c:pt>
                <c:pt idx="168">
                  <c:v>44.882748443098563</c:v>
                </c:pt>
                <c:pt idx="169">
                  <c:v>44.882748443098563</c:v>
                </c:pt>
                <c:pt idx="170">
                  <c:v>44.882748443098563</c:v>
                </c:pt>
                <c:pt idx="171">
                  <c:v>44.882748443098563</c:v>
                </c:pt>
                <c:pt idx="172">
                  <c:v>44.882748443098563</c:v>
                </c:pt>
                <c:pt idx="173">
                  <c:v>44.882748443098563</c:v>
                </c:pt>
                <c:pt idx="174">
                  <c:v>44.882748443098563</c:v>
                </c:pt>
                <c:pt idx="175">
                  <c:v>44.882748443098563</c:v>
                </c:pt>
                <c:pt idx="176">
                  <c:v>44.882748443098563</c:v>
                </c:pt>
                <c:pt idx="177">
                  <c:v>44.882748443098563</c:v>
                </c:pt>
                <c:pt idx="178">
                  <c:v>44.882748443098563</c:v>
                </c:pt>
                <c:pt idx="179">
                  <c:v>44.882748443098563</c:v>
                </c:pt>
                <c:pt idx="180">
                  <c:v>44.882748443098563</c:v>
                </c:pt>
                <c:pt idx="181">
                  <c:v>44.882748443098563</c:v>
                </c:pt>
                <c:pt idx="182">
                  <c:v>44.882748443098563</c:v>
                </c:pt>
                <c:pt idx="183">
                  <c:v>44.882748443098563</c:v>
                </c:pt>
                <c:pt idx="184">
                  <c:v>44.882748443098563</c:v>
                </c:pt>
                <c:pt idx="185">
                  <c:v>44.882748443098563</c:v>
                </c:pt>
                <c:pt idx="186">
                  <c:v>44.882748443098563</c:v>
                </c:pt>
                <c:pt idx="187">
                  <c:v>44.882748443098563</c:v>
                </c:pt>
                <c:pt idx="188">
                  <c:v>44.882748443098563</c:v>
                </c:pt>
                <c:pt idx="189">
                  <c:v>44.882748443098563</c:v>
                </c:pt>
                <c:pt idx="190">
                  <c:v>44.882748443098563</c:v>
                </c:pt>
                <c:pt idx="191">
                  <c:v>44.882748443098563</c:v>
                </c:pt>
                <c:pt idx="192">
                  <c:v>44.882748443098563</c:v>
                </c:pt>
                <c:pt idx="193">
                  <c:v>44.882748443098563</c:v>
                </c:pt>
                <c:pt idx="194">
                  <c:v>44.882748443098563</c:v>
                </c:pt>
                <c:pt idx="195">
                  <c:v>44.882748443098563</c:v>
                </c:pt>
                <c:pt idx="196">
                  <c:v>44.882748443098563</c:v>
                </c:pt>
                <c:pt idx="197">
                  <c:v>44.882748443098563</c:v>
                </c:pt>
                <c:pt idx="198">
                  <c:v>44.882748443098563</c:v>
                </c:pt>
                <c:pt idx="199">
                  <c:v>44.882748443098563</c:v>
                </c:pt>
                <c:pt idx="200">
                  <c:v>44.882748443098563</c:v>
                </c:pt>
                <c:pt idx="201">
                  <c:v>44.882748443098563</c:v>
                </c:pt>
                <c:pt idx="202">
                  <c:v>44.882748443098563</c:v>
                </c:pt>
                <c:pt idx="203">
                  <c:v>44.882748443098563</c:v>
                </c:pt>
                <c:pt idx="204">
                  <c:v>44.882748443098563</c:v>
                </c:pt>
                <c:pt idx="205">
                  <c:v>44.882748443098563</c:v>
                </c:pt>
                <c:pt idx="206">
                  <c:v>44.882748443098563</c:v>
                </c:pt>
                <c:pt idx="207">
                  <c:v>44.882748443098563</c:v>
                </c:pt>
                <c:pt idx="208">
                  <c:v>44.882748443098563</c:v>
                </c:pt>
                <c:pt idx="209">
                  <c:v>44.882748443098563</c:v>
                </c:pt>
                <c:pt idx="210">
                  <c:v>44.882748443098563</c:v>
                </c:pt>
                <c:pt idx="211">
                  <c:v>44.882748443098563</c:v>
                </c:pt>
                <c:pt idx="212">
                  <c:v>44.882748443098563</c:v>
                </c:pt>
                <c:pt idx="213">
                  <c:v>44.882748443098563</c:v>
                </c:pt>
                <c:pt idx="214">
                  <c:v>44.882748443098563</c:v>
                </c:pt>
                <c:pt idx="215">
                  <c:v>44.882748443098563</c:v>
                </c:pt>
                <c:pt idx="216">
                  <c:v>44.882748443098563</c:v>
                </c:pt>
                <c:pt idx="217">
                  <c:v>44.882748443098563</c:v>
                </c:pt>
                <c:pt idx="218">
                  <c:v>44.882748443098563</c:v>
                </c:pt>
                <c:pt idx="219">
                  <c:v>44.882748443098563</c:v>
                </c:pt>
                <c:pt idx="220">
                  <c:v>44.882748443098563</c:v>
                </c:pt>
                <c:pt idx="221">
                  <c:v>44.882748443098563</c:v>
                </c:pt>
                <c:pt idx="222">
                  <c:v>44.882748443098563</c:v>
                </c:pt>
                <c:pt idx="223">
                  <c:v>44.882748443098563</c:v>
                </c:pt>
                <c:pt idx="224">
                  <c:v>44.882748443098563</c:v>
                </c:pt>
                <c:pt idx="225">
                  <c:v>44.882748443098563</c:v>
                </c:pt>
                <c:pt idx="226">
                  <c:v>44.882748443098563</c:v>
                </c:pt>
                <c:pt idx="227">
                  <c:v>44.882748443098563</c:v>
                </c:pt>
                <c:pt idx="228">
                  <c:v>44.882748443098563</c:v>
                </c:pt>
                <c:pt idx="229">
                  <c:v>44.882748443098563</c:v>
                </c:pt>
                <c:pt idx="230">
                  <c:v>44.882748443098563</c:v>
                </c:pt>
                <c:pt idx="231">
                  <c:v>44.882748443098563</c:v>
                </c:pt>
                <c:pt idx="232">
                  <c:v>44.882748443098563</c:v>
                </c:pt>
                <c:pt idx="233">
                  <c:v>44.882748443098563</c:v>
                </c:pt>
                <c:pt idx="234">
                  <c:v>44.882748443098563</c:v>
                </c:pt>
                <c:pt idx="235">
                  <c:v>44.882748443098563</c:v>
                </c:pt>
                <c:pt idx="236">
                  <c:v>44.882748443098563</c:v>
                </c:pt>
                <c:pt idx="237">
                  <c:v>44.882748443098563</c:v>
                </c:pt>
                <c:pt idx="238">
                  <c:v>44.882748443098563</c:v>
                </c:pt>
                <c:pt idx="239">
                  <c:v>44.882748443098563</c:v>
                </c:pt>
                <c:pt idx="240">
                  <c:v>44.882748443098563</c:v>
                </c:pt>
                <c:pt idx="241">
                  <c:v>44.882748443098563</c:v>
                </c:pt>
                <c:pt idx="242">
                  <c:v>44.882748443098563</c:v>
                </c:pt>
                <c:pt idx="243">
                  <c:v>44.882748443098563</c:v>
                </c:pt>
                <c:pt idx="244">
                  <c:v>44.882748443098563</c:v>
                </c:pt>
                <c:pt idx="245">
                  <c:v>44.882748443098563</c:v>
                </c:pt>
                <c:pt idx="246">
                  <c:v>44.882748443098563</c:v>
                </c:pt>
                <c:pt idx="247">
                  <c:v>44.882748443098563</c:v>
                </c:pt>
                <c:pt idx="248">
                  <c:v>44.882748443098563</c:v>
                </c:pt>
                <c:pt idx="249">
                  <c:v>44.882748443098563</c:v>
                </c:pt>
                <c:pt idx="250">
                  <c:v>44.882748443098563</c:v>
                </c:pt>
                <c:pt idx="251">
                  <c:v>44.882748443098563</c:v>
                </c:pt>
                <c:pt idx="252">
                  <c:v>44.882748443098563</c:v>
                </c:pt>
                <c:pt idx="253">
                  <c:v>44.882748443098563</c:v>
                </c:pt>
                <c:pt idx="254">
                  <c:v>44.882748443098563</c:v>
                </c:pt>
                <c:pt idx="255">
                  <c:v>44.882748443098563</c:v>
                </c:pt>
                <c:pt idx="256">
                  <c:v>44.882748443098563</c:v>
                </c:pt>
                <c:pt idx="257">
                  <c:v>44.882748443098563</c:v>
                </c:pt>
                <c:pt idx="258">
                  <c:v>44.882748443098563</c:v>
                </c:pt>
                <c:pt idx="259">
                  <c:v>44.882748443098563</c:v>
                </c:pt>
                <c:pt idx="260">
                  <c:v>44.882748443098563</c:v>
                </c:pt>
                <c:pt idx="261">
                  <c:v>44.882748443098563</c:v>
                </c:pt>
                <c:pt idx="262">
                  <c:v>44.882748443098563</c:v>
                </c:pt>
                <c:pt idx="263">
                  <c:v>44.882748443098563</c:v>
                </c:pt>
                <c:pt idx="264">
                  <c:v>44.882748443098563</c:v>
                </c:pt>
                <c:pt idx="265">
                  <c:v>44.882748443098563</c:v>
                </c:pt>
                <c:pt idx="266">
                  <c:v>44.882748443098563</c:v>
                </c:pt>
                <c:pt idx="267">
                  <c:v>44.882748443098563</c:v>
                </c:pt>
                <c:pt idx="268">
                  <c:v>44.882748443098563</c:v>
                </c:pt>
                <c:pt idx="269">
                  <c:v>44.882748443098563</c:v>
                </c:pt>
                <c:pt idx="270">
                  <c:v>44.882748443098563</c:v>
                </c:pt>
                <c:pt idx="271">
                  <c:v>44.882748443098563</c:v>
                </c:pt>
                <c:pt idx="272">
                  <c:v>44.882748443098563</c:v>
                </c:pt>
                <c:pt idx="273">
                  <c:v>44.882748443098563</c:v>
                </c:pt>
                <c:pt idx="274">
                  <c:v>44.882748443098563</c:v>
                </c:pt>
                <c:pt idx="275">
                  <c:v>44.882748443098563</c:v>
                </c:pt>
                <c:pt idx="276">
                  <c:v>44.882748443098563</c:v>
                </c:pt>
                <c:pt idx="277">
                  <c:v>44.882748443098563</c:v>
                </c:pt>
                <c:pt idx="278">
                  <c:v>44.882748443098563</c:v>
                </c:pt>
                <c:pt idx="279">
                  <c:v>44.882748443098563</c:v>
                </c:pt>
                <c:pt idx="280">
                  <c:v>44.882748443098563</c:v>
                </c:pt>
                <c:pt idx="281">
                  <c:v>44.882748443098563</c:v>
                </c:pt>
                <c:pt idx="282">
                  <c:v>44.882748443098563</c:v>
                </c:pt>
                <c:pt idx="283">
                  <c:v>44.882748443098563</c:v>
                </c:pt>
                <c:pt idx="284">
                  <c:v>44.882748443098563</c:v>
                </c:pt>
                <c:pt idx="285">
                  <c:v>44.882748443098563</c:v>
                </c:pt>
                <c:pt idx="286">
                  <c:v>44.882748443098563</c:v>
                </c:pt>
                <c:pt idx="287">
                  <c:v>44.882748443098563</c:v>
                </c:pt>
                <c:pt idx="288">
                  <c:v>44.882748443098563</c:v>
                </c:pt>
                <c:pt idx="289">
                  <c:v>44.882748443098563</c:v>
                </c:pt>
                <c:pt idx="290">
                  <c:v>44.882748443098563</c:v>
                </c:pt>
                <c:pt idx="291">
                  <c:v>44.882748443098563</c:v>
                </c:pt>
                <c:pt idx="292">
                  <c:v>44.882748443098563</c:v>
                </c:pt>
                <c:pt idx="293">
                  <c:v>44.882748443098563</c:v>
                </c:pt>
                <c:pt idx="294">
                  <c:v>44.882748443098563</c:v>
                </c:pt>
                <c:pt idx="295">
                  <c:v>44.882748443098563</c:v>
                </c:pt>
                <c:pt idx="296">
                  <c:v>44.882748443098563</c:v>
                </c:pt>
                <c:pt idx="297">
                  <c:v>44.882748443098563</c:v>
                </c:pt>
                <c:pt idx="298">
                  <c:v>44.882748443098563</c:v>
                </c:pt>
                <c:pt idx="299">
                  <c:v>44.882748443098563</c:v>
                </c:pt>
                <c:pt idx="300">
                  <c:v>44.882748443098563</c:v>
                </c:pt>
                <c:pt idx="301">
                  <c:v>44.882748443098563</c:v>
                </c:pt>
                <c:pt idx="302">
                  <c:v>44.882748443098563</c:v>
                </c:pt>
                <c:pt idx="303">
                  <c:v>44.882748443098563</c:v>
                </c:pt>
                <c:pt idx="304">
                  <c:v>44.882748443098563</c:v>
                </c:pt>
                <c:pt idx="305">
                  <c:v>44.882748443098563</c:v>
                </c:pt>
                <c:pt idx="306">
                  <c:v>44.882748443098563</c:v>
                </c:pt>
                <c:pt idx="307">
                  <c:v>44.882748443098563</c:v>
                </c:pt>
                <c:pt idx="308">
                  <c:v>44.882748443098563</c:v>
                </c:pt>
                <c:pt idx="309">
                  <c:v>44.882748443098563</c:v>
                </c:pt>
                <c:pt idx="310">
                  <c:v>44.882748443098563</c:v>
                </c:pt>
                <c:pt idx="311">
                  <c:v>44.882748443098563</c:v>
                </c:pt>
                <c:pt idx="312">
                  <c:v>44.882748443098563</c:v>
                </c:pt>
                <c:pt idx="313">
                  <c:v>44.882748443098563</c:v>
                </c:pt>
                <c:pt idx="314">
                  <c:v>44.882748443098563</c:v>
                </c:pt>
                <c:pt idx="315">
                  <c:v>44.882748443098563</c:v>
                </c:pt>
                <c:pt idx="316">
                  <c:v>44.882748443098563</c:v>
                </c:pt>
                <c:pt idx="317">
                  <c:v>44.882748443098563</c:v>
                </c:pt>
                <c:pt idx="318">
                  <c:v>44.882748443098563</c:v>
                </c:pt>
                <c:pt idx="319">
                  <c:v>44.882748443098563</c:v>
                </c:pt>
                <c:pt idx="320">
                  <c:v>44.882748443098563</c:v>
                </c:pt>
                <c:pt idx="321">
                  <c:v>44.882748443098563</c:v>
                </c:pt>
                <c:pt idx="322">
                  <c:v>44.882748443098563</c:v>
                </c:pt>
                <c:pt idx="323">
                  <c:v>44.882748443098563</c:v>
                </c:pt>
                <c:pt idx="324">
                  <c:v>44.882748443098563</c:v>
                </c:pt>
                <c:pt idx="325">
                  <c:v>44.882748443098563</c:v>
                </c:pt>
                <c:pt idx="326">
                  <c:v>44.882748443098563</c:v>
                </c:pt>
                <c:pt idx="327">
                  <c:v>44.882748443098563</c:v>
                </c:pt>
                <c:pt idx="328">
                  <c:v>44.882748443098563</c:v>
                </c:pt>
                <c:pt idx="329">
                  <c:v>44.882748443098563</c:v>
                </c:pt>
                <c:pt idx="330">
                  <c:v>44.882748443098563</c:v>
                </c:pt>
                <c:pt idx="331">
                  <c:v>44.882748443098563</c:v>
                </c:pt>
                <c:pt idx="332">
                  <c:v>44.882748443098563</c:v>
                </c:pt>
                <c:pt idx="333">
                  <c:v>44.882748443098563</c:v>
                </c:pt>
                <c:pt idx="334">
                  <c:v>44.882748443098563</c:v>
                </c:pt>
                <c:pt idx="335">
                  <c:v>44.882748443098563</c:v>
                </c:pt>
                <c:pt idx="336">
                  <c:v>44.882748443098563</c:v>
                </c:pt>
                <c:pt idx="337">
                  <c:v>44.882748443098563</c:v>
                </c:pt>
                <c:pt idx="338">
                  <c:v>44.882748443098563</c:v>
                </c:pt>
                <c:pt idx="339">
                  <c:v>44.882748443098563</c:v>
                </c:pt>
                <c:pt idx="340">
                  <c:v>44.882748443098563</c:v>
                </c:pt>
                <c:pt idx="341">
                  <c:v>44.882748443098563</c:v>
                </c:pt>
                <c:pt idx="342">
                  <c:v>44.882748443098563</c:v>
                </c:pt>
                <c:pt idx="343">
                  <c:v>44.882748443098563</c:v>
                </c:pt>
                <c:pt idx="344">
                  <c:v>44.882748443098563</c:v>
                </c:pt>
                <c:pt idx="345">
                  <c:v>44.882748443098563</c:v>
                </c:pt>
                <c:pt idx="346">
                  <c:v>44.882748443098563</c:v>
                </c:pt>
                <c:pt idx="347">
                  <c:v>44.882748443098563</c:v>
                </c:pt>
                <c:pt idx="348">
                  <c:v>44.882748443098563</c:v>
                </c:pt>
                <c:pt idx="349">
                  <c:v>44.882748443098563</c:v>
                </c:pt>
                <c:pt idx="350">
                  <c:v>44.882748443098563</c:v>
                </c:pt>
                <c:pt idx="351">
                  <c:v>44.882748443098563</c:v>
                </c:pt>
              </c:numCache>
            </c:numRef>
          </c:yVal>
          <c:smooth val="0"/>
          <c:extLst>
            <c:ext xmlns:c16="http://schemas.microsoft.com/office/drawing/2014/chart" uri="{C3380CC4-5D6E-409C-BE32-E72D297353CC}">
              <c16:uniqueId val="{00000003-BDAD-4013-9EEB-B3D06E19465F}"/>
            </c:ext>
          </c:extLst>
        </c:ser>
        <c:ser>
          <c:idx val="4"/>
          <c:order val="4"/>
          <c:spPr>
            <a:ln>
              <a:solidFill>
                <a:srgbClr val="FF0000"/>
              </a:solidFill>
              <a:prstDash val="dash"/>
            </a:ln>
          </c:spPr>
          <c:marker>
            <c:symbol val="none"/>
          </c:marker>
          <c:xVal>
            <c:strRef>
              <c:f>'Levey Jennings'!$B$35:$B$386</c:f>
              <c:strCache>
                <c:ptCount val="17"/>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strCache>
            </c:strRef>
          </c:xVal>
          <c:yVal>
            <c:numRef>
              <c:f>'Levey Jennings'!$L$35:$L$387</c:f>
              <c:numCache>
                <c:formatCode>0.000</c:formatCode>
                <c:ptCount val="353"/>
                <c:pt idx="0">
                  <c:v>42.630005017589021</c:v>
                </c:pt>
                <c:pt idx="1">
                  <c:v>42.630005017589021</c:v>
                </c:pt>
                <c:pt idx="2">
                  <c:v>42.630005017589021</c:v>
                </c:pt>
                <c:pt idx="3">
                  <c:v>42.630005017589021</c:v>
                </c:pt>
                <c:pt idx="4">
                  <c:v>42.630005017589021</c:v>
                </c:pt>
                <c:pt idx="5">
                  <c:v>42.630005017589021</c:v>
                </c:pt>
                <c:pt idx="6">
                  <c:v>42.630005017589021</c:v>
                </c:pt>
                <c:pt idx="7">
                  <c:v>42.630005017589021</c:v>
                </c:pt>
                <c:pt idx="8">
                  <c:v>42.630005017589021</c:v>
                </c:pt>
                <c:pt idx="9">
                  <c:v>42.630005017589021</c:v>
                </c:pt>
                <c:pt idx="10">
                  <c:v>42.630005017589021</c:v>
                </c:pt>
                <c:pt idx="11">
                  <c:v>42.630005017589021</c:v>
                </c:pt>
                <c:pt idx="12">
                  <c:v>42.630005017589021</c:v>
                </c:pt>
                <c:pt idx="13">
                  <c:v>42.630005017589021</c:v>
                </c:pt>
                <c:pt idx="14">
                  <c:v>42.630005017589021</c:v>
                </c:pt>
                <c:pt idx="15">
                  <c:v>42.630005017589021</c:v>
                </c:pt>
                <c:pt idx="16">
                  <c:v>42.630005017589021</c:v>
                </c:pt>
                <c:pt idx="17">
                  <c:v>42.630005017589021</c:v>
                </c:pt>
                <c:pt idx="18">
                  <c:v>42.630005017589021</c:v>
                </c:pt>
                <c:pt idx="19">
                  <c:v>42.630005017589021</c:v>
                </c:pt>
                <c:pt idx="20">
                  <c:v>42.630005017589021</c:v>
                </c:pt>
                <c:pt idx="21">
                  <c:v>42.630005017589021</c:v>
                </c:pt>
                <c:pt idx="22">
                  <c:v>42.630005017589021</c:v>
                </c:pt>
                <c:pt idx="23">
                  <c:v>42.630005017589021</c:v>
                </c:pt>
                <c:pt idx="24">
                  <c:v>42.630005017589021</c:v>
                </c:pt>
                <c:pt idx="25">
                  <c:v>42.630005017589021</c:v>
                </c:pt>
                <c:pt idx="26">
                  <c:v>42.630005017589021</c:v>
                </c:pt>
                <c:pt idx="27">
                  <c:v>42.630005017589021</c:v>
                </c:pt>
                <c:pt idx="28">
                  <c:v>42.630005017589021</c:v>
                </c:pt>
                <c:pt idx="29">
                  <c:v>42.630005017589021</c:v>
                </c:pt>
                <c:pt idx="30">
                  <c:v>42.630005017589021</c:v>
                </c:pt>
                <c:pt idx="31">
                  <c:v>42.630005017589021</c:v>
                </c:pt>
                <c:pt idx="32">
                  <c:v>42.630005017589021</c:v>
                </c:pt>
                <c:pt idx="33">
                  <c:v>42.630005017589021</c:v>
                </c:pt>
                <c:pt idx="34">
                  <c:v>42.630005017589021</c:v>
                </c:pt>
                <c:pt idx="35">
                  <c:v>42.630005017589021</c:v>
                </c:pt>
                <c:pt idx="36">
                  <c:v>42.630005017589021</c:v>
                </c:pt>
                <c:pt idx="37">
                  <c:v>42.630005017589021</c:v>
                </c:pt>
                <c:pt idx="38">
                  <c:v>42.630005017589021</c:v>
                </c:pt>
                <c:pt idx="39">
                  <c:v>42.630005017589021</c:v>
                </c:pt>
                <c:pt idx="40">
                  <c:v>42.630005017589021</c:v>
                </c:pt>
                <c:pt idx="41">
                  <c:v>42.630005017589021</c:v>
                </c:pt>
                <c:pt idx="42">
                  <c:v>42.630005017589021</c:v>
                </c:pt>
                <c:pt idx="43">
                  <c:v>42.630005017589021</c:v>
                </c:pt>
                <c:pt idx="44">
                  <c:v>42.630005017589021</c:v>
                </c:pt>
                <c:pt idx="45">
                  <c:v>42.630005017589021</c:v>
                </c:pt>
                <c:pt idx="46">
                  <c:v>42.630005017589021</c:v>
                </c:pt>
                <c:pt idx="47">
                  <c:v>42.630005017589021</c:v>
                </c:pt>
                <c:pt idx="48">
                  <c:v>42.630005017589021</c:v>
                </c:pt>
                <c:pt idx="49">
                  <c:v>42.630005017589021</c:v>
                </c:pt>
                <c:pt idx="50">
                  <c:v>42.630005017589021</c:v>
                </c:pt>
                <c:pt idx="51">
                  <c:v>42.630005017589021</c:v>
                </c:pt>
                <c:pt idx="52">
                  <c:v>42.630005017589021</c:v>
                </c:pt>
                <c:pt idx="53">
                  <c:v>42.630005017589021</c:v>
                </c:pt>
                <c:pt idx="54">
                  <c:v>42.630005017589021</c:v>
                </c:pt>
                <c:pt idx="55">
                  <c:v>42.630005017589021</c:v>
                </c:pt>
                <c:pt idx="56">
                  <c:v>42.630005017589021</c:v>
                </c:pt>
                <c:pt idx="57">
                  <c:v>42.630005017589021</c:v>
                </c:pt>
                <c:pt idx="58">
                  <c:v>42.630005017589021</c:v>
                </c:pt>
                <c:pt idx="59">
                  <c:v>42.630005017589021</c:v>
                </c:pt>
                <c:pt idx="60">
                  <c:v>42.630005017589021</c:v>
                </c:pt>
                <c:pt idx="61">
                  <c:v>42.630005017589021</c:v>
                </c:pt>
                <c:pt idx="62">
                  <c:v>42.630005017589021</c:v>
                </c:pt>
                <c:pt idx="63">
                  <c:v>42.630005017589021</c:v>
                </c:pt>
                <c:pt idx="64">
                  <c:v>42.630005017589021</c:v>
                </c:pt>
                <c:pt idx="65">
                  <c:v>42.630005017589021</c:v>
                </c:pt>
                <c:pt idx="66">
                  <c:v>42.630005017589021</c:v>
                </c:pt>
                <c:pt idx="67">
                  <c:v>42.630005017589021</c:v>
                </c:pt>
                <c:pt idx="68">
                  <c:v>42.630005017589021</c:v>
                </c:pt>
                <c:pt idx="69">
                  <c:v>42.630005017589021</c:v>
                </c:pt>
                <c:pt idx="70">
                  <c:v>42.630005017589021</c:v>
                </c:pt>
                <c:pt idx="71">
                  <c:v>42.630005017589021</c:v>
                </c:pt>
                <c:pt idx="72">
                  <c:v>42.630005017589021</c:v>
                </c:pt>
                <c:pt idx="73">
                  <c:v>42.630005017589021</c:v>
                </c:pt>
                <c:pt idx="74">
                  <c:v>42.630005017589021</c:v>
                </c:pt>
                <c:pt idx="75">
                  <c:v>42.630005017589021</c:v>
                </c:pt>
                <c:pt idx="76">
                  <c:v>42.630005017589021</c:v>
                </c:pt>
                <c:pt idx="77">
                  <c:v>42.630005017589021</c:v>
                </c:pt>
                <c:pt idx="78">
                  <c:v>42.630005017589021</c:v>
                </c:pt>
                <c:pt idx="79">
                  <c:v>42.630005017589021</c:v>
                </c:pt>
                <c:pt idx="80">
                  <c:v>42.630005017589021</c:v>
                </c:pt>
                <c:pt idx="81">
                  <c:v>42.630005017589021</c:v>
                </c:pt>
                <c:pt idx="82">
                  <c:v>42.630005017589021</c:v>
                </c:pt>
                <c:pt idx="83">
                  <c:v>42.630005017589021</c:v>
                </c:pt>
                <c:pt idx="84">
                  <c:v>42.630005017589021</c:v>
                </c:pt>
                <c:pt idx="85">
                  <c:v>42.630005017589021</c:v>
                </c:pt>
                <c:pt idx="86">
                  <c:v>42.630005017589021</c:v>
                </c:pt>
                <c:pt idx="87">
                  <c:v>42.630005017589021</c:v>
                </c:pt>
                <c:pt idx="88">
                  <c:v>42.630005017589021</c:v>
                </c:pt>
                <c:pt idx="89">
                  <c:v>42.630005017589021</c:v>
                </c:pt>
                <c:pt idx="90">
                  <c:v>42.630005017589021</c:v>
                </c:pt>
                <c:pt idx="91">
                  <c:v>42.630005017589021</c:v>
                </c:pt>
                <c:pt idx="92">
                  <c:v>42.630005017589021</c:v>
                </c:pt>
                <c:pt idx="93">
                  <c:v>42.630005017589021</c:v>
                </c:pt>
                <c:pt idx="94">
                  <c:v>42.630005017589021</c:v>
                </c:pt>
                <c:pt idx="95">
                  <c:v>42.630005017589021</c:v>
                </c:pt>
                <c:pt idx="96">
                  <c:v>42.630005017589021</c:v>
                </c:pt>
                <c:pt idx="97">
                  <c:v>42.630005017589021</c:v>
                </c:pt>
                <c:pt idx="98">
                  <c:v>42.630005017589021</c:v>
                </c:pt>
                <c:pt idx="99">
                  <c:v>42.630005017589021</c:v>
                </c:pt>
                <c:pt idx="100">
                  <c:v>42.630005017589021</c:v>
                </c:pt>
                <c:pt idx="101">
                  <c:v>42.630005017589021</c:v>
                </c:pt>
                <c:pt idx="102">
                  <c:v>42.630005017589021</c:v>
                </c:pt>
                <c:pt idx="103">
                  <c:v>42.630005017589021</c:v>
                </c:pt>
                <c:pt idx="104">
                  <c:v>42.630005017589021</c:v>
                </c:pt>
                <c:pt idx="105">
                  <c:v>42.630005017589021</c:v>
                </c:pt>
                <c:pt idx="106">
                  <c:v>42.630005017589021</c:v>
                </c:pt>
                <c:pt idx="107">
                  <c:v>42.630005017589021</c:v>
                </c:pt>
                <c:pt idx="108">
                  <c:v>42.630005017589021</c:v>
                </c:pt>
                <c:pt idx="109">
                  <c:v>42.630005017589021</c:v>
                </c:pt>
                <c:pt idx="110">
                  <c:v>42.630005017589021</c:v>
                </c:pt>
                <c:pt idx="111">
                  <c:v>42.630005017589021</c:v>
                </c:pt>
                <c:pt idx="112">
                  <c:v>42.630005017589021</c:v>
                </c:pt>
                <c:pt idx="113">
                  <c:v>42.630005017589021</c:v>
                </c:pt>
                <c:pt idx="114">
                  <c:v>42.630005017589021</c:v>
                </c:pt>
                <c:pt idx="115">
                  <c:v>42.630005017589021</c:v>
                </c:pt>
                <c:pt idx="116">
                  <c:v>42.630005017589021</c:v>
                </c:pt>
                <c:pt idx="117">
                  <c:v>42.630005017589021</c:v>
                </c:pt>
                <c:pt idx="118">
                  <c:v>42.630005017589021</c:v>
                </c:pt>
                <c:pt idx="119">
                  <c:v>42.630005017589021</c:v>
                </c:pt>
                <c:pt idx="120">
                  <c:v>42.630005017589021</c:v>
                </c:pt>
                <c:pt idx="121">
                  <c:v>42.630005017589021</c:v>
                </c:pt>
                <c:pt idx="122">
                  <c:v>42.630005017589021</c:v>
                </c:pt>
                <c:pt idx="123">
                  <c:v>42.630005017589021</c:v>
                </c:pt>
                <c:pt idx="124">
                  <c:v>42.630005017589021</c:v>
                </c:pt>
                <c:pt idx="125">
                  <c:v>42.630005017589021</c:v>
                </c:pt>
                <c:pt idx="126">
                  <c:v>42.630005017589021</c:v>
                </c:pt>
                <c:pt idx="127">
                  <c:v>42.630005017589021</c:v>
                </c:pt>
                <c:pt idx="128">
                  <c:v>42.630005017589021</c:v>
                </c:pt>
                <c:pt idx="129">
                  <c:v>42.630005017589021</c:v>
                </c:pt>
                <c:pt idx="130">
                  <c:v>42.630005017589021</c:v>
                </c:pt>
                <c:pt idx="131">
                  <c:v>42.630005017589021</c:v>
                </c:pt>
                <c:pt idx="132">
                  <c:v>42.630005017589021</c:v>
                </c:pt>
                <c:pt idx="133">
                  <c:v>42.630005017589021</c:v>
                </c:pt>
                <c:pt idx="134">
                  <c:v>42.630005017589021</c:v>
                </c:pt>
                <c:pt idx="135">
                  <c:v>42.630005017589021</c:v>
                </c:pt>
                <c:pt idx="136">
                  <c:v>42.630005017589021</c:v>
                </c:pt>
                <c:pt idx="137">
                  <c:v>42.630005017589021</c:v>
                </c:pt>
                <c:pt idx="138">
                  <c:v>42.630005017589021</c:v>
                </c:pt>
                <c:pt idx="139">
                  <c:v>42.630005017589021</c:v>
                </c:pt>
                <c:pt idx="140">
                  <c:v>42.630005017589021</c:v>
                </c:pt>
                <c:pt idx="141">
                  <c:v>42.630005017589021</c:v>
                </c:pt>
                <c:pt idx="142">
                  <c:v>42.630005017589021</c:v>
                </c:pt>
                <c:pt idx="143">
                  <c:v>42.630005017589021</c:v>
                </c:pt>
                <c:pt idx="144">
                  <c:v>42.630005017589021</c:v>
                </c:pt>
                <c:pt idx="145">
                  <c:v>42.630005017589021</c:v>
                </c:pt>
                <c:pt idx="146">
                  <c:v>42.630005017589021</c:v>
                </c:pt>
                <c:pt idx="147">
                  <c:v>42.630005017589021</c:v>
                </c:pt>
                <c:pt idx="148">
                  <c:v>42.630005017589021</c:v>
                </c:pt>
                <c:pt idx="149">
                  <c:v>42.630005017589021</c:v>
                </c:pt>
                <c:pt idx="150">
                  <c:v>42.630005017589021</c:v>
                </c:pt>
                <c:pt idx="151">
                  <c:v>42.630005017589021</c:v>
                </c:pt>
                <c:pt idx="152">
                  <c:v>42.630005017589021</c:v>
                </c:pt>
                <c:pt idx="153">
                  <c:v>42.630005017589021</c:v>
                </c:pt>
                <c:pt idx="154">
                  <c:v>42.630005017589021</c:v>
                </c:pt>
                <c:pt idx="155">
                  <c:v>42.630005017589021</c:v>
                </c:pt>
                <c:pt idx="156">
                  <c:v>42.630005017589021</c:v>
                </c:pt>
                <c:pt idx="157">
                  <c:v>42.630005017589021</c:v>
                </c:pt>
                <c:pt idx="158">
                  <c:v>42.630005017589021</c:v>
                </c:pt>
                <c:pt idx="159">
                  <c:v>42.630005017589021</c:v>
                </c:pt>
                <c:pt idx="160">
                  <c:v>42.630005017589021</c:v>
                </c:pt>
                <c:pt idx="161">
                  <c:v>42.630005017589021</c:v>
                </c:pt>
                <c:pt idx="162">
                  <c:v>42.630005017589021</c:v>
                </c:pt>
                <c:pt idx="163">
                  <c:v>42.630005017589021</c:v>
                </c:pt>
                <c:pt idx="164">
                  <c:v>42.630005017589021</c:v>
                </c:pt>
                <c:pt idx="165">
                  <c:v>42.630005017589021</c:v>
                </c:pt>
                <c:pt idx="166">
                  <c:v>42.630005017589021</c:v>
                </c:pt>
                <c:pt idx="167">
                  <c:v>42.630005017589021</c:v>
                </c:pt>
                <c:pt idx="168">
                  <c:v>42.630005017589021</c:v>
                </c:pt>
                <c:pt idx="169">
                  <c:v>42.630005017589021</c:v>
                </c:pt>
                <c:pt idx="170">
                  <c:v>42.630005017589021</c:v>
                </c:pt>
                <c:pt idx="171">
                  <c:v>42.630005017589021</c:v>
                </c:pt>
                <c:pt idx="172">
                  <c:v>42.630005017589021</c:v>
                </c:pt>
                <c:pt idx="173">
                  <c:v>42.630005017589021</c:v>
                </c:pt>
                <c:pt idx="174">
                  <c:v>42.630005017589021</c:v>
                </c:pt>
                <c:pt idx="175">
                  <c:v>42.630005017589021</c:v>
                </c:pt>
                <c:pt idx="176">
                  <c:v>42.630005017589021</c:v>
                </c:pt>
                <c:pt idx="177">
                  <c:v>42.630005017589021</c:v>
                </c:pt>
                <c:pt idx="178">
                  <c:v>42.630005017589021</c:v>
                </c:pt>
                <c:pt idx="179">
                  <c:v>42.630005017589021</c:v>
                </c:pt>
                <c:pt idx="180">
                  <c:v>42.630005017589021</c:v>
                </c:pt>
                <c:pt idx="181">
                  <c:v>42.630005017589021</c:v>
                </c:pt>
                <c:pt idx="182">
                  <c:v>42.630005017589021</c:v>
                </c:pt>
                <c:pt idx="183">
                  <c:v>42.630005017589021</c:v>
                </c:pt>
                <c:pt idx="184">
                  <c:v>42.630005017589021</c:v>
                </c:pt>
                <c:pt idx="185">
                  <c:v>42.630005017589021</c:v>
                </c:pt>
                <c:pt idx="186">
                  <c:v>42.630005017589021</c:v>
                </c:pt>
                <c:pt idx="187">
                  <c:v>42.630005017589021</c:v>
                </c:pt>
                <c:pt idx="188">
                  <c:v>42.630005017589021</c:v>
                </c:pt>
                <c:pt idx="189">
                  <c:v>42.630005017589021</c:v>
                </c:pt>
                <c:pt idx="190">
                  <c:v>42.630005017589021</c:v>
                </c:pt>
                <c:pt idx="191">
                  <c:v>42.630005017589021</c:v>
                </c:pt>
                <c:pt idx="192">
                  <c:v>42.630005017589021</c:v>
                </c:pt>
                <c:pt idx="193">
                  <c:v>42.630005017589021</c:v>
                </c:pt>
                <c:pt idx="194">
                  <c:v>42.630005017589021</c:v>
                </c:pt>
                <c:pt idx="195">
                  <c:v>42.630005017589021</c:v>
                </c:pt>
                <c:pt idx="196">
                  <c:v>42.630005017589021</c:v>
                </c:pt>
                <c:pt idx="197">
                  <c:v>42.630005017589021</c:v>
                </c:pt>
                <c:pt idx="198">
                  <c:v>42.630005017589021</c:v>
                </c:pt>
                <c:pt idx="199">
                  <c:v>42.630005017589021</c:v>
                </c:pt>
                <c:pt idx="200">
                  <c:v>42.630005017589021</c:v>
                </c:pt>
                <c:pt idx="201">
                  <c:v>42.630005017589021</c:v>
                </c:pt>
                <c:pt idx="202">
                  <c:v>42.630005017589021</c:v>
                </c:pt>
                <c:pt idx="203">
                  <c:v>42.630005017589021</c:v>
                </c:pt>
                <c:pt idx="204">
                  <c:v>42.630005017589021</c:v>
                </c:pt>
                <c:pt idx="205">
                  <c:v>42.630005017589021</c:v>
                </c:pt>
                <c:pt idx="206">
                  <c:v>42.630005017589021</c:v>
                </c:pt>
                <c:pt idx="207">
                  <c:v>42.630005017589021</c:v>
                </c:pt>
                <c:pt idx="208">
                  <c:v>42.630005017589021</c:v>
                </c:pt>
                <c:pt idx="209">
                  <c:v>42.630005017589021</c:v>
                </c:pt>
                <c:pt idx="210">
                  <c:v>42.630005017589021</c:v>
                </c:pt>
                <c:pt idx="211">
                  <c:v>42.630005017589021</c:v>
                </c:pt>
                <c:pt idx="212">
                  <c:v>42.630005017589021</c:v>
                </c:pt>
                <c:pt idx="213">
                  <c:v>42.630005017589021</c:v>
                </c:pt>
                <c:pt idx="214">
                  <c:v>42.630005017589021</c:v>
                </c:pt>
                <c:pt idx="215">
                  <c:v>42.630005017589021</c:v>
                </c:pt>
                <c:pt idx="216">
                  <c:v>42.630005017589021</c:v>
                </c:pt>
                <c:pt idx="217">
                  <c:v>42.630005017589021</c:v>
                </c:pt>
                <c:pt idx="218">
                  <c:v>42.630005017589021</c:v>
                </c:pt>
                <c:pt idx="219">
                  <c:v>42.630005017589021</c:v>
                </c:pt>
                <c:pt idx="220">
                  <c:v>42.630005017589021</c:v>
                </c:pt>
                <c:pt idx="221">
                  <c:v>42.630005017589021</c:v>
                </c:pt>
                <c:pt idx="222">
                  <c:v>42.630005017589021</c:v>
                </c:pt>
                <c:pt idx="223">
                  <c:v>42.630005017589021</c:v>
                </c:pt>
                <c:pt idx="224">
                  <c:v>42.630005017589021</c:v>
                </c:pt>
                <c:pt idx="225">
                  <c:v>42.630005017589021</c:v>
                </c:pt>
                <c:pt idx="226">
                  <c:v>42.630005017589021</c:v>
                </c:pt>
                <c:pt idx="227">
                  <c:v>42.630005017589021</c:v>
                </c:pt>
                <c:pt idx="228">
                  <c:v>42.630005017589021</c:v>
                </c:pt>
                <c:pt idx="229">
                  <c:v>42.630005017589021</c:v>
                </c:pt>
                <c:pt idx="230">
                  <c:v>42.630005017589021</c:v>
                </c:pt>
                <c:pt idx="231">
                  <c:v>42.630005017589021</c:v>
                </c:pt>
                <c:pt idx="232">
                  <c:v>42.630005017589021</c:v>
                </c:pt>
                <c:pt idx="233">
                  <c:v>42.630005017589021</c:v>
                </c:pt>
                <c:pt idx="234">
                  <c:v>42.630005017589021</c:v>
                </c:pt>
                <c:pt idx="235">
                  <c:v>42.630005017589021</c:v>
                </c:pt>
                <c:pt idx="236">
                  <c:v>42.630005017589021</c:v>
                </c:pt>
                <c:pt idx="237">
                  <c:v>42.630005017589021</c:v>
                </c:pt>
                <c:pt idx="238">
                  <c:v>42.630005017589021</c:v>
                </c:pt>
                <c:pt idx="239">
                  <c:v>42.630005017589021</c:v>
                </c:pt>
                <c:pt idx="240">
                  <c:v>42.630005017589021</c:v>
                </c:pt>
                <c:pt idx="241">
                  <c:v>42.630005017589021</c:v>
                </c:pt>
                <c:pt idx="242">
                  <c:v>42.630005017589021</c:v>
                </c:pt>
                <c:pt idx="243">
                  <c:v>42.630005017589021</c:v>
                </c:pt>
                <c:pt idx="244">
                  <c:v>42.630005017589021</c:v>
                </c:pt>
                <c:pt idx="245">
                  <c:v>42.630005017589021</c:v>
                </c:pt>
                <c:pt idx="246">
                  <c:v>42.630005017589021</c:v>
                </c:pt>
                <c:pt idx="247">
                  <c:v>42.630005017589021</c:v>
                </c:pt>
                <c:pt idx="248">
                  <c:v>42.630005017589021</c:v>
                </c:pt>
                <c:pt idx="249">
                  <c:v>42.630005017589021</c:v>
                </c:pt>
                <c:pt idx="250">
                  <c:v>42.630005017589021</c:v>
                </c:pt>
                <c:pt idx="251">
                  <c:v>42.630005017589021</c:v>
                </c:pt>
                <c:pt idx="252">
                  <c:v>42.630005017589021</c:v>
                </c:pt>
                <c:pt idx="253">
                  <c:v>42.630005017589021</c:v>
                </c:pt>
                <c:pt idx="254">
                  <c:v>42.630005017589021</c:v>
                </c:pt>
                <c:pt idx="255">
                  <c:v>42.630005017589021</c:v>
                </c:pt>
                <c:pt idx="256">
                  <c:v>42.630005017589021</c:v>
                </c:pt>
                <c:pt idx="257">
                  <c:v>42.630005017589021</c:v>
                </c:pt>
                <c:pt idx="258">
                  <c:v>42.630005017589021</c:v>
                </c:pt>
                <c:pt idx="259">
                  <c:v>42.630005017589021</c:v>
                </c:pt>
                <c:pt idx="260">
                  <c:v>42.630005017589021</c:v>
                </c:pt>
                <c:pt idx="261">
                  <c:v>42.630005017589021</c:v>
                </c:pt>
                <c:pt idx="262">
                  <c:v>42.630005017589021</c:v>
                </c:pt>
                <c:pt idx="263">
                  <c:v>42.630005017589021</c:v>
                </c:pt>
                <c:pt idx="264">
                  <c:v>42.630005017589021</c:v>
                </c:pt>
                <c:pt idx="265">
                  <c:v>42.630005017589021</c:v>
                </c:pt>
                <c:pt idx="266">
                  <c:v>42.630005017589021</c:v>
                </c:pt>
                <c:pt idx="267">
                  <c:v>42.630005017589021</c:v>
                </c:pt>
                <c:pt idx="268">
                  <c:v>42.630005017589021</c:v>
                </c:pt>
                <c:pt idx="269">
                  <c:v>42.630005017589021</c:v>
                </c:pt>
                <c:pt idx="270">
                  <c:v>42.630005017589021</c:v>
                </c:pt>
                <c:pt idx="271">
                  <c:v>42.630005017589021</c:v>
                </c:pt>
                <c:pt idx="272">
                  <c:v>42.630005017589021</c:v>
                </c:pt>
                <c:pt idx="273">
                  <c:v>42.630005017589021</c:v>
                </c:pt>
                <c:pt idx="274">
                  <c:v>42.630005017589021</c:v>
                </c:pt>
                <c:pt idx="275">
                  <c:v>42.630005017589021</c:v>
                </c:pt>
                <c:pt idx="276">
                  <c:v>42.630005017589021</c:v>
                </c:pt>
                <c:pt idx="277">
                  <c:v>42.630005017589021</c:v>
                </c:pt>
                <c:pt idx="278">
                  <c:v>42.630005017589021</c:v>
                </c:pt>
                <c:pt idx="279">
                  <c:v>42.630005017589021</c:v>
                </c:pt>
                <c:pt idx="280">
                  <c:v>42.630005017589021</c:v>
                </c:pt>
                <c:pt idx="281">
                  <c:v>42.630005017589021</c:v>
                </c:pt>
                <c:pt idx="282">
                  <c:v>42.630005017589021</c:v>
                </c:pt>
                <c:pt idx="283">
                  <c:v>42.630005017589021</c:v>
                </c:pt>
                <c:pt idx="284">
                  <c:v>42.630005017589021</c:v>
                </c:pt>
                <c:pt idx="285">
                  <c:v>42.630005017589021</c:v>
                </c:pt>
                <c:pt idx="286">
                  <c:v>42.630005017589021</c:v>
                </c:pt>
                <c:pt idx="287">
                  <c:v>42.630005017589021</c:v>
                </c:pt>
                <c:pt idx="288">
                  <c:v>42.630005017589021</c:v>
                </c:pt>
                <c:pt idx="289">
                  <c:v>42.630005017589021</c:v>
                </c:pt>
                <c:pt idx="290">
                  <c:v>42.630005017589021</c:v>
                </c:pt>
                <c:pt idx="291">
                  <c:v>42.630005017589021</c:v>
                </c:pt>
                <c:pt idx="292">
                  <c:v>42.630005017589021</c:v>
                </c:pt>
                <c:pt idx="293">
                  <c:v>42.630005017589021</c:v>
                </c:pt>
                <c:pt idx="294">
                  <c:v>42.630005017589021</c:v>
                </c:pt>
                <c:pt idx="295">
                  <c:v>42.630005017589021</c:v>
                </c:pt>
                <c:pt idx="296">
                  <c:v>42.630005017589021</c:v>
                </c:pt>
                <c:pt idx="297">
                  <c:v>42.630005017589021</c:v>
                </c:pt>
                <c:pt idx="298">
                  <c:v>42.630005017589021</c:v>
                </c:pt>
                <c:pt idx="299">
                  <c:v>42.630005017589021</c:v>
                </c:pt>
                <c:pt idx="300">
                  <c:v>42.630005017589021</c:v>
                </c:pt>
                <c:pt idx="301">
                  <c:v>42.630005017589021</c:v>
                </c:pt>
                <c:pt idx="302">
                  <c:v>42.630005017589021</c:v>
                </c:pt>
                <c:pt idx="303">
                  <c:v>42.630005017589021</c:v>
                </c:pt>
                <c:pt idx="304">
                  <c:v>42.630005017589021</c:v>
                </c:pt>
                <c:pt idx="305">
                  <c:v>42.630005017589021</c:v>
                </c:pt>
                <c:pt idx="306">
                  <c:v>42.630005017589021</c:v>
                </c:pt>
                <c:pt idx="307">
                  <c:v>42.630005017589021</c:v>
                </c:pt>
                <c:pt idx="308">
                  <c:v>42.630005017589021</c:v>
                </c:pt>
                <c:pt idx="309">
                  <c:v>42.630005017589021</c:v>
                </c:pt>
                <c:pt idx="310">
                  <c:v>42.630005017589021</c:v>
                </c:pt>
                <c:pt idx="311">
                  <c:v>42.630005017589021</c:v>
                </c:pt>
                <c:pt idx="312">
                  <c:v>42.630005017589021</c:v>
                </c:pt>
                <c:pt idx="313">
                  <c:v>42.630005017589021</c:v>
                </c:pt>
                <c:pt idx="314">
                  <c:v>42.630005017589021</c:v>
                </c:pt>
                <c:pt idx="315">
                  <c:v>42.630005017589021</c:v>
                </c:pt>
                <c:pt idx="316">
                  <c:v>42.630005017589021</c:v>
                </c:pt>
                <c:pt idx="317">
                  <c:v>42.630005017589021</c:v>
                </c:pt>
                <c:pt idx="318">
                  <c:v>42.630005017589021</c:v>
                </c:pt>
                <c:pt idx="319">
                  <c:v>42.630005017589021</c:v>
                </c:pt>
                <c:pt idx="320">
                  <c:v>42.630005017589021</c:v>
                </c:pt>
                <c:pt idx="321">
                  <c:v>42.630005017589021</c:v>
                </c:pt>
                <c:pt idx="322">
                  <c:v>42.630005017589021</c:v>
                </c:pt>
                <c:pt idx="323">
                  <c:v>42.630005017589021</c:v>
                </c:pt>
                <c:pt idx="324">
                  <c:v>42.630005017589021</c:v>
                </c:pt>
                <c:pt idx="325">
                  <c:v>42.630005017589021</c:v>
                </c:pt>
                <c:pt idx="326">
                  <c:v>42.630005017589021</c:v>
                </c:pt>
                <c:pt idx="327">
                  <c:v>42.630005017589021</c:v>
                </c:pt>
                <c:pt idx="328">
                  <c:v>42.630005017589021</c:v>
                </c:pt>
                <c:pt idx="329">
                  <c:v>42.630005017589021</c:v>
                </c:pt>
                <c:pt idx="330">
                  <c:v>42.630005017589021</c:v>
                </c:pt>
                <c:pt idx="331">
                  <c:v>42.630005017589021</c:v>
                </c:pt>
                <c:pt idx="332">
                  <c:v>42.630005017589021</c:v>
                </c:pt>
                <c:pt idx="333">
                  <c:v>42.630005017589021</c:v>
                </c:pt>
                <c:pt idx="334">
                  <c:v>42.630005017589021</c:v>
                </c:pt>
                <c:pt idx="335">
                  <c:v>42.630005017589021</c:v>
                </c:pt>
                <c:pt idx="336">
                  <c:v>42.630005017589021</c:v>
                </c:pt>
                <c:pt idx="337">
                  <c:v>42.630005017589021</c:v>
                </c:pt>
                <c:pt idx="338">
                  <c:v>42.630005017589021</c:v>
                </c:pt>
                <c:pt idx="339">
                  <c:v>42.630005017589021</c:v>
                </c:pt>
                <c:pt idx="340">
                  <c:v>42.630005017589021</c:v>
                </c:pt>
                <c:pt idx="341">
                  <c:v>42.630005017589021</c:v>
                </c:pt>
                <c:pt idx="342">
                  <c:v>42.630005017589021</c:v>
                </c:pt>
                <c:pt idx="343">
                  <c:v>42.630005017589021</c:v>
                </c:pt>
                <c:pt idx="344">
                  <c:v>42.630005017589021</c:v>
                </c:pt>
                <c:pt idx="345">
                  <c:v>42.630005017589021</c:v>
                </c:pt>
                <c:pt idx="346">
                  <c:v>42.630005017589021</c:v>
                </c:pt>
                <c:pt idx="347">
                  <c:v>42.630005017589021</c:v>
                </c:pt>
                <c:pt idx="348">
                  <c:v>42.630005017589021</c:v>
                </c:pt>
                <c:pt idx="349">
                  <c:v>42.630005017589021</c:v>
                </c:pt>
                <c:pt idx="350">
                  <c:v>42.630005017589021</c:v>
                </c:pt>
                <c:pt idx="351">
                  <c:v>42.630005017589021</c:v>
                </c:pt>
              </c:numCache>
            </c:numRef>
          </c:yVal>
          <c:smooth val="0"/>
          <c:extLst>
            <c:ext xmlns:c16="http://schemas.microsoft.com/office/drawing/2014/chart" uri="{C3380CC4-5D6E-409C-BE32-E72D297353CC}">
              <c16:uniqueId val="{00000004-BDAD-4013-9EEB-B3D06E19465F}"/>
            </c:ext>
          </c:extLst>
        </c:ser>
        <c:ser>
          <c:idx val="5"/>
          <c:order val="5"/>
          <c:spPr>
            <a:ln>
              <a:solidFill>
                <a:srgbClr val="00B050"/>
              </a:solidFill>
            </a:ln>
          </c:spPr>
          <c:marker>
            <c:symbol val="none"/>
          </c:marker>
          <c:xVal>
            <c:strRef>
              <c:f>'Levey Jennings'!$B$35:$B$387</c:f>
              <c:strCache>
                <c:ptCount val="17"/>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strCache>
            </c:strRef>
          </c:xVal>
          <c:yVal>
            <c:numRef>
              <c:f>'Levey Jennings'!$M$35:$M$388</c:f>
              <c:numCache>
                <c:formatCode>0.000</c:formatCode>
                <c:ptCount val="354"/>
                <c:pt idx="0">
                  <c:v>50</c:v>
                </c:pt>
                <c:pt idx="1">
                  <c:v>50</c:v>
                </c:pt>
                <c:pt idx="2">
                  <c:v>50</c:v>
                </c:pt>
                <c:pt idx="3">
                  <c:v>50</c:v>
                </c:pt>
                <c:pt idx="4">
                  <c:v>50</c:v>
                </c:pt>
                <c:pt idx="5">
                  <c:v>50</c:v>
                </c:pt>
                <c:pt idx="6">
                  <c:v>50</c:v>
                </c:pt>
                <c:pt idx="7">
                  <c:v>50</c:v>
                </c:pt>
                <c:pt idx="8">
                  <c:v>50</c:v>
                </c:pt>
                <c:pt idx="9">
                  <c:v>50</c:v>
                </c:pt>
                <c:pt idx="10">
                  <c:v>50</c:v>
                </c:pt>
                <c:pt idx="11">
                  <c:v>50</c:v>
                </c:pt>
                <c:pt idx="12">
                  <c:v>50</c:v>
                </c:pt>
                <c:pt idx="13">
                  <c:v>50</c:v>
                </c:pt>
                <c:pt idx="14">
                  <c:v>50</c:v>
                </c:pt>
                <c:pt idx="15">
                  <c:v>50</c:v>
                </c:pt>
                <c:pt idx="16">
                  <c:v>50</c:v>
                </c:pt>
                <c:pt idx="17">
                  <c:v>50</c:v>
                </c:pt>
                <c:pt idx="18">
                  <c:v>50</c:v>
                </c:pt>
                <c:pt idx="19">
                  <c:v>50</c:v>
                </c:pt>
                <c:pt idx="20">
                  <c:v>50</c:v>
                </c:pt>
                <c:pt idx="21">
                  <c:v>50</c:v>
                </c:pt>
                <c:pt idx="22">
                  <c:v>50</c:v>
                </c:pt>
                <c:pt idx="23">
                  <c:v>50</c:v>
                </c:pt>
                <c:pt idx="24">
                  <c:v>50</c:v>
                </c:pt>
                <c:pt idx="25">
                  <c:v>50</c:v>
                </c:pt>
                <c:pt idx="26">
                  <c:v>50</c:v>
                </c:pt>
                <c:pt idx="27">
                  <c:v>50</c:v>
                </c:pt>
                <c:pt idx="28">
                  <c:v>50</c:v>
                </c:pt>
                <c:pt idx="29">
                  <c:v>50</c:v>
                </c:pt>
                <c:pt idx="30">
                  <c:v>50</c:v>
                </c:pt>
                <c:pt idx="31">
                  <c:v>50</c:v>
                </c:pt>
                <c:pt idx="32">
                  <c:v>50</c:v>
                </c:pt>
                <c:pt idx="33">
                  <c:v>50</c:v>
                </c:pt>
                <c:pt idx="34">
                  <c:v>50</c:v>
                </c:pt>
                <c:pt idx="35">
                  <c:v>50</c:v>
                </c:pt>
                <c:pt idx="36">
                  <c:v>50</c:v>
                </c:pt>
                <c:pt idx="37">
                  <c:v>50</c:v>
                </c:pt>
                <c:pt idx="38">
                  <c:v>50</c:v>
                </c:pt>
                <c:pt idx="39">
                  <c:v>50</c:v>
                </c:pt>
                <c:pt idx="40">
                  <c:v>50</c:v>
                </c:pt>
                <c:pt idx="41">
                  <c:v>50</c:v>
                </c:pt>
                <c:pt idx="42">
                  <c:v>50</c:v>
                </c:pt>
                <c:pt idx="43">
                  <c:v>50</c:v>
                </c:pt>
                <c:pt idx="44">
                  <c:v>50</c:v>
                </c:pt>
                <c:pt idx="45">
                  <c:v>50</c:v>
                </c:pt>
                <c:pt idx="46">
                  <c:v>50</c:v>
                </c:pt>
                <c:pt idx="47">
                  <c:v>50</c:v>
                </c:pt>
                <c:pt idx="48">
                  <c:v>50</c:v>
                </c:pt>
                <c:pt idx="49">
                  <c:v>50</c:v>
                </c:pt>
                <c:pt idx="50">
                  <c:v>50</c:v>
                </c:pt>
                <c:pt idx="51">
                  <c:v>50</c:v>
                </c:pt>
                <c:pt idx="52">
                  <c:v>50</c:v>
                </c:pt>
                <c:pt idx="53">
                  <c:v>50</c:v>
                </c:pt>
                <c:pt idx="54">
                  <c:v>50</c:v>
                </c:pt>
                <c:pt idx="55">
                  <c:v>50</c:v>
                </c:pt>
                <c:pt idx="56">
                  <c:v>50</c:v>
                </c:pt>
                <c:pt idx="57">
                  <c:v>50</c:v>
                </c:pt>
                <c:pt idx="58">
                  <c:v>50</c:v>
                </c:pt>
                <c:pt idx="59">
                  <c:v>50</c:v>
                </c:pt>
                <c:pt idx="60">
                  <c:v>50</c:v>
                </c:pt>
                <c:pt idx="61">
                  <c:v>50</c:v>
                </c:pt>
                <c:pt idx="62">
                  <c:v>50</c:v>
                </c:pt>
                <c:pt idx="63">
                  <c:v>50</c:v>
                </c:pt>
                <c:pt idx="64">
                  <c:v>50</c:v>
                </c:pt>
                <c:pt idx="65">
                  <c:v>50</c:v>
                </c:pt>
                <c:pt idx="66">
                  <c:v>50</c:v>
                </c:pt>
                <c:pt idx="67">
                  <c:v>50</c:v>
                </c:pt>
                <c:pt idx="68">
                  <c:v>50</c:v>
                </c:pt>
                <c:pt idx="69">
                  <c:v>50</c:v>
                </c:pt>
                <c:pt idx="70">
                  <c:v>50</c:v>
                </c:pt>
                <c:pt idx="71">
                  <c:v>50</c:v>
                </c:pt>
                <c:pt idx="72">
                  <c:v>50</c:v>
                </c:pt>
                <c:pt idx="73">
                  <c:v>50</c:v>
                </c:pt>
                <c:pt idx="74">
                  <c:v>50</c:v>
                </c:pt>
                <c:pt idx="75">
                  <c:v>50</c:v>
                </c:pt>
                <c:pt idx="76">
                  <c:v>50</c:v>
                </c:pt>
                <c:pt idx="77">
                  <c:v>50</c:v>
                </c:pt>
                <c:pt idx="78">
                  <c:v>50</c:v>
                </c:pt>
                <c:pt idx="79">
                  <c:v>50</c:v>
                </c:pt>
                <c:pt idx="80">
                  <c:v>50</c:v>
                </c:pt>
                <c:pt idx="81">
                  <c:v>50</c:v>
                </c:pt>
                <c:pt idx="82">
                  <c:v>50</c:v>
                </c:pt>
                <c:pt idx="83">
                  <c:v>50</c:v>
                </c:pt>
                <c:pt idx="84">
                  <c:v>50</c:v>
                </c:pt>
                <c:pt idx="85">
                  <c:v>50</c:v>
                </c:pt>
                <c:pt idx="86">
                  <c:v>50</c:v>
                </c:pt>
                <c:pt idx="87">
                  <c:v>50</c:v>
                </c:pt>
                <c:pt idx="88">
                  <c:v>50</c:v>
                </c:pt>
                <c:pt idx="89">
                  <c:v>50</c:v>
                </c:pt>
                <c:pt idx="90">
                  <c:v>50</c:v>
                </c:pt>
                <c:pt idx="91">
                  <c:v>50</c:v>
                </c:pt>
                <c:pt idx="92">
                  <c:v>50</c:v>
                </c:pt>
                <c:pt idx="93">
                  <c:v>50</c:v>
                </c:pt>
                <c:pt idx="94">
                  <c:v>50</c:v>
                </c:pt>
                <c:pt idx="95">
                  <c:v>50</c:v>
                </c:pt>
                <c:pt idx="96">
                  <c:v>50</c:v>
                </c:pt>
                <c:pt idx="97">
                  <c:v>50</c:v>
                </c:pt>
                <c:pt idx="98">
                  <c:v>50</c:v>
                </c:pt>
                <c:pt idx="99">
                  <c:v>50</c:v>
                </c:pt>
                <c:pt idx="100">
                  <c:v>50</c:v>
                </c:pt>
                <c:pt idx="101">
                  <c:v>50</c:v>
                </c:pt>
                <c:pt idx="102">
                  <c:v>50</c:v>
                </c:pt>
                <c:pt idx="103">
                  <c:v>50</c:v>
                </c:pt>
                <c:pt idx="104">
                  <c:v>50</c:v>
                </c:pt>
                <c:pt idx="105">
                  <c:v>50</c:v>
                </c:pt>
                <c:pt idx="106">
                  <c:v>50</c:v>
                </c:pt>
                <c:pt idx="107">
                  <c:v>50</c:v>
                </c:pt>
                <c:pt idx="108">
                  <c:v>50</c:v>
                </c:pt>
                <c:pt idx="109">
                  <c:v>50</c:v>
                </c:pt>
                <c:pt idx="110">
                  <c:v>50</c:v>
                </c:pt>
                <c:pt idx="111">
                  <c:v>50</c:v>
                </c:pt>
                <c:pt idx="112">
                  <c:v>50</c:v>
                </c:pt>
                <c:pt idx="113">
                  <c:v>50</c:v>
                </c:pt>
                <c:pt idx="114">
                  <c:v>50</c:v>
                </c:pt>
                <c:pt idx="115">
                  <c:v>50</c:v>
                </c:pt>
                <c:pt idx="116">
                  <c:v>50</c:v>
                </c:pt>
                <c:pt idx="117">
                  <c:v>50</c:v>
                </c:pt>
                <c:pt idx="118">
                  <c:v>50</c:v>
                </c:pt>
                <c:pt idx="119">
                  <c:v>50</c:v>
                </c:pt>
                <c:pt idx="120">
                  <c:v>50</c:v>
                </c:pt>
                <c:pt idx="121">
                  <c:v>50</c:v>
                </c:pt>
                <c:pt idx="122">
                  <c:v>50</c:v>
                </c:pt>
                <c:pt idx="123">
                  <c:v>50</c:v>
                </c:pt>
                <c:pt idx="124">
                  <c:v>50</c:v>
                </c:pt>
                <c:pt idx="125">
                  <c:v>50</c:v>
                </c:pt>
                <c:pt idx="126">
                  <c:v>50</c:v>
                </c:pt>
                <c:pt idx="127">
                  <c:v>50</c:v>
                </c:pt>
                <c:pt idx="128">
                  <c:v>50</c:v>
                </c:pt>
                <c:pt idx="129">
                  <c:v>50</c:v>
                </c:pt>
                <c:pt idx="130">
                  <c:v>50</c:v>
                </c:pt>
                <c:pt idx="131">
                  <c:v>50</c:v>
                </c:pt>
                <c:pt idx="132">
                  <c:v>50</c:v>
                </c:pt>
                <c:pt idx="133">
                  <c:v>50</c:v>
                </c:pt>
                <c:pt idx="134">
                  <c:v>50</c:v>
                </c:pt>
                <c:pt idx="135">
                  <c:v>50</c:v>
                </c:pt>
                <c:pt idx="136">
                  <c:v>50</c:v>
                </c:pt>
                <c:pt idx="137">
                  <c:v>50</c:v>
                </c:pt>
                <c:pt idx="138">
                  <c:v>50</c:v>
                </c:pt>
                <c:pt idx="139">
                  <c:v>50</c:v>
                </c:pt>
                <c:pt idx="140">
                  <c:v>50</c:v>
                </c:pt>
                <c:pt idx="141">
                  <c:v>50</c:v>
                </c:pt>
                <c:pt idx="142">
                  <c:v>50</c:v>
                </c:pt>
                <c:pt idx="143">
                  <c:v>50</c:v>
                </c:pt>
                <c:pt idx="144">
                  <c:v>50</c:v>
                </c:pt>
                <c:pt idx="145">
                  <c:v>50</c:v>
                </c:pt>
                <c:pt idx="146">
                  <c:v>50</c:v>
                </c:pt>
                <c:pt idx="147">
                  <c:v>50</c:v>
                </c:pt>
                <c:pt idx="148">
                  <c:v>50</c:v>
                </c:pt>
                <c:pt idx="149">
                  <c:v>50</c:v>
                </c:pt>
                <c:pt idx="150">
                  <c:v>50</c:v>
                </c:pt>
                <c:pt idx="151">
                  <c:v>50</c:v>
                </c:pt>
                <c:pt idx="152">
                  <c:v>50</c:v>
                </c:pt>
                <c:pt idx="153">
                  <c:v>50</c:v>
                </c:pt>
                <c:pt idx="154">
                  <c:v>50</c:v>
                </c:pt>
                <c:pt idx="155">
                  <c:v>50</c:v>
                </c:pt>
                <c:pt idx="156">
                  <c:v>50</c:v>
                </c:pt>
                <c:pt idx="157">
                  <c:v>50</c:v>
                </c:pt>
                <c:pt idx="158">
                  <c:v>50</c:v>
                </c:pt>
                <c:pt idx="159">
                  <c:v>50</c:v>
                </c:pt>
                <c:pt idx="160">
                  <c:v>50</c:v>
                </c:pt>
                <c:pt idx="161">
                  <c:v>50</c:v>
                </c:pt>
                <c:pt idx="162">
                  <c:v>50</c:v>
                </c:pt>
                <c:pt idx="163">
                  <c:v>50</c:v>
                </c:pt>
                <c:pt idx="164">
                  <c:v>50</c:v>
                </c:pt>
                <c:pt idx="165">
                  <c:v>50</c:v>
                </c:pt>
                <c:pt idx="166">
                  <c:v>50</c:v>
                </c:pt>
                <c:pt idx="167">
                  <c:v>50</c:v>
                </c:pt>
                <c:pt idx="168">
                  <c:v>50</c:v>
                </c:pt>
                <c:pt idx="169">
                  <c:v>50</c:v>
                </c:pt>
                <c:pt idx="170">
                  <c:v>50</c:v>
                </c:pt>
                <c:pt idx="171">
                  <c:v>50</c:v>
                </c:pt>
                <c:pt idx="172">
                  <c:v>50</c:v>
                </c:pt>
                <c:pt idx="173">
                  <c:v>50</c:v>
                </c:pt>
                <c:pt idx="174">
                  <c:v>50</c:v>
                </c:pt>
                <c:pt idx="175">
                  <c:v>50</c:v>
                </c:pt>
                <c:pt idx="176">
                  <c:v>50</c:v>
                </c:pt>
                <c:pt idx="177">
                  <c:v>50</c:v>
                </c:pt>
                <c:pt idx="178">
                  <c:v>50</c:v>
                </c:pt>
                <c:pt idx="179">
                  <c:v>50</c:v>
                </c:pt>
                <c:pt idx="180">
                  <c:v>50</c:v>
                </c:pt>
                <c:pt idx="181">
                  <c:v>50</c:v>
                </c:pt>
                <c:pt idx="182">
                  <c:v>50</c:v>
                </c:pt>
                <c:pt idx="183">
                  <c:v>50</c:v>
                </c:pt>
                <c:pt idx="184">
                  <c:v>50</c:v>
                </c:pt>
                <c:pt idx="185">
                  <c:v>50</c:v>
                </c:pt>
                <c:pt idx="186">
                  <c:v>50</c:v>
                </c:pt>
                <c:pt idx="187">
                  <c:v>50</c:v>
                </c:pt>
                <c:pt idx="188">
                  <c:v>50</c:v>
                </c:pt>
                <c:pt idx="189">
                  <c:v>50</c:v>
                </c:pt>
                <c:pt idx="190">
                  <c:v>50</c:v>
                </c:pt>
                <c:pt idx="191">
                  <c:v>50</c:v>
                </c:pt>
                <c:pt idx="192">
                  <c:v>50</c:v>
                </c:pt>
                <c:pt idx="193">
                  <c:v>50</c:v>
                </c:pt>
                <c:pt idx="194">
                  <c:v>50</c:v>
                </c:pt>
                <c:pt idx="195">
                  <c:v>50</c:v>
                </c:pt>
                <c:pt idx="196">
                  <c:v>50</c:v>
                </c:pt>
                <c:pt idx="197">
                  <c:v>50</c:v>
                </c:pt>
                <c:pt idx="198">
                  <c:v>50</c:v>
                </c:pt>
                <c:pt idx="199">
                  <c:v>50</c:v>
                </c:pt>
                <c:pt idx="200">
                  <c:v>50</c:v>
                </c:pt>
                <c:pt idx="201">
                  <c:v>50</c:v>
                </c:pt>
                <c:pt idx="202">
                  <c:v>50</c:v>
                </c:pt>
                <c:pt idx="203">
                  <c:v>50</c:v>
                </c:pt>
                <c:pt idx="204">
                  <c:v>50</c:v>
                </c:pt>
                <c:pt idx="205">
                  <c:v>50</c:v>
                </c:pt>
                <c:pt idx="206">
                  <c:v>50</c:v>
                </c:pt>
                <c:pt idx="207">
                  <c:v>50</c:v>
                </c:pt>
                <c:pt idx="208">
                  <c:v>50</c:v>
                </c:pt>
                <c:pt idx="209">
                  <c:v>50</c:v>
                </c:pt>
                <c:pt idx="210">
                  <c:v>50</c:v>
                </c:pt>
                <c:pt idx="211">
                  <c:v>50</c:v>
                </c:pt>
                <c:pt idx="212">
                  <c:v>50</c:v>
                </c:pt>
                <c:pt idx="213">
                  <c:v>50</c:v>
                </c:pt>
                <c:pt idx="214">
                  <c:v>50</c:v>
                </c:pt>
                <c:pt idx="215">
                  <c:v>50</c:v>
                </c:pt>
                <c:pt idx="216">
                  <c:v>50</c:v>
                </c:pt>
                <c:pt idx="217">
                  <c:v>50</c:v>
                </c:pt>
                <c:pt idx="218">
                  <c:v>50</c:v>
                </c:pt>
                <c:pt idx="219">
                  <c:v>50</c:v>
                </c:pt>
                <c:pt idx="220">
                  <c:v>50</c:v>
                </c:pt>
                <c:pt idx="221">
                  <c:v>50</c:v>
                </c:pt>
                <c:pt idx="222">
                  <c:v>50</c:v>
                </c:pt>
                <c:pt idx="223">
                  <c:v>50</c:v>
                </c:pt>
                <c:pt idx="224">
                  <c:v>50</c:v>
                </c:pt>
                <c:pt idx="225">
                  <c:v>50</c:v>
                </c:pt>
                <c:pt idx="226">
                  <c:v>50</c:v>
                </c:pt>
                <c:pt idx="227">
                  <c:v>50</c:v>
                </c:pt>
                <c:pt idx="228">
                  <c:v>50</c:v>
                </c:pt>
                <c:pt idx="229">
                  <c:v>50</c:v>
                </c:pt>
                <c:pt idx="230">
                  <c:v>50</c:v>
                </c:pt>
                <c:pt idx="231">
                  <c:v>50</c:v>
                </c:pt>
                <c:pt idx="232">
                  <c:v>50</c:v>
                </c:pt>
                <c:pt idx="233">
                  <c:v>50</c:v>
                </c:pt>
                <c:pt idx="234">
                  <c:v>50</c:v>
                </c:pt>
                <c:pt idx="235">
                  <c:v>50</c:v>
                </c:pt>
                <c:pt idx="236">
                  <c:v>50</c:v>
                </c:pt>
                <c:pt idx="237">
                  <c:v>50</c:v>
                </c:pt>
                <c:pt idx="238">
                  <c:v>50</c:v>
                </c:pt>
                <c:pt idx="239">
                  <c:v>50</c:v>
                </c:pt>
                <c:pt idx="240">
                  <c:v>50</c:v>
                </c:pt>
                <c:pt idx="241">
                  <c:v>50</c:v>
                </c:pt>
                <c:pt idx="242">
                  <c:v>50</c:v>
                </c:pt>
                <c:pt idx="243">
                  <c:v>50</c:v>
                </c:pt>
                <c:pt idx="244">
                  <c:v>50</c:v>
                </c:pt>
                <c:pt idx="245">
                  <c:v>50</c:v>
                </c:pt>
                <c:pt idx="246">
                  <c:v>50</c:v>
                </c:pt>
                <c:pt idx="247">
                  <c:v>50</c:v>
                </c:pt>
                <c:pt idx="248">
                  <c:v>50</c:v>
                </c:pt>
                <c:pt idx="249">
                  <c:v>50</c:v>
                </c:pt>
                <c:pt idx="250">
                  <c:v>50</c:v>
                </c:pt>
                <c:pt idx="251">
                  <c:v>50</c:v>
                </c:pt>
                <c:pt idx="252">
                  <c:v>50</c:v>
                </c:pt>
                <c:pt idx="253">
                  <c:v>50</c:v>
                </c:pt>
                <c:pt idx="254">
                  <c:v>50</c:v>
                </c:pt>
                <c:pt idx="255">
                  <c:v>50</c:v>
                </c:pt>
                <c:pt idx="256">
                  <c:v>50</c:v>
                </c:pt>
                <c:pt idx="257">
                  <c:v>50</c:v>
                </c:pt>
                <c:pt idx="258">
                  <c:v>50</c:v>
                </c:pt>
                <c:pt idx="259">
                  <c:v>50</c:v>
                </c:pt>
                <c:pt idx="260">
                  <c:v>50</c:v>
                </c:pt>
                <c:pt idx="261">
                  <c:v>50</c:v>
                </c:pt>
                <c:pt idx="262">
                  <c:v>50</c:v>
                </c:pt>
                <c:pt idx="263">
                  <c:v>50</c:v>
                </c:pt>
                <c:pt idx="264">
                  <c:v>50</c:v>
                </c:pt>
                <c:pt idx="265">
                  <c:v>50</c:v>
                </c:pt>
                <c:pt idx="266">
                  <c:v>50</c:v>
                </c:pt>
                <c:pt idx="267">
                  <c:v>50</c:v>
                </c:pt>
                <c:pt idx="268">
                  <c:v>50</c:v>
                </c:pt>
                <c:pt idx="269">
                  <c:v>50</c:v>
                </c:pt>
                <c:pt idx="270">
                  <c:v>50</c:v>
                </c:pt>
                <c:pt idx="271">
                  <c:v>50</c:v>
                </c:pt>
                <c:pt idx="272">
                  <c:v>50</c:v>
                </c:pt>
                <c:pt idx="273">
                  <c:v>50</c:v>
                </c:pt>
                <c:pt idx="274">
                  <c:v>50</c:v>
                </c:pt>
                <c:pt idx="275">
                  <c:v>50</c:v>
                </c:pt>
                <c:pt idx="276">
                  <c:v>50</c:v>
                </c:pt>
                <c:pt idx="277">
                  <c:v>50</c:v>
                </c:pt>
                <c:pt idx="278">
                  <c:v>50</c:v>
                </c:pt>
                <c:pt idx="279">
                  <c:v>50</c:v>
                </c:pt>
                <c:pt idx="280">
                  <c:v>50</c:v>
                </c:pt>
                <c:pt idx="281">
                  <c:v>50</c:v>
                </c:pt>
                <c:pt idx="282">
                  <c:v>50</c:v>
                </c:pt>
                <c:pt idx="283">
                  <c:v>50</c:v>
                </c:pt>
                <c:pt idx="284">
                  <c:v>50</c:v>
                </c:pt>
                <c:pt idx="285">
                  <c:v>50</c:v>
                </c:pt>
                <c:pt idx="286">
                  <c:v>50</c:v>
                </c:pt>
                <c:pt idx="287">
                  <c:v>50</c:v>
                </c:pt>
                <c:pt idx="288">
                  <c:v>50</c:v>
                </c:pt>
                <c:pt idx="289">
                  <c:v>50</c:v>
                </c:pt>
                <c:pt idx="290">
                  <c:v>50</c:v>
                </c:pt>
                <c:pt idx="291">
                  <c:v>50</c:v>
                </c:pt>
                <c:pt idx="292">
                  <c:v>50</c:v>
                </c:pt>
                <c:pt idx="293">
                  <c:v>50</c:v>
                </c:pt>
                <c:pt idx="294">
                  <c:v>50</c:v>
                </c:pt>
                <c:pt idx="295">
                  <c:v>50</c:v>
                </c:pt>
                <c:pt idx="296">
                  <c:v>50</c:v>
                </c:pt>
                <c:pt idx="297">
                  <c:v>50</c:v>
                </c:pt>
                <c:pt idx="298">
                  <c:v>50</c:v>
                </c:pt>
                <c:pt idx="299">
                  <c:v>50</c:v>
                </c:pt>
                <c:pt idx="300">
                  <c:v>50</c:v>
                </c:pt>
                <c:pt idx="301">
                  <c:v>50</c:v>
                </c:pt>
                <c:pt idx="302">
                  <c:v>50</c:v>
                </c:pt>
                <c:pt idx="303">
                  <c:v>50</c:v>
                </c:pt>
                <c:pt idx="304">
                  <c:v>50</c:v>
                </c:pt>
                <c:pt idx="305">
                  <c:v>50</c:v>
                </c:pt>
                <c:pt idx="306">
                  <c:v>50</c:v>
                </c:pt>
                <c:pt idx="307">
                  <c:v>50</c:v>
                </c:pt>
                <c:pt idx="308">
                  <c:v>50</c:v>
                </c:pt>
                <c:pt idx="309">
                  <c:v>50</c:v>
                </c:pt>
                <c:pt idx="310">
                  <c:v>50</c:v>
                </c:pt>
                <c:pt idx="311">
                  <c:v>50</c:v>
                </c:pt>
                <c:pt idx="312">
                  <c:v>50</c:v>
                </c:pt>
                <c:pt idx="313">
                  <c:v>50</c:v>
                </c:pt>
                <c:pt idx="314">
                  <c:v>50</c:v>
                </c:pt>
                <c:pt idx="315">
                  <c:v>50</c:v>
                </c:pt>
                <c:pt idx="316">
                  <c:v>50</c:v>
                </c:pt>
                <c:pt idx="317">
                  <c:v>50</c:v>
                </c:pt>
                <c:pt idx="318">
                  <c:v>50</c:v>
                </c:pt>
                <c:pt idx="319">
                  <c:v>50</c:v>
                </c:pt>
                <c:pt idx="320">
                  <c:v>50</c:v>
                </c:pt>
                <c:pt idx="321">
                  <c:v>50</c:v>
                </c:pt>
                <c:pt idx="322">
                  <c:v>50</c:v>
                </c:pt>
                <c:pt idx="323">
                  <c:v>50</c:v>
                </c:pt>
                <c:pt idx="324">
                  <c:v>50</c:v>
                </c:pt>
                <c:pt idx="325">
                  <c:v>50</c:v>
                </c:pt>
                <c:pt idx="326">
                  <c:v>50</c:v>
                </c:pt>
                <c:pt idx="327">
                  <c:v>50</c:v>
                </c:pt>
                <c:pt idx="328">
                  <c:v>50</c:v>
                </c:pt>
                <c:pt idx="329">
                  <c:v>50</c:v>
                </c:pt>
                <c:pt idx="330">
                  <c:v>50</c:v>
                </c:pt>
                <c:pt idx="331">
                  <c:v>50</c:v>
                </c:pt>
                <c:pt idx="332">
                  <c:v>50</c:v>
                </c:pt>
                <c:pt idx="333">
                  <c:v>50</c:v>
                </c:pt>
                <c:pt idx="334">
                  <c:v>50</c:v>
                </c:pt>
                <c:pt idx="335">
                  <c:v>50</c:v>
                </c:pt>
                <c:pt idx="336">
                  <c:v>50</c:v>
                </c:pt>
                <c:pt idx="337">
                  <c:v>50</c:v>
                </c:pt>
                <c:pt idx="338">
                  <c:v>50</c:v>
                </c:pt>
                <c:pt idx="339">
                  <c:v>50</c:v>
                </c:pt>
                <c:pt idx="340">
                  <c:v>50</c:v>
                </c:pt>
                <c:pt idx="341">
                  <c:v>50</c:v>
                </c:pt>
                <c:pt idx="342">
                  <c:v>50</c:v>
                </c:pt>
                <c:pt idx="343">
                  <c:v>50</c:v>
                </c:pt>
                <c:pt idx="344">
                  <c:v>50</c:v>
                </c:pt>
                <c:pt idx="345">
                  <c:v>50</c:v>
                </c:pt>
                <c:pt idx="346">
                  <c:v>50</c:v>
                </c:pt>
                <c:pt idx="347">
                  <c:v>50</c:v>
                </c:pt>
                <c:pt idx="348">
                  <c:v>50</c:v>
                </c:pt>
                <c:pt idx="349">
                  <c:v>50</c:v>
                </c:pt>
                <c:pt idx="350">
                  <c:v>50</c:v>
                </c:pt>
                <c:pt idx="351">
                  <c:v>50</c:v>
                </c:pt>
              </c:numCache>
            </c:numRef>
          </c:yVal>
          <c:smooth val="0"/>
          <c:extLst>
            <c:ext xmlns:c16="http://schemas.microsoft.com/office/drawing/2014/chart" uri="{C3380CC4-5D6E-409C-BE32-E72D297353CC}">
              <c16:uniqueId val="{00000005-BDAD-4013-9EEB-B3D06E19465F}"/>
            </c:ext>
          </c:extLst>
        </c:ser>
        <c:ser>
          <c:idx val="6"/>
          <c:order val="6"/>
          <c:spPr>
            <a:ln>
              <a:solidFill>
                <a:srgbClr val="7030A0"/>
              </a:solidFill>
            </a:ln>
          </c:spPr>
          <c:marker>
            <c:symbol val="none"/>
          </c:marker>
          <c:xVal>
            <c:strRef>
              <c:f>'Levey Jennings'!$B$35:$B$387</c:f>
              <c:strCache>
                <c:ptCount val="17"/>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strCache>
            </c:strRef>
          </c:xVal>
          <c:yVal>
            <c:numRef>
              <c:f>'Levey Jennings'!$N$35:$N$388</c:f>
              <c:numCache>
                <c:formatCode>0.000</c:formatCode>
                <c:ptCount val="354"/>
                <c:pt idx="0">
                  <c:v>55</c:v>
                </c:pt>
                <c:pt idx="1">
                  <c:v>55</c:v>
                </c:pt>
                <c:pt idx="2">
                  <c:v>55</c:v>
                </c:pt>
                <c:pt idx="3">
                  <c:v>55</c:v>
                </c:pt>
                <c:pt idx="4">
                  <c:v>55</c:v>
                </c:pt>
                <c:pt idx="5">
                  <c:v>55</c:v>
                </c:pt>
                <c:pt idx="6">
                  <c:v>55</c:v>
                </c:pt>
                <c:pt idx="7">
                  <c:v>55</c:v>
                </c:pt>
                <c:pt idx="8">
                  <c:v>55</c:v>
                </c:pt>
                <c:pt idx="9">
                  <c:v>55</c:v>
                </c:pt>
                <c:pt idx="10">
                  <c:v>55</c:v>
                </c:pt>
                <c:pt idx="11">
                  <c:v>55</c:v>
                </c:pt>
                <c:pt idx="12">
                  <c:v>55</c:v>
                </c:pt>
                <c:pt idx="13">
                  <c:v>55</c:v>
                </c:pt>
                <c:pt idx="14">
                  <c:v>55</c:v>
                </c:pt>
                <c:pt idx="15">
                  <c:v>55</c:v>
                </c:pt>
                <c:pt idx="16">
                  <c:v>55</c:v>
                </c:pt>
                <c:pt idx="17">
                  <c:v>55</c:v>
                </c:pt>
                <c:pt idx="18">
                  <c:v>55</c:v>
                </c:pt>
                <c:pt idx="19">
                  <c:v>55</c:v>
                </c:pt>
                <c:pt idx="20">
                  <c:v>55</c:v>
                </c:pt>
                <c:pt idx="21">
                  <c:v>55</c:v>
                </c:pt>
                <c:pt idx="22">
                  <c:v>55</c:v>
                </c:pt>
                <c:pt idx="23">
                  <c:v>55</c:v>
                </c:pt>
                <c:pt idx="24">
                  <c:v>55</c:v>
                </c:pt>
                <c:pt idx="25">
                  <c:v>55</c:v>
                </c:pt>
                <c:pt idx="26">
                  <c:v>55</c:v>
                </c:pt>
                <c:pt idx="27">
                  <c:v>55</c:v>
                </c:pt>
                <c:pt idx="28">
                  <c:v>55</c:v>
                </c:pt>
                <c:pt idx="29">
                  <c:v>55</c:v>
                </c:pt>
                <c:pt idx="30">
                  <c:v>55</c:v>
                </c:pt>
                <c:pt idx="31">
                  <c:v>55</c:v>
                </c:pt>
                <c:pt idx="32">
                  <c:v>55</c:v>
                </c:pt>
                <c:pt idx="33">
                  <c:v>55</c:v>
                </c:pt>
                <c:pt idx="34">
                  <c:v>55</c:v>
                </c:pt>
                <c:pt idx="35">
                  <c:v>55</c:v>
                </c:pt>
                <c:pt idx="36">
                  <c:v>55</c:v>
                </c:pt>
                <c:pt idx="37">
                  <c:v>55</c:v>
                </c:pt>
                <c:pt idx="38">
                  <c:v>55</c:v>
                </c:pt>
                <c:pt idx="39">
                  <c:v>55</c:v>
                </c:pt>
                <c:pt idx="40">
                  <c:v>55</c:v>
                </c:pt>
                <c:pt idx="41">
                  <c:v>55</c:v>
                </c:pt>
                <c:pt idx="42">
                  <c:v>55</c:v>
                </c:pt>
                <c:pt idx="43">
                  <c:v>55</c:v>
                </c:pt>
                <c:pt idx="44">
                  <c:v>55</c:v>
                </c:pt>
                <c:pt idx="45">
                  <c:v>55</c:v>
                </c:pt>
                <c:pt idx="46">
                  <c:v>55</c:v>
                </c:pt>
                <c:pt idx="47">
                  <c:v>55</c:v>
                </c:pt>
                <c:pt idx="48">
                  <c:v>55</c:v>
                </c:pt>
                <c:pt idx="49">
                  <c:v>55</c:v>
                </c:pt>
                <c:pt idx="50">
                  <c:v>55</c:v>
                </c:pt>
                <c:pt idx="51">
                  <c:v>55</c:v>
                </c:pt>
                <c:pt idx="52">
                  <c:v>55</c:v>
                </c:pt>
                <c:pt idx="53">
                  <c:v>55</c:v>
                </c:pt>
                <c:pt idx="54">
                  <c:v>55</c:v>
                </c:pt>
                <c:pt idx="55">
                  <c:v>55</c:v>
                </c:pt>
                <c:pt idx="56">
                  <c:v>55</c:v>
                </c:pt>
                <c:pt idx="57">
                  <c:v>55</c:v>
                </c:pt>
                <c:pt idx="58">
                  <c:v>55</c:v>
                </c:pt>
                <c:pt idx="59">
                  <c:v>55</c:v>
                </c:pt>
                <c:pt idx="60">
                  <c:v>55</c:v>
                </c:pt>
                <c:pt idx="61">
                  <c:v>55</c:v>
                </c:pt>
                <c:pt idx="62">
                  <c:v>55</c:v>
                </c:pt>
                <c:pt idx="63">
                  <c:v>55</c:v>
                </c:pt>
                <c:pt idx="64">
                  <c:v>55</c:v>
                </c:pt>
                <c:pt idx="65">
                  <c:v>55</c:v>
                </c:pt>
                <c:pt idx="66">
                  <c:v>55</c:v>
                </c:pt>
                <c:pt idx="67">
                  <c:v>55</c:v>
                </c:pt>
                <c:pt idx="68">
                  <c:v>55</c:v>
                </c:pt>
                <c:pt idx="69">
                  <c:v>55</c:v>
                </c:pt>
                <c:pt idx="70">
                  <c:v>55</c:v>
                </c:pt>
                <c:pt idx="71">
                  <c:v>55</c:v>
                </c:pt>
                <c:pt idx="72">
                  <c:v>55</c:v>
                </c:pt>
                <c:pt idx="73">
                  <c:v>55</c:v>
                </c:pt>
                <c:pt idx="74">
                  <c:v>55</c:v>
                </c:pt>
                <c:pt idx="75">
                  <c:v>55</c:v>
                </c:pt>
                <c:pt idx="76">
                  <c:v>55</c:v>
                </c:pt>
                <c:pt idx="77">
                  <c:v>55</c:v>
                </c:pt>
                <c:pt idx="78">
                  <c:v>55</c:v>
                </c:pt>
                <c:pt idx="79">
                  <c:v>55</c:v>
                </c:pt>
                <c:pt idx="80">
                  <c:v>55</c:v>
                </c:pt>
                <c:pt idx="81">
                  <c:v>55</c:v>
                </c:pt>
                <c:pt idx="82">
                  <c:v>55</c:v>
                </c:pt>
                <c:pt idx="83">
                  <c:v>55</c:v>
                </c:pt>
                <c:pt idx="84">
                  <c:v>55</c:v>
                </c:pt>
                <c:pt idx="85">
                  <c:v>55</c:v>
                </c:pt>
                <c:pt idx="86">
                  <c:v>55</c:v>
                </c:pt>
                <c:pt idx="87">
                  <c:v>55</c:v>
                </c:pt>
                <c:pt idx="88">
                  <c:v>55</c:v>
                </c:pt>
                <c:pt idx="89">
                  <c:v>55</c:v>
                </c:pt>
                <c:pt idx="90">
                  <c:v>55</c:v>
                </c:pt>
                <c:pt idx="91">
                  <c:v>55</c:v>
                </c:pt>
                <c:pt idx="92">
                  <c:v>55</c:v>
                </c:pt>
                <c:pt idx="93">
                  <c:v>55</c:v>
                </c:pt>
                <c:pt idx="94">
                  <c:v>55</c:v>
                </c:pt>
                <c:pt idx="95">
                  <c:v>55</c:v>
                </c:pt>
                <c:pt idx="96">
                  <c:v>55</c:v>
                </c:pt>
                <c:pt idx="97">
                  <c:v>55</c:v>
                </c:pt>
                <c:pt idx="98">
                  <c:v>55</c:v>
                </c:pt>
                <c:pt idx="99">
                  <c:v>55</c:v>
                </c:pt>
                <c:pt idx="100">
                  <c:v>55</c:v>
                </c:pt>
                <c:pt idx="101">
                  <c:v>55</c:v>
                </c:pt>
                <c:pt idx="102">
                  <c:v>55</c:v>
                </c:pt>
                <c:pt idx="103">
                  <c:v>55</c:v>
                </c:pt>
                <c:pt idx="104">
                  <c:v>55</c:v>
                </c:pt>
                <c:pt idx="105">
                  <c:v>55</c:v>
                </c:pt>
                <c:pt idx="106">
                  <c:v>55</c:v>
                </c:pt>
                <c:pt idx="107">
                  <c:v>55</c:v>
                </c:pt>
                <c:pt idx="108">
                  <c:v>55</c:v>
                </c:pt>
                <c:pt idx="109">
                  <c:v>55</c:v>
                </c:pt>
                <c:pt idx="110">
                  <c:v>55</c:v>
                </c:pt>
                <c:pt idx="111">
                  <c:v>55</c:v>
                </c:pt>
                <c:pt idx="112">
                  <c:v>55</c:v>
                </c:pt>
                <c:pt idx="113">
                  <c:v>55</c:v>
                </c:pt>
                <c:pt idx="114">
                  <c:v>55</c:v>
                </c:pt>
                <c:pt idx="115">
                  <c:v>55</c:v>
                </c:pt>
                <c:pt idx="116">
                  <c:v>55</c:v>
                </c:pt>
                <c:pt idx="117">
                  <c:v>55</c:v>
                </c:pt>
                <c:pt idx="118">
                  <c:v>55</c:v>
                </c:pt>
                <c:pt idx="119">
                  <c:v>55</c:v>
                </c:pt>
                <c:pt idx="120">
                  <c:v>55</c:v>
                </c:pt>
                <c:pt idx="121">
                  <c:v>55</c:v>
                </c:pt>
                <c:pt idx="122">
                  <c:v>55</c:v>
                </c:pt>
                <c:pt idx="123">
                  <c:v>55</c:v>
                </c:pt>
                <c:pt idx="124">
                  <c:v>55</c:v>
                </c:pt>
                <c:pt idx="125">
                  <c:v>55</c:v>
                </c:pt>
                <c:pt idx="126">
                  <c:v>55</c:v>
                </c:pt>
                <c:pt idx="127">
                  <c:v>55</c:v>
                </c:pt>
                <c:pt idx="128">
                  <c:v>55</c:v>
                </c:pt>
                <c:pt idx="129">
                  <c:v>55</c:v>
                </c:pt>
                <c:pt idx="130">
                  <c:v>55</c:v>
                </c:pt>
                <c:pt idx="131">
                  <c:v>55</c:v>
                </c:pt>
                <c:pt idx="132">
                  <c:v>55</c:v>
                </c:pt>
                <c:pt idx="133">
                  <c:v>55</c:v>
                </c:pt>
                <c:pt idx="134">
                  <c:v>55</c:v>
                </c:pt>
                <c:pt idx="135">
                  <c:v>55</c:v>
                </c:pt>
                <c:pt idx="136">
                  <c:v>55</c:v>
                </c:pt>
                <c:pt idx="137">
                  <c:v>55</c:v>
                </c:pt>
                <c:pt idx="138">
                  <c:v>55</c:v>
                </c:pt>
                <c:pt idx="139">
                  <c:v>55</c:v>
                </c:pt>
                <c:pt idx="140">
                  <c:v>55</c:v>
                </c:pt>
                <c:pt idx="141">
                  <c:v>55</c:v>
                </c:pt>
                <c:pt idx="142">
                  <c:v>55</c:v>
                </c:pt>
                <c:pt idx="143">
                  <c:v>55</c:v>
                </c:pt>
                <c:pt idx="144">
                  <c:v>55</c:v>
                </c:pt>
                <c:pt idx="145">
                  <c:v>55</c:v>
                </c:pt>
                <c:pt idx="146">
                  <c:v>55</c:v>
                </c:pt>
                <c:pt idx="147">
                  <c:v>55</c:v>
                </c:pt>
                <c:pt idx="148">
                  <c:v>55</c:v>
                </c:pt>
                <c:pt idx="149">
                  <c:v>55</c:v>
                </c:pt>
                <c:pt idx="150">
                  <c:v>55</c:v>
                </c:pt>
                <c:pt idx="151">
                  <c:v>55</c:v>
                </c:pt>
                <c:pt idx="152">
                  <c:v>55</c:v>
                </c:pt>
                <c:pt idx="153">
                  <c:v>55</c:v>
                </c:pt>
                <c:pt idx="154">
                  <c:v>55</c:v>
                </c:pt>
                <c:pt idx="155">
                  <c:v>55</c:v>
                </c:pt>
                <c:pt idx="156">
                  <c:v>55</c:v>
                </c:pt>
                <c:pt idx="157">
                  <c:v>55</c:v>
                </c:pt>
                <c:pt idx="158">
                  <c:v>55</c:v>
                </c:pt>
                <c:pt idx="159">
                  <c:v>55</c:v>
                </c:pt>
                <c:pt idx="160">
                  <c:v>55</c:v>
                </c:pt>
                <c:pt idx="161">
                  <c:v>55</c:v>
                </c:pt>
                <c:pt idx="162">
                  <c:v>55</c:v>
                </c:pt>
                <c:pt idx="163">
                  <c:v>55</c:v>
                </c:pt>
                <c:pt idx="164">
                  <c:v>55</c:v>
                </c:pt>
                <c:pt idx="165">
                  <c:v>55</c:v>
                </c:pt>
                <c:pt idx="166">
                  <c:v>55</c:v>
                </c:pt>
                <c:pt idx="167">
                  <c:v>55</c:v>
                </c:pt>
                <c:pt idx="168">
                  <c:v>55</c:v>
                </c:pt>
                <c:pt idx="169">
                  <c:v>55</c:v>
                </c:pt>
                <c:pt idx="170">
                  <c:v>55</c:v>
                </c:pt>
                <c:pt idx="171">
                  <c:v>55</c:v>
                </c:pt>
                <c:pt idx="172">
                  <c:v>55</c:v>
                </c:pt>
                <c:pt idx="173">
                  <c:v>55</c:v>
                </c:pt>
                <c:pt idx="174">
                  <c:v>55</c:v>
                </c:pt>
                <c:pt idx="175">
                  <c:v>55</c:v>
                </c:pt>
                <c:pt idx="176">
                  <c:v>55</c:v>
                </c:pt>
                <c:pt idx="177">
                  <c:v>55</c:v>
                </c:pt>
                <c:pt idx="178">
                  <c:v>55</c:v>
                </c:pt>
                <c:pt idx="179">
                  <c:v>55</c:v>
                </c:pt>
                <c:pt idx="180">
                  <c:v>55</c:v>
                </c:pt>
                <c:pt idx="181">
                  <c:v>55</c:v>
                </c:pt>
                <c:pt idx="182">
                  <c:v>55</c:v>
                </c:pt>
                <c:pt idx="183">
                  <c:v>55</c:v>
                </c:pt>
                <c:pt idx="184">
                  <c:v>55</c:v>
                </c:pt>
                <c:pt idx="185">
                  <c:v>55</c:v>
                </c:pt>
                <c:pt idx="186">
                  <c:v>55</c:v>
                </c:pt>
                <c:pt idx="187">
                  <c:v>55</c:v>
                </c:pt>
                <c:pt idx="188">
                  <c:v>55</c:v>
                </c:pt>
                <c:pt idx="189">
                  <c:v>55</c:v>
                </c:pt>
                <c:pt idx="190">
                  <c:v>55</c:v>
                </c:pt>
                <c:pt idx="191">
                  <c:v>55</c:v>
                </c:pt>
                <c:pt idx="192">
                  <c:v>55</c:v>
                </c:pt>
                <c:pt idx="193">
                  <c:v>55</c:v>
                </c:pt>
                <c:pt idx="194">
                  <c:v>55</c:v>
                </c:pt>
                <c:pt idx="195">
                  <c:v>55</c:v>
                </c:pt>
                <c:pt idx="196">
                  <c:v>55</c:v>
                </c:pt>
                <c:pt idx="197">
                  <c:v>55</c:v>
                </c:pt>
                <c:pt idx="198">
                  <c:v>55</c:v>
                </c:pt>
                <c:pt idx="199">
                  <c:v>55</c:v>
                </c:pt>
                <c:pt idx="200">
                  <c:v>55</c:v>
                </c:pt>
                <c:pt idx="201">
                  <c:v>55</c:v>
                </c:pt>
                <c:pt idx="202">
                  <c:v>55</c:v>
                </c:pt>
                <c:pt idx="203">
                  <c:v>55</c:v>
                </c:pt>
                <c:pt idx="204">
                  <c:v>55</c:v>
                </c:pt>
                <c:pt idx="205">
                  <c:v>55</c:v>
                </c:pt>
                <c:pt idx="206">
                  <c:v>55</c:v>
                </c:pt>
                <c:pt idx="207">
                  <c:v>55</c:v>
                </c:pt>
                <c:pt idx="208">
                  <c:v>55</c:v>
                </c:pt>
                <c:pt idx="209">
                  <c:v>55</c:v>
                </c:pt>
                <c:pt idx="210">
                  <c:v>55</c:v>
                </c:pt>
                <c:pt idx="211">
                  <c:v>55</c:v>
                </c:pt>
                <c:pt idx="212">
                  <c:v>55</c:v>
                </c:pt>
                <c:pt idx="213">
                  <c:v>55</c:v>
                </c:pt>
                <c:pt idx="214">
                  <c:v>55</c:v>
                </c:pt>
                <c:pt idx="215">
                  <c:v>55</c:v>
                </c:pt>
                <c:pt idx="216">
                  <c:v>55</c:v>
                </c:pt>
                <c:pt idx="217">
                  <c:v>55</c:v>
                </c:pt>
                <c:pt idx="218">
                  <c:v>55</c:v>
                </c:pt>
                <c:pt idx="219">
                  <c:v>55</c:v>
                </c:pt>
                <c:pt idx="220">
                  <c:v>55</c:v>
                </c:pt>
                <c:pt idx="221">
                  <c:v>55</c:v>
                </c:pt>
                <c:pt idx="222">
                  <c:v>55</c:v>
                </c:pt>
                <c:pt idx="223">
                  <c:v>55</c:v>
                </c:pt>
                <c:pt idx="224">
                  <c:v>55</c:v>
                </c:pt>
                <c:pt idx="225">
                  <c:v>55</c:v>
                </c:pt>
                <c:pt idx="226">
                  <c:v>55</c:v>
                </c:pt>
                <c:pt idx="227">
                  <c:v>55</c:v>
                </c:pt>
                <c:pt idx="228">
                  <c:v>55</c:v>
                </c:pt>
                <c:pt idx="229">
                  <c:v>55</c:v>
                </c:pt>
                <c:pt idx="230">
                  <c:v>55</c:v>
                </c:pt>
                <c:pt idx="231">
                  <c:v>55</c:v>
                </c:pt>
                <c:pt idx="232">
                  <c:v>55</c:v>
                </c:pt>
                <c:pt idx="233">
                  <c:v>55</c:v>
                </c:pt>
                <c:pt idx="234">
                  <c:v>55</c:v>
                </c:pt>
                <c:pt idx="235">
                  <c:v>55</c:v>
                </c:pt>
                <c:pt idx="236">
                  <c:v>55</c:v>
                </c:pt>
                <c:pt idx="237">
                  <c:v>55</c:v>
                </c:pt>
                <c:pt idx="238">
                  <c:v>55</c:v>
                </c:pt>
                <c:pt idx="239">
                  <c:v>55</c:v>
                </c:pt>
                <c:pt idx="240">
                  <c:v>55</c:v>
                </c:pt>
                <c:pt idx="241">
                  <c:v>55</c:v>
                </c:pt>
                <c:pt idx="242">
                  <c:v>55</c:v>
                </c:pt>
                <c:pt idx="243">
                  <c:v>55</c:v>
                </c:pt>
                <c:pt idx="244">
                  <c:v>55</c:v>
                </c:pt>
                <c:pt idx="245">
                  <c:v>55</c:v>
                </c:pt>
                <c:pt idx="246">
                  <c:v>55</c:v>
                </c:pt>
                <c:pt idx="247">
                  <c:v>55</c:v>
                </c:pt>
                <c:pt idx="248">
                  <c:v>55</c:v>
                </c:pt>
                <c:pt idx="249">
                  <c:v>55</c:v>
                </c:pt>
                <c:pt idx="250">
                  <c:v>55</c:v>
                </c:pt>
                <c:pt idx="251">
                  <c:v>55</c:v>
                </c:pt>
                <c:pt idx="252">
                  <c:v>55</c:v>
                </c:pt>
                <c:pt idx="253">
                  <c:v>55</c:v>
                </c:pt>
                <c:pt idx="254">
                  <c:v>55</c:v>
                </c:pt>
                <c:pt idx="255">
                  <c:v>55</c:v>
                </c:pt>
                <c:pt idx="256">
                  <c:v>55</c:v>
                </c:pt>
                <c:pt idx="257">
                  <c:v>55</c:v>
                </c:pt>
                <c:pt idx="258">
                  <c:v>55</c:v>
                </c:pt>
                <c:pt idx="259">
                  <c:v>55</c:v>
                </c:pt>
                <c:pt idx="260">
                  <c:v>55</c:v>
                </c:pt>
                <c:pt idx="261">
                  <c:v>55</c:v>
                </c:pt>
                <c:pt idx="262">
                  <c:v>55</c:v>
                </c:pt>
                <c:pt idx="263">
                  <c:v>55</c:v>
                </c:pt>
                <c:pt idx="264">
                  <c:v>55</c:v>
                </c:pt>
                <c:pt idx="265">
                  <c:v>55</c:v>
                </c:pt>
                <c:pt idx="266">
                  <c:v>55</c:v>
                </c:pt>
                <c:pt idx="267">
                  <c:v>55</c:v>
                </c:pt>
                <c:pt idx="268">
                  <c:v>55</c:v>
                </c:pt>
                <c:pt idx="269">
                  <c:v>55</c:v>
                </c:pt>
                <c:pt idx="270">
                  <c:v>55</c:v>
                </c:pt>
                <c:pt idx="271">
                  <c:v>55</c:v>
                </c:pt>
                <c:pt idx="272">
                  <c:v>55</c:v>
                </c:pt>
                <c:pt idx="273">
                  <c:v>55</c:v>
                </c:pt>
                <c:pt idx="274">
                  <c:v>55</c:v>
                </c:pt>
                <c:pt idx="275">
                  <c:v>55</c:v>
                </c:pt>
                <c:pt idx="276">
                  <c:v>55</c:v>
                </c:pt>
                <c:pt idx="277">
                  <c:v>55</c:v>
                </c:pt>
                <c:pt idx="278">
                  <c:v>55</c:v>
                </c:pt>
                <c:pt idx="279">
                  <c:v>55</c:v>
                </c:pt>
                <c:pt idx="280">
                  <c:v>55</c:v>
                </c:pt>
                <c:pt idx="281">
                  <c:v>55</c:v>
                </c:pt>
                <c:pt idx="282">
                  <c:v>55</c:v>
                </c:pt>
                <c:pt idx="283">
                  <c:v>55</c:v>
                </c:pt>
                <c:pt idx="284">
                  <c:v>55</c:v>
                </c:pt>
                <c:pt idx="285">
                  <c:v>55</c:v>
                </c:pt>
                <c:pt idx="286">
                  <c:v>55</c:v>
                </c:pt>
                <c:pt idx="287">
                  <c:v>55</c:v>
                </c:pt>
                <c:pt idx="288">
                  <c:v>55</c:v>
                </c:pt>
                <c:pt idx="289">
                  <c:v>55</c:v>
                </c:pt>
                <c:pt idx="290">
                  <c:v>55</c:v>
                </c:pt>
                <c:pt idx="291">
                  <c:v>55</c:v>
                </c:pt>
                <c:pt idx="292">
                  <c:v>55</c:v>
                </c:pt>
                <c:pt idx="293">
                  <c:v>55</c:v>
                </c:pt>
                <c:pt idx="294">
                  <c:v>55</c:v>
                </c:pt>
                <c:pt idx="295">
                  <c:v>55</c:v>
                </c:pt>
                <c:pt idx="296">
                  <c:v>55</c:v>
                </c:pt>
                <c:pt idx="297">
                  <c:v>55</c:v>
                </c:pt>
                <c:pt idx="298">
                  <c:v>55</c:v>
                </c:pt>
                <c:pt idx="299">
                  <c:v>55</c:v>
                </c:pt>
                <c:pt idx="300">
                  <c:v>55</c:v>
                </c:pt>
                <c:pt idx="301">
                  <c:v>55</c:v>
                </c:pt>
                <c:pt idx="302">
                  <c:v>55</c:v>
                </c:pt>
                <c:pt idx="303">
                  <c:v>55</c:v>
                </c:pt>
                <c:pt idx="304">
                  <c:v>55</c:v>
                </c:pt>
                <c:pt idx="305">
                  <c:v>55</c:v>
                </c:pt>
                <c:pt idx="306">
                  <c:v>55</c:v>
                </c:pt>
                <c:pt idx="307">
                  <c:v>55</c:v>
                </c:pt>
                <c:pt idx="308">
                  <c:v>55</c:v>
                </c:pt>
                <c:pt idx="309">
                  <c:v>55</c:v>
                </c:pt>
                <c:pt idx="310">
                  <c:v>55</c:v>
                </c:pt>
                <c:pt idx="311">
                  <c:v>55</c:v>
                </c:pt>
                <c:pt idx="312">
                  <c:v>55</c:v>
                </c:pt>
                <c:pt idx="313">
                  <c:v>55</c:v>
                </c:pt>
                <c:pt idx="314">
                  <c:v>55</c:v>
                </c:pt>
                <c:pt idx="315">
                  <c:v>55</c:v>
                </c:pt>
                <c:pt idx="316">
                  <c:v>55</c:v>
                </c:pt>
                <c:pt idx="317">
                  <c:v>55</c:v>
                </c:pt>
                <c:pt idx="318">
                  <c:v>55</c:v>
                </c:pt>
                <c:pt idx="319">
                  <c:v>55</c:v>
                </c:pt>
                <c:pt idx="320">
                  <c:v>55</c:v>
                </c:pt>
                <c:pt idx="321">
                  <c:v>55</c:v>
                </c:pt>
                <c:pt idx="322">
                  <c:v>55</c:v>
                </c:pt>
                <c:pt idx="323">
                  <c:v>55</c:v>
                </c:pt>
                <c:pt idx="324">
                  <c:v>55</c:v>
                </c:pt>
                <c:pt idx="325">
                  <c:v>55</c:v>
                </c:pt>
                <c:pt idx="326">
                  <c:v>55</c:v>
                </c:pt>
                <c:pt idx="327">
                  <c:v>55</c:v>
                </c:pt>
                <c:pt idx="328">
                  <c:v>55</c:v>
                </c:pt>
                <c:pt idx="329">
                  <c:v>55</c:v>
                </c:pt>
                <c:pt idx="330">
                  <c:v>55</c:v>
                </c:pt>
                <c:pt idx="331">
                  <c:v>55</c:v>
                </c:pt>
                <c:pt idx="332">
                  <c:v>55</c:v>
                </c:pt>
                <c:pt idx="333">
                  <c:v>55</c:v>
                </c:pt>
                <c:pt idx="334">
                  <c:v>55</c:v>
                </c:pt>
                <c:pt idx="335">
                  <c:v>55</c:v>
                </c:pt>
                <c:pt idx="336">
                  <c:v>55</c:v>
                </c:pt>
                <c:pt idx="337">
                  <c:v>55</c:v>
                </c:pt>
                <c:pt idx="338">
                  <c:v>55</c:v>
                </c:pt>
                <c:pt idx="339">
                  <c:v>55</c:v>
                </c:pt>
                <c:pt idx="340">
                  <c:v>55</c:v>
                </c:pt>
                <c:pt idx="341">
                  <c:v>55</c:v>
                </c:pt>
                <c:pt idx="342">
                  <c:v>55</c:v>
                </c:pt>
                <c:pt idx="343">
                  <c:v>55</c:v>
                </c:pt>
                <c:pt idx="344">
                  <c:v>55</c:v>
                </c:pt>
                <c:pt idx="345">
                  <c:v>55</c:v>
                </c:pt>
                <c:pt idx="346">
                  <c:v>55</c:v>
                </c:pt>
                <c:pt idx="347">
                  <c:v>55</c:v>
                </c:pt>
                <c:pt idx="348">
                  <c:v>55</c:v>
                </c:pt>
                <c:pt idx="349">
                  <c:v>55</c:v>
                </c:pt>
                <c:pt idx="350">
                  <c:v>55</c:v>
                </c:pt>
                <c:pt idx="351">
                  <c:v>55</c:v>
                </c:pt>
              </c:numCache>
            </c:numRef>
          </c:yVal>
          <c:smooth val="0"/>
          <c:extLst>
            <c:ext xmlns:c16="http://schemas.microsoft.com/office/drawing/2014/chart" uri="{C3380CC4-5D6E-409C-BE32-E72D297353CC}">
              <c16:uniqueId val="{00000006-BDAD-4013-9EEB-B3D06E19465F}"/>
            </c:ext>
          </c:extLst>
        </c:ser>
        <c:ser>
          <c:idx val="7"/>
          <c:order val="7"/>
          <c:spPr>
            <a:ln>
              <a:solidFill>
                <a:srgbClr val="7030A0"/>
              </a:solidFill>
            </a:ln>
          </c:spPr>
          <c:marker>
            <c:symbol val="none"/>
          </c:marker>
          <c:xVal>
            <c:strRef>
              <c:f>'Levey Jennings'!$B$35:$B$386</c:f>
              <c:strCache>
                <c:ptCount val="17"/>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strCache>
            </c:strRef>
          </c:xVal>
          <c:yVal>
            <c:numRef>
              <c:f>'Levey Jennings'!$O$35:$O$386</c:f>
              <c:numCache>
                <c:formatCode>0.000</c:formatCode>
                <c:ptCount val="352"/>
                <c:pt idx="0">
                  <c:v>45</c:v>
                </c:pt>
                <c:pt idx="1">
                  <c:v>45</c:v>
                </c:pt>
                <c:pt idx="2">
                  <c:v>45</c:v>
                </c:pt>
                <c:pt idx="3">
                  <c:v>45</c:v>
                </c:pt>
                <c:pt idx="4">
                  <c:v>45</c:v>
                </c:pt>
                <c:pt idx="5">
                  <c:v>45</c:v>
                </c:pt>
                <c:pt idx="6">
                  <c:v>45</c:v>
                </c:pt>
                <c:pt idx="7">
                  <c:v>45</c:v>
                </c:pt>
                <c:pt idx="8">
                  <c:v>45</c:v>
                </c:pt>
                <c:pt idx="9">
                  <c:v>45</c:v>
                </c:pt>
                <c:pt idx="10">
                  <c:v>45</c:v>
                </c:pt>
                <c:pt idx="11">
                  <c:v>45</c:v>
                </c:pt>
                <c:pt idx="12">
                  <c:v>45</c:v>
                </c:pt>
                <c:pt idx="13">
                  <c:v>45</c:v>
                </c:pt>
                <c:pt idx="14">
                  <c:v>45</c:v>
                </c:pt>
                <c:pt idx="15">
                  <c:v>45</c:v>
                </c:pt>
                <c:pt idx="16">
                  <c:v>45</c:v>
                </c:pt>
                <c:pt idx="17">
                  <c:v>45</c:v>
                </c:pt>
                <c:pt idx="18">
                  <c:v>45</c:v>
                </c:pt>
                <c:pt idx="19">
                  <c:v>45</c:v>
                </c:pt>
                <c:pt idx="20">
                  <c:v>45</c:v>
                </c:pt>
                <c:pt idx="21">
                  <c:v>45</c:v>
                </c:pt>
                <c:pt idx="22">
                  <c:v>45</c:v>
                </c:pt>
                <c:pt idx="23">
                  <c:v>45</c:v>
                </c:pt>
                <c:pt idx="24">
                  <c:v>45</c:v>
                </c:pt>
                <c:pt idx="25">
                  <c:v>45</c:v>
                </c:pt>
                <c:pt idx="26">
                  <c:v>45</c:v>
                </c:pt>
                <c:pt idx="27">
                  <c:v>45</c:v>
                </c:pt>
                <c:pt idx="28">
                  <c:v>45</c:v>
                </c:pt>
                <c:pt idx="29">
                  <c:v>45</c:v>
                </c:pt>
                <c:pt idx="30">
                  <c:v>45</c:v>
                </c:pt>
                <c:pt idx="31">
                  <c:v>45</c:v>
                </c:pt>
                <c:pt idx="32">
                  <c:v>45</c:v>
                </c:pt>
                <c:pt idx="33">
                  <c:v>45</c:v>
                </c:pt>
                <c:pt idx="34">
                  <c:v>45</c:v>
                </c:pt>
                <c:pt idx="35">
                  <c:v>45</c:v>
                </c:pt>
                <c:pt idx="36">
                  <c:v>45</c:v>
                </c:pt>
                <c:pt idx="37">
                  <c:v>45</c:v>
                </c:pt>
                <c:pt idx="38">
                  <c:v>45</c:v>
                </c:pt>
                <c:pt idx="39">
                  <c:v>45</c:v>
                </c:pt>
                <c:pt idx="40">
                  <c:v>45</c:v>
                </c:pt>
                <c:pt idx="41">
                  <c:v>45</c:v>
                </c:pt>
                <c:pt idx="42">
                  <c:v>45</c:v>
                </c:pt>
                <c:pt idx="43">
                  <c:v>45</c:v>
                </c:pt>
                <c:pt idx="44">
                  <c:v>45</c:v>
                </c:pt>
                <c:pt idx="45">
                  <c:v>45</c:v>
                </c:pt>
                <c:pt idx="46">
                  <c:v>45</c:v>
                </c:pt>
                <c:pt idx="47">
                  <c:v>45</c:v>
                </c:pt>
                <c:pt idx="48">
                  <c:v>45</c:v>
                </c:pt>
                <c:pt idx="49">
                  <c:v>45</c:v>
                </c:pt>
                <c:pt idx="50">
                  <c:v>45</c:v>
                </c:pt>
                <c:pt idx="51">
                  <c:v>45</c:v>
                </c:pt>
                <c:pt idx="52">
                  <c:v>45</c:v>
                </c:pt>
                <c:pt idx="53">
                  <c:v>45</c:v>
                </c:pt>
                <c:pt idx="54">
                  <c:v>45</c:v>
                </c:pt>
                <c:pt idx="55">
                  <c:v>45</c:v>
                </c:pt>
                <c:pt idx="56">
                  <c:v>45</c:v>
                </c:pt>
                <c:pt idx="57">
                  <c:v>45</c:v>
                </c:pt>
                <c:pt idx="58">
                  <c:v>45</c:v>
                </c:pt>
                <c:pt idx="59">
                  <c:v>45</c:v>
                </c:pt>
                <c:pt idx="60">
                  <c:v>45</c:v>
                </c:pt>
                <c:pt idx="61">
                  <c:v>45</c:v>
                </c:pt>
                <c:pt idx="62">
                  <c:v>45</c:v>
                </c:pt>
                <c:pt idx="63">
                  <c:v>45</c:v>
                </c:pt>
                <c:pt idx="64">
                  <c:v>45</c:v>
                </c:pt>
                <c:pt idx="65">
                  <c:v>45</c:v>
                </c:pt>
                <c:pt idx="66">
                  <c:v>45</c:v>
                </c:pt>
                <c:pt idx="67">
                  <c:v>45</c:v>
                </c:pt>
                <c:pt idx="68">
                  <c:v>45</c:v>
                </c:pt>
                <c:pt idx="69">
                  <c:v>45</c:v>
                </c:pt>
                <c:pt idx="70">
                  <c:v>45</c:v>
                </c:pt>
                <c:pt idx="71">
                  <c:v>45</c:v>
                </c:pt>
                <c:pt idx="72">
                  <c:v>45</c:v>
                </c:pt>
                <c:pt idx="73">
                  <c:v>45</c:v>
                </c:pt>
                <c:pt idx="74">
                  <c:v>45</c:v>
                </c:pt>
                <c:pt idx="75">
                  <c:v>45</c:v>
                </c:pt>
                <c:pt idx="76">
                  <c:v>45</c:v>
                </c:pt>
                <c:pt idx="77">
                  <c:v>45</c:v>
                </c:pt>
                <c:pt idx="78">
                  <c:v>45</c:v>
                </c:pt>
                <c:pt idx="79">
                  <c:v>45</c:v>
                </c:pt>
                <c:pt idx="80">
                  <c:v>45</c:v>
                </c:pt>
                <c:pt idx="81">
                  <c:v>45</c:v>
                </c:pt>
                <c:pt idx="82">
                  <c:v>45</c:v>
                </c:pt>
                <c:pt idx="83">
                  <c:v>45</c:v>
                </c:pt>
                <c:pt idx="84">
                  <c:v>45</c:v>
                </c:pt>
                <c:pt idx="85">
                  <c:v>45</c:v>
                </c:pt>
                <c:pt idx="86">
                  <c:v>45</c:v>
                </c:pt>
                <c:pt idx="87">
                  <c:v>45</c:v>
                </c:pt>
                <c:pt idx="88">
                  <c:v>45</c:v>
                </c:pt>
                <c:pt idx="89">
                  <c:v>45</c:v>
                </c:pt>
                <c:pt idx="90">
                  <c:v>45</c:v>
                </c:pt>
                <c:pt idx="91">
                  <c:v>45</c:v>
                </c:pt>
                <c:pt idx="92">
                  <c:v>45</c:v>
                </c:pt>
                <c:pt idx="93">
                  <c:v>45</c:v>
                </c:pt>
                <c:pt idx="94">
                  <c:v>45</c:v>
                </c:pt>
                <c:pt idx="95">
                  <c:v>45</c:v>
                </c:pt>
                <c:pt idx="96">
                  <c:v>45</c:v>
                </c:pt>
                <c:pt idx="97">
                  <c:v>45</c:v>
                </c:pt>
                <c:pt idx="98">
                  <c:v>45</c:v>
                </c:pt>
                <c:pt idx="99">
                  <c:v>45</c:v>
                </c:pt>
                <c:pt idx="100">
                  <c:v>45</c:v>
                </c:pt>
                <c:pt idx="101">
                  <c:v>45</c:v>
                </c:pt>
                <c:pt idx="102">
                  <c:v>45</c:v>
                </c:pt>
                <c:pt idx="103">
                  <c:v>45</c:v>
                </c:pt>
                <c:pt idx="104">
                  <c:v>45</c:v>
                </c:pt>
                <c:pt idx="105">
                  <c:v>45</c:v>
                </c:pt>
                <c:pt idx="106">
                  <c:v>45</c:v>
                </c:pt>
                <c:pt idx="107">
                  <c:v>45</c:v>
                </c:pt>
                <c:pt idx="108">
                  <c:v>45</c:v>
                </c:pt>
                <c:pt idx="109">
                  <c:v>45</c:v>
                </c:pt>
                <c:pt idx="110">
                  <c:v>45</c:v>
                </c:pt>
                <c:pt idx="111">
                  <c:v>45</c:v>
                </c:pt>
                <c:pt idx="112">
                  <c:v>45</c:v>
                </c:pt>
                <c:pt idx="113">
                  <c:v>45</c:v>
                </c:pt>
                <c:pt idx="114">
                  <c:v>45</c:v>
                </c:pt>
                <c:pt idx="115">
                  <c:v>45</c:v>
                </c:pt>
                <c:pt idx="116">
                  <c:v>45</c:v>
                </c:pt>
                <c:pt idx="117">
                  <c:v>45</c:v>
                </c:pt>
                <c:pt idx="118">
                  <c:v>45</c:v>
                </c:pt>
                <c:pt idx="119">
                  <c:v>45</c:v>
                </c:pt>
                <c:pt idx="120">
                  <c:v>45</c:v>
                </c:pt>
                <c:pt idx="121">
                  <c:v>45</c:v>
                </c:pt>
                <c:pt idx="122">
                  <c:v>45</c:v>
                </c:pt>
                <c:pt idx="123">
                  <c:v>45</c:v>
                </c:pt>
                <c:pt idx="124">
                  <c:v>45</c:v>
                </c:pt>
                <c:pt idx="125">
                  <c:v>45</c:v>
                </c:pt>
                <c:pt idx="126">
                  <c:v>45</c:v>
                </c:pt>
                <c:pt idx="127">
                  <c:v>45</c:v>
                </c:pt>
                <c:pt idx="128">
                  <c:v>45</c:v>
                </c:pt>
                <c:pt idx="129">
                  <c:v>45</c:v>
                </c:pt>
                <c:pt idx="130">
                  <c:v>45</c:v>
                </c:pt>
                <c:pt idx="131">
                  <c:v>45</c:v>
                </c:pt>
                <c:pt idx="132">
                  <c:v>45</c:v>
                </c:pt>
                <c:pt idx="133">
                  <c:v>45</c:v>
                </c:pt>
                <c:pt idx="134">
                  <c:v>45</c:v>
                </c:pt>
                <c:pt idx="135">
                  <c:v>45</c:v>
                </c:pt>
                <c:pt idx="136">
                  <c:v>45</c:v>
                </c:pt>
                <c:pt idx="137">
                  <c:v>45</c:v>
                </c:pt>
                <c:pt idx="138">
                  <c:v>45</c:v>
                </c:pt>
                <c:pt idx="139">
                  <c:v>45</c:v>
                </c:pt>
                <c:pt idx="140">
                  <c:v>45</c:v>
                </c:pt>
                <c:pt idx="141">
                  <c:v>45</c:v>
                </c:pt>
                <c:pt idx="142">
                  <c:v>45</c:v>
                </c:pt>
                <c:pt idx="143">
                  <c:v>45</c:v>
                </c:pt>
                <c:pt idx="144">
                  <c:v>45</c:v>
                </c:pt>
                <c:pt idx="145">
                  <c:v>45</c:v>
                </c:pt>
                <c:pt idx="146">
                  <c:v>45</c:v>
                </c:pt>
                <c:pt idx="147">
                  <c:v>45</c:v>
                </c:pt>
                <c:pt idx="148">
                  <c:v>45</c:v>
                </c:pt>
                <c:pt idx="149">
                  <c:v>45</c:v>
                </c:pt>
                <c:pt idx="150">
                  <c:v>45</c:v>
                </c:pt>
                <c:pt idx="151">
                  <c:v>45</c:v>
                </c:pt>
                <c:pt idx="152">
                  <c:v>45</c:v>
                </c:pt>
                <c:pt idx="153">
                  <c:v>45</c:v>
                </c:pt>
                <c:pt idx="154">
                  <c:v>45</c:v>
                </c:pt>
                <c:pt idx="155">
                  <c:v>45</c:v>
                </c:pt>
                <c:pt idx="156">
                  <c:v>45</c:v>
                </c:pt>
                <c:pt idx="157">
                  <c:v>45</c:v>
                </c:pt>
                <c:pt idx="158">
                  <c:v>45</c:v>
                </c:pt>
                <c:pt idx="159">
                  <c:v>45</c:v>
                </c:pt>
                <c:pt idx="160">
                  <c:v>45</c:v>
                </c:pt>
                <c:pt idx="161">
                  <c:v>45</c:v>
                </c:pt>
                <c:pt idx="162">
                  <c:v>45</c:v>
                </c:pt>
                <c:pt idx="163">
                  <c:v>45</c:v>
                </c:pt>
                <c:pt idx="164">
                  <c:v>45</c:v>
                </c:pt>
                <c:pt idx="165">
                  <c:v>45</c:v>
                </c:pt>
                <c:pt idx="166">
                  <c:v>45</c:v>
                </c:pt>
                <c:pt idx="167">
                  <c:v>45</c:v>
                </c:pt>
                <c:pt idx="168">
                  <c:v>45</c:v>
                </c:pt>
                <c:pt idx="169">
                  <c:v>45</c:v>
                </c:pt>
                <c:pt idx="170">
                  <c:v>45</c:v>
                </c:pt>
                <c:pt idx="171">
                  <c:v>45</c:v>
                </c:pt>
                <c:pt idx="172">
                  <c:v>45</c:v>
                </c:pt>
                <c:pt idx="173">
                  <c:v>45</c:v>
                </c:pt>
                <c:pt idx="174">
                  <c:v>45</c:v>
                </c:pt>
                <c:pt idx="175">
                  <c:v>45</c:v>
                </c:pt>
                <c:pt idx="176">
                  <c:v>45</c:v>
                </c:pt>
                <c:pt idx="177">
                  <c:v>45</c:v>
                </c:pt>
                <c:pt idx="178">
                  <c:v>45</c:v>
                </c:pt>
                <c:pt idx="179">
                  <c:v>45</c:v>
                </c:pt>
                <c:pt idx="180">
                  <c:v>45</c:v>
                </c:pt>
                <c:pt idx="181">
                  <c:v>45</c:v>
                </c:pt>
                <c:pt idx="182">
                  <c:v>45</c:v>
                </c:pt>
                <c:pt idx="183">
                  <c:v>45</c:v>
                </c:pt>
                <c:pt idx="184">
                  <c:v>45</c:v>
                </c:pt>
                <c:pt idx="185">
                  <c:v>45</c:v>
                </c:pt>
                <c:pt idx="186">
                  <c:v>45</c:v>
                </c:pt>
                <c:pt idx="187">
                  <c:v>45</c:v>
                </c:pt>
                <c:pt idx="188">
                  <c:v>45</c:v>
                </c:pt>
                <c:pt idx="189">
                  <c:v>45</c:v>
                </c:pt>
                <c:pt idx="190">
                  <c:v>45</c:v>
                </c:pt>
                <c:pt idx="191">
                  <c:v>45</c:v>
                </c:pt>
                <c:pt idx="192">
                  <c:v>45</c:v>
                </c:pt>
                <c:pt idx="193">
                  <c:v>45</c:v>
                </c:pt>
                <c:pt idx="194">
                  <c:v>45</c:v>
                </c:pt>
                <c:pt idx="195">
                  <c:v>45</c:v>
                </c:pt>
                <c:pt idx="196">
                  <c:v>45</c:v>
                </c:pt>
                <c:pt idx="197">
                  <c:v>45</c:v>
                </c:pt>
                <c:pt idx="198">
                  <c:v>45</c:v>
                </c:pt>
                <c:pt idx="199">
                  <c:v>45</c:v>
                </c:pt>
                <c:pt idx="200">
                  <c:v>45</c:v>
                </c:pt>
                <c:pt idx="201">
                  <c:v>45</c:v>
                </c:pt>
                <c:pt idx="202">
                  <c:v>45</c:v>
                </c:pt>
                <c:pt idx="203">
                  <c:v>45</c:v>
                </c:pt>
                <c:pt idx="204">
                  <c:v>45</c:v>
                </c:pt>
                <c:pt idx="205">
                  <c:v>45</c:v>
                </c:pt>
                <c:pt idx="206">
                  <c:v>45</c:v>
                </c:pt>
                <c:pt idx="207">
                  <c:v>45</c:v>
                </c:pt>
                <c:pt idx="208">
                  <c:v>45</c:v>
                </c:pt>
                <c:pt idx="209">
                  <c:v>45</c:v>
                </c:pt>
                <c:pt idx="210">
                  <c:v>45</c:v>
                </c:pt>
                <c:pt idx="211">
                  <c:v>45</c:v>
                </c:pt>
                <c:pt idx="212">
                  <c:v>45</c:v>
                </c:pt>
                <c:pt idx="213">
                  <c:v>45</c:v>
                </c:pt>
                <c:pt idx="214">
                  <c:v>45</c:v>
                </c:pt>
                <c:pt idx="215">
                  <c:v>45</c:v>
                </c:pt>
                <c:pt idx="216">
                  <c:v>45</c:v>
                </c:pt>
                <c:pt idx="217">
                  <c:v>45</c:v>
                </c:pt>
                <c:pt idx="218">
                  <c:v>45</c:v>
                </c:pt>
                <c:pt idx="219">
                  <c:v>45</c:v>
                </c:pt>
                <c:pt idx="220">
                  <c:v>45</c:v>
                </c:pt>
                <c:pt idx="221">
                  <c:v>45</c:v>
                </c:pt>
                <c:pt idx="222">
                  <c:v>45</c:v>
                </c:pt>
                <c:pt idx="223">
                  <c:v>45</c:v>
                </c:pt>
                <c:pt idx="224">
                  <c:v>45</c:v>
                </c:pt>
                <c:pt idx="225">
                  <c:v>45</c:v>
                </c:pt>
                <c:pt idx="226">
                  <c:v>45</c:v>
                </c:pt>
                <c:pt idx="227">
                  <c:v>45</c:v>
                </c:pt>
                <c:pt idx="228">
                  <c:v>45</c:v>
                </c:pt>
                <c:pt idx="229">
                  <c:v>45</c:v>
                </c:pt>
                <c:pt idx="230">
                  <c:v>45</c:v>
                </c:pt>
                <c:pt idx="231">
                  <c:v>45</c:v>
                </c:pt>
                <c:pt idx="232">
                  <c:v>45</c:v>
                </c:pt>
                <c:pt idx="233">
                  <c:v>45</c:v>
                </c:pt>
                <c:pt idx="234">
                  <c:v>45</c:v>
                </c:pt>
                <c:pt idx="235">
                  <c:v>45</c:v>
                </c:pt>
                <c:pt idx="236">
                  <c:v>45</c:v>
                </c:pt>
                <c:pt idx="237">
                  <c:v>45</c:v>
                </c:pt>
                <c:pt idx="238">
                  <c:v>45</c:v>
                </c:pt>
                <c:pt idx="239">
                  <c:v>45</c:v>
                </c:pt>
                <c:pt idx="240">
                  <c:v>45</c:v>
                </c:pt>
                <c:pt idx="241">
                  <c:v>45</c:v>
                </c:pt>
                <c:pt idx="242">
                  <c:v>45</c:v>
                </c:pt>
                <c:pt idx="243">
                  <c:v>45</c:v>
                </c:pt>
                <c:pt idx="244">
                  <c:v>45</c:v>
                </c:pt>
                <c:pt idx="245">
                  <c:v>45</c:v>
                </c:pt>
                <c:pt idx="246">
                  <c:v>45</c:v>
                </c:pt>
                <c:pt idx="247">
                  <c:v>45</c:v>
                </c:pt>
                <c:pt idx="248">
                  <c:v>45</c:v>
                </c:pt>
                <c:pt idx="249">
                  <c:v>45</c:v>
                </c:pt>
                <c:pt idx="250">
                  <c:v>45</c:v>
                </c:pt>
                <c:pt idx="251">
                  <c:v>45</c:v>
                </c:pt>
                <c:pt idx="252">
                  <c:v>45</c:v>
                </c:pt>
                <c:pt idx="253">
                  <c:v>45</c:v>
                </c:pt>
                <c:pt idx="254">
                  <c:v>45</c:v>
                </c:pt>
                <c:pt idx="255">
                  <c:v>45</c:v>
                </c:pt>
                <c:pt idx="256">
                  <c:v>45</c:v>
                </c:pt>
                <c:pt idx="257">
                  <c:v>45</c:v>
                </c:pt>
                <c:pt idx="258">
                  <c:v>45</c:v>
                </c:pt>
                <c:pt idx="259">
                  <c:v>45</c:v>
                </c:pt>
                <c:pt idx="260">
                  <c:v>45</c:v>
                </c:pt>
                <c:pt idx="261">
                  <c:v>45</c:v>
                </c:pt>
                <c:pt idx="262">
                  <c:v>45</c:v>
                </c:pt>
                <c:pt idx="263">
                  <c:v>45</c:v>
                </c:pt>
                <c:pt idx="264">
                  <c:v>45</c:v>
                </c:pt>
                <c:pt idx="265">
                  <c:v>45</c:v>
                </c:pt>
                <c:pt idx="266">
                  <c:v>45</c:v>
                </c:pt>
                <c:pt idx="267">
                  <c:v>45</c:v>
                </c:pt>
                <c:pt idx="268">
                  <c:v>45</c:v>
                </c:pt>
                <c:pt idx="269">
                  <c:v>45</c:v>
                </c:pt>
                <c:pt idx="270">
                  <c:v>45</c:v>
                </c:pt>
                <c:pt idx="271">
                  <c:v>45</c:v>
                </c:pt>
                <c:pt idx="272">
                  <c:v>45</c:v>
                </c:pt>
                <c:pt idx="273">
                  <c:v>45</c:v>
                </c:pt>
                <c:pt idx="274">
                  <c:v>45</c:v>
                </c:pt>
                <c:pt idx="275">
                  <c:v>45</c:v>
                </c:pt>
                <c:pt idx="276">
                  <c:v>45</c:v>
                </c:pt>
                <c:pt idx="277">
                  <c:v>45</c:v>
                </c:pt>
                <c:pt idx="278">
                  <c:v>45</c:v>
                </c:pt>
                <c:pt idx="279">
                  <c:v>45</c:v>
                </c:pt>
                <c:pt idx="280">
                  <c:v>45</c:v>
                </c:pt>
                <c:pt idx="281">
                  <c:v>45</c:v>
                </c:pt>
                <c:pt idx="282">
                  <c:v>45</c:v>
                </c:pt>
                <c:pt idx="283">
                  <c:v>45</c:v>
                </c:pt>
                <c:pt idx="284">
                  <c:v>45</c:v>
                </c:pt>
                <c:pt idx="285">
                  <c:v>45</c:v>
                </c:pt>
                <c:pt idx="286">
                  <c:v>45</c:v>
                </c:pt>
                <c:pt idx="287">
                  <c:v>45</c:v>
                </c:pt>
                <c:pt idx="288">
                  <c:v>45</c:v>
                </c:pt>
                <c:pt idx="289">
                  <c:v>45</c:v>
                </c:pt>
                <c:pt idx="290">
                  <c:v>45</c:v>
                </c:pt>
                <c:pt idx="291">
                  <c:v>45</c:v>
                </c:pt>
                <c:pt idx="292">
                  <c:v>45</c:v>
                </c:pt>
                <c:pt idx="293">
                  <c:v>45</c:v>
                </c:pt>
                <c:pt idx="294">
                  <c:v>45</c:v>
                </c:pt>
                <c:pt idx="295">
                  <c:v>45</c:v>
                </c:pt>
                <c:pt idx="296">
                  <c:v>45</c:v>
                </c:pt>
                <c:pt idx="297">
                  <c:v>45</c:v>
                </c:pt>
                <c:pt idx="298">
                  <c:v>45</c:v>
                </c:pt>
                <c:pt idx="299">
                  <c:v>45</c:v>
                </c:pt>
                <c:pt idx="300">
                  <c:v>45</c:v>
                </c:pt>
                <c:pt idx="301">
                  <c:v>45</c:v>
                </c:pt>
                <c:pt idx="302">
                  <c:v>45</c:v>
                </c:pt>
                <c:pt idx="303">
                  <c:v>45</c:v>
                </c:pt>
                <c:pt idx="304">
                  <c:v>45</c:v>
                </c:pt>
                <c:pt idx="305">
                  <c:v>45</c:v>
                </c:pt>
                <c:pt idx="306">
                  <c:v>45</c:v>
                </c:pt>
                <c:pt idx="307">
                  <c:v>45</c:v>
                </c:pt>
                <c:pt idx="308">
                  <c:v>45</c:v>
                </c:pt>
                <c:pt idx="309">
                  <c:v>45</c:v>
                </c:pt>
                <c:pt idx="310">
                  <c:v>45</c:v>
                </c:pt>
                <c:pt idx="311">
                  <c:v>45</c:v>
                </c:pt>
                <c:pt idx="312">
                  <c:v>45</c:v>
                </c:pt>
                <c:pt idx="313">
                  <c:v>45</c:v>
                </c:pt>
                <c:pt idx="314">
                  <c:v>45</c:v>
                </c:pt>
                <c:pt idx="315">
                  <c:v>45</c:v>
                </c:pt>
                <c:pt idx="316">
                  <c:v>45</c:v>
                </c:pt>
                <c:pt idx="317">
                  <c:v>45</c:v>
                </c:pt>
                <c:pt idx="318">
                  <c:v>45</c:v>
                </c:pt>
                <c:pt idx="319">
                  <c:v>45</c:v>
                </c:pt>
                <c:pt idx="320">
                  <c:v>45</c:v>
                </c:pt>
                <c:pt idx="321">
                  <c:v>45</c:v>
                </c:pt>
                <c:pt idx="322">
                  <c:v>45</c:v>
                </c:pt>
                <c:pt idx="323">
                  <c:v>45</c:v>
                </c:pt>
                <c:pt idx="324">
                  <c:v>45</c:v>
                </c:pt>
                <c:pt idx="325">
                  <c:v>45</c:v>
                </c:pt>
                <c:pt idx="326">
                  <c:v>45</c:v>
                </c:pt>
                <c:pt idx="327">
                  <c:v>45</c:v>
                </c:pt>
                <c:pt idx="328">
                  <c:v>45</c:v>
                </c:pt>
                <c:pt idx="329">
                  <c:v>45</c:v>
                </c:pt>
                <c:pt idx="330">
                  <c:v>45</c:v>
                </c:pt>
                <c:pt idx="331">
                  <c:v>45</c:v>
                </c:pt>
                <c:pt idx="332">
                  <c:v>45</c:v>
                </c:pt>
                <c:pt idx="333">
                  <c:v>45</c:v>
                </c:pt>
                <c:pt idx="334">
                  <c:v>45</c:v>
                </c:pt>
                <c:pt idx="335">
                  <c:v>45</c:v>
                </c:pt>
                <c:pt idx="336">
                  <c:v>45</c:v>
                </c:pt>
                <c:pt idx="337">
                  <c:v>45</c:v>
                </c:pt>
                <c:pt idx="338">
                  <c:v>45</c:v>
                </c:pt>
                <c:pt idx="339">
                  <c:v>45</c:v>
                </c:pt>
                <c:pt idx="340">
                  <c:v>45</c:v>
                </c:pt>
                <c:pt idx="341">
                  <c:v>45</c:v>
                </c:pt>
                <c:pt idx="342">
                  <c:v>45</c:v>
                </c:pt>
                <c:pt idx="343">
                  <c:v>45</c:v>
                </c:pt>
                <c:pt idx="344">
                  <c:v>45</c:v>
                </c:pt>
                <c:pt idx="345">
                  <c:v>45</c:v>
                </c:pt>
                <c:pt idx="346">
                  <c:v>45</c:v>
                </c:pt>
                <c:pt idx="347">
                  <c:v>45</c:v>
                </c:pt>
                <c:pt idx="348">
                  <c:v>45</c:v>
                </c:pt>
                <c:pt idx="349">
                  <c:v>45</c:v>
                </c:pt>
                <c:pt idx="350">
                  <c:v>45</c:v>
                </c:pt>
                <c:pt idx="351">
                  <c:v>45</c:v>
                </c:pt>
              </c:numCache>
            </c:numRef>
          </c:yVal>
          <c:smooth val="0"/>
          <c:extLst>
            <c:ext xmlns:c16="http://schemas.microsoft.com/office/drawing/2014/chart" uri="{C3380CC4-5D6E-409C-BE32-E72D297353CC}">
              <c16:uniqueId val="{00000007-BDAD-4013-9EEB-B3D06E19465F}"/>
            </c:ext>
          </c:extLst>
        </c:ser>
        <c:ser>
          <c:idx val="8"/>
          <c:order val="8"/>
          <c:spPr>
            <a:ln w="28575">
              <a:solidFill>
                <a:schemeClr val="tx1"/>
              </a:solidFill>
              <a:prstDash val="solid"/>
            </a:ln>
          </c:spPr>
          <c:marker>
            <c:symbol val="none"/>
          </c:marker>
          <c:xVal>
            <c:strRef>
              <c:f>'Levey Jennings'!$B$35:$B$387</c:f>
              <c:strCache>
                <c:ptCount val="17"/>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strCache>
            </c:strRef>
          </c:xVal>
          <c:yVal>
            <c:numRef>
              <c:f>'Levey Jennings'!$P$35:$P$388</c:f>
              <c:numCache>
                <c:formatCode>0.000</c:formatCode>
                <c:ptCount val="354"/>
                <c:pt idx="0">
                  <c:v>49.388235294117649</c:v>
                </c:pt>
                <c:pt idx="1">
                  <c:v>49.388235294117649</c:v>
                </c:pt>
                <c:pt idx="2">
                  <c:v>49.388235294117649</c:v>
                </c:pt>
                <c:pt idx="3">
                  <c:v>49.388235294117649</c:v>
                </c:pt>
                <c:pt idx="4">
                  <c:v>49.388235294117649</c:v>
                </c:pt>
                <c:pt idx="5">
                  <c:v>49.388235294117649</c:v>
                </c:pt>
                <c:pt idx="6">
                  <c:v>49.388235294117649</c:v>
                </c:pt>
                <c:pt idx="7">
                  <c:v>49.388235294117649</c:v>
                </c:pt>
                <c:pt idx="8">
                  <c:v>49.388235294117649</c:v>
                </c:pt>
                <c:pt idx="9">
                  <c:v>49.388235294117649</c:v>
                </c:pt>
                <c:pt idx="10">
                  <c:v>49.388235294117649</c:v>
                </c:pt>
                <c:pt idx="11">
                  <c:v>49.388235294117649</c:v>
                </c:pt>
                <c:pt idx="12">
                  <c:v>49.388235294117649</c:v>
                </c:pt>
                <c:pt idx="13">
                  <c:v>49.388235294117649</c:v>
                </c:pt>
                <c:pt idx="14">
                  <c:v>49.388235294117649</c:v>
                </c:pt>
                <c:pt idx="15">
                  <c:v>49.388235294117649</c:v>
                </c:pt>
                <c:pt idx="16">
                  <c:v>49.388235294117649</c:v>
                </c:pt>
                <c:pt idx="17">
                  <c:v>49.388235294117649</c:v>
                </c:pt>
                <c:pt idx="18">
                  <c:v>49.388235294117649</c:v>
                </c:pt>
                <c:pt idx="19">
                  <c:v>49.388235294117649</c:v>
                </c:pt>
                <c:pt idx="20">
                  <c:v>49.388235294117649</c:v>
                </c:pt>
                <c:pt idx="21">
                  <c:v>49.388235294117649</c:v>
                </c:pt>
                <c:pt idx="22">
                  <c:v>49.388235294117649</c:v>
                </c:pt>
                <c:pt idx="23">
                  <c:v>49.388235294117649</c:v>
                </c:pt>
                <c:pt idx="24">
                  <c:v>49.388235294117649</c:v>
                </c:pt>
                <c:pt idx="25">
                  <c:v>49.388235294117649</c:v>
                </c:pt>
                <c:pt idx="26">
                  <c:v>49.388235294117649</c:v>
                </c:pt>
                <c:pt idx="27">
                  <c:v>49.388235294117649</c:v>
                </c:pt>
                <c:pt idx="28">
                  <c:v>49.388235294117649</c:v>
                </c:pt>
                <c:pt idx="29">
                  <c:v>49.388235294117649</c:v>
                </c:pt>
                <c:pt idx="30">
                  <c:v>49.388235294117649</c:v>
                </c:pt>
                <c:pt idx="31">
                  <c:v>49.388235294117649</c:v>
                </c:pt>
                <c:pt idx="32">
                  <c:v>49.388235294117649</c:v>
                </c:pt>
                <c:pt idx="33">
                  <c:v>49.388235294117649</c:v>
                </c:pt>
                <c:pt idx="34">
                  <c:v>49.388235294117649</c:v>
                </c:pt>
                <c:pt idx="35">
                  <c:v>49.388235294117649</c:v>
                </c:pt>
                <c:pt idx="36">
                  <c:v>49.388235294117649</c:v>
                </c:pt>
                <c:pt idx="37">
                  <c:v>49.388235294117649</c:v>
                </c:pt>
                <c:pt idx="38">
                  <c:v>49.388235294117649</c:v>
                </c:pt>
                <c:pt idx="39">
                  <c:v>49.388235294117649</c:v>
                </c:pt>
                <c:pt idx="40">
                  <c:v>49.388235294117649</c:v>
                </c:pt>
                <c:pt idx="41">
                  <c:v>49.388235294117649</c:v>
                </c:pt>
                <c:pt idx="42">
                  <c:v>49.388235294117649</c:v>
                </c:pt>
                <c:pt idx="43">
                  <c:v>49.388235294117649</c:v>
                </c:pt>
                <c:pt idx="44">
                  <c:v>49.388235294117649</c:v>
                </c:pt>
                <c:pt idx="45">
                  <c:v>49.388235294117649</c:v>
                </c:pt>
                <c:pt idx="46">
                  <c:v>49.388235294117649</c:v>
                </c:pt>
                <c:pt idx="47">
                  <c:v>49.388235294117649</c:v>
                </c:pt>
                <c:pt idx="48">
                  <c:v>49.388235294117649</c:v>
                </c:pt>
                <c:pt idx="49">
                  <c:v>49.388235294117649</c:v>
                </c:pt>
                <c:pt idx="50">
                  <c:v>49.388235294117649</c:v>
                </c:pt>
                <c:pt idx="51">
                  <c:v>49.388235294117649</c:v>
                </c:pt>
                <c:pt idx="52">
                  <c:v>49.388235294117649</c:v>
                </c:pt>
                <c:pt idx="53">
                  <c:v>49.388235294117649</c:v>
                </c:pt>
                <c:pt idx="54">
                  <c:v>49.388235294117649</c:v>
                </c:pt>
                <c:pt idx="55">
                  <c:v>49.388235294117649</c:v>
                </c:pt>
                <c:pt idx="56">
                  <c:v>49.388235294117649</c:v>
                </c:pt>
                <c:pt idx="57">
                  <c:v>49.388235294117649</c:v>
                </c:pt>
                <c:pt idx="58">
                  <c:v>49.388235294117649</c:v>
                </c:pt>
                <c:pt idx="59">
                  <c:v>49.388235294117649</c:v>
                </c:pt>
                <c:pt idx="60">
                  <c:v>49.388235294117649</c:v>
                </c:pt>
                <c:pt idx="61">
                  <c:v>49.388235294117649</c:v>
                </c:pt>
                <c:pt idx="62">
                  <c:v>49.388235294117649</c:v>
                </c:pt>
                <c:pt idx="63">
                  <c:v>49.388235294117649</c:v>
                </c:pt>
                <c:pt idx="64">
                  <c:v>49.388235294117649</c:v>
                </c:pt>
                <c:pt idx="65">
                  <c:v>49.388235294117649</c:v>
                </c:pt>
                <c:pt idx="66">
                  <c:v>49.388235294117649</c:v>
                </c:pt>
                <c:pt idx="67">
                  <c:v>49.388235294117649</c:v>
                </c:pt>
                <c:pt idx="68">
                  <c:v>49.388235294117649</c:v>
                </c:pt>
                <c:pt idx="69">
                  <c:v>49.388235294117649</c:v>
                </c:pt>
                <c:pt idx="70">
                  <c:v>49.388235294117649</c:v>
                </c:pt>
                <c:pt idx="71">
                  <c:v>49.388235294117649</c:v>
                </c:pt>
                <c:pt idx="72">
                  <c:v>49.388235294117649</c:v>
                </c:pt>
                <c:pt idx="73">
                  <c:v>49.388235294117649</c:v>
                </c:pt>
                <c:pt idx="74">
                  <c:v>49.388235294117649</c:v>
                </c:pt>
                <c:pt idx="75">
                  <c:v>49.388235294117649</c:v>
                </c:pt>
                <c:pt idx="76">
                  <c:v>49.388235294117649</c:v>
                </c:pt>
                <c:pt idx="77">
                  <c:v>49.388235294117649</c:v>
                </c:pt>
                <c:pt idx="78">
                  <c:v>49.388235294117649</c:v>
                </c:pt>
                <c:pt idx="79">
                  <c:v>49.388235294117649</c:v>
                </c:pt>
                <c:pt idx="80">
                  <c:v>49.388235294117649</c:v>
                </c:pt>
                <c:pt idx="81">
                  <c:v>49.388235294117649</c:v>
                </c:pt>
                <c:pt idx="82">
                  <c:v>49.388235294117649</c:v>
                </c:pt>
                <c:pt idx="83">
                  <c:v>49.388235294117649</c:v>
                </c:pt>
                <c:pt idx="84">
                  <c:v>49.388235294117649</c:v>
                </c:pt>
                <c:pt idx="85">
                  <c:v>49.388235294117649</c:v>
                </c:pt>
                <c:pt idx="86">
                  <c:v>49.388235294117649</c:v>
                </c:pt>
                <c:pt idx="87">
                  <c:v>49.388235294117649</c:v>
                </c:pt>
                <c:pt idx="88">
                  <c:v>49.388235294117649</c:v>
                </c:pt>
                <c:pt idx="89">
                  <c:v>49.388235294117649</c:v>
                </c:pt>
                <c:pt idx="90">
                  <c:v>49.388235294117649</c:v>
                </c:pt>
                <c:pt idx="91">
                  <c:v>49.388235294117649</c:v>
                </c:pt>
                <c:pt idx="92">
                  <c:v>49.388235294117649</c:v>
                </c:pt>
                <c:pt idx="93">
                  <c:v>49.388235294117649</c:v>
                </c:pt>
                <c:pt idx="94">
                  <c:v>49.388235294117649</c:v>
                </c:pt>
                <c:pt idx="95">
                  <c:v>49.388235294117649</c:v>
                </c:pt>
                <c:pt idx="96">
                  <c:v>49.388235294117649</c:v>
                </c:pt>
                <c:pt idx="97">
                  <c:v>49.388235294117649</c:v>
                </c:pt>
                <c:pt idx="98">
                  <c:v>49.388235294117649</c:v>
                </c:pt>
                <c:pt idx="99">
                  <c:v>49.388235294117649</c:v>
                </c:pt>
                <c:pt idx="100">
                  <c:v>49.388235294117649</c:v>
                </c:pt>
                <c:pt idx="101">
                  <c:v>49.388235294117649</c:v>
                </c:pt>
                <c:pt idx="102">
                  <c:v>49.388235294117649</c:v>
                </c:pt>
                <c:pt idx="103">
                  <c:v>49.388235294117649</c:v>
                </c:pt>
                <c:pt idx="104">
                  <c:v>49.388235294117649</c:v>
                </c:pt>
                <c:pt idx="105">
                  <c:v>49.388235294117649</c:v>
                </c:pt>
                <c:pt idx="106">
                  <c:v>49.388235294117649</c:v>
                </c:pt>
                <c:pt idx="107">
                  <c:v>49.388235294117649</c:v>
                </c:pt>
                <c:pt idx="108">
                  <c:v>49.388235294117649</c:v>
                </c:pt>
                <c:pt idx="109">
                  <c:v>49.388235294117649</c:v>
                </c:pt>
                <c:pt idx="110">
                  <c:v>49.388235294117649</c:v>
                </c:pt>
                <c:pt idx="111">
                  <c:v>49.388235294117649</c:v>
                </c:pt>
                <c:pt idx="112">
                  <c:v>49.388235294117649</c:v>
                </c:pt>
                <c:pt idx="113">
                  <c:v>49.388235294117649</c:v>
                </c:pt>
                <c:pt idx="114">
                  <c:v>49.388235294117649</c:v>
                </c:pt>
                <c:pt idx="115">
                  <c:v>49.388235294117649</c:v>
                </c:pt>
                <c:pt idx="116">
                  <c:v>49.388235294117649</c:v>
                </c:pt>
                <c:pt idx="117">
                  <c:v>49.388235294117649</c:v>
                </c:pt>
                <c:pt idx="118">
                  <c:v>49.388235294117649</c:v>
                </c:pt>
                <c:pt idx="119">
                  <c:v>49.388235294117649</c:v>
                </c:pt>
                <c:pt idx="120">
                  <c:v>49.388235294117649</c:v>
                </c:pt>
                <c:pt idx="121">
                  <c:v>49.388235294117649</c:v>
                </c:pt>
                <c:pt idx="122">
                  <c:v>49.388235294117649</c:v>
                </c:pt>
                <c:pt idx="123">
                  <c:v>49.388235294117649</c:v>
                </c:pt>
                <c:pt idx="124">
                  <c:v>49.388235294117649</c:v>
                </c:pt>
                <c:pt idx="125">
                  <c:v>49.388235294117649</c:v>
                </c:pt>
                <c:pt idx="126">
                  <c:v>49.388235294117649</c:v>
                </c:pt>
                <c:pt idx="127">
                  <c:v>49.388235294117649</c:v>
                </c:pt>
                <c:pt idx="128">
                  <c:v>49.388235294117649</c:v>
                </c:pt>
                <c:pt idx="129">
                  <c:v>49.388235294117649</c:v>
                </c:pt>
                <c:pt idx="130">
                  <c:v>49.388235294117649</c:v>
                </c:pt>
                <c:pt idx="131">
                  <c:v>49.388235294117649</c:v>
                </c:pt>
                <c:pt idx="132">
                  <c:v>49.388235294117649</c:v>
                </c:pt>
                <c:pt idx="133">
                  <c:v>49.388235294117649</c:v>
                </c:pt>
                <c:pt idx="134">
                  <c:v>49.388235294117649</c:v>
                </c:pt>
                <c:pt idx="135">
                  <c:v>49.388235294117649</c:v>
                </c:pt>
                <c:pt idx="136">
                  <c:v>49.388235294117649</c:v>
                </c:pt>
                <c:pt idx="137">
                  <c:v>49.388235294117649</c:v>
                </c:pt>
                <c:pt idx="138">
                  <c:v>49.388235294117649</c:v>
                </c:pt>
                <c:pt idx="139">
                  <c:v>49.388235294117649</c:v>
                </c:pt>
                <c:pt idx="140">
                  <c:v>49.388235294117649</c:v>
                </c:pt>
                <c:pt idx="141">
                  <c:v>49.388235294117649</c:v>
                </c:pt>
                <c:pt idx="142">
                  <c:v>49.388235294117649</c:v>
                </c:pt>
                <c:pt idx="143">
                  <c:v>49.388235294117649</c:v>
                </c:pt>
                <c:pt idx="144">
                  <c:v>49.388235294117649</c:v>
                </c:pt>
                <c:pt idx="145">
                  <c:v>49.388235294117649</c:v>
                </c:pt>
                <c:pt idx="146">
                  <c:v>49.388235294117649</c:v>
                </c:pt>
                <c:pt idx="147">
                  <c:v>49.388235294117649</c:v>
                </c:pt>
                <c:pt idx="148">
                  <c:v>49.388235294117649</c:v>
                </c:pt>
                <c:pt idx="149">
                  <c:v>49.388235294117649</c:v>
                </c:pt>
                <c:pt idx="150">
                  <c:v>49.388235294117649</c:v>
                </c:pt>
                <c:pt idx="151">
                  <c:v>49.388235294117649</c:v>
                </c:pt>
                <c:pt idx="152">
                  <c:v>49.388235294117649</c:v>
                </c:pt>
                <c:pt idx="153">
                  <c:v>49.388235294117649</c:v>
                </c:pt>
                <c:pt idx="154">
                  <c:v>49.388235294117649</c:v>
                </c:pt>
                <c:pt idx="155">
                  <c:v>49.388235294117649</c:v>
                </c:pt>
                <c:pt idx="156">
                  <c:v>49.388235294117649</c:v>
                </c:pt>
                <c:pt idx="157">
                  <c:v>49.388235294117649</c:v>
                </c:pt>
                <c:pt idx="158">
                  <c:v>49.388235294117649</c:v>
                </c:pt>
                <c:pt idx="159">
                  <c:v>49.388235294117649</c:v>
                </c:pt>
                <c:pt idx="160">
                  <c:v>49.388235294117649</c:v>
                </c:pt>
                <c:pt idx="161">
                  <c:v>49.388235294117649</c:v>
                </c:pt>
                <c:pt idx="162">
                  <c:v>49.388235294117649</c:v>
                </c:pt>
                <c:pt idx="163">
                  <c:v>49.388235294117649</c:v>
                </c:pt>
                <c:pt idx="164">
                  <c:v>49.388235294117649</c:v>
                </c:pt>
                <c:pt idx="165">
                  <c:v>49.388235294117649</c:v>
                </c:pt>
                <c:pt idx="166">
                  <c:v>49.388235294117649</c:v>
                </c:pt>
                <c:pt idx="167">
                  <c:v>49.388235294117649</c:v>
                </c:pt>
                <c:pt idx="168">
                  <c:v>49.388235294117649</c:v>
                </c:pt>
                <c:pt idx="169">
                  <c:v>49.388235294117649</c:v>
                </c:pt>
                <c:pt idx="170">
                  <c:v>49.388235294117649</c:v>
                </c:pt>
                <c:pt idx="171">
                  <c:v>49.388235294117649</c:v>
                </c:pt>
                <c:pt idx="172">
                  <c:v>49.388235294117649</c:v>
                </c:pt>
                <c:pt idx="173">
                  <c:v>49.388235294117649</c:v>
                </c:pt>
                <c:pt idx="174">
                  <c:v>49.388235294117649</c:v>
                </c:pt>
                <c:pt idx="175">
                  <c:v>49.388235294117649</c:v>
                </c:pt>
                <c:pt idx="176">
                  <c:v>49.388235294117649</c:v>
                </c:pt>
                <c:pt idx="177">
                  <c:v>49.388235294117649</c:v>
                </c:pt>
                <c:pt idx="178">
                  <c:v>49.388235294117649</c:v>
                </c:pt>
                <c:pt idx="179">
                  <c:v>49.388235294117649</c:v>
                </c:pt>
                <c:pt idx="180">
                  <c:v>49.388235294117649</c:v>
                </c:pt>
                <c:pt idx="181">
                  <c:v>49.388235294117649</c:v>
                </c:pt>
                <c:pt idx="182">
                  <c:v>49.388235294117649</c:v>
                </c:pt>
                <c:pt idx="183">
                  <c:v>49.388235294117649</c:v>
                </c:pt>
                <c:pt idx="184">
                  <c:v>49.388235294117649</c:v>
                </c:pt>
                <c:pt idx="185">
                  <c:v>49.388235294117649</c:v>
                </c:pt>
                <c:pt idx="186">
                  <c:v>49.388235294117649</c:v>
                </c:pt>
                <c:pt idx="187">
                  <c:v>49.388235294117649</c:v>
                </c:pt>
                <c:pt idx="188">
                  <c:v>49.388235294117649</c:v>
                </c:pt>
                <c:pt idx="189">
                  <c:v>49.388235294117649</c:v>
                </c:pt>
                <c:pt idx="190">
                  <c:v>49.388235294117649</c:v>
                </c:pt>
                <c:pt idx="191">
                  <c:v>49.388235294117649</c:v>
                </c:pt>
                <c:pt idx="192">
                  <c:v>49.388235294117649</c:v>
                </c:pt>
                <c:pt idx="193">
                  <c:v>49.388235294117649</c:v>
                </c:pt>
                <c:pt idx="194">
                  <c:v>49.388235294117649</c:v>
                </c:pt>
                <c:pt idx="195">
                  <c:v>49.388235294117649</c:v>
                </c:pt>
                <c:pt idx="196">
                  <c:v>49.388235294117649</c:v>
                </c:pt>
                <c:pt idx="197">
                  <c:v>49.388235294117649</c:v>
                </c:pt>
                <c:pt idx="198">
                  <c:v>49.388235294117649</c:v>
                </c:pt>
                <c:pt idx="199">
                  <c:v>49.388235294117649</c:v>
                </c:pt>
                <c:pt idx="200">
                  <c:v>49.388235294117649</c:v>
                </c:pt>
                <c:pt idx="201">
                  <c:v>49.388235294117649</c:v>
                </c:pt>
                <c:pt idx="202">
                  <c:v>49.388235294117649</c:v>
                </c:pt>
                <c:pt idx="203">
                  <c:v>49.388235294117649</c:v>
                </c:pt>
                <c:pt idx="204">
                  <c:v>49.388235294117649</c:v>
                </c:pt>
                <c:pt idx="205">
                  <c:v>49.388235294117649</c:v>
                </c:pt>
                <c:pt idx="206">
                  <c:v>49.388235294117649</c:v>
                </c:pt>
                <c:pt idx="207">
                  <c:v>49.388235294117649</c:v>
                </c:pt>
                <c:pt idx="208">
                  <c:v>49.388235294117649</c:v>
                </c:pt>
                <c:pt idx="209">
                  <c:v>49.388235294117649</c:v>
                </c:pt>
                <c:pt idx="210">
                  <c:v>49.388235294117649</c:v>
                </c:pt>
                <c:pt idx="211">
                  <c:v>49.388235294117649</c:v>
                </c:pt>
                <c:pt idx="212">
                  <c:v>49.388235294117649</c:v>
                </c:pt>
                <c:pt idx="213">
                  <c:v>49.388235294117649</c:v>
                </c:pt>
                <c:pt idx="214">
                  <c:v>49.388235294117649</c:v>
                </c:pt>
                <c:pt idx="215">
                  <c:v>49.388235294117649</c:v>
                </c:pt>
                <c:pt idx="216">
                  <c:v>49.388235294117649</c:v>
                </c:pt>
                <c:pt idx="217">
                  <c:v>49.388235294117649</c:v>
                </c:pt>
                <c:pt idx="218">
                  <c:v>49.388235294117649</c:v>
                </c:pt>
                <c:pt idx="219">
                  <c:v>49.388235294117649</c:v>
                </c:pt>
                <c:pt idx="220">
                  <c:v>49.388235294117649</c:v>
                </c:pt>
                <c:pt idx="221">
                  <c:v>49.388235294117649</c:v>
                </c:pt>
                <c:pt idx="222">
                  <c:v>49.388235294117649</c:v>
                </c:pt>
                <c:pt idx="223">
                  <c:v>49.388235294117649</c:v>
                </c:pt>
                <c:pt idx="224">
                  <c:v>49.388235294117649</c:v>
                </c:pt>
                <c:pt idx="225">
                  <c:v>49.388235294117649</c:v>
                </c:pt>
                <c:pt idx="226">
                  <c:v>49.388235294117649</c:v>
                </c:pt>
                <c:pt idx="227">
                  <c:v>49.388235294117649</c:v>
                </c:pt>
                <c:pt idx="228">
                  <c:v>49.388235294117649</c:v>
                </c:pt>
                <c:pt idx="229">
                  <c:v>49.388235294117649</c:v>
                </c:pt>
                <c:pt idx="230">
                  <c:v>49.388235294117649</c:v>
                </c:pt>
                <c:pt idx="231">
                  <c:v>49.388235294117649</c:v>
                </c:pt>
                <c:pt idx="232">
                  <c:v>49.388235294117649</c:v>
                </c:pt>
                <c:pt idx="233">
                  <c:v>49.388235294117649</c:v>
                </c:pt>
                <c:pt idx="234">
                  <c:v>49.388235294117649</c:v>
                </c:pt>
                <c:pt idx="235">
                  <c:v>49.388235294117649</c:v>
                </c:pt>
                <c:pt idx="236">
                  <c:v>49.388235294117649</c:v>
                </c:pt>
                <c:pt idx="237">
                  <c:v>49.388235294117649</c:v>
                </c:pt>
                <c:pt idx="238">
                  <c:v>49.388235294117649</c:v>
                </c:pt>
                <c:pt idx="239">
                  <c:v>49.388235294117649</c:v>
                </c:pt>
                <c:pt idx="240">
                  <c:v>49.388235294117649</c:v>
                </c:pt>
                <c:pt idx="241">
                  <c:v>49.388235294117649</c:v>
                </c:pt>
                <c:pt idx="242">
                  <c:v>49.388235294117649</c:v>
                </c:pt>
                <c:pt idx="243">
                  <c:v>49.388235294117649</c:v>
                </c:pt>
                <c:pt idx="244">
                  <c:v>49.388235294117649</c:v>
                </c:pt>
                <c:pt idx="245">
                  <c:v>49.388235294117649</c:v>
                </c:pt>
                <c:pt idx="246">
                  <c:v>49.388235294117649</c:v>
                </c:pt>
                <c:pt idx="247">
                  <c:v>49.388235294117649</c:v>
                </c:pt>
                <c:pt idx="248">
                  <c:v>49.388235294117649</c:v>
                </c:pt>
                <c:pt idx="249">
                  <c:v>49.388235294117649</c:v>
                </c:pt>
                <c:pt idx="250">
                  <c:v>49.388235294117649</c:v>
                </c:pt>
                <c:pt idx="251">
                  <c:v>49.388235294117649</c:v>
                </c:pt>
                <c:pt idx="252">
                  <c:v>49.388235294117649</c:v>
                </c:pt>
                <c:pt idx="253">
                  <c:v>49.388235294117649</c:v>
                </c:pt>
                <c:pt idx="254">
                  <c:v>49.388235294117649</c:v>
                </c:pt>
                <c:pt idx="255">
                  <c:v>49.388235294117649</c:v>
                </c:pt>
                <c:pt idx="256">
                  <c:v>49.388235294117649</c:v>
                </c:pt>
                <c:pt idx="257">
                  <c:v>49.388235294117649</c:v>
                </c:pt>
                <c:pt idx="258">
                  <c:v>49.388235294117649</c:v>
                </c:pt>
                <c:pt idx="259">
                  <c:v>49.388235294117649</c:v>
                </c:pt>
                <c:pt idx="260">
                  <c:v>49.388235294117649</c:v>
                </c:pt>
                <c:pt idx="261">
                  <c:v>49.388235294117649</c:v>
                </c:pt>
                <c:pt idx="262">
                  <c:v>49.388235294117649</c:v>
                </c:pt>
                <c:pt idx="263">
                  <c:v>49.388235294117649</c:v>
                </c:pt>
                <c:pt idx="264">
                  <c:v>49.388235294117649</c:v>
                </c:pt>
                <c:pt idx="265">
                  <c:v>49.388235294117649</c:v>
                </c:pt>
                <c:pt idx="266">
                  <c:v>49.388235294117649</c:v>
                </c:pt>
                <c:pt idx="267">
                  <c:v>49.388235294117649</c:v>
                </c:pt>
                <c:pt idx="268">
                  <c:v>49.388235294117649</c:v>
                </c:pt>
                <c:pt idx="269">
                  <c:v>49.388235294117649</c:v>
                </c:pt>
                <c:pt idx="270">
                  <c:v>49.388235294117649</c:v>
                </c:pt>
                <c:pt idx="271">
                  <c:v>49.388235294117649</c:v>
                </c:pt>
                <c:pt idx="272">
                  <c:v>49.388235294117649</c:v>
                </c:pt>
                <c:pt idx="273">
                  <c:v>49.388235294117649</c:v>
                </c:pt>
                <c:pt idx="274">
                  <c:v>49.388235294117649</c:v>
                </c:pt>
                <c:pt idx="275">
                  <c:v>49.388235294117649</c:v>
                </c:pt>
                <c:pt idx="276">
                  <c:v>49.388235294117649</c:v>
                </c:pt>
                <c:pt idx="277">
                  <c:v>49.388235294117649</c:v>
                </c:pt>
                <c:pt idx="278">
                  <c:v>49.388235294117649</c:v>
                </c:pt>
                <c:pt idx="279">
                  <c:v>49.388235294117649</c:v>
                </c:pt>
                <c:pt idx="280">
                  <c:v>49.388235294117649</c:v>
                </c:pt>
                <c:pt idx="281">
                  <c:v>49.388235294117649</c:v>
                </c:pt>
                <c:pt idx="282">
                  <c:v>49.388235294117649</c:v>
                </c:pt>
                <c:pt idx="283">
                  <c:v>49.388235294117649</c:v>
                </c:pt>
                <c:pt idx="284">
                  <c:v>49.388235294117649</c:v>
                </c:pt>
                <c:pt idx="285">
                  <c:v>49.388235294117649</c:v>
                </c:pt>
                <c:pt idx="286">
                  <c:v>49.388235294117649</c:v>
                </c:pt>
                <c:pt idx="287">
                  <c:v>49.388235294117649</c:v>
                </c:pt>
                <c:pt idx="288">
                  <c:v>49.388235294117649</c:v>
                </c:pt>
                <c:pt idx="289">
                  <c:v>49.388235294117649</c:v>
                </c:pt>
                <c:pt idx="290">
                  <c:v>49.388235294117649</c:v>
                </c:pt>
                <c:pt idx="291">
                  <c:v>49.388235294117649</c:v>
                </c:pt>
                <c:pt idx="292">
                  <c:v>49.388235294117649</c:v>
                </c:pt>
                <c:pt idx="293">
                  <c:v>49.388235294117649</c:v>
                </c:pt>
                <c:pt idx="294">
                  <c:v>49.388235294117649</c:v>
                </c:pt>
                <c:pt idx="295">
                  <c:v>49.388235294117649</c:v>
                </c:pt>
                <c:pt idx="296">
                  <c:v>49.388235294117649</c:v>
                </c:pt>
                <c:pt idx="297">
                  <c:v>49.388235294117649</c:v>
                </c:pt>
                <c:pt idx="298">
                  <c:v>49.388235294117649</c:v>
                </c:pt>
                <c:pt idx="299">
                  <c:v>49.388235294117649</c:v>
                </c:pt>
                <c:pt idx="300">
                  <c:v>49.388235294117649</c:v>
                </c:pt>
                <c:pt idx="301">
                  <c:v>49.388235294117649</c:v>
                </c:pt>
                <c:pt idx="302">
                  <c:v>49.388235294117649</c:v>
                </c:pt>
                <c:pt idx="303">
                  <c:v>49.388235294117649</c:v>
                </c:pt>
                <c:pt idx="304">
                  <c:v>49.388235294117649</c:v>
                </c:pt>
                <c:pt idx="305">
                  <c:v>49.388235294117649</c:v>
                </c:pt>
                <c:pt idx="306">
                  <c:v>49.388235294117649</c:v>
                </c:pt>
                <c:pt idx="307">
                  <c:v>49.388235294117649</c:v>
                </c:pt>
                <c:pt idx="308">
                  <c:v>49.388235294117649</c:v>
                </c:pt>
                <c:pt idx="309">
                  <c:v>49.388235294117649</c:v>
                </c:pt>
                <c:pt idx="310">
                  <c:v>49.388235294117649</c:v>
                </c:pt>
                <c:pt idx="311">
                  <c:v>49.388235294117649</c:v>
                </c:pt>
                <c:pt idx="312">
                  <c:v>49.388235294117649</c:v>
                </c:pt>
                <c:pt idx="313">
                  <c:v>49.388235294117649</c:v>
                </c:pt>
                <c:pt idx="314">
                  <c:v>49.388235294117649</c:v>
                </c:pt>
                <c:pt idx="315">
                  <c:v>49.388235294117649</c:v>
                </c:pt>
                <c:pt idx="316">
                  <c:v>49.388235294117649</c:v>
                </c:pt>
                <c:pt idx="317">
                  <c:v>49.388235294117649</c:v>
                </c:pt>
                <c:pt idx="318">
                  <c:v>49.388235294117649</c:v>
                </c:pt>
                <c:pt idx="319">
                  <c:v>49.388235294117649</c:v>
                </c:pt>
                <c:pt idx="320">
                  <c:v>49.388235294117649</c:v>
                </c:pt>
                <c:pt idx="321">
                  <c:v>49.388235294117649</c:v>
                </c:pt>
                <c:pt idx="322">
                  <c:v>49.388235294117649</c:v>
                </c:pt>
                <c:pt idx="323">
                  <c:v>49.388235294117649</c:v>
                </c:pt>
                <c:pt idx="324">
                  <c:v>49.388235294117649</c:v>
                </c:pt>
                <c:pt idx="325">
                  <c:v>49.388235294117649</c:v>
                </c:pt>
                <c:pt idx="326">
                  <c:v>49.388235294117649</c:v>
                </c:pt>
                <c:pt idx="327">
                  <c:v>49.388235294117649</c:v>
                </c:pt>
                <c:pt idx="328">
                  <c:v>49.388235294117649</c:v>
                </c:pt>
                <c:pt idx="329">
                  <c:v>49.388235294117649</c:v>
                </c:pt>
                <c:pt idx="330">
                  <c:v>49.388235294117649</c:v>
                </c:pt>
                <c:pt idx="331">
                  <c:v>49.388235294117649</c:v>
                </c:pt>
                <c:pt idx="332">
                  <c:v>49.388235294117649</c:v>
                </c:pt>
                <c:pt idx="333">
                  <c:v>49.388235294117649</c:v>
                </c:pt>
                <c:pt idx="334">
                  <c:v>49.388235294117649</c:v>
                </c:pt>
                <c:pt idx="335">
                  <c:v>49.388235294117649</c:v>
                </c:pt>
                <c:pt idx="336">
                  <c:v>49.388235294117649</c:v>
                </c:pt>
                <c:pt idx="337">
                  <c:v>49.388235294117649</c:v>
                </c:pt>
                <c:pt idx="338">
                  <c:v>49.388235294117649</c:v>
                </c:pt>
                <c:pt idx="339">
                  <c:v>49.388235294117649</c:v>
                </c:pt>
                <c:pt idx="340">
                  <c:v>49.388235294117649</c:v>
                </c:pt>
                <c:pt idx="341">
                  <c:v>49.388235294117649</c:v>
                </c:pt>
                <c:pt idx="342">
                  <c:v>49.388235294117649</c:v>
                </c:pt>
                <c:pt idx="343">
                  <c:v>49.388235294117649</c:v>
                </c:pt>
                <c:pt idx="344">
                  <c:v>49.388235294117649</c:v>
                </c:pt>
                <c:pt idx="345">
                  <c:v>49.388235294117649</c:v>
                </c:pt>
                <c:pt idx="346">
                  <c:v>49.388235294117649</c:v>
                </c:pt>
                <c:pt idx="347">
                  <c:v>49.388235294117649</c:v>
                </c:pt>
                <c:pt idx="348">
                  <c:v>49.388235294117649</c:v>
                </c:pt>
                <c:pt idx="349">
                  <c:v>49.388235294117649</c:v>
                </c:pt>
                <c:pt idx="350">
                  <c:v>49.388235294117649</c:v>
                </c:pt>
                <c:pt idx="351">
                  <c:v>49.388235294117649</c:v>
                </c:pt>
              </c:numCache>
            </c:numRef>
          </c:yVal>
          <c:smooth val="0"/>
          <c:extLst>
            <c:ext xmlns:c16="http://schemas.microsoft.com/office/drawing/2014/chart" uri="{C3380CC4-5D6E-409C-BE32-E72D297353CC}">
              <c16:uniqueId val="{00000008-BDAD-4013-9EEB-B3D06E19465F}"/>
            </c:ext>
          </c:extLst>
        </c:ser>
        <c:dLbls>
          <c:showLegendKey val="0"/>
          <c:showVal val="0"/>
          <c:showCatName val="0"/>
          <c:showSerName val="0"/>
          <c:showPercent val="0"/>
          <c:showBubbleSize val="0"/>
        </c:dLbls>
        <c:axId val="-193015312"/>
        <c:axId val="-193020208"/>
      </c:scatterChart>
      <c:valAx>
        <c:axId val="-193015312"/>
        <c:scaling>
          <c:orientation val="minMax"/>
        </c:scaling>
        <c:delete val="0"/>
        <c:axPos val="b"/>
        <c:majorGridlines>
          <c:spPr>
            <a:ln>
              <a:gradFill>
                <a:gsLst>
                  <a:gs pos="0">
                    <a:schemeClr val="accent1">
                      <a:tint val="66000"/>
                      <a:satMod val="160000"/>
                    </a:schemeClr>
                  </a:gs>
                  <a:gs pos="50000">
                    <a:schemeClr val="accent1">
                      <a:tint val="44500"/>
                      <a:satMod val="160000"/>
                    </a:schemeClr>
                  </a:gs>
                  <a:gs pos="100000">
                    <a:schemeClr val="accent1">
                      <a:tint val="23500"/>
                      <a:satMod val="160000"/>
                    </a:schemeClr>
                  </a:gs>
                </a:gsLst>
                <a:lin ang="5400000" scaled="0"/>
              </a:gradFill>
            </a:ln>
          </c:spPr>
        </c:majorGridlines>
        <c:minorGridlines>
          <c:spPr>
            <a:ln>
              <a:gradFill>
                <a:gsLst>
                  <a:gs pos="0">
                    <a:schemeClr val="accent1">
                      <a:tint val="66000"/>
                      <a:satMod val="160000"/>
                    </a:schemeClr>
                  </a:gs>
                  <a:gs pos="50000">
                    <a:schemeClr val="accent1">
                      <a:tint val="44500"/>
                      <a:satMod val="160000"/>
                    </a:schemeClr>
                  </a:gs>
                  <a:gs pos="100000">
                    <a:schemeClr val="accent1">
                      <a:tint val="23500"/>
                      <a:satMod val="160000"/>
                    </a:schemeClr>
                  </a:gs>
                </a:gsLst>
                <a:lin ang="5400000" scaled="0"/>
              </a:gradFill>
            </a:ln>
          </c:spPr>
        </c:minorGridlines>
        <c:title>
          <c:tx>
            <c:rich>
              <a:bodyPr/>
              <a:lstStyle/>
              <a:p>
                <a:pPr>
                  <a:defRPr/>
                </a:pPr>
                <a:r>
                  <a:rPr lang="en-US"/>
                  <a:t>jours</a:t>
                </a:r>
              </a:p>
            </c:rich>
          </c:tx>
          <c:overlay val="0"/>
        </c:title>
        <c:numFmt formatCode="General" sourceLinked="1"/>
        <c:majorTickMark val="none"/>
        <c:minorTickMark val="none"/>
        <c:tickLblPos val="nextTo"/>
        <c:crossAx val="-193020208"/>
        <c:crosses val="autoZero"/>
        <c:crossBetween val="midCat"/>
      </c:valAx>
      <c:valAx>
        <c:axId val="-193020208"/>
        <c:scaling>
          <c:orientation val="minMax"/>
          <c:min val="40"/>
        </c:scaling>
        <c:delete val="0"/>
        <c:axPos val="l"/>
        <c:majorGridlines>
          <c:spPr>
            <a:ln>
              <a:gradFill>
                <a:gsLst>
                  <a:gs pos="0">
                    <a:schemeClr val="accent1">
                      <a:tint val="66000"/>
                      <a:satMod val="160000"/>
                    </a:schemeClr>
                  </a:gs>
                  <a:gs pos="50000">
                    <a:schemeClr val="accent1">
                      <a:tint val="44500"/>
                      <a:satMod val="160000"/>
                    </a:schemeClr>
                  </a:gs>
                  <a:gs pos="100000">
                    <a:schemeClr val="accent1">
                      <a:tint val="23500"/>
                      <a:satMod val="160000"/>
                    </a:schemeClr>
                  </a:gs>
                </a:gsLst>
                <a:lin ang="5400000" scaled="0"/>
              </a:gradFill>
            </a:ln>
          </c:spPr>
        </c:majorGridlines>
        <c:title>
          <c:tx>
            <c:rich>
              <a:bodyPr/>
              <a:lstStyle/>
              <a:p>
                <a:pPr>
                  <a:defRPr/>
                </a:pPr>
                <a:r>
                  <a:rPr lang="en-US"/>
                  <a:t>valeurs</a:t>
                </a:r>
              </a:p>
            </c:rich>
          </c:tx>
          <c:overlay val="0"/>
        </c:title>
        <c:numFmt formatCode="0.0000" sourceLinked="1"/>
        <c:majorTickMark val="none"/>
        <c:minorTickMark val="none"/>
        <c:tickLblPos val="nextTo"/>
        <c:crossAx val="-193015312"/>
        <c:crosses val="autoZero"/>
        <c:crossBetween val="midCat"/>
      </c:valAx>
    </c:plotArea>
    <c:legend>
      <c:legendPos val="r"/>
      <c:legendEntry>
        <c:idx val="8"/>
        <c:delete val="1"/>
      </c:legendEntry>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sz="1400"/>
              <a:t>Shewhart à l'écart-type</a:t>
            </a:r>
          </a:p>
        </c:rich>
      </c:tx>
      <c:overlay val="0"/>
    </c:title>
    <c:autoTitleDeleted val="0"/>
    <c:plotArea>
      <c:layout>
        <c:manualLayout>
          <c:layoutTarget val="inner"/>
          <c:xMode val="edge"/>
          <c:yMode val="edge"/>
          <c:x val="0.12513648918749468"/>
          <c:y val="0.17035946741679481"/>
          <c:w val="0.81711441524349659"/>
          <c:h val="0.61596399784860312"/>
        </c:manualLayout>
      </c:layout>
      <c:scatterChart>
        <c:scatterStyle val="lineMarker"/>
        <c:varyColors val="0"/>
        <c:ser>
          <c:idx val="0"/>
          <c:order val="0"/>
          <c:spPr>
            <a:ln>
              <a:solidFill>
                <a:srgbClr val="FF0000"/>
              </a:solidFill>
            </a:ln>
          </c:spPr>
          <c:marker>
            <c:symbol val="none"/>
          </c:marker>
          <c:xVal>
            <c:numRef>
              <c:f>Shewhart!$B$33:$B$63</c:f>
              <c:numCache>
                <c:formatCode>General</c:formatCod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numCache>
            </c:numRef>
          </c:xVal>
          <c:yVal>
            <c:numRef>
              <c:f>Shewhart!$O$33:$O$64</c:f>
              <c:numCache>
                <c:formatCode>0.0</c:formatCode>
                <c:ptCount val="32"/>
                <c:pt idx="0">
                  <c:v>1.3240338999999999</c:v>
                </c:pt>
                <c:pt idx="1">
                  <c:v>1.3240338999999999</c:v>
                </c:pt>
                <c:pt idx="2">
                  <c:v>1.3240338999999999</c:v>
                </c:pt>
                <c:pt idx="3">
                  <c:v>1.3240338999999999</c:v>
                </c:pt>
                <c:pt idx="4">
                  <c:v>1.3240338999999999</c:v>
                </c:pt>
                <c:pt idx="5">
                  <c:v>1.3240338999999999</c:v>
                </c:pt>
                <c:pt idx="6">
                  <c:v>1.3240338999999999</c:v>
                </c:pt>
                <c:pt idx="7">
                  <c:v>1.3240338999999999</c:v>
                </c:pt>
                <c:pt idx="8">
                  <c:v>1.3240338999999999</c:v>
                </c:pt>
                <c:pt idx="9">
                  <c:v>1.3240338999999999</c:v>
                </c:pt>
                <c:pt idx="10">
                  <c:v>1.3240338999999999</c:v>
                </c:pt>
                <c:pt idx="11">
                  <c:v>1.3240338999999999</c:v>
                </c:pt>
                <c:pt idx="12">
                  <c:v>1.3240338999999999</c:v>
                </c:pt>
                <c:pt idx="13">
                  <c:v>1.3240338999999999</c:v>
                </c:pt>
                <c:pt idx="14">
                  <c:v>1.3240338999999999</c:v>
                </c:pt>
                <c:pt idx="15">
                  <c:v>1.3240338999999999</c:v>
                </c:pt>
                <c:pt idx="16">
                  <c:v>1.3240338999999999</c:v>
                </c:pt>
                <c:pt idx="17">
                  <c:v>1.3240338999999999</c:v>
                </c:pt>
                <c:pt idx="18">
                  <c:v>1.3240338999999999</c:v>
                </c:pt>
                <c:pt idx="19">
                  <c:v>1.3240338999999999</c:v>
                </c:pt>
                <c:pt idx="20">
                  <c:v>1.3240338999999999</c:v>
                </c:pt>
                <c:pt idx="21">
                  <c:v>1.3240338999999999</c:v>
                </c:pt>
                <c:pt idx="22">
                  <c:v>1.3240338999999999</c:v>
                </c:pt>
                <c:pt idx="23">
                  <c:v>1.3240338999999999</c:v>
                </c:pt>
                <c:pt idx="24">
                  <c:v>1.3240338999999999</c:v>
                </c:pt>
                <c:pt idx="25">
                  <c:v>1.3240338999999999</c:v>
                </c:pt>
                <c:pt idx="26">
                  <c:v>1.3240338999999999</c:v>
                </c:pt>
                <c:pt idx="27">
                  <c:v>1.3240338999999999</c:v>
                </c:pt>
                <c:pt idx="28">
                  <c:v>1.3240338999999999</c:v>
                </c:pt>
                <c:pt idx="29">
                  <c:v>1.3240338999999999</c:v>
                </c:pt>
                <c:pt idx="30">
                  <c:v>1.3240338999999999</c:v>
                </c:pt>
              </c:numCache>
            </c:numRef>
          </c:yVal>
          <c:smooth val="0"/>
          <c:extLst>
            <c:ext xmlns:c16="http://schemas.microsoft.com/office/drawing/2014/chart" uri="{C3380CC4-5D6E-409C-BE32-E72D297353CC}">
              <c16:uniqueId val="{00000000-2ACD-4689-ABC7-352CA9D7BA83}"/>
            </c:ext>
          </c:extLst>
        </c:ser>
        <c:ser>
          <c:idx val="1"/>
          <c:order val="1"/>
          <c:spPr>
            <a:ln>
              <a:solidFill>
                <a:srgbClr val="00B0F0"/>
              </a:solidFill>
            </a:ln>
          </c:spPr>
          <c:marker>
            <c:symbol val="none"/>
          </c:marker>
          <c:xVal>
            <c:numRef>
              <c:f>Shewhart!$B$33:$B$63</c:f>
              <c:numCache>
                <c:formatCode>General</c:formatCod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numCache>
            </c:numRef>
          </c:xVal>
          <c:yVal>
            <c:numRef>
              <c:f>Shewhart!$N$33:$N$63</c:f>
              <c:numCache>
                <c:formatCode>0.0</c:formatCode>
                <c:ptCount val="31"/>
                <c:pt idx="0">
                  <c:v>0.64719185999999995</c:v>
                </c:pt>
                <c:pt idx="1">
                  <c:v>0.64719185999999995</c:v>
                </c:pt>
                <c:pt idx="2">
                  <c:v>0.64719185999999995</c:v>
                </c:pt>
                <c:pt idx="3">
                  <c:v>0.64719185999999995</c:v>
                </c:pt>
                <c:pt idx="4">
                  <c:v>0.64719185999999995</c:v>
                </c:pt>
                <c:pt idx="5">
                  <c:v>0.64719185999999995</c:v>
                </c:pt>
                <c:pt idx="6">
                  <c:v>0.64719185999999995</c:v>
                </c:pt>
                <c:pt idx="7">
                  <c:v>0.64719185999999995</c:v>
                </c:pt>
                <c:pt idx="8">
                  <c:v>0.64719185999999995</c:v>
                </c:pt>
                <c:pt idx="9">
                  <c:v>0.64719185999999995</c:v>
                </c:pt>
                <c:pt idx="10">
                  <c:v>0.64719185999999995</c:v>
                </c:pt>
                <c:pt idx="11">
                  <c:v>0.64719185999999995</c:v>
                </c:pt>
                <c:pt idx="12">
                  <c:v>0.64719185999999995</c:v>
                </c:pt>
                <c:pt idx="13">
                  <c:v>0.64719185999999995</c:v>
                </c:pt>
                <c:pt idx="14">
                  <c:v>0.64719185999999995</c:v>
                </c:pt>
                <c:pt idx="15">
                  <c:v>0.64719185999999995</c:v>
                </c:pt>
                <c:pt idx="16">
                  <c:v>0.64719185999999995</c:v>
                </c:pt>
                <c:pt idx="17">
                  <c:v>0.64719185999999995</c:v>
                </c:pt>
                <c:pt idx="18">
                  <c:v>0.64719185999999995</c:v>
                </c:pt>
                <c:pt idx="19">
                  <c:v>0.64719185999999995</c:v>
                </c:pt>
                <c:pt idx="20">
                  <c:v>0.64719185999999995</c:v>
                </c:pt>
                <c:pt idx="21">
                  <c:v>0.64719185999999995</c:v>
                </c:pt>
                <c:pt idx="22">
                  <c:v>0.64719185999999995</c:v>
                </c:pt>
                <c:pt idx="23">
                  <c:v>0.64719185999999995</c:v>
                </c:pt>
                <c:pt idx="24">
                  <c:v>0.64719185999999995</c:v>
                </c:pt>
                <c:pt idx="25">
                  <c:v>0.64719185999999995</c:v>
                </c:pt>
                <c:pt idx="26">
                  <c:v>0.64719185999999995</c:v>
                </c:pt>
                <c:pt idx="27">
                  <c:v>0.64719185999999995</c:v>
                </c:pt>
                <c:pt idx="28">
                  <c:v>0.64719185999999995</c:v>
                </c:pt>
                <c:pt idx="29">
                  <c:v>0.64719185999999995</c:v>
                </c:pt>
                <c:pt idx="30">
                  <c:v>0.64719185999999995</c:v>
                </c:pt>
              </c:numCache>
            </c:numRef>
          </c:yVal>
          <c:smooth val="0"/>
          <c:extLst>
            <c:ext xmlns:c16="http://schemas.microsoft.com/office/drawing/2014/chart" uri="{C3380CC4-5D6E-409C-BE32-E72D297353CC}">
              <c16:uniqueId val="{00000001-2ACD-4689-ABC7-352CA9D7BA83}"/>
            </c:ext>
          </c:extLst>
        </c:ser>
        <c:ser>
          <c:idx val="2"/>
          <c:order val="2"/>
          <c:marker>
            <c:symbol val="none"/>
          </c:marker>
          <c:xVal>
            <c:numRef>
              <c:f>Shewhart!$B$33:$B$63</c:f>
              <c:numCache>
                <c:formatCode>General</c:formatCod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numCache>
            </c:numRef>
          </c:xVal>
          <c:yVal>
            <c:numRef>
              <c:f>Shewhart!$F$33:$F$63</c:f>
              <c:numCache>
                <c:formatCode>0.0</c:formatCode>
                <c:ptCount val="31"/>
                <c:pt idx="0">
                  <c:v>5.1915975154490604E-2</c:v>
                </c:pt>
                <c:pt idx="1">
                  <c:v>0.24943461091731128</c:v>
                </c:pt>
                <c:pt idx="2">
                  <c:v>0.40529421260779258</c:v>
                </c:pt>
                <c:pt idx="3">
                  <c:v>0.73631074384237327</c:v>
                </c:pt>
                <c:pt idx="4">
                  <c:v>0.25737095327059056</c:v>
                </c:pt>
                <c:pt idx="5">
                  <c:v>0.52912303919656667</c:v>
                </c:pt>
                <c:pt idx="6">
                  <c:v>0.39220484753198803</c:v>
                </c:pt>
                <c:pt idx="7">
                  <c:v>0.34292076548348865</c:v>
                </c:pt>
                <c:pt idx="8">
                  <c:v>0.6831149241151957</c:v>
                </c:pt>
                <c:pt idx="9">
                  <c:v>0.41765827383904841</c:v>
                </c:pt>
                <c:pt idx="10">
                  <c:v>0.29150656403199515</c:v>
                </c:pt>
                <c:pt idx="11">
                  <c:v>0.2518382247433994</c:v>
                </c:pt>
                <c:pt idx="12">
                  <c:v>0.37664475509320178</c:v>
                </c:pt>
                <c:pt idx="13">
                  <c:v>0.43641218753070926</c:v>
                </c:pt>
                <c:pt idx="14">
                  <c:v>0.31306420602190549</c:v>
                </c:pt>
                <c:pt idx="15">
                  <c:v>0.27871195558873524</c:v>
                </c:pt>
                <c:pt idx="16">
                  <c:v>0.17386779231510985</c:v>
                </c:pt>
                <c:pt idx="17">
                  <c:v>0.1172593235122264</c:v>
                </c:pt>
                <c:pt idx="18">
                  <c:v>0.5366851968635703</c:v>
                </c:pt>
                <c:pt idx="19">
                  <c:v>0.29650809272838319</c:v>
                </c:pt>
                <c:pt idx="20">
                  <c:v>0.51473421257779028</c:v>
                </c:pt>
                <c:pt idx="21">
                  <c:v>0.64511433763145976</c:v>
                </c:pt>
                <c:pt idx="22">
                  <c:v>0.37816326005079115</c:v>
                </c:pt>
                <c:pt idx="23">
                  <c:v>0.16874044647056172</c:v>
                </c:pt>
                <c:pt idx="24">
                  <c:v>0.31487144493509484</c:v>
                </c:pt>
                <c:pt idx="25">
                  <c:v>0.49618740579078308</c:v>
                </c:pt>
                <c:pt idx="26">
                  <c:v>0.30161248989506761</c:v>
                </c:pt>
                <c:pt idx="27">
                  <c:v>0.31617987701403744</c:v>
                </c:pt>
                <c:pt idx="28">
                  <c:v>0.29812439618434833</c:v>
                </c:pt>
                <c:pt idx="29">
                  <c:v>0.3296568345862923</c:v>
                </c:pt>
                <c:pt idx="30">
                  <c:v>0.12959848954785502</c:v>
                </c:pt>
              </c:numCache>
            </c:numRef>
          </c:yVal>
          <c:smooth val="0"/>
          <c:extLst>
            <c:ext xmlns:c16="http://schemas.microsoft.com/office/drawing/2014/chart" uri="{C3380CC4-5D6E-409C-BE32-E72D297353CC}">
              <c16:uniqueId val="{00000002-2ACD-4689-ABC7-352CA9D7BA83}"/>
            </c:ext>
          </c:extLst>
        </c:ser>
        <c:ser>
          <c:idx val="3"/>
          <c:order val="3"/>
          <c:marker>
            <c:symbol val="none"/>
          </c:marker>
          <c:xVal>
            <c:numRef>
              <c:f>Shewhart!$B$33:$B$63</c:f>
              <c:numCache>
                <c:formatCode>General</c:formatCod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numCache>
            </c:numRef>
          </c:xVal>
          <c:yVal>
            <c:numRef>
              <c:f>Shewhart!$P$33:$P$62</c:f>
              <c:numCache>
                <c:formatCode>0.0</c:formatCode>
                <c:ptCount val="30"/>
                <c:pt idx="0">
                  <c:v>1.6621627999999997</c:v>
                </c:pt>
                <c:pt idx="1">
                  <c:v>1.6621627999999997</c:v>
                </c:pt>
                <c:pt idx="2">
                  <c:v>1.6621627999999997</c:v>
                </c:pt>
                <c:pt idx="3">
                  <c:v>1.6621627999999997</c:v>
                </c:pt>
                <c:pt idx="4">
                  <c:v>1.6621627999999997</c:v>
                </c:pt>
                <c:pt idx="5">
                  <c:v>1.6621627999999997</c:v>
                </c:pt>
                <c:pt idx="6">
                  <c:v>1.6621627999999997</c:v>
                </c:pt>
                <c:pt idx="7">
                  <c:v>1.6621627999999997</c:v>
                </c:pt>
                <c:pt idx="8">
                  <c:v>1.6621627999999997</c:v>
                </c:pt>
                <c:pt idx="9">
                  <c:v>1.6621627999999997</c:v>
                </c:pt>
                <c:pt idx="10">
                  <c:v>1.6621627999999997</c:v>
                </c:pt>
                <c:pt idx="11">
                  <c:v>1.6621627999999997</c:v>
                </c:pt>
                <c:pt idx="12">
                  <c:v>1.6621627999999997</c:v>
                </c:pt>
                <c:pt idx="13">
                  <c:v>1.6621627999999997</c:v>
                </c:pt>
                <c:pt idx="14">
                  <c:v>1.6621627999999997</c:v>
                </c:pt>
                <c:pt idx="15">
                  <c:v>1.6621627999999997</c:v>
                </c:pt>
                <c:pt idx="16">
                  <c:v>1.6621627999999997</c:v>
                </c:pt>
                <c:pt idx="17">
                  <c:v>1.6621627999999997</c:v>
                </c:pt>
                <c:pt idx="18">
                  <c:v>1.6621627999999997</c:v>
                </c:pt>
                <c:pt idx="19">
                  <c:v>1.6621627999999997</c:v>
                </c:pt>
                <c:pt idx="20">
                  <c:v>1.6621627999999997</c:v>
                </c:pt>
                <c:pt idx="21">
                  <c:v>1.6621627999999997</c:v>
                </c:pt>
                <c:pt idx="22">
                  <c:v>1.6621627999999997</c:v>
                </c:pt>
                <c:pt idx="23">
                  <c:v>1.6621627999999997</c:v>
                </c:pt>
                <c:pt idx="24">
                  <c:v>1.6621627999999997</c:v>
                </c:pt>
                <c:pt idx="25">
                  <c:v>1.6621627999999997</c:v>
                </c:pt>
                <c:pt idx="26">
                  <c:v>1.6621627999999997</c:v>
                </c:pt>
                <c:pt idx="27">
                  <c:v>1.6621627999999997</c:v>
                </c:pt>
                <c:pt idx="28">
                  <c:v>1.6621627999999997</c:v>
                </c:pt>
                <c:pt idx="29">
                  <c:v>1.6621627999999997</c:v>
                </c:pt>
              </c:numCache>
            </c:numRef>
          </c:yVal>
          <c:smooth val="0"/>
          <c:extLst>
            <c:ext xmlns:c16="http://schemas.microsoft.com/office/drawing/2014/chart" uri="{C3380CC4-5D6E-409C-BE32-E72D297353CC}">
              <c16:uniqueId val="{00000003-2ACD-4689-ABC7-352CA9D7BA83}"/>
            </c:ext>
          </c:extLst>
        </c:ser>
        <c:dLbls>
          <c:showLegendKey val="0"/>
          <c:showVal val="0"/>
          <c:showCatName val="0"/>
          <c:showSerName val="0"/>
          <c:showPercent val="0"/>
          <c:showBubbleSize val="0"/>
        </c:dLbls>
        <c:axId val="-193586432"/>
        <c:axId val="-193574464"/>
      </c:scatterChart>
      <c:valAx>
        <c:axId val="-193586432"/>
        <c:scaling>
          <c:orientation val="minMax"/>
        </c:scaling>
        <c:delete val="0"/>
        <c:axPos val="b"/>
        <c:minorGridlines>
          <c:spPr>
            <a:ln>
              <a:gradFill>
                <a:gsLst>
                  <a:gs pos="0">
                    <a:schemeClr val="accent1">
                      <a:tint val="66000"/>
                      <a:satMod val="160000"/>
                    </a:schemeClr>
                  </a:gs>
                  <a:gs pos="50000">
                    <a:schemeClr val="accent1">
                      <a:tint val="44500"/>
                      <a:satMod val="160000"/>
                    </a:schemeClr>
                  </a:gs>
                  <a:gs pos="100000">
                    <a:schemeClr val="accent1">
                      <a:tint val="23500"/>
                      <a:satMod val="160000"/>
                    </a:schemeClr>
                  </a:gs>
                </a:gsLst>
                <a:lin ang="5400000" scaled="0"/>
              </a:gradFill>
            </a:ln>
          </c:spPr>
        </c:minorGridlines>
        <c:title>
          <c:tx>
            <c:rich>
              <a:bodyPr/>
              <a:lstStyle/>
              <a:p>
                <a:pPr>
                  <a:defRPr/>
                </a:pPr>
                <a:r>
                  <a:rPr lang="en-US"/>
                  <a:t>jours</a:t>
                </a:r>
              </a:p>
            </c:rich>
          </c:tx>
          <c:overlay val="0"/>
        </c:title>
        <c:numFmt formatCode="General" sourceLinked="1"/>
        <c:majorTickMark val="none"/>
        <c:minorTickMark val="none"/>
        <c:tickLblPos val="nextTo"/>
        <c:crossAx val="-193574464"/>
        <c:crosses val="autoZero"/>
        <c:crossBetween val="midCat"/>
      </c:valAx>
      <c:valAx>
        <c:axId val="-193574464"/>
        <c:scaling>
          <c:orientation val="minMax"/>
        </c:scaling>
        <c:delete val="0"/>
        <c:axPos val="l"/>
        <c:majorGridlines>
          <c:spPr>
            <a:ln>
              <a:gradFill>
                <a:gsLst>
                  <a:gs pos="0">
                    <a:schemeClr val="accent1">
                      <a:tint val="66000"/>
                      <a:satMod val="160000"/>
                    </a:schemeClr>
                  </a:gs>
                  <a:gs pos="50000">
                    <a:schemeClr val="accent1">
                      <a:tint val="44500"/>
                      <a:satMod val="160000"/>
                    </a:schemeClr>
                  </a:gs>
                  <a:gs pos="100000">
                    <a:schemeClr val="accent1">
                      <a:tint val="23500"/>
                      <a:satMod val="160000"/>
                    </a:schemeClr>
                  </a:gs>
                </a:gsLst>
                <a:lin ang="5400000" scaled="0"/>
              </a:gradFill>
            </a:ln>
          </c:spPr>
        </c:majorGridlines>
        <c:title>
          <c:tx>
            <c:rich>
              <a:bodyPr/>
              <a:lstStyle/>
              <a:p>
                <a:pPr>
                  <a:defRPr/>
                </a:pPr>
                <a:r>
                  <a:rPr lang="en-US"/>
                  <a:t>écart-type</a:t>
                </a:r>
              </a:p>
            </c:rich>
          </c:tx>
          <c:overlay val="0"/>
        </c:title>
        <c:numFmt formatCode="0.0" sourceLinked="1"/>
        <c:majorTickMark val="none"/>
        <c:minorTickMark val="none"/>
        <c:tickLblPos val="nextTo"/>
        <c:crossAx val="-193586432"/>
        <c:crosses val="autoZero"/>
        <c:crossBetween val="midCat"/>
      </c:valAx>
    </c:plotArea>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sz="1400"/>
              <a:t>Shewhart à la moyenne</a:t>
            </a:r>
          </a:p>
        </c:rich>
      </c:tx>
      <c:overlay val="0"/>
    </c:title>
    <c:autoTitleDeleted val="0"/>
    <c:plotArea>
      <c:layout>
        <c:manualLayout>
          <c:layoutTarget val="inner"/>
          <c:xMode val="edge"/>
          <c:yMode val="edge"/>
          <c:x val="0.1276405220728227"/>
          <c:y val="0.16574691202229416"/>
          <c:w val="0.83028902167827501"/>
          <c:h val="0.6462174714047364"/>
        </c:manualLayout>
      </c:layout>
      <c:scatterChart>
        <c:scatterStyle val="lineMarker"/>
        <c:varyColors val="0"/>
        <c:ser>
          <c:idx val="0"/>
          <c:order val="0"/>
          <c:marker>
            <c:symbol val="none"/>
          </c:marker>
          <c:xVal>
            <c:numRef>
              <c:f>Shewhart!$B$33:$B$63</c:f>
              <c:numCache>
                <c:formatCode>General</c:formatCod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numCache>
            </c:numRef>
          </c:xVal>
          <c:yVal>
            <c:numRef>
              <c:f>Shewhart!$H$33:$H$63</c:f>
              <c:numCache>
                <c:formatCode>0.0</c:formatCode>
                <c:ptCount val="31"/>
                <c:pt idx="0">
                  <c:v>10.313192395970555</c:v>
                </c:pt>
                <c:pt idx="1">
                  <c:v>9.8246813601100325</c:v>
                </c:pt>
                <c:pt idx="2">
                  <c:v>9.9144270251598758</c:v>
                </c:pt>
                <c:pt idx="3">
                  <c:v>9.7973218311089294</c:v>
                </c:pt>
                <c:pt idx="4">
                  <c:v>10.059807113246459</c:v>
                </c:pt>
                <c:pt idx="5">
                  <c:v>9.8700507502392991</c:v>
                </c:pt>
                <c:pt idx="6">
                  <c:v>9.9335152154556496</c:v>
                </c:pt>
                <c:pt idx="7">
                  <c:v>9.6455395904810644</c:v>
                </c:pt>
                <c:pt idx="8">
                  <c:v>9.9422625149652983</c:v>
                </c:pt>
                <c:pt idx="9">
                  <c:v>10.167500947128998</c:v>
                </c:pt>
                <c:pt idx="10">
                  <c:v>9.9819907519363227</c:v>
                </c:pt>
                <c:pt idx="11">
                  <c:v>10.457447707551466</c:v>
                </c:pt>
                <c:pt idx="12">
                  <c:v>9.933331295576254</c:v>
                </c:pt>
                <c:pt idx="13">
                  <c:v>9.889411889543668</c:v>
                </c:pt>
                <c:pt idx="14">
                  <c:v>10.129756067989126</c:v>
                </c:pt>
                <c:pt idx="15">
                  <c:v>10.045175153134736</c:v>
                </c:pt>
                <c:pt idx="16">
                  <c:v>9.9405936256268763</c:v>
                </c:pt>
                <c:pt idx="17">
                  <c:v>10.040749139046463</c:v>
                </c:pt>
                <c:pt idx="18">
                  <c:v>9.9882889776792787</c:v>
                </c:pt>
                <c:pt idx="19">
                  <c:v>9.8755536387436891</c:v>
                </c:pt>
                <c:pt idx="20">
                  <c:v>10.006291937335801</c:v>
                </c:pt>
                <c:pt idx="21">
                  <c:v>9.8403495604017834</c:v>
                </c:pt>
                <c:pt idx="22">
                  <c:v>10.125364368867734</c:v>
                </c:pt>
                <c:pt idx="23">
                  <c:v>10.414669135439448</c:v>
                </c:pt>
                <c:pt idx="24">
                  <c:v>9.7177750583001394</c:v>
                </c:pt>
                <c:pt idx="25">
                  <c:v>10.05984130438725</c:v>
                </c:pt>
                <c:pt idx="26">
                  <c:v>10.30218658603591</c:v>
                </c:pt>
                <c:pt idx="27">
                  <c:v>10.427960027075127</c:v>
                </c:pt>
                <c:pt idx="28">
                  <c:v>9.601703326774583</c:v>
                </c:pt>
                <c:pt idx="29">
                  <c:v>9.3851221318947022</c:v>
                </c:pt>
                <c:pt idx="30">
                  <c:v>9.8668352342869241</c:v>
                </c:pt>
              </c:numCache>
            </c:numRef>
          </c:yVal>
          <c:smooth val="0"/>
          <c:extLst>
            <c:ext xmlns:c16="http://schemas.microsoft.com/office/drawing/2014/chart" uri="{C3380CC4-5D6E-409C-BE32-E72D297353CC}">
              <c16:uniqueId val="{00000000-642B-4B1C-A83A-43F59F8E2EC4}"/>
            </c:ext>
          </c:extLst>
        </c:ser>
        <c:ser>
          <c:idx val="1"/>
          <c:order val="1"/>
          <c:marker>
            <c:symbol val="none"/>
          </c:marker>
          <c:xVal>
            <c:numRef>
              <c:f>Shewhart!$B$33:$B$63</c:f>
              <c:numCache>
                <c:formatCode>General</c:formatCod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numCache>
            </c:numRef>
          </c:xVal>
          <c:yVal>
            <c:numRef>
              <c:f>Shewhart!$I$33:$I$63</c:f>
              <c:numCache>
                <c:formatCode>0.0</c:formatCode>
                <c:ptCount val="31"/>
                <c:pt idx="0">
                  <c:v>10</c:v>
                </c:pt>
                <c:pt idx="1">
                  <c:v>10</c:v>
                </c:pt>
                <c:pt idx="2">
                  <c:v>10</c:v>
                </c:pt>
                <c:pt idx="3">
                  <c:v>10</c:v>
                </c:pt>
                <c:pt idx="4">
                  <c:v>10</c:v>
                </c:pt>
                <c:pt idx="5">
                  <c:v>10</c:v>
                </c:pt>
                <c:pt idx="6">
                  <c:v>10</c:v>
                </c:pt>
                <c:pt idx="7">
                  <c:v>10</c:v>
                </c:pt>
                <c:pt idx="8">
                  <c:v>10</c:v>
                </c:pt>
                <c:pt idx="9">
                  <c:v>10</c:v>
                </c:pt>
                <c:pt idx="10">
                  <c:v>10</c:v>
                </c:pt>
                <c:pt idx="11">
                  <c:v>10</c:v>
                </c:pt>
                <c:pt idx="12">
                  <c:v>10</c:v>
                </c:pt>
                <c:pt idx="13">
                  <c:v>10</c:v>
                </c:pt>
                <c:pt idx="14">
                  <c:v>10</c:v>
                </c:pt>
                <c:pt idx="15">
                  <c:v>10</c:v>
                </c:pt>
                <c:pt idx="16">
                  <c:v>10</c:v>
                </c:pt>
                <c:pt idx="17">
                  <c:v>10</c:v>
                </c:pt>
                <c:pt idx="18">
                  <c:v>10</c:v>
                </c:pt>
                <c:pt idx="19">
                  <c:v>10</c:v>
                </c:pt>
                <c:pt idx="20">
                  <c:v>10</c:v>
                </c:pt>
                <c:pt idx="21">
                  <c:v>10</c:v>
                </c:pt>
                <c:pt idx="22">
                  <c:v>10</c:v>
                </c:pt>
                <c:pt idx="23">
                  <c:v>10</c:v>
                </c:pt>
                <c:pt idx="24">
                  <c:v>10</c:v>
                </c:pt>
                <c:pt idx="25">
                  <c:v>10</c:v>
                </c:pt>
                <c:pt idx="26">
                  <c:v>10</c:v>
                </c:pt>
                <c:pt idx="27">
                  <c:v>10</c:v>
                </c:pt>
                <c:pt idx="28">
                  <c:v>10</c:v>
                </c:pt>
                <c:pt idx="29">
                  <c:v>10</c:v>
                </c:pt>
                <c:pt idx="30">
                  <c:v>10</c:v>
                </c:pt>
              </c:numCache>
            </c:numRef>
          </c:yVal>
          <c:smooth val="0"/>
          <c:extLst>
            <c:ext xmlns:c16="http://schemas.microsoft.com/office/drawing/2014/chart" uri="{C3380CC4-5D6E-409C-BE32-E72D297353CC}">
              <c16:uniqueId val="{00000001-642B-4B1C-A83A-43F59F8E2EC4}"/>
            </c:ext>
          </c:extLst>
        </c:ser>
        <c:ser>
          <c:idx val="2"/>
          <c:order val="2"/>
          <c:marker>
            <c:symbol val="none"/>
          </c:marker>
          <c:xVal>
            <c:numRef>
              <c:f>Shewhart!$B$33:$B$63</c:f>
              <c:numCache>
                <c:formatCode>General</c:formatCod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numCache>
            </c:numRef>
          </c:xVal>
          <c:yVal>
            <c:numRef>
              <c:f>Shewhart!$J$33:$J$63</c:f>
              <c:numCache>
                <c:formatCode>0.0</c:formatCode>
                <c:ptCount val="31"/>
                <c:pt idx="0">
                  <c:v>10.843277803178367</c:v>
                </c:pt>
                <c:pt idx="1">
                  <c:v>10.843277803178367</c:v>
                </c:pt>
                <c:pt idx="2">
                  <c:v>10.843277803178367</c:v>
                </c:pt>
                <c:pt idx="3">
                  <c:v>10.843277803178367</c:v>
                </c:pt>
                <c:pt idx="4">
                  <c:v>10.843277803178367</c:v>
                </c:pt>
                <c:pt idx="5">
                  <c:v>10.843277803178367</c:v>
                </c:pt>
                <c:pt idx="6">
                  <c:v>10.843277803178367</c:v>
                </c:pt>
                <c:pt idx="7">
                  <c:v>10.843277803178367</c:v>
                </c:pt>
                <c:pt idx="8">
                  <c:v>10.843277803178367</c:v>
                </c:pt>
                <c:pt idx="9">
                  <c:v>10.843277803178367</c:v>
                </c:pt>
                <c:pt idx="10">
                  <c:v>10.843277803178367</c:v>
                </c:pt>
                <c:pt idx="11">
                  <c:v>10.843277803178367</c:v>
                </c:pt>
                <c:pt idx="12">
                  <c:v>10.843277803178367</c:v>
                </c:pt>
                <c:pt idx="13">
                  <c:v>10.843277803178367</c:v>
                </c:pt>
                <c:pt idx="14">
                  <c:v>10.843277803178367</c:v>
                </c:pt>
                <c:pt idx="15">
                  <c:v>10.843277803178367</c:v>
                </c:pt>
                <c:pt idx="16">
                  <c:v>10.843277803178367</c:v>
                </c:pt>
                <c:pt idx="17">
                  <c:v>10.843277803178367</c:v>
                </c:pt>
                <c:pt idx="18">
                  <c:v>10.843277803178367</c:v>
                </c:pt>
                <c:pt idx="19">
                  <c:v>10.843277803178367</c:v>
                </c:pt>
                <c:pt idx="20">
                  <c:v>10.843277803178367</c:v>
                </c:pt>
                <c:pt idx="21">
                  <c:v>10.843277803178367</c:v>
                </c:pt>
                <c:pt idx="22">
                  <c:v>10.843277803178367</c:v>
                </c:pt>
                <c:pt idx="23">
                  <c:v>10.843277803178367</c:v>
                </c:pt>
                <c:pt idx="24">
                  <c:v>10.843277803178367</c:v>
                </c:pt>
                <c:pt idx="25">
                  <c:v>10.843277803178367</c:v>
                </c:pt>
                <c:pt idx="26">
                  <c:v>10.843277803178367</c:v>
                </c:pt>
                <c:pt idx="27">
                  <c:v>10.843277803178367</c:v>
                </c:pt>
                <c:pt idx="28">
                  <c:v>10.843277803178367</c:v>
                </c:pt>
                <c:pt idx="29">
                  <c:v>10.843277803178367</c:v>
                </c:pt>
                <c:pt idx="30">
                  <c:v>10.843277803178367</c:v>
                </c:pt>
              </c:numCache>
            </c:numRef>
          </c:yVal>
          <c:smooth val="0"/>
          <c:extLst>
            <c:ext xmlns:c16="http://schemas.microsoft.com/office/drawing/2014/chart" uri="{C3380CC4-5D6E-409C-BE32-E72D297353CC}">
              <c16:uniqueId val="{00000002-642B-4B1C-A83A-43F59F8E2EC4}"/>
            </c:ext>
          </c:extLst>
        </c:ser>
        <c:ser>
          <c:idx val="3"/>
          <c:order val="3"/>
          <c:spPr>
            <a:ln>
              <a:solidFill>
                <a:srgbClr val="FF0000"/>
              </a:solidFill>
            </a:ln>
          </c:spPr>
          <c:marker>
            <c:symbol val="none"/>
          </c:marker>
          <c:xVal>
            <c:numRef>
              <c:f>Shewhart!$B$33:$B$63</c:f>
              <c:numCache>
                <c:formatCode>General</c:formatCod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numCache>
            </c:numRef>
          </c:xVal>
          <c:yVal>
            <c:numRef>
              <c:f>Shewhart!$K$33:$K$63</c:f>
              <c:numCache>
                <c:formatCode>0.0</c:formatCode>
                <c:ptCount val="31"/>
                <c:pt idx="0">
                  <c:v>11.26491670476755</c:v>
                </c:pt>
                <c:pt idx="1">
                  <c:v>11.26491670476755</c:v>
                </c:pt>
                <c:pt idx="2">
                  <c:v>11.26491670476755</c:v>
                </c:pt>
                <c:pt idx="3">
                  <c:v>11.26491670476755</c:v>
                </c:pt>
                <c:pt idx="4">
                  <c:v>11.26491670476755</c:v>
                </c:pt>
                <c:pt idx="5">
                  <c:v>11.26491670476755</c:v>
                </c:pt>
                <c:pt idx="6">
                  <c:v>11.26491670476755</c:v>
                </c:pt>
                <c:pt idx="7">
                  <c:v>11.26491670476755</c:v>
                </c:pt>
                <c:pt idx="8">
                  <c:v>11.26491670476755</c:v>
                </c:pt>
                <c:pt idx="9">
                  <c:v>11.26491670476755</c:v>
                </c:pt>
                <c:pt idx="10">
                  <c:v>11.26491670476755</c:v>
                </c:pt>
                <c:pt idx="11">
                  <c:v>11.26491670476755</c:v>
                </c:pt>
                <c:pt idx="12">
                  <c:v>11.26491670476755</c:v>
                </c:pt>
                <c:pt idx="13">
                  <c:v>11.26491670476755</c:v>
                </c:pt>
                <c:pt idx="14">
                  <c:v>11.26491670476755</c:v>
                </c:pt>
                <c:pt idx="15">
                  <c:v>11.26491670476755</c:v>
                </c:pt>
                <c:pt idx="16">
                  <c:v>11.26491670476755</c:v>
                </c:pt>
                <c:pt idx="17">
                  <c:v>11.26491670476755</c:v>
                </c:pt>
                <c:pt idx="18">
                  <c:v>11.26491670476755</c:v>
                </c:pt>
                <c:pt idx="19">
                  <c:v>11.26491670476755</c:v>
                </c:pt>
                <c:pt idx="20">
                  <c:v>11.26491670476755</c:v>
                </c:pt>
                <c:pt idx="21">
                  <c:v>11.26491670476755</c:v>
                </c:pt>
                <c:pt idx="22">
                  <c:v>11.26491670476755</c:v>
                </c:pt>
                <c:pt idx="23">
                  <c:v>11.26491670476755</c:v>
                </c:pt>
                <c:pt idx="24">
                  <c:v>11.26491670476755</c:v>
                </c:pt>
                <c:pt idx="25">
                  <c:v>11.26491670476755</c:v>
                </c:pt>
                <c:pt idx="26">
                  <c:v>11.26491670476755</c:v>
                </c:pt>
                <c:pt idx="27">
                  <c:v>11.26491670476755</c:v>
                </c:pt>
                <c:pt idx="28">
                  <c:v>11.26491670476755</c:v>
                </c:pt>
                <c:pt idx="29">
                  <c:v>11.26491670476755</c:v>
                </c:pt>
                <c:pt idx="30">
                  <c:v>11.26491670476755</c:v>
                </c:pt>
              </c:numCache>
            </c:numRef>
          </c:yVal>
          <c:smooth val="0"/>
          <c:extLst>
            <c:ext xmlns:c16="http://schemas.microsoft.com/office/drawing/2014/chart" uri="{C3380CC4-5D6E-409C-BE32-E72D297353CC}">
              <c16:uniqueId val="{00000003-642B-4B1C-A83A-43F59F8E2EC4}"/>
            </c:ext>
          </c:extLst>
        </c:ser>
        <c:ser>
          <c:idx val="4"/>
          <c:order val="4"/>
          <c:spPr>
            <a:ln>
              <a:solidFill>
                <a:schemeClr val="accent3"/>
              </a:solidFill>
            </a:ln>
          </c:spPr>
          <c:marker>
            <c:symbol val="none"/>
          </c:marker>
          <c:xVal>
            <c:numRef>
              <c:f>Shewhart!$B$33:$B$63</c:f>
              <c:numCache>
                <c:formatCode>General</c:formatCod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numCache>
            </c:numRef>
          </c:xVal>
          <c:yVal>
            <c:numRef>
              <c:f>Shewhart!$L$33:$L$63</c:f>
              <c:numCache>
                <c:formatCode>0.0</c:formatCode>
                <c:ptCount val="31"/>
                <c:pt idx="0">
                  <c:v>9.156722196821633</c:v>
                </c:pt>
                <c:pt idx="1">
                  <c:v>9.156722196821633</c:v>
                </c:pt>
                <c:pt idx="2">
                  <c:v>9.156722196821633</c:v>
                </c:pt>
                <c:pt idx="3">
                  <c:v>9.156722196821633</c:v>
                </c:pt>
                <c:pt idx="4">
                  <c:v>9.156722196821633</c:v>
                </c:pt>
                <c:pt idx="5">
                  <c:v>9.156722196821633</c:v>
                </c:pt>
                <c:pt idx="6">
                  <c:v>9.156722196821633</c:v>
                </c:pt>
                <c:pt idx="7">
                  <c:v>9.156722196821633</c:v>
                </c:pt>
                <c:pt idx="8">
                  <c:v>9.156722196821633</c:v>
                </c:pt>
                <c:pt idx="9">
                  <c:v>9.156722196821633</c:v>
                </c:pt>
                <c:pt idx="10">
                  <c:v>9.156722196821633</c:v>
                </c:pt>
                <c:pt idx="11">
                  <c:v>9.156722196821633</c:v>
                </c:pt>
                <c:pt idx="12">
                  <c:v>9.156722196821633</c:v>
                </c:pt>
                <c:pt idx="13">
                  <c:v>9.156722196821633</c:v>
                </c:pt>
                <c:pt idx="14">
                  <c:v>9.156722196821633</c:v>
                </c:pt>
                <c:pt idx="15">
                  <c:v>9.156722196821633</c:v>
                </c:pt>
                <c:pt idx="16">
                  <c:v>9.156722196821633</c:v>
                </c:pt>
                <c:pt idx="17">
                  <c:v>9.156722196821633</c:v>
                </c:pt>
                <c:pt idx="18">
                  <c:v>9.156722196821633</c:v>
                </c:pt>
                <c:pt idx="19">
                  <c:v>9.156722196821633</c:v>
                </c:pt>
                <c:pt idx="20">
                  <c:v>9.156722196821633</c:v>
                </c:pt>
                <c:pt idx="21">
                  <c:v>9.156722196821633</c:v>
                </c:pt>
                <c:pt idx="22">
                  <c:v>9.156722196821633</c:v>
                </c:pt>
                <c:pt idx="23">
                  <c:v>9.156722196821633</c:v>
                </c:pt>
                <c:pt idx="24">
                  <c:v>9.156722196821633</c:v>
                </c:pt>
                <c:pt idx="25">
                  <c:v>9.156722196821633</c:v>
                </c:pt>
                <c:pt idx="26">
                  <c:v>9.156722196821633</c:v>
                </c:pt>
                <c:pt idx="27">
                  <c:v>9.156722196821633</c:v>
                </c:pt>
                <c:pt idx="28">
                  <c:v>9.156722196821633</c:v>
                </c:pt>
                <c:pt idx="29">
                  <c:v>9.156722196821633</c:v>
                </c:pt>
                <c:pt idx="30">
                  <c:v>9.156722196821633</c:v>
                </c:pt>
              </c:numCache>
            </c:numRef>
          </c:yVal>
          <c:smooth val="0"/>
          <c:extLst>
            <c:ext xmlns:c16="http://schemas.microsoft.com/office/drawing/2014/chart" uri="{C3380CC4-5D6E-409C-BE32-E72D297353CC}">
              <c16:uniqueId val="{00000004-642B-4B1C-A83A-43F59F8E2EC4}"/>
            </c:ext>
          </c:extLst>
        </c:ser>
        <c:ser>
          <c:idx val="5"/>
          <c:order val="5"/>
          <c:spPr>
            <a:ln>
              <a:solidFill>
                <a:srgbClr val="FF0000"/>
              </a:solidFill>
            </a:ln>
          </c:spPr>
          <c:marker>
            <c:symbol val="none"/>
          </c:marker>
          <c:xVal>
            <c:numRef>
              <c:f>Shewhart!$B$33:$B$63</c:f>
              <c:numCache>
                <c:formatCode>General</c:formatCod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numCache>
            </c:numRef>
          </c:xVal>
          <c:yVal>
            <c:numRef>
              <c:f>Shewhart!$M$33:$M$63</c:f>
              <c:numCache>
                <c:formatCode>0.0</c:formatCode>
                <c:ptCount val="31"/>
                <c:pt idx="0">
                  <c:v>8.7350832952324495</c:v>
                </c:pt>
                <c:pt idx="1">
                  <c:v>8.7350832952324495</c:v>
                </c:pt>
                <c:pt idx="2">
                  <c:v>8.7350832952324495</c:v>
                </c:pt>
                <c:pt idx="3">
                  <c:v>8.7350832952324495</c:v>
                </c:pt>
                <c:pt idx="4">
                  <c:v>8.7350832952324495</c:v>
                </c:pt>
                <c:pt idx="5">
                  <c:v>8.7350832952324495</c:v>
                </c:pt>
                <c:pt idx="6">
                  <c:v>8.7350832952324495</c:v>
                </c:pt>
                <c:pt idx="7">
                  <c:v>8.7350832952324495</c:v>
                </c:pt>
                <c:pt idx="8">
                  <c:v>8.7350832952324495</c:v>
                </c:pt>
                <c:pt idx="9">
                  <c:v>8.7350832952324495</c:v>
                </c:pt>
                <c:pt idx="10">
                  <c:v>8.7350832952324495</c:v>
                </c:pt>
                <c:pt idx="11">
                  <c:v>8.7350832952324495</c:v>
                </c:pt>
                <c:pt idx="12">
                  <c:v>8.7350832952324495</c:v>
                </c:pt>
                <c:pt idx="13">
                  <c:v>8.7350832952324495</c:v>
                </c:pt>
                <c:pt idx="14">
                  <c:v>8.7350832952324495</c:v>
                </c:pt>
                <c:pt idx="15">
                  <c:v>8.7350832952324495</c:v>
                </c:pt>
                <c:pt idx="16">
                  <c:v>8.7350832952324495</c:v>
                </c:pt>
                <c:pt idx="17">
                  <c:v>8.7350832952324495</c:v>
                </c:pt>
                <c:pt idx="18">
                  <c:v>8.7350832952324495</c:v>
                </c:pt>
                <c:pt idx="19">
                  <c:v>8.7350832952324495</c:v>
                </c:pt>
                <c:pt idx="20">
                  <c:v>8.7350832952324495</c:v>
                </c:pt>
                <c:pt idx="21">
                  <c:v>8.7350832952324495</c:v>
                </c:pt>
                <c:pt idx="22">
                  <c:v>8.7350832952324495</c:v>
                </c:pt>
                <c:pt idx="23">
                  <c:v>8.7350832952324495</c:v>
                </c:pt>
                <c:pt idx="24">
                  <c:v>8.7350832952324495</c:v>
                </c:pt>
                <c:pt idx="25">
                  <c:v>8.7350832952324495</c:v>
                </c:pt>
                <c:pt idx="26">
                  <c:v>8.7350832952324495</c:v>
                </c:pt>
                <c:pt idx="27">
                  <c:v>8.7350832952324495</c:v>
                </c:pt>
                <c:pt idx="28">
                  <c:v>8.7350832952324495</c:v>
                </c:pt>
                <c:pt idx="29">
                  <c:v>8.7350832952324495</c:v>
                </c:pt>
                <c:pt idx="30">
                  <c:v>8.7350832952324495</c:v>
                </c:pt>
              </c:numCache>
            </c:numRef>
          </c:yVal>
          <c:smooth val="0"/>
          <c:extLst>
            <c:ext xmlns:c16="http://schemas.microsoft.com/office/drawing/2014/chart" uri="{C3380CC4-5D6E-409C-BE32-E72D297353CC}">
              <c16:uniqueId val="{00000005-642B-4B1C-A83A-43F59F8E2EC4}"/>
            </c:ext>
          </c:extLst>
        </c:ser>
        <c:dLbls>
          <c:showLegendKey val="0"/>
          <c:showVal val="0"/>
          <c:showCatName val="0"/>
          <c:showSerName val="0"/>
          <c:showPercent val="0"/>
          <c:showBubbleSize val="0"/>
        </c:dLbls>
        <c:axId val="-193578816"/>
        <c:axId val="-193576640"/>
      </c:scatterChart>
      <c:valAx>
        <c:axId val="-193578816"/>
        <c:scaling>
          <c:orientation val="minMax"/>
        </c:scaling>
        <c:delete val="0"/>
        <c:axPos val="b"/>
        <c:minorGridlines>
          <c:spPr>
            <a:ln>
              <a:gradFill>
                <a:gsLst>
                  <a:gs pos="0">
                    <a:schemeClr val="accent1">
                      <a:tint val="66000"/>
                      <a:satMod val="160000"/>
                    </a:schemeClr>
                  </a:gs>
                  <a:gs pos="50000">
                    <a:schemeClr val="accent1">
                      <a:tint val="44500"/>
                      <a:satMod val="160000"/>
                    </a:schemeClr>
                  </a:gs>
                  <a:gs pos="100000">
                    <a:schemeClr val="accent1">
                      <a:tint val="23500"/>
                      <a:satMod val="160000"/>
                    </a:schemeClr>
                  </a:gs>
                </a:gsLst>
                <a:lin ang="5400000" scaled="0"/>
              </a:gradFill>
            </a:ln>
          </c:spPr>
        </c:minorGridlines>
        <c:title>
          <c:tx>
            <c:rich>
              <a:bodyPr/>
              <a:lstStyle/>
              <a:p>
                <a:pPr>
                  <a:defRPr/>
                </a:pPr>
                <a:r>
                  <a:rPr lang="en-US"/>
                  <a:t>jours</a:t>
                </a:r>
              </a:p>
            </c:rich>
          </c:tx>
          <c:overlay val="0"/>
        </c:title>
        <c:numFmt formatCode="General" sourceLinked="1"/>
        <c:majorTickMark val="none"/>
        <c:minorTickMark val="none"/>
        <c:tickLblPos val="nextTo"/>
        <c:crossAx val="-193576640"/>
        <c:crosses val="autoZero"/>
        <c:crossBetween val="midCat"/>
      </c:valAx>
      <c:valAx>
        <c:axId val="-193576640"/>
        <c:scaling>
          <c:orientation val="minMax"/>
          <c:min val="8"/>
        </c:scaling>
        <c:delete val="0"/>
        <c:axPos val="l"/>
        <c:majorGridlines>
          <c:spPr>
            <a:ln>
              <a:gradFill>
                <a:gsLst>
                  <a:gs pos="0">
                    <a:schemeClr val="accent1">
                      <a:tint val="66000"/>
                      <a:satMod val="160000"/>
                    </a:schemeClr>
                  </a:gs>
                  <a:gs pos="50000">
                    <a:schemeClr val="accent1">
                      <a:tint val="44500"/>
                      <a:satMod val="160000"/>
                    </a:schemeClr>
                  </a:gs>
                  <a:gs pos="100000">
                    <a:schemeClr val="accent1">
                      <a:tint val="23500"/>
                      <a:satMod val="160000"/>
                    </a:schemeClr>
                  </a:gs>
                </a:gsLst>
                <a:lin ang="5400000" scaled="0"/>
              </a:gradFill>
            </a:ln>
          </c:spPr>
        </c:majorGridlines>
        <c:title>
          <c:tx>
            <c:rich>
              <a:bodyPr/>
              <a:lstStyle/>
              <a:p>
                <a:pPr>
                  <a:defRPr/>
                </a:pPr>
                <a:r>
                  <a:rPr lang="en-US"/>
                  <a:t>moyenne</a:t>
                </a:r>
              </a:p>
            </c:rich>
          </c:tx>
          <c:overlay val="0"/>
        </c:title>
        <c:numFmt formatCode="0.0" sourceLinked="0"/>
        <c:majorTickMark val="none"/>
        <c:minorTickMark val="none"/>
        <c:tickLblPos val="nextTo"/>
        <c:crossAx val="-193578816"/>
        <c:crosses val="autoZero"/>
        <c:crossBetween val="midCat"/>
      </c:valAx>
    </c:plotArea>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sz="1600"/>
              <a:t>Shewart à l'étendu</a:t>
            </a:r>
          </a:p>
        </c:rich>
      </c:tx>
      <c:overlay val="0"/>
    </c:title>
    <c:autoTitleDeleted val="0"/>
    <c:plotArea>
      <c:layout>
        <c:manualLayout>
          <c:layoutTarget val="inner"/>
          <c:xMode val="edge"/>
          <c:yMode val="edge"/>
          <c:x val="0.12809370194364472"/>
          <c:y val="0.18138425121080698"/>
          <c:w val="0.80708985165400582"/>
          <c:h val="0.61498726745716281"/>
        </c:manualLayout>
      </c:layout>
      <c:scatterChart>
        <c:scatterStyle val="lineMarker"/>
        <c:varyColors val="0"/>
        <c:ser>
          <c:idx val="0"/>
          <c:order val="0"/>
          <c:tx>
            <c:strRef>
              <c:f>Shewhart!$B$7:$B$9</c:f>
              <c:strCache>
                <c:ptCount val="3"/>
                <c:pt idx="0">
                  <c:v>Inconvénient</c:v>
                </c:pt>
                <c:pt idx="1">
                  <c:v>Détecte mal les dérives lentes -&gt; mauvais pour l'étude de la moyenne</c:v>
                </c:pt>
                <c:pt idx="2">
                  <c:v>Avantage</c:v>
                </c:pt>
              </c:strCache>
            </c:strRef>
          </c:tx>
          <c:marker>
            <c:symbol val="none"/>
          </c:marker>
          <c:yVal>
            <c:numRef>
              <c:f>Shewhart!$B$10</c:f>
              <c:numCache>
                <c:formatCode>General</c:formatCode>
                <c:ptCount val="1"/>
                <c:pt idx="0">
                  <c:v>0</c:v>
                </c:pt>
              </c:numCache>
            </c:numRef>
          </c:yVal>
          <c:smooth val="0"/>
          <c:extLst>
            <c:ext xmlns:c16="http://schemas.microsoft.com/office/drawing/2014/chart" uri="{C3380CC4-5D6E-409C-BE32-E72D297353CC}">
              <c16:uniqueId val="{00000000-459C-4598-A1C0-90278136D381}"/>
            </c:ext>
          </c:extLst>
        </c:ser>
        <c:ser>
          <c:idx val="1"/>
          <c:order val="1"/>
          <c:marker>
            <c:symbol val="none"/>
          </c:marker>
          <c:xVal>
            <c:numRef>
              <c:f>Shewhart!$B$33:$B$63</c:f>
              <c:numCache>
                <c:formatCode>General</c:formatCod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numCache>
            </c:numRef>
          </c:xVal>
          <c:yVal>
            <c:numRef>
              <c:f>Shewhart!$Q$33:$Q$63</c:f>
              <c:numCache>
                <c:formatCode>0.0</c:formatCode>
                <c:ptCount val="31"/>
                <c:pt idx="0">
                  <c:v>0.82377839999999991</c:v>
                </c:pt>
                <c:pt idx="1">
                  <c:v>0.82377839999999991</c:v>
                </c:pt>
                <c:pt idx="2">
                  <c:v>0.82377839999999991</c:v>
                </c:pt>
                <c:pt idx="3">
                  <c:v>0.82377839999999991</c:v>
                </c:pt>
                <c:pt idx="4">
                  <c:v>0.82377839999999991</c:v>
                </c:pt>
                <c:pt idx="5">
                  <c:v>0.82377839999999991</c:v>
                </c:pt>
                <c:pt idx="6">
                  <c:v>0.82377839999999991</c:v>
                </c:pt>
                <c:pt idx="7">
                  <c:v>0.82377839999999991</c:v>
                </c:pt>
                <c:pt idx="8">
                  <c:v>0.82377839999999991</c:v>
                </c:pt>
                <c:pt idx="9">
                  <c:v>0.82377839999999991</c:v>
                </c:pt>
                <c:pt idx="10">
                  <c:v>0.82377839999999991</c:v>
                </c:pt>
                <c:pt idx="11">
                  <c:v>0.82377839999999991</c:v>
                </c:pt>
                <c:pt idx="12">
                  <c:v>0.82377839999999991</c:v>
                </c:pt>
                <c:pt idx="13">
                  <c:v>0.82377839999999991</c:v>
                </c:pt>
                <c:pt idx="14">
                  <c:v>0.82377839999999991</c:v>
                </c:pt>
                <c:pt idx="15">
                  <c:v>0.82377839999999991</c:v>
                </c:pt>
                <c:pt idx="16">
                  <c:v>0.82377839999999991</c:v>
                </c:pt>
                <c:pt idx="17">
                  <c:v>0.82377839999999991</c:v>
                </c:pt>
                <c:pt idx="18">
                  <c:v>0.82377839999999991</c:v>
                </c:pt>
                <c:pt idx="19">
                  <c:v>0.82377839999999991</c:v>
                </c:pt>
                <c:pt idx="20">
                  <c:v>0.82377839999999991</c:v>
                </c:pt>
                <c:pt idx="21">
                  <c:v>0.82377839999999991</c:v>
                </c:pt>
                <c:pt idx="22">
                  <c:v>0.82377839999999991</c:v>
                </c:pt>
                <c:pt idx="23">
                  <c:v>0.82377839999999991</c:v>
                </c:pt>
                <c:pt idx="24">
                  <c:v>0.82377839999999991</c:v>
                </c:pt>
                <c:pt idx="25">
                  <c:v>0.82377839999999991</c:v>
                </c:pt>
                <c:pt idx="26">
                  <c:v>0.82377839999999991</c:v>
                </c:pt>
                <c:pt idx="27">
                  <c:v>0.82377839999999991</c:v>
                </c:pt>
                <c:pt idx="28">
                  <c:v>0.82377839999999991</c:v>
                </c:pt>
                <c:pt idx="29">
                  <c:v>0.82377839999999991</c:v>
                </c:pt>
                <c:pt idx="30">
                  <c:v>0.82377839999999991</c:v>
                </c:pt>
              </c:numCache>
            </c:numRef>
          </c:yVal>
          <c:smooth val="0"/>
          <c:extLst>
            <c:ext xmlns:c16="http://schemas.microsoft.com/office/drawing/2014/chart" uri="{C3380CC4-5D6E-409C-BE32-E72D297353CC}">
              <c16:uniqueId val="{00000001-459C-4598-A1C0-90278136D381}"/>
            </c:ext>
          </c:extLst>
        </c:ser>
        <c:ser>
          <c:idx val="2"/>
          <c:order val="2"/>
          <c:marker>
            <c:symbol val="none"/>
          </c:marker>
          <c:xVal>
            <c:numRef>
              <c:f>Shewhart!$B$33:$B$63</c:f>
              <c:numCache>
                <c:formatCode>General</c:formatCod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numCache>
            </c:numRef>
          </c:xVal>
          <c:yVal>
            <c:numRef>
              <c:f>Shewhart!$R$33:$R$62</c:f>
              <c:numCache>
                <c:formatCode>0.0</c:formatCode>
                <c:ptCount val="30"/>
                <c:pt idx="0">
                  <c:v>2.0696702</c:v>
                </c:pt>
                <c:pt idx="1">
                  <c:v>2.0696702</c:v>
                </c:pt>
                <c:pt idx="2">
                  <c:v>2.0696702</c:v>
                </c:pt>
                <c:pt idx="3">
                  <c:v>2.0696702</c:v>
                </c:pt>
                <c:pt idx="4">
                  <c:v>2.0696702</c:v>
                </c:pt>
                <c:pt idx="5">
                  <c:v>2.0696702</c:v>
                </c:pt>
                <c:pt idx="6">
                  <c:v>2.0696702</c:v>
                </c:pt>
                <c:pt idx="7">
                  <c:v>2.0696702</c:v>
                </c:pt>
                <c:pt idx="8">
                  <c:v>2.0696702</c:v>
                </c:pt>
                <c:pt idx="9">
                  <c:v>2.0696702</c:v>
                </c:pt>
                <c:pt idx="10">
                  <c:v>2.0696702</c:v>
                </c:pt>
                <c:pt idx="11">
                  <c:v>2.0696702</c:v>
                </c:pt>
                <c:pt idx="12">
                  <c:v>2.0696702</c:v>
                </c:pt>
                <c:pt idx="13">
                  <c:v>2.0696702</c:v>
                </c:pt>
                <c:pt idx="14">
                  <c:v>2.0696702</c:v>
                </c:pt>
                <c:pt idx="15">
                  <c:v>2.0696702</c:v>
                </c:pt>
                <c:pt idx="16">
                  <c:v>2.0696702</c:v>
                </c:pt>
                <c:pt idx="17">
                  <c:v>2.0696702</c:v>
                </c:pt>
                <c:pt idx="18">
                  <c:v>2.0696702</c:v>
                </c:pt>
                <c:pt idx="19">
                  <c:v>2.0696702</c:v>
                </c:pt>
                <c:pt idx="20">
                  <c:v>2.0696702</c:v>
                </c:pt>
                <c:pt idx="21">
                  <c:v>2.0696702</c:v>
                </c:pt>
                <c:pt idx="22">
                  <c:v>2.0696702</c:v>
                </c:pt>
                <c:pt idx="23">
                  <c:v>2.0696702</c:v>
                </c:pt>
                <c:pt idx="24">
                  <c:v>2.0696702</c:v>
                </c:pt>
                <c:pt idx="25">
                  <c:v>2.0696702</c:v>
                </c:pt>
                <c:pt idx="26">
                  <c:v>2.0696702</c:v>
                </c:pt>
                <c:pt idx="27">
                  <c:v>2.0696702</c:v>
                </c:pt>
                <c:pt idx="28">
                  <c:v>2.0696702</c:v>
                </c:pt>
                <c:pt idx="29">
                  <c:v>2.0696702</c:v>
                </c:pt>
              </c:numCache>
            </c:numRef>
          </c:yVal>
          <c:smooth val="0"/>
          <c:extLst>
            <c:ext xmlns:c16="http://schemas.microsoft.com/office/drawing/2014/chart" uri="{C3380CC4-5D6E-409C-BE32-E72D297353CC}">
              <c16:uniqueId val="{00000002-459C-4598-A1C0-90278136D381}"/>
            </c:ext>
          </c:extLst>
        </c:ser>
        <c:ser>
          <c:idx val="3"/>
          <c:order val="3"/>
          <c:marker>
            <c:symbol val="none"/>
          </c:marker>
          <c:xVal>
            <c:numRef>
              <c:f>Shewhart!$B$33:$B$63</c:f>
              <c:numCache>
                <c:formatCode>General</c:formatCod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numCache>
            </c:numRef>
          </c:xVal>
          <c:yVal>
            <c:numRef>
              <c:f>Shewhart!$S$33:$S$64</c:f>
              <c:numCache>
                <c:formatCode>0.0</c:formatCode>
                <c:ptCount val="32"/>
                <c:pt idx="0">
                  <c:v>2.6918857999999997</c:v>
                </c:pt>
                <c:pt idx="1">
                  <c:v>2.6918857999999997</c:v>
                </c:pt>
                <c:pt idx="2">
                  <c:v>2.6918857999999997</c:v>
                </c:pt>
                <c:pt idx="3">
                  <c:v>2.6918857999999997</c:v>
                </c:pt>
                <c:pt idx="4">
                  <c:v>2.6918857999999997</c:v>
                </c:pt>
                <c:pt idx="5">
                  <c:v>2.6918857999999997</c:v>
                </c:pt>
                <c:pt idx="6">
                  <c:v>2.6918857999999997</c:v>
                </c:pt>
                <c:pt idx="7">
                  <c:v>2.6918857999999997</c:v>
                </c:pt>
                <c:pt idx="8">
                  <c:v>2.6918857999999997</c:v>
                </c:pt>
                <c:pt idx="9">
                  <c:v>2.6918857999999997</c:v>
                </c:pt>
                <c:pt idx="10">
                  <c:v>2.6918857999999997</c:v>
                </c:pt>
                <c:pt idx="11">
                  <c:v>2.6918857999999997</c:v>
                </c:pt>
                <c:pt idx="12">
                  <c:v>2.6918857999999997</c:v>
                </c:pt>
                <c:pt idx="13">
                  <c:v>2.6918857999999997</c:v>
                </c:pt>
                <c:pt idx="14">
                  <c:v>2.6918857999999997</c:v>
                </c:pt>
                <c:pt idx="15">
                  <c:v>2.6918857999999997</c:v>
                </c:pt>
                <c:pt idx="16">
                  <c:v>2.6918857999999997</c:v>
                </c:pt>
                <c:pt idx="17">
                  <c:v>2.6918857999999997</c:v>
                </c:pt>
                <c:pt idx="18">
                  <c:v>2.6918857999999997</c:v>
                </c:pt>
                <c:pt idx="19">
                  <c:v>2.6918857999999997</c:v>
                </c:pt>
                <c:pt idx="20">
                  <c:v>2.6918857999999997</c:v>
                </c:pt>
                <c:pt idx="21">
                  <c:v>2.6918857999999997</c:v>
                </c:pt>
                <c:pt idx="22">
                  <c:v>2.6918857999999997</c:v>
                </c:pt>
                <c:pt idx="23">
                  <c:v>2.6918857999999997</c:v>
                </c:pt>
                <c:pt idx="24">
                  <c:v>2.6918857999999997</c:v>
                </c:pt>
                <c:pt idx="25">
                  <c:v>2.6918857999999997</c:v>
                </c:pt>
                <c:pt idx="26">
                  <c:v>2.6918857999999997</c:v>
                </c:pt>
                <c:pt idx="27">
                  <c:v>2.6918857999999997</c:v>
                </c:pt>
                <c:pt idx="28">
                  <c:v>2.6918857999999997</c:v>
                </c:pt>
                <c:pt idx="29">
                  <c:v>2.6918857999999997</c:v>
                </c:pt>
                <c:pt idx="30">
                  <c:v>2.6918857999999997</c:v>
                </c:pt>
              </c:numCache>
            </c:numRef>
          </c:yVal>
          <c:smooth val="0"/>
          <c:extLst>
            <c:ext xmlns:c16="http://schemas.microsoft.com/office/drawing/2014/chart" uri="{C3380CC4-5D6E-409C-BE32-E72D297353CC}">
              <c16:uniqueId val="{00000003-459C-4598-A1C0-90278136D381}"/>
            </c:ext>
          </c:extLst>
        </c:ser>
        <c:ser>
          <c:idx val="4"/>
          <c:order val="4"/>
          <c:marker>
            <c:symbol val="none"/>
          </c:marker>
          <c:xVal>
            <c:numRef>
              <c:f>Shewhart!$B$33:$B$63</c:f>
              <c:numCache>
                <c:formatCode>General</c:formatCod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numCache>
            </c:numRef>
          </c:xVal>
          <c:yVal>
            <c:numRef>
              <c:f>Shewhart!$G$33:$G$63</c:f>
              <c:numCache>
                <c:formatCode>0.0</c:formatCode>
                <c:ptCount val="31"/>
                <c:pt idx="0">
                  <c:v>0.10209846800116118</c:v>
                </c:pt>
                <c:pt idx="1">
                  <c:v>0.4632174959690083</c:v>
                </c:pt>
                <c:pt idx="2">
                  <c:v>0.79374419222789605</c:v>
                </c:pt>
                <c:pt idx="3">
                  <c:v>1.4716350017027509</c:v>
                </c:pt>
                <c:pt idx="4">
                  <c:v>0.51341337331061609</c:v>
                </c:pt>
                <c:pt idx="5">
                  <c:v>1.0159464774443787</c:v>
                </c:pt>
                <c:pt idx="6">
                  <c:v>0.71035722215834163</c:v>
                </c:pt>
                <c:pt idx="7">
                  <c:v>0.68552303317763652</c:v>
                </c:pt>
                <c:pt idx="8">
                  <c:v>1.3589891356696953</c:v>
                </c:pt>
                <c:pt idx="9">
                  <c:v>0.7967013453674987</c:v>
                </c:pt>
                <c:pt idx="10">
                  <c:v>0.53091640036860532</c:v>
                </c:pt>
                <c:pt idx="11">
                  <c:v>0.48553518466487589</c:v>
                </c:pt>
                <c:pt idx="12">
                  <c:v>0.70087074820098749</c:v>
                </c:pt>
                <c:pt idx="13">
                  <c:v>0.85414611495723491</c:v>
                </c:pt>
                <c:pt idx="14">
                  <c:v>0.56637069566004783</c:v>
                </c:pt>
                <c:pt idx="15">
                  <c:v>0.5144215174828517</c:v>
                </c:pt>
                <c:pt idx="16">
                  <c:v>0.33591010027788926</c:v>
                </c:pt>
                <c:pt idx="17">
                  <c:v>0.20406862447688212</c:v>
                </c:pt>
                <c:pt idx="18">
                  <c:v>1.0494333893955066</c:v>
                </c:pt>
                <c:pt idx="19">
                  <c:v>0.58055785802488202</c:v>
                </c:pt>
                <c:pt idx="20">
                  <c:v>1.0287762450067657</c:v>
                </c:pt>
                <c:pt idx="21">
                  <c:v>1.1220541463040448</c:v>
                </c:pt>
                <c:pt idx="22">
                  <c:v>0.74486172821609209</c:v>
                </c:pt>
                <c:pt idx="23">
                  <c:v>0.30910487131784414</c:v>
                </c:pt>
                <c:pt idx="24">
                  <c:v>0.62675797393318256</c:v>
                </c:pt>
                <c:pt idx="25">
                  <c:v>0.98622246286817905</c:v>
                </c:pt>
                <c:pt idx="26">
                  <c:v>0.54943057691276209</c:v>
                </c:pt>
                <c:pt idx="27">
                  <c:v>0.63094771809322481</c:v>
                </c:pt>
                <c:pt idx="28">
                  <c:v>0.59041537020198476</c:v>
                </c:pt>
                <c:pt idx="29">
                  <c:v>0.5736482506415097</c:v>
                </c:pt>
                <c:pt idx="30">
                  <c:v>0.22756407995934147</c:v>
                </c:pt>
              </c:numCache>
            </c:numRef>
          </c:yVal>
          <c:smooth val="0"/>
          <c:extLst>
            <c:ext xmlns:c16="http://schemas.microsoft.com/office/drawing/2014/chart" uri="{C3380CC4-5D6E-409C-BE32-E72D297353CC}">
              <c16:uniqueId val="{00000004-459C-4598-A1C0-90278136D381}"/>
            </c:ext>
          </c:extLst>
        </c:ser>
        <c:dLbls>
          <c:showLegendKey val="0"/>
          <c:showVal val="0"/>
          <c:showCatName val="0"/>
          <c:showSerName val="0"/>
          <c:showPercent val="0"/>
          <c:showBubbleSize val="0"/>
        </c:dLbls>
        <c:axId val="-193582080"/>
        <c:axId val="-193581536"/>
      </c:scatterChart>
      <c:valAx>
        <c:axId val="-193582080"/>
        <c:scaling>
          <c:orientation val="minMax"/>
        </c:scaling>
        <c:delete val="0"/>
        <c:axPos val="b"/>
        <c:minorGridlines>
          <c:spPr>
            <a:ln>
              <a:gradFill>
                <a:gsLst>
                  <a:gs pos="0">
                    <a:schemeClr val="accent1">
                      <a:tint val="66000"/>
                      <a:satMod val="160000"/>
                    </a:schemeClr>
                  </a:gs>
                  <a:gs pos="50000">
                    <a:schemeClr val="accent1">
                      <a:tint val="44500"/>
                      <a:satMod val="160000"/>
                    </a:schemeClr>
                  </a:gs>
                  <a:gs pos="100000">
                    <a:schemeClr val="accent1">
                      <a:tint val="23500"/>
                      <a:satMod val="160000"/>
                    </a:schemeClr>
                  </a:gs>
                </a:gsLst>
                <a:lin ang="5400000" scaled="0"/>
              </a:gradFill>
            </a:ln>
          </c:spPr>
        </c:minorGridlines>
        <c:title>
          <c:tx>
            <c:rich>
              <a:bodyPr/>
              <a:lstStyle/>
              <a:p>
                <a:pPr>
                  <a:defRPr/>
                </a:pPr>
                <a:r>
                  <a:rPr lang="fr-FR"/>
                  <a:t>jour</a:t>
                </a:r>
              </a:p>
            </c:rich>
          </c:tx>
          <c:overlay val="0"/>
        </c:title>
        <c:majorTickMark val="none"/>
        <c:minorTickMark val="none"/>
        <c:tickLblPos val="nextTo"/>
        <c:crossAx val="-193581536"/>
        <c:crosses val="autoZero"/>
        <c:crossBetween val="midCat"/>
      </c:valAx>
      <c:valAx>
        <c:axId val="-193581536"/>
        <c:scaling>
          <c:orientation val="minMax"/>
        </c:scaling>
        <c:delete val="0"/>
        <c:axPos val="l"/>
        <c:majorGridlines/>
        <c:title>
          <c:tx>
            <c:rich>
              <a:bodyPr/>
              <a:lstStyle/>
              <a:p>
                <a:pPr>
                  <a:defRPr/>
                </a:pPr>
                <a:r>
                  <a:rPr lang="en-US"/>
                  <a:t>étendu</a:t>
                </a:r>
              </a:p>
            </c:rich>
          </c:tx>
          <c:overlay val="0"/>
        </c:title>
        <c:numFmt formatCode="General" sourceLinked="1"/>
        <c:majorTickMark val="none"/>
        <c:minorTickMark val="none"/>
        <c:tickLblPos val="nextTo"/>
        <c:crossAx val="-193582080"/>
        <c:crosses val="autoZero"/>
        <c:crossBetween val="midCat"/>
      </c:valAx>
    </c:plotArea>
    <c:plotVisOnly val="1"/>
    <c:dispBlanksAs val="gap"/>
    <c:showDLblsOverMax val="0"/>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0" i="0" u="none" strike="noStrike" kern="1200" spc="0" normalizeH="0" baseline="0">
                <a:solidFill>
                  <a:schemeClr val="tx1">
                    <a:lumMod val="65000"/>
                    <a:lumOff val="35000"/>
                  </a:schemeClr>
                </a:solidFill>
                <a:latin typeface="+mj-lt"/>
                <a:ea typeface="+mj-ea"/>
                <a:cs typeface="+mj-cs"/>
              </a:defRPr>
            </a:pPr>
            <a:r>
              <a:rPr lang="en-US"/>
              <a:t>EWMA moyenne</a:t>
            </a:r>
          </a:p>
        </c:rich>
      </c:tx>
      <c:overlay val="0"/>
      <c:spPr>
        <a:noFill/>
        <a:ln>
          <a:noFill/>
        </a:ln>
        <a:effectLst/>
      </c:spPr>
      <c:txPr>
        <a:bodyPr rot="0" spcFirstLastPara="1" vertOverflow="ellipsis" vert="horz" wrap="square" anchor="ctr" anchorCtr="1"/>
        <a:lstStyle/>
        <a:p>
          <a:pPr>
            <a:defRPr sz="2000" b="0" i="0" u="none" strike="noStrike" kern="1200" spc="0" normalizeH="0" baseline="0">
              <a:solidFill>
                <a:schemeClr val="tx1">
                  <a:lumMod val="65000"/>
                  <a:lumOff val="35000"/>
                </a:schemeClr>
              </a:solidFill>
              <a:latin typeface="+mj-lt"/>
              <a:ea typeface="+mj-ea"/>
              <a:cs typeface="+mj-cs"/>
            </a:defRPr>
          </a:pPr>
          <a:endParaRPr lang="fr-FR"/>
        </a:p>
      </c:txPr>
    </c:title>
    <c:autoTitleDeleted val="0"/>
    <c:plotArea>
      <c:layout/>
      <c:scatterChart>
        <c:scatterStyle val="lineMarker"/>
        <c:varyColors val="0"/>
        <c:ser>
          <c:idx val="0"/>
          <c:order val="0"/>
          <c:spPr>
            <a:ln w="25400" cap="flat" cmpd="dbl" algn="ctr">
              <a:solidFill>
                <a:srgbClr val="FF0000">
                  <a:alpha val="50000"/>
                </a:srgbClr>
              </a:solidFill>
              <a:round/>
            </a:ln>
            <a:effectLst/>
          </c:spPr>
          <c:marker>
            <c:symbol val="none"/>
          </c:marker>
          <c:xVal>
            <c:numRef>
              <c:f>EWMA!$C$32:$C$61</c:f>
              <c:numCache>
                <c:formatCode>General</c:formatCode>
                <c:ptCount val="3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numCache>
            </c:numRef>
          </c:xVal>
          <c:yVal>
            <c:numRef>
              <c:f>EWMA!$K$32:$K$61</c:f>
              <c:numCache>
                <c:formatCode>0.00</c:formatCode>
                <c:ptCount val="30"/>
                <c:pt idx="0">
                  <c:v>3.0050748156161551</c:v>
                </c:pt>
                <c:pt idx="1">
                  <c:v>3.0050748156161551</c:v>
                </c:pt>
                <c:pt idx="2">
                  <c:v>3.0050748156161551</c:v>
                </c:pt>
                <c:pt idx="3">
                  <c:v>3.0050748156161551</c:v>
                </c:pt>
                <c:pt idx="4">
                  <c:v>3.0050748156161551</c:v>
                </c:pt>
                <c:pt idx="5">
                  <c:v>3.0050748156161551</c:v>
                </c:pt>
                <c:pt idx="6">
                  <c:v>3.0050748156161551</c:v>
                </c:pt>
                <c:pt idx="7">
                  <c:v>3.0050748156161551</c:v>
                </c:pt>
                <c:pt idx="8">
                  <c:v>3.0050748156161551</c:v>
                </c:pt>
                <c:pt idx="9">
                  <c:v>3.0050748156161551</c:v>
                </c:pt>
                <c:pt idx="10">
                  <c:v>3.0050748156161551</c:v>
                </c:pt>
                <c:pt idx="11">
                  <c:v>3.0050748156161551</c:v>
                </c:pt>
                <c:pt idx="12">
                  <c:v>3.0050748156161551</c:v>
                </c:pt>
                <c:pt idx="13">
                  <c:v>3.0050748156161551</c:v>
                </c:pt>
                <c:pt idx="14">
                  <c:v>3.0050748156161551</c:v>
                </c:pt>
                <c:pt idx="15">
                  <c:v>3.0050748156161551</c:v>
                </c:pt>
                <c:pt idx="16">
                  <c:v>3.0050748156161551</c:v>
                </c:pt>
                <c:pt idx="17">
                  <c:v>3.0050748156161551</c:v>
                </c:pt>
                <c:pt idx="18">
                  <c:v>3.0050748156161551</c:v>
                </c:pt>
                <c:pt idx="19">
                  <c:v>3.0050748156161551</c:v>
                </c:pt>
                <c:pt idx="20">
                  <c:v>3.0050748156161551</c:v>
                </c:pt>
                <c:pt idx="21">
                  <c:v>3.0050748156161551</c:v>
                </c:pt>
                <c:pt idx="22">
                  <c:v>3.0050748156161551</c:v>
                </c:pt>
                <c:pt idx="23">
                  <c:v>3.0050748156161551</c:v>
                </c:pt>
                <c:pt idx="24">
                  <c:v>3.0050748156161551</c:v>
                </c:pt>
                <c:pt idx="25">
                  <c:v>3.0050748156161551</c:v>
                </c:pt>
                <c:pt idx="26">
                  <c:v>3.0050748156161551</c:v>
                </c:pt>
                <c:pt idx="27">
                  <c:v>3.0050748156161551</c:v>
                </c:pt>
                <c:pt idx="28">
                  <c:v>3.0050748156161551</c:v>
                </c:pt>
                <c:pt idx="29">
                  <c:v>3.0050748156161551</c:v>
                </c:pt>
              </c:numCache>
            </c:numRef>
          </c:yVal>
          <c:smooth val="0"/>
          <c:extLst>
            <c:ext xmlns:c16="http://schemas.microsoft.com/office/drawing/2014/chart" uri="{C3380CC4-5D6E-409C-BE32-E72D297353CC}">
              <c16:uniqueId val="{00000000-3840-4C48-920C-23F6B96110C6}"/>
            </c:ext>
          </c:extLst>
        </c:ser>
        <c:ser>
          <c:idx val="1"/>
          <c:order val="1"/>
          <c:spPr>
            <a:ln w="25400" cap="flat" cmpd="dbl" algn="ctr">
              <a:solidFill>
                <a:srgbClr val="FF0000">
                  <a:alpha val="50000"/>
                </a:srgbClr>
              </a:solidFill>
              <a:round/>
            </a:ln>
            <a:effectLst/>
          </c:spPr>
          <c:marker>
            <c:symbol val="none"/>
          </c:marker>
          <c:xVal>
            <c:numRef>
              <c:f>EWMA!$C$32:$C$61</c:f>
              <c:numCache>
                <c:formatCode>General</c:formatCode>
                <c:ptCount val="3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numCache>
            </c:numRef>
          </c:xVal>
          <c:yVal>
            <c:numRef>
              <c:f>EWMA!$L$32:$L$61</c:f>
              <c:numCache>
                <c:formatCode>0.00</c:formatCode>
                <c:ptCount val="30"/>
                <c:pt idx="0">
                  <c:v>2.5949251843838446</c:v>
                </c:pt>
                <c:pt idx="1">
                  <c:v>2.5949251843838446</c:v>
                </c:pt>
                <c:pt idx="2">
                  <c:v>2.5949251843838446</c:v>
                </c:pt>
                <c:pt idx="3">
                  <c:v>2.5949251843838446</c:v>
                </c:pt>
                <c:pt idx="4">
                  <c:v>2.5949251843838446</c:v>
                </c:pt>
                <c:pt idx="5">
                  <c:v>2.5949251843838446</c:v>
                </c:pt>
                <c:pt idx="6">
                  <c:v>2.5949251843838446</c:v>
                </c:pt>
                <c:pt idx="7">
                  <c:v>2.5949251843838446</c:v>
                </c:pt>
                <c:pt idx="8">
                  <c:v>2.5949251843838446</c:v>
                </c:pt>
                <c:pt idx="9">
                  <c:v>2.5949251843838446</c:v>
                </c:pt>
                <c:pt idx="10">
                  <c:v>2.5949251843838446</c:v>
                </c:pt>
                <c:pt idx="11">
                  <c:v>2.5949251843838446</c:v>
                </c:pt>
                <c:pt idx="12">
                  <c:v>2.5949251843838446</c:v>
                </c:pt>
                <c:pt idx="13">
                  <c:v>2.5949251843838446</c:v>
                </c:pt>
                <c:pt idx="14">
                  <c:v>2.5949251843838446</c:v>
                </c:pt>
                <c:pt idx="15">
                  <c:v>2.5949251843838446</c:v>
                </c:pt>
                <c:pt idx="16">
                  <c:v>2.5949251843838446</c:v>
                </c:pt>
                <c:pt idx="17">
                  <c:v>2.5949251843838446</c:v>
                </c:pt>
                <c:pt idx="18">
                  <c:v>2.5949251843838446</c:v>
                </c:pt>
                <c:pt idx="19">
                  <c:v>2.5949251843838446</c:v>
                </c:pt>
                <c:pt idx="20">
                  <c:v>2.5949251843838446</c:v>
                </c:pt>
                <c:pt idx="21">
                  <c:v>2.5949251843838446</c:v>
                </c:pt>
                <c:pt idx="22">
                  <c:v>2.5949251843838446</c:v>
                </c:pt>
                <c:pt idx="23">
                  <c:v>2.5949251843838446</c:v>
                </c:pt>
                <c:pt idx="24">
                  <c:v>2.5949251843838446</c:v>
                </c:pt>
                <c:pt idx="25">
                  <c:v>2.5949251843838446</c:v>
                </c:pt>
                <c:pt idx="26">
                  <c:v>2.5949251843838446</c:v>
                </c:pt>
                <c:pt idx="27">
                  <c:v>2.5949251843838446</c:v>
                </c:pt>
                <c:pt idx="28">
                  <c:v>2.5949251843838446</c:v>
                </c:pt>
                <c:pt idx="29">
                  <c:v>2.5949251843838446</c:v>
                </c:pt>
              </c:numCache>
            </c:numRef>
          </c:yVal>
          <c:smooth val="0"/>
          <c:extLst>
            <c:ext xmlns:c16="http://schemas.microsoft.com/office/drawing/2014/chart" uri="{C3380CC4-5D6E-409C-BE32-E72D297353CC}">
              <c16:uniqueId val="{00000001-3840-4C48-920C-23F6B96110C6}"/>
            </c:ext>
          </c:extLst>
        </c:ser>
        <c:ser>
          <c:idx val="2"/>
          <c:order val="2"/>
          <c:spPr>
            <a:ln w="25400" cap="flat" cmpd="dbl" algn="ctr">
              <a:solidFill>
                <a:schemeClr val="tx1">
                  <a:alpha val="50000"/>
                </a:schemeClr>
              </a:solidFill>
              <a:round/>
            </a:ln>
            <a:effectLst/>
          </c:spPr>
          <c:marker>
            <c:symbol val="none"/>
          </c:marker>
          <c:xVal>
            <c:numRef>
              <c:f>EWMA!$C$32:$C$61</c:f>
              <c:numCache>
                <c:formatCode>General</c:formatCode>
                <c:ptCount val="3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numCache>
            </c:numRef>
          </c:xVal>
          <c:yVal>
            <c:numRef>
              <c:f>EWMA!$M$32:$M$61</c:f>
              <c:numCache>
                <c:formatCode>0.00</c:formatCode>
                <c:ptCount val="30"/>
                <c:pt idx="0">
                  <c:v>2.8</c:v>
                </c:pt>
                <c:pt idx="1">
                  <c:v>2.8</c:v>
                </c:pt>
                <c:pt idx="2">
                  <c:v>2.8</c:v>
                </c:pt>
                <c:pt idx="3">
                  <c:v>2.8</c:v>
                </c:pt>
                <c:pt idx="4">
                  <c:v>2.8</c:v>
                </c:pt>
                <c:pt idx="5">
                  <c:v>2.8</c:v>
                </c:pt>
                <c:pt idx="6">
                  <c:v>2.8</c:v>
                </c:pt>
                <c:pt idx="7">
                  <c:v>2.8</c:v>
                </c:pt>
                <c:pt idx="8">
                  <c:v>2.8</c:v>
                </c:pt>
                <c:pt idx="9">
                  <c:v>2.8</c:v>
                </c:pt>
                <c:pt idx="10">
                  <c:v>2.8</c:v>
                </c:pt>
                <c:pt idx="11">
                  <c:v>2.8</c:v>
                </c:pt>
                <c:pt idx="12">
                  <c:v>2.8</c:v>
                </c:pt>
                <c:pt idx="13">
                  <c:v>2.8</c:v>
                </c:pt>
                <c:pt idx="14">
                  <c:v>2.8</c:v>
                </c:pt>
                <c:pt idx="15">
                  <c:v>2.8</c:v>
                </c:pt>
                <c:pt idx="16">
                  <c:v>2.8</c:v>
                </c:pt>
                <c:pt idx="17">
                  <c:v>2.8</c:v>
                </c:pt>
                <c:pt idx="18">
                  <c:v>2.8</c:v>
                </c:pt>
                <c:pt idx="19">
                  <c:v>2.8</c:v>
                </c:pt>
                <c:pt idx="20">
                  <c:v>2.8</c:v>
                </c:pt>
                <c:pt idx="21">
                  <c:v>2.8</c:v>
                </c:pt>
                <c:pt idx="22">
                  <c:v>2.8</c:v>
                </c:pt>
                <c:pt idx="23">
                  <c:v>2.8</c:v>
                </c:pt>
                <c:pt idx="24">
                  <c:v>2.8</c:v>
                </c:pt>
                <c:pt idx="25">
                  <c:v>2.8</c:v>
                </c:pt>
                <c:pt idx="26">
                  <c:v>2.8</c:v>
                </c:pt>
                <c:pt idx="27">
                  <c:v>2.8</c:v>
                </c:pt>
                <c:pt idx="28">
                  <c:v>2.8</c:v>
                </c:pt>
                <c:pt idx="29">
                  <c:v>2.8</c:v>
                </c:pt>
              </c:numCache>
            </c:numRef>
          </c:yVal>
          <c:smooth val="0"/>
          <c:extLst>
            <c:ext xmlns:c16="http://schemas.microsoft.com/office/drawing/2014/chart" uri="{C3380CC4-5D6E-409C-BE32-E72D297353CC}">
              <c16:uniqueId val="{00000002-3840-4C48-920C-23F6B96110C6}"/>
            </c:ext>
          </c:extLst>
        </c:ser>
        <c:ser>
          <c:idx val="3"/>
          <c:order val="3"/>
          <c:spPr>
            <a:ln w="25400" cap="flat" cmpd="dbl" algn="ctr">
              <a:solidFill>
                <a:srgbClr val="7030A0"/>
              </a:solidFill>
              <a:round/>
            </a:ln>
            <a:effectLst/>
          </c:spPr>
          <c:marker>
            <c:symbol val="none"/>
          </c:marker>
          <c:xVal>
            <c:numRef>
              <c:f>EWMA!$C$32:$C$61</c:f>
              <c:numCache>
                <c:formatCode>General</c:formatCode>
                <c:ptCount val="3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numCache>
            </c:numRef>
          </c:xVal>
          <c:yVal>
            <c:numRef>
              <c:f>EWMA!$J$32:$J$61</c:f>
              <c:numCache>
                <c:formatCode>0.00</c:formatCode>
                <c:ptCount val="30"/>
                <c:pt idx="0">
                  <c:v>2.8034371549559491</c:v>
                </c:pt>
                <c:pt idx="1">
                  <c:v>2.7892259002552291</c:v>
                </c:pt>
                <c:pt idx="2">
                  <c:v>2.7752096430107343</c:v>
                </c:pt>
                <c:pt idx="3">
                  <c:v>2.7570655929901338</c:v>
                </c:pt>
                <c:pt idx="4">
                  <c:v>2.7580612965194531</c:v>
                </c:pt>
                <c:pt idx="5">
                  <c:v>2.7979260266688648</c:v>
                </c:pt>
                <c:pt idx="6">
                  <c:v>2.7623134464005776</c:v>
                </c:pt>
                <c:pt idx="7">
                  <c:v>2.767580354439946</c:v>
                </c:pt>
                <c:pt idx="8">
                  <c:v>2.7590732716510868</c:v>
                </c:pt>
                <c:pt idx="9">
                  <c:v>2.7859066926728504</c:v>
                </c:pt>
                <c:pt idx="10">
                  <c:v>2.7869472481267614</c:v>
                </c:pt>
                <c:pt idx="11">
                  <c:v>2.8019771473788007</c:v>
                </c:pt>
                <c:pt idx="12">
                  <c:v>2.7821976931579275</c:v>
                </c:pt>
                <c:pt idx="13">
                  <c:v>2.7773634298090188</c:v>
                </c:pt>
                <c:pt idx="14">
                  <c:v>2.7355268879624708</c:v>
                </c:pt>
                <c:pt idx="15">
                  <c:v>2.7631834099600168</c:v>
                </c:pt>
                <c:pt idx="16">
                  <c:v>2.7957673252244817</c:v>
                </c:pt>
                <c:pt idx="17">
                  <c:v>2.8505103866639132</c:v>
                </c:pt>
                <c:pt idx="18">
                  <c:v>2.8532647703153802</c:v>
                </c:pt>
                <c:pt idx="19">
                  <c:v>2.8390923293343153</c:v>
                </c:pt>
                <c:pt idx="20">
                  <c:v>2.8313612219865387</c:v>
                </c:pt>
                <c:pt idx="21">
                  <c:v>2.8060444129053264</c:v>
                </c:pt>
                <c:pt idx="22">
                  <c:v>2.797109129285714</c:v>
                </c:pt>
                <c:pt idx="23">
                  <c:v>2.786193857542818</c:v>
                </c:pt>
                <c:pt idx="24">
                  <c:v>2.793973485804079</c:v>
                </c:pt>
                <c:pt idx="25">
                  <c:v>2.771289312849488</c:v>
                </c:pt>
                <c:pt idx="26">
                  <c:v>2.7601697577881938</c:v>
                </c:pt>
                <c:pt idx="27">
                  <c:v>2.7743476413688448</c:v>
                </c:pt>
                <c:pt idx="28">
                  <c:v>2.8098480763964115</c:v>
                </c:pt>
                <c:pt idx="29">
                  <c:v>2.8185704179661251</c:v>
                </c:pt>
              </c:numCache>
            </c:numRef>
          </c:yVal>
          <c:smooth val="0"/>
          <c:extLst>
            <c:ext xmlns:c16="http://schemas.microsoft.com/office/drawing/2014/chart" uri="{C3380CC4-5D6E-409C-BE32-E72D297353CC}">
              <c16:uniqueId val="{00000003-3840-4C48-920C-23F6B96110C6}"/>
            </c:ext>
          </c:extLst>
        </c:ser>
        <c:dLbls>
          <c:showLegendKey val="0"/>
          <c:showVal val="0"/>
          <c:showCatName val="0"/>
          <c:showSerName val="0"/>
          <c:showPercent val="0"/>
          <c:showBubbleSize val="0"/>
        </c:dLbls>
        <c:axId val="-192385648"/>
        <c:axId val="-192390000"/>
      </c:scatterChart>
      <c:valAx>
        <c:axId val="-192385648"/>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echantillon</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fr-FR"/>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92390000"/>
        <c:crosses val="autoZero"/>
        <c:crossBetween val="midCat"/>
      </c:valAx>
      <c:valAx>
        <c:axId val="-192390000"/>
        <c:scaling>
          <c:orientation val="minMax"/>
          <c:min val="2.2999999999999998"/>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zi</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fr-FR"/>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92385648"/>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0" i="0" u="none" strike="noStrike" kern="1200" spc="0" normalizeH="0" baseline="0">
                <a:solidFill>
                  <a:schemeClr val="tx1">
                    <a:lumMod val="65000"/>
                    <a:lumOff val="35000"/>
                  </a:schemeClr>
                </a:solidFill>
                <a:latin typeface="+mj-lt"/>
                <a:ea typeface="+mj-ea"/>
                <a:cs typeface="+mj-cs"/>
              </a:defRPr>
            </a:pPr>
            <a:r>
              <a:rPr lang="en-US"/>
              <a:t>CUSUM</a:t>
            </a:r>
          </a:p>
        </c:rich>
      </c:tx>
      <c:overlay val="0"/>
      <c:spPr>
        <a:noFill/>
        <a:ln>
          <a:noFill/>
        </a:ln>
        <a:effectLst/>
      </c:spPr>
      <c:txPr>
        <a:bodyPr rot="0" spcFirstLastPara="1" vertOverflow="ellipsis" vert="horz" wrap="square" anchor="ctr" anchorCtr="1"/>
        <a:lstStyle/>
        <a:p>
          <a:pPr>
            <a:defRPr sz="2000" b="0" i="0" u="none" strike="noStrike" kern="1200" spc="0" normalizeH="0" baseline="0">
              <a:solidFill>
                <a:schemeClr val="tx1">
                  <a:lumMod val="65000"/>
                  <a:lumOff val="35000"/>
                </a:schemeClr>
              </a:solidFill>
              <a:latin typeface="+mj-lt"/>
              <a:ea typeface="+mj-ea"/>
              <a:cs typeface="+mj-cs"/>
            </a:defRPr>
          </a:pPr>
          <a:endParaRPr lang="fr-FR"/>
        </a:p>
      </c:txPr>
    </c:title>
    <c:autoTitleDeleted val="0"/>
    <c:plotArea>
      <c:layout/>
      <c:scatterChart>
        <c:scatterStyle val="lineMarker"/>
        <c:varyColors val="0"/>
        <c:ser>
          <c:idx val="0"/>
          <c:order val="0"/>
          <c:spPr>
            <a:ln w="25400" cap="flat" cmpd="dbl" algn="ctr">
              <a:solidFill>
                <a:schemeClr val="accent1">
                  <a:alpha val="50000"/>
                </a:schemeClr>
              </a:solidFill>
              <a:round/>
            </a:ln>
            <a:effectLst/>
          </c:spPr>
          <c:marker>
            <c:symbol val="none"/>
          </c:marker>
          <c:xVal>
            <c:numRef>
              <c:f>Cusum!$B$34:$B$63</c:f>
              <c:numCache>
                <c:formatCode>General</c:formatCode>
                <c:ptCount val="3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numCache>
            </c:numRef>
          </c:xVal>
          <c:yVal>
            <c:numRef>
              <c:f>Cusum!$I$34:$I$63</c:f>
              <c:numCache>
                <c:formatCode>0.00</c:formatCode>
                <c:ptCount val="30"/>
                <c:pt idx="0">
                  <c:v>0</c:v>
                </c:pt>
                <c:pt idx="1">
                  <c:v>0</c:v>
                </c:pt>
                <c:pt idx="2">
                  <c:v>0.19781663445241549</c:v>
                </c:pt>
                <c:pt idx="3">
                  <c:v>0</c:v>
                </c:pt>
                <c:pt idx="4">
                  <c:v>7.1546888690721566E-2</c:v>
                </c:pt>
                <c:pt idx="5">
                  <c:v>0</c:v>
                </c:pt>
                <c:pt idx="6">
                  <c:v>0</c:v>
                </c:pt>
                <c:pt idx="7">
                  <c:v>0</c:v>
                </c:pt>
                <c:pt idx="8">
                  <c:v>0</c:v>
                </c:pt>
                <c:pt idx="9">
                  <c:v>0</c:v>
                </c:pt>
                <c:pt idx="10">
                  <c:v>0</c:v>
                </c:pt>
                <c:pt idx="11">
                  <c:v>0</c:v>
                </c:pt>
                <c:pt idx="12">
                  <c:v>0</c:v>
                </c:pt>
                <c:pt idx="13">
                  <c:v>5.9870751509302433E-2</c:v>
                </c:pt>
                <c:pt idx="14">
                  <c:v>0</c:v>
                </c:pt>
                <c:pt idx="15">
                  <c:v>0.10456735493735891</c:v>
                </c:pt>
                <c:pt idx="16">
                  <c:v>0</c:v>
                </c:pt>
                <c:pt idx="17">
                  <c:v>0</c:v>
                </c:pt>
                <c:pt idx="18">
                  <c:v>0</c:v>
                </c:pt>
                <c:pt idx="19">
                  <c:v>0</c:v>
                </c:pt>
                <c:pt idx="20">
                  <c:v>0</c:v>
                </c:pt>
                <c:pt idx="21">
                  <c:v>0</c:v>
                </c:pt>
                <c:pt idx="22">
                  <c:v>0</c:v>
                </c:pt>
                <c:pt idx="23">
                  <c:v>0</c:v>
                </c:pt>
                <c:pt idx="24">
                  <c:v>0</c:v>
                </c:pt>
                <c:pt idx="25">
                  <c:v>0.21780619645717891</c:v>
                </c:pt>
                <c:pt idx="26">
                  <c:v>0</c:v>
                </c:pt>
                <c:pt idx="27">
                  <c:v>0</c:v>
                </c:pt>
                <c:pt idx="28">
                  <c:v>0.21821992784897315</c:v>
                </c:pt>
                <c:pt idx="29">
                  <c:v>1.4326375585625772E-2</c:v>
                </c:pt>
              </c:numCache>
            </c:numRef>
          </c:yVal>
          <c:smooth val="0"/>
          <c:extLst>
            <c:ext xmlns:c16="http://schemas.microsoft.com/office/drawing/2014/chart" uri="{C3380CC4-5D6E-409C-BE32-E72D297353CC}">
              <c16:uniqueId val="{00000000-9005-43FB-9617-F9F2F8DF4664}"/>
            </c:ext>
          </c:extLst>
        </c:ser>
        <c:ser>
          <c:idx val="1"/>
          <c:order val="1"/>
          <c:spPr>
            <a:ln w="25400" cap="flat" cmpd="dbl" algn="ctr">
              <a:solidFill>
                <a:srgbClr val="FF0000">
                  <a:alpha val="50000"/>
                </a:srgbClr>
              </a:solidFill>
              <a:round/>
            </a:ln>
            <a:effectLst/>
          </c:spPr>
          <c:marker>
            <c:symbol val="none"/>
          </c:marker>
          <c:xVal>
            <c:numRef>
              <c:f>Cusum!$B$34:$B$64</c:f>
              <c:numCache>
                <c:formatCode>General</c:formatCod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numCache>
            </c:numRef>
          </c:xVal>
          <c:yVal>
            <c:numRef>
              <c:f>Cusum!$L$34:$L$64</c:f>
              <c:numCache>
                <c:formatCode>0.00</c:formatCode>
                <c:ptCount val="31"/>
                <c:pt idx="0">
                  <c:v>-0.13856406460551018</c:v>
                </c:pt>
                <c:pt idx="1">
                  <c:v>-0.13856406460551018</c:v>
                </c:pt>
                <c:pt idx="2">
                  <c:v>-0.13856406460551018</c:v>
                </c:pt>
                <c:pt idx="3">
                  <c:v>-0.13856406460551018</c:v>
                </c:pt>
                <c:pt idx="4">
                  <c:v>-0.13856406460551018</c:v>
                </c:pt>
                <c:pt idx="5">
                  <c:v>-0.13856406460551018</c:v>
                </c:pt>
                <c:pt idx="6">
                  <c:v>-0.13856406460551018</c:v>
                </c:pt>
                <c:pt idx="7">
                  <c:v>-0.13856406460551018</c:v>
                </c:pt>
                <c:pt idx="8">
                  <c:v>-0.13856406460551018</c:v>
                </c:pt>
                <c:pt idx="9">
                  <c:v>-0.13856406460551018</c:v>
                </c:pt>
                <c:pt idx="10">
                  <c:v>-0.13856406460551018</c:v>
                </c:pt>
                <c:pt idx="11">
                  <c:v>-0.13856406460551018</c:v>
                </c:pt>
                <c:pt idx="12">
                  <c:v>-0.13856406460551018</c:v>
                </c:pt>
                <c:pt idx="13">
                  <c:v>-0.13856406460551018</c:v>
                </c:pt>
                <c:pt idx="14">
                  <c:v>-0.13856406460551018</c:v>
                </c:pt>
                <c:pt idx="15">
                  <c:v>-0.13856406460551018</c:v>
                </c:pt>
                <c:pt idx="16">
                  <c:v>-0.13856406460551018</c:v>
                </c:pt>
                <c:pt idx="17">
                  <c:v>-0.13856406460551018</c:v>
                </c:pt>
                <c:pt idx="18">
                  <c:v>-0.13856406460551018</c:v>
                </c:pt>
                <c:pt idx="19">
                  <c:v>-0.13856406460551018</c:v>
                </c:pt>
                <c:pt idx="20">
                  <c:v>-0.13856406460551018</c:v>
                </c:pt>
                <c:pt idx="21">
                  <c:v>-0.13856406460551018</c:v>
                </c:pt>
                <c:pt idx="22">
                  <c:v>-0.13856406460551018</c:v>
                </c:pt>
                <c:pt idx="23">
                  <c:v>-0.13856406460551018</c:v>
                </c:pt>
                <c:pt idx="24">
                  <c:v>-0.13856406460551018</c:v>
                </c:pt>
                <c:pt idx="25">
                  <c:v>-0.13856406460551018</c:v>
                </c:pt>
                <c:pt idx="26">
                  <c:v>-0.13856406460551018</c:v>
                </c:pt>
                <c:pt idx="27">
                  <c:v>-0.13856406460551018</c:v>
                </c:pt>
                <c:pt idx="28">
                  <c:v>-0.13856406460551018</c:v>
                </c:pt>
                <c:pt idx="29">
                  <c:v>-0.13856406460551018</c:v>
                </c:pt>
                <c:pt idx="30">
                  <c:v>-0.13856406460551018</c:v>
                </c:pt>
              </c:numCache>
            </c:numRef>
          </c:yVal>
          <c:smooth val="0"/>
          <c:extLst>
            <c:ext xmlns:c16="http://schemas.microsoft.com/office/drawing/2014/chart" uri="{C3380CC4-5D6E-409C-BE32-E72D297353CC}">
              <c16:uniqueId val="{00000001-9005-43FB-9617-F9F2F8DF4664}"/>
            </c:ext>
          </c:extLst>
        </c:ser>
        <c:ser>
          <c:idx val="2"/>
          <c:order val="2"/>
          <c:spPr>
            <a:ln w="25400" cap="flat" cmpd="dbl" algn="ctr">
              <a:solidFill>
                <a:srgbClr val="FF0000">
                  <a:alpha val="50000"/>
                </a:srgbClr>
              </a:solidFill>
              <a:round/>
            </a:ln>
            <a:effectLst/>
          </c:spPr>
          <c:marker>
            <c:symbol val="none"/>
          </c:marker>
          <c:xVal>
            <c:numRef>
              <c:f>Cusum!$B$34:$B$64</c:f>
              <c:numCache>
                <c:formatCode>General</c:formatCod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numCache>
            </c:numRef>
          </c:xVal>
          <c:yVal>
            <c:numRef>
              <c:f>Cusum!$K$34:$K$64</c:f>
              <c:numCache>
                <c:formatCode>0.00</c:formatCode>
                <c:ptCount val="31"/>
                <c:pt idx="0">
                  <c:v>0.13856406460551018</c:v>
                </c:pt>
                <c:pt idx="1">
                  <c:v>0.13856406460551018</c:v>
                </c:pt>
                <c:pt idx="2">
                  <c:v>0.13856406460551018</c:v>
                </c:pt>
                <c:pt idx="3">
                  <c:v>0.13856406460551018</c:v>
                </c:pt>
                <c:pt idx="4">
                  <c:v>0.13856406460551018</c:v>
                </c:pt>
                <c:pt idx="5">
                  <c:v>0.13856406460551018</c:v>
                </c:pt>
                <c:pt idx="6">
                  <c:v>0.13856406460551018</c:v>
                </c:pt>
                <c:pt idx="7">
                  <c:v>0.13856406460551018</c:v>
                </c:pt>
                <c:pt idx="8">
                  <c:v>0.13856406460551018</c:v>
                </c:pt>
                <c:pt idx="9">
                  <c:v>0.13856406460551018</c:v>
                </c:pt>
                <c:pt idx="10">
                  <c:v>0.13856406460551018</c:v>
                </c:pt>
                <c:pt idx="11">
                  <c:v>0.13856406460551018</c:v>
                </c:pt>
                <c:pt idx="12">
                  <c:v>0.13856406460551018</c:v>
                </c:pt>
                <c:pt idx="13">
                  <c:v>0.13856406460551018</c:v>
                </c:pt>
                <c:pt idx="14">
                  <c:v>0.13856406460551018</c:v>
                </c:pt>
                <c:pt idx="15">
                  <c:v>0.13856406460551018</c:v>
                </c:pt>
                <c:pt idx="16">
                  <c:v>0.13856406460551018</c:v>
                </c:pt>
                <c:pt idx="17">
                  <c:v>0.13856406460551018</c:v>
                </c:pt>
                <c:pt idx="18">
                  <c:v>0.13856406460551018</c:v>
                </c:pt>
                <c:pt idx="19">
                  <c:v>0.13856406460551018</c:v>
                </c:pt>
                <c:pt idx="20">
                  <c:v>0.13856406460551018</c:v>
                </c:pt>
                <c:pt idx="21">
                  <c:v>0.13856406460551018</c:v>
                </c:pt>
                <c:pt idx="22">
                  <c:v>0.13856406460551018</c:v>
                </c:pt>
                <c:pt idx="23">
                  <c:v>0.13856406460551018</c:v>
                </c:pt>
                <c:pt idx="24">
                  <c:v>0.13856406460551018</c:v>
                </c:pt>
                <c:pt idx="25">
                  <c:v>0.13856406460551018</c:v>
                </c:pt>
                <c:pt idx="26">
                  <c:v>0.13856406460551018</c:v>
                </c:pt>
                <c:pt idx="27">
                  <c:v>0.13856406460551018</c:v>
                </c:pt>
                <c:pt idx="28">
                  <c:v>0.13856406460551018</c:v>
                </c:pt>
                <c:pt idx="29">
                  <c:v>0.13856406460551018</c:v>
                </c:pt>
                <c:pt idx="30">
                  <c:v>0.13856406460551018</c:v>
                </c:pt>
              </c:numCache>
            </c:numRef>
          </c:yVal>
          <c:smooth val="0"/>
          <c:extLst>
            <c:ext xmlns:c16="http://schemas.microsoft.com/office/drawing/2014/chart" uri="{C3380CC4-5D6E-409C-BE32-E72D297353CC}">
              <c16:uniqueId val="{00000002-9005-43FB-9617-F9F2F8DF4664}"/>
            </c:ext>
          </c:extLst>
        </c:ser>
        <c:ser>
          <c:idx val="3"/>
          <c:order val="3"/>
          <c:tx>
            <c:v>limite-</c:v>
          </c:tx>
          <c:spPr>
            <a:ln w="25400" cap="flat" cmpd="dbl" algn="ctr">
              <a:solidFill>
                <a:schemeClr val="accent4">
                  <a:alpha val="50000"/>
                </a:schemeClr>
              </a:solidFill>
              <a:round/>
            </a:ln>
            <a:effectLst/>
          </c:spPr>
          <c:marker>
            <c:symbol val="none"/>
          </c:marker>
          <c:xVal>
            <c:numRef>
              <c:f>Cusum!$B$34:$B$43</c:f>
              <c:numCache>
                <c:formatCode>General</c:formatCode>
                <c:ptCount val="10"/>
                <c:pt idx="0">
                  <c:v>1</c:v>
                </c:pt>
                <c:pt idx="1">
                  <c:v>2</c:v>
                </c:pt>
                <c:pt idx="2">
                  <c:v>3</c:v>
                </c:pt>
                <c:pt idx="3">
                  <c:v>4</c:v>
                </c:pt>
                <c:pt idx="4">
                  <c:v>5</c:v>
                </c:pt>
                <c:pt idx="5">
                  <c:v>6</c:v>
                </c:pt>
                <c:pt idx="6">
                  <c:v>7</c:v>
                </c:pt>
                <c:pt idx="7">
                  <c:v>8</c:v>
                </c:pt>
                <c:pt idx="8">
                  <c:v>9</c:v>
                </c:pt>
                <c:pt idx="9">
                  <c:v>10</c:v>
                </c:pt>
              </c:numCache>
            </c:numRef>
          </c:xVal>
          <c:yVal>
            <c:numRef>
              <c:f>Cusum!#REF!</c:f>
              <c:numCache>
                <c:formatCode>General</c:formatCode>
                <c:ptCount val="1"/>
                <c:pt idx="0">
                  <c:v>1</c:v>
                </c:pt>
              </c:numCache>
            </c:numRef>
          </c:yVal>
          <c:smooth val="0"/>
          <c:extLst>
            <c:ext xmlns:c16="http://schemas.microsoft.com/office/drawing/2014/chart" uri="{C3380CC4-5D6E-409C-BE32-E72D297353CC}">
              <c16:uniqueId val="{00000003-9005-43FB-9617-F9F2F8DF4664}"/>
            </c:ext>
          </c:extLst>
        </c:ser>
        <c:ser>
          <c:idx val="4"/>
          <c:order val="4"/>
          <c:spPr>
            <a:ln w="25400" cap="flat" cmpd="dbl" algn="ctr">
              <a:solidFill>
                <a:schemeClr val="accent5">
                  <a:alpha val="50000"/>
                </a:schemeClr>
              </a:solidFill>
              <a:round/>
            </a:ln>
            <a:effectLst/>
          </c:spPr>
          <c:marker>
            <c:symbol val="none"/>
          </c:marker>
          <c:xVal>
            <c:numRef>
              <c:f>Cusum!$B$34:$B$64</c:f>
              <c:numCache>
                <c:formatCode>General</c:formatCod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numCache>
            </c:numRef>
          </c:xVal>
          <c:yVal>
            <c:numRef>
              <c:f>Cusum!$J$34:$J$64</c:f>
              <c:numCache>
                <c:formatCode>0.00</c:formatCode>
                <c:ptCount val="31"/>
                <c:pt idx="0">
                  <c:v>0</c:v>
                </c:pt>
                <c:pt idx="1">
                  <c:v>-1.754723705290484E-2</c:v>
                </c:pt>
                <c:pt idx="2">
                  <c:v>0</c:v>
                </c:pt>
                <c:pt idx="3">
                  <c:v>0</c:v>
                </c:pt>
                <c:pt idx="4">
                  <c:v>0</c:v>
                </c:pt>
                <c:pt idx="5">
                  <c:v>0</c:v>
                </c:pt>
                <c:pt idx="6">
                  <c:v>0</c:v>
                </c:pt>
                <c:pt idx="7">
                  <c:v>-0.10057380003599103</c:v>
                </c:pt>
                <c:pt idx="8">
                  <c:v>-2.6507525671813692E-2</c:v>
                </c:pt>
                <c:pt idx="9">
                  <c:v>0</c:v>
                </c:pt>
                <c:pt idx="10">
                  <c:v>0</c:v>
                </c:pt>
                <c:pt idx="11">
                  <c:v>0</c:v>
                </c:pt>
                <c:pt idx="12">
                  <c:v>-0.15725074886424828</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-5.5809787122164334E-2</c:v>
                </c:pt>
              </c:numCache>
            </c:numRef>
          </c:yVal>
          <c:smooth val="0"/>
          <c:extLst>
            <c:ext xmlns:c16="http://schemas.microsoft.com/office/drawing/2014/chart" uri="{C3380CC4-5D6E-409C-BE32-E72D297353CC}">
              <c16:uniqueId val="{00000004-9005-43FB-9617-F9F2F8DF4664}"/>
            </c:ext>
          </c:extLst>
        </c:ser>
        <c:dLbls>
          <c:showLegendKey val="0"/>
          <c:showVal val="0"/>
          <c:showCatName val="0"/>
          <c:showSerName val="0"/>
          <c:showPercent val="0"/>
          <c:showBubbleSize val="0"/>
        </c:dLbls>
        <c:axId val="-193580448"/>
        <c:axId val="-192394896"/>
      </c:scatterChart>
      <c:valAx>
        <c:axId val="-193580448"/>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échantillon</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fr-FR"/>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92394896"/>
        <c:crosses val="autoZero"/>
        <c:crossBetween val="midCat"/>
      </c:valAx>
      <c:valAx>
        <c:axId val="-192394896"/>
        <c:scaling>
          <c:orientation val="minMax"/>
          <c:max val="1.2"/>
          <c:min val="-1.2"/>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fr-FR"/>
                  <a:t>décalage </a:t>
                </a:r>
                <a:r>
                  <a:rPr lang="el-GR"/>
                  <a:t>δ</a:t>
                </a:r>
                <a:endParaRPr lang="fr-F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fr-FR"/>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93580448"/>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a:solidFill>
                <a:srgbClr val="00B050"/>
              </a:solidFill>
            </a:ln>
          </c:spPr>
          <c:marker>
            <c:symbol val="none"/>
          </c:marker>
          <c:trendline>
            <c:trendlineType val="linear"/>
            <c:dispRSqr val="0"/>
            <c:dispEq val="0"/>
          </c:trendline>
          <c:xVal>
            <c:numRef>
              <c:f>'Carre de Youden'!$F$17:$G$17</c:f>
              <c:numCache>
                <c:formatCode>0.00</c:formatCode>
                <c:ptCount val="2"/>
                <c:pt idx="0">
                  <c:v>4.3678735773879822</c:v>
                </c:pt>
                <c:pt idx="1">
                  <c:v>4.3678735773879822</c:v>
                </c:pt>
              </c:numCache>
            </c:numRef>
          </c:xVal>
          <c:yVal>
            <c:numRef>
              <c:f>'Carre de Youden'!$F$18:$G$18</c:f>
              <c:numCache>
                <c:formatCode>0.00</c:formatCode>
                <c:ptCount val="2"/>
                <c:pt idx="0">
                  <c:v>20.561938900140809</c:v>
                </c:pt>
                <c:pt idx="1">
                  <c:v>19.438061099859191</c:v>
                </c:pt>
              </c:numCache>
            </c:numRef>
          </c:yVal>
          <c:smooth val="0"/>
          <c:extLst>
            <c:ext xmlns:c16="http://schemas.microsoft.com/office/drawing/2014/chart" uri="{C3380CC4-5D6E-409C-BE32-E72D297353CC}">
              <c16:uniqueId val="{00000001-4D59-49AE-88FF-7DDCA343BC2A}"/>
            </c:ext>
          </c:extLst>
        </c:ser>
        <c:ser>
          <c:idx val="1"/>
          <c:order val="1"/>
          <c:spPr>
            <a:ln>
              <a:solidFill>
                <a:srgbClr val="00B050"/>
              </a:solidFill>
            </a:ln>
          </c:spPr>
          <c:marker>
            <c:symbol val="none"/>
          </c:marker>
          <c:xVal>
            <c:numRef>
              <c:f>'Carre de Youden'!$F$19:$G$19</c:f>
              <c:numCache>
                <c:formatCode>0.00</c:formatCode>
                <c:ptCount val="2"/>
                <c:pt idx="0">
                  <c:v>5.6321264226120178</c:v>
                </c:pt>
                <c:pt idx="1">
                  <c:v>5.6321264226120178</c:v>
                </c:pt>
              </c:numCache>
            </c:numRef>
          </c:xVal>
          <c:yVal>
            <c:numRef>
              <c:f>'Carre de Youden'!$F$20:$G$20</c:f>
              <c:numCache>
                <c:formatCode>0.00</c:formatCode>
                <c:ptCount val="2"/>
                <c:pt idx="0">
                  <c:v>20.561938900140809</c:v>
                </c:pt>
                <c:pt idx="1">
                  <c:v>19.438061099859191</c:v>
                </c:pt>
              </c:numCache>
            </c:numRef>
          </c:yVal>
          <c:smooth val="0"/>
          <c:extLst>
            <c:ext xmlns:c16="http://schemas.microsoft.com/office/drawing/2014/chart" uri="{C3380CC4-5D6E-409C-BE32-E72D297353CC}">
              <c16:uniqueId val="{00000002-4D59-49AE-88FF-7DDCA343BC2A}"/>
            </c:ext>
          </c:extLst>
        </c:ser>
        <c:ser>
          <c:idx val="2"/>
          <c:order val="2"/>
          <c:spPr>
            <a:ln>
              <a:solidFill>
                <a:srgbClr val="FF0000"/>
              </a:solidFill>
            </a:ln>
          </c:spPr>
          <c:marker>
            <c:symbol val="none"/>
          </c:marker>
          <c:xVal>
            <c:numRef>
              <c:f>'Carre de Youden'!$H$17:$I$17</c:f>
              <c:numCache>
                <c:formatCode>0.00</c:formatCode>
                <c:ptCount val="2"/>
                <c:pt idx="0">
                  <c:v>3.7357471547759644</c:v>
                </c:pt>
                <c:pt idx="1">
                  <c:v>3.7357471547759644</c:v>
                </c:pt>
              </c:numCache>
            </c:numRef>
          </c:xVal>
          <c:yVal>
            <c:numRef>
              <c:f>'Carre de Youden'!$H$18:$I$18</c:f>
              <c:numCache>
                <c:formatCode>0.00</c:formatCode>
                <c:ptCount val="2"/>
                <c:pt idx="0">
                  <c:v>18.876122199718377</c:v>
                </c:pt>
                <c:pt idx="1">
                  <c:v>21.123877800281623</c:v>
                </c:pt>
              </c:numCache>
            </c:numRef>
          </c:yVal>
          <c:smooth val="0"/>
          <c:extLst>
            <c:ext xmlns:c16="http://schemas.microsoft.com/office/drawing/2014/chart" uri="{C3380CC4-5D6E-409C-BE32-E72D297353CC}">
              <c16:uniqueId val="{00000003-4D59-49AE-88FF-7DDCA343BC2A}"/>
            </c:ext>
          </c:extLst>
        </c:ser>
        <c:ser>
          <c:idx val="3"/>
          <c:order val="3"/>
          <c:spPr>
            <a:ln>
              <a:solidFill>
                <a:srgbClr val="FF0000"/>
              </a:solidFill>
            </a:ln>
          </c:spPr>
          <c:marker>
            <c:symbol val="none"/>
          </c:marker>
          <c:xVal>
            <c:numRef>
              <c:f>'Carre de Youden'!$H$19:$I$19</c:f>
              <c:numCache>
                <c:formatCode>0.00</c:formatCode>
                <c:ptCount val="2"/>
                <c:pt idx="0">
                  <c:v>6.2642528452240356</c:v>
                </c:pt>
                <c:pt idx="1">
                  <c:v>6.2642528452240356</c:v>
                </c:pt>
              </c:numCache>
            </c:numRef>
          </c:xVal>
          <c:yVal>
            <c:numRef>
              <c:f>'Carre de Youden'!$H$20:$I$20</c:f>
              <c:numCache>
                <c:formatCode>0.00</c:formatCode>
                <c:ptCount val="2"/>
                <c:pt idx="0">
                  <c:v>18.876122199718377</c:v>
                </c:pt>
                <c:pt idx="1">
                  <c:v>21.123877800281623</c:v>
                </c:pt>
              </c:numCache>
            </c:numRef>
          </c:yVal>
          <c:smooth val="0"/>
          <c:extLst>
            <c:ext xmlns:c16="http://schemas.microsoft.com/office/drawing/2014/chart" uri="{C3380CC4-5D6E-409C-BE32-E72D297353CC}">
              <c16:uniqueId val="{00000004-4D59-49AE-88FF-7DDCA343BC2A}"/>
            </c:ext>
          </c:extLst>
        </c:ser>
        <c:ser>
          <c:idx val="4"/>
          <c:order val="4"/>
          <c:spPr>
            <a:ln>
              <a:solidFill>
                <a:srgbClr val="00B050"/>
              </a:solidFill>
            </a:ln>
          </c:spPr>
          <c:marker>
            <c:symbol val="none"/>
          </c:marker>
          <c:xVal>
            <c:numRef>
              <c:f>'Carre de Youden'!$F$24:$G$24</c:f>
              <c:numCache>
                <c:formatCode>0.00</c:formatCode>
                <c:ptCount val="2"/>
                <c:pt idx="0">
                  <c:v>4.3678735773879822</c:v>
                </c:pt>
                <c:pt idx="1">
                  <c:v>5.6321264226120178</c:v>
                </c:pt>
              </c:numCache>
            </c:numRef>
          </c:xVal>
          <c:yVal>
            <c:numRef>
              <c:f>'Carre de Youden'!$F$23:$G$23</c:f>
              <c:numCache>
                <c:formatCode>0.00</c:formatCode>
                <c:ptCount val="2"/>
                <c:pt idx="0">
                  <c:v>19.438061099859191</c:v>
                </c:pt>
                <c:pt idx="1">
                  <c:v>19.438061099859191</c:v>
                </c:pt>
              </c:numCache>
            </c:numRef>
          </c:yVal>
          <c:smooth val="0"/>
          <c:extLst>
            <c:ext xmlns:c16="http://schemas.microsoft.com/office/drawing/2014/chart" uri="{C3380CC4-5D6E-409C-BE32-E72D297353CC}">
              <c16:uniqueId val="{00000005-4D59-49AE-88FF-7DDCA343BC2A}"/>
            </c:ext>
          </c:extLst>
        </c:ser>
        <c:ser>
          <c:idx val="5"/>
          <c:order val="5"/>
          <c:spPr>
            <a:ln>
              <a:solidFill>
                <a:srgbClr val="00B050"/>
              </a:solidFill>
            </a:ln>
          </c:spPr>
          <c:marker>
            <c:symbol val="none"/>
          </c:marker>
          <c:xVal>
            <c:numRef>
              <c:f>'Carre de Youden'!$F$26:$G$26</c:f>
              <c:numCache>
                <c:formatCode>0.00</c:formatCode>
                <c:ptCount val="2"/>
                <c:pt idx="0">
                  <c:v>4.3678735773879822</c:v>
                </c:pt>
                <c:pt idx="1">
                  <c:v>5.6321264226120178</c:v>
                </c:pt>
              </c:numCache>
            </c:numRef>
          </c:xVal>
          <c:yVal>
            <c:numRef>
              <c:f>'Carre de Youden'!$F$25:$G$25</c:f>
              <c:numCache>
                <c:formatCode>0.00</c:formatCode>
                <c:ptCount val="2"/>
                <c:pt idx="0">
                  <c:v>20.561938900140809</c:v>
                </c:pt>
                <c:pt idx="1">
                  <c:v>20.561938900140809</c:v>
                </c:pt>
              </c:numCache>
            </c:numRef>
          </c:yVal>
          <c:smooth val="0"/>
          <c:extLst>
            <c:ext xmlns:c16="http://schemas.microsoft.com/office/drawing/2014/chart" uri="{C3380CC4-5D6E-409C-BE32-E72D297353CC}">
              <c16:uniqueId val="{00000006-4D59-49AE-88FF-7DDCA343BC2A}"/>
            </c:ext>
          </c:extLst>
        </c:ser>
        <c:ser>
          <c:idx val="6"/>
          <c:order val="6"/>
          <c:spPr>
            <a:ln>
              <a:solidFill>
                <a:srgbClr val="FF0000"/>
              </a:solidFill>
            </a:ln>
          </c:spPr>
          <c:marker>
            <c:symbol val="none"/>
          </c:marker>
          <c:xVal>
            <c:numRef>
              <c:f>'Carre de Youden'!$H$24:$I$24</c:f>
              <c:numCache>
                <c:formatCode>0.00</c:formatCode>
                <c:ptCount val="2"/>
                <c:pt idx="0">
                  <c:v>3.7357471547759644</c:v>
                </c:pt>
                <c:pt idx="1">
                  <c:v>6.2642528452240356</c:v>
                </c:pt>
              </c:numCache>
            </c:numRef>
          </c:xVal>
          <c:yVal>
            <c:numRef>
              <c:f>'Carre de Youden'!$H$23:$I$23</c:f>
              <c:numCache>
                <c:formatCode>0.00</c:formatCode>
                <c:ptCount val="2"/>
                <c:pt idx="0">
                  <c:v>18.876122199718377</c:v>
                </c:pt>
                <c:pt idx="1">
                  <c:v>18.876122199718377</c:v>
                </c:pt>
              </c:numCache>
            </c:numRef>
          </c:yVal>
          <c:smooth val="0"/>
          <c:extLst>
            <c:ext xmlns:c16="http://schemas.microsoft.com/office/drawing/2014/chart" uri="{C3380CC4-5D6E-409C-BE32-E72D297353CC}">
              <c16:uniqueId val="{00000007-4D59-49AE-88FF-7DDCA343BC2A}"/>
            </c:ext>
          </c:extLst>
        </c:ser>
        <c:ser>
          <c:idx val="7"/>
          <c:order val="7"/>
          <c:spPr>
            <a:ln>
              <a:solidFill>
                <a:srgbClr val="FF0000"/>
              </a:solidFill>
            </a:ln>
          </c:spPr>
          <c:marker>
            <c:symbol val="none"/>
          </c:marker>
          <c:xVal>
            <c:numRef>
              <c:f>'Carre de Youden'!$H$26:$I$26</c:f>
              <c:numCache>
                <c:formatCode>0.00</c:formatCode>
                <c:ptCount val="2"/>
                <c:pt idx="0">
                  <c:v>3.7357471547759644</c:v>
                </c:pt>
                <c:pt idx="1">
                  <c:v>6.2642528452240356</c:v>
                </c:pt>
              </c:numCache>
            </c:numRef>
          </c:xVal>
          <c:yVal>
            <c:numRef>
              <c:f>'Carre de Youden'!$H$25:$I$25</c:f>
              <c:numCache>
                <c:formatCode>0.00</c:formatCode>
                <c:ptCount val="2"/>
                <c:pt idx="0">
                  <c:v>21.123877800281623</c:v>
                </c:pt>
                <c:pt idx="1">
                  <c:v>21.123877800281623</c:v>
                </c:pt>
              </c:numCache>
            </c:numRef>
          </c:yVal>
          <c:smooth val="0"/>
          <c:extLst>
            <c:ext xmlns:c16="http://schemas.microsoft.com/office/drawing/2014/chart" uri="{C3380CC4-5D6E-409C-BE32-E72D297353CC}">
              <c16:uniqueId val="{00000008-4D59-49AE-88FF-7DDCA343BC2A}"/>
            </c:ext>
          </c:extLst>
        </c:ser>
        <c:ser>
          <c:idx val="8"/>
          <c:order val="8"/>
          <c:tx>
            <c:strRef>
              <c:f>'Carre de Youden'!$B$18:$B$48</c:f>
              <c:strCache>
                <c:ptCount val="1"/>
                <c:pt idx="0">
                  <c:v>1 2 3 4 5 6 7 8 9 10 11 12 13 14 15 16 17 18 19 20 21 22 23 24 25 26 27 28 29 30 31</c:v>
                </c:pt>
              </c:strCache>
            </c:strRef>
          </c:tx>
          <c:spPr>
            <a:ln w="28575">
              <a:noFill/>
            </a:ln>
          </c:spPr>
          <c:marker>
            <c:symbol val="diamond"/>
            <c:size val="6"/>
            <c:spPr>
              <a:solidFill>
                <a:schemeClr val="accent1"/>
              </a:solidFill>
            </c:spPr>
          </c:marker>
          <c:xVal>
            <c:numRef>
              <c:f>'Carre de Youden'!$C$18:$C$48</c:f>
              <c:numCache>
                <c:formatCode>0.00</c:formatCode>
                <c:ptCount val="31"/>
                <c:pt idx="0">
                  <c:v>4.8608724591802641</c:v>
                </c:pt>
                <c:pt idx="1">
                  <c:v>5.5297340728060265</c:v>
                </c:pt>
                <c:pt idx="2">
                  <c:v>5.9171013751630372</c:v>
                </c:pt>
                <c:pt idx="3">
                  <c:v>5.1870074519282223</c:v>
                </c:pt>
                <c:pt idx="4">
                  <c:v>4.6610249945697975</c:v>
                </c:pt>
                <c:pt idx="5">
                  <c:v>5.2273764626264052</c:v>
                </c:pt>
                <c:pt idx="6">
                  <c:v>4.1115398454306247</c:v>
                </c:pt>
                <c:pt idx="7">
                  <c:v>4.3359532674104022</c:v>
                </c:pt>
                <c:pt idx="8">
                  <c:v>5.940052778316538</c:v>
                </c:pt>
                <c:pt idx="9">
                  <c:v>4.6117000523172393</c:v>
                </c:pt>
                <c:pt idx="10">
                  <c:v>5.1198753001177364</c:v>
                </c:pt>
                <c:pt idx="11">
                  <c:v>4.084710495657017</c:v>
                </c:pt>
                <c:pt idx="12">
                  <c:v>5.5418586287103393</c:v>
                </c:pt>
                <c:pt idx="13">
                  <c:v>4.0681411980653683</c:v>
                </c:pt>
                <c:pt idx="14">
                  <c:v>4.3877999783024402</c:v>
                </c:pt>
                <c:pt idx="15">
                  <c:v>4.1446403697432403</c:v>
                </c:pt>
                <c:pt idx="16">
                  <c:v>5.8806102727479956</c:v>
                </c:pt>
                <c:pt idx="17">
                  <c:v>5.8060715318576781</c:v>
                </c:pt>
                <c:pt idx="18">
                  <c:v>5.3554878572687024</c:v>
                </c:pt>
                <c:pt idx="19">
                  <c:v>5.424472014847642</c:v>
                </c:pt>
                <c:pt idx="20">
                  <c:v>5.7723872698933398</c:v>
                </c:pt>
                <c:pt idx="21">
                  <c:v>5.8512110390703498</c:v>
                </c:pt>
                <c:pt idx="22">
                  <c:v>5.3654241891869736</c:v>
                </c:pt>
                <c:pt idx="23">
                  <c:v>4.3248030607041628</c:v>
                </c:pt>
                <c:pt idx="24">
                  <c:v>4.4920212817140923</c:v>
                </c:pt>
                <c:pt idx="25">
                  <c:v>5.1471192982628384</c:v>
                </c:pt>
                <c:pt idx="26">
                  <c:v>5.8059193004251881</c:v>
                </c:pt>
                <c:pt idx="27">
                  <c:v>4.9047513078878335</c:v>
                </c:pt>
                <c:pt idx="28">
                  <c:v>5.1249364414680798</c:v>
                </c:pt>
              </c:numCache>
            </c:numRef>
          </c:xVal>
          <c:yVal>
            <c:numRef>
              <c:f>'Carre de Youden'!$D$18:$D$48</c:f>
              <c:numCache>
                <c:formatCode>0.00</c:formatCode>
                <c:ptCount val="31"/>
                <c:pt idx="0">
                  <c:v>20.337133497038874</c:v>
                </c:pt>
                <c:pt idx="1">
                  <c:v>20.978657537714248</c:v>
                </c:pt>
                <c:pt idx="2">
                  <c:v>20.376650873948392</c:v>
                </c:pt>
                <c:pt idx="3">
                  <c:v>20.950896549729926</c:v>
                </c:pt>
                <c:pt idx="4">
                  <c:v>20.189879033506934</c:v>
                </c:pt>
                <c:pt idx="5">
                  <c:v>20.272232553268537</c:v>
                </c:pt>
                <c:pt idx="6">
                  <c:v>20.045006254733174</c:v>
                </c:pt>
                <c:pt idx="7">
                  <c:v>19.862282101122346</c:v>
                </c:pt>
                <c:pt idx="8">
                  <c:v>19.593986498691866</c:v>
                </c:pt>
                <c:pt idx="9">
                  <c:v>20.927851981704137</c:v>
                </c:pt>
                <c:pt idx="10">
                  <c:v>20.053232659235032</c:v>
                </c:pt>
                <c:pt idx="11">
                  <c:v>20.549419696481753</c:v>
                </c:pt>
                <c:pt idx="12">
                  <c:v>20.291598736979751</c:v>
                </c:pt>
                <c:pt idx="13">
                  <c:v>19.93372780819427</c:v>
                </c:pt>
                <c:pt idx="14">
                  <c:v>20.584239388474895</c:v>
                </c:pt>
                <c:pt idx="15">
                  <c:v>20.984944047599814</c:v>
                </c:pt>
                <c:pt idx="16">
                  <c:v>19.161467379316377</c:v>
                </c:pt>
                <c:pt idx="17">
                  <c:v>19.830821181207707</c:v>
                </c:pt>
                <c:pt idx="18">
                  <c:v>20.259983179074581</c:v>
                </c:pt>
                <c:pt idx="19">
                  <c:v>20.25594309931823</c:v>
                </c:pt>
                <c:pt idx="20">
                  <c:v>20.784786097584135</c:v>
                </c:pt>
                <c:pt idx="21">
                  <c:v>19.354144289915016</c:v>
                </c:pt>
                <c:pt idx="22">
                  <c:v>20.821881274399868</c:v>
                </c:pt>
                <c:pt idx="23">
                  <c:v>19.082851580677556</c:v>
                </c:pt>
                <c:pt idx="24">
                  <c:v>19.158204977113034</c:v>
                </c:pt>
                <c:pt idx="25">
                  <c:v>20.231944780969307</c:v>
                </c:pt>
                <c:pt idx="26">
                  <c:v>20.775513372315523</c:v>
                </c:pt>
                <c:pt idx="27">
                  <c:v>20.587856802492112</c:v>
                </c:pt>
                <c:pt idx="28">
                  <c:v>19.859873043516941</c:v>
                </c:pt>
              </c:numCache>
            </c:numRef>
          </c:yVal>
          <c:smooth val="0"/>
          <c:extLst>
            <c:ext xmlns:c16="http://schemas.microsoft.com/office/drawing/2014/chart" uri="{C3380CC4-5D6E-409C-BE32-E72D297353CC}">
              <c16:uniqueId val="{00000009-4D59-49AE-88FF-7DDCA343BC2A}"/>
            </c:ext>
          </c:extLst>
        </c:ser>
        <c:ser>
          <c:idx val="9"/>
          <c:order val="9"/>
          <c:spPr>
            <a:ln w="12700">
              <a:solidFill>
                <a:schemeClr val="tx1"/>
              </a:solidFill>
            </a:ln>
          </c:spPr>
          <c:marker>
            <c:symbol val="none"/>
          </c:marker>
          <c:xVal>
            <c:numRef>
              <c:f>'Carre de Youden'!$G$12:$H$12</c:f>
              <c:numCache>
                <c:formatCode>0.00</c:formatCode>
                <c:ptCount val="2"/>
                <c:pt idx="0">
                  <c:v>3.1036207321639462</c:v>
                </c:pt>
                <c:pt idx="1">
                  <c:v>6.8963792678360534</c:v>
                </c:pt>
              </c:numCache>
            </c:numRef>
          </c:xVal>
          <c:yVal>
            <c:numRef>
              <c:f>'Carre de Youden'!$G$13:$H$13</c:f>
              <c:numCache>
                <c:formatCode>0.00</c:formatCode>
                <c:ptCount val="2"/>
                <c:pt idx="0">
                  <c:v>18.314183299577568</c:v>
                </c:pt>
                <c:pt idx="1">
                  <c:v>21.685816700422432</c:v>
                </c:pt>
              </c:numCache>
            </c:numRef>
          </c:yVal>
          <c:smooth val="0"/>
          <c:extLst>
            <c:ext xmlns:c16="http://schemas.microsoft.com/office/drawing/2014/chart" uri="{C3380CC4-5D6E-409C-BE32-E72D297353CC}">
              <c16:uniqueId val="{0000000A-4D59-49AE-88FF-7DDCA343BC2A}"/>
            </c:ext>
          </c:extLst>
        </c:ser>
        <c:ser>
          <c:idx val="10"/>
          <c:order val="10"/>
          <c:tx>
            <c:v>moyenne</c:v>
          </c:tx>
          <c:marker>
            <c:symbol val="none"/>
          </c:marker>
          <c:dPt>
            <c:idx val="0"/>
            <c:marker>
              <c:symbol val="square"/>
              <c:size val="5"/>
              <c:spPr>
                <a:solidFill>
                  <a:srgbClr val="FF0000"/>
                </a:solidFill>
              </c:spPr>
            </c:marker>
            <c:bubble3D val="0"/>
            <c:extLst>
              <c:ext xmlns:c16="http://schemas.microsoft.com/office/drawing/2014/chart" uri="{C3380CC4-5D6E-409C-BE32-E72D297353CC}">
                <c16:uniqueId val="{0000000B-4D59-49AE-88FF-7DDCA343BC2A}"/>
              </c:ext>
            </c:extLst>
          </c:dPt>
          <c:xVal>
            <c:numRef>
              <c:f>'Carre de Youden'!$C$14</c:f>
              <c:numCache>
                <c:formatCode>0.00</c:formatCode>
                <c:ptCount val="1"/>
                <c:pt idx="0">
                  <c:v>5.0684346067475712</c:v>
                </c:pt>
              </c:numCache>
            </c:numRef>
          </c:xVal>
          <c:yVal>
            <c:numRef>
              <c:f>'Carre de Youden'!$D$14</c:f>
              <c:numCache>
                <c:formatCode>0.00</c:formatCode>
                <c:ptCount val="1"/>
                <c:pt idx="0">
                  <c:v>20.210241733666354</c:v>
                </c:pt>
              </c:numCache>
            </c:numRef>
          </c:yVal>
          <c:smooth val="0"/>
          <c:extLst>
            <c:ext xmlns:c16="http://schemas.microsoft.com/office/drawing/2014/chart" uri="{C3380CC4-5D6E-409C-BE32-E72D297353CC}">
              <c16:uniqueId val="{0000000C-4D59-49AE-88FF-7DDCA343BC2A}"/>
            </c:ext>
          </c:extLst>
        </c:ser>
        <c:dLbls>
          <c:showLegendKey val="0"/>
          <c:showVal val="0"/>
          <c:showCatName val="0"/>
          <c:showSerName val="0"/>
          <c:showPercent val="0"/>
          <c:showBubbleSize val="0"/>
        </c:dLbls>
        <c:axId val="-298607872"/>
        <c:axId val="-298606784"/>
      </c:scatterChart>
      <c:valAx>
        <c:axId val="-298607872"/>
        <c:scaling>
          <c:orientation val="minMax"/>
          <c:max val="7"/>
          <c:min val="3"/>
        </c:scaling>
        <c:delete val="0"/>
        <c:axPos val="b"/>
        <c:majorGridlines/>
        <c:minorGridlines/>
        <c:title>
          <c:tx>
            <c:rich>
              <a:bodyPr/>
              <a:lstStyle/>
              <a:p>
                <a:pPr>
                  <a:defRPr/>
                </a:pPr>
                <a:r>
                  <a:rPr lang="en-US"/>
                  <a:t>valeurs basses</a:t>
                </a:r>
              </a:p>
            </c:rich>
          </c:tx>
          <c:overlay val="0"/>
        </c:title>
        <c:numFmt formatCode="0.00" sourceLinked="1"/>
        <c:majorTickMark val="out"/>
        <c:minorTickMark val="none"/>
        <c:tickLblPos val="nextTo"/>
        <c:crossAx val="-298606784"/>
        <c:crosses val="autoZero"/>
        <c:crossBetween val="midCat"/>
      </c:valAx>
      <c:valAx>
        <c:axId val="-298606784"/>
        <c:scaling>
          <c:orientation val="minMax"/>
          <c:max val="22"/>
          <c:min val="18"/>
        </c:scaling>
        <c:delete val="0"/>
        <c:axPos val="l"/>
        <c:majorGridlines/>
        <c:minorGridlines/>
        <c:title>
          <c:tx>
            <c:rich>
              <a:bodyPr/>
              <a:lstStyle/>
              <a:p>
                <a:pPr>
                  <a:defRPr/>
                </a:pPr>
                <a:r>
                  <a:rPr lang="en-US"/>
                  <a:t>valeurs hautes</a:t>
                </a:r>
              </a:p>
            </c:rich>
          </c:tx>
          <c:overlay val="0"/>
        </c:title>
        <c:numFmt formatCode="0.00" sourceLinked="1"/>
        <c:majorTickMark val="out"/>
        <c:minorTickMark val="none"/>
        <c:tickLblPos val="nextTo"/>
        <c:crossAx val="-298607872"/>
        <c:crosses val="autoZero"/>
        <c:crossBetween val="midCat"/>
      </c:valAx>
    </c:plotArea>
    <c:plotVisOnly val="1"/>
    <c:dispBlanksAs val="gap"/>
    <c:showDLblsOverMax val="0"/>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Carte CUSUM simplifiée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scatterChart>
        <c:scatterStyle val="lineMarker"/>
        <c:varyColors val="0"/>
        <c:ser>
          <c:idx val="0"/>
          <c:order val="0"/>
          <c:tx>
            <c:v>Cumul</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'Cusum simplifiée'!$C$24:$C$55</c:f>
              <c:numCache>
                <c:formatCode>General</c:formatCode>
                <c:ptCount val="32"/>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numCache>
            </c:numRef>
          </c:xVal>
          <c:yVal>
            <c:numRef>
              <c:f>'Cusum simplifiée'!$F$24:$F$55</c:f>
              <c:numCache>
                <c:formatCode>General</c:formatCode>
                <c:ptCount val="32"/>
                <c:pt idx="0">
                  <c:v>0.10299999999999976</c:v>
                </c:pt>
                <c:pt idx="1">
                  <c:v>6.5999999999998948E-2</c:v>
                </c:pt>
                <c:pt idx="2">
                  <c:v>-3.1000000000000583E-2</c:v>
                </c:pt>
                <c:pt idx="3">
                  <c:v>7.1999999999999176E-2</c:v>
                </c:pt>
                <c:pt idx="4">
                  <c:v>0.17499999999999893</c:v>
                </c:pt>
                <c:pt idx="5">
                  <c:v>0.17799999999999905</c:v>
                </c:pt>
                <c:pt idx="6">
                  <c:v>0.18099999999999916</c:v>
                </c:pt>
                <c:pt idx="7">
                  <c:v>0.28399999999999892</c:v>
                </c:pt>
                <c:pt idx="8">
                  <c:v>0.18699999999999939</c:v>
                </c:pt>
                <c:pt idx="9">
                  <c:v>8.9999999999999858E-2</c:v>
                </c:pt>
                <c:pt idx="10">
                  <c:v>0.19299999999999962</c:v>
                </c:pt>
                <c:pt idx="11">
                  <c:v>0.39599999999999902</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0"/>
          <c:extLst>
            <c:ext xmlns:c16="http://schemas.microsoft.com/office/drawing/2014/chart" uri="{C3380CC4-5D6E-409C-BE32-E72D297353CC}">
              <c16:uniqueId val="{00000000-4F47-4B32-9EFB-2DEDBAFF2360}"/>
            </c:ext>
          </c:extLst>
        </c:ser>
        <c:ser>
          <c:idx val="1"/>
          <c:order val="1"/>
          <c:tx>
            <c:v>Médiane</c:v>
          </c:tx>
          <c:spPr>
            <a:ln w="19050" cap="rnd">
              <a:solidFill>
                <a:schemeClr val="accent2"/>
              </a:solidFill>
              <a:round/>
            </a:ln>
            <a:effectLst/>
          </c:spPr>
          <c:marker>
            <c:symbol val="none"/>
          </c:marker>
          <c:xVal>
            <c:numRef>
              <c:f>'Cusum simplifiée'!$C$24:$C$55</c:f>
              <c:numCache>
                <c:formatCode>General</c:formatCode>
                <c:ptCount val="32"/>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numCache>
            </c:numRef>
          </c:xVal>
          <c:yVal>
            <c:numRef>
              <c:f>'Cusum simplifiée'!$G$24:$G$55</c:f>
              <c:numCache>
                <c:formatCode>General</c:formatCode>
                <c:ptCount val="32"/>
                <c:pt idx="0">
                  <c:v>0.17649999999999899</c:v>
                </c:pt>
                <c:pt idx="1">
                  <c:v>0.17649999999999899</c:v>
                </c:pt>
                <c:pt idx="2">
                  <c:v>0.17649999999999899</c:v>
                </c:pt>
                <c:pt idx="3">
                  <c:v>0.17649999999999899</c:v>
                </c:pt>
                <c:pt idx="4">
                  <c:v>0.17649999999999899</c:v>
                </c:pt>
                <c:pt idx="5">
                  <c:v>0.17649999999999899</c:v>
                </c:pt>
                <c:pt idx="6">
                  <c:v>0.17649999999999899</c:v>
                </c:pt>
                <c:pt idx="7">
                  <c:v>0.17649999999999899</c:v>
                </c:pt>
                <c:pt idx="8">
                  <c:v>0.17649999999999899</c:v>
                </c:pt>
                <c:pt idx="9">
                  <c:v>0.17649999999999899</c:v>
                </c:pt>
                <c:pt idx="10">
                  <c:v>0.17649999999999899</c:v>
                </c:pt>
                <c:pt idx="11">
                  <c:v>0.17649999999999899</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0"/>
          <c:extLst>
            <c:ext xmlns:c16="http://schemas.microsoft.com/office/drawing/2014/chart" uri="{C3380CC4-5D6E-409C-BE32-E72D297353CC}">
              <c16:uniqueId val="{00000001-4F47-4B32-9EFB-2DEDBAFF2360}"/>
            </c:ext>
          </c:extLst>
        </c:ser>
        <c:dLbls>
          <c:showLegendKey val="0"/>
          <c:showVal val="0"/>
          <c:showCatName val="0"/>
          <c:showSerName val="0"/>
          <c:showPercent val="0"/>
          <c:showBubbleSize val="0"/>
        </c:dLbls>
        <c:axId val="-193575008"/>
        <c:axId val="-193585344"/>
      </c:scatterChart>
      <c:valAx>
        <c:axId val="-193575008"/>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93585344"/>
        <c:crosses val="autoZero"/>
        <c:crossBetween val="midCat"/>
      </c:valAx>
      <c:valAx>
        <c:axId val="-19358534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écart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93575008"/>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fr-FR"/>
              <a:t>Suivi</a:t>
            </a:r>
            <a:r>
              <a:rPr lang="fr-FR" baseline="0"/>
              <a:t> corrélation</a:t>
            </a:r>
            <a:endParaRPr lang="fr-FR"/>
          </a:p>
        </c:rich>
      </c:tx>
      <c:overlay val="0"/>
    </c:title>
    <c:autoTitleDeleted val="0"/>
    <c:plotArea>
      <c:layout/>
      <c:scatterChart>
        <c:scatterStyle val="lineMarker"/>
        <c:varyColors val="0"/>
        <c:ser>
          <c:idx val="0"/>
          <c:order val="0"/>
          <c:tx>
            <c:v>écart x-y</c:v>
          </c:tx>
          <c:marker>
            <c:symbol val="none"/>
          </c:marker>
          <c:xVal>
            <c:numRef>
              <c:f>'Cusum correlation'!$C$30:$C$60</c:f>
              <c:numCache>
                <c:formatCode>General</c:formatCod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numCache>
            </c:numRef>
          </c:xVal>
          <c:yVal>
            <c:numRef>
              <c:f>'Cusum correlation'!$G$30:$G$60</c:f>
              <c:numCache>
                <c:formatCode>General</c:formatCode>
                <c:ptCount val="31"/>
                <c:pt idx="0">
                  <c:v>-1</c:v>
                </c:pt>
                <c:pt idx="1">
                  <c:v>-1</c:v>
                </c:pt>
                <c:pt idx="2">
                  <c:v>-3</c:v>
                </c:pt>
                <c:pt idx="3">
                  <c:v>-2</c:v>
                </c:pt>
                <c:pt idx="4">
                  <c:v>0</c:v>
                </c:pt>
                <c:pt idx="5">
                  <c:v>1</c:v>
                </c:pt>
                <c:pt idx="6">
                  <c:v>2</c:v>
                </c:pt>
                <c:pt idx="7">
                  <c:v>4</c:v>
                </c:pt>
                <c:pt idx="8">
                  <c:v>3</c:v>
                </c:pt>
                <c:pt idx="9">
                  <c:v>3</c:v>
                </c:pt>
                <c:pt idx="10">
                  <c:v>3</c:v>
                </c:pt>
                <c:pt idx="11">
                  <c:v>4</c:v>
                </c:pt>
                <c:pt idx="12">
                  <c:v>5</c:v>
                </c:pt>
                <c:pt idx="13">
                  <c:v>5</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yVal>
          <c:smooth val="0"/>
          <c:extLst>
            <c:ext xmlns:c16="http://schemas.microsoft.com/office/drawing/2014/chart" uri="{C3380CC4-5D6E-409C-BE32-E72D297353CC}">
              <c16:uniqueId val="{00000000-7054-48BC-A324-F3F0519B8DF7}"/>
            </c:ext>
          </c:extLst>
        </c:ser>
        <c:ser>
          <c:idx val="1"/>
          <c:order val="1"/>
          <c:tx>
            <c:v>Limite supérieure</c:v>
          </c:tx>
          <c:marker>
            <c:symbol val="none"/>
          </c:marker>
          <c:xVal>
            <c:numRef>
              <c:f>'Cusum correlation'!$C$30:$C$60</c:f>
              <c:numCache>
                <c:formatCode>General</c:formatCod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numCache>
            </c:numRef>
          </c:xVal>
          <c:yVal>
            <c:numRef>
              <c:f>'Cusum correlation'!$H$30:$H$60</c:f>
              <c:numCache>
                <c:formatCode>0.00</c:formatCode>
                <c:ptCount val="31"/>
                <c:pt idx="0">
                  <c:v>4.3301270189221936</c:v>
                </c:pt>
                <c:pt idx="1">
                  <c:v>4.3301270189221936</c:v>
                </c:pt>
                <c:pt idx="2">
                  <c:v>4.3301270189221936</c:v>
                </c:pt>
                <c:pt idx="3">
                  <c:v>4.3301270189221936</c:v>
                </c:pt>
                <c:pt idx="4">
                  <c:v>4.3301270189221936</c:v>
                </c:pt>
                <c:pt idx="5">
                  <c:v>4.3301270189221936</c:v>
                </c:pt>
                <c:pt idx="6">
                  <c:v>4.3301270189221936</c:v>
                </c:pt>
                <c:pt idx="7">
                  <c:v>4.3301270189221936</c:v>
                </c:pt>
                <c:pt idx="8">
                  <c:v>4.3301270189221936</c:v>
                </c:pt>
                <c:pt idx="9">
                  <c:v>4.3301270189221936</c:v>
                </c:pt>
                <c:pt idx="10">
                  <c:v>4.3301270189221936</c:v>
                </c:pt>
                <c:pt idx="11">
                  <c:v>4.3301270189221936</c:v>
                </c:pt>
                <c:pt idx="12">
                  <c:v>4.3301270189221936</c:v>
                </c:pt>
                <c:pt idx="13">
                  <c:v>4.3301270189221936</c:v>
                </c:pt>
                <c:pt idx="14">
                  <c:v>4.3301270189221936</c:v>
                </c:pt>
                <c:pt idx="15">
                  <c:v>4.3301270189221936</c:v>
                </c:pt>
                <c:pt idx="16">
                  <c:v>4.3301270189221936</c:v>
                </c:pt>
                <c:pt idx="17">
                  <c:v>4.3301270189221936</c:v>
                </c:pt>
                <c:pt idx="18">
                  <c:v>4.3301270189221936</c:v>
                </c:pt>
                <c:pt idx="19">
                  <c:v>4.3301270189221936</c:v>
                </c:pt>
                <c:pt idx="20">
                  <c:v>4.3301270189221936</c:v>
                </c:pt>
                <c:pt idx="21">
                  <c:v>4.3301270189221936</c:v>
                </c:pt>
                <c:pt idx="22">
                  <c:v>4.3301270189221936</c:v>
                </c:pt>
                <c:pt idx="23">
                  <c:v>4.3301270189221936</c:v>
                </c:pt>
                <c:pt idx="24">
                  <c:v>4.3301270189221936</c:v>
                </c:pt>
                <c:pt idx="25">
                  <c:v>4.3301270189221936</c:v>
                </c:pt>
                <c:pt idx="26">
                  <c:v>4.3301270189221936</c:v>
                </c:pt>
                <c:pt idx="27">
                  <c:v>4.3301270189221936</c:v>
                </c:pt>
                <c:pt idx="28">
                  <c:v>4.3301270189221936</c:v>
                </c:pt>
                <c:pt idx="29">
                  <c:v>4.3301270189221936</c:v>
                </c:pt>
                <c:pt idx="30">
                  <c:v>4.3301270189221936</c:v>
                </c:pt>
              </c:numCache>
            </c:numRef>
          </c:yVal>
          <c:smooth val="0"/>
          <c:extLst>
            <c:ext xmlns:c16="http://schemas.microsoft.com/office/drawing/2014/chart" uri="{C3380CC4-5D6E-409C-BE32-E72D297353CC}">
              <c16:uniqueId val="{00000001-7054-48BC-A324-F3F0519B8DF7}"/>
            </c:ext>
          </c:extLst>
        </c:ser>
        <c:ser>
          <c:idx val="2"/>
          <c:order val="2"/>
          <c:tx>
            <c:v>Limite inférieure</c:v>
          </c:tx>
          <c:spPr>
            <a:ln>
              <a:solidFill>
                <a:srgbClr val="C00000"/>
              </a:solidFill>
            </a:ln>
          </c:spPr>
          <c:marker>
            <c:symbol val="none"/>
          </c:marker>
          <c:xVal>
            <c:numRef>
              <c:f>'Cusum correlation'!$C$30:$C$60</c:f>
              <c:numCache>
                <c:formatCode>General</c:formatCod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numCache>
            </c:numRef>
          </c:xVal>
          <c:yVal>
            <c:numRef>
              <c:f>'Cusum correlation'!$I$30:$I$60</c:f>
              <c:numCache>
                <c:formatCode>0.00</c:formatCode>
                <c:ptCount val="31"/>
                <c:pt idx="0">
                  <c:v>-4.3301270189221936</c:v>
                </c:pt>
                <c:pt idx="1">
                  <c:v>-4.3301270189221936</c:v>
                </c:pt>
                <c:pt idx="2">
                  <c:v>-4.3301270189221936</c:v>
                </c:pt>
                <c:pt idx="3">
                  <c:v>-4.3301270189221936</c:v>
                </c:pt>
                <c:pt idx="4">
                  <c:v>-4.3301270189221936</c:v>
                </c:pt>
                <c:pt idx="5">
                  <c:v>-4.3301270189221936</c:v>
                </c:pt>
                <c:pt idx="6">
                  <c:v>-4.3301270189221936</c:v>
                </c:pt>
                <c:pt idx="7">
                  <c:v>-4.3301270189221936</c:v>
                </c:pt>
                <c:pt idx="8">
                  <c:v>-4.3301270189221936</c:v>
                </c:pt>
                <c:pt idx="9">
                  <c:v>-4.3301270189221936</c:v>
                </c:pt>
                <c:pt idx="10">
                  <c:v>-4.3301270189221936</c:v>
                </c:pt>
                <c:pt idx="11">
                  <c:v>-4.3301270189221936</c:v>
                </c:pt>
                <c:pt idx="12">
                  <c:v>-4.3301270189221936</c:v>
                </c:pt>
                <c:pt idx="13">
                  <c:v>-4.3301270189221936</c:v>
                </c:pt>
                <c:pt idx="14">
                  <c:v>-4.3301270189221936</c:v>
                </c:pt>
                <c:pt idx="15">
                  <c:v>-4.3301270189221936</c:v>
                </c:pt>
                <c:pt idx="16">
                  <c:v>-4.3301270189221936</c:v>
                </c:pt>
                <c:pt idx="17">
                  <c:v>-4.3301270189221936</c:v>
                </c:pt>
                <c:pt idx="18">
                  <c:v>-4.3301270189221936</c:v>
                </c:pt>
                <c:pt idx="19">
                  <c:v>-4.3301270189221936</c:v>
                </c:pt>
                <c:pt idx="20">
                  <c:v>-4.3301270189221936</c:v>
                </c:pt>
                <c:pt idx="21">
                  <c:v>-4.3301270189221936</c:v>
                </c:pt>
                <c:pt idx="22">
                  <c:v>-4.3301270189221936</c:v>
                </c:pt>
                <c:pt idx="23">
                  <c:v>-4.3301270189221936</c:v>
                </c:pt>
                <c:pt idx="24">
                  <c:v>-4.3301270189221936</c:v>
                </c:pt>
                <c:pt idx="25">
                  <c:v>-4.3301270189221936</c:v>
                </c:pt>
                <c:pt idx="26">
                  <c:v>-4.3301270189221936</c:v>
                </c:pt>
                <c:pt idx="27">
                  <c:v>-4.3301270189221936</c:v>
                </c:pt>
                <c:pt idx="28">
                  <c:v>-4.3301270189221936</c:v>
                </c:pt>
                <c:pt idx="29">
                  <c:v>-4.3301270189221936</c:v>
                </c:pt>
                <c:pt idx="30">
                  <c:v>-4.3301270189221936</c:v>
                </c:pt>
              </c:numCache>
            </c:numRef>
          </c:yVal>
          <c:smooth val="0"/>
          <c:extLst>
            <c:ext xmlns:c16="http://schemas.microsoft.com/office/drawing/2014/chart" uri="{C3380CC4-5D6E-409C-BE32-E72D297353CC}">
              <c16:uniqueId val="{00000002-7054-48BC-A324-F3F0519B8DF7}"/>
            </c:ext>
          </c:extLst>
        </c:ser>
        <c:dLbls>
          <c:showLegendKey val="0"/>
          <c:showVal val="0"/>
          <c:showCatName val="0"/>
          <c:showSerName val="0"/>
          <c:showPercent val="0"/>
          <c:showBubbleSize val="0"/>
        </c:dLbls>
        <c:axId val="-193588064"/>
        <c:axId val="-193587520"/>
      </c:scatterChart>
      <c:valAx>
        <c:axId val="-193588064"/>
        <c:scaling>
          <c:orientation val="minMax"/>
        </c:scaling>
        <c:delete val="0"/>
        <c:axPos val="b"/>
        <c:title>
          <c:overlay val="0"/>
        </c:title>
        <c:numFmt formatCode="General" sourceLinked="1"/>
        <c:majorTickMark val="none"/>
        <c:minorTickMark val="none"/>
        <c:tickLblPos val="nextTo"/>
        <c:crossAx val="-193587520"/>
        <c:crosses val="autoZero"/>
        <c:crossBetween val="midCat"/>
      </c:valAx>
      <c:valAx>
        <c:axId val="-193587520"/>
        <c:scaling>
          <c:orientation val="minMax"/>
        </c:scaling>
        <c:delete val="0"/>
        <c:axPos val="l"/>
        <c:majorGridlines/>
        <c:title>
          <c:tx>
            <c:rich>
              <a:bodyPr/>
              <a:lstStyle/>
              <a:p>
                <a:pPr>
                  <a:defRPr/>
                </a:pPr>
                <a:r>
                  <a:rPr lang="en-US"/>
                  <a:t>écart X-Y</a:t>
                </a:r>
              </a:p>
            </c:rich>
          </c:tx>
          <c:overlay val="0"/>
        </c:title>
        <c:numFmt formatCode="General" sourceLinked="1"/>
        <c:majorTickMark val="none"/>
        <c:minorTickMark val="none"/>
        <c:tickLblPos val="nextTo"/>
        <c:crossAx val="-193588064"/>
        <c:crosses val="autoZero"/>
        <c:crossBetween val="midCat"/>
      </c:valAx>
    </c:plotArea>
    <c:legend>
      <c:legendPos val="r"/>
      <c:overlay val="0"/>
    </c:legend>
    <c:plotVisOnly val="1"/>
    <c:dispBlanksAs val="gap"/>
    <c:showDLblsOverMax val="0"/>
  </c:chart>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tx1">
        <a:lumMod val="65000"/>
        <a:lumOff val="35000"/>
      </a:schemeClr>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5400" cap="flat" cmpd="dbl" algn="ctr">
        <a:solidFill>
          <a:schemeClr val="phClr">
            <a:alpha val="50000"/>
          </a:schemeClr>
        </a:solidFill>
        <a:round/>
      </a:ln>
    </cs:spPr>
  </cs:dataPointLine>
  <cs:dataPointMarker>
    <cs:lnRef idx="0">
      <cs:styleClr val="auto"/>
    </cs:lnRef>
    <cs:fillRef idx="0">
      <cs:styleClr val="auto"/>
    </cs:fillRef>
    <cs:effectRef idx="0"/>
    <cs:fontRef idx="minor">
      <a:schemeClr val="dk1"/>
    </cs:fontRef>
    <cs:spPr>
      <a:ln w="34925" cap="flat" cmpd="dbl" algn="ctr">
        <a:solidFill>
          <a:schemeClr val="phClr">
            <a:lumMod val="75000"/>
            <a:alpha val="70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kern="1200" spc="0" normalizeH="0" baseline="0"/>
  </cs:title>
  <cs:trendline>
    <cs:lnRef idx="0">
      <cs:styleClr val="0"/>
    </cs:lnRef>
    <cs:fillRef idx="0"/>
    <cs:effectRef idx="0"/>
    <cs:fontRef idx="minor">
      <a:schemeClr val="tx1"/>
    </cs:fontRef>
    <cs:spPr>
      <a:ln w="38100" cap="rnd" cmpd="sng" algn="ctr">
        <a:solidFill>
          <a:schemeClr val="phClr">
            <a:lumMod val="75000"/>
            <a:alpha val="25000"/>
          </a:scheme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b="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4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tx1">
        <a:lumMod val="65000"/>
        <a:lumOff val="35000"/>
      </a:schemeClr>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5400" cap="flat" cmpd="dbl" algn="ctr">
        <a:solidFill>
          <a:schemeClr val="phClr">
            <a:alpha val="50000"/>
          </a:schemeClr>
        </a:solidFill>
        <a:round/>
      </a:ln>
    </cs:spPr>
  </cs:dataPointLine>
  <cs:dataPointMarker>
    <cs:lnRef idx="0">
      <cs:styleClr val="auto"/>
    </cs:lnRef>
    <cs:fillRef idx="0">
      <cs:styleClr val="auto"/>
    </cs:fillRef>
    <cs:effectRef idx="0"/>
    <cs:fontRef idx="minor">
      <a:schemeClr val="dk1"/>
    </cs:fontRef>
    <cs:spPr>
      <a:ln w="34925" cap="flat" cmpd="dbl" algn="ctr">
        <a:solidFill>
          <a:schemeClr val="phClr">
            <a:lumMod val="75000"/>
            <a:alpha val="70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kern="1200" spc="0" normalizeH="0" baseline="0"/>
  </cs:title>
  <cs:trendline>
    <cs:lnRef idx="0">
      <cs:styleClr val="0"/>
    </cs:lnRef>
    <cs:fillRef idx="0"/>
    <cs:effectRef idx="0"/>
    <cs:fontRef idx="minor">
      <a:schemeClr val="tx1"/>
    </cs:fontRef>
    <cs:spPr>
      <a:ln w="38100" cap="rnd" cmpd="sng" algn="ctr">
        <a:solidFill>
          <a:schemeClr val="phClr">
            <a:lumMod val="75000"/>
            <a:alpha val="25000"/>
          </a:scheme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b="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_rels/drawing5.xml.rels><?xml version="1.0" encoding="UTF-8" standalone="yes"?>
<Relationships xmlns="http://schemas.openxmlformats.org/package/2006/relationships"><Relationship Id="rId1" Type="http://schemas.openxmlformats.org/officeDocument/2006/relationships/chart" Target="../charts/chart7.xml"/></Relationships>
</file>

<file path=xl/drawings/_rels/drawing6.xml.rels><?xml version="1.0" encoding="UTF-8" standalone="yes"?>
<Relationships xmlns="http://schemas.openxmlformats.org/package/2006/relationships"><Relationship Id="rId1" Type="http://schemas.openxmlformats.org/officeDocument/2006/relationships/chart" Target="../charts/chart8.xml"/></Relationships>
</file>

<file path=xl/drawings/_rels/drawing7.xml.rels><?xml version="1.0" encoding="UTF-8" standalone="yes"?>
<Relationships xmlns="http://schemas.openxmlformats.org/package/2006/relationships"><Relationship Id="rId1"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719688</xdr:colOff>
      <xdr:row>7</xdr:row>
      <xdr:rowOff>92765</xdr:rowOff>
    </xdr:from>
    <xdr:to>
      <xdr:col>15</xdr:col>
      <xdr:colOff>258536</xdr:colOff>
      <xdr:row>30</xdr:row>
      <xdr:rowOff>64519</xdr:rowOff>
    </xdr:to>
    <xdr:graphicFrame macro="">
      <xdr:nvGraphicFramePr>
        <xdr:cNvPr id="2" name="Graphique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509587</xdr:colOff>
      <xdr:row>11</xdr:row>
      <xdr:rowOff>27214</xdr:rowOff>
    </xdr:from>
    <xdr:to>
      <xdr:col>6</xdr:col>
      <xdr:colOff>517072</xdr:colOff>
      <xdr:row>27</xdr:row>
      <xdr:rowOff>180975</xdr:rowOff>
    </xdr:to>
    <xdr:graphicFrame macro="">
      <xdr:nvGraphicFramePr>
        <xdr:cNvPr id="2" name="Graphique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537482</xdr:colOff>
      <xdr:row>11</xdr:row>
      <xdr:rowOff>13608</xdr:rowOff>
    </xdr:from>
    <xdr:to>
      <xdr:col>12</xdr:col>
      <xdr:colOff>258536</xdr:colOff>
      <xdr:row>27</xdr:row>
      <xdr:rowOff>161926</xdr:rowOff>
    </xdr:to>
    <xdr:graphicFrame macro="">
      <xdr:nvGraphicFramePr>
        <xdr:cNvPr id="3" name="Graphique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276225</xdr:colOff>
      <xdr:row>11</xdr:row>
      <xdr:rowOff>13607</xdr:rowOff>
    </xdr:from>
    <xdr:to>
      <xdr:col>18</xdr:col>
      <xdr:colOff>598713</xdr:colOff>
      <xdr:row>27</xdr:row>
      <xdr:rowOff>166687</xdr:rowOff>
    </xdr:to>
    <xdr:graphicFrame macro="">
      <xdr:nvGraphicFramePr>
        <xdr:cNvPr id="4" name="Graphique 3">
          <a:extLst>
            <a:ext uri="{FF2B5EF4-FFF2-40B4-BE49-F238E27FC236}">
              <a16:creationId xmlns:a16="http://schemas.microsoft.com/office/drawing/2014/main" id="{00000000-0008-0000-01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14</xdr:col>
      <xdr:colOff>245729</xdr:colOff>
      <xdr:row>2</xdr:row>
      <xdr:rowOff>27215</xdr:rowOff>
    </xdr:from>
    <xdr:to>
      <xdr:col>27</xdr:col>
      <xdr:colOff>299357</xdr:colOff>
      <xdr:row>27</xdr:row>
      <xdr:rowOff>40823</xdr:rowOff>
    </xdr:to>
    <xdr:graphicFrame macro="">
      <xdr:nvGraphicFramePr>
        <xdr:cNvPr id="5" name="Graphique 4">
          <a:extLst>
            <a:ext uri="{FF2B5EF4-FFF2-40B4-BE49-F238E27FC236}">
              <a16:creationId xmlns:a16="http://schemas.microsoft.com/office/drawing/2014/main" id="{00000000-0008-0000-05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12</xdr:col>
      <xdr:colOff>276720</xdr:colOff>
      <xdr:row>1</xdr:row>
      <xdr:rowOff>909</xdr:rowOff>
    </xdr:from>
    <xdr:to>
      <xdr:col>28</xdr:col>
      <xdr:colOff>476250</xdr:colOff>
      <xdr:row>29</xdr:row>
      <xdr:rowOff>81643</xdr:rowOff>
    </xdr:to>
    <xdr:graphicFrame macro="">
      <xdr:nvGraphicFramePr>
        <xdr:cNvPr id="2" name="Graphique 1">
          <a:extLst>
            <a:ext uri="{FF2B5EF4-FFF2-40B4-BE49-F238E27FC236}">
              <a16:creationId xmlns:a16="http://schemas.microsoft.com/office/drawing/2014/main" id="{00000000-0008-0000-04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164856</xdr:colOff>
      <xdr:row>15</xdr:row>
      <xdr:rowOff>1097</xdr:rowOff>
    </xdr:from>
    <xdr:to>
      <xdr:col>10</xdr:col>
      <xdr:colOff>164856</xdr:colOff>
      <xdr:row>35</xdr:row>
      <xdr:rowOff>91586</xdr:rowOff>
    </xdr:to>
    <xdr:graphicFrame macro="">
      <xdr:nvGraphicFramePr>
        <xdr:cNvPr id="2" name="Graphique 1">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xdr:col>
      <xdr:colOff>537856</xdr:colOff>
      <xdr:row>3</xdr:row>
      <xdr:rowOff>23983</xdr:rowOff>
    </xdr:from>
    <xdr:to>
      <xdr:col>13</xdr:col>
      <xdr:colOff>448235</xdr:colOff>
      <xdr:row>17</xdr:row>
      <xdr:rowOff>100183</xdr:rowOff>
    </xdr:to>
    <xdr:graphicFrame macro="">
      <xdr:nvGraphicFramePr>
        <xdr:cNvPr id="2" name="Graphique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8405</xdr:colOff>
      <xdr:row>7</xdr:row>
      <xdr:rowOff>83762</xdr:rowOff>
    </xdr:from>
    <xdr:to>
      <xdr:col>15</xdr:col>
      <xdr:colOff>403412</xdr:colOff>
      <xdr:row>24</xdr:row>
      <xdr:rowOff>145675</xdr:rowOff>
    </xdr:to>
    <xdr:graphicFrame macro="">
      <xdr:nvGraphicFramePr>
        <xdr:cNvPr id="2" name="Graphique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AA388"/>
  <sheetViews>
    <sheetView showGridLines="0" zoomScale="70" zoomScaleNormal="70" workbookViewId="0">
      <pane ySplit="31" topLeftCell="A32" activePane="bottomLeft" state="frozen"/>
      <selection pane="bottomLeft" activeCell="J47" sqref="J47"/>
    </sheetView>
  </sheetViews>
  <sheetFormatPr baseColWidth="10" defaultColWidth="10.85546875" defaultRowHeight="15" x14ac:dyDescent="0.25"/>
  <cols>
    <col min="1" max="1" width="10.85546875" style="52"/>
    <col min="2" max="2" width="12.28515625" style="52" customWidth="1"/>
    <col min="3" max="12" width="10.85546875" style="52"/>
    <col min="13" max="13" width="10.42578125" style="52" bestFit="1" customWidth="1"/>
    <col min="14" max="14" width="12.42578125" style="52" customWidth="1"/>
    <col min="15" max="16" width="10.85546875" style="52"/>
    <col min="17" max="17" width="12.5703125" style="52" bestFit="1" customWidth="1"/>
    <col min="18" max="21" width="10.85546875" style="52"/>
    <col min="22" max="22" width="14.85546875" style="52" bestFit="1" customWidth="1"/>
    <col min="23" max="16384" width="10.85546875" style="52"/>
  </cols>
  <sheetData>
    <row r="2" spans="2:23" x14ac:dyDescent="0.25">
      <c r="B2" s="50" t="s">
        <v>71</v>
      </c>
      <c r="C2" s="51">
        <v>50</v>
      </c>
      <c r="D2" s="52" t="s">
        <v>154</v>
      </c>
      <c r="R2" s="64" t="s">
        <v>241</v>
      </c>
    </row>
    <row r="3" spans="2:23" x14ac:dyDescent="0.25">
      <c r="B3" s="50" t="s">
        <v>236</v>
      </c>
      <c r="C3" s="51">
        <v>5</v>
      </c>
      <c r="D3" s="52" t="s">
        <v>154</v>
      </c>
      <c r="H3" s="53" t="s">
        <v>19</v>
      </c>
      <c r="I3" s="54">
        <f>I35</f>
        <v>53.893722145136735</v>
      </c>
      <c r="L3" s="50" t="s">
        <v>74</v>
      </c>
      <c r="M3" s="55">
        <v>5</v>
      </c>
      <c r="N3" s="56" t="s">
        <v>150</v>
      </c>
      <c r="O3" s="57" t="s">
        <v>151</v>
      </c>
      <c r="R3" s="50" t="s">
        <v>235</v>
      </c>
      <c r="S3" s="54">
        <f>SQRT(1/(1/(C3^2)+C7/(C5^2)))</f>
        <v>0.5431374018707853</v>
      </c>
    </row>
    <row r="4" spans="2:23" x14ac:dyDescent="0.25">
      <c r="B4" s="50" t="s">
        <v>244</v>
      </c>
      <c r="C4" s="58">
        <f>AVERAGE(C35:C225)</f>
        <v>49.388235294117649</v>
      </c>
      <c r="H4" s="53" t="s">
        <v>22</v>
      </c>
      <c r="I4" s="54">
        <f>J35</f>
        <v>44.882748443098563</v>
      </c>
      <c r="L4" s="50" t="s">
        <v>76</v>
      </c>
      <c r="M4" s="54">
        <f>N35</f>
        <v>55</v>
      </c>
      <c r="N4" s="56" t="s">
        <v>80</v>
      </c>
      <c r="O4" s="52" t="s">
        <v>94</v>
      </c>
      <c r="R4" s="50" t="s">
        <v>237</v>
      </c>
      <c r="S4" s="59">
        <f>((C2/(C3^2)+(C7*C4)/(C5^2))/(1/(C3^2)+C7/(C5^2)))</f>
        <v>49.395454074513019</v>
      </c>
    </row>
    <row r="5" spans="2:23" x14ac:dyDescent="0.25">
      <c r="B5" s="50" t="s">
        <v>243</v>
      </c>
      <c r="C5" s="58">
        <f>STDEV(C35:C186)</f>
        <v>2.2527434255095433</v>
      </c>
      <c r="H5" s="53" t="s">
        <v>20</v>
      </c>
      <c r="I5" s="54">
        <f>K35</f>
        <v>56.146465570646278</v>
      </c>
      <c r="L5" s="50" t="s">
        <v>77</v>
      </c>
      <c r="M5" s="54">
        <f>O35</f>
        <v>45</v>
      </c>
      <c r="N5" s="56" t="s">
        <v>81</v>
      </c>
      <c r="O5" s="52" t="s">
        <v>95</v>
      </c>
      <c r="R5" s="50" t="s">
        <v>238</v>
      </c>
      <c r="S5" s="54">
        <f>ABS((S4-C2)/S3)</f>
        <v>1.1130625941146384</v>
      </c>
    </row>
    <row r="6" spans="2:23" x14ac:dyDescent="0.25">
      <c r="B6" s="50" t="s">
        <v>78</v>
      </c>
      <c r="C6" s="59">
        <f>C4-C2</f>
        <v>-0.61176470588235077</v>
      </c>
      <c r="H6" s="53" t="s">
        <v>23</v>
      </c>
      <c r="I6" s="54">
        <f>L35</f>
        <v>42.630005017589021</v>
      </c>
      <c r="K6" s="60"/>
      <c r="L6" s="50" t="s">
        <v>79</v>
      </c>
      <c r="M6" s="59">
        <f>MIN((C4-O35)/(3*C5),(N35-C4)/(3*C5))</f>
        <v>0.64931721982869006</v>
      </c>
      <c r="N6" s="56" t="s">
        <v>83</v>
      </c>
      <c r="O6" s="52" t="s">
        <v>82</v>
      </c>
      <c r="R6" s="50" t="s">
        <v>239</v>
      </c>
      <c r="S6" s="175">
        <f>2*NORMSDIST(S5)-1</f>
        <v>0.73431845260923856</v>
      </c>
      <c r="T6" s="52" t="s">
        <v>240</v>
      </c>
    </row>
    <row r="7" spans="2:23" x14ac:dyDescent="0.25">
      <c r="B7" s="50" t="s">
        <v>234</v>
      </c>
      <c r="C7" s="174">
        <f>COUNT(C35:C171)</f>
        <v>17</v>
      </c>
      <c r="J7" s="65"/>
      <c r="K7" s="173"/>
      <c r="M7" s="60"/>
      <c r="N7" s="62"/>
      <c r="O7" s="63"/>
      <c r="P7" s="56"/>
      <c r="R7" s="50" t="s">
        <v>242</v>
      </c>
      <c r="S7" s="178">
        <v>0.95</v>
      </c>
    </row>
    <row r="8" spans="2:23" x14ac:dyDescent="0.25">
      <c r="B8" s="62"/>
      <c r="C8" s="63"/>
      <c r="E8" s="62"/>
      <c r="F8" s="63"/>
      <c r="G8" s="63"/>
      <c r="H8" s="63"/>
      <c r="J8" s="56"/>
      <c r="M8" s="60"/>
      <c r="W8" s="176"/>
    </row>
    <row r="9" spans="2:23" x14ac:dyDescent="0.25">
      <c r="B9" s="62"/>
      <c r="C9" s="63"/>
      <c r="E9" s="62"/>
      <c r="F9" s="63"/>
      <c r="G9" s="63"/>
      <c r="H9" s="63"/>
      <c r="J9" s="56"/>
      <c r="M9" s="60"/>
      <c r="R9" s="61" t="s">
        <v>155</v>
      </c>
    </row>
    <row r="10" spans="2:23" x14ac:dyDescent="0.25">
      <c r="B10" s="62"/>
      <c r="C10" s="63"/>
      <c r="E10" s="62"/>
      <c r="F10" s="63"/>
      <c r="G10" s="63"/>
      <c r="H10" s="63"/>
      <c r="J10" s="56"/>
      <c r="M10" s="60"/>
      <c r="R10" s="64" t="s">
        <v>84</v>
      </c>
    </row>
    <row r="11" spans="2:23" x14ac:dyDescent="0.25">
      <c r="B11" s="62"/>
      <c r="C11" s="63"/>
      <c r="E11" s="62"/>
      <c r="F11" s="63"/>
      <c r="G11" s="63"/>
      <c r="H11" s="63"/>
      <c r="J11" s="56"/>
      <c r="M11" s="60"/>
      <c r="R11" s="52" t="s">
        <v>122</v>
      </c>
    </row>
    <row r="12" spans="2:23" x14ac:dyDescent="0.25">
      <c r="B12" s="62"/>
      <c r="C12" s="63"/>
      <c r="E12" s="62"/>
      <c r="F12" s="63"/>
      <c r="G12" s="63"/>
      <c r="H12" s="63"/>
      <c r="J12" s="56"/>
      <c r="M12" s="60"/>
      <c r="R12" s="52" t="s">
        <v>141</v>
      </c>
    </row>
    <row r="13" spans="2:23" x14ac:dyDescent="0.25">
      <c r="B13" s="62"/>
      <c r="C13" s="63"/>
      <c r="E13" s="62"/>
      <c r="F13" s="63"/>
      <c r="G13" s="63"/>
      <c r="H13" s="63"/>
      <c r="J13" s="56"/>
      <c r="M13" s="60"/>
      <c r="R13" s="52" t="s">
        <v>96</v>
      </c>
    </row>
    <row r="14" spans="2:23" x14ac:dyDescent="0.25">
      <c r="B14" s="62"/>
      <c r="C14" s="63"/>
      <c r="E14" s="62"/>
      <c r="F14" s="63"/>
      <c r="G14" s="63"/>
      <c r="H14" s="63"/>
      <c r="J14" s="56"/>
      <c r="M14" s="60"/>
    </row>
    <row r="15" spans="2:23" x14ac:dyDescent="0.25">
      <c r="B15" s="62"/>
      <c r="C15" s="63"/>
      <c r="E15" s="62"/>
      <c r="F15" s="63"/>
      <c r="G15" s="63"/>
      <c r="H15" s="63"/>
      <c r="J15" s="56"/>
      <c r="M15" s="60"/>
      <c r="R15" s="64" t="s">
        <v>87</v>
      </c>
    </row>
    <row r="16" spans="2:23" x14ac:dyDescent="0.25">
      <c r="B16" s="62"/>
      <c r="C16" s="63"/>
      <c r="E16" s="62"/>
      <c r="F16" s="63"/>
      <c r="G16" s="63"/>
      <c r="H16" s="63"/>
      <c r="J16" s="56"/>
      <c r="M16" s="60"/>
      <c r="R16" s="52" t="s">
        <v>88</v>
      </c>
    </row>
    <row r="17" spans="2:27" x14ac:dyDescent="0.25">
      <c r="B17" s="62"/>
      <c r="C17" s="63"/>
      <c r="E17" s="62"/>
      <c r="F17" s="63"/>
      <c r="G17" s="63"/>
      <c r="H17" s="63"/>
      <c r="J17" s="56"/>
      <c r="M17" s="60"/>
      <c r="R17" s="52" t="s">
        <v>89</v>
      </c>
    </row>
    <row r="18" spans="2:27" x14ac:dyDescent="0.25">
      <c r="B18" s="62"/>
      <c r="C18" s="63"/>
      <c r="E18" s="62"/>
      <c r="F18" s="63"/>
      <c r="G18" s="63"/>
      <c r="H18" s="63"/>
      <c r="J18" s="56"/>
      <c r="M18" s="60"/>
      <c r="R18" s="52" t="s">
        <v>91</v>
      </c>
    </row>
    <row r="19" spans="2:27" x14ac:dyDescent="0.25">
      <c r="B19" s="62"/>
      <c r="C19" s="63"/>
      <c r="E19" s="62"/>
      <c r="F19" s="63"/>
      <c r="G19" s="63"/>
      <c r="H19" s="63"/>
      <c r="J19" s="56"/>
      <c r="M19" s="60"/>
      <c r="R19" s="52" t="s">
        <v>92</v>
      </c>
    </row>
    <row r="20" spans="2:27" x14ac:dyDescent="0.25">
      <c r="B20" s="62"/>
      <c r="C20" s="63"/>
      <c r="E20" s="62"/>
      <c r="F20" s="63"/>
      <c r="G20" s="63"/>
      <c r="H20" s="63"/>
      <c r="J20" s="56"/>
      <c r="M20" s="60"/>
      <c r="R20" s="52" t="s">
        <v>90</v>
      </c>
    </row>
    <row r="21" spans="2:27" x14ac:dyDescent="0.25">
      <c r="B21" s="62"/>
      <c r="C21" s="63"/>
      <c r="E21" s="62"/>
      <c r="F21" s="63"/>
      <c r="G21" s="63"/>
      <c r="H21" s="63"/>
      <c r="J21" s="56"/>
      <c r="M21" s="60"/>
      <c r="R21" s="52" t="s">
        <v>93</v>
      </c>
    </row>
    <row r="22" spans="2:27" x14ac:dyDescent="0.25">
      <c r="B22" s="62"/>
      <c r="C22" s="63"/>
      <c r="E22" s="62"/>
      <c r="F22" s="63"/>
      <c r="G22" s="63"/>
      <c r="H22" s="63"/>
      <c r="J22" s="56"/>
      <c r="M22" s="60"/>
    </row>
    <row r="23" spans="2:27" x14ac:dyDescent="0.25">
      <c r="B23" s="62"/>
      <c r="C23" s="63"/>
      <c r="E23" s="62"/>
      <c r="F23" s="63"/>
      <c r="G23" s="63"/>
      <c r="H23" s="63"/>
      <c r="J23" s="56"/>
      <c r="M23" s="60"/>
      <c r="R23" s="64" t="s">
        <v>123</v>
      </c>
    </row>
    <row r="24" spans="2:27" x14ac:dyDescent="0.25">
      <c r="B24" s="62"/>
      <c r="C24" s="63"/>
      <c r="E24" s="62"/>
      <c r="F24" s="63"/>
      <c r="G24" s="63"/>
      <c r="H24" s="63"/>
      <c r="J24" s="56"/>
      <c r="M24" s="60"/>
      <c r="R24" s="52" t="s">
        <v>124</v>
      </c>
    </row>
    <row r="25" spans="2:27" x14ac:dyDescent="0.25">
      <c r="B25" s="62"/>
      <c r="C25" s="63"/>
      <c r="E25" s="62"/>
      <c r="F25" s="63"/>
      <c r="G25" s="63"/>
      <c r="H25" s="63"/>
      <c r="J25" s="56"/>
      <c r="M25" s="60"/>
      <c r="R25" s="52" t="s">
        <v>156</v>
      </c>
    </row>
    <row r="26" spans="2:27" x14ac:dyDescent="0.25">
      <c r="B26" s="62"/>
      <c r="C26" s="63"/>
      <c r="E26" s="62"/>
      <c r="F26" s="63"/>
      <c r="G26" s="63"/>
      <c r="H26" s="63"/>
      <c r="J26" s="56"/>
      <c r="M26" s="60"/>
    </row>
    <row r="27" spans="2:27" x14ac:dyDescent="0.25">
      <c r="B27" s="62"/>
      <c r="C27" s="63"/>
      <c r="E27" s="62"/>
      <c r="F27" s="63"/>
      <c r="G27" s="63"/>
      <c r="H27" s="63"/>
      <c r="J27" s="56"/>
      <c r="M27" s="60"/>
      <c r="R27" s="179"/>
    </row>
    <row r="28" spans="2:27" x14ac:dyDescent="0.25">
      <c r="B28" s="62"/>
      <c r="C28" s="63"/>
      <c r="E28" s="62"/>
      <c r="F28" s="63"/>
      <c r="G28" s="63"/>
      <c r="H28" s="63"/>
      <c r="J28" s="56"/>
      <c r="M28" s="60"/>
    </row>
    <row r="29" spans="2:27" x14ac:dyDescent="0.25">
      <c r="B29" s="62"/>
      <c r="C29" s="63"/>
      <c r="E29" s="62"/>
      <c r="F29" s="63"/>
      <c r="G29" s="63"/>
      <c r="H29" s="63"/>
      <c r="J29" s="56"/>
      <c r="M29" s="60"/>
    </row>
    <row r="30" spans="2:27" x14ac:dyDescent="0.25">
      <c r="B30" s="62"/>
      <c r="C30" s="63"/>
      <c r="E30" s="62"/>
      <c r="F30" s="63"/>
      <c r="G30" s="63"/>
      <c r="H30" s="63"/>
      <c r="J30" s="56"/>
      <c r="M30" s="60"/>
    </row>
    <row r="31" spans="2:27" x14ac:dyDescent="0.25">
      <c r="B31" s="62"/>
      <c r="C31" s="63"/>
      <c r="E31" s="62"/>
      <c r="F31" s="63"/>
      <c r="G31" s="63"/>
      <c r="H31" s="63"/>
      <c r="J31" s="56"/>
      <c r="M31" s="60"/>
    </row>
    <row r="32" spans="2:27" x14ac:dyDescent="0.25">
      <c r="B32" s="62"/>
      <c r="C32" s="63"/>
      <c r="E32" s="180"/>
      <c r="F32" s="182"/>
      <c r="G32" s="182"/>
      <c r="H32" s="182"/>
      <c r="I32" s="182"/>
      <c r="J32" s="182"/>
      <c r="K32" s="182"/>
      <c r="L32" s="182"/>
      <c r="M32" s="182"/>
      <c r="N32" s="182"/>
      <c r="O32" s="182"/>
      <c r="P32" s="182"/>
      <c r="Q32" s="182"/>
      <c r="R32" s="182"/>
      <c r="S32" s="182"/>
      <c r="T32" s="183"/>
      <c r="U32" s="183"/>
      <c r="V32" s="183"/>
      <c r="W32" s="183"/>
      <c r="X32" s="183"/>
      <c r="Y32" s="183"/>
      <c r="Z32" s="183"/>
      <c r="AA32" s="183"/>
    </row>
    <row r="33" spans="1:27" x14ac:dyDescent="0.25">
      <c r="E33" s="183"/>
      <c r="F33" s="183"/>
      <c r="G33" s="183"/>
      <c r="H33" s="183"/>
      <c r="I33" s="184"/>
      <c r="J33" s="184"/>
      <c r="K33" s="184"/>
      <c r="L33" s="184"/>
      <c r="M33" s="184"/>
      <c r="N33" s="184"/>
      <c r="O33" s="184"/>
      <c r="P33" s="184"/>
      <c r="Q33" s="191" t="s">
        <v>147</v>
      </c>
      <c r="R33" s="180">
        <v>1</v>
      </c>
      <c r="S33" s="180">
        <v>2</v>
      </c>
      <c r="T33" s="180">
        <v>3</v>
      </c>
      <c r="U33" s="180">
        <v>4</v>
      </c>
      <c r="V33" s="180">
        <v>5</v>
      </c>
      <c r="W33" s="180">
        <v>6</v>
      </c>
      <c r="X33" s="180">
        <v>7</v>
      </c>
      <c r="Y33" s="183"/>
      <c r="Z33" s="183"/>
      <c r="AA33" s="183"/>
    </row>
    <row r="34" spans="1:27" x14ac:dyDescent="0.25">
      <c r="B34" s="50" t="s">
        <v>73</v>
      </c>
      <c r="C34" s="50" t="s">
        <v>72</v>
      </c>
      <c r="D34" s="190" t="s">
        <v>155</v>
      </c>
      <c r="E34" s="185"/>
      <c r="F34" s="183"/>
      <c r="G34" s="180"/>
      <c r="H34" s="180"/>
      <c r="I34" s="180" t="s">
        <v>19</v>
      </c>
      <c r="J34" s="180" t="s">
        <v>22</v>
      </c>
      <c r="K34" s="180" t="s">
        <v>20</v>
      </c>
      <c r="L34" s="180" t="s">
        <v>23</v>
      </c>
      <c r="M34" s="180" t="s">
        <v>75</v>
      </c>
      <c r="N34" s="180" t="s">
        <v>76</v>
      </c>
      <c r="O34" s="180" t="s">
        <v>77</v>
      </c>
      <c r="P34" s="180" t="s">
        <v>140</v>
      </c>
      <c r="Q34" s="191"/>
      <c r="R34" s="180" t="s">
        <v>245</v>
      </c>
      <c r="S34" s="186" t="s">
        <v>144</v>
      </c>
      <c r="T34" s="180" t="s">
        <v>143</v>
      </c>
      <c r="U34" s="180" t="s">
        <v>145</v>
      </c>
      <c r="V34" s="180" t="s">
        <v>146</v>
      </c>
      <c r="W34" s="180" t="s">
        <v>148</v>
      </c>
      <c r="X34" s="180" t="s">
        <v>149</v>
      </c>
      <c r="Y34" s="183"/>
      <c r="Z34" s="183"/>
      <c r="AA34" s="183"/>
    </row>
    <row r="35" spans="1:27" x14ac:dyDescent="0.25">
      <c r="A35" s="52">
        <v>1</v>
      </c>
      <c r="B35" s="50">
        <f>IF(ISNUMBER(C35),A35,"")</f>
        <v>1</v>
      </c>
      <c r="C35" s="177">
        <v>54</v>
      </c>
      <c r="D35" s="190" t="str">
        <f>IF(Q33=1,$R$34,IF(Q33=2,$S$34,IF(Q33=3,$T$34,IF(Q33=4,$U$34,IF(Q35=5,$V$34,IF(Q35=6,$W$34,IF(Q35=7,$X$34,"OK")))))))</f>
        <v>2LS +/-</v>
      </c>
      <c r="E35" s="187"/>
      <c r="F35" s="183"/>
      <c r="G35" s="180"/>
      <c r="H35" s="181"/>
      <c r="I35" s="181">
        <f>C4+2*C5</f>
        <v>53.893722145136735</v>
      </c>
      <c r="J35" s="181">
        <f>C4-2*C5</f>
        <v>44.882748443098563</v>
      </c>
      <c r="K35" s="181">
        <f>C4+3*C5</f>
        <v>56.146465570646278</v>
      </c>
      <c r="L35" s="181">
        <f>C4-3*C5</f>
        <v>42.630005017589021</v>
      </c>
      <c r="M35" s="181">
        <f>C2</f>
        <v>50</v>
      </c>
      <c r="N35" s="181">
        <f>M35+M3</f>
        <v>55</v>
      </c>
      <c r="O35" s="181">
        <f>M35-M3</f>
        <v>45</v>
      </c>
      <c r="P35" s="181">
        <f>C4</f>
        <v>49.388235294117649</v>
      </c>
      <c r="Q35" s="188">
        <f>SUM(R35:X35)</f>
        <v>7</v>
      </c>
      <c r="R35" s="180" t="s">
        <v>142</v>
      </c>
      <c r="S35" s="180" t="s">
        <v>142</v>
      </c>
      <c r="T35" s="180" t="s">
        <v>142</v>
      </c>
      <c r="U35" s="180" t="s">
        <v>142</v>
      </c>
      <c r="V35" s="180" t="s">
        <v>142</v>
      </c>
      <c r="W35" s="180" t="str">
        <f t="shared" ref="W35:W98" si="0">IF(C35&gt;N35,IF(C35&lt;O35,6,""),"")</f>
        <v/>
      </c>
      <c r="X35" s="180">
        <f>IF(AND(C35&gt;I35,C34&gt;I35),7,"")</f>
        <v>7</v>
      </c>
      <c r="Y35" s="183"/>
      <c r="Z35" s="183"/>
      <c r="AA35" s="183"/>
    </row>
    <row r="36" spans="1:27" x14ac:dyDescent="0.25">
      <c r="A36" s="52">
        <v>2</v>
      </c>
      <c r="B36" s="50">
        <f t="shared" ref="B36:B99" si="1">IF(ISNUMBER(C36),A36,"")</f>
        <v>2</v>
      </c>
      <c r="C36" s="177">
        <v>52</v>
      </c>
      <c r="D36" s="190" t="str">
        <f t="shared" ref="D36:D55" si="2">IF(Q36=1,$R$34,IF(Q36=2,$S$34,IF(Q36=3,$T$34,IF(Q36=4,$U$34,IF(Q36=5,$V$34,IF(Q36=6,$W$34,IF(Q36=7,$X$34,"OK")))))))</f>
        <v>OK</v>
      </c>
      <c r="E36" s="187"/>
      <c r="F36" s="180"/>
      <c r="G36" s="185"/>
      <c r="H36" s="185"/>
      <c r="I36" s="181">
        <f t="shared" ref="I36:P36" si="3">I35</f>
        <v>53.893722145136735</v>
      </c>
      <c r="J36" s="181">
        <f t="shared" si="3"/>
        <v>44.882748443098563</v>
      </c>
      <c r="K36" s="181">
        <f t="shared" si="3"/>
        <v>56.146465570646278</v>
      </c>
      <c r="L36" s="181">
        <f t="shared" si="3"/>
        <v>42.630005017589021</v>
      </c>
      <c r="M36" s="181">
        <f t="shared" si="3"/>
        <v>50</v>
      </c>
      <c r="N36" s="181">
        <f t="shared" si="3"/>
        <v>55</v>
      </c>
      <c r="O36" s="181">
        <f t="shared" si="3"/>
        <v>45</v>
      </c>
      <c r="P36" s="181">
        <f t="shared" si="3"/>
        <v>49.388235294117649</v>
      </c>
      <c r="Q36" s="188">
        <f>SUM(R36:X36)</f>
        <v>0</v>
      </c>
      <c r="R36" s="180" t="s">
        <v>142</v>
      </c>
      <c r="S36" s="180" t="s">
        <v>142</v>
      </c>
      <c r="T36" s="180" t="s">
        <v>142</v>
      </c>
      <c r="U36" s="180" t="s">
        <v>142</v>
      </c>
      <c r="V36" s="180" t="str">
        <f t="shared" ref="V36:V99" si="4">IF(ISNUMBER(C36),IF(ABS(C36-C35)&gt;4*$C$5,5,""),"")</f>
        <v/>
      </c>
      <c r="W36" s="180" t="str">
        <f t="shared" si="0"/>
        <v/>
      </c>
      <c r="X36" s="180" t="str">
        <f t="shared" ref="X36:X99" si="5">IF(AND(C36&gt;I35,C35&gt;I35),7,"")</f>
        <v/>
      </c>
      <c r="Y36" s="183"/>
      <c r="Z36" s="183"/>
      <c r="AA36" s="183"/>
    </row>
    <row r="37" spans="1:27" x14ac:dyDescent="0.25">
      <c r="A37" s="52">
        <v>3</v>
      </c>
      <c r="B37" s="50">
        <f t="shared" si="1"/>
        <v>3</v>
      </c>
      <c r="C37" s="177">
        <v>51</v>
      </c>
      <c r="D37" s="190" t="str">
        <f t="shared" si="2"/>
        <v>OK</v>
      </c>
      <c r="E37" s="187"/>
      <c r="F37" s="180"/>
      <c r="G37" s="185"/>
      <c r="H37" s="185"/>
      <c r="I37" s="181">
        <f t="shared" ref="I37:J64" si="6">I36</f>
        <v>53.893722145136735</v>
      </c>
      <c r="J37" s="181">
        <f t="shared" si="6"/>
        <v>44.882748443098563</v>
      </c>
      <c r="K37" s="181">
        <f t="shared" ref="K37:L64" si="7">K36</f>
        <v>56.146465570646278</v>
      </c>
      <c r="L37" s="181">
        <f t="shared" si="7"/>
        <v>42.630005017589021</v>
      </c>
      <c r="M37" s="181">
        <f t="shared" ref="M37:M100" si="8">M36</f>
        <v>50</v>
      </c>
      <c r="N37" s="181">
        <f t="shared" ref="N37:N100" si="9">N36</f>
        <v>55</v>
      </c>
      <c r="O37" s="181">
        <f t="shared" ref="O37:O100" si="10">O36</f>
        <v>45</v>
      </c>
      <c r="P37" s="181">
        <f t="shared" ref="P37:P100" si="11">P36</f>
        <v>49.388235294117649</v>
      </c>
      <c r="Q37" s="188">
        <f t="shared" ref="Q37:Q64" si="12">SUM(R37:X37)</f>
        <v>0</v>
      </c>
      <c r="R37" s="180" t="s">
        <v>142</v>
      </c>
      <c r="S37" s="180" t="s">
        <v>142</v>
      </c>
      <c r="T37" s="180" t="s">
        <v>142</v>
      </c>
      <c r="U37" s="180" t="s">
        <v>142</v>
      </c>
      <c r="V37" s="180" t="str">
        <f t="shared" si="4"/>
        <v/>
      </c>
      <c r="W37" s="180" t="str">
        <f t="shared" si="0"/>
        <v/>
      </c>
      <c r="X37" s="180" t="str">
        <f t="shared" si="5"/>
        <v/>
      </c>
      <c r="Y37" s="183"/>
      <c r="Z37" s="183"/>
      <c r="AA37" s="183"/>
    </row>
    <row r="38" spans="1:27" x14ac:dyDescent="0.25">
      <c r="A38" s="52">
        <v>4</v>
      </c>
      <c r="B38" s="50">
        <f t="shared" si="1"/>
        <v>4</v>
      </c>
      <c r="C38" s="177">
        <v>53</v>
      </c>
      <c r="D38" s="190" t="str">
        <f t="shared" si="2"/>
        <v>OK</v>
      </c>
      <c r="E38" s="187"/>
      <c r="F38" s="185"/>
      <c r="G38" s="185"/>
      <c r="H38" s="185"/>
      <c r="I38" s="181">
        <f t="shared" si="6"/>
        <v>53.893722145136735</v>
      </c>
      <c r="J38" s="181">
        <f t="shared" si="6"/>
        <v>44.882748443098563</v>
      </c>
      <c r="K38" s="181">
        <f t="shared" si="7"/>
        <v>56.146465570646278</v>
      </c>
      <c r="L38" s="181">
        <f t="shared" si="7"/>
        <v>42.630005017589021</v>
      </c>
      <c r="M38" s="181">
        <f t="shared" si="8"/>
        <v>50</v>
      </c>
      <c r="N38" s="181">
        <f t="shared" si="9"/>
        <v>55</v>
      </c>
      <c r="O38" s="181">
        <f t="shared" si="10"/>
        <v>45</v>
      </c>
      <c r="P38" s="181">
        <f t="shared" si="11"/>
        <v>49.388235294117649</v>
      </c>
      <c r="Q38" s="188">
        <f t="shared" si="12"/>
        <v>0</v>
      </c>
      <c r="R38" s="180" t="s">
        <v>142</v>
      </c>
      <c r="S38" s="180" t="s">
        <v>142</v>
      </c>
      <c r="T38" s="180" t="s">
        <v>142</v>
      </c>
      <c r="U38" s="180" t="s">
        <v>142</v>
      </c>
      <c r="V38" s="180" t="str">
        <f t="shared" si="4"/>
        <v/>
      </c>
      <c r="W38" s="180" t="str">
        <f t="shared" si="0"/>
        <v/>
      </c>
      <c r="X38" s="180" t="str">
        <f t="shared" si="5"/>
        <v/>
      </c>
      <c r="Y38" s="183"/>
      <c r="Z38" s="183"/>
      <c r="AA38" s="183"/>
    </row>
    <row r="39" spans="1:27" x14ac:dyDescent="0.25">
      <c r="A39" s="52">
        <v>5</v>
      </c>
      <c r="B39" s="50">
        <f t="shared" si="1"/>
        <v>5</v>
      </c>
      <c r="C39" s="177">
        <v>50</v>
      </c>
      <c r="D39" s="190" t="str">
        <f t="shared" si="2"/>
        <v>OK</v>
      </c>
      <c r="E39" s="187"/>
      <c r="F39" s="185"/>
      <c r="G39" s="185"/>
      <c r="H39" s="185"/>
      <c r="I39" s="181">
        <f t="shared" si="6"/>
        <v>53.893722145136735</v>
      </c>
      <c r="J39" s="181">
        <f t="shared" si="6"/>
        <v>44.882748443098563</v>
      </c>
      <c r="K39" s="181">
        <f t="shared" si="7"/>
        <v>56.146465570646278</v>
      </c>
      <c r="L39" s="181">
        <f t="shared" si="7"/>
        <v>42.630005017589021</v>
      </c>
      <c r="M39" s="181">
        <f t="shared" si="8"/>
        <v>50</v>
      </c>
      <c r="N39" s="181">
        <f t="shared" si="9"/>
        <v>55</v>
      </c>
      <c r="O39" s="181">
        <f t="shared" si="10"/>
        <v>45</v>
      </c>
      <c r="P39" s="181">
        <f t="shared" si="11"/>
        <v>49.388235294117649</v>
      </c>
      <c r="Q39" s="188">
        <f t="shared" si="12"/>
        <v>0</v>
      </c>
      <c r="R39" s="180" t="s">
        <v>142</v>
      </c>
      <c r="S39" s="180" t="s">
        <v>142</v>
      </c>
      <c r="T39" s="180" t="s">
        <v>142</v>
      </c>
      <c r="U39" s="180" t="s">
        <v>142</v>
      </c>
      <c r="V39" s="180" t="str">
        <f t="shared" si="4"/>
        <v/>
      </c>
      <c r="W39" s="180" t="str">
        <f t="shared" si="0"/>
        <v/>
      </c>
      <c r="X39" s="180" t="str">
        <f t="shared" si="5"/>
        <v/>
      </c>
      <c r="Y39" s="183"/>
      <c r="Z39" s="183"/>
      <c r="AA39" s="183"/>
    </row>
    <row r="40" spans="1:27" x14ac:dyDescent="0.25">
      <c r="A40" s="52">
        <v>6</v>
      </c>
      <c r="B40" s="50">
        <f t="shared" si="1"/>
        <v>6</v>
      </c>
      <c r="C40" s="177">
        <v>50.5</v>
      </c>
      <c r="D40" s="190" t="str">
        <f t="shared" si="2"/>
        <v>OK</v>
      </c>
      <c r="E40" s="189">
        <f>IF(ISBLANK(C40),"",AVERAGE(C$35:C40))</f>
        <v>51.75</v>
      </c>
      <c r="F40" s="185"/>
      <c r="G40" s="185"/>
      <c r="H40" s="185"/>
      <c r="I40" s="181">
        <f t="shared" si="6"/>
        <v>53.893722145136735</v>
      </c>
      <c r="J40" s="181">
        <f t="shared" si="6"/>
        <v>44.882748443098563</v>
      </c>
      <c r="K40" s="181">
        <f t="shared" si="7"/>
        <v>56.146465570646278</v>
      </c>
      <c r="L40" s="181">
        <f t="shared" si="7"/>
        <v>42.630005017589021</v>
      </c>
      <c r="M40" s="181">
        <f t="shared" si="8"/>
        <v>50</v>
      </c>
      <c r="N40" s="181">
        <f t="shared" si="9"/>
        <v>55</v>
      </c>
      <c r="O40" s="181">
        <f t="shared" si="10"/>
        <v>45</v>
      </c>
      <c r="P40" s="181">
        <f t="shared" si="11"/>
        <v>49.388235294117649</v>
      </c>
      <c r="Q40" s="188">
        <f t="shared" si="12"/>
        <v>0</v>
      </c>
      <c r="R40" s="180" t="str">
        <f t="shared" ref="R40:R103" si="13">IF(AND(C40&gt;C39,C39&gt;C38,C38&gt;C37,C37&gt;C36,C36&gt;C35),1,"")</f>
        <v/>
      </c>
      <c r="S40" s="180" t="str">
        <f t="shared" ref="S40:S103" si="14">IF(AND(C40&lt;C39,C39&lt;C38,C38&lt;C37,C37&lt;C36,C36&lt;C35),2,"")</f>
        <v/>
      </c>
      <c r="T40" s="180" t="s">
        <v>142</v>
      </c>
      <c r="U40" s="180" t="s">
        <v>142</v>
      </c>
      <c r="V40" s="180" t="str">
        <f t="shared" si="4"/>
        <v/>
      </c>
      <c r="W40" s="180" t="str">
        <f t="shared" si="0"/>
        <v/>
      </c>
      <c r="X40" s="180" t="str">
        <f t="shared" si="5"/>
        <v/>
      </c>
      <c r="Y40" s="183"/>
      <c r="Z40" s="183"/>
      <c r="AA40" s="183"/>
    </row>
    <row r="41" spans="1:27" x14ac:dyDescent="0.25">
      <c r="A41" s="52">
        <v>7</v>
      </c>
      <c r="B41" s="50">
        <f t="shared" si="1"/>
        <v>7</v>
      </c>
      <c r="C41" s="177">
        <v>50.1</v>
      </c>
      <c r="D41" s="190" t="str">
        <f t="shared" si="2"/>
        <v>OK</v>
      </c>
      <c r="E41" s="189">
        <f>IF(ISBLANK(C41),"",AVERAGE(C$35:C41))</f>
        <v>51.51428571428572</v>
      </c>
      <c r="F41" s="185"/>
      <c r="G41" s="185"/>
      <c r="H41" s="185"/>
      <c r="I41" s="181">
        <f t="shared" si="6"/>
        <v>53.893722145136735</v>
      </c>
      <c r="J41" s="181">
        <f t="shared" si="6"/>
        <v>44.882748443098563</v>
      </c>
      <c r="K41" s="181">
        <f t="shared" si="7"/>
        <v>56.146465570646278</v>
      </c>
      <c r="L41" s="181">
        <f t="shared" si="7"/>
        <v>42.630005017589021</v>
      </c>
      <c r="M41" s="181">
        <f t="shared" si="8"/>
        <v>50</v>
      </c>
      <c r="N41" s="181">
        <f t="shared" si="9"/>
        <v>55</v>
      </c>
      <c r="O41" s="181">
        <f t="shared" si="10"/>
        <v>45</v>
      </c>
      <c r="P41" s="181">
        <f t="shared" si="11"/>
        <v>49.388235294117649</v>
      </c>
      <c r="Q41" s="188">
        <f t="shared" si="12"/>
        <v>0</v>
      </c>
      <c r="R41" s="180" t="str">
        <f t="shared" si="13"/>
        <v/>
      </c>
      <c r="S41" s="180" t="str">
        <f t="shared" si="14"/>
        <v/>
      </c>
      <c r="T41" s="180" t="s">
        <v>142</v>
      </c>
      <c r="U41" s="180" t="s">
        <v>142</v>
      </c>
      <c r="V41" s="180" t="str">
        <f t="shared" si="4"/>
        <v/>
      </c>
      <c r="W41" s="180" t="str">
        <f t="shared" si="0"/>
        <v/>
      </c>
      <c r="X41" s="180" t="str">
        <f t="shared" si="5"/>
        <v/>
      </c>
      <c r="Y41" s="183"/>
      <c r="Z41" s="183"/>
      <c r="AA41" s="183"/>
    </row>
    <row r="42" spans="1:27" x14ac:dyDescent="0.25">
      <c r="A42" s="52">
        <v>8</v>
      </c>
      <c r="B42" s="50">
        <f t="shared" si="1"/>
        <v>8</v>
      </c>
      <c r="C42" s="177">
        <v>49.7</v>
      </c>
      <c r="D42" s="190" t="str">
        <f t="shared" si="2"/>
        <v>OK</v>
      </c>
      <c r="E42" s="189">
        <f>IF(ISBLANK(C42),"",AVERAGE(C$35:C42))</f>
        <v>51.287500000000001</v>
      </c>
      <c r="F42" s="185"/>
      <c r="G42" s="185"/>
      <c r="H42" s="185"/>
      <c r="I42" s="181">
        <f t="shared" si="6"/>
        <v>53.893722145136735</v>
      </c>
      <c r="J42" s="181">
        <f t="shared" si="6"/>
        <v>44.882748443098563</v>
      </c>
      <c r="K42" s="181">
        <f t="shared" si="7"/>
        <v>56.146465570646278</v>
      </c>
      <c r="L42" s="181">
        <f t="shared" si="7"/>
        <v>42.630005017589021</v>
      </c>
      <c r="M42" s="181">
        <f t="shared" si="8"/>
        <v>50</v>
      </c>
      <c r="N42" s="181">
        <f t="shared" si="9"/>
        <v>55</v>
      </c>
      <c r="O42" s="181">
        <f t="shared" si="10"/>
        <v>45</v>
      </c>
      <c r="P42" s="181">
        <f t="shared" si="11"/>
        <v>49.388235294117649</v>
      </c>
      <c r="Q42" s="188">
        <f t="shared" si="12"/>
        <v>0</v>
      </c>
      <c r="R42" s="180" t="str">
        <f t="shared" si="13"/>
        <v/>
      </c>
      <c r="S42" s="180" t="str">
        <f t="shared" si="14"/>
        <v/>
      </c>
      <c r="T42" s="180" t="s">
        <v>142</v>
      </c>
      <c r="U42" s="180" t="s">
        <v>142</v>
      </c>
      <c r="V42" s="180" t="str">
        <f t="shared" si="4"/>
        <v/>
      </c>
      <c r="W42" s="180" t="str">
        <f t="shared" si="0"/>
        <v/>
      </c>
      <c r="X42" s="180" t="str">
        <f t="shared" si="5"/>
        <v/>
      </c>
      <c r="Y42" s="183"/>
      <c r="Z42" s="183"/>
      <c r="AA42" s="183"/>
    </row>
    <row r="43" spans="1:27" x14ac:dyDescent="0.25">
      <c r="A43" s="52">
        <v>9</v>
      </c>
      <c r="B43" s="50">
        <f t="shared" si="1"/>
        <v>9</v>
      </c>
      <c r="C43" s="177">
        <v>49.3</v>
      </c>
      <c r="D43" s="190" t="str">
        <f t="shared" si="2"/>
        <v>OK</v>
      </c>
      <c r="E43" s="189">
        <f>IF(ISBLANK(C43),"",AVERAGE(C$35:C43))</f>
        <v>51.06666666666667</v>
      </c>
      <c r="F43" s="185"/>
      <c r="G43" s="185"/>
      <c r="H43" s="185"/>
      <c r="I43" s="181">
        <f t="shared" si="6"/>
        <v>53.893722145136735</v>
      </c>
      <c r="J43" s="181">
        <f t="shared" si="6"/>
        <v>44.882748443098563</v>
      </c>
      <c r="K43" s="181">
        <f t="shared" si="7"/>
        <v>56.146465570646278</v>
      </c>
      <c r="L43" s="181">
        <f t="shared" si="7"/>
        <v>42.630005017589021</v>
      </c>
      <c r="M43" s="181">
        <f t="shared" si="8"/>
        <v>50</v>
      </c>
      <c r="N43" s="181">
        <f t="shared" si="9"/>
        <v>55</v>
      </c>
      <c r="O43" s="181">
        <f t="shared" si="10"/>
        <v>45</v>
      </c>
      <c r="P43" s="181">
        <f t="shared" si="11"/>
        <v>49.388235294117649</v>
      </c>
      <c r="Q43" s="188">
        <f>SUM(R43:X43)</f>
        <v>0</v>
      </c>
      <c r="R43" s="180" t="str">
        <f t="shared" si="13"/>
        <v/>
      </c>
      <c r="S43" s="180" t="str">
        <f t="shared" si="14"/>
        <v/>
      </c>
      <c r="T43" s="180" t="str">
        <f t="shared" ref="T43:T106" si="15">IF(AND(C43&gt;$C$2,C42&gt;$C$2,C41&gt;$C$2,C40&gt;$C$2,C39&gt;$C$2,C38&gt;$C$2,C37&gt;$C$2,C36&gt;$C$2,C35&gt;$C$2),3,"")</f>
        <v/>
      </c>
      <c r="U43" s="180" t="str">
        <f t="shared" ref="U43:U106" si="16">IF(AND(I43&lt;$C$2,I42&lt;$C$2,I41&lt;$C$2,I40&lt;$C$2,I39&lt;$C$2,I38&lt;$C$2,I37&lt;$C$2,I36&lt;$C$2,I35&lt;$C$2),4,"")</f>
        <v/>
      </c>
      <c r="V43" s="180" t="str">
        <f t="shared" si="4"/>
        <v/>
      </c>
      <c r="W43" s="180" t="str">
        <f t="shared" si="0"/>
        <v/>
      </c>
      <c r="X43" s="180" t="str">
        <f t="shared" si="5"/>
        <v/>
      </c>
      <c r="Y43" s="183"/>
      <c r="Z43" s="183"/>
      <c r="AA43" s="183"/>
    </row>
    <row r="44" spans="1:27" x14ac:dyDescent="0.25">
      <c r="A44" s="52">
        <v>10</v>
      </c>
      <c r="B44" s="50">
        <f t="shared" si="1"/>
        <v>10</v>
      </c>
      <c r="C44" s="177">
        <v>48.9</v>
      </c>
      <c r="D44" s="190" t="str">
        <f t="shared" si="2"/>
        <v>OK</v>
      </c>
      <c r="E44" s="189">
        <f>IF(ISBLANK(C44),"",AVERAGE(C$35:C44))</f>
        <v>50.85</v>
      </c>
      <c r="F44" s="185"/>
      <c r="G44" s="185"/>
      <c r="H44" s="185"/>
      <c r="I44" s="181">
        <f t="shared" si="6"/>
        <v>53.893722145136735</v>
      </c>
      <c r="J44" s="181">
        <f t="shared" si="6"/>
        <v>44.882748443098563</v>
      </c>
      <c r="K44" s="181">
        <f t="shared" si="7"/>
        <v>56.146465570646278</v>
      </c>
      <c r="L44" s="181">
        <f t="shared" si="7"/>
        <v>42.630005017589021</v>
      </c>
      <c r="M44" s="181">
        <f t="shared" si="8"/>
        <v>50</v>
      </c>
      <c r="N44" s="181">
        <f t="shared" si="9"/>
        <v>55</v>
      </c>
      <c r="O44" s="181">
        <f t="shared" si="10"/>
        <v>45</v>
      </c>
      <c r="P44" s="181">
        <f t="shared" si="11"/>
        <v>49.388235294117649</v>
      </c>
      <c r="Q44" s="188">
        <f t="shared" si="12"/>
        <v>0</v>
      </c>
      <c r="R44" s="180" t="str">
        <f t="shared" si="13"/>
        <v/>
      </c>
      <c r="S44" s="180" t="str">
        <f t="shared" si="14"/>
        <v/>
      </c>
      <c r="T44" s="180" t="str">
        <f t="shared" si="15"/>
        <v/>
      </c>
      <c r="U44" s="180" t="str">
        <f t="shared" si="16"/>
        <v/>
      </c>
      <c r="V44" s="180" t="str">
        <f t="shared" si="4"/>
        <v/>
      </c>
      <c r="W44" s="180" t="str">
        <f t="shared" si="0"/>
        <v/>
      </c>
      <c r="X44" s="180" t="str">
        <f t="shared" si="5"/>
        <v/>
      </c>
      <c r="Y44" s="183"/>
      <c r="Z44" s="183"/>
      <c r="AA44" s="183"/>
    </row>
    <row r="45" spans="1:27" x14ac:dyDescent="0.25">
      <c r="A45" s="52">
        <v>11</v>
      </c>
      <c r="B45" s="50">
        <f t="shared" si="1"/>
        <v>11</v>
      </c>
      <c r="C45" s="177">
        <v>48.5</v>
      </c>
      <c r="D45" s="190" t="str">
        <f t="shared" si="2"/>
        <v>6 ↘</v>
      </c>
      <c r="E45" s="189">
        <f>IF(ISBLANK(C45),"",AVERAGE(C$35:C45))</f>
        <v>50.636363636363633</v>
      </c>
      <c r="F45" s="185"/>
      <c r="G45" s="185"/>
      <c r="H45" s="185"/>
      <c r="I45" s="181">
        <f t="shared" si="6"/>
        <v>53.893722145136735</v>
      </c>
      <c r="J45" s="181">
        <f t="shared" si="6"/>
        <v>44.882748443098563</v>
      </c>
      <c r="K45" s="181">
        <f t="shared" si="7"/>
        <v>56.146465570646278</v>
      </c>
      <c r="L45" s="181">
        <f t="shared" si="7"/>
        <v>42.630005017589021</v>
      </c>
      <c r="M45" s="181">
        <f t="shared" si="8"/>
        <v>50</v>
      </c>
      <c r="N45" s="181">
        <f t="shared" si="9"/>
        <v>55</v>
      </c>
      <c r="O45" s="181">
        <f t="shared" si="10"/>
        <v>45</v>
      </c>
      <c r="P45" s="181">
        <f t="shared" si="11"/>
        <v>49.388235294117649</v>
      </c>
      <c r="Q45" s="188">
        <f t="shared" si="12"/>
        <v>2</v>
      </c>
      <c r="R45" s="180" t="str">
        <f t="shared" si="13"/>
        <v/>
      </c>
      <c r="S45" s="180">
        <f t="shared" si="14"/>
        <v>2</v>
      </c>
      <c r="T45" s="180" t="str">
        <f t="shared" si="15"/>
        <v/>
      </c>
      <c r="U45" s="180" t="str">
        <f t="shared" si="16"/>
        <v/>
      </c>
      <c r="V45" s="180" t="str">
        <f t="shared" si="4"/>
        <v/>
      </c>
      <c r="W45" s="180" t="str">
        <f t="shared" si="0"/>
        <v/>
      </c>
      <c r="X45" s="180" t="str">
        <f t="shared" si="5"/>
        <v/>
      </c>
      <c r="Y45" s="183"/>
      <c r="Z45" s="183"/>
      <c r="AA45" s="183"/>
    </row>
    <row r="46" spans="1:27" x14ac:dyDescent="0.25">
      <c r="A46" s="52">
        <v>12</v>
      </c>
      <c r="B46" s="50">
        <f t="shared" si="1"/>
        <v>12</v>
      </c>
      <c r="C46" s="177">
        <v>48.1</v>
      </c>
      <c r="D46" s="190" t="str">
        <f t="shared" si="2"/>
        <v>6 ↘</v>
      </c>
      <c r="E46" s="189">
        <f>IF(ISBLANK(C46),"",AVERAGE(C$35:C46))</f>
        <v>50.425000000000004</v>
      </c>
      <c r="F46" s="185"/>
      <c r="G46" s="185"/>
      <c r="H46" s="185"/>
      <c r="I46" s="181">
        <f t="shared" si="6"/>
        <v>53.893722145136735</v>
      </c>
      <c r="J46" s="181">
        <f t="shared" si="6"/>
        <v>44.882748443098563</v>
      </c>
      <c r="K46" s="181">
        <f t="shared" si="7"/>
        <v>56.146465570646278</v>
      </c>
      <c r="L46" s="181">
        <f t="shared" si="7"/>
        <v>42.630005017589021</v>
      </c>
      <c r="M46" s="181">
        <f t="shared" si="8"/>
        <v>50</v>
      </c>
      <c r="N46" s="181">
        <f t="shared" si="9"/>
        <v>55</v>
      </c>
      <c r="O46" s="181">
        <f t="shared" si="10"/>
        <v>45</v>
      </c>
      <c r="P46" s="181">
        <f t="shared" si="11"/>
        <v>49.388235294117649</v>
      </c>
      <c r="Q46" s="188">
        <f t="shared" si="12"/>
        <v>2</v>
      </c>
      <c r="R46" s="180" t="str">
        <f t="shared" si="13"/>
        <v/>
      </c>
      <c r="S46" s="180">
        <f t="shared" si="14"/>
        <v>2</v>
      </c>
      <c r="T46" s="180" t="str">
        <f t="shared" si="15"/>
        <v/>
      </c>
      <c r="U46" s="180" t="str">
        <f t="shared" si="16"/>
        <v/>
      </c>
      <c r="V46" s="180" t="str">
        <f t="shared" si="4"/>
        <v/>
      </c>
      <c r="W46" s="180" t="str">
        <f t="shared" si="0"/>
        <v/>
      </c>
      <c r="X46" s="180" t="str">
        <f t="shared" si="5"/>
        <v/>
      </c>
      <c r="Y46" s="183"/>
      <c r="Z46" s="183"/>
      <c r="AA46" s="183"/>
    </row>
    <row r="47" spans="1:27" x14ac:dyDescent="0.25">
      <c r="A47" s="52">
        <v>13</v>
      </c>
      <c r="B47" s="50">
        <f t="shared" si="1"/>
        <v>13</v>
      </c>
      <c r="C47" s="177">
        <v>47.7</v>
      </c>
      <c r="D47" s="190" t="str">
        <f t="shared" si="2"/>
        <v>6 ↘</v>
      </c>
      <c r="E47" s="189">
        <f>IF(ISBLANK(C47),"",AVERAGE(C$35:C47))</f>
        <v>50.215384615384622</v>
      </c>
      <c r="F47" s="185"/>
      <c r="G47" s="185"/>
      <c r="H47" s="185"/>
      <c r="I47" s="181">
        <f t="shared" si="6"/>
        <v>53.893722145136735</v>
      </c>
      <c r="J47" s="181">
        <f t="shared" si="6"/>
        <v>44.882748443098563</v>
      </c>
      <c r="K47" s="181">
        <f t="shared" si="7"/>
        <v>56.146465570646278</v>
      </c>
      <c r="L47" s="181">
        <f t="shared" si="7"/>
        <v>42.630005017589021</v>
      </c>
      <c r="M47" s="181">
        <f t="shared" si="8"/>
        <v>50</v>
      </c>
      <c r="N47" s="181">
        <f t="shared" si="9"/>
        <v>55</v>
      </c>
      <c r="O47" s="181">
        <f t="shared" si="10"/>
        <v>45</v>
      </c>
      <c r="P47" s="181">
        <f t="shared" si="11"/>
        <v>49.388235294117649</v>
      </c>
      <c r="Q47" s="188">
        <f t="shared" si="12"/>
        <v>2</v>
      </c>
      <c r="R47" s="180" t="str">
        <f t="shared" si="13"/>
        <v/>
      </c>
      <c r="S47" s="180">
        <f t="shared" si="14"/>
        <v>2</v>
      </c>
      <c r="T47" s="180" t="str">
        <f t="shared" si="15"/>
        <v/>
      </c>
      <c r="U47" s="180" t="str">
        <f t="shared" si="16"/>
        <v/>
      </c>
      <c r="V47" s="180" t="str">
        <f t="shared" si="4"/>
        <v/>
      </c>
      <c r="W47" s="180" t="str">
        <f t="shared" si="0"/>
        <v/>
      </c>
      <c r="X47" s="180" t="str">
        <f t="shared" si="5"/>
        <v/>
      </c>
      <c r="Y47" s="183"/>
      <c r="Z47" s="183"/>
      <c r="AA47" s="183"/>
    </row>
    <row r="48" spans="1:27" x14ac:dyDescent="0.25">
      <c r="A48" s="52">
        <v>14</v>
      </c>
      <c r="B48" s="50">
        <f t="shared" si="1"/>
        <v>14</v>
      </c>
      <c r="C48" s="177">
        <v>47.3</v>
      </c>
      <c r="D48" s="190" t="str">
        <f t="shared" si="2"/>
        <v>6 ↘</v>
      </c>
      <c r="E48" s="189">
        <f>IF(ISBLANK(C48),"",AVERAGE(C$35:C48))</f>
        <v>50.00714285714286</v>
      </c>
      <c r="F48" s="185"/>
      <c r="G48" s="185"/>
      <c r="H48" s="185"/>
      <c r="I48" s="181">
        <f t="shared" si="6"/>
        <v>53.893722145136735</v>
      </c>
      <c r="J48" s="181">
        <f t="shared" si="6"/>
        <v>44.882748443098563</v>
      </c>
      <c r="K48" s="181">
        <f t="shared" si="7"/>
        <v>56.146465570646278</v>
      </c>
      <c r="L48" s="181">
        <f t="shared" si="7"/>
        <v>42.630005017589021</v>
      </c>
      <c r="M48" s="181">
        <f t="shared" si="8"/>
        <v>50</v>
      </c>
      <c r="N48" s="181">
        <f t="shared" si="9"/>
        <v>55</v>
      </c>
      <c r="O48" s="181">
        <f t="shared" si="10"/>
        <v>45</v>
      </c>
      <c r="P48" s="181">
        <f t="shared" si="11"/>
        <v>49.388235294117649</v>
      </c>
      <c r="Q48" s="188">
        <f t="shared" si="12"/>
        <v>2</v>
      </c>
      <c r="R48" s="180" t="str">
        <f t="shared" si="13"/>
        <v/>
      </c>
      <c r="S48" s="180">
        <f t="shared" si="14"/>
        <v>2</v>
      </c>
      <c r="T48" s="180" t="str">
        <f t="shared" si="15"/>
        <v/>
      </c>
      <c r="U48" s="180" t="str">
        <f t="shared" si="16"/>
        <v/>
      </c>
      <c r="V48" s="180" t="str">
        <f t="shared" si="4"/>
        <v/>
      </c>
      <c r="W48" s="180" t="str">
        <f t="shared" si="0"/>
        <v/>
      </c>
      <c r="X48" s="180" t="str">
        <f t="shared" si="5"/>
        <v/>
      </c>
      <c r="Y48" s="183"/>
      <c r="Z48" s="183"/>
      <c r="AA48" s="183"/>
    </row>
    <row r="49" spans="1:27" x14ac:dyDescent="0.25">
      <c r="A49" s="52">
        <v>15</v>
      </c>
      <c r="B49" s="50">
        <f t="shared" si="1"/>
        <v>15</v>
      </c>
      <c r="C49" s="177">
        <v>46.9</v>
      </c>
      <c r="D49" s="190" t="str">
        <f t="shared" si="2"/>
        <v>6 ↘</v>
      </c>
      <c r="E49" s="189">
        <f>IF(ISBLANK(C49),"",AVERAGE(C$35:C49))</f>
        <v>49.8</v>
      </c>
      <c r="F49" s="185"/>
      <c r="G49" s="185"/>
      <c r="H49" s="185"/>
      <c r="I49" s="181">
        <f t="shared" si="6"/>
        <v>53.893722145136735</v>
      </c>
      <c r="J49" s="181">
        <f t="shared" si="6"/>
        <v>44.882748443098563</v>
      </c>
      <c r="K49" s="181">
        <f t="shared" si="7"/>
        <v>56.146465570646278</v>
      </c>
      <c r="L49" s="181">
        <f t="shared" si="7"/>
        <v>42.630005017589021</v>
      </c>
      <c r="M49" s="181">
        <f t="shared" si="8"/>
        <v>50</v>
      </c>
      <c r="N49" s="181">
        <f t="shared" si="9"/>
        <v>55</v>
      </c>
      <c r="O49" s="181">
        <f t="shared" si="10"/>
        <v>45</v>
      </c>
      <c r="P49" s="181">
        <f t="shared" si="11"/>
        <v>49.388235294117649</v>
      </c>
      <c r="Q49" s="188">
        <f t="shared" si="12"/>
        <v>2</v>
      </c>
      <c r="R49" s="180" t="str">
        <f t="shared" si="13"/>
        <v/>
      </c>
      <c r="S49" s="180">
        <f t="shared" si="14"/>
        <v>2</v>
      </c>
      <c r="T49" s="180" t="str">
        <f t="shared" si="15"/>
        <v/>
      </c>
      <c r="U49" s="180" t="str">
        <f t="shared" si="16"/>
        <v/>
      </c>
      <c r="V49" s="180" t="str">
        <f t="shared" si="4"/>
        <v/>
      </c>
      <c r="W49" s="180" t="str">
        <f t="shared" si="0"/>
        <v/>
      </c>
      <c r="X49" s="180" t="str">
        <f t="shared" si="5"/>
        <v/>
      </c>
      <c r="Y49" s="183"/>
      <c r="Z49" s="183"/>
      <c r="AA49" s="183"/>
    </row>
    <row r="50" spans="1:27" x14ac:dyDescent="0.25">
      <c r="A50" s="52">
        <v>16</v>
      </c>
      <c r="B50" s="50">
        <f t="shared" si="1"/>
        <v>16</v>
      </c>
      <c r="C50" s="177">
        <v>46.5</v>
      </c>
      <c r="D50" s="190" t="str">
        <f t="shared" si="2"/>
        <v>6 ↘</v>
      </c>
      <c r="E50" s="189">
        <f>IF(ISBLANK(C50),"",AVERAGE(C$35:C50))</f>
        <v>49.59375</v>
      </c>
      <c r="F50" s="185"/>
      <c r="G50" s="185"/>
      <c r="H50" s="185"/>
      <c r="I50" s="181">
        <f t="shared" si="6"/>
        <v>53.893722145136735</v>
      </c>
      <c r="J50" s="181">
        <f t="shared" si="6"/>
        <v>44.882748443098563</v>
      </c>
      <c r="K50" s="181">
        <f t="shared" si="7"/>
        <v>56.146465570646278</v>
      </c>
      <c r="L50" s="181">
        <f t="shared" si="7"/>
        <v>42.630005017589021</v>
      </c>
      <c r="M50" s="181">
        <f t="shared" si="8"/>
        <v>50</v>
      </c>
      <c r="N50" s="181">
        <f t="shared" si="9"/>
        <v>55</v>
      </c>
      <c r="O50" s="181">
        <f t="shared" si="10"/>
        <v>45</v>
      </c>
      <c r="P50" s="181">
        <f t="shared" si="11"/>
        <v>49.388235294117649</v>
      </c>
      <c r="Q50" s="188">
        <f t="shared" si="12"/>
        <v>2</v>
      </c>
      <c r="R50" s="180" t="str">
        <f t="shared" si="13"/>
        <v/>
      </c>
      <c r="S50" s="180">
        <f t="shared" si="14"/>
        <v>2</v>
      </c>
      <c r="T50" s="180" t="str">
        <f t="shared" si="15"/>
        <v/>
      </c>
      <c r="U50" s="180" t="str">
        <f t="shared" si="16"/>
        <v/>
      </c>
      <c r="V50" s="180" t="str">
        <f t="shared" si="4"/>
        <v/>
      </c>
      <c r="W50" s="180" t="str">
        <f t="shared" si="0"/>
        <v/>
      </c>
      <c r="X50" s="180" t="str">
        <f t="shared" si="5"/>
        <v/>
      </c>
      <c r="Y50" s="183"/>
      <c r="Z50" s="183"/>
      <c r="AA50" s="183"/>
    </row>
    <row r="51" spans="1:27" x14ac:dyDescent="0.25">
      <c r="A51" s="52">
        <v>17</v>
      </c>
      <c r="B51" s="50">
        <f t="shared" si="1"/>
        <v>17</v>
      </c>
      <c r="C51" s="177">
        <v>46.1</v>
      </c>
      <c r="D51" s="190" t="str">
        <f t="shared" si="2"/>
        <v>6 ↘</v>
      </c>
      <c r="E51" s="189">
        <f>IF(ISBLANK(C51),"",AVERAGE(C$35:C51))</f>
        <v>49.388235294117649</v>
      </c>
      <c r="F51" s="185"/>
      <c r="G51" s="185"/>
      <c r="H51" s="185"/>
      <c r="I51" s="181">
        <f t="shared" si="6"/>
        <v>53.893722145136735</v>
      </c>
      <c r="J51" s="181">
        <f t="shared" si="6"/>
        <v>44.882748443098563</v>
      </c>
      <c r="K51" s="181">
        <f t="shared" si="7"/>
        <v>56.146465570646278</v>
      </c>
      <c r="L51" s="181">
        <f t="shared" si="7"/>
        <v>42.630005017589021</v>
      </c>
      <c r="M51" s="181">
        <f t="shared" si="8"/>
        <v>50</v>
      </c>
      <c r="N51" s="181">
        <f t="shared" si="9"/>
        <v>55</v>
      </c>
      <c r="O51" s="181">
        <f t="shared" si="10"/>
        <v>45</v>
      </c>
      <c r="P51" s="181">
        <f t="shared" si="11"/>
        <v>49.388235294117649</v>
      </c>
      <c r="Q51" s="188">
        <f t="shared" si="12"/>
        <v>2</v>
      </c>
      <c r="R51" s="180" t="str">
        <f t="shared" si="13"/>
        <v/>
      </c>
      <c r="S51" s="180">
        <f t="shared" si="14"/>
        <v>2</v>
      </c>
      <c r="T51" s="180" t="str">
        <f t="shared" si="15"/>
        <v/>
      </c>
      <c r="U51" s="180" t="str">
        <f t="shared" si="16"/>
        <v/>
      </c>
      <c r="V51" s="180" t="str">
        <f t="shared" si="4"/>
        <v/>
      </c>
      <c r="W51" s="180" t="str">
        <f t="shared" si="0"/>
        <v/>
      </c>
      <c r="X51" s="180" t="str">
        <f t="shared" si="5"/>
        <v/>
      </c>
      <c r="Y51" s="183"/>
      <c r="Z51" s="183"/>
      <c r="AA51" s="183"/>
    </row>
    <row r="52" spans="1:27" x14ac:dyDescent="0.25">
      <c r="A52" s="52">
        <v>18</v>
      </c>
      <c r="B52" s="50" t="str">
        <f t="shared" si="1"/>
        <v/>
      </c>
      <c r="C52" s="177"/>
      <c r="D52" s="190" t="str">
        <f t="shared" si="2"/>
        <v>6 ↘</v>
      </c>
      <c r="E52" s="189" t="str">
        <f>IF(ISBLANK(C52),"",AVERAGE(C$35:C52))</f>
        <v/>
      </c>
      <c r="F52" s="185"/>
      <c r="G52" s="185"/>
      <c r="H52" s="185"/>
      <c r="I52" s="181">
        <f t="shared" si="6"/>
        <v>53.893722145136735</v>
      </c>
      <c r="J52" s="181">
        <f t="shared" si="6"/>
        <v>44.882748443098563</v>
      </c>
      <c r="K52" s="181">
        <f t="shared" si="7"/>
        <v>56.146465570646278</v>
      </c>
      <c r="L52" s="181">
        <f t="shared" si="7"/>
        <v>42.630005017589021</v>
      </c>
      <c r="M52" s="181">
        <f t="shared" si="8"/>
        <v>50</v>
      </c>
      <c r="N52" s="181">
        <f t="shared" si="9"/>
        <v>55</v>
      </c>
      <c r="O52" s="181">
        <f t="shared" si="10"/>
        <v>45</v>
      </c>
      <c r="P52" s="181">
        <f t="shared" si="11"/>
        <v>49.388235294117649</v>
      </c>
      <c r="Q52" s="188">
        <f t="shared" si="12"/>
        <v>2</v>
      </c>
      <c r="R52" s="180" t="str">
        <f t="shared" si="13"/>
        <v/>
      </c>
      <c r="S52" s="180">
        <f t="shared" si="14"/>
        <v>2</v>
      </c>
      <c r="T52" s="180" t="str">
        <f t="shared" si="15"/>
        <v/>
      </c>
      <c r="U52" s="180" t="str">
        <f t="shared" si="16"/>
        <v/>
      </c>
      <c r="V52" s="180" t="str">
        <f t="shared" si="4"/>
        <v/>
      </c>
      <c r="W52" s="180" t="str">
        <f t="shared" si="0"/>
        <v/>
      </c>
      <c r="X52" s="180" t="str">
        <f t="shared" si="5"/>
        <v/>
      </c>
      <c r="Y52" s="183"/>
      <c r="Z52" s="183"/>
      <c r="AA52" s="183"/>
    </row>
    <row r="53" spans="1:27" x14ac:dyDescent="0.25">
      <c r="A53" s="52">
        <v>19</v>
      </c>
      <c r="B53" s="50" t="str">
        <f t="shared" si="1"/>
        <v/>
      </c>
      <c r="C53" s="177"/>
      <c r="D53" s="190" t="str">
        <f t="shared" si="2"/>
        <v>OK</v>
      </c>
      <c r="E53" s="189" t="str">
        <f>IF(ISBLANK(C53),"",AVERAGE(C$35:C53))</f>
        <v/>
      </c>
      <c r="F53" s="185"/>
      <c r="G53" s="185"/>
      <c r="H53" s="185"/>
      <c r="I53" s="181">
        <f t="shared" si="6"/>
        <v>53.893722145136735</v>
      </c>
      <c r="J53" s="181">
        <f t="shared" si="6"/>
        <v>44.882748443098563</v>
      </c>
      <c r="K53" s="181">
        <f t="shared" si="7"/>
        <v>56.146465570646278</v>
      </c>
      <c r="L53" s="181">
        <f t="shared" si="7"/>
        <v>42.630005017589021</v>
      </c>
      <c r="M53" s="181">
        <f t="shared" si="8"/>
        <v>50</v>
      </c>
      <c r="N53" s="181">
        <f t="shared" si="9"/>
        <v>55</v>
      </c>
      <c r="O53" s="181">
        <f t="shared" si="10"/>
        <v>45</v>
      </c>
      <c r="P53" s="181">
        <f t="shared" si="11"/>
        <v>49.388235294117649</v>
      </c>
      <c r="Q53" s="188">
        <f t="shared" si="12"/>
        <v>0</v>
      </c>
      <c r="R53" s="180" t="str">
        <f t="shared" si="13"/>
        <v/>
      </c>
      <c r="S53" s="180" t="str">
        <f t="shared" si="14"/>
        <v/>
      </c>
      <c r="T53" s="180" t="str">
        <f t="shared" si="15"/>
        <v/>
      </c>
      <c r="U53" s="180" t="str">
        <f t="shared" si="16"/>
        <v/>
      </c>
      <c r="V53" s="180" t="str">
        <f t="shared" si="4"/>
        <v/>
      </c>
      <c r="W53" s="180" t="str">
        <f t="shared" si="0"/>
        <v/>
      </c>
      <c r="X53" s="180" t="str">
        <f t="shared" si="5"/>
        <v/>
      </c>
      <c r="Y53" s="183"/>
      <c r="Z53" s="183"/>
      <c r="AA53" s="183"/>
    </row>
    <row r="54" spans="1:27" x14ac:dyDescent="0.25">
      <c r="A54" s="52">
        <v>20</v>
      </c>
      <c r="B54" s="50" t="str">
        <f t="shared" si="1"/>
        <v/>
      </c>
      <c r="C54" s="177"/>
      <c r="D54" s="190" t="str">
        <f t="shared" si="2"/>
        <v>OK</v>
      </c>
      <c r="E54" s="189" t="str">
        <f>IF(ISBLANK(C54),"",AVERAGE(C$35:C54))</f>
        <v/>
      </c>
      <c r="F54" s="185"/>
      <c r="G54" s="185"/>
      <c r="H54" s="185"/>
      <c r="I54" s="181">
        <f t="shared" si="6"/>
        <v>53.893722145136735</v>
      </c>
      <c r="J54" s="181">
        <f t="shared" si="6"/>
        <v>44.882748443098563</v>
      </c>
      <c r="K54" s="181">
        <f t="shared" si="7"/>
        <v>56.146465570646278</v>
      </c>
      <c r="L54" s="181">
        <f t="shared" si="7"/>
        <v>42.630005017589021</v>
      </c>
      <c r="M54" s="181">
        <f t="shared" si="8"/>
        <v>50</v>
      </c>
      <c r="N54" s="181">
        <f t="shared" si="9"/>
        <v>55</v>
      </c>
      <c r="O54" s="181">
        <f t="shared" si="10"/>
        <v>45</v>
      </c>
      <c r="P54" s="181">
        <f t="shared" si="11"/>
        <v>49.388235294117649</v>
      </c>
      <c r="Q54" s="188">
        <f t="shared" si="12"/>
        <v>0</v>
      </c>
      <c r="R54" s="180" t="str">
        <f t="shared" si="13"/>
        <v/>
      </c>
      <c r="S54" s="180" t="str">
        <f t="shared" si="14"/>
        <v/>
      </c>
      <c r="T54" s="180" t="str">
        <f t="shared" si="15"/>
        <v/>
      </c>
      <c r="U54" s="180" t="str">
        <f t="shared" si="16"/>
        <v/>
      </c>
      <c r="V54" s="180" t="str">
        <f t="shared" si="4"/>
        <v/>
      </c>
      <c r="W54" s="180" t="str">
        <f t="shared" si="0"/>
        <v/>
      </c>
      <c r="X54" s="180" t="str">
        <f t="shared" si="5"/>
        <v/>
      </c>
      <c r="Y54" s="183"/>
      <c r="Z54" s="183"/>
      <c r="AA54" s="183"/>
    </row>
    <row r="55" spans="1:27" x14ac:dyDescent="0.25">
      <c r="A55" s="52">
        <v>21</v>
      </c>
      <c r="B55" s="50" t="str">
        <f t="shared" si="1"/>
        <v/>
      </c>
      <c r="C55" s="177"/>
      <c r="D55" s="190" t="str">
        <f t="shared" si="2"/>
        <v>OK</v>
      </c>
      <c r="E55" s="189" t="str">
        <f>IF(ISBLANK(C55),"",AVERAGE(C$35:C55))</f>
        <v/>
      </c>
      <c r="F55" s="185"/>
      <c r="G55" s="185"/>
      <c r="H55" s="185"/>
      <c r="I55" s="181">
        <f t="shared" si="6"/>
        <v>53.893722145136735</v>
      </c>
      <c r="J55" s="181">
        <f t="shared" si="6"/>
        <v>44.882748443098563</v>
      </c>
      <c r="K55" s="181">
        <f t="shared" si="7"/>
        <v>56.146465570646278</v>
      </c>
      <c r="L55" s="181">
        <f t="shared" si="7"/>
        <v>42.630005017589021</v>
      </c>
      <c r="M55" s="181">
        <f t="shared" si="8"/>
        <v>50</v>
      </c>
      <c r="N55" s="181">
        <f t="shared" si="9"/>
        <v>55</v>
      </c>
      <c r="O55" s="181">
        <f t="shared" si="10"/>
        <v>45</v>
      </c>
      <c r="P55" s="181">
        <f t="shared" si="11"/>
        <v>49.388235294117649</v>
      </c>
      <c r="Q55" s="188">
        <f t="shared" si="12"/>
        <v>0</v>
      </c>
      <c r="R55" s="180" t="str">
        <f t="shared" si="13"/>
        <v/>
      </c>
      <c r="S55" s="180" t="str">
        <f t="shared" si="14"/>
        <v/>
      </c>
      <c r="T55" s="180" t="str">
        <f t="shared" si="15"/>
        <v/>
      </c>
      <c r="U55" s="180" t="str">
        <f t="shared" si="16"/>
        <v/>
      </c>
      <c r="V55" s="180" t="str">
        <f t="shared" si="4"/>
        <v/>
      </c>
      <c r="W55" s="180" t="str">
        <f t="shared" si="0"/>
        <v/>
      </c>
      <c r="X55" s="180" t="str">
        <f t="shared" si="5"/>
        <v/>
      </c>
      <c r="Y55" s="183"/>
      <c r="Z55" s="183"/>
      <c r="AA55" s="183"/>
    </row>
    <row r="56" spans="1:27" x14ac:dyDescent="0.25">
      <c r="A56" s="52">
        <v>22</v>
      </c>
      <c r="B56" s="50" t="str">
        <f t="shared" si="1"/>
        <v/>
      </c>
      <c r="C56" s="177"/>
      <c r="D56" s="190" t="str">
        <f>IF(Q56=1,$R$34,IF(Q56=2,$S$34,IF(Q56=3,$T$34,IF(Q56=4,$U$34,IF(Q56=5,$V$34,IF(Q56=6,$W$34,IF(Q56=7,$X$34,"OK")))))))</f>
        <v>OK</v>
      </c>
      <c r="E56" s="189" t="str">
        <f>IF(ISBLANK(C56),"",AVERAGE(C$35:C56))</f>
        <v/>
      </c>
      <c r="F56" s="185"/>
      <c r="G56" s="185"/>
      <c r="H56" s="185"/>
      <c r="I56" s="181">
        <f t="shared" si="6"/>
        <v>53.893722145136735</v>
      </c>
      <c r="J56" s="181">
        <f t="shared" si="6"/>
        <v>44.882748443098563</v>
      </c>
      <c r="K56" s="181">
        <f t="shared" si="7"/>
        <v>56.146465570646278</v>
      </c>
      <c r="L56" s="181">
        <f t="shared" si="7"/>
        <v>42.630005017589021</v>
      </c>
      <c r="M56" s="181">
        <f t="shared" si="8"/>
        <v>50</v>
      </c>
      <c r="N56" s="181">
        <f t="shared" si="9"/>
        <v>55</v>
      </c>
      <c r="O56" s="181">
        <f t="shared" si="10"/>
        <v>45</v>
      </c>
      <c r="P56" s="181">
        <f t="shared" si="11"/>
        <v>49.388235294117649</v>
      </c>
      <c r="Q56" s="188">
        <f t="shared" si="12"/>
        <v>0</v>
      </c>
      <c r="R56" s="180" t="str">
        <f t="shared" si="13"/>
        <v/>
      </c>
      <c r="S56" s="180" t="str">
        <f t="shared" si="14"/>
        <v/>
      </c>
      <c r="T56" s="180" t="str">
        <f t="shared" si="15"/>
        <v/>
      </c>
      <c r="U56" s="180" t="str">
        <f t="shared" si="16"/>
        <v/>
      </c>
      <c r="V56" s="180" t="str">
        <f t="shared" si="4"/>
        <v/>
      </c>
      <c r="W56" s="180" t="str">
        <f t="shared" si="0"/>
        <v/>
      </c>
      <c r="X56" s="180" t="str">
        <f t="shared" si="5"/>
        <v/>
      </c>
      <c r="Y56" s="183"/>
      <c r="Z56" s="183"/>
      <c r="AA56" s="183"/>
    </row>
    <row r="57" spans="1:27" x14ac:dyDescent="0.25">
      <c r="A57" s="52">
        <v>23</v>
      </c>
      <c r="B57" s="50" t="str">
        <f t="shared" si="1"/>
        <v/>
      </c>
      <c r="C57" s="177"/>
      <c r="D57" s="190" t="str">
        <f t="shared" ref="D57:D120" si="17">IF(Q57=1,$R$34,IF(Q57=2,$S$34,IF(Q57=3,$T$34,IF(Q57=4,$U$34,IF(Q57=5,$V$34,IF(Q57=6,$W$34,IF(Q57=7,$X$34,"OK")))))))</f>
        <v>OK</v>
      </c>
      <c r="E57" s="189" t="str">
        <f>IF(ISBLANK(C57),"",AVERAGE(C$35:C57))</f>
        <v/>
      </c>
      <c r="F57" s="185"/>
      <c r="G57" s="185"/>
      <c r="H57" s="185"/>
      <c r="I57" s="181">
        <f t="shared" si="6"/>
        <v>53.893722145136735</v>
      </c>
      <c r="J57" s="181">
        <f t="shared" si="6"/>
        <v>44.882748443098563</v>
      </c>
      <c r="K57" s="181">
        <f t="shared" si="7"/>
        <v>56.146465570646278</v>
      </c>
      <c r="L57" s="181">
        <f t="shared" si="7"/>
        <v>42.630005017589021</v>
      </c>
      <c r="M57" s="181">
        <f t="shared" si="8"/>
        <v>50</v>
      </c>
      <c r="N57" s="181">
        <f t="shared" si="9"/>
        <v>55</v>
      </c>
      <c r="O57" s="181">
        <f t="shared" si="10"/>
        <v>45</v>
      </c>
      <c r="P57" s="181">
        <f t="shared" si="11"/>
        <v>49.388235294117649</v>
      </c>
      <c r="Q57" s="188">
        <f t="shared" si="12"/>
        <v>0</v>
      </c>
      <c r="R57" s="180" t="str">
        <f t="shared" si="13"/>
        <v/>
      </c>
      <c r="S57" s="180" t="str">
        <f t="shared" si="14"/>
        <v/>
      </c>
      <c r="T57" s="180" t="str">
        <f t="shared" si="15"/>
        <v/>
      </c>
      <c r="U57" s="180" t="str">
        <f t="shared" si="16"/>
        <v/>
      </c>
      <c r="V57" s="180" t="str">
        <f t="shared" si="4"/>
        <v/>
      </c>
      <c r="W57" s="180" t="str">
        <f t="shared" si="0"/>
        <v/>
      </c>
      <c r="X57" s="180" t="str">
        <f t="shared" si="5"/>
        <v/>
      </c>
      <c r="Y57" s="183"/>
      <c r="Z57" s="183"/>
      <c r="AA57" s="183"/>
    </row>
    <row r="58" spans="1:27" x14ac:dyDescent="0.25">
      <c r="A58" s="52">
        <v>24</v>
      </c>
      <c r="B58" s="50" t="str">
        <f t="shared" si="1"/>
        <v/>
      </c>
      <c r="C58" s="177"/>
      <c r="D58" s="190" t="str">
        <f t="shared" si="17"/>
        <v>OK</v>
      </c>
      <c r="E58" s="189" t="str">
        <f>IF(ISBLANK(C58),"",AVERAGE(C$35:C58))</f>
        <v/>
      </c>
      <c r="F58" s="185"/>
      <c r="G58" s="185"/>
      <c r="H58" s="185"/>
      <c r="I58" s="181">
        <f t="shared" si="6"/>
        <v>53.893722145136735</v>
      </c>
      <c r="J58" s="181">
        <f t="shared" si="6"/>
        <v>44.882748443098563</v>
      </c>
      <c r="K58" s="181">
        <f t="shared" si="7"/>
        <v>56.146465570646278</v>
      </c>
      <c r="L58" s="181">
        <f t="shared" si="7"/>
        <v>42.630005017589021</v>
      </c>
      <c r="M58" s="181">
        <f t="shared" si="8"/>
        <v>50</v>
      </c>
      <c r="N58" s="181">
        <f t="shared" si="9"/>
        <v>55</v>
      </c>
      <c r="O58" s="181">
        <f t="shared" si="10"/>
        <v>45</v>
      </c>
      <c r="P58" s="181">
        <f t="shared" si="11"/>
        <v>49.388235294117649</v>
      </c>
      <c r="Q58" s="188">
        <f t="shared" si="12"/>
        <v>0</v>
      </c>
      <c r="R58" s="180" t="str">
        <f t="shared" si="13"/>
        <v/>
      </c>
      <c r="S58" s="180" t="str">
        <f t="shared" si="14"/>
        <v/>
      </c>
      <c r="T58" s="180" t="str">
        <f t="shared" si="15"/>
        <v/>
      </c>
      <c r="U58" s="180" t="str">
        <f t="shared" si="16"/>
        <v/>
      </c>
      <c r="V58" s="180" t="str">
        <f t="shared" si="4"/>
        <v/>
      </c>
      <c r="W58" s="180" t="str">
        <f t="shared" si="0"/>
        <v/>
      </c>
      <c r="X58" s="180" t="str">
        <f t="shared" si="5"/>
        <v/>
      </c>
      <c r="Y58" s="183"/>
      <c r="Z58" s="183"/>
      <c r="AA58" s="183"/>
    </row>
    <row r="59" spans="1:27" x14ac:dyDescent="0.25">
      <c r="A59" s="52">
        <v>25</v>
      </c>
      <c r="B59" s="50" t="str">
        <f t="shared" si="1"/>
        <v/>
      </c>
      <c r="C59" s="177"/>
      <c r="D59" s="190" t="str">
        <f t="shared" si="17"/>
        <v>OK</v>
      </c>
      <c r="E59" s="189" t="str">
        <f>IF(ISBLANK(C59),"",AVERAGE(C$35:C59))</f>
        <v/>
      </c>
      <c r="F59" s="185"/>
      <c r="G59" s="185"/>
      <c r="H59" s="185"/>
      <c r="I59" s="181">
        <f t="shared" si="6"/>
        <v>53.893722145136735</v>
      </c>
      <c r="J59" s="181">
        <f t="shared" si="6"/>
        <v>44.882748443098563</v>
      </c>
      <c r="K59" s="181">
        <f t="shared" si="7"/>
        <v>56.146465570646278</v>
      </c>
      <c r="L59" s="181">
        <f t="shared" si="7"/>
        <v>42.630005017589021</v>
      </c>
      <c r="M59" s="181">
        <f t="shared" si="8"/>
        <v>50</v>
      </c>
      <c r="N59" s="181">
        <f t="shared" si="9"/>
        <v>55</v>
      </c>
      <c r="O59" s="181">
        <f t="shared" si="10"/>
        <v>45</v>
      </c>
      <c r="P59" s="181">
        <f t="shared" si="11"/>
        <v>49.388235294117649</v>
      </c>
      <c r="Q59" s="188">
        <f t="shared" si="12"/>
        <v>0</v>
      </c>
      <c r="R59" s="180" t="str">
        <f t="shared" si="13"/>
        <v/>
      </c>
      <c r="S59" s="180" t="str">
        <f t="shared" si="14"/>
        <v/>
      </c>
      <c r="T59" s="180" t="str">
        <f t="shared" si="15"/>
        <v/>
      </c>
      <c r="U59" s="180" t="str">
        <f t="shared" si="16"/>
        <v/>
      </c>
      <c r="V59" s="180" t="str">
        <f t="shared" si="4"/>
        <v/>
      </c>
      <c r="W59" s="180" t="str">
        <f t="shared" si="0"/>
        <v/>
      </c>
      <c r="X59" s="180" t="str">
        <f t="shared" si="5"/>
        <v/>
      </c>
      <c r="Y59" s="183"/>
      <c r="Z59" s="183"/>
      <c r="AA59" s="183"/>
    </row>
    <row r="60" spans="1:27" x14ac:dyDescent="0.25">
      <c r="A60" s="52">
        <v>26</v>
      </c>
      <c r="B60" s="50" t="str">
        <f t="shared" si="1"/>
        <v/>
      </c>
      <c r="C60" s="177"/>
      <c r="D60" s="190" t="str">
        <f t="shared" si="17"/>
        <v>OK</v>
      </c>
      <c r="E60" s="189" t="str">
        <f>IF(ISBLANK(C60),"",AVERAGE(C$35:C60))</f>
        <v/>
      </c>
      <c r="F60" s="185"/>
      <c r="G60" s="185"/>
      <c r="H60" s="185"/>
      <c r="I60" s="181">
        <f t="shared" si="6"/>
        <v>53.893722145136735</v>
      </c>
      <c r="J60" s="181">
        <f t="shared" si="6"/>
        <v>44.882748443098563</v>
      </c>
      <c r="K60" s="181">
        <f t="shared" si="7"/>
        <v>56.146465570646278</v>
      </c>
      <c r="L60" s="181">
        <f t="shared" si="7"/>
        <v>42.630005017589021</v>
      </c>
      <c r="M60" s="181">
        <f t="shared" si="8"/>
        <v>50</v>
      </c>
      <c r="N60" s="181">
        <f t="shared" si="9"/>
        <v>55</v>
      </c>
      <c r="O60" s="181">
        <f t="shared" si="10"/>
        <v>45</v>
      </c>
      <c r="P60" s="181">
        <f t="shared" si="11"/>
        <v>49.388235294117649</v>
      </c>
      <c r="Q60" s="188">
        <f t="shared" si="12"/>
        <v>0</v>
      </c>
      <c r="R60" s="180" t="str">
        <f t="shared" si="13"/>
        <v/>
      </c>
      <c r="S60" s="180" t="str">
        <f t="shared" si="14"/>
        <v/>
      </c>
      <c r="T60" s="180" t="str">
        <f t="shared" si="15"/>
        <v/>
      </c>
      <c r="U60" s="180" t="str">
        <f t="shared" si="16"/>
        <v/>
      </c>
      <c r="V60" s="180" t="str">
        <f t="shared" si="4"/>
        <v/>
      </c>
      <c r="W60" s="180" t="str">
        <f t="shared" si="0"/>
        <v/>
      </c>
      <c r="X60" s="180" t="str">
        <f t="shared" si="5"/>
        <v/>
      </c>
      <c r="Y60" s="183"/>
      <c r="Z60" s="183"/>
      <c r="AA60" s="183"/>
    </row>
    <row r="61" spans="1:27" x14ac:dyDescent="0.25">
      <c r="A61" s="52">
        <v>27</v>
      </c>
      <c r="B61" s="50" t="str">
        <f t="shared" si="1"/>
        <v/>
      </c>
      <c r="C61" s="177"/>
      <c r="D61" s="190" t="str">
        <f t="shared" si="17"/>
        <v>OK</v>
      </c>
      <c r="E61" s="189" t="str">
        <f>IF(ISBLANK(C61),"",AVERAGE(C$35:C61))</f>
        <v/>
      </c>
      <c r="F61" s="185"/>
      <c r="G61" s="185"/>
      <c r="H61" s="185"/>
      <c r="I61" s="181">
        <f t="shared" si="6"/>
        <v>53.893722145136735</v>
      </c>
      <c r="J61" s="181">
        <f t="shared" si="6"/>
        <v>44.882748443098563</v>
      </c>
      <c r="K61" s="181">
        <f t="shared" si="7"/>
        <v>56.146465570646278</v>
      </c>
      <c r="L61" s="181">
        <f t="shared" si="7"/>
        <v>42.630005017589021</v>
      </c>
      <c r="M61" s="181">
        <f t="shared" si="8"/>
        <v>50</v>
      </c>
      <c r="N61" s="181">
        <f t="shared" si="9"/>
        <v>55</v>
      </c>
      <c r="O61" s="181">
        <f t="shared" si="10"/>
        <v>45</v>
      </c>
      <c r="P61" s="181">
        <f t="shared" si="11"/>
        <v>49.388235294117649</v>
      </c>
      <c r="Q61" s="188">
        <f t="shared" si="12"/>
        <v>0</v>
      </c>
      <c r="R61" s="180" t="str">
        <f t="shared" si="13"/>
        <v/>
      </c>
      <c r="S61" s="180" t="str">
        <f t="shared" si="14"/>
        <v/>
      </c>
      <c r="T61" s="180" t="str">
        <f t="shared" si="15"/>
        <v/>
      </c>
      <c r="U61" s="180" t="str">
        <f t="shared" si="16"/>
        <v/>
      </c>
      <c r="V61" s="180" t="str">
        <f t="shared" si="4"/>
        <v/>
      </c>
      <c r="W61" s="180" t="str">
        <f t="shared" si="0"/>
        <v/>
      </c>
      <c r="X61" s="180" t="str">
        <f t="shared" si="5"/>
        <v/>
      </c>
      <c r="Y61" s="183"/>
      <c r="Z61" s="183"/>
      <c r="AA61" s="183"/>
    </row>
    <row r="62" spans="1:27" x14ac:dyDescent="0.25">
      <c r="A62" s="52">
        <v>28</v>
      </c>
      <c r="B62" s="50" t="str">
        <f t="shared" si="1"/>
        <v/>
      </c>
      <c r="C62" s="177"/>
      <c r="D62" s="190" t="str">
        <f t="shared" si="17"/>
        <v>OK</v>
      </c>
      <c r="E62" s="189" t="str">
        <f>IF(ISBLANK(C62),"",AVERAGE(C$35:C62))</f>
        <v/>
      </c>
      <c r="F62" s="185"/>
      <c r="G62" s="185"/>
      <c r="H62" s="185"/>
      <c r="I62" s="181">
        <f t="shared" si="6"/>
        <v>53.893722145136735</v>
      </c>
      <c r="J62" s="181">
        <f t="shared" si="6"/>
        <v>44.882748443098563</v>
      </c>
      <c r="K62" s="181">
        <f t="shared" si="7"/>
        <v>56.146465570646278</v>
      </c>
      <c r="L62" s="181">
        <f t="shared" si="7"/>
        <v>42.630005017589021</v>
      </c>
      <c r="M62" s="181">
        <f t="shared" si="8"/>
        <v>50</v>
      </c>
      <c r="N62" s="181">
        <f t="shared" si="9"/>
        <v>55</v>
      </c>
      <c r="O62" s="181">
        <f t="shared" si="10"/>
        <v>45</v>
      </c>
      <c r="P62" s="181">
        <f t="shared" si="11"/>
        <v>49.388235294117649</v>
      </c>
      <c r="Q62" s="188">
        <f t="shared" si="12"/>
        <v>0</v>
      </c>
      <c r="R62" s="180" t="str">
        <f t="shared" si="13"/>
        <v/>
      </c>
      <c r="S62" s="180" t="str">
        <f t="shared" si="14"/>
        <v/>
      </c>
      <c r="T62" s="180" t="str">
        <f t="shared" si="15"/>
        <v/>
      </c>
      <c r="U62" s="180" t="str">
        <f t="shared" si="16"/>
        <v/>
      </c>
      <c r="V62" s="180" t="str">
        <f t="shared" si="4"/>
        <v/>
      </c>
      <c r="W62" s="180" t="str">
        <f t="shared" si="0"/>
        <v/>
      </c>
      <c r="X62" s="180" t="str">
        <f t="shared" si="5"/>
        <v/>
      </c>
      <c r="Y62" s="183"/>
      <c r="Z62" s="183"/>
      <c r="AA62" s="183"/>
    </row>
    <row r="63" spans="1:27" x14ac:dyDescent="0.25">
      <c r="A63" s="52">
        <v>29</v>
      </c>
      <c r="B63" s="50" t="str">
        <f t="shared" si="1"/>
        <v/>
      </c>
      <c r="C63" s="177"/>
      <c r="D63" s="190" t="str">
        <f t="shared" si="17"/>
        <v>OK</v>
      </c>
      <c r="E63" s="189" t="str">
        <f>IF(ISBLANK(C63),"",AVERAGE(C$35:C63))</f>
        <v/>
      </c>
      <c r="F63" s="185"/>
      <c r="G63" s="185"/>
      <c r="H63" s="185"/>
      <c r="I63" s="181">
        <f t="shared" si="6"/>
        <v>53.893722145136735</v>
      </c>
      <c r="J63" s="181">
        <f t="shared" si="6"/>
        <v>44.882748443098563</v>
      </c>
      <c r="K63" s="181">
        <f t="shared" si="7"/>
        <v>56.146465570646278</v>
      </c>
      <c r="L63" s="181">
        <f t="shared" si="7"/>
        <v>42.630005017589021</v>
      </c>
      <c r="M63" s="181">
        <f t="shared" si="8"/>
        <v>50</v>
      </c>
      <c r="N63" s="181">
        <f t="shared" si="9"/>
        <v>55</v>
      </c>
      <c r="O63" s="181">
        <f t="shared" si="10"/>
        <v>45</v>
      </c>
      <c r="P63" s="181">
        <f t="shared" si="11"/>
        <v>49.388235294117649</v>
      </c>
      <c r="Q63" s="188">
        <f t="shared" si="12"/>
        <v>0</v>
      </c>
      <c r="R63" s="180" t="str">
        <f t="shared" si="13"/>
        <v/>
      </c>
      <c r="S63" s="180" t="str">
        <f t="shared" si="14"/>
        <v/>
      </c>
      <c r="T63" s="180" t="str">
        <f t="shared" si="15"/>
        <v/>
      </c>
      <c r="U63" s="180" t="str">
        <f t="shared" si="16"/>
        <v/>
      </c>
      <c r="V63" s="180" t="str">
        <f t="shared" si="4"/>
        <v/>
      </c>
      <c r="W63" s="180" t="str">
        <f t="shared" si="0"/>
        <v/>
      </c>
      <c r="X63" s="180" t="str">
        <f t="shared" si="5"/>
        <v/>
      </c>
      <c r="Y63" s="183"/>
      <c r="Z63" s="183"/>
      <c r="AA63" s="183"/>
    </row>
    <row r="64" spans="1:27" x14ac:dyDescent="0.25">
      <c r="A64" s="52">
        <v>30</v>
      </c>
      <c r="B64" s="50" t="str">
        <f t="shared" si="1"/>
        <v/>
      </c>
      <c r="C64" s="177"/>
      <c r="D64" s="190" t="str">
        <f t="shared" si="17"/>
        <v>OK</v>
      </c>
      <c r="E64" s="189" t="str">
        <f>IF(ISBLANK(C64),"",AVERAGE(C$35:C64))</f>
        <v/>
      </c>
      <c r="F64" s="185"/>
      <c r="G64" s="185"/>
      <c r="H64" s="185"/>
      <c r="I64" s="181">
        <f t="shared" si="6"/>
        <v>53.893722145136735</v>
      </c>
      <c r="J64" s="181">
        <f t="shared" si="6"/>
        <v>44.882748443098563</v>
      </c>
      <c r="K64" s="181">
        <f t="shared" si="7"/>
        <v>56.146465570646278</v>
      </c>
      <c r="L64" s="181">
        <f t="shared" si="7"/>
        <v>42.630005017589021</v>
      </c>
      <c r="M64" s="181">
        <f t="shared" si="8"/>
        <v>50</v>
      </c>
      <c r="N64" s="181">
        <f t="shared" si="9"/>
        <v>55</v>
      </c>
      <c r="O64" s="181">
        <f t="shared" si="10"/>
        <v>45</v>
      </c>
      <c r="P64" s="181">
        <f t="shared" si="11"/>
        <v>49.388235294117649</v>
      </c>
      <c r="Q64" s="188">
        <f t="shared" si="12"/>
        <v>0</v>
      </c>
      <c r="R64" s="180" t="str">
        <f t="shared" si="13"/>
        <v/>
      </c>
      <c r="S64" s="180" t="str">
        <f t="shared" si="14"/>
        <v/>
      </c>
      <c r="T64" s="180" t="str">
        <f t="shared" si="15"/>
        <v/>
      </c>
      <c r="U64" s="180" t="str">
        <f t="shared" si="16"/>
        <v/>
      </c>
      <c r="V64" s="180" t="str">
        <f t="shared" si="4"/>
        <v/>
      </c>
      <c r="W64" s="180" t="str">
        <f t="shared" si="0"/>
        <v/>
      </c>
      <c r="X64" s="180" t="str">
        <f t="shared" si="5"/>
        <v/>
      </c>
      <c r="Y64" s="183"/>
      <c r="Z64" s="183"/>
      <c r="AA64" s="183"/>
    </row>
    <row r="65" spans="1:27" x14ac:dyDescent="0.25">
      <c r="A65" s="52">
        <v>31</v>
      </c>
      <c r="B65" s="50" t="str">
        <f t="shared" si="1"/>
        <v/>
      </c>
      <c r="C65" s="177"/>
      <c r="D65" s="190" t="str">
        <f t="shared" si="17"/>
        <v>OK</v>
      </c>
      <c r="E65" s="189" t="str">
        <f>IF(ISBLANK(C65),"",AVERAGE(C$35:C65))</f>
        <v/>
      </c>
      <c r="F65" s="185"/>
      <c r="G65" s="185"/>
      <c r="H65" s="185"/>
      <c r="I65" s="181">
        <f t="shared" ref="I65:L65" si="18">I64</f>
        <v>53.893722145136735</v>
      </c>
      <c r="J65" s="181">
        <f t="shared" si="18"/>
        <v>44.882748443098563</v>
      </c>
      <c r="K65" s="181">
        <f t="shared" si="18"/>
        <v>56.146465570646278</v>
      </c>
      <c r="L65" s="181">
        <f t="shared" si="18"/>
        <v>42.630005017589021</v>
      </c>
      <c r="M65" s="181">
        <f t="shared" si="8"/>
        <v>50</v>
      </c>
      <c r="N65" s="181">
        <f t="shared" si="9"/>
        <v>55</v>
      </c>
      <c r="O65" s="181">
        <f t="shared" si="10"/>
        <v>45</v>
      </c>
      <c r="P65" s="181">
        <f t="shared" si="11"/>
        <v>49.388235294117649</v>
      </c>
      <c r="Q65" s="188">
        <f t="shared" ref="Q65:Q128" si="19">SUM(R65:X65)</f>
        <v>0</v>
      </c>
      <c r="R65" s="180" t="str">
        <f t="shared" si="13"/>
        <v/>
      </c>
      <c r="S65" s="180" t="str">
        <f t="shared" si="14"/>
        <v/>
      </c>
      <c r="T65" s="180" t="str">
        <f t="shared" si="15"/>
        <v/>
      </c>
      <c r="U65" s="180" t="str">
        <f t="shared" si="16"/>
        <v/>
      </c>
      <c r="V65" s="180" t="str">
        <f t="shared" si="4"/>
        <v/>
      </c>
      <c r="W65" s="180" t="str">
        <f t="shared" si="0"/>
        <v/>
      </c>
      <c r="X65" s="180" t="str">
        <f t="shared" si="5"/>
        <v/>
      </c>
      <c r="Y65" s="183"/>
      <c r="Z65" s="183"/>
      <c r="AA65" s="183"/>
    </row>
    <row r="66" spans="1:27" x14ac:dyDescent="0.25">
      <c r="A66" s="52">
        <v>32</v>
      </c>
      <c r="B66" s="50" t="str">
        <f t="shared" si="1"/>
        <v/>
      </c>
      <c r="C66" s="177"/>
      <c r="D66" s="190" t="str">
        <f t="shared" si="17"/>
        <v>OK</v>
      </c>
      <c r="E66" s="189" t="str">
        <f>IF(ISBLANK(C66),"",AVERAGE(C$35:C66))</f>
        <v/>
      </c>
      <c r="F66" s="185"/>
      <c r="G66" s="185"/>
      <c r="H66" s="185"/>
      <c r="I66" s="181">
        <f t="shared" ref="I66:L66" si="20">I65</f>
        <v>53.893722145136735</v>
      </c>
      <c r="J66" s="181">
        <f t="shared" si="20"/>
        <v>44.882748443098563</v>
      </c>
      <c r="K66" s="181">
        <f t="shared" si="20"/>
        <v>56.146465570646278</v>
      </c>
      <c r="L66" s="181">
        <f t="shared" si="20"/>
        <v>42.630005017589021</v>
      </c>
      <c r="M66" s="181">
        <f t="shared" si="8"/>
        <v>50</v>
      </c>
      <c r="N66" s="181">
        <f t="shared" si="9"/>
        <v>55</v>
      </c>
      <c r="O66" s="181">
        <f t="shared" si="10"/>
        <v>45</v>
      </c>
      <c r="P66" s="181">
        <f t="shared" si="11"/>
        <v>49.388235294117649</v>
      </c>
      <c r="Q66" s="188">
        <f t="shared" si="19"/>
        <v>0</v>
      </c>
      <c r="R66" s="180" t="str">
        <f t="shared" si="13"/>
        <v/>
      </c>
      <c r="S66" s="180" t="str">
        <f t="shared" si="14"/>
        <v/>
      </c>
      <c r="T66" s="180" t="str">
        <f t="shared" si="15"/>
        <v/>
      </c>
      <c r="U66" s="180" t="str">
        <f t="shared" si="16"/>
        <v/>
      </c>
      <c r="V66" s="180" t="str">
        <f t="shared" si="4"/>
        <v/>
      </c>
      <c r="W66" s="180" t="str">
        <f t="shared" si="0"/>
        <v/>
      </c>
      <c r="X66" s="180" t="str">
        <f t="shared" si="5"/>
        <v/>
      </c>
      <c r="Y66" s="183"/>
      <c r="Z66" s="183"/>
      <c r="AA66" s="183"/>
    </row>
    <row r="67" spans="1:27" x14ac:dyDescent="0.25">
      <c r="A67" s="52">
        <v>33</v>
      </c>
      <c r="B67" s="50" t="str">
        <f t="shared" si="1"/>
        <v/>
      </c>
      <c r="C67" s="177"/>
      <c r="D67" s="190" t="str">
        <f t="shared" si="17"/>
        <v>OK</v>
      </c>
      <c r="E67" s="189" t="str">
        <f>IF(ISBLANK(C67),"",AVERAGE(C$35:C67))</f>
        <v/>
      </c>
      <c r="F67" s="185"/>
      <c r="G67" s="185"/>
      <c r="H67" s="185"/>
      <c r="I67" s="181">
        <f t="shared" ref="I67:L67" si="21">I66</f>
        <v>53.893722145136735</v>
      </c>
      <c r="J67" s="181">
        <f t="shared" si="21"/>
        <v>44.882748443098563</v>
      </c>
      <c r="K67" s="181">
        <f t="shared" si="21"/>
        <v>56.146465570646278</v>
      </c>
      <c r="L67" s="181">
        <f t="shared" si="21"/>
        <v>42.630005017589021</v>
      </c>
      <c r="M67" s="181">
        <f t="shared" si="8"/>
        <v>50</v>
      </c>
      <c r="N67" s="181">
        <f t="shared" si="9"/>
        <v>55</v>
      </c>
      <c r="O67" s="181">
        <f t="shared" si="10"/>
        <v>45</v>
      </c>
      <c r="P67" s="181">
        <f t="shared" si="11"/>
        <v>49.388235294117649</v>
      </c>
      <c r="Q67" s="188">
        <f t="shared" si="19"/>
        <v>0</v>
      </c>
      <c r="R67" s="180" t="str">
        <f t="shared" si="13"/>
        <v/>
      </c>
      <c r="S67" s="180" t="str">
        <f t="shared" si="14"/>
        <v/>
      </c>
      <c r="T67" s="180" t="str">
        <f t="shared" si="15"/>
        <v/>
      </c>
      <c r="U67" s="180" t="str">
        <f t="shared" si="16"/>
        <v/>
      </c>
      <c r="V67" s="180" t="str">
        <f t="shared" si="4"/>
        <v/>
      </c>
      <c r="W67" s="180" t="str">
        <f t="shared" si="0"/>
        <v/>
      </c>
      <c r="X67" s="180" t="str">
        <f t="shared" si="5"/>
        <v/>
      </c>
      <c r="Y67" s="183"/>
      <c r="Z67" s="183"/>
      <c r="AA67" s="183"/>
    </row>
    <row r="68" spans="1:27" x14ac:dyDescent="0.25">
      <c r="A68" s="52">
        <v>34</v>
      </c>
      <c r="B68" s="50" t="str">
        <f t="shared" si="1"/>
        <v/>
      </c>
      <c r="C68" s="177"/>
      <c r="D68" s="190" t="str">
        <f t="shared" si="17"/>
        <v>OK</v>
      </c>
      <c r="E68" s="189" t="str">
        <f>IF(ISBLANK(C68),"",AVERAGE(C$35:C68))</f>
        <v/>
      </c>
      <c r="F68" s="185"/>
      <c r="G68" s="185"/>
      <c r="H68" s="185"/>
      <c r="I68" s="181">
        <f t="shared" ref="I68:L68" si="22">I67</f>
        <v>53.893722145136735</v>
      </c>
      <c r="J68" s="181">
        <f t="shared" si="22"/>
        <v>44.882748443098563</v>
      </c>
      <c r="K68" s="181">
        <f t="shared" si="22"/>
        <v>56.146465570646278</v>
      </c>
      <c r="L68" s="181">
        <f t="shared" si="22"/>
        <v>42.630005017589021</v>
      </c>
      <c r="M68" s="181">
        <f t="shared" si="8"/>
        <v>50</v>
      </c>
      <c r="N68" s="181">
        <f t="shared" si="9"/>
        <v>55</v>
      </c>
      <c r="O68" s="181">
        <f t="shared" si="10"/>
        <v>45</v>
      </c>
      <c r="P68" s="181">
        <f t="shared" si="11"/>
        <v>49.388235294117649</v>
      </c>
      <c r="Q68" s="188">
        <f t="shared" si="19"/>
        <v>0</v>
      </c>
      <c r="R68" s="180" t="str">
        <f t="shared" si="13"/>
        <v/>
      </c>
      <c r="S68" s="180" t="str">
        <f t="shared" si="14"/>
        <v/>
      </c>
      <c r="T68" s="180" t="str">
        <f t="shared" si="15"/>
        <v/>
      </c>
      <c r="U68" s="180" t="str">
        <f t="shared" si="16"/>
        <v/>
      </c>
      <c r="V68" s="180" t="str">
        <f t="shared" si="4"/>
        <v/>
      </c>
      <c r="W68" s="180" t="str">
        <f t="shared" si="0"/>
        <v/>
      </c>
      <c r="X68" s="180" t="str">
        <f t="shared" si="5"/>
        <v/>
      </c>
      <c r="Y68" s="183"/>
      <c r="Z68" s="183"/>
      <c r="AA68" s="183"/>
    </row>
    <row r="69" spans="1:27" x14ac:dyDescent="0.25">
      <c r="A69" s="52">
        <v>35</v>
      </c>
      <c r="B69" s="50" t="str">
        <f t="shared" si="1"/>
        <v/>
      </c>
      <c r="C69" s="177"/>
      <c r="D69" s="190" t="str">
        <f t="shared" si="17"/>
        <v>OK</v>
      </c>
      <c r="E69" s="189" t="str">
        <f>IF(ISBLANK(C69),"",AVERAGE(C$35:C69))</f>
        <v/>
      </c>
      <c r="F69" s="185"/>
      <c r="G69" s="185"/>
      <c r="H69" s="185"/>
      <c r="I69" s="181">
        <f t="shared" ref="I69:L69" si="23">I68</f>
        <v>53.893722145136735</v>
      </c>
      <c r="J69" s="181">
        <f t="shared" si="23"/>
        <v>44.882748443098563</v>
      </c>
      <c r="K69" s="181">
        <f t="shared" si="23"/>
        <v>56.146465570646278</v>
      </c>
      <c r="L69" s="181">
        <f t="shared" si="23"/>
        <v>42.630005017589021</v>
      </c>
      <c r="M69" s="181">
        <f t="shared" si="8"/>
        <v>50</v>
      </c>
      <c r="N69" s="181">
        <f t="shared" si="9"/>
        <v>55</v>
      </c>
      <c r="O69" s="181">
        <f t="shared" si="10"/>
        <v>45</v>
      </c>
      <c r="P69" s="181">
        <f t="shared" si="11"/>
        <v>49.388235294117649</v>
      </c>
      <c r="Q69" s="188">
        <f t="shared" si="19"/>
        <v>0</v>
      </c>
      <c r="R69" s="180" t="str">
        <f t="shared" si="13"/>
        <v/>
      </c>
      <c r="S69" s="180" t="str">
        <f t="shared" si="14"/>
        <v/>
      </c>
      <c r="T69" s="180" t="str">
        <f t="shared" si="15"/>
        <v/>
      </c>
      <c r="U69" s="180" t="str">
        <f t="shared" si="16"/>
        <v/>
      </c>
      <c r="V69" s="180" t="str">
        <f t="shared" si="4"/>
        <v/>
      </c>
      <c r="W69" s="180" t="str">
        <f t="shared" si="0"/>
        <v/>
      </c>
      <c r="X69" s="180" t="str">
        <f t="shared" si="5"/>
        <v/>
      </c>
      <c r="Y69" s="183"/>
      <c r="Z69" s="183"/>
      <c r="AA69" s="183"/>
    </row>
    <row r="70" spans="1:27" x14ac:dyDescent="0.25">
      <c r="A70" s="52">
        <v>36</v>
      </c>
      <c r="B70" s="50" t="str">
        <f t="shared" si="1"/>
        <v/>
      </c>
      <c r="C70" s="177"/>
      <c r="D70" s="190" t="str">
        <f t="shared" si="17"/>
        <v>OK</v>
      </c>
      <c r="E70" s="189" t="str">
        <f>IF(ISBLANK(C70),"",AVERAGE(C$35:C70))</f>
        <v/>
      </c>
      <c r="F70" s="185"/>
      <c r="G70" s="185"/>
      <c r="H70" s="185"/>
      <c r="I70" s="181">
        <f t="shared" ref="I70:L70" si="24">I69</f>
        <v>53.893722145136735</v>
      </c>
      <c r="J70" s="181">
        <f t="shared" si="24"/>
        <v>44.882748443098563</v>
      </c>
      <c r="K70" s="181">
        <f t="shared" si="24"/>
        <v>56.146465570646278</v>
      </c>
      <c r="L70" s="181">
        <f t="shared" si="24"/>
        <v>42.630005017589021</v>
      </c>
      <c r="M70" s="181">
        <f t="shared" si="8"/>
        <v>50</v>
      </c>
      <c r="N70" s="181">
        <f t="shared" si="9"/>
        <v>55</v>
      </c>
      <c r="O70" s="181">
        <f t="shared" si="10"/>
        <v>45</v>
      </c>
      <c r="P70" s="181">
        <f t="shared" si="11"/>
        <v>49.388235294117649</v>
      </c>
      <c r="Q70" s="188">
        <f t="shared" si="19"/>
        <v>0</v>
      </c>
      <c r="R70" s="180" t="str">
        <f t="shared" si="13"/>
        <v/>
      </c>
      <c r="S70" s="180" t="str">
        <f t="shared" si="14"/>
        <v/>
      </c>
      <c r="T70" s="180" t="str">
        <f t="shared" si="15"/>
        <v/>
      </c>
      <c r="U70" s="180" t="str">
        <f t="shared" si="16"/>
        <v/>
      </c>
      <c r="V70" s="180" t="str">
        <f t="shared" si="4"/>
        <v/>
      </c>
      <c r="W70" s="180" t="str">
        <f t="shared" si="0"/>
        <v/>
      </c>
      <c r="X70" s="180" t="str">
        <f t="shared" si="5"/>
        <v/>
      </c>
      <c r="Y70" s="183"/>
      <c r="Z70" s="183"/>
      <c r="AA70" s="183"/>
    </row>
    <row r="71" spans="1:27" x14ac:dyDescent="0.25">
      <c r="A71" s="52">
        <v>37</v>
      </c>
      <c r="B71" s="50" t="str">
        <f t="shared" si="1"/>
        <v/>
      </c>
      <c r="C71" s="177"/>
      <c r="D71" s="190" t="str">
        <f t="shared" si="17"/>
        <v>OK</v>
      </c>
      <c r="E71" s="189" t="str">
        <f>IF(ISBLANK(C71),"",AVERAGE(C$35:C71))</f>
        <v/>
      </c>
      <c r="F71" s="185"/>
      <c r="G71" s="185"/>
      <c r="H71" s="185"/>
      <c r="I71" s="181">
        <f t="shared" ref="I71:L71" si="25">I70</f>
        <v>53.893722145136735</v>
      </c>
      <c r="J71" s="181">
        <f t="shared" si="25"/>
        <v>44.882748443098563</v>
      </c>
      <c r="K71" s="181">
        <f t="shared" si="25"/>
        <v>56.146465570646278</v>
      </c>
      <c r="L71" s="181">
        <f t="shared" si="25"/>
        <v>42.630005017589021</v>
      </c>
      <c r="M71" s="181">
        <f t="shared" si="8"/>
        <v>50</v>
      </c>
      <c r="N71" s="181">
        <f t="shared" si="9"/>
        <v>55</v>
      </c>
      <c r="O71" s="181">
        <f t="shared" si="10"/>
        <v>45</v>
      </c>
      <c r="P71" s="181">
        <f t="shared" si="11"/>
        <v>49.388235294117649</v>
      </c>
      <c r="Q71" s="188">
        <f t="shared" si="19"/>
        <v>0</v>
      </c>
      <c r="R71" s="180" t="str">
        <f t="shared" si="13"/>
        <v/>
      </c>
      <c r="S71" s="180" t="str">
        <f t="shared" si="14"/>
        <v/>
      </c>
      <c r="T71" s="180" t="str">
        <f t="shared" si="15"/>
        <v/>
      </c>
      <c r="U71" s="180" t="str">
        <f t="shared" si="16"/>
        <v/>
      </c>
      <c r="V71" s="180" t="str">
        <f t="shared" si="4"/>
        <v/>
      </c>
      <c r="W71" s="180" t="str">
        <f t="shared" si="0"/>
        <v/>
      </c>
      <c r="X71" s="180" t="str">
        <f t="shared" si="5"/>
        <v/>
      </c>
      <c r="Y71" s="183"/>
      <c r="Z71" s="183"/>
      <c r="AA71" s="183"/>
    </row>
    <row r="72" spans="1:27" x14ac:dyDescent="0.25">
      <c r="A72" s="52">
        <v>38</v>
      </c>
      <c r="B72" s="50" t="str">
        <f t="shared" si="1"/>
        <v/>
      </c>
      <c r="C72" s="177"/>
      <c r="D72" s="190" t="str">
        <f t="shared" si="17"/>
        <v>OK</v>
      </c>
      <c r="E72" s="189" t="str">
        <f>IF(ISBLANK(C72),"",AVERAGE(C$35:C72))</f>
        <v/>
      </c>
      <c r="F72" s="185"/>
      <c r="G72" s="185"/>
      <c r="H72" s="185"/>
      <c r="I72" s="181">
        <f t="shared" ref="I72:L72" si="26">I71</f>
        <v>53.893722145136735</v>
      </c>
      <c r="J72" s="181">
        <f t="shared" si="26"/>
        <v>44.882748443098563</v>
      </c>
      <c r="K72" s="181">
        <f t="shared" si="26"/>
        <v>56.146465570646278</v>
      </c>
      <c r="L72" s="181">
        <f t="shared" si="26"/>
        <v>42.630005017589021</v>
      </c>
      <c r="M72" s="181">
        <f t="shared" si="8"/>
        <v>50</v>
      </c>
      <c r="N72" s="181">
        <f t="shared" si="9"/>
        <v>55</v>
      </c>
      <c r="O72" s="181">
        <f t="shared" si="10"/>
        <v>45</v>
      </c>
      <c r="P72" s="181">
        <f t="shared" si="11"/>
        <v>49.388235294117649</v>
      </c>
      <c r="Q72" s="188">
        <f t="shared" si="19"/>
        <v>0</v>
      </c>
      <c r="R72" s="180" t="str">
        <f t="shared" si="13"/>
        <v/>
      </c>
      <c r="S72" s="180" t="str">
        <f t="shared" si="14"/>
        <v/>
      </c>
      <c r="T72" s="180" t="str">
        <f t="shared" si="15"/>
        <v/>
      </c>
      <c r="U72" s="180" t="str">
        <f t="shared" si="16"/>
        <v/>
      </c>
      <c r="V72" s="180" t="str">
        <f t="shared" si="4"/>
        <v/>
      </c>
      <c r="W72" s="180" t="str">
        <f t="shared" si="0"/>
        <v/>
      </c>
      <c r="X72" s="180" t="str">
        <f t="shared" si="5"/>
        <v/>
      </c>
      <c r="Y72" s="183"/>
      <c r="Z72" s="183"/>
      <c r="AA72" s="183"/>
    </row>
    <row r="73" spans="1:27" x14ac:dyDescent="0.25">
      <c r="A73" s="52">
        <v>39</v>
      </c>
      <c r="B73" s="50" t="str">
        <f t="shared" si="1"/>
        <v/>
      </c>
      <c r="C73" s="177"/>
      <c r="D73" s="190" t="str">
        <f t="shared" si="17"/>
        <v>OK</v>
      </c>
      <c r="E73" s="189" t="str">
        <f>IF(ISBLANK(C73),"",AVERAGE(C$35:C73))</f>
        <v/>
      </c>
      <c r="F73" s="185"/>
      <c r="G73" s="185"/>
      <c r="H73" s="185"/>
      <c r="I73" s="181">
        <f t="shared" ref="I73:L73" si="27">I72</f>
        <v>53.893722145136735</v>
      </c>
      <c r="J73" s="181">
        <f t="shared" si="27"/>
        <v>44.882748443098563</v>
      </c>
      <c r="K73" s="181">
        <f t="shared" si="27"/>
        <v>56.146465570646278</v>
      </c>
      <c r="L73" s="181">
        <f t="shared" si="27"/>
        <v>42.630005017589021</v>
      </c>
      <c r="M73" s="181">
        <f t="shared" si="8"/>
        <v>50</v>
      </c>
      <c r="N73" s="181">
        <f t="shared" si="9"/>
        <v>55</v>
      </c>
      <c r="O73" s="181">
        <f t="shared" si="10"/>
        <v>45</v>
      </c>
      <c r="P73" s="181">
        <f t="shared" si="11"/>
        <v>49.388235294117649</v>
      </c>
      <c r="Q73" s="188">
        <f t="shared" si="19"/>
        <v>0</v>
      </c>
      <c r="R73" s="180" t="str">
        <f t="shared" si="13"/>
        <v/>
      </c>
      <c r="S73" s="180" t="str">
        <f t="shared" si="14"/>
        <v/>
      </c>
      <c r="T73" s="180" t="str">
        <f t="shared" si="15"/>
        <v/>
      </c>
      <c r="U73" s="180" t="str">
        <f t="shared" si="16"/>
        <v/>
      </c>
      <c r="V73" s="180" t="str">
        <f t="shared" si="4"/>
        <v/>
      </c>
      <c r="W73" s="180" t="str">
        <f t="shared" si="0"/>
        <v/>
      </c>
      <c r="X73" s="180" t="str">
        <f t="shared" si="5"/>
        <v/>
      </c>
      <c r="Y73" s="183"/>
      <c r="Z73" s="183"/>
      <c r="AA73" s="183"/>
    </row>
    <row r="74" spans="1:27" x14ac:dyDescent="0.25">
      <c r="A74" s="52">
        <v>40</v>
      </c>
      <c r="B74" s="50" t="str">
        <f t="shared" si="1"/>
        <v/>
      </c>
      <c r="C74" s="177"/>
      <c r="D74" s="190" t="str">
        <f t="shared" si="17"/>
        <v>OK</v>
      </c>
      <c r="E74" s="189" t="str">
        <f>IF(ISBLANK(C74),"",AVERAGE(C$35:C74))</f>
        <v/>
      </c>
      <c r="F74" s="185"/>
      <c r="G74" s="185"/>
      <c r="H74" s="185"/>
      <c r="I74" s="181">
        <f t="shared" ref="I74:L74" si="28">I73</f>
        <v>53.893722145136735</v>
      </c>
      <c r="J74" s="181">
        <f t="shared" si="28"/>
        <v>44.882748443098563</v>
      </c>
      <c r="K74" s="181">
        <f t="shared" si="28"/>
        <v>56.146465570646278</v>
      </c>
      <c r="L74" s="181">
        <f t="shared" si="28"/>
        <v>42.630005017589021</v>
      </c>
      <c r="M74" s="181">
        <f t="shared" si="8"/>
        <v>50</v>
      </c>
      <c r="N74" s="181">
        <f t="shared" si="9"/>
        <v>55</v>
      </c>
      <c r="O74" s="181">
        <f t="shared" si="10"/>
        <v>45</v>
      </c>
      <c r="P74" s="181">
        <f t="shared" si="11"/>
        <v>49.388235294117649</v>
      </c>
      <c r="Q74" s="188">
        <f t="shared" si="19"/>
        <v>0</v>
      </c>
      <c r="R74" s="180" t="str">
        <f t="shared" si="13"/>
        <v/>
      </c>
      <c r="S74" s="180" t="str">
        <f t="shared" si="14"/>
        <v/>
      </c>
      <c r="T74" s="180" t="str">
        <f t="shared" si="15"/>
        <v/>
      </c>
      <c r="U74" s="180" t="str">
        <f t="shared" si="16"/>
        <v/>
      </c>
      <c r="V74" s="180" t="str">
        <f t="shared" si="4"/>
        <v/>
      </c>
      <c r="W74" s="180" t="str">
        <f t="shared" si="0"/>
        <v/>
      </c>
      <c r="X74" s="180" t="str">
        <f t="shared" si="5"/>
        <v/>
      </c>
      <c r="Y74" s="183"/>
      <c r="Z74" s="183"/>
      <c r="AA74" s="183"/>
    </row>
    <row r="75" spans="1:27" x14ac:dyDescent="0.25">
      <c r="A75" s="52">
        <v>41</v>
      </c>
      <c r="B75" s="50" t="str">
        <f t="shared" si="1"/>
        <v/>
      </c>
      <c r="C75" s="177"/>
      <c r="D75" s="190" t="str">
        <f t="shared" si="17"/>
        <v>OK</v>
      </c>
      <c r="E75" s="189" t="str">
        <f>IF(ISBLANK(C75),"",AVERAGE(C$35:C75))</f>
        <v/>
      </c>
      <c r="F75" s="185"/>
      <c r="G75" s="185"/>
      <c r="H75" s="185"/>
      <c r="I75" s="181">
        <f t="shared" ref="I75:L75" si="29">I74</f>
        <v>53.893722145136735</v>
      </c>
      <c r="J75" s="181">
        <f t="shared" si="29"/>
        <v>44.882748443098563</v>
      </c>
      <c r="K75" s="181">
        <f t="shared" si="29"/>
        <v>56.146465570646278</v>
      </c>
      <c r="L75" s="181">
        <f t="shared" si="29"/>
        <v>42.630005017589021</v>
      </c>
      <c r="M75" s="181">
        <f t="shared" si="8"/>
        <v>50</v>
      </c>
      <c r="N75" s="181">
        <f t="shared" si="9"/>
        <v>55</v>
      </c>
      <c r="O75" s="181">
        <f t="shared" si="10"/>
        <v>45</v>
      </c>
      <c r="P75" s="181">
        <f t="shared" si="11"/>
        <v>49.388235294117649</v>
      </c>
      <c r="Q75" s="188">
        <f t="shared" si="19"/>
        <v>0</v>
      </c>
      <c r="R75" s="180" t="str">
        <f t="shared" si="13"/>
        <v/>
      </c>
      <c r="S75" s="180" t="str">
        <f t="shared" si="14"/>
        <v/>
      </c>
      <c r="T75" s="180" t="str">
        <f t="shared" si="15"/>
        <v/>
      </c>
      <c r="U75" s="180" t="str">
        <f t="shared" si="16"/>
        <v/>
      </c>
      <c r="V75" s="180" t="str">
        <f t="shared" si="4"/>
        <v/>
      </c>
      <c r="W75" s="180" t="str">
        <f t="shared" si="0"/>
        <v/>
      </c>
      <c r="X75" s="180" t="str">
        <f t="shared" si="5"/>
        <v/>
      </c>
      <c r="Y75" s="183"/>
      <c r="Z75" s="183"/>
      <c r="AA75" s="183"/>
    </row>
    <row r="76" spans="1:27" x14ac:dyDescent="0.25">
      <c r="A76" s="52">
        <v>42</v>
      </c>
      <c r="B76" s="50" t="str">
        <f t="shared" si="1"/>
        <v/>
      </c>
      <c r="C76" s="177"/>
      <c r="D76" s="190" t="str">
        <f t="shared" si="17"/>
        <v>OK</v>
      </c>
      <c r="E76" s="189" t="str">
        <f>IF(ISBLANK(C76),"",AVERAGE(C$35:C76))</f>
        <v/>
      </c>
      <c r="F76" s="185"/>
      <c r="G76" s="185"/>
      <c r="H76" s="185"/>
      <c r="I76" s="181">
        <f t="shared" ref="I76:L76" si="30">I75</f>
        <v>53.893722145136735</v>
      </c>
      <c r="J76" s="181">
        <f t="shared" si="30"/>
        <v>44.882748443098563</v>
      </c>
      <c r="K76" s="181">
        <f t="shared" si="30"/>
        <v>56.146465570646278</v>
      </c>
      <c r="L76" s="181">
        <f t="shared" si="30"/>
        <v>42.630005017589021</v>
      </c>
      <c r="M76" s="181">
        <f t="shared" si="8"/>
        <v>50</v>
      </c>
      <c r="N76" s="181">
        <f t="shared" si="9"/>
        <v>55</v>
      </c>
      <c r="O76" s="181">
        <f t="shared" si="10"/>
        <v>45</v>
      </c>
      <c r="P76" s="181">
        <f t="shared" si="11"/>
        <v>49.388235294117649</v>
      </c>
      <c r="Q76" s="188">
        <f t="shared" si="19"/>
        <v>0</v>
      </c>
      <c r="R76" s="180" t="str">
        <f t="shared" si="13"/>
        <v/>
      </c>
      <c r="S76" s="180" t="str">
        <f t="shared" si="14"/>
        <v/>
      </c>
      <c r="T76" s="180" t="str">
        <f t="shared" si="15"/>
        <v/>
      </c>
      <c r="U76" s="180" t="str">
        <f t="shared" si="16"/>
        <v/>
      </c>
      <c r="V76" s="180" t="str">
        <f t="shared" si="4"/>
        <v/>
      </c>
      <c r="W76" s="180" t="str">
        <f t="shared" si="0"/>
        <v/>
      </c>
      <c r="X76" s="180" t="str">
        <f t="shared" si="5"/>
        <v/>
      </c>
      <c r="Y76" s="183"/>
      <c r="Z76" s="183"/>
      <c r="AA76" s="183"/>
    </row>
    <row r="77" spans="1:27" x14ac:dyDescent="0.25">
      <c r="A77" s="52">
        <v>43</v>
      </c>
      <c r="B77" s="50" t="str">
        <f t="shared" si="1"/>
        <v/>
      </c>
      <c r="C77" s="177"/>
      <c r="D77" s="190" t="str">
        <f t="shared" si="17"/>
        <v>OK</v>
      </c>
      <c r="E77" s="189" t="str">
        <f>IF(ISBLANK(C77),"",AVERAGE(C$35:C77))</f>
        <v/>
      </c>
      <c r="F77" s="185"/>
      <c r="G77" s="185"/>
      <c r="H77" s="185"/>
      <c r="I77" s="181">
        <f t="shared" ref="I77:L77" si="31">I76</f>
        <v>53.893722145136735</v>
      </c>
      <c r="J77" s="181">
        <f t="shared" si="31"/>
        <v>44.882748443098563</v>
      </c>
      <c r="K77" s="181">
        <f t="shared" si="31"/>
        <v>56.146465570646278</v>
      </c>
      <c r="L77" s="181">
        <f t="shared" si="31"/>
        <v>42.630005017589021</v>
      </c>
      <c r="M77" s="181">
        <f t="shared" si="8"/>
        <v>50</v>
      </c>
      <c r="N77" s="181">
        <f t="shared" si="9"/>
        <v>55</v>
      </c>
      <c r="O77" s="181">
        <f t="shared" si="10"/>
        <v>45</v>
      </c>
      <c r="P77" s="181">
        <f t="shared" si="11"/>
        <v>49.388235294117649</v>
      </c>
      <c r="Q77" s="188">
        <f t="shared" si="19"/>
        <v>0</v>
      </c>
      <c r="R77" s="180" t="str">
        <f t="shared" si="13"/>
        <v/>
      </c>
      <c r="S77" s="180" t="str">
        <f t="shared" si="14"/>
        <v/>
      </c>
      <c r="T77" s="180" t="str">
        <f t="shared" si="15"/>
        <v/>
      </c>
      <c r="U77" s="180" t="str">
        <f t="shared" si="16"/>
        <v/>
      </c>
      <c r="V77" s="180" t="str">
        <f t="shared" si="4"/>
        <v/>
      </c>
      <c r="W77" s="180" t="str">
        <f t="shared" si="0"/>
        <v/>
      </c>
      <c r="X77" s="180" t="str">
        <f t="shared" si="5"/>
        <v/>
      </c>
      <c r="Y77" s="183"/>
      <c r="Z77" s="183"/>
      <c r="AA77" s="183"/>
    </row>
    <row r="78" spans="1:27" x14ac:dyDescent="0.25">
      <c r="A78" s="52">
        <v>44</v>
      </c>
      <c r="B78" s="50" t="str">
        <f t="shared" si="1"/>
        <v/>
      </c>
      <c r="C78" s="177"/>
      <c r="D78" s="190" t="str">
        <f t="shared" si="17"/>
        <v>OK</v>
      </c>
      <c r="E78" s="189" t="str">
        <f>IF(ISBLANK(C78),"",AVERAGE(C$35:C78))</f>
        <v/>
      </c>
      <c r="F78" s="185"/>
      <c r="G78" s="185"/>
      <c r="H78" s="185"/>
      <c r="I78" s="181">
        <f t="shared" ref="I78:L78" si="32">I77</f>
        <v>53.893722145136735</v>
      </c>
      <c r="J78" s="181">
        <f t="shared" si="32"/>
        <v>44.882748443098563</v>
      </c>
      <c r="K78" s="181">
        <f t="shared" si="32"/>
        <v>56.146465570646278</v>
      </c>
      <c r="L78" s="181">
        <f t="shared" si="32"/>
        <v>42.630005017589021</v>
      </c>
      <c r="M78" s="181">
        <f t="shared" si="8"/>
        <v>50</v>
      </c>
      <c r="N78" s="181">
        <f t="shared" si="9"/>
        <v>55</v>
      </c>
      <c r="O78" s="181">
        <f t="shared" si="10"/>
        <v>45</v>
      </c>
      <c r="P78" s="181">
        <f t="shared" si="11"/>
        <v>49.388235294117649</v>
      </c>
      <c r="Q78" s="188">
        <f t="shared" si="19"/>
        <v>0</v>
      </c>
      <c r="R78" s="180" t="str">
        <f t="shared" si="13"/>
        <v/>
      </c>
      <c r="S78" s="180" t="str">
        <f t="shared" si="14"/>
        <v/>
      </c>
      <c r="T78" s="180" t="str">
        <f t="shared" si="15"/>
        <v/>
      </c>
      <c r="U78" s="180" t="str">
        <f t="shared" si="16"/>
        <v/>
      </c>
      <c r="V78" s="180" t="str">
        <f t="shared" si="4"/>
        <v/>
      </c>
      <c r="W78" s="180" t="str">
        <f t="shared" si="0"/>
        <v/>
      </c>
      <c r="X78" s="180" t="str">
        <f t="shared" si="5"/>
        <v/>
      </c>
      <c r="Y78" s="183"/>
      <c r="Z78" s="183"/>
      <c r="AA78" s="183"/>
    </row>
    <row r="79" spans="1:27" x14ac:dyDescent="0.25">
      <c r="A79" s="52">
        <v>45</v>
      </c>
      <c r="B79" s="50" t="str">
        <f t="shared" si="1"/>
        <v/>
      </c>
      <c r="C79" s="177"/>
      <c r="D79" s="190" t="str">
        <f t="shared" si="17"/>
        <v>OK</v>
      </c>
      <c r="E79" s="189" t="str">
        <f>IF(ISBLANK(C79),"",AVERAGE(C$35:C79))</f>
        <v/>
      </c>
      <c r="F79" s="185"/>
      <c r="G79" s="185"/>
      <c r="H79" s="185"/>
      <c r="I79" s="181">
        <f t="shared" ref="I79:L79" si="33">I78</f>
        <v>53.893722145136735</v>
      </c>
      <c r="J79" s="181">
        <f t="shared" si="33"/>
        <v>44.882748443098563</v>
      </c>
      <c r="K79" s="181">
        <f t="shared" si="33"/>
        <v>56.146465570646278</v>
      </c>
      <c r="L79" s="181">
        <f t="shared" si="33"/>
        <v>42.630005017589021</v>
      </c>
      <c r="M79" s="181">
        <f t="shared" si="8"/>
        <v>50</v>
      </c>
      <c r="N79" s="181">
        <f t="shared" si="9"/>
        <v>55</v>
      </c>
      <c r="O79" s="181">
        <f t="shared" si="10"/>
        <v>45</v>
      </c>
      <c r="P79" s="181">
        <f t="shared" si="11"/>
        <v>49.388235294117649</v>
      </c>
      <c r="Q79" s="188">
        <f t="shared" si="19"/>
        <v>0</v>
      </c>
      <c r="R79" s="180" t="str">
        <f t="shared" si="13"/>
        <v/>
      </c>
      <c r="S79" s="180" t="str">
        <f t="shared" si="14"/>
        <v/>
      </c>
      <c r="T79" s="180" t="str">
        <f t="shared" si="15"/>
        <v/>
      </c>
      <c r="U79" s="180" t="str">
        <f t="shared" si="16"/>
        <v/>
      </c>
      <c r="V79" s="180" t="str">
        <f t="shared" si="4"/>
        <v/>
      </c>
      <c r="W79" s="180" t="str">
        <f t="shared" si="0"/>
        <v/>
      </c>
      <c r="X79" s="180" t="str">
        <f t="shared" si="5"/>
        <v/>
      </c>
      <c r="Y79" s="183"/>
      <c r="Z79" s="183"/>
      <c r="AA79" s="183"/>
    </row>
    <row r="80" spans="1:27" x14ac:dyDescent="0.25">
      <c r="A80" s="52">
        <v>46</v>
      </c>
      <c r="B80" s="50" t="str">
        <f t="shared" si="1"/>
        <v/>
      </c>
      <c r="C80" s="177"/>
      <c r="D80" s="190" t="str">
        <f t="shared" si="17"/>
        <v>OK</v>
      </c>
      <c r="E80" s="189" t="str">
        <f>IF(ISBLANK(C80),"",AVERAGE(C$35:C80))</f>
        <v/>
      </c>
      <c r="F80" s="185"/>
      <c r="G80" s="185"/>
      <c r="H80" s="185"/>
      <c r="I80" s="181">
        <f t="shared" ref="I80:L80" si="34">I79</f>
        <v>53.893722145136735</v>
      </c>
      <c r="J80" s="181">
        <f t="shared" si="34"/>
        <v>44.882748443098563</v>
      </c>
      <c r="K80" s="181">
        <f t="shared" si="34"/>
        <v>56.146465570646278</v>
      </c>
      <c r="L80" s="181">
        <f t="shared" si="34"/>
        <v>42.630005017589021</v>
      </c>
      <c r="M80" s="181">
        <f t="shared" si="8"/>
        <v>50</v>
      </c>
      <c r="N80" s="181">
        <f t="shared" si="9"/>
        <v>55</v>
      </c>
      <c r="O80" s="181">
        <f t="shared" si="10"/>
        <v>45</v>
      </c>
      <c r="P80" s="181">
        <f t="shared" si="11"/>
        <v>49.388235294117649</v>
      </c>
      <c r="Q80" s="188">
        <f t="shared" si="19"/>
        <v>0</v>
      </c>
      <c r="R80" s="180" t="str">
        <f t="shared" si="13"/>
        <v/>
      </c>
      <c r="S80" s="180" t="str">
        <f t="shared" si="14"/>
        <v/>
      </c>
      <c r="T80" s="180" t="str">
        <f t="shared" si="15"/>
        <v/>
      </c>
      <c r="U80" s="180" t="str">
        <f t="shared" si="16"/>
        <v/>
      </c>
      <c r="V80" s="180" t="str">
        <f t="shared" si="4"/>
        <v/>
      </c>
      <c r="W80" s="180" t="str">
        <f t="shared" si="0"/>
        <v/>
      </c>
      <c r="X80" s="180" t="str">
        <f t="shared" si="5"/>
        <v/>
      </c>
      <c r="Y80" s="183"/>
      <c r="Z80" s="183"/>
      <c r="AA80" s="183"/>
    </row>
    <row r="81" spans="1:27" x14ac:dyDescent="0.25">
      <c r="A81" s="52">
        <v>47</v>
      </c>
      <c r="B81" s="50" t="str">
        <f t="shared" si="1"/>
        <v/>
      </c>
      <c r="C81" s="177"/>
      <c r="D81" s="190" t="str">
        <f t="shared" si="17"/>
        <v>OK</v>
      </c>
      <c r="E81" s="189" t="str">
        <f>IF(ISBLANK(C81),"",AVERAGE(C$35:C81))</f>
        <v/>
      </c>
      <c r="F81" s="185"/>
      <c r="G81" s="185"/>
      <c r="H81" s="185"/>
      <c r="I81" s="181">
        <f t="shared" ref="I81:L81" si="35">I80</f>
        <v>53.893722145136735</v>
      </c>
      <c r="J81" s="181">
        <f t="shared" si="35"/>
        <v>44.882748443098563</v>
      </c>
      <c r="K81" s="181">
        <f t="shared" si="35"/>
        <v>56.146465570646278</v>
      </c>
      <c r="L81" s="181">
        <f t="shared" si="35"/>
        <v>42.630005017589021</v>
      </c>
      <c r="M81" s="181">
        <f t="shared" si="8"/>
        <v>50</v>
      </c>
      <c r="N81" s="181">
        <f t="shared" si="9"/>
        <v>55</v>
      </c>
      <c r="O81" s="181">
        <f t="shared" si="10"/>
        <v>45</v>
      </c>
      <c r="P81" s="181">
        <f t="shared" si="11"/>
        <v>49.388235294117649</v>
      </c>
      <c r="Q81" s="188">
        <f t="shared" si="19"/>
        <v>0</v>
      </c>
      <c r="R81" s="180" t="str">
        <f t="shared" si="13"/>
        <v/>
      </c>
      <c r="S81" s="180" t="str">
        <f t="shared" si="14"/>
        <v/>
      </c>
      <c r="T81" s="180" t="str">
        <f t="shared" si="15"/>
        <v/>
      </c>
      <c r="U81" s="180" t="str">
        <f t="shared" si="16"/>
        <v/>
      </c>
      <c r="V81" s="180" t="str">
        <f t="shared" si="4"/>
        <v/>
      </c>
      <c r="W81" s="180" t="str">
        <f t="shared" si="0"/>
        <v/>
      </c>
      <c r="X81" s="180" t="str">
        <f t="shared" si="5"/>
        <v/>
      </c>
      <c r="Y81" s="183"/>
      <c r="Z81" s="183"/>
      <c r="AA81" s="183"/>
    </row>
    <row r="82" spans="1:27" x14ac:dyDescent="0.25">
      <c r="A82" s="52">
        <v>48</v>
      </c>
      <c r="B82" s="50" t="str">
        <f t="shared" si="1"/>
        <v/>
      </c>
      <c r="C82" s="177"/>
      <c r="D82" s="190" t="str">
        <f t="shared" si="17"/>
        <v>OK</v>
      </c>
      <c r="E82" s="189" t="str">
        <f>IF(ISBLANK(C82),"",AVERAGE(C$35:C82))</f>
        <v/>
      </c>
      <c r="F82" s="185"/>
      <c r="G82" s="185"/>
      <c r="H82" s="185"/>
      <c r="I82" s="181">
        <f t="shared" ref="I82:L82" si="36">I81</f>
        <v>53.893722145136735</v>
      </c>
      <c r="J82" s="181">
        <f t="shared" si="36"/>
        <v>44.882748443098563</v>
      </c>
      <c r="K82" s="181">
        <f t="shared" si="36"/>
        <v>56.146465570646278</v>
      </c>
      <c r="L82" s="181">
        <f t="shared" si="36"/>
        <v>42.630005017589021</v>
      </c>
      <c r="M82" s="181">
        <f t="shared" si="8"/>
        <v>50</v>
      </c>
      <c r="N82" s="181">
        <f t="shared" si="9"/>
        <v>55</v>
      </c>
      <c r="O82" s="181">
        <f t="shared" si="10"/>
        <v>45</v>
      </c>
      <c r="P82" s="181">
        <f t="shared" si="11"/>
        <v>49.388235294117649</v>
      </c>
      <c r="Q82" s="188">
        <f t="shared" si="19"/>
        <v>0</v>
      </c>
      <c r="R82" s="180" t="str">
        <f t="shared" si="13"/>
        <v/>
      </c>
      <c r="S82" s="180" t="str">
        <f t="shared" si="14"/>
        <v/>
      </c>
      <c r="T82" s="180" t="str">
        <f t="shared" si="15"/>
        <v/>
      </c>
      <c r="U82" s="180" t="str">
        <f t="shared" si="16"/>
        <v/>
      </c>
      <c r="V82" s="180" t="str">
        <f t="shared" si="4"/>
        <v/>
      </c>
      <c r="W82" s="180" t="str">
        <f t="shared" si="0"/>
        <v/>
      </c>
      <c r="X82" s="180" t="str">
        <f t="shared" si="5"/>
        <v/>
      </c>
      <c r="Y82" s="183"/>
      <c r="Z82" s="183"/>
      <c r="AA82" s="183"/>
    </row>
    <row r="83" spans="1:27" x14ac:dyDescent="0.25">
      <c r="A83" s="52">
        <v>49</v>
      </c>
      <c r="B83" s="50" t="str">
        <f t="shared" si="1"/>
        <v/>
      </c>
      <c r="C83" s="177"/>
      <c r="D83" s="190" t="str">
        <f t="shared" si="17"/>
        <v>OK</v>
      </c>
      <c r="E83" s="189" t="str">
        <f>IF(ISBLANK(C83),"",AVERAGE(C$35:C83))</f>
        <v/>
      </c>
      <c r="F83" s="185"/>
      <c r="G83" s="185"/>
      <c r="H83" s="185"/>
      <c r="I83" s="181">
        <f t="shared" ref="I83:L83" si="37">I82</f>
        <v>53.893722145136735</v>
      </c>
      <c r="J83" s="181">
        <f t="shared" si="37"/>
        <v>44.882748443098563</v>
      </c>
      <c r="K83" s="181">
        <f t="shared" si="37"/>
        <v>56.146465570646278</v>
      </c>
      <c r="L83" s="181">
        <f t="shared" si="37"/>
        <v>42.630005017589021</v>
      </c>
      <c r="M83" s="181">
        <f t="shared" si="8"/>
        <v>50</v>
      </c>
      <c r="N83" s="181">
        <f t="shared" si="9"/>
        <v>55</v>
      </c>
      <c r="O83" s="181">
        <f t="shared" si="10"/>
        <v>45</v>
      </c>
      <c r="P83" s="181">
        <f t="shared" si="11"/>
        <v>49.388235294117649</v>
      </c>
      <c r="Q83" s="188">
        <f t="shared" si="19"/>
        <v>0</v>
      </c>
      <c r="R83" s="180" t="str">
        <f t="shared" si="13"/>
        <v/>
      </c>
      <c r="S83" s="180" t="str">
        <f t="shared" si="14"/>
        <v/>
      </c>
      <c r="T83" s="180" t="str">
        <f t="shared" si="15"/>
        <v/>
      </c>
      <c r="U83" s="180" t="str">
        <f t="shared" si="16"/>
        <v/>
      </c>
      <c r="V83" s="180" t="str">
        <f t="shared" si="4"/>
        <v/>
      </c>
      <c r="W83" s="180" t="str">
        <f t="shared" si="0"/>
        <v/>
      </c>
      <c r="X83" s="180" t="str">
        <f t="shared" si="5"/>
        <v/>
      </c>
      <c r="Y83" s="183"/>
      <c r="Z83" s="183"/>
      <c r="AA83" s="183"/>
    </row>
    <row r="84" spans="1:27" x14ac:dyDescent="0.25">
      <c r="A84" s="52">
        <v>50</v>
      </c>
      <c r="B84" s="50" t="str">
        <f t="shared" si="1"/>
        <v/>
      </c>
      <c r="C84" s="177"/>
      <c r="D84" s="190" t="str">
        <f t="shared" si="17"/>
        <v>OK</v>
      </c>
      <c r="E84" s="189" t="str">
        <f>IF(ISBLANK(C84),"",AVERAGE(C$35:C84))</f>
        <v/>
      </c>
      <c r="F84" s="185"/>
      <c r="G84" s="185"/>
      <c r="H84" s="185"/>
      <c r="I84" s="181">
        <f t="shared" ref="I84:L84" si="38">I83</f>
        <v>53.893722145136735</v>
      </c>
      <c r="J84" s="181">
        <f t="shared" si="38"/>
        <v>44.882748443098563</v>
      </c>
      <c r="K84" s="181">
        <f t="shared" si="38"/>
        <v>56.146465570646278</v>
      </c>
      <c r="L84" s="181">
        <f t="shared" si="38"/>
        <v>42.630005017589021</v>
      </c>
      <c r="M84" s="181">
        <f t="shared" si="8"/>
        <v>50</v>
      </c>
      <c r="N84" s="181">
        <f t="shared" si="9"/>
        <v>55</v>
      </c>
      <c r="O84" s="181">
        <f t="shared" si="10"/>
        <v>45</v>
      </c>
      <c r="P84" s="181">
        <f t="shared" si="11"/>
        <v>49.388235294117649</v>
      </c>
      <c r="Q84" s="188">
        <f t="shared" si="19"/>
        <v>0</v>
      </c>
      <c r="R84" s="180" t="str">
        <f t="shared" si="13"/>
        <v/>
      </c>
      <c r="S84" s="180" t="str">
        <f t="shared" si="14"/>
        <v/>
      </c>
      <c r="T84" s="180" t="str">
        <f t="shared" si="15"/>
        <v/>
      </c>
      <c r="U84" s="180" t="str">
        <f t="shared" si="16"/>
        <v/>
      </c>
      <c r="V84" s="180" t="str">
        <f t="shared" si="4"/>
        <v/>
      </c>
      <c r="W84" s="180" t="str">
        <f t="shared" si="0"/>
        <v/>
      </c>
      <c r="X84" s="180" t="str">
        <f t="shared" si="5"/>
        <v/>
      </c>
      <c r="Y84" s="183"/>
      <c r="Z84" s="183"/>
      <c r="AA84" s="183"/>
    </row>
    <row r="85" spans="1:27" x14ac:dyDescent="0.25">
      <c r="A85" s="52">
        <v>51</v>
      </c>
      <c r="B85" s="50" t="str">
        <f t="shared" si="1"/>
        <v/>
      </c>
      <c r="C85" s="177"/>
      <c r="D85" s="190" t="str">
        <f t="shared" si="17"/>
        <v>OK</v>
      </c>
      <c r="E85" s="189" t="str">
        <f>IF(ISBLANK(C85),"",AVERAGE(C$35:C85))</f>
        <v/>
      </c>
      <c r="F85" s="185"/>
      <c r="G85" s="185"/>
      <c r="H85" s="185"/>
      <c r="I85" s="181">
        <f t="shared" ref="I85:L85" si="39">I84</f>
        <v>53.893722145136735</v>
      </c>
      <c r="J85" s="181">
        <f t="shared" si="39"/>
        <v>44.882748443098563</v>
      </c>
      <c r="K85" s="181">
        <f t="shared" si="39"/>
        <v>56.146465570646278</v>
      </c>
      <c r="L85" s="181">
        <f t="shared" si="39"/>
        <v>42.630005017589021</v>
      </c>
      <c r="M85" s="181">
        <f t="shared" si="8"/>
        <v>50</v>
      </c>
      <c r="N85" s="181">
        <f t="shared" si="9"/>
        <v>55</v>
      </c>
      <c r="O85" s="181">
        <f t="shared" si="10"/>
        <v>45</v>
      </c>
      <c r="P85" s="181">
        <f t="shared" si="11"/>
        <v>49.388235294117649</v>
      </c>
      <c r="Q85" s="188">
        <f t="shared" si="19"/>
        <v>0</v>
      </c>
      <c r="R85" s="180" t="str">
        <f t="shared" si="13"/>
        <v/>
      </c>
      <c r="S85" s="180" t="str">
        <f t="shared" si="14"/>
        <v/>
      </c>
      <c r="T85" s="180" t="str">
        <f t="shared" si="15"/>
        <v/>
      </c>
      <c r="U85" s="180" t="str">
        <f t="shared" si="16"/>
        <v/>
      </c>
      <c r="V85" s="180" t="str">
        <f t="shared" si="4"/>
        <v/>
      </c>
      <c r="W85" s="180" t="str">
        <f t="shared" si="0"/>
        <v/>
      </c>
      <c r="X85" s="180" t="str">
        <f t="shared" si="5"/>
        <v/>
      </c>
      <c r="Y85" s="183"/>
      <c r="Z85" s="183"/>
      <c r="AA85" s="183"/>
    </row>
    <row r="86" spans="1:27" x14ac:dyDescent="0.25">
      <c r="A86" s="52">
        <v>52</v>
      </c>
      <c r="B86" s="50" t="str">
        <f t="shared" si="1"/>
        <v/>
      </c>
      <c r="C86" s="177"/>
      <c r="D86" s="190" t="str">
        <f t="shared" si="17"/>
        <v>OK</v>
      </c>
      <c r="E86" s="189" t="str">
        <f>IF(ISBLANK(C86),"",AVERAGE(C$35:C86))</f>
        <v/>
      </c>
      <c r="F86" s="185"/>
      <c r="G86" s="185"/>
      <c r="H86" s="185"/>
      <c r="I86" s="181">
        <f t="shared" ref="I86:L86" si="40">I85</f>
        <v>53.893722145136735</v>
      </c>
      <c r="J86" s="181">
        <f t="shared" si="40"/>
        <v>44.882748443098563</v>
      </c>
      <c r="K86" s="181">
        <f t="shared" si="40"/>
        <v>56.146465570646278</v>
      </c>
      <c r="L86" s="181">
        <f t="shared" si="40"/>
        <v>42.630005017589021</v>
      </c>
      <c r="M86" s="181">
        <f t="shared" si="8"/>
        <v>50</v>
      </c>
      <c r="N86" s="181">
        <f t="shared" si="9"/>
        <v>55</v>
      </c>
      <c r="O86" s="181">
        <f t="shared" si="10"/>
        <v>45</v>
      </c>
      <c r="P86" s="181">
        <f t="shared" si="11"/>
        <v>49.388235294117649</v>
      </c>
      <c r="Q86" s="188">
        <f t="shared" si="19"/>
        <v>0</v>
      </c>
      <c r="R86" s="180" t="str">
        <f t="shared" si="13"/>
        <v/>
      </c>
      <c r="S86" s="180" t="str">
        <f t="shared" si="14"/>
        <v/>
      </c>
      <c r="T86" s="180" t="str">
        <f t="shared" si="15"/>
        <v/>
      </c>
      <c r="U86" s="180" t="str">
        <f t="shared" si="16"/>
        <v/>
      </c>
      <c r="V86" s="180" t="str">
        <f t="shared" si="4"/>
        <v/>
      </c>
      <c r="W86" s="180" t="str">
        <f t="shared" si="0"/>
        <v/>
      </c>
      <c r="X86" s="180" t="str">
        <f t="shared" si="5"/>
        <v/>
      </c>
      <c r="Y86" s="183"/>
      <c r="Z86" s="183"/>
      <c r="AA86" s="183"/>
    </row>
    <row r="87" spans="1:27" x14ac:dyDescent="0.25">
      <c r="A87" s="52">
        <v>53</v>
      </c>
      <c r="B87" s="50" t="str">
        <f t="shared" si="1"/>
        <v/>
      </c>
      <c r="C87" s="177"/>
      <c r="D87" s="190" t="str">
        <f t="shared" si="17"/>
        <v>OK</v>
      </c>
      <c r="E87" s="189" t="str">
        <f>IF(ISBLANK(C87),"",AVERAGE(C$35:C87))</f>
        <v/>
      </c>
      <c r="F87" s="185"/>
      <c r="G87" s="185"/>
      <c r="H87" s="185"/>
      <c r="I87" s="181">
        <f t="shared" ref="I87:L87" si="41">I86</f>
        <v>53.893722145136735</v>
      </c>
      <c r="J87" s="181">
        <f t="shared" si="41"/>
        <v>44.882748443098563</v>
      </c>
      <c r="K87" s="181">
        <f t="shared" si="41"/>
        <v>56.146465570646278</v>
      </c>
      <c r="L87" s="181">
        <f t="shared" si="41"/>
        <v>42.630005017589021</v>
      </c>
      <c r="M87" s="181">
        <f t="shared" si="8"/>
        <v>50</v>
      </c>
      <c r="N87" s="181">
        <f t="shared" si="9"/>
        <v>55</v>
      </c>
      <c r="O87" s="181">
        <f t="shared" si="10"/>
        <v>45</v>
      </c>
      <c r="P87" s="181">
        <f t="shared" si="11"/>
        <v>49.388235294117649</v>
      </c>
      <c r="Q87" s="188">
        <f t="shared" si="19"/>
        <v>0</v>
      </c>
      <c r="R87" s="180" t="str">
        <f t="shared" si="13"/>
        <v/>
      </c>
      <c r="S87" s="180" t="str">
        <f t="shared" si="14"/>
        <v/>
      </c>
      <c r="T87" s="180" t="str">
        <f t="shared" si="15"/>
        <v/>
      </c>
      <c r="U87" s="180" t="str">
        <f t="shared" si="16"/>
        <v/>
      </c>
      <c r="V87" s="180" t="str">
        <f t="shared" si="4"/>
        <v/>
      </c>
      <c r="W87" s="180" t="str">
        <f t="shared" si="0"/>
        <v/>
      </c>
      <c r="X87" s="180" t="str">
        <f t="shared" si="5"/>
        <v/>
      </c>
      <c r="Y87" s="183"/>
      <c r="Z87" s="183"/>
      <c r="AA87" s="183"/>
    </row>
    <row r="88" spans="1:27" x14ac:dyDescent="0.25">
      <c r="A88" s="52">
        <v>54</v>
      </c>
      <c r="B88" s="50" t="str">
        <f t="shared" si="1"/>
        <v/>
      </c>
      <c r="C88" s="177"/>
      <c r="D88" s="190" t="str">
        <f t="shared" si="17"/>
        <v>OK</v>
      </c>
      <c r="E88" s="189" t="str">
        <f>IF(ISBLANK(C88),"",AVERAGE(C$35:C88))</f>
        <v/>
      </c>
      <c r="F88" s="185"/>
      <c r="G88" s="185"/>
      <c r="H88" s="185"/>
      <c r="I88" s="181">
        <f t="shared" ref="I88:L88" si="42">I87</f>
        <v>53.893722145136735</v>
      </c>
      <c r="J88" s="181">
        <f t="shared" si="42"/>
        <v>44.882748443098563</v>
      </c>
      <c r="K88" s="181">
        <f t="shared" si="42"/>
        <v>56.146465570646278</v>
      </c>
      <c r="L88" s="181">
        <f t="shared" si="42"/>
        <v>42.630005017589021</v>
      </c>
      <c r="M88" s="181">
        <f t="shared" si="8"/>
        <v>50</v>
      </c>
      <c r="N88" s="181">
        <f t="shared" si="9"/>
        <v>55</v>
      </c>
      <c r="O88" s="181">
        <f t="shared" si="10"/>
        <v>45</v>
      </c>
      <c r="P88" s="181">
        <f t="shared" si="11"/>
        <v>49.388235294117649</v>
      </c>
      <c r="Q88" s="188">
        <f t="shared" si="19"/>
        <v>0</v>
      </c>
      <c r="R88" s="180" t="str">
        <f t="shared" si="13"/>
        <v/>
      </c>
      <c r="S88" s="180" t="str">
        <f t="shared" si="14"/>
        <v/>
      </c>
      <c r="T88" s="180" t="str">
        <f t="shared" si="15"/>
        <v/>
      </c>
      <c r="U88" s="180" t="str">
        <f t="shared" si="16"/>
        <v/>
      </c>
      <c r="V88" s="180" t="str">
        <f t="shared" si="4"/>
        <v/>
      </c>
      <c r="W88" s="180" t="str">
        <f t="shared" si="0"/>
        <v/>
      </c>
      <c r="X88" s="180" t="str">
        <f t="shared" si="5"/>
        <v/>
      </c>
      <c r="Y88" s="183"/>
      <c r="Z88" s="183"/>
      <c r="AA88" s="183"/>
    </row>
    <row r="89" spans="1:27" x14ac:dyDescent="0.25">
      <c r="A89" s="52">
        <v>55</v>
      </c>
      <c r="B89" s="50" t="str">
        <f t="shared" si="1"/>
        <v/>
      </c>
      <c r="C89" s="177"/>
      <c r="D89" s="190" t="str">
        <f t="shared" si="17"/>
        <v>OK</v>
      </c>
      <c r="E89" s="189" t="str">
        <f>IF(ISBLANK(C89),"",AVERAGE(C$35:C89))</f>
        <v/>
      </c>
      <c r="F89" s="185"/>
      <c r="G89" s="185"/>
      <c r="H89" s="185"/>
      <c r="I89" s="181">
        <f t="shared" ref="I89:L89" si="43">I88</f>
        <v>53.893722145136735</v>
      </c>
      <c r="J89" s="181">
        <f t="shared" si="43"/>
        <v>44.882748443098563</v>
      </c>
      <c r="K89" s="181">
        <f t="shared" si="43"/>
        <v>56.146465570646278</v>
      </c>
      <c r="L89" s="181">
        <f t="shared" si="43"/>
        <v>42.630005017589021</v>
      </c>
      <c r="M89" s="181">
        <f t="shared" si="8"/>
        <v>50</v>
      </c>
      <c r="N89" s="181">
        <f t="shared" si="9"/>
        <v>55</v>
      </c>
      <c r="O89" s="181">
        <f t="shared" si="10"/>
        <v>45</v>
      </c>
      <c r="P89" s="181">
        <f t="shared" si="11"/>
        <v>49.388235294117649</v>
      </c>
      <c r="Q89" s="188">
        <f t="shared" si="19"/>
        <v>0</v>
      </c>
      <c r="R89" s="180" t="str">
        <f t="shared" si="13"/>
        <v/>
      </c>
      <c r="S89" s="180" t="str">
        <f t="shared" si="14"/>
        <v/>
      </c>
      <c r="T89" s="180" t="str">
        <f t="shared" si="15"/>
        <v/>
      </c>
      <c r="U89" s="180" t="str">
        <f t="shared" si="16"/>
        <v/>
      </c>
      <c r="V89" s="180" t="str">
        <f t="shared" si="4"/>
        <v/>
      </c>
      <c r="W89" s="180" t="str">
        <f t="shared" si="0"/>
        <v/>
      </c>
      <c r="X89" s="180" t="str">
        <f t="shared" si="5"/>
        <v/>
      </c>
      <c r="Y89" s="183"/>
      <c r="Z89" s="183"/>
      <c r="AA89" s="183"/>
    </row>
    <row r="90" spans="1:27" x14ac:dyDescent="0.25">
      <c r="A90" s="52">
        <v>56</v>
      </c>
      <c r="B90" s="50" t="str">
        <f t="shared" si="1"/>
        <v/>
      </c>
      <c r="C90" s="177"/>
      <c r="D90" s="190" t="str">
        <f t="shared" si="17"/>
        <v>OK</v>
      </c>
      <c r="E90" s="189" t="str">
        <f>IF(ISBLANK(C90),"",AVERAGE(C$35:C90))</f>
        <v/>
      </c>
      <c r="F90" s="185"/>
      <c r="G90" s="185"/>
      <c r="H90" s="185"/>
      <c r="I90" s="181">
        <f t="shared" ref="I90:L90" si="44">I89</f>
        <v>53.893722145136735</v>
      </c>
      <c r="J90" s="181">
        <f t="shared" si="44"/>
        <v>44.882748443098563</v>
      </c>
      <c r="K90" s="181">
        <f t="shared" si="44"/>
        <v>56.146465570646278</v>
      </c>
      <c r="L90" s="181">
        <f t="shared" si="44"/>
        <v>42.630005017589021</v>
      </c>
      <c r="M90" s="181">
        <f t="shared" si="8"/>
        <v>50</v>
      </c>
      <c r="N90" s="181">
        <f t="shared" si="9"/>
        <v>55</v>
      </c>
      <c r="O90" s="181">
        <f t="shared" si="10"/>
        <v>45</v>
      </c>
      <c r="P90" s="181">
        <f t="shared" si="11"/>
        <v>49.388235294117649</v>
      </c>
      <c r="Q90" s="188">
        <f t="shared" si="19"/>
        <v>0</v>
      </c>
      <c r="R90" s="180" t="str">
        <f t="shared" si="13"/>
        <v/>
      </c>
      <c r="S90" s="180" t="str">
        <f t="shared" si="14"/>
        <v/>
      </c>
      <c r="T90" s="180" t="str">
        <f t="shared" si="15"/>
        <v/>
      </c>
      <c r="U90" s="180" t="str">
        <f t="shared" si="16"/>
        <v/>
      </c>
      <c r="V90" s="180" t="str">
        <f t="shared" si="4"/>
        <v/>
      </c>
      <c r="W90" s="180" t="str">
        <f t="shared" si="0"/>
        <v/>
      </c>
      <c r="X90" s="180" t="str">
        <f t="shared" si="5"/>
        <v/>
      </c>
      <c r="Y90" s="183"/>
      <c r="Z90" s="183"/>
      <c r="AA90" s="183"/>
    </row>
    <row r="91" spans="1:27" x14ac:dyDescent="0.25">
      <c r="A91" s="52">
        <v>57</v>
      </c>
      <c r="B91" s="50" t="str">
        <f t="shared" si="1"/>
        <v/>
      </c>
      <c r="C91" s="177"/>
      <c r="D91" s="190" t="str">
        <f t="shared" si="17"/>
        <v>OK</v>
      </c>
      <c r="E91" s="189" t="str">
        <f>IF(ISBLANK(C91),"",AVERAGE(C$35:C91))</f>
        <v/>
      </c>
      <c r="F91" s="185"/>
      <c r="G91" s="185"/>
      <c r="H91" s="185"/>
      <c r="I91" s="181">
        <f t="shared" ref="I91:L91" si="45">I90</f>
        <v>53.893722145136735</v>
      </c>
      <c r="J91" s="181">
        <f t="shared" si="45"/>
        <v>44.882748443098563</v>
      </c>
      <c r="K91" s="181">
        <f t="shared" si="45"/>
        <v>56.146465570646278</v>
      </c>
      <c r="L91" s="181">
        <f t="shared" si="45"/>
        <v>42.630005017589021</v>
      </c>
      <c r="M91" s="181">
        <f t="shared" si="8"/>
        <v>50</v>
      </c>
      <c r="N91" s="181">
        <f t="shared" si="9"/>
        <v>55</v>
      </c>
      <c r="O91" s="181">
        <f t="shared" si="10"/>
        <v>45</v>
      </c>
      <c r="P91" s="181">
        <f t="shared" si="11"/>
        <v>49.388235294117649</v>
      </c>
      <c r="Q91" s="188">
        <f t="shared" si="19"/>
        <v>0</v>
      </c>
      <c r="R91" s="180" t="str">
        <f t="shared" si="13"/>
        <v/>
      </c>
      <c r="S91" s="180" t="str">
        <f t="shared" si="14"/>
        <v/>
      </c>
      <c r="T91" s="180" t="str">
        <f t="shared" si="15"/>
        <v/>
      </c>
      <c r="U91" s="180" t="str">
        <f t="shared" si="16"/>
        <v/>
      </c>
      <c r="V91" s="180" t="str">
        <f t="shared" si="4"/>
        <v/>
      </c>
      <c r="W91" s="180" t="str">
        <f t="shared" si="0"/>
        <v/>
      </c>
      <c r="X91" s="180" t="str">
        <f t="shared" si="5"/>
        <v/>
      </c>
      <c r="Y91" s="183"/>
      <c r="Z91" s="183"/>
      <c r="AA91" s="183"/>
    </row>
    <row r="92" spans="1:27" x14ac:dyDescent="0.25">
      <c r="A92" s="52">
        <v>58</v>
      </c>
      <c r="B92" s="50" t="str">
        <f t="shared" si="1"/>
        <v/>
      </c>
      <c r="C92" s="177"/>
      <c r="D92" s="190" t="str">
        <f t="shared" si="17"/>
        <v>OK</v>
      </c>
      <c r="E92" s="189" t="str">
        <f>IF(ISBLANK(C92),"",AVERAGE(C$35:C92))</f>
        <v/>
      </c>
      <c r="F92" s="185"/>
      <c r="G92" s="185"/>
      <c r="H92" s="185"/>
      <c r="I92" s="181">
        <f t="shared" ref="I92:L92" si="46">I91</f>
        <v>53.893722145136735</v>
      </c>
      <c r="J92" s="181">
        <f t="shared" si="46"/>
        <v>44.882748443098563</v>
      </c>
      <c r="K92" s="181">
        <f t="shared" si="46"/>
        <v>56.146465570646278</v>
      </c>
      <c r="L92" s="181">
        <f t="shared" si="46"/>
        <v>42.630005017589021</v>
      </c>
      <c r="M92" s="181">
        <f t="shared" si="8"/>
        <v>50</v>
      </c>
      <c r="N92" s="181">
        <f t="shared" si="9"/>
        <v>55</v>
      </c>
      <c r="O92" s="181">
        <f t="shared" si="10"/>
        <v>45</v>
      </c>
      <c r="P92" s="181">
        <f t="shared" si="11"/>
        <v>49.388235294117649</v>
      </c>
      <c r="Q92" s="188">
        <f t="shared" si="19"/>
        <v>0</v>
      </c>
      <c r="R92" s="180" t="str">
        <f t="shared" si="13"/>
        <v/>
      </c>
      <c r="S92" s="180" t="str">
        <f t="shared" si="14"/>
        <v/>
      </c>
      <c r="T92" s="180" t="str">
        <f t="shared" si="15"/>
        <v/>
      </c>
      <c r="U92" s="180" t="str">
        <f t="shared" si="16"/>
        <v/>
      </c>
      <c r="V92" s="180" t="str">
        <f t="shared" si="4"/>
        <v/>
      </c>
      <c r="W92" s="180" t="str">
        <f t="shared" si="0"/>
        <v/>
      </c>
      <c r="X92" s="180" t="str">
        <f t="shared" si="5"/>
        <v/>
      </c>
      <c r="Y92" s="183"/>
      <c r="Z92" s="183"/>
      <c r="AA92" s="183"/>
    </row>
    <row r="93" spans="1:27" x14ac:dyDescent="0.25">
      <c r="A93" s="52">
        <v>59</v>
      </c>
      <c r="B93" s="50" t="str">
        <f t="shared" si="1"/>
        <v/>
      </c>
      <c r="C93" s="177"/>
      <c r="D93" s="190" t="str">
        <f t="shared" si="17"/>
        <v>OK</v>
      </c>
      <c r="E93" s="189" t="str">
        <f>IF(ISBLANK(C93),"",AVERAGE(C$35:C93))</f>
        <v/>
      </c>
      <c r="F93" s="185"/>
      <c r="G93" s="185"/>
      <c r="H93" s="185"/>
      <c r="I93" s="181">
        <f t="shared" ref="I93:L93" si="47">I92</f>
        <v>53.893722145136735</v>
      </c>
      <c r="J93" s="181">
        <f t="shared" si="47"/>
        <v>44.882748443098563</v>
      </c>
      <c r="K93" s="181">
        <f t="shared" si="47"/>
        <v>56.146465570646278</v>
      </c>
      <c r="L93" s="181">
        <f t="shared" si="47"/>
        <v>42.630005017589021</v>
      </c>
      <c r="M93" s="181">
        <f t="shared" si="8"/>
        <v>50</v>
      </c>
      <c r="N93" s="181">
        <f t="shared" si="9"/>
        <v>55</v>
      </c>
      <c r="O93" s="181">
        <f t="shared" si="10"/>
        <v>45</v>
      </c>
      <c r="P93" s="181">
        <f t="shared" si="11"/>
        <v>49.388235294117649</v>
      </c>
      <c r="Q93" s="188">
        <f t="shared" si="19"/>
        <v>0</v>
      </c>
      <c r="R93" s="180" t="str">
        <f t="shared" si="13"/>
        <v/>
      </c>
      <c r="S93" s="180" t="str">
        <f t="shared" si="14"/>
        <v/>
      </c>
      <c r="T93" s="180" t="str">
        <f t="shared" si="15"/>
        <v/>
      </c>
      <c r="U93" s="180" t="str">
        <f t="shared" si="16"/>
        <v/>
      </c>
      <c r="V93" s="180" t="str">
        <f t="shared" si="4"/>
        <v/>
      </c>
      <c r="W93" s="180" t="str">
        <f t="shared" si="0"/>
        <v/>
      </c>
      <c r="X93" s="180" t="str">
        <f t="shared" si="5"/>
        <v/>
      </c>
      <c r="Y93" s="183"/>
      <c r="Z93" s="183"/>
      <c r="AA93" s="183"/>
    </row>
    <row r="94" spans="1:27" x14ac:dyDescent="0.25">
      <c r="A94" s="52">
        <v>60</v>
      </c>
      <c r="B94" s="50" t="str">
        <f t="shared" si="1"/>
        <v/>
      </c>
      <c r="C94" s="177"/>
      <c r="D94" s="190" t="str">
        <f t="shared" si="17"/>
        <v>OK</v>
      </c>
      <c r="E94" s="189" t="str">
        <f>IF(ISBLANK(C94),"",AVERAGE(C$35:C94))</f>
        <v/>
      </c>
      <c r="F94" s="185"/>
      <c r="G94" s="185"/>
      <c r="H94" s="185"/>
      <c r="I94" s="181">
        <f t="shared" ref="I94:L94" si="48">I93</f>
        <v>53.893722145136735</v>
      </c>
      <c r="J94" s="181">
        <f t="shared" si="48"/>
        <v>44.882748443098563</v>
      </c>
      <c r="K94" s="181">
        <f t="shared" si="48"/>
        <v>56.146465570646278</v>
      </c>
      <c r="L94" s="181">
        <f t="shared" si="48"/>
        <v>42.630005017589021</v>
      </c>
      <c r="M94" s="181">
        <f t="shared" si="8"/>
        <v>50</v>
      </c>
      <c r="N94" s="181">
        <f t="shared" si="9"/>
        <v>55</v>
      </c>
      <c r="O94" s="181">
        <f t="shared" si="10"/>
        <v>45</v>
      </c>
      <c r="P94" s="181">
        <f t="shared" si="11"/>
        <v>49.388235294117649</v>
      </c>
      <c r="Q94" s="188">
        <f t="shared" si="19"/>
        <v>0</v>
      </c>
      <c r="R94" s="180" t="str">
        <f t="shared" si="13"/>
        <v/>
      </c>
      <c r="S94" s="180" t="str">
        <f t="shared" si="14"/>
        <v/>
      </c>
      <c r="T94" s="180" t="str">
        <f t="shared" si="15"/>
        <v/>
      </c>
      <c r="U94" s="180" t="str">
        <f t="shared" si="16"/>
        <v/>
      </c>
      <c r="V94" s="180" t="str">
        <f t="shared" si="4"/>
        <v/>
      </c>
      <c r="W94" s="180" t="str">
        <f t="shared" si="0"/>
        <v/>
      </c>
      <c r="X94" s="180" t="str">
        <f t="shared" si="5"/>
        <v/>
      </c>
      <c r="Y94" s="183"/>
      <c r="Z94" s="183"/>
      <c r="AA94" s="183"/>
    </row>
    <row r="95" spans="1:27" x14ac:dyDescent="0.25">
      <c r="A95" s="52">
        <v>61</v>
      </c>
      <c r="B95" s="50" t="str">
        <f t="shared" si="1"/>
        <v/>
      </c>
      <c r="C95" s="177"/>
      <c r="D95" s="190" t="str">
        <f t="shared" si="17"/>
        <v>OK</v>
      </c>
      <c r="E95" s="189" t="str">
        <f>IF(ISBLANK(C95),"",AVERAGE(C$35:C95))</f>
        <v/>
      </c>
      <c r="F95" s="185"/>
      <c r="G95" s="185"/>
      <c r="H95" s="185"/>
      <c r="I95" s="181">
        <f t="shared" ref="I95:L95" si="49">I94</f>
        <v>53.893722145136735</v>
      </c>
      <c r="J95" s="181">
        <f t="shared" si="49"/>
        <v>44.882748443098563</v>
      </c>
      <c r="K95" s="181">
        <f t="shared" si="49"/>
        <v>56.146465570646278</v>
      </c>
      <c r="L95" s="181">
        <f t="shared" si="49"/>
        <v>42.630005017589021</v>
      </c>
      <c r="M95" s="181">
        <f t="shared" si="8"/>
        <v>50</v>
      </c>
      <c r="N95" s="181">
        <f t="shared" si="9"/>
        <v>55</v>
      </c>
      <c r="O95" s="181">
        <f t="shared" si="10"/>
        <v>45</v>
      </c>
      <c r="P95" s="181">
        <f t="shared" si="11"/>
        <v>49.388235294117649</v>
      </c>
      <c r="Q95" s="188">
        <f t="shared" si="19"/>
        <v>0</v>
      </c>
      <c r="R95" s="180" t="str">
        <f t="shared" si="13"/>
        <v/>
      </c>
      <c r="S95" s="180" t="str">
        <f t="shared" si="14"/>
        <v/>
      </c>
      <c r="T95" s="180" t="str">
        <f t="shared" si="15"/>
        <v/>
      </c>
      <c r="U95" s="180" t="str">
        <f t="shared" si="16"/>
        <v/>
      </c>
      <c r="V95" s="180" t="str">
        <f t="shared" si="4"/>
        <v/>
      </c>
      <c r="W95" s="180" t="str">
        <f t="shared" si="0"/>
        <v/>
      </c>
      <c r="X95" s="180" t="str">
        <f t="shared" si="5"/>
        <v/>
      </c>
      <c r="Y95" s="183"/>
      <c r="Z95" s="183"/>
      <c r="AA95" s="183"/>
    </row>
    <row r="96" spans="1:27" x14ac:dyDescent="0.25">
      <c r="A96" s="52">
        <v>62</v>
      </c>
      <c r="B96" s="50" t="str">
        <f t="shared" si="1"/>
        <v/>
      </c>
      <c r="C96" s="177"/>
      <c r="D96" s="190" t="str">
        <f t="shared" si="17"/>
        <v>OK</v>
      </c>
      <c r="E96" s="189" t="str">
        <f>IF(ISBLANK(C96),"",AVERAGE(C$35:C96))</f>
        <v/>
      </c>
      <c r="F96" s="185"/>
      <c r="G96" s="185"/>
      <c r="H96" s="185"/>
      <c r="I96" s="181">
        <f t="shared" ref="I96:L96" si="50">I95</f>
        <v>53.893722145136735</v>
      </c>
      <c r="J96" s="181">
        <f t="shared" si="50"/>
        <v>44.882748443098563</v>
      </c>
      <c r="K96" s="181">
        <f t="shared" si="50"/>
        <v>56.146465570646278</v>
      </c>
      <c r="L96" s="181">
        <f t="shared" si="50"/>
        <v>42.630005017589021</v>
      </c>
      <c r="M96" s="181">
        <f t="shared" si="8"/>
        <v>50</v>
      </c>
      <c r="N96" s="181">
        <f t="shared" si="9"/>
        <v>55</v>
      </c>
      <c r="O96" s="181">
        <f t="shared" si="10"/>
        <v>45</v>
      </c>
      <c r="P96" s="181">
        <f t="shared" si="11"/>
        <v>49.388235294117649</v>
      </c>
      <c r="Q96" s="188">
        <f t="shared" si="19"/>
        <v>0</v>
      </c>
      <c r="R96" s="180" t="str">
        <f t="shared" si="13"/>
        <v/>
      </c>
      <c r="S96" s="180" t="str">
        <f t="shared" si="14"/>
        <v/>
      </c>
      <c r="T96" s="180" t="str">
        <f t="shared" si="15"/>
        <v/>
      </c>
      <c r="U96" s="180" t="str">
        <f t="shared" si="16"/>
        <v/>
      </c>
      <c r="V96" s="180" t="str">
        <f t="shared" si="4"/>
        <v/>
      </c>
      <c r="W96" s="180" t="str">
        <f t="shared" si="0"/>
        <v/>
      </c>
      <c r="X96" s="180" t="str">
        <f t="shared" si="5"/>
        <v/>
      </c>
      <c r="Y96" s="183"/>
      <c r="Z96" s="183"/>
      <c r="AA96" s="183"/>
    </row>
    <row r="97" spans="1:27" x14ac:dyDescent="0.25">
      <c r="A97" s="52">
        <v>63</v>
      </c>
      <c r="B97" s="50" t="str">
        <f t="shared" si="1"/>
        <v/>
      </c>
      <c r="C97" s="177"/>
      <c r="D97" s="190" t="str">
        <f t="shared" si="17"/>
        <v>OK</v>
      </c>
      <c r="E97" s="189" t="str">
        <f>IF(ISBLANK(C97),"",AVERAGE(C$35:C97))</f>
        <v/>
      </c>
      <c r="F97" s="185"/>
      <c r="G97" s="185"/>
      <c r="H97" s="185"/>
      <c r="I97" s="181">
        <f t="shared" ref="I97:L97" si="51">I96</f>
        <v>53.893722145136735</v>
      </c>
      <c r="J97" s="181">
        <f t="shared" si="51"/>
        <v>44.882748443098563</v>
      </c>
      <c r="K97" s="181">
        <f t="shared" si="51"/>
        <v>56.146465570646278</v>
      </c>
      <c r="L97" s="181">
        <f t="shared" si="51"/>
        <v>42.630005017589021</v>
      </c>
      <c r="M97" s="181">
        <f t="shared" si="8"/>
        <v>50</v>
      </c>
      <c r="N97" s="181">
        <f t="shared" si="9"/>
        <v>55</v>
      </c>
      <c r="O97" s="181">
        <f t="shared" si="10"/>
        <v>45</v>
      </c>
      <c r="P97" s="181">
        <f t="shared" si="11"/>
        <v>49.388235294117649</v>
      </c>
      <c r="Q97" s="188">
        <f t="shared" si="19"/>
        <v>0</v>
      </c>
      <c r="R97" s="180" t="str">
        <f t="shared" si="13"/>
        <v/>
      </c>
      <c r="S97" s="180" t="str">
        <f t="shared" si="14"/>
        <v/>
      </c>
      <c r="T97" s="180" t="str">
        <f t="shared" si="15"/>
        <v/>
      </c>
      <c r="U97" s="180" t="str">
        <f t="shared" si="16"/>
        <v/>
      </c>
      <c r="V97" s="180" t="str">
        <f t="shared" si="4"/>
        <v/>
      </c>
      <c r="W97" s="180" t="str">
        <f t="shared" si="0"/>
        <v/>
      </c>
      <c r="X97" s="180" t="str">
        <f t="shared" si="5"/>
        <v/>
      </c>
      <c r="Y97" s="183"/>
      <c r="Z97" s="183"/>
      <c r="AA97" s="183"/>
    </row>
    <row r="98" spans="1:27" x14ac:dyDescent="0.25">
      <c r="A98" s="52">
        <v>64</v>
      </c>
      <c r="B98" s="50" t="str">
        <f t="shared" si="1"/>
        <v/>
      </c>
      <c r="C98" s="177"/>
      <c r="D98" s="190" t="str">
        <f t="shared" si="17"/>
        <v>OK</v>
      </c>
      <c r="E98" s="189" t="str">
        <f>IF(ISBLANK(C98),"",AVERAGE(C$35:C98))</f>
        <v/>
      </c>
      <c r="F98" s="185"/>
      <c r="G98" s="185"/>
      <c r="H98" s="185"/>
      <c r="I98" s="181">
        <f t="shared" ref="I98:L98" si="52">I97</f>
        <v>53.893722145136735</v>
      </c>
      <c r="J98" s="181">
        <f t="shared" si="52"/>
        <v>44.882748443098563</v>
      </c>
      <c r="K98" s="181">
        <f t="shared" si="52"/>
        <v>56.146465570646278</v>
      </c>
      <c r="L98" s="181">
        <f t="shared" si="52"/>
        <v>42.630005017589021</v>
      </c>
      <c r="M98" s="181">
        <f t="shared" si="8"/>
        <v>50</v>
      </c>
      <c r="N98" s="181">
        <f t="shared" si="9"/>
        <v>55</v>
      </c>
      <c r="O98" s="181">
        <f t="shared" si="10"/>
        <v>45</v>
      </c>
      <c r="P98" s="181">
        <f t="shared" si="11"/>
        <v>49.388235294117649</v>
      </c>
      <c r="Q98" s="188">
        <f t="shared" si="19"/>
        <v>0</v>
      </c>
      <c r="R98" s="180" t="str">
        <f t="shared" si="13"/>
        <v/>
      </c>
      <c r="S98" s="180" t="str">
        <f t="shared" si="14"/>
        <v/>
      </c>
      <c r="T98" s="180" t="str">
        <f t="shared" si="15"/>
        <v/>
      </c>
      <c r="U98" s="180" t="str">
        <f t="shared" si="16"/>
        <v/>
      </c>
      <c r="V98" s="180" t="str">
        <f t="shared" si="4"/>
        <v/>
      </c>
      <c r="W98" s="180" t="str">
        <f t="shared" si="0"/>
        <v/>
      </c>
      <c r="X98" s="180" t="str">
        <f t="shared" si="5"/>
        <v/>
      </c>
      <c r="Y98" s="183"/>
      <c r="Z98" s="183"/>
      <c r="AA98" s="183"/>
    </row>
    <row r="99" spans="1:27" x14ac:dyDescent="0.25">
      <c r="A99" s="52">
        <v>65</v>
      </c>
      <c r="B99" s="50" t="str">
        <f t="shared" si="1"/>
        <v/>
      </c>
      <c r="C99" s="177"/>
      <c r="D99" s="190" t="str">
        <f t="shared" si="17"/>
        <v>OK</v>
      </c>
      <c r="E99" s="189" t="str">
        <f>IF(ISBLANK(C99),"",AVERAGE(C$35:C99))</f>
        <v/>
      </c>
      <c r="F99" s="185"/>
      <c r="G99" s="185"/>
      <c r="H99" s="185"/>
      <c r="I99" s="181">
        <f t="shared" ref="I99:L99" si="53">I98</f>
        <v>53.893722145136735</v>
      </c>
      <c r="J99" s="181">
        <f t="shared" si="53"/>
        <v>44.882748443098563</v>
      </c>
      <c r="K99" s="181">
        <f t="shared" si="53"/>
        <v>56.146465570646278</v>
      </c>
      <c r="L99" s="181">
        <f t="shared" si="53"/>
        <v>42.630005017589021</v>
      </c>
      <c r="M99" s="181">
        <f t="shared" si="8"/>
        <v>50</v>
      </c>
      <c r="N99" s="181">
        <f t="shared" si="9"/>
        <v>55</v>
      </c>
      <c r="O99" s="181">
        <f t="shared" si="10"/>
        <v>45</v>
      </c>
      <c r="P99" s="181">
        <f t="shared" si="11"/>
        <v>49.388235294117649</v>
      </c>
      <c r="Q99" s="188">
        <f t="shared" si="19"/>
        <v>0</v>
      </c>
      <c r="R99" s="180" t="str">
        <f t="shared" si="13"/>
        <v/>
      </c>
      <c r="S99" s="180" t="str">
        <f t="shared" si="14"/>
        <v/>
      </c>
      <c r="T99" s="180" t="str">
        <f t="shared" si="15"/>
        <v/>
      </c>
      <c r="U99" s="180" t="str">
        <f t="shared" si="16"/>
        <v/>
      </c>
      <c r="V99" s="180" t="str">
        <f t="shared" si="4"/>
        <v/>
      </c>
      <c r="W99" s="180" t="str">
        <f t="shared" ref="W99:W162" si="54">IF(C99&gt;N99,IF(C99&lt;O99,6,""),"")</f>
        <v/>
      </c>
      <c r="X99" s="180" t="str">
        <f t="shared" si="5"/>
        <v/>
      </c>
      <c r="Y99" s="183"/>
      <c r="Z99" s="183"/>
      <c r="AA99" s="183"/>
    </row>
    <row r="100" spans="1:27" x14ac:dyDescent="0.25">
      <c r="A100" s="52">
        <v>66</v>
      </c>
      <c r="B100" s="50" t="str">
        <f t="shared" ref="B100:B163" si="55">IF(ISNUMBER(C100),A100,"")</f>
        <v/>
      </c>
      <c r="C100" s="177"/>
      <c r="D100" s="190" t="str">
        <f t="shared" si="17"/>
        <v>OK</v>
      </c>
      <c r="E100" s="189" t="str">
        <f>IF(ISBLANK(C100),"",AVERAGE(C$35:C100))</f>
        <v/>
      </c>
      <c r="F100" s="185"/>
      <c r="G100" s="185"/>
      <c r="H100" s="185"/>
      <c r="I100" s="181">
        <f t="shared" ref="I100:L100" si="56">I99</f>
        <v>53.893722145136735</v>
      </c>
      <c r="J100" s="181">
        <f t="shared" si="56"/>
        <v>44.882748443098563</v>
      </c>
      <c r="K100" s="181">
        <f t="shared" si="56"/>
        <v>56.146465570646278</v>
      </c>
      <c r="L100" s="181">
        <f t="shared" si="56"/>
        <v>42.630005017589021</v>
      </c>
      <c r="M100" s="181">
        <f t="shared" si="8"/>
        <v>50</v>
      </c>
      <c r="N100" s="181">
        <f t="shared" si="9"/>
        <v>55</v>
      </c>
      <c r="O100" s="181">
        <f t="shared" si="10"/>
        <v>45</v>
      </c>
      <c r="P100" s="181">
        <f t="shared" si="11"/>
        <v>49.388235294117649</v>
      </c>
      <c r="Q100" s="188">
        <f t="shared" si="19"/>
        <v>0</v>
      </c>
      <c r="R100" s="180" t="str">
        <f t="shared" si="13"/>
        <v/>
      </c>
      <c r="S100" s="180" t="str">
        <f t="shared" si="14"/>
        <v/>
      </c>
      <c r="T100" s="180" t="str">
        <f t="shared" si="15"/>
        <v/>
      </c>
      <c r="U100" s="180" t="str">
        <f t="shared" si="16"/>
        <v/>
      </c>
      <c r="V100" s="180" t="str">
        <f t="shared" ref="V100:V163" si="57">IF(ISNUMBER(C100),IF(ABS(C100-C99)&gt;4*$C$5,5,""),"")</f>
        <v/>
      </c>
      <c r="W100" s="180" t="str">
        <f t="shared" si="54"/>
        <v/>
      </c>
      <c r="X100" s="180" t="str">
        <f t="shared" ref="X100:X163" si="58">IF(AND(C100&gt;I99,C99&gt;I99),7,"")</f>
        <v/>
      </c>
      <c r="Y100" s="183"/>
      <c r="Z100" s="183"/>
      <c r="AA100" s="183"/>
    </row>
    <row r="101" spans="1:27" x14ac:dyDescent="0.25">
      <c r="A101" s="52">
        <v>67</v>
      </c>
      <c r="B101" s="50" t="str">
        <f t="shared" si="55"/>
        <v/>
      </c>
      <c r="C101" s="177"/>
      <c r="D101" s="190" t="str">
        <f t="shared" si="17"/>
        <v>OK</v>
      </c>
      <c r="E101" s="189" t="str">
        <f>IF(ISBLANK(C101),"",AVERAGE(C$35:C101))</f>
        <v/>
      </c>
      <c r="F101" s="185"/>
      <c r="G101" s="185"/>
      <c r="H101" s="185"/>
      <c r="I101" s="181">
        <f t="shared" ref="I101:P116" si="59">I100</f>
        <v>53.893722145136735</v>
      </c>
      <c r="J101" s="181">
        <f t="shared" si="59"/>
        <v>44.882748443098563</v>
      </c>
      <c r="K101" s="181">
        <f t="shared" si="59"/>
        <v>56.146465570646278</v>
      </c>
      <c r="L101" s="181">
        <f t="shared" si="59"/>
        <v>42.630005017589021</v>
      </c>
      <c r="M101" s="181">
        <f t="shared" si="59"/>
        <v>50</v>
      </c>
      <c r="N101" s="181">
        <f t="shared" si="59"/>
        <v>55</v>
      </c>
      <c r="O101" s="181">
        <f t="shared" si="59"/>
        <v>45</v>
      </c>
      <c r="P101" s="181">
        <f t="shared" si="59"/>
        <v>49.388235294117649</v>
      </c>
      <c r="Q101" s="188">
        <f t="shared" si="19"/>
        <v>0</v>
      </c>
      <c r="R101" s="180" t="str">
        <f t="shared" si="13"/>
        <v/>
      </c>
      <c r="S101" s="180" t="str">
        <f t="shared" si="14"/>
        <v/>
      </c>
      <c r="T101" s="180" t="str">
        <f t="shared" si="15"/>
        <v/>
      </c>
      <c r="U101" s="180" t="str">
        <f t="shared" si="16"/>
        <v/>
      </c>
      <c r="V101" s="180" t="str">
        <f t="shared" si="57"/>
        <v/>
      </c>
      <c r="W101" s="180" t="str">
        <f t="shared" si="54"/>
        <v/>
      </c>
      <c r="X101" s="180" t="str">
        <f t="shared" si="58"/>
        <v/>
      </c>
      <c r="Y101" s="183"/>
      <c r="Z101" s="183"/>
      <c r="AA101" s="183"/>
    </row>
    <row r="102" spans="1:27" x14ac:dyDescent="0.25">
      <c r="A102" s="52">
        <v>68</v>
      </c>
      <c r="B102" s="50" t="str">
        <f t="shared" si="55"/>
        <v/>
      </c>
      <c r="C102" s="177"/>
      <c r="D102" s="190" t="str">
        <f t="shared" si="17"/>
        <v>OK</v>
      </c>
      <c r="E102" s="189" t="str">
        <f>IF(ISBLANK(C102),"",AVERAGE(C$35:C102))</f>
        <v/>
      </c>
      <c r="F102" s="185"/>
      <c r="G102" s="185"/>
      <c r="H102" s="185"/>
      <c r="I102" s="181">
        <f t="shared" ref="I102:L102" si="60">I101</f>
        <v>53.893722145136735</v>
      </c>
      <c r="J102" s="181">
        <f t="shared" si="60"/>
        <v>44.882748443098563</v>
      </c>
      <c r="K102" s="181">
        <f t="shared" si="60"/>
        <v>56.146465570646278</v>
      </c>
      <c r="L102" s="181">
        <f t="shared" si="60"/>
        <v>42.630005017589021</v>
      </c>
      <c r="M102" s="181">
        <f t="shared" si="59"/>
        <v>50</v>
      </c>
      <c r="N102" s="181">
        <f t="shared" si="59"/>
        <v>55</v>
      </c>
      <c r="O102" s="181">
        <f t="shared" si="59"/>
        <v>45</v>
      </c>
      <c r="P102" s="181">
        <f t="shared" si="59"/>
        <v>49.388235294117649</v>
      </c>
      <c r="Q102" s="188">
        <f t="shared" si="19"/>
        <v>0</v>
      </c>
      <c r="R102" s="180" t="str">
        <f t="shared" si="13"/>
        <v/>
      </c>
      <c r="S102" s="180" t="str">
        <f t="shared" si="14"/>
        <v/>
      </c>
      <c r="T102" s="180" t="str">
        <f t="shared" si="15"/>
        <v/>
      </c>
      <c r="U102" s="180" t="str">
        <f t="shared" si="16"/>
        <v/>
      </c>
      <c r="V102" s="180" t="str">
        <f t="shared" si="57"/>
        <v/>
      </c>
      <c r="W102" s="180" t="str">
        <f t="shared" si="54"/>
        <v/>
      </c>
      <c r="X102" s="180" t="str">
        <f t="shared" si="58"/>
        <v/>
      </c>
      <c r="Y102" s="183"/>
      <c r="Z102" s="183"/>
      <c r="AA102" s="183"/>
    </row>
    <row r="103" spans="1:27" x14ac:dyDescent="0.25">
      <c r="A103" s="52">
        <v>69</v>
      </c>
      <c r="B103" s="50" t="str">
        <f t="shared" si="55"/>
        <v/>
      </c>
      <c r="C103" s="177"/>
      <c r="D103" s="190" t="str">
        <f t="shared" si="17"/>
        <v>OK</v>
      </c>
      <c r="E103" s="189" t="str">
        <f>IF(ISBLANK(C103),"",AVERAGE(C$35:C103))</f>
        <v/>
      </c>
      <c r="F103" s="185"/>
      <c r="G103" s="185"/>
      <c r="H103" s="185"/>
      <c r="I103" s="181">
        <f t="shared" ref="I103:L103" si="61">I102</f>
        <v>53.893722145136735</v>
      </c>
      <c r="J103" s="181">
        <f t="shared" si="61"/>
        <v>44.882748443098563</v>
      </c>
      <c r="K103" s="181">
        <f t="shared" si="61"/>
        <v>56.146465570646278</v>
      </c>
      <c r="L103" s="181">
        <f t="shared" si="61"/>
        <v>42.630005017589021</v>
      </c>
      <c r="M103" s="181">
        <f t="shared" si="59"/>
        <v>50</v>
      </c>
      <c r="N103" s="181">
        <f t="shared" si="59"/>
        <v>55</v>
      </c>
      <c r="O103" s="181">
        <f t="shared" si="59"/>
        <v>45</v>
      </c>
      <c r="P103" s="181">
        <f t="shared" si="59"/>
        <v>49.388235294117649</v>
      </c>
      <c r="Q103" s="188">
        <f t="shared" si="19"/>
        <v>0</v>
      </c>
      <c r="R103" s="180" t="str">
        <f t="shared" si="13"/>
        <v/>
      </c>
      <c r="S103" s="180" t="str">
        <f t="shared" si="14"/>
        <v/>
      </c>
      <c r="T103" s="180" t="str">
        <f t="shared" si="15"/>
        <v/>
      </c>
      <c r="U103" s="180" t="str">
        <f t="shared" si="16"/>
        <v/>
      </c>
      <c r="V103" s="180" t="str">
        <f t="shared" si="57"/>
        <v/>
      </c>
      <c r="W103" s="180" t="str">
        <f t="shared" si="54"/>
        <v/>
      </c>
      <c r="X103" s="180" t="str">
        <f t="shared" si="58"/>
        <v/>
      </c>
      <c r="Y103" s="183"/>
      <c r="Z103" s="183"/>
      <c r="AA103" s="183"/>
    </row>
    <row r="104" spans="1:27" x14ac:dyDescent="0.25">
      <c r="A104" s="52">
        <v>70</v>
      </c>
      <c r="B104" s="50" t="str">
        <f t="shared" si="55"/>
        <v/>
      </c>
      <c r="C104" s="177"/>
      <c r="D104" s="190" t="str">
        <f t="shared" si="17"/>
        <v>OK</v>
      </c>
      <c r="E104" s="189" t="str">
        <f>IF(ISBLANK(C104),"",AVERAGE(C$35:C104))</f>
        <v/>
      </c>
      <c r="F104" s="185"/>
      <c r="G104" s="185"/>
      <c r="H104" s="185"/>
      <c r="I104" s="181">
        <f t="shared" ref="I104:L104" si="62">I103</f>
        <v>53.893722145136735</v>
      </c>
      <c r="J104" s="181">
        <f t="shared" si="62"/>
        <v>44.882748443098563</v>
      </c>
      <c r="K104" s="181">
        <f t="shared" si="62"/>
        <v>56.146465570646278</v>
      </c>
      <c r="L104" s="181">
        <f t="shared" si="62"/>
        <v>42.630005017589021</v>
      </c>
      <c r="M104" s="181">
        <f t="shared" si="59"/>
        <v>50</v>
      </c>
      <c r="N104" s="181">
        <f t="shared" si="59"/>
        <v>55</v>
      </c>
      <c r="O104" s="181">
        <f t="shared" si="59"/>
        <v>45</v>
      </c>
      <c r="P104" s="181">
        <f t="shared" si="59"/>
        <v>49.388235294117649</v>
      </c>
      <c r="Q104" s="188">
        <f t="shared" si="19"/>
        <v>0</v>
      </c>
      <c r="R104" s="180" t="str">
        <f t="shared" ref="R104:R167" si="63">IF(AND(C104&gt;C103,C103&gt;C102,C102&gt;C101,C101&gt;C100,C100&gt;C99),1,"")</f>
        <v/>
      </c>
      <c r="S104" s="180" t="str">
        <f t="shared" ref="S104:S167" si="64">IF(AND(C104&lt;C103,C103&lt;C102,C102&lt;C101,C101&lt;C100,C100&lt;C99),2,"")</f>
        <v/>
      </c>
      <c r="T104" s="180" t="str">
        <f t="shared" si="15"/>
        <v/>
      </c>
      <c r="U104" s="180" t="str">
        <f t="shared" si="16"/>
        <v/>
      </c>
      <c r="V104" s="180" t="str">
        <f t="shared" si="57"/>
        <v/>
      </c>
      <c r="W104" s="180" t="str">
        <f t="shared" si="54"/>
        <v/>
      </c>
      <c r="X104" s="180" t="str">
        <f t="shared" si="58"/>
        <v/>
      </c>
      <c r="Y104" s="183"/>
      <c r="Z104" s="183"/>
      <c r="AA104" s="183"/>
    </row>
    <row r="105" spans="1:27" x14ac:dyDescent="0.25">
      <c r="A105" s="52">
        <v>71</v>
      </c>
      <c r="B105" s="50" t="str">
        <f t="shared" si="55"/>
        <v/>
      </c>
      <c r="C105" s="177"/>
      <c r="D105" s="190" t="str">
        <f t="shared" si="17"/>
        <v>OK</v>
      </c>
      <c r="E105" s="189" t="str">
        <f>IF(ISBLANK(C105),"",AVERAGE(C$35:C105))</f>
        <v/>
      </c>
      <c r="F105" s="185"/>
      <c r="G105" s="185"/>
      <c r="H105" s="185"/>
      <c r="I105" s="181">
        <f t="shared" ref="I105:L105" si="65">I104</f>
        <v>53.893722145136735</v>
      </c>
      <c r="J105" s="181">
        <f t="shared" si="65"/>
        <v>44.882748443098563</v>
      </c>
      <c r="K105" s="181">
        <f t="shared" si="65"/>
        <v>56.146465570646278</v>
      </c>
      <c r="L105" s="181">
        <f t="shared" si="65"/>
        <v>42.630005017589021</v>
      </c>
      <c r="M105" s="181">
        <f t="shared" si="59"/>
        <v>50</v>
      </c>
      <c r="N105" s="181">
        <f t="shared" si="59"/>
        <v>55</v>
      </c>
      <c r="O105" s="181">
        <f t="shared" si="59"/>
        <v>45</v>
      </c>
      <c r="P105" s="181">
        <f t="shared" si="59"/>
        <v>49.388235294117649</v>
      </c>
      <c r="Q105" s="188">
        <f t="shared" si="19"/>
        <v>0</v>
      </c>
      <c r="R105" s="180" t="str">
        <f t="shared" si="63"/>
        <v/>
      </c>
      <c r="S105" s="180" t="str">
        <f t="shared" si="64"/>
        <v/>
      </c>
      <c r="T105" s="180" t="str">
        <f t="shared" si="15"/>
        <v/>
      </c>
      <c r="U105" s="180" t="str">
        <f t="shared" si="16"/>
        <v/>
      </c>
      <c r="V105" s="180" t="str">
        <f t="shared" si="57"/>
        <v/>
      </c>
      <c r="W105" s="180" t="str">
        <f t="shared" si="54"/>
        <v/>
      </c>
      <c r="X105" s="180" t="str">
        <f t="shared" si="58"/>
        <v/>
      </c>
      <c r="Y105" s="183"/>
      <c r="Z105" s="183"/>
      <c r="AA105" s="183"/>
    </row>
    <row r="106" spans="1:27" x14ac:dyDescent="0.25">
      <c r="A106" s="52">
        <v>72</v>
      </c>
      <c r="B106" s="50" t="str">
        <f t="shared" si="55"/>
        <v/>
      </c>
      <c r="C106" s="177"/>
      <c r="D106" s="190" t="str">
        <f t="shared" si="17"/>
        <v>OK</v>
      </c>
      <c r="E106" s="189" t="str">
        <f>IF(ISBLANK(C106),"",AVERAGE(C$35:C106))</f>
        <v/>
      </c>
      <c r="F106" s="185"/>
      <c r="G106" s="185"/>
      <c r="H106" s="185"/>
      <c r="I106" s="181">
        <f t="shared" ref="I106:L106" si="66">I105</f>
        <v>53.893722145136735</v>
      </c>
      <c r="J106" s="181">
        <f t="shared" si="66"/>
        <v>44.882748443098563</v>
      </c>
      <c r="K106" s="181">
        <f t="shared" si="66"/>
        <v>56.146465570646278</v>
      </c>
      <c r="L106" s="181">
        <f t="shared" si="66"/>
        <v>42.630005017589021</v>
      </c>
      <c r="M106" s="181">
        <f t="shared" si="59"/>
        <v>50</v>
      </c>
      <c r="N106" s="181">
        <f t="shared" si="59"/>
        <v>55</v>
      </c>
      <c r="O106" s="181">
        <f t="shared" si="59"/>
        <v>45</v>
      </c>
      <c r="P106" s="181">
        <f t="shared" si="59"/>
        <v>49.388235294117649</v>
      </c>
      <c r="Q106" s="188">
        <f t="shared" si="19"/>
        <v>0</v>
      </c>
      <c r="R106" s="180" t="str">
        <f t="shared" si="63"/>
        <v/>
      </c>
      <c r="S106" s="180" t="str">
        <f t="shared" si="64"/>
        <v/>
      </c>
      <c r="T106" s="180" t="str">
        <f t="shared" si="15"/>
        <v/>
      </c>
      <c r="U106" s="180" t="str">
        <f t="shared" si="16"/>
        <v/>
      </c>
      <c r="V106" s="180" t="str">
        <f t="shared" si="57"/>
        <v/>
      </c>
      <c r="W106" s="180" t="str">
        <f t="shared" si="54"/>
        <v/>
      </c>
      <c r="X106" s="180" t="str">
        <f t="shared" si="58"/>
        <v/>
      </c>
      <c r="Y106" s="183"/>
      <c r="Z106" s="183"/>
      <c r="AA106" s="183"/>
    </row>
    <row r="107" spans="1:27" x14ac:dyDescent="0.25">
      <c r="A107" s="52">
        <v>73</v>
      </c>
      <c r="B107" s="50" t="str">
        <f t="shared" si="55"/>
        <v/>
      </c>
      <c r="C107" s="177"/>
      <c r="D107" s="190" t="str">
        <f t="shared" si="17"/>
        <v>OK</v>
      </c>
      <c r="E107" s="189" t="str">
        <f>IF(ISBLANK(C107),"",AVERAGE(C$35:C107))</f>
        <v/>
      </c>
      <c r="F107" s="185"/>
      <c r="G107" s="185"/>
      <c r="H107" s="185"/>
      <c r="I107" s="181">
        <f t="shared" ref="I107:L107" si="67">I106</f>
        <v>53.893722145136735</v>
      </c>
      <c r="J107" s="181">
        <f t="shared" si="67"/>
        <v>44.882748443098563</v>
      </c>
      <c r="K107" s="181">
        <f t="shared" si="67"/>
        <v>56.146465570646278</v>
      </c>
      <c r="L107" s="181">
        <f t="shared" si="67"/>
        <v>42.630005017589021</v>
      </c>
      <c r="M107" s="181">
        <f t="shared" si="59"/>
        <v>50</v>
      </c>
      <c r="N107" s="181">
        <f t="shared" si="59"/>
        <v>55</v>
      </c>
      <c r="O107" s="181">
        <f t="shared" si="59"/>
        <v>45</v>
      </c>
      <c r="P107" s="181">
        <f t="shared" si="59"/>
        <v>49.388235294117649</v>
      </c>
      <c r="Q107" s="188">
        <f t="shared" si="19"/>
        <v>0</v>
      </c>
      <c r="R107" s="180" t="str">
        <f t="shared" si="63"/>
        <v/>
      </c>
      <c r="S107" s="180" t="str">
        <f t="shared" si="64"/>
        <v/>
      </c>
      <c r="T107" s="180" t="str">
        <f t="shared" ref="T107:T170" si="68">IF(AND(C107&gt;$C$2,C106&gt;$C$2,C105&gt;$C$2,C104&gt;$C$2,C103&gt;$C$2,C102&gt;$C$2,C101&gt;$C$2,C100&gt;$C$2,C99&gt;$C$2),3,"")</f>
        <v/>
      </c>
      <c r="U107" s="180" t="str">
        <f t="shared" ref="U107:U170" si="69">IF(AND(I107&lt;$C$2,I106&lt;$C$2,I105&lt;$C$2,I104&lt;$C$2,I103&lt;$C$2,I102&lt;$C$2,I101&lt;$C$2,I100&lt;$C$2,I99&lt;$C$2),4,"")</f>
        <v/>
      </c>
      <c r="V107" s="180" t="str">
        <f t="shared" si="57"/>
        <v/>
      </c>
      <c r="W107" s="180" t="str">
        <f t="shared" si="54"/>
        <v/>
      </c>
      <c r="X107" s="180" t="str">
        <f t="shared" si="58"/>
        <v/>
      </c>
      <c r="Y107" s="183"/>
      <c r="Z107" s="183"/>
      <c r="AA107" s="183"/>
    </row>
    <row r="108" spans="1:27" x14ac:dyDescent="0.25">
      <c r="A108" s="52">
        <v>74</v>
      </c>
      <c r="B108" s="50" t="str">
        <f t="shared" si="55"/>
        <v/>
      </c>
      <c r="C108" s="177"/>
      <c r="D108" s="190" t="str">
        <f t="shared" si="17"/>
        <v>OK</v>
      </c>
      <c r="E108" s="189" t="str">
        <f>IF(ISBLANK(C108),"",AVERAGE(C$35:C108))</f>
        <v/>
      </c>
      <c r="F108" s="185"/>
      <c r="G108" s="185"/>
      <c r="H108" s="185"/>
      <c r="I108" s="181">
        <f t="shared" ref="I108:L108" si="70">I107</f>
        <v>53.893722145136735</v>
      </c>
      <c r="J108" s="181">
        <f t="shared" si="70"/>
        <v>44.882748443098563</v>
      </c>
      <c r="K108" s="181">
        <f t="shared" si="70"/>
        <v>56.146465570646278</v>
      </c>
      <c r="L108" s="181">
        <f t="shared" si="70"/>
        <v>42.630005017589021</v>
      </c>
      <c r="M108" s="181">
        <f t="shared" si="59"/>
        <v>50</v>
      </c>
      <c r="N108" s="181">
        <f t="shared" si="59"/>
        <v>55</v>
      </c>
      <c r="O108" s="181">
        <f t="shared" si="59"/>
        <v>45</v>
      </c>
      <c r="P108" s="181">
        <f t="shared" si="59"/>
        <v>49.388235294117649</v>
      </c>
      <c r="Q108" s="188">
        <f t="shared" si="19"/>
        <v>0</v>
      </c>
      <c r="R108" s="180" t="str">
        <f t="shared" si="63"/>
        <v/>
      </c>
      <c r="S108" s="180" t="str">
        <f t="shared" si="64"/>
        <v/>
      </c>
      <c r="T108" s="180" t="str">
        <f t="shared" si="68"/>
        <v/>
      </c>
      <c r="U108" s="180" t="str">
        <f t="shared" si="69"/>
        <v/>
      </c>
      <c r="V108" s="180" t="str">
        <f t="shared" si="57"/>
        <v/>
      </c>
      <c r="W108" s="180" t="str">
        <f t="shared" si="54"/>
        <v/>
      </c>
      <c r="X108" s="180" t="str">
        <f t="shared" si="58"/>
        <v/>
      </c>
      <c r="Y108" s="183"/>
      <c r="Z108" s="183"/>
      <c r="AA108" s="183"/>
    </row>
    <row r="109" spans="1:27" x14ac:dyDescent="0.25">
      <c r="A109" s="52">
        <v>75</v>
      </c>
      <c r="B109" s="50" t="str">
        <f t="shared" si="55"/>
        <v/>
      </c>
      <c r="C109" s="177"/>
      <c r="D109" s="190" t="str">
        <f t="shared" si="17"/>
        <v>OK</v>
      </c>
      <c r="E109" s="189" t="str">
        <f>IF(ISBLANK(C109),"",AVERAGE(C$35:C109))</f>
        <v/>
      </c>
      <c r="F109" s="185"/>
      <c r="G109" s="185"/>
      <c r="H109" s="185"/>
      <c r="I109" s="181">
        <f t="shared" ref="I109:L109" si="71">I108</f>
        <v>53.893722145136735</v>
      </c>
      <c r="J109" s="181">
        <f t="shared" si="71"/>
        <v>44.882748443098563</v>
      </c>
      <c r="K109" s="181">
        <f t="shared" si="71"/>
        <v>56.146465570646278</v>
      </c>
      <c r="L109" s="181">
        <f t="shared" si="71"/>
        <v>42.630005017589021</v>
      </c>
      <c r="M109" s="181">
        <f t="shared" si="59"/>
        <v>50</v>
      </c>
      <c r="N109" s="181">
        <f t="shared" si="59"/>
        <v>55</v>
      </c>
      <c r="O109" s="181">
        <f t="shared" si="59"/>
        <v>45</v>
      </c>
      <c r="P109" s="181">
        <f t="shared" si="59"/>
        <v>49.388235294117649</v>
      </c>
      <c r="Q109" s="188">
        <f t="shared" si="19"/>
        <v>0</v>
      </c>
      <c r="R109" s="180" t="str">
        <f t="shared" si="63"/>
        <v/>
      </c>
      <c r="S109" s="180" t="str">
        <f t="shared" si="64"/>
        <v/>
      </c>
      <c r="T109" s="180" t="str">
        <f t="shared" si="68"/>
        <v/>
      </c>
      <c r="U109" s="180" t="str">
        <f t="shared" si="69"/>
        <v/>
      </c>
      <c r="V109" s="180" t="str">
        <f t="shared" si="57"/>
        <v/>
      </c>
      <c r="W109" s="180" t="str">
        <f t="shared" si="54"/>
        <v/>
      </c>
      <c r="X109" s="180" t="str">
        <f t="shared" si="58"/>
        <v/>
      </c>
      <c r="Y109" s="183"/>
      <c r="Z109" s="183"/>
      <c r="AA109" s="183"/>
    </row>
    <row r="110" spans="1:27" x14ac:dyDescent="0.25">
      <c r="A110" s="52">
        <v>76</v>
      </c>
      <c r="B110" s="50" t="str">
        <f t="shared" si="55"/>
        <v/>
      </c>
      <c r="C110" s="177"/>
      <c r="D110" s="190" t="str">
        <f t="shared" si="17"/>
        <v>OK</v>
      </c>
      <c r="E110" s="189" t="str">
        <f>IF(ISBLANK(C110),"",AVERAGE(C$35:C110))</f>
        <v/>
      </c>
      <c r="F110" s="185"/>
      <c r="G110" s="185"/>
      <c r="H110" s="185"/>
      <c r="I110" s="181">
        <f t="shared" ref="I110:L110" si="72">I109</f>
        <v>53.893722145136735</v>
      </c>
      <c r="J110" s="181">
        <f t="shared" si="72"/>
        <v>44.882748443098563</v>
      </c>
      <c r="K110" s="181">
        <f t="shared" si="72"/>
        <v>56.146465570646278</v>
      </c>
      <c r="L110" s="181">
        <f t="shared" si="72"/>
        <v>42.630005017589021</v>
      </c>
      <c r="M110" s="181">
        <f t="shared" si="59"/>
        <v>50</v>
      </c>
      <c r="N110" s="181">
        <f t="shared" si="59"/>
        <v>55</v>
      </c>
      <c r="O110" s="181">
        <f t="shared" si="59"/>
        <v>45</v>
      </c>
      <c r="P110" s="181">
        <f t="shared" si="59"/>
        <v>49.388235294117649</v>
      </c>
      <c r="Q110" s="188">
        <f t="shared" si="19"/>
        <v>0</v>
      </c>
      <c r="R110" s="180" t="str">
        <f t="shared" si="63"/>
        <v/>
      </c>
      <c r="S110" s="180" t="str">
        <f t="shared" si="64"/>
        <v/>
      </c>
      <c r="T110" s="180" t="str">
        <f t="shared" si="68"/>
        <v/>
      </c>
      <c r="U110" s="180" t="str">
        <f t="shared" si="69"/>
        <v/>
      </c>
      <c r="V110" s="180" t="str">
        <f t="shared" si="57"/>
        <v/>
      </c>
      <c r="W110" s="180" t="str">
        <f t="shared" si="54"/>
        <v/>
      </c>
      <c r="X110" s="180" t="str">
        <f t="shared" si="58"/>
        <v/>
      </c>
      <c r="Y110" s="183"/>
      <c r="Z110" s="183"/>
      <c r="AA110" s="183"/>
    </row>
    <row r="111" spans="1:27" x14ac:dyDescent="0.25">
      <c r="A111" s="52">
        <v>77</v>
      </c>
      <c r="B111" s="50" t="str">
        <f t="shared" si="55"/>
        <v/>
      </c>
      <c r="C111" s="177"/>
      <c r="D111" s="190" t="str">
        <f t="shared" si="17"/>
        <v>OK</v>
      </c>
      <c r="E111" s="189" t="str">
        <f>IF(ISBLANK(C111),"",AVERAGE(C$35:C111))</f>
        <v/>
      </c>
      <c r="F111" s="185"/>
      <c r="G111" s="185"/>
      <c r="H111" s="185"/>
      <c r="I111" s="181">
        <f t="shared" ref="I111:L111" si="73">I110</f>
        <v>53.893722145136735</v>
      </c>
      <c r="J111" s="181">
        <f t="shared" si="73"/>
        <v>44.882748443098563</v>
      </c>
      <c r="K111" s="181">
        <f t="shared" si="73"/>
        <v>56.146465570646278</v>
      </c>
      <c r="L111" s="181">
        <f t="shared" si="73"/>
        <v>42.630005017589021</v>
      </c>
      <c r="M111" s="181">
        <f t="shared" si="59"/>
        <v>50</v>
      </c>
      <c r="N111" s="181">
        <f t="shared" si="59"/>
        <v>55</v>
      </c>
      <c r="O111" s="181">
        <f t="shared" si="59"/>
        <v>45</v>
      </c>
      <c r="P111" s="181">
        <f t="shared" si="59"/>
        <v>49.388235294117649</v>
      </c>
      <c r="Q111" s="188">
        <f t="shared" si="19"/>
        <v>0</v>
      </c>
      <c r="R111" s="180" t="str">
        <f t="shared" si="63"/>
        <v/>
      </c>
      <c r="S111" s="180" t="str">
        <f t="shared" si="64"/>
        <v/>
      </c>
      <c r="T111" s="180" t="str">
        <f t="shared" si="68"/>
        <v/>
      </c>
      <c r="U111" s="180" t="str">
        <f t="shared" si="69"/>
        <v/>
      </c>
      <c r="V111" s="180" t="str">
        <f t="shared" si="57"/>
        <v/>
      </c>
      <c r="W111" s="180" t="str">
        <f t="shared" si="54"/>
        <v/>
      </c>
      <c r="X111" s="180" t="str">
        <f t="shared" si="58"/>
        <v/>
      </c>
      <c r="Y111" s="183"/>
      <c r="Z111" s="183"/>
      <c r="AA111" s="183"/>
    </row>
    <row r="112" spans="1:27" x14ac:dyDescent="0.25">
      <c r="A112" s="52">
        <v>78</v>
      </c>
      <c r="B112" s="50" t="str">
        <f t="shared" si="55"/>
        <v/>
      </c>
      <c r="C112" s="177"/>
      <c r="D112" s="190" t="str">
        <f t="shared" si="17"/>
        <v>OK</v>
      </c>
      <c r="E112" s="189" t="str">
        <f>IF(ISBLANK(C112),"",AVERAGE(C$35:C112))</f>
        <v/>
      </c>
      <c r="F112" s="185"/>
      <c r="G112" s="185"/>
      <c r="H112" s="185"/>
      <c r="I112" s="181">
        <f t="shared" ref="I112:L112" si="74">I111</f>
        <v>53.893722145136735</v>
      </c>
      <c r="J112" s="181">
        <f t="shared" si="74"/>
        <v>44.882748443098563</v>
      </c>
      <c r="K112" s="181">
        <f t="shared" si="74"/>
        <v>56.146465570646278</v>
      </c>
      <c r="L112" s="181">
        <f t="shared" si="74"/>
        <v>42.630005017589021</v>
      </c>
      <c r="M112" s="181">
        <f t="shared" si="59"/>
        <v>50</v>
      </c>
      <c r="N112" s="181">
        <f t="shared" si="59"/>
        <v>55</v>
      </c>
      <c r="O112" s="181">
        <f t="shared" si="59"/>
        <v>45</v>
      </c>
      <c r="P112" s="181">
        <f t="shared" si="59"/>
        <v>49.388235294117649</v>
      </c>
      <c r="Q112" s="188">
        <f t="shared" si="19"/>
        <v>0</v>
      </c>
      <c r="R112" s="180" t="str">
        <f t="shared" si="63"/>
        <v/>
      </c>
      <c r="S112" s="180" t="str">
        <f t="shared" si="64"/>
        <v/>
      </c>
      <c r="T112" s="180" t="str">
        <f t="shared" si="68"/>
        <v/>
      </c>
      <c r="U112" s="180" t="str">
        <f t="shared" si="69"/>
        <v/>
      </c>
      <c r="V112" s="180" t="str">
        <f t="shared" si="57"/>
        <v/>
      </c>
      <c r="W112" s="180" t="str">
        <f t="shared" si="54"/>
        <v/>
      </c>
      <c r="X112" s="180" t="str">
        <f t="shared" si="58"/>
        <v/>
      </c>
      <c r="Y112" s="183"/>
      <c r="Z112" s="183"/>
      <c r="AA112" s="183"/>
    </row>
    <row r="113" spans="1:27" x14ac:dyDescent="0.25">
      <c r="A113" s="52">
        <v>79</v>
      </c>
      <c r="B113" s="50" t="str">
        <f t="shared" si="55"/>
        <v/>
      </c>
      <c r="C113" s="177"/>
      <c r="D113" s="190" t="str">
        <f t="shared" si="17"/>
        <v>OK</v>
      </c>
      <c r="E113" s="189" t="str">
        <f>IF(ISBLANK(C113),"",AVERAGE(C$35:C113))</f>
        <v/>
      </c>
      <c r="F113" s="185"/>
      <c r="G113" s="185"/>
      <c r="H113" s="185"/>
      <c r="I113" s="181">
        <f t="shared" ref="I113:L113" si="75">I112</f>
        <v>53.893722145136735</v>
      </c>
      <c r="J113" s="181">
        <f t="shared" si="75"/>
        <v>44.882748443098563</v>
      </c>
      <c r="K113" s="181">
        <f t="shared" si="75"/>
        <v>56.146465570646278</v>
      </c>
      <c r="L113" s="181">
        <f t="shared" si="75"/>
        <v>42.630005017589021</v>
      </c>
      <c r="M113" s="181">
        <f t="shared" si="59"/>
        <v>50</v>
      </c>
      <c r="N113" s="181">
        <f t="shared" si="59"/>
        <v>55</v>
      </c>
      <c r="O113" s="181">
        <f t="shared" si="59"/>
        <v>45</v>
      </c>
      <c r="P113" s="181">
        <f t="shared" si="59"/>
        <v>49.388235294117649</v>
      </c>
      <c r="Q113" s="188">
        <f t="shared" si="19"/>
        <v>0</v>
      </c>
      <c r="R113" s="180" t="str">
        <f t="shared" si="63"/>
        <v/>
      </c>
      <c r="S113" s="180" t="str">
        <f t="shared" si="64"/>
        <v/>
      </c>
      <c r="T113" s="180" t="str">
        <f t="shared" si="68"/>
        <v/>
      </c>
      <c r="U113" s="180" t="str">
        <f t="shared" si="69"/>
        <v/>
      </c>
      <c r="V113" s="180" t="str">
        <f t="shared" si="57"/>
        <v/>
      </c>
      <c r="W113" s="180" t="str">
        <f t="shared" si="54"/>
        <v/>
      </c>
      <c r="X113" s="180" t="str">
        <f t="shared" si="58"/>
        <v/>
      </c>
      <c r="Y113" s="183"/>
      <c r="Z113" s="183"/>
      <c r="AA113" s="183"/>
    </row>
    <row r="114" spans="1:27" x14ac:dyDescent="0.25">
      <c r="A114" s="52">
        <v>80</v>
      </c>
      <c r="B114" s="50" t="str">
        <f t="shared" si="55"/>
        <v/>
      </c>
      <c r="C114" s="177"/>
      <c r="D114" s="190" t="str">
        <f t="shared" si="17"/>
        <v>OK</v>
      </c>
      <c r="E114" s="189" t="str">
        <f>IF(ISBLANK(C114),"",AVERAGE(C$35:C114))</f>
        <v/>
      </c>
      <c r="F114" s="185"/>
      <c r="G114" s="185"/>
      <c r="H114" s="185"/>
      <c r="I114" s="181">
        <f t="shared" ref="I114:L114" si="76">I113</f>
        <v>53.893722145136735</v>
      </c>
      <c r="J114" s="181">
        <f t="shared" si="76"/>
        <v>44.882748443098563</v>
      </c>
      <c r="K114" s="181">
        <f t="shared" si="76"/>
        <v>56.146465570646278</v>
      </c>
      <c r="L114" s="181">
        <f t="shared" si="76"/>
        <v>42.630005017589021</v>
      </c>
      <c r="M114" s="181">
        <f t="shared" si="59"/>
        <v>50</v>
      </c>
      <c r="N114" s="181">
        <f t="shared" si="59"/>
        <v>55</v>
      </c>
      <c r="O114" s="181">
        <f t="shared" si="59"/>
        <v>45</v>
      </c>
      <c r="P114" s="181">
        <f t="shared" si="59"/>
        <v>49.388235294117649</v>
      </c>
      <c r="Q114" s="188">
        <f t="shared" si="19"/>
        <v>0</v>
      </c>
      <c r="R114" s="180" t="str">
        <f t="shared" si="63"/>
        <v/>
      </c>
      <c r="S114" s="180" t="str">
        <f t="shared" si="64"/>
        <v/>
      </c>
      <c r="T114" s="180" t="str">
        <f t="shared" si="68"/>
        <v/>
      </c>
      <c r="U114" s="180" t="str">
        <f t="shared" si="69"/>
        <v/>
      </c>
      <c r="V114" s="180" t="str">
        <f t="shared" si="57"/>
        <v/>
      </c>
      <c r="W114" s="180" t="str">
        <f t="shared" si="54"/>
        <v/>
      </c>
      <c r="X114" s="180" t="str">
        <f t="shared" si="58"/>
        <v/>
      </c>
      <c r="Y114" s="183"/>
      <c r="Z114" s="183"/>
      <c r="AA114" s="183"/>
    </row>
    <row r="115" spans="1:27" x14ac:dyDescent="0.25">
      <c r="A115" s="52">
        <v>81</v>
      </c>
      <c r="B115" s="50" t="str">
        <f t="shared" si="55"/>
        <v/>
      </c>
      <c r="C115" s="177"/>
      <c r="D115" s="190" t="str">
        <f t="shared" si="17"/>
        <v>OK</v>
      </c>
      <c r="E115" s="189" t="str">
        <f>IF(ISBLANK(C115),"",AVERAGE(C$35:C115))</f>
        <v/>
      </c>
      <c r="F115" s="185"/>
      <c r="G115" s="185"/>
      <c r="H115" s="185"/>
      <c r="I115" s="181">
        <f t="shared" ref="I115:L115" si="77">I114</f>
        <v>53.893722145136735</v>
      </c>
      <c r="J115" s="181">
        <f t="shared" si="77"/>
        <v>44.882748443098563</v>
      </c>
      <c r="K115" s="181">
        <f t="shared" si="77"/>
        <v>56.146465570646278</v>
      </c>
      <c r="L115" s="181">
        <f t="shared" si="77"/>
        <v>42.630005017589021</v>
      </c>
      <c r="M115" s="181">
        <f t="shared" si="59"/>
        <v>50</v>
      </c>
      <c r="N115" s="181">
        <f t="shared" si="59"/>
        <v>55</v>
      </c>
      <c r="O115" s="181">
        <f t="shared" si="59"/>
        <v>45</v>
      </c>
      <c r="P115" s="181">
        <f t="shared" si="59"/>
        <v>49.388235294117649</v>
      </c>
      <c r="Q115" s="188">
        <f t="shared" si="19"/>
        <v>0</v>
      </c>
      <c r="R115" s="180" t="str">
        <f t="shared" si="63"/>
        <v/>
      </c>
      <c r="S115" s="180" t="str">
        <f t="shared" si="64"/>
        <v/>
      </c>
      <c r="T115" s="180" t="str">
        <f t="shared" si="68"/>
        <v/>
      </c>
      <c r="U115" s="180" t="str">
        <f t="shared" si="69"/>
        <v/>
      </c>
      <c r="V115" s="180" t="str">
        <f t="shared" si="57"/>
        <v/>
      </c>
      <c r="W115" s="180" t="str">
        <f t="shared" si="54"/>
        <v/>
      </c>
      <c r="X115" s="180" t="str">
        <f t="shared" si="58"/>
        <v/>
      </c>
      <c r="Y115" s="183"/>
      <c r="Z115" s="183"/>
      <c r="AA115" s="183"/>
    </row>
    <row r="116" spans="1:27" x14ac:dyDescent="0.25">
      <c r="A116" s="52">
        <v>82</v>
      </c>
      <c r="B116" s="50" t="str">
        <f t="shared" si="55"/>
        <v/>
      </c>
      <c r="C116" s="177"/>
      <c r="D116" s="190" t="str">
        <f t="shared" si="17"/>
        <v>OK</v>
      </c>
      <c r="E116" s="189" t="str">
        <f>IF(ISBLANK(C116),"",AVERAGE(C$35:C116))</f>
        <v/>
      </c>
      <c r="F116" s="185"/>
      <c r="G116" s="185"/>
      <c r="H116" s="185"/>
      <c r="I116" s="181">
        <f t="shared" ref="I116:L116" si="78">I115</f>
        <v>53.893722145136735</v>
      </c>
      <c r="J116" s="181">
        <f t="shared" si="78"/>
        <v>44.882748443098563</v>
      </c>
      <c r="K116" s="181">
        <f t="shared" si="78"/>
        <v>56.146465570646278</v>
      </c>
      <c r="L116" s="181">
        <f t="shared" si="78"/>
        <v>42.630005017589021</v>
      </c>
      <c r="M116" s="181">
        <f t="shared" si="59"/>
        <v>50</v>
      </c>
      <c r="N116" s="181">
        <f t="shared" si="59"/>
        <v>55</v>
      </c>
      <c r="O116" s="181">
        <f t="shared" si="59"/>
        <v>45</v>
      </c>
      <c r="P116" s="181">
        <f t="shared" si="59"/>
        <v>49.388235294117649</v>
      </c>
      <c r="Q116" s="188">
        <f t="shared" si="19"/>
        <v>0</v>
      </c>
      <c r="R116" s="180" t="str">
        <f t="shared" si="63"/>
        <v/>
      </c>
      <c r="S116" s="180" t="str">
        <f t="shared" si="64"/>
        <v/>
      </c>
      <c r="T116" s="180" t="str">
        <f t="shared" si="68"/>
        <v/>
      </c>
      <c r="U116" s="180" t="str">
        <f t="shared" si="69"/>
        <v/>
      </c>
      <c r="V116" s="180" t="str">
        <f t="shared" si="57"/>
        <v/>
      </c>
      <c r="W116" s="180" t="str">
        <f t="shared" si="54"/>
        <v/>
      </c>
      <c r="X116" s="180" t="str">
        <f t="shared" si="58"/>
        <v/>
      </c>
      <c r="Y116" s="183"/>
      <c r="Z116" s="183"/>
      <c r="AA116" s="183"/>
    </row>
    <row r="117" spans="1:27" x14ac:dyDescent="0.25">
      <c r="A117" s="52">
        <v>83</v>
      </c>
      <c r="B117" s="50" t="str">
        <f t="shared" si="55"/>
        <v/>
      </c>
      <c r="C117" s="177"/>
      <c r="D117" s="190" t="str">
        <f t="shared" si="17"/>
        <v>OK</v>
      </c>
      <c r="E117" s="189" t="str">
        <f>IF(ISBLANK(C117),"",AVERAGE(C$35:C117))</f>
        <v/>
      </c>
      <c r="F117" s="185"/>
      <c r="G117" s="185"/>
      <c r="H117" s="185"/>
      <c r="I117" s="181">
        <f t="shared" ref="I117:P132" si="79">I116</f>
        <v>53.893722145136735</v>
      </c>
      <c r="J117" s="181">
        <f t="shared" si="79"/>
        <v>44.882748443098563</v>
      </c>
      <c r="K117" s="181">
        <f t="shared" si="79"/>
        <v>56.146465570646278</v>
      </c>
      <c r="L117" s="181">
        <f t="shared" si="79"/>
        <v>42.630005017589021</v>
      </c>
      <c r="M117" s="181">
        <f t="shared" si="79"/>
        <v>50</v>
      </c>
      <c r="N117" s="181">
        <f t="shared" si="79"/>
        <v>55</v>
      </c>
      <c r="O117" s="181">
        <f t="shared" si="79"/>
        <v>45</v>
      </c>
      <c r="P117" s="181">
        <f t="shared" si="79"/>
        <v>49.388235294117649</v>
      </c>
      <c r="Q117" s="188">
        <f t="shared" si="19"/>
        <v>0</v>
      </c>
      <c r="R117" s="180" t="str">
        <f t="shared" si="63"/>
        <v/>
      </c>
      <c r="S117" s="180" t="str">
        <f t="shared" si="64"/>
        <v/>
      </c>
      <c r="T117" s="180" t="str">
        <f t="shared" si="68"/>
        <v/>
      </c>
      <c r="U117" s="180" t="str">
        <f t="shared" si="69"/>
        <v/>
      </c>
      <c r="V117" s="180" t="str">
        <f t="shared" si="57"/>
        <v/>
      </c>
      <c r="W117" s="180" t="str">
        <f t="shared" si="54"/>
        <v/>
      </c>
      <c r="X117" s="180" t="str">
        <f t="shared" si="58"/>
        <v/>
      </c>
      <c r="Y117" s="183"/>
      <c r="Z117" s="183"/>
      <c r="AA117" s="183"/>
    </row>
    <row r="118" spans="1:27" x14ac:dyDescent="0.25">
      <c r="A118" s="52">
        <v>84</v>
      </c>
      <c r="B118" s="50" t="str">
        <f t="shared" si="55"/>
        <v/>
      </c>
      <c r="C118" s="177"/>
      <c r="D118" s="190" t="str">
        <f t="shared" si="17"/>
        <v>OK</v>
      </c>
      <c r="E118" s="189" t="str">
        <f>IF(ISBLANK(C118),"",AVERAGE(C$35:C118))</f>
        <v/>
      </c>
      <c r="F118" s="185"/>
      <c r="G118" s="185"/>
      <c r="H118" s="185"/>
      <c r="I118" s="181">
        <f t="shared" ref="I118:L118" si="80">I117</f>
        <v>53.893722145136735</v>
      </c>
      <c r="J118" s="181">
        <f t="shared" si="80"/>
        <v>44.882748443098563</v>
      </c>
      <c r="K118" s="181">
        <f t="shared" si="80"/>
        <v>56.146465570646278</v>
      </c>
      <c r="L118" s="181">
        <f t="shared" si="80"/>
        <v>42.630005017589021</v>
      </c>
      <c r="M118" s="181">
        <f t="shared" si="79"/>
        <v>50</v>
      </c>
      <c r="N118" s="181">
        <f t="shared" si="79"/>
        <v>55</v>
      </c>
      <c r="O118" s="181">
        <f t="shared" si="79"/>
        <v>45</v>
      </c>
      <c r="P118" s="181">
        <f t="shared" si="79"/>
        <v>49.388235294117649</v>
      </c>
      <c r="Q118" s="188">
        <f t="shared" si="19"/>
        <v>0</v>
      </c>
      <c r="R118" s="180" t="str">
        <f t="shared" si="63"/>
        <v/>
      </c>
      <c r="S118" s="180" t="str">
        <f t="shared" si="64"/>
        <v/>
      </c>
      <c r="T118" s="180" t="str">
        <f t="shared" si="68"/>
        <v/>
      </c>
      <c r="U118" s="180" t="str">
        <f t="shared" si="69"/>
        <v/>
      </c>
      <c r="V118" s="180" t="str">
        <f t="shared" si="57"/>
        <v/>
      </c>
      <c r="W118" s="180" t="str">
        <f t="shared" si="54"/>
        <v/>
      </c>
      <c r="X118" s="180" t="str">
        <f t="shared" si="58"/>
        <v/>
      </c>
      <c r="Y118" s="183"/>
      <c r="Z118" s="183"/>
      <c r="AA118" s="183"/>
    </row>
    <row r="119" spans="1:27" x14ac:dyDescent="0.25">
      <c r="A119" s="52">
        <v>85</v>
      </c>
      <c r="B119" s="50" t="str">
        <f t="shared" si="55"/>
        <v/>
      </c>
      <c r="C119" s="177"/>
      <c r="D119" s="190" t="str">
        <f t="shared" si="17"/>
        <v>OK</v>
      </c>
      <c r="E119" s="189" t="str">
        <f>IF(ISBLANK(C119),"",AVERAGE(C$35:C119))</f>
        <v/>
      </c>
      <c r="F119" s="185"/>
      <c r="G119" s="185"/>
      <c r="H119" s="185"/>
      <c r="I119" s="181">
        <f t="shared" ref="I119:L119" si="81">I118</f>
        <v>53.893722145136735</v>
      </c>
      <c r="J119" s="181">
        <f t="shared" si="81"/>
        <v>44.882748443098563</v>
      </c>
      <c r="K119" s="181">
        <f t="shared" si="81"/>
        <v>56.146465570646278</v>
      </c>
      <c r="L119" s="181">
        <f t="shared" si="81"/>
        <v>42.630005017589021</v>
      </c>
      <c r="M119" s="181">
        <f t="shared" si="79"/>
        <v>50</v>
      </c>
      <c r="N119" s="181">
        <f t="shared" si="79"/>
        <v>55</v>
      </c>
      <c r="O119" s="181">
        <f t="shared" si="79"/>
        <v>45</v>
      </c>
      <c r="P119" s="181">
        <f t="shared" si="79"/>
        <v>49.388235294117649</v>
      </c>
      <c r="Q119" s="188">
        <f t="shared" si="19"/>
        <v>0</v>
      </c>
      <c r="R119" s="180" t="str">
        <f t="shared" si="63"/>
        <v/>
      </c>
      <c r="S119" s="180" t="str">
        <f t="shared" si="64"/>
        <v/>
      </c>
      <c r="T119" s="180" t="str">
        <f t="shared" si="68"/>
        <v/>
      </c>
      <c r="U119" s="180" t="str">
        <f t="shared" si="69"/>
        <v/>
      </c>
      <c r="V119" s="180" t="str">
        <f t="shared" si="57"/>
        <v/>
      </c>
      <c r="W119" s="180" t="str">
        <f t="shared" si="54"/>
        <v/>
      </c>
      <c r="X119" s="180" t="str">
        <f t="shared" si="58"/>
        <v/>
      </c>
      <c r="Y119" s="183"/>
      <c r="Z119" s="183"/>
      <c r="AA119" s="183"/>
    </row>
    <row r="120" spans="1:27" x14ac:dyDescent="0.25">
      <c r="A120" s="52">
        <v>86</v>
      </c>
      <c r="B120" s="50" t="str">
        <f t="shared" si="55"/>
        <v/>
      </c>
      <c r="C120" s="177"/>
      <c r="D120" s="190" t="str">
        <f t="shared" si="17"/>
        <v>OK</v>
      </c>
      <c r="E120" s="189" t="str">
        <f>IF(ISBLANK(C120),"",AVERAGE(C$35:C120))</f>
        <v/>
      </c>
      <c r="F120" s="185"/>
      <c r="G120" s="185"/>
      <c r="H120" s="185"/>
      <c r="I120" s="181">
        <f t="shared" ref="I120:L120" si="82">I119</f>
        <v>53.893722145136735</v>
      </c>
      <c r="J120" s="181">
        <f t="shared" si="82"/>
        <v>44.882748443098563</v>
      </c>
      <c r="K120" s="181">
        <f t="shared" si="82"/>
        <v>56.146465570646278</v>
      </c>
      <c r="L120" s="181">
        <f t="shared" si="82"/>
        <v>42.630005017589021</v>
      </c>
      <c r="M120" s="181">
        <f t="shared" si="79"/>
        <v>50</v>
      </c>
      <c r="N120" s="181">
        <f t="shared" si="79"/>
        <v>55</v>
      </c>
      <c r="O120" s="181">
        <f t="shared" si="79"/>
        <v>45</v>
      </c>
      <c r="P120" s="181">
        <f t="shared" si="79"/>
        <v>49.388235294117649</v>
      </c>
      <c r="Q120" s="188">
        <f t="shared" si="19"/>
        <v>0</v>
      </c>
      <c r="R120" s="180" t="str">
        <f t="shared" si="63"/>
        <v/>
      </c>
      <c r="S120" s="180" t="str">
        <f t="shared" si="64"/>
        <v/>
      </c>
      <c r="T120" s="180" t="str">
        <f t="shared" si="68"/>
        <v/>
      </c>
      <c r="U120" s="180" t="str">
        <f t="shared" si="69"/>
        <v/>
      </c>
      <c r="V120" s="180" t="str">
        <f t="shared" si="57"/>
        <v/>
      </c>
      <c r="W120" s="180" t="str">
        <f t="shared" si="54"/>
        <v/>
      </c>
      <c r="X120" s="180" t="str">
        <f t="shared" si="58"/>
        <v/>
      </c>
      <c r="Y120" s="183"/>
      <c r="Z120" s="183"/>
      <c r="AA120" s="183"/>
    </row>
    <row r="121" spans="1:27" x14ac:dyDescent="0.25">
      <c r="A121" s="52">
        <v>87</v>
      </c>
      <c r="B121" s="50" t="str">
        <f t="shared" si="55"/>
        <v/>
      </c>
      <c r="C121" s="177"/>
      <c r="D121" s="190" t="str">
        <f t="shared" ref="D121:D184" si="83">IF(Q121=1,$R$34,IF(Q121=2,$S$34,IF(Q121=3,$T$34,IF(Q121=4,$U$34,IF(Q121=5,$V$34,IF(Q121=6,$W$34,IF(Q121=7,$X$34,"OK")))))))</f>
        <v>OK</v>
      </c>
      <c r="E121" s="189" t="str">
        <f>IF(ISBLANK(C121),"",AVERAGE(C$35:C121))</f>
        <v/>
      </c>
      <c r="F121" s="185"/>
      <c r="G121" s="185"/>
      <c r="H121" s="185"/>
      <c r="I121" s="181">
        <f t="shared" ref="I121:L121" si="84">I120</f>
        <v>53.893722145136735</v>
      </c>
      <c r="J121" s="181">
        <f t="shared" si="84"/>
        <v>44.882748443098563</v>
      </c>
      <c r="K121" s="181">
        <f t="shared" si="84"/>
        <v>56.146465570646278</v>
      </c>
      <c r="L121" s="181">
        <f t="shared" si="84"/>
        <v>42.630005017589021</v>
      </c>
      <c r="M121" s="181">
        <f t="shared" si="79"/>
        <v>50</v>
      </c>
      <c r="N121" s="181">
        <f t="shared" si="79"/>
        <v>55</v>
      </c>
      <c r="O121" s="181">
        <f t="shared" si="79"/>
        <v>45</v>
      </c>
      <c r="P121" s="181">
        <f t="shared" si="79"/>
        <v>49.388235294117649</v>
      </c>
      <c r="Q121" s="188">
        <f t="shared" si="19"/>
        <v>0</v>
      </c>
      <c r="R121" s="180" t="str">
        <f t="shared" si="63"/>
        <v/>
      </c>
      <c r="S121" s="180" t="str">
        <f t="shared" si="64"/>
        <v/>
      </c>
      <c r="T121" s="180" t="str">
        <f t="shared" si="68"/>
        <v/>
      </c>
      <c r="U121" s="180" t="str">
        <f t="shared" si="69"/>
        <v/>
      </c>
      <c r="V121" s="180" t="str">
        <f t="shared" si="57"/>
        <v/>
      </c>
      <c r="W121" s="180" t="str">
        <f t="shared" si="54"/>
        <v/>
      </c>
      <c r="X121" s="180" t="str">
        <f t="shared" si="58"/>
        <v/>
      </c>
      <c r="Y121" s="183"/>
      <c r="Z121" s="183"/>
      <c r="AA121" s="183"/>
    </row>
    <row r="122" spans="1:27" x14ac:dyDescent="0.25">
      <c r="A122" s="52">
        <v>88</v>
      </c>
      <c r="B122" s="50" t="str">
        <f t="shared" si="55"/>
        <v/>
      </c>
      <c r="C122" s="177"/>
      <c r="D122" s="190" t="str">
        <f t="shared" si="83"/>
        <v>OK</v>
      </c>
      <c r="E122" s="189" t="str">
        <f>IF(ISBLANK(C122),"",AVERAGE(C$35:C122))</f>
        <v/>
      </c>
      <c r="F122" s="185"/>
      <c r="G122" s="185"/>
      <c r="H122" s="185"/>
      <c r="I122" s="181">
        <f t="shared" ref="I122:L122" si="85">I121</f>
        <v>53.893722145136735</v>
      </c>
      <c r="J122" s="181">
        <f t="shared" si="85"/>
        <v>44.882748443098563</v>
      </c>
      <c r="K122" s="181">
        <f t="shared" si="85"/>
        <v>56.146465570646278</v>
      </c>
      <c r="L122" s="181">
        <f t="shared" si="85"/>
        <v>42.630005017589021</v>
      </c>
      <c r="M122" s="181">
        <f t="shared" si="79"/>
        <v>50</v>
      </c>
      <c r="N122" s="181">
        <f t="shared" si="79"/>
        <v>55</v>
      </c>
      <c r="O122" s="181">
        <f t="shared" si="79"/>
        <v>45</v>
      </c>
      <c r="P122" s="181">
        <f t="shared" si="79"/>
        <v>49.388235294117649</v>
      </c>
      <c r="Q122" s="188">
        <f t="shared" si="19"/>
        <v>0</v>
      </c>
      <c r="R122" s="180" t="str">
        <f t="shared" si="63"/>
        <v/>
      </c>
      <c r="S122" s="180" t="str">
        <f t="shared" si="64"/>
        <v/>
      </c>
      <c r="T122" s="180" t="str">
        <f t="shared" si="68"/>
        <v/>
      </c>
      <c r="U122" s="180" t="str">
        <f t="shared" si="69"/>
        <v/>
      </c>
      <c r="V122" s="180" t="str">
        <f t="shared" si="57"/>
        <v/>
      </c>
      <c r="W122" s="180" t="str">
        <f t="shared" si="54"/>
        <v/>
      </c>
      <c r="X122" s="180" t="str">
        <f t="shared" si="58"/>
        <v/>
      </c>
      <c r="Y122" s="183"/>
      <c r="Z122" s="183"/>
      <c r="AA122" s="183"/>
    </row>
    <row r="123" spans="1:27" x14ac:dyDescent="0.25">
      <c r="A123" s="52">
        <v>89</v>
      </c>
      <c r="B123" s="50" t="str">
        <f t="shared" si="55"/>
        <v/>
      </c>
      <c r="C123" s="177"/>
      <c r="D123" s="190" t="str">
        <f t="shared" si="83"/>
        <v>OK</v>
      </c>
      <c r="E123" s="189" t="str">
        <f>IF(ISBLANK(C123),"",AVERAGE(C$35:C123))</f>
        <v/>
      </c>
      <c r="F123" s="185"/>
      <c r="G123" s="185"/>
      <c r="H123" s="185"/>
      <c r="I123" s="181">
        <f t="shared" ref="I123:L123" si="86">I122</f>
        <v>53.893722145136735</v>
      </c>
      <c r="J123" s="181">
        <f t="shared" si="86"/>
        <v>44.882748443098563</v>
      </c>
      <c r="K123" s="181">
        <f t="shared" si="86"/>
        <v>56.146465570646278</v>
      </c>
      <c r="L123" s="181">
        <f t="shared" si="86"/>
        <v>42.630005017589021</v>
      </c>
      <c r="M123" s="181">
        <f t="shared" si="79"/>
        <v>50</v>
      </c>
      <c r="N123" s="181">
        <f t="shared" si="79"/>
        <v>55</v>
      </c>
      <c r="O123" s="181">
        <f t="shared" si="79"/>
        <v>45</v>
      </c>
      <c r="P123" s="181">
        <f t="shared" si="79"/>
        <v>49.388235294117649</v>
      </c>
      <c r="Q123" s="188">
        <f t="shared" si="19"/>
        <v>0</v>
      </c>
      <c r="R123" s="180" t="str">
        <f t="shared" si="63"/>
        <v/>
      </c>
      <c r="S123" s="180" t="str">
        <f t="shared" si="64"/>
        <v/>
      </c>
      <c r="T123" s="180" t="str">
        <f t="shared" si="68"/>
        <v/>
      </c>
      <c r="U123" s="180" t="str">
        <f t="shared" si="69"/>
        <v/>
      </c>
      <c r="V123" s="180" t="str">
        <f t="shared" si="57"/>
        <v/>
      </c>
      <c r="W123" s="180" t="str">
        <f t="shared" si="54"/>
        <v/>
      </c>
      <c r="X123" s="180" t="str">
        <f t="shared" si="58"/>
        <v/>
      </c>
      <c r="Y123" s="183"/>
      <c r="Z123" s="183"/>
      <c r="AA123" s="183"/>
    </row>
    <row r="124" spans="1:27" x14ac:dyDescent="0.25">
      <c r="A124" s="52">
        <v>90</v>
      </c>
      <c r="B124" s="50" t="str">
        <f t="shared" si="55"/>
        <v/>
      </c>
      <c r="C124" s="177"/>
      <c r="D124" s="190" t="str">
        <f t="shared" si="83"/>
        <v>OK</v>
      </c>
      <c r="E124" s="189" t="str">
        <f>IF(ISBLANK(C124),"",AVERAGE(C$35:C124))</f>
        <v/>
      </c>
      <c r="F124" s="185"/>
      <c r="G124" s="185"/>
      <c r="H124" s="185"/>
      <c r="I124" s="181">
        <f t="shared" ref="I124:L124" si="87">I123</f>
        <v>53.893722145136735</v>
      </c>
      <c r="J124" s="181">
        <f t="shared" si="87"/>
        <v>44.882748443098563</v>
      </c>
      <c r="K124" s="181">
        <f t="shared" si="87"/>
        <v>56.146465570646278</v>
      </c>
      <c r="L124" s="181">
        <f t="shared" si="87"/>
        <v>42.630005017589021</v>
      </c>
      <c r="M124" s="181">
        <f t="shared" si="79"/>
        <v>50</v>
      </c>
      <c r="N124" s="181">
        <f t="shared" si="79"/>
        <v>55</v>
      </c>
      <c r="O124" s="181">
        <f t="shared" si="79"/>
        <v>45</v>
      </c>
      <c r="P124" s="181">
        <f t="shared" si="79"/>
        <v>49.388235294117649</v>
      </c>
      <c r="Q124" s="188">
        <f t="shared" si="19"/>
        <v>0</v>
      </c>
      <c r="R124" s="180" t="str">
        <f t="shared" si="63"/>
        <v/>
      </c>
      <c r="S124" s="180" t="str">
        <f t="shared" si="64"/>
        <v/>
      </c>
      <c r="T124" s="180" t="str">
        <f t="shared" si="68"/>
        <v/>
      </c>
      <c r="U124" s="180" t="str">
        <f t="shared" si="69"/>
        <v/>
      </c>
      <c r="V124" s="180" t="str">
        <f t="shared" si="57"/>
        <v/>
      </c>
      <c r="W124" s="180" t="str">
        <f t="shared" si="54"/>
        <v/>
      </c>
      <c r="X124" s="180" t="str">
        <f t="shared" si="58"/>
        <v/>
      </c>
      <c r="Y124" s="183"/>
      <c r="Z124" s="183"/>
      <c r="AA124" s="183"/>
    </row>
    <row r="125" spans="1:27" x14ac:dyDescent="0.25">
      <c r="A125" s="52">
        <v>91</v>
      </c>
      <c r="B125" s="50" t="str">
        <f t="shared" si="55"/>
        <v/>
      </c>
      <c r="C125" s="177"/>
      <c r="D125" s="190" t="str">
        <f t="shared" si="83"/>
        <v>OK</v>
      </c>
      <c r="E125" s="189" t="str">
        <f>IF(ISBLANK(C125),"",AVERAGE(C$35:C125))</f>
        <v/>
      </c>
      <c r="F125" s="185"/>
      <c r="G125" s="185"/>
      <c r="H125" s="185"/>
      <c r="I125" s="181">
        <f t="shared" ref="I125:L125" si="88">I124</f>
        <v>53.893722145136735</v>
      </c>
      <c r="J125" s="181">
        <f t="shared" si="88"/>
        <v>44.882748443098563</v>
      </c>
      <c r="K125" s="181">
        <f t="shared" si="88"/>
        <v>56.146465570646278</v>
      </c>
      <c r="L125" s="181">
        <f t="shared" si="88"/>
        <v>42.630005017589021</v>
      </c>
      <c r="M125" s="181">
        <f t="shared" si="79"/>
        <v>50</v>
      </c>
      <c r="N125" s="181">
        <f t="shared" si="79"/>
        <v>55</v>
      </c>
      <c r="O125" s="181">
        <f t="shared" si="79"/>
        <v>45</v>
      </c>
      <c r="P125" s="181">
        <f t="shared" si="79"/>
        <v>49.388235294117649</v>
      </c>
      <c r="Q125" s="188">
        <f t="shared" si="19"/>
        <v>0</v>
      </c>
      <c r="R125" s="180" t="str">
        <f t="shared" si="63"/>
        <v/>
      </c>
      <c r="S125" s="180" t="str">
        <f t="shared" si="64"/>
        <v/>
      </c>
      <c r="T125" s="180" t="str">
        <f t="shared" si="68"/>
        <v/>
      </c>
      <c r="U125" s="180" t="str">
        <f t="shared" si="69"/>
        <v/>
      </c>
      <c r="V125" s="180" t="str">
        <f t="shared" si="57"/>
        <v/>
      </c>
      <c r="W125" s="180" t="str">
        <f t="shared" si="54"/>
        <v/>
      </c>
      <c r="X125" s="180" t="str">
        <f t="shared" si="58"/>
        <v/>
      </c>
      <c r="Y125" s="183"/>
      <c r="Z125" s="183"/>
      <c r="AA125" s="183"/>
    </row>
    <row r="126" spans="1:27" x14ac:dyDescent="0.25">
      <c r="A126" s="52">
        <v>92</v>
      </c>
      <c r="B126" s="50" t="str">
        <f t="shared" si="55"/>
        <v/>
      </c>
      <c r="C126" s="177"/>
      <c r="D126" s="190" t="str">
        <f t="shared" si="83"/>
        <v>OK</v>
      </c>
      <c r="E126" s="189" t="str">
        <f>IF(ISBLANK(C126),"",AVERAGE(C$35:C126))</f>
        <v/>
      </c>
      <c r="F126" s="185"/>
      <c r="G126" s="185"/>
      <c r="H126" s="185"/>
      <c r="I126" s="181">
        <f t="shared" ref="I126:L126" si="89">I125</f>
        <v>53.893722145136735</v>
      </c>
      <c r="J126" s="181">
        <f t="shared" si="89"/>
        <v>44.882748443098563</v>
      </c>
      <c r="K126" s="181">
        <f t="shared" si="89"/>
        <v>56.146465570646278</v>
      </c>
      <c r="L126" s="181">
        <f t="shared" si="89"/>
        <v>42.630005017589021</v>
      </c>
      <c r="M126" s="181">
        <f t="shared" si="79"/>
        <v>50</v>
      </c>
      <c r="N126" s="181">
        <f t="shared" si="79"/>
        <v>55</v>
      </c>
      <c r="O126" s="181">
        <f t="shared" si="79"/>
        <v>45</v>
      </c>
      <c r="P126" s="181">
        <f t="shared" si="79"/>
        <v>49.388235294117649</v>
      </c>
      <c r="Q126" s="188">
        <f t="shared" si="19"/>
        <v>0</v>
      </c>
      <c r="R126" s="180" t="str">
        <f t="shared" si="63"/>
        <v/>
      </c>
      <c r="S126" s="180" t="str">
        <f t="shared" si="64"/>
        <v/>
      </c>
      <c r="T126" s="180" t="str">
        <f t="shared" si="68"/>
        <v/>
      </c>
      <c r="U126" s="180" t="str">
        <f t="shared" si="69"/>
        <v/>
      </c>
      <c r="V126" s="180" t="str">
        <f t="shared" si="57"/>
        <v/>
      </c>
      <c r="W126" s="180" t="str">
        <f t="shared" si="54"/>
        <v/>
      </c>
      <c r="X126" s="180" t="str">
        <f t="shared" si="58"/>
        <v/>
      </c>
      <c r="Y126" s="183"/>
      <c r="Z126" s="183"/>
      <c r="AA126" s="183"/>
    </row>
    <row r="127" spans="1:27" x14ac:dyDescent="0.25">
      <c r="A127" s="52">
        <v>93</v>
      </c>
      <c r="B127" s="50" t="str">
        <f t="shared" si="55"/>
        <v/>
      </c>
      <c r="C127" s="177"/>
      <c r="D127" s="190" t="str">
        <f t="shared" si="83"/>
        <v>OK</v>
      </c>
      <c r="E127" s="189" t="str">
        <f>IF(ISBLANK(C127),"",AVERAGE(C$35:C127))</f>
        <v/>
      </c>
      <c r="F127" s="185"/>
      <c r="G127" s="185"/>
      <c r="H127" s="185"/>
      <c r="I127" s="181">
        <f t="shared" ref="I127:L127" si="90">I126</f>
        <v>53.893722145136735</v>
      </c>
      <c r="J127" s="181">
        <f t="shared" si="90"/>
        <v>44.882748443098563</v>
      </c>
      <c r="K127" s="181">
        <f t="shared" si="90"/>
        <v>56.146465570646278</v>
      </c>
      <c r="L127" s="181">
        <f t="shared" si="90"/>
        <v>42.630005017589021</v>
      </c>
      <c r="M127" s="181">
        <f t="shared" si="79"/>
        <v>50</v>
      </c>
      <c r="N127" s="181">
        <f t="shared" si="79"/>
        <v>55</v>
      </c>
      <c r="O127" s="181">
        <f t="shared" si="79"/>
        <v>45</v>
      </c>
      <c r="P127" s="181">
        <f t="shared" si="79"/>
        <v>49.388235294117649</v>
      </c>
      <c r="Q127" s="188">
        <f t="shared" si="19"/>
        <v>0</v>
      </c>
      <c r="R127" s="180" t="str">
        <f t="shared" si="63"/>
        <v/>
      </c>
      <c r="S127" s="180" t="str">
        <f t="shared" si="64"/>
        <v/>
      </c>
      <c r="T127" s="180" t="str">
        <f t="shared" si="68"/>
        <v/>
      </c>
      <c r="U127" s="180" t="str">
        <f t="shared" si="69"/>
        <v/>
      </c>
      <c r="V127" s="180" t="str">
        <f t="shared" si="57"/>
        <v/>
      </c>
      <c r="W127" s="180" t="str">
        <f t="shared" si="54"/>
        <v/>
      </c>
      <c r="X127" s="180" t="str">
        <f t="shared" si="58"/>
        <v/>
      </c>
      <c r="Y127" s="183"/>
      <c r="Z127" s="183"/>
      <c r="AA127" s="183"/>
    </row>
    <row r="128" spans="1:27" x14ac:dyDescent="0.25">
      <c r="A128" s="52">
        <v>94</v>
      </c>
      <c r="B128" s="50" t="str">
        <f t="shared" si="55"/>
        <v/>
      </c>
      <c r="C128" s="177"/>
      <c r="D128" s="190" t="str">
        <f t="shared" si="83"/>
        <v>OK</v>
      </c>
      <c r="E128" s="189" t="str">
        <f>IF(ISBLANK(C128),"",AVERAGE(C$35:C128))</f>
        <v/>
      </c>
      <c r="F128" s="185"/>
      <c r="G128" s="185"/>
      <c r="H128" s="185"/>
      <c r="I128" s="181">
        <f t="shared" ref="I128:L128" si="91">I127</f>
        <v>53.893722145136735</v>
      </c>
      <c r="J128" s="181">
        <f t="shared" si="91"/>
        <v>44.882748443098563</v>
      </c>
      <c r="K128" s="181">
        <f t="shared" si="91"/>
        <v>56.146465570646278</v>
      </c>
      <c r="L128" s="181">
        <f t="shared" si="91"/>
        <v>42.630005017589021</v>
      </c>
      <c r="M128" s="181">
        <f t="shared" si="79"/>
        <v>50</v>
      </c>
      <c r="N128" s="181">
        <f t="shared" si="79"/>
        <v>55</v>
      </c>
      <c r="O128" s="181">
        <f t="shared" si="79"/>
        <v>45</v>
      </c>
      <c r="P128" s="181">
        <f t="shared" si="79"/>
        <v>49.388235294117649</v>
      </c>
      <c r="Q128" s="188">
        <f t="shared" si="19"/>
        <v>0</v>
      </c>
      <c r="R128" s="180" t="str">
        <f t="shared" si="63"/>
        <v/>
      </c>
      <c r="S128" s="180" t="str">
        <f t="shared" si="64"/>
        <v/>
      </c>
      <c r="T128" s="180" t="str">
        <f t="shared" si="68"/>
        <v/>
      </c>
      <c r="U128" s="180" t="str">
        <f t="shared" si="69"/>
        <v/>
      </c>
      <c r="V128" s="180" t="str">
        <f t="shared" si="57"/>
        <v/>
      </c>
      <c r="W128" s="180" t="str">
        <f t="shared" si="54"/>
        <v/>
      </c>
      <c r="X128" s="180" t="str">
        <f t="shared" si="58"/>
        <v/>
      </c>
      <c r="Y128" s="183"/>
      <c r="Z128" s="183"/>
      <c r="AA128" s="183"/>
    </row>
    <row r="129" spans="1:27" x14ac:dyDescent="0.25">
      <c r="A129" s="52">
        <v>95</v>
      </c>
      <c r="B129" s="50" t="str">
        <f t="shared" si="55"/>
        <v/>
      </c>
      <c r="C129" s="177"/>
      <c r="D129" s="190" t="str">
        <f t="shared" si="83"/>
        <v>OK</v>
      </c>
      <c r="E129" s="189" t="str">
        <f>IF(ISBLANK(C129),"",AVERAGE(C$35:C129))</f>
        <v/>
      </c>
      <c r="F129" s="185"/>
      <c r="G129" s="185"/>
      <c r="H129" s="185"/>
      <c r="I129" s="181">
        <f t="shared" ref="I129:L129" si="92">I128</f>
        <v>53.893722145136735</v>
      </c>
      <c r="J129" s="181">
        <f t="shared" si="92"/>
        <v>44.882748443098563</v>
      </c>
      <c r="K129" s="181">
        <f t="shared" si="92"/>
        <v>56.146465570646278</v>
      </c>
      <c r="L129" s="181">
        <f t="shared" si="92"/>
        <v>42.630005017589021</v>
      </c>
      <c r="M129" s="181">
        <f t="shared" si="79"/>
        <v>50</v>
      </c>
      <c r="N129" s="181">
        <f t="shared" si="79"/>
        <v>55</v>
      </c>
      <c r="O129" s="181">
        <f t="shared" si="79"/>
        <v>45</v>
      </c>
      <c r="P129" s="181">
        <f t="shared" si="79"/>
        <v>49.388235294117649</v>
      </c>
      <c r="Q129" s="188">
        <f t="shared" ref="Q129:Q192" si="93">SUM(R129:X129)</f>
        <v>0</v>
      </c>
      <c r="R129" s="180" t="str">
        <f t="shared" si="63"/>
        <v/>
      </c>
      <c r="S129" s="180" t="str">
        <f t="shared" si="64"/>
        <v/>
      </c>
      <c r="T129" s="180" t="str">
        <f t="shared" si="68"/>
        <v/>
      </c>
      <c r="U129" s="180" t="str">
        <f t="shared" si="69"/>
        <v/>
      </c>
      <c r="V129" s="180" t="str">
        <f t="shared" si="57"/>
        <v/>
      </c>
      <c r="W129" s="180" t="str">
        <f t="shared" si="54"/>
        <v/>
      </c>
      <c r="X129" s="180" t="str">
        <f t="shared" si="58"/>
        <v/>
      </c>
      <c r="Y129" s="183"/>
      <c r="Z129" s="183"/>
      <c r="AA129" s="183"/>
    </row>
    <row r="130" spans="1:27" x14ac:dyDescent="0.25">
      <c r="A130" s="52">
        <v>96</v>
      </c>
      <c r="B130" s="50" t="str">
        <f t="shared" si="55"/>
        <v/>
      </c>
      <c r="C130" s="177"/>
      <c r="D130" s="190" t="str">
        <f t="shared" si="83"/>
        <v>OK</v>
      </c>
      <c r="E130" s="189" t="str">
        <f>IF(ISBLANK(C130),"",AVERAGE(C$35:C130))</f>
        <v/>
      </c>
      <c r="F130" s="185"/>
      <c r="G130" s="185"/>
      <c r="H130" s="185"/>
      <c r="I130" s="181">
        <f t="shared" ref="I130:L130" si="94">I129</f>
        <v>53.893722145136735</v>
      </c>
      <c r="J130" s="181">
        <f t="shared" si="94"/>
        <v>44.882748443098563</v>
      </c>
      <c r="K130" s="181">
        <f t="shared" si="94"/>
        <v>56.146465570646278</v>
      </c>
      <c r="L130" s="181">
        <f t="shared" si="94"/>
        <v>42.630005017589021</v>
      </c>
      <c r="M130" s="181">
        <f t="shared" si="79"/>
        <v>50</v>
      </c>
      <c r="N130" s="181">
        <f t="shared" si="79"/>
        <v>55</v>
      </c>
      <c r="O130" s="181">
        <f t="shared" si="79"/>
        <v>45</v>
      </c>
      <c r="P130" s="181">
        <f t="shared" si="79"/>
        <v>49.388235294117649</v>
      </c>
      <c r="Q130" s="188">
        <f t="shared" si="93"/>
        <v>0</v>
      </c>
      <c r="R130" s="180" t="str">
        <f t="shared" si="63"/>
        <v/>
      </c>
      <c r="S130" s="180" t="str">
        <f t="shared" si="64"/>
        <v/>
      </c>
      <c r="T130" s="180" t="str">
        <f t="shared" si="68"/>
        <v/>
      </c>
      <c r="U130" s="180" t="str">
        <f t="shared" si="69"/>
        <v/>
      </c>
      <c r="V130" s="180" t="str">
        <f t="shared" si="57"/>
        <v/>
      </c>
      <c r="W130" s="180" t="str">
        <f t="shared" si="54"/>
        <v/>
      </c>
      <c r="X130" s="180" t="str">
        <f t="shared" si="58"/>
        <v/>
      </c>
      <c r="Y130" s="183"/>
      <c r="Z130" s="183"/>
      <c r="AA130" s="183"/>
    </row>
    <row r="131" spans="1:27" x14ac:dyDescent="0.25">
      <c r="A131" s="52">
        <v>97</v>
      </c>
      <c r="B131" s="50" t="str">
        <f t="shared" si="55"/>
        <v/>
      </c>
      <c r="C131" s="177"/>
      <c r="D131" s="190" t="str">
        <f t="shared" si="83"/>
        <v>OK</v>
      </c>
      <c r="E131" s="189" t="str">
        <f>IF(ISBLANK(C131),"",AVERAGE(C$35:C131))</f>
        <v/>
      </c>
      <c r="F131" s="185"/>
      <c r="G131" s="185"/>
      <c r="H131" s="185"/>
      <c r="I131" s="181">
        <f t="shared" ref="I131:L131" si="95">I130</f>
        <v>53.893722145136735</v>
      </c>
      <c r="J131" s="181">
        <f t="shared" si="95"/>
        <v>44.882748443098563</v>
      </c>
      <c r="K131" s="181">
        <f t="shared" si="95"/>
        <v>56.146465570646278</v>
      </c>
      <c r="L131" s="181">
        <f t="shared" si="95"/>
        <v>42.630005017589021</v>
      </c>
      <c r="M131" s="181">
        <f t="shared" si="79"/>
        <v>50</v>
      </c>
      <c r="N131" s="181">
        <f t="shared" si="79"/>
        <v>55</v>
      </c>
      <c r="O131" s="181">
        <f t="shared" si="79"/>
        <v>45</v>
      </c>
      <c r="P131" s="181">
        <f t="shared" si="79"/>
        <v>49.388235294117649</v>
      </c>
      <c r="Q131" s="188">
        <f t="shared" si="93"/>
        <v>0</v>
      </c>
      <c r="R131" s="180" t="str">
        <f t="shared" si="63"/>
        <v/>
      </c>
      <c r="S131" s="180" t="str">
        <f t="shared" si="64"/>
        <v/>
      </c>
      <c r="T131" s="180" t="str">
        <f t="shared" si="68"/>
        <v/>
      </c>
      <c r="U131" s="180" t="str">
        <f t="shared" si="69"/>
        <v/>
      </c>
      <c r="V131" s="180" t="str">
        <f t="shared" si="57"/>
        <v/>
      </c>
      <c r="W131" s="180" t="str">
        <f t="shared" si="54"/>
        <v/>
      </c>
      <c r="X131" s="180" t="str">
        <f t="shared" si="58"/>
        <v/>
      </c>
      <c r="Y131" s="183"/>
      <c r="Z131" s="183"/>
      <c r="AA131" s="183"/>
    </row>
    <row r="132" spans="1:27" x14ac:dyDescent="0.25">
      <c r="A132" s="52">
        <v>98</v>
      </c>
      <c r="B132" s="50" t="str">
        <f t="shared" si="55"/>
        <v/>
      </c>
      <c r="C132" s="177"/>
      <c r="D132" s="190" t="str">
        <f t="shared" si="83"/>
        <v>OK</v>
      </c>
      <c r="E132" s="189" t="str">
        <f>IF(ISBLANK(C132),"",AVERAGE(C$35:C132))</f>
        <v/>
      </c>
      <c r="F132" s="185"/>
      <c r="G132" s="185"/>
      <c r="H132" s="185"/>
      <c r="I132" s="181">
        <f t="shared" ref="I132:L132" si="96">I131</f>
        <v>53.893722145136735</v>
      </c>
      <c r="J132" s="181">
        <f t="shared" si="96"/>
        <v>44.882748443098563</v>
      </c>
      <c r="K132" s="181">
        <f t="shared" si="96"/>
        <v>56.146465570646278</v>
      </c>
      <c r="L132" s="181">
        <f t="shared" si="96"/>
        <v>42.630005017589021</v>
      </c>
      <c r="M132" s="181">
        <f t="shared" si="79"/>
        <v>50</v>
      </c>
      <c r="N132" s="181">
        <f t="shared" si="79"/>
        <v>55</v>
      </c>
      <c r="O132" s="181">
        <f t="shared" si="79"/>
        <v>45</v>
      </c>
      <c r="P132" s="181">
        <f t="shared" si="79"/>
        <v>49.388235294117649</v>
      </c>
      <c r="Q132" s="188">
        <f t="shared" si="93"/>
        <v>0</v>
      </c>
      <c r="R132" s="180" t="str">
        <f t="shared" si="63"/>
        <v/>
      </c>
      <c r="S132" s="180" t="str">
        <f t="shared" si="64"/>
        <v/>
      </c>
      <c r="T132" s="180" t="str">
        <f t="shared" si="68"/>
        <v/>
      </c>
      <c r="U132" s="180" t="str">
        <f t="shared" si="69"/>
        <v/>
      </c>
      <c r="V132" s="180" t="str">
        <f t="shared" si="57"/>
        <v/>
      </c>
      <c r="W132" s="180" t="str">
        <f t="shared" si="54"/>
        <v/>
      </c>
      <c r="X132" s="180" t="str">
        <f t="shared" si="58"/>
        <v/>
      </c>
      <c r="Y132" s="183"/>
      <c r="Z132" s="183"/>
      <c r="AA132" s="183"/>
    </row>
    <row r="133" spans="1:27" x14ac:dyDescent="0.25">
      <c r="A133" s="52">
        <v>99</v>
      </c>
      <c r="B133" s="50" t="str">
        <f t="shared" si="55"/>
        <v/>
      </c>
      <c r="C133" s="177"/>
      <c r="D133" s="190" t="str">
        <f t="shared" si="83"/>
        <v>OK</v>
      </c>
      <c r="E133" s="189" t="str">
        <f>IF(ISBLANK(C133),"",AVERAGE(C$35:C133))</f>
        <v/>
      </c>
      <c r="F133" s="185"/>
      <c r="G133" s="185"/>
      <c r="H133" s="185"/>
      <c r="I133" s="181">
        <f t="shared" ref="I133:P148" si="97">I132</f>
        <v>53.893722145136735</v>
      </c>
      <c r="J133" s="181">
        <f t="shared" si="97"/>
        <v>44.882748443098563</v>
      </c>
      <c r="K133" s="181">
        <f t="shared" si="97"/>
        <v>56.146465570646278</v>
      </c>
      <c r="L133" s="181">
        <f t="shared" si="97"/>
        <v>42.630005017589021</v>
      </c>
      <c r="M133" s="181">
        <f t="shared" si="97"/>
        <v>50</v>
      </c>
      <c r="N133" s="181">
        <f t="shared" si="97"/>
        <v>55</v>
      </c>
      <c r="O133" s="181">
        <f t="shared" si="97"/>
        <v>45</v>
      </c>
      <c r="P133" s="181">
        <f t="shared" si="97"/>
        <v>49.388235294117649</v>
      </c>
      <c r="Q133" s="188">
        <f t="shared" si="93"/>
        <v>0</v>
      </c>
      <c r="R133" s="180" t="str">
        <f t="shared" si="63"/>
        <v/>
      </c>
      <c r="S133" s="180" t="str">
        <f t="shared" si="64"/>
        <v/>
      </c>
      <c r="T133" s="180" t="str">
        <f t="shared" si="68"/>
        <v/>
      </c>
      <c r="U133" s="180" t="str">
        <f t="shared" si="69"/>
        <v/>
      </c>
      <c r="V133" s="180" t="str">
        <f t="shared" si="57"/>
        <v/>
      </c>
      <c r="W133" s="180" t="str">
        <f t="shared" si="54"/>
        <v/>
      </c>
      <c r="X133" s="180" t="str">
        <f t="shared" si="58"/>
        <v/>
      </c>
      <c r="Y133" s="183"/>
      <c r="Z133" s="183"/>
      <c r="AA133" s="183"/>
    </row>
    <row r="134" spans="1:27" x14ac:dyDescent="0.25">
      <c r="A134" s="52">
        <v>100</v>
      </c>
      <c r="B134" s="50" t="str">
        <f t="shared" si="55"/>
        <v/>
      </c>
      <c r="C134" s="177"/>
      <c r="D134" s="190" t="str">
        <f t="shared" si="83"/>
        <v>OK</v>
      </c>
      <c r="E134" s="189" t="str">
        <f>IF(ISBLANK(C134),"",AVERAGE(C$35:C134))</f>
        <v/>
      </c>
      <c r="F134" s="185"/>
      <c r="G134" s="185"/>
      <c r="H134" s="185"/>
      <c r="I134" s="181">
        <f t="shared" ref="I134:L134" si="98">I133</f>
        <v>53.893722145136735</v>
      </c>
      <c r="J134" s="181">
        <f t="shared" si="98"/>
        <v>44.882748443098563</v>
      </c>
      <c r="K134" s="181">
        <f t="shared" si="98"/>
        <v>56.146465570646278</v>
      </c>
      <c r="L134" s="181">
        <f t="shared" si="98"/>
        <v>42.630005017589021</v>
      </c>
      <c r="M134" s="181">
        <f t="shared" si="97"/>
        <v>50</v>
      </c>
      <c r="N134" s="181">
        <f t="shared" si="97"/>
        <v>55</v>
      </c>
      <c r="O134" s="181">
        <f t="shared" si="97"/>
        <v>45</v>
      </c>
      <c r="P134" s="181">
        <f t="shared" si="97"/>
        <v>49.388235294117649</v>
      </c>
      <c r="Q134" s="188">
        <f t="shared" si="93"/>
        <v>0</v>
      </c>
      <c r="R134" s="180" t="str">
        <f t="shared" si="63"/>
        <v/>
      </c>
      <c r="S134" s="180" t="str">
        <f t="shared" si="64"/>
        <v/>
      </c>
      <c r="T134" s="180" t="str">
        <f t="shared" si="68"/>
        <v/>
      </c>
      <c r="U134" s="180" t="str">
        <f t="shared" si="69"/>
        <v/>
      </c>
      <c r="V134" s="180" t="str">
        <f t="shared" si="57"/>
        <v/>
      </c>
      <c r="W134" s="180" t="str">
        <f t="shared" si="54"/>
        <v/>
      </c>
      <c r="X134" s="180" t="str">
        <f t="shared" si="58"/>
        <v/>
      </c>
      <c r="Y134" s="183"/>
      <c r="Z134" s="183"/>
      <c r="AA134" s="183"/>
    </row>
    <row r="135" spans="1:27" x14ac:dyDescent="0.25">
      <c r="A135" s="52">
        <v>101</v>
      </c>
      <c r="B135" s="50" t="str">
        <f t="shared" si="55"/>
        <v/>
      </c>
      <c r="C135" s="177"/>
      <c r="D135" s="190" t="str">
        <f t="shared" si="83"/>
        <v>OK</v>
      </c>
      <c r="E135" s="189" t="str">
        <f>IF(ISBLANK(C135),"",AVERAGE(C$35:C135))</f>
        <v/>
      </c>
      <c r="F135" s="185"/>
      <c r="G135" s="185"/>
      <c r="H135" s="185"/>
      <c r="I135" s="181">
        <f t="shared" ref="I135:L135" si="99">I134</f>
        <v>53.893722145136735</v>
      </c>
      <c r="J135" s="181">
        <f t="shared" si="99"/>
        <v>44.882748443098563</v>
      </c>
      <c r="K135" s="181">
        <f t="shared" si="99"/>
        <v>56.146465570646278</v>
      </c>
      <c r="L135" s="181">
        <f t="shared" si="99"/>
        <v>42.630005017589021</v>
      </c>
      <c r="M135" s="181">
        <f t="shared" si="97"/>
        <v>50</v>
      </c>
      <c r="N135" s="181">
        <f t="shared" si="97"/>
        <v>55</v>
      </c>
      <c r="O135" s="181">
        <f t="shared" si="97"/>
        <v>45</v>
      </c>
      <c r="P135" s="181">
        <f t="shared" si="97"/>
        <v>49.388235294117649</v>
      </c>
      <c r="Q135" s="188">
        <f t="shared" si="93"/>
        <v>0</v>
      </c>
      <c r="R135" s="180" t="str">
        <f t="shared" si="63"/>
        <v/>
      </c>
      <c r="S135" s="180" t="str">
        <f t="shared" si="64"/>
        <v/>
      </c>
      <c r="T135" s="180" t="str">
        <f t="shared" si="68"/>
        <v/>
      </c>
      <c r="U135" s="180" t="str">
        <f t="shared" si="69"/>
        <v/>
      </c>
      <c r="V135" s="180" t="str">
        <f t="shared" si="57"/>
        <v/>
      </c>
      <c r="W135" s="180" t="str">
        <f t="shared" si="54"/>
        <v/>
      </c>
      <c r="X135" s="180" t="str">
        <f t="shared" si="58"/>
        <v/>
      </c>
      <c r="Y135" s="183"/>
      <c r="Z135" s="183"/>
      <c r="AA135" s="183"/>
    </row>
    <row r="136" spans="1:27" x14ac:dyDescent="0.25">
      <c r="A136" s="52">
        <v>102</v>
      </c>
      <c r="B136" s="50" t="str">
        <f t="shared" si="55"/>
        <v/>
      </c>
      <c r="C136" s="177"/>
      <c r="D136" s="190" t="str">
        <f t="shared" si="83"/>
        <v>OK</v>
      </c>
      <c r="E136" s="189" t="str">
        <f>IF(ISBLANK(C136),"",AVERAGE(C$35:C136))</f>
        <v/>
      </c>
      <c r="F136" s="185"/>
      <c r="G136" s="185"/>
      <c r="H136" s="185"/>
      <c r="I136" s="181">
        <f t="shared" ref="I136:L136" si="100">I135</f>
        <v>53.893722145136735</v>
      </c>
      <c r="J136" s="181">
        <f t="shared" si="100"/>
        <v>44.882748443098563</v>
      </c>
      <c r="K136" s="181">
        <f t="shared" si="100"/>
        <v>56.146465570646278</v>
      </c>
      <c r="L136" s="181">
        <f t="shared" si="100"/>
        <v>42.630005017589021</v>
      </c>
      <c r="M136" s="181">
        <f t="shared" si="97"/>
        <v>50</v>
      </c>
      <c r="N136" s="181">
        <f t="shared" si="97"/>
        <v>55</v>
      </c>
      <c r="O136" s="181">
        <f t="shared" si="97"/>
        <v>45</v>
      </c>
      <c r="P136" s="181">
        <f t="shared" si="97"/>
        <v>49.388235294117649</v>
      </c>
      <c r="Q136" s="188">
        <f t="shared" si="93"/>
        <v>0</v>
      </c>
      <c r="R136" s="180" t="str">
        <f t="shared" si="63"/>
        <v/>
      </c>
      <c r="S136" s="180" t="str">
        <f t="shared" si="64"/>
        <v/>
      </c>
      <c r="T136" s="180" t="str">
        <f t="shared" si="68"/>
        <v/>
      </c>
      <c r="U136" s="180" t="str">
        <f t="shared" si="69"/>
        <v/>
      </c>
      <c r="V136" s="180" t="str">
        <f t="shared" si="57"/>
        <v/>
      </c>
      <c r="W136" s="180" t="str">
        <f t="shared" si="54"/>
        <v/>
      </c>
      <c r="X136" s="180" t="str">
        <f t="shared" si="58"/>
        <v/>
      </c>
      <c r="Y136" s="183"/>
      <c r="Z136" s="183"/>
      <c r="AA136" s="183"/>
    </row>
    <row r="137" spans="1:27" x14ac:dyDescent="0.25">
      <c r="A137" s="52">
        <v>103</v>
      </c>
      <c r="B137" s="50" t="str">
        <f t="shared" si="55"/>
        <v/>
      </c>
      <c r="C137" s="177"/>
      <c r="D137" s="190" t="str">
        <f t="shared" si="83"/>
        <v>OK</v>
      </c>
      <c r="E137" s="189" t="str">
        <f>IF(ISBLANK(C137),"",AVERAGE(C$35:C137))</f>
        <v/>
      </c>
      <c r="F137" s="185"/>
      <c r="G137" s="185"/>
      <c r="H137" s="185"/>
      <c r="I137" s="181">
        <f t="shared" ref="I137:L137" si="101">I136</f>
        <v>53.893722145136735</v>
      </c>
      <c r="J137" s="181">
        <f t="shared" si="101"/>
        <v>44.882748443098563</v>
      </c>
      <c r="K137" s="181">
        <f t="shared" si="101"/>
        <v>56.146465570646278</v>
      </c>
      <c r="L137" s="181">
        <f t="shared" si="101"/>
        <v>42.630005017589021</v>
      </c>
      <c r="M137" s="181">
        <f t="shared" si="97"/>
        <v>50</v>
      </c>
      <c r="N137" s="181">
        <f t="shared" si="97"/>
        <v>55</v>
      </c>
      <c r="O137" s="181">
        <f t="shared" si="97"/>
        <v>45</v>
      </c>
      <c r="P137" s="181">
        <f t="shared" si="97"/>
        <v>49.388235294117649</v>
      </c>
      <c r="Q137" s="188">
        <f t="shared" si="93"/>
        <v>0</v>
      </c>
      <c r="R137" s="180" t="str">
        <f t="shared" si="63"/>
        <v/>
      </c>
      <c r="S137" s="180" t="str">
        <f t="shared" si="64"/>
        <v/>
      </c>
      <c r="T137" s="180" t="str">
        <f t="shared" si="68"/>
        <v/>
      </c>
      <c r="U137" s="180" t="str">
        <f t="shared" si="69"/>
        <v/>
      </c>
      <c r="V137" s="180" t="str">
        <f t="shared" si="57"/>
        <v/>
      </c>
      <c r="W137" s="180" t="str">
        <f t="shared" si="54"/>
        <v/>
      </c>
      <c r="X137" s="180" t="str">
        <f t="shared" si="58"/>
        <v/>
      </c>
      <c r="Y137" s="183"/>
      <c r="Z137" s="183"/>
      <c r="AA137" s="183"/>
    </row>
    <row r="138" spans="1:27" x14ac:dyDescent="0.25">
      <c r="A138" s="52">
        <v>104</v>
      </c>
      <c r="B138" s="50" t="str">
        <f t="shared" si="55"/>
        <v/>
      </c>
      <c r="C138" s="177"/>
      <c r="D138" s="190" t="str">
        <f t="shared" si="83"/>
        <v>OK</v>
      </c>
      <c r="E138" s="189" t="str">
        <f>IF(ISBLANK(C138),"",AVERAGE(C$35:C138))</f>
        <v/>
      </c>
      <c r="F138" s="185"/>
      <c r="G138" s="185"/>
      <c r="H138" s="185"/>
      <c r="I138" s="181">
        <f t="shared" ref="I138:L138" si="102">I137</f>
        <v>53.893722145136735</v>
      </c>
      <c r="J138" s="181">
        <f t="shared" si="102"/>
        <v>44.882748443098563</v>
      </c>
      <c r="K138" s="181">
        <f t="shared" si="102"/>
        <v>56.146465570646278</v>
      </c>
      <c r="L138" s="181">
        <f t="shared" si="102"/>
        <v>42.630005017589021</v>
      </c>
      <c r="M138" s="181">
        <f t="shared" si="97"/>
        <v>50</v>
      </c>
      <c r="N138" s="181">
        <f t="shared" si="97"/>
        <v>55</v>
      </c>
      <c r="O138" s="181">
        <f t="shared" si="97"/>
        <v>45</v>
      </c>
      <c r="P138" s="181">
        <f t="shared" si="97"/>
        <v>49.388235294117649</v>
      </c>
      <c r="Q138" s="188">
        <f t="shared" si="93"/>
        <v>0</v>
      </c>
      <c r="R138" s="180" t="str">
        <f t="shared" si="63"/>
        <v/>
      </c>
      <c r="S138" s="180" t="str">
        <f t="shared" si="64"/>
        <v/>
      </c>
      <c r="T138" s="180" t="str">
        <f t="shared" si="68"/>
        <v/>
      </c>
      <c r="U138" s="180" t="str">
        <f t="shared" si="69"/>
        <v/>
      </c>
      <c r="V138" s="180" t="str">
        <f t="shared" si="57"/>
        <v/>
      </c>
      <c r="W138" s="180" t="str">
        <f t="shared" si="54"/>
        <v/>
      </c>
      <c r="X138" s="180" t="str">
        <f t="shared" si="58"/>
        <v/>
      </c>
      <c r="Y138" s="183"/>
      <c r="Z138" s="183"/>
      <c r="AA138" s="183"/>
    </row>
    <row r="139" spans="1:27" x14ac:dyDescent="0.25">
      <c r="A139" s="52">
        <v>105</v>
      </c>
      <c r="B139" s="50" t="str">
        <f t="shared" si="55"/>
        <v/>
      </c>
      <c r="C139" s="177"/>
      <c r="D139" s="190" t="str">
        <f t="shared" si="83"/>
        <v>OK</v>
      </c>
      <c r="E139" s="189" t="str">
        <f>IF(ISBLANK(C139),"",AVERAGE(C$35:C139))</f>
        <v/>
      </c>
      <c r="F139" s="185"/>
      <c r="G139" s="185"/>
      <c r="H139" s="185"/>
      <c r="I139" s="181">
        <f t="shared" ref="I139:L139" si="103">I138</f>
        <v>53.893722145136735</v>
      </c>
      <c r="J139" s="181">
        <f t="shared" si="103"/>
        <v>44.882748443098563</v>
      </c>
      <c r="K139" s="181">
        <f t="shared" si="103"/>
        <v>56.146465570646278</v>
      </c>
      <c r="L139" s="181">
        <f t="shared" si="103"/>
        <v>42.630005017589021</v>
      </c>
      <c r="M139" s="181">
        <f t="shared" si="97"/>
        <v>50</v>
      </c>
      <c r="N139" s="181">
        <f t="shared" si="97"/>
        <v>55</v>
      </c>
      <c r="O139" s="181">
        <f t="shared" si="97"/>
        <v>45</v>
      </c>
      <c r="P139" s="181">
        <f t="shared" si="97"/>
        <v>49.388235294117649</v>
      </c>
      <c r="Q139" s="188">
        <f t="shared" si="93"/>
        <v>0</v>
      </c>
      <c r="R139" s="180" t="str">
        <f t="shared" si="63"/>
        <v/>
      </c>
      <c r="S139" s="180" t="str">
        <f t="shared" si="64"/>
        <v/>
      </c>
      <c r="T139" s="180" t="str">
        <f t="shared" si="68"/>
        <v/>
      </c>
      <c r="U139" s="180" t="str">
        <f t="shared" si="69"/>
        <v/>
      </c>
      <c r="V139" s="180" t="str">
        <f t="shared" si="57"/>
        <v/>
      </c>
      <c r="W139" s="180" t="str">
        <f t="shared" si="54"/>
        <v/>
      </c>
      <c r="X139" s="180" t="str">
        <f t="shared" si="58"/>
        <v/>
      </c>
      <c r="Y139" s="183"/>
      <c r="Z139" s="183"/>
      <c r="AA139" s="183"/>
    </row>
    <row r="140" spans="1:27" x14ac:dyDescent="0.25">
      <c r="A140" s="52">
        <v>106</v>
      </c>
      <c r="B140" s="50" t="str">
        <f t="shared" si="55"/>
        <v/>
      </c>
      <c r="C140" s="177"/>
      <c r="D140" s="190" t="str">
        <f t="shared" si="83"/>
        <v>OK</v>
      </c>
      <c r="E140" s="189" t="str">
        <f>IF(ISBLANK(C140),"",AVERAGE(C$35:C140))</f>
        <v/>
      </c>
      <c r="F140" s="185"/>
      <c r="G140" s="185"/>
      <c r="H140" s="185"/>
      <c r="I140" s="181">
        <f t="shared" ref="I140:L140" si="104">I139</f>
        <v>53.893722145136735</v>
      </c>
      <c r="J140" s="181">
        <f t="shared" si="104"/>
        <v>44.882748443098563</v>
      </c>
      <c r="K140" s="181">
        <f t="shared" si="104"/>
        <v>56.146465570646278</v>
      </c>
      <c r="L140" s="181">
        <f t="shared" si="104"/>
        <v>42.630005017589021</v>
      </c>
      <c r="M140" s="181">
        <f t="shared" si="97"/>
        <v>50</v>
      </c>
      <c r="N140" s="181">
        <f t="shared" si="97"/>
        <v>55</v>
      </c>
      <c r="O140" s="181">
        <f t="shared" si="97"/>
        <v>45</v>
      </c>
      <c r="P140" s="181">
        <f t="shared" si="97"/>
        <v>49.388235294117649</v>
      </c>
      <c r="Q140" s="188">
        <f t="shared" si="93"/>
        <v>0</v>
      </c>
      <c r="R140" s="180" t="str">
        <f t="shared" si="63"/>
        <v/>
      </c>
      <c r="S140" s="180" t="str">
        <f t="shared" si="64"/>
        <v/>
      </c>
      <c r="T140" s="180" t="str">
        <f t="shared" si="68"/>
        <v/>
      </c>
      <c r="U140" s="180" t="str">
        <f t="shared" si="69"/>
        <v/>
      </c>
      <c r="V140" s="180" t="str">
        <f t="shared" si="57"/>
        <v/>
      </c>
      <c r="W140" s="180" t="str">
        <f t="shared" si="54"/>
        <v/>
      </c>
      <c r="X140" s="180" t="str">
        <f t="shared" si="58"/>
        <v/>
      </c>
      <c r="Y140" s="183"/>
      <c r="Z140" s="183"/>
      <c r="AA140" s="183"/>
    </row>
    <row r="141" spans="1:27" x14ac:dyDescent="0.25">
      <c r="A141" s="52">
        <v>107</v>
      </c>
      <c r="B141" s="50" t="str">
        <f t="shared" si="55"/>
        <v/>
      </c>
      <c r="C141" s="177"/>
      <c r="D141" s="190" t="str">
        <f t="shared" si="83"/>
        <v>OK</v>
      </c>
      <c r="E141" s="189" t="str">
        <f>IF(ISBLANK(C141),"",AVERAGE(C$35:C141))</f>
        <v/>
      </c>
      <c r="F141" s="185"/>
      <c r="G141" s="185"/>
      <c r="H141" s="185"/>
      <c r="I141" s="181">
        <f t="shared" ref="I141:L141" si="105">I140</f>
        <v>53.893722145136735</v>
      </c>
      <c r="J141" s="181">
        <f t="shared" si="105"/>
        <v>44.882748443098563</v>
      </c>
      <c r="K141" s="181">
        <f t="shared" si="105"/>
        <v>56.146465570646278</v>
      </c>
      <c r="L141" s="181">
        <f t="shared" si="105"/>
        <v>42.630005017589021</v>
      </c>
      <c r="M141" s="181">
        <f t="shared" si="97"/>
        <v>50</v>
      </c>
      <c r="N141" s="181">
        <f t="shared" si="97"/>
        <v>55</v>
      </c>
      <c r="O141" s="181">
        <f t="shared" si="97"/>
        <v>45</v>
      </c>
      <c r="P141" s="181">
        <f t="shared" si="97"/>
        <v>49.388235294117649</v>
      </c>
      <c r="Q141" s="188">
        <f t="shared" si="93"/>
        <v>0</v>
      </c>
      <c r="R141" s="180" t="str">
        <f t="shared" si="63"/>
        <v/>
      </c>
      <c r="S141" s="180" t="str">
        <f t="shared" si="64"/>
        <v/>
      </c>
      <c r="T141" s="180" t="str">
        <f t="shared" si="68"/>
        <v/>
      </c>
      <c r="U141" s="180" t="str">
        <f t="shared" si="69"/>
        <v/>
      </c>
      <c r="V141" s="180" t="str">
        <f t="shared" si="57"/>
        <v/>
      </c>
      <c r="W141" s="180" t="str">
        <f t="shared" si="54"/>
        <v/>
      </c>
      <c r="X141" s="180" t="str">
        <f t="shared" si="58"/>
        <v/>
      </c>
      <c r="Y141" s="183"/>
      <c r="Z141" s="183"/>
      <c r="AA141" s="183"/>
    </row>
    <row r="142" spans="1:27" x14ac:dyDescent="0.25">
      <c r="A142" s="52">
        <v>108</v>
      </c>
      <c r="B142" s="50" t="str">
        <f t="shared" si="55"/>
        <v/>
      </c>
      <c r="C142" s="177"/>
      <c r="D142" s="190" t="str">
        <f t="shared" si="83"/>
        <v>OK</v>
      </c>
      <c r="E142" s="189" t="str">
        <f>IF(ISBLANK(C142),"",AVERAGE(C$35:C142))</f>
        <v/>
      </c>
      <c r="F142" s="185"/>
      <c r="G142" s="185"/>
      <c r="H142" s="185"/>
      <c r="I142" s="181">
        <f t="shared" ref="I142:L142" si="106">I141</f>
        <v>53.893722145136735</v>
      </c>
      <c r="J142" s="181">
        <f t="shared" si="106"/>
        <v>44.882748443098563</v>
      </c>
      <c r="K142" s="181">
        <f t="shared" si="106"/>
        <v>56.146465570646278</v>
      </c>
      <c r="L142" s="181">
        <f t="shared" si="106"/>
        <v>42.630005017589021</v>
      </c>
      <c r="M142" s="181">
        <f t="shared" si="97"/>
        <v>50</v>
      </c>
      <c r="N142" s="181">
        <f t="shared" si="97"/>
        <v>55</v>
      </c>
      <c r="O142" s="181">
        <f t="shared" si="97"/>
        <v>45</v>
      </c>
      <c r="P142" s="181">
        <f t="shared" si="97"/>
        <v>49.388235294117649</v>
      </c>
      <c r="Q142" s="188">
        <f t="shared" si="93"/>
        <v>0</v>
      </c>
      <c r="R142" s="180" t="str">
        <f t="shared" si="63"/>
        <v/>
      </c>
      <c r="S142" s="180" t="str">
        <f t="shared" si="64"/>
        <v/>
      </c>
      <c r="T142" s="180" t="str">
        <f t="shared" si="68"/>
        <v/>
      </c>
      <c r="U142" s="180" t="str">
        <f t="shared" si="69"/>
        <v/>
      </c>
      <c r="V142" s="180" t="str">
        <f t="shared" si="57"/>
        <v/>
      </c>
      <c r="W142" s="180" t="str">
        <f t="shared" si="54"/>
        <v/>
      </c>
      <c r="X142" s="180" t="str">
        <f t="shared" si="58"/>
        <v/>
      </c>
      <c r="Y142" s="183"/>
      <c r="Z142" s="183"/>
      <c r="AA142" s="183"/>
    </row>
    <row r="143" spans="1:27" x14ac:dyDescent="0.25">
      <c r="A143" s="52">
        <v>109</v>
      </c>
      <c r="B143" s="50" t="str">
        <f t="shared" si="55"/>
        <v/>
      </c>
      <c r="C143" s="177"/>
      <c r="D143" s="190" t="str">
        <f t="shared" si="83"/>
        <v>OK</v>
      </c>
      <c r="E143" s="189" t="str">
        <f>IF(ISBLANK(C143),"",AVERAGE(C$35:C143))</f>
        <v/>
      </c>
      <c r="F143" s="185"/>
      <c r="G143" s="185"/>
      <c r="H143" s="185"/>
      <c r="I143" s="181">
        <f t="shared" ref="I143:L143" si="107">I142</f>
        <v>53.893722145136735</v>
      </c>
      <c r="J143" s="181">
        <f t="shared" si="107"/>
        <v>44.882748443098563</v>
      </c>
      <c r="K143" s="181">
        <f t="shared" si="107"/>
        <v>56.146465570646278</v>
      </c>
      <c r="L143" s="181">
        <f t="shared" si="107"/>
        <v>42.630005017589021</v>
      </c>
      <c r="M143" s="181">
        <f t="shared" si="97"/>
        <v>50</v>
      </c>
      <c r="N143" s="181">
        <f t="shared" si="97"/>
        <v>55</v>
      </c>
      <c r="O143" s="181">
        <f t="shared" si="97"/>
        <v>45</v>
      </c>
      <c r="P143" s="181">
        <f t="shared" si="97"/>
        <v>49.388235294117649</v>
      </c>
      <c r="Q143" s="188">
        <f t="shared" si="93"/>
        <v>0</v>
      </c>
      <c r="R143" s="180" t="str">
        <f t="shared" si="63"/>
        <v/>
      </c>
      <c r="S143" s="180" t="str">
        <f t="shared" si="64"/>
        <v/>
      </c>
      <c r="T143" s="180" t="str">
        <f t="shared" si="68"/>
        <v/>
      </c>
      <c r="U143" s="180" t="str">
        <f t="shared" si="69"/>
        <v/>
      </c>
      <c r="V143" s="180" t="str">
        <f t="shared" si="57"/>
        <v/>
      </c>
      <c r="W143" s="180" t="str">
        <f t="shared" si="54"/>
        <v/>
      </c>
      <c r="X143" s="180" t="str">
        <f t="shared" si="58"/>
        <v/>
      </c>
      <c r="Y143" s="183"/>
      <c r="Z143" s="183"/>
      <c r="AA143" s="183"/>
    </row>
    <row r="144" spans="1:27" x14ac:dyDescent="0.25">
      <c r="A144" s="52">
        <v>110</v>
      </c>
      <c r="B144" s="50" t="str">
        <f t="shared" si="55"/>
        <v/>
      </c>
      <c r="C144" s="177"/>
      <c r="D144" s="190" t="str">
        <f t="shared" si="83"/>
        <v>OK</v>
      </c>
      <c r="E144" s="189" t="str">
        <f>IF(ISBLANK(C144),"",AVERAGE(C$35:C144))</f>
        <v/>
      </c>
      <c r="F144" s="185"/>
      <c r="G144" s="185"/>
      <c r="H144" s="185"/>
      <c r="I144" s="181">
        <f t="shared" ref="I144:L144" si="108">I143</f>
        <v>53.893722145136735</v>
      </c>
      <c r="J144" s="181">
        <f t="shared" si="108"/>
        <v>44.882748443098563</v>
      </c>
      <c r="K144" s="181">
        <f t="shared" si="108"/>
        <v>56.146465570646278</v>
      </c>
      <c r="L144" s="181">
        <f t="shared" si="108"/>
        <v>42.630005017589021</v>
      </c>
      <c r="M144" s="181">
        <f t="shared" si="97"/>
        <v>50</v>
      </c>
      <c r="N144" s="181">
        <f t="shared" si="97"/>
        <v>55</v>
      </c>
      <c r="O144" s="181">
        <f t="shared" si="97"/>
        <v>45</v>
      </c>
      <c r="P144" s="181">
        <f t="shared" si="97"/>
        <v>49.388235294117649</v>
      </c>
      <c r="Q144" s="188">
        <f t="shared" si="93"/>
        <v>0</v>
      </c>
      <c r="R144" s="180" t="str">
        <f t="shared" si="63"/>
        <v/>
      </c>
      <c r="S144" s="180" t="str">
        <f t="shared" si="64"/>
        <v/>
      </c>
      <c r="T144" s="180" t="str">
        <f t="shared" si="68"/>
        <v/>
      </c>
      <c r="U144" s="180" t="str">
        <f t="shared" si="69"/>
        <v/>
      </c>
      <c r="V144" s="180" t="str">
        <f t="shared" si="57"/>
        <v/>
      </c>
      <c r="W144" s="180" t="str">
        <f t="shared" si="54"/>
        <v/>
      </c>
      <c r="X144" s="180" t="str">
        <f t="shared" si="58"/>
        <v/>
      </c>
      <c r="Y144" s="183"/>
      <c r="Z144" s="183"/>
      <c r="AA144" s="183"/>
    </row>
    <row r="145" spans="1:27" x14ac:dyDescent="0.25">
      <c r="A145" s="52">
        <v>111</v>
      </c>
      <c r="B145" s="50" t="str">
        <f t="shared" si="55"/>
        <v/>
      </c>
      <c r="C145" s="177"/>
      <c r="D145" s="190" t="str">
        <f t="shared" si="83"/>
        <v>OK</v>
      </c>
      <c r="E145" s="189" t="str">
        <f>IF(ISBLANK(C145),"",AVERAGE(C$35:C145))</f>
        <v/>
      </c>
      <c r="F145" s="185"/>
      <c r="G145" s="185"/>
      <c r="H145" s="185"/>
      <c r="I145" s="181">
        <f t="shared" ref="I145:L145" si="109">I144</f>
        <v>53.893722145136735</v>
      </c>
      <c r="J145" s="181">
        <f t="shared" si="109"/>
        <v>44.882748443098563</v>
      </c>
      <c r="K145" s="181">
        <f t="shared" si="109"/>
        <v>56.146465570646278</v>
      </c>
      <c r="L145" s="181">
        <f t="shared" si="109"/>
        <v>42.630005017589021</v>
      </c>
      <c r="M145" s="181">
        <f t="shared" si="97"/>
        <v>50</v>
      </c>
      <c r="N145" s="181">
        <f t="shared" si="97"/>
        <v>55</v>
      </c>
      <c r="O145" s="181">
        <f t="shared" si="97"/>
        <v>45</v>
      </c>
      <c r="P145" s="181">
        <f t="shared" si="97"/>
        <v>49.388235294117649</v>
      </c>
      <c r="Q145" s="188">
        <f t="shared" si="93"/>
        <v>0</v>
      </c>
      <c r="R145" s="180" t="str">
        <f t="shared" si="63"/>
        <v/>
      </c>
      <c r="S145" s="180" t="str">
        <f t="shared" si="64"/>
        <v/>
      </c>
      <c r="T145" s="180" t="str">
        <f t="shared" si="68"/>
        <v/>
      </c>
      <c r="U145" s="180" t="str">
        <f t="shared" si="69"/>
        <v/>
      </c>
      <c r="V145" s="180" t="str">
        <f t="shared" si="57"/>
        <v/>
      </c>
      <c r="W145" s="180" t="str">
        <f t="shared" si="54"/>
        <v/>
      </c>
      <c r="X145" s="180" t="str">
        <f t="shared" si="58"/>
        <v/>
      </c>
      <c r="Y145" s="183"/>
      <c r="Z145" s="183"/>
      <c r="AA145" s="183"/>
    </row>
    <row r="146" spans="1:27" x14ac:dyDescent="0.25">
      <c r="A146" s="52">
        <v>112</v>
      </c>
      <c r="B146" s="50" t="str">
        <f t="shared" si="55"/>
        <v/>
      </c>
      <c r="C146" s="177"/>
      <c r="D146" s="190" t="str">
        <f t="shared" si="83"/>
        <v>OK</v>
      </c>
      <c r="E146" s="189" t="str">
        <f>IF(ISBLANK(C146),"",AVERAGE(C$35:C146))</f>
        <v/>
      </c>
      <c r="F146" s="185"/>
      <c r="G146" s="185"/>
      <c r="H146" s="185"/>
      <c r="I146" s="181">
        <f t="shared" ref="I146:L146" si="110">I145</f>
        <v>53.893722145136735</v>
      </c>
      <c r="J146" s="181">
        <f t="shared" si="110"/>
        <v>44.882748443098563</v>
      </c>
      <c r="K146" s="181">
        <f t="shared" si="110"/>
        <v>56.146465570646278</v>
      </c>
      <c r="L146" s="181">
        <f t="shared" si="110"/>
        <v>42.630005017589021</v>
      </c>
      <c r="M146" s="181">
        <f t="shared" si="97"/>
        <v>50</v>
      </c>
      <c r="N146" s="181">
        <f t="shared" si="97"/>
        <v>55</v>
      </c>
      <c r="O146" s="181">
        <f t="shared" si="97"/>
        <v>45</v>
      </c>
      <c r="P146" s="181">
        <f t="shared" si="97"/>
        <v>49.388235294117649</v>
      </c>
      <c r="Q146" s="188">
        <f t="shared" si="93"/>
        <v>0</v>
      </c>
      <c r="R146" s="180" t="str">
        <f t="shared" si="63"/>
        <v/>
      </c>
      <c r="S146" s="180" t="str">
        <f t="shared" si="64"/>
        <v/>
      </c>
      <c r="T146" s="180" t="str">
        <f t="shared" si="68"/>
        <v/>
      </c>
      <c r="U146" s="180" t="str">
        <f t="shared" si="69"/>
        <v/>
      </c>
      <c r="V146" s="180" t="str">
        <f t="shared" si="57"/>
        <v/>
      </c>
      <c r="W146" s="180" t="str">
        <f t="shared" si="54"/>
        <v/>
      </c>
      <c r="X146" s="180" t="str">
        <f t="shared" si="58"/>
        <v/>
      </c>
      <c r="Y146" s="183"/>
      <c r="Z146" s="183"/>
      <c r="AA146" s="183"/>
    </row>
    <row r="147" spans="1:27" x14ac:dyDescent="0.25">
      <c r="A147" s="52">
        <v>113</v>
      </c>
      <c r="B147" s="50" t="str">
        <f t="shared" si="55"/>
        <v/>
      </c>
      <c r="C147" s="177"/>
      <c r="D147" s="190" t="str">
        <f t="shared" si="83"/>
        <v>OK</v>
      </c>
      <c r="E147" s="189" t="str">
        <f>IF(ISBLANK(C147),"",AVERAGE(C$35:C147))</f>
        <v/>
      </c>
      <c r="F147" s="185"/>
      <c r="G147" s="185"/>
      <c r="H147" s="185"/>
      <c r="I147" s="181">
        <f t="shared" ref="I147:L147" si="111">I146</f>
        <v>53.893722145136735</v>
      </c>
      <c r="J147" s="181">
        <f t="shared" si="111"/>
        <v>44.882748443098563</v>
      </c>
      <c r="K147" s="181">
        <f t="shared" si="111"/>
        <v>56.146465570646278</v>
      </c>
      <c r="L147" s="181">
        <f t="shared" si="111"/>
        <v>42.630005017589021</v>
      </c>
      <c r="M147" s="181">
        <f t="shared" si="97"/>
        <v>50</v>
      </c>
      <c r="N147" s="181">
        <f t="shared" si="97"/>
        <v>55</v>
      </c>
      <c r="O147" s="181">
        <f t="shared" si="97"/>
        <v>45</v>
      </c>
      <c r="P147" s="181">
        <f t="shared" si="97"/>
        <v>49.388235294117649</v>
      </c>
      <c r="Q147" s="188">
        <f t="shared" si="93"/>
        <v>0</v>
      </c>
      <c r="R147" s="180" t="str">
        <f t="shared" si="63"/>
        <v/>
      </c>
      <c r="S147" s="180" t="str">
        <f t="shared" si="64"/>
        <v/>
      </c>
      <c r="T147" s="180" t="str">
        <f t="shared" si="68"/>
        <v/>
      </c>
      <c r="U147" s="180" t="str">
        <f t="shared" si="69"/>
        <v/>
      </c>
      <c r="V147" s="180" t="str">
        <f t="shared" si="57"/>
        <v/>
      </c>
      <c r="W147" s="180" t="str">
        <f t="shared" si="54"/>
        <v/>
      </c>
      <c r="X147" s="180" t="str">
        <f t="shared" si="58"/>
        <v/>
      </c>
      <c r="Y147" s="183"/>
      <c r="Z147" s="183"/>
      <c r="AA147" s="183"/>
    </row>
    <row r="148" spans="1:27" x14ac:dyDescent="0.25">
      <c r="A148" s="52">
        <v>114</v>
      </c>
      <c r="B148" s="50" t="str">
        <f t="shared" si="55"/>
        <v/>
      </c>
      <c r="C148" s="177"/>
      <c r="D148" s="190" t="str">
        <f t="shared" si="83"/>
        <v>OK</v>
      </c>
      <c r="E148" s="189" t="str">
        <f>IF(ISBLANK(C148),"",AVERAGE(C$35:C148))</f>
        <v/>
      </c>
      <c r="F148" s="185"/>
      <c r="G148" s="185"/>
      <c r="H148" s="185"/>
      <c r="I148" s="181">
        <f t="shared" ref="I148:L148" si="112">I147</f>
        <v>53.893722145136735</v>
      </c>
      <c r="J148" s="181">
        <f t="shared" si="112"/>
        <v>44.882748443098563</v>
      </c>
      <c r="K148" s="181">
        <f t="shared" si="112"/>
        <v>56.146465570646278</v>
      </c>
      <c r="L148" s="181">
        <f t="shared" si="112"/>
        <v>42.630005017589021</v>
      </c>
      <c r="M148" s="181">
        <f t="shared" si="97"/>
        <v>50</v>
      </c>
      <c r="N148" s="181">
        <f t="shared" si="97"/>
        <v>55</v>
      </c>
      <c r="O148" s="181">
        <f t="shared" si="97"/>
        <v>45</v>
      </c>
      <c r="P148" s="181">
        <f t="shared" si="97"/>
        <v>49.388235294117649</v>
      </c>
      <c r="Q148" s="188">
        <f t="shared" si="93"/>
        <v>0</v>
      </c>
      <c r="R148" s="180" t="str">
        <f t="shared" si="63"/>
        <v/>
      </c>
      <c r="S148" s="180" t="str">
        <f t="shared" si="64"/>
        <v/>
      </c>
      <c r="T148" s="180" t="str">
        <f t="shared" si="68"/>
        <v/>
      </c>
      <c r="U148" s="180" t="str">
        <f t="shared" si="69"/>
        <v/>
      </c>
      <c r="V148" s="180" t="str">
        <f t="shared" si="57"/>
        <v/>
      </c>
      <c r="W148" s="180" t="str">
        <f t="shared" si="54"/>
        <v/>
      </c>
      <c r="X148" s="180" t="str">
        <f t="shared" si="58"/>
        <v/>
      </c>
      <c r="Y148" s="183"/>
      <c r="Z148" s="183"/>
      <c r="AA148" s="183"/>
    </row>
    <row r="149" spans="1:27" x14ac:dyDescent="0.25">
      <c r="A149" s="52">
        <v>115</v>
      </c>
      <c r="B149" s="50" t="str">
        <f t="shared" si="55"/>
        <v/>
      </c>
      <c r="C149" s="177"/>
      <c r="D149" s="190" t="str">
        <f t="shared" si="83"/>
        <v>OK</v>
      </c>
      <c r="E149" s="189" t="str">
        <f>IF(ISBLANK(C149),"",AVERAGE(C$35:C149))</f>
        <v/>
      </c>
      <c r="F149" s="185"/>
      <c r="G149" s="185"/>
      <c r="H149" s="185"/>
      <c r="I149" s="181">
        <f t="shared" ref="I149:P164" si="113">I148</f>
        <v>53.893722145136735</v>
      </c>
      <c r="J149" s="181">
        <f t="shared" si="113"/>
        <v>44.882748443098563</v>
      </c>
      <c r="K149" s="181">
        <f t="shared" si="113"/>
        <v>56.146465570646278</v>
      </c>
      <c r="L149" s="181">
        <f t="shared" si="113"/>
        <v>42.630005017589021</v>
      </c>
      <c r="M149" s="181">
        <f t="shared" si="113"/>
        <v>50</v>
      </c>
      <c r="N149" s="181">
        <f t="shared" si="113"/>
        <v>55</v>
      </c>
      <c r="O149" s="181">
        <f t="shared" si="113"/>
        <v>45</v>
      </c>
      <c r="P149" s="181">
        <f t="shared" si="113"/>
        <v>49.388235294117649</v>
      </c>
      <c r="Q149" s="188">
        <f t="shared" si="93"/>
        <v>0</v>
      </c>
      <c r="R149" s="180" t="str">
        <f t="shared" si="63"/>
        <v/>
      </c>
      <c r="S149" s="180" t="str">
        <f t="shared" si="64"/>
        <v/>
      </c>
      <c r="T149" s="180" t="str">
        <f t="shared" si="68"/>
        <v/>
      </c>
      <c r="U149" s="180" t="str">
        <f t="shared" si="69"/>
        <v/>
      </c>
      <c r="V149" s="180" t="str">
        <f t="shared" si="57"/>
        <v/>
      </c>
      <c r="W149" s="180" t="str">
        <f t="shared" si="54"/>
        <v/>
      </c>
      <c r="X149" s="180" t="str">
        <f t="shared" si="58"/>
        <v/>
      </c>
      <c r="Y149" s="183"/>
      <c r="Z149" s="183"/>
      <c r="AA149" s="183"/>
    </row>
    <row r="150" spans="1:27" x14ac:dyDescent="0.25">
      <c r="A150" s="52">
        <v>116</v>
      </c>
      <c r="B150" s="50" t="str">
        <f t="shared" si="55"/>
        <v/>
      </c>
      <c r="C150" s="177"/>
      <c r="D150" s="190" t="str">
        <f t="shared" si="83"/>
        <v>OK</v>
      </c>
      <c r="E150" s="189" t="str">
        <f>IF(ISBLANK(C150),"",AVERAGE(C$35:C150))</f>
        <v/>
      </c>
      <c r="F150" s="185"/>
      <c r="G150" s="185"/>
      <c r="H150" s="185"/>
      <c r="I150" s="181">
        <f t="shared" ref="I150:L150" si="114">I149</f>
        <v>53.893722145136735</v>
      </c>
      <c r="J150" s="181">
        <f t="shared" si="114"/>
        <v>44.882748443098563</v>
      </c>
      <c r="K150" s="181">
        <f t="shared" si="114"/>
        <v>56.146465570646278</v>
      </c>
      <c r="L150" s="181">
        <f t="shared" si="114"/>
        <v>42.630005017589021</v>
      </c>
      <c r="M150" s="181">
        <f t="shared" si="113"/>
        <v>50</v>
      </c>
      <c r="N150" s="181">
        <f t="shared" si="113"/>
        <v>55</v>
      </c>
      <c r="O150" s="181">
        <f t="shared" si="113"/>
        <v>45</v>
      </c>
      <c r="P150" s="181">
        <f t="shared" si="113"/>
        <v>49.388235294117649</v>
      </c>
      <c r="Q150" s="188">
        <f t="shared" si="93"/>
        <v>0</v>
      </c>
      <c r="R150" s="180" t="str">
        <f t="shared" si="63"/>
        <v/>
      </c>
      <c r="S150" s="180" t="str">
        <f t="shared" si="64"/>
        <v/>
      </c>
      <c r="T150" s="180" t="str">
        <f t="shared" si="68"/>
        <v/>
      </c>
      <c r="U150" s="180" t="str">
        <f t="shared" si="69"/>
        <v/>
      </c>
      <c r="V150" s="180" t="str">
        <f t="shared" si="57"/>
        <v/>
      </c>
      <c r="W150" s="180" t="str">
        <f t="shared" si="54"/>
        <v/>
      </c>
      <c r="X150" s="180" t="str">
        <f t="shared" si="58"/>
        <v/>
      </c>
      <c r="Y150" s="183"/>
      <c r="Z150" s="183"/>
      <c r="AA150" s="183"/>
    </row>
    <row r="151" spans="1:27" x14ac:dyDescent="0.25">
      <c r="A151" s="52">
        <v>117</v>
      </c>
      <c r="B151" s="50" t="str">
        <f t="shared" si="55"/>
        <v/>
      </c>
      <c r="C151" s="177"/>
      <c r="D151" s="190" t="str">
        <f t="shared" si="83"/>
        <v>OK</v>
      </c>
      <c r="E151" s="189" t="str">
        <f>IF(ISBLANK(C151),"",AVERAGE(C$35:C151))</f>
        <v/>
      </c>
      <c r="F151" s="185"/>
      <c r="G151" s="185"/>
      <c r="H151" s="185"/>
      <c r="I151" s="181">
        <f t="shared" ref="I151:L151" si="115">I150</f>
        <v>53.893722145136735</v>
      </c>
      <c r="J151" s="181">
        <f t="shared" si="115"/>
        <v>44.882748443098563</v>
      </c>
      <c r="K151" s="181">
        <f t="shared" si="115"/>
        <v>56.146465570646278</v>
      </c>
      <c r="L151" s="181">
        <f t="shared" si="115"/>
        <v>42.630005017589021</v>
      </c>
      <c r="M151" s="181">
        <f t="shared" si="113"/>
        <v>50</v>
      </c>
      <c r="N151" s="181">
        <f t="shared" si="113"/>
        <v>55</v>
      </c>
      <c r="O151" s="181">
        <f t="shared" si="113"/>
        <v>45</v>
      </c>
      <c r="P151" s="181">
        <f t="shared" si="113"/>
        <v>49.388235294117649</v>
      </c>
      <c r="Q151" s="188">
        <f t="shared" si="93"/>
        <v>0</v>
      </c>
      <c r="R151" s="180" t="str">
        <f t="shared" si="63"/>
        <v/>
      </c>
      <c r="S151" s="180" t="str">
        <f t="shared" si="64"/>
        <v/>
      </c>
      <c r="T151" s="180" t="str">
        <f t="shared" si="68"/>
        <v/>
      </c>
      <c r="U151" s="180" t="str">
        <f t="shared" si="69"/>
        <v/>
      </c>
      <c r="V151" s="180" t="str">
        <f t="shared" si="57"/>
        <v/>
      </c>
      <c r="W151" s="180" t="str">
        <f t="shared" si="54"/>
        <v/>
      </c>
      <c r="X151" s="180" t="str">
        <f t="shared" si="58"/>
        <v/>
      </c>
      <c r="Y151" s="183"/>
      <c r="Z151" s="183"/>
      <c r="AA151" s="183"/>
    </row>
    <row r="152" spans="1:27" x14ac:dyDescent="0.25">
      <c r="A152" s="52">
        <v>118</v>
      </c>
      <c r="B152" s="50" t="str">
        <f t="shared" si="55"/>
        <v/>
      </c>
      <c r="C152" s="177"/>
      <c r="D152" s="190" t="str">
        <f t="shared" si="83"/>
        <v>OK</v>
      </c>
      <c r="E152" s="189" t="str">
        <f>IF(ISBLANK(C152),"",AVERAGE(C$35:C152))</f>
        <v/>
      </c>
      <c r="F152" s="185"/>
      <c r="G152" s="185"/>
      <c r="H152" s="185"/>
      <c r="I152" s="181">
        <f t="shared" ref="I152:L152" si="116">I151</f>
        <v>53.893722145136735</v>
      </c>
      <c r="J152" s="181">
        <f t="shared" si="116"/>
        <v>44.882748443098563</v>
      </c>
      <c r="K152" s="181">
        <f t="shared" si="116"/>
        <v>56.146465570646278</v>
      </c>
      <c r="L152" s="181">
        <f t="shared" si="116"/>
        <v>42.630005017589021</v>
      </c>
      <c r="M152" s="181">
        <f t="shared" si="113"/>
        <v>50</v>
      </c>
      <c r="N152" s="181">
        <f t="shared" si="113"/>
        <v>55</v>
      </c>
      <c r="O152" s="181">
        <f t="shared" si="113"/>
        <v>45</v>
      </c>
      <c r="P152" s="181">
        <f t="shared" si="113"/>
        <v>49.388235294117649</v>
      </c>
      <c r="Q152" s="188">
        <f t="shared" si="93"/>
        <v>0</v>
      </c>
      <c r="R152" s="180" t="str">
        <f t="shared" si="63"/>
        <v/>
      </c>
      <c r="S152" s="180" t="str">
        <f t="shared" si="64"/>
        <v/>
      </c>
      <c r="T152" s="180" t="str">
        <f t="shared" si="68"/>
        <v/>
      </c>
      <c r="U152" s="180" t="str">
        <f t="shared" si="69"/>
        <v/>
      </c>
      <c r="V152" s="180" t="str">
        <f t="shared" si="57"/>
        <v/>
      </c>
      <c r="W152" s="180" t="str">
        <f t="shared" si="54"/>
        <v/>
      </c>
      <c r="X152" s="180" t="str">
        <f t="shared" si="58"/>
        <v/>
      </c>
      <c r="Y152" s="183"/>
      <c r="Z152" s="183"/>
      <c r="AA152" s="183"/>
    </row>
    <row r="153" spans="1:27" x14ac:dyDescent="0.25">
      <c r="A153" s="52">
        <v>119</v>
      </c>
      <c r="B153" s="50" t="str">
        <f t="shared" si="55"/>
        <v/>
      </c>
      <c r="C153" s="177"/>
      <c r="D153" s="190" t="str">
        <f t="shared" si="83"/>
        <v>OK</v>
      </c>
      <c r="E153" s="189" t="str">
        <f>IF(ISBLANK(C153),"",AVERAGE(C$35:C153))</f>
        <v/>
      </c>
      <c r="F153" s="185"/>
      <c r="G153" s="185"/>
      <c r="H153" s="185"/>
      <c r="I153" s="181">
        <f t="shared" ref="I153:L153" si="117">I152</f>
        <v>53.893722145136735</v>
      </c>
      <c r="J153" s="181">
        <f t="shared" si="117"/>
        <v>44.882748443098563</v>
      </c>
      <c r="K153" s="181">
        <f t="shared" si="117"/>
        <v>56.146465570646278</v>
      </c>
      <c r="L153" s="181">
        <f t="shared" si="117"/>
        <v>42.630005017589021</v>
      </c>
      <c r="M153" s="181">
        <f t="shared" si="113"/>
        <v>50</v>
      </c>
      <c r="N153" s="181">
        <f t="shared" si="113"/>
        <v>55</v>
      </c>
      <c r="O153" s="181">
        <f t="shared" si="113"/>
        <v>45</v>
      </c>
      <c r="P153" s="181">
        <f t="shared" si="113"/>
        <v>49.388235294117649</v>
      </c>
      <c r="Q153" s="188">
        <f t="shared" si="93"/>
        <v>0</v>
      </c>
      <c r="R153" s="180" t="str">
        <f t="shared" si="63"/>
        <v/>
      </c>
      <c r="S153" s="180" t="str">
        <f t="shared" si="64"/>
        <v/>
      </c>
      <c r="T153" s="180" t="str">
        <f t="shared" si="68"/>
        <v/>
      </c>
      <c r="U153" s="180" t="str">
        <f t="shared" si="69"/>
        <v/>
      </c>
      <c r="V153" s="180" t="str">
        <f t="shared" si="57"/>
        <v/>
      </c>
      <c r="W153" s="180" t="str">
        <f t="shared" si="54"/>
        <v/>
      </c>
      <c r="X153" s="180" t="str">
        <f t="shared" si="58"/>
        <v/>
      </c>
      <c r="Y153" s="183"/>
      <c r="Z153" s="183"/>
      <c r="AA153" s="183"/>
    </row>
    <row r="154" spans="1:27" x14ac:dyDescent="0.25">
      <c r="A154" s="52">
        <v>120</v>
      </c>
      <c r="B154" s="50" t="str">
        <f t="shared" si="55"/>
        <v/>
      </c>
      <c r="C154" s="177"/>
      <c r="D154" s="190" t="str">
        <f t="shared" si="83"/>
        <v>OK</v>
      </c>
      <c r="E154" s="189" t="str">
        <f>IF(ISBLANK(C154),"",AVERAGE(C$35:C154))</f>
        <v/>
      </c>
      <c r="F154" s="185"/>
      <c r="G154" s="185"/>
      <c r="H154" s="185"/>
      <c r="I154" s="181">
        <f t="shared" ref="I154:L154" si="118">I153</f>
        <v>53.893722145136735</v>
      </c>
      <c r="J154" s="181">
        <f t="shared" si="118"/>
        <v>44.882748443098563</v>
      </c>
      <c r="K154" s="181">
        <f t="shared" si="118"/>
        <v>56.146465570646278</v>
      </c>
      <c r="L154" s="181">
        <f t="shared" si="118"/>
        <v>42.630005017589021</v>
      </c>
      <c r="M154" s="181">
        <f t="shared" si="113"/>
        <v>50</v>
      </c>
      <c r="N154" s="181">
        <f t="shared" si="113"/>
        <v>55</v>
      </c>
      <c r="O154" s="181">
        <f t="shared" si="113"/>
        <v>45</v>
      </c>
      <c r="P154" s="181">
        <f t="shared" si="113"/>
        <v>49.388235294117649</v>
      </c>
      <c r="Q154" s="188">
        <f t="shared" si="93"/>
        <v>0</v>
      </c>
      <c r="R154" s="180" t="str">
        <f t="shared" si="63"/>
        <v/>
      </c>
      <c r="S154" s="180" t="str">
        <f t="shared" si="64"/>
        <v/>
      </c>
      <c r="T154" s="180" t="str">
        <f t="shared" si="68"/>
        <v/>
      </c>
      <c r="U154" s="180" t="str">
        <f t="shared" si="69"/>
        <v/>
      </c>
      <c r="V154" s="180" t="str">
        <f t="shared" si="57"/>
        <v/>
      </c>
      <c r="W154" s="180" t="str">
        <f t="shared" si="54"/>
        <v/>
      </c>
      <c r="X154" s="180" t="str">
        <f t="shared" si="58"/>
        <v/>
      </c>
      <c r="Y154" s="183"/>
      <c r="Z154" s="183"/>
      <c r="AA154" s="183"/>
    </row>
    <row r="155" spans="1:27" x14ac:dyDescent="0.25">
      <c r="A155" s="52">
        <v>121</v>
      </c>
      <c r="B155" s="50" t="str">
        <f t="shared" si="55"/>
        <v/>
      </c>
      <c r="C155" s="177"/>
      <c r="D155" s="190" t="str">
        <f t="shared" si="83"/>
        <v>OK</v>
      </c>
      <c r="E155" s="189" t="str">
        <f>IF(ISBLANK(C155),"",AVERAGE(C$35:C155))</f>
        <v/>
      </c>
      <c r="F155" s="185"/>
      <c r="G155" s="185"/>
      <c r="H155" s="185"/>
      <c r="I155" s="181">
        <f t="shared" ref="I155:L155" si="119">I154</f>
        <v>53.893722145136735</v>
      </c>
      <c r="J155" s="181">
        <f t="shared" si="119"/>
        <v>44.882748443098563</v>
      </c>
      <c r="K155" s="181">
        <f t="shared" si="119"/>
        <v>56.146465570646278</v>
      </c>
      <c r="L155" s="181">
        <f t="shared" si="119"/>
        <v>42.630005017589021</v>
      </c>
      <c r="M155" s="181">
        <f t="shared" si="113"/>
        <v>50</v>
      </c>
      <c r="N155" s="181">
        <f t="shared" si="113"/>
        <v>55</v>
      </c>
      <c r="O155" s="181">
        <f t="shared" si="113"/>
        <v>45</v>
      </c>
      <c r="P155" s="181">
        <f t="shared" si="113"/>
        <v>49.388235294117649</v>
      </c>
      <c r="Q155" s="188">
        <f t="shared" si="93"/>
        <v>0</v>
      </c>
      <c r="R155" s="180" t="str">
        <f t="shared" si="63"/>
        <v/>
      </c>
      <c r="S155" s="180" t="str">
        <f t="shared" si="64"/>
        <v/>
      </c>
      <c r="T155" s="180" t="str">
        <f t="shared" si="68"/>
        <v/>
      </c>
      <c r="U155" s="180" t="str">
        <f t="shared" si="69"/>
        <v/>
      </c>
      <c r="V155" s="180" t="str">
        <f t="shared" si="57"/>
        <v/>
      </c>
      <c r="W155" s="180" t="str">
        <f t="shared" si="54"/>
        <v/>
      </c>
      <c r="X155" s="180" t="str">
        <f t="shared" si="58"/>
        <v/>
      </c>
      <c r="Y155" s="183"/>
      <c r="Z155" s="183"/>
      <c r="AA155" s="183"/>
    </row>
    <row r="156" spans="1:27" x14ac:dyDescent="0.25">
      <c r="A156" s="52">
        <v>122</v>
      </c>
      <c r="B156" s="50" t="str">
        <f t="shared" si="55"/>
        <v/>
      </c>
      <c r="C156" s="177"/>
      <c r="D156" s="190" t="str">
        <f t="shared" si="83"/>
        <v>OK</v>
      </c>
      <c r="E156" s="189" t="str">
        <f>IF(ISBLANK(C156),"",AVERAGE(C$35:C156))</f>
        <v/>
      </c>
      <c r="F156" s="185"/>
      <c r="G156" s="185"/>
      <c r="H156" s="185"/>
      <c r="I156" s="181">
        <f t="shared" ref="I156:L156" si="120">I155</f>
        <v>53.893722145136735</v>
      </c>
      <c r="J156" s="181">
        <f t="shared" si="120"/>
        <v>44.882748443098563</v>
      </c>
      <c r="K156" s="181">
        <f t="shared" si="120"/>
        <v>56.146465570646278</v>
      </c>
      <c r="L156" s="181">
        <f t="shared" si="120"/>
        <v>42.630005017589021</v>
      </c>
      <c r="M156" s="181">
        <f t="shared" si="113"/>
        <v>50</v>
      </c>
      <c r="N156" s="181">
        <f t="shared" si="113"/>
        <v>55</v>
      </c>
      <c r="O156" s="181">
        <f t="shared" si="113"/>
        <v>45</v>
      </c>
      <c r="P156" s="181">
        <f t="shared" si="113"/>
        <v>49.388235294117649</v>
      </c>
      <c r="Q156" s="188">
        <f t="shared" si="93"/>
        <v>0</v>
      </c>
      <c r="R156" s="180" t="str">
        <f t="shared" si="63"/>
        <v/>
      </c>
      <c r="S156" s="180" t="str">
        <f t="shared" si="64"/>
        <v/>
      </c>
      <c r="T156" s="180" t="str">
        <f t="shared" si="68"/>
        <v/>
      </c>
      <c r="U156" s="180" t="str">
        <f t="shared" si="69"/>
        <v/>
      </c>
      <c r="V156" s="180" t="str">
        <f t="shared" si="57"/>
        <v/>
      </c>
      <c r="W156" s="180" t="str">
        <f t="shared" si="54"/>
        <v/>
      </c>
      <c r="X156" s="180" t="str">
        <f t="shared" si="58"/>
        <v/>
      </c>
      <c r="Y156" s="183"/>
      <c r="Z156" s="183"/>
      <c r="AA156" s="183"/>
    </row>
    <row r="157" spans="1:27" x14ac:dyDescent="0.25">
      <c r="A157" s="52">
        <v>123</v>
      </c>
      <c r="B157" s="50" t="str">
        <f t="shared" si="55"/>
        <v/>
      </c>
      <c r="C157" s="177"/>
      <c r="D157" s="190" t="str">
        <f t="shared" si="83"/>
        <v>OK</v>
      </c>
      <c r="E157" s="189" t="str">
        <f>IF(ISBLANK(C157),"",AVERAGE(C$35:C157))</f>
        <v/>
      </c>
      <c r="F157" s="185"/>
      <c r="G157" s="185"/>
      <c r="H157" s="185"/>
      <c r="I157" s="181">
        <f t="shared" ref="I157:L157" si="121">I156</f>
        <v>53.893722145136735</v>
      </c>
      <c r="J157" s="181">
        <f t="shared" si="121"/>
        <v>44.882748443098563</v>
      </c>
      <c r="K157" s="181">
        <f t="shared" si="121"/>
        <v>56.146465570646278</v>
      </c>
      <c r="L157" s="181">
        <f t="shared" si="121"/>
        <v>42.630005017589021</v>
      </c>
      <c r="M157" s="181">
        <f t="shared" si="113"/>
        <v>50</v>
      </c>
      <c r="N157" s="181">
        <f t="shared" si="113"/>
        <v>55</v>
      </c>
      <c r="O157" s="181">
        <f t="shared" si="113"/>
        <v>45</v>
      </c>
      <c r="P157" s="181">
        <f t="shared" si="113"/>
        <v>49.388235294117649</v>
      </c>
      <c r="Q157" s="188">
        <f t="shared" si="93"/>
        <v>0</v>
      </c>
      <c r="R157" s="180" t="str">
        <f t="shared" si="63"/>
        <v/>
      </c>
      <c r="S157" s="180" t="str">
        <f t="shared" si="64"/>
        <v/>
      </c>
      <c r="T157" s="180" t="str">
        <f t="shared" si="68"/>
        <v/>
      </c>
      <c r="U157" s="180" t="str">
        <f t="shared" si="69"/>
        <v/>
      </c>
      <c r="V157" s="180" t="str">
        <f t="shared" si="57"/>
        <v/>
      </c>
      <c r="W157" s="180" t="str">
        <f t="shared" si="54"/>
        <v/>
      </c>
      <c r="X157" s="180" t="str">
        <f t="shared" si="58"/>
        <v/>
      </c>
      <c r="Y157" s="183"/>
      <c r="Z157" s="183"/>
      <c r="AA157" s="183"/>
    </row>
    <row r="158" spans="1:27" x14ac:dyDescent="0.25">
      <c r="A158" s="52">
        <v>124</v>
      </c>
      <c r="B158" s="50" t="str">
        <f t="shared" si="55"/>
        <v/>
      </c>
      <c r="C158" s="177"/>
      <c r="D158" s="190" t="str">
        <f t="shared" si="83"/>
        <v>OK</v>
      </c>
      <c r="E158" s="189" t="str">
        <f>IF(ISBLANK(C158),"",AVERAGE(C$35:C158))</f>
        <v/>
      </c>
      <c r="F158" s="185"/>
      <c r="G158" s="185"/>
      <c r="H158" s="185"/>
      <c r="I158" s="181">
        <f t="shared" ref="I158:L158" si="122">I157</f>
        <v>53.893722145136735</v>
      </c>
      <c r="J158" s="181">
        <f t="shared" si="122"/>
        <v>44.882748443098563</v>
      </c>
      <c r="K158" s="181">
        <f t="shared" si="122"/>
        <v>56.146465570646278</v>
      </c>
      <c r="L158" s="181">
        <f t="shared" si="122"/>
        <v>42.630005017589021</v>
      </c>
      <c r="M158" s="181">
        <f t="shared" si="113"/>
        <v>50</v>
      </c>
      <c r="N158" s="181">
        <f t="shared" si="113"/>
        <v>55</v>
      </c>
      <c r="O158" s="181">
        <f t="shared" si="113"/>
        <v>45</v>
      </c>
      <c r="P158" s="181">
        <f t="shared" si="113"/>
        <v>49.388235294117649</v>
      </c>
      <c r="Q158" s="188">
        <f t="shared" si="93"/>
        <v>0</v>
      </c>
      <c r="R158" s="180" t="str">
        <f t="shared" si="63"/>
        <v/>
      </c>
      <c r="S158" s="180" t="str">
        <f t="shared" si="64"/>
        <v/>
      </c>
      <c r="T158" s="180" t="str">
        <f t="shared" si="68"/>
        <v/>
      </c>
      <c r="U158" s="180" t="str">
        <f t="shared" si="69"/>
        <v/>
      </c>
      <c r="V158" s="180" t="str">
        <f t="shared" si="57"/>
        <v/>
      </c>
      <c r="W158" s="180" t="str">
        <f t="shared" si="54"/>
        <v/>
      </c>
      <c r="X158" s="180" t="str">
        <f t="shared" si="58"/>
        <v/>
      </c>
      <c r="Y158" s="183"/>
      <c r="Z158" s="183"/>
      <c r="AA158" s="183"/>
    </row>
    <row r="159" spans="1:27" x14ac:dyDescent="0.25">
      <c r="A159" s="52">
        <v>125</v>
      </c>
      <c r="B159" s="50" t="str">
        <f t="shared" si="55"/>
        <v/>
      </c>
      <c r="C159" s="177"/>
      <c r="D159" s="190" t="str">
        <f t="shared" si="83"/>
        <v>OK</v>
      </c>
      <c r="E159" s="189" t="str">
        <f>IF(ISBLANK(C159),"",AVERAGE(C$35:C159))</f>
        <v/>
      </c>
      <c r="F159" s="185"/>
      <c r="G159" s="185"/>
      <c r="H159" s="185"/>
      <c r="I159" s="181">
        <f t="shared" ref="I159:L159" si="123">I158</f>
        <v>53.893722145136735</v>
      </c>
      <c r="J159" s="181">
        <f t="shared" si="123"/>
        <v>44.882748443098563</v>
      </c>
      <c r="K159" s="181">
        <f t="shared" si="123"/>
        <v>56.146465570646278</v>
      </c>
      <c r="L159" s="181">
        <f t="shared" si="123"/>
        <v>42.630005017589021</v>
      </c>
      <c r="M159" s="181">
        <f t="shared" si="113"/>
        <v>50</v>
      </c>
      <c r="N159" s="181">
        <f t="shared" si="113"/>
        <v>55</v>
      </c>
      <c r="O159" s="181">
        <f t="shared" si="113"/>
        <v>45</v>
      </c>
      <c r="P159" s="181">
        <f t="shared" si="113"/>
        <v>49.388235294117649</v>
      </c>
      <c r="Q159" s="188">
        <f t="shared" si="93"/>
        <v>0</v>
      </c>
      <c r="R159" s="180" t="str">
        <f t="shared" si="63"/>
        <v/>
      </c>
      <c r="S159" s="180" t="str">
        <f t="shared" si="64"/>
        <v/>
      </c>
      <c r="T159" s="180" t="str">
        <f t="shared" si="68"/>
        <v/>
      </c>
      <c r="U159" s="180" t="str">
        <f t="shared" si="69"/>
        <v/>
      </c>
      <c r="V159" s="180" t="str">
        <f t="shared" si="57"/>
        <v/>
      </c>
      <c r="W159" s="180" t="str">
        <f t="shared" si="54"/>
        <v/>
      </c>
      <c r="X159" s="180" t="str">
        <f t="shared" si="58"/>
        <v/>
      </c>
      <c r="Y159" s="183"/>
      <c r="Z159" s="183"/>
      <c r="AA159" s="183"/>
    </row>
    <row r="160" spans="1:27" x14ac:dyDescent="0.25">
      <c r="A160" s="52">
        <v>126</v>
      </c>
      <c r="B160" s="50" t="str">
        <f t="shared" si="55"/>
        <v/>
      </c>
      <c r="C160" s="177"/>
      <c r="D160" s="190" t="str">
        <f t="shared" si="83"/>
        <v>OK</v>
      </c>
      <c r="E160" s="189" t="str">
        <f>IF(ISBLANK(C160),"",AVERAGE(C$35:C160))</f>
        <v/>
      </c>
      <c r="F160" s="185"/>
      <c r="G160" s="185"/>
      <c r="H160" s="185"/>
      <c r="I160" s="181">
        <f t="shared" ref="I160:L160" si="124">I159</f>
        <v>53.893722145136735</v>
      </c>
      <c r="J160" s="181">
        <f t="shared" si="124"/>
        <v>44.882748443098563</v>
      </c>
      <c r="K160" s="181">
        <f t="shared" si="124"/>
        <v>56.146465570646278</v>
      </c>
      <c r="L160" s="181">
        <f t="shared" si="124"/>
        <v>42.630005017589021</v>
      </c>
      <c r="M160" s="181">
        <f t="shared" si="113"/>
        <v>50</v>
      </c>
      <c r="N160" s="181">
        <f t="shared" si="113"/>
        <v>55</v>
      </c>
      <c r="O160" s="181">
        <f t="shared" si="113"/>
        <v>45</v>
      </c>
      <c r="P160" s="181">
        <f t="shared" si="113"/>
        <v>49.388235294117649</v>
      </c>
      <c r="Q160" s="188">
        <f t="shared" si="93"/>
        <v>0</v>
      </c>
      <c r="R160" s="180" t="str">
        <f t="shared" si="63"/>
        <v/>
      </c>
      <c r="S160" s="180" t="str">
        <f t="shared" si="64"/>
        <v/>
      </c>
      <c r="T160" s="180" t="str">
        <f t="shared" si="68"/>
        <v/>
      </c>
      <c r="U160" s="180" t="str">
        <f t="shared" si="69"/>
        <v/>
      </c>
      <c r="V160" s="180" t="str">
        <f t="shared" si="57"/>
        <v/>
      </c>
      <c r="W160" s="180" t="str">
        <f t="shared" si="54"/>
        <v/>
      </c>
      <c r="X160" s="180" t="str">
        <f t="shared" si="58"/>
        <v/>
      </c>
      <c r="Y160" s="183"/>
      <c r="Z160" s="183"/>
      <c r="AA160" s="183"/>
    </row>
    <row r="161" spans="1:27" x14ac:dyDescent="0.25">
      <c r="A161" s="52">
        <v>127</v>
      </c>
      <c r="B161" s="50" t="str">
        <f t="shared" si="55"/>
        <v/>
      </c>
      <c r="C161" s="177"/>
      <c r="D161" s="190" t="str">
        <f t="shared" si="83"/>
        <v>OK</v>
      </c>
      <c r="E161" s="189" t="str">
        <f>IF(ISBLANK(C161),"",AVERAGE(C$35:C161))</f>
        <v/>
      </c>
      <c r="F161" s="185"/>
      <c r="G161" s="185"/>
      <c r="H161" s="185"/>
      <c r="I161" s="181">
        <f t="shared" ref="I161:L161" si="125">I160</f>
        <v>53.893722145136735</v>
      </c>
      <c r="J161" s="181">
        <f t="shared" si="125"/>
        <v>44.882748443098563</v>
      </c>
      <c r="K161" s="181">
        <f t="shared" si="125"/>
        <v>56.146465570646278</v>
      </c>
      <c r="L161" s="181">
        <f t="shared" si="125"/>
        <v>42.630005017589021</v>
      </c>
      <c r="M161" s="181">
        <f t="shared" si="113"/>
        <v>50</v>
      </c>
      <c r="N161" s="181">
        <f t="shared" si="113"/>
        <v>55</v>
      </c>
      <c r="O161" s="181">
        <f t="shared" si="113"/>
        <v>45</v>
      </c>
      <c r="P161" s="181">
        <f t="shared" si="113"/>
        <v>49.388235294117649</v>
      </c>
      <c r="Q161" s="188">
        <f t="shared" si="93"/>
        <v>0</v>
      </c>
      <c r="R161" s="180" t="str">
        <f t="shared" si="63"/>
        <v/>
      </c>
      <c r="S161" s="180" t="str">
        <f t="shared" si="64"/>
        <v/>
      </c>
      <c r="T161" s="180" t="str">
        <f t="shared" si="68"/>
        <v/>
      </c>
      <c r="U161" s="180" t="str">
        <f t="shared" si="69"/>
        <v/>
      </c>
      <c r="V161" s="180" t="str">
        <f t="shared" si="57"/>
        <v/>
      </c>
      <c r="W161" s="180" t="str">
        <f t="shared" si="54"/>
        <v/>
      </c>
      <c r="X161" s="180" t="str">
        <f t="shared" si="58"/>
        <v/>
      </c>
      <c r="Y161" s="183"/>
      <c r="Z161" s="183"/>
      <c r="AA161" s="183"/>
    </row>
    <row r="162" spans="1:27" x14ac:dyDescent="0.25">
      <c r="A162" s="52">
        <v>128</v>
      </c>
      <c r="B162" s="50" t="str">
        <f t="shared" si="55"/>
        <v/>
      </c>
      <c r="C162" s="177"/>
      <c r="D162" s="190" t="str">
        <f t="shared" si="83"/>
        <v>OK</v>
      </c>
      <c r="E162" s="189" t="str">
        <f>IF(ISBLANK(C162),"",AVERAGE(C$35:C162))</f>
        <v/>
      </c>
      <c r="F162" s="185"/>
      <c r="G162" s="185"/>
      <c r="H162" s="185"/>
      <c r="I162" s="181">
        <f t="shared" ref="I162:L162" si="126">I161</f>
        <v>53.893722145136735</v>
      </c>
      <c r="J162" s="181">
        <f t="shared" si="126"/>
        <v>44.882748443098563</v>
      </c>
      <c r="K162" s="181">
        <f t="shared" si="126"/>
        <v>56.146465570646278</v>
      </c>
      <c r="L162" s="181">
        <f t="shared" si="126"/>
        <v>42.630005017589021</v>
      </c>
      <c r="M162" s="181">
        <f t="shared" si="113"/>
        <v>50</v>
      </c>
      <c r="N162" s="181">
        <f t="shared" si="113"/>
        <v>55</v>
      </c>
      <c r="O162" s="181">
        <f t="shared" si="113"/>
        <v>45</v>
      </c>
      <c r="P162" s="181">
        <f t="shared" si="113"/>
        <v>49.388235294117649</v>
      </c>
      <c r="Q162" s="188">
        <f t="shared" si="93"/>
        <v>0</v>
      </c>
      <c r="R162" s="180" t="str">
        <f t="shared" si="63"/>
        <v/>
      </c>
      <c r="S162" s="180" t="str">
        <f t="shared" si="64"/>
        <v/>
      </c>
      <c r="T162" s="180" t="str">
        <f t="shared" si="68"/>
        <v/>
      </c>
      <c r="U162" s="180" t="str">
        <f t="shared" si="69"/>
        <v/>
      </c>
      <c r="V162" s="180" t="str">
        <f t="shared" si="57"/>
        <v/>
      </c>
      <c r="W162" s="180" t="str">
        <f t="shared" si="54"/>
        <v/>
      </c>
      <c r="X162" s="180" t="str">
        <f t="shared" si="58"/>
        <v/>
      </c>
      <c r="Y162" s="183"/>
      <c r="Z162" s="183"/>
      <c r="AA162" s="183"/>
    </row>
    <row r="163" spans="1:27" x14ac:dyDescent="0.25">
      <c r="A163" s="52">
        <v>129</v>
      </c>
      <c r="B163" s="50" t="str">
        <f t="shared" si="55"/>
        <v/>
      </c>
      <c r="C163" s="177"/>
      <c r="D163" s="190" t="str">
        <f t="shared" si="83"/>
        <v>OK</v>
      </c>
      <c r="E163" s="189" t="str">
        <f>IF(ISBLANK(C163),"",AVERAGE(C$35:C163))</f>
        <v/>
      </c>
      <c r="F163" s="185"/>
      <c r="G163" s="185"/>
      <c r="H163" s="185"/>
      <c r="I163" s="181">
        <f t="shared" ref="I163:L163" si="127">I162</f>
        <v>53.893722145136735</v>
      </c>
      <c r="J163" s="181">
        <f t="shared" si="127"/>
        <v>44.882748443098563</v>
      </c>
      <c r="K163" s="181">
        <f t="shared" si="127"/>
        <v>56.146465570646278</v>
      </c>
      <c r="L163" s="181">
        <f t="shared" si="127"/>
        <v>42.630005017589021</v>
      </c>
      <c r="M163" s="181">
        <f t="shared" si="113"/>
        <v>50</v>
      </c>
      <c r="N163" s="181">
        <f t="shared" si="113"/>
        <v>55</v>
      </c>
      <c r="O163" s="181">
        <f t="shared" si="113"/>
        <v>45</v>
      </c>
      <c r="P163" s="181">
        <f t="shared" si="113"/>
        <v>49.388235294117649</v>
      </c>
      <c r="Q163" s="188">
        <f t="shared" si="93"/>
        <v>0</v>
      </c>
      <c r="R163" s="180" t="str">
        <f t="shared" si="63"/>
        <v/>
      </c>
      <c r="S163" s="180" t="str">
        <f t="shared" si="64"/>
        <v/>
      </c>
      <c r="T163" s="180" t="str">
        <f t="shared" si="68"/>
        <v/>
      </c>
      <c r="U163" s="180" t="str">
        <f t="shared" si="69"/>
        <v/>
      </c>
      <c r="V163" s="180" t="str">
        <f t="shared" si="57"/>
        <v/>
      </c>
      <c r="W163" s="180" t="str">
        <f t="shared" ref="W163:W226" si="128">IF(C163&gt;N163,IF(C163&lt;O163,6,""),"")</f>
        <v/>
      </c>
      <c r="X163" s="180" t="str">
        <f t="shared" si="58"/>
        <v/>
      </c>
      <c r="Y163" s="183"/>
      <c r="Z163" s="183"/>
      <c r="AA163" s="183"/>
    </row>
    <row r="164" spans="1:27" x14ac:dyDescent="0.25">
      <c r="A164" s="52">
        <v>130</v>
      </c>
      <c r="B164" s="50" t="str">
        <f t="shared" ref="B164:B227" si="129">IF(ISNUMBER(C164),A164,"")</f>
        <v/>
      </c>
      <c r="C164" s="177"/>
      <c r="D164" s="190" t="str">
        <f t="shared" si="83"/>
        <v>OK</v>
      </c>
      <c r="E164" s="189" t="str">
        <f>IF(ISBLANK(C164),"",AVERAGE(C$35:C164))</f>
        <v/>
      </c>
      <c r="F164" s="185"/>
      <c r="G164" s="185"/>
      <c r="H164" s="185"/>
      <c r="I164" s="181">
        <f t="shared" ref="I164:L164" si="130">I163</f>
        <v>53.893722145136735</v>
      </c>
      <c r="J164" s="181">
        <f t="shared" si="130"/>
        <v>44.882748443098563</v>
      </c>
      <c r="K164" s="181">
        <f t="shared" si="130"/>
        <v>56.146465570646278</v>
      </c>
      <c r="L164" s="181">
        <f t="shared" si="130"/>
        <v>42.630005017589021</v>
      </c>
      <c r="M164" s="181">
        <f t="shared" si="113"/>
        <v>50</v>
      </c>
      <c r="N164" s="181">
        <f t="shared" si="113"/>
        <v>55</v>
      </c>
      <c r="O164" s="181">
        <f t="shared" si="113"/>
        <v>45</v>
      </c>
      <c r="P164" s="181">
        <f t="shared" si="113"/>
        <v>49.388235294117649</v>
      </c>
      <c r="Q164" s="188">
        <f t="shared" si="93"/>
        <v>0</v>
      </c>
      <c r="R164" s="180" t="str">
        <f t="shared" si="63"/>
        <v/>
      </c>
      <c r="S164" s="180" t="str">
        <f t="shared" si="64"/>
        <v/>
      </c>
      <c r="T164" s="180" t="str">
        <f t="shared" si="68"/>
        <v/>
      </c>
      <c r="U164" s="180" t="str">
        <f t="shared" si="69"/>
        <v/>
      </c>
      <c r="V164" s="180" t="str">
        <f t="shared" ref="V164:V227" si="131">IF(ISNUMBER(C164),IF(ABS(C164-C163)&gt;4*$C$5,5,""),"")</f>
        <v/>
      </c>
      <c r="W164" s="180" t="str">
        <f t="shared" si="128"/>
        <v/>
      </c>
      <c r="X164" s="180" t="str">
        <f t="shared" ref="X164:X227" si="132">IF(AND(C164&gt;I163,C163&gt;I163),7,"")</f>
        <v/>
      </c>
      <c r="Y164" s="183"/>
      <c r="Z164" s="183"/>
      <c r="AA164" s="183"/>
    </row>
    <row r="165" spans="1:27" x14ac:dyDescent="0.25">
      <c r="A165" s="52">
        <v>131</v>
      </c>
      <c r="B165" s="50" t="str">
        <f t="shared" si="129"/>
        <v/>
      </c>
      <c r="C165" s="177"/>
      <c r="D165" s="190" t="str">
        <f t="shared" si="83"/>
        <v>OK</v>
      </c>
      <c r="E165" s="189" t="str">
        <f>IF(ISBLANK(C165),"",AVERAGE(C$35:C165))</f>
        <v/>
      </c>
      <c r="F165" s="185"/>
      <c r="G165" s="185"/>
      <c r="H165" s="185"/>
      <c r="I165" s="181">
        <f t="shared" ref="I165:P180" si="133">I164</f>
        <v>53.893722145136735</v>
      </c>
      <c r="J165" s="181">
        <f t="shared" si="133"/>
        <v>44.882748443098563</v>
      </c>
      <c r="K165" s="181">
        <f t="shared" si="133"/>
        <v>56.146465570646278</v>
      </c>
      <c r="L165" s="181">
        <f t="shared" si="133"/>
        <v>42.630005017589021</v>
      </c>
      <c r="M165" s="181">
        <f t="shared" si="133"/>
        <v>50</v>
      </c>
      <c r="N165" s="181">
        <f t="shared" si="133"/>
        <v>55</v>
      </c>
      <c r="O165" s="181">
        <f t="shared" si="133"/>
        <v>45</v>
      </c>
      <c r="P165" s="181">
        <f t="shared" si="133"/>
        <v>49.388235294117649</v>
      </c>
      <c r="Q165" s="188">
        <f t="shared" si="93"/>
        <v>0</v>
      </c>
      <c r="R165" s="180" t="str">
        <f t="shared" si="63"/>
        <v/>
      </c>
      <c r="S165" s="180" t="str">
        <f t="shared" si="64"/>
        <v/>
      </c>
      <c r="T165" s="180" t="str">
        <f t="shared" si="68"/>
        <v/>
      </c>
      <c r="U165" s="180" t="str">
        <f t="shared" si="69"/>
        <v/>
      </c>
      <c r="V165" s="180" t="str">
        <f t="shared" si="131"/>
        <v/>
      </c>
      <c r="W165" s="180" t="str">
        <f t="shared" si="128"/>
        <v/>
      </c>
      <c r="X165" s="180" t="str">
        <f t="shared" si="132"/>
        <v/>
      </c>
      <c r="Y165" s="183"/>
      <c r="Z165" s="183"/>
      <c r="AA165" s="183"/>
    </row>
    <row r="166" spans="1:27" x14ac:dyDescent="0.25">
      <c r="A166" s="52">
        <v>132</v>
      </c>
      <c r="B166" s="50" t="str">
        <f t="shared" si="129"/>
        <v/>
      </c>
      <c r="C166" s="177"/>
      <c r="D166" s="190" t="str">
        <f t="shared" si="83"/>
        <v>OK</v>
      </c>
      <c r="E166" s="189" t="str">
        <f>IF(ISBLANK(C166),"",AVERAGE(C$35:C166))</f>
        <v/>
      </c>
      <c r="F166" s="185"/>
      <c r="G166" s="185"/>
      <c r="H166" s="185"/>
      <c r="I166" s="181">
        <f t="shared" ref="I166:L166" si="134">I165</f>
        <v>53.893722145136735</v>
      </c>
      <c r="J166" s="181">
        <f t="shared" si="134"/>
        <v>44.882748443098563</v>
      </c>
      <c r="K166" s="181">
        <f t="shared" si="134"/>
        <v>56.146465570646278</v>
      </c>
      <c r="L166" s="181">
        <f t="shared" si="134"/>
        <v>42.630005017589021</v>
      </c>
      <c r="M166" s="181">
        <f t="shared" si="133"/>
        <v>50</v>
      </c>
      <c r="N166" s="181">
        <f t="shared" si="133"/>
        <v>55</v>
      </c>
      <c r="O166" s="181">
        <f t="shared" si="133"/>
        <v>45</v>
      </c>
      <c r="P166" s="181">
        <f t="shared" si="133"/>
        <v>49.388235294117649</v>
      </c>
      <c r="Q166" s="188">
        <f t="shared" si="93"/>
        <v>0</v>
      </c>
      <c r="R166" s="180" t="str">
        <f t="shared" si="63"/>
        <v/>
      </c>
      <c r="S166" s="180" t="str">
        <f t="shared" si="64"/>
        <v/>
      </c>
      <c r="T166" s="180" t="str">
        <f t="shared" si="68"/>
        <v/>
      </c>
      <c r="U166" s="180" t="str">
        <f t="shared" si="69"/>
        <v/>
      </c>
      <c r="V166" s="180" t="str">
        <f t="shared" si="131"/>
        <v/>
      </c>
      <c r="W166" s="180" t="str">
        <f t="shared" si="128"/>
        <v/>
      </c>
      <c r="X166" s="180" t="str">
        <f t="shared" si="132"/>
        <v/>
      </c>
      <c r="Y166" s="183"/>
      <c r="Z166" s="183"/>
      <c r="AA166" s="183"/>
    </row>
    <row r="167" spans="1:27" x14ac:dyDescent="0.25">
      <c r="A167" s="52">
        <v>133</v>
      </c>
      <c r="B167" s="50" t="str">
        <f t="shared" si="129"/>
        <v/>
      </c>
      <c r="C167" s="177"/>
      <c r="D167" s="190" t="str">
        <f t="shared" si="83"/>
        <v>OK</v>
      </c>
      <c r="E167" s="189" t="str">
        <f>IF(ISBLANK(C167),"",AVERAGE(C$35:C167))</f>
        <v/>
      </c>
      <c r="F167" s="185"/>
      <c r="G167" s="185"/>
      <c r="H167" s="185"/>
      <c r="I167" s="181">
        <f t="shared" ref="I167:L167" si="135">I166</f>
        <v>53.893722145136735</v>
      </c>
      <c r="J167" s="181">
        <f t="shared" si="135"/>
        <v>44.882748443098563</v>
      </c>
      <c r="K167" s="181">
        <f t="shared" si="135"/>
        <v>56.146465570646278</v>
      </c>
      <c r="L167" s="181">
        <f t="shared" si="135"/>
        <v>42.630005017589021</v>
      </c>
      <c r="M167" s="181">
        <f t="shared" si="133"/>
        <v>50</v>
      </c>
      <c r="N167" s="181">
        <f t="shared" si="133"/>
        <v>55</v>
      </c>
      <c r="O167" s="181">
        <f t="shared" si="133"/>
        <v>45</v>
      </c>
      <c r="P167" s="181">
        <f t="shared" si="133"/>
        <v>49.388235294117649</v>
      </c>
      <c r="Q167" s="188">
        <f t="shared" si="93"/>
        <v>0</v>
      </c>
      <c r="R167" s="180" t="str">
        <f t="shared" si="63"/>
        <v/>
      </c>
      <c r="S167" s="180" t="str">
        <f t="shared" si="64"/>
        <v/>
      </c>
      <c r="T167" s="180" t="str">
        <f t="shared" si="68"/>
        <v/>
      </c>
      <c r="U167" s="180" t="str">
        <f t="shared" si="69"/>
        <v/>
      </c>
      <c r="V167" s="180" t="str">
        <f t="shared" si="131"/>
        <v/>
      </c>
      <c r="W167" s="180" t="str">
        <f t="shared" si="128"/>
        <v/>
      </c>
      <c r="X167" s="180" t="str">
        <f t="shared" si="132"/>
        <v/>
      </c>
      <c r="Y167" s="183"/>
      <c r="Z167" s="183"/>
      <c r="AA167" s="183"/>
    </row>
    <row r="168" spans="1:27" x14ac:dyDescent="0.25">
      <c r="A168" s="52">
        <v>134</v>
      </c>
      <c r="B168" s="50" t="str">
        <f t="shared" si="129"/>
        <v/>
      </c>
      <c r="C168" s="177"/>
      <c r="D168" s="190" t="str">
        <f t="shared" si="83"/>
        <v>OK</v>
      </c>
      <c r="E168" s="189" t="str">
        <f>IF(ISBLANK(C168),"",AVERAGE(C$35:C168))</f>
        <v/>
      </c>
      <c r="F168" s="185"/>
      <c r="G168" s="185"/>
      <c r="H168" s="185"/>
      <c r="I168" s="181">
        <f t="shared" ref="I168:L168" si="136">I167</f>
        <v>53.893722145136735</v>
      </c>
      <c r="J168" s="181">
        <f t="shared" si="136"/>
        <v>44.882748443098563</v>
      </c>
      <c r="K168" s="181">
        <f t="shared" si="136"/>
        <v>56.146465570646278</v>
      </c>
      <c r="L168" s="181">
        <f t="shared" si="136"/>
        <v>42.630005017589021</v>
      </c>
      <c r="M168" s="181">
        <f t="shared" si="133"/>
        <v>50</v>
      </c>
      <c r="N168" s="181">
        <f t="shared" si="133"/>
        <v>55</v>
      </c>
      <c r="O168" s="181">
        <f t="shared" si="133"/>
        <v>45</v>
      </c>
      <c r="P168" s="181">
        <f t="shared" si="133"/>
        <v>49.388235294117649</v>
      </c>
      <c r="Q168" s="188">
        <f t="shared" si="93"/>
        <v>0</v>
      </c>
      <c r="R168" s="180" t="str">
        <f t="shared" ref="R168:R231" si="137">IF(AND(C168&gt;C167,C167&gt;C166,C166&gt;C165,C165&gt;C164,C164&gt;C163),1,"")</f>
        <v/>
      </c>
      <c r="S168" s="180" t="str">
        <f t="shared" ref="S168:S231" si="138">IF(AND(C168&lt;C167,C167&lt;C166,C166&lt;C165,C165&lt;C164,C164&lt;C163),2,"")</f>
        <v/>
      </c>
      <c r="T168" s="180" t="str">
        <f t="shared" si="68"/>
        <v/>
      </c>
      <c r="U168" s="180" t="str">
        <f t="shared" si="69"/>
        <v/>
      </c>
      <c r="V168" s="180" t="str">
        <f t="shared" si="131"/>
        <v/>
      </c>
      <c r="W168" s="180" t="str">
        <f t="shared" si="128"/>
        <v/>
      </c>
      <c r="X168" s="180" t="str">
        <f t="shared" si="132"/>
        <v/>
      </c>
      <c r="Y168" s="183"/>
      <c r="Z168" s="183"/>
      <c r="AA168" s="183"/>
    </row>
    <row r="169" spans="1:27" x14ac:dyDescent="0.25">
      <c r="A169" s="52">
        <v>135</v>
      </c>
      <c r="B169" s="50" t="str">
        <f t="shared" si="129"/>
        <v/>
      </c>
      <c r="C169" s="177"/>
      <c r="D169" s="190" t="str">
        <f t="shared" si="83"/>
        <v>OK</v>
      </c>
      <c r="E169" s="189" t="str">
        <f>IF(ISBLANK(C169),"",AVERAGE(C$35:C169))</f>
        <v/>
      </c>
      <c r="F169" s="185"/>
      <c r="G169" s="185"/>
      <c r="H169" s="185"/>
      <c r="I169" s="181">
        <f t="shared" ref="I169:L169" si="139">I168</f>
        <v>53.893722145136735</v>
      </c>
      <c r="J169" s="181">
        <f t="shared" si="139"/>
        <v>44.882748443098563</v>
      </c>
      <c r="K169" s="181">
        <f t="shared" si="139"/>
        <v>56.146465570646278</v>
      </c>
      <c r="L169" s="181">
        <f t="shared" si="139"/>
        <v>42.630005017589021</v>
      </c>
      <c r="M169" s="181">
        <f t="shared" si="133"/>
        <v>50</v>
      </c>
      <c r="N169" s="181">
        <f t="shared" si="133"/>
        <v>55</v>
      </c>
      <c r="O169" s="181">
        <f t="shared" si="133"/>
        <v>45</v>
      </c>
      <c r="P169" s="181">
        <f t="shared" si="133"/>
        <v>49.388235294117649</v>
      </c>
      <c r="Q169" s="188">
        <f t="shared" si="93"/>
        <v>0</v>
      </c>
      <c r="R169" s="180" t="str">
        <f t="shared" si="137"/>
        <v/>
      </c>
      <c r="S169" s="180" t="str">
        <f t="shared" si="138"/>
        <v/>
      </c>
      <c r="T169" s="180" t="str">
        <f t="shared" si="68"/>
        <v/>
      </c>
      <c r="U169" s="180" t="str">
        <f t="shared" si="69"/>
        <v/>
      </c>
      <c r="V169" s="180" t="str">
        <f t="shared" si="131"/>
        <v/>
      </c>
      <c r="W169" s="180" t="str">
        <f t="shared" si="128"/>
        <v/>
      </c>
      <c r="X169" s="180" t="str">
        <f t="shared" si="132"/>
        <v/>
      </c>
      <c r="Y169" s="183"/>
      <c r="Z169" s="183"/>
      <c r="AA169" s="183"/>
    </row>
    <row r="170" spans="1:27" x14ac:dyDescent="0.25">
      <c r="A170" s="52">
        <v>136</v>
      </c>
      <c r="B170" s="50" t="str">
        <f t="shared" si="129"/>
        <v/>
      </c>
      <c r="C170" s="177"/>
      <c r="D170" s="190" t="str">
        <f t="shared" si="83"/>
        <v>OK</v>
      </c>
      <c r="E170" s="189" t="str">
        <f>IF(ISBLANK(C170),"",AVERAGE(C$35:C170))</f>
        <v/>
      </c>
      <c r="F170" s="185"/>
      <c r="G170" s="185"/>
      <c r="H170" s="185"/>
      <c r="I170" s="181">
        <f t="shared" ref="I170:L170" si="140">I169</f>
        <v>53.893722145136735</v>
      </c>
      <c r="J170" s="181">
        <f t="shared" si="140"/>
        <v>44.882748443098563</v>
      </c>
      <c r="K170" s="181">
        <f t="shared" si="140"/>
        <v>56.146465570646278</v>
      </c>
      <c r="L170" s="181">
        <f t="shared" si="140"/>
        <v>42.630005017589021</v>
      </c>
      <c r="M170" s="181">
        <f t="shared" si="133"/>
        <v>50</v>
      </c>
      <c r="N170" s="181">
        <f t="shared" si="133"/>
        <v>55</v>
      </c>
      <c r="O170" s="181">
        <f t="shared" si="133"/>
        <v>45</v>
      </c>
      <c r="P170" s="181">
        <f t="shared" si="133"/>
        <v>49.388235294117649</v>
      </c>
      <c r="Q170" s="188">
        <f t="shared" si="93"/>
        <v>0</v>
      </c>
      <c r="R170" s="180" t="str">
        <f t="shared" si="137"/>
        <v/>
      </c>
      <c r="S170" s="180" t="str">
        <f t="shared" si="138"/>
        <v/>
      </c>
      <c r="T170" s="180" t="str">
        <f t="shared" si="68"/>
        <v/>
      </c>
      <c r="U170" s="180" t="str">
        <f t="shared" si="69"/>
        <v/>
      </c>
      <c r="V170" s="180" t="str">
        <f t="shared" si="131"/>
        <v/>
      </c>
      <c r="W170" s="180" t="str">
        <f t="shared" si="128"/>
        <v/>
      </c>
      <c r="X170" s="180" t="str">
        <f t="shared" si="132"/>
        <v/>
      </c>
      <c r="Y170" s="183"/>
      <c r="Z170" s="183"/>
      <c r="AA170" s="183"/>
    </row>
    <row r="171" spans="1:27" x14ac:dyDescent="0.25">
      <c r="A171" s="52">
        <v>137</v>
      </c>
      <c r="B171" s="50" t="str">
        <f t="shared" si="129"/>
        <v/>
      </c>
      <c r="C171" s="177"/>
      <c r="D171" s="190" t="str">
        <f t="shared" si="83"/>
        <v>OK</v>
      </c>
      <c r="E171" s="189" t="str">
        <f>IF(ISBLANK(C171),"",AVERAGE(C$35:C171))</f>
        <v/>
      </c>
      <c r="F171" s="185"/>
      <c r="G171" s="185"/>
      <c r="H171" s="185"/>
      <c r="I171" s="181">
        <f t="shared" ref="I171:L171" si="141">I170</f>
        <v>53.893722145136735</v>
      </c>
      <c r="J171" s="181">
        <f t="shared" si="141"/>
        <v>44.882748443098563</v>
      </c>
      <c r="K171" s="181">
        <f t="shared" si="141"/>
        <v>56.146465570646278</v>
      </c>
      <c r="L171" s="181">
        <f t="shared" si="141"/>
        <v>42.630005017589021</v>
      </c>
      <c r="M171" s="181">
        <f t="shared" si="133"/>
        <v>50</v>
      </c>
      <c r="N171" s="181">
        <f t="shared" si="133"/>
        <v>55</v>
      </c>
      <c r="O171" s="181">
        <f t="shared" si="133"/>
        <v>45</v>
      </c>
      <c r="P171" s="181">
        <f t="shared" si="133"/>
        <v>49.388235294117649</v>
      </c>
      <c r="Q171" s="188">
        <f t="shared" si="93"/>
        <v>0</v>
      </c>
      <c r="R171" s="180" t="str">
        <f t="shared" si="137"/>
        <v/>
      </c>
      <c r="S171" s="180" t="str">
        <f t="shared" si="138"/>
        <v/>
      </c>
      <c r="T171" s="180" t="str">
        <f t="shared" ref="T171:T234" si="142">IF(AND(C171&gt;$C$2,C170&gt;$C$2,C169&gt;$C$2,C168&gt;$C$2,C167&gt;$C$2,C166&gt;$C$2,C165&gt;$C$2,C164&gt;$C$2,C163&gt;$C$2),3,"")</f>
        <v/>
      </c>
      <c r="U171" s="180" t="str">
        <f t="shared" ref="U171:U234" si="143">IF(AND(I171&lt;$C$2,I170&lt;$C$2,I169&lt;$C$2,I168&lt;$C$2,I167&lt;$C$2,I166&lt;$C$2,I165&lt;$C$2,I164&lt;$C$2,I163&lt;$C$2),4,"")</f>
        <v/>
      </c>
      <c r="V171" s="180" t="str">
        <f t="shared" si="131"/>
        <v/>
      </c>
      <c r="W171" s="180" t="str">
        <f t="shared" si="128"/>
        <v/>
      </c>
      <c r="X171" s="180" t="str">
        <f t="shared" si="132"/>
        <v/>
      </c>
      <c r="Y171" s="183"/>
      <c r="Z171" s="183"/>
      <c r="AA171" s="183"/>
    </row>
    <row r="172" spans="1:27" x14ac:dyDescent="0.25">
      <c r="A172" s="52">
        <v>138</v>
      </c>
      <c r="B172" s="50" t="str">
        <f t="shared" si="129"/>
        <v/>
      </c>
      <c r="C172" s="177"/>
      <c r="D172" s="190" t="str">
        <f t="shared" si="83"/>
        <v>OK</v>
      </c>
      <c r="E172" s="189" t="str">
        <f>IF(ISBLANK(C172),"",AVERAGE(C$35:C172))</f>
        <v/>
      </c>
      <c r="F172" s="185"/>
      <c r="G172" s="185"/>
      <c r="H172" s="185"/>
      <c r="I172" s="181">
        <f t="shared" ref="I172:L172" si="144">I171</f>
        <v>53.893722145136735</v>
      </c>
      <c r="J172" s="181">
        <f t="shared" si="144"/>
        <v>44.882748443098563</v>
      </c>
      <c r="K172" s="181">
        <f t="shared" si="144"/>
        <v>56.146465570646278</v>
      </c>
      <c r="L172" s="181">
        <f t="shared" si="144"/>
        <v>42.630005017589021</v>
      </c>
      <c r="M172" s="181">
        <f t="shared" si="133"/>
        <v>50</v>
      </c>
      <c r="N172" s="181">
        <f t="shared" si="133"/>
        <v>55</v>
      </c>
      <c r="O172" s="181">
        <f t="shared" si="133"/>
        <v>45</v>
      </c>
      <c r="P172" s="181">
        <f t="shared" si="133"/>
        <v>49.388235294117649</v>
      </c>
      <c r="Q172" s="188">
        <f t="shared" si="93"/>
        <v>0</v>
      </c>
      <c r="R172" s="180" t="str">
        <f t="shared" si="137"/>
        <v/>
      </c>
      <c r="S172" s="180" t="str">
        <f t="shared" si="138"/>
        <v/>
      </c>
      <c r="T172" s="180" t="str">
        <f t="shared" si="142"/>
        <v/>
      </c>
      <c r="U172" s="180" t="str">
        <f t="shared" si="143"/>
        <v/>
      </c>
      <c r="V172" s="180" t="str">
        <f t="shared" si="131"/>
        <v/>
      </c>
      <c r="W172" s="180" t="str">
        <f t="shared" si="128"/>
        <v/>
      </c>
      <c r="X172" s="180" t="str">
        <f t="shared" si="132"/>
        <v/>
      </c>
      <c r="Y172" s="183"/>
      <c r="Z172" s="183"/>
      <c r="AA172" s="183"/>
    </row>
    <row r="173" spans="1:27" x14ac:dyDescent="0.25">
      <c r="A173" s="52">
        <v>139</v>
      </c>
      <c r="B173" s="50" t="str">
        <f t="shared" si="129"/>
        <v/>
      </c>
      <c r="C173" s="177"/>
      <c r="D173" s="190" t="str">
        <f t="shared" si="83"/>
        <v>OK</v>
      </c>
      <c r="E173" s="189" t="str">
        <f>IF(ISBLANK(C173),"",AVERAGE(C$35:C173))</f>
        <v/>
      </c>
      <c r="F173" s="185"/>
      <c r="G173" s="185"/>
      <c r="H173" s="185"/>
      <c r="I173" s="181">
        <f t="shared" ref="I173:L173" si="145">I172</f>
        <v>53.893722145136735</v>
      </c>
      <c r="J173" s="181">
        <f t="shared" si="145"/>
        <v>44.882748443098563</v>
      </c>
      <c r="K173" s="181">
        <f t="shared" si="145"/>
        <v>56.146465570646278</v>
      </c>
      <c r="L173" s="181">
        <f t="shared" si="145"/>
        <v>42.630005017589021</v>
      </c>
      <c r="M173" s="181">
        <f t="shared" si="133"/>
        <v>50</v>
      </c>
      <c r="N173" s="181">
        <f t="shared" si="133"/>
        <v>55</v>
      </c>
      <c r="O173" s="181">
        <f t="shared" si="133"/>
        <v>45</v>
      </c>
      <c r="P173" s="181">
        <f t="shared" si="133"/>
        <v>49.388235294117649</v>
      </c>
      <c r="Q173" s="188">
        <f t="shared" si="93"/>
        <v>0</v>
      </c>
      <c r="R173" s="180" t="str">
        <f t="shared" si="137"/>
        <v/>
      </c>
      <c r="S173" s="180" t="str">
        <f t="shared" si="138"/>
        <v/>
      </c>
      <c r="T173" s="180" t="str">
        <f t="shared" si="142"/>
        <v/>
      </c>
      <c r="U173" s="180" t="str">
        <f t="shared" si="143"/>
        <v/>
      </c>
      <c r="V173" s="180" t="str">
        <f t="shared" si="131"/>
        <v/>
      </c>
      <c r="W173" s="180" t="str">
        <f t="shared" si="128"/>
        <v/>
      </c>
      <c r="X173" s="180" t="str">
        <f t="shared" si="132"/>
        <v/>
      </c>
      <c r="Y173" s="183"/>
      <c r="Z173" s="183"/>
      <c r="AA173" s="183"/>
    </row>
    <row r="174" spans="1:27" x14ac:dyDescent="0.25">
      <c r="A174" s="52">
        <v>140</v>
      </c>
      <c r="B174" s="50" t="str">
        <f t="shared" si="129"/>
        <v/>
      </c>
      <c r="C174" s="177"/>
      <c r="D174" s="190" t="str">
        <f t="shared" si="83"/>
        <v>OK</v>
      </c>
      <c r="E174" s="189" t="str">
        <f>IF(ISBLANK(C174),"",AVERAGE(C$35:C174))</f>
        <v/>
      </c>
      <c r="F174" s="185"/>
      <c r="G174" s="185"/>
      <c r="H174" s="185"/>
      <c r="I174" s="181">
        <f t="shared" ref="I174:L174" si="146">I173</f>
        <v>53.893722145136735</v>
      </c>
      <c r="J174" s="181">
        <f t="shared" si="146"/>
        <v>44.882748443098563</v>
      </c>
      <c r="K174" s="181">
        <f t="shared" si="146"/>
        <v>56.146465570646278</v>
      </c>
      <c r="L174" s="181">
        <f t="shared" si="146"/>
        <v>42.630005017589021</v>
      </c>
      <c r="M174" s="181">
        <f t="shared" si="133"/>
        <v>50</v>
      </c>
      <c r="N174" s="181">
        <f t="shared" si="133"/>
        <v>55</v>
      </c>
      <c r="O174" s="181">
        <f t="shared" si="133"/>
        <v>45</v>
      </c>
      <c r="P174" s="181">
        <f t="shared" si="133"/>
        <v>49.388235294117649</v>
      </c>
      <c r="Q174" s="188">
        <f t="shared" si="93"/>
        <v>0</v>
      </c>
      <c r="R174" s="180" t="str">
        <f t="shared" si="137"/>
        <v/>
      </c>
      <c r="S174" s="180" t="str">
        <f t="shared" si="138"/>
        <v/>
      </c>
      <c r="T174" s="180" t="str">
        <f t="shared" si="142"/>
        <v/>
      </c>
      <c r="U174" s="180" t="str">
        <f t="shared" si="143"/>
        <v/>
      </c>
      <c r="V174" s="180" t="str">
        <f t="shared" si="131"/>
        <v/>
      </c>
      <c r="W174" s="180" t="str">
        <f t="shared" si="128"/>
        <v/>
      </c>
      <c r="X174" s="180" t="str">
        <f t="shared" si="132"/>
        <v/>
      </c>
      <c r="Y174" s="183"/>
      <c r="Z174" s="183"/>
      <c r="AA174" s="183"/>
    </row>
    <row r="175" spans="1:27" x14ac:dyDescent="0.25">
      <c r="A175" s="52">
        <v>141</v>
      </c>
      <c r="B175" s="50" t="str">
        <f t="shared" si="129"/>
        <v/>
      </c>
      <c r="C175" s="177"/>
      <c r="D175" s="190" t="str">
        <f t="shared" si="83"/>
        <v>OK</v>
      </c>
      <c r="E175" s="189" t="str">
        <f>IF(ISBLANK(C175),"",AVERAGE(C$35:C175))</f>
        <v/>
      </c>
      <c r="F175" s="185"/>
      <c r="G175" s="185"/>
      <c r="H175" s="185"/>
      <c r="I175" s="181">
        <f t="shared" ref="I175:L175" si="147">I174</f>
        <v>53.893722145136735</v>
      </c>
      <c r="J175" s="181">
        <f t="shared" si="147"/>
        <v>44.882748443098563</v>
      </c>
      <c r="K175" s="181">
        <f t="shared" si="147"/>
        <v>56.146465570646278</v>
      </c>
      <c r="L175" s="181">
        <f t="shared" si="147"/>
        <v>42.630005017589021</v>
      </c>
      <c r="M175" s="181">
        <f t="shared" si="133"/>
        <v>50</v>
      </c>
      <c r="N175" s="181">
        <f t="shared" si="133"/>
        <v>55</v>
      </c>
      <c r="O175" s="181">
        <f t="shared" si="133"/>
        <v>45</v>
      </c>
      <c r="P175" s="181">
        <f t="shared" si="133"/>
        <v>49.388235294117649</v>
      </c>
      <c r="Q175" s="188">
        <f t="shared" si="93"/>
        <v>0</v>
      </c>
      <c r="R175" s="180" t="str">
        <f t="shared" si="137"/>
        <v/>
      </c>
      <c r="S175" s="180" t="str">
        <f t="shared" si="138"/>
        <v/>
      </c>
      <c r="T175" s="180" t="str">
        <f t="shared" si="142"/>
        <v/>
      </c>
      <c r="U175" s="180" t="str">
        <f t="shared" si="143"/>
        <v/>
      </c>
      <c r="V175" s="180" t="str">
        <f t="shared" si="131"/>
        <v/>
      </c>
      <c r="W175" s="180" t="str">
        <f t="shared" si="128"/>
        <v/>
      </c>
      <c r="X175" s="180" t="str">
        <f t="shared" si="132"/>
        <v/>
      </c>
      <c r="Y175" s="183"/>
      <c r="Z175" s="183"/>
      <c r="AA175" s="183"/>
    </row>
    <row r="176" spans="1:27" x14ac:dyDescent="0.25">
      <c r="A176" s="52">
        <v>142</v>
      </c>
      <c r="B176" s="50" t="str">
        <f t="shared" si="129"/>
        <v/>
      </c>
      <c r="C176" s="177"/>
      <c r="D176" s="190" t="str">
        <f t="shared" si="83"/>
        <v>OK</v>
      </c>
      <c r="E176" s="189" t="str">
        <f>IF(ISBLANK(C176),"",AVERAGE(C$35:C176))</f>
        <v/>
      </c>
      <c r="F176" s="185"/>
      <c r="G176" s="185"/>
      <c r="H176" s="185"/>
      <c r="I176" s="181">
        <f t="shared" ref="I176:L176" si="148">I175</f>
        <v>53.893722145136735</v>
      </c>
      <c r="J176" s="181">
        <f t="shared" si="148"/>
        <v>44.882748443098563</v>
      </c>
      <c r="K176" s="181">
        <f t="shared" si="148"/>
        <v>56.146465570646278</v>
      </c>
      <c r="L176" s="181">
        <f t="shared" si="148"/>
        <v>42.630005017589021</v>
      </c>
      <c r="M176" s="181">
        <f t="shared" si="133"/>
        <v>50</v>
      </c>
      <c r="N176" s="181">
        <f t="shared" si="133"/>
        <v>55</v>
      </c>
      <c r="O176" s="181">
        <f t="shared" si="133"/>
        <v>45</v>
      </c>
      <c r="P176" s="181">
        <f t="shared" si="133"/>
        <v>49.388235294117649</v>
      </c>
      <c r="Q176" s="188">
        <f t="shared" si="93"/>
        <v>0</v>
      </c>
      <c r="R176" s="180" t="str">
        <f t="shared" si="137"/>
        <v/>
      </c>
      <c r="S176" s="180" t="str">
        <f t="shared" si="138"/>
        <v/>
      </c>
      <c r="T176" s="180" t="str">
        <f t="shared" si="142"/>
        <v/>
      </c>
      <c r="U176" s="180" t="str">
        <f t="shared" si="143"/>
        <v/>
      </c>
      <c r="V176" s="180" t="str">
        <f t="shared" si="131"/>
        <v/>
      </c>
      <c r="W176" s="180" t="str">
        <f t="shared" si="128"/>
        <v/>
      </c>
      <c r="X176" s="180" t="str">
        <f t="shared" si="132"/>
        <v/>
      </c>
      <c r="Y176" s="183"/>
      <c r="Z176" s="183"/>
      <c r="AA176" s="183"/>
    </row>
    <row r="177" spans="1:27" x14ac:dyDescent="0.25">
      <c r="A177" s="52">
        <v>143</v>
      </c>
      <c r="B177" s="50" t="str">
        <f t="shared" si="129"/>
        <v/>
      </c>
      <c r="C177" s="177"/>
      <c r="D177" s="190" t="str">
        <f t="shared" si="83"/>
        <v>OK</v>
      </c>
      <c r="E177" s="189" t="str">
        <f>IF(ISBLANK(C177),"",AVERAGE(C$35:C177))</f>
        <v/>
      </c>
      <c r="F177" s="185"/>
      <c r="G177" s="185"/>
      <c r="H177" s="185"/>
      <c r="I177" s="181">
        <f t="shared" ref="I177:L177" si="149">I176</f>
        <v>53.893722145136735</v>
      </c>
      <c r="J177" s="181">
        <f t="shared" si="149"/>
        <v>44.882748443098563</v>
      </c>
      <c r="K177" s="181">
        <f t="shared" si="149"/>
        <v>56.146465570646278</v>
      </c>
      <c r="L177" s="181">
        <f t="shared" si="149"/>
        <v>42.630005017589021</v>
      </c>
      <c r="M177" s="181">
        <f t="shared" si="133"/>
        <v>50</v>
      </c>
      <c r="N177" s="181">
        <f t="shared" si="133"/>
        <v>55</v>
      </c>
      <c r="O177" s="181">
        <f t="shared" si="133"/>
        <v>45</v>
      </c>
      <c r="P177" s="181">
        <f t="shared" si="133"/>
        <v>49.388235294117649</v>
      </c>
      <c r="Q177" s="188">
        <f t="shared" si="93"/>
        <v>0</v>
      </c>
      <c r="R177" s="180" t="str">
        <f t="shared" si="137"/>
        <v/>
      </c>
      <c r="S177" s="180" t="str">
        <f t="shared" si="138"/>
        <v/>
      </c>
      <c r="T177" s="180" t="str">
        <f t="shared" si="142"/>
        <v/>
      </c>
      <c r="U177" s="180" t="str">
        <f t="shared" si="143"/>
        <v/>
      </c>
      <c r="V177" s="180" t="str">
        <f t="shared" si="131"/>
        <v/>
      </c>
      <c r="W177" s="180" t="str">
        <f t="shared" si="128"/>
        <v/>
      </c>
      <c r="X177" s="180" t="str">
        <f t="shared" si="132"/>
        <v/>
      </c>
      <c r="Y177" s="183"/>
      <c r="Z177" s="183"/>
      <c r="AA177" s="183"/>
    </row>
    <row r="178" spans="1:27" x14ac:dyDescent="0.25">
      <c r="A178" s="52">
        <v>144</v>
      </c>
      <c r="B178" s="50" t="str">
        <f t="shared" si="129"/>
        <v/>
      </c>
      <c r="C178" s="177"/>
      <c r="D178" s="190" t="str">
        <f t="shared" si="83"/>
        <v>OK</v>
      </c>
      <c r="E178" s="189" t="str">
        <f>IF(ISBLANK(C178),"",AVERAGE(C$35:C178))</f>
        <v/>
      </c>
      <c r="F178" s="185"/>
      <c r="G178" s="185"/>
      <c r="H178" s="185"/>
      <c r="I178" s="181">
        <f t="shared" ref="I178:L178" si="150">I177</f>
        <v>53.893722145136735</v>
      </c>
      <c r="J178" s="181">
        <f t="shared" si="150"/>
        <v>44.882748443098563</v>
      </c>
      <c r="K178" s="181">
        <f t="shared" si="150"/>
        <v>56.146465570646278</v>
      </c>
      <c r="L178" s="181">
        <f t="shared" si="150"/>
        <v>42.630005017589021</v>
      </c>
      <c r="M178" s="181">
        <f t="shared" si="133"/>
        <v>50</v>
      </c>
      <c r="N178" s="181">
        <f t="shared" si="133"/>
        <v>55</v>
      </c>
      <c r="O178" s="181">
        <f t="shared" si="133"/>
        <v>45</v>
      </c>
      <c r="P178" s="181">
        <f t="shared" si="133"/>
        <v>49.388235294117649</v>
      </c>
      <c r="Q178" s="188">
        <f t="shared" si="93"/>
        <v>0</v>
      </c>
      <c r="R178" s="180" t="str">
        <f t="shared" si="137"/>
        <v/>
      </c>
      <c r="S178" s="180" t="str">
        <f t="shared" si="138"/>
        <v/>
      </c>
      <c r="T178" s="180" t="str">
        <f t="shared" si="142"/>
        <v/>
      </c>
      <c r="U178" s="180" t="str">
        <f t="shared" si="143"/>
        <v/>
      </c>
      <c r="V178" s="180" t="str">
        <f t="shared" si="131"/>
        <v/>
      </c>
      <c r="W178" s="180" t="str">
        <f t="shared" si="128"/>
        <v/>
      </c>
      <c r="X178" s="180" t="str">
        <f t="shared" si="132"/>
        <v/>
      </c>
      <c r="Y178" s="183"/>
      <c r="Z178" s="183"/>
      <c r="AA178" s="183"/>
    </row>
    <row r="179" spans="1:27" x14ac:dyDescent="0.25">
      <c r="A179" s="52">
        <v>145</v>
      </c>
      <c r="B179" s="50" t="str">
        <f t="shared" si="129"/>
        <v/>
      </c>
      <c r="C179" s="177"/>
      <c r="D179" s="190" t="str">
        <f t="shared" si="83"/>
        <v>OK</v>
      </c>
      <c r="E179" s="189" t="str">
        <f>IF(ISBLANK(C179),"",AVERAGE(C$35:C179))</f>
        <v/>
      </c>
      <c r="F179" s="185"/>
      <c r="G179" s="185"/>
      <c r="H179" s="185"/>
      <c r="I179" s="181">
        <f t="shared" ref="I179:L179" si="151">I178</f>
        <v>53.893722145136735</v>
      </c>
      <c r="J179" s="181">
        <f t="shared" si="151"/>
        <v>44.882748443098563</v>
      </c>
      <c r="K179" s="181">
        <f t="shared" si="151"/>
        <v>56.146465570646278</v>
      </c>
      <c r="L179" s="181">
        <f t="shared" si="151"/>
        <v>42.630005017589021</v>
      </c>
      <c r="M179" s="181">
        <f t="shared" si="133"/>
        <v>50</v>
      </c>
      <c r="N179" s="181">
        <f t="shared" si="133"/>
        <v>55</v>
      </c>
      <c r="O179" s="181">
        <f t="shared" si="133"/>
        <v>45</v>
      </c>
      <c r="P179" s="181">
        <f t="shared" si="133"/>
        <v>49.388235294117649</v>
      </c>
      <c r="Q179" s="188">
        <f t="shared" si="93"/>
        <v>0</v>
      </c>
      <c r="R179" s="180" t="str">
        <f t="shared" si="137"/>
        <v/>
      </c>
      <c r="S179" s="180" t="str">
        <f t="shared" si="138"/>
        <v/>
      </c>
      <c r="T179" s="180" t="str">
        <f t="shared" si="142"/>
        <v/>
      </c>
      <c r="U179" s="180" t="str">
        <f t="shared" si="143"/>
        <v/>
      </c>
      <c r="V179" s="180" t="str">
        <f t="shared" si="131"/>
        <v/>
      </c>
      <c r="W179" s="180" t="str">
        <f t="shared" si="128"/>
        <v/>
      </c>
      <c r="X179" s="180" t="str">
        <f t="shared" si="132"/>
        <v/>
      </c>
      <c r="Y179" s="183"/>
      <c r="Z179" s="183"/>
      <c r="AA179" s="183"/>
    </row>
    <row r="180" spans="1:27" x14ac:dyDescent="0.25">
      <c r="A180" s="52">
        <v>146</v>
      </c>
      <c r="B180" s="50" t="str">
        <f t="shared" si="129"/>
        <v/>
      </c>
      <c r="C180" s="177"/>
      <c r="D180" s="190" t="str">
        <f t="shared" si="83"/>
        <v>OK</v>
      </c>
      <c r="E180" s="189" t="str">
        <f>IF(ISBLANK(C180),"",AVERAGE(C$35:C180))</f>
        <v/>
      </c>
      <c r="F180" s="185"/>
      <c r="G180" s="185"/>
      <c r="H180" s="185"/>
      <c r="I180" s="181">
        <f t="shared" ref="I180:L180" si="152">I179</f>
        <v>53.893722145136735</v>
      </c>
      <c r="J180" s="181">
        <f t="shared" si="152"/>
        <v>44.882748443098563</v>
      </c>
      <c r="K180" s="181">
        <f t="shared" si="152"/>
        <v>56.146465570646278</v>
      </c>
      <c r="L180" s="181">
        <f t="shared" si="152"/>
        <v>42.630005017589021</v>
      </c>
      <c r="M180" s="181">
        <f t="shared" si="133"/>
        <v>50</v>
      </c>
      <c r="N180" s="181">
        <f t="shared" si="133"/>
        <v>55</v>
      </c>
      <c r="O180" s="181">
        <f t="shared" si="133"/>
        <v>45</v>
      </c>
      <c r="P180" s="181">
        <f t="shared" si="133"/>
        <v>49.388235294117649</v>
      </c>
      <c r="Q180" s="188">
        <f t="shared" si="93"/>
        <v>0</v>
      </c>
      <c r="R180" s="180" t="str">
        <f t="shared" si="137"/>
        <v/>
      </c>
      <c r="S180" s="180" t="str">
        <f t="shared" si="138"/>
        <v/>
      </c>
      <c r="T180" s="180" t="str">
        <f t="shared" si="142"/>
        <v/>
      </c>
      <c r="U180" s="180" t="str">
        <f t="shared" si="143"/>
        <v/>
      </c>
      <c r="V180" s="180" t="str">
        <f t="shared" si="131"/>
        <v/>
      </c>
      <c r="W180" s="180" t="str">
        <f t="shared" si="128"/>
        <v/>
      </c>
      <c r="X180" s="180" t="str">
        <f t="shared" si="132"/>
        <v/>
      </c>
      <c r="Y180" s="183"/>
      <c r="Z180" s="183"/>
      <c r="AA180" s="183"/>
    </row>
    <row r="181" spans="1:27" x14ac:dyDescent="0.25">
      <c r="A181" s="52">
        <v>147</v>
      </c>
      <c r="B181" s="50" t="str">
        <f t="shared" si="129"/>
        <v/>
      </c>
      <c r="C181" s="177"/>
      <c r="D181" s="190" t="str">
        <f t="shared" si="83"/>
        <v>OK</v>
      </c>
      <c r="E181" s="189" t="str">
        <f>IF(ISBLANK(C181),"",AVERAGE(C$35:C181))</f>
        <v/>
      </c>
      <c r="F181" s="185"/>
      <c r="G181" s="185"/>
      <c r="H181" s="185"/>
      <c r="I181" s="181">
        <f t="shared" ref="I181:P196" si="153">I180</f>
        <v>53.893722145136735</v>
      </c>
      <c r="J181" s="181">
        <f t="shared" si="153"/>
        <v>44.882748443098563</v>
      </c>
      <c r="K181" s="181">
        <f t="shared" si="153"/>
        <v>56.146465570646278</v>
      </c>
      <c r="L181" s="181">
        <f t="shared" si="153"/>
        <v>42.630005017589021</v>
      </c>
      <c r="M181" s="181">
        <f t="shared" si="153"/>
        <v>50</v>
      </c>
      <c r="N181" s="181">
        <f t="shared" si="153"/>
        <v>55</v>
      </c>
      <c r="O181" s="181">
        <f t="shared" si="153"/>
        <v>45</v>
      </c>
      <c r="P181" s="181">
        <f t="shared" si="153"/>
        <v>49.388235294117649</v>
      </c>
      <c r="Q181" s="188">
        <f t="shared" si="93"/>
        <v>0</v>
      </c>
      <c r="R181" s="180" t="str">
        <f t="shared" si="137"/>
        <v/>
      </c>
      <c r="S181" s="180" t="str">
        <f t="shared" si="138"/>
        <v/>
      </c>
      <c r="T181" s="180" t="str">
        <f t="shared" si="142"/>
        <v/>
      </c>
      <c r="U181" s="180" t="str">
        <f t="shared" si="143"/>
        <v/>
      </c>
      <c r="V181" s="180" t="str">
        <f t="shared" si="131"/>
        <v/>
      </c>
      <c r="W181" s="180" t="str">
        <f t="shared" si="128"/>
        <v/>
      </c>
      <c r="X181" s="180" t="str">
        <f t="shared" si="132"/>
        <v/>
      </c>
      <c r="Y181" s="183"/>
      <c r="Z181" s="183"/>
      <c r="AA181" s="183"/>
    </row>
    <row r="182" spans="1:27" x14ac:dyDescent="0.25">
      <c r="A182" s="52">
        <v>148</v>
      </c>
      <c r="B182" s="50" t="str">
        <f t="shared" si="129"/>
        <v/>
      </c>
      <c r="C182" s="177"/>
      <c r="D182" s="190" t="str">
        <f t="shared" si="83"/>
        <v>OK</v>
      </c>
      <c r="E182" s="189" t="str">
        <f>IF(ISBLANK(C182),"",AVERAGE(C$35:C182))</f>
        <v/>
      </c>
      <c r="F182" s="185"/>
      <c r="G182" s="185"/>
      <c r="H182" s="185"/>
      <c r="I182" s="181">
        <f t="shared" ref="I182:L182" si="154">I181</f>
        <v>53.893722145136735</v>
      </c>
      <c r="J182" s="181">
        <f t="shared" si="154"/>
        <v>44.882748443098563</v>
      </c>
      <c r="K182" s="181">
        <f t="shared" si="154"/>
        <v>56.146465570646278</v>
      </c>
      <c r="L182" s="181">
        <f t="shared" si="154"/>
        <v>42.630005017589021</v>
      </c>
      <c r="M182" s="181">
        <f t="shared" si="153"/>
        <v>50</v>
      </c>
      <c r="N182" s="181">
        <f t="shared" si="153"/>
        <v>55</v>
      </c>
      <c r="O182" s="181">
        <f t="shared" si="153"/>
        <v>45</v>
      </c>
      <c r="P182" s="181">
        <f t="shared" si="153"/>
        <v>49.388235294117649</v>
      </c>
      <c r="Q182" s="188">
        <f t="shared" si="93"/>
        <v>0</v>
      </c>
      <c r="R182" s="180" t="str">
        <f t="shared" si="137"/>
        <v/>
      </c>
      <c r="S182" s="180" t="str">
        <f t="shared" si="138"/>
        <v/>
      </c>
      <c r="T182" s="180" t="str">
        <f t="shared" si="142"/>
        <v/>
      </c>
      <c r="U182" s="180" t="str">
        <f t="shared" si="143"/>
        <v/>
      </c>
      <c r="V182" s="180" t="str">
        <f t="shared" si="131"/>
        <v/>
      </c>
      <c r="W182" s="180" t="str">
        <f t="shared" si="128"/>
        <v/>
      </c>
      <c r="X182" s="180" t="str">
        <f t="shared" si="132"/>
        <v/>
      </c>
      <c r="Y182" s="183"/>
      <c r="Z182" s="183"/>
      <c r="AA182" s="183"/>
    </row>
    <row r="183" spans="1:27" x14ac:dyDescent="0.25">
      <c r="A183" s="52">
        <v>149</v>
      </c>
      <c r="B183" s="50" t="str">
        <f t="shared" si="129"/>
        <v/>
      </c>
      <c r="C183" s="177"/>
      <c r="D183" s="190" t="str">
        <f t="shared" si="83"/>
        <v>OK</v>
      </c>
      <c r="E183" s="189" t="str">
        <f>IF(ISBLANK(C183),"",AVERAGE(C$35:C183))</f>
        <v/>
      </c>
      <c r="F183" s="185"/>
      <c r="G183" s="185"/>
      <c r="H183" s="185"/>
      <c r="I183" s="181">
        <f t="shared" ref="I183:L183" si="155">I182</f>
        <v>53.893722145136735</v>
      </c>
      <c r="J183" s="181">
        <f t="shared" si="155"/>
        <v>44.882748443098563</v>
      </c>
      <c r="K183" s="181">
        <f t="shared" si="155"/>
        <v>56.146465570646278</v>
      </c>
      <c r="L183" s="181">
        <f t="shared" si="155"/>
        <v>42.630005017589021</v>
      </c>
      <c r="M183" s="181">
        <f t="shared" si="153"/>
        <v>50</v>
      </c>
      <c r="N183" s="181">
        <f t="shared" si="153"/>
        <v>55</v>
      </c>
      <c r="O183" s="181">
        <f t="shared" si="153"/>
        <v>45</v>
      </c>
      <c r="P183" s="181">
        <f t="shared" si="153"/>
        <v>49.388235294117649</v>
      </c>
      <c r="Q183" s="188">
        <f t="shared" si="93"/>
        <v>0</v>
      </c>
      <c r="R183" s="180" t="str">
        <f t="shared" si="137"/>
        <v/>
      </c>
      <c r="S183" s="180" t="str">
        <f t="shared" si="138"/>
        <v/>
      </c>
      <c r="T183" s="180" t="str">
        <f t="shared" si="142"/>
        <v/>
      </c>
      <c r="U183" s="180" t="str">
        <f t="shared" si="143"/>
        <v/>
      </c>
      <c r="V183" s="180" t="str">
        <f t="shared" si="131"/>
        <v/>
      </c>
      <c r="W183" s="180" t="str">
        <f t="shared" si="128"/>
        <v/>
      </c>
      <c r="X183" s="180" t="str">
        <f t="shared" si="132"/>
        <v/>
      </c>
      <c r="Y183" s="183"/>
      <c r="Z183" s="183"/>
      <c r="AA183" s="183"/>
    </row>
    <row r="184" spans="1:27" x14ac:dyDescent="0.25">
      <c r="A184" s="52">
        <v>150</v>
      </c>
      <c r="B184" s="50" t="str">
        <f t="shared" si="129"/>
        <v/>
      </c>
      <c r="C184" s="177"/>
      <c r="D184" s="190" t="str">
        <f t="shared" si="83"/>
        <v>OK</v>
      </c>
      <c r="E184" s="189" t="str">
        <f>IF(ISBLANK(C184),"",AVERAGE(C$35:C184))</f>
        <v/>
      </c>
      <c r="F184" s="185"/>
      <c r="G184" s="185"/>
      <c r="H184" s="185"/>
      <c r="I184" s="181">
        <f t="shared" ref="I184:L184" si="156">I183</f>
        <v>53.893722145136735</v>
      </c>
      <c r="J184" s="181">
        <f t="shared" si="156"/>
        <v>44.882748443098563</v>
      </c>
      <c r="K184" s="181">
        <f t="shared" si="156"/>
        <v>56.146465570646278</v>
      </c>
      <c r="L184" s="181">
        <f t="shared" si="156"/>
        <v>42.630005017589021</v>
      </c>
      <c r="M184" s="181">
        <f t="shared" si="153"/>
        <v>50</v>
      </c>
      <c r="N184" s="181">
        <f t="shared" si="153"/>
        <v>55</v>
      </c>
      <c r="O184" s="181">
        <f t="shared" si="153"/>
        <v>45</v>
      </c>
      <c r="P184" s="181">
        <f t="shared" si="153"/>
        <v>49.388235294117649</v>
      </c>
      <c r="Q184" s="188">
        <f t="shared" si="93"/>
        <v>0</v>
      </c>
      <c r="R184" s="180" t="str">
        <f t="shared" si="137"/>
        <v/>
      </c>
      <c r="S184" s="180" t="str">
        <f t="shared" si="138"/>
        <v/>
      </c>
      <c r="T184" s="180" t="str">
        <f t="shared" si="142"/>
        <v/>
      </c>
      <c r="U184" s="180" t="str">
        <f t="shared" si="143"/>
        <v/>
      </c>
      <c r="V184" s="180" t="str">
        <f t="shared" si="131"/>
        <v/>
      </c>
      <c r="W184" s="180" t="str">
        <f t="shared" si="128"/>
        <v/>
      </c>
      <c r="X184" s="180" t="str">
        <f t="shared" si="132"/>
        <v/>
      </c>
      <c r="Y184" s="183"/>
      <c r="Z184" s="183"/>
      <c r="AA184" s="183"/>
    </row>
    <row r="185" spans="1:27" x14ac:dyDescent="0.25">
      <c r="A185" s="52">
        <v>151</v>
      </c>
      <c r="B185" s="50" t="str">
        <f t="shared" si="129"/>
        <v/>
      </c>
      <c r="C185" s="177"/>
      <c r="D185" s="190" t="str">
        <f t="shared" ref="D185:D248" si="157">IF(Q185=1,$R$34,IF(Q185=2,$S$34,IF(Q185=3,$T$34,IF(Q185=4,$U$34,IF(Q185=5,$V$34,IF(Q185=6,$W$34,IF(Q185=7,$X$34,"OK")))))))</f>
        <v>OK</v>
      </c>
      <c r="E185" s="189" t="str">
        <f>IF(ISBLANK(C185),"",AVERAGE(C$35:C185))</f>
        <v/>
      </c>
      <c r="F185" s="185"/>
      <c r="G185" s="185"/>
      <c r="H185" s="185"/>
      <c r="I185" s="181">
        <f t="shared" ref="I185:L185" si="158">I184</f>
        <v>53.893722145136735</v>
      </c>
      <c r="J185" s="181">
        <f t="shared" si="158"/>
        <v>44.882748443098563</v>
      </c>
      <c r="K185" s="181">
        <f t="shared" si="158"/>
        <v>56.146465570646278</v>
      </c>
      <c r="L185" s="181">
        <f t="shared" si="158"/>
        <v>42.630005017589021</v>
      </c>
      <c r="M185" s="181">
        <f t="shared" si="153"/>
        <v>50</v>
      </c>
      <c r="N185" s="181">
        <f t="shared" si="153"/>
        <v>55</v>
      </c>
      <c r="O185" s="181">
        <f t="shared" si="153"/>
        <v>45</v>
      </c>
      <c r="P185" s="181">
        <f t="shared" si="153"/>
        <v>49.388235294117649</v>
      </c>
      <c r="Q185" s="188">
        <f t="shared" si="93"/>
        <v>0</v>
      </c>
      <c r="R185" s="180" t="str">
        <f t="shared" si="137"/>
        <v/>
      </c>
      <c r="S185" s="180" t="str">
        <f t="shared" si="138"/>
        <v/>
      </c>
      <c r="T185" s="180" t="str">
        <f t="shared" si="142"/>
        <v/>
      </c>
      <c r="U185" s="180" t="str">
        <f t="shared" si="143"/>
        <v/>
      </c>
      <c r="V185" s="180" t="str">
        <f t="shared" si="131"/>
        <v/>
      </c>
      <c r="W185" s="180" t="str">
        <f t="shared" si="128"/>
        <v/>
      </c>
      <c r="X185" s="180" t="str">
        <f t="shared" si="132"/>
        <v/>
      </c>
      <c r="Y185" s="183"/>
      <c r="Z185" s="183"/>
      <c r="AA185" s="183"/>
    </row>
    <row r="186" spans="1:27" x14ac:dyDescent="0.25">
      <c r="A186" s="52">
        <v>152</v>
      </c>
      <c r="B186" s="50" t="str">
        <f t="shared" si="129"/>
        <v/>
      </c>
      <c r="C186" s="177"/>
      <c r="D186" s="190" t="str">
        <f t="shared" si="157"/>
        <v>OK</v>
      </c>
      <c r="E186" s="189" t="str">
        <f>IF(ISBLANK(C186),"",AVERAGE(C$35:C186))</f>
        <v/>
      </c>
      <c r="F186" s="185"/>
      <c r="G186" s="185"/>
      <c r="H186" s="185"/>
      <c r="I186" s="181">
        <f t="shared" ref="I186:L186" si="159">I185</f>
        <v>53.893722145136735</v>
      </c>
      <c r="J186" s="181">
        <f t="shared" si="159"/>
        <v>44.882748443098563</v>
      </c>
      <c r="K186" s="181">
        <f t="shared" si="159"/>
        <v>56.146465570646278</v>
      </c>
      <c r="L186" s="181">
        <f t="shared" si="159"/>
        <v>42.630005017589021</v>
      </c>
      <c r="M186" s="181">
        <f t="shared" si="153"/>
        <v>50</v>
      </c>
      <c r="N186" s="181">
        <f t="shared" si="153"/>
        <v>55</v>
      </c>
      <c r="O186" s="181">
        <f t="shared" si="153"/>
        <v>45</v>
      </c>
      <c r="P186" s="181">
        <f t="shared" si="153"/>
        <v>49.388235294117649</v>
      </c>
      <c r="Q186" s="188">
        <f t="shared" si="93"/>
        <v>0</v>
      </c>
      <c r="R186" s="180" t="str">
        <f t="shared" si="137"/>
        <v/>
      </c>
      <c r="S186" s="180" t="str">
        <f t="shared" si="138"/>
        <v/>
      </c>
      <c r="T186" s="180" t="str">
        <f t="shared" si="142"/>
        <v/>
      </c>
      <c r="U186" s="180" t="str">
        <f t="shared" si="143"/>
        <v/>
      </c>
      <c r="V186" s="180" t="str">
        <f t="shared" si="131"/>
        <v/>
      </c>
      <c r="W186" s="180" t="str">
        <f t="shared" si="128"/>
        <v/>
      </c>
      <c r="X186" s="180" t="str">
        <f t="shared" si="132"/>
        <v/>
      </c>
      <c r="Y186" s="183"/>
      <c r="Z186" s="183"/>
      <c r="AA186" s="183"/>
    </row>
    <row r="187" spans="1:27" x14ac:dyDescent="0.25">
      <c r="A187" s="52">
        <v>153</v>
      </c>
      <c r="B187" s="50" t="str">
        <f t="shared" si="129"/>
        <v/>
      </c>
      <c r="C187" s="177"/>
      <c r="D187" s="190" t="str">
        <f t="shared" si="157"/>
        <v>OK</v>
      </c>
      <c r="E187" s="189" t="str">
        <f>IF(ISBLANK(C187),"",AVERAGE(C$35:C187))</f>
        <v/>
      </c>
      <c r="F187" s="185"/>
      <c r="G187" s="185"/>
      <c r="H187" s="185"/>
      <c r="I187" s="181">
        <f t="shared" ref="I187:L187" si="160">I186</f>
        <v>53.893722145136735</v>
      </c>
      <c r="J187" s="181">
        <f t="shared" si="160"/>
        <v>44.882748443098563</v>
      </c>
      <c r="K187" s="181">
        <f t="shared" si="160"/>
        <v>56.146465570646278</v>
      </c>
      <c r="L187" s="181">
        <f t="shared" si="160"/>
        <v>42.630005017589021</v>
      </c>
      <c r="M187" s="181">
        <f t="shared" si="153"/>
        <v>50</v>
      </c>
      <c r="N187" s="181">
        <f t="shared" si="153"/>
        <v>55</v>
      </c>
      <c r="O187" s="181">
        <f t="shared" si="153"/>
        <v>45</v>
      </c>
      <c r="P187" s="181">
        <f t="shared" si="153"/>
        <v>49.388235294117649</v>
      </c>
      <c r="Q187" s="188">
        <f t="shared" si="93"/>
        <v>0</v>
      </c>
      <c r="R187" s="180" t="str">
        <f t="shared" si="137"/>
        <v/>
      </c>
      <c r="S187" s="180" t="str">
        <f t="shared" si="138"/>
        <v/>
      </c>
      <c r="T187" s="180" t="str">
        <f t="shared" si="142"/>
        <v/>
      </c>
      <c r="U187" s="180" t="str">
        <f t="shared" si="143"/>
        <v/>
      </c>
      <c r="V187" s="180" t="str">
        <f t="shared" si="131"/>
        <v/>
      </c>
      <c r="W187" s="180" t="str">
        <f t="shared" si="128"/>
        <v/>
      </c>
      <c r="X187" s="180" t="str">
        <f t="shared" si="132"/>
        <v/>
      </c>
      <c r="Y187" s="183"/>
      <c r="Z187" s="183"/>
      <c r="AA187" s="183"/>
    </row>
    <row r="188" spans="1:27" x14ac:dyDescent="0.25">
      <c r="A188" s="52">
        <v>154</v>
      </c>
      <c r="B188" s="50" t="str">
        <f t="shared" si="129"/>
        <v/>
      </c>
      <c r="C188" s="177"/>
      <c r="D188" s="190" t="str">
        <f t="shared" si="157"/>
        <v>OK</v>
      </c>
      <c r="E188" s="189" t="str">
        <f>IF(ISBLANK(C188),"",AVERAGE(C$35:C188))</f>
        <v/>
      </c>
      <c r="F188" s="185"/>
      <c r="G188" s="185"/>
      <c r="H188" s="185"/>
      <c r="I188" s="181">
        <f t="shared" ref="I188:L188" si="161">I187</f>
        <v>53.893722145136735</v>
      </c>
      <c r="J188" s="181">
        <f t="shared" si="161"/>
        <v>44.882748443098563</v>
      </c>
      <c r="K188" s="181">
        <f t="shared" si="161"/>
        <v>56.146465570646278</v>
      </c>
      <c r="L188" s="181">
        <f t="shared" si="161"/>
        <v>42.630005017589021</v>
      </c>
      <c r="M188" s="181">
        <f t="shared" si="153"/>
        <v>50</v>
      </c>
      <c r="N188" s="181">
        <f t="shared" si="153"/>
        <v>55</v>
      </c>
      <c r="O188" s="181">
        <f t="shared" si="153"/>
        <v>45</v>
      </c>
      <c r="P188" s="181">
        <f t="shared" si="153"/>
        <v>49.388235294117649</v>
      </c>
      <c r="Q188" s="188">
        <f t="shared" si="93"/>
        <v>0</v>
      </c>
      <c r="R188" s="180" t="str">
        <f t="shared" si="137"/>
        <v/>
      </c>
      <c r="S188" s="180" t="str">
        <f t="shared" si="138"/>
        <v/>
      </c>
      <c r="T188" s="180" t="str">
        <f t="shared" si="142"/>
        <v/>
      </c>
      <c r="U188" s="180" t="str">
        <f t="shared" si="143"/>
        <v/>
      </c>
      <c r="V188" s="180" t="str">
        <f t="shared" si="131"/>
        <v/>
      </c>
      <c r="W188" s="180" t="str">
        <f t="shared" si="128"/>
        <v/>
      </c>
      <c r="X188" s="180" t="str">
        <f t="shared" si="132"/>
        <v/>
      </c>
      <c r="Y188" s="183"/>
      <c r="Z188" s="183"/>
      <c r="AA188" s="183"/>
    </row>
    <row r="189" spans="1:27" x14ac:dyDescent="0.25">
      <c r="A189" s="52">
        <v>155</v>
      </c>
      <c r="B189" s="50" t="str">
        <f t="shared" si="129"/>
        <v/>
      </c>
      <c r="C189" s="177"/>
      <c r="D189" s="190" t="str">
        <f t="shared" si="157"/>
        <v>OK</v>
      </c>
      <c r="E189" s="189" t="str">
        <f>IF(ISBLANK(C189),"",AVERAGE(C$35:C189))</f>
        <v/>
      </c>
      <c r="F189" s="185"/>
      <c r="G189" s="185"/>
      <c r="H189" s="185"/>
      <c r="I189" s="181">
        <f t="shared" ref="I189:L189" si="162">I188</f>
        <v>53.893722145136735</v>
      </c>
      <c r="J189" s="181">
        <f t="shared" si="162"/>
        <v>44.882748443098563</v>
      </c>
      <c r="K189" s="181">
        <f t="shared" si="162"/>
        <v>56.146465570646278</v>
      </c>
      <c r="L189" s="181">
        <f t="shared" si="162"/>
        <v>42.630005017589021</v>
      </c>
      <c r="M189" s="181">
        <f t="shared" si="153"/>
        <v>50</v>
      </c>
      <c r="N189" s="181">
        <f t="shared" si="153"/>
        <v>55</v>
      </c>
      <c r="O189" s="181">
        <f t="shared" si="153"/>
        <v>45</v>
      </c>
      <c r="P189" s="181">
        <f t="shared" si="153"/>
        <v>49.388235294117649</v>
      </c>
      <c r="Q189" s="188">
        <f t="shared" si="93"/>
        <v>0</v>
      </c>
      <c r="R189" s="180" t="str">
        <f t="shared" si="137"/>
        <v/>
      </c>
      <c r="S189" s="180" t="str">
        <f t="shared" si="138"/>
        <v/>
      </c>
      <c r="T189" s="180" t="str">
        <f t="shared" si="142"/>
        <v/>
      </c>
      <c r="U189" s="180" t="str">
        <f t="shared" si="143"/>
        <v/>
      </c>
      <c r="V189" s="180" t="str">
        <f t="shared" si="131"/>
        <v/>
      </c>
      <c r="W189" s="180" t="str">
        <f t="shared" si="128"/>
        <v/>
      </c>
      <c r="X189" s="180" t="str">
        <f t="shared" si="132"/>
        <v/>
      </c>
      <c r="Y189" s="183"/>
      <c r="Z189" s="183"/>
      <c r="AA189" s="183"/>
    </row>
    <row r="190" spans="1:27" x14ac:dyDescent="0.25">
      <c r="A190" s="52">
        <v>156</v>
      </c>
      <c r="B190" s="50" t="str">
        <f t="shared" si="129"/>
        <v/>
      </c>
      <c r="C190" s="177"/>
      <c r="D190" s="190" t="str">
        <f t="shared" si="157"/>
        <v>OK</v>
      </c>
      <c r="E190" s="189" t="str">
        <f>IF(ISBLANK(C190),"",AVERAGE(C$35:C190))</f>
        <v/>
      </c>
      <c r="F190" s="185"/>
      <c r="G190" s="185"/>
      <c r="H190" s="185"/>
      <c r="I190" s="181">
        <f t="shared" ref="I190:L190" si="163">I189</f>
        <v>53.893722145136735</v>
      </c>
      <c r="J190" s="181">
        <f t="shared" si="163"/>
        <v>44.882748443098563</v>
      </c>
      <c r="K190" s="181">
        <f t="shared" si="163"/>
        <v>56.146465570646278</v>
      </c>
      <c r="L190" s="181">
        <f t="shared" si="163"/>
        <v>42.630005017589021</v>
      </c>
      <c r="M190" s="181">
        <f t="shared" si="153"/>
        <v>50</v>
      </c>
      <c r="N190" s="181">
        <f t="shared" si="153"/>
        <v>55</v>
      </c>
      <c r="O190" s="181">
        <f t="shared" si="153"/>
        <v>45</v>
      </c>
      <c r="P190" s="181">
        <f t="shared" si="153"/>
        <v>49.388235294117649</v>
      </c>
      <c r="Q190" s="188">
        <f t="shared" si="93"/>
        <v>0</v>
      </c>
      <c r="R190" s="180" t="str">
        <f t="shared" si="137"/>
        <v/>
      </c>
      <c r="S190" s="180" t="str">
        <f t="shared" si="138"/>
        <v/>
      </c>
      <c r="T190" s="180" t="str">
        <f t="shared" si="142"/>
        <v/>
      </c>
      <c r="U190" s="180" t="str">
        <f t="shared" si="143"/>
        <v/>
      </c>
      <c r="V190" s="180" t="str">
        <f t="shared" si="131"/>
        <v/>
      </c>
      <c r="W190" s="180" t="str">
        <f t="shared" si="128"/>
        <v/>
      </c>
      <c r="X190" s="180" t="str">
        <f t="shared" si="132"/>
        <v/>
      </c>
      <c r="Y190" s="183"/>
      <c r="Z190" s="183"/>
      <c r="AA190" s="183"/>
    </row>
    <row r="191" spans="1:27" x14ac:dyDescent="0.25">
      <c r="A191" s="52">
        <v>157</v>
      </c>
      <c r="B191" s="50" t="str">
        <f t="shared" si="129"/>
        <v/>
      </c>
      <c r="C191" s="177"/>
      <c r="D191" s="190" t="str">
        <f t="shared" si="157"/>
        <v>OK</v>
      </c>
      <c r="E191" s="189" t="str">
        <f>IF(ISBLANK(C191),"",AVERAGE(C$35:C191))</f>
        <v/>
      </c>
      <c r="F191" s="185"/>
      <c r="G191" s="185"/>
      <c r="H191" s="185"/>
      <c r="I191" s="181">
        <f t="shared" ref="I191:L191" si="164">I190</f>
        <v>53.893722145136735</v>
      </c>
      <c r="J191" s="181">
        <f t="shared" si="164"/>
        <v>44.882748443098563</v>
      </c>
      <c r="K191" s="181">
        <f t="shared" si="164"/>
        <v>56.146465570646278</v>
      </c>
      <c r="L191" s="181">
        <f t="shared" si="164"/>
        <v>42.630005017589021</v>
      </c>
      <c r="M191" s="181">
        <f t="shared" si="153"/>
        <v>50</v>
      </c>
      <c r="N191" s="181">
        <f t="shared" si="153"/>
        <v>55</v>
      </c>
      <c r="O191" s="181">
        <f t="shared" si="153"/>
        <v>45</v>
      </c>
      <c r="P191" s="181">
        <f t="shared" si="153"/>
        <v>49.388235294117649</v>
      </c>
      <c r="Q191" s="188">
        <f t="shared" si="93"/>
        <v>0</v>
      </c>
      <c r="R191" s="180" t="str">
        <f t="shared" si="137"/>
        <v/>
      </c>
      <c r="S191" s="180" t="str">
        <f t="shared" si="138"/>
        <v/>
      </c>
      <c r="T191" s="180" t="str">
        <f t="shared" si="142"/>
        <v/>
      </c>
      <c r="U191" s="180" t="str">
        <f t="shared" si="143"/>
        <v/>
      </c>
      <c r="V191" s="180" t="str">
        <f t="shared" si="131"/>
        <v/>
      </c>
      <c r="W191" s="180" t="str">
        <f t="shared" si="128"/>
        <v/>
      </c>
      <c r="X191" s="180" t="str">
        <f t="shared" si="132"/>
        <v/>
      </c>
      <c r="Y191" s="183"/>
      <c r="Z191" s="183"/>
      <c r="AA191" s="183"/>
    </row>
    <row r="192" spans="1:27" x14ac:dyDescent="0.25">
      <c r="A192" s="52">
        <v>158</v>
      </c>
      <c r="B192" s="50" t="str">
        <f t="shared" si="129"/>
        <v/>
      </c>
      <c r="C192" s="177"/>
      <c r="D192" s="190" t="str">
        <f t="shared" si="157"/>
        <v>OK</v>
      </c>
      <c r="E192" s="189" t="str">
        <f>IF(ISBLANK(C192),"",AVERAGE(C$35:C192))</f>
        <v/>
      </c>
      <c r="F192" s="185"/>
      <c r="G192" s="185"/>
      <c r="H192" s="185"/>
      <c r="I192" s="181">
        <f t="shared" ref="I192:L192" si="165">I191</f>
        <v>53.893722145136735</v>
      </c>
      <c r="J192" s="181">
        <f t="shared" si="165"/>
        <v>44.882748443098563</v>
      </c>
      <c r="K192" s="181">
        <f t="shared" si="165"/>
        <v>56.146465570646278</v>
      </c>
      <c r="L192" s="181">
        <f t="shared" si="165"/>
        <v>42.630005017589021</v>
      </c>
      <c r="M192" s="181">
        <f t="shared" si="153"/>
        <v>50</v>
      </c>
      <c r="N192" s="181">
        <f t="shared" si="153"/>
        <v>55</v>
      </c>
      <c r="O192" s="181">
        <f t="shared" si="153"/>
        <v>45</v>
      </c>
      <c r="P192" s="181">
        <f t="shared" si="153"/>
        <v>49.388235294117649</v>
      </c>
      <c r="Q192" s="188">
        <f t="shared" si="93"/>
        <v>0</v>
      </c>
      <c r="R192" s="180" t="str">
        <f t="shared" si="137"/>
        <v/>
      </c>
      <c r="S192" s="180" t="str">
        <f t="shared" si="138"/>
        <v/>
      </c>
      <c r="T192" s="180" t="str">
        <f t="shared" si="142"/>
        <v/>
      </c>
      <c r="U192" s="180" t="str">
        <f t="shared" si="143"/>
        <v/>
      </c>
      <c r="V192" s="180" t="str">
        <f t="shared" si="131"/>
        <v/>
      </c>
      <c r="W192" s="180" t="str">
        <f t="shared" si="128"/>
        <v/>
      </c>
      <c r="X192" s="180" t="str">
        <f t="shared" si="132"/>
        <v/>
      </c>
      <c r="Y192" s="183"/>
      <c r="Z192" s="183"/>
      <c r="AA192" s="183"/>
    </row>
    <row r="193" spans="1:27" x14ac:dyDescent="0.25">
      <c r="A193" s="52">
        <v>159</v>
      </c>
      <c r="B193" s="50" t="str">
        <f t="shared" si="129"/>
        <v/>
      </c>
      <c r="C193" s="177"/>
      <c r="D193" s="190" t="str">
        <f t="shared" si="157"/>
        <v>OK</v>
      </c>
      <c r="E193" s="189" t="str">
        <f>IF(ISBLANK(C193),"",AVERAGE(C$35:C193))</f>
        <v/>
      </c>
      <c r="F193" s="185"/>
      <c r="G193" s="185"/>
      <c r="H193" s="185"/>
      <c r="I193" s="181">
        <f t="shared" ref="I193:L193" si="166">I192</f>
        <v>53.893722145136735</v>
      </c>
      <c r="J193" s="181">
        <f t="shared" si="166"/>
        <v>44.882748443098563</v>
      </c>
      <c r="K193" s="181">
        <f t="shared" si="166"/>
        <v>56.146465570646278</v>
      </c>
      <c r="L193" s="181">
        <f t="shared" si="166"/>
        <v>42.630005017589021</v>
      </c>
      <c r="M193" s="181">
        <f t="shared" si="153"/>
        <v>50</v>
      </c>
      <c r="N193" s="181">
        <f t="shared" si="153"/>
        <v>55</v>
      </c>
      <c r="O193" s="181">
        <f t="shared" si="153"/>
        <v>45</v>
      </c>
      <c r="P193" s="181">
        <f t="shared" si="153"/>
        <v>49.388235294117649</v>
      </c>
      <c r="Q193" s="188">
        <f t="shared" ref="Q193:Q256" si="167">SUM(R193:X193)</f>
        <v>0</v>
      </c>
      <c r="R193" s="180" t="str">
        <f t="shared" si="137"/>
        <v/>
      </c>
      <c r="S193" s="180" t="str">
        <f t="shared" si="138"/>
        <v/>
      </c>
      <c r="T193" s="180" t="str">
        <f t="shared" si="142"/>
        <v/>
      </c>
      <c r="U193" s="180" t="str">
        <f t="shared" si="143"/>
        <v/>
      </c>
      <c r="V193" s="180" t="str">
        <f t="shared" si="131"/>
        <v/>
      </c>
      <c r="W193" s="180" t="str">
        <f t="shared" si="128"/>
        <v/>
      </c>
      <c r="X193" s="180" t="str">
        <f t="shared" si="132"/>
        <v/>
      </c>
      <c r="Y193" s="183"/>
      <c r="Z193" s="183"/>
      <c r="AA193" s="183"/>
    </row>
    <row r="194" spans="1:27" x14ac:dyDescent="0.25">
      <c r="A194" s="52">
        <v>160</v>
      </c>
      <c r="B194" s="50" t="str">
        <f t="shared" si="129"/>
        <v/>
      </c>
      <c r="C194" s="177"/>
      <c r="D194" s="190" t="str">
        <f t="shared" si="157"/>
        <v>OK</v>
      </c>
      <c r="E194" s="189" t="str">
        <f>IF(ISBLANK(C194),"",AVERAGE(C$35:C194))</f>
        <v/>
      </c>
      <c r="F194" s="185"/>
      <c r="G194" s="185"/>
      <c r="H194" s="185"/>
      <c r="I194" s="181">
        <f t="shared" ref="I194:L194" si="168">I193</f>
        <v>53.893722145136735</v>
      </c>
      <c r="J194" s="181">
        <f t="shared" si="168"/>
        <v>44.882748443098563</v>
      </c>
      <c r="K194" s="181">
        <f t="shared" si="168"/>
        <v>56.146465570646278</v>
      </c>
      <c r="L194" s="181">
        <f t="shared" si="168"/>
        <v>42.630005017589021</v>
      </c>
      <c r="M194" s="181">
        <f t="shared" si="153"/>
        <v>50</v>
      </c>
      <c r="N194" s="181">
        <f t="shared" si="153"/>
        <v>55</v>
      </c>
      <c r="O194" s="181">
        <f t="shared" si="153"/>
        <v>45</v>
      </c>
      <c r="P194" s="181">
        <f t="shared" si="153"/>
        <v>49.388235294117649</v>
      </c>
      <c r="Q194" s="188">
        <f t="shared" si="167"/>
        <v>0</v>
      </c>
      <c r="R194" s="180" t="str">
        <f t="shared" si="137"/>
        <v/>
      </c>
      <c r="S194" s="180" t="str">
        <f t="shared" si="138"/>
        <v/>
      </c>
      <c r="T194" s="180" t="str">
        <f t="shared" si="142"/>
        <v/>
      </c>
      <c r="U194" s="180" t="str">
        <f t="shared" si="143"/>
        <v/>
      </c>
      <c r="V194" s="180" t="str">
        <f t="shared" si="131"/>
        <v/>
      </c>
      <c r="W194" s="180" t="str">
        <f t="shared" si="128"/>
        <v/>
      </c>
      <c r="X194" s="180" t="str">
        <f t="shared" si="132"/>
        <v/>
      </c>
      <c r="Y194" s="183"/>
      <c r="Z194" s="183"/>
      <c r="AA194" s="183"/>
    </row>
    <row r="195" spans="1:27" x14ac:dyDescent="0.25">
      <c r="A195" s="52">
        <v>161</v>
      </c>
      <c r="B195" s="50" t="str">
        <f t="shared" si="129"/>
        <v/>
      </c>
      <c r="C195" s="177"/>
      <c r="D195" s="190" t="str">
        <f t="shared" si="157"/>
        <v>OK</v>
      </c>
      <c r="E195" s="189" t="str">
        <f>IF(ISBLANK(C195),"",AVERAGE(C$35:C195))</f>
        <v/>
      </c>
      <c r="F195" s="185"/>
      <c r="G195" s="185"/>
      <c r="H195" s="185"/>
      <c r="I195" s="181">
        <f t="shared" ref="I195:L195" si="169">I194</f>
        <v>53.893722145136735</v>
      </c>
      <c r="J195" s="181">
        <f t="shared" si="169"/>
        <v>44.882748443098563</v>
      </c>
      <c r="K195" s="181">
        <f t="shared" si="169"/>
        <v>56.146465570646278</v>
      </c>
      <c r="L195" s="181">
        <f t="shared" si="169"/>
        <v>42.630005017589021</v>
      </c>
      <c r="M195" s="181">
        <f t="shared" si="153"/>
        <v>50</v>
      </c>
      <c r="N195" s="181">
        <f t="shared" si="153"/>
        <v>55</v>
      </c>
      <c r="O195" s="181">
        <f t="shared" si="153"/>
        <v>45</v>
      </c>
      <c r="P195" s="181">
        <f t="shared" si="153"/>
        <v>49.388235294117649</v>
      </c>
      <c r="Q195" s="188">
        <f t="shared" si="167"/>
        <v>0</v>
      </c>
      <c r="R195" s="180" t="str">
        <f t="shared" si="137"/>
        <v/>
      </c>
      <c r="S195" s="180" t="str">
        <f t="shared" si="138"/>
        <v/>
      </c>
      <c r="T195" s="180" t="str">
        <f t="shared" si="142"/>
        <v/>
      </c>
      <c r="U195" s="180" t="str">
        <f t="shared" si="143"/>
        <v/>
      </c>
      <c r="V195" s="180" t="str">
        <f t="shared" si="131"/>
        <v/>
      </c>
      <c r="W195" s="180" t="str">
        <f t="shared" si="128"/>
        <v/>
      </c>
      <c r="X195" s="180" t="str">
        <f t="shared" si="132"/>
        <v/>
      </c>
      <c r="Y195" s="183"/>
      <c r="Z195" s="183"/>
      <c r="AA195" s="183"/>
    </row>
    <row r="196" spans="1:27" x14ac:dyDescent="0.25">
      <c r="A196" s="52">
        <v>162</v>
      </c>
      <c r="B196" s="50" t="str">
        <f t="shared" si="129"/>
        <v/>
      </c>
      <c r="C196" s="177"/>
      <c r="D196" s="190" t="str">
        <f t="shared" si="157"/>
        <v>OK</v>
      </c>
      <c r="E196" s="189" t="str">
        <f>IF(ISBLANK(C196),"",AVERAGE(C$35:C196))</f>
        <v/>
      </c>
      <c r="F196" s="185"/>
      <c r="G196" s="185"/>
      <c r="H196" s="185"/>
      <c r="I196" s="181">
        <f t="shared" ref="I196:L196" si="170">I195</f>
        <v>53.893722145136735</v>
      </c>
      <c r="J196" s="181">
        <f t="shared" si="170"/>
        <v>44.882748443098563</v>
      </c>
      <c r="K196" s="181">
        <f t="shared" si="170"/>
        <v>56.146465570646278</v>
      </c>
      <c r="L196" s="181">
        <f t="shared" si="170"/>
        <v>42.630005017589021</v>
      </c>
      <c r="M196" s="181">
        <f t="shared" si="153"/>
        <v>50</v>
      </c>
      <c r="N196" s="181">
        <f t="shared" si="153"/>
        <v>55</v>
      </c>
      <c r="O196" s="181">
        <f t="shared" si="153"/>
        <v>45</v>
      </c>
      <c r="P196" s="181">
        <f t="shared" si="153"/>
        <v>49.388235294117649</v>
      </c>
      <c r="Q196" s="188">
        <f t="shared" si="167"/>
        <v>0</v>
      </c>
      <c r="R196" s="180" t="str">
        <f t="shared" si="137"/>
        <v/>
      </c>
      <c r="S196" s="180" t="str">
        <f t="shared" si="138"/>
        <v/>
      </c>
      <c r="T196" s="180" t="str">
        <f t="shared" si="142"/>
        <v/>
      </c>
      <c r="U196" s="180" t="str">
        <f t="shared" si="143"/>
        <v/>
      </c>
      <c r="V196" s="180" t="str">
        <f t="shared" si="131"/>
        <v/>
      </c>
      <c r="W196" s="180" t="str">
        <f t="shared" si="128"/>
        <v/>
      </c>
      <c r="X196" s="180" t="str">
        <f t="shared" si="132"/>
        <v/>
      </c>
      <c r="Y196" s="183"/>
      <c r="Z196" s="183"/>
      <c r="AA196" s="183"/>
    </row>
    <row r="197" spans="1:27" x14ac:dyDescent="0.25">
      <c r="A197" s="52">
        <v>163</v>
      </c>
      <c r="B197" s="50" t="str">
        <f t="shared" si="129"/>
        <v/>
      </c>
      <c r="C197" s="177"/>
      <c r="D197" s="190" t="str">
        <f t="shared" si="157"/>
        <v>OK</v>
      </c>
      <c r="E197" s="189" t="str">
        <f>IF(ISBLANK(C197),"",AVERAGE(C$35:C197))</f>
        <v/>
      </c>
      <c r="F197" s="185"/>
      <c r="G197" s="185"/>
      <c r="H197" s="185"/>
      <c r="I197" s="181">
        <f t="shared" ref="I197:P212" si="171">I196</f>
        <v>53.893722145136735</v>
      </c>
      <c r="J197" s="181">
        <f t="shared" si="171"/>
        <v>44.882748443098563</v>
      </c>
      <c r="K197" s="181">
        <f t="shared" si="171"/>
        <v>56.146465570646278</v>
      </c>
      <c r="L197" s="181">
        <f t="shared" si="171"/>
        <v>42.630005017589021</v>
      </c>
      <c r="M197" s="181">
        <f t="shared" si="171"/>
        <v>50</v>
      </c>
      <c r="N197" s="181">
        <f t="shared" si="171"/>
        <v>55</v>
      </c>
      <c r="O197" s="181">
        <f t="shared" si="171"/>
        <v>45</v>
      </c>
      <c r="P197" s="181">
        <f t="shared" si="171"/>
        <v>49.388235294117649</v>
      </c>
      <c r="Q197" s="188">
        <f t="shared" si="167"/>
        <v>0</v>
      </c>
      <c r="R197" s="180" t="str">
        <f t="shared" si="137"/>
        <v/>
      </c>
      <c r="S197" s="180" t="str">
        <f t="shared" si="138"/>
        <v/>
      </c>
      <c r="T197" s="180" t="str">
        <f t="shared" si="142"/>
        <v/>
      </c>
      <c r="U197" s="180" t="str">
        <f t="shared" si="143"/>
        <v/>
      </c>
      <c r="V197" s="180" t="str">
        <f t="shared" si="131"/>
        <v/>
      </c>
      <c r="W197" s="180" t="str">
        <f t="shared" si="128"/>
        <v/>
      </c>
      <c r="X197" s="180" t="str">
        <f t="shared" si="132"/>
        <v/>
      </c>
      <c r="Y197" s="183"/>
      <c r="Z197" s="183"/>
      <c r="AA197" s="183"/>
    </row>
    <row r="198" spans="1:27" x14ac:dyDescent="0.25">
      <c r="A198" s="52">
        <v>164</v>
      </c>
      <c r="B198" s="50" t="str">
        <f t="shared" si="129"/>
        <v/>
      </c>
      <c r="C198" s="177"/>
      <c r="D198" s="190" t="str">
        <f t="shared" si="157"/>
        <v>OK</v>
      </c>
      <c r="E198" s="189" t="str">
        <f>IF(ISBLANK(C198),"",AVERAGE(C$35:C198))</f>
        <v/>
      </c>
      <c r="F198" s="185"/>
      <c r="G198" s="185"/>
      <c r="H198" s="185"/>
      <c r="I198" s="181">
        <f t="shared" ref="I198:L198" si="172">I197</f>
        <v>53.893722145136735</v>
      </c>
      <c r="J198" s="181">
        <f t="shared" si="172"/>
        <v>44.882748443098563</v>
      </c>
      <c r="K198" s="181">
        <f t="shared" si="172"/>
        <v>56.146465570646278</v>
      </c>
      <c r="L198" s="181">
        <f t="shared" si="172"/>
        <v>42.630005017589021</v>
      </c>
      <c r="M198" s="181">
        <f t="shared" si="171"/>
        <v>50</v>
      </c>
      <c r="N198" s="181">
        <f t="shared" si="171"/>
        <v>55</v>
      </c>
      <c r="O198" s="181">
        <f t="shared" si="171"/>
        <v>45</v>
      </c>
      <c r="P198" s="181">
        <f t="shared" si="171"/>
        <v>49.388235294117649</v>
      </c>
      <c r="Q198" s="188">
        <f t="shared" si="167"/>
        <v>0</v>
      </c>
      <c r="R198" s="180" t="str">
        <f t="shared" si="137"/>
        <v/>
      </c>
      <c r="S198" s="180" t="str">
        <f t="shared" si="138"/>
        <v/>
      </c>
      <c r="T198" s="180" t="str">
        <f t="shared" si="142"/>
        <v/>
      </c>
      <c r="U198" s="180" t="str">
        <f t="shared" si="143"/>
        <v/>
      </c>
      <c r="V198" s="180" t="str">
        <f t="shared" si="131"/>
        <v/>
      </c>
      <c r="W198" s="180" t="str">
        <f t="shared" si="128"/>
        <v/>
      </c>
      <c r="X198" s="180" t="str">
        <f t="shared" si="132"/>
        <v/>
      </c>
      <c r="Y198" s="183"/>
      <c r="Z198" s="183"/>
      <c r="AA198" s="183"/>
    </row>
    <row r="199" spans="1:27" x14ac:dyDescent="0.25">
      <c r="A199" s="52">
        <v>165</v>
      </c>
      <c r="B199" s="50" t="str">
        <f t="shared" si="129"/>
        <v/>
      </c>
      <c r="C199" s="177"/>
      <c r="D199" s="190" t="str">
        <f t="shared" si="157"/>
        <v>OK</v>
      </c>
      <c r="E199" s="189" t="str">
        <f>IF(ISBLANK(C199),"",AVERAGE(C$35:C199))</f>
        <v/>
      </c>
      <c r="F199" s="185"/>
      <c r="G199" s="185"/>
      <c r="H199" s="185"/>
      <c r="I199" s="181">
        <f t="shared" ref="I199:L199" si="173">I198</f>
        <v>53.893722145136735</v>
      </c>
      <c r="J199" s="181">
        <f t="shared" si="173"/>
        <v>44.882748443098563</v>
      </c>
      <c r="K199" s="181">
        <f t="shared" si="173"/>
        <v>56.146465570646278</v>
      </c>
      <c r="L199" s="181">
        <f t="shared" si="173"/>
        <v>42.630005017589021</v>
      </c>
      <c r="M199" s="181">
        <f t="shared" si="171"/>
        <v>50</v>
      </c>
      <c r="N199" s="181">
        <f t="shared" si="171"/>
        <v>55</v>
      </c>
      <c r="O199" s="181">
        <f t="shared" si="171"/>
        <v>45</v>
      </c>
      <c r="P199" s="181">
        <f t="shared" si="171"/>
        <v>49.388235294117649</v>
      </c>
      <c r="Q199" s="188">
        <f t="shared" si="167"/>
        <v>0</v>
      </c>
      <c r="R199" s="180" t="str">
        <f t="shared" si="137"/>
        <v/>
      </c>
      <c r="S199" s="180" t="str">
        <f t="shared" si="138"/>
        <v/>
      </c>
      <c r="T199" s="180" t="str">
        <f t="shared" si="142"/>
        <v/>
      </c>
      <c r="U199" s="180" t="str">
        <f t="shared" si="143"/>
        <v/>
      </c>
      <c r="V199" s="180" t="str">
        <f t="shared" si="131"/>
        <v/>
      </c>
      <c r="W199" s="180" t="str">
        <f t="shared" si="128"/>
        <v/>
      </c>
      <c r="X199" s="180" t="str">
        <f t="shared" si="132"/>
        <v/>
      </c>
      <c r="Y199" s="183"/>
      <c r="Z199" s="183"/>
      <c r="AA199" s="183"/>
    </row>
    <row r="200" spans="1:27" x14ac:dyDescent="0.25">
      <c r="A200" s="52">
        <v>166</v>
      </c>
      <c r="B200" s="50" t="str">
        <f t="shared" si="129"/>
        <v/>
      </c>
      <c r="C200" s="177"/>
      <c r="D200" s="190" t="str">
        <f t="shared" si="157"/>
        <v>OK</v>
      </c>
      <c r="E200" s="189" t="str">
        <f>IF(ISBLANK(C200),"",AVERAGE(C$35:C200))</f>
        <v/>
      </c>
      <c r="F200" s="185"/>
      <c r="G200" s="185"/>
      <c r="H200" s="185"/>
      <c r="I200" s="181">
        <f t="shared" ref="I200:L200" si="174">I199</f>
        <v>53.893722145136735</v>
      </c>
      <c r="J200" s="181">
        <f t="shared" si="174"/>
        <v>44.882748443098563</v>
      </c>
      <c r="K200" s="181">
        <f t="shared" si="174"/>
        <v>56.146465570646278</v>
      </c>
      <c r="L200" s="181">
        <f t="shared" si="174"/>
        <v>42.630005017589021</v>
      </c>
      <c r="M200" s="181">
        <f t="shared" si="171"/>
        <v>50</v>
      </c>
      <c r="N200" s="181">
        <f t="shared" si="171"/>
        <v>55</v>
      </c>
      <c r="O200" s="181">
        <f t="shared" si="171"/>
        <v>45</v>
      </c>
      <c r="P200" s="181">
        <f t="shared" si="171"/>
        <v>49.388235294117649</v>
      </c>
      <c r="Q200" s="188">
        <f t="shared" si="167"/>
        <v>0</v>
      </c>
      <c r="R200" s="180" t="str">
        <f t="shared" si="137"/>
        <v/>
      </c>
      <c r="S200" s="180" t="str">
        <f t="shared" si="138"/>
        <v/>
      </c>
      <c r="T200" s="180" t="str">
        <f t="shared" si="142"/>
        <v/>
      </c>
      <c r="U200" s="180" t="str">
        <f t="shared" si="143"/>
        <v/>
      </c>
      <c r="V200" s="180" t="str">
        <f t="shared" si="131"/>
        <v/>
      </c>
      <c r="W200" s="180" t="str">
        <f t="shared" si="128"/>
        <v/>
      </c>
      <c r="X200" s="180" t="str">
        <f t="shared" si="132"/>
        <v/>
      </c>
      <c r="Y200" s="183"/>
      <c r="Z200" s="183"/>
      <c r="AA200" s="183"/>
    </row>
    <row r="201" spans="1:27" x14ac:dyDescent="0.25">
      <c r="A201" s="52">
        <v>167</v>
      </c>
      <c r="B201" s="50" t="str">
        <f t="shared" si="129"/>
        <v/>
      </c>
      <c r="C201" s="177"/>
      <c r="D201" s="190" t="str">
        <f t="shared" si="157"/>
        <v>OK</v>
      </c>
      <c r="E201" s="189" t="str">
        <f>IF(ISBLANK(C201),"",AVERAGE(C$35:C201))</f>
        <v/>
      </c>
      <c r="F201" s="185"/>
      <c r="G201" s="185"/>
      <c r="H201" s="185"/>
      <c r="I201" s="181">
        <f t="shared" ref="I201:L201" si="175">I200</f>
        <v>53.893722145136735</v>
      </c>
      <c r="J201" s="181">
        <f t="shared" si="175"/>
        <v>44.882748443098563</v>
      </c>
      <c r="K201" s="181">
        <f t="shared" si="175"/>
        <v>56.146465570646278</v>
      </c>
      <c r="L201" s="181">
        <f t="shared" si="175"/>
        <v>42.630005017589021</v>
      </c>
      <c r="M201" s="181">
        <f t="shared" si="171"/>
        <v>50</v>
      </c>
      <c r="N201" s="181">
        <f t="shared" si="171"/>
        <v>55</v>
      </c>
      <c r="O201" s="181">
        <f t="shared" si="171"/>
        <v>45</v>
      </c>
      <c r="P201" s="181">
        <f t="shared" si="171"/>
        <v>49.388235294117649</v>
      </c>
      <c r="Q201" s="188">
        <f t="shared" si="167"/>
        <v>0</v>
      </c>
      <c r="R201" s="180" t="str">
        <f t="shared" si="137"/>
        <v/>
      </c>
      <c r="S201" s="180" t="str">
        <f t="shared" si="138"/>
        <v/>
      </c>
      <c r="T201" s="180" t="str">
        <f t="shared" si="142"/>
        <v/>
      </c>
      <c r="U201" s="180" t="str">
        <f t="shared" si="143"/>
        <v/>
      </c>
      <c r="V201" s="180" t="str">
        <f t="shared" si="131"/>
        <v/>
      </c>
      <c r="W201" s="180" t="str">
        <f t="shared" si="128"/>
        <v/>
      </c>
      <c r="X201" s="180" t="str">
        <f t="shared" si="132"/>
        <v/>
      </c>
      <c r="Y201" s="183"/>
      <c r="Z201" s="183"/>
      <c r="AA201" s="183"/>
    </row>
    <row r="202" spans="1:27" x14ac:dyDescent="0.25">
      <c r="A202" s="52">
        <v>168</v>
      </c>
      <c r="B202" s="50" t="str">
        <f t="shared" si="129"/>
        <v/>
      </c>
      <c r="C202" s="177"/>
      <c r="D202" s="190" t="str">
        <f t="shared" si="157"/>
        <v>OK</v>
      </c>
      <c r="E202" s="189" t="str">
        <f>IF(ISBLANK(C202),"",AVERAGE(C$35:C202))</f>
        <v/>
      </c>
      <c r="F202" s="185"/>
      <c r="G202" s="185"/>
      <c r="H202" s="185"/>
      <c r="I202" s="181">
        <f t="shared" ref="I202:L202" si="176">I201</f>
        <v>53.893722145136735</v>
      </c>
      <c r="J202" s="181">
        <f t="shared" si="176"/>
        <v>44.882748443098563</v>
      </c>
      <c r="K202" s="181">
        <f t="shared" si="176"/>
        <v>56.146465570646278</v>
      </c>
      <c r="L202" s="181">
        <f t="shared" si="176"/>
        <v>42.630005017589021</v>
      </c>
      <c r="M202" s="181">
        <f t="shared" si="171"/>
        <v>50</v>
      </c>
      <c r="N202" s="181">
        <f t="shared" si="171"/>
        <v>55</v>
      </c>
      <c r="O202" s="181">
        <f t="shared" si="171"/>
        <v>45</v>
      </c>
      <c r="P202" s="181">
        <f t="shared" si="171"/>
        <v>49.388235294117649</v>
      </c>
      <c r="Q202" s="188">
        <f t="shared" si="167"/>
        <v>0</v>
      </c>
      <c r="R202" s="180" t="str">
        <f t="shared" si="137"/>
        <v/>
      </c>
      <c r="S202" s="180" t="str">
        <f t="shared" si="138"/>
        <v/>
      </c>
      <c r="T202" s="180" t="str">
        <f t="shared" si="142"/>
        <v/>
      </c>
      <c r="U202" s="180" t="str">
        <f t="shared" si="143"/>
        <v/>
      </c>
      <c r="V202" s="180" t="str">
        <f t="shared" si="131"/>
        <v/>
      </c>
      <c r="W202" s="180" t="str">
        <f t="shared" si="128"/>
        <v/>
      </c>
      <c r="X202" s="180" t="str">
        <f t="shared" si="132"/>
        <v/>
      </c>
      <c r="Y202" s="183"/>
      <c r="Z202" s="183"/>
      <c r="AA202" s="183"/>
    </row>
    <row r="203" spans="1:27" x14ac:dyDescent="0.25">
      <c r="A203" s="52">
        <v>169</v>
      </c>
      <c r="B203" s="50" t="str">
        <f t="shared" si="129"/>
        <v/>
      </c>
      <c r="C203" s="177"/>
      <c r="D203" s="190" t="str">
        <f t="shared" si="157"/>
        <v>OK</v>
      </c>
      <c r="E203" s="189" t="str">
        <f>IF(ISBLANK(C203),"",AVERAGE(C$35:C203))</f>
        <v/>
      </c>
      <c r="F203" s="185"/>
      <c r="G203" s="185"/>
      <c r="H203" s="185"/>
      <c r="I203" s="181">
        <f t="shared" ref="I203:L203" si="177">I202</f>
        <v>53.893722145136735</v>
      </c>
      <c r="J203" s="181">
        <f t="shared" si="177"/>
        <v>44.882748443098563</v>
      </c>
      <c r="K203" s="181">
        <f t="shared" si="177"/>
        <v>56.146465570646278</v>
      </c>
      <c r="L203" s="181">
        <f t="shared" si="177"/>
        <v>42.630005017589021</v>
      </c>
      <c r="M203" s="181">
        <f t="shared" si="171"/>
        <v>50</v>
      </c>
      <c r="N203" s="181">
        <f t="shared" si="171"/>
        <v>55</v>
      </c>
      <c r="O203" s="181">
        <f t="shared" si="171"/>
        <v>45</v>
      </c>
      <c r="P203" s="181">
        <f t="shared" si="171"/>
        <v>49.388235294117649</v>
      </c>
      <c r="Q203" s="188">
        <f t="shared" si="167"/>
        <v>0</v>
      </c>
      <c r="R203" s="180" t="str">
        <f t="shared" si="137"/>
        <v/>
      </c>
      <c r="S203" s="180" t="str">
        <f t="shared" si="138"/>
        <v/>
      </c>
      <c r="T203" s="180" t="str">
        <f t="shared" si="142"/>
        <v/>
      </c>
      <c r="U203" s="180" t="str">
        <f t="shared" si="143"/>
        <v/>
      </c>
      <c r="V203" s="180" t="str">
        <f t="shared" si="131"/>
        <v/>
      </c>
      <c r="W203" s="180" t="str">
        <f t="shared" si="128"/>
        <v/>
      </c>
      <c r="X203" s="180" t="str">
        <f t="shared" si="132"/>
        <v/>
      </c>
      <c r="Y203" s="183"/>
      <c r="Z203" s="183"/>
      <c r="AA203" s="183"/>
    </row>
    <row r="204" spans="1:27" x14ac:dyDescent="0.25">
      <c r="A204" s="52">
        <v>170</v>
      </c>
      <c r="B204" s="50" t="str">
        <f t="shared" si="129"/>
        <v/>
      </c>
      <c r="C204" s="177"/>
      <c r="D204" s="190" t="str">
        <f t="shared" si="157"/>
        <v>OK</v>
      </c>
      <c r="E204" s="189" t="str">
        <f>IF(ISBLANK(C204),"",AVERAGE(C$35:C204))</f>
        <v/>
      </c>
      <c r="F204" s="185"/>
      <c r="G204" s="185"/>
      <c r="H204" s="185"/>
      <c r="I204" s="181">
        <f t="shared" ref="I204:L204" si="178">I203</f>
        <v>53.893722145136735</v>
      </c>
      <c r="J204" s="181">
        <f t="shared" si="178"/>
        <v>44.882748443098563</v>
      </c>
      <c r="K204" s="181">
        <f t="shared" si="178"/>
        <v>56.146465570646278</v>
      </c>
      <c r="L204" s="181">
        <f t="shared" si="178"/>
        <v>42.630005017589021</v>
      </c>
      <c r="M204" s="181">
        <f t="shared" si="171"/>
        <v>50</v>
      </c>
      <c r="N204" s="181">
        <f t="shared" si="171"/>
        <v>55</v>
      </c>
      <c r="O204" s="181">
        <f t="shared" si="171"/>
        <v>45</v>
      </c>
      <c r="P204" s="181">
        <f t="shared" si="171"/>
        <v>49.388235294117649</v>
      </c>
      <c r="Q204" s="188">
        <f t="shared" si="167"/>
        <v>0</v>
      </c>
      <c r="R204" s="180" t="str">
        <f t="shared" si="137"/>
        <v/>
      </c>
      <c r="S204" s="180" t="str">
        <f t="shared" si="138"/>
        <v/>
      </c>
      <c r="T204" s="180" t="str">
        <f t="shared" si="142"/>
        <v/>
      </c>
      <c r="U204" s="180" t="str">
        <f t="shared" si="143"/>
        <v/>
      </c>
      <c r="V204" s="180" t="str">
        <f t="shared" si="131"/>
        <v/>
      </c>
      <c r="W204" s="180" t="str">
        <f t="shared" si="128"/>
        <v/>
      </c>
      <c r="X204" s="180" t="str">
        <f t="shared" si="132"/>
        <v/>
      </c>
      <c r="Y204" s="183"/>
      <c r="Z204" s="183"/>
      <c r="AA204" s="183"/>
    </row>
    <row r="205" spans="1:27" x14ac:dyDescent="0.25">
      <c r="A205" s="52">
        <v>171</v>
      </c>
      <c r="B205" s="50" t="str">
        <f t="shared" si="129"/>
        <v/>
      </c>
      <c r="C205" s="177"/>
      <c r="D205" s="190" t="str">
        <f t="shared" si="157"/>
        <v>OK</v>
      </c>
      <c r="E205" s="189" t="str">
        <f>IF(ISBLANK(C205),"",AVERAGE(C$35:C205))</f>
        <v/>
      </c>
      <c r="F205" s="185"/>
      <c r="G205" s="185"/>
      <c r="H205" s="185"/>
      <c r="I205" s="181">
        <f t="shared" ref="I205:L205" si="179">I204</f>
        <v>53.893722145136735</v>
      </c>
      <c r="J205" s="181">
        <f t="shared" si="179"/>
        <v>44.882748443098563</v>
      </c>
      <c r="K205" s="181">
        <f t="shared" si="179"/>
        <v>56.146465570646278</v>
      </c>
      <c r="L205" s="181">
        <f t="shared" si="179"/>
        <v>42.630005017589021</v>
      </c>
      <c r="M205" s="181">
        <f t="shared" si="171"/>
        <v>50</v>
      </c>
      <c r="N205" s="181">
        <f t="shared" si="171"/>
        <v>55</v>
      </c>
      <c r="O205" s="181">
        <f t="shared" si="171"/>
        <v>45</v>
      </c>
      <c r="P205" s="181">
        <f t="shared" si="171"/>
        <v>49.388235294117649</v>
      </c>
      <c r="Q205" s="188">
        <f t="shared" si="167"/>
        <v>0</v>
      </c>
      <c r="R205" s="180" t="str">
        <f t="shared" si="137"/>
        <v/>
      </c>
      <c r="S205" s="180" t="str">
        <f t="shared" si="138"/>
        <v/>
      </c>
      <c r="T205" s="180" t="str">
        <f t="shared" si="142"/>
        <v/>
      </c>
      <c r="U205" s="180" t="str">
        <f t="shared" si="143"/>
        <v/>
      </c>
      <c r="V205" s="180" t="str">
        <f t="shared" si="131"/>
        <v/>
      </c>
      <c r="W205" s="180" t="str">
        <f t="shared" si="128"/>
        <v/>
      </c>
      <c r="X205" s="180" t="str">
        <f t="shared" si="132"/>
        <v/>
      </c>
      <c r="Y205" s="183"/>
      <c r="Z205" s="183"/>
      <c r="AA205" s="183"/>
    </row>
    <row r="206" spans="1:27" x14ac:dyDescent="0.25">
      <c r="A206" s="52">
        <v>172</v>
      </c>
      <c r="B206" s="50" t="str">
        <f t="shared" si="129"/>
        <v/>
      </c>
      <c r="C206" s="177"/>
      <c r="D206" s="190" t="str">
        <f t="shared" si="157"/>
        <v>OK</v>
      </c>
      <c r="E206" s="189" t="str">
        <f>IF(ISBLANK(C206),"",AVERAGE(C$35:C206))</f>
        <v/>
      </c>
      <c r="F206" s="185"/>
      <c r="G206" s="185"/>
      <c r="H206" s="185"/>
      <c r="I206" s="181">
        <f t="shared" ref="I206:L206" si="180">I205</f>
        <v>53.893722145136735</v>
      </c>
      <c r="J206" s="181">
        <f t="shared" si="180"/>
        <v>44.882748443098563</v>
      </c>
      <c r="K206" s="181">
        <f t="shared" si="180"/>
        <v>56.146465570646278</v>
      </c>
      <c r="L206" s="181">
        <f t="shared" si="180"/>
        <v>42.630005017589021</v>
      </c>
      <c r="M206" s="181">
        <f t="shared" si="171"/>
        <v>50</v>
      </c>
      <c r="N206" s="181">
        <f t="shared" si="171"/>
        <v>55</v>
      </c>
      <c r="O206" s="181">
        <f t="shared" si="171"/>
        <v>45</v>
      </c>
      <c r="P206" s="181">
        <f t="shared" si="171"/>
        <v>49.388235294117649</v>
      </c>
      <c r="Q206" s="188">
        <f t="shared" si="167"/>
        <v>0</v>
      </c>
      <c r="R206" s="180" t="str">
        <f t="shared" si="137"/>
        <v/>
      </c>
      <c r="S206" s="180" t="str">
        <f t="shared" si="138"/>
        <v/>
      </c>
      <c r="T206" s="180" t="str">
        <f t="shared" si="142"/>
        <v/>
      </c>
      <c r="U206" s="180" t="str">
        <f t="shared" si="143"/>
        <v/>
      </c>
      <c r="V206" s="180" t="str">
        <f t="shared" si="131"/>
        <v/>
      </c>
      <c r="W206" s="180" t="str">
        <f t="shared" si="128"/>
        <v/>
      </c>
      <c r="X206" s="180" t="str">
        <f t="shared" si="132"/>
        <v/>
      </c>
      <c r="Y206" s="183"/>
      <c r="Z206" s="183"/>
      <c r="AA206" s="183"/>
    </row>
    <row r="207" spans="1:27" x14ac:dyDescent="0.25">
      <c r="A207" s="52">
        <v>173</v>
      </c>
      <c r="B207" s="50" t="str">
        <f t="shared" si="129"/>
        <v/>
      </c>
      <c r="C207" s="177"/>
      <c r="D207" s="190" t="str">
        <f t="shared" si="157"/>
        <v>OK</v>
      </c>
      <c r="E207" s="189" t="str">
        <f>IF(ISBLANK(C207),"",AVERAGE(C$35:C207))</f>
        <v/>
      </c>
      <c r="F207" s="185"/>
      <c r="G207" s="185"/>
      <c r="H207" s="185"/>
      <c r="I207" s="181">
        <f t="shared" ref="I207:L207" si="181">I206</f>
        <v>53.893722145136735</v>
      </c>
      <c r="J207" s="181">
        <f t="shared" si="181"/>
        <v>44.882748443098563</v>
      </c>
      <c r="K207" s="181">
        <f t="shared" si="181"/>
        <v>56.146465570646278</v>
      </c>
      <c r="L207" s="181">
        <f t="shared" si="181"/>
        <v>42.630005017589021</v>
      </c>
      <c r="M207" s="181">
        <f t="shared" si="171"/>
        <v>50</v>
      </c>
      <c r="N207" s="181">
        <f t="shared" si="171"/>
        <v>55</v>
      </c>
      <c r="O207" s="181">
        <f t="shared" si="171"/>
        <v>45</v>
      </c>
      <c r="P207" s="181">
        <f t="shared" si="171"/>
        <v>49.388235294117649</v>
      </c>
      <c r="Q207" s="188">
        <f t="shared" si="167"/>
        <v>0</v>
      </c>
      <c r="R207" s="180" t="str">
        <f t="shared" si="137"/>
        <v/>
      </c>
      <c r="S207" s="180" t="str">
        <f t="shared" si="138"/>
        <v/>
      </c>
      <c r="T207" s="180" t="str">
        <f t="shared" si="142"/>
        <v/>
      </c>
      <c r="U207" s="180" t="str">
        <f t="shared" si="143"/>
        <v/>
      </c>
      <c r="V207" s="180" t="str">
        <f t="shared" si="131"/>
        <v/>
      </c>
      <c r="W207" s="180" t="str">
        <f t="shared" si="128"/>
        <v/>
      </c>
      <c r="X207" s="180" t="str">
        <f t="shared" si="132"/>
        <v/>
      </c>
      <c r="Y207" s="183"/>
      <c r="Z207" s="183"/>
      <c r="AA207" s="183"/>
    </row>
    <row r="208" spans="1:27" x14ac:dyDescent="0.25">
      <c r="A208" s="52">
        <v>174</v>
      </c>
      <c r="B208" s="50" t="str">
        <f t="shared" si="129"/>
        <v/>
      </c>
      <c r="C208" s="177"/>
      <c r="D208" s="190" t="str">
        <f t="shared" si="157"/>
        <v>OK</v>
      </c>
      <c r="E208" s="189" t="str">
        <f>IF(ISBLANK(C208),"",AVERAGE(C$35:C208))</f>
        <v/>
      </c>
      <c r="F208" s="185"/>
      <c r="G208" s="185"/>
      <c r="H208" s="185"/>
      <c r="I208" s="181">
        <f t="shared" ref="I208:L208" si="182">I207</f>
        <v>53.893722145136735</v>
      </c>
      <c r="J208" s="181">
        <f t="shared" si="182"/>
        <v>44.882748443098563</v>
      </c>
      <c r="K208" s="181">
        <f t="shared" si="182"/>
        <v>56.146465570646278</v>
      </c>
      <c r="L208" s="181">
        <f t="shared" si="182"/>
        <v>42.630005017589021</v>
      </c>
      <c r="M208" s="181">
        <f t="shared" si="171"/>
        <v>50</v>
      </c>
      <c r="N208" s="181">
        <f t="shared" si="171"/>
        <v>55</v>
      </c>
      <c r="O208" s="181">
        <f t="shared" si="171"/>
        <v>45</v>
      </c>
      <c r="P208" s="181">
        <f t="shared" si="171"/>
        <v>49.388235294117649</v>
      </c>
      <c r="Q208" s="188">
        <f t="shared" si="167"/>
        <v>0</v>
      </c>
      <c r="R208" s="180" t="str">
        <f t="shared" si="137"/>
        <v/>
      </c>
      <c r="S208" s="180" t="str">
        <f t="shared" si="138"/>
        <v/>
      </c>
      <c r="T208" s="180" t="str">
        <f t="shared" si="142"/>
        <v/>
      </c>
      <c r="U208" s="180" t="str">
        <f t="shared" si="143"/>
        <v/>
      </c>
      <c r="V208" s="180" t="str">
        <f t="shared" si="131"/>
        <v/>
      </c>
      <c r="W208" s="180" t="str">
        <f t="shared" si="128"/>
        <v/>
      </c>
      <c r="X208" s="180" t="str">
        <f t="shared" si="132"/>
        <v/>
      </c>
      <c r="Y208" s="183"/>
      <c r="Z208" s="183"/>
      <c r="AA208" s="183"/>
    </row>
    <row r="209" spans="1:27" x14ac:dyDescent="0.25">
      <c r="A209" s="52">
        <v>175</v>
      </c>
      <c r="B209" s="50" t="str">
        <f t="shared" si="129"/>
        <v/>
      </c>
      <c r="C209" s="177"/>
      <c r="D209" s="190" t="str">
        <f t="shared" si="157"/>
        <v>OK</v>
      </c>
      <c r="E209" s="189" t="str">
        <f>IF(ISBLANK(C209),"",AVERAGE(C$35:C209))</f>
        <v/>
      </c>
      <c r="F209" s="185"/>
      <c r="G209" s="185"/>
      <c r="H209" s="185"/>
      <c r="I209" s="181">
        <f t="shared" ref="I209:L209" si="183">I208</f>
        <v>53.893722145136735</v>
      </c>
      <c r="J209" s="181">
        <f t="shared" si="183"/>
        <v>44.882748443098563</v>
      </c>
      <c r="K209" s="181">
        <f t="shared" si="183"/>
        <v>56.146465570646278</v>
      </c>
      <c r="L209" s="181">
        <f t="shared" si="183"/>
        <v>42.630005017589021</v>
      </c>
      <c r="M209" s="181">
        <f t="shared" si="171"/>
        <v>50</v>
      </c>
      <c r="N209" s="181">
        <f t="shared" si="171"/>
        <v>55</v>
      </c>
      <c r="O209" s="181">
        <f t="shared" si="171"/>
        <v>45</v>
      </c>
      <c r="P209" s="181">
        <f t="shared" si="171"/>
        <v>49.388235294117649</v>
      </c>
      <c r="Q209" s="188">
        <f t="shared" si="167"/>
        <v>0</v>
      </c>
      <c r="R209" s="180" t="str">
        <f t="shared" si="137"/>
        <v/>
      </c>
      <c r="S209" s="180" t="str">
        <f t="shared" si="138"/>
        <v/>
      </c>
      <c r="T209" s="180" t="str">
        <f t="shared" si="142"/>
        <v/>
      </c>
      <c r="U209" s="180" t="str">
        <f t="shared" si="143"/>
        <v/>
      </c>
      <c r="V209" s="180" t="str">
        <f t="shared" si="131"/>
        <v/>
      </c>
      <c r="W209" s="180" t="str">
        <f t="shared" si="128"/>
        <v/>
      </c>
      <c r="X209" s="180" t="str">
        <f t="shared" si="132"/>
        <v/>
      </c>
      <c r="Y209" s="183"/>
      <c r="Z209" s="183"/>
      <c r="AA209" s="183"/>
    </row>
    <row r="210" spans="1:27" x14ac:dyDescent="0.25">
      <c r="A210" s="52">
        <v>176</v>
      </c>
      <c r="B210" s="50" t="str">
        <f t="shared" si="129"/>
        <v/>
      </c>
      <c r="C210" s="177"/>
      <c r="D210" s="190" t="str">
        <f t="shared" si="157"/>
        <v>OK</v>
      </c>
      <c r="E210" s="189" t="str">
        <f>IF(ISBLANK(C210),"",AVERAGE(C$35:C210))</f>
        <v/>
      </c>
      <c r="F210" s="185"/>
      <c r="G210" s="185"/>
      <c r="H210" s="185"/>
      <c r="I210" s="181">
        <f t="shared" ref="I210:L210" si="184">I209</f>
        <v>53.893722145136735</v>
      </c>
      <c r="J210" s="181">
        <f t="shared" si="184"/>
        <v>44.882748443098563</v>
      </c>
      <c r="K210" s="181">
        <f t="shared" si="184"/>
        <v>56.146465570646278</v>
      </c>
      <c r="L210" s="181">
        <f t="shared" si="184"/>
        <v>42.630005017589021</v>
      </c>
      <c r="M210" s="181">
        <f t="shared" si="171"/>
        <v>50</v>
      </c>
      <c r="N210" s="181">
        <f t="shared" si="171"/>
        <v>55</v>
      </c>
      <c r="O210" s="181">
        <f t="shared" si="171"/>
        <v>45</v>
      </c>
      <c r="P210" s="181">
        <f t="shared" si="171"/>
        <v>49.388235294117649</v>
      </c>
      <c r="Q210" s="188">
        <f t="shared" si="167"/>
        <v>0</v>
      </c>
      <c r="R210" s="180" t="str">
        <f t="shared" si="137"/>
        <v/>
      </c>
      <c r="S210" s="180" t="str">
        <f t="shared" si="138"/>
        <v/>
      </c>
      <c r="T210" s="180" t="str">
        <f t="shared" si="142"/>
        <v/>
      </c>
      <c r="U210" s="180" t="str">
        <f t="shared" si="143"/>
        <v/>
      </c>
      <c r="V210" s="180" t="str">
        <f t="shared" si="131"/>
        <v/>
      </c>
      <c r="W210" s="180" t="str">
        <f t="shared" si="128"/>
        <v/>
      </c>
      <c r="X210" s="180" t="str">
        <f t="shared" si="132"/>
        <v/>
      </c>
      <c r="Y210" s="183"/>
      <c r="Z210" s="183"/>
      <c r="AA210" s="183"/>
    </row>
    <row r="211" spans="1:27" x14ac:dyDescent="0.25">
      <c r="A211" s="52">
        <v>177</v>
      </c>
      <c r="B211" s="50" t="str">
        <f t="shared" si="129"/>
        <v/>
      </c>
      <c r="C211" s="177"/>
      <c r="D211" s="190" t="str">
        <f t="shared" si="157"/>
        <v>OK</v>
      </c>
      <c r="E211" s="189" t="str">
        <f>IF(ISBLANK(C211),"",AVERAGE(C$35:C211))</f>
        <v/>
      </c>
      <c r="F211" s="185"/>
      <c r="G211" s="185"/>
      <c r="H211" s="185"/>
      <c r="I211" s="181">
        <f t="shared" ref="I211:L211" si="185">I210</f>
        <v>53.893722145136735</v>
      </c>
      <c r="J211" s="181">
        <f t="shared" si="185"/>
        <v>44.882748443098563</v>
      </c>
      <c r="K211" s="181">
        <f t="shared" si="185"/>
        <v>56.146465570646278</v>
      </c>
      <c r="L211" s="181">
        <f t="shared" si="185"/>
        <v>42.630005017589021</v>
      </c>
      <c r="M211" s="181">
        <f t="shared" si="171"/>
        <v>50</v>
      </c>
      <c r="N211" s="181">
        <f t="shared" si="171"/>
        <v>55</v>
      </c>
      <c r="O211" s="181">
        <f t="shared" si="171"/>
        <v>45</v>
      </c>
      <c r="P211" s="181">
        <f t="shared" si="171"/>
        <v>49.388235294117649</v>
      </c>
      <c r="Q211" s="188">
        <f t="shared" si="167"/>
        <v>0</v>
      </c>
      <c r="R211" s="180" t="str">
        <f t="shared" si="137"/>
        <v/>
      </c>
      <c r="S211" s="180" t="str">
        <f t="shared" si="138"/>
        <v/>
      </c>
      <c r="T211" s="180" t="str">
        <f t="shared" si="142"/>
        <v/>
      </c>
      <c r="U211" s="180" t="str">
        <f t="shared" si="143"/>
        <v/>
      </c>
      <c r="V211" s="180" t="str">
        <f t="shared" si="131"/>
        <v/>
      </c>
      <c r="W211" s="180" t="str">
        <f t="shared" si="128"/>
        <v/>
      </c>
      <c r="X211" s="180" t="str">
        <f t="shared" si="132"/>
        <v/>
      </c>
      <c r="Y211" s="183"/>
      <c r="Z211" s="183"/>
      <c r="AA211" s="183"/>
    </row>
    <row r="212" spans="1:27" x14ac:dyDescent="0.25">
      <c r="A212" s="52">
        <v>178</v>
      </c>
      <c r="B212" s="50" t="str">
        <f t="shared" si="129"/>
        <v/>
      </c>
      <c r="C212" s="177"/>
      <c r="D212" s="190" t="str">
        <f t="shared" si="157"/>
        <v>OK</v>
      </c>
      <c r="E212" s="189" t="str">
        <f>IF(ISBLANK(C212),"",AVERAGE(C$35:C212))</f>
        <v/>
      </c>
      <c r="F212" s="185"/>
      <c r="G212" s="185"/>
      <c r="H212" s="185"/>
      <c r="I212" s="181">
        <f t="shared" ref="I212:L212" si="186">I211</f>
        <v>53.893722145136735</v>
      </c>
      <c r="J212" s="181">
        <f t="shared" si="186"/>
        <v>44.882748443098563</v>
      </c>
      <c r="K212" s="181">
        <f t="shared" si="186"/>
        <v>56.146465570646278</v>
      </c>
      <c r="L212" s="181">
        <f t="shared" si="186"/>
        <v>42.630005017589021</v>
      </c>
      <c r="M212" s="181">
        <f t="shared" si="171"/>
        <v>50</v>
      </c>
      <c r="N212" s="181">
        <f t="shared" si="171"/>
        <v>55</v>
      </c>
      <c r="O212" s="181">
        <f t="shared" si="171"/>
        <v>45</v>
      </c>
      <c r="P212" s="181">
        <f t="shared" si="171"/>
        <v>49.388235294117649</v>
      </c>
      <c r="Q212" s="188">
        <f t="shared" si="167"/>
        <v>0</v>
      </c>
      <c r="R212" s="180" t="str">
        <f t="shared" si="137"/>
        <v/>
      </c>
      <c r="S212" s="180" t="str">
        <f t="shared" si="138"/>
        <v/>
      </c>
      <c r="T212" s="180" t="str">
        <f t="shared" si="142"/>
        <v/>
      </c>
      <c r="U212" s="180" t="str">
        <f t="shared" si="143"/>
        <v/>
      </c>
      <c r="V212" s="180" t="str">
        <f t="shared" si="131"/>
        <v/>
      </c>
      <c r="W212" s="180" t="str">
        <f t="shared" si="128"/>
        <v/>
      </c>
      <c r="X212" s="180" t="str">
        <f t="shared" si="132"/>
        <v/>
      </c>
      <c r="Y212" s="183"/>
      <c r="Z212" s="183"/>
      <c r="AA212" s="183"/>
    </row>
    <row r="213" spans="1:27" x14ac:dyDescent="0.25">
      <c r="A213" s="52">
        <v>179</v>
      </c>
      <c r="B213" s="50" t="str">
        <f t="shared" si="129"/>
        <v/>
      </c>
      <c r="C213" s="177"/>
      <c r="D213" s="190" t="str">
        <f t="shared" si="157"/>
        <v>OK</v>
      </c>
      <c r="E213" s="189" t="str">
        <f>IF(ISBLANK(C213),"",AVERAGE(C$35:C213))</f>
        <v/>
      </c>
      <c r="F213" s="185"/>
      <c r="G213" s="185"/>
      <c r="H213" s="185"/>
      <c r="I213" s="181">
        <f t="shared" ref="I213:P228" si="187">I212</f>
        <v>53.893722145136735</v>
      </c>
      <c r="J213" s="181">
        <f t="shared" si="187"/>
        <v>44.882748443098563</v>
      </c>
      <c r="K213" s="181">
        <f t="shared" si="187"/>
        <v>56.146465570646278</v>
      </c>
      <c r="L213" s="181">
        <f t="shared" si="187"/>
        <v>42.630005017589021</v>
      </c>
      <c r="M213" s="181">
        <f t="shared" si="187"/>
        <v>50</v>
      </c>
      <c r="N213" s="181">
        <f t="shared" si="187"/>
        <v>55</v>
      </c>
      <c r="O213" s="181">
        <f t="shared" si="187"/>
        <v>45</v>
      </c>
      <c r="P213" s="181">
        <f t="shared" si="187"/>
        <v>49.388235294117649</v>
      </c>
      <c r="Q213" s="188">
        <f t="shared" si="167"/>
        <v>0</v>
      </c>
      <c r="R213" s="180" t="str">
        <f t="shared" si="137"/>
        <v/>
      </c>
      <c r="S213" s="180" t="str">
        <f t="shared" si="138"/>
        <v/>
      </c>
      <c r="T213" s="180" t="str">
        <f t="shared" si="142"/>
        <v/>
      </c>
      <c r="U213" s="180" t="str">
        <f t="shared" si="143"/>
        <v/>
      </c>
      <c r="V213" s="180" t="str">
        <f t="shared" si="131"/>
        <v/>
      </c>
      <c r="W213" s="180" t="str">
        <f t="shared" si="128"/>
        <v/>
      </c>
      <c r="X213" s="180" t="str">
        <f t="shared" si="132"/>
        <v/>
      </c>
      <c r="Y213" s="183"/>
      <c r="Z213" s="183"/>
      <c r="AA213" s="183"/>
    </row>
    <row r="214" spans="1:27" x14ac:dyDescent="0.25">
      <c r="A214" s="52">
        <v>180</v>
      </c>
      <c r="B214" s="50" t="str">
        <f t="shared" si="129"/>
        <v/>
      </c>
      <c r="C214" s="177"/>
      <c r="D214" s="190" t="str">
        <f t="shared" si="157"/>
        <v>OK</v>
      </c>
      <c r="E214" s="189" t="str">
        <f>IF(ISBLANK(C214),"",AVERAGE(C$35:C214))</f>
        <v/>
      </c>
      <c r="F214" s="185"/>
      <c r="G214" s="185"/>
      <c r="H214" s="185"/>
      <c r="I214" s="181">
        <f t="shared" ref="I214:L214" si="188">I213</f>
        <v>53.893722145136735</v>
      </c>
      <c r="J214" s="181">
        <f t="shared" si="188"/>
        <v>44.882748443098563</v>
      </c>
      <c r="K214" s="181">
        <f t="shared" si="188"/>
        <v>56.146465570646278</v>
      </c>
      <c r="L214" s="181">
        <f t="shared" si="188"/>
        <v>42.630005017589021</v>
      </c>
      <c r="M214" s="181">
        <f t="shared" si="187"/>
        <v>50</v>
      </c>
      <c r="N214" s="181">
        <f t="shared" si="187"/>
        <v>55</v>
      </c>
      <c r="O214" s="181">
        <f t="shared" si="187"/>
        <v>45</v>
      </c>
      <c r="P214" s="181">
        <f t="shared" si="187"/>
        <v>49.388235294117649</v>
      </c>
      <c r="Q214" s="188">
        <f t="shared" si="167"/>
        <v>0</v>
      </c>
      <c r="R214" s="180" t="str">
        <f t="shared" si="137"/>
        <v/>
      </c>
      <c r="S214" s="180" t="str">
        <f t="shared" si="138"/>
        <v/>
      </c>
      <c r="T214" s="180" t="str">
        <f t="shared" si="142"/>
        <v/>
      </c>
      <c r="U214" s="180" t="str">
        <f t="shared" si="143"/>
        <v/>
      </c>
      <c r="V214" s="180" t="str">
        <f t="shared" si="131"/>
        <v/>
      </c>
      <c r="W214" s="180" t="str">
        <f t="shared" si="128"/>
        <v/>
      </c>
      <c r="X214" s="180" t="str">
        <f t="shared" si="132"/>
        <v/>
      </c>
      <c r="Y214" s="183"/>
      <c r="Z214" s="183"/>
      <c r="AA214" s="183"/>
    </row>
    <row r="215" spans="1:27" x14ac:dyDescent="0.25">
      <c r="A215" s="52">
        <v>181</v>
      </c>
      <c r="B215" s="50" t="str">
        <f t="shared" si="129"/>
        <v/>
      </c>
      <c r="C215" s="177"/>
      <c r="D215" s="190" t="str">
        <f t="shared" si="157"/>
        <v>OK</v>
      </c>
      <c r="E215" s="189" t="str">
        <f>IF(ISBLANK(C215),"",AVERAGE(C$35:C215))</f>
        <v/>
      </c>
      <c r="F215" s="185"/>
      <c r="G215" s="185"/>
      <c r="H215" s="185"/>
      <c r="I215" s="181">
        <f t="shared" ref="I215:L215" si="189">I214</f>
        <v>53.893722145136735</v>
      </c>
      <c r="J215" s="181">
        <f t="shared" si="189"/>
        <v>44.882748443098563</v>
      </c>
      <c r="K215" s="181">
        <f t="shared" si="189"/>
        <v>56.146465570646278</v>
      </c>
      <c r="L215" s="181">
        <f t="shared" si="189"/>
        <v>42.630005017589021</v>
      </c>
      <c r="M215" s="181">
        <f t="shared" si="187"/>
        <v>50</v>
      </c>
      <c r="N215" s="181">
        <f t="shared" si="187"/>
        <v>55</v>
      </c>
      <c r="O215" s="181">
        <f t="shared" si="187"/>
        <v>45</v>
      </c>
      <c r="P215" s="181">
        <f t="shared" si="187"/>
        <v>49.388235294117649</v>
      </c>
      <c r="Q215" s="188">
        <f t="shared" si="167"/>
        <v>0</v>
      </c>
      <c r="R215" s="180" t="str">
        <f t="shared" si="137"/>
        <v/>
      </c>
      <c r="S215" s="180" t="str">
        <f t="shared" si="138"/>
        <v/>
      </c>
      <c r="T215" s="180" t="str">
        <f t="shared" si="142"/>
        <v/>
      </c>
      <c r="U215" s="180" t="str">
        <f t="shared" si="143"/>
        <v/>
      </c>
      <c r="V215" s="180" t="str">
        <f t="shared" si="131"/>
        <v/>
      </c>
      <c r="W215" s="180" t="str">
        <f t="shared" si="128"/>
        <v/>
      </c>
      <c r="X215" s="180" t="str">
        <f t="shared" si="132"/>
        <v/>
      </c>
      <c r="Y215" s="183"/>
      <c r="Z215" s="183"/>
      <c r="AA215" s="183"/>
    </row>
    <row r="216" spans="1:27" x14ac:dyDescent="0.25">
      <c r="A216" s="52">
        <v>182</v>
      </c>
      <c r="B216" s="50" t="str">
        <f t="shared" si="129"/>
        <v/>
      </c>
      <c r="C216" s="177"/>
      <c r="D216" s="190" t="str">
        <f t="shared" si="157"/>
        <v>OK</v>
      </c>
      <c r="E216" s="189" t="str">
        <f>IF(ISBLANK(C216),"",AVERAGE(C$35:C216))</f>
        <v/>
      </c>
      <c r="F216" s="185"/>
      <c r="G216" s="185"/>
      <c r="H216" s="185"/>
      <c r="I216" s="181">
        <f t="shared" ref="I216:L216" si="190">I215</f>
        <v>53.893722145136735</v>
      </c>
      <c r="J216" s="181">
        <f t="shared" si="190"/>
        <v>44.882748443098563</v>
      </c>
      <c r="K216" s="181">
        <f t="shared" si="190"/>
        <v>56.146465570646278</v>
      </c>
      <c r="L216" s="181">
        <f t="shared" si="190"/>
        <v>42.630005017589021</v>
      </c>
      <c r="M216" s="181">
        <f t="shared" si="187"/>
        <v>50</v>
      </c>
      <c r="N216" s="181">
        <f t="shared" si="187"/>
        <v>55</v>
      </c>
      <c r="O216" s="181">
        <f t="shared" si="187"/>
        <v>45</v>
      </c>
      <c r="P216" s="181">
        <f t="shared" si="187"/>
        <v>49.388235294117649</v>
      </c>
      <c r="Q216" s="188">
        <f t="shared" si="167"/>
        <v>0</v>
      </c>
      <c r="R216" s="180" t="str">
        <f t="shared" si="137"/>
        <v/>
      </c>
      <c r="S216" s="180" t="str">
        <f t="shared" si="138"/>
        <v/>
      </c>
      <c r="T216" s="180" t="str">
        <f t="shared" si="142"/>
        <v/>
      </c>
      <c r="U216" s="180" t="str">
        <f t="shared" si="143"/>
        <v/>
      </c>
      <c r="V216" s="180" t="str">
        <f t="shared" si="131"/>
        <v/>
      </c>
      <c r="W216" s="180" t="str">
        <f t="shared" si="128"/>
        <v/>
      </c>
      <c r="X216" s="180" t="str">
        <f t="shared" si="132"/>
        <v/>
      </c>
      <c r="Y216" s="183"/>
      <c r="Z216" s="183"/>
      <c r="AA216" s="183"/>
    </row>
    <row r="217" spans="1:27" x14ac:dyDescent="0.25">
      <c r="A217" s="52">
        <v>183</v>
      </c>
      <c r="B217" s="50" t="str">
        <f t="shared" si="129"/>
        <v/>
      </c>
      <c r="C217" s="177"/>
      <c r="D217" s="190" t="str">
        <f t="shared" si="157"/>
        <v>OK</v>
      </c>
      <c r="E217" s="189" t="str">
        <f>IF(ISBLANK(C217),"",AVERAGE(C$35:C217))</f>
        <v/>
      </c>
      <c r="F217" s="185"/>
      <c r="G217" s="185"/>
      <c r="H217" s="185"/>
      <c r="I217" s="181">
        <f t="shared" ref="I217:L217" si="191">I216</f>
        <v>53.893722145136735</v>
      </c>
      <c r="J217" s="181">
        <f t="shared" si="191"/>
        <v>44.882748443098563</v>
      </c>
      <c r="K217" s="181">
        <f t="shared" si="191"/>
        <v>56.146465570646278</v>
      </c>
      <c r="L217" s="181">
        <f t="shared" si="191"/>
        <v>42.630005017589021</v>
      </c>
      <c r="M217" s="181">
        <f t="shared" si="187"/>
        <v>50</v>
      </c>
      <c r="N217" s="181">
        <f t="shared" si="187"/>
        <v>55</v>
      </c>
      <c r="O217" s="181">
        <f t="shared" si="187"/>
        <v>45</v>
      </c>
      <c r="P217" s="181">
        <f t="shared" si="187"/>
        <v>49.388235294117649</v>
      </c>
      <c r="Q217" s="188">
        <f t="shared" si="167"/>
        <v>0</v>
      </c>
      <c r="R217" s="180" t="str">
        <f t="shared" si="137"/>
        <v/>
      </c>
      <c r="S217" s="180" t="str">
        <f t="shared" si="138"/>
        <v/>
      </c>
      <c r="T217" s="180" t="str">
        <f t="shared" si="142"/>
        <v/>
      </c>
      <c r="U217" s="180" t="str">
        <f t="shared" si="143"/>
        <v/>
      </c>
      <c r="V217" s="180" t="str">
        <f t="shared" si="131"/>
        <v/>
      </c>
      <c r="W217" s="180" t="str">
        <f t="shared" si="128"/>
        <v/>
      </c>
      <c r="X217" s="180" t="str">
        <f t="shared" si="132"/>
        <v/>
      </c>
      <c r="Y217" s="183"/>
      <c r="Z217" s="183"/>
      <c r="AA217" s="183"/>
    </row>
    <row r="218" spans="1:27" x14ac:dyDescent="0.25">
      <c r="A218" s="52">
        <v>184</v>
      </c>
      <c r="B218" s="50" t="str">
        <f t="shared" si="129"/>
        <v/>
      </c>
      <c r="C218" s="177"/>
      <c r="D218" s="190" t="str">
        <f t="shared" si="157"/>
        <v>OK</v>
      </c>
      <c r="E218" s="189" t="str">
        <f>IF(ISBLANK(C218),"",AVERAGE(C$35:C218))</f>
        <v/>
      </c>
      <c r="F218" s="185"/>
      <c r="G218" s="185"/>
      <c r="H218" s="185"/>
      <c r="I218" s="181">
        <f t="shared" ref="I218:L218" si="192">I217</f>
        <v>53.893722145136735</v>
      </c>
      <c r="J218" s="181">
        <f t="shared" si="192"/>
        <v>44.882748443098563</v>
      </c>
      <c r="K218" s="181">
        <f t="shared" si="192"/>
        <v>56.146465570646278</v>
      </c>
      <c r="L218" s="181">
        <f t="shared" si="192"/>
        <v>42.630005017589021</v>
      </c>
      <c r="M218" s="181">
        <f t="shared" si="187"/>
        <v>50</v>
      </c>
      <c r="N218" s="181">
        <f t="shared" si="187"/>
        <v>55</v>
      </c>
      <c r="O218" s="181">
        <f t="shared" si="187"/>
        <v>45</v>
      </c>
      <c r="P218" s="181">
        <f t="shared" si="187"/>
        <v>49.388235294117649</v>
      </c>
      <c r="Q218" s="188">
        <f t="shared" si="167"/>
        <v>0</v>
      </c>
      <c r="R218" s="180" t="str">
        <f t="shared" si="137"/>
        <v/>
      </c>
      <c r="S218" s="180" t="str">
        <f t="shared" si="138"/>
        <v/>
      </c>
      <c r="T218" s="180" t="str">
        <f t="shared" si="142"/>
        <v/>
      </c>
      <c r="U218" s="180" t="str">
        <f t="shared" si="143"/>
        <v/>
      </c>
      <c r="V218" s="180" t="str">
        <f t="shared" si="131"/>
        <v/>
      </c>
      <c r="W218" s="180" t="str">
        <f t="shared" si="128"/>
        <v/>
      </c>
      <c r="X218" s="180" t="str">
        <f t="shared" si="132"/>
        <v/>
      </c>
      <c r="Y218" s="183"/>
      <c r="Z218" s="183"/>
      <c r="AA218" s="183"/>
    </row>
    <row r="219" spans="1:27" x14ac:dyDescent="0.25">
      <c r="A219" s="52">
        <v>185</v>
      </c>
      <c r="B219" s="50" t="str">
        <f t="shared" si="129"/>
        <v/>
      </c>
      <c r="C219" s="177"/>
      <c r="D219" s="190" t="str">
        <f t="shared" si="157"/>
        <v>OK</v>
      </c>
      <c r="E219" s="189" t="str">
        <f>IF(ISBLANK(C219),"",AVERAGE(C$35:C219))</f>
        <v/>
      </c>
      <c r="F219" s="185"/>
      <c r="G219" s="185"/>
      <c r="H219" s="185"/>
      <c r="I219" s="181">
        <f t="shared" ref="I219:L219" si="193">I218</f>
        <v>53.893722145136735</v>
      </c>
      <c r="J219" s="181">
        <f t="shared" si="193"/>
        <v>44.882748443098563</v>
      </c>
      <c r="K219" s="181">
        <f t="shared" si="193"/>
        <v>56.146465570646278</v>
      </c>
      <c r="L219" s="181">
        <f t="shared" si="193"/>
        <v>42.630005017589021</v>
      </c>
      <c r="M219" s="181">
        <f t="shared" si="187"/>
        <v>50</v>
      </c>
      <c r="N219" s="181">
        <f t="shared" si="187"/>
        <v>55</v>
      </c>
      <c r="O219" s="181">
        <f t="shared" si="187"/>
        <v>45</v>
      </c>
      <c r="P219" s="181">
        <f t="shared" si="187"/>
        <v>49.388235294117649</v>
      </c>
      <c r="Q219" s="188">
        <f t="shared" si="167"/>
        <v>0</v>
      </c>
      <c r="R219" s="180" t="str">
        <f t="shared" si="137"/>
        <v/>
      </c>
      <c r="S219" s="180" t="str">
        <f t="shared" si="138"/>
        <v/>
      </c>
      <c r="T219" s="180" t="str">
        <f t="shared" si="142"/>
        <v/>
      </c>
      <c r="U219" s="180" t="str">
        <f t="shared" si="143"/>
        <v/>
      </c>
      <c r="V219" s="180" t="str">
        <f t="shared" si="131"/>
        <v/>
      </c>
      <c r="W219" s="180" t="str">
        <f t="shared" si="128"/>
        <v/>
      </c>
      <c r="X219" s="180" t="str">
        <f t="shared" si="132"/>
        <v/>
      </c>
      <c r="Y219" s="183"/>
      <c r="Z219" s="183"/>
      <c r="AA219" s="183"/>
    </row>
    <row r="220" spans="1:27" x14ac:dyDescent="0.25">
      <c r="A220" s="52">
        <v>186</v>
      </c>
      <c r="B220" s="50" t="str">
        <f t="shared" si="129"/>
        <v/>
      </c>
      <c r="C220" s="177"/>
      <c r="D220" s="190" t="str">
        <f t="shared" si="157"/>
        <v>OK</v>
      </c>
      <c r="E220" s="189" t="str">
        <f>IF(ISBLANK(C220),"",AVERAGE(C$35:C220))</f>
        <v/>
      </c>
      <c r="F220" s="185"/>
      <c r="G220" s="185"/>
      <c r="H220" s="185"/>
      <c r="I220" s="181">
        <f t="shared" ref="I220:L220" si="194">I219</f>
        <v>53.893722145136735</v>
      </c>
      <c r="J220" s="181">
        <f t="shared" si="194"/>
        <v>44.882748443098563</v>
      </c>
      <c r="K220" s="181">
        <f t="shared" si="194"/>
        <v>56.146465570646278</v>
      </c>
      <c r="L220" s="181">
        <f t="shared" si="194"/>
        <v>42.630005017589021</v>
      </c>
      <c r="M220" s="181">
        <f t="shared" si="187"/>
        <v>50</v>
      </c>
      <c r="N220" s="181">
        <f t="shared" si="187"/>
        <v>55</v>
      </c>
      <c r="O220" s="181">
        <f t="shared" si="187"/>
        <v>45</v>
      </c>
      <c r="P220" s="181">
        <f t="shared" si="187"/>
        <v>49.388235294117649</v>
      </c>
      <c r="Q220" s="188">
        <f t="shared" si="167"/>
        <v>0</v>
      </c>
      <c r="R220" s="180" t="str">
        <f t="shared" si="137"/>
        <v/>
      </c>
      <c r="S220" s="180" t="str">
        <f t="shared" si="138"/>
        <v/>
      </c>
      <c r="T220" s="180" t="str">
        <f t="shared" si="142"/>
        <v/>
      </c>
      <c r="U220" s="180" t="str">
        <f t="shared" si="143"/>
        <v/>
      </c>
      <c r="V220" s="180" t="str">
        <f t="shared" si="131"/>
        <v/>
      </c>
      <c r="W220" s="180" t="str">
        <f t="shared" si="128"/>
        <v/>
      </c>
      <c r="X220" s="180" t="str">
        <f t="shared" si="132"/>
        <v/>
      </c>
      <c r="Y220" s="183"/>
      <c r="Z220" s="183"/>
      <c r="AA220" s="183"/>
    </row>
    <row r="221" spans="1:27" x14ac:dyDescent="0.25">
      <c r="A221" s="52">
        <v>187</v>
      </c>
      <c r="B221" s="50" t="str">
        <f t="shared" si="129"/>
        <v/>
      </c>
      <c r="C221" s="177"/>
      <c r="D221" s="190" t="str">
        <f t="shared" si="157"/>
        <v>OK</v>
      </c>
      <c r="E221" s="189" t="str">
        <f>IF(ISBLANK(C221),"",AVERAGE(C$35:C221))</f>
        <v/>
      </c>
      <c r="F221" s="185"/>
      <c r="G221" s="185"/>
      <c r="H221" s="185"/>
      <c r="I221" s="181">
        <f t="shared" ref="I221:L221" si="195">I220</f>
        <v>53.893722145136735</v>
      </c>
      <c r="J221" s="181">
        <f t="shared" si="195"/>
        <v>44.882748443098563</v>
      </c>
      <c r="K221" s="181">
        <f t="shared" si="195"/>
        <v>56.146465570646278</v>
      </c>
      <c r="L221" s="181">
        <f t="shared" si="195"/>
        <v>42.630005017589021</v>
      </c>
      <c r="M221" s="181">
        <f t="shared" si="187"/>
        <v>50</v>
      </c>
      <c r="N221" s="181">
        <f t="shared" si="187"/>
        <v>55</v>
      </c>
      <c r="O221" s="181">
        <f t="shared" si="187"/>
        <v>45</v>
      </c>
      <c r="P221" s="181">
        <f t="shared" si="187"/>
        <v>49.388235294117649</v>
      </c>
      <c r="Q221" s="188">
        <f t="shared" si="167"/>
        <v>0</v>
      </c>
      <c r="R221" s="180" t="str">
        <f t="shared" si="137"/>
        <v/>
      </c>
      <c r="S221" s="180" t="str">
        <f t="shared" si="138"/>
        <v/>
      </c>
      <c r="T221" s="180" t="str">
        <f t="shared" si="142"/>
        <v/>
      </c>
      <c r="U221" s="180" t="str">
        <f t="shared" si="143"/>
        <v/>
      </c>
      <c r="V221" s="180" t="str">
        <f t="shared" si="131"/>
        <v/>
      </c>
      <c r="W221" s="180" t="str">
        <f t="shared" si="128"/>
        <v/>
      </c>
      <c r="X221" s="180" t="str">
        <f t="shared" si="132"/>
        <v/>
      </c>
      <c r="Y221" s="183"/>
      <c r="Z221" s="183"/>
      <c r="AA221" s="183"/>
    </row>
    <row r="222" spans="1:27" x14ac:dyDescent="0.25">
      <c r="A222" s="52">
        <v>188</v>
      </c>
      <c r="B222" s="50" t="str">
        <f t="shared" si="129"/>
        <v/>
      </c>
      <c r="C222" s="177"/>
      <c r="D222" s="190" t="str">
        <f t="shared" si="157"/>
        <v>OK</v>
      </c>
      <c r="E222" s="189" t="str">
        <f>IF(ISBLANK(C222),"",AVERAGE(C$35:C222))</f>
        <v/>
      </c>
      <c r="F222" s="185"/>
      <c r="G222" s="185"/>
      <c r="H222" s="185"/>
      <c r="I222" s="181">
        <f t="shared" ref="I222:L222" si="196">I221</f>
        <v>53.893722145136735</v>
      </c>
      <c r="J222" s="181">
        <f t="shared" si="196"/>
        <v>44.882748443098563</v>
      </c>
      <c r="K222" s="181">
        <f t="shared" si="196"/>
        <v>56.146465570646278</v>
      </c>
      <c r="L222" s="181">
        <f t="shared" si="196"/>
        <v>42.630005017589021</v>
      </c>
      <c r="M222" s="181">
        <f t="shared" si="187"/>
        <v>50</v>
      </c>
      <c r="N222" s="181">
        <f t="shared" si="187"/>
        <v>55</v>
      </c>
      <c r="O222" s="181">
        <f t="shared" si="187"/>
        <v>45</v>
      </c>
      <c r="P222" s="181">
        <f t="shared" si="187"/>
        <v>49.388235294117649</v>
      </c>
      <c r="Q222" s="188">
        <f t="shared" si="167"/>
        <v>0</v>
      </c>
      <c r="R222" s="180" t="str">
        <f t="shared" si="137"/>
        <v/>
      </c>
      <c r="S222" s="180" t="str">
        <f t="shared" si="138"/>
        <v/>
      </c>
      <c r="T222" s="180" t="str">
        <f t="shared" si="142"/>
        <v/>
      </c>
      <c r="U222" s="180" t="str">
        <f t="shared" si="143"/>
        <v/>
      </c>
      <c r="V222" s="180" t="str">
        <f t="shared" si="131"/>
        <v/>
      </c>
      <c r="W222" s="180" t="str">
        <f t="shared" si="128"/>
        <v/>
      </c>
      <c r="X222" s="180" t="str">
        <f t="shared" si="132"/>
        <v/>
      </c>
      <c r="Y222" s="183"/>
      <c r="Z222" s="183"/>
      <c r="AA222" s="183"/>
    </row>
    <row r="223" spans="1:27" x14ac:dyDescent="0.25">
      <c r="A223" s="52">
        <v>189</v>
      </c>
      <c r="B223" s="50" t="str">
        <f t="shared" si="129"/>
        <v/>
      </c>
      <c r="C223" s="177"/>
      <c r="D223" s="190" t="str">
        <f t="shared" si="157"/>
        <v>OK</v>
      </c>
      <c r="E223" s="189" t="str">
        <f>IF(ISBLANK(C223),"",AVERAGE(C$35:C223))</f>
        <v/>
      </c>
      <c r="F223" s="185"/>
      <c r="G223" s="185"/>
      <c r="H223" s="185"/>
      <c r="I223" s="181">
        <f t="shared" ref="I223:L223" si="197">I222</f>
        <v>53.893722145136735</v>
      </c>
      <c r="J223" s="181">
        <f t="shared" si="197"/>
        <v>44.882748443098563</v>
      </c>
      <c r="K223" s="181">
        <f t="shared" si="197"/>
        <v>56.146465570646278</v>
      </c>
      <c r="L223" s="181">
        <f t="shared" si="197"/>
        <v>42.630005017589021</v>
      </c>
      <c r="M223" s="181">
        <f t="shared" si="187"/>
        <v>50</v>
      </c>
      <c r="N223" s="181">
        <f t="shared" si="187"/>
        <v>55</v>
      </c>
      <c r="O223" s="181">
        <f t="shared" si="187"/>
        <v>45</v>
      </c>
      <c r="P223" s="181">
        <f t="shared" si="187"/>
        <v>49.388235294117649</v>
      </c>
      <c r="Q223" s="188">
        <f t="shared" si="167"/>
        <v>0</v>
      </c>
      <c r="R223" s="180" t="str">
        <f t="shared" si="137"/>
        <v/>
      </c>
      <c r="S223" s="180" t="str">
        <f t="shared" si="138"/>
        <v/>
      </c>
      <c r="T223" s="180" t="str">
        <f t="shared" si="142"/>
        <v/>
      </c>
      <c r="U223" s="180" t="str">
        <f t="shared" si="143"/>
        <v/>
      </c>
      <c r="V223" s="180" t="str">
        <f t="shared" si="131"/>
        <v/>
      </c>
      <c r="W223" s="180" t="str">
        <f t="shared" si="128"/>
        <v/>
      </c>
      <c r="X223" s="180" t="str">
        <f t="shared" si="132"/>
        <v/>
      </c>
      <c r="Y223" s="183"/>
      <c r="Z223" s="183"/>
      <c r="AA223" s="183"/>
    </row>
    <row r="224" spans="1:27" x14ac:dyDescent="0.25">
      <c r="A224" s="52">
        <v>190</v>
      </c>
      <c r="B224" s="50" t="str">
        <f t="shared" si="129"/>
        <v/>
      </c>
      <c r="C224" s="177"/>
      <c r="D224" s="190" t="str">
        <f t="shared" si="157"/>
        <v>OK</v>
      </c>
      <c r="E224" s="189" t="str">
        <f>IF(ISBLANK(C224),"",AVERAGE(C$35:C224))</f>
        <v/>
      </c>
      <c r="F224" s="185"/>
      <c r="G224" s="185"/>
      <c r="H224" s="185"/>
      <c r="I224" s="181">
        <f t="shared" ref="I224:L224" si="198">I223</f>
        <v>53.893722145136735</v>
      </c>
      <c r="J224" s="181">
        <f t="shared" si="198"/>
        <v>44.882748443098563</v>
      </c>
      <c r="K224" s="181">
        <f t="shared" si="198"/>
        <v>56.146465570646278</v>
      </c>
      <c r="L224" s="181">
        <f t="shared" si="198"/>
        <v>42.630005017589021</v>
      </c>
      <c r="M224" s="181">
        <f t="shared" si="187"/>
        <v>50</v>
      </c>
      <c r="N224" s="181">
        <f t="shared" si="187"/>
        <v>55</v>
      </c>
      <c r="O224" s="181">
        <f t="shared" si="187"/>
        <v>45</v>
      </c>
      <c r="P224" s="181">
        <f t="shared" si="187"/>
        <v>49.388235294117649</v>
      </c>
      <c r="Q224" s="188">
        <f t="shared" si="167"/>
        <v>0</v>
      </c>
      <c r="R224" s="180" t="str">
        <f t="shared" si="137"/>
        <v/>
      </c>
      <c r="S224" s="180" t="str">
        <f t="shared" si="138"/>
        <v/>
      </c>
      <c r="T224" s="180" t="str">
        <f t="shared" si="142"/>
        <v/>
      </c>
      <c r="U224" s="180" t="str">
        <f t="shared" si="143"/>
        <v/>
      </c>
      <c r="V224" s="180" t="str">
        <f t="shared" si="131"/>
        <v/>
      </c>
      <c r="W224" s="180" t="str">
        <f t="shared" si="128"/>
        <v/>
      </c>
      <c r="X224" s="180" t="str">
        <f t="shared" si="132"/>
        <v/>
      </c>
      <c r="Y224" s="183"/>
      <c r="Z224" s="183"/>
      <c r="AA224" s="183"/>
    </row>
    <row r="225" spans="1:27" x14ac:dyDescent="0.25">
      <c r="A225" s="52">
        <v>191</v>
      </c>
      <c r="B225" s="50" t="str">
        <f t="shared" si="129"/>
        <v/>
      </c>
      <c r="C225" s="177"/>
      <c r="D225" s="190" t="str">
        <f t="shared" si="157"/>
        <v>OK</v>
      </c>
      <c r="E225" s="189" t="str">
        <f>IF(ISBLANK(C225),"",AVERAGE(C$35:C225))</f>
        <v/>
      </c>
      <c r="F225" s="185"/>
      <c r="G225" s="185"/>
      <c r="H225" s="185"/>
      <c r="I225" s="181">
        <f t="shared" ref="I225:L225" si="199">I224</f>
        <v>53.893722145136735</v>
      </c>
      <c r="J225" s="181">
        <f t="shared" si="199"/>
        <v>44.882748443098563</v>
      </c>
      <c r="K225" s="181">
        <f t="shared" si="199"/>
        <v>56.146465570646278</v>
      </c>
      <c r="L225" s="181">
        <f t="shared" si="199"/>
        <v>42.630005017589021</v>
      </c>
      <c r="M225" s="181">
        <f t="shared" si="187"/>
        <v>50</v>
      </c>
      <c r="N225" s="181">
        <f t="shared" si="187"/>
        <v>55</v>
      </c>
      <c r="O225" s="181">
        <f t="shared" si="187"/>
        <v>45</v>
      </c>
      <c r="P225" s="181">
        <f t="shared" si="187"/>
        <v>49.388235294117649</v>
      </c>
      <c r="Q225" s="188">
        <f t="shared" si="167"/>
        <v>0</v>
      </c>
      <c r="R225" s="180" t="str">
        <f t="shared" si="137"/>
        <v/>
      </c>
      <c r="S225" s="180" t="str">
        <f t="shared" si="138"/>
        <v/>
      </c>
      <c r="T225" s="180" t="str">
        <f t="shared" si="142"/>
        <v/>
      </c>
      <c r="U225" s="180" t="str">
        <f t="shared" si="143"/>
        <v/>
      </c>
      <c r="V225" s="180" t="str">
        <f t="shared" si="131"/>
        <v/>
      </c>
      <c r="W225" s="180" t="str">
        <f t="shared" si="128"/>
        <v/>
      </c>
      <c r="X225" s="180" t="str">
        <f t="shared" si="132"/>
        <v/>
      </c>
      <c r="Y225" s="183"/>
      <c r="Z225" s="183"/>
      <c r="AA225" s="183"/>
    </row>
    <row r="226" spans="1:27" x14ac:dyDescent="0.25">
      <c r="A226" s="52">
        <v>192</v>
      </c>
      <c r="B226" s="50" t="str">
        <f t="shared" si="129"/>
        <v/>
      </c>
      <c r="C226" s="177"/>
      <c r="D226" s="190" t="str">
        <f t="shared" si="157"/>
        <v>OK</v>
      </c>
      <c r="E226" s="189" t="str">
        <f>IF(ISBLANK(C226),"",AVERAGE(C$35:C226))</f>
        <v/>
      </c>
      <c r="F226" s="185"/>
      <c r="G226" s="185"/>
      <c r="H226" s="185"/>
      <c r="I226" s="181">
        <f t="shared" ref="I226:L226" si="200">I225</f>
        <v>53.893722145136735</v>
      </c>
      <c r="J226" s="181">
        <f t="shared" si="200"/>
        <v>44.882748443098563</v>
      </c>
      <c r="K226" s="181">
        <f t="shared" si="200"/>
        <v>56.146465570646278</v>
      </c>
      <c r="L226" s="181">
        <f t="shared" si="200"/>
        <v>42.630005017589021</v>
      </c>
      <c r="M226" s="181">
        <f t="shared" si="187"/>
        <v>50</v>
      </c>
      <c r="N226" s="181">
        <f t="shared" si="187"/>
        <v>55</v>
      </c>
      <c r="O226" s="181">
        <f t="shared" si="187"/>
        <v>45</v>
      </c>
      <c r="P226" s="181">
        <f t="shared" si="187"/>
        <v>49.388235294117649</v>
      </c>
      <c r="Q226" s="188">
        <f t="shared" si="167"/>
        <v>0</v>
      </c>
      <c r="R226" s="180" t="str">
        <f t="shared" si="137"/>
        <v/>
      </c>
      <c r="S226" s="180" t="str">
        <f t="shared" si="138"/>
        <v/>
      </c>
      <c r="T226" s="180" t="str">
        <f t="shared" si="142"/>
        <v/>
      </c>
      <c r="U226" s="180" t="str">
        <f t="shared" si="143"/>
        <v/>
      </c>
      <c r="V226" s="180" t="str">
        <f t="shared" si="131"/>
        <v/>
      </c>
      <c r="W226" s="180" t="str">
        <f t="shared" si="128"/>
        <v/>
      </c>
      <c r="X226" s="180" t="str">
        <f t="shared" si="132"/>
        <v/>
      </c>
      <c r="Y226" s="183"/>
      <c r="Z226" s="183"/>
      <c r="AA226" s="183"/>
    </row>
    <row r="227" spans="1:27" x14ac:dyDescent="0.25">
      <c r="A227" s="52">
        <v>193</v>
      </c>
      <c r="B227" s="50" t="str">
        <f t="shared" si="129"/>
        <v/>
      </c>
      <c r="C227" s="177"/>
      <c r="D227" s="190" t="str">
        <f t="shared" si="157"/>
        <v>OK</v>
      </c>
      <c r="E227" s="189" t="str">
        <f>IF(ISBLANK(C227),"",AVERAGE(C$35:C227))</f>
        <v/>
      </c>
      <c r="F227" s="185"/>
      <c r="G227" s="185"/>
      <c r="H227" s="185"/>
      <c r="I227" s="181">
        <f t="shared" ref="I227:L227" si="201">I226</f>
        <v>53.893722145136735</v>
      </c>
      <c r="J227" s="181">
        <f t="shared" si="201"/>
        <v>44.882748443098563</v>
      </c>
      <c r="K227" s="181">
        <f t="shared" si="201"/>
        <v>56.146465570646278</v>
      </c>
      <c r="L227" s="181">
        <f t="shared" si="201"/>
        <v>42.630005017589021</v>
      </c>
      <c r="M227" s="181">
        <f t="shared" si="187"/>
        <v>50</v>
      </c>
      <c r="N227" s="181">
        <f t="shared" si="187"/>
        <v>55</v>
      </c>
      <c r="O227" s="181">
        <f t="shared" si="187"/>
        <v>45</v>
      </c>
      <c r="P227" s="181">
        <f t="shared" si="187"/>
        <v>49.388235294117649</v>
      </c>
      <c r="Q227" s="188">
        <f t="shared" si="167"/>
        <v>0</v>
      </c>
      <c r="R227" s="180" t="str">
        <f t="shared" si="137"/>
        <v/>
      </c>
      <c r="S227" s="180" t="str">
        <f t="shared" si="138"/>
        <v/>
      </c>
      <c r="T227" s="180" t="str">
        <f t="shared" si="142"/>
        <v/>
      </c>
      <c r="U227" s="180" t="str">
        <f t="shared" si="143"/>
        <v/>
      </c>
      <c r="V227" s="180" t="str">
        <f t="shared" si="131"/>
        <v/>
      </c>
      <c r="W227" s="180" t="str">
        <f t="shared" ref="W227:W290" si="202">IF(C227&gt;N227,IF(C227&lt;O227,6,""),"")</f>
        <v/>
      </c>
      <c r="X227" s="180" t="str">
        <f t="shared" si="132"/>
        <v/>
      </c>
      <c r="Y227" s="183"/>
      <c r="Z227" s="183"/>
      <c r="AA227" s="183"/>
    </row>
    <row r="228" spans="1:27" x14ac:dyDescent="0.25">
      <c r="A228" s="52">
        <v>194</v>
      </c>
      <c r="B228" s="50" t="str">
        <f t="shared" ref="B228:B291" si="203">IF(ISNUMBER(C228),A228,"")</f>
        <v/>
      </c>
      <c r="C228" s="177"/>
      <c r="D228" s="190" t="str">
        <f t="shared" si="157"/>
        <v>OK</v>
      </c>
      <c r="E228" s="189" t="str">
        <f>IF(ISBLANK(C228),"",AVERAGE(C$35:C228))</f>
        <v/>
      </c>
      <c r="F228" s="185"/>
      <c r="G228" s="185"/>
      <c r="H228" s="185"/>
      <c r="I228" s="181">
        <f t="shared" ref="I228:L228" si="204">I227</f>
        <v>53.893722145136735</v>
      </c>
      <c r="J228" s="181">
        <f t="shared" si="204"/>
        <v>44.882748443098563</v>
      </c>
      <c r="K228" s="181">
        <f t="shared" si="204"/>
        <v>56.146465570646278</v>
      </c>
      <c r="L228" s="181">
        <f t="shared" si="204"/>
        <v>42.630005017589021</v>
      </c>
      <c r="M228" s="181">
        <f t="shared" si="187"/>
        <v>50</v>
      </c>
      <c r="N228" s="181">
        <f t="shared" si="187"/>
        <v>55</v>
      </c>
      <c r="O228" s="181">
        <f t="shared" si="187"/>
        <v>45</v>
      </c>
      <c r="P228" s="181">
        <f t="shared" si="187"/>
        <v>49.388235294117649</v>
      </c>
      <c r="Q228" s="188">
        <f t="shared" si="167"/>
        <v>0</v>
      </c>
      <c r="R228" s="180" t="str">
        <f t="shared" si="137"/>
        <v/>
      </c>
      <c r="S228" s="180" t="str">
        <f t="shared" si="138"/>
        <v/>
      </c>
      <c r="T228" s="180" t="str">
        <f t="shared" si="142"/>
        <v/>
      </c>
      <c r="U228" s="180" t="str">
        <f t="shared" si="143"/>
        <v/>
      </c>
      <c r="V228" s="180" t="str">
        <f t="shared" ref="V228:V291" si="205">IF(ISNUMBER(C228),IF(ABS(C228-C227)&gt;4*$C$5,5,""),"")</f>
        <v/>
      </c>
      <c r="W228" s="180" t="str">
        <f t="shared" si="202"/>
        <v/>
      </c>
      <c r="X228" s="180" t="str">
        <f t="shared" ref="X228:X291" si="206">IF(AND(C228&gt;I227,C227&gt;I227),7,"")</f>
        <v/>
      </c>
      <c r="Y228" s="183"/>
      <c r="Z228" s="183"/>
      <c r="AA228" s="183"/>
    </row>
    <row r="229" spans="1:27" x14ac:dyDescent="0.25">
      <c r="A229" s="52">
        <v>195</v>
      </c>
      <c r="B229" s="50" t="str">
        <f t="shared" si="203"/>
        <v/>
      </c>
      <c r="C229" s="177"/>
      <c r="D229" s="190" t="str">
        <f t="shared" si="157"/>
        <v>OK</v>
      </c>
      <c r="E229" s="189" t="str">
        <f>IF(ISBLANK(C229),"",AVERAGE(C$35:C229))</f>
        <v/>
      </c>
      <c r="F229" s="185"/>
      <c r="G229" s="185"/>
      <c r="H229" s="185"/>
      <c r="I229" s="181">
        <f t="shared" ref="I229:P244" si="207">I228</f>
        <v>53.893722145136735</v>
      </c>
      <c r="J229" s="181">
        <f t="shared" si="207"/>
        <v>44.882748443098563</v>
      </c>
      <c r="K229" s="181">
        <f t="shared" si="207"/>
        <v>56.146465570646278</v>
      </c>
      <c r="L229" s="181">
        <f t="shared" si="207"/>
        <v>42.630005017589021</v>
      </c>
      <c r="M229" s="181">
        <f t="shared" si="207"/>
        <v>50</v>
      </c>
      <c r="N229" s="181">
        <f t="shared" si="207"/>
        <v>55</v>
      </c>
      <c r="O229" s="181">
        <f t="shared" si="207"/>
        <v>45</v>
      </c>
      <c r="P229" s="181">
        <f t="shared" si="207"/>
        <v>49.388235294117649</v>
      </c>
      <c r="Q229" s="188">
        <f t="shared" si="167"/>
        <v>0</v>
      </c>
      <c r="R229" s="180" t="str">
        <f t="shared" si="137"/>
        <v/>
      </c>
      <c r="S229" s="180" t="str">
        <f t="shared" si="138"/>
        <v/>
      </c>
      <c r="T229" s="180" t="str">
        <f t="shared" si="142"/>
        <v/>
      </c>
      <c r="U229" s="180" t="str">
        <f t="shared" si="143"/>
        <v/>
      </c>
      <c r="V229" s="180" t="str">
        <f t="shared" si="205"/>
        <v/>
      </c>
      <c r="W229" s="180" t="str">
        <f t="shared" si="202"/>
        <v/>
      </c>
      <c r="X229" s="180" t="str">
        <f t="shared" si="206"/>
        <v/>
      </c>
      <c r="Y229" s="183"/>
      <c r="Z229" s="183"/>
      <c r="AA229" s="183"/>
    </row>
    <row r="230" spans="1:27" x14ac:dyDescent="0.25">
      <c r="A230" s="52">
        <v>196</v>
      </c>
      <c r="B230" s="50" t="str">
        <f t="shared" si="203"/>
        <v/>
      </c>
      <c r="C230" s="177"/>
      <c r="D230" s="190" t="str">
        <f t="shared" si="157"/>
        <v>OK</v>
      </c>
      <c r="E230" s="189" t="str">
        <f>IF(ISBLANK(C230),"",AVERAGE(C$35:C230))</f>
        <v/>
      </c>
      <c r="F230" s="185"/>
      <c r="G230" s="185"/>
      <c r="H230" s="185"/>
      <c r="I230" s="181">
        <f t="shared" ref="I230:L230" si="208">I229</f>
        <v>53.893722145136735</v>
      </c>
      <c r="J230" s="181">
        <f t="shared" si="208"/>
        <v>44.882748443098563</v>
      </c>
      <c r="K230" s="181">
        <f t="shared" si="208"/>
        <v>56.146465570646278</v>
      </c>
      <c r="L230" s="181">
        <f t="shared" si="208"/>
        <v>42.630005017589021</v>
      </c>
      <c r="M230" s="181">
        <f t="shared" si="207"/>
        <v>50</v>
      </c>
      <c r="N230" s="181">
        <f t="shared" si="207"/>
        <v>55</v>
      </c>
      <c r="O230" s="181">
        <f t="shared" si="207"/>
        <v>45</v>
      </c>
      <c r="P230" s="181">
        <f t="shared" si="207"/>
        <v>49.388235294117649</v>
      </c>
      <c r="Q230" s="188">
        <f t="shared" si="167"/>
        <v>0</v>
      </c>
      <c r="R230" s="180" t="str">
        <f t="shared" si="137"/>
        <v/>
      </c>
      <c r="S230" s="180" t="str">
        <f t="shared" si="138"/>
        <v/>
      </c>
      <c r="T230" s="180" t="str">
        <f t="shared" si="142"/>
        <v/>
      </c>
      <c r="U230" s="180" t="str">
        <f t="shared" si="143"/>
        <v/>
      </c>
      <c r="V230" s="180" t="str">
        <f t="shared" si="205"/>
        <v/>
      </c>
      <c r="W230" s="180" t="str">
        <f t="shared" si="202"/>
        <v/>
      </c>
      <c r="X230" s="180" t="str">
        <f t="shared" si="206"/>
        <v/>
      </c>
      <c r="Y230" s="183"/>
      <c r="Z230" s="183"/>
      <c r="AA230" s="183"/>
    </row>
    <row r="231" spans="1:27" x14ac:dyDescent="0.25">
      <c r="A231" s="52">
        <v>197</v>
      </c>
      <c r="B231" s="50" t="str">
        <f t="shared" si="203"/>
        <v/>
      </c>
      <c r="C231" s="177"/>
      <c r="D231" s="190" t="str">
        <f t="shared" si="157"/>
        <v>OK</v>
      </c>
      <c r="E231" s="189" t="str">
        <f>IF(ISBLANK(C231),"",AVERAGE(C$35:C231))</f>
        <v/>
      </c>
      <c r="F231" s="185"/>
      <c r="G231" s="185"/>
      <c r="H231" s="185"/>
      <c r="I231" s="181">
        <f t="shared" ref="I231:L231" si="209">I230</f>
        <v>53.893722145136735</v>
      </c>
      <c r="J231" s="181">
        <f t="shared" si="209"/>
        <v>44.882748443098563</v>
      </c>
      <c r="K231" s="181">
        <f t="shared" si="209"/>
        <v>56.146465570646278</v>
      </c>
      <c r="L231" s="181">
        <f t="shared" si="209"/>
        <v>42.630005017589021</v>
      </c>
      <c r="M231" s="181">
        <f t="shared" si="207"/>
        <v>50</v>
      </c>
      <c r="N231" s="181">
        <f t="shared" si="207"/>
        <v>55</v>
      </c>
      <c r="O231" s="181">
        <f t="shared" si="207"/>
        <v>45</v>
      </c>
      <c r="P231" s="181">
        <f t="shared" si="207"/>
        <v>49.388235294117649</v>
      </c>
      <c r="Q231" s="188">
        <f t="shared" si="167"/>
        <v>0</v>
      </c>
      <c r="R231" s="180" t="str">
        <f t="shared" si="137"/>
        <v/>
      </c>
      <c r="S231" s="180" t="str">
        <f t="shared" si="138"/>
        <v/>
      </c>
      <c r="T231" s="180" t="str">
        <f t="shared" si="142"/>
        <v/>
      </c>
      <c r="U231" s="180" t="str">
        <f t="shared" si="143"/>
        <v/>
      </c>
      <c r="V231" s="180" t="str">
        <f t="shared" si="205"/>
        <v/>
      </c>
      <c r="W231" s="180" t="str">
        <f t="shared" si="202"/>
        <v/>
      </c>
      <c r="X231" s="180" t="str">
        <f t="shared" si="206"/>
        <v/>
      </c>
      <c r="Y231" s="183"/>
      <c r="Z231" s="183"/>
      <c r="AA231" s="183"/>
    </row>
    <row r="232" spans="1:27" x14ac:dyDescent="0.25">
      <c r="A232" s="52">
        <v>198</v>
      </c>
      <c r="B232" s="50" t="str">
        <f t="shared" si="203"/>
        <v/>
      </c>
      <c r="C232" s="177"/>
      <c r="D232" s="190" t="str">
        <f t="shared" si="157"/>
        <v>OK</v>
      </c>
      <c r="E232" s="189" t="str">
        <f>IF(ISBLANK(C232),"",AVERAGE(C$35:C232))</f>
        <v/>
      </c>
      <c r="F232" s="185"/>
      <c r="G232" s="185"/>
      <c r="H232" s="185"/>
      <c r="I232" s="181">
        <f t="shared" ref="I232:L232" si="210">I231</f>
        <v>53.893722145136735</v>
      </c>
      <c r="J232" s="181">
        <f t="shared" si="210"/>
        <v>44.882748443098563</v>
      </c>
      <c r="K232" s="181">
        <f t="shared" si="210"/>
        <v>56.146465570646278</v>
      </c>
      <c r="L232" s="181">
        <f t="shared" si="210"/>
        <v>42.630005017589021</v>
      </c>
      <c r="M232" s="181">
        <f t="shared" si="207"/>
        <v>50</v>
      </c>
      <c r="N232" s="181">
        <f t="shared" si="207"/>
        <v>55</v>
      </c>
      <c r="O232" s="181">
        <f t="shared" si="207"/>
        <v>45</v>
      </c>
      <c r="P232" s="181">
        <f t="shared" si="207"/>
        <v>49.388235294117649</v>
      </c>
      <c r="Q232" s="188">
        <f t="shared" si="167"/>
        <v>0</v>
      </c>
      <c r="R232" s="180" t="str">
        <f t="shared" ref="R232:R295" si="211">IF(AND(C232&gt;C231,C231&gt;C230,C230&gt;C229,C229&gt;C228,C228&gt;C227),1,"")</f>
        <v/>
      </c>
      <c r="S232" s="180" t="str">
        <f t="shared" ref="S232:S295" si="212">IF(AND(C232&lt;C231,C231&lt;C230,C230&lt;C229,C229&lt;C228,C228&lt;C227),2,"")</f>
        <v/>
      </c>
      <c r="T232" s="180" t="str">
        <f t="shared" si="142"/>
        <v/>
      </c>
      <c r="U232" s="180" t="str">
        <f t="shared" si="143"/>
        <v/>
      </c>
      <c r="V232" s="180" t="str">
        <f t="shared" si="205"/>
        <v/>
      </c>
      <c r="W232" s="180" t="str">
        <f t="shared" si="202"/>
        <v/>
      </c>
      <c r="X232" s="180" t="str">
        <f t="shared" si="206"/>
        <v/>
      </c>
      <c r="Y232" s="183"/>
      <c r="Z232" s="183"/>
      <c r="AA232" s="183"/>
    </row>
    <row r="233" spans="1:27" x14ac:dyDescent="0.25">
      <c r="A233" s="52">
        <v>199</v>
      </c>
      <c r="B233" s="50" t="str">
        <f t="shared" si="203"/>
        <v/>
      </c>
      <c r="C233" s="177"/>
      <c r="D233" s="190" t="str">
        <f t="shared" si="157"/>
        <v>OK</v>
      </c>
      <c r="E233" s="189" t="str">
        <f>IF(ISBLANK(C233),"",AVERAGE(C$35:C233))</f>
        <v/>
      </c>
      <c r="F233" s="185"/>
      <c r="G233" s="185"/>
      <c r="H233" s="185"/>
      <c r="I233" s="181">
        <f t="shared" ref="I233:L233" si="213">I232</f>
        <v>53.893722145136735</v>
      </c>
      <c r="J233" s="181">
        <f t="shared" si="213"/>
        <v>44.882748443098563</v>
      </c>
      <c r="K233" s="181">
        <f t="shared" si="213"/>
        <v>56.146465570646278</v>
      </c>
      <c r="L233" s="181">
        <f t="shared" si="213"/>
        <v>42.630005017589021</v>
      </c>
      <c r="M233" s="181">
        <f t="shared" si="207"/>
        <v>50</v>
      </c>
      <c r="N233" s="181">
        <f t="shared" si="207"/>
        <v>55</v>
      </c>
      <c r="O233" s="181">
        <f t="shared" si="207"/>
        <v>45</v>
      </c>
      <c r="P233" s="181">
        <f t="shared" si="207"/>
        <v>49.388235294117649</v>
      </c>
      <c r="Q233" s="188">
        <f t="shared" si="167"/>
        <v>0</v>
      </c>
      <c r="R233" s="180" t="str">
        <f t="shared" si="211"/>
        <v/>
      </c>
      <c r="S233" s="180" t="str">
        <f t="shared" si="212"/>
        <v/>
      </c>
      <c r="T233" s="180" t="str">
        <f t="shared" si="142"/>
        <v/>
      </c>
      <c r="U233" s="180" t="str">
        <f t="shared" si="143"/>
        <v/>
      </c>
      <c r="V233" s="180" t="str">
        <f t="shared" si="205"/>
        <v/>
      </c>
      <c r="W233" s="180" t="str">
        <f t="shared" si="202"/>
        <v/>
      </c>
      <c r="X233" s="180" t="str">
        <f t="shared" si="206"/>
        <v/>
      </c>
      <c r="Y233" s="183"/>
      <c r="Z233" s="183"/>
      <c r="AA233" s="183"/>
    </row>
    <row r="234" spans="1:27" x14ac:dyDescent="0.25">
      <c r="A234" s="52">
        <v>200</v>
      </c>
      <c r="B234" s="50" t="str">
        <f t="shared" si="203"/>
        <v/>
      </c>
      <c r="C234" s="177"/>
      <c r="D234" s="190" t="str">
        <f t="shared" si="157"/>
        <v>OK</v>
      </c>
      <c r="E234" s="189" t="str">
        <f>IF(ISBLANK(C234),"",AVERAGE(C$35:C234))</f>
        <v/>
      </c>
      <c r="F234" s="185"/>
      <c r="G234" s="185"/>
      <c r="H234" s="185"/>
      <c r="I234" s="181">
        <f t="shared" ref="I234:L234" si="214">I233</f>
        <v>53.893722145136735</v>
      </c>
      <c r="J234" s="181">
        <f t="shared" si="214"/>
        <v>44.882748443098563</v>
      </c>
      <c r="K234" s="181">
        <f t="shared" si="214"/>
        <v>56.146465570646278</v>
      </c>
      <c r="L234" s="181">
        <f t="shared" si="214"/>
        <v>42.630005017589021</v>
      </c>
      <c r="M234" s="181">
        <f t="shared" si="207"/>
        <v>50</v>
      </c>
      <c r="N234" s="181">
        <f t="shared" si="207"/>
        <v>55</v>
      </c>
      <c r="O234" s="181">
        <f t="shared" si="207"/>
        <v>45</v>
      </c>
      <c r="P234" s="181">
        <f t="shared" si="207"/>
        <v>49.388235294117649</v>
      </c>
      <c r="Q234" s="188">
        <f t="shared" si="167"/>
        <v>0</v>
      </c>
      <c r="R234" s="180" t="str">
        <f t="shared" si="211"/>
        <v/>
      </c>
      <c r="S234" s="180" t="str">
        <f t="shared" si="212"/>
        <v/>
      </c>
      <c r="T234" s="180" t="str">
        <f t="shared" si="142"/>
        <v/>
      </c>
      <c r="U234" s="180" t="str">
        <f t="shared" si="143"/>
        <v/>
      </c>
      <c r="V234" s="180" t="str">
        <f t="shared" si="205"/>
        <v/>
      </c>
      <c r="W234" s="180" t="str">
        <f t="shared" si="202"/>
        <v/>
      </c>
      <c r="X234" s="180" t="str">
        <f t="shared" si="206"/>
        <v/>
      </c>
      <c r="Y234" s="183"/>
      <c r="Z234" s="183"/>
      <c r="AA234" s="183"/>
    </row>
    <row r="235" spans="1:27" x14ac:dyDescent="0.25">
      <c r="A235" s="52">
        <v>201</v>
      </c>
      <c r="B235" s="50" t="str">
        <f t="shared" si="203"/>
        <v/>
      </c>
      <c r="C235" s="177"/>
      <c r="D235" s="190" t="str">
        <f t="shared" si="157"/>
        <v>OK</v>
      </c>
      <c r="E235" s="189" t="str">
        <f>IF(ISBLANK(C235),"",AVERAGE(C$35:C235))</f>
        <v/>
      </c>
      <c r="F235" s="185"/>
      <c r="G235" s="185"/>
      <c r="H235" s="185"/>
      <c r="I235" s="181">
        <f t="shared" ref="I235:L235" si="215">I234</f>
        <v>53.893722145136735</v>
      </c>
      <c r="J235" s="181">
        <f t="shared" si="215"/>
        <v>44.882748443098563</v>
      </c>
      <c r="K235" s="181">
        <f t="shared" si="215"/>
        <v>56.146465570646278</v>
      </c>
      <c r="L235" s="181">
        <f t="shared" si="215"/>
        <v>42.630005017589021</v>
      </c>
      <c r="M235" s="181">
        <f t="shared" si="207"/>
        <v>50</v>
      </c>
      <c r="N235" s="181">
        <f t="shared" si="207"/>
        <v>55</v>
      </c>
      <c r="O235" s="181">
        <f t="shared" si="207"/>
        <v>45</v>
      </c>
      <c r="P235" s="181">
        <f t="shared" si="207"/>
        <v>49.388235294117649</v>
      </c>
      <c r="Q235" s="188">
        <f t="shared" si="167"/>
        <v>0</v>
      </c>
      <c r="R235" s="180" t="str">
        <f t="shared" si="211"/>
        <v/>
      </c>
      <c r="S235" s="180" t="str">
        <f t="shared" si="212"/>
        <v/>
      </c>
      <c r="T235" s="180" t="str">
        <f t="shared" ref="T235:T298" si="216">IF(AND(C235&gt;$C$2,C234&gt;$C$2,C233&gt;$C$2,C232&gt;$C$2,C231&gt;$C$2,C230&gt;$C$2,C229&gt;$C$2,C228&gt;$C$2,C227&gt;$C$2),3,"")</f>
        <v/>
      </c>
      <c r="U235" s="180" t="str">
        <f t="shared" ref="U235:U298" si="217">IF(AND(I235&lt;$C$2,I234&lt;$C$2,I233&lt;$C$2,I232&lt;$C$2,I231&lt;$C$2,I230&lt;$C$2,I229&lt;$C$2,I228&lt;$C$2,I227&lt;$C$2),4,"")</f>
        <v/>
      </c>
      <c r="V235" s="180" t="str">
        <f t="shared" si="205"/>
        <v/>
      </c>
      <c r="W235" s="180" t="str">
        <f t="shared" si="202"/>
        <v/>
      </c>
      <c r="X235" s="180" t="str">
        <f t="shared" si="206"/>
        <v/>
      </c>
      <c r="Y235" s="183"/>
      <c r="Z235" s="183"/>
      <c r="AA235" s="183"/>
    </row>
    <row r="236" spans="1:27" x14ac:dyDescent="0.25">
      <c r="A236" s="52">
        <v>202</v>
      </c>
      <c r="B236" s="50" t="str">
        <f t="shared" si="203"/>
        <v/>
      </c>
      <c r="C236" s="177"/>
      <c r="D236" s="190" t="str">
        <f t="shared" si="157"/>
        <v>OK</v>
      </c>
      <c r="E236" s="189" t="str">
        <f>IF(ISBLANK(C236),"",AVERAGE(C$35:C236))</f>
        <v/>
      </c>
      <c r="F236" s="185"/>
      <c r="G236" s="185"/>
      <c r="H236" s="185"/>
      <c r="I236" s="181">
        <f t="shared" ref="I236:L236" si="218">I235</f>
        <v>53.893722145136735</v>
      </c>
      <c r="J236" s="181">
        <f t="shared" si="218"/>
        <v>44.882748443098563</v>
      </c>
      <c r="K236" s="181">
        <f t="shared" si="218"/>
        <v>56.146465570646278</v>
      </c>
      <c r="L236" s="181">
        <f t="shared" si="218"/>
        <v>42.630005017589021</v>
      </c>
      <c r="M236" s="181">
        <f t="shared" si="207"/>
        <v>50</v>
      </c>
      <c r="N236" s="181">
        <f t="shared" si="207"/>
        <v>55</v>
      </c>
      <c r="O236" s="181">
        <f t="shared" si="207"/>
        <v>45</v>
      </c>
      <c r="P236" s="181">
        <f t="shared" si="207"/>
        <v>49.388235294117649</v>
      </c>
      <c r="Q236" s="188">
        <f t="shared" si="167"/>
        <v>0</v>
      </c>
      <c r="R236" s="180" t="str">
        <f t="shared" si="211"/>
        <v/>
      </c>
      <c r="S236" s="180" t="str">
        <f t="shared" si="212"/>
        <v/>
      </c>
      <c r="T236" s="180" t="str">
        <f t="shared" si="216"/>
        <v/>
      </c>
      <c r="U236" s="180" t="str">
        <f t="shared" si="217"/>
        <v/>
      </c>
      <c r="V236" s="180" t="str">
        <f t="shared" si="205"/>
        <v/>
      </c>
      <c r="W236" s="180" t="str">
        <f t="shared" si="202"/>
        <v/>
      </c>
      <c r="X236" s="180" t="str">
        <f t="shared" si="206"/>
        <v/>
      </c>
      <c r="Y236" s="183"/>
      <c r="Z236" s="183"/>
      <c r="AA236" s="183"/>
    </row>
    <row r="237" spans="1:27" x14ac:dyDescent="0.25">
      <c r="A237" s="52">
        <v>203</v>
      </c>
      <c r="B237" s="50" t="str">
        <f t="shared" si="203"/>
        <v/>
      </c>
      <c r="C237" s="177"/>
      <c r="D237" s="190" t="str">
        <f t="shared" si="157"/>
        <v>OK</v>
      </c>
      <c r="E237" s="189" t="str">
        <f>IF(ISBLANK(C237),"",AVERAGE(C$35:C237))</f>
        <v/>
      </c>
      <c r="F237" s="185"/>
      <c r="G237" s="185"/>
      <c r="H237" s="185"/>
      <c r="I237" s="181">
        <f t="shared" ref="I237:L237" si="219">I236</f>
        <v>53.893722145136735</v>
      </c>
      <c r="J237" s="181">
        <f t="shared" si="219"/>
        <v>44.882748443098563</v>
      </c>
      <c r="K237" s="181">
        <f t="shared" si="219"/>
        <v>56.146465570646278</v>
      </c>
      <c r="L237" s="181">
        <f t="shared" si="219"/>
        <v>42.630005017589021</v>
      </c>
      <c r="M237" s="181">
        <f t="shared" si="207"/>
        <v>50</v>
      </c>
      <c r="N237" s="181">
        <f t="shared" si="207"/>
        <v>55</v>
      </c>
      <c r="O237" s="181">
        <f t="shared" si="207"/>
        <v>45</v>
      </c>
      <c r="P237" s="181">
        <f t="shared" si="207"/>
        <v>49.388235294117649</v>
      </c>
      <c r="Q237" s="188">
        <f t="shared" si="167"/>
        <v>0</v>
      </c>
      <c r="R237" s="180" t="str">
        <f t="shared" si="211"/>
        <v/>
      </c>
      <c r="S237" s="180" t="str">
        <f t="shared" si="212"/>
        <v/>
      </c>
      <c r="T237" s="180" t="str">
        <f t="shared" si="216"/>
        <v/>
      </c>
      <c r="U237" s="180" t="str">
        <f t="shared" si="217"/>
        <v/>
      </c>
      <c r="V237" s="180" t="str">
        <f t="shared" si="205"/>
        <v/>
      </c>
      <c r="W237" s="180" t="str">
        <f t="shared" si="202"/>
        <v/>
      </c>
      <c r="X237" s="180" t="str">
        <f t="shared" si="206"/>
        <v/>
      </c>
      <c r="Y237" s="183"/>
      <c r="Z237" s="183"/>
      <c r="AA237" s="183"/>
    </row>
    <row r="238" spans="1:27" x14ac:dyDescent="0.25">
      <c r="A238" s="52">
        <v>204</v>
      </c>
      <c r="B238" s="50" t="str">
        <f t="shared" si="203"/>
        <v/>
      </c>
      <c r="C238" s="177"/>
      <c r="D238" s="190" t="str">
        <f t="shared" si="157"/>
        <v>OK</v>
      </c>
      <c r="E238" s="189" t="str">
        <f>IF(ISBLANK(C238),"",AVERAGE(C$35:C238))</f>
        <v/>
      </c>
      <c r="F238" s="185"/>
      <c r="G238" s="185"/>
      <c r="H238" s="185"/>
      <c r="I238" s="181">
        <f t="shared" ref="I238:L238" si="220">I237</f>
        <v>53.893722145136735</v>
      </c>
      <c r="J238" s="181">
        <f t="shared" si="220"/>
        <v>44.882748443098563</v>
      </c>
      <c r="K238" s="181">
        <f t="shared" si="220"/>
        <v>56.146465570646278</v>
      </c>
      <c r="L238" s="181">
        <f t="shared" si="220"/>
        <v>42.630005017589021</v>
      </c>
      <c r="M238" s="181">
        <f t="shared" si="207"/>
        <v>50</v>
      </c>
      <c r="N238" s="181">
        <f t="shared" si="207"/>
        <v>55</v>
      </c>
      <c r="O238" s="181">
        <f t="shared" si="207"/>
        <v>45</v>
      </c>
      <c r="P238" s="181">
        <f t="shared" si="207"/>
        <v>49.388235294117649</v>
      </c>
      <c r="Q238" s="188">
        <f t="shared" si="167"/>
        <v>0</v>
      </c>
      <c r="R238" s="180" t="str">
        <f t="shared" si="211"/>
        <v/>
      </c>
      <c r="S238" s="180" t="str">
        <f t="shared" si="212"/>
        <v/>
      </c>
      <c r="T238" s="180" t="str">
        <f t="shared" si="216"/>
        <v/>
      </c>
      <c r="U238" s="180" t="str">
        <f t="shared" si="217"/>
        <v/>
      </c>
      <c r="V238" s="180" t="str">
        <f t="shared" si="205"/>
        <v/>
      </c>
      <c r="W238" s="180" t="str">
        <f t="shared" si="202"/>
        <v/>
      </c>
      <c r="X238" s="180" t="str">
        <f t="shared" si="206"/>
        <v/>
      </c>
      <c r="Y238" s="183"/>
      <c r="Z238" s="183"/>
      <c r="AA238" s="183"/>
    </row>
    <row r="239" spans="1:27" x14ac:dyDescent="0.25">
      <c r="A239" s="52">
        <v>205</v>
      </c>
      <c r="B239" s="50" t="str">
        <f t="shared" si="203"/>
        <v/>
      </c>
      <c r="C239" s="177"/>
      <c r="D239" s="190" t="str">
        <f t="shared" si="157"/>
        <v>OK</v>
      </c>
      <c r="E239" s="189" t="str">
        <f>IF(ISBLANK(C239),"",AVERAGE(C$35:C239))</f>
        <v/>
      </c>
      <c r="F239" s="185"/>
      <c r="G239" s="185"/>
      <c r="H239" s="185"/>
      <c r="I239" s="181">
        <f t="shared" ref="I239:L239" si="221">I238</f>
        <v>53.893722145136735</v>
      </c>
      <c r="J239" s="181">
        <f t="shared" si="221"/>
        <v>44.882748443098563</v>
      </c>
      <c r="K239" s="181">
        <f t="shared" si="221"/>
        <v>56.146465570646278</v>
      </c>
      <c r="L239" s="181">
        <f t="shared" si="221"/>
        <v>42.630005017589021</v>
      </c>
      <c r="M239" s="181">
        <f t="shared" si="207"/>
        <v>50</v>
      </c>
      <c r="N239" s="181">
        <f t="shared" si="207"/>
        <v>55</v>
      </c>
      <c r="O239" s="181">
        <f t="shared" si="207"/>
        <v>45</v>
      </c>
      <c r="P239" s="181">
        <f t="shared" si="207"/>
        <v>49.388235294117649</v>
      </c>
      <c r="Q239" s="188">
        <f t="shared" si="167"/>
        <v>0</v>
      </c>
      <c r="R239" s="180" t="str">
        <f t="shared" si="211"/>
        <v/>
      </c>
      <c r="S239" s="180" t="str">
        <f t="shared" si="212"/>
        <v/>
      </c>
      <c r="T239" s="180" t="str">
        <f t="shared" si="216"/>
        <v/>
      </c>
      <c r="U239" s="180" t="str">
        <f t="shared" si="217"/>
        <v/>
      </c>
      <c r="V239" s="180" t="str">
        <f t="shared" si="205"/>
        <v/>
      </c>
      <c r="W239" s="180" t="str">
        <f t="shared" si="202"/>
        <v/>
      </c>
      <c r="X239" s="180" t="str">
        <f t="shared" si="206"/>
        <v/>
      </c>
      <c r="Y239" s="183"/>
      <c r="Z239" s="183"/>
      <c r="AA239" s="183"/>
    </row>
    <row r="240" spans="1:27" x14ac:dyDescent="0.25">
      <c r="A240" s="52">
        <v>206</v>
      </c>
      <c r="B240" s="50" t="str">
        <f t="shared" si="203"/>
        <v/>
      </c>
      <c r="C240" s="177"/>
      <c r="D240" s="190" t="str">
        <f t="shared" si="157"/>
        <v>OK</v>
      </c>
      <c r="E240" s="189" t="str">
        <f>IF(ISBLANK(C240),"",AVERAGE(C$35:C240))</f>
        <v/>
      </c>
      <c r="F240" s="185"/>
      <c r="G240" s="185"/>
      <c r="H240" s="185"/>
      <c r="I240" s="181">
        <f t="shared" ref="I240:L240" si="222">I239</f>
        <v>53.893722145136735</v>
      </c>
      <c r="J240" s="181">
        <f t="shared" si="222"/>
        <v>44.882748443098563</v>
      </c>
      <c r="K240" s="181">
        <f t="shared" si="222"/>
        <v>56.146465570646278</v>
      </c>
      <c r="L240" s="181">
        <f t="shared" si="222"/>
        <v>42.630005017589021</v>
      </c>
      <c r="M240" s="181">
        <f t="shared" si="207"/>
        <v>50</v>
      </c>
      <c r="N240" s="181">
        <f t="shared" si="207"/>
        <v>55</v>
      </c>
      <c r="O240" s="181">
        <f t="shared" si="207"/>
        <v>45</v>
      </c>
      <c r="P240" s="181">
        <f t="shared" si="207"/>
        <v>49.388235294117649</v>
      </c>
      <c r="Q240" s="188">
        <f t="shared" si="167"/>
        <v>0</v>
      </c>
      <c r="R240" s="180" t="str">
        <f t="shared" si="211"/>
        <v/>
      </c>
      <c r="S240" s="180" t="str">
        <f t="shared" si="212"/>
        <v/>
      </c>
      <c r="T240" s="180" t="str">
        <f t="shared" si="216"/>
        <v/>
      </c>
      <c r="U240" s="180" t="str">
        <f t="shared" si="217"/>
        <v/>
      </c>
      <c r="V240" s="180" t="str">
        <f t="shared" si="205"/>
        <v/>
      </c>
      <c r="W240" s="180" t="str">
        <f t="shared" si="202"/>
        <v/>
      </c>
      <c r="X240" s="180" t="str">
        <f t="shared" si="206"/>
        <v/>
      </c>
      <c r="Y240" s="183"/>
      <c r="Z240" s="183"/>
      <c r="AA240" s="183"/>
    </row>
    <row r="241" spans="1:27" x14ac:dyDescent="0.25">
      <c r="A241" s="52">
        <v>207</v>
      </c>
      <c r="B241" s="50" t="str">
        <f t="shared" si="203"/>
        <v/>
      </c>
      <c r="C241" s="177"/>
      <c r="D241" s="190" t="str">
        <f t="shared" si="157"/>
        <v>OK</v>
      </c>
      <c r="E241" s="189" t="str">
        <f>IF(ISBLANK(C241),"",AVERAGE(C$35:C241))</f>
        <v/>
      </c>
      <c r="F241" s="185"/>
      <c r="G241" s="185"/>
      <c r="H241" s="185"/>
      <c r="I241" s="181">
        <f t="shared" ref="I241:L241" si="223">I240</f>
        <v>53.893722145136735</v>
      </c>
      <c r="J241" s="181">
        <f t="shared" si="223"/>
        <v>44.882748443098563</v>
      </c>
      <c r="K241" s="181">
        <f t="shared" si="223"/>
        <v>56.146465570646278</v>
      </c>
      <c r="L241" s="181">
        <f t="shared" si="223"/>
        <v>42.630005017589021</v>
      </c>
      <c r="M241" s="181">
        <f t="shared" si="207"/>
        <v>50</v>
      </c>
      <c r="N241" s="181">
        <f t="shared" si="207"/>
        <v>55</v>
      </c>
      <c r="O241" s="181">
        <f t="shared" si="207"/>
        <v>45</v>
      </c>
      <c r="P241" s="181">
        <f t="shared" si="207"/>
        <v>49.388235294117649</v>
      </c>
      <c r="Q241" s="188">
        <f t="shared" si="167"/>
        <v>0</v>
      </c>
      <c r="R241" s="180" t="str">
        <f t="shared" si="211"/>
        <v/>
      </c>
      <c r="S241" s="180" t="str">
        <f t="shared" si="212"/>
        <v/>
      </c>
      <c r="T241" s="180" t="str">
        <f t="shared" si="216"/>
        <v/>
      </c>
      <c r="U241" s="180" t="str">
        <f t="shared" si="217"/>
        <v/>
      </c>
      <c r="V241" s="180" t="str">
        <f t="shared" si="205"/>
        <v/>
      </c>
      <c r="W241" s="180" t="str">
        <f t="shared" si="202"/>
        <v/>
      </c>
      <c r="X241" s="180" t="str">
        <f t="shared" si="206"/>
        <v/>
      </c>
      <c r="Y241" s="183"/>
      <c r="Z241" s="183"/>
      <c r="AA241" s="183"/>
    </row>
    <row r="242" spans="1:27" x14ac:dyDescent="0.25">
      <c r="A242" s="52">
        <v>208</v>
      </c>
      <c r="B242" s="50" t="str">
        <f t="shared" si="203"/>
        <v/>
      </c>
      <c r="C242" s="177"/>
      <c r="D242" s="190" t="str">
        <f t="shared" si="157"/>
        <v>OK</v>
      </c>
      <c r="E242" s="189" t="str">
        <f>IF(ISBLANK(C242),"",AVERAGE(C$35:C242))</f>
        <v/>
      </c>
      <c r="F242" s="185"/>
      <c r="G242" s="185"/>
      <c r="H242" s="185"/>
      <c r="I242" s="181">
        <f t="shared" ref="I242:L242" si="224">I241</f>
        <v>53.893722145136735</v>
      </c>
      <c r="J242" s="181">
        <f t="shared" si="224"/>
        <v>44.882748443098563</v>
      </c>
      <c r="K242" s="181">
        <f t="shared" si="224"/>
        <v>56.146465570646278</v>
      </c>
      <c r="L242" s="181">
        <f t="shared" si="224"/>
        <v>42.630005017589021</v>
      </c>
      <c r="M242" s="181">
        <f t="shared" si="207"/>
        <v>50</v>
      </c>
      <c r="N242" s="181">
        <f t="shared" si="207"/>
        <v>55</v>
      </c>
      <c r="O242" s="181">
        <f t="shared" si="207"/>
        <v>45</v>
      </c>
      <c r="P242" s="181">
        <f t="shared" si="207"/>
        <v>49.388235294117649</v>
      </c>
      <c r="Q242" s="188">
        <f t="shared" si="167"/>
        <v>0</v>
      </c>
      <c r="R242" s="180" t="str">
        <f t="shared" si="211"/>
        <v/>
      </c>
      <c r="S242" s="180" t="str">
        <f t="shared" si="212"/>
        <v/>
      </c>
      <c r="T242" s="180" t="str">
        <f t="shared" si="216"/>
        <v/>
      </c>
      <c r="U242" s="180" t="str">
        <f t="shared" si="217"/>
        <v/>
      </c>
      <c r="V242" s="180" t="str">
        <f t="shared" si="205"/>
        <v/>
      </c>
      <c r="W242" s="180" t="str">
        <f t="shared" si="202"/>
        <v/>
      </c>
      <c r="X242" s="180" t="str">
        <f t="shared" si="206"/>
        <v/>
      </c>
      <c r="Y242" s="183"/>
      <c r="Z242" s="183"/>
      <c r="AA242" s="183"/>
    </row>
    <row r="243" spans="1:27" x14ac:dyDescent="0.25">
      <c r="A243" s="52">
        <v>209</v>
      </c>
      <c r="B243" s="50" t="str">
        <f t="shared" si="203"/>
        <v/>
      </c>
      <c r="C243" s="177"/>
      <c r="D243" s="190" t="str">
        <f t="shared" si="157"/>
        <v>OK</v>
      </c>
      <c r="E243" s="189" t="str">
        <f>IF(ISBLANK(C243),"",AVERAGE(C$35:C243))</f>
        <v/>
      </c>
      <c r="F243" s="185"/>
      <c r="G243" s="185"/>
      <c r="H243" s="185"/>
      <c r="I243" s="181">
        <f t="shared" ref="I243:L243" si="225">I242</f>
        <v>53.893722145136735</v>
      </c>
      <c r="J243" s="181">
        <f t="shared" si="225"/>
        <v>44.882748443098563</v>
      </c>
      <c r="K243" s="181">
        <f t="shared" si="225"/>
        <v>56.146465570646278</v>
      </c>
      <c r="L243" s="181">
        <f t="shared" si="225"/>
        <v>42.630005017589021</v>
      </c>
      <c r="M243" s="181">
        <f t="shared" si="207"/>
        <v>50</v>
      </c>
      <c r="N243" s="181">
        <f t="shared" si="207"/>
        <v>55</v>
      </c>
      <c r="O243" s="181">
        <f t="shared" si="207"/>
        <v>45</v>
      </c>
      <c r="P243" s="181">
        <f t="shared" si="207"/>
        <v>49.388235294117649</v>
      </c>
      <c r="Q243" s="188">
        <f t="shared" si="167"/>
        <v>0</v>
      </c>
      <c r="R243" s="180" t="str">
        <f t="shared" si="211"/>
        <v/>
      </c>
      <c r="S243" s="180" t="str">
        <f t="shared" si="212"/>
        <v/>
      </c>
      <c r="T243" s="180" t="str">
        <f t="shared" si="216"/>
        <v/>
      </c>
      <c r="U243" s="180" t="str">
        <f t="shared" si="217"/>
        <v/>
      </c>
      <c r="V243" s="180" t="str">
        <f t="shared" si="205"/>
        <v/>
      </c>
      <c r="W243" s="180" t="str">
        <f t="shared" si="202"/>
        <v/>
      </c>
      <c r="X243" s="180" t="str">
        <f t="shared" si="206"/>
        <v/>
      </c>
      <c r="Y243" s="183"/>
      <c r="Z243" s="183"/>
      <c r="AA243" s="183"/>
    </row>
    <row r="244" spans="1:27" x14ac:dyDescent="0.25">
      <c r="A244" s="52">
        <v>210</v>
      </c>
      <c r="B244" s="50" t="str">
        <f t="shared" si="203"/>
        <v/>
      </c>
      <c r="C244" s="177"/>
      <c r="D244" s="190" t="str">
        <f t="shared" si="157"/>
        <v>OK</v>
      </c>
      <c r="E244" s="189" t="str">
        <f>IF(ISBLANK(C244),"",AVERAGE(C$35:C244))</f>
        <v/>
      </c>
      <c r="F244" s="185"/>
      <c r="G244" s="185"/>
      <c r="H244" s="185"/>
      <c r="I244" s="181">
        <f t="shared" ref="I244:L244" si="226">I243</f>
        <v>53.893722145136735</v>
      </c>
      <c r="J244" s="181">
        <f t="shared" si="226"/>
        <v>44.882748443098563</v>
      </c>
      <c r="K244" s="181">
        <f t="shared" si="226"/>
        <v>56.146465570646278</v>
      </c>
      <c r="L244" s="181">
        <f t="shared" si="226"/>
        <v>42.630005017589021</v>
      </c>
      <c r="M244" s="181">
        <f t="shared" si="207"/>
        <v>50</v>
      </c>
      <c r="N244" s="181">
        <f t="shared" si="207"/>
        <v>55</v>
      </c>
      <c r="O244" s="181">
        <f t="shared" si="207"/>
        <v>45</v>
      </c>
      <c r="P244" s="181">
        <f t="shared" si="207"/>
        <v>49.388235294117649</v>
      </c>
      <c r="Q244" s="188">
        <f t="shared" si="167"/>
        <v>0</v>
      </c>
      <c r="R244" s="180" t="str">
        <f t="shared" si="211"/>
        <v/>
      </c>
      <c r="S244" s="180" t="str">
        <f t="shared" si="212"/>
        <v/>
      </c>
      <c r="T244" s="180" t="str">
        <f t="shared" si="216"/>
        <v/>
      </c>
      <c r="U244" s="180" t="str">
        <f t="shared" si="217"/>
        <v/>
      </c>
      <c r="V244" s="180" t="str">
        <f t="shared" si="205"/>
        <v/>
      </c>
      <c r="W244" s="180" t="str">
        <f t="shared" si="202"/>
        <v/>
      </c>
      <c r="X244" s="180" t="str">
        <f t="shared" si="206"/>
        <v/>
      </c>
      <c r="Y244" s="183"/>
      <c r="Z244" s="183"/>
      <c r="AA244" s="183"/>
    </row>
    <row r="245" spans="1:27" x14ac:dyDescent="0.25">
      <c r="A245" s="52">
        <v>211</v>
      </c>
      <c r="B245" s="50" t="str">
        <f t="shared" si="203"/>
        <v/>
      </c>
      <c r="C245" s="177"/>
      <c r="D245" s="190" t="str">
        <f t="shared" si="157"/>
        <v>OK</v>
      </c>
      <c r="E245" s="189" t="str">
        <f>IF(ISBLANK(C245),"",AVERAGE(C$35:C245))</f>
        <v/>
      </c>
      <c r="F245" s="185"/>
      <c r="G245" s="185"/>
      <c r="H245" s="185"/>
      <c r="I245" s="181">
        <f t="shared" ref="I245:P260" si="227">I244</f>
        <v>53.893722145136735</v>
      </c>
      <c r="J245" s="181">
        <f t="shared" si="227"/>
        <v>44.882748443098563</v>
      </c>
      <c r="K245" s="181">
        <f t="shared" si="227"/>
        <v>56.146465570646278</v>
      </c>
      <c r="L245" s="181">
        <f t="shared" si="227"/>
        <v>42.630005017589021</v>
      </c>
      <c r="M245" s="181">
        <f t="shared" si="227"/>
        <v>50</v>
      </c>
      <c r="N245" s="181">
        <f t="shared" si="227"/>
        <v>55</v>
      </c>
      <c r="O245" s="181">
        <f t="shared" si="227"/>
        <v>45</v>
      </c>
      <c r="P245" s="181">
        <f t="shared" si="227"/>
        <v>49.388235294117649</v>
      </c>
      <c r="Q245" s="188">
        <f t="shared" si="167"/>
        <v>0</v>
      </c>
      <c r="R245" s="180" t="str">
        <f t="shared" si="211"/>
        <v/>
      </c>
      <c r="S245" s="180" t="str">
        <f t="shared" si="212"/>
        <v/>
      </c>
      <c r="T245" s="180" t="str">
        <f t="shared" si="216"/>
        <v/>
      </c>
      <c r="U245" s="180" t="str">
        <f t="shared" si="217"/>
        <v/>
      </c>
      <c r="V245" s="180" t="str">
        <f t="shared" si="205"/>
        <v/>
      </c>
      <c r="W245" s="180" t="str">
        <f t="shared" si="202"/>
        <v/>
      </c>
      <c r="X245" s="180" t="str">
        <f t="shared" si="206"/>
        <v/>
      </c>
      <c r="Y245" s="183"/>
      <c r="Z245" s="183"/>
      <c r="AA245" s="183"/>
    </row>
    <row r="246" spans="1:27" x14ac:dyDescent="0.25">
      <c r="A246" s="52">
        <v>212</v>
      </c>
      <c r="B246" s="50" t="str">
        <f t="shared" si="203"/>
        <v/>
      </c>
      <c r="C246" s="177"/>
      <c r="D246" s="190" t="str">
        <f t="shared" si="157"/>
        <v>OK</v>
      </c>
      <c r="E246" s="189" t="str">
        <f>IF(ISBLANK(C246),"",AVERAGE(C$35:C246))</f>
        <v/>
      </c>
      <c r="F246" s="185"/>
      <c r="G246" s="185"/>
      <c r="H246" s="185"/>
      <c r="I246" s="181">
        <f t="shared" ref="I246:L246" si="228">I245</f>
        <v>53.893722145136735</v>
      </c>
      <c r="J246" s="181">
        <f t="shared" si="228"/>
        <v>44.882748443098563</v>
      </c>
      <c r="K246" s="181">
        <f t="shared" si="228"/>
        <v>56.146465570646278</v>
      </c>
      <c r="L246" s="181">
        <f t="shared" si="228"/>
        <v>42.630005017589021</v>
      </c>
      <c r="M246" s="181">
        <f t="shared" si="227"/>
        <v>50</v>
      </c>
      <c r="N246" s="181">
        <f t="shared" si="227"/>
        <v>55</v>
      </c>
      <c r="O246" s="181">
        <f t="shared" si="227"/>
        <v>45</v>
      </c>
      <c r="P246" s="181">
        <f t="shared" si="227"/>
        <v>49.388235294117649</v>
      </c>
      <c r="Q246" s="188">
        <f t="shared" si="167"/>
        <v>0</v>
      </c>
      <c r="R246" s="180" t="str">
        <f t="shared" si="211"/>
        <v/>
      </c>
      <c r="S246" s="180" t="str">
        <f t="shared" si="212"/>
        <v/>
      </c>
      <c r="T246" s="180" t="str">
        <f t="shared" si="216"/>
        <v/>
      </c>
      <c r="U246" s="180" t="str">
        <f t="shared" si="217"/>
        <v/>
      </c>
      <c r="V246" s="180" t="str">
        <f t="shared" si="205"/>
        <v/>
      </c>
      <c r="W246" s="180" t="str">
        <f t="shared" si="202"/>
        <v/>
      </c>
      <c r="X246" s="180" t="str">
        <f t="shared" si="206"/>
        <v/>
      </c>
      <c r="Y246" s="183"/>
      <c r="Z246" s="183"/>
      <c r="AA246" s="183"/>
    </row>
    <row r="247" spans="1:27" x14ac:dyDescent="0.25">
      <c r="A247" s="52">
        <v>213</v>
      </c>
      <c r="B247" s="50" t="str">
        <f t="shared" si="203"/>
        <v/>
      </c>
      <c r="C247" s="177"/>
      <c r="D247" s="190" t="str">
        <f t="shared" si="157"/>
        <v>OK</v>
      </c>
      <c r="E247" s="189" t="str">
        <f>IF(ISBLANK(C247),"",AVERAGE(C$35:C247))</f>
        <v/>
      </c>
      <c r="F247" s="185"/>
      <c r="G247" s="185"/>
      <c r="H247" s="185"/>
      <c r="I247" s="181">
        <f t="shared" ref="I247:L247" si="229">I246</f>
        <v>53.893722145136735</v>
      </c>
      <c r="J247" s="181">
        <f t="shared" si="229"/>
        <v>44.882748443098563</v>
      </c>
      <c r="K247" s="181">
        <f t="shared" si="229"/>
        <v>56.146465570646278</v>
      </c>
      <c r="L247" s="181">
        <f t="shared" si="229"/>
        <v>42.630005017589021</v>
      </c>
      <c r="M247" s="181">
        <f t="shared" si="227"/>
        <v>50</v>
      </c>
      <c r="N247" s="181">
        <f t="shared" si="227"/>
        <v>55</v>
      </c>
      <c r="O247" s="181">
        <f t="shared" si="227"/>
        <v>45</v>
      </c>
      <c r="P247" s="181">
        <f t="shared" si="227"/>
        <v>49.388235294117649</v>
      </c>
      <c r="Q247" s="188">
        <f t="shared" si="167"/>
        <v>0</v>
      </c>
      <c r="R247" s="180" t="str">
        <f t="shared" si="211"/>
        <v/>
      </c>
      <c r="S247" s="180" t="str">
        <f t="shared" si="212"/>
        <v/>
      </c>
      <c r="T247" s="180" t="str">
        <f t="shared" si="216"/>
        <v/>
      </c>
      <c r="U247" s="180" t="str">
        <f t="shared" si="217"/>
        <v/>
      </c>
      <c r="V247" s="180" t="str">
        <f t="shared" si="205"/>
        <v/>
      </c>
      <c r="W247" s="180" t="str">
        <f t="shared" si="202"/>
        <v/>
      </c>
      <c r="X247" s="180" t="str">
        <f t="shared" si="206"/>
        <v/>
      </c>
      <c r="Y247" s="183"/>
      <c r="Z247" s="183"/>
      <c r="AA247" s="183"/>
    </row>
    <row r="248" spans="1:27" x14ac:dyDescent="0.25">
      <c r="A248" s="52">
        <v>214</v>
      </c>
      <c r="B248" s="50" t="str">
        <f t="shared" si="203"/>
        <v/>
      </c>
      <c r="C248" s="177"/>
      <c r="D248" s="190" t="str">
        <f t="shared" si="157"/>
        <v>OK</v>
      </c>
      <c r="E248" s="189" t="str">
        <f>IF(ISBLANK(C248),"",AVERAGE(C$35:C248))</f>
        <v/>
      </c>
      <c r="F248" s="185"/>
      <c r="G248" s="185"/>
      <c r="H248" s="185"/>
      <c r="I248" s="181">
        <f t="shared" ref="I248:L248" si="230">I247</f>
        <v>53.893722145136735</v>
      </c>
      <c r="J248" s="181">
        <f t="shared" si="230"/>
        <v>44.882748443098563</v>
      </c>
      <c r="K248" s="181">
        <f t="shared" si="230"/>
        <v>56.146465570646278</v>
      </c>
      <c r="L248" s="181">
        <f t="shared" si="230"/>
        <v>42.630005017589021</v>
      </c>
      <c r="M248" s="181">
        <f t="shared" si="227"/>
        <v>50</v>
      </c>
      <c r="N248" s="181">
        <f t="shared" si="227"/>
        <v>55</v>
      </c>
      <c r="O248" s="181">
        <f t="shared" si="227"/>
        <v>45</v>
      </c>
      <c r="P248" s="181">
        <f t="shared" si="227"/>
        <v>49.388235294117649</v>
      </c>
      <c r="Q248" s="188">
        <f t="shared" si="167"/>
        <v>0</v>
      </c>
      <c r="R248" s="180" t="str">
        <f t="shared" si="211"/>
        <v/>
      </c>
      <c r="S248" s="180" t="str">
        <f t="shared" si="212"/>
        <v/>
      </c>
      <c r="T248" s="180" t="str">
        <f t="shared" si="216"/>
        <v/>
      </c>
      <c r="U248" s="180" t="str">
        <f t="shared" si="217"/>
        <v/>
      </c>
      <c r="V248" s="180" t="str">
        <f t="shared" si="205"/>
        <v/>
      </c>
      <c r="W248" s="180" t="str">
        <f t="shared" si="202"/>
        <v/>
      </c>
      <c r="X248" s="180" t="str">
        <f t="shared" si="206"/>
        <v/>
      </c>
      <c r="Y248" s="183"/>
      <c r="Z248" s="183"/>
      <c r="AA248" s="183"/>
    </row>
    <row r="249" spans="1:27" x14ac:dyDescent="0.25">
      <c r="A249" s="52">
        <v>215</v>
      </c>
      <c r="B249" s="50" t="str">
        <f t="shared" si="203"/>
        <v/>
      </c>
      <c r="C249" s="177"/>
      <c r="D249" s="190" t="str">
        <f t="shared" ref="D249:D312" si="231">IF(Q249=1,$R$34,IF(Q249=2,$S$34,IF(Q249=3,$T$34,IF(Q249=4,$U$34,IF(Q249=5,$V$34,IF(Q249=6,$W$34,IF(Q249=7,$X$34,"OK")))))))</f>
        <v>OK</v>
      </c>
      <c r="E249" s="189" t="str">
        <f>IF(ISBLANK(C249),"",AVERAGE(C$35:C249))</f>
        <v/>
      </c>
      <c r="F249" s="185"/>
      <c r="G249" s="185"/>
      <c r="H249" s="185"/>
      <c r="I249" s="181">
        <f t="shared" ref="I249:L249" si="232">I248</f>
        <v>53.893722145136735</v>
      </c>
      <c r="J249" s="181">
        <f t="shared" si="232"/>
        <v>44.882748443098563</v>
      </c>
      <c r="K249" s="181">
        <f t="shared" si="232"/>
        <v>56.146465570646278</v>
      </c>
      <c r="L249" s="181">
        <f t="shared" si="232"/>
        <v>42.630005017589021</v>
      </c>
      <c r="M249" s="181">
        <f t="shared" si="227"/>
        <v>50</v>
      </c>
      <c r="N249" s="181">
        <f t="shared" si="227"/>
        <v>55</v>
      </c>
      <c r="O249" s="181">
        <f t="shared" si="227"/>
        <v>45</v>
      </c>
      <c r="P249" s="181">
        <f t="shared" si="227"/>
        <v>49.388235294117649</v>
      </c>
      <c r="Q249" s="188">
        <f t="shared" si="167"/>
        <v>0</v>
      </c>
      <c r="R249" s="180" t="str">
        <f t="shared" si="211"/>
        <v/>
      </c>
      <c r="S249" s="180" t="str">
        <f t="shared" si="212"/>
        <v/>
      </c>
      <c r="T249" s="180" t="str">
        <f t="shared" si="216"/>
        <v/>
      </c>
      <c r="U249" s="180" t="str">
        <f t="shared" si="217"/>
        <v/>
      </c>
      <c r="V249" s="180" t="str">
        <f t="shared" si="205"/>
        <v/>
      </c>
      <c r="W249" s="180" t="str">
        <f t="shared" si="202"/>
        <v/>
      </c>
      <c r="X249" s="180" t="str">
        <f t="shared" si="206"/>
        <v/>
      </c>
      <c r="Y249" s="183"/>
      <c r="Z249" s="183"/>
      <c r="AA249" s="183"/>
    </row>
    <row r="250" spans="1:27" x14ac:dyDescent="0.25">
      <c r="A250" s="52">
        <v>216</v>
      </c>
      <c r="B250" s="50" t="str">
        <f t="shared" si="203"/>
        <v/>
      </c>
      <c r="C250" s="177"/>
      <c r="D250" s="190" t="str">
        <f t="shared" si="231"/>
        <v>OK</v>
      </c>
      <c r="E250" s="189" t="str">
        <f>IF(ISBLANK(C250),"",AVERAGE(C$35:C250))</f>
        <v/>
      </c>
      <c r="F250" s="185"/>
      <c r="G250" s="185"/>
      <c r="H250" s="185"/>
      <c r="I250" s="181">
        <f t="shared" ref="I250:L250" si="233">I249</f>
        <v>53.893722145136735</v>
      </c>
      <c r="J250" s="181">
        <f t="shared" si="233"/>
        <v>44.882748443098563</v>
      </c>
      <c r="K250" s="181">
        <f t="shared" si="233"/>
        <v>56.146465570646278</v>
      </c>
      <c r="L250" s="181">
        <f t="shared" si="233"/>
        <v>42.630005017589021</v>
      </c>
      <c r="M250" s="181">
        <f t="shared" si="227"/>
        <v>50</v>
      </c>
      <c r="N250" s="181">
        <f t="shared" si="227"/>
        <v>55</v>
      </c>
      <c r="O250" s="181">
        <f t="shared" si="227"/>
        <v>45</v>
      </c>
      <c r="P250" s="181">
        <f t="shared" si="227"/>
        <v>49.388235294117649</v>
      </c>
      <c r="Q250" s="188">
        <f t="shared" si="167"/>
        <v>0</v>
      </c>
      <c r="R250" s="180" t="str">
        <f t="shared" si="211"/>
        <v/>
      </c>
      <c r="S250" s="180" t="str">
        <f t="shared" si="212"/>
        <v/>
      </c>
      <c r="T250" s="180" t="str">
        <f t="shared" si="216"/>
        <v/>
      </c>
      <c r="U250" s="180" t="str">
        <f t="shared" si="217"/>
        <v/>
      </c>
      <c r="V250" s="180" t="str">
        <f t="shared" si="205"/>
        <v/>
      </c>
      <c r="W250" s="180" t="str">
        <f t="shared" si="202"/>
        <v/>
      </c>
      <c r="X250" s="180" t="str">
        <f t="shared" si="206"/>
        <v/>
      </c>
      <c r="Y250" s="183"/>
      <c r="Z250" s="183"/>
      <c r="AA250" s="183"/>
    </row>
    <row r="251" spans="1:27" x14ac:dyDescent="0.25">
      <c r="A251" s="52">
        <v>217</v>
      </c>
      <c r="B251" s="50" t="str">
        <f t="shared" si="203"/>
        <v/>
      </c>
      <c r="C251" s="177"/>
      <c r="D251" s="190" t="str">
        <f t="shared" si="231"/>
        <v>OK</v>
      </c>
      <c r="E251" s="189" t="str">
        <f>IF(ISBLANK(C251),"",AVERAGE(C$35:C251))</f>
        <v/>
      </c>
      <c r="F251" s="185"/>
      <c r="G251" s="185"/>
      <c r="H251" s="185"/>
      <c r="I251" s="181">
        <f t="shared" ref="I251:L251" si="234">I250</f>
        <v>53.893722145136735</v>
      </c>
      <c r="J251" s="181">
        <f t="shared" si="234"/>
        <v>44.882748443098563</v>
      </c>
      <c r="K251" s="181">
        <f t="shared" si="234"/>
        <v>56.146465570646278</v>
      </c>
      <c r="L251" s="181">
        <f t="shared" si="234"/>
        <v>42.630005017589021</v>
      </c>
      <c r="M251" s="181">
        <f t="shared" si="227"/>
        <v>50</v>
      </c>
      <c r="N251" s="181">
        <f t="shared" si="227"/>
        <v>55</v>
      </c>
      <c r="O251" s="181">
        <f t="shared" si="227"/>
        <v>45</v>
      </c>
      <c r="P251" s="181">
        <f t="shared" si="227"/>
        <v>49.388235294117649</v>
      </c>
      <c r="Q251" s="188">
        <f t="shared" si="167"/>
        <v>0</v>
      </c>
      <c r="R251" s="180" t="str">
        <f t="shared" si="211"/>
        <v/>
      </c>
      <c r="S251" s="180" t="str">
        <f t="shared" si="212"/>
        <v/>
      </c>
      <c r="T251" s="180" t="str">
        <f t="shared" si="216"/>
        <v/>
      </c>
      <c r="U251" s="180" t="str">
        <f t="shared" si="217"/>
        <v/>
      </c>
      <c r="V251" s="180" t="str">
        <f t="shared" si="205"/>
        <v/>
      </c>
      <c r="W251" s="180" t="str">
        <f t="shared" si="202"/>
        <v/>
      </c>
      <c r="X251" s="180" t="str">
        <f t="shared" si="206"/>
        <v/>
      </c>
      <c r="Y251" s="183"/>
      <c r="Z251" s="183"/>
      <c r="AA251" s="183"/>
    </row>
    <row r="252" spans="1:27" x14ac:dyDescent="0.25">
      <c r="A252" s="52">
        <v>218</v>
      </c>
      <c r="B252" s="50" t="str">
        <f t="shared" si="203"/>
        <v/>
      </c>
      <c r="C252" s="177"/>
      <c r="D252" s="190" t="str">
        <f t="shared" si="231"/>
        <v>OK</v>
      </c>
      <c r="E252" s="189" t="str">
        <f>IF(ISBLANK(C252),"",AVERAGE(C$35:C252))</f>
        <v/>
      </c>
      <c r="F252" s="185"/>
      <c r="G252" s="185"/>
      <c r="H252" s="185"/>
      <c r="I252" s="181">
        <f t="shared" ref="I252:L252" si="235">I251</f>
        <v>53.893722145136735</v>
      </c>
      <c r="J252" s="181">
        <f t="shared" si="235"/>
        <v>44.882748443098563</v>
      </c>
      <c r="K252" s="181">
        <f t="shared" si="235"/>
        <v>56.146465570646278</v>
      </c>
      <c r="L252" s="181">
        <f t="shared" si="235"/>
        <v>42.630005017589021</v>
      </c>
      <c r="M252" s="181">
        <f t="shared" si="227"/>
        <v>50</v>
      </c>
      <c r="N252" s="181">
        <f t="shared" si="227"/>
        <v>55</v>
      </c>
      <c r="O252" s="181">
        <f t="shared" si="227"/>
        <v>45</v>
      </c>
      <c r="P252" s="181">
        <f t="shared" si="227"/>
        <v>49.388235294117649</v>
      </c>
      <c r="Q252" s="188">
        <f t="shared" si="167"/>
        <v>0</v>
      </c>
      <c r="R252" s="180" t="str">
        <f t="shared" si="211"/>
        <v/>
      </c>
      <c r="S252" s="180" t="str">
        <f t="shared" si="212"/>
        <v/>
      </c>
      <c r="T252" s="180" t="str">
        <f t="shared" si="216"/>
        <v/>
      </c>
      <c r="U252" s="180" t="str">
        <f t="shared" si="217"/>
        <v/>
      </c>
      <c r="V252" s="180" t="str">
        <f t="shared" si="205"/>
        <v/>
      </c>
      <c r="W252" s="180" t="str">
        <f t="shared" si="202"/>
        <v/>
      </c>
      <c r="X252" s="180" t="str">
        <f t="shared" si="206"/>
        <v/>
      </c>
      <c r="Y252" s="183"/>
      <c r="Z252" s="183"/>
      <c r="AA252" s="183"/>
    </row>
    <row r="253" spans="1:27" x14ac:dyDescent="0.25">
      <c r="A253" s="52">
        <v>219</v>
      </c>
      <c r="B253" s="50" t="str">
        <f t="shared" si="203"/>
        <v/>
      </c>
      <c r="C253" s="177"/>
      <c r="D253" s="190" t="str">
        <f t="shared" si="231"/>
        <v>OK</v>
      </c>
      <c r="E253" s="189" t="str">
        <f>IF(ISBLANK(C253),"",AVERAGE(C$35:C253))</f>
        <v/>
      </c>
      <c r="F253" s="185"/>
      <c r="G253" s="185"/>
      <c r="H253" s="185"/>
      <c r="I253" s="181">
        <f t="shared" ref="I253:L253" si="236">I252</f>
        <v>53.893722145136735</v>
      </c>
      <c r="J253" s="181">
        <f t="shared" si="236"/>
        <v>44.882748443098563</v>
      </c>
      <c r="K253" s="181">
        <f t="shared" si="236"/>
        <v>56.146465570646278</v>
      </c>
      <c r="L253" s="181">
        <f t="shared" si="236"/>
        <v>42.630005017589021</v>
      </c>
      <c r="M253" s="181">
        <f t="shared" si="227"/>
        <v>50</v>
      </c>
      <c r="N253" s="181">
        <f t="shared" si="227"/>
        <v>55</v>
      </c>
      <c r="O253" s="181">
        <f t="shared" si="227"/>
        <v>45</v>
      </c>
      <c r="P253" s="181">
        <f t="shared" si="227"/>
        <v>49.388235294117649</v>
      </c>
      <c r="Q253" s="188">
        <f t="shared" si="167"/>
        <v>0</v>
      </c>
      <c r="R253" s="180" t="str">
        <f t="shared" si="211"/>
        <v/>
      </c>
      <c r="S253" s="180" t="str">
        <f t="shared" si="212"/>
        <v/>
      </c>
      <c r="T253" s="180" t="str">
        <f t="shared" si="216"/>
        <v/>
      </c>
      <c r="U253" s="180" t="str">
        <f t="shared" si="217"/>
        <v/>
      </c>
      <c r="V253" s="180" t="str">
        <f t="shared" si="205"/>
        <v/>
      </c>
      <c r="W253" s="180" t="str">
        <f t="shared" si="202"/>
        <v/>
      </c>
      <c r="X253" s="180" t="str">
        <f t="shared" si="206"/>
        <v/>
      </c>
      <c r="Y253" s="183"/>
      <c r="Z253" s="183"/>
      <c r="AA253" s="183"/>
    </row>
    <row r="254" spans="1:27" x14ac:dyDescent="0.25">
      <c r="A254" s="52">
        <v>220</v>
      </c>
      <c r="B254" s="50" t="str">
        <f t="shared" si="203"/>
        <v/>
      </c>
      <c r="C254" s="177"/>
      <c r="D254" s="190" t="str">
        <f t="shared" si="231"/>
        <v>OK</v>
      </c>
      <c r="E254" s="189" t="str">
        <f>IF(ISBLANK(C254),"",AVERAGE(C$35:C254))</f>
        <v/>
      </c>
      <c r="F254" s="185"/>
      <c r="G254" s="185"/>
      <c r="H254" s="185"/>
      <c r="I254" s="181">
        <f t="shared" ref="I254:L254" si="237">I253</f>
        <v>53.893722145136735</v>
      </c>
      <c r="J254" s="181">
        <f t="shared" si="237"/>
        <v>44.882748443098563</v>
      </c>
      <c r="K254" s="181">
        <f t="shared" si="237"/>
        <v>56.146465570646278</v>
      </c>
      <c r="L254" s="181">
        <f t="shared" si="237"/>
        <v>42.630005017589021</v>
      </c>
      <c r="M254" s="181">
        <f t="shared" si="227"/>
        <v>50</v>
      </c>
      <c r="N254" s="181">
        <f t="shared" si="227"/>
        <v>55</v>
      </c>
      <c r="O254" s="181">
        <f t="shared" si="227"/>
        <v>45</v>
      </c>
      <c r="P254" s="181">
        <f t="shared" si="227"/>
        <v>49.388235294117649</v>
      </c>
      <c r="Q254" s="188">
        <f t="shared" si="167"/>
        <v>0</v>
      </c>
      <c r="R254" s="180" t="str">
        <f t="shared" si="211"/>
        <v/>
      </c>
      <c r="S254" s="180" t="str">
        <f t="shared" si="212"/>
        <v/>
      </c>
      <c r="T254" s="180" t="str">
        <f t="shared" si="216"/>
        <v/>
      </c>
      <c r="U254" s="180" t="str">
        <f t="shared" si="217"/>
        <v/>
      </c>
      <c r="V254" s="180" t="str">
        <f t="shared" si="205"/>
        <v/>
      </c>
      <c r="W254" s="180" t="str">
        <f t="shared" si="202"/>
        <v/>
      </c>
      <c r="X254" s="180" t="str">
        <f t="shared" si="206"/>
        <v/>
      </c>
      <c r="Y254" s="183"/>
      <c r="Z254" s="183"/>
      <c r="AA254" s="183"/>
    </row>
    <row r="255" spans="1:27" x14ac:dyDescent="0.25">
      <c r="A255" s="52">
        <v>221</v>
      </c>
      <c r="B255" s="50" t="str">
        <f t="shared" si="203"/>
        <v/>
      </c>
      <c r="C255" s="177"/>
      <c r="D255" s="190" t="str">
        <f t="shared" si="231"/>
        <v>OK</v>
      </c>
      <c r="E255" s="189" t="str">
        <f>IF(ISBLANK(C255),"",AVERAGE(C$35:C255))</f>
        <v/>
      </c>
      <c r="F255" s="185"/>
      <c r="G255" s="185"/>
      <c r="H255" s="185"/>
      <c r="I255" s="181">
        <f t="shared" ref="I255:L255" si="238">I254</f>
        <v>53.893722145136735</v>
      </c>
      <c r="J255" s="181">
        <f t="shared" si="238"/>
        <v>44.882748443098563</v>
      </c>
      <c r="K255" s="181">
        <f t="shared" si="238"/>
        <v>56.146465570646278</v>
      </c>
      <c r="L255" s="181">
        <f t="shared" si="238"/>
        <v>42.630005017589021</v>
      </c>
      <c r="M255" s="181">
        <f t="shared" si="227"/>
        <v>50</v>
      </c>
      <c r="N255" s="181">
        <f t="shared" si="227"/>
        <v>55</v>
      </c>
      <c r="O255" s="181">
        <f t="shared" si="227"/>
        <v>45</v>
      </c>
      <c r="P255" s="181">
        <f t="shared" si="227"/>
        <v>49.388235294117649</v>
      </c>
      <c r="Q255" s="188">
        <f t="shared" si="167"/>
        <v>0</v>
      </c>
      <c r="R255" s="180" t="str">
        <f t="shared" si="211"/>
        <v/>
      </c>
      <c r="S255" s="180" t="str">
        <f t="shared" si="212"/>
        <v/>
      </c>
      <c r="T255" s="180" t="str">
        <f t="shared" si="216"/>
        <v/>
      </c>
      <c r="U255" s="180" t="str">
        <f t="shared" si="217"/>
        <v/>
      </c>
      <c r="V255" s="180" t="str">
        <f t="shared" si="205"/>
        <v/>
      </c>
      <c r="W255" s="180" t="str">
        <f t="shared" si="202"/>
        <v/>
      </c>
      <c r="X255" s="180" t="str">
        <f t="shared" si="206"/>
        <v/>
      </c>
      <c r="Y255" s="183"/>
      <c r="Z255" s="183"/>
      <c r="AA255" s="183"/>
    </row>
    <row r="256" spans="1:27" x14ac:dyDescent="0.25">
      <c r="A256" s="52">
        <v>222</v>
      </c>
      <c r="B256" s="50" t="str">
        <f t="shared" si="203"/>
        <v/>
      </c>
      <c r="C256" s="177"/>
      <c r="D256" s="190" t="str">
        <f t="shared" si="231"/>
        <v>OK</v>
      </c>
      <c r="E256" s="189" t="str">
        <f>IF(ISBLANK(C256),"",AVERAGE(C$35:C256))</f>
        <v/>
      </c>
      <c r="F256" s="185"/>
      <c r="G256" s="185"/>
      <c r="H256" s="185"/>
      <c r="I256" s="181">
        <f t="shared" ref="I256:L256" si="239">I255</f>
        <v>53.893722145136735</v>
      </c>
      <c r="J256" s="181">
        <f t="shared" si="239"/>
        <v>44.882748443098563</v>
      </c>
      <c r="K256" s="181">
        <f t="shared" si="239"/>
        <v>56.146465570646278</v>
      </c>
      <c r="L256" s="181">
        <f t="shared" si="239"/>
        <v>42.630005017589021</v>
      </c>
      <c r="M256" s="181">
        <f t="shared" si="227"/>
        <v>50</v>
      </c>
      <c r="N256" s="181">
        <f t="shared" si="227"/>
        <v>55</v>
      </c>
      <c r="O256" s="181">
        <f t="shared" si="227"/>
        <v>45</v>
      </c>
      <c r="P256" s="181">
        <f t="shared" si="227"/>
        <v>49.388235294117649</v>
      </c>
      <c r="Q256" s="188">
        <f t="shared" si="167"/>
        <v>0</v>
      </c>
      <c r="R256" s="180" t="str">
        <f t="shared" si="211"/>
        <v/>
      </c>
      <c r="S256" s="180" t="str">
        <f t="shared" si="212"/>
        <v/>
      </c>
      <c r="T256" s="180" t="str">
        <f t="shared" si="216"/>
        <v/>
      </c>
      <c r="U256" s="180" t="str">
        <f t="shared" si="217"/>
        <v/>
      </c>
      <c r="V256" s="180" t="str">
        <f t="shared" si="205"/>
        <v/>
      </c>
      <c r="W256" s="180" t="str">
        <f t="shared" si="202"/>
        <v/>
      </c>
      <c r="X256" s="180" t="str">
        <f t="shared" si="206"/>
        <v/>
      </c>
      <c r="Y256" s="183"/>
      <c r="Z256" s="183"/>
      <c r="AA256" s="183"/>
    </row>
    <row r="257" spans="1:27" x14ac:dyDescent="0.25">
      <c r="A257" s="52">
        <v>223</v>
      </c>
      <c r="B257" s="50" t="str">
        <f t="shared" si="203"/>
        <v/>
      </c>
      <c r="C257" s="177"/>
      <c r="D257" s="190" t="str">
        <f t="shared" si="231"/>
        <v>OK</v>
      </c>
      <c r="E257" s="189" t="str">
        <f>IF(ISBLANK(C257),"",AVERAGE(C$35:C257))</f>
        <v/>
      </c>
      <c r="F257" s="185"/>
      <c r="G257" s="185"/>
      <c r="H257" s="185"/>
      <c r="I257" s="181">
        <f t="shared" ref="I257:L257" si="240">I256</f>
        <v>53.893722145136735</v>
      </c>
      <c r="J257" s="181">
        <f t="shared" si="240"/>
        <v>44.882748443098563</v>
      </c>
      <c r="K257" s="181">
        <f t="shared" si="240"/>
        <v>56.146465570646278</v>
      </c>
      <c r="L257" s="181">
        <f t="shared" si="240"/>
        <v>42.630005017589021</v>
      </c>
      <c r="M257" s="181">
        <f t="shared" si="227"/>
        <v>50</v>
      </c>
      <c r="N257" s="181">
        <f t="shared" si="227"/>
        <v>55</v>
      </c>
      <c r="O257" s="181">
        <f t="shared" si="227"/>
        <v>45</v>
      </c>
      <c r="P257" s="181">
        <f t="shared" si="227"/>
        <v>49.388235294117649</v>
      </c>
      <c r="Q257" s="188">
        <f t="shared" ref="Q257:Q320" si="241">SUM(R257:X257)</f>
        <v>0</v>
      </c>
      <c r="R257" s="180" t="str">
        <f t="shared" si="211"/>
        <v/>
      </c>
      <c r="S257" s="180" t="str">
        <f t="shared" si="212"/>
        <v/>
      </c>
      <c r="T257" s="180" t="str">
        <f t="shared" si="216"/>
        <v/>
      </c>
      <c r="U257" s="180" t="str">
        <f t="shared" si="217"/>
        <v/>
      </c>
      <c r="V257" s="180" t="str">
        <f t="shared" si="205"/>
        <v/>
      </c>
      <c r="W257" s="180" t="str">
        <f t="shared" si="202"/>
        <v/>
      </c>
      <c r="X257" s="180" t="str">
        <f t="shared" si="206"/>
        <v/>
      </c>
      <c r="Y257" s="183"/>
      <c r="Z257" s="183"/>
      <c r="AA257" s="183"/>
    </row>
    <row r="258" spans="1:27" x14ac:dyDescent="0.25">
      <c r="A258" s="52">
        <v>224</v>
      </c>
      <c r="B258" s="50" t="str">
        <f t="shared" si="203"/>
        <v/>
      </c>
      <c r="C258" s="177"/>
      <c r="D258" s="190" t="str">
        <f t="shared" si="231"/>
        <v>OK</v>
      </c>
      <c r="E258" s="189" t="str">
        <f>IF(ISBLANK(C258),"",AVERAGE(C$35:C258))</f>
        <v/>
      </c>
      <c r="F258" s="185"/>
      <c r="G258" s="185"/>
      <c r="H258" s="185"/>
      <c r="I258" s="181">
        <f t="shared" ref="I258:L258" si="242">I257</f>
        <v>53.893722145136735</v>
      </c>
      <c r="J258" s="181">
        <f t="shared" si="242"/>
        <v>44.882748443098563</v>
      </c>
      <c r="K258" s="181">
        <f t="shared" si="242"/>
        <v>56.146465570646278</v>
      </c>
      <c r="L258" s="181">
        <f t="shared" si="242"/>
        <v>42.630005017589021</v>
      </c>
      <c r="M258" s="181">
        <f t="shared" si="227"/>
        <v>50</v>
      </c>
      <c r="N258" s="181">
        <f t="shared" si="227"/>
        <v>55</v>
      </c>
      <c r="O258" s="181">
        <f t="shared" si="227"/>
        <v>45</v>
      </c>
      <c r="P258" s="181">
        <f t="shared" si="227"/>
        <v>49.388235294117649</v>
      </c>
      <c r="Q258" s="188">
        <f t="shared" si="241"/>
        <v>0</v>
      </c>
      <c r="R258" s="180" t="str">
        <f t="shared" si="211"/>
        <v/>
      </c>
      <c r="S258" s="180" t="str">
        <f t="shared" si="212"/>
        <v/>
      </c>
      <c r="T258" s="180" t="str">
        <f t="shared" si="216"/>
        <v/>
      </c>
      <c r="U258" s="180" t="str">
        <f t="shared" si="217"/>
        <v/>
      </c>
      <c r="V258" s="180" t="str">
        <f t="shared" si="205"/>
        <v/>
      </c>
      <c r="W258" s="180" t="str">
        <f t="shared" si="202"/>
        <v/>
      </c>
      <c r="X258" s="180" t="str">
        <f t="shared" si="206"/>
        <v/>
      </c>
      <c r="Y258" s="183"/>
      <c r="Z258" s="183"/>
      <c r="AA258" s="183"/>
    </row>
    <row r="259" spans="1:27" x14ac:dyDescent="0.25">
      <c r="A259" s="52">
        <v>225</v>
      </c>
      <c r="B259" s="50" t="str">
        <f t="shared" si="203"/>
        <v/>
      </c>
      <c r="C259" s="177"/>
      <c r="D259" s="190" t="str">
        <f t="shared" si="231"/>
        <v>OK</v>
      </c>
      <c r="E259" s="189" t="str">
        <f>IF(ISBLANK(C259),"",AVERAGE(C$35:C259))</f>
        <v/>
      </c>
      <c r="F259" s="185"/>
      <c r="G259" s="185"/>
      <c r="H259" s="185"/>
      <c r="I259" s="181">
        <f t="shared" ref="I259:L259" si="243">I258</f>
        <v>53.893722145136735</v>
      </c>
      <c r="J259" s="181">
        <f t="shared" si="243"/>
        <v>44.882748443098563</v>
      </c>
      <c r="K259" s="181">
        <f t="shared" si="243"/>
        <v>56.146465570646278</v>
      </c>
      <c r="L259" s="181">
        <f t="shared" si="243"/>
        <v>42.630005017589021</v>
      </c>
      <c r="M259" s="181">
        <f t="shared" si="227"/>
        <v>50</v>
      </c>
      <c r="N259" s="181">
        <f t="shared" si="227"/>
        <v>55</v>
      </c>
      <c r="O259" s="181">
        <f t="shared" si="227"/>
        <v>45</v>
      </c>
      <c r="P259" s="181">
        <f t="shared" si="227"/>
        <v>49.388235294117649</v>
      </c>
      <c r="Q259" s="188">
        <f t="shared" si="241"/>
        <v>0</v>
      </c>
      <c r="R259" s="180" t="str">
        <f t="shared" si="211"/>
        <v/>
      </c>
      <c r="S259" s="180" t="str">
        <f t="shared" si="212"/>
        <v/>
      </c>
      <c r="T259" s="180" t="str">
        <f t="shared" si="216"/>
        <v/>
      </c>
      <c r="U259" s="180" t="str">
        <f t="shared" si="217"/>
        <v/>
      </c>
      <c r="V259" s="180" t="str">
        <f t="shared" si="205"/>
        <v/>
      </c>
      <c r="W259" s="180" t="str">
        <f t="shared" si="202"/>
        <v/>
      </c>
      <c r="X259" s="180" t="str">
        <f t="shared" si="206"/>
        <v/>
      </c>
      <c r="Y259" s="183"/>
      <c r="Z259" s="183"/>
      <c r="AA259" s="183"/>
    </row>
    <row r="260" spans="1:27" x14ac:dyDescent="0.25">
      <c r="A260" s="52">
        <v>226</v>
      </c>
      <c r="B260" s="50" t="str">
        <f t="shared" si="203"/>
        <v/>
      </c>
      <c r="C260" s="177"/>
      <c r="D260" s="190" t="str">
        <f t="shared" si="231"/>
        <v>OK</v>
      </c>
      <c r="E260" s="189" t="str">
        <f>IF(ISBLANK(C260),"",AVERAGE(C$35:C260))</f>
        <v/>
      </c>
      <c r="F260" s="185"/>
      <c r="G260" s="185"/>
      <c r="H260" s="185"/>
      <c r="I260" s="181">
        <f t="shared" ref="I260:L260" si="244">I259</f>
        <v>53.893722145136735</v>
      </c>
      <c r="J260" s="181">
        <f t="shared" si="244"/>
        <v>44.882748443098563</v>
      </c>
      <c r="K260" s="181">
        <f t="shared" si="244"/>
        <v>56.146465570646278</v>
      </c>
      <c r="L260" s="181">
        <f t="shared" si="244"/>
        <v>42.630005017589021</v>
      </c>
      <c r="M260" s="181">
        <f t="shared" si="227"/>
        <v>50</v>
      </c>
      <c r="N260" s="181">
        <f t="shared" si="227"/>
        <v>55</v>
      </c>
      <c r="O260" s="181">
        <f t="shared" si="227"/>
        <v>45</v>
      </c>
      <c r="P260" s="181">
        <f t="shared" si="227"/>
        <v>49.388235294117649</v>
      </c>
      <c r="Q260" s="188">
        <f t="shared" si="241"/>
        <v>0</v>
      </c>
      <c r="R260" s="180" t="str">
        <f t="shared" si="211"/>
        <v/>
      </c>
      <c r="S260" s="180" t="str">
        <f t="shared" si="212"/>
        <v/>
      </c>
      <c r="T260" s="180" t="str">
        <f t="shared" si="216"/>
        <v/>
      </c>
      <c r="U260" s="180" t="str">
        <f t="shared" si="217"/>
        <v/>
      </c>
      <c r="V260" s="180" t="str">
        <f t="shared" si="205"/>
        <v/>
      </c>
      <c r="W260" s="180" t="str">
        <f t="shared" si="202"/>
        <v/>
      </c>
      <c r="X260" s="180" t="str">
        <f t="shared" si="206"/>
        <v/>
      </c>
      <c r="Y260" s="183"/>
      <c r="Z260" s="183"/>
      <c r="AA260" s="183"/>
    </row>
    <row r="261" spans="1:27" x14ac:dyDescent="0.25">
      <c r="A261" s="52">
        <v>227</v>
      </c>
      <c r="B261" s="50" t="str">
        <f t="shared" si="203"/>
        <v/>
      </c>
      <c r="C261" s="177"/>
      <c r="D261" s="190" t="str">
        <f t="shared" si="231"/>
        <v>OK</v>
      </c>
      <c r="E261" s="189" t="str">
        <f>IF(ISBLANK(C261),"",AVERAGE(C$35:C261))</f>
        <v/>
      </c>
      <c r="F261" s="185"/>
      <c r="G261" s="185"/>
      <c r="H261" s="185"/>
      <c r="I261" s="181">
        <f t="shared" ref="I261:P276" si="245">I260</f>
        <v>53.893722145136735</v>
      </c>
      <c r="J261" s="181">
        <f t="shared" si="245"/>
        <v>44.882748443098563</v>
      </c>
      <c r="K261" s="181">
        <f t="shared" si="245"/>
        <v>56.146465570646278</v>
      </c>
      <c r="L261" s="181">
        <f t="shared" si="245"/>
        <v>42.630005017589021</v>
      </c>
      <c r="M261" s="181">
        <f t="shared" si="245"/>
        <v>50</v>
      </c>
      <c r="N261" s="181">
        <f t="shared" si="245"/>
        <v>55</v>
      </c>
      <c r="O261" s="181">
        <f t="shared" si="245"/>
        <v>45</v>
      </c>
      <c r="P261" s="181">
        <f t="shared" si="245"/>
        <v>49.388235294117649</v>
      </c>
      <c r="Q261" s="188">
        <f t="shared" si="241"/>
        <v>0</v>
      </c>
      <c r="R261" s="180" t="str">
        <f t="shared" si="211"/>
        <v/>
      </c>
      <c r="S261" s="180" t="str">
        <f t="shared" si="212"/>
        <v/>
      </c>
      <c r="T261" s="180" t="str">
        <f t="shared" si="216"/>
        <v/>
      </c>
      <c r="U261" s="180" t="str">
        <f t="shared" si="217"/>
        <v/>
      </c>
      <c r="V261" s="180" t="str">
        <f t="shared" si="205"/>
        <v/>
      </c>
      <c r="W261" s="180" t="str">
        <f t="shared" si="202"/>
        <v/>
      </c>
      <c r="X261" s="180" t="str">
        <f t="shared" si="206"/>
        <v/>
      </c>
      <c r="Y261" s="183"/>
      <c r="Z261" s="183"/>
      <c r="AA261" s="183"/>
    </row>
    <row r="262" spans="1:27" x14ac:dyDescent="0.25">
      <c r="A262" s="52">
        <v>228</v>
      </c>
      <c r="B262" s="50" t="str">
        <f t="shared" si="203"/>
        <v/>
      </c>
      <c r="C262" s="177"/>
      <c r="D262" s="190" t="str">
        <f t="shared" si="231"/>
        <v>OK</v>
      </c>
      <c r="E262" s="189" t="str">
        <f>IF(ISBLANK(C262),"",AVERAGE(C$35:C262))</f>
        <v/>
      </c>
      <c r="F262" s="185"/>
      <c r="G262" s="185"/>
      <c r="H262" s="185"/>
      <c r="I262" s="181">
        <f t="shared" ref="I262:L262" si="246">I261</f>
        <v>53.893722145136735</v>
      </c>
      <c r="J262" s="181">
        <f t="shared" si="246"/>
        <v>44.882748443098563</v>
      </c>
      <c r="K262" s="181">
        <f t="shared" si="246"/>
        <v>56.146465570646278</v>
      </c>
      <c r="L262" s="181">
        <f t="shared" si="246"/>
        <v>42.630005017589021</v>
      </c>
      <c r="M262" s="181">
        <f t="shared" si="245"/>
        <v>50</v>
      </c>
      <c r="N262" s="181">
        <f t="shared" si="245"/>
        <v>55</v>
      </c>
      <c r="O262" s="181">
        <f t="shared" si="245"/>
        <v>45</v>
      </c>
      <c r="P262" s="181">
        <f t="shared" si="245"/>
        <v>49.388235294117649</v>
      </c>
      <c r="Q262" s="188">
        <f t="shared" si="241"/>
        <v>0</v>
      </c>
      <c r="R262" s="180" t="str">
        <f t="shared" si="211"/>
        <v/>
      </c>
      <c r="S262" s="180" t="str">
        <f t="shared" si="212"/>
        <v/>
      </c>
      <c r="T262" s="180" t="str">
        <f t="shared" si="216"/>
        <v/>
      </c>
      <c r="U262" s="180" t="str">
        <f t="shared" si="217"/>
        <v/>
      </c>
      <c r="V262" s="180" t="str">
        <f t="shared" si="205"/>
        <v/>
      </c>
      <c r="W262" s="180" t="str">
        <f t="shared" si="202"/>
        <v/>
      </c>
      <c r="X262" s="180" t="str">
        <f t="shared" si="206"/>
        <v/>
      </c>
      <c r="Y262" s="183"/>
      <c r="Z262" s="183"/>
      <c r="AA262" s="183"/>
    </row>
    <row r="263" spans="1:27" x14ac:dyDescent="0.25">
      <c r="A263" s="52">
        <v>229</v>
      </c>
      <c r="B263" s="50" t="str">
        <f t="shared" si="203"/>
        <v/>
      </c>
      <c r="C263" s="177"/>
      <c r="D263" s="190" t="str">
        <f t="shared" si="231"/>
        <v>OK</v>
      </c>
      <c r="E263" s="189" t="str">
        <f>IF(ISBLANK(C263),"",AVERAGE(C$35:C263))</f>
        <v/>
      </c>
      <c r="F263" s="185"/>
      <c r="G263" s="185"/>
      <c r="H263" s="185"/>
      <c r="I263" s="181">
        <f t="shared" ref="I263:L263" si="247">I262</f>
        <v>53.893722145136735</v>
      </c>
      <c r="J263" s="181">
        <f t="shared" si="247"/>
        <v>44.882748443098563</v>
      </c>
      <c r="K263" s="181">
        <f t="shared" si="247"/>
        <v>56.146465570646278</v>
      </c>
      <c r="L263" s="181">
        <f t="shared" si="247"/>
        <v>42.630005017589021</v>
      </c>
      <c r="M263" s="181">
        <f t="shared" si="245"/>
        <v>50</v>
      </c>
      <c r="N263" s="181">
        <f t="shared" si="245"/>
        <v>55</v>
      </c>
      <c r="O263" s="181">
        <f t="shared" si="245"/>
        <v>45</v>
      </c>
      <c r="P263" s="181">
        <f t="shared" si="245"/>
        <v>49.388235294117649</v>
      </c>
      <c r="Q263" s="188">
        <f t="shared" si="241"/>
        <v>0</v>
      </c>
      <c r="R263" s="180" t="str">
        <f t="shared" si="211"/>
        <v/>
      </c>
      <c r="S263" s="180" t="str">
        <f t="shared" si="212"/>
        <v/>
      </c>
      <c r="T263" s="180" t="str">
        <f t="shared" si="216"/>
        <v/>
      </c>
      <c r="U263" s="180" t="str">
        <f t="shared" si="217"/>
        <v/>
      </c>
      <c r="V263" s="180" t="str">
        <f t="shared" si="205"/>
        <v/>
      </c>
      <c r="W263" s="180" t="str">
        <f t="shared" si="202"/>
        <v/>
      </c>
      <c r="X263" s="180" t="str">
        <f t="shared" si="206"/>
        <v/>
      </c>
      <c r="Y263" s="183"/>
      <c r="Z263" s="183"/>
      <c r="AA263" s="183"/>
    </row>
    <row r="264" spans="1:27" x14ac:dyDescent="0.25">
      <c r="A264" s="52">
        <v>230</v>
      </c>
      <c r="B264" s="50" t="str">
        <f t="shared" si="203"/>
        <v/>
      </c>
      <c r="C264" s="177"/>
      <c r="D264" s="190" t="str">
        <f t="shared" si="231"/>
        <v>OK</v>
      </c>
      <c r="E264" s="189" t="str">
        <f>IF(ISBLANK(C264),"",AVERAGE(C$35:C264))</f>
        <v/>
      </c>
      <c r="F264" s="185"/>
      <c r="G264" s="185"/>
      <c r="H264" s="185"/>
      <c r="I264" s="181">
        <f t="shared" ref="I264:L264" si="248">I263</f>
        <v>53.893722145136735</v>
      </c>
      <c r="J264" s="181">
        <f t="shared" si="248"/>
        <v>44.882748443098563</v>
      </c>
      <c r="K264" s="181">
        <f t="shared" si="248"/>
        <v>56.146465570646278</v>
      </c>
      <c r="L264" s="181">
        <f t="shared" si="248"/>
        <v>42.630005017589021</v>
      </c>
      <c r="M264" s="181">
        <f t="shared" si="245"/>
        <v>50</v>
      </c>
      <c r="N264" s="181">
        <f t="shared" si="245"/>
        <v>55</v>
      </c>
      <c r="O264" s="181">
        <f t="shared" si="245"/>
        <v>45</v>
      </c>
      <c r="P264" s="181">
        <f t="shared" si="245"/>
        <v>49.388235294117649</v>
      </c>
      <c r="Q264" s="188">
        <f t="shared" si="241"/>
        <v>0</v>
      </c>
      <c r="R264" s="180" t="str">
        <f t="shared" si="211"/>
        <v/>
      </c>
      <c r="S264" s="180" t="str">
        <f t="shared" si="212"/>
        <v/>
      </c>
      <c r="T264" s="180" t="str">
        <f t="shared" si="216"/>
        <v/>
      </c>
      <c r="U264" s="180" t="str">
        <f t="shared" si="217"/>
        <v/>
      </c>
      <c r="V264" s="180" t="str">
        <f t="shared" si="205"/>
        <v/>
      </c>
      <c r="W264" s="180" t="str">
        <f t="shared" si="202"/>
        <v/>
      </c>
      <c r="X264" s="180" t="str">
        <f t="shared" si="206"/>
        <v/>
      </c>
      <c r="Y264" s="183"/>
      <c r="Z264" s="183"/>
      <c r="AA264" s="183"/>
    </row>
    <row r="265" spans="1:27" x14ac:dyDescent="0.25">
      <c r="A265" s="52">
        <v>231</v>
      </c>
      <c r="B265" s="50" t="str">
        <f t="shared" si="203"/>
        <v/>
      </c>
      <c r="C265" s="177"/>
      <c r="D265" s="190" t="str">
        <f t="shared" si="231"/>
        <v>OK</v>
      </c>
      <c r="E265" s="189" t="str">
        <f>IF(ISBLANK(C265),"",AVERAGE(C$35:C265))</f>
        <v/>
      </c>
      <c r="F265" s="185"/>
      <c r="G265" s="185"/>
      <c r="H265" s="185"/>
      <c r="I265" s="181">
        <f t="shared" ref="I265:L265" si="249">I264</f>
        <v>53.893722145136735</v>
      </c>
      <c r="J265" s="181">
        <f t="shared" si="249"/>
        <v>44.882748443098563</v>
      </c>
      <c r="K265" s="181">
        <f t="shared" si="249"/>
        <v>56.146465570646278</v>
      </c>
      <c r="L265" s="181">
        <f t="shared" si="249"/>
        <v>42.630005017589021</v>
      </c>
      <c r="M265" s="181">
        <f t="shared" si="245"/>
        <v>50</v>
      </c>
      <c r="N265" s="181">
        <f t="shared" si="245"/>
        <v>55</v>
      </c>
      <c r="O265" s="181">
        <f t="shared" si="245"/>
        <v>45</v>
      </c>
      <c r="P265" s="181">
        <f t="shared" si="245"/>
        <v>49.388235294117649</v>
      </c>
      <c r="Q265" s="188">
        <f t="shared" si="241"/>
        <v>0</v>
      </c>
      <c r="R265" s="180" t="str">
        <f t="shared" si="211"/>
        <v/>
      </c>
      <c r="S265" s="180" t="str">
        <f t="shared" si="212"/>
        <v/>
      </c>
      <c r="T265" s="180" t="str">
        <f t="shared" si="216"/>
        <v/>
      </c>
      <c r="U265" s="180" t="str">
        <f t="shared" si="217"/>
        <v/>
      </c>
      <c r="V265" s="180" t="str">
        <f t="shared" si="205"/>
        <v/>
      </c>
      <c r="W265" s="180" t="str">
        <f t="shared" si="202"/>
        <v/>
      </c>
      <c r="X265" s="180" t="str">
        <f t="shared" si="206"/>
        <v/>
      </c>
      <c r="Y265" s="183"/>
      <c r="Z265" s="183"/>
      <c r="AA265" s="183"/>
    </row>
    <row r="266" spans="1:27" x14ac:dyDescent="0.25">
      <c r="A266" s="52">
        <v>232</v>
      </c>
      <c r="B266" s="50" t="str">
        <f t="shared" si="203"/>
        <v/>
      </c>
      <c r="C266" s="177"/>
      <c r="D266" s="190" t="str">
        <f t="shared" si="231"/>
        <v>OK</v>
      </c>
      <c r="E266" s="189" t="str">
        <f>IF(ISBLANK(C266),"",AVERAGE(C$35:C266))</f>
        <v/>
      </c>
      <c r="F266" s="185"/>
      <c r="G266" s="185"/>
      <c r="H266" s="185"/>
      <c r="I266" s="181">
        <f t="shared" ref="I266:L266" si="250">I265</f>
        <v>53.893722145136735</v>
      </c>
      <c r="J266" s="181">
        <f t="shared" si="250"/>
        <v>44.882748443098563</v>
      </c>
      <c r="K266" s="181">
        <f t="shared" si="250"/>
        <v>56.146465570646278</v>
      </c>
      <c r="L266" s="181">
        <f t="shared" si="250"/>
        <v>42.630005017589021</v>
      </c>
      <c r="M266" s="181">
        <f t="shared" si="245"/>
        <v>50</v>
      </c>
      <c r="N266" s="181">
        <f t="shared" si="245"/>
        <v>55</v>
      </c>
      <c r="O266" s="181">
        <f t="shared" si="245"/>
        <v>45</v>
      </c>
      <c r="P266" s="181">
        <f t="shared" si="245"/>
        <v>49.388235294117649</v>
      </c>
      <c r="Q266" s="188">
        <f t="shared" si="241"/>
        <v>0</v>
      </c>
      <c r="R266" s="180" t="str">
        <f t="shared" si="211"/>
        <v/>
      </c>
      <c r="S266" s="180" t="str">
        <f t="shared" si="212"/>
        <v/>
      </c>
      <c r="T266" s="180" t="str">
        <f t="shared" si="216"/>
        <v/>
      </c>
      <c r="U266" s="180" t="str">
        <f t="shared" si="217"/>
        <v/>
      </c>
      <c r="V266" s="180" t="str">
        <f t="shared" si="205"/>
        <v/>
      </c>
      <c r="W266" s="180" t="str">
        <f t="shared" si="202"/>
        <v/>
      </c>
      <c r="X266" s="180" t="str">
        <f t="shared" si="206"/>
        <v/>
      </c>
      <c r="Y266" s="183"/>
      <c r="Z266" s="183"/>
      <c r="AA266" s="183"/>
    </row>
    <row r="267" spans="1:27" x14ac:dyDescent="0.25">
      <c r="A267" s="52">
        <v>233</v>
      </c>
      <c r="B267" s="50" t="str">
        <f t="shared" si="203"/>
        <v/>
      </c>
      <c r="C267" s="177"/>
      <c r="D267" s="190" t="str">
        <f t="shared" si="231"/>
        <v>OK</v>
      </c>
      <c r="E267" s="189" t="str">
        <f>IF(ISBLANK(C267),"",AVERAGE(C$35:C267))</f>
        <v/>
      </c>
      <c r="F267" s="185"/>
      <c r="G267" s="185"/>
      <c r="H267" s="185"/>
      <c r="I267" s="181">
        <f t="shared" ref="I267:L267" si="251">I266</f>
        <v>53.893722145136735</v>
      </c>
      <c r="J267" s="181">
        <f t="shared" si="251"/>
        <v>44.882748443098563</v>
      </c>
      <c r="K267" s="181">
        <f t="shared" si="251"/>
        <v>56.146465570646278</v>
      </c>
      <c r="L267" s="181">
        <f t="shared" si="251"/>
        <v>42.630005017589021</v>
      </c>
      <c r="M267" s="181">
        <f t="shared" si="245"/>
        <v>50</v>
      </c>
      <c r="N267" s="181">
        <f t="shared" si="245"/>
        <v>55</v>
      </c>
      <c r="O267" s="181">
        <f t="shared" si="245"/>
        <v>45</v>
      </c>
      <c r="P267" s="181">
        <f t="shared" si="245"/>
        <v>49.388235294117649</v>
      </c>
      <c r="Q267" s="188">
        <f t="shared" si="241"/>
        <v>0</v>
      </c>
      <c r="R267" s="180" t="str">
        <f t="shared" si="211"/>
        <v/>
      </c>
      <c r="S267" s="180" t="str">
        <f t="shared" si="212"/>
        <v/>
      </c>
      <c r="T267" s="180" t="str">
        <f t="shared" si="216"/>
        <v/>
      </c>
      <c r="U267" s="180" t="str">
        <f t="shared" si="217"/>
        <v/>
      </c>
      <c r="V267" s="180" t="str">
        <f t="shared" si="205"/>
        <v/>
      </c>
      <c r="W267" s="180" t="str">
        <f t="shared" si="202"/>
        <v/>
      </c>
      <c r="X267" s="180" t="str">
        <f t="shared" si="206"/>
        <v/>
      </c>
      <c r="Y267" s="183"/>
      <c r="Z267" s="183"/>
      <c r="AA267" s="183"/>
    </row>
    <row r="268" spans="1:27" x14ac:dyDescent="0.25">
      <c r="A268" s="52">
        <v>234</v>
      </c>
      <c r="B268" s="50" t="str">
        <f t="shared" si="203"/>
        <v/>
      </c>
      <c r="C268" s="177"/>
      <c r="D268" s="190" t="str">
        <f t="shared" si="231"/>
        <v>OK</v>
      </c>
      <c r="E268" s="189" t="str">
        <f>IF(ISBLANK(C268),"",AVERAGE(C$35:C268))</f>
        <v/>
      </c>
      <c r="F268" s="185"/>
      <c r="G268" s="185"/>
      <c r="H268" s="185"/>
      <c r="I268" s="181">
        <f t="shared" ref="I268:L268" si="252">I267</f>
        <v>53.893722145136735</v>
      </c>
      <c r="J268" s="181">
        <f t="shared" si="252"/>
        <v>44.882748443098563</v>
      </c>
      <c r="K268" s="181">
        <f t="shared" si="252"/>
        <v>56.146465570646278</v>
      </c>
      <c r="L268" s="181">
        <f t="shared" si="252"/>
        <v>42.630005017589021</v>
      </c>
      <c r="M268" s="181">
        <f t="shared" si="245"/>
        <v>50</v>
      </c>
      <c r="N268" s="181">
        <f t="shared" si="245"/>
        <v>55</v>
      </c>
      <c r="O268" s="181">
        <f t="shared" si="245"/>
        <v>45</v>
      </c>
      <c r="P268" s="181">
        <f t="shared" si="245"/>
        <v>49.388235294117649</v>
      </c>
      <c r="Q268" s="188">
        <f t="shared" si="241"/>
        <v>0</v>
      </c>
      <c r="R268" s="180" t="str">
        <f t="shared" si="211"/>
        <v/>
      </c>
      <c r="S268" s="180" t="str">
        <f t="shared" si="212"/>
        <v/>
      </c>
      <c r="T268" s="180" t="str">
        <f t="shared" si="216"/>
        <v/>
      </c>
      <c r="U268" s="180" t="str">
        <f t="shared" si="217"/>
        <v/>
      </c>
      <c r="V268" s="180" t="str">
        <f t="shared" si="205"/>
        <v/>
      </c>
      <c r="W268" s="180" t="str">
        <f t="shared" si="202"/>
        <v/>
      </c>
      <c r="X268" s="180" t="str">
        <f t="shared" si="206"/>
        <v/>
      </c>
      <c r="Y268" s="183"/>
      <c r="Z268" s="183"/>
      <c r="AA268" s="183"/>
    </row>
    <row r="269" spans="1:27" x14ac:dyDescent="0.25">
      <c r="A269" s="52">
        <v>235</v>
      </c>
      <c r="B269" s="50" t="str">
        <f t="shared" si="203"/>
        <v/>
      </c>
      <c r="C269" s="177"/>
      <c r="D269" s="190" t="str">
        <f t="shared" si="231"/>
        <v>OK</v>
      </c>
      <c r="E269" s="189" t="str">
        <f>IF(ISBLANK(C269),"",AVERAGE(C$35:C269))</f>
        <v/>
      </c>
      <c r="F269" s="185"/>
      <c r="G269" s="185"/>
      <c r="H269" s="185"/>
      <c r="I269" s="181">
        <f t="shared" ref="I269:L269" si="253">I268</f>
        <v>53.893722145136735</v>
      </c>
      <c r="J269" s="181">
        <f t="shared" si="253"/>
        <v>44.882748443098563</v>
      </c>
      <c r="K269" s="181">
        <f t="shared" si="253"/>
        <v>56.146465570646278</v>
      </c>
      <c r="L269" s="181">
        <f t="shared" si="253"/>
        <v>42.630005017589021</v>
      </c>
      <c r="M269" s="181">
        <f t="shared" si="245"/>
        <v>50</v>
      </c>
      <c r="N269" s="181">
        <f t="shared" si="245"/>
        <v>55</v>
      </c>
      <c r="O269" s="181">
        <f t="shared" si="245"/>
        <v>45</v>
      </c>
      <c r="P269" s="181">
        <f t="shared" si="245"/>
        <v>49.388235294117649</v>
      </c>
      <c r="Q269" s="188">
        <f t="shared" si="241"/>
        <v>0</v>
      </c>
      <c r="R269" s="180" t="str">
        <f t="shared" si="211"/>
        <v/>
      </c>
      <c r="S269" s="180" t="str">
        <f t="shared" si="212"/>
        <v/>
      </c>
      <c r="T269" s="180" t="str">
        <f t="shared" si="216"/>
        <v/>
      </c>
      <c r="U269" s="180" t="str">
        <f t="shared" si="217"/>
        <v/>
      </c>
      <c r="V269" s="180" t="str">
        <f t="shared" si="205"/>
        <v/>
      </c>
      <c r="W269" s="180" t="str">
        <f t="shared" si="202"/>
        <v/>
      </c>
      <c r="X269" s="180" t="str">
        <f t="shared" si="206"/>
        <v/>
      </c>
      <c r="Y269" s="183"/>
      <c r="Z269" s="183"/>
      <c r="AA269" s="183"/>
    </row>
    <row r="270" spans="1:27" x14ac:dyDescent="0.25">
      <c r="A270" s="52">
        <v>236</v>
      </c>
      <c r="B270" s="50" t="str">
        <f t="shared" si="203"/>
        <v/>
      </c>
      <c r="C270" s="177"/>
      <c r="D270" s="190" t="str">
        <f t="shared" si="231"/>
        <v>OK</v>
      </c>
      <c r="E270" s="189" t="str">
        <f>IF(ISBLANK(C270),"",AVERAGE(C$35:C270))</f>
        <v/>
      </c>
      <c r="F270" s="185"/>
      <c r="G270" s="185"/>
      <c r="H270" s="185"/>
      <c r="I270" s="181">
        <f t="shared" ref="I270:L270" si="254">I269</f>
        <v>53.893722145136735</v>
      </c>
      <c r="J270" s="181">
        <f t="shared" si="254"/>
        <v>44.882748443098563</v>
      </c>
      <c r="K270" s="181">
        <f t="shared" si="254"/>
        <v>56.146465570646278</v>
      </c>
      <c r="L270" s="181">
        <f t="shared" si="254"/>
        <v>42.630005017589021</v>
      </c>
      <c r="M270" s="181">
        <f t="shared" si="245"/>
        <v>50</v>
      </c>
      <c r="N270" s="181">
        <f t="shared" si="245"/>
        <v>55</v>
      </c>
      <c r="O270" s="181">
        <f t="shared" si="245"/>
        <v>45</v>
      </c>
      <c r="P270" s="181">
        <f t="shared" si="245"/>
        <v>49.388235294117649</v>
      </c>
      <c r="Q270" s="188">
        <f t="shared" si="241"/>
        <v>0</v>
      </c>
      <c r="R270" s="180" t="str">
        <f t="shared" si="211"/>
        <v/>
      </c>
      <c r="S270" s="180" t="str">
        <f t="shared" si="212"/>
        <v/>
      </c>
      <c r="T270" s="180" t="str">
        <f t="shared" si="216"/>
        <v/>
      </c>
      <c r="U270" s="180" t="str">
        <f t="shared" si="217"/>
        <v/>
      </c>
      <c r="V270" s="180" t="str">
        <f t="shared" si="205"/>
        <v/>
      </c>
      <c r="W270" s="180" t="str">
        <f t="shared" si="202"/>
        <v/>
      </c>
      <c r="X270" s="180" t="str">
        <f t="shared" si="206"/>
        <v/>
      </c>
      <c r="Y270" s="183"/>
      <c r="Z270" s="183"/>
      <c r="AA270" s="183"/>
    </row>
    <row r="271" spans="1:27" x14ac:dyDescent="0.25">
      <c r="A271" s="52">
        <v>237</v>
      </c>
      <c r="B271" s="50" t="str">
        <f t="shared" si="203"/>
        <v/>
      </c>
      <c r="C271" s="177"/>
      <c r="D271" s="190" t="str">
        <f t="shared" si="231"/>
        <v>OK</v>
      </c>
      <c r="E271" s="189" t="str">
        <f>IF(ISBLANK(C271),"",AVERAGE(C$35:C271))</f>
        <v/>
      </c>
      <c r="F271" s="185"/>
      <c r="G271" s="185"/>
      <c r="H271" s="185"/>
      <c r="I271" s="181">
        <f t="shared" ref="I271:L271" si="255">I270</f>
        <v>53.893722145136735</v>
      </c>
      <c r="J271" s="181">
        <f t="shared" si="255"/>
        <v>44.882748443098563</v>
      </c>
      <c r="K271" s="181">
        <f t="shared" si="255"/>
        <v>56.146465570646278</v>
      </c>
      <c r="L271" s="181">
        <f t="shared" si="255"/>
        <v>42.630005017589021</v>
      </c>
      <c r="M271" s="181">
        <f t="shared" si="245"/>
        <v>50</v>
      </c>
      <c r="N271" s="181">
        <f t="shared" si="245"/>
        <v>55</v>
      </c>
      <c r="O271" s="181">
        <f t="shared" si="245"/>
        <v>45</v>
      </c>
      <c r="P271" s="181">
        <f t="shared" si="245"/>
        <v>49.388235294117649</v>
      </c>
      <c r="Q271" s="188">
        <f t="shared" si="241"/>
        <v>0</v>
      </c>
      <c r="R271" s="180" t="str">
        <f t="shared" si="211"/>
        <v/>
      </c>
      <c r="S271" s="180" t="str">
        <f t="shared" si="212"/>
        <v/>
      </c>
      <c r="T271" s="180" t="str">
        <f t="shared" si="216"/>
        <v/>
      </c>
      <c r="U271" s="180" t="str">
        <f t="shared" si="217"/>
        <v/>
      </c>
      <c r="V271" s="180" t="str">
        <f t="shared" si="205"/>
        <v/>
      </c>
      <c r="W271" s="180" t="str">
        <f t="shared" si="202"/>
        <v/>
      </c>
      <c r="X271" s="180" t="str">
        <f t="shared" si="206"/>
        <v/>
      </c>
      <c r="Y271" s="183"/>
      <c r="Z271" s="183"/>
      <c r="AA271" s="183"/>
    </row>
    <row r="272" spans="1:27" x14ac:dyDescent="0.25">
      <c r="A272" s="52">
        <v>238</v>
      </c>
      <c r="B272" s="50" t="str">
        <f t="shared" si="203"/>
        <v/>
      </c>
      <c r="C272" s="177"/>
      <c r="D272" s="190" t="str">
        <f t="shared" si="231"/>
        <v>OK</v>
      </c>
      <c r="E272" s="189" t="str">
        <f>IF(ISBLANK(C272),"",AVERAGE(C$35:C272))</f>
        <v/>
      </c>
      <c r="F272" s="185"/>
      <c r="G272" s="185"/>
      <c r="H272" s="185"/>
      <c r="I272" s="181">
        <f t="shared" ref="I272:L272" si="256">I271</f>
        <v>53.893722145136735</v>
      </c>
      <c r="J272" s="181">
        <f t="shared" si="256"/>
        <v>44.882748443098563</v>
      </c>
      <c r="K272" s="181">
        <f t="shared" si="256"/>
        <v>56.146465570646278</v>
      </c>
      <c r="L272" s="181">
        <f t="shared" si="256"/>
        <v>42.630005017589021</v>
      </c>
      <c r="M272" s="181">
        <f t="shared" si="245"/>
        <v>50</v>
      </c>
      <c r="N272" s="181">
        <f t="shared" si="245"/>
        <v>55</v>
      </c>
      <c r="O272" s="181">
        <f t="shared" si="245"/>
        <v>45</v>
      </c>
      <c r="P272" s="181">
        <f t="shared" si="245"/>
        <v>49.388235294117649</v>
      </c>
      <c r="Q272" s="188">
        <f t="shared" si="241"/>
        <v>0</v>
      </c>
      <c r="R272" s="180" t="str">
        <f t="shared" si="211"/>
        <v/>
      </c>
      <c r="S272" s="180" t="str">
        <f t="shared" si="212"/>
        <v/>
      </c>
      <c r="T272" s="180" t="str">
        <f t="shared" si="216"/>
        <v/>
      </c>
      <c r="U272" s="180" t="str">
        <f t="shared" si="217"/>
        <v/>
      </c>
      <c r="V272" s="180" t="str">
        <f t="shared" si="205"/>
        <v/>
      </c>
      <c r="W272" s="180" t="str">
        <f t="shared" si="202"/>
        <v/>
      </c>
      <c r="X272" s="180" t="str">
        <f t="shared" si="206"/>
        <v/>
      </c>
      <c r="Y272" s="183"/>
      <c r="Z272" s="183"/>
      <c r="AA272" s="183"/>
    </row>
    <row r="273" spans="1:27" x14ac:dyDescent="0.25">
      <c r="A273" s="52">
        <v>239</v>
      </c>
      <c r="B273" s="50" t="str">
        <f t="shared" si="203"/>
        <v/>
      </c>
      <c r="C273" s="177"/>
      <c r="D273" s="190" t="str">
        <f t="shared" si="231"/>
        <v>OK</v>
      </c>
      <c r="E273" s="189" t="str">
        <f>IF(ISBLANK(C273),"",AVERAGE(C$35:C273))</f>
        <v/>
      </c>
      <c r="F273" s="185"/>
      <c r="G273" s="185"/>
      <c r="H273" s="185"/>
      <c r="I273" s="181">
        <f t="shared" ref="I273:L273" si="257">I272</f>
        <v>53.893722145136735</v>
      </c>
      <c r="J273" s="181">
        <f t="shared" si="257"/>
        <v>44.882748443098563</v>
      </c>
      <c r="K273" s="181">
        <f t="shared" si="257"/>
        <v>56.146465570646278</v>
      </c>
      <c r="L273" s="181">
        <f t="shared" si="257"/>
        <v>42.630005017589021</v>
      </c>
      <c r="M273" s="181">
        <f t="shared" si="245"/>
        <v>50</v>
      </c>
      <c r="N273" s="181">
        <f t="shared" si="245"/>
        <v>55</v>
      </c>
      <c r="O273" s="181">
        <f t="shared" si="245"/>
        <v>45</v>
      </c>
      <c r="P273" s="181">
        <f t="shared" si="245"/>
        <v>49.388235294117649</v>
      </c>
      <c r="Q273" s="188">
        <f t="shared" si="241"/>
        <v>0</v>
      </c>
      <c r="R273" s="180" t="str">
        <f t="shared" si="211"/>
        <v/>
      </c>
      <c r="S273" s="180" t="str">
        <f t="shared" si="212"/>
        <v/>
      </c>
      <c r="T273" s="180" t="str">
        <f t="shared" si="216"/>
        <v/>
      </c>
      <c r="U273" s="180" t="str">
        <f t="shared" si="217"/>
        <v/>
      </c>
      <c r="V273" s="180" t="str">
        <f t="shared" si="205"/>
        <v/>
      </c>
      <c r="W273" s="180" t="str">
        <f t="shared" si="202"/>
        <v/>
      </c>
      <c r="X273" s="180" t="str">
        <f t="shared" si="206"/>
        <v/>
      </c>
      <c r="Y273" s="183"/>
      <c r="Z273" s="183"/>
      <c r="AA273" s="183"/>
    </row>
    <row r="274" spans="1:27" x14ac:dyDescent="0.25">
      <c r="A274" s="52">
        <v>240</v>
      </c>
      <c r="B274" s="50" t="str">
        <f t="shared" si="203"/>
        <v/>
      </c>
      <c r="C274" s="177"/>
      <c r="D274" s="190" t="str">
        <f t="shared" si="231"/>
        <v>OK</v>
      </c>
      <c r="E274" s="189" t="str">
        <f>IF(ISBLANK(C274),"",AVERAGE(C$35:C274))</f>
        <v/>
      </c>
      <c r="F274" s="185"/>
      <c r="G274" s="185"/>
      <c r="H274" s="185"/>
      <c r="I274" s="181">
        <f t="shared" ref="I274:L274" si="258">I273</f>
        <v>53.893722145136735</v>
      </c>
      <c r="J274" s="181">
        <f t="shared" si="258"/>
        <v>44.882748443098563</v>
      </c>
      <c r="K274" s="181">
        <f t="shared" si="258"/>
        <v>56.146465570646278</v>
      </c>
      <c r="L274" s="181">
        <f t="shared" si="258"/>
        <v>42.630005017589021</v>
      </c>
      <c r="M274" s="181">
        <f t="shared" si="245"/>
        <v>50</v>
      </c>
      <c r="N274" s="181">
        <f t="shared" si="245"/>
        <v>55</v>
      </c>
      <c r="O274" s="181">
        <f t="shared" si="245"/>
        <v>45</v>
      </c>
      <c r="P274" s="181">
        <f t="shared" si="245"/>
        <v>49.388235294117649</v>
      </c>
      <c r="Q274" s="188">
        <f t="shared" si="241"/>
        <v>0</v>
      </c>
      <c r="R274" s="180" t="str">
        <f t="shared" si="211"/>
        <v/>
      </c>
      <c r="S274" s="180" t="str">
        <f t="shared" si="212"/>
        <v/>
      </c>
      <c r="T274" s="180" t="str">
        <f t="shared" si="216"/>
        <v/>
      </c>
      <c r="U274" s="180" t="str">
        <f t="shared" si="217"/>
        <v/>
      </c>
      <c r="V274" s="180" t="str">
        <f t="shared" si="205"/>
        <v/>
      </c>
      <c r="W274" s="180" t="str">
        <f t="shared" si="202"/>
        <v/>
      </c>
      <c r="X274" s="180" t="str">
        <f t="shared" si="206"/>
        <v/>
      </c>
      <c r="Y274" s="183"/>
      <c r="Z274" s="183"/>
      <c r="AA274" s="183"/>
    </row>
    <row r="275" spans="1:27" x14ac:dyDescent="0.25">
      <c r="A275" s="52">
        <v>241</v>
      </c>
      <c r="B275" s="50" t="str">
        <f t="shared" si="203"/>
        <v/>
      </c>
      <c r="C275" s="177"/>
      <c r="D275" s="190" t="str">
        <f t="shared" si="231"/>
        <v>OK</v>
      </c>
      <c r="E275" s="189" t="str">
        <f>IF(ISBLANK(C275),"",AVERAGE(C$35:C275))</f>
        <v/>
      </c>
      <c r="F275" s="185"/>
      <c r="G275" s="185"/>
      <c r="H275" s="185"/>
      <c r="I275" s="181">
        <f t="shared" ref="I275:L275" si="259">I274</f>
        <v>53.893722145136735</v>
      </c>
      <c r="J275" s="181">
        <f t="shared" si="259"/>
        <v>44.882748443098563</v>
      </c>
      <c r="K275" s="181">
        <f t="shared" si="259"/>
        <v>56.146465570646278</v>
      </c>
      <c r="L275" s="181">
        <f t="shared" si="259"/>
        <v>42.630005017589021</v>
      </c>
      <c r="M275" s="181">
        <f t="shared" si="245"/>
        <v>50</v>
      </c>
      <c r="N275" s="181">
        <f t="shared" si="245"/>
        <v>55</v>
      </c>
      <c r="O275" s="181">
        <f t="shared" si="245"/>
        <v>45</v>
      </c>
      <c r="P275" s="181">
        <f t="shared" si="245"/>
        <v>49.388235294117649</v>
      </c>
      <c r="Q275" s="188">
        <f t="shared" si="241"/>
        <v>0</v>
      </c>
      <c r="R275" s="180" t="str">
        <f t="shared" si="211"/>
        <v/>
      </c>
      <c r="S275" s="180" t="str">
        <f t="shared" si="212"/>
        <v/>
      </c>
      <c r="T275" s="180" t="str">
        <f t="shared" si="216"/>
        <v/>
      </c>
      <c r="U275" s="180" t="str">
        <f t="shared" si="217"/>
        <v/>
      </c>
      <c r="V275" s="180" t="str">
        <f t="shared" si="205"/>
        <v/>
      </c>
      <c r="W275" s="180" t="str">
        <f t="shared" si="202"/>
        <v/>
      </c>
      <c r="X275" s="180" t="str">
        <f t="shared" si="206"/>
        <v/>
      </c>
      <c r="Y275" s="183"/>
      <c r="Z275" s="183"/>
      <c r="AA275" s="183"/>
    </row>
    <row r="276" spans="1:27" x14ac:dyDescent="0.25">
      <c r="A276" s="52">
        <v>242</v>
      </c>
      <c r="B276" s="50" t="str">
        <f t="shared" si="203"/>
        <v/>
      </c>
      <c r="C276" s="177"/>
      <c r="D276" s="190" t="str">
        <f t="shared" si="231"/>
        <v>OK</v>
      </c>
      <c r="E276" s="189" t="str">
        <f>IF(ISBLANK(C276),"",AVERAGE(C$35:C276))</f>
        <v/>
      </c>
      <c r="F276" s="185"/>
      <c r="G276" s="185"/>
      <c r="H276" s="185"/>
      <c r="I276" s="181">
        <f t="shared" ref="I276:L276" si="260">I275</f>
        <v>53.893722145136735</v>
      </c>
      <c r="J276" s="181">
        <f t="shared" si="260"/>
        <v>44.882748443098563</v>
      </c>
      <c r="K276" s="181">
        <f t="shared" si="260"/>
        <v>56.146465570646278</v>
      </c>
      <c r="L276" s="181">
        <f t="shared" si="260"/>
        <v>42.630005017589021</v>
      </c>
      <c r="M276" s="181">
        <f t="shared" si="245"/>
        <v>50</v>
      </c>
      <c r="N276" s="181">
        <f t="shared" si="245"/>
        <v>55</v>
      </c>
      <c r="O276" s="181">
        <f t="shared" si="245"/>
        <v>45</v>
      </c>
      <c r="P276" s="181">
        <f t="shared" si="245"/>
        <v>49.388235294117649</v>
      </c>
      <c r="Q276" s="188">
        <f t="shared" si="241"/>
        <v>0</v>
      </c>
      <c r="R276" s="180" t="str">
        <f t="shared" si="211"/>
        <v/>
      </c>
      <c r="S276" s="180" t="str">
        <f t="shared" si="212"/>
        <v/>
      </c>
      <c r="T276" s="180" t="str">
        <f t="shared" si="216"/>
        <v/>
      </c>
      <c r="U276" s="180" t="str">
        <f t="shared" si="217"/>
        <v/>
      </c>
      <c r="V276" s="180" t="str">
        <f t="shared" si="205"/>
        <v/>
      </c>
      <c r="W276" s="180" t="str">
        <f t="shared" si="202"/>
        <v/>
      </c>
      <c r="X276" s="180" t="str">
        <f t="shared" si="206"/>
        <v/>
      </c>
      <c r="Y276" s="183"/>
      <c r="Z276" s="183"/>
      <c r="AA276" s="183"/>
    </row>
    <row r="277" spans="1:27" x14ac:dyDescent="0.25">
      <c r="A277" s="52">
        <v>243</v>
      </c>
      <c r="B277" s="50" t="str">
        <f t="shared" si="203"/>
        <v/>
      </c>
      <c r="C277" s="177"/>
      <c r="D277" s="190" t="str">
        <f t="shared" si="231"/>
        <v>OK</v>
      </c>
      <c r="E277" s="189" t="str">
        <f>IF(ISBLANK(C277),"",AVERAGE(C$35:C277))</f>
        <v/>
      </c>
      <c r="F277" s="185"/>
      <c r="G277" s="185"/>
      <c r="H277" s="185"/>
      <c r="I277" s="181">
        <f t="shared" ref="I277:P292" si="261">I276</f>
        <v>53.893722145136735</v>
      </c>
      <c r="J277" s="181">
        <f t="shared" si="261"/>
        <v>44.882748443098563</v>
      </c>
      <c r="K277" s="181">
        <f t="shared" si="261"/>
        <v>56.146465570646278</v>
      </c>
      <c r="L277" s="181">
        <f t="shared" si="261"/>
        <v>42.630005017589021</v>
      </c>
      <c r="M277" s="181">
        <f t="shared" si="261"/>
        <v>50</v>
      </c>
      <c r="N277" s="181">
        <f t="shared" si="261"/>
        <v>55</v>
      </c>
      <c r="O277" s="181">
        <f t="shared" si="261"/>
        <v>45</v>
      </c>
      <c r="P277" s="181">
        <f t="shared" si="261"/>
        <v>49.388235294117649</v>
      </c>
      <c r="Q277" s="188">
        <f t="shared" si="241"/>
        <v>0</v>
      </c>
      <c r="R277" s="180" t="str">
        <f t="shared" si="211"/>
        <v/>
      </c>
      <c r="S277" s="180" t="str">
        <f t="shared" si="212"/>
        <v/>
      </c>
      <c r="T277" s="180" t="str">
        <f t="shared" si="216"/>
        <v/>
      </c>
      <c r="U277" s="180" t="str">
        <f t="shared" si="217"/>
        <v/>
      </c>
      <c r="V277" s="180" t="str">
        <f t="shared" si="205"/>
        <v/>
      </c>
      <c r="W277" s="180" t="str">
        <f t="shared" si="202"/>
        <v/>
      </c>
      <c r="X277" s="180" t="str">
        <f t="shared" si="206"/>
        <v/>
      </c>
      <c r="Y277" s="183"/>
      <c r="Z277" s="183"/>
      <c r="AA277" s="183"/>
    </row>
    <row r="278" spans="1:27" x14ac:dyDescent="0.25">
      <c r="A278" s="52">
        <v>244</v>
      </c>
      <c r="B278" s="50" t="str">
        <f t="shared" si="203"/>
        <v/>
      </c>
      <c r="C278" s="177"/>
      <c r="D278" s="190" t="str">
        <f t="shared" si="231"/>
        <v>OK</v>
      </c>
      <c r="E278" s="189" t="str">
        <f>IF(ISBLANK(C278),"",AVERAGE(C$35:C278))</f>
        <v/>
      </c>
      <c r="F278" s="185"/>
      <c r="G278" s="185"/>
      <c r="H278" s="185"/>
      <c r="I278" s="181">
        <f t="shared" ref="I278:L278" si="262">I277</f>
        <v>53.893722145136735</v>
      </c>
      <c r="J278" s="181">
        <f t="shared" si="262"/>
        <v>44.882748443098563</v>
      </c>
      <c r="K278" s="181">
        <f t="shared" si="262"/>
        <v>56.146465570646278</v>
      </c>
      <c r="L278" s="181">
        <f t="shared" si="262"/>
        <v>42.630005017589021</v>
      </c>
      <c r="M278" s="181">
        <f t="shared" si="261"/>
        <v>50</v>
      </c>
      <c r="N278" s="181">
        <f t="shared" si="261"/>
        <v>55</v>
      </c>
      <c r="O278" s="181">
        <f t="shared" si="261"/>
        <v>45</v>
      </c>
      <c r="P278" s="181">
        <f t="shared" si="261"/>
        <v>49.388235294117649</v>
      </c>
      <c r="Q278" s="188">
        <f t="shared" si="241"/>
        <v>0</v>
      </c>
      <c r="R278" s="180" t="str">
        <f t="shared" si="211"/>
        <v/>
      </c>
      <c r="S278" s="180" t="str">
        <f t="shared" si="212"/>
        <v/>
      </c>
      <c r="T278" s="180" t="str">
        <f t="shared" si="216"/>
        <v/>
      </c>
      <c r="U278" s="180" t="str">
        <f t="shared" si="217"/>
        <v/>
      </c>
      <c r="V278" s="180" t="str">
        <f t="shared" si="205"/>
        <v/>
      </c>
      <c r="W278" s="180" t="str">
        <f t="shared" si="202"/>
        <v/>
      </c>
      <c r="X278" s="180" t="str">
        <f t="shared" si="206"/>
        <v/>
      </c>
      <c r="Y278" s="183"/>
      <c r="Z278" s="183"/>
      <c r="AA278" s="183"/>
    </row>
    <row r="279" spans="1:27" x14ac:dyDescent="0.25">
      <c r="A279" s="52">
        <v>245</v>
      </c>
      <c r="B279" s="50" t="str">
        <f t="shared" si="203"/>
        <v/>
      </c>
      <c r="C279" s="177"/>
      <c r="D279" s="190" t="str">
        <f t="shared" si="231"/>
        <v>OK</v>
      </c>
      <c r="E279" s="189" t="str">
        <f>IF(ISBLANK(C279),"",AVERAGE(C$35:C279))</f>
        <v/>
      </c>
      <c r="F279" s="185"/>
      <c r="G279" s="185"/>
      <c r="H279" s="185"/>
      <c r="I279" s="181">
        <f t="shared" ref="I279:L279" si="263">I278</f>
        <v>53.893722145136735</v>
      </c>
      <c r="J279" s="181">
        <f t="shared" si="263"/>
        <v>44.882748443098563</v>
      </c>
      <c r="K279" s="181">
        <f t="shared" si="263"/>
        <v>56.146465570646278</v>
      </c>
      <c r="L279" s="181">
        <f t="shared" si="263"/>
        <v>42.630005017589021</v>
      </c>
      <c r="M279" s="181">
        <f t="shared" si="261"/>
        <v>50</v>
      </c>
      <c r="N279" s="181">
        <f t="shared" si="261"/>
        <v>55</v>
      </c>
      <c r="O279" s="181">
        <f t="shared" si="261"/>
        <v>45</v>
      </c>
      <c r="P279" s="181">
        <f t="shared" si="261"/>
        <v>49.388235294117649</v>
      </c>
      <c r="Q279" s="188">
        <f t="shared" si="241"/>
        <v>0</v>
      </c>
      <c r="R279" s="180" t="str">
        <f t="shared" si="211"/>
        <v/>
      </c>
      <c r="S279" s="180" t="str">
        <f t="shared" si="212"/>
        <v/>
      </c>
      <c r="T279" s="180" t="str">
        <f t="shared" si="216"/>
        <v/>
      </c>
      <c r="U279" s="180" t="str">
        <f t="shared" si="217"/>
        <v/>
      </c>
      <c r="V279" s="180" t="str">
        <f t="shared" si="205"/>
        <v/>
      </c>
      <c r="W279" s="180" t="str">
        <f t="shared" si="202"/>
        <v/>
      </c>
      <c r="X279" s="180" t="str">
        <f t="shared" si="206"/>
        <v/>
      </c>
      <c r="Y279" s="183"/>
      <c r="Z279" s="183"/>
      <c r="AA279" s="183"/>
    </row>
    <row r="280" spans="1:27" x14ac:dyDescent="0.25">
      <c r="A280" s="52">
        <v>246</v>
      </c>
      <c r="B280" s="50" t="str">
        <f t="shared" si="203"/>
        <v/>
      </c>
      <c r="C280" s="177"/>
      <c r="D280" s="190" t="str">
        <f t="shared" si="231"/>
        <v>OK</v>
      </c>
      <c r="E280" s="189" t="str">
        <f>IF(ISBLANK(C280),"",AVERAGE(C$35:C280))</f>
        <v/>
      </c>
      <c r="F280" s="185"/>
      <c r="G280" s="185"/>
      <c r="H280" s="185"/>
      <c r="I280" s="181">
        <f t="shared" ref="I280:L280" si="264">I279</f>
        <v>53.893722145136735</v>
      </c>
      <c r="J280" s="181">
        <f t="shared" si="264"/>
        <v>44.882748443098563</v>
      </c>
      <c r="K280" s="181">
        <f t="shared" si="264"/>
        <v>56.146465570646278</v>
      </c>
      <c r="L280" s="181">
        <f t="shared" si="264"/>
        <v>42.630005017589021</v>
      </c>
      <c r="M280" s="181">
        <f t="shared" si="261"/>
        <v>50</v>
      </c>
      <c r="N280" s="181">
        <f t="shared" si="261"/>
        <v>55</v>
      </c>
      <c r="O280" s="181">
        <f t="shared" si="261"/>
        <v>45</v>
      </c>
      <c r="P280" s="181">
        <f t="shared" si="261"/>
        <v>49.388235294117649</v>
      </c>
      <c r="Q280" s="188">
        <f t="shared" si="241"/>
        <v>0</v>
      </c>
      <c r="R280" s="180" t="str">
        <f t="shared" si="211"/>
        <v/>
      </c>
      <c r="S280" s="180" t="str">
        <f t="shared" si="212"/>
        <v/>
      </c>
      <c r="T280" s="180" t="str">
        <f t="shared" si="216"/>
        <v/>
      </c>
      <c r="U280" s="180" t="str">
        <f t="shared" si="217"/>
        <v/>
      </c>
      <c r="V280" s="180" t="str">
        <f t="shared" si="205"/>
        <v/>
      </c>
      <c r="W280" s="180" t="str">
        <f t="shared" si="202"/>
        <v/>
      </c>
      <c r="X280" s="180" t="str">
        <f t="shared" si="206"/>
        <v/>
      </c>
      <c r="Y280" s="183"/>
      <c r="Z280" s="183"/>
      <c r="AA280" s="183"/>
    </row>
    <row r="281" spans="1:27" x14ac:dyDescent="0.25">
      <c r="A281" s="52">
        <v>247</v>
      </c>
      <c r="B281" s="50" t="str">
        <f t="shared" si="203"/>
        <v/>
      </c>
      <c r="C281" s="177"/>
      <c r="D281" s="190" t="str">
        <f t="shared" si="231"/>
        <v>OK</v>
      </c>
      <c r="E281" s="189" t="str">
        <f>IF(ISBLANK(C281),"",AVERAGE(C$35:C281))</f>
        <v/>
      </c>
      <c r="F281" s="185"/>
      <c r="G281" s="185"/>
      <c r="H281" s="185"/>
      <c r="I281" s="181">
        <f t="shared" ref="I281:L281" si="265">I280</f>
        <v>53.893722145136735</v>
      </c>
      <c r="J281" s="181">
        <f t="shared" si="265"/>
        <v>44.882748443098563</v>
      </c>
      <c r="K281" s="181">
        <f t="shared" si="265"/>
        <v>56.146465570646278</v>
      </c>
      <c r="L281" s="181">
        <f t="shared" si="265"/>
        <v>42.630005017589021</v>
      </c>
      <c r="M281" s="181">
        <f t="shared" si="261"/>
        <v>50</v>
      </c>
      <c r="N281" s="181">
        <f t="shared" si="261"/>
        <v>55</v>
      </c>
      <c r="O281" s="181">
        <f t="shared" si="261"/>
        <v>45</v>
      </c>
      <c r="P281" s="181">
        <f t="shared" si="261"/>
        <v>49.388235294117649</v>
      </c>
      <c r="Q281" s="188">
        <f t="shared" si="241"/>
        <v>0</v>
      </c>
      <c r="R281" s="180" t="str">
        <f t="shared" si="211"/>
        <v/>
      </c>
      <c r="S281" s="180" t="str">
        <f t="shared" si="212"/>
        <v/>
      </c>
      <c r="T281" s="180" t="str">
        <f t="shared" si="216"/>
        <v/>
      </c>
      <c r="U281" s="180" t="str">
        <f t="shared" si="217"/>
        <v/>
      </c>
      <c r="V281" s="180" t="str">
        <f t="shared" si="205"/>
        <v/>
      </c>
      <c r="W281" s="180" t="str">
        <f t="shared" si="202"/>
        <v/>
      </c>
      <c r="X281" s="180" t="str">
        <f t="shared" si="206"/>
        <v/>
      </c>
      <c r="Y281" s="183"/>
      <c r="Z281" s="183"/>
      <c r="AA281" s="183"/>
    </row>
    <row r="282" spans="1:27" x14ac:dyDescent="0.25">
      <c r="A282" s="52">
        <v>248</v>
      </c>
      <c r="B282" s="50" t="str">
        <f t="shared" si="203"/>
        <v/>
      </c>
      <c r="C282" s="177"/>
      <c r="D282" s="190" t="str">
        <f t="shared" si="231"/>
        <v>OK</v>
      </c>
      <c r="E282" s="189" t="str">
        <f>IF(ISBLANK(C282),"",AVERAGE(C$35:C282))</f>
        <v/>
      </c>
      <c r="F282" s="185"/>
      <c r="G282" s="185"/>
      <c r="H282" s="185"/>
      <c r="I282" s="181">
        <f t="shared" ref="I282:L282" si="266">I281</f>
        <v>53.893722145136735</v>
      </c>
      <c r="J282" s="181">
        <f t="shared" si="266"/>
        <v>44.882748443098563</v>
      </c>
      <c r="K282" s="181">
        <f t="shared" si="266"/>
        <v>56.146465570646278</v>
      </c>
      <c r="L282" s="181">
        <f t="shared" si="266"/>
        <v>42.630005017589021</v>
      </c>
      <c r="M282" s="181">
        <f t="shared" si="261"/>
        <v>50</v>
      </c>
      <c r="N282" s="181">
        <f t="shared" si="261"/>
        <v>55</v>
      </c>
      <c r="O282" s="181">
        <f t="shared" si="261"/>
        <v>45</v>
      </c>
      <c r="P282" s="181">
        <f t="shared" si="261"/>
        <v>49.388235294117649</v>
      </c>
      <c r="Q282" s="188">
        <f t="shared" si="241"/>
        <v>0</v>
      </c>
      <c r="R282" s="180" t="str">
        <f t="shared" si="211"/>
        <v/>
      </c>
      <c r="S282" s="180" t="str">
        <f t="shared" si="212"/>
        <v/>
      </c>
      <c r="T282" s="180" t="str">
        <f t="shared" si="216"/>
        <v/>
      </c>
      <c r="U282" s="180" t="str">
        <f t="shared" si="217"/>
        <v/>
      </c>
      <c r="V282" s="180" t="str">
        <f t="shared" si="205"/>
        <v/>
      </c>
      <c r="W282" s="180" t="str">
        <f t="shared" si="202"/>
        <v/>
      </c>
      <c r="X282" s="180" t="str">
        <f t="shared" si="206"/>
        <v/>
      </c>
      <c r="Y282" s="183"/>
      <c r="Z282" s="183"/>
      <c r="AA282" s="183"/>
    </row>
    <row r="283" spans="1:27" x14ac:dyDescent="0.25">
      <c r="A283" s="52">
        <v>249</v>
      </c>
      <c r="B283" s="50" t="str">
        <f t="shared" si="203"/>
        <v/>
      </c>
      <c r="C283" s="177"/>
      <c r="D283" s="190" t="str">
        <f t="shared" si="231"/>
        <v>OK</v>
      </c>
      <c r="E283" s="189" t="str">
        <f>IF(ISBLANK(C283),"",AVERAGE(C$35:C283))</f>
        <v/>
      </c>
      <c r="F283" s="185"/>
      <c r="G283" s="185"/>
      <c r="H283" s="185"/>
      <c r="I283" s="181">
        <f t="shared" ref="I283:L283" si="267">I282</f>
        <v>53.893722145136735</v>
      </c>
      <c r="J283" s="181">
        <f t="shared" si="267"/>
        <v>44.882748443098563</v>
      </c>
      <c r="K283" s="181">
        <f t="shared" si="267"/>
        <v>56.146465570646278</v>
      </c>
      <c r="L283" s="181">
        <f t="shared" si="267"/>
        <v>42.630005017589021</v>
      </c>
      <c r="M283" s="181">
        <f t="shared" si="261"/>
        <v>50</v>
      </c>
      <c r="N283" s="181">
        <f t="shared" si="261"/>
        <v>55</v>
      </c>
      <c r="O283" s="181">
        <f t="shared" si="261"/>
        <v>45</v>
      </c>
      <c r="P283" s="181">
        <f t="shared" si="261"/>
        <v>49.388235294117649</v>
      </c>
      <c r="Q283" s="188">
        <f t="shared" si="241"/>
        <v>0</v>
      </c>
      <c r="R283" s="180" t="str">
        <f t="shared" si="211"/>
        <v/>
      </c>
      <c r="S283" s="180" t="str">
        <f t="shared" si="212"/>
        <v/>
      </c>
      <c r="T283" s="180" t="str">
        <f t="shared" si="216"/>
        <v/>
      </c>
      <c r="U283" s="180" t="str">
        <f t="shared" si="217"/>
        <v/>
      </c>
      <c r="V283" s="180" t="str">
        <f t="shared" si="205"/>
        <v/>
      </c>
      <c r="W283" s="180" t="str">
        <f t="shared" si="202"/>
        <v/>
      </c>
      <c r="X283" s="180" t="str">
        <f t="shared" si="206"/>
        <v/>
      </c>
      <c r="Y283" s="183"/>
      <c r="Z283" s="183"/>
      <c r="AA283" s="183"/>
    </row>
    <row r="284" spans="1:27" x14ac:dyDescent="0.25">
      <c r="A284" s="52">
        <v>250</v>
      </c>
      <c r="B284" s="50" t="str">
        <f t="shared" si="203"/>
        <v/>
      </c>
      <c r="C284" s="177"/>
      <c r="D284" s="190" t="str">
        <f t="shared" si="231"/>
        <v>OK</v>
      </c>
      <c r="E284" s="189" t="str">
        <f>IF(ISBLANK(C284),"",AVERAGE(C$35:C284))</f>
        <v/>
      </c>
      <c r="F284" s="185"/>
      <c r="G284" s="185"/>
      <c r="H284" s="185"/>
      <c r="I284" s="181">
        <f t="shared" ref="I284:L284" si="268">I283</f>
        <v>53.893722145136735</v>
      </c>
      <c r="J284" s="181">
        <f t="shared" si="268"/>
        <v>44.882748443098563</v>
      </c>
      <c r="K284" s="181">
        <f t="shared" si="268"/>
        <v>56.146465570646278</v>
      </c>
      <c r="L284" s="181">
        <f t="shared" si="268"/>
        <v>42.630005017589021</v>
      </c>
      <c r="M284" s="181">
        <f t="shared" si="261"/>
        <v>50</v>
      </c>
      <c r="N284" s="181">
        <f t="shared" si="261"/>
        <v>55</v>
      </c>
      <c r="O284" s="181">
        <f t="shared" si="261"/>
        <v>45</v>
      </c>
      <c r="P284" s="181">
        <f t="shared" si="261"/>
        <v>49.388235294117649</v>
      </c>
      <c r="Q284" s="188">
        <f t="shared" si="241"/>
        <v>0</v>
      </c>
      <c r="R284" s="180" t="str">
        <f t="shared" si="211"/>
        <v/>
      </c>
      <c r="S284" s="180" t="str">
        <f t="shared" si="212"/>
        <v/>
      </c>
      <c r="T284" s="180" t="str">
        <f t="shared" si="216"/>
        <v/>
      </c>
      <c r="U284" s="180" t="str">
        <f t="shared" si="217"/>
        <v/>
      </c>
      <c r="V284" s="180" t="str">
        <f t="shared" si="205"/>
        <v/>
      </c>
      <c r="W284" s="180" t="str">
        <f t="shared" si="202"/>
        <v/>
      </c>
      <c r="X284" s="180" t="str">
        <f t="shared" si="206"/>
        <v/>
      </c>
      <c r="Y284" s="183"/>
      <c r="Z284" s="183"/>
      <c r="AA284" s="183"/>
    </row>
    <row r="285" spans="1:27" x14ac:dyDescent="0.25">
      <c r="A285" s="52">
        <v>251</v>
      </c>
      <c r="B285" s="50" t="str">
        <f t="shared" si="203"/>
        <v/>
      </c>
      <c r="C285" s="177"/>
      <c r="D285" s="190" t="str">
        <f t="shared" si="231"/>
        <v>OK</v>
      </c>
      <c r="E285" s="189" t="str">
        <f>IF(ISBLANK(C285),"",AVERAGE(C$35:C285))</f>
        <v/>
      </c>
      <c r="F285" s="185"/>
      <c r="G285" s="185"/>
      <c r="H285" s="185"/>
      <c r="I285" s="181">
        <f t="shared" ref="I285:L285" si="269">I284</f>
        <v>53.893722145136735</v>
      </c>
      <c r="J285" s="181">
        <f t="shared" si="269"/>
        <v>44.882748443098563</v>
      </c>
      <c r="K285" s="181">
        <f t="shared" si="269"/>
        <v>56.146465570646278</v>
      </c>
      <c r="L285" s="181">
        <f t="shared" si="269"/>
        <v>42.630005017589021</v>
      </c>
      <c r="M285" s="181">
        <f t="shared" si="261"/>
        <v>50</v>
      </c>
      <c r="N285" s="181">
        <f t="shared" si="261"/>
        <v>55</v>
      </c>
      <c r="O285" s="181">
        <f t="shared" si="261"/>
        <v>45</v>
      </c>
      <c r="P285" s="181">
        <f t="shared" si="261"/>
        <v>49.388235294117649</v>
      </c>
      <c r="Q285" s="188">
        <f t="shared" si="241"/>
        <v>0</v>
      </c>
      <c r="R285" s="180" t="str">
        <f t="shared" si="211"/>
        <v/>
      </c>
      <c r="S285" s="180" t="str">
        <f t="shared" si="212"/>
        <v/>
      </c>
      <c r="T285" s="180" t="str">
        <f t="shared" si="216"/>
        <v/>
      </c>
      <c r="U285" s="180" t="str">
        <f t="shared" si="217"/>
        <v/>
      </c>
      <c r="V285" s="180" t="str">
        <f t="shared" si="205"/>
        <v/>
      </c>
      <c r="W285" s="180" t="str">
        <f t="shared" si="202"/>
        <v/>
      </c>
      <c r="X285" s="180" t="str">
        <f t="shared" si="206"/>
        <v/>
      </c>
      <c r="Y285" s="183"/>
      <c r="Z285" s="183"/>
      <c r="AA285" s="183"/>
    </row>
    <row r="286" spans="1:27" x14ac:dyDescent="0.25">
      <c r="A286" s="52">
        <v>252</v>
      </c>
      <c r="B286" s="50" t="str">
        <f t="shared" si="203"/>
        <v/>
      </c>
      <c r="C286" s="177"/>
      <c r="D286" s="190" t="str">
        <f t="shared" si="231"/>
        <v>OK</v>
      </c>
      <c r="E286" s="189" t="str">
        <f>IF(ISBLANK(C286),"",AVERAGE(C$35:C286))</f>
        <v/>
      </c>
      <c r="F286" s="185"/>
      <c r="G286" s="185"/>
      <c r="H286" s="185"/>
      <c r="I286" s="181">
        <f t="shared" ref="I286:L286" si="270">I285</f>
        <v>53.893722145136735</v>
      </c>
      <c r="J286" s="181">
        <f t="shared" si="270"/>
        <v>44.882748443098563</v>
      </c>
      <c r="K286" s="181">
        <f t="shared" si="270"/>
        <v>56.146465570646278</v>
      </c>
      <c r="L286" s="181">
        <f t="shared" si="270"/>
        <v>42.630005017589021</v>
      </c>
      <c r="M286" s="181">
        <f t="shared" si="261"/>
        <v>50</v>
      </c>
      <c r="N286" s="181">
        <f t="shared" si="261"/>
        <v>55</v>
      </c>
      <c r="O286" s="181">
        <f t="shared" si="261"/>
        <v>45</v>
      </c>
      <c r="P286" s="181">
        <f t="shared" si="261"/>
        <v>49.388235294117649</v>
      </c>
      <c r="Q286" s="188">
        <f t="shared" si="241"/>
        <v>0</v>
      </c>
      <c r="R286" s="180" t="str">
        <f t="shared" si="211"/>
        <v/>
      </c>
      <c r="S286" s="180" t="str">
        <f t="shared" si="212"/>
        <v/>
      </c>
      <c r="T286" s="180" t="str">
        <f t="shared" si="216"/>
        <v/>
      </c>
      <c r="U286" s="180" t="str">
        <f t="shared" si="217"/>
        <v/>
      </c>
      <c r="V286" s="180" t="str">
        <f t="shared" si="205"/>
        <v/>
      </c>
      <c r="W286" s="180" t="str">
        <f t="shared" si="202"/>
        <v/>
      </c>
      <c r="X286" s="180" t="str">
        <f t="shared" si="206"/>
        <v/>
      </c>
      <c r="Y286" s="183"/>
      <c r="Z286" s="183"/>
      <c r="AA286" s="183"/>
    </row>
    <row r="287" spans="1:27" x14ac:dyDescent="0.25">
      <c r="A287" s="52">
        <v>253</v>
      </c>
      <c r="B287" s="50" t="str">
        <f t="shared" si="203"/>
        <v/>
      </c>
      <c r="C287" s="177"/>
      <c r="D287" s="190" t="str">
        <f t="shared" si="231"/>
        <v>OK</v>
      </c>
      <c r="E287" s="189" t="str">
        <f>IF(ISBLANK(C287),"",AVERAGE(C$35:C287))</f>
        <v/>
      </c>
      <c r="F287" s="185"/>
      <c r="G287" s="185"/>
      <c r="H287" s="185"/>
      <c r="I287" s="181">
        <f t="shared" ref="I287:L287" si="271">I286</f>
        <v>53.893722145136735</v>
      </c>
      <c r="J287" s="181">
        <f t="shared" si="271"/>
        <v>44.882748443098563</v>
      </c>
      <c r="K287" s="181">
        <f t="shared" si="271"/>
        <v>56.146465570646278</v>
      </c>
      <c r="L287" s="181">
        <f t="shared" si="271"/>
        <v>42.630005017589021</v>
      </c>
      <c r="M287" s="181">
        <f t="shared" si="261"/>
        <v>50</v>
      </c>
      <c r="N287" s="181">
        <f t="shared" si="261"/>
        <v>55</v>
      </c>
      <c r="O287" s="181">
        <f t="shared" si="261"/>
        <v>45</v>
      </c>
      <c r="P287" s="181">
        <f t="shared" si="261"/>
        <v>49.388235294117649</v>
      </c>
      <c r="Q287" s="188">
        <f t="shared" si="241"/>
        <v>0</v>
      </c>
      <c r="R287" s="180" t="str">
        <f t="shared" si="211"/>
        <v/>
      </c>
      <c r="S287" s="180" t="str">
        <f t="shared" si="212"/>
        <v/>
      </c>
      <c r="T287" s="180" t="str">
        <f t="shared" si="216"/>
        <v/>
      </c>
      <c r="U287" s="180" t="str">
        <f t="shared" si="217"/>
        <v/>
      </c>
      <c r="V287" s="180" t="str">
        <f t="shared" si="205"/>
        <v/>
      </c>
      <c r="W287" s="180" t="str">
        <f t="shared" si="202"/>
        <v/>
      </c>
      <c r="X287" s="180" t="str">
        <f t="shared" si="206"/>
        <v/>
      </c>
      <c r="Y287" s="183"/>
      <c r="Z287" s="183"/>
      <c r="AA287" s="183"/>
    </row>
    <row r="288" spans="1:27" x14ac:dyDescent="0.25">
      <c r="A288" s="52">
        <v>254</v>
      </c>
      <c r="B288" s="50" t="str">
        <f t="shared" si="203"/>
        <v/>
      </c>
      <c r="C288" s="177"/>
      <c r="D288" s="190" t="str">
        <f t="shared" si="231"/>
        <v>OK</v>
      </c>
      <c r="E288" s="189" t="str">
        <f>IF(ISBLANK(C288),"",AVERAGE(C$35:C288))</f>
        <v/>
      </c>
      <c r="F288" s="185"/>
      <c r="G288" s="185"/>
      <c r="H288" s="185"/>
      <c r="I288" s="181">
        <f t="shared" ref="I288:L288" si="272">I287</f>
        <v>53.893722145136735</v>
      </c>
      <c r="J288" s="181">
        <f t="shared" si="272"/>
        <v>44.882748443098563</v>
      </c>
      <c r="K288" s="181">
        <f t="shared" si="272"/>
        <v>56.146465570646278</v>
      </c>
      <c r="L288" s="181">
        <f t="shared" si="272"/>
        <v>42.630005017589021</v>
      </c>
      <c r="M288" s="181">
        <f t="shared" si="261"/>
        <v>50</v>
      </c>
      <c r="N288" s="181">
        <f t="shared" si="261"/>
        <v>55</v>
      </c>
      <c r="O288" s="181">
        <f t="shared" si="261"/>
        <v>45</v>
      </c>
      <c r="P288" s="181">
        <f t="shared" si="261"/>
        <v>49.388235294117649</v>
      </c>
      <c r="Q288" s="188">
        <f t="shared" si="241"/>
        <v>0</v>
      </c>
      <c r="R288" s="180" t="str">
        <f t="shared" si="211"/>
        <v/>
      </c>
      <c r="S288" s="180" t="str">
        <f t="shared" si="212"/>
        <v/>
      </c>
      <c r="T288" s="180" t="str">
        <f t="shared" si="216"/>
        <v/>
      </c>
      <c r="U288" s="180" t="str">
        <f t="shared" si="217"/>
        <v/>
      </c>
      <c r="V288" s="180" t="str">
        <f t="shared" si="205"/>
        <v/>
      </c>
      <c r="W288" s="180" t="str">
        <f t="shared" si="202"/>
        <v/>
      </c>
      <c r="X288" s="180" t="str">
        <f t="shared" si="206"/>
        <v/>
      </c>
      <c r="Y288" s="183"/>
      <c r="Z288" s="183"/>
      <c r="AA288" s="183"/>
    </row>
    <row r="289" spans="1:27" x14ac:dyDescent="0.25">
      <c r="A289" s="52">
        <v>255</v>
      </c>
      <c r="B289" s="50" t="str">
        <f t="shared" si="203"/>
        <v/>
      </c>
      <c r="C289" s="177"/>
      <c r="D289" s="190" t="str">
        <f t="shared" si="231"/>
        <v>OK</v>
      </c>
      <c r="E289" s="189" t="str">
        <f>IF(ISBLANK(C289),"",AVERAGE(C$35:C289))</f>
        <v/>
      </c>
      <c r="F289" s="185"/>
      <c r="G289" s="185"/>
      <c r="H289" s="185"/>
      <c r="I289" s="181">
        <f t="shared" ref="I289:L289" si="273">I288</f>
        <v>53.893722145136735</v>
      </c>
      <c r="J289" s="181">
        <f t="shared" si="273"/>
        <v>44.882748443098563</v>
      </c>
      <c r="K289" s="181">
        <f t="shared" si="273"/>
        <v>56.146465570646278</v>
      </c>
      <c r="L289" s="181">
        <f t="shared" si="273"/>
        <v>42.630005017589021</v>
      </c>
      <c r="M289" s="181">
        <f t="shared" si="261"/>
        <v>50</v>
      </c>
      <c r="N289" s="181">
        <f t="shared" si="261"/>
        <v>55</v>
      </c>
      <c r="O289" s="181">
        <f t="shared" si="261"/>
        <v>45</v>
      </c>
      <c r="P289" s="181">
        <f t="shared" si="261"/>
        <v>49.388235294117649</v>
      </c>
      <c r="Q289" s="188">
        <f t="shared" si="241"/>
        <v>0</v>
      </c>
      <c r="R289" s="180" t="str">
        <f t="shared" si="211"/>
        <v/>
      </c>
      <c r="S289" s="180" t="str">
        <f t="shared" si="212"/>
        <v/>
      </c>
      <c r="T289" s="180" t="str">
        <f t="shared" si="216"/>
        <v/>
      </c>
      <c r="U289" s="180" t="str">
        <f t="shared" si="217"/>
        <v/>
      </c>
      <c r="V289" s="180" t="str">
        <f t="shared" si="205"/>
        <v/>
      </c>
      <c r="W289" s="180" t="str">
        <f t="shared" si="202"/>
        <v/>
      </c>
      <c r="X289" s="180" t="str">
        <f t="shared" si="206"/>
        <v/>
      </c>
      <c r="Y289" s="183"/>
      <c r="Z289" s="183"/>
      <c r="AA289" s="183"/>
    </row>
    <row r="290" spans="1:27" x14ac:dyDescent="0.25">
      <c r="A290" s="52">
        <v>256</v>
      </c>
      <c r="B290" s="50" t="str">
        <f t="shared" si="203"/>
        <v/>
      </c>
      <c r="C290" s="177"/>
      <c r="D290" s="190" t="str">
        <f t="shared" si="231"/>
        <v>OK</v>
      </c>
      <c r="E290" s="189" t="str">
        <f>IF(ISBLANK(C290),"",AVERAGE(C$35:C290))</f>
        <v/>
      </c>
      <c r="F290" s="185"/>
      <c r="G290" s="185"/>
      <c r="H290" s="185"/>
      <c r="I290" s="181">
        <f t="shared" ref="I290:L290" si="274">I289</f>
        <v>53.893722145136735</v>
      </c>
      <c r="J290" s="181">
        <f t="shared" si="274"/>
        <v>44.882748443098563</v>
      </c>
      <c r="K290" s="181">
        <f t="shared" si="274"/>
        <v>56.146465570646278</v>
      </c>
      <c r="L290" s="181">
        <f t="shared" si="274"/>
        <v>42.630005017589021</v>
      </c>
      <c r="M290" s="181">
        <f t="shared" si="261"/>
        <v>50</v>
      </c>
      <c r="N290" s="181">
        <f t="shared" si="261"/>
        <v>55</v>
      </c>
      <c r="O290" s="181">
        <f t="shared" si="261"/>
        <v>45</v>
      </c>
      <c r="P290" s="181">
        <f t="shared" si="261"/>
        <v>49.388235294117649</v>
      </c>
      <c r="Q290" s="188">
        <f t="shared" si="241"/>
        <v>0</v>
      </c>
      <c r="R290" s="180" t="str">
        <f t="shared" si="211"/>
        <v/>
      </c>
      <c r="S290" s="180" t="str">
        <f t="shared" si="212"/>
        <v/>
      </c>
      <c r="T290" s="180" t="str">
        <f t="shared" si="216"/>
        <v/>
      </c>
      <c r="U290" s="180" t="str">
        <f t="shared" si="217"/>
        <v/>
      </c>
      <c r="V290" s="180" t="str">
        <f t="shared" si="205"/>
        <v/>
      </c>
      <c r="W290" s="180" t="str">
        <f t="shared" si="202"/>
        <v/>
      </c>
      <c r="X290" s="180" t="str">
        <f t="shared" si="206"/>
        <v/>
      </c>
      <c r="Y290" s="183"/>
      <c r="Z290" s="183"/>
      <c r="AA290" s="183"/>
    </row>
    <row r="291" spans="1:27" x14ac:dyDescent="0.25">
      <c r="A291" s="52">
        <v>257</v>
      </c>
      <c r="B291" s="50" t="str">
        <f t="shared" si="203"/>
        <v/>
      </c>
      <c r="C291" s="177"/>
      <c r="D291" s="190" t="str">
        <f t="shared" si="231"/>
        <v>OK</v>
      </c>
      <c r="E291" s="189" t="str">
        <f>IF(ISBLANK(C291),"",AVERAGE(C$35:C291))</f>
        <v/>
      </c>
      <c r="F291" s="185"/>
      <c r="G291" s="185"/>
      <c r="H291" s="185"/>
      <c r="I291" s="181">
        <f t="shared" ref="I291:L291" si="275">I290</f>
        <v>53.893722145136735</v>
      </c>
      <c r="J291" s="181">
        <f t="shared" si="275"/>
        <v>44.882748443098563</v>
      </c>
      <c r="K291" s="181">
        <f t="shared" si="275"/>
        <v>56.146465570646278</v>
      </c>
      <c r="L291" s="181">
        <f t="shared" si="275"/>
        <v>42.630005017589021</v>
      </c>
      <c r="M291" s="181">
        <f t="shared" si="261"/>
        <v>50</v>
      </c>
      <c r="N291" s="181">
        <f t="shared" si="261"/>
        <v>55</v>
      </c>
      <c r="O291" s="181">
        <f t="shared" si="261"/>
        <v>45</v>
      </c>
      <c r="P291" s="181">
        <f t="shared" si="261"/>
        <v>49.388235294117649</v>
      </c>
      <c r="Q291" s="188">
        <f t="shared" si="241"/>
        <v>0</v>
      </c>
      <c r="R291" s="180" t="str">
        <f t="shared" si="211"/>
        <v/>
      </c>
      <c r="S291" s="180" t="str">
        <f t="shared" si="212"/>
        <v/>
      </c>
      <c r="T291" s="180" t="str">
        <f t="shared" si="216"/>
        <v/>
      </c>
      <c r="U291" s="180" t="str">
        <f t="shared" si="217"/>
        <v/>
      </c>
      <c r="V291" s="180" t="str">
        <f t="shared" si="205"/>
        <v/>
      </c>
      <c r="W291" s="180" t="str">
        <f t="shared" ref="W291:W354" si="276">IF(C291&gt;N291,IF(C291&lt;O291,6,""),"")</f>
        <v/>
      </c>
      <c r="X291" s="180" t="str">
        <f t="shared" si="206"/>
        <v/>
      </c>
      <c r="Y291" s="183"/>
      <c r="Z291" s="183"/>
      <c r="AA291" s="183"/>
    </row>
    <row r="292" spans="1:27" x14ac:dyDescent="0.25">
      <c r="A292" s="52">
        <v>258</v>
      </c>
      <c r="B292" s="50" t="str">
        <f t="shared" ref="B292:B355" si="277">IF(ISNUMBER(C292),A292,"")</f>
        <v/>
      </c>
      <c r="C292" s="177"/>
      <c r="D292" s="190" t="str">
        <f t="shared" si="231"/>
        <v>OK</v>
      </c>
      <c r="E292" s="189" t="str">
        <f>IF(ISBLANK(C292),"",AVERAGE(C$35:C292))</f>
        <v/>
      </c>
      <c r="F292" s="185"/>
      <c r="G292" s="185"/>
      <c r="H292" s="185"/>
      <c r="I292" s="181">
        <f t="shared" ref="I292:L292" si="278">I291</f>
        <v>53.893722145136735</v>
      </c>
      <c r="J292" s="181">
        <f t="shared" si="278"/>
        <v>44.882748443098563</v>
      </c>
      <c r="K292" s="181">
        <f t="shared" si="278"/>
        <v>56.146465570646278</v>
      </c>
      <c r="L292" s="181">
        <f t="shared" si="278"/>
        <v>42.630005017589021</v>
      </c>
      <c r="M292" s="181">
        <f t="shared" si="261"/>
        <v>50</v>
      </c>
      <c r="N292" s="181">
        <f t="shared" si="261"/>
        <v>55</v>
      </c>
      <c r="O292" s="181">
        <f t="shared" si="261"/>
        <v>45</v>
      </c>
      <c r="P292" s="181">
        <f t="shared" si="261"/>
        <v>49.388235294117649</v>
      </c>
      <c r="Q292" s="188">
        <f t="shared" si="241"/>
        <v>0</v>
      </c>
      <c r="R292" s="180" t="str">
        <f t="shared" si="211"/>
        <v/>
      </c>
      <c r="S292" s="180" t="str">
        <f t="shared" si="212"/>
        <v/>
      </c>
      <c r="T292" s="180" t="str">
        <f t="shared" si="216"/>
        <v/>
      </c>
      <c r="U292" s="180" t="str">
        <f t="shared" si="217"/>
        <v/>
      </c>
      <c r="V292" s="180" t="str">
        <f t="shared" ref="V292:V355" si="279">IF(ISNUMBER(C292),IF(ABS(C292-C291)&gt;4*$C$5,5,""),"")</f>
        <v/>
      </c>
      <c r="W292" s="180" t="str">
        <f t="shared" si="276"/>
        <v/>
      </c>
      <c r="X292" s="180" t="str">
        <f t="shared" ref="X292:X355" si="280">IF(AND(C292&gt;I291,C291&gt;I291),7,"")</f>
        <v/>
      </c>
      <c r="Y292" s="183"/>
      <c r="Z292" s="183"/>
      <c r="AA292" s="183"/>
    </row>
    <row r="293" spans="1:27" x14ac:dyDescent="0.25">
      <c r="A293" s="52">
        <v>259</v>
      </c>
      <c r="B293" s="50" t="str">
        <f t="shared" si="277"/>
        <v/>
      </c>
      <c r="C293" s="177"/>
      <c r="D293" s="190" t="str">
        <f t="shared" si="231"/>
        <v>OK</v>
      </c>
      <c r="E293" s="189" t="str">
        <f>IF(ISBLANK(C293),"",AVERAGE(C$35:C293))</f>
        <v/>
      </c>
      <c r="F293" s="185"/>
      <c r="G293" s="185"/>
      <c r="H293" s="185"/>
      <c r="I293" s="181">
        <f t="shared" ref="I293:P308" si="281">I292</f>
        <v>53.893722145136735</v>
      </c>
      <c r="J293" s="181">
        <f t="shared" si="281"/>
        <v>44.882748443098563</v>
      </c>
      <c r="K293" s="181">
        <f t="shared" si="281"/>
        <v>56.146465570646278</v>
      </c>
      <c r="L293" s="181">
        <f t="shared" si="281"/>
        <v>42.630005017589021</v>
      </c>
      <c r="M293" s="181">
        <f t="shared" si="281"/>
        <v>50</v>
      </c>
      <c r="N293" s="181">
        <f t="shared" si="281"/>
        <v>55</v>
      </c>
      <c r="O293" s="181">
        <f t="shared" si="281"/>
        <v>45</v>
      </c>
      <c r="P293" s="181">
        <f t="shared" si="281"/>
        <v>49.388235294117649</v>
      </c>
      <c r="Q293" s="188">
        <f t="shared" si="241"/>
        <v>0</v>
      </c>
      <c r="R293" s="180" t="str">
        <f t="shared" si="211"/>
        <v/>
      </c>
      <c r="S293" s="180" t="str">
        <f t="shared" si="212"/>
        <v/>
      </c>
      <c r="T293" s="180" t="str">
        <f t="shared" si="216"/>
        <v/>
      </c>
      <c r="U293" s="180" t="str">
        <f t="shared" si="217"/>
        <v/>
      </c>
      <c r="V293" s="180" t="str">
        <f t="shared" si="279"/>
        <v/>
      </c>
      <c r="W293" s="180" t="str">
        <f t="shared" si="276"/>
        <v/>
      </c>
      <c r="X293" s="180" t="str">
        <f t="shared" si="280"/>
        <v/>
      </c>
      <c r="Y293" s="183"/>
      <c r="Z293" s="183"/>
      <c r="AA293" s="183"/>
    </row>
    <row r="294" spans="1:27" x14ac:dyDescent="0.25">
      <c r="A294" s="52">
        <v>260</v>
      </c>
      <c r="B294" s="50" t="str">
        <f t="shared" si="277"/>
        <v/>
      </c>
      <c r="C294" s="177"/>
      <c r="D294" s="190" t="str">
        <f t="shared" si="231"/>
        <v>OK</v>
      </c>
      <c r="E294" s="189" t="str">
        <f>IF(ISBLANK(C294),"",AVERAGE(C$35:C294))</f>
        <v/>
      </c>
      <c r="F294" s="185"/>
      <c r="G294" s="185"/>
      <c r="H294" s="185"/>
      <c r="I294" s="181">
        <f t="shared" ref="I294:L294" si="282">I293</f>
        <v>53.893722145136735</v>
      </c>
      <c r="J294" s="181">
        <f t="shared" si="282"/>
        <v>44.882748443098563</v>
      </c>
      <c r="K294" s="181">
        <f t="shared" si="282"/>
        <v>56.146465570646278</v>
      </c>
      <c r="L294" s="181">
        <f t="shared" si="282"/>
        <v>42.630005017589021</v>
      </c>
      <c r="M294" s="181">
        <f t="shared" si="281"/>
        <v>50</v>
      </c>
      <c r="N294" s="181">
        <f t="shared" si="281"/>
        <v>55</v>
      </c>
      <c r="O294" s="181">
        <f t="shared" si="281"/>
        <v>45</v>
      </c>
      <c r="P294" s="181">
        <f t="shared" si="281"/>
        <v>49.388235294117649</v>
      </c>
      <c r="Q294" s="188">
        <f t="shared" si="241"/>
        <v>0</v>
      </c>
      <c r="R294" s="180" t="str">
        <f t="shared" si="211"/>
        <v/>
      </c>
      <c r="S294" s="180" t="str">
        <f t="shared" si="212"/>
        <v/>
      </c>
      <c r="T294" s="180" t="str">
        <f t="shared" si="216"/>
        <v/>
      </c>
      <c r="U294" s="180" t="str">
        <f t="shared" si="217"/>
        <v/>
      </c>
      <c r="V294" s="180" t="str">
        <f t="shared" si="279"/>
        <v/>
      </c>
      <c r="W294" s="180" t="str">
        <f t="shared" si="276"/>
        <v/>
      </c>
      <c r="X294" s="180" t="str">
        <f t="shared" si="280"/>
        <v/>
      </c>
      <c r="Y294" s="183"/>
      <c r="Z294" s="183"/>
      <c r="AA294" s="183"/>
    </row>
    <row r="295" spans="1:27" x14ac:dyDescent="0.25">
      <c r="A295" s="52">
        <v>261</v>
      </c>
      <c r="B295" s="50" t="str">
        <f t="shared" si="277"/>
        <v/>
      </c>
      <c r="C295" s="177"/>
      <c r="D295" s="190" t="str">
        <f t="shared" si="231"/>
        <v>OK</v>
      </c>
      <c r="E295" s="189" t="str">
        <f>IF(ISBLANK(C295),"",AVERAGE(C$35:C295))</f>
        <v/>
      </c>
      <c r="F295" s="185"/>
      <c r="G295" s="185"/>
      <c r="H295" s="185"/>
      <c r="I295" s="181">
        <f t="shared" ref="I295:L295" si="283">I294</f>
        <v>53.893722145136735</v>
      </c>
      <c r="J295" s="181">
        <f t="shared" si="283"/>
        <v>44.882748443098563</v>
      </c>
      <c r="K295" s="181">
        <f t="shared" si="283"/>
        <v>56.146465570646278</v>
      </c>
      <c r="L295" s="181">
        <f t="shared" si="283"/>
        <v>42.630005017589021</v>
      </c>
      <c r="M295" s="181">
        <f t="shared" si="281"/>
        <v>50</v>
      </c>
      <c r="N295" s="181">
        <f t="shared" si="281"/>
        <v>55</v>
      </c>
      <c r="O295" s="181">
        <f t="shared" si="281"/>
        <v>45</v>
      </c>
      <c r="P295" s="181">
        <f t="shared" si="281"/>
        <v>49.388235294117649</v>
      </c>
      <c r="Q295" s="188">
        <f t="shared" si="241"/>
        <v>0</v>
      </c>
      <c r="R295" s="180" t="str">
        <f t="shared" si="211"/>
        <v/>
      </c>
      <c r="S295" s="180" t="str">
        <f t="shared" si="212"/>
        <v/>
      </c>
      <c r="T295" s="180" t="str">
        <f t="shared" si="216"/>
        <v/>
      </c>
      <c r="U295" s="180" t="str">
        <f t="shared" si="217"/>
        <v/>
      </c>
      <c r="V295" s="180" t="str">
        <f t="shared" si="279"/>
        <v/>
      </c>
      <c r="W295" s="180" t="str">
        <f t="shared" si="276"/>
        <v/>
      </c>
      <c r="X295" s="180" t="str">
        <f t="shared" si="280"/>
        <v/>
      </c>
      <c r="Y295" s="183"/>
      <c r="Z295" s="183"/>
      <c r="AA295" s="183"/>
    </row>
    <row r="296" spans="1:27" x14ac:dyDescent="0.25">
      <c r="A296" s="52">
        <v>262</v>
      </c>
      <c r="B296" s="50" t="str">
        <f t="shared" si="277"/>
        <v/>
      </c>
      <c r="C296" s="177"/>
      <c r="D296" s="190" t="str">
        <f t="shared" si="231"/>
        <v>OK</v>
      </c>
      <c r="E296" s="189" t="str">
        <f>IF(ISBLANK(C296),"",AVERAGE(C$35:C296))</f>
        <v/>
      </c>
      <c r="F296" s="185"/>
      <c r="G296" s="185"/>
      <c r="H296" s="185"/>
      <c r="I296" s="181">
        <f t="shared" ref="I296:L296" si="284">I295</f>
        <v>53.893722145136735</v>
      </c>
      <c r="J296" s="181">
        <f t="shared" si="284"/>
        <v>44.882748443098563</v>
      </c>
      <c r="K296" s="181">
        <f t="shared" si="284"/>
        <v>56.146465570646278</v>
      </c>
      <c r="L296" s="181">
        <f t="shared" si="284"/>
        <v>42.630005017589021</v>
      </c>
      <c r="M296" s="181">
        <f t="shared" si="281"/>
        <v>50</v>
      </c>
      <c r="N296" s="181">
        <f t="shared" si="281"/>
        <v>55</v>
      </c>
      <c r="O296" s="181">
        <f t="shared" si="281"/>
        <v>45</v>
      </c>
      <c r="P296" s="181">
        <f t="shared" si="281"/>
        <v>49.388235294117649</v>
      </c>
      <c r="Q296" s="188">
        <f t="shared" si="241"/>
        <v>0</v>
      </c>
      <c r="R296" s="180" t="str">
        <f t="shared" ref="R296:R359" si="285">IF(AND(C296&gt;C295,C295&gt;C294,C294&gt;C293,C293&gt;C292,C292&gt;C291),1,"")</f>
        <v/>
      </c>
      <c r="S296" s="180" t="str">
        <f t="shared" ref="S296:S359" si="286">IF(AND(C296&lt;C295,C295&lt;C294,C294&lt;C293,C293&lt;C292,C292&lt;C291),2,"")</f>
        <v/>
      </c>
      <c r="T296" s="180" t="str">
        <f t="shared" si="216"/>
        <v/>
      </c>
      <c r="U296" s="180" t="str">
        <f t="shared" si="217"/>
        <v/>
      </c>
      <c r="V296" s="180" t="str">
        <f t="shared" si="279"/>
        <v/>
      </c>
      <c r="W296" s="180" t="str">
        <f t="shared" si="276"/>
        <v/>
      </c>
      <c r="X296" s="180" t="str">
        <f t="shared" si="280"/>
        <v/>
      </c>
      <c r="Y296" s="183"/>
      <c r="Z296" s="183"/>
      <c r="AA296" s="183"/>
    </row>
    <row r="297" spans="1:27" x14ac:dyDescent="0.25">
      <c r="A297" s="52">
        <v>263</v>
      </c>
      <c r="B297" s="50" t="str">
        <f t="shared" si="277"/>
        <v/>
      </c>
      <c r="C297" s="177"/>
      <c r="D297" s="190" t="str">
        <f t="shared" si="231"/>
        <v>OK</v>
      </c>
      <c r="E297" s="189" t="str">
        <f>IF(ISBLANK(C297),"",AVERAGE(C$35:C297))</f>
        <v/>
      </c>
      <c r="F297" s="185"/>
      <c r="G297" s="185"/>
      <c r="H297" s="185"/>
      <c r="I297" s="181">
        <f t="shared" ref="I297:L297" si="287">I296</f>
        <v>53.893722145136735</v>
      </c>
      <c r="J297" s="181">
        <f t="shared" si="287"/>
        <v>44.882748443098563</v>
      </c>
      <c r="K297" s="181">
        <f t="shared" si="287"/>
        <v>56.146465570646278</v>
      </c>
      <c r="L297" s="181">
        <f t="shared" si="287"/>
        <v>42.630005017589021</v>
      </c>
      <c r="M297" s="181">
        <f t="shared" si="281"/>
        <v>50</v>
      </c>
      <c r="N297" s="181">
        <f t="shared" si="281"/>
        <v>55</v>
      </c>
      <c r="O297" s="181">
        <f t="shared" si="281"/>
        <v>45</v>
      </c>
      <c r="P297" s="181">
        <f t="shared" si="281"/>
        <v>49.388235294117649</v>
      </c>
      <c r="Q297" s="188">
        <f t="shared" si="241"/>
        <v>0</v>
      </c>
      <c r="R297" s="180" t="str">
        <f t="shared" si="285"/>
        <v/>
      </c>
      <c r="S297" s="180" t="str">
        <f t="shared" si="286"/>
        <v/>
      </c>
      <c r="T297" s="180" t="str">
        <f t="shared" si="216"/>
        <v/>
      </c>
      <c r="U297" s="180" t="str">
        <f t="shared" si="217"/>
        <v/>
      </c>
      <c r="V297" s="180" t="str">
        <f t="shared" si="279"/>
        <v/>
      </c>
      <c r="W297" s="180" t="str">
        <f t="shared" si="276"/>
        <v/>
      </c>
      <c r="X297" s="180" t="str">
        <f t="shared" si="280"/>
        <v/>
      </c>
      <c r="Y297" s="183"/>
      <c r="Z297" s="183"/>
      <c r="AA297" s="183"/>
    </row>
    <row r="298" spans="1:27" x14ac:dyDescent="0.25">
      <c r="A298" s="52">
        <v>264</v>
      </c>
      <c r="B298" s="50" t="str">
        <f t="shared" si="277"/>
        <v/>
      </c>
      <c r="C298" s="177"/>
      <c r="D298" s="190" t="str">
        <f t="shared" si="231"/>
        <v>OK</v>
      </c>
      <c r="E298" s="189" t="str">
        <f>IF(ISBLANK(C298),"",AVERAGE(C$35:C298))</f>
        <v/>
      </c>
      <c r="F298" s="185"/>
      <c r="G298" s="185"/>
      <c r="H298" s="185"/>
      <c r="I298" s="181">
        <f t="shared" ref="I298:L298" si="288">I297</f>
        <v>53.893722145136735</v>
      </c>
      <c r="J298" s="181">
        <f t="shared" si="288"/>
        <v>44.882748443098563</v>
      </c>
      <c r="K298" s="181">
        <f t="shared" si="288"/>
        <v>56.146465570646278</v>
      </c>
      <c r="L298" s="181">
        <f t="shared" si="288"/>
        <v>42.630005017589021</v>
      </c>
      <c r="M298" s="181">
        <f t="shared" si="281"/>
        <v>50</v>
      </c>
      <c r="N298" s="181">
        <f t="shared" si="281"/>
        <v>55</v>
      </c>
      <c r="O298" s="181">
        <f t="shared" si="281"/>
        <v>45</v>
      </c>
      <c r="P298" s="181">
        <f t="shared" si="281"/>
        <v>49.388235294117649</v>
      </c>
      <c r="Q298" s="188">
        <f t="shared" si="241"/>
        <v>0</v>
      </c>
      <c r="R298" s="180" t="str">
        <f t="shared" si="285"/>
        <v/>
      </c>
      <c r="S298" s="180" t="str">
        <f t="shared" si="286"/>
        <v/>
      </c>
      <c r="T298" s="180" t="str">
        <f t="shared" si="216"/>
        <v/>
      </c>
      <c r="U298" s="180" t="str">
        <f t="shared" si="217"/>
        <v/>
      </c>
      <c r="V298" s="180" t="str">
        <f t="shared" si="279"/>
        <v/>
      </c>
      <c r="W298" s="180" t="str">
        <f t="shared" si="276"/>
        <v/>
      </c>
      <c r="X298" s="180" t="str">
        <f t="shared" si="280"/>
        <v/>
      </c>
      <c r="Y298" s="183"/>
      <c r="Z298" s="183"/>
      <c r="AA298" s="183"/>
    </row>
    <row r="299" spans="1:27" x14ac:dyDescent="0.25">
      <c r="A299" s="52">
        <v>265</v>
      </c>
      <c r="B299" s="50" t="str">
        <f t="shared" si="277"/>
        <v/>
      </c>
      <c r="C299" s="177"/>
      <c r="D299" s="190" t="str">
        <f t="shared" si="231"/>
        <v>OK</v>
      </c>
      <c r="E299" s="189" t="str">
        <f>IF(ISBLANK(C299),"",AVERAGE(C$35:C299))</f>
        <v/>
      </c>
      <c r="F299" s="185"/>
      <c r="G299" s="185"/>
      <c r="H299" s="185"/>
      <c r="I299" s="181">
        <f t="shared" ref="I299:L299" si="289">I298</f>
        <v>53.893722145136735</v>
      </c>
      <c r="J299" s="181">
        <f t="shared" si="289"/>
        <v>44.882748443098563</v>
      </c>
      <c r="K299" s="181">
        <f t="shared" si="289"/>
        <v>56.146465570646278</v>
      </c>
      <c r="L299" s="181">
        <f t="shared" si="289"/>
        <v>42.630005017589021</v>
      </c>
      <c r="M299" s="181">
        <f t="shared" si="281"/>
        <v>50</v>
      </c>
      <c r="N299" s="181">
        <f t="shared" si="281"/>
        <v>55</v>
      </c>
      <c r="O299" s="181">
        <f t="shared" si="281"/>
        <v>45</v>
      </c>
      <c r="P299" s="181">
        <f t="shared" si="281"/>
        <v>49.388235294117649</v>
      </c>
      <c r="Q299" s="188">
        <f t="shared" si="241"/>
        <v>0</v>
      </c>
      <c r="R299" s="180" t="str">
        <f t="shared" si="285"/>
        <v/>
      </c>
      <c r="S299" s="180" t="str">
        <f t="shared" si="286"/>
        <v/>
      </c>
      <c r="T299" s="180" t="str">
        <f t="shared" ref="T299:T362" si="290">IF(AND(C299&gt;$C$2,C298&gt;$C$2,C297&gt;$C$2,C296&gt;$C$2,C295&gt;$C$2,C294&gt;$C$2,C293&gt;$C$2,C292&gt;$C$2,C291&gt;$C$2),3,"")</f>
        <v/>
      </c>
      <c r="U299" s="180" t="str">
        <f t="shared" ref="U299:U362" si="291">IF(AND(I299&lt;$C$2,I298&lt;$C$2,I297&lt;$C$2,I296&lt;$C$2,I295&lt;$C$2,I294&lt;$C$2,I293&lt;$C$2,I292&lt;$C$2,I291&lt;$C$2),4,"")</f>
        <v/>
      </c>
      <c r="V299" s="180" t="str">
        <f t="shared" si="279"/>
        <v/>
      </c>
      <c r="W299" s="180" t="str">
        <f t="shared" si="276"/>
        <v/>
      </c>
      <c r="X299" s="180" t="str">
        <f t="shared" si="280"/>
        <v/>
      </c>
      <c r="Y299" s="183"/>
      <c r="Z299" s="183"/>
      <c r="AA299" s="183"/>
    </row>
    <row r="300" spans="1:27" x14ac:dyDescent="0.25">
      <c r="A300" s="52">
        <v>266</v>
      </c>
      <c r="B300" s="50" t="str">
        <f t="shared" si="277"/>
        <v/>
      </c>
      <c r="C300" s="177"/>
      <c r="D300" s="190" t="str">
        <f t="shared" si="231"/>
        <v>OK</v>
      </c>
      <c r="E300" s="189" t="str">
        <f>IF(ISBLANK(C300),"",AVERAGE(C$35:C300))</f>
        <v/>
      </c>
      <c r="F300" s="185"/>
      <c r="G300" s="185"/>
      <c r="H300" s="185"/>
      <c r="I300" s="181">
        <f t="shared" ref="I300:L300" si="292">I299</f>
        <v>53.893722145136735</v>
      </c>
      <c r="J300" s="181">
        <f t="shared" si="292"/>
        <v>44.882748443098563</v>
      </c>
      <c r="K300" s="181">
        <f t="shared" si="292"/>
        <v>56.146465570646278</v>
      </c>
      <c r="L300" s="181">
        <f t="shared" si="292"/>
        <v>42.630005017589021</v>
      </c>
      <c r="M300" s="181">
        <f t="shared" si="281"/>
        <v>50</v>
      </c>
      <c r="N300" s="181">
        <f t="shared" si="281"/>
        <v>55</v>
      </c>
      <c r="O300" s="181">
        <f t="shared" si="281"/>
        <v>45</v>
      </c>
      <c r="P300" s="181">
        <f t="shared" si="281"/>
        <v>49.388235294117649</v>
      </c>
      <c r="Q300" s="188">
        <f t="shared" si="241"/>
        <v>0</v>
      </c>
      <c r="R300" s="180" t="str">
        <f t="shared" si="285"/>
        <v/>
      </c>
      <c r="S300" s="180" t="str">
        <f t="shared" si="286"/>
        <v/>
      </c>
      <c r="T300" s="180" t="str">
        <f t="shared" si="290"/>
        <v/>
      </c>
      <c r="U300" s="180" t="str">
        <f t="shared" si="291"/>
        <v/>
      </c>
      <c r="V300" s="180" t="str">
        <f t="shared" si="279"/>
        <v/>
      </c>
      <c r="W300" s="180" t="str">
        <f t="shared" si="276"/>
        <v/>
      </c>
      <c r="X300" s="180" t="str">
        <f t="shared" si="280"/>
        <v/>
      </c>
      <c r="Y300" s="183"/>
      <c r="Z300" s="183"/>
      <c r="AA300" s="183"/>
    </row>
    <row r="301" spans="1:27" x14ac:dyDescent="0.25">
      <c r="A301" s="52">
        <v>267</v>
      </c>
      <c r="B301" s="50" t="str">
        <f t="shared" si="277"/>
        <v/>
      </c>
      <c r="C301" s="177"/>
      <c r="D301" s="190" t="str">
        <f t="shared" si="231"/>
        <v>OK</v>
      </c>
      <c r="E301" s="189" t="str">
        <f>IF(ISBLANK(C301),"",AVERAGE(C$35:C301))</f>
        <v/>
      </c>
      <c r="F301" s="185"/>
      <c r="G301" s="185"/>
      <c r="H301" s="185"/>
      <c r="I301" s="181">
        <f t="shared" ref="I301:L301" si="293">I300</f>
        <v>53.893722145136735</v>
      </c>
      <c r="J301" s="181">
        <f t="shared" si="293"/>
        <v>44.882748443098563</v>
      </c>
      <c r="K301" s="181">
        <f t="shared" si="293"/>
        <v>56.146465570646278</v>
      </c>
      <c r="L301" s="181">
        <f t="shared" si="293"/>
        <v>42.630005017589021</v>
      </c>
      <c r="M301" s="181">
        <f t="shared" si="281"/>
        <v>50</v>
      </c>
      <c r="N301" s="181">
        <f t="shared" si="281"/>
        <v>55</v>
      </c>
      <c r="O301" s="181">
        <f t="shared" si="281"/>
        <v>45</v>
      </c>
      <c r="P301" s="181">
        <f t="shared" si="281"/>
        <v>49.388235294117649</v>
      </c>
      <c r="Q301" s="188">
        <f t="shared" si="241"/>
        <v>0</v>
      </c>
      <c r="R301" s="180" t="str">
        <f t="shared" si="285"/>
        <v/>
      </c>
      <c r="S301" s="180" t="str">
        <f t="shared" si="286"/>
        <v/>
      </c>
      <c r="T301" s="180" t="str">
        <f t="shared" si="290"/>
        <v/>
      </c>
      <c r="U301" s="180" t="str">
        <f t="shared" si="291"/>
        <v/>
      </c>
      <c r="V301" s="180" t="str">
        <f t="shared" si="279"/>
        <v/>
      </c>
      <c r="W301" s="180" t="str">
        <f t="shared" si="276"/>
        <v/>
      </c>
      <c r="X301" s="180" t="str">
        <f t="shared" si="280"/>
        <v/>
      </c>
      <c r="Y301" s="183"/>
      <c r="Z301" s="183"/>
      <c r="AA301" s="183"/>
    </row>
    <row r="302" spans="1:27" x14ac:dyDescent="0.25">
      <c r="A302" s="52">
        <v>268</v>
      </c>
      <c r="B302" s="50" t="str">
        <f t="shared" si="277"/>
        <v/>
      </c>
      <c r="C302" s="177"/>
      <c r="D302" s="190" t="str">
        <f t="shared" si="231"/>
        <v>OK</v>
      </c>
      <c r="E302" s="189" t="str">
        <f>IF(ISBLANK(C302),"",AVERAGE(C$35:C302))</f>
        <v/>
      </c>
      <c r="F302" s="185"/>
      <c r="G302" s="185"/>
      <c r="H302" s="185"/>
      <c r="I302" s="181">
        <f t="shared" ref="I302:L302" si="294">I301</f>
        <v>53.893722145136735</v>
      </c>
      <c r="J302" s="181">
        <f t="shared" si="294"/>
        <v>44.882748443098563</v>
      </c>
      <c r="K302" s="181">
        <f t="shared" si="294"/>
        <v>56.146465570646278</v>
      </c>
      <c r="L302" s="181">
        <f t="shared" si="294"/>
        <v>42.630005017589021</v>
      </c>
      <c r="M302" s="181">
        <f t="shared" si="281"/>
        <v>50</v>
      </c>
      <c r="N302" s="181">
        <f t="shared" si="281"/>
        <v>55</v>
      </c>
      <c r="O302" s="181">
        <f t="shared" si="281"/>
        <v>45</v>
      </c>
      <c r="P302" s="181">
        <f t="shared" si="281"/>
        <v>49.388235294117649</v>
      </c>
      <c r="Q302" s="188">
        <f t="shared" si="241"/>
        <v>0</v>
      </c>
      <c r="R302" s="180" t="str">
        <f t="shared" si="285"/>
        <v/>
      </c>
      <c r="S302" s="180" t="str">
        <f t="shared" si="286"/>
        <v/>
      </c>
      <c r="T302" s="180" t="str">
        <f t="shared" si="290"/>
        <v/>
      </c>
      <c r="U302" s="180" t="str">
        <f t="shared" si="291"/>
        <v/>
      </c>
      <c r="V302" s="180" t="str">
        <f t="shared" si="279"/>
        <v/>
      </c>
      <c r="W302" s="180" t="str">
        <f t="shared" si="276"/>
        <v/>
      </c>
      <c r="X302" s="180" t="str">
        <f t="shared" si="280"/>
        <v/>
      </c>
      <c r="Y302" s="183"/>
      <c r="Z302" s="183"/>
      <c r="AA302" s="183"/>
    </row>
    <row r="303" spans="1:27" x14ac:dyDescent="0.25">
      <c r="A303" s="52">
        <v>269</v>
      </c>
      <c r="B303" s="50" t="str">
        <f t="shared" si="277"/>
        <v/>
      </c>
      <c r="C303" s="177"/>
      <c r="D303" s="190" t="str">
        <f t="shared" si="231"/>
        <v>OK</v>
      </c>
      <c r="E303" s="189" t="str">
        <f>IF(ISBLANK(C303),"",AVERAGE(C$35:C303))</f>
        <v/>
      </c>
      <c r="F303" s="185"/>
      <c r="G303" s="185"/>
      <c r="H303" s="185"/>
      <c r="I303" s="181">
        <f t="shared" ref="I303:L303" si="295">I302</f>
        <v>53.893722145136735</v>
      </c>
      <c r="J303" s="181">
        <f t="shared" si="295"/>
        <v>44.882748443098563</v>
      </c>
      <c r="K303" s="181">
        <f t="shared" si="295"/>
        <v>56.146465570646278</v>
      </c>
      <c r="L303" s="181">
        <f t="shared" si="295"/>
        <v>42.630005017589021</v>
      </c>
      <c r="M303" s="181">
        <f t="shared" si="281"/>
        <v>50</v>
      </c>
      <c r="N303" s="181">
        <f t="shared" si="281"/>
        <v>55</v>
      </c>
      <c r="O303" s="181">
        <f t="shared" si="281"/>
        <v>45</v>
      </c>
      <c r="P303" s="181">
        <f t="shared" si="281"/>
        <v>49.388235294117649</v>
      </c>
      <c r="Q303" s="188">
        <f t="shared" si="241"/>
        <v>0</v>
      </c>
      <c r="R303" s="180" t="str">
        <f t="shared" si="285"/>
        <v/>
      </c>
      <c r="S303" s="180" t="str">
        <f t="shared" si="286"/>
        <v/>
      </c>
      <c r="T303" s="180" t="str">
        <f t="shared" si="290"/>
        <v/>
      </c>
      <c r="U303" s="180" t="str">
        <f t="shared" si="291"/>
        <v/>
      </c>
      <c r="V303" s="180" t="str">
        <f t="shared" si="279"/>
        <v/>
      </c>
      <c r="W303" s="180" t="str">
        <f t="shared" si="276"/>
        <v/>
      </c>
      <c r="X303" s="180" t="str">
        <f t="shared" si="280"/>
        <v/>
      </c>
      <c r="Y303" s="183"/>
      <c r="Z303" s="183"/>
      <c r="AA303" s="183"/>
    </row>
    <row r="304" spans="1:27" x14ac:dyDescent="0.25">
      <c r="A304" s="52">
        <v>270</v>
      </c>
      <c r="B304" s="50" t="str">
        <f t="shared" si="277"/>
        <v/>
      </c>
      <c r="C304" s="177"/>
      <c r="D304" s="190" t="str">
        <f t="shared" si="231"/>
        <v>OK</v>
      </c>
      <c r="E304" s="189" t="str">
        <f>IF(ISBLANK(C304),"",AVERAGE(C$35:C304))</f>
        <v/>
      </c>
      <c r="F304" s="185"/>
      <c r="G304" s="185"/>
      <c r="H304" s="185"/>
      <c r="I304" s="181">
        <f t="shared" ref="I304:L304" si="296">I303</f>
        <v>53.893722145136735</v>
      </c>
      <c r="J304" s="181">
        <f t="shared" si="296"/>
        <v>44.882748443098563</v>
      </c>
      <c r="K304" s="181">
        <f t="shared" si="296"/>
        <v>56.146465570646278</v>
      </c>
      <c r="L304" s="181">
        <f t="shared" si="296"/>
        <v>42.630005017589021</v>
      </c>
      <c r="M304" s="181">
        <f t="shared" si="281"/>
        <v>50</v>
      </c>
      <c r="N304" s="181">
        <f t="shared" si="281"/>
        <v>55</v>
      </c>
      <c r="O304" s="181">
        <f t="shared" si="281"/>
        <v>45</v>
      </c>
      <c r="P304" s="181">
        <f t="shared" si="281"/>
        <v>49.388235294117649</v>
      </c>
      <c r="Q304" s="188">
        <f t="shared" si="241"/>
        <v>0</v>
      </c>
      <c r="R304" s="180" t="str">
        <f t="shared" si="285"/>
        <v/>
      </c>
      <c r="S304" s="180" t="str">
        <f t="shared" si="286"/>
        <v/>
      </c>
      <c r="T304" s="180" t="str">
        <f t="shared" si="290"/>
        <v/>
      </c>
      <c r="U304" s="180" t="str">
        <f t="shared" si="291"/>
        <v/>
      </c>
      <c r="V304" s="180" t="str">
        <f t="shared" si="279"/>
        <v/>
      </c>
      <c r="W304" s="180" t="str">
        <f t="shared" si="276"/>
        <v/>
      </c>
      <c r="X304" s="180" t="str">
        <f t="shared" si="280"/>
        <v/>
      </c>
      <c r="Y304" s="183"/>
      <c r="Z304" s="183"/>
      <c r="AA304" s="183"/>
    </row>
    <row r="305" spans="1:27" x14ac:dyDescent="0.25">
      <c r="A305" s="52">
        <v>271</v>
      </c>
      <c r="B305" s="50" t="str">
        <f t="shared" si="277"/>
        <v/>
      </c>
      <c r="C305" s="177"/>
      <c r="D305" s="190" t="str">
        <f t="shared" si="231"/>
        <v>OK</v>
      </c>
      <c r="E305" s="189" t="str">
        <f>IF(ISBLANK(C305),"",AVERAGE(C$35:C305))</f>
        <v/>
      </c>
      <c r="F305" s="185"/>
      <c r="G305" s="185"/>
      <c r="H305" s="185"/>
      <c r="I305" s="181">
        <f t="shared" ref="I305:L305" si="297">I304</f>
        <v>53.893722145136735</v>
      </c>
      <c r="J305" s="181">
        <f t="shared" si="297"/>
        <v>44.882748443098563</v>
      </c>
      <c r="K305" s="181">
        <f t="shared" si="297"/>
        <v>56.146465570646278</v>
      </c>
      <c r="L305" s="181">
        <f t="shared" si="297"/>
        <v>42.630005017589021</v>
      </c>
      <c r="M305" s="181">
        <f t="shared" si="281"/>
        <v>50</v>
      </c>
      <c r="N305" s="181">
        <f t="shared" si="281"/>
        <v>55</v>
      </c>
      <c r="O305" s="181">
        <f t="shared" si="281"/>
        <v>45</v>
      </c>
      <c r="P305" s="181">
        <f t="shared" si="281"/>
        <v>49.388235294117649</v>
      </c>
      <c r="Q305" s="188">
        <f t="shared" si="241"/>
        <v>0</v>
      </c>
      <c r="R305" s="180" t="str">
        <f t="shared" si="285"/>
        <v/>
      </c>
      <c r="S305" s="180" t="str">
        <f t="shared" si="286"/>
        <v/>
      </c>
      <c r="T305" s="180" t="str">
        <f t="shared" si="290"/>
        <v/>
      </c>
      <c r="U305" s="180" t="str">
        <f t="shared" si="291"/>
        <v/>
      </c>
      <c r="V305" s="180" t="str">
        <f t="shared" si="279"/>
        <v/>
      </c>
      <c r="W305" s="180" t="str">
        <f t="shared" si="276"/>
        <v/>
      </c>
      <c r="X305" s="180" t="str">
        <f t="shared" si="280"/>
        <v/>
      </c>
      <c r="Y305" s="183"/>
      <c r="Z305" s="183"/>
      <c r="AA305" s="183"/>
    </row>
    <row r="306" spans="1:27" x14ac:dyDescent="0.25">
      <c r="A306" s="52">
        <v>272</v>
      </c>
      <c r="B306" s="50" t="str">
        <f t="shared" si="277"/>
        <v/>
      </c>
      <c r="C306" s="177"/>
      <c r="D306" s="190" t="str">
        <f t="shared" si="231"/>
        <v>OK</v>
      </c>
      <c r="E306" s="189" t="str">
        <f>IF(ISBLANK(C306),"",AVERAGE(C$35:C306))</f>
        <v/>
      </c>
      <c r="F306" s="185"/>
      <c r="G306" s="185"/>
      <c r="H306" s="185"/>
      <c r="I306" s="181">
        <f t="shared" ref="I306:L306" si="298">I305</f>
        <v>53.893722145136735</v>
      </c>
      <c r="J306" s="181">
        <f t="shared" si="298"/>
        <v>44.882748443098563</v>
      </c>
      <c r="K306" s="181">
        <f t="shared" si="298"/>
        <v>56.146465570646278</v>
      </c>
      <c r="L306" s="181">
        <f t="shared" si="298"/>
        <v>42.630005017589021</v>
      </c>
      <c r="M306" s="181">
        <f t="shared" si="281"/>
        <v>50</v>
      </c>
      <c r="N306" s="181">
        <f t="shared" si="281"/>
        <v>55</v>
      </c>
      <c r="O306" s="181">
        <f t="shared" si="281"/>
        <v>45</v>
      </c>
      <c r="P306" s="181">
        <f t="shared" si="281"/>
        <v>49.388235294117649</v>
      </c>
      <c r="Q306" s="188">
        <f t="shared" si="241"/>
        <v>0</v>
      </c>
      <c r="R306" s="180" t="str">
        <f t="shared" si="285"/>
        <v/>
      </c>
      <c r="S306" s="180" t="str">
        <f t="shared" si="286"/>
        <v/>
      </c>
      <c r="T306" s="180" t="str">
        <f t="shared" si="290"/>
        <v/>
      </c>
      <c r="U306" s="180" t="str">
        <f t="shared" si="291"/>
        <v/>
      </c>
      <c r="V306" s="180" t="str">
        <f t="shared" si="279"/>
        <v/>
      </c>
      <c r="W306" s="180" t="str">
        <f t="shared" si="276"/>
        <v/>
      </c>
      <c r="X306" s="180" t="str">
        <f t="shared" si="280"/>
        <v/>
      </c>
      <c r="Y306" s="183"/>
      <c r="Z306" s="183"/>
      <c r="AA306" s="183"/>
    </row>
    <row r="307" spans="1:27" x14ac:dyDescent="0.25">
      <c r="A307" s="52">
        <v>273</v>
      </c>
      <c r="B307" s="50" t="str">
        <f t="shared" si="277"/>
        <v/>
      </c>
      <c r="C307" s="177"/>
      <c r="D307" s="190" t="str">
        <f t="shared" si="231"/>
        <v>OK</v>
      </c>
      <c r="E307" s="189" t="str">
        <f>IF(ISBLANK(C307),"",AVERAGE(C$35:C307))</f>
        <v/>
      </c>
      <c r="F307" s="185"/>
      <c r="G307" s="185"/>
      <c r="H307" s="185"/>
      <c r="I307" s="181">
        <f t="shared" ref="I307:L307" si="299">I306</f>
        <v>53.893722145136735</v>
      </c>
      <c r="J307" s="181">
        <f t="shared" si="299"/>
        <v>44.882748443098563</v>
      </c>
      <c r="K307" s="181">
        <f t="shared" si="299"/>
        <v>56.146465570646278</v>
      </c>
      <c r="L307" s="181">
        <f t="shared" si="299"/>
        <v>42.630005017589021</v>
      </c>
      <c r="M307" s="181">
        <f t="shared" si="281"/>
        <v>50</v>
      </c>
      <c r="N307" s="181">
        <f t="shared" si="281"/>
        <v>55</v>
      </c>
      <c r="O307" s="181">
        <f t="shared" si="281"/>
        <v>45</v>
      </c>
      <c r="P307" s="181">
        <f t="shared" si="281"/>
        <v>49.388235294117649</v>
      </c>
      <c r="Q307" s="188">
        <f t="shared" si="241"/>
        <v>0</v>
      </c>
      <c r="R307" s="180" t="str">
        <f t="shared" si="285"/>
        <v/>
      </c>
      <c r="S307" s="180" t="str">
        <f t="shared" si="286"/>
        <v/>
      </c>
      <c r="T307" s="180" t="str">
        <f t="shared" si="290"/>
        <v/>
      </c>
      <c r="U307" s="180" t="str">
        <f t="shared" si="291"/>
        <v/>
      </c>
      <c r="V307" s="180" t="str">
        <f t="shared" si="279"/>
        <v/>
      </c>
      <c r="W307" s="180" t="str">
        <f t="shared" si="276"/>
        <v/>
      </c>
      <c r="X307" s="180" t="str">
        <f t="shared" si="280"/>
        <v/>
      </c>
      <c r="Y307" s="183"/>
      <c r="Z307" s="183"/>
      <c r="AA307" s="183"/>
    </row>
    <row r="308" spans="1:27" x14ac:dyDescent="0.25">
      <c r="A308" s="52">
        <v>274</v>
      </c>
      <c r="B308" s="50" t="str">
        <f t="shared" si="277"/>
        <v/>
      </c>
      <c r="C308" s="177"/>
      <c r="D308" s="190" t="str">
        <f t="shared" si="231"/>
        <v>OK</v>
      </c>
      <c r="E308" s="189" t="str">
        <f>IF(ISBLANK(C308),"",AVERAGE(C$35:C308))</f>
        <v/>
      </c>
      <c r="F308" s="185"/>
      <c r="G308" s="185"/>
      <c r="H308" s="185"/>
      <c r="I308" s="181">
        <f t="shared" ref="I308:L308" si="300">I307</f>
        <v>53.893722145136735</v>
      </c>
      <c r="J308" s="181">
        <f t="shared" si="300"/>
        <v>44.882748443098563</v>
      </c>
      <c r="K308" s="181">
        <f t="shared" si="300"/>
        <v>56.146465570646278</v>
      </c>
      <c r="L308" s="181">
        <f t="shared" si="300"/>
        <v>42.630005017589021</v>
      </c>
      <c r="M308" s="181">
        <f t="shared" si="281"/>
        <v>50</v>
      </c>
      <c r="N308" s="181">
        <f t="shared" si="281"/>
        <v>55</v>
      </c>
      <c r="O308" s="181">
        <f t="shared" si="281"/>
        <v>45</v>
      </c>
      <c r="P308" s="181">
        <f t="shared" si="281"/>
        <v>49.388235294117649</v>
      </c>
      <c r="Q308" s="188">
        <f t="shared" si="241"/>
        <v>0</v>
      </c>
      <c r="R308" s="180" t="str">
        <f t="shared" si="285"/>
        <v/>
      </c>
      <c r="S308" s="180" t="str">
        <f t="shared" si="286"/>
        <v/>
      </c>
      <c r="T308" s="180" t="str">
        <f t="shared" si="290"/>
        <v/>
      </c>
      <c r="U308" s="180" t="str">
        <f t="shared" si="291"/>
        <v/>
      </c>
      <c r="V308" s="180" t="str">
        <f t="shared" si="279"/>
        <v/>
      </c>
      <c r="W308" s="180" t="str">
        <f t="shared" si="276"/>
        <v/>
      </c>
      <c r="X308" s="180" t="str">
        <f t="shared" si="280"/>
        <v/>
      </c>
      <c r="Y308" s="183"/>
      <c r="Z308" s="183"/>
      <c r="AA308" s="183"/>
    </row>
    <row r="309" spans="1:27" x14ac:dyDescent="0.25">
      <c r="A309" s="52">
        <v>275</v>
      </c>
      <c r="B309" s="50" t="str">
        <f t="shared" si="277"/>
        <v/>
      </c>
      <c r="C309" s="177"/>
      <c r="D309" s="190" t="str">
        <f t="shared" si="231"/>
        <v>OK</v>
      </c>
      <c r="E309" s="189" t="str">
        <f>IF(ISBLANK(C309),"",AVERAGE(C$35:C309))</f>
        <v/>
      </c>
      <c r="F309" s="185"/>
      <c r="G309" s="185"/>
      <c r="H309" s="185"/>
      <c r="I309" s="181">
        <f t="shared" ref="I309:P324" si="301">I308</f>
        <v>53.893722145136735</v>
      </c>
      <c r="J309" s="181">
        <f t="shared" si="301"/>
        <v>44.882748443098563</v>
      </c>
      <c r="K309" s="181">
        <f t="shared" si="301"/>
        <v>56.146465570646278</v>
      </c>
      <c r="L309" s="181">
        <f t="shared" si="301"/>
        <v>42.630005017589021</v>
      </c>
      <c r="M309" s="181">
        <f t="shared" si="301"/>
        <v>50</v>
      </c>
      <c r="N309" s="181">
        <f t="shared" si="301"/>
        <v>55</v>
      </c>
      <c r="O309" s="181">
        <f t="shared" si="301"/>
        <v>45</v>
      </c>
      <c r="P309" s="181">
        <f t="shared" si="301"/>
        <v>49.388235294117649</v>
      </c>
      <c r="Q309" s="188">
        <f t="shared" si="241"/>
        <v>0</v>
      </c>
      <c r="R309" s="180" t="str">
        <f t="shared" si="285"/>
        <v/>
      </c>
      <c r="S309" s="180" t="str">
        <f t="shared" si="286"/>
        <v/>
      </c>
      <c r="T309" s="180" t="str">
        <f t="shared" si="290"/>
        <v/>
      </c>
      <c r="U309" s="180" t="str">
        <f t="shared" si="291"/>
        <v/>
      </c>
      <c r="V309" s="180" t="str">
        <f t="shared" si="279"/>
        <v/>
      </c>
      <c r="W309" s="180" t="str">
        <f t="shared" si="276"/>
        <v/>
      </c>
      <c r="X309" s="180" t="str">
        <f t="shared" si="280"/>
        <v/>
      </c>
      <c r="Y309" s="183"/>
      <c r="Z309" s="183"/>
      <c r="AA309" s="183"/>
    </row>
    <row r="310" spans="1:27" x14ac:dyDescent="0.25">
      <c r="A310" s="52">
        <v>276</v>
      </c>
      <c r="B310" s="50" t="str">
        <f t="shared" si="277"/>
        <v/>
      </c>
      <c r="C310" s="177"/>
      <c r="D310" s="190" t="str">
        <f t="shared" si="231"/>
        <v>OK</v>
      </c>
      <c r="E310" s="189" t="str">
        <f>IF(ISBLANK(C310),"",AVERAGE(C$35:C310))</f>
        <v/>
      </c>
      <c r="F310" s="185"/>
      <c r="G310" s="185"/>
      <c r="H310" s="185"/>
      <c r="I310" s="181">
        <f t="shared" ref="I310:L310" si="302">I309</f>
        <v>53.893722145136735</v>
      </c>
      <c r="J310" s="181">
        <f t="shared" si="302"/>
        <v>44.882748443098563</v>
      </c>
      <c r="K310" s="181">
        <f t="shared" si="302"/>
        <v>56.146465570646278</v>
      </c>
      <c r="L310" s="181">
        <f t="shared" si="302"/>
        <v>42.630005017589021</v>
      </c>
      <c r="M310" s="181">
        <f t="shared" si="301"/>
        <v>50</v>
      </c>
      <c r="N310" s="181">
        <f t="shared" si="301"/>
        <v>55</v>
      </c>
      <c r="O310" s="181">
        <f t="shared" si="301"/>
        <v>45</v>
      </c>
      <c r="P310" s="181">
        <f t="shared" si="301"/>
        <v>49.388235294117649</v>
      </c>
      <c r="Q310" s="188">
        <f t="shared" si="241"/>
        <v>0</v>
      </c>
      <c r="R310" s="180" t="str">
        <f t="shared" si="285"/>
        <v/>
      </c>
      <c r="S310" s="180" t="str">
        <f t="shared" si="286"/>
        <v/>
      </c>
      <c r="T310" s="180" t="str">
        <f t="shared" si="290"/>
        <v/>
      </c>
      <c r="U310" s="180" t="str">
        <f t="shared" si="291"/>
        <v/>
      </c>
      <c r="V310" s="180" t="str">
        <f t="shared" si="279"/>
        <v/>
      </c>
      <c r="W310" s="180" t="str">
        <f t="shared" si="276"/>
        <v/>
      </c>
      <c r="X310" s="180" t="str">
        <f t="shared" si="280"/>
        <v/>
      </c>
      <c r="Y310" s="183"/>
      <c r="Z310" s="183"/>
      <c r="AA310" s="183"/>
    </row>
    <row r="311" spans="1:27" x14ac:dyDescent="0.25">
      <c r="A311" s="52">
        <v>277</v>
      </c>
      <c r="B311" s="50" t="str">
        <f t="shared" si="277"/>
        <v/>
      </c>
      <c r="C311" s="177"/>
      <c r="D311" s="190" t="str">
        <f t="shared" si="231"/>
        <v>OK</v>
      </c>
      <c r="E311" s="189" t="str">
        <f>IF(ISBLANK(C311),"",AVERAGE(C$35:C311))</f>
        <v/>
      </c>
      <c r="F311" s="185"/>
      <c r="G311" s="185"/>
      <c r="H311" s="185"/>
      <c r="I311" s="181">
        <f t="shared" ref="I311:L311" si="303">I310</f>
        <v>53.893722145136735</v>
      </c>
      <c r="J311" s="181">
        <f t="shared" si="303"/>
        <v>44.882748443098563</v>
      </c>
      <c r="K311" s="181">
        <f t="shared" si="303"/>
        <v>56.146465570646278</v>
      </c>
      <c r="L311" s="181">
        <f t="shared" si="303"/>
        <v>42.630005017589021</v>
      </c>
      <c r="M311" s="181">
        <f t="shared" si="301"/>
        <v>50</v>
      </c>
      <c r="N311" s="181">
        <f t="shared" si="301"/>
        <v>55</v>
      </c>
      <c r="O311" s="181">
        <f t="shared" si="301"/>
        <v>45</v>
      </c>
      <c r="P311" s="181">
        <f t="shared" si="301"/>
        <v>49.388235294117649</v>
      </c>
      <c r="Q311" s="188">
        <f t="shared" si="241"/>
        <v>0</v>
      </c>
      <c r="R311" s="180" t="str">
        <f t="shared" si="285"/>
        <v/>
      </c>
      <c r="S311" s="180" t="str">
        <f t="shared" si="286"/>
        <v/>
      </c>
      <c r="T311" s="180" t="str">
        <f t="shared" si="290"/>
        <v/>
      </c>
      <c r="U311" s="180" t="str">
        <f t="shared" si="291"/>
        <v/>
      </c>
      <c r="V311" s="180" t="str">
        <f t="shared" si="279"/>
        <v/>
      </c>
      <c r="W311" s="180" t="str">
        <f t="shared" si="276"/>
        <v/>
      </c>
      <c r="X311" s="180" t="str">
        <f t="shared" si="280"/>
        <v/>
      </c>
      <c r="Y311" s="183"/>
      <c r="Z311" s="183"/>
      <c r="AA311" s="183"/>
    </row>
    <row r="312" spans="1:27" x14ac:dyDescent="0.25">
      <c r="A312" s="52">
        <v>278</v>
      </c>
      <c r="B312" s="50" t="str">
        <f t="shared" si="277"/>
        <v/>
      </c>
      <c r="C312" s="177"/>
      <c r="D312" s="190" t="str">
        <f t="shared" si="231"/>
        <v>OK</v>
      </c>
      <c r="E312" s="189" t="str">
        <f>IF(ISBLANK(C312),"",AVERAGE(C$35:C312))</f>
        <v/>
      </c>
      <c r="F312" s="185"/>
      <c r="G312" s="185"/>
      <c r="H312" s="185"/>
      <c r="I312" s="181">
        <f t="shared" ref="I312:L312" si="304">I311</f>
        <v>53.893722145136735</v>
      </c>
      <c r="J312" s="181">
        <f t="shared" si="304"/>
        <v>44.882748443098563</v>
      </c>
      <c r="K312" s="181">
        <f t="shared" si="304"/>
        <v>56.146465570646278</v>
      </c>
      <c r="L312" s="181">
        <f t="shared" si="304"/>
        <v>42.630005017589021</v>
      </c>
      <c r="M312" s="181">
        <f t="shared" si="301"/>
        <v>50</v>
      </c>
      <c r="N312" s="181">
        <f t="shared" si="301"/>
        <v>55</v>
      </c>
      <c r="O312" s="181">
        <f t="shared" si="301"/>
        <v>45</v>
      </c>
      <c r="P312" s="181">
        <f t="shared" si="301"/>
        <v>49.388235294117649</v>
      </c>
      <c r="Q312" s="188">
        <f t="shared" si="241"/>
        <v>0</v>
      </c>
      <c r="R312" s="180" t="str">
        <f t="shared" si="285"/>
        <v/>
      </c>
      <c r="S312" s="180" t="str">
        <f t="shared" si="286"/>
        <v/>
      </c>
      <c r="T312" s="180" t="str">
        <f t="shared" si="290"/>
        <v/>
      </c>
      <c r="U312" s="180" t="str">
        <f t="shared" si="291"/>
        <v/>
      </c>
      <c r="V312" s="180" t="str">
        <f t="shared" si="279"/>
        <v/>
      </c>
      <c r="W312" s="180" t="str">
        <f t="shared" si="276"/>
        <v/>
      </c>
      <c r="X312" s="180" t="str">
        <f t="shared" si="280"/>
        <v/>
      </c>
      <c r="Y312" s="183"/>
      <c r="Z312" s="183"/>
      <c r="AA312" s="183"/>
    </row>
    <row r="313" spans="1:27" x14ac:dyDescent="0.25">
      <c r="A313" s="52">
        <v>279</v>
      </c>
      <c r="B313" s="50" t="str">
        <f t="shared" si="277"/>
        <v/>
      </c>
      <c r="C313" s="177"/>
      <c r="D313" s="190" t="str">
        <f t="shared" ref="D313:D376" si="305">IF(Q313=1,$R$34,IF(Q313=2,$S$34,IF(Q313=3,$T$34,IF(Q313=4,$U$34,IF(Q313=5,$V$34,IF(Q313=6,$W$34,IF(Q313=7,$X$34,"OK")))))))</f>
        <v>OK</v>
      </c>
      <c r="E313" s="189" t="str">
        <f>IF(ISBLANK(C313),"",AVERAGE(C$35:C313))</f>
        <v/>
      </c>
      <c r="F313" s="185"/>
      <c r="G313" s="185"/>
      <c r="H313" s="185"/>
      <c r="I313" s="181">
        <f t="shared" ref="I313:L313" si="306">I312</f>
        <v>53.893722145136735</v>
      </c>
      <c r="J313" s="181">
        <f t="shared" si="306"/>
        <v>44.882748443098563</v>
      </c>
      <c r="K313" s="181">
        <f t="shared" si="306"/>
        <v>56.146465570646278</v>
      </c>
      <c r="L313" s="181">
        <f t="shared" si="306"/>
        <v>42.630005017589021</v>
      </c>
      <c r="M313" s="181">
        <f t="shared" si="301"/>
        <v>50</v>
      </c>
      <c r="N313" s="181">
        <f t="shared" si="301"/>
        <v>55</v>
      </c>
      <c r="O313" s="181">
        <f t="shared" si="301"/>
        <v>45</v>
      </c>
      <c r="P313" s="181">
        <f t="shared" si="301"/>
        <v>49.388235294117649</v>
      </c>
      <c r="Q313" s="188">
        <f t="shared" si="241"/>
        <v>0</v>
      </c>
      <c r="R313" s="180" t="str">
        <f t="shared" si="285"/>
        <v/>
      </c>
      <c r="S313" s="180" t="str">
        <f t="shared" si="286"/>
        <v/>
      </c>
      <c r="T313" s="180" t="str">
        <f t="shared" si="290"/>
        <v/>
      </c>
      <c r="U313" s="180" t="str">
        <f t="shared" si="291"/>
        <v/>
      </c>
      <c r="V313" s="180" t="str">
        <f t="shared" si="279"/>
        <v/>
      </c>
      <c r="W313" s="180" t="str">
        <f t="shared" si="276"/>
        <v/>
      </c>
      <c r="X313" s="180" t="str">
        <f t="shared" si="280"/>
        <v/>
      </c>
      <c r="Y313" s="183"/>
      <c r="Z313" s="183"/>
      <c r="AA313" s="183"/>
    </row>
    <row r="314" spans="1:27" x14ac:dyDescent="0.25">
      <c r="A314" s="52">
        <v>280</v>
      </c>
      <c r="B314" s="50" t="str">
        <f t="shared" si="277"/>
        <v/>
      </c>
      <c r="C314" s="177"/>
      <c r="D314" s="190" t="str">
        <f t="shared" si="305"/>
        <v>OK</v>
      </c>
      <c r="E314" s="189" t="str">
        <f>IF(ISBLANK(C314),"",AVERAGE(C$35:C314))</f>
        <v/>
      </c>
      <c r="F314" s="185"/>
      <c r="G314" s="185"/>
      <c r="H314" s="185"/>
      <c r="I314" s="181">
        <f t="shared" ref="I314:L314" si="307">I313</f>
        <v>53.893722145136735</v>
      </c>
      <c r="J314" s="181">
        <f t="shared" si="307"/>
        <v>44.882748443098563</v>
      </c>
      <c r="K314" s="181">
        <f t="shared" si="307"/>
        <v>56.146465570646278</v>
      </c>
      <c r="L314" s="181">
        <f t="shared" si="307"/>
        <v>42.630005017589021</v>
      </c>
      <c r="M314" s="181">
        <f t="shared" si="301"/>
        <v>50</v>
      </c>
      <c r="N314" s="181">
        <f t="shared" si="301"/>
        <v>55</v>
      </c>
      <c r="O314" s="181">
        <f t="shared" si="301"/>
        <v>45</v>
      </c>
      <c r="P314" s="181">
        <f t="shared" si="301"/>
        <v>49.388235294117649</v>
      </c>
      <c r="Q314" s="188">
        <f t="shared" si="241"/>
        <v>0</v>
      </c>
      <c r="R314" s="180" t="str">
        <f t="shared" si="285"/>
        <v/>
      </c>
      <c r="S314" s="180" t="str">
        <f t="shared" si="286"/>
        <v/>
      </c>
      <c r="T314" s="180" t="str">
        <f t="shared" si="290"/>
        <v/>
      </c>
      <c r="U314" s="180" t="str">
        <f t="shared" si="291"/>
        <v/>
      </c>
      <c r="V314" s="180" t="str">
        <f t="shared" si="279"/>
        <v/>
      </c>
      <c r="W314" s="180" t="str">
        <f t="shared" si="276"/>
        <v/>
      </c>
      <c r="X314" s="180" t="str">
        <f t="shared" si="280"/>
        <v/>
      </c>
      <c r="Y314" s="183"/>
      <c r="Z314" s="183"/>
      <c r="AA314" s="183"/>
    </row>
    <row r="315" spans="1:27" x14ac:dyDescent="0.25">
      <c r="A315" s="52">
        <v>281</v>
      </c>
      <c r="B315" s="50" t="str">
        <f t="shared" si="277"/>
        <v/>
      </c>
      <c r="C315" s="177"/>
      <c r="D315" s="190" t="str">
        <f t="shared" si="305"/>
        <v>OK</v>
      </c>
      <c r="E315" s="189" t="str">
        <f>IF(ISBLANK(C315),"",AVERAGE(C$35:C315))</f>
        <v/>
      </c>
      <c r="F315" s="185"/>
      <c r="G315" s="185"/>
      <c r="H315" s="185"/>
      <c r="I315" s="181">
        <f t="shared" ref="I315:L315" si="308">I314</f>
        <v>53.893722145136735</v>
      </c>
      <c r="J315" s="181">
        <f t="shared" si="308"/>
        <v>44.882748443098563</v>
      </c>
      <c r="K315" s="181">
        <f t="shared" si="308"/>
        <v>56.146465570646278</v>
      </c>
      <c r="L315" s="181">
        <f t="shared" si="308"/>
        <v>42.630005017589021</v>
      </c>
      <c r="M315" s="181">
        <f t="shared" si="301"/>
        <v>50</v>
      </c>
      <c r="N315" s="181">
        <f t="shared" si="301"/>
        <v>55</v>
      </c>
      <c r="O315" s="181">
        <f t="shared" si="301"/>
        <v>45</v>
      </c>
      <c r="P315" s="181">
        <f t="shared" si="301"/>
        <v>49.388235294117649</v>
      </c>
      <c r="Q315" s="188">
        <f t="shared" si="241"/>
        <v>0</v>
      </c>
      <c r="R315" s="180" t="str">
        <f t="shared" si="285"/>
        <v/>
      </c>
      <c r="S315" s="180" t="str">
        <f t="shared" si="286"/>
        <v/>
      </c>
      <c r="T315" s="180" t="str">
        <f t="shared" si="290"/>
        <v/>
      </c>
      <c r="U315" s="180" t="str">
        <f t="shared" si="291"/>
        <v/>
      </c>
      <c r="V315" s="180" t="str">
        <f t="shared" si="279"/>
        <v/>
      </c>
      <c r="W315" s="180" t="str">
        <f t="shared" si="276"/>
        <v/>
      </c>
      <c r="X315" s="180" t="str">
        <f t="shared" si="280"/>
        <v/>
      </c>
      <c r="Y315" s="183"/>
      <c r="Z315" s="183"/>
      <c r="AA315" s="183"/>
    </row>
    <row r="316" spans="1:27" x14ac:dyDescent="0.25">
      <c r="A316" s="52">
        <v>282</v>
      </c>
      <c r="B316" s="50" t="str">
        <f t="shared" si="277"/>
        <v/>
      </c>
      <c r="C316" s="177"/>
      <c r="D316" s="190" t="str">
        <f t="shared" si="305"/>
        <v>OK</v>
      </c>
      <c r="E316" s="189" t="str">
        <f>IF(ISBLANK(C316),"",AVERAGE(C$35:C316))</f>
        <v/>
      </c>
      <c r="F316" s="185"/>
      <c r="G316" s="185"/>
      <c r="H316" s="185"/>
      <c r="I316" s="181">
        <f t="shared" ref="I316:L316" si="309">I315</f>
        <v>53.893722145136735</v>
      </c>
      <c r="J316" s="181">
        <f t="shared" si="309"/>
        <v>44.882748443098563</v>
      </c>
      <c r="K316" s="181">
        <f t="shared" si="309"/>
        <v>56.146465570646278</v>
      </c>
      <c r="L316" s="181">
        <f t="shared" si="309"/>
        <v>42.630005017589021</v>
      </c>
      <c r="M316" s="181">
        <f t="shared" si="301"/>
        <v>50</v>
      </c>
      <c r="N316" s="181">
        <f t="shared" si="301"/>
        <v>55</v>
      </c>
      <c r="O316" s="181">
        <f t="shared" si="301"/>
        <v>45</v>
      </c>
      <c r="P316" s="181">
        <f t="shared" si="301"/>
        <v>49.388235294117649</v>
      </c>
      <c r="Q316" s="188">
        <f t="shared" si="241"/>
        <v>0</v>
      </c>
      <c r="R316" s="180" t="str">
        <f t="shared" si="285"/>
        <v/>
      </c>
      <c r="S316" s="180" t="str">
        <f t="shared" si="286"/>
        <v/>
      </c>
      <c r="T316" s="180" t="str">
        <f t="shared" si="290"/>
        <v/>
      </c>
      <c r="U316" s="180" t="str">
        <f t="shared" si="291"/>
        <v/>
      </c>
      <c r="V316" s="180" t="str">
        <f t="shared" si="279"/>
        <v/>
      </c>
      <c r="W316" s="180" t="str">
        <f t="shared" si="276"/>
        <v/>
      </c>
      <c r="X316" s="180" t="str">
        <f t="shared" si="280"/>
        <v/>
      </c>
      <c r="Y316" s="183"/>
      <c r="Z316" s="183"/>
      <c r="AA316" s="183"/>
    </row>
    <row r="317" spans="1:27" x14ac:dyDescent="0.25">
      <c r="A317" s="52">
        <v>283</v>
      </c>
      <c r="B317" s="50" t="str">
        <f t="shared" si="277"/>
        <v/>
      </c>
      <c r="C317" s="177"/>
      <c r="D317" s="190" t="str">
        <f t="shared" si="305"/>
        <v>OK</v>
      </c>
      <c r="E317" s="189" t="str">
        <f>IF(ISBLANK(C317),"",AVERAGE(C$35:C317))</f>
        <v/>
      </c>
      <c r="F317" s="185"/>
      <c r="G317" s="185"/>
      <c r="H317" s="185"/>
      <c r="I317" s="181">
        <f t="shared" ref="I317:L317" si="310">I316</f>
        <v>53.893722145136735</v>
      </c>
      <c r="J317" s="181">
        <f t="shared" si="310"/>
        <v>44.882748443098563</v>
      </c>
      <c r="K317" s="181">
        <f t="shared" si="310"/>
        <v>56.146465570646278</v>
      </c>
      <c r="L317" s="181">
        <f t="shared" si="310"/>
        <v>42.630005017589021</v>
      </c>
      <c r="M317" s="181">
        <f t="shared" si="301"/>
        <v>50</v>
      </c>
      <c r="N317" s="181">
        <f t="shared" si="301"/>
        <v>55</v>
      </c>
      <c r="O317" s="181">
        <f t="shared" si="301"/>
        <v>45</v>
      </c>
      <c r="P317" s="181">
        <f t="shared" si="301"/>
        <v>49.388235294117649</v>
      </c>
      <c r="Q317" s="188">
        <f t="shared" si="241"/>
        <v>0</v>
      </c>
      <c r="R317" s="180" t="str">
        <f t="shared" si="285"/>
        <v/>
      </c>
      <c r="S317" s="180" t="str">
        <f t="shared" si="286"/>
        <v/>
      </c>
      <c r="T317" s="180" t="str">
        <f t="shared" si="290"/>
        <v/>
      </c>
      <c r="U317" s="180" t="str">
        <f t="shared" si="291"/>
        <v/>
      </c>
      <c r="V317" s="180" t="str">
        <f t="shared" si="279"/>
        <v/>
      </c>
      <c r="W317" s="180" t="str">
        <f t="shared" si="276"/>
        <v/>
      </c>
      <c r="X317" s="180" t="str">
        <f t="shared" si="280"/>
        <v/>
      </c>
      <c r="Y317" s="183"/>
      <c r="Z317" s="183"/>
      <c r="AA317" s="183"/>
    </row>
    <row r="318" spans="1:27" x14ac:dyDescent="0.25">
      <c r="A318" s="52">
        <v>284</v>
      </c>
      <c r="B318" s="50" t="str">
        <f t="shared" si="277"/>
        <v/>
      </c>
      <c r="C318" s="177"/>
      <c r="D318" s="190" t="str">
        <f t="shared" si="305"/>
        <v>OK</v>
      </c>
      <c r="E318" s="189" t="str">
        <f>IF(ISBLANK(C318),"",AVERAGE(C$35:C318))</f>
        <v/>
      </c>
      <c r="F318" s="185"/>
      <c r="G318" s="185"/>
      <c r="H318" s="185"/>
      <c r="I318" s="181">
        <f t="shared" ref="I318:L318" si="311">I317</f>
        <v>53.893722145136735</v>
      </c>
      <c r="J318" s="181">
        <f t="shared" si="311"/>
        <v>44.882748443098563</v>
      </c>
      <c r="K318" s="181">
        <f t="shared" si="311"/>
        <v>56.146465570646278</v>
      </c>
      <c r="L318" s="181">
        <f t="shared" si="311"/>
        <v>42.630005017589021</v>
      </c>
      <c r="M318" s="181">
        <f t="shared" si="301"/>
        <v>50</v>
      </c>
      <c r="N318" s="181">
        <f t="shared" si="301"/>
        <v>55</v>
      </c>
      <c r="O318" s="181">
        <f t="shared" si="301"/>
        <v>45</v>
      </c>
      <c r="P318" s="181">
        <f t="shared" si="301"/>
        <v>49.388235294117649</v>
      </c>
      <c r="Q318" s="188">
        <f t="shared" si="241"/>
        <v>0</v>
      </c>
      <c r="R318" s="180" t="str">
        <f t="shared" si="285"/>
        <v/>
      </c>
      <c r="S318" s="180" t="str">
        <f t="shared" si="286"/>
        <v/>
      </c>
      <c r="T318" s="180" t="str">
        <f t="shared" si="290"/>
        <v/>
      </c>
      <c r="U318" s="180" t="str">
        <f t="shared" si="291"/>
        <v/>
      </c>
      <c r="V318" s="180" t="str">
        <f t="shared" si="279"/>
        <v/>
      </c>
      <c r="W318" s="180" t="str">
        <f t="shared" si="276"/>
        <v/>
      </c>
      <c r="X318" s="180" t="str">
        <f t="shared" si="280"/>
        <v/>
      </c>
      <c r="Y318" s="183"/>
      <c r="Z318" s="183"/>
      <c r="AA318" s="183"/>
    </row>
    <row r="319" spans="1:27" x14ac:dyDescent="0.25">
      <c r="A319" s="52">
        <v>285</v>
      </c>
      <c r="B319" s="50" t="str">
        <f t="shared" si="277"/>
        <v/>
      </c>
      <c r="C319" s="177"/>
      <c r="D319" s="190" t="str">
        <f t="shared" si="305"/>
        <v>OK</v>
      </c>
      <c r="E319" s="189" t="str">
        <f>IF(ISBLANK(C319),"",AVERAGE(C$35:C319))</f>
        <v/>
      </c>
      <c r="F319" s="185"/>
      <c r="G319" s="185"/>
      <c r="H319" s="185"/>
      <c r="I319" s="181">
        <f t="shared" ref="I319:L319" si="312">I318</f>
        <v>53.893722145136735</v>
      </c>
      <c r="J319" s="181">
        <f t="shared" si="312"/>
        <v>44.882748443098563</v>
      </c>
      <c r="K319" s="181">
        <f t="shared" si="312"/>
        <v>56.146465570646278</v>
      </c>
      <c r="L319" s="181">
        <f t="shared" si="312"/>
        <v>42.630005017589021</v>
      </c>
      <c r="M319" s="181">
        <f t="shared" si="301"/>
        <v>50</v>
      </c>
      <c r="N319" s="181">
        <f t="shared" si="301"/>
        <v>55</v>
      </c>
      <c r="O319" s="181">
        <f t="shared" si="301"/>
        <v>45</v>
      </c>
      <c r="P319" s="181">
        <f t="shared" si="301"/>
        <v>49.388235294117649</v>
      </c>
      <c r="Q319" s="188">
        <f t="shared" si="241"/>
        <v>0</v>
      </c>
      <c r="R319" s="180" t="str">
        <f t="shared" si="285"/>
        <v/>
      </c>
      <c r="S319" s="180" t="str">
        <f t="shared" si="286"/>
        <v/>
      </c>
      <c r="T319" s="180" t="str">
        <f t="shared" si="290"/>
        <v/>
      </c>
      <c r="U319" s="180" t="str">
        <f t="shared" si="291"/>
        <v/>
      </c>
      <c r="V319" s="180" t="str">
        <f t="shared" si="279"/>
        <v/>
      </c>
      <c r="W319" s="180" t="str">
        <f t="shared" si="276"/>
        <v/>
      </c>
      <c r="X319" s="180" t="str">
        <f t="shared" si="280"/>
        <v/>
      </c>
      <c r="Y319" s="183"/>
      <c r="Z319" s="183"/>
      <c r="AA319" s="183"/>
    </row>
    <row r="320" spans="1:27" x14ac:dyDescent="0.25">
      <c r="A320" s="52">
        <v>286</v>
      </c>
      <c r="B320" s="50" t="str">
        <f t="shared" si="277"/>
        <v/>
      </c>
      <c r="C320" s="177"/>
      <c r="D320" s="190" t="str">
        <f t="shared" si="305"/>
        <v>OK</v>
      </c>
      <c r="E320" s="189" t="str">
        <f>IF(ISBLANK(C320),"",AVERAGE(C$35:C320))</f>
        <v/>
      </c>
      <c r="F320" s="185"/>
      <c r="G320" s="185"/>
      <c r="H320" s="185"/>
      <c r="I320" s="181">
        <f t="shared" ref="I320:L320" si="313">I319</f>
        <v>53.893722145136735</v>
      </c>
      <c r="J320" s="181">
        <f t="shared" si="313"/>
        <v>44.882748443098563</v>
      </c>
      <c r="K320" s="181">
        <f t="shared" si="313"/>
        <v>56.146465570646278</v>
      </c>
      <c r="L320" s="181">
        <f t="shared" si="313"/>
        <v>42.630005017589021</v>
      </c>
      <c r="M320" s="181">
        <f t="shared" si="301"/>
        <v>50</v>
      </c>
      <c r="N320" s="181">
        <f t="shared" si="301"/>
        <v>55</v>
      </c>
      <c r="O320" s="181">
        <f t="shared" si="301"/>
        <v>45</v>
      </c>
      <c r="P320" s="181">
        <f t="shared" si="301"/>
        <v>49.388235294117649</v>
      </c>
      <c r="Q320" s="188">
        <f t="shared" si="241"/>
        <v>0</v>
      </c>
      <c r="R320" s="180" t="str">
        <f t="shared" si="285"/>
        <v/>
      </c>
      <c r="S320" s="180" t="str">
        <f t="shared" si="286"/>
        <v/>
      </c>
      <c r="T320" s="180" t="str">
        <f t="shared" si="290"/>
        <v/>
      </c>
      <c r="U320" s="180" t="str">
        <f t="shared" si="291"/>
        <v/>
      </c>
      <c r="V320" s="180" t="str">
        <f t="shared" si="279"/>
        <v/>
      </c>
      <c r="W320" s="180" t="str">
        <f t="shared" si="276"/>
        <v/>
      </c>
      <c r="X320" s="180" t="str">
        <f t="shared" si="280"/>
        <v/>
      </c>
      <c r="Y320" s="183"/>
      <c r="Z320" s="183"/>
      <c r="AA320" s="183"/>
    </row>
    <row r="321" spans="1:27" x14ac:dyDescent="0.25">
      <c r="A321" s="52">
        <v>287</v>
      </c>
      <c r="B321" s="50" t="str">
        <f t="shared" si="277"/>
        <v/>
      </c>
      <c r="C321" s="177"/>
      <c r="D321" s="190" t="str">
        <f t="shared" si="305"/>
        <v>OK</v>
      </c>
      <c r="E321" s="189" t="str">
        <f>IF(ISBLANK(C321),"",AVERAGE(C$35:C321))</f>
        <v/>
      </c>
      <c r="F321" s="185"/>
      <c r="G321" s="185"/>
      <c r="H321" s="185"/>
      <c r="I321" s="181">
        <f t="shared" ref="I321:L321" si="314">I320</f>
        <v>53.893722145136735</v>
      </c>
      <c r="J321" s="181">
        <f t="shared" si="314"/>
        <v>44.882748443098563</v>
      </c>
      <c r="K321" s="181">
        <f t="shared" si="314"/>
        <v>56.146465570646278</v>
      </c>
      <c r="L321" s="181">
        <f t="shared" si="314"/>
        <v>42.630005017589021</v>
      </c>
      <c r="M321" s="181">
        <f t="shared" si="301"/>
        <v>50</v>
      </c>
      <c r="N321" s="181">
        <f t="shared" si="301"/>
        <v>55</v>
      </c>
      <c r="O321" s="181">
        <f t="shared" si="301"/>
        <v>45</v>
      </c>
      <c r="P321" s="181">
        <f t="shared" si="301"/>
        <v>49.388235294117649</v>
      </c>
      <c r="Q321" s="188">
        <f t="shared" ref="Q321:Q384" si="315">SUM(R321:X321)</f>
        <v>0</v>
      </c>
      <c r="R321" s="180" t="str">
        <f t="shared" si="285"/>
        <v/>
      </c>
      <c r="S321" s="180" t="str">
        <f t="shared" si="286"/>
        <v/>
      </c>
      <c r="T321" s="180" t="str">
        <f t="shared" si="290"/>
        <v/>
      </c>
      <c r="U321" s="180" t="str">
        <f t="shared" si="291"/>
        <v/>
      </c>
      <c r="V321" s="180" t="str">
        <f t="shared" si="279"/>
        <v/>
      </c>
      <c r="W321" s="180" t="str">
        <f t="shared" si="276"/>
        <v/>
      </c>
      <c r="X321" s="180" t="str">
        <f t="shared" si="280"/>
        <v/>
      </c>
      <c r="Y321" s="183"/>
      <c r="Z321" s="183"/>
      <c r="AA321" s="183"/>
    </row>
    <row r="322" spans="1:27" x14ac:dyDescent="0.25">
      <c r="A322" s="52">
        <v>288</v>
      </c>
      <c r="B322" s="50" t="str">
        <f t="shared" si="277"/>
        <v/>
      </c>
      <c r="C322" s="177"/>
      <c r="D322" s="190" t="str">
        <f t="shared" si="305"/>
        <v>OK</v>
      </c>
      <c r="E322" s="189" t="str">
        <f>IF(ISBLANK(C322),"",AVERAGE(C$35:C322))</f>
        <v/>
      </c>
      <c r="F322" s="185"/>
      <c r="G322" s="185"/>
      <c r="H322" s="185"/>
      <c r="I322" s="181">
        <f t="shared" ref="I322:L322" si="316">I321</f>
        <v>53.893722145136735</v>
      </c>
      <c r="J322" s="181">
        <f t="shared" si="316"/>
        <v>44.882748443098563</v>
      </c>
      <c r="K322" s="181">
        <f t="shared" si="316"/>
        <v>56.146465570646278</v>
      </c>
      <c r="L322" s="181">
        <f t="shared" si="316"/>
        <v>42.630005017589021</v>
      </c>
      <c r="M322" s="181">
        <f t="shared" si="301"/>
        <v>50</v>
      </c>
      <c r="N322" s="181">
        <f t="shared" si="301"/>
        <v>55</v>
      </c>
      <c r="O322" s="181">
        <f t="shared" si="301"/>
        <v>45</v>
      </c>
      <c r="P322" s="181">
        <f t="shared" si="301"/>
        <v>49.388235294117649</v>
      </c>
      <c r="Q322" s="188">
        <f t="shared" si="315"/>
        <v>0</v>
      </c>
      <c r="R322" s="180" t="str">
        <f t="shared" si="285"/>
        <v/>
      </c>
      <c r="S322" s="180" t="str">
        <f t="shared" si="286"/>
        <v/>
      </c>
      <c r="T322" s="180" t="str">
        <f t="shared" si="290"/>
        <v/>
      </c>
      <c r="U322" s="180" t="str">
        <f t="shared" si="291"/>
        <v/>
      </c>
      <c r="V322" s="180" t="str">
        <f t="shared" si="279"/>
        <v/>
      </c>
      <c r="W322" s="180" t="str">
        <f t="shared" si="276"/>
        <v/>
      </c>
      <c r="X322" s="180" t="str">
        <f t="shared" si="280"/>
        <v/>
      </c>
      <c r="Y322" s="183"/>
      <c r="Z322" s="183"/>
      <c r="AA322" s="183"/>
    </row>
    <row r="323" spans="1:27" x14ac:dyDescent="0.25">
      <c r="A323" s="52">
        <v>289</v>
      </c>
      <c r="B323" s="50" t="str">
        <f t="shared" si="277"/>
        <v/>
      </c>
      <c r="C323" s="177"/>
      <c r="D323" s="190" t="str">
        <f t="shared" si="305"/>
        <v>OK</v>
      </c>
      <c r="E323" s="189" t="str">
        <f>IF(ISBLANK(C323),"",AVERAGE(C$35:C323))</f>
        <v/>
      </c>
      <c r="F323" s="185"/>
      <c r="G323" s="185"/>
      <c r="H323" s="185"/>
      <c r="I323" s="181">
        <f t="shared" ref="I323:L323" si="317">I322</f>
        <v>53.893722145136735</v>
      </c>
      <c r="J323" s="181">
        <f t="shared" si="317"/>
        <v>44.882748443098563</v>
      </c>
      <c r="K323" s="181">
        <f t="shared" si="317"/>
        <v>56.146465570646278</v>
      </c>
      <c r="L323" s="181">
        <f t="shared" si="317"/>
        <v>42.630005017589021</v>
      </c>
      <c r="M323" s="181">
        <f t="shared" si="301"/>
        <v>50</v>
      </c>
      <c r="N323" s="181">
        <f t="shared" si="301"/>
        <v>55</v>
      </c>
      <c r="O323" s="181">
        <f t="shared" si="301"/>
        <v>45</v>
      </c>
      <c r="P323" s="181">
        <f t="shared" si="301"/>
        <v>49.388235294117649</v>
      </c>
      <c r="Q323" s="188">
        <f t="shared" si="315"/>
        <v>0</v>
      </c>
      <c r="R323" s="180" t="str">
        <f t="shared" si="285"/>
        <v/>
      </c>
      <c r="S323" s="180" t="str">
        <f t="shared" si="286"/>
        <v/>
      </c>
      <c r="T323" s="180" t="str">
        <f t="shared" si="290"/>
        <v/>
      </c>
      <c r="U323" s="180" t="str">
        <f t="shared" si="291"/>
        <v/>
      </c>
      <c r="V323" s="180" t="str">
        <f t="shared" si="279"/>
        <v/>
      </c>
      <c r="W323" s="180" t="str">
        <f t="shared" si="276"/>
        <v/>
      </c>
      <c r="X323" s="180" t="str">
        <f t="shared" si="280"/>
        <v/>
      </c>
      <c r="Y323" s="183"/>
      <c r="Z323" s="183"/>
      <c r="AA323" s="183"/>
    </row>
    <row r="324" spans="1:27" x14ac:dyDescent="0.25">
      <c r="A324" s="52">
        <v>290</v>
      </c>
      <c r="B324" s="50" t="str">
        <f t="shared" si="277"/>
        <v/>
      </c>
      <c r="C324" s="177"/>
      <c r="D324" s="190" t="str">
        <f t="shared" si="305"/>
        <v>OK</v>
      </c>
      <c r="E324" s="189" t="str">
        <f>IF(ISBLANK(C324),"",AVERAGE(C$35:C324))</f>
        <v/>
      </c>
      <c r="F324" s="185"/>
      <c r="G324" s="185"/>
      <c r="H324" s="185"/>
      <c r="I324" s="181">
        <f t="shared" ref="I324:L324" si="318">I323</f>
        <v>53.893722145136735</v>
      </c>
      <c r="J324" s="181">
        <f t="shared" si="318"/>
        <v>44.882748443098563</v>
      </c>
      <c r="K324" s="181">
        <f t="shared" si="318"/>
        <v>56.146465570646278</v>
      </c>
      <c r="L324" s="181">
        <f t="shared" si="318"/>
        <v>42.630005017589021</v>
      </c>
      <c r="M324" s="181">
        <f t="shared" si="301"/>
        <v>50</v>
      </c>
      <c r="N324" s="181">
        <f t="shared" si="301"/>
        <v>55</v>
      </c>
      <c r="O324" s="181">
        <f t="shared" si="301"/>
        <v>45</v>
      </c>
      <c r="P324" s="181">
        <f t="shared" si="301"/>
        <v>49.388235294117649</v>
      </c>
      <c r="Q324" s="188">
        <f t="shared" si="315"/>
        <v>0</v>
      </c>
      <c r="R324" s="180" t="str">
        <f t="shared" si="285"/>
        <v/>
      </c>
      <c r="S324" s="180" t="str">
        <f t="shared" si="286"/>
        <v/>
      </c>
      <c r="T324" s="180" t="str">
        <f t="shared" si="290"/>
        <v/>
      </c>
      <c r="U324" s="180" t="str">
        <f t="shared" si="291"/>
        <v/>
      </c>
      <c r="V324" s="180" t="str">
        <f t="shared" si="279"/>
        <v/>
      </c>
      <c r="W324" s="180" t="str">
        <f t="shared" si="276"/>
        <v/>
      </c>
      <c r="X324" s="180" t="str">
        <f t="shared" si="280"/>
        <v/>
      </c>
      <c r="Y324" s="183"/>
      <c r="Z324" s="183"/>
      <c r="AA324" s="183"/>
    </row>
    <row r="325" spans="1:27" x14ac:dyDescent="0.25">
      <c r="A325" s="52">
        <v>291</v>
      </c>
      <c r="B325" s="50" t="str">
        <f t="shared" si="277"/>
        <v/>
      </c>
      <c r="C325" s="177"/>
      <c r="D325" s="190" t="str">
        <f t="shared" si="305"/>
        <v>OK</v>
      </c>
      <c r="E325" s="189" t="str">
        <f>IF(ISBLANK(C325),"",AVERAGE(C$35:C325))</f>
        <v/>
      </c>
      <c r="F325" s="185"/>
      <c r="G325" s="185"/>
      <c r="H325" s="185"/>
      <c r="I325" s="181">
        <f t="shared" ref="I325:P340" si="319">I324</f>
        <v>53.893722145136735</v>
      </c>
      <c r="J325" s="181">
        <f t="shared" si="319"/>
        <v>44.882748443098563</v>
      </c>
      <c r="K325" s="181">
        <f t="shared" si="319"/>
        <v>56.146465570646278</v>
      </c>
      <c r="L325" s="181">
        <f t="shared" si="319"/>
        <v>42.630005017589021</v>
      </c>
      <c r="M325" s="181">
        <f t="shared" si="319"/>
        <v>50</v>
      </c>
      <c r="N325" s="181">
        <f t="shared" si="319"/>
        <v>55</v>
      </c>
      <c r="O325" s="181">
        <f t="shared" si="319"/>
        <v>45</v>
      </c>
      <c r="P325" s="181">
        <f t="shared" si="319"/>
        <v>49.388235294117649</v>
      </c>
      <c r="Q325" s="188">
        <f t="shared" si="315"/>
        <v>0</v>
      </c>
      <c r="R325" s="180" t="str">
        <f t="shared" si="285"/>
        <v/>
      </c>
      <c r="S325" s="180" t="str">
        <f t="shared" si="286"/>
        <v/>
      </c>
      <c r="T325" s="180" t="str">
        <f t="shared" si="290"/>
        <v/>
      </c>
      <c r="U325" s="180" t="str">
        <f t="shared" si="291"/>
        <v/>
      </c>
      <c r="V325" s="180" t="str">
        <f t="shared" si="279"/>
        <v/>
      </c>
      <c r="W325" s="180" t="str">
        <f t="shared" si="276"/>
        <v/>
      </c>
      <c r="X325" s="180" t="str">
        <f t="shared" si="280"/>
        <v/>
      </c>
      <c r="Y325" s="183"/>
      <c r="Z325" s="183"/>
      <c r="AA325" s="183"/>
    </row>
    <row r="326" spans="1:27" x14ac:dyDescent="0.25">
      <c r="A326" s="52">
        <v>292</v>
      </c>
      <c r="B326" s="50" t="str">
        <f t="shared" si="277"/>
        <v/>
      </c>
      <c r="C326" s="177"/>
      <c r="D326" s="190" t="str">
        <f t="shared" si="305"/>
        <v>OK</v>
      </c>
      <c r="E326" s="189" t="str">
        <f>IF(ISBLANK(C326),"",AVERAGE(C$35:C326))</f>
        <v/>
      </c>
      <c r="F326" s="185"/>
      <c r="G326" s="185"/>
      <c r="H326" s="185"/>
      <c r="I326" s="181">
        <f t="shared" ref="I326:L326" si="320">I325</f>
        <v>53.893722145136735</v>
      </c>
      <c r="J326" s="181">
        <f t="shared" si="320"/>
        <v>44.882748443098563</v>
      </c>
      <c r="K326" s="181">
        <f t="shared" si="320"/>
        <v>56.146465570646278</v>
      </c>
      <c r="L326" s="181">
        <f t="shared" si="320"/>
        <v>42.630005017589021</v>
      </c>
      <c r="M326" s="181">
        <f t="shared" si="319"/>
        <v>50</v>
      </c>
      <c r="N326" s="181">
        <f t="shared" si="319"/>
        <v>55</v>
      </c>
      <c r="O326" s="181">
        <f t="shared" si="319"/>
        <v>45</v>
      </c>
      <c r="P326" s="181">
        <f t="shared" si="319"/>
        <v>49.388235294117649</v>
      </c>
      <c r="Q326" s="188">
        <f t="shared" si="315"/>
        <v>0</v>
      </c>
      <c r="R326" s="180" t="str">
        <f t="shared" si="285"/>
        <v/>
      </c>
      <c r="S326" s="180" t="str">
        <f t="shared" si="286"/>
        <v/>
      </c>
      <c r="T326" s="180" t="str">
        <f t="shared" si="290"/>
        <v/>
      </c>
      <c r="U326" s="180" t="str">
        <f t="shared" si="291"/>
        <v/>
      </c>
      <c r="V326" s="180" t="str">
        <f t="shared" si="279"/>
        <v/>
      </c>
      <c r="W326" s="180" t="str">
        <f t="shared" si="276"/>
        <v/>
      </c>
      <c r="X326" s="180" t="str">
        <f t="shared" si="280"/>
        <v/>
      </c>
      <c r="Y326" s="183"/>
      <c r="Z326" s="183"/>
      <c r="AA326" s="183"/>
    </row>
    <row r="327" spans="1:27" x14ac:dyDescent="0.25">
      <c r="A327" s="52">
        <v>293</v>
      </c>
      <c r="B327" s="50" t="str">
        <f t="shared" si="277"/>
        <v/>
      </c>
      <c r="C327" s="177"/>
      <c r="D327" s="190" t="str">
        <f t="shared" si="305"/>
        <v>OK</v>
      </c>
      <c r="E327" s="189" t="str">
        <f>IF(ISBLANK(C327),"",AVERAGE(C$35:C327))</f>
        <v/>
      </c>
      <c r="F327" s="185"/>
      <c r="G327" s="185"/>
      <c r="H327" s="185"/>
      <c r="I327" s="181">
        <f t="shared" ref="I327:L327" si="321">I326</f>
        <v>53.893722145136735</v>
      </c>
      <c r="J327" s="181">
        <f t="shared" si="321"/>
        <v>44.882748443098563</v>
      </c>
      <c r="K327" s="181">
        <f t="shared" si="321"/>
        <v>56.146465570646278</v>
      </c>
      <c r="L327" s="181">
        <f t="shared" si="321"/>
        <v>42.630005017589021</v>
      </c>
      <c r="M327" s="181">
        <f t="shared" si="319"/>
        <v>50</v>
      </c>
      <c r="N327" s="181">
        <f t="shared" si="319"/>
        <v>55</v>
      </c>
      <c r="O327" s="181">
        <f t="shared" si="319"/>
        <v>45</v>
      </c>
      <c r="P327" s="181">
        <f t="shared" si="319"/>
        <v>49.388235294117649</v>
      </c>
      <c r="Q327" s="188">
        <f t="shared" si="315"/>
        <v>0</v>
      </c>
      <c r="R327" s="180" t="str">
        <f t="shared" si="285"/>
        <v/>
      </c>
      <c r="S327" s="180" t="str">
        <f t="shared" si="286"/>
        <v/>
      </c>
      <c r="T327" s="180" t="str">
        <f t="shared" si="290"/>
        <v/>
      </c>
      <c r="U327" s="180" t="str">
        <f t="shared" si="291"/>
        <v/>
      </c>
      <c r="V327" s="180" t="str">
        <f t="shared" si="279"/>
        <v/>
      </c>
      <c r="W327" s="180" t="str">
        <f t="shared" si="276"/>
        <v/>
      </c>
      <c r="X327" s="180" t="str">
        <f t="shared" si="280"/>
        <v/>
      </c>
      <c r="Y327" s="183"/>
      <c r="Z327" s="183"/>
      <c r="AA327" s="183"/>
    </row>
    <row r="328" spans="1:27" x14ac:dyDescent="0.25">
      <c r="A328" s="52">
        <v>294</v>
      </c>
      <c r="B328" s="50" t="str">
        <f t="shared" si="277"/>
        <v/>
      </c>
      <c r="C328" s="177"/>
      <c r="D328" s="190" t="str">
        <f t="shared" si="305"/>
        <v>OK</v>
      </c>
      <c r="E328" s="189" t="str">
        <f>IF(ISBLANK(C328),"",AVERAGE(C$35:C328))</f>
        <v/>
      </c>
      <c r="F328" s="185"/>
      <c r="G328" s="185"/>
      <c r="H328" s="185"/>
      <c r="I328" s="181">
        <f t="shared" ref="I328:L328" si="322">I327</f>
        <v>53.893722145136735</v>
      </c>
      <c r="J328" s="181">
        <f t="shared" si="322"/>
        <v>44.882748443098563</v>
      </c>
      <c r="K328" s="181">
        <f t="shared" si="322"/>
        <v>56.146465570646278</v>
      </c>
      <c r="L328" s="181">
        <f t="shared" si="322"/>
        <v>42.630005017589021</v>
      </c>
      <c r="M328" s="181">
        <f t="shared" si="319"/>
        <v>50</v>
      </c>
      <c r="N328" s="181">
        <f t="shared" si="319"/>
        <v>55</v>
      </c>
      <c r="O328" s="181">
        <f t="shared" si="319"/>
        <v>45</v>
      </c>
      <c r="P328" s="181">
        <f t="shared" si="319"/>
        <v>49.388235294117649</v>
      </c>
      <c r="Q328" s="188">
        <f t="shared" si="315"/>
        <v>0</v>
      </c>
      <c r="R328" s="180" t="str">
        <f t="shared" si="285"/>
        <v/>
      </c>
      <c r="S328" s="180" t="str">
        <f t="shared" si="286"/>
        <v/>
      </c>
      <c r="T328" s="180" t="str">
        <f t="shared" si="290"/>
        <v/>
      </c>
      <c r="U328" s="180" t="str">
        <f t="shared" si="291"/>
        <v/>
      </c>
      <c r="V328" s="180" t="str">
        <f t="shared" si="279"/>
        <v/>
      </c>
      <c r="W328" s="180" t="str">
        <f t="shared" si="276"/>
        <v/>
      </c>
      <c r="X328" s="180" t="str">
        <f t="shared" si="280"/>
        <v/>
      </c>
      <c r="Y328" s="183"/>
      <c r="Z328" s="183"/>
      <c r="AA328" s="183"/>
    </row>
    <row r="329" spans="1:27" x14ac:dyDescent="0.25">
      <c r="A329" s="52">
        <v>295</v>
      </c>
      <c r="B329" s="50" t="str">
        <f t="shared" si="277"/>
        <v/>
      </c>
      <c r="C329" s="177"/>
      <c r="D329" s="190" t="str">
        <f t="shared" si="305"/>
        <v>OK</v>
      </c>
      <c r="E329" s="189" t="str">
        <f>IF(ISBLANK(C329),"",AVERAGE(C$35:C329))</f>
        <v/>
      </c>
      <c r="F329" s="185"/>
      <c r="G329" s="185"/>
      <c r="H329" s="185"/>
      <c r="I329" s="181">
        <f t="shared" ref="I329:L329" si="323">I328</f>
        <v>53.893722145136735</v>
      </c>
      <c r="J329" s="181">
        <f t="shared" si="323"/>
        <v>44.882748443098563</v>
      </c>
      <c r="K329" s="181">
        <f t="shared" si="323"/>
        <v>56.146465570646278</v>
      </c>
      <c r="L329" s="181">
        <f t="shared" si="323"/>
        <v>42.630005017589021</v>
      </c>
      <c r="M329" s="181">
        <f t="shared" si="319"/>
        <v>50</v>
      </c>
      <c r="N329" s="181">
        <f t="shared" si="319"/>
        <v>55</v>
      </c>
      <c r="O329" s="181">
        <f t="shared" si="319"/>
        <v>45</v>
      </c>
      <c r="P329" s="181">
        <f t="shared" si="319"/>
        <v>49.388235294117649</v>
      </c>
      <c r="Q329" s="188">
        <f t="shared" si="315"/>
        <v>0</v>
      </c>
      <c r="R329" s="180" t="str">
        <f t="shared" si="285"/>
        <v/>
      </c>
      <c r="S329" s="180" t="str">
        <f t="shared" si="286"/>
        <v/>
      </c>
      <c r="T329" s="180" t="str">
        <f t="shared" si="290"/>
        <v/>
      </c>
      <c r="U329" s="180" t="str">
        <f t="shared" si="291"/>
        <v/>
      </c>
      <c r="V329" s="180" t="str">
        <f t="shared" si="279"/>
        <v/>
      </c>
      <c r="W329" s="180" t="str">
        <f t="shared" si="276"/>
        <v/>
      </c>
      <c r="X329" s="180" t="str">
        <f t="shared" si="280"/>
        <v/>
      </c>
      <c r="Y329" s="183"/>
      <c r="Z329" s="183"/>
      <c r="AA329" s="183"/>
    </row>
    <row r="330" spans="1:27" x14ac:dyDescent="0.25">
      <c r="A330" s="52">
        <v>296</v>
      </c>
      <c r="B330" s="50" t="str">
        <f t="shared" si="277"/>
        <v/>
      </c>
      <c r="C330" s="177"/>
      <c r="D330" s="190" t="str">
        <f t="shared" si="305"/>
        <v>OK</v>
      </c>
      <c r="E330" s="189" t="str">
        <f>IF(ISBLANK(C330),"",AVERAGE(C$35:C330))</f>
        <v/>
      </c>
      <c r="F330" s="185"/>
      <c r="G330" s="185"/>
      <c r="H330" s="185"/>
      <c r="I330" s="181">
        <f t="shared" ref="I330:L330" si="324">I329</f>
        <v>53.893722145136735</v>
      </c>
      <c r="J330" s="181">
        <f t="shared" si="324"/>
        <v>44.882748443098563</v>
      </c>
      <c r="K330" s="181">
        <f t="shared" si="324"/>
        <v>56.146465570646278</v>
      </c>
      <c r="L330" s="181">
        <f t="shared" si="324"/>
        <v>42.630005017589021</v>
      </c>
      <c r="M330" s="181">
        <f t="shared" si="319"/>
        <v>50</v>
      </c>
      <c r="N330" s="181">
        <f t="shared" si="319"/>
        <v>55</v>
      </c>
      <c r="O330" s="181">
        <f t="shared" si="319"/>
        <v>45</v>
      </c>
      <c r="P330" s="181">
        <f t="shared" si="319"/>
        <v>49.388235294117649</v>
      </c>
      <c r="Q330" s="188">
        <f t="shared" si="315"/>
        <v>0</v>
      </c>
      <c r="R330" s="180" t="str">
        <f t="shared" si="285"/>
        <v/>
      </c>
      <c r="S330" s="180" t="str">
        <f t="shared" si="286"/>
        <v/>
      </c>
      <c r="T330" s="180" t="str">
        <f t="shared" si="290"/>
        <v/>
      </c>
      <c r="U330" s="180" t="str">
        <f t="shared" si="291"/>
        <v/>
      </c>
      <c r="V330" s="180" t="str">
        <f t="shared" si="279"/>
        <v/>
      </c>
      <c r="W330" s="180" t="str">
        <f t="shared" si="276"/>
        <v/>
      </c>
      <c r="X330" s="180" t="str">
        <f t="shared" si="280"/>
        <v/>
      </c>
      <c r="Y330" s="183"/>
      <c r="Z330" s="183"/>
      <c r="AA330" s="183"/>
    </row>
    <row r="331" spans="1:27" x14ac:dyDescent="0.25">
      <c r="A331" s="52">
        <v>297</v>
      </c>
      <c r="B331" s="50" t="str">
        <f t="shared" si="277"/>
        <v/>
      </c>
      <c r="C331" s="177"/>
      <c r="D331" s="190" t="str">
        <f t="shared" si="305"/>
        <v>OK</v>
      </c>
      <c r="E331" s="189" t="str">
        <f>IF(ISBLANK(C331),"",AVERAGE(C$35:C331))</f>
        <v/>
      </c>
      <c r="F331" s="185"/>
      <c r="G331" s="185"/>
      <c r="H331" s="185"/>
      <c r="I331" s="181">
        <f t="shared" ref="I331:L331" si="325">I330</f>
        <v>53.893722145136735</v>
      </c>
      <c r="J331" s="181">
        <f t="shared" si="325"/>
        <v>44.882748443098563</v>
      </c>
      <c r="K331" s="181">
        <f t="shared" si="325"/>
        <v>56.146465570646278</v>
      </c>
      <c r="L331" s="181">
        <f t="shared" si="325"/>
        <v>42.630005017589021</v>
      </c>
      <c r="M331" s="181">
        <f t="shared" si="319"/>
        <v>50</v>
      </c>
      <c r="N331" s="181">
        <f t="shared" si="319"/>
        <v>55</v>
      </c>
      <c r="O331" s="181">
        <f t="shared" si="319"/>
        <v>45</v>
      </c>
      <c r="P331" s="181">
        <f t="shared" si="319"/>
        <v>49.388235294117649</v>
      </c>
      <c r="Q331" s="188">
        <f t="shared" si="315"/>
        <v>0</v>
      </c>
      <c r="R331" s="180" t="str">
        <f t="shared" si="285"/>
        <v/>
      </c>
      <c r="S331" s="180" t="str">
        <f t="shared" si="286"/>
        <v/>
      </c>
      <c r="T331" s="180" t="str">
        <f t="shared" si="290"/>
        <v/>
      </c>
      <c r="U331" s="180" t="str">
        <f t="shared" si="291"/>
        <v/>
      </c>
      <c r="V331" s="180" t="str">
        <f t="shared" si="279"/>
        <v/>
      </c>
      <c r="W331" s="180" t="str">
        <f t="shared" si="276"/>
        <v/>
      </c>
      <c r="X331" s="180" t="str">
        <f t="shared" si="280"/>
        <v/>
      </c>
      <c r="Y331" s="183"/>
      <c r="Z331" s="183"/>
      <c r="AA331" s="183"/>
    </row>
    <row r="332" spans="1:27" x14ac:dyDescent="0.25">
      <c r="A332" s="52">
        <v>298</v>
      </c>
      <c r="B332" s="50" t="str">
        <f t="shared" si="277"/>
        <v/>
      </c>
      <c r="C332" s="177"/>
      <c r="D332" s="190" t="str">
        <f t="shared" si="305"/>
        <v>OK</v>
      </c>
      <c r="E332" s="189" t="str">
        <f>IF(ISBLANK(C332),"",AVERAGE(C$35:C332))</f>
        <v/>
      </c>
      <c r="F332" s="185"/>
      <c r="G332" s="185"/>
      <c r="H332" s="185"/>
      <c r="I332" s="181">
        <f t="shared" ref="I332:L332" si="326">I331</f>
        <v>53.893722145136735</v>
      </c>
      <c r="J332" s="181">
        <f t="shared" si="326"/>
        <v>44.882748443098563</v>
      </c>
      <c r="K332" s="181">
        <f t="shared" si="326"/>
        <v>56.146465570646278</v>
      </c>
      <c r="L332" s="181">
        <f t="shared" si="326"/>
        <v>42.630005017589021</v>
      </c>
      <c r="M332" s="181">
        <f t="shared" si="319"/>
        <v>50</v>
      </c>
      <c r="N332" s="181">
        <f t="shared" si="319"/>
        <v>55</v>
      </c>
      <c r="O332" s="181">
        <f t="shared" si="319"/>
        <v>45</v>
      </c>
      <c r="P332" s="181">
        <f t="shared" si="319"/>
        <v>49.388235294117649</v>
      </c>
      <c r="Q332" s="188">
        <f t="shared" si="315"/>
        <v>0</v>
      </c>
      <c r="R332" s="180" t="str">
        <f t="shared" si="285"/>
        <v/>
      </c>
      <c r="S332" s="180" t="str">
        <f t="shared" si="286"/>
        <v/>
      </c>
      <c r="T332" s="180" t="str">
        <f t="shared" si="290"/>
        <v/>
      </c>
      <c r="U332" s="180" t="str">
        <f t="shared" si="291"/>
        <v/>
      </c>
      <c r="V332" s="180" t="str">
        <f t="shared" si="279"/>
        <v/>
      </c>
      <c r="W332" s="180" t="str">
        <f t="shared" si="276"/>
        <v/>
      </c>
      <c r="X332" s="180" t="str">
        <f t="shared" si="280"/>
        <v/>
      </c>
      <c r="Y332" s="183"/>
      <c r="Z332" s="183"/>
      <c r="AA332" s="183"/>
    </row>
    <row r="333" spans="1:27" x14ac:dyDescent="0.25">
      <c r="A333" s="52">
        <v>299</v>
      </c>
      <c r="B333" s="50" t="str">
        <f t="shared" si="277"/>
        <v/>
      </c>
      <c r="C333" s="177"/>
      <c r="D333" s="190" t="str">
        <f t="shared" si="305"/>
        <v>OK</v>
      </c>
      <c r="E333" s="189" t="str">
        <f>IF(ISBLANK(C333),"",AVERAGE(C$35:C333))</f>
        <v/>
      </c>
      <c r="F333" s="185"/>
      <c r="G333" s="185"/>
      <c r="H333" s="185"/>
      <c r="I333" s="181">
        <f t="shared" ref="I333:L333" si="327">I332</f>
        <v>53.893722145136735</v>
      </c>
      <c r="J333" s="181">
        <f t="shared" si="327"/>
        <v>44.882748443098563</v>
      </c>
      <c r="K333" s="181">
        <f t="shared" si="327"/>
        <v>56.146465570646278</v>
      </c>
      <c r="L333" s="181">
        <f t="shared" si="327"/>
        <v>42.630005017589021</v>
      </c>
      <c r="M333" s="181">
        <f t="shared" si="319"/>
        <v>50</v>
      </c>
      <c r="N333" s="181">
        <f t="shared" si="319"/>
        <v>55</v>
      </c>
      <c r="O333" s="181">
        <f t="shared" si="319"/>
        <v>45</v>
      </c>
      <c r="P333" s="181">
        <f t="shared" si="319"/>
        <v>49.388235294117649</v>
      </c>
      <c r="Q333" s="188">
        <f t="shared" si="315"/>
        <v>0</v>
      </c>
      <c r="R333" s="180" t="str">
        <f t="shared" si="285"/>
        <v/>
      </c>
      <c r="S333" s="180" t="str">
        <f t="shared" si="286"/>
        <v/>
      </c>
      <c r="T333" s="180" t="str">
        <f t="shared" si="290"/>
        <v/>
      </c>
      <c r="U333" s="180" t="str">
        <f t="shared" si="291"/>
        <v/>
      </c>
      <c r="V333" s="180" t="str">
        <f t="shared" si="279"/>
        <v/>
      </c>
      <c r="W333" s="180" t="str">
        <f t="shared" si="276"/>
        <v/>
      </c>
      <c r="X333" s="180" t="str">
        <f t="shared" si="280"/>
        <v/>
      </c>
      <c r="Y333" s="183"/>
      <c r="Z333" s="183"/>
      <c r="AA333" s="183"/>
    </row>
    <row r="334" spans="1:27" x14ac:dyDescent="0.25">
      <c r="A334" s="52">
        <v>300</v>
      </c>
      <c r="B334" s="50" t="str">
        <f t="shared" si="277"/>
        <v/>
      </c>
      <c r="C334" s="177"/>
      <c r="D334" s="190" t="str">
        <f t="shared" si="305"/>
        <v>OK</v>
      </c>
      <c r="E334" s="189" t="str">
        <f>IF(ISBLANK(C334),"",AVERAGE(C$35:C334))</f>
        <v/>
      </c>
      <c r="F334" s="185"/>
      <c r="G334" s="185"/>
      <c r="H334" s="185"/>
      <c r="I334" s="181">
        <f t="shared" ref="I334:L334" si="328">I333</f>
        <v>53.893722145136735</v>
      </c>
      <c r="J334" s="181">
        <f t="shared" si="328"/>
        <v>44.882748443098563</v>
      </c>
      <c r="K334" s="181">
        <f t="shared" si="328"/>
        <v>56.146465570646278</v>
      </c>
      <c r="L334" s="181">
        <f t="shared" si="328"/>
        <v>42.630005017589021</v>
      </c>
      <c r="M334" s="181">
        <f t="shared" si="319"/>
        <v>50</v>
      </c>
      <c r="N334" s="181">
        <f t="shared" si="319"/>
        <v>55</v>
      </c>
      <c r="O334" s="181">
        <f t="shared" si="319"/>
        <v>45</v>
      </c>
      <c r="P334" s="181">
        <f t="shared" si="319"/>
        <v>49.388235294117649</v>
      </c>
      <c r="Q334" s="188">
        <f t="shared" si="315"/>
        <v>0</v>
      </c>
      <c r="R334" s="180" t="str">
        <f t="shared" si="285"/>
        <v/>
      </c>
      <c r="S334" s="180" t="str">
        <f t="shared" si="286"/>
        <v/>
      </c>
      <c r="T334" s="180" t="str">
        <f t="shared" si="290"/>
        <v/>
      </c>
      <c r="U334" s="180" t="str">
        <f t="shared" si="291"/>
        <v/>
      </c>
      <c r="V334" s="180" t="str">
        <f t="shared" si="279"/>
        <v/>
      </c>
      <c r="W334" s="180" t="str">
        <f t="shared" si="276"/>
        <v/>
      </c>
      <c r="X334" s="180" t="str">
        <f t="shared" si="280"/>
        <v/>
      </c>
      <c r="Y334" s="183"/>
      <c r="Z334" s="183"/>
      <c r="AA334" s="183"/>
    </row>
    <row r="335" spans="1:27" x14ac:dyDescent="0.25">
      <c r="A335" s="52">
        <v>301</v>
      </c>
      <c r="B335" s="50" t="str">
        <f t="shared" si="277"/>
        <v/>
      </c>
      <c r="C335" s="177"/>
      <c r="D335" s="190" t="str">
        <f t="shared" si="305"/>
        <v>OK</v>
      </c>
      <c r="E335" s="189" t="str">
        <f>IF(ISBLANK(C335),"",AVERAGE(C$35:C335))</f>
        <v/>
      </c>
      <c r="F335" s="185"/>
      <c r="G335" s="185"/>
      <c r="H335" s="185"/>
      <c r="I335" s="181">
        <f t="shared" ref="I335:L335" si="329">I334</f>
        <v>53.893722145136735</v>
      </c>
      <c r="J335" s="181">
        <f t="shared" si="329"/>
        <v>44.882748443098563</v>
      </c>
      <c r="K335" s="181">
        <f t="shared" si="329"/>
        <v>56.146465570646278</v>
      </c>
      <c r="L335" s="181">
        <f t="shared" si="329"/>
        <v>42.630005017589021</v>
      </c>
      <c r="M335" s="181">
        <f t="shared" si="319"/>
        <v>50</v>
      </c>
      <c r="N335" s="181">
        <f t="shared" si="319"/>
        <v>55</v>
      </c>
      <c r="O335" s="181">
        <f t="shared" si="319"/>
        <v>45</v>
      </c>
      <c r="P335" s="181">
        <f t="shared" si="319"/>
        <v>49.388235294117649</v>
      </c>
      <c r="Q335" s="188">
        <f t="shared" si="315"/>
        <v>0</v>
      </c>
      <c r="R335" s="180" t="str">
        <f t="shared" si="285"/>
        <v/>
      </c>
      <c r="S335" s="180" t="str">
        <f t="shared" si="286"/>
        <v/>
      </c>
      <c r="T335" s="180" t="str">
        <f t="shared" si="290"/>
        <v/>
      </c>
      <c r="U335" s="180" t="str">
        <f t="shared" si="291"/>
        <v/>
      </c>
      <c r="V335" s="180" t="str">
        <f t="shared" si="279"/>
        <v/>
      </c>
      <c r="W335" s="180" t="str">
        <f t="shared" si="276"/>
        <v/>
      </c>
      <c r="X335" s="180" t="str">
        <f t="shared" si="280"/>
        <v/>
      </c>
      <c r="Y335" s="183"/>
      <c r="Z335" s="183"/>
      <c r="AA335" s="183"/>
    </row>
    <row r="336" spans="1:27" x14ac:dyDescent="0.25">
      <c r="A336" s="52">
        <v>302</v>
      </c>
      <c r="B336" s="50" t="str">
        <f t="shared" si="277"/>
        <v/>
      </c>
      <c r="C336" s="177"/>
      <c r="D336" s="190" t="str">
        <f t="shared" si="305"/>
        <v>OK</v>
      </c>
      <c r="E336" s="189" t="str">
        <f>IF(ISBLANK(C336),"",AVERAGE(C$35:C336))</f>
        <v/>
      </c>
      <c r="F336" s="185"/>
      <c r="G336" s="185"/>
      <c r="H336" s="185"/>
      <c r="I336" s="181">
        <f t="shared" ref="I336:L336" si="330">I335</f>
        <v>53.893722145136735</v>
      </c>
      <c r="J336" s="181">
        <f t="shared" si="330"/>
        <v>44.882748443098563</v>
      </c>
      <c r="K336" s="181">
        <f t="shared" si="330"/>
        <v>56.146465570646278</v>
      </c>
      <c r="L336" s="181">
        <f t="shared" si="330"/>
        <v>42.630005017589021</v>
      </c>
      <c r="M336" s="181">
        <f t="shared" si="319"/>
        <v>50</v>
      </c>
      <c r="N336" s="181">
        <f t="shared" si="319"/>
        <v>55</v>
      </c>
      <c r="O336" s="181">
        <f t="shared" si="319"/>
        <v>45</v>
      </c>
      <c r="P336" s="181">
        <f t="shared" si="319"/>
        <v>49.388235294117649</v>
      </c>
      <c r="Q336" s="188">
        <f t="shared" si="315"/>
        <v>0</v>
      </c>
      <c r="R336" s="180" t="str">
        <f t="shared" si="285"/>
        <v/>
      </c>
      <c r="S336" s="180" t="str">
        <f t="shared" si="286"/>
        <v/>
      </c>
      <c r="T336" s="180" t="str">
        <f t="shared" si="290"/>
        <v/>
      </c>
      <c r="U336" s="180" t="str">
        <f t="shared" si="291"/>
        <v/>
      </c>
      <c r="V336" s="180" t="str">
        <f t="shared" si="279"/>
        <v/>
      </c>
      <c r="W336" s="180" t="str">
        <f t="shared" si="276"/>
        <v/>
      </c>
      <c r="X336" s="180" t="str">
        <f t="shared" si="280"/>
        <v/>
      </c>
      <c r="Y336" s="183"/>
      <c r="Z336" s="183"/>
      <c r="AA336" s="183"/>
    </row>
    <row r="337" spans="1:27" x14ac:dyDescent="0.25">
      <c r="A337" s="52">
        <v>303</v>
      </c>
      <c r="B337" s="50" t="str">
        <f t="shared" si="277"/>
        <v/>
      </c>
      <c r="C337" s="177"/>
      <c r="D337" s="190" t="str">
        <f t="shared" si="305"/>
        <v>OK</v>
      </c>
      <c r="E337" s="189" t="str">
        <f>IF(ISBLANK(C337),"",AVERAGE(C$35:C337))</f>
        <v/>
      </c>
      <c r="F337" s="185"/>
      <c r="G337" s="185"/>
      <c r="H337" s="185"/>
      <c r="I337" s="181">
        <f t="shared" ref="I337:L337" si="331">I336</f>
        <v>53.893722145136735</v>
      </c>
      <c r="J337" s="181">
        <f t="shared" si="331"/>
        <v>44.882748443098563</v>
      </c>
      <c r="K337" s="181">
        <f t="shared" si="331"/>
        <v>56.146465570646278</v>
      </c>
      <c r="L337" s="181">
        <f t="shared" si="331"/>
        <v>42.630005017589021</v>
      </c>
      <c r="M337" s="181">
        <f t="shared" si="319"/>
        <v>50</v>
      </c>
      <c r="N337" s="181">
        <f t="shared" si="319"/>
        <v>55</v>
      </c>
      <c r="O337" s="181">
        <f t="shared" si="319"/>
        <v>45</v>
      </c>
      <c r="P337" s="181">
        <f t="shared" si="319"/>
        <v>49.388235294117649</v>
      </c>
      <c r="Q337" s="188">
        <f t="shared" si="315"/>
        <v>0</v>
      </c>
      <c r="R337" s="180" t="str">
        <f t="shared" si="285"/>
        <v/>
      </c>
      <c r="S337" s="180" t="str">
        <f t="shared" si="286"/>
        <v/>
      </c>
      <c r="T337" s="180" t="str">
        <f t="shared" si="290"/>
        <v/>
      </c>
      <c r="U337" s="180" t="str">
        <f t="shared" si="291"/>
        <v/>
      </c>
      <c r="V337" s="180" t="str">
        <f t="shared" si="279"/>
        <v/>
      </c>
      <c r="W337" s="180" t="str">
        <f t="shared" si="276"/>
        <v/>
      </c>
      <c r="X337" s="180" t="str">
        <f t="shared" si="280"/>
        <v/>
      </c>
      <c r="Y337" s="183"/>
      <c r="Z337" s="183"/>
      <c r="AA337" s="183"/>
    </row>
    <row r="338" spans="1:27" x14ac:dyDescent="0.25">
      <c r="A338" s="52">
        <v>304</v>
      </c>
      <c r="B338" s="50" t="str">
        <f t="shared" si="277"/>
        <v/>
      </c>
      <c r="C338" s="177"/>
      <c r="D338" s="190" t="str">
        <f t="shared" si="305"/>
        <v>OK</v>
      </c>
      <c r="E338" s="189" t="str">
        <f>IF(ISBLANK(C338),"",AVERAGE(C$35:C338))</f>
        <v/>
      </c>
      <c r="F338" s="185"/>
      <c r="G338" s="185"/>
      <c r="H338" s="185"/>
      <c r="I338" s="181">
        <f t="shared" ref="I338:L338" si="332">I337</f>
        <v>53.893722145136735</v>
      </c>
      <c r="J338" s="181">
        <f t="shared" si="332"/>
        <v>44.882748443098563</v>
      </c>
      <c r="K338" s="181">
        <f t="shared" si="332"/>
        <v>56.146465570646278</v>
      </c>
      <c r="L338" s="181">
        <f t="shared" si="332"/>
        <v>42.630005017589021</v>
      </c>
      <c r="M338" s="181">
        <f t="shared" si="319"/>
        <v>50</v>
      </c>
      <c r="N338" s="181">
        <f t="shared" si="319"/>
        <v>55</v>
      </c>
      <c r="O338" s="181">
        <f t="shared" si="319"/>
        <v>45</v>
      </c>
      <c r="P338" s="181">
        <f t="shared" si="319"/>
        <v>49.388235294117649</v>
      </c>
      <c r="Q338" s="188">
        <f t="shared" si="315"/>
        <v>0</v>
      </c>
      <c r="R338" s="180" t="str">
        <f t="shared" si="285"/>
        <v/>
      </c>
      <c r="S338" s="180" t="str">
        <f t="shared" si="286"/>
        <v/>
      </c>
      <c r="T338" s="180" t="str">
        <f t="shared" si="290"/>
        <v/>
      </c>
      <c r="U338" s="180" t="str">
        <f t="shared" si="291"/>
        <v/>
      </c>
      <c r="V338" s="180" t="str">
        <f t="shared" si="279"/>
        <v/>
      </c>
      <c r="W338" s="180" t="str">
        <f t="shared" si="276"/>
        <v/>
      </c>
      <c r="X338" s="180" t="str">
        <f t="shared" si="280"/>
        <v/>
      </c>
      <c r="Y338" s="183"/>
      <c r="Z338" s="183"/>
      <c r="AA338" s="183"/>
    </row>
    <row r="339" spans="1:27" x14ac:dyDescent="0.25">
      <c r="A339" s="52">
        <v>305</v>
      </c>
      <c r="B339" s="50" t="str">
        <f t="shared" si="277"/>
        <v/>
      </c>
      <c r="C339" s="177"/>
      <c r="D339" s="190" t="str">
        <f t="shared" si="305"/>
        <v>OK</v>
      </c>
      <c r="E339" s="189" t="str">
        <f>IF(ISBLANK(C339),"",AVERAGE(C$35:C339))</f>
        <v/>
      </c>
      <c r="F339" s="185"/>
      <c r="G339" s="185"/>
      <c r="H339" s="185"/>
      <c r="I339" s="181">
        <f t="shared" ref="I339:L339" si="333">I338</f>
        <v>53.893722145136735</v>
      </c>
      <c r="J339" s="181">
        <f t="shared" si="333"/>
        <v>44.882748443098563</v>
      </c>
      <c r="K339" s="181">
        <f t="shared" si="333"/>
        <v>56.146465570646278</v>
      </c>
      <c r="L339" s="181">
        <f t="shared" si="333"/>
        <v>42.630005017589021</v>
      </c>
      <c r="M339" s="181">
        <f t="shared" si="319"/>
        <v>50</v>
      </c>
      <c r="N339" s="181">
        <f t="shared" si="319"/>
        <v>55</v>
      </c>
      <c r="O339" s="181">
        <f t="shared" si="319"/>
        <v>45</v>
      </c>
      <c r="P339" s="181">
        <f t="shared" si="319"/>
        <v>49.388235294117649</v>
      </c>
      <c r="Q339" s="188">
        <f t="shared" si="315"/>
        <v>0</v>
      </c>
      <c r="R339" s="180" t="str">
        <f t="shared" si="285"/>
        <v/>
      </c>
      <c r="S339" s="180" t="str">
        <f t="shared" si="286"/>
        <v/>
      </c>
      <c r="T339" s="180" t="str">
        <f t="shared" si="290"/>
        <v/>
      </c>
      <c r="U339" s="180" t="str">
        <f t="shared" si="291"/>
        <v/>
      </c>
      <c r="V339" s="180" t="str">
        <f t="shared" si="279"/>
        <v/>
      </c>
      <c r="W339" s="180" t="str">
        <f t="shared" si="276"/>
        <v/>
      </c>
      <c r="X339" s="180" t="str">
        <f t="shared" si="280"/>
        <v/>
      </c>
      <c r="Y339" s="183"/>
      <c r="Z339" s="183"/>
      <c r="AA339" s="183"/>
    </row>
    <row r="340" spans="1:27" x14ac:dyDescent="0.25">
      <c r="A340" s="52">
        <v>306</v>
      </c>
      <c r="B340" s="50" t="str">
        <f t="shared" si="277"/>
        <v/>
      </c>
      <c r="C340" s="177"/>
      <c r="D340" s="190" t="str">
        <f t="shared" si="305"/>
        <v>OK</v>
      </c>
      <c r="E340" s="189" t="str">
        <f>IF(ISBLANK(C340),"",AVERAGE(C$35:C340))</f>
        <v/>
      </c>
      <c r="F340" s="185"/>
      <c r="G340" s="185"/>
      <c r="H340" s="185"/>
      <c r="I340" s="181">
        <f t="shared" ref="I340:L340" si="334">I339</f>
        <v>53.893722145136735</v>
      </c>
      <c r="J340" s="181">
        <f t="shared" si="334"/>
        <v>44.882748443098563</v>
      </c>
      <c r="K340" s="181">
        <f t="shared" si="334"/>
        <v>56.146465570646278</v>
      </c>
      <c r="L340" s="181">
        <f t="shared" si="334"/>
        <v>42.630005017589021</v>
      </c>
      <c r="M340" s="181">
        <f t="shared" si="319"/>
        <v>50</v>
      </c>
      <c r="N340" s="181">
        <f t="shared" si="319"/>
        <v>55</v>
      </c>
      <c r="O340" s="181">
        <f t="shared" si="319"/>
        <v>45</v>
      </c>
      <c r="P340" s="181">
        <f t="shared" si="319"/>
        <v>49.388235294117649</v>
      </c>
      <c r="Q340" s="188">
        <f t="shared" si="315"/>
        <v>0</v>
      </c>
      <c r="R340" s="180" t="str">
        <f t="shared" si="285"/>
        <v/>
      </c>
      <c r="S340" s="180" t="str">
        <f t="shared" si="286"/>
        <v/>
      </c>
      <c r="T340" s="180" t="str">
        <f t="shared" si="290"/>
        <v/>
      </c>
      <c r="U340" s="180" t="str">
        <f t="shared" si="291"/>
        <v/>
      </c>
      <c r="V340" s="180" t="str">
        <f t="shared" si="279"/>
        <v/>
      </c>
      <c r="W340" s="180" t="str">
        <f t="shared" si="276"/>
        <v/>
      </c>
      <c r="X340" s="180" t="str">
        <f t="shared" si="280"/>
        <v/>
      </c>
      <c r="Y340" s="183"/>
      <c r="Z340" s="183"/>
      <c r="AA340" s="183"/>
    </row>
    <row r="341" spans="1:27" x14ac:dyDescent="0.25">
      <c r="A341" s="52">
        <v>307</v>
      </c>
      <c r="B341" s="50" t="str">
        <f t="shared" si="277"/>
        <v/>
      </c>
      <c r="C341" s="177"/>
      <c r="D341" s="190" t="str">
        <f t="shared" si="305"/>
        <v>OK</v>
      </c>
      <c r="E341" s="189" t="str">
        <f>IF(ISBLANK(C341),"",AVERAGE(C$35:C341))</f>
        <v/>
      </c>
      <c r="F341" s="185"/>
      <c r="G341" s="185"/>
      <c r="H341" s="185"/>
      <c r="I341" s="181">
        <f t="shared" ref="I341:P356" si="335">I340</f>
        <v>53.893722145136735</v>
      </c>
      <c r="J341" s="181">
        <f t="shared" si="335"/>
        <v>44.882748443098563</v>
      </c>
      <c r="K341" s="181">
        <f t="shared" si="335"/>
        <v>56.146465570646278</v>
      </c>
      <c r="L341" s="181">
        <f t="shared" si="335"/>
        <v>42.630005017589021</v>
      </c>
      <c r="M341" s="181">
        <f t="shared" si="335"/>
        <v>50</v>
      </c>
      <c r="N341" s="181">
        <f t="shared" si="335"/>
        <v>55</v>
      </c>
      <c r="O341" s="181">
        <f t="shared" si="335"/>
        <v>45</v>
      </c>
      <c r="P341" s="181">
        <f t="shared" si="335"/>
        <v>49.388235294117649</v>
      </c>
      <c r="Q341" s="188">
        <f t="shared" si="315"/>
        <v>0</v>
      </c>
      <c r="R341" s="180" t="str">
        <f t="shared" si="285"/>
        <v/>
      </c>
      <c r="S341" s="180" t="str">
        <f t="shared" si="286"/>
        <v/>
      </c>
      <c r="T341" s="180" t="str">
        <f t="shared" si="290"/>
        <v/>
      </c>
      <c r="U341" s="180" t="str">
        <f t="shared" si="291"/>
        <v/>
      </c>
      <c r="V341" s="180" t="str">
        <f t="shared" si="279"/>
        <v/>
      </c>
      <c r="W341" s="180" t="str">
        <f t="shared" si="276"/>
        <v/>
      </c>
      <c r="X341" s="180" t="str">
        <f t="shared" si="280"/>
        <v/>
      </c>
      <c r="Y341" s="183"/>
      <c r="Z341" s="183"/>
      <c r="AA341" s="183"/>
    </row>
    <row r="342" spans="1:27" x14ac:dyDescent="0.25">
      <c r="A342" s="52">
        <v>308</v>
      </c>
      <c r="B342" s="50" t="str">
        <f t="shared" si="277"/>
        <v/>
      </c>
      <c r="C342" s="177"/>
      <c r="D342" s="190" t="str">
        <f t="shared" si="305"/>
        <v>OK</v>
      </c>
      <c r="E342" s="189" t="str">
        <f>IF(ISBLANK(C342),"",AVERAGE(C$35:C342))</f>
        <v/>
      </c>
      <c r="F342" s="185"/>
      <c r="G342" s="185"/>
      <c r="H342" s="185"/>
      <c r="I342" s="181">
        <f t="shared" ref="I342:L342" si="336">I341</f>
        <v>53.893722145136735</v>
      </c>
      <c r="J342" s="181">
        <f t="shared" si="336"/>
        <v>44.882748443098563</v>
      </c>
      <c r="K342" s="181">
        <f t="shared" si="336"/>
        <v>56.146465570646278</v>
      </c>
      <c r="L342" s="181">
        <f t="shared" si="336"/>
        <v>42.630005017589021</v>
      </c>
      <c r="M342" s="181">
        <f t="shared" si="335"/>
        <v>50</v>
      </c>
      <c r="N342" s="181">
        <f t="shared" si="335"/>
        <v>55</v>
      </c>
      <c r="O342" s="181">
        <f t="shared" si="335"/>
        <v>45</v>
      </c>
      <c r="P342" s="181">
        <f t="shared" si="335"/>
        <v>49.388235294117649</v>
      </c>
      <c r="Q342" s="188">
        <f t="shared" si="315"/>
        <v>0</v>
      </c>
      <c r="R342" s="180" t="str">
        <f t="shared" si="285"/>
        <v/>
      </c>
      <c r="S342" s="180" t="str">
        <f t="shared" si="286"/>
        <v/>
      </c>
      <c r="T342" s="180" t="str">
        <f t="shared" si="290"/>
        <v/>
      </c>
      <c r="U342" s="180" t="str">
        <f t="shared" si="291"/>
        <v/>
      </c>
      <c r="V342" s="180" t="str">
        <f t="shared" si="279"/>
        <v/>
      </c>
      <c r="W342" s="180" t="str">
        <f t="shared" si="276"/>
        <v/>
      </c>
      <c r="X342" s="180" t="str">
        <f t="shared" si="280"/>
        <v/>
      </c>
      <c r="Y342" s="183"/>
      <c r="Z342" s="183"/>
      <c r="AA342" s="183"/>
    </row>
    <row r="343" spans="1:27" x14ac:dyDescent="0.25">
      <c r="A343" s="52">
        <v>309</v>
      </c>
      <c r="B343" s="50" t="str">
        <f t="shared" si="277"/>
        <v/>
      </c>
      <c r="C343" s="177"/>
      <c r="D343" s="190" t="str">
        <f t="shared" si="305"/>
        <v>OK</v>
      </c>
      <c r="E343" s="189" t="str">
        <f>IF(ISBLANK(C343),"",AVERAGE(C$35:C343))</f>
        <v/>
      </c>
      <c r="F343" s="185"/>
      <c r="G343" s="185"/>
      <c r="H343" s="185"/>
      <c r="I343" s="181">
        <f t="shared" ref="I343:L343" si="337">I342</f>
        <v>53.893722145136735</v>
      </c>
      <c r="J343" s="181">
        <f t="shared" si="337"/>
        <v>44.882748443098563</v>
      </c>
      <c r="K343" s="181">
        <f t="shared" si="337"/>
        <v>56.146465570646278</v>
      </c>
      <c r="L343" s="181">
        <f t="shared" si="337"/>
        <v>42.630005017589021</v>
      </c>
      <c r="M343" s="181">
        <f t="shared" si="335"/>
        <v>50</v>
      </c>
      <c r="N343" s="181">
        <f t="shared" si="335"/>
        <v>55</v>
      </c>
      <c r="O343" s="181">
        <f t="shared" si="335"/>
        <v>45</v>
      </c>
      <c r="P343" s="181">
        <f t="shared" si="335"/>
        <v>49.388235294117649</v>
      </c>
      <c r="Q343" s="188">
        <f t="shared" si="315"/>
        <v>0</v>
      </c>
      <c r="R343" s="180" t="str">
        <f t="shared" si="285"/>
        <v/>
      </c>
      <c r="S343" s="180" t="str">
        <f t="shared" si="286"/>
        <v/>
      </c>
      <c r="T343" s="180" t="str">
        <f t="shared" si="290"/>
        <v/>
      </c>
      <c r="U343" s="180" t="str">
        <f t="shared" si="291"/>
        <v/>
      </c>
      <c r="V343" s="180" t="str">
        <f t="shared" si="279"/>
        <v/>
      </c>
      <c r="W343" s="180" t="str">
        <f t="shared" si="276"/>
        <v/>
      </c>
      <c r="X343" s="180" t="str">
        <f t="shared" si="280"/>
        <v/>
      </c>
      <c r="Y343" s="183"/>
      <c r="Z343" s="183"/>
      <c r="AA343" s="183"/>
    </row>
    <row r="344" spans="1:27" x14ac:dyDescent="0.25">
      <c r="A344" s="52">
        <v>310</v>
      </c>
      <c r="B344" s="50" t="str">
        <f t="shared" si="277"/>
        <v/>
      </c>
      <c r="C344" s="177"/>
      <c r="D344" s="190" t="str">
        <f t="shared" si="305"/>
        <v>OK</v>
      </c>
      <c r="E344" s="189" t="str">
        <f>IF(ISBLANK(C344),"",AVERAGE(C$35:C344))</f>
        <v/>
      </c>
      <c r="F344" s="185"/>
      <c r="G344" s="185"/>
      <c r="H344" s="185"/>
      <c r="I344" s="181">
        <f t="shared" ref="I344:L344" si="338">I343</f>
        <v>53.893722145136735</v>
      </c>
      <c r="J344" s="181">
        <f t="shared" si="338"/>
        <v>44.882748443098563</v>
      </c>
      <c r="K344" s="181">
        <f t="shared" si="338"/>
        <v>56.146465570646278</v>
      </c>
      <c r="L344" s="181">
        <f t="shared" si="338"/>
        <v>42.630005017589021</v>
      </c>
      <c r="M344" s="181">
        <f t="shared" si="335"/>
        <v>50</v>
      </c>
      <c r="N344" s="181">
        <f t="shared" si="335"/>
        <v>55</v>
      </c>
      <c r="O344" s="181">
        <f t="shared" si="335"/>
        <v>45</v>
      </c>
      <c r="P344" s="181">
        <f t="shared" si="335"/>
        <v>49.388235294117649</v>
      </c>
      <c r="Q344" s="188">
        <f t="shared" si="315"/>
        <v>0</v>
      </c>
      <c r="R344" s="180" t="str">
        <f t="shared" si="285"/>
        <v/>
      </c>
      <c r="S344" s="180" t="str">
        <f t="shared" si="286"/>
        <v/>
      </c>
      <c r="T344" s="180" t="str">
        <f t="shared" si="290"/>
        <v/>
      </c>
      <c r="U344" s="180" t="str">
        <f t="shared" si="291"/>
        <v/>
      </c>
      <c r="V344" s="180" t="str">
        <f t="shared" si="279"/>
        <v/>
      </c>
      <c r="W344" s="180" t="str">
        <f t="shared" si="276"/>
        <v/>
      </c>
      <c r="X344" s="180" t="str">
        <f t="shared" si="280"/>
        <v/>
      </c>
      <c r="Y344" s="183"/>
      <c r="Z344" s="183"/>
      <c r="AA344" s="183"/>
    </row>
    <row r="345" spans="1:27" x14ac:dyDescent="0.25">
      <c r="A345" s="52">
        <v>311</v>
      </c>
      <c r="B345" s="50" t="str">
        <f t="shared" si="277"/>
        <v/>
      </c>
      <c r="C345" s="177"/>
      <c r="D345" s="190" t="str">
        <f t="shared" si="305"/>
        <v>OK</v>
      </c>
      <c r="E345" s="189" t="str">
        <f>IF(ISBLANK(C345),"",AVERAGE(C$35:C345))</f>
        <v/>
      </c>
      <c r="F345" s="185"/>
      <c r="G345" s="185"/>
      <c r="H345" s="185"/>
      <c r="I345" s="181">
        <f t="shared" ref="I345:L345" si="339">I344</f>
        <v>53.893722145136735</v>
      </c>
      <c r="J345" s="181">
        <f t="shared" si="339"/>
        <v>44.882748443098563</v>
      </c>
      <c r="K345" s="181">
        <f t="shared" si="339"/>
        <v>56.146465570646278</v>
      </c>
      <c r="L345" s="181">
        <f t="shared" si="339"/>
        <v>42.630005017589021</v>
      </c>
      <c r="M345" s="181">
        <f t="shared" si="335"/>
        <v>50</v>
      </c>
      <c r="N345" s="181">
        <f t="shared" si="335"/>
        <v>55</v>
      </c>
      <c r="O345" s="181">
        <f t="shared" si="335"/>
        <v>45</v>
      </c>
      <c r="P345" s="181">
        <f t="shared" si="335"/>
        <v>49.388235294117649</v>
      </c>
      <c r="Q345" s="188">
        <f t="shared" si="315"/>
        <v>0</v>
      </c>
      <c r="R345" s="180" t="str">
        <f t="shared" si="285"/>
        <v/>
      </c>
      <c r="S345" s="180" t="str">
        <f t="shared" si="286"/>
        <v/>
      </c>
      <c r="T345" s="180" t="str">
        <f t="shared" si="290"/>
        <v/>
      </c>
      <c r="U345" s="180" t="str">
        <f t="shared" si="291"/>
        <v/>
      </c>
      <c r="V345" s="180" t="str">
        <f t="shared" si="279"/>
        <v/>
      </c>
      <c r="W345" s="180" t="str">
        <f t="shared" si="276"/>
        <v/>
      </c>
      <c r="X345" s="180" t="str">
        <f t="shared" si="280"/>
        <v/>
      </c>
      <c r="Y345" s="183"/>
      <c r="Z345" s="183"/>
      <c r="AA345" s="183"/>
    </row>
    <row r="346" spans="1:27" x14ac:dyDescent="0.25">
      <c r="A346" s="52">
        <v>312</v>
      </c>
      <c r="B346" s="50" t="str">
        <f t="shared" si="277"/>
        <v/>
      </c>
      <c r="C346" s="177"/>
      <c r="D346" s="190" t="str">
        <f t="shared" si="305"/>
        <v>OK</v>
      </c>
      <c r="E346" s="189" t="str">
        <f>IF(ISBLANK(C346),"",AVERAGE(C$35:C346))</f>
        <v/>
      </c>
      <c r="F346" s="185"/>
      <c r="G346" s="185"/>
      <c r="H346" s="185"/>
      <c r="I346" s="181">
        <f t="shared" ref="I346:L346" si="340">I345</f>
        <v>53.893722145136735</v>
      </c>
      <c r="J346" s="181">
        <f t="shared" si="340"/>
        <v>44.882748443098563</v>
      </c>
      <c r="K346" s="181">
        <f t="shared" si="340"/>
        <v>56.146465570646278</v>
      </c>
      <c r="L346" s="181">
        <f t="shared" si="340"/>
        <v>42.630005017589021</v>
      </c>
      <c r="M346" s="181">
        <f t="shared" si="335"/>
        <v>50</v>
      </c>
      <c r="N346" s="181">
        <f t="shared" si="335"/>
        <v>55</v>
      </c>
      <c r="O346" s="181">
        <f t="shared" si="335"/>
        <v>45</v>
      </c>
      <c r="P346" s="181">
        <f t="shared" si="335"/>
        <v>49.388235294117649</v>
      </c>
      <c r="Q346" s="188">
        <f t="shared" si="315"/>
        <v>0</v>
      </c>
      <c r="R346" s="180" t="str">
        <f t="shared" si="285"/>
        <v/>
      </c>
      <c r="S346" s="180" t="str">
        <f t="shared" si="286"/>
        <v/>
      </c>
      <c r="T346" s="180" t="str">
        <f t="shared" si="290"/>
        <v/>
      </c>
      <c r="U346" s="180" t="str">
        <f t="shared" si="291"/>
        <v/>
      </c>
      <c r="V346" s="180" t="str">
        <f t="shared" si="279"/>
        <v/>
      </c>
      <c r="W346" s="180" t="str">
        <f t="shared" si="276"/>
        <v/>
      </c>
      <c r="X346" s="180" t="str">
        <f t="shared" si="280"/>
        <v/>
      </c>
      <c r="Y346" s="183"/>
      <c r="Z346" s="183"/>
      <c r="AA346" s="183"/>
    </row>
    <row r="347" spans="1:27" x14ac:dyDescent="0.25">
      <c r="A347" s="52">
        <v>313</v>
      </c>
      <c r="B347" s="50" t="str">
        <f t="shared" si="277"/>
        <v/>
      </c>
      <c r="C347" s="177"/>
      <c r="D347" s="190" t="str">
        <f t="shared" si="305"/>
        <v>OK</v>
      </c>
      <c r="E347" s="189" t="str">
        <f>IF(ISBLANK(C347),"",AVERAGE(C$35:C347))</f>
        <v/>
      </c>
      <c r="F347" s="185"/>
      <c r="G347" s="185"/>
      <c r="H347" s="185"/>
      <c r="I347" s="181">
        <f t="shared" ref="I347:L347" si="341">I346</f>
        <v>53.893722145136735</v>
      </c>
      <c r="J347" s="181">
        <f t="shared" si="341"/>
        <v>44.882748443098563</v>
      </c>
      <c r="K347" s="181">
        <f t="shared" si="341"/>
        <v>56.146465570646278</v>
      </c>
      <c r="L347" s="181">
        <f t="shared" si="341"/>
        <v>42.630005017589021</v>
      </c>
      <c r="M347" s="181">
        <f t="shared" si="335"/>
        <v>50</v>
      </c>
      <c r="N347" s="181">
        <f t="shared" si="335"/>
        <v>55</v>
      </c>
      <c r="O347" s="181">
        <f t="shared" si="335"/>
        <v>45</v>
      </c>
      <c r="P347" s="181">
        <f t="shared" si="335"/>
        <v>49.388235294117649</v>
      </c>
      <c r="Q347" s="188">
        <f t="shared" si="315"/>
        <v>0</v>
      </c>
      <c r="R347" s="180" t="str">
        <f t="shared" si="285"/>
        <v/>
      </c>
      <c r="S347" s="180" t="str">
        <f t="shared" si="286"/>
        <v/>
      </c>
      <c r="T347" s="180" t="str">
        <f t="shared" si="290"/>
        <v/>
      </c>
      <c r="U347" s="180" t="str">
        <f t="shared" si="291"/>
        <v/>
      </c>
      <c r="V347" s="180" t="str">
        <f t="shared" si="279"/>
        <v/>
      </c>
      <c r="W347" s="180" t="str">
        <f t="shared" si="276"/>
        <v/>
      </c>
      <c r="X347" s="180" t="str">
        <f t="shared" si="280"/>
        <v/>
      </c>
      <c r="Y347" s="183"/>
      <c r="Z347" s="183"/>
      <c r="AA347" s="183"/>
    </row>
    <row r="348" spans="1:27" x14ac:dyDescent="0.25">
      <c r="A348" s="52">
        <v>314</v>
      </c>
      <c r="B348" s="50" t="str">
        <f t="shared" si="277"/>
        <v/>
      </c>
      <c r="C348" s="177"/>
      <c r="D348" s="190" t="str">
        <f t="shared" si="305"/>
        <v>OK</v>
      </c>
      <c r="E348" s="189" t="str">
        <f>IF(ISBLANK(C348),"",AVERAGE(C$35:C348))</f>
        <v/>
      </c>
      <c r="F348" s="185"/>
      <c r="G348" s="185"/>
      <c r="H348" s="185"/>
      <c r="I348" s="181">
        <f t="shared" ref="I348:L348" si="342">I347</f>
        <v>53.893722145136735</v>
      </c>
      <c r="J348" s="181">
        <f t="shared" si="342"/>
        <v>44.882748443098563</v>
      </c>
      <c r="K348" s="181">
        <f t="shared" si="342"/>
        <v>56.146465570646278</v>
      </c>
      <c r="L348" s="181">
        <f t="shared" si="342"/>
        <v>42.630005017589021</v>
      </c>
      <c r="M348" s="181">
        <f t="shared" si="335"/>
        <v>50</v>
      </c>
      <c r="N348" s="181">
        <f t="shared" si="335"/>
        <v>55</v>
      </c>
      <c r="O348" s="181">
        <f t="shared" si="335"/>
        <v>45</v>
      </c>
      <c r="P348" s="181">
        <f t="shared" si="335"/>
        <v>49.388235294117649</v>
      </c>
      <c r="Q348" s="188">
        <f t="shared" si="315"/>
        <v>0</v>
      </c>
      <c r="R348" s="180" t="str">
        <f t="shared" si="285"/>
        <v/>
      </c>
      <c r="S348" s="180" t="str">
        <f t="shared" si="286"/>
        <v/>
      </c>
      <c r="T348" s="180" t="str">
        <f t="shared" si="290"/>
        <v/>
      </c>
      <c r="U348" s="180" t="str">
        <f t="shared" si="291"/>
        <v/>
      </c>
      <c r="V348" s="180" t="str">
        <f t="shared" si="279"/>
        <v/>
      </c>
      <c r="W348" s="180" t="str">
        <f t="shared" si="276"/>
        <v/>
      </c>
      <c r="X348" s="180" t="str">
        <f t="shared" si="280"/>
        <v/>
      </c>
      <c r="Y348" s="183"/>
      <c r="Z348" s="183"/>
      <c r="AA348" s="183"/>
    </row>
    <row r="349" spans="1:27" x14ac:dyDescent="0.25">
      <c r="A349" s="52">
        <v>315</v>
      </c>
      <c r="B349" s="50" t="str">
        <f t="shared" si="277"/>
        <v/>
      </c>
      <c r="C349" s="177"/>
      <c r="D349" s="190" t="str">
        <f t="shared" si="305"/>
        <v>OK</v>
      </c>
      <c r="E349" s="189" t="str">
        <f>IF(ISBLANK(C349),"",AVERAGE(C$35:C349))</f>
        <v/>
      </c>
      <c r="F349" s="185"/>
      <c r="G349" s="185"/>
      <c r="H349" s="185"/>
      <c r="I349" s="181">
        <f t="shared" ref="I349:L349" si="343">I348</f>
        <v>53.893722145136735</v>
      </c>
      <c r="J349" s="181">
        <f t="shared" si="343"/>
        <v>44.882748443098563</v>
      </c>
      <c r="K349" s="181">
        <f t="shared" si="343"/>
        <v>56.146465570646278</v>
      </c>
      <c r="L349" s="181">
        <f t="shared" si="343"/>
        <v>42.630005017589021</v>
      </c>
      <c r="M349" s="181">
        <f t="shared" si="335"/>
        <v>50</v>
      </c>
      <c r="N349" s="181">
        <f t="shared" si="335"/>
        <v>55</v>
      </c>
      <c r="O349" s="181">
        <f t="shared" si="335"/>
        <v>45</v>
      </c>
      <c r="P349" s="181">
        <f t="shared" si="335"/>
        <v>49.388235294117649</v>
      </c>
      <c r="Q349" s="188">
        <f t="shared" si="315"/>
        <v>0</v>
      </c>
      <c r="R349" s="180" t="str">
        <f t="shared" si="285"/>
        <v/>
      </c>
      <c r="S349" s="180" t="str">
        <f t="shared" si="286"/>
        <v/>
      </c>
      <c r="T349" s="180" t="str">
        <f t="shared" si="290"/>
        <v/>
      </c>
      <c r="U349" s="180" t="str">
        <f t="shared" si="291"/>
        <v/>
      </c>
      <c r="V349" s="180" t="str">
        <f t="shared" si="279"/>
        <v/>
      </c>
      <c r="W349" s="180" t="str">
        <f t="shared" si="276"/>
        <v/>
      </c>
      <c r="X349" s="180" t="str">
        <f t="shared" si="280"/>
        <v/>
      </c>
      <c r="Y349" s="183"/>
      <c r="Z349" s="183"/>
      <c r="AA349" s="183"/>
    </row>
    <row r="350" spans="1:27" x14ac:dyDescent="0.25">
      <c r="A350" s="52">
        <v>316</v>
      </c>
      <c r="B350" s="50" t="str">
        <f t="shared" si="277"/>
        <v/>
      </c>
      <c r="C350" s="177"/>
      <c r="D350" s="190" t="str">
        <f t="shared" si="305"/>
        <v>OK</v>
      </c>
      <c r="E350" s="189" t="str">
        <f>IF(ISBLANK(C350),"",AVERAGE(C$35:C350))</f>
        <v/>
      </c>
      <c r="F350" s="185"/>
      <c r="G350" s="185"/>
      <c r="H350" s="185"/>
      <c r="I350" s="181">
        <f t="shared" ref="I350:L350" si="344">I349</f>
        <v>53.893722145136735</v>
      </c>
      <c r="J350" s="181">
        <f t="shared" si="344"/>
        <v>44.882748443098563</v>
      </c>
      <c r="K350" s="181">
        <f t="shared" si="344"/>
        <v>56.146465570646278</v>
      </c>
      <c r="L350" s="181">
        <f t="shared" si="344"/>
        <v>42.630005017589021</v>
      </c>
      <c r="M350" s="181">
        <f t="shared" si="335"/>
        <v>50</v>
      </c>
      <c r="N350" s="181">
        <f t="shared" si="335"/>
        <v>55</v>
      </c>
      <c r="O350" s="181">
        <f t="shared" si="335"/>
        <v>45</v>
      </c>
      <c r="P350" s="181">
        <f t="shared" si="335"/>
        <v>49.388235294117649</v>
      </c>
      <c r="Q350" s="188">
        <f t="shared" si="315"/>
        <v>0</v>
      </c>
      <c r="R350" s="180" t="str">
        <f t="shared" si="285"/>
        <v/>
      </c>
      <c r="S350" s="180" t="str">
        <f t="shared" si="286"/>
        <v/>
      </c>
      <c r="T350" s="180" t="str">
        <f t="shared" si="290"/>
        <v/>
      </c>
      <c r="U350" s="180" t="str">
        <f t="shared" si="291"/>
        <v/>
      </c>
      <c r="V350" s="180" t="str">
        <f t="shared" si="279"/>
        <v/>
      </c>
      <c r="W350" s="180" t="str">
        <f t="shared" si="276"/>
        <v/>
      </c>
      <c r="X350" s="180" t="str">
        <f t="shared" si="280"/>
        <v/>
      </c>
      <c r="Y350" s="183"/>
      <c r="Z350" s="183"/>
      <c r="AA350" s="183"/>
    </row>
    <row r="351" spans="1:27" x14ac:dyDescent="0.25">
      <c r="A351" s="52">
        <v>317</v>
      </c>
      <c r="B351" s="50" t="str">
        <f t="shared" si="277"/>
        <v/>
      </c>
      <c r="C351" s="177"/>
      <c r="D351" s="190" t="str">
        <f t="shared" si="305"/>
        <v>OK</v>
      </c>
      <c r="E351" s="189" t="str">
        <f>IF(ISBLANK(C351),"",AVERAGE(C$35:C351))</f>
        <v/>
      </c>
      <c r="F351" s="185"/>
      <c r="G351" s="185"/>
      <c r="H351" s="185"/>
      <c r="I351" s="181">
        <f t="shared" ref="I351:L351" si="345">I350</f>
        <v>53.893722145136735</v>
      </c>
      <c r="J351" s="181">
        <f t="shared" si="345"/>
        <v>44.882748443098563</v>
      </c>
      <c r="K351" s="181">
        <f t="shared" si="345"/>
        <v>56.146465570646278</v>
      </c>
      <c r="L351" s="181">
        <f t="shared" si="345"/>
        <v>42.630005017589021</v>
      </c>
      <c r="M351" s="181">
        <f t="shared" si="335"/>
        <v>50</v>
      </c>
      <c r="N351" s="181">
        <f t="shared" si="335"/>
        <v>55</v>
      </c>
      <c r="O351" s="181">
        <f t="shared" si="335"/>
        <v>45</v>
      </c>
      <c r="P351" s="181">
        <f t="shared" si="335"/>
        <v>49.388235294117649</v>
      </c>
      <c r="Q351" s="188">
        <f t="shared" si="315"/>
        <v>0</v>
      </c>
      <c r="R351" s="180" t="str">
        <f t="shared" si="285"/>
        <v/>
      </c>
      <c r="S351" s="180" t="str">
        <f t="shared" si="286"/>
        <v/>
      </c>
      <c r="T351" s="180" t="str">
        <f t="shared" si="290"/>
        <v/>
      </c>
      <c r="U351" s="180" t="str">
        <f t="shared" si="291"/>
        <v/>
      </c>
      <c r="V351" s="180" t="str">
        <f t="shared" si="279"/>
        <v/>
      </c>
      <c r="W351" s="180" t="str">
        <f t="shared" si="276"/>
        <v/>
      </c>
      <c r="X351" s="180" t="str">
        <f t="shared" si="280"/>
        <v/>
      </c>
      <c r="Y351" s="183"/>
      <c r="Z351" s="183"/>
      <c r="AA351" s="183"/>
    </row>
    <row r="352" spans="1:27" x14ac:dyDescent="0.25">
      <c r="A352" s="52">
        <v>318</v>
      </c>
      <c r="B352" s="50" t="str">
        <f t="shared" si="277"/>
        <v/>
      </c>
      <c r="C352" s="177"/>
      <c r="D352" s="190" t="str">
        <f t="shared" si="305"/>
        <v>OK</v>
      </c>
      <c r="E352" s="189" t="str">
        <f>IF(ISBLANK(C352),"",AVERAGE(C$35:C352))</f>
        <v/>
      </c>
      <c r="F352" s="185"/>
      <c r="G352" s="185"/>
      <c r="H352" s="185"/>
      <c r="I352" s="181">
        <f t="shared" ref="I352:L352" si="346">I351</f>
        <v>53.893722145136735</v>
      </c>
      <c r="J352" s="181">
        <f t="shared" si="346"/>
        <v>44.882748443098563</v>
      </c>
      <c r="K352" s="181">
        <f t="shared" si="346"/>
        <v>56.146465570646278</v>
      </c>
      <c r="L352" s="181">
        <f t="shared" si="346"/>
        <v>42.630005017589021</v>
      </c>
      <c r="M352" s="181">
        <f t="shared" si="335"/>
        <v>50</v>
      </c>
      <c r="N352" s="181">
        <f t="shared" si="335"/>
        <v>55</v>
      </c>
      <c r="O352" s="181">
        <f t="shared" si="335"/>
        <v>45</v>
      </c>
      <c r="P352" s="181">
        <f t="shared" si="335"/>
        <v>49.388235294117649</v>
      </c>
      <c r="Q352" s="188">
        <f t="shared" si="315"/>
        <v>0</v>
      </c>
      <c r="R352" s="180" t="str">
        <f t="shared" si="285"/>
        <v/>
      </c>
      <c r="S352" s="180" t="str">
        <f t="shared" si="286"/>
        <v/>
      </c>
      <c r="T352" s="180" t="str">
        <f t="shared" si="290"/>
        <v/>
      </c>
      <c r="U352" s="180" t="str">
        <f t="shared" si="291"/>
        <v/>
      </c>
      <c r="V352" s="180" t="str">
        <f t="shared" si="279"/>
        <v/>
      </c>
      <c r="W352" s="180" t="str">
        <f t="shared" si="276"/>
        <v/>
      </c>
      <c r="X352" s="180" t="str">
        <f t="shared" si="280"/>
        <v/>
      </c>
      <c r="Y352" s="183"/>
      <c r="Z352" s="183"/>
      <c r="AA352" s="183"/>
    </row>
    <row r="353" spans="1:27" x14ac:dyDescent="0.25">
      <c r="A353" s="52">
        <v>319</v>
      </c>
      <c r="B353" s="50" t="str">
        <f t="shared" si="277"/>
        <v/>
      </c>
      <c r="C353" s="177"/>
      <c r="D353" s="190" t="str">
        <f t="shared" si="305"/>
        <v>OK</v>
      </c>
      <c r="E353" s="189" t="str">
        <f>IF(ISBLANK(C353),"",AVERAGE(C$35:C353))</f>
        <v/>
      </c>
      <c r="F353" s="185"/>
      <c r="G353" s="185"/>
      <c r="H353" s="185"/>
      <c r="I353" s="181">
        <f t="shared" ref="I353:L353" si="347">I352</f>
        <v>53.893722145136735</v>
      </c>
      <c r="J353" s="181">
        <f t="shared" si="347"/>
        <v>44.882748443098563</v>
      </c>
      <c r="K353" s="181">
        <f t="shared" si="347"/>
        <v>56.146465570646278</v>
      </c>
      <c r="L353" s="181">
        <f t="shared" si="347"/>
        <v>42.630005017589021</v>
      </c>
      <c r="M353" s="181">
        <f t="shared" si="335"/>
        <v>50</v>
      </c>
      <c r="N353" s="181">
        <f t="shared" si="335"/>
        <v>55</v>
      </c>
      <c r="O353" s="181">
        <f t="shared" si="335"/>
        <v>45</v>
      </c>
      <c r="P353" s="181">
        <f t="shared" si="335"/>
        <v>49.388235294117649</v>
      </c>
      <c r="Q353" s="188">
        <f t="shared" si="315"/>
        <v>0</v>
      </c>
      <c r="R353" s="180" t="str">
        <f t="shared" si="285"/>
        <v/>
      </c>
      <c r="S353" s="180" t="str">
        <f t="shared" si="286"/>
        <v/>
      </c>
      <c r="T353" s="180" t="str">
        <f t="shared" si="290"/>
        <v/>
      </c>
      <c r="U353" s="180" t="str">
        <f t="shared" si="291"/>
        <v/>
      </c>
      <c r="V353" s="180" t="str">
        <f t="shared" si="279"/>
        <v/>
      </c>
      <c r="W353" s="180" t="str">
        <f t="shared" si="276"/>
        <v/>
      </c>
      <c r="X353" s="180" t="str">
        <f t="shared" si="280"/>
        <v/>
      </c>
      <c r="Y353" s="183"/>
      <c r="Z353" s="183"/>
      <c r="AA353" s="183"/>
    </row>
    <row r="354" spans="1:27" x14ac:dyDescent="0.25">
      <c r="A354" s="52">
        <v>320</v>
      </c>
      <c r="B354" s="50" t="str">
        <f t="shared" si="277"/>
        <v/>
      </c>
      <c r="C354" s="177"/>
      <c r="D354" s="190" t="str">
        <f t="shared" si="305"/>
        <v>OK</v>
      </c>
      <c r="E354" s="189" t="str">
        <f>IF(ISBLANK(C354),"",AVERAGE(C$35:C354))</f>
        <v/>
      </c>
      <c r="F354" s="185"/>
      <c r="G354" s="185"/>
      <c r="H354" s="185"/>
      <c r="I354" s="181">
        <f t="shared" ref="I354:L354" si="348">I353</f>
        <v>53.893722145136735</v>
      </c>
      <c r="J354" s="181">
        <f t="shared" si="348"/>
        <v>44.882748443098563</v>
      </c>
      <c r="K354" s="181">
        <f t="shared" si="348"/>
        <v>56.146465570646278</v>
      </c>
      <c r="L354" s="181">
        <f t="shared" si="348"/>
        <v>42.630005017589021</v>
      </c>
      <c r="M354" s="181">
        <f t="shared" si="335"/>
        <v>50</v>
      </c>
      <c r="N354" s="181">
        <f t="shared" si="335"/>
        <v>55</v>
      </c>
      <c r="O354" s="181">
        <f t="shared" si="335"/>
        <v>45</v>
      </c>
      <c r="P354" s="181">
        <f t="shared" si="335"/>
        <v>49.388235294117649</v>
      </c>
      <c r="Q354" s="188">
        <f t="shared" si="315"/>
        <v>0</v>
      </c>
      <c r="R354" s="180" t="str">
        <f t="shared" si="285"/>
        <v/>
      </c>
      <c r="S354" s="180" t="str">
        <f t="shared" si="286"/>
        <v/>
      </c>
      <c r="T354" s="180" t="str">
        <f t="shared" si="290"/>
        <v/>
      </c>
      <c r="U354" s="180" t="str">
        <f t="shared" si="291"/>
        <v/>
      </c>
      <c r="V354" s="180" t="str">
        <f t="shared" si="279"/>
        <v/>
      </c>
      <c r="W354" s="180" t="str">
        <f t="shared" si="276"/>
        <v/>
      </c>
      <c r="X354" s="180" t="str">
        <f t="shared" si="280"/>
        <v/>
      </c>
      <c r="Y354" s="183"/>
      <c r="Z354" s="183"/>
      <c r="AA354" s="183"/>
    </row>
    <row r="355" spans="1:27" x14ac:dyDescent="0.25">
      <c r="A355" s="52">
        <v>321</v>
      </c>
      <c r="B355" s="50" t="str">
        <f t="shared" si="277"/>
        <v/>
      </c>
      <c r="C355" s="177"/>
      <c r="D355" s="190" t="str">
        <f t="shared" si="305"/>
        <v>OK</v>
      </c>
      <c r="E355" s="189" t="str">
        <f>IF(ISBLANK(C355),"",AVERAGE(C$35:C355))</f>
        <v/>
      </c>
      <c r="F355" s="185"/>
      <c r="G355" s="185"/>
      <c r="H355" s="185"/>
      <c r="I355" s="181">
        <f t="shared" ref="I355:L355" si="349">I354</f>
        <v>53.893722145136735</v>
      </c>
      <c r="J355" s="181">
        <f t="shared" si="349"/>
        <v>44.882748443098563</v>
      </c>
      <c r="K355" s="181">
        <f t="shared" si="349"/>
        <v>56.146465570646278</v>
      </c>
      <c r="L355" s="181">
        <f t="shared" si="349"/>
        <v>42.630005017589021</v>
      </c>
      <c r="M355" s="181">
        <f t="shared" si="335"/>
        <v>50</v>
      </c>
      <c r="N355" s="181">
        <f t="shared" si="335"/>
        <v>55</v>
      </c>
      <c r="O355" s="181">
        <f t="shared" si="335"/>
        <v>45</v>
      </c>
      <c r="P355" s="181">
        <f t="shared" si="335"/>
        <v>49.388235294117649</v>
      </c>
      <c r="Q355" s="188">
        <f t="shared" si="315"/>
        <v>0</v>
      </c>
      <c r="R355" s="180" t="str">
        <f t="shared" si="285"/>
        <v/>
      </c>
      <c r="S355" s="180" t="str">
        <f t="shared" si="286"/>
        <v/>
      </c>
      <c r="T355" s="180" t="str">
        <f t="shared" si="290"/>
        <v/>
      </c>
      <c r="U355" s="180" t="str">
        <f t="shared" si="291"/>
        <v/>
      </c>
      <c r="V355" s="180" t="str">
        <f t="shared" si="279"/>
        <v/>
      </c>
      <c r="W355" s="180" t="str">
        <f t="shared" ref="W355:W386" si="350">IF(C355&gt;N355,IF(C355&lt;O355,6,""),"")</f>
        <v/>
      </c>
      <c r="X355" s="180" t="str">
        <f t="shared" si="280"/>
        <v/>
      </c>
      <c r="Y355" s="183"/>
      <c r="Z355" s="183"/>
      <c r="AA355" s="183"/>
    </row>
    <row r="356" spans="1:27" x14ac:dyDescent="0.25">
      <c r="A356" s="52">
        <v>322</v>
      </c>
      <c r="B356" s="50" t="str">
        <f t="shared" ref="B356:B386" si="351">IF(ISNUMBER(C356),A356,"")</f>
        <v/>
      </c>
      <c r="C356" s="177"/>
      <c r="D356" s="190" t="str">
        <f t="shared" si="305"/>
        <v>OK</v>
      </c>
      <c r="E356" s="189" t="str">
        <f>IF(ISBLANK(C356),"",AVERAGE(C$35:C356))</f>
        <v/>
      </c>
      <c r="F356" s="185"/>
      <c r="G356" s="185"/>
      <c r="H356" s="185"/>
      <c r="I356" s="181">
        <f t="shared" ref="I356:L356" si="352">I355</f>
        <v>53.893722145136735</v>
      </c>
      <c r="J356" s="181">
        <f t="shared" si="352"/>
        <v>44.882748443098563</v>
      </c>
      <c r="K356" s="181">
        <f t="shared" si="352"/>
        <v>56.146465570646278</v>
      </c>
      <c r="L356" s="181">
        <f t="shared" si="352"/>
        <v>42.630005017589021</v>
      </c>
      <c r="M356" s="181">
        <f t="shared" si="335"/>
        <v>50</v>
      </c>
      <c r="N356" s="181">
        <f t="shared" si="335"/>
        <v>55</v>
      </c>
      <c r="O356" s="181">
        <f t="shared" si="335"/>
        <v>45</v>
      </c>
      <c r="P356" s="181">
        <f t="shared" si="335"/>
        <v>49.388235294117649</v>
      </c>
      <c r="Q356" s="188">
        <f t="shared" si="315"/>
        <v>0</v>
      </c>
      <c r="R356" s="180" t="str">
        <f t="shared" si="285"/>
        <v/>
      </c>
      <c r="S356" s="180" t="str">
        <f t="shared" si="286"/>
        <v/>
      </c>
      <c r="T356" s="180" t="str">
        <f t="shared" si="290"/>
        <v/>
      </c>
      <c r="U356" s="180" t="str">
        <f t="shared" si="291"/>
        <v/>
      </c>
      <c r="V356" s="180" t="str">
        <f t="shared" ref="V356:V386" si="353">IF(ISNUMBER(C356),IF(ABS(C356-C355)&gt;4*$C$5,5,""),"")</f>
        <v/>
      </c>
      <c r="W356" s="180" t="str">
        <f t="shared" si="350"/>
        <v/>
      </c>
      <c r="X356" s="180" t="str">
        <f t="shared" ref="X356:X386" si="354">IF(AND(C356&gt;I355,C355&gt;I355),7,"")</f>
        <v/>
      </c>
      <c r="Y356" s="183"/>
      <c r="Z356" s="183"/>
      <c r="AA356" s="183"/>
    </row>
    <row r="357" spans="1:27" x14ac:dyDescent="0.25">
      <c r="A357" s="52">
        <v>323</v>
      </c>
      <c r="B357" s="50" t="str">
        <f t="shared" si="351"/>
        <v/>
      </c>
      <c r="C357" s="177"/>
      <c r="D357" s="190" t="str">
        <f t="shared" si="305"/>
        <v>OK</v>
      </c>
      <c r="E357" s="189" t="str">
        <f>IF(ISBLANK(C357),"",AVERAGE(C$35:C357))</f>
        <v/>
      </c>
      <c r="F357" s="185"/>
      <c r="G357" s="185"/>
      <c r="H357" s="185"/>
      <c r="I357" s="181">
        <f t="shared" ref="I357:P372" si="355">I356</f>
        <v>53.893722145136735</v>
      </c>
      <c r="J357" s="181">
        <f t="shared" si="355"/>
        <v>44.882748443098563</v>
      </c>
      <c r="K357" s="181">
        <f t="shared" si="355"/>
        <v>56.146465570646278</v>
      </c>
      <c r="L357" s="181">
        <f t="shared" si="355"/>
        <v>42.630005017589021</v>
      </c>
      <c r="M357" s="181">
        <f t="shared" si="355"/>
        <v>50</v>
      </c>
      <c r="N357" s="181">
        <f t="shared" si="355"/>
        <v>55</v>
      </c>
      <c r="O357" s="181">
        <f t="shared" si="355"/>
        <v>45</v>
      </c>
      <c r="P357" s="181">
        <f t="shared" si="355"/>
        <v>49.388235294117649</v>
      </c>
      <c r="Q357" s="188">
        <f t="shared" si="315"/>
        <v>0</v>
      </c>
      <c r="R357" s="180" t="str">
        <f t="shared" si="285"/>
        <v/>
      </c>
      <c r="S357" s="180" t="str">
        <f t="shared" si="286"/>
        <v/>
      </c>
      <c r="T357" s="180" t="str">
        <f t="shared" si="290"/>
        <v/>
      </c>
      <c r="U357" s="180" t="str">
        <f t="shared" si="291"/>
        <v/>
      </c>
      <c r="V357" s="180" t="str">
        <f t="shared" si="353"/>
        <v/>
      </c>
      <c r="W357" s="180" t="str">
        <f t="shared" si="350"/>
        <v/>
      </c>
      <c r="X357" s="180" t="str">
        <f t="shared" si="354"/>
        <v/>
      </c>
      <c r="Y357" s="183"/>
      <c r="Z357" s="183"/>
      <c r="AA357" s="183"/>
    </row>
    <row r="358" spans="1:27" x14ac:dyDescent="0.25">
      <c r="A358" s="52">
        <v>324</v>
      </c>
      <c r="B358" s="50" t="str">
        <f t="shared" si="351"/>
        <v/>
      </c>
      <c r="C358" s="177"/>
      <c r="D358" s="190" t="str">
        <f t="shared" si="305"/>
        <v>OK</v>
      </c>
      <c r="E358" s="189" t="str">
        <f>IF(ISBLANK(C358),"",AVERAGE(C$35:C358))</f>
        <v/>
      </c>
      <c r="F358" s="185"/>
      <c r="G358" s="185"/>
      <c r="H358" s="185"/>
      <c r="I358" s="181">
        <f t="shared" ref="I358:L358" si="356">I357</f>
        <v>53.893722145136735</v>
      </c>
      <c r="J358" s="181">
        <f t="shared" si="356"/>
        <v>44.882748443098563</v>
      </c>
      <c r="K358" s="181">
        <f t="shared" si="356"/>
        <v>56.146465570646278</v>
      </c>
      <c r="L358" s="181">
        <f t="shared" si="356"/>
        <v>42.630005017589021</v>
      </c>
      <c r="M358" s="181">
        <f t="shared" si="355"/>
        <v>50</v>
      </c>
      <c r="N358" s="181">
        <f t="shared" si="355"/>
        <v>55</v>
      </c>
      <c r="O358" s="181">
        <f t="shared" si="355"/>
        <v>45</v>
      </c>
      <c r="P358" s="181">
        <f t="shared" si="355"/>
        <v>49.388235294117649</v>
      </c>
      <c r="Q358" s="188">
        <f t="shared" si="315"/>
        <v>0</v>
      </c>
      <c r="R358" s="180" t="str">
        <f t="shared" si="285"/>
        <v/>
      </c>
      <c r="S358" s="180" t="str">
        <f t="shared" si="286"/>
        <v/>
      </c>
      <c r="T358" s="180" t="str">
        <f t="shared" si="290"/>
        <v/>
      </c>
      <c r="U358" s="180" t="str">
        <f t="shared" si="291"/>
        <v/>
      </c>
      <c r="V358" s="180" t="str">
        <f t="shared" si="353"/>
        <v/>
      </c>
      <c r="W358" s="180" t="str">
        <f t="shared" si="350"/>
        <v/>
      </c>
      <c r="X358" s="180" t="str">
        <f t="shared" si="354"/>
        <v/>
      </c>
      <c r="Y358" s="183"/>
      <c r="Z358" s="183"/>
      <c r="AA358" s="183"/>
    </row>
    <row r="359" spans="1:27" x14ac:dyDescent="0.25">
      <c r="A359" s="52">
        <v>325</v>
      </c>
      <c r="B359" s="50" t="str">
        <f t="shared" si="351"/>
        <v/>
      </c>
      <c r="C359" s="177"/>
      <c r="D359" s="190" t="str">
        <f t="shared" si="305"/>
        <v>OK</v>
      </c>
      <c r="E359" s="189" t="str">
        <f>IF(ISBLANK(C359),"",AVERAGE(C$35:C359))</f>
        <v/>
      </c>
      <c r="F359" s="185"/>
      <c r="G359" s="185"/>
      <c r="H359" s="185"/>
      <c r="I359" s="181">
        <f t="shared" ref="I359:L359" si="357">I358</f>
        <v>53.893722145136735</v>
      </c>
      <c r="J359" s="181">
        <f t="shared" si="357"/>
        <v>44.882748443098563</v>
      </c>
      <c r="K359" s="181">
        <f t="shared" si="357"/>
        <v>56.146465570646278</v>
      </c>
      <c r="L359" s="181">
        <f t="shared" si="357"/>
        <v>42.630005017589021</v>
      </c>
      <c r="M359" s="181">
        <f t="shared" si="355"/>
        <v>50</v>
      </c>
      <c r="N359" s="181">
        <f t="shared" si="355"/>
        <v>55</v>
      </c>
      <c r="O359" s="181">
        <f t="shared" si="355"/>
        <v>45</v>
      </c>
      <c r="P359" s="181">
        <f t="shared" si="355"/>
        <v>49.388235294117649</v>
      </c>
      <c r="Q359" s="188">
        <f t="shared" si="315"/>
        <v>0</v>
      </c>
      <c r="R359" s="180" t="str">
        <f t="shared" si="285"/>
        <v/>
      </c>
      <c r="S359" s="180" t="str">
        <f t="shared" si="286"/>
        <v/>
      </c>
      <c r="T359" s="180" t="str">
        <f t="shared" si="290"/>
        <v/>
      </c>
      <c r="U359" s="180" t="str">
        <f t="shared" si="291"/>
        <v/>
      </c>
      <c r="V359" s="180" t="str">
        <f t="shared" si="353"/>
        <v/>
      </c>
      <c r="W359" s="180" t="str">
        <f t="shared" si="350"/>
        <v/>
      </c>
      <c r="X359" s="180" t="str">
        <f t="shared" si="354"/>
        <v/>
      </c>
      <c r="Y359" s="183"/>
      <c r="Z359" s="183"/>
      <c r="AA359" s="183"/>
    </row>
    <row r="360" spans="1:27" x14ac:dyDescent="0.25">
      <c r="A360" s="52">
        <v>326</v>
      </c>
      <c r="B360" s="50" t="str">
        <f t="shared" si="351"/>
        <v/>
      </c>
      <c r="C360" s="177"/>
      <c r="D360" s="190" t="str">
        <f t="shared" si="305"/>
        <v>OK</v>
      </c>
      <c r="E360" s="189" t="str">
        <f>IF(ISBLANK(C360),"",AVERAGE(C$35:C360))</f>
        <v/>
      </c>
      <c r="F360" s="185"/>
      <c r="G360" s="185"/>
      <c r="H360" s="185"/>
      <c r="I360" s="181">
        <f t="shared" ref="I360:L360" si="358">I359</f>
        <v>53.893722145136735</v>
      </c>
      <c r="J360" s="181">
        <f t="shared" si="358"/>
        <v>44.882748443098563</v>
      </c>
      <c r="K360" s="181">
        <f t="shared" si="358"/>
        <v>56.146465570646278</v>
      </c>
      <c r="L360" s="181">
        <f t="shared" si="358"/>
        <v>42.630005017589021</v>
      </c>
      <c r="M360" s="181">
        <f t="shared" si="355"/>
        <v>50</v>
      </c>
      <c r="N360" s="181">
        <f t="shared" si="355"/>
        <v>55</v>
      </c>
      <c r="O360" s="181">
        <f t="shared" si="355"/>
        <v>45</v>
      </c>
      <c r="P360" s="181">
        <f t="shared" si="355"/>
        <v>49.388235294117649</v>
      </c>
      <c r="Q360" s="188">
        <f t="shared" si="315"/>
        <v>0</v>
      </c>
      <c r="R360" s="180" t="str">
        <f t="shared" ref="R360:R386" si="359">IF(AND(C360&gt;C359,C359&gt;C358,C358&gt;C357,C357&gt;C356,C356&gt;C355),1,"")</f>
        <v/>
      </c>
      <c r="S360" s="180" t="str">
        <f t="shared" ref="S360:S386" si="360">IF(AND(C360&lt;C359,C359&lt;C358,C358&lt;C357,C357&lt;C356,C356&lt;C355),2,"")</f>
        <v/>
      </c>
      <c r="T360" s="180" t="str">
        <f t="shared" si="290"/>
        <v/>
      </c>
      <c r="U360" s="180" t="str">
        <f t="shared" si="291"/>
        <v/>
      </c>
      <c r="V360" s="180" t="str">
        <f t="shared" si="353"/>
        <v/>
      </c>
      <c r="W360" s="180" t="str">
        <f t="shared" si="350"/>
        <v/>
      </c>
      <c r="X360" s="180" t="str">
        <f t="shared" si="354"/>
        <v/>
      </c>
      <c r="Y360" s="183"/>
      <c r="Z360" s="183"/>
      <c r="AA360" s="183"/>
    </row>
    <row r="361" spans="1:27" x14ac:dyDescent="0.25">
      <c r="A361" s="52">
        <v>327</v>
      </c>
      <c r="B361" s="50" t="str">
        <f t="shared" si="351"/>
        <v/>
      </c>
      <c r="C361" s="177"/>
      <c r="D361" s="190" t="str">
        <f t="shared" si="305"/>
        <v>OK</v>
      </c>
      <c r="E361" s="189" t="str">
        <f>IF(ISBLANK(C361),"",AVERAGE(C$35:C361))</f>
        <v/>
      </c>
      <c r="F361" s="185"/>
      <c r="G361" s="185"/>
      <c r="H361" s="185"/>
      <c r="I361" s="181">
        <f t="shared" ref="I361:L361" si="361">I360</f>
        <v>53.893722145136735</v>
      </c>
      <c r="J361" s="181">
        <f t="shared" si="361"/>
        <v>44.882748443098563</v>
      </c>
      <c r="K361" s="181">
        <f t="shared" si="361"/>
        <v>56.146465570646278</v>
      </c>
      <c r="L361" s="181">
        <f t="shared" si="361"/>
        <v>42.630005017589021</v>
      </c>
      <c r="M361" s="181">
        <f t="shared" si="355"/>
        <v>50</v>
      </c>
      <c r="N361" s="181">
        <f t="shared" si="355"/>
        <v>55</v>
      </c>
      <c r="O361" s="181">
        <f t="shared" si="355"/>
        <v>45</v>
      </c>
      <c r="P361" s="181">
        <f t="shared" si="355"/>
        <v>49.388235294117649</v>
      </c>
      <c r="Q361" s="188">
        <f t="shared" si="315"/>
        <v>0</v>
      </c>
      <c r="R361" s="180" t="str">
        <f t="shared" si="359"/>
        <v/>
      </c>
      <c r="S361" s="180" t="str">
        <f t="shared" si="360"/>
        <v/>
      </c>
      <c r="T361" s="180" t="str">
        <f t="shared" si="290"/>
        <v/>
      </c>
      <c r="U361" s="180" t="str">
        <f t="shared" si="291"/>
        <v/>
      </c>
      <c r="V361" s="180" t="str">
        <f t="shared" si="353"/>
        <v/>
      </c>
      <c r="W361" s="180" t="str">
        <f t="shared" si="350"/>
        <v/>
      </c>
      <c r="X361" s="180" t="str">
        <f t="shared" si="354"/>
        <v/>
      </c>
      <c r="Y361" s="183"/>
      <c r="Z361" s="183"/>
      <c r="AA361" s="183"/>
    </row>
    <row r="362" spans="1:27" x14ac:dyDescent="0.25">
      <c r="A362" s="52">
        <v>328</v>
      </c>
      <c r="B362" s="50" t="str">
        <f t="shared" si="351"/>
        <v/>
      </c>
      <c r="C362" s="177"/>
      <c r="D362" s="190" t="str">
        <f t="shared" si="305"/>
        <v>OK</v>
      </c>
      <c r="E362" s="189" t="str">
        <f>IF(ISBLANK(C362),"",AVERAGE(C$35:C362))</f>
        <v/>
      </c>
      <c r="F362" s="185"/>
      <c r="G362" s="185"/>
      <c r="H362" s="185"/>
      <c r="I362" s="181">
        <f t="shared" ref="I362:L362" si="362">I361</f>
        <v>53.893722145136735</v>
      </c>
      <c r="J362" s="181">
        <f t="shared" si="362"/>
        <v>44.882748443098563</v>
      </c>
      <c r="K362" s="181">
        <f t="shared" si="362"/>
        <v>56.146465570646278</v>
      </c>
      <c r="L362" s="181">
        <f t="shared" si="362"/>
        <v>42.630005017589021</v>
      </c>
      <c r="M362" s="181">
        <f t="shared" si="355"/>
        <v>50</v>
      </c>
      <c r="N362" s="181">
        <f t="shared" si="355"/>
        <v>55</v>
      </c>
      <c r="O362" s="181">
        <f t="shared" si="355"/>
        <v>45</v>
      </c>
      <c r="P362" s="181">
        <f t="shared" si="355"/>
        <v>49.388235294117649</v>
      </c>
      <c r="Q362" s="188">
        <f t="shared" si="315"/>
        <v>0</v>
      </c>
      <c r="R362" s="180" t="str">
        <f t="shared" si="359"/>
        <v/>
      </c>
      <c r="S362" s="180" t="str">
        <f t="shared" si="360"/>
        <v/>
      </c>
      <c r="T362" s="180" t="str">
        <f t="shared" si="290"/>
        <v/>
      </c>
      <c r="U362" s="180" t="str">
        <f t="shared" si="291"/>
        <v/>
      </c>
      <c r="V362" s="180" t="str">
        <f t="shared" si="353"/>
        <v/>
      </c>
      <c r="W362" s="180" t="str">
        <f t="shared" si="350"/>
        <v/>
      </c>
      <c r="X362" s="180" t="str">
        <f t="shared" si="354"/>
        <v/>
      </c>
      <c r="Y362" s="183"/>
      <c r="Z362" s="183"/>
      <c r="AA362" s="183"/>
    </row>
    <row r="363" spans="1:27" x14ac:dyDescent="0.25">
      <c r="A363" s="52">
        <v>329</v>
      </c>
      <c r="B363" s="50" t="str">
        <f t="shared" si="351"/>
        <v/>
      </c>
      <c r="C363" s="177"/>
      <c r="D363" s="190" t="str">
        <f t="shared" si="305"/>
        <v>OK</v>
      </c>
      <c r="E363" s="189" t="str">
        <f>IF(ISBLANK(C363),"",AVERAGE(C$35:C363))</f>
        <v/>
      </c>
      <c r="F363" s="185"/>
      <c r="G363" s="185"/>
      <c r="H363" s="185"/>
      <c r="I363" s="181">
        <f t="shared" ref="I363:L363" si="363">I362</f>
        <v>53.893722145136735</v>
      </c>
      <c r="J363" s="181">
        <f t="shared" si="363"/>
        <v>44.882748443098563</v>
      </c>
      <c r="K363" s="181">
        <f t="shared" si="363"/>
        <v>56.146465570646278</v>
      </c>
      <c r="L363" s="181">
        <f t="shared" si="363"/>
        <v>42.630005017589021</v>
      </c>
      <c r="M363" s="181">
        <f t="shared" si="355"/>
        <v>50</v>
      </c>
      <c r="N363" s="181">
        <f t="shared" si="355"/>
        <v>55</v>
      </c>
      <c r="O363" s="181">
        <f t="shared" si="355"/>
        <v>45</v>
      </c>
      <c r="P363" s="181">
        <f t="shared" si="355"/>
        <v>49.388235294117649</v>
      </c>
      <c r="Q363" s="188">
        <f t="shared" si="315"/>
        <v>0</v>
      </c>
      <c r="R363" s="180" t="str">
        <f t="shared" si="359"/>
        <v/>
      </c>
      <c r="S363" s="180" t="str">
        <f t="shared" si="360"/>
        <v/>
      </c>
      <c r="T363" s="180" t="str">
        <f t="shared" ref="T363:T386" si="364">IF(AND(C363&gt;$C$2,C362&gt;$C$2,C361&gt;$C$2,C360&gt;$C$2,C359&gt;$C$2,C358&gt;$C$2,C357&gt;$C$2,C356&gt;$C$2,C355&gt;$C$2),3,"")</f>
        <v/>
      </c>
      <c r="U363" s="180" t="str">
        <f t="shared" ref="U363:U386" si="365">IF(AND(I363&lt;$C$2,I362&lt;$C$2,I361&lt;$C$2,I360&lt;$C$2,I359&lt;$C$2,I358&lt;$C$2,I357&lt;$C$2,I356&lt;$C$2,I355&lt;$C$2),4,"")</f>
        <v/>
      </c>
      <c r="V363" s="180" t="str">
        <f t="shared" si="353"/>
        <v/>
      </c>
      <c r="W363" s="180" t="str">
        <f t="shared" si="350"/>
        <v/>
      </c>
      <c r="X363" s="180" t="str">
        <f t="shared" si="354"/>
        <v/>
      </c>
      <c r="Y363" s="183"/>
      <c r="Z363" s="183"/>
      <c r="AA363" s="183"/>
    </row>
    <row r="364" spans="1:27" x14ac:dyDescent="0.25">
      <c r="A364" s="52">
        <v>330</v>
      </c>
      <c r="B364" s="50" t="str">
        <f t="shared" si="351"/>
        <v/>
      </c>
      <c r="C364" s="177"/>
      <c r="D364" s="190" t="str">
        <f t="shared" si="305"/>
        <v>OK</v>
      </c>
      <c r="E364" s="189" t="str">
        <f>IF(ISBLANK(C364),"",AVERAGE(C$35:C364))</f>
        <v/>
      </c>
      <c r="F364" s="185"/>
      <c r="G364" s="185"/>
      <c r="H364" s="185"/>
      <c r="I364" s="181">
        <f t="shared" ref="I364:L364" si="366">I363</f>
        <v>53.893722145136735</v>
      </c>
      <c r="J364" s="181">
        <f t="shared" si="366"/>
        <v>44.882748443098563</v>
      </c>
      <c r="K364" s="181">
        <f t="shared" si="366"/>
        <v>56.146465570646278</v>
      </c>
      <c r="L364" s="181">
        <f t="shared" si="366"/>
        <v>42.630005017589021</v>
      </c>
      <c r="M364" s="181">
        <f t="shared" si="355"/>
        <v>50</v>
      </c>
      <c r="N364" s="181">
        <f t="shared" si="355"/>
        <v>55</v>
      </c>
      <c r="O364" s="181">
        <f t="shared" si="355"/>
        <v>45</v>
      </c>
      <c r="P364" s="181">
        <f t="shared" si="355"/>
        <v>49.388235294117649</v>
      </c>
      <c r="Q364" s="188">
        <f t="shared" si="315"/>
        <v>0</v>
      </c>
      <c r="R364" s="180" t="str">
        <f t="shared" si="359"/>
        <v/>
      </c>
      <c r="S364" s="180" t="str">
        <f t="shared" si="360"/>
        <v/>
      </c>
      <c r="T364" s="180" t="str">
        <f t="shared" si="364"/>
        <v/>
      </c>
      <c r="U364" s="180" t="str">
        <f t="shared" si="365"/>
        <v/>
      </c>
      <c r="V364" s="180" t="str">
        <f t="shared" si="353"/>
        <v/>
      </c>
      <c r="W364" s="180" t="str">
        <f t="shared" si="350"/>
        <v/>
      </c>
      <c r="X364" s="180" t="str">
        <f t="shared" si="354"/>
        <v/>
      </c>
      <c r="Y364" s="183"/>
      <c r="Z364" s="183"/>
      <c r="AA364" s="183"/>
    </row>
    <row r="365" spans="1:27" x14ac:dyDescent="0.25">
      <c r="A365" s="52">
        <v>331</v>
      </c>
      <c r="B365" s="50" t="str">
        <f t="shared" si="351"/>
        <v/>
      </c>
      <c r="C365" s="177"/>
      <c r="D365" s="190" t="str">
        <f t="shared" si="305"/>
        <v>OK</v>
      </c>
      <c r="E365" s="189" t="str">
        <f>IF(ISBLANK(C365),"",AVERAGE(C$35:C365))</f>
        <v/>
      </c>
      <c r="F365" s="185"/>
      <c r="G365" s="185"/>
      <c r="H365" s="185"/>
      <c r="I365" s="181">
        <f t="shared" ref="I365:L365" si="367">I364</f>
        <v>53.893722145136735</v>
      </c>
      <c r="J365" s="181">
        <f t="shared" si="367"/>
        <v>44.882748443098563</v>
      </c>
      <c r="K365" s="181">
        <f t="shared" si="367"/>
        <v>56.146465570646278</v>
      </c>
      <c r="L365" s="181">
        <f t="shared" si="367"/>
        <v>42.630005017589021</v>
      </c>
      <c r="M365" s="181">
        <f t="shared" si="355"/>
        <v>50</v>
      </c>
      <c r="N365" s="181">
        <f t="shared" si="355"/>
        <v>55</v>
      </c>
      <c r="O365" s="181">
        <f t="shared" si="355"/>
        <v>45</v>
      </c>
      <c r="P365" s="181">
        <f t="shared" si="355"/>
        <v>49.388235294117649</v>
      </c>
      <c r="Q365" s="188">
        <f t="shared" si="315"/>
        <v>0</v>
      </c>
      <c r="R365" s="180" t="str">
        <f t="shared" si="359"/>
        <v/>
      </c>
      <c r="S365" s="180" t="str">
        <f t="shared" si="360"/>
        <v/>
      </c>
      <c r="T365" s="180" t="str">
        <f t="shared" si="364"/>
        <v/>
      </c>
      <c r="U365" s="180" t="str">
        <f t="shared" si="365"/>
        <v/>
      </c>
      <c r="V365" s="180" t="str">
        <f t="shared" si="353"/>
        <v/>
      </c>
      <c r="W365" s="180" t="str">
        <f t="shared" si="350"/>
        <v/>
      </c>
      <c r="X365" s="180" t="str">
        <f t="shared" si="354"/>
        <v/>
      </c>
      <c r="Y365" s="183"/>
      <c r="Z365" s="183"/>
      <c r="AA365" s="183"/>
    </row>
    <row r="366" spans="1:27" x14ac:dyDescent="0.25">
      <c r="A366" s="52">
        <v>332</v>
      </c>
      <c r="B366" s="50" t="str">
        <f t="shared" si="351"/>
        <v/>
      </c>
      <c r="C366" s="177"/>
      <c r="D366" s="190" t="str">
        <f t="shared" si="305"/>
        <v>OK</v>
      </c>
      <c r="E366" s="189" t="str">
        <f>IF(ISBLANK(C366),"",AVERAGE(C$35:C366))</f>
        <v/>
      </c>
      <c r="F366" s="185"/>
      <c r="G366" s="185"/>
      <c r="H366" s="185"/>
      <c r="I366" s="181">
        <f t="shared" ref="I366:L366" si="368">I365</f>
        <v>53.893722145136735</v>
      </c>
      <c r="J366" s="181">
        <f t="shared" si="368"/>
        <v>44.882748443098563</v>
      </c>
      <c r="K366" s="181">
        <f t="shared" si="368"/>
        <v>56.146465570646278</v>
      </c>
      <c r="L366" s="181">
        <f t="shared" si="368"/>
        <v>42.630005017589021</v>
      </c>
      <c r="M366" s="181">
        <f t="shared" si="355"/>
        <v>50</v>
      </c>
      <c r="N366" s="181">
        <f t="shared" si="355"/>
        <v>55</v>
      </c>
      <c r="O366" s="181">
        <f t="shared" si="355"/>
        <v>45</v>
      </c>
      <c r="P366" s="181">
        <f t="shared" si="355"/>
        <v>49.388235294117649</v>
      </c>
      <c r="Q366" s="188">
        <f t="shared" si="315"/>
        <v>0</v>
      </c>
      <c r="R366" s="180" t="str">
        <f t="shared" si="359"/>
        <v/>
      </c>
      <c r="S366" s="180" t="str">
        <f t="shared" si="360"/>
        <v/>
      </c>
      <c r="T366" s="180" t="str">
        <f t="shared" si="364"/>
        <v/>
      </c>
      <c r="U366" s="180" t="str">
        <f t="shared" si="365"/>
        <v/>
      </c>
      <c r="V366" s="180" t="str">
        <f t="shared" si="353"/>
        <v/>
      </c>
      <c r="W366" s="180" t="str">
        <f t="shared" si="350"/>
        <v/>
      </c>
      <c r="X366" s="180" t="str">
        <f t="shared" si="354"/>
        <v/>
      </c>
      <c r="Y366" s="183"/>
      <c r="Z366" s="183"/>
      <c r="AA366" s="183"/>
    </row>
    <row r="367" spans="1:27" x14ac:dyDescent="0.25">
      <c r="A367" s="52">
        <v>333</v>
      </c>
      <c r="B367" s="50" t="str">
        <f t="shared" si="351"/>
        <v/>
      </c>
      <c r="C367" s="177"/>
      <c r="D367" s="190" t="str">
        <f t="shared" si="305"/>
        <v>OK</v>
      </c>
      <c r="E367" s="189" t="str">
        <f>IF(ISBLANK(C367),"",AVERAGE(C$35:C367))</f>
        <v/>
      </c>
      <c r="F367" s="185"/>
      <c r="G367" s="185"/>
      <c r="H367" s="185"/>
      <c r="I367" s="181">
        <f t="shared" ref="I367:L367" si="369">I366</f>
        <v>53.893722145136735</v>
      </c>
      <c r="J367" s="181">
        <f t="shared" si="369"/>
        <v>44.882748443098563</v>
      </c>
      <c r="K367" s="181">
        <f t="shared" si="369"/>
        <v>56.146465570646278</v>
      </c>
      <c r="L367" s="181">
        <f t="shared" si="369"/>
        <v>42.630005017589021</v>
      </c>
      <c r="M367" s="181">
        <f t="shared" si="355"/>
        <v>50</v>
      </c>
      <c r="N367" s="181">
        <f t="shared" si="355"/>
        <v>55</v>
      </c>
      <c r="O367" s="181">
        <f t="shared" si="355"/>
        <v>45</v>
      </c>
      <c r="P367" s="181">
        <f t="shared" si="355"/>
        <v>49.388235294117649</v>
      </c>
      <c r="Q367" s="188">
        <f t="shared" si="315"/>
        <v>0</v>
      </c>
      <c r="R367" s="180" t="str">
        <f t="shared" si="359"/>
        <v/>
      </c>
      <c r="S367" s="180" t="str">
        <f t="shared" si="360"/>
        <v/>
      </c>
      <c r="T367" s="180" t="str">
        <f t="shared" si="364"/>
        <v/>
      </c>
      <c r="U367" s="180" t="str">
        <f t="shared" si="365"/>
        <v/>
      </c>
      <c r="V367" s="180" t="str">
        <f t="shared" si="353"/>
        <v/>
      </c>
      <c r="W367" s="180" t="str">
        <f t="shared" si="350"/>
        <v/>
      </c>
      <c r="X367" s="180" t="str">
        <f t="shared" si="354"/>
        <v/>
      </c>
      <c r="Y367" s="183"/>
      <c r="Z367" s="183"/>
      <c r="AA367" s="183"/>
    </row>
    <row r="368" spans="1:27" x14ac:dyDescent="0.25">
      <c r="A368" s="52">
        <v>334</v>
      </c>
      <c r="B368" s="50" t="str">
        <f t="shared" si="351"/>
        <v/>
      </c>
      <c r="C368" s="177"/>
      <c r="D368" s="190" t="str">
        <f t="shared" si="305"/>
        <v>OK</v>
      </c>
      <c r="E368" s="189" t="str">
        <f>IF(ISBLANK(C368),"",AVERAGE(C$35:C368))</f>
        <v/>
      </c>
      <c r="F368" s="185"/>
      <c r="G368" s="185"/>
      <c r="H368" s="185"/>
      <c r="I368" s="181">
        <f t="shared" ref="I368:L368" si="370">I367</f>
        <v>53.893722145136735</v>
      </c>
      <c r="J368" s="181">
        <f t="shared" si="370"/>
        <v>44.882748443098563</v>
      </c>
      <c r="K368" s="181">
        <f t="shared" si="370"/>
        <v>56.146465570646278</v>
      </c>
      <c r="L368" s="181">
        <f t="shared" si="370"/>
        <v>42.630005017589021</v>
      </c>
      <c r="M368" s="181">
        <f t="shared" si="355"/>
        <v>50</v>
      </c>
      <c r="N368" s="181">
        <f t="shared" si="355"/>
        <v>55</v>
      </c>
      <c r="O368" s="181">
        <f t="shared" si="355"/>
        <v>45</v>
      </c>
      <c r="P368" s="181">
        <f t="shared" si="355"/>
        <v>49.388235294117649</v>
      </c>
      <c r="Q368" s="188">
        <f t="shared" si="315"/>
        <v>0</v>
      </c>
      <c r="R368" s="180" t="str">
        <f t="shared" si="359"/>
        <v/>
      </c>
      <c r="S368" s="180" t="str">
        <f t="shared" si="360"/>
        <v/>
      </c>
      <c r="T368" s="180" t="str">
        <f t="shared" si="364"/>
        <v/>
      </c>
      <c r="U368" s="180" t="str">
        <f t="shared" si="365"/>
        <v/>
      </c>
      <c r="V368" s="180" t="str">
        <f t="shared" si="353"/>
        <v/>
      </c>
      <c r="W368" s="180" t="str">
        <f t="shared" si="350"/>
        <v/>
      </c>
      <c r="X368" s="180" t="str">
        <f t="shared" si="354"/>
        <v/>
      </c>
      <c r="Y368" s="183"/>
      <c r="Z368" s="183"/>
      <c r="AA368" s="183"/>
    </row>
    <row r="369" spans="1:27" x14ac:dyDescent="0.25">
      <c r="A369" s="52">
        <v>335</v>
      </c>
      <c r="B369" s="50" t="str">
        <f t="shared" si="351"/>
        <v/>
      </c>
      <c r="C369" s="177"/>
      <c r="D369" s="190" t="str">
        <f t="shared" si="305"/>
        <v>OK</v>
      </c>
      <c r="E369" s="189" t="str">
        <f>IF(ISBLANK(C369),"",AVERAGE(C$35:C369))</f>
        <v/>
      </c>
      <c r="F369" s="185"/>
      <c r="G369" s="185"/>
      <c r="H369" s="185"/>
      <c r="I369" s="181">
        <f t="shared" ref="I369:L369" si="371">I368</f>
        <v>53.893722145136735</v>
      </c>
      <c r="J369" s="181">
        <f t="shared" si="371"/>
        <v>44.882748443098563</v>
      </c>
      <c r="K369" s="181">
        <f t="shared" si="371"/>
        <v>56.146465570646278</v>
      </c>
      <c r="L369" s="181">
        <f t="shared" si="371"/>
        <v>42.630005017589021</v>
      </c>
      <c r="M369" s="181">
        <f t="shared" si="355"/>
        <v>50</v>
      </c>
      <c r="N369" s="181">
        <f t="shared" si="355"/>
        <v>55</v>
      </c>
      <c r="O369" s="181">
        <f t="shared" si="355"/>
        <v>45</v>
      </c>
      <c r="P369" s="181">
        <f t="shared" si="355"/>
        <v>49.388235294117649</v>
      </c>
      <c r="Q369" s="188">
        <f t="shared" si="315"/>
        <v>0</v>
      </c>
      <c r="R369" s="180" t="str">
        <f t="shared" si="359"/>
        <v/>
      </c>
      <c r="S369" s="180" t="str">
        <f t="shared" si="360"/>
        <v/>
      </c>
      <c r="T369" s="180" t="str">
        <f t="shared" si="364"/>
        <v/>
      </c>
      <c r="U369" s="180" t="str">
        <f t="shared" si="365"/>
        <v/>
      </c>
      <c r="V369" s="180" t="str">
        <f t="shared" si="353"/>
        <v/>
      </c>
      <c r="W369" s="180" t="str">
        <f t="shared" si="350"/>
        <v/>
      </c>
      <c r="X369" s="180" t="str">
        <f t="shared" si="354"/>
        <v/>
      </c>
      <c r="Y369" s="183"/>
      <c r="Z369" s="183"/>
      <c r="AA369" s="183"/>
    </row>
    <row r="370" spans="1:27" x14ac:dyDescent="0.25">
      <c r="A370" s="52">
        <v>336</v>
      </c>
      <c r="B370" s="50" t="str">
        <f t="shared" si="351"/>
        <v/>
      </c>
      <c r="C370" s="177"/>
      <c r="D370" s="190" t="str">
        <f t="shared" si="305"/>
        <v>OK</v>
      </c>
      <c r="E370" s="189" t="str">
        <f>IF(ISBLANK(C370),"",AVERAGE(C$35:C370))</f>
        <v/>
      </c>
      <c r="F370" s="185"/>
      <c r="G370" s="185"/>
      <c r="H370" s="185"/>
      <c r="I370" s="181">
        <f t="shared" ref="I370:L370" si="372">I369</f>
        <v>53.893722145136735</v>
      </c>
      <c r="J370" s="181">
        <f t="shared" si="372"/>
        <v>44.882748443098563</v>
      </c>
      <c r="K370" s="181">
        <f t="shared" si="372"/>
        <v>56.146465570646278</v>
      </c>
      <c r="L370" s="181">
        <f t="shared" si="372"/>
        <v>42.630005017589021</v>
      </c>
      <c r="M370" s="181">
        <f t="shared" si="355"/>
        <v>50</v>
      </c>
      <c r="N370" s="181">
        <f t="shared" si="355"/>
        <v>55</v>
      </c>
      <c r="O370" s="181">
        <f t="shared" si="355"/>
        <v>45</v>
      </c>
      <c r="P370" s="181">
        <f t="shared" si="355"/>
        <v>49.388235294117649</v>
      </c>
      <c r="Q370" s="188">
        <f t="shared" si="315"/>
        <v>0</v>
      </c>
      <c r="R370" s="180" t="str">
        <f t="shared" si="359"/>
        <v/>
      </c>
      <c r="S370" s="180" t="str">
        <f t="shared" si="360"/>
        <v/>
      </c>
      <c r="T370" s="180" t="str">
        <f t="shared" si="364"/>
        <v/>
      </c>
      <c r="U370" s="180" t="str">
        <f t="shared" si="365"/>
        <v/>
      </c>
      <c r="V370" s="180" t="str">
        <f t="shared" si="353"/>
        <v/>
      </c>
      <c r="W370" s="180" t="str">
        <f t="shared" si="350"/>
        <v/>
      </c>
      <c r="X370" s="180" t="str">
        <f t="shared" si="354"/>
        <v/>
      </c>
      <c r="Y370" s="183"/>
      <c r="Z370" s="183"/>
      <c r="AA370" s="183"/>
    </row>
    <row r="371" spans="1:27" x14ac:dyDescent="0.25">
      <c r="A371" s="52">
        <v>337</v>
      </c>
      <c r="B371" s="50" t="str">
        <f t="shared" si="351"/>
        <v/>
      </c>
      <c r="C371" s="177"/>
      <c r="D371" s="190" t="str">
        <f t="shared" si="305"/>
        <v>OK</v>
      </c>
      <c r="E371" s="189" t="str">
        <f>IF(ISBLANK(C371),"",AVERAGE(C$35:C371))</f>
        <v/>
      </c>
      <c r="F371" s="185"/>
      <c r="G371" s="185"/>
      <c r="H371" s="185"/>
      <c r="I371" s="181">
        <f t="shared" ref="I371:L371" si="373">I370</f>
        <v>53.893722145136735</v>
      </c>
      <c r="J371" s="181">
        <f t="shared" si="373"/>
        <v>44.882748443098563</v>
      </c>
      <c r="K371" s="181">
        <f t="shared" si="373"/>
        <v>56.146465570646278</v>
      </c>
      <c r="L371" s="181">
        <f t="shared" si="373"/>
        <v>42.630005017589021</v>
      </c>
      <c r="M371" s="181">
        <f t="shared" si="355"/>
        <v>50</v>
      </c>
      <c r="N371" s="181">
        <f t="shared" si="355"/>
        <v>55</v>
      </c>
      <c r="O371" s="181">
        <f t="shared" si="355"/>
        <v>45</v>
      </c>
      <c r="P371" s="181">
        <f t="shared" si="355"/>
        <v>49.388235294117649</v>
      </c>
      <c r="Q371" s="188">
        <f t="shared" si="315"/>
        <v>0</v>
      </c>
      <c r="R371" s="180" t="str">
        <f t="shared" si="359"/>
        <v/>
      </c>
      <c r="S371" s="180" t="str">
        <f t="shared" si="360"/>
        <v/>
      </c>
      <c r="T371" s="180" t="str">
        <f t="shared" si="364"/>
        <v/>
      </c>
      <c r="U371" s="180" t="str">
        <f t="shared" si="365"/>
        <v/>
      </c>
      <c r="V371" s="180" t="str">
        <f t="shared" si="353"/>
        <v/>
      </c>
      <c r="W371" s="180" t="str">
        <f t="shared" si="350"/>
        <v/>
      </c>
      <c r="X371" s="180" t="str">
        <f t="shared" si="354"/>
        <v/>
      </c>
      <c r="Y371" s="183"/>
      <c r="Z371" s="183"/>
      <c r="AA371" s="183"/>
    </row>
    <row r="372" spans="1:27" x14ac:dyDescent="0.25">
      <c r="A372" s="52">
        <v>338</v>
      </c>
      <c r="B372" s="50" t="str">
        <f t="shared" si="351"/>
        <v/>
      </c>
      <c r="C372" s="177"/>
      <c r="D372" s="190" t="str">
        <f t="shared" si="305"/>
        <v>OK</v>
      </c>
      <c r="E372" s="189" t="str">
        <f>IF(ISBLANK(C372),"",AVERAGE(C$35:C372))</f>
        <v/>
      </c>
      <c r="F372" s="185"/>
      <c r="G372" s="185"/>
      <c r="H372" s="185"/>
      <c r="I372" s="181">
        <f t="shared" ref="I372:L372" si="374">I371</f>
        <v>53.893722145136735</v>
      </c>
      <c r="J372" s="181">
        <f t="shared" si="374"/>
        <v>44.882748443098563</v>
      </c>
      <c r="K372" s="181">
        <f t="shared" si="374"/>
        <v>56.146465570646278</v>
      </c>
      <c r="L372" s="181">
        <f t="shared" si="374"/>
        <v>42.630005017589021</v>
      </c>
      <c r="M372" s="181">
        <f t="shared" si="355"/>
        <v>50</v>
      </c>
      <c r="N372" s="181">
        <f t="shared" si="355"/>
        <v>55</v>
      </c>
      <c r="O372" s="181">
        <f t="shared" si="355"/>
        <v>45</v>
      </c>
      <c r="P372" s="181">
        <f t="shared" si="355"/>
        <v>49.388235294117649</v>
      </c>
      <c r="Q372" s="188">
        <f t="shared" si="315"/>
        <v>0</v>
      </c>
      <c r="R372" s="180" t="str">
        <f t="shared" si="359"/>
        <v/>
      </c>
      <c r="S372" s="180" t="str">
        <f t="shared" si="360"/>
        <v/>
      </c>
      <c r="T372" s="180" t="str">
        <f t="shared" si="364"/>
        <v/>
      </c>
      <c r="U372" s="180" t="str">
        <f t="shared" si="365"/>
        <v/>
      </c>
      <c r="V372" s="180" t="str">
        <f t="shared" si="353"/>
        <v/>
      </c>
      <c r="W372" s="180" t="str">
        <f t="shared" si="350"/>
        <v/>
      </c>
      <c r="X372" s="180" t="str">
        <f t="shared" si="354"/>
        <v/>
      </c>
      <c r="Y372" s="183"/>
      <c r="Z372" s="183"/>
      <c r="AA372" s="183"/>
    </row>
    <row r="373" spans="1:27" x14ac:dyDescent="0.25">
      <c r="A373" s="52">
        <v>339</v>
      </c>
      <c r="B373" s="50" t="str">
        <f t="shared" si="351"/>
        <v/>
      </c>
      <c r="C373" s="177"/>
      <c r="D373" s="190" t="str">
        <f t="shared" si="305"/>
        <v>OK</v>
      </c>
      <c r="E373" s="189" t="str">
        <f>IF(ISBLANK(C373),"",AVERAGE(C$35:C373))</f>
        <v/>
      </c>
      <c r="F373" s="185"/>
      <c r="G373" s="185"/>
      <c r="H373" s="185"/>
      <c r="I373" s="181">
        <f t="shared" ref="I373:P386" si="375">I372</f>
        <v>53.893722145136735</v>
      </c>
      <c r="J373" s="181">
        <f t="shared" si="375"/>
        <v>44.882748443098563</v>
      </c>
      <c r="K373" s="181">
        <f t="shared" si="375"/>
        <v>56.146465570646278</v>
      </c>
      <c r="L373" s="181">
        <f t="shared" si="375"/>
        <v>42.630005017589021</v>
      </c>
      <c r="M373" s="181">
        <f t="shared" si="375"/>
        <v>50</v>
      </c>
      <c r="N373" s="181">
        <f t="shared" si="375"/>
        <v>55</v>
      </c>
      <c r="O373" s="181">
        <f t="shared" si="375"/>
        <v>45</v>
      </c>
      <c r="P373" s="181">
        <f t="shared" si="375"/>
        <v>49.388235294117649</v>
      </c>
      <c r="Q373" s="188">
        <f t="shared" si="315"/>
        <v>0</v>
      </c>
      <c r="R373" s="180" t="str">
        <f t="shared" si="359"/>
        <v/>
      </c>
      <c r="S373" s="180" t="str">
        <f t="shared" si="360"/>
        <v/>
      </c>
      <c r="T373" s="180" t="str">
        <f t="shared" si="364"/>
        <v/>
      </c>
      <c r="U373" s="180" t="str">
        <f t="shared" si="365"/>
        <v/>
      </c>
      <c r="V373" s="180" t="str">
        <f t="shared" si="353"/>
        <v/>
      </c>
      <c r="W373" s="180" t="str">
        <f t="shared" si="350"/>
        <v/>
      </c>
      <c r="X373" s="180" t="str">
        <f t="shared" si="354"/>
        <v/>
      </c>
      <c r="Y373" s="183"/>
      <c r="Z373" s="183"/>
      <c r="AA373" s="183"/>
    </row>
    <row r="374" spans="1:27" x14ac:dyDescent="0.25">
      <c r="A374" s="52">
        <v>340</v>
      </c>
      <c r="B374" s="50" t="str">
        <f t="shared" si="351"/>
        <v/>
      </c>
      <c r="C374" s="177"/>
      <c r="D374" s="190" t="str">
        <f t="shared" si="305"/>
        <v>OK</v>
      </c>
      <c r="E374" s="189" t="str">
        <f>IF(ISBLANK(C374),"",AVERAGE(C$35:C374))</f>
        <v/>
      </c>
      <c r="F374" s="185"/>
      <c r="G374" s="185"/>
      <c r="H374" s="185"/>
      <c r="I374" s="181">
        <f t="shared" ref="I374:L374" si="376">I373</f>
        <v>53.893722145136735</v>
      </c>
      <c r="J374" s="181">
        <f t="shared" si="376"/>
        <v>44.882748443098563</v>
      </c>
      <c r="K374" s="181">
        <f t="shared" si="376"/>
        <v>56.146465570646278</v>
      </c>
      <c r="L374" s="181">
        <f t="shared" si="376"/>
        <v>42.630005017589021</v>
      </c>
      <c r="M374" s="181">
        <f t="shared" si="375"/>
        <v>50</v>
      </c>
      <c r="N374" s="181">
        <f t="shared" si="375"/>
        <v>55</v>
      </c>
      <c r="O374" s="181">
        <f t="shared" si="375"/>
        <v>45</v>
      </c>
      <c r="P374" s="181">
        <f t="shared" si="375"/>
        <v>49.388235294117649</v>
      </c>
      <c r="Q374" s="188">
        <f t="shared" si="315"/>
        <v>0</v>
      </c>
      <c r="R374" s="180" t="str">
        <f t="shared" si="359"/>
        <v/>
      </c>
      <c r="S374" s="180" t="str">
        <f t="shared" si="360"/>
        <v/>
      </c>
      <c r="T374" s="180" t="str">
        <f t="shared" si="364"/>
        <v/>
      </c>
      <c r="U374" s="180" t="str">
        <f t="shared" si="365"/>
        <v/>
      </c>
      <c r="V374" s="180" t="str">
        <f t="shared" si="353"/>
        <v/>
      </c>
      <c r="W374" s="180" t="str">
        <f t="shared" si="350"/>
        <v/>
      </c>
      <c r="X374" s="180" t="str">
        <f t="shared" si="354"/>
        <v/>
      </c>
      <c r="Y374" s="183"/>
      <c r="Z374" s="183"/>
      <c r="AA374" s="183"/>
    </row>
    <row r="375" spans="1:27" x14ac:dyDescent="0.25">
      <c r="A375" s="52">
        <v>341</v>
      </c>
      <c r="B375" s="50" t="str">
        <f t="shared" si="351"/>
        <v/>
      </c>
      <c r="C375" s="177"/>
      <c r="D375" s="190" t="str">
        <f t="shared" si="305"/>
        <v>OK</v>
      </c>
      <c r="E375" s="189" t="str">
        <f>IF(ISBLANK(C375),"",AVERAGE(C$35:C375))</f>
        <v/>
      </c>
      <c r="F375" s="185"/>
      <c r="G375" s="185"/>
      <c r="H375" s="185"/>
      <c r="I375" s="181">
        <f t="shared" ref="I375:L375" si="377">I374</f>
        <v>53.893722145136735</v>
      </c>
      <c r="J375" s="181">
        <f t="shared" si="377"/>
        <v>44.882748443098563</v>
      </c>
      <c r="K375" s="181">
        <f t="shared" si="377"/>
        <v>56.146465570646278</v>
      </c>
      <c r="L375" s="181">
        <f t="shared" si="377"/>
        <v>42.630005017589021</v>
      </c>
      <c r="M375" s="181">
        <f t="shared" si="375"/>
        <v>50</v>
      </c>
      <c r="N375" s="181">
        <f t="shared" si="375"/>
        <v>55</v>
      </c>
      <c r="O375" s="181">
        <f t="shared" si="375"/>
        <v>45</v>
      </c>
      <c r="P375" s="181">
        <f t="shared" si="375"/>
        <v>49.388235294117649</v>
      </c>
      <c r="Q375" s="188">
        <f t="shared" si="315"/>
        <v>0</v>
      </c>
      <c r="R375" s="180" t="str">
        <f t="shared" si="359"/>
        <v/>
      </c>
      <c r="S375" s="180" t="str">
        <f t="shared" si="360"/>
        <v/>
      </c>
      <c r="T375" s="180" t="str">
        <f t="shared" si="364"/>
        <v/>
      </c>
      <c r="U375" s="180" t="str">
        <f t="shared" si="365"/>
        <v/>
      </c>
      <c r="V375" s="180" t="str">
        <f t="shared" si="353"/>
        <v/>
      </c>
      <c r="W375" s="180" t="str">
        <f t="shared" si="350"/>
        <v/>
      </c>
      <c r="X375" s="180" t="str">
        <f t="shared" si="354"/>
        <v/>
      </c>
      <c r="Y375" s="183"/>
      <c r="Z375" s="183"/>
      <c r="AA375" s="183"/>
    </row>
    <row r="376" spans="1:27" x14ac:dyDescent="0.25">
      <c r="A376" s="52">
        <v>342</v>
      </c>
      <c r="B376" s="50" t="str">
        <f t="shared" si="351"/>
        <v/>
      </c>
      <c r="C376" s="177"/>
      <c r="D376" s="190" t="str">
        <f t="shared" si="305"/>
        <v>OK</v>
      </c>
      <c r="E376" s="189" t="str">
        <f>IF(ISBLANK(C376),"",AVERAGE(C$35:C376))</f>
        <v/>
      </c>
      <c r="F376" s="185"/>
      <c r="G376" s="185"/>
      <c r="H376" s="185"/>
      <c r="I376" s="181">
        <f t="shared" ref="I376:L376" si="378">I375</f>
        <v>53.893722145136735</v>
      </c>
      <c r="J376" s="181">
        <f t="shared" si="378"/>
        <v>44.882748443098563</v>
      </c>
      <c r="K376" s="181">
        <f t="shared" si="378"/>
        <v>56.146465570646278</v>
      </c>
      <c r="L376" s="181">
        <f t="shared" si="378"/>
        <v>42.630005017589021</v>
      </c>
      <c r="M376" s="181">
        <f t="shared" si="375"/>
        <v>50</v>
      </c>
      <c r="N376" s="181">
        <f t="shared" si="375"/>
        <v>55</v>
      </c>
      <c r="O376" s="181">
        <f t="shared" si="375"/>
        <v>45</v>
      </c>
      <c r="P376" s="181">
        <f t="shared" si="375"/>
        <v>49.388235294117649</v>
      </c>
      <c r="Q376" s="188">
        <f t="shared" si="315"/>
        <v>0</v>
      </c>
      <c r="R376" s="180" t="str">
        <f t="shared" si="359"/>
        <v/>
      </c>
      <c r="S376" s="180" t="str">
        <f t="shared" si="360"/>
        <v/>
      </c>
      <c r="T376" s="180" t="str">
        <f t="shared" si="364"/>
        <v/>
      </c>
      <c r="U376" s="180" t="str">
        <f t="shared" si="365"/>
        <v/>
      </c>
      <c r="V376" s="180" t="str">
        <f t="shared" si="353"/>
        <v/>
      </c>
      <c r="W376" s="180" t="str">
        <f t="shared" si="350"/>
        <v/>
      </c>
      <c r="X376" s="180" t="str">
        <f t="shared" si="354"/>
        <v/>
      </c>
      <c r="Y376" s="183"/>
      <c r="Z376" s="183"/>
      <c r="AA376" s="183"/>
    </row>
    <row r="377" spans="1:27" x14ac:dyDescent="0.25">
      <c r="A377" s="52">
        <v>343</v>
      </c>
      <c r="B377" s="50" t="str">
        <f t="shared" si="351"/>
        <v/>
      </c>
      <c r="C377" s="177"/>
      <c r="D377" s="190" t="str">
        <f t="shared" ref="D377:D386" si="379">IF(Q377=1,$R$34,IF(Q377=2,$S$34,IF(Q377=3,$T$34,IF(Q377=4,$U$34,IF(Q377=5,$V$34,IF(Q377=6,$W$34,IF(Q377=7,$X$34,"OK")))))))</f>
        <v>OK</v>
      </c>
      <c r="E377" s="189" t="str">
        <f>IF(ISBLANK(C377),"",AVERAGE(C$35:C377))</f>
        <v/>
      </c>
      <c r="F377" s="185"/>
      <c r="G377" s="185"/>
      <c r="H377" s="185"/>
      <c r="I377" s="181">
        <f t="shared" ref="I377:L377" si="380">I376</f>
        <v>53.893722145136735</v>
      </c>
      <c r="J377" s="181">
        <f t="shared" si="380"/>
        <v>44.882748443098563</v>
      </c>
      <c r="K377" s="181">
        <f t="shared" si="380"/>
        <v>56.146465570646278</v>
      </c>
      <c r="L377" s="181">
        <f t="shared" si="380"/>
        <v>42.630005017589021</v>
      </c>
      <c r="M377" s="181">
        <f t="shared" si="375"/>
        <v>50</v>
      </c>
      <c r="N377" s="181">
        <f t="shared" si="375"/>
        <v>55</v>
      </c>
      <c r="O377" s="181">
        <f t="shared" si="375"/>
        <v>45</v>
      </c>
      <c r="P377" s="181">
        <f t="shared" si="375"/>
        <v>49.388235294117649</v>
      </c>
      <c r="Q377" s="188">
        <f t="shared" si="315"/>
        <v>0</v>
      </c>
      <c r="R377" s="180" t="str">
        <f t="shared" si="359"/>
        <v/>
      </c>
      <c r="S377" s="180" t="str">
        <f t="shared" si="360"/>
        <v/>
      </c>
      <c r="T377" s="180" t="str">
        <f t="shared" si="364"/>
        <v/>
      </c>
      <c r="U377" s="180" t="str">
        <f t="shared" si="365"/>
        <v/>
      </c>
      <c r="V377" s="180" t="str">
        <f t="shared" si="353"/>
        <v/>
      </c>
      <c r="W377" s="180" t="str">
        <f t="shared" si="350"/>
        <v/>
      </c>
      <c r="X377" s="180" t="str">
        <f t="shared" si="354"/>
        <v/>
      </c>
      <c r="Y377" s="183"/>
      <c r="Z377" s="183"/>
      <c r="AA377" s="183"/>
    </row>
    <row r="378" spans="1:27" x14ac:dyDescent="0.25">
      <c r="A378" s="52">
        <v>344</v>
      </c>
      <c r="B378" s="50" t="str">
        <f t="shared" si="351"/>
        <v/>
      </c>
      <c r="C378" s="177"/>
      <c r="D378" s="190" t="str">
        <f t="shared" si="379"/>
        <v>OK</v>
      </c>
      <c r="E378" s="189" t="str">
        <f>IF(ISBLANK(C378),"",AVERAGE(C$35:C378))</f>
        <v/>
      </c>
      <c r="F378" s="185"/>
      <c r="G378" s="185"/>
      <c r="H378" s="185"/>
      <c r="I378" s="181">
        <f t="shared" ref="I378:L378" si="381">I377</f>
        <v>53.893722145136735</v>
      </c>
      <c r="J378" s="181">
        <f t="shared" si="381"/>
        <v>44.882748443098563</v>
      </c>
      <c r="K378" s="181">
        <f t="shared" si="381"/>
        <v>56.146465570646278</v>
      </c>
      <c r="L378" s="181">
        <f t="shared" si="381"/>
        <v>42.630005017589021</v>
      </c>
      <c r="M378" s="181">
        <f t="shared" si="375"/>
        <v>50</v>
      </c>
      <c r="N378" s="181">
        <f t="shared" si="375"/>
        <v>55</v>
      </c>
      <c r="O378" s="181">
        <f t="shared" si="375"/>
        <v>45</v>
      </c>
      <c r="P378" s="181">
        <f t="shared" si="375"/>
        <v>49.388235294117649</v>
      </c>
      <c r="Q378" s="188">
        <f t="shared" si="315"/>
        <v>0</v>
      </c>
      <c r="R378" s="180" t="str">
        <f t="shared" si="359"/>
        <v/>
      </c>
      <c r="S378" s="180" t="str">
        <f t="shared" si="360"/>
        <v/>
      </c>
      <c r="T378" s="180" t="str">
        <f t="shared" si="364"/>
        <v/>
      </c>
      <c r="U378" s="180" t="str">
        <f t="shared" si="365"/>
        <v/>
      </c>
      <c r="V378" s="180" t="str">
        <f t="shared" si="353"/>
        <v/>
      </c>
      <c r="W378" s="180" t="str">
        <f t="shared" si="350"/>
        <v/>
      </c>
      <c r="X378" s="180" t="str">
        <f t="shared" si="354"/>
        <v/>
      </c>
      <c r="Y378" s="183"/>
      <c r="Z378" s="183"/>
      <c r="AA378" s="183"/>
    </row>
    <row r="379" spans="1:27" x14ac:dyDescent="0.25">
      <c r="A379" s="52">
        <v>345</v>
      </c>
      <c r="B379" s="50" t="str">
        <f t="shared" si="351"/>
        <v/>
      </c>
      <c r="C379" s="177"/>
      <c r="D379" s="190" t="str">
        <f t="shared" si="379"/>
        <v>OK</v>
      </c>
      <c r="E379" s="189" t="str">
        <f>IF(ISBLANK(C379),"",AVERAGE(C$35:C379))</f>
        <v/>
      </c>
      <c r="F379" s="185"/>
      <c r="G379" s="185"/>
      <c r="H379" s="185"/>
      <c r="I379" s="181">
        <f t="shared" ref="I379:L379" si="382">I378</f>
        <v>53.893722145136735</v>
      </c>
      <c r="J379" s="181">
        <f t="shared" si="382"/>
        <v>44.882748443098563</v>
      </c>
      <c r="K379" s="181">
        <f t="shared" si="382"/>
        <v>56.146465570646278</v>
      </c>
      <c r="L379" s="181">
        <f t="shared" si="382"/>
        <v>42.630005017589021</v>
      </c>
      <c r="M379" s="181">
        <f t="shared" si="375"/>
        <v>50</v>
      </c>
      <c r="N379" s="181">
        <f t="shared" si="375"/>
        <v>55</v>
      </c>
      <c r="O379" s="181">
        <f t="shared" si="375"/>
        <v>45</v>
      </c>
      <c r="P379" s="181">
        <f t="shared" si="375"/>
        <v>49.388235294117649</v>
      </c>
      <c r="Q379" s="188">
        <f t="shared" si="315"/>
        <v>0</v>
      </c>
      <c r="R379" s="180" t="str">
        <f t="shared" si="359"/>
        <v/>
      </c>
      <c r="S379" s="180" t="str">
        <f t="shared" si="360"/>
        <v/>
      </c>
      <c r="T379" s="180" t="str">
        <f t="shared" si="364"/>
        <v/>
      </c>
      <c r="U379" s="180" t="str">
        <f t="shared" si="365"/>
        <v/>
      </c>
      <c r="V379" s="180" t="str">
        <f t="shared" si="353"/>
        <v/>
      </c>
      <c r="W379" s="180" t="str">
        <f t="shared" si="350"/>
        <v/>
      </c>
      <c r="X379" s="180" t="str">
        <f t="shared" si="354"/>
        <v/>
      </c>
      <c r="Y379" s="183"/>
      <c r="Z379" s="183"/>
      <c r="AA379" s="183"/>
    </row>
    <row r="380" spans="1:27" x14ac:dyDescent="0.25">
      <c r="A380" s="52">
        <v>346</v>
      </c>
      <c r="B380" s="50" t="str">
        <f t="shared" si="351"/>
        <v/>
      </c>
      <c r="C380" s="177"/>
      <c r="D380" s="190" t="str">
        <f t="shared" si="379"/>
        <v>OK</v>
      </c>
      <c r="E380" s="189" t="str">
        <f>IF(ISBLANK(C380),"",AVERAGE(C$35:C380))</f>
        <v/>
      </c>
      <c r="F380" s="185"/>
      <c r="G380" s="185"/>
      <c r="H380" s="185"/>
      <c r="I380" s="181">
        <f t="shared" ref="I380:L380" si="383">I379</f>
        <v>53.893722145136735</v>
      </c>
      <c r="J380" s="181">
        <f t="shared" si="383"/>
        <v>44.882748443098563</v>
      </c>
      <c r="K380" s="181">
        <f t="shared" si="383"/>
        <v>56.146465570646278</v>
      </c>
      <c r="L380" s="181">
        <f t="shared" si="383"/>
        <v>42.630005017589021</v>
      </c>
      <c r="M380" s="181">
        <f t="shared" si="375"/>
        <v>50</v>
      </c>
      <c r="N380" s="181">
        <f t="shared" si="375"/>
        <v>55</v>
      </c>
      <c r="O380" s="181">
        <f t="shared" si="375"/>
        <v>45</v>
      </c>
      <c r="P380" s="181">
        <f t="shared" si="375"/>
        <v>49.388235294117649</v>
      </c>
      <c r="Q380" s="188">
        <f t="shared" si="315"/>
        <v>0</v>
      </c>
      <c r="R380" s="180" t="str">
        <f t="shared" si="359"/>
        <v/>
      </c>
      <c r="S380" s="180" t="str">
        <f t="shared" si="360"/>
        <v/>
      </c>
      <c r="T380" s="180" t="str">
        <f t="shared" si="364"/>
        <v/>
      </c>
      <c r="U380" s="180" t="str">
        <f t="shared" si="365"/>
        <v/>
      </c>
      <c r="V380" s="180" t="str">
        <f t="shared" si="353"/>
        <v/>
      </c>
      <c r="W380" s="180" t="str">
        <f t="shared" si="350"/>
        <v/>
      </c>
      <c r="X380" s="180" t="str">
        <f t="shared" si="354"/>
        <v/>
      </c>
      <c r="Y380" s="183"/>
      <c r="Z380" s="183"/>
      <c r="AA380" s="183"/>
    </row>
    <row r="381" spans="1:27" x14ac:dyDescent="0.25">
      <c r="A381" s="52">
        <v>347</v>
      </c>
      <c r="B381" s="50" t="str">
        <f t="shared" si="351"/>
        <v/>
      </c>
      <c r="C381" s="177"/>
      <c r="D381" s="190" t="str">
        <f t="shared" si="379"/>
        <v>OK</v>
      </c>
      <c r="E381" s="189" t="str">
        <f>IF(ISBLANK(C381),"",AVERAGE(C$35:C381))</f>
        <v/>
      </c>
      <c r="F381" s="185"/>
      <c r="G381" s="185"/>
      <c r="H381" s="185"/>
      <c r="I381" s="181">
        <f t="shared" ref="I381:L381" si="384">I380</f>
        <v>53.893722145136735</v>
      </c>
      <c r="J381" s="181">
        <f t="shared" si="384"/>
        <v>44.882748443098563</v>
      </c>
      <c r="K381" s="181">
        <f t="shared" si="384"/>
        <v>56.146465570646278</v>
      </c>
      <c r="L381" s="181">
        <f t="shared" si="384"/>
        <v>42.630005017589021</v>
      </c>
      <c r="M381" s="181">
        <f t="shared" si="375"/>
        <v>50</v>
      </c>
      <c r="N381" s="181">
        <f t="shared" si="375"/>
        <v>55</v>
      </c>
      <c r="O381" s="181">
        <f t="shared" si="375"/>
        <v>45</v>
      </c>
      <c r="P381" s="181">
        <f t="shared" si="375"/>
        <v>49.388235294117649</v>
      </c>
      <c r="Q381" s="188">
        <f t="shared" si="315"/>
        <v>0</v>
      </c>
      <c r="R381" s="180" t="str">
        <f t="shared" si="359"/>
        <v/>
      </c>
      <c r="S381" s="180" t="str">
        <f t="shared" si="360"/>
        <v/>
      </c>
      <c r="T381" s="180" t="str">
        <f t="shared" si="364"/>
        <v/>
      </c>
      <c r="U381" s="180" t="str">
        <f t="shared" si="365"/>
        <v/>
      </c>
      <c r="V381" s="180" t="str">
        <f t="shared" si="353"/>
        <v/>
      </c>
      <c r="W381" s="180" t="str">
        <f t="shared" si="350"/>
        <v/>
      </c>
      <c r="X381" s="180" t="str">
        <f t="shared" si="354"/>
        <v/>
      </c>
      <c r="Y381" s="183"/>
      <c r="Z381" s="183"/>
      <c r="AA381" s="183"/>
    </row>
    <row r="382" spans="1:27" x14ac:dyDescent="0.25">
      <c r="A382" s="52">
        <v>348</v>
      </c>
      <c r="B382" s="50" t="str">
        <f t="shared" si="351"/>
        <v/>
      </c>
      <c r="C382" s="177"/>
      <c r="D382" s="190" t="str">
        <f t="shared" si="379"/>
        <v>OK</v>
      </c>
      <c r="E382" s="189" t="str">
        <f>IF(ISBLANK(C382),"",AVERAGE(C$35:C382))</f>
        <v/>
      </c>
      <c r="F382" s="185"/>
      <c r="G382" s="185"/>
      <c r="H382" s="185"/>
      <c r="I382" s="181">
        <f t="shared" ref="I382:L382" si="385">I381</f>
        <v>53.893722145136735</v>
      </c>
      <c r="J382" s="181">
        <f t="shared" si="385"/>
        <v>44.882748443098563</v>
      </c>
      <c r="K382" s="181">
        <f t="shared" si="385"/>
        <v>56.146465570646278</v>
      </c>
      <c r="L382" s="181">
        <f t="shared" si="385"/>
        <v>42.630005017589021</v>
      </c>
      <c r="M382" s="181">
        <f t="shared" si="375"/>
        <v>50</v>
      </c>
      <c r="N382" s="181">
        <f t="shared" si="375"/>
        <v>55</v>
      </c>
      <c r="O382" s="181">
        <f t="shared" si="375"/>
        <v>45</v>
      </c>
      <c r="P382" s="181">
        <f t="shared" si="375"/>
        <v>49.388235294117649</v>
      </c>
      <c r="Q382" s="188">
        <f t="shared" si="315"/>
        <v>0</v>
      </c>
      <c r="R382" s="180" t="str">
        <f t="shared" si="359"/>
        <v/>
      </c>
      <c r="S382" s="180" t="str">
        <f t="shared" si="360"/>
        <v/>
      </c>
      <c r="T382" s="180" t="str">
        <f t="shared" si="364"/>
        <v/>
      </c>
      <c r="U382" s="180" t="str">
        <f t="shared" si="365"/>
        <v/>
      </c>
      <c r="V382" s="180" t="str">
        <f t="shared" si="353"/>
        <v/>
      </c>
      <c r="W382" s="180" t="str">
        <f t="shared" si="350"/>
        <v/>
      </c>
      <c r="X382" s="180" t="str">
        <f t="shared" si="354"/>
        <v/>
      </c>
      <c r="Y382" s="183"/>
      <c r="Z382" s="183"/>
      <c r="AA382" s="183"/>
    </row>
    <row r="383" spans="1:27" x14ac:dyDescent="0.25">
      <c r="A383" s="52">
        <v>349</v>
      </c>
      <c r="B383" s="50" t="str">
        <f t="shared" si="351"/>
        <v/>
      </c>
      <c r="C383" s="177"/>
      <c r="D383" s="190" t="str">
        <f t="shared" si="379"/>
        <v>OK</v>
      </c>
      <c r="E383" s="189" t="str">
        <f>IF(ISBLANK(C383),"",AVERAGE(C$35:C383))</f>
        <v/>
      </c>
      <c r="F383" s="185"/>
      <c r="G383" s="185"/>
      <c r="H383" s="185"/>
      <c r="I383" s="181">
        <f t="shared" ref="I383:L383" si="386">I382</f>
        <v>53.893722145136735</v>
      </c>
      <c r="J383" s="181">
        <f t="shared" si="386"/>
        <v>44.882748443098563</v>
      </c>
      <c r="K383" s="181">
        <f t="shared" si="386"/>
        <v>56.146465570646278</v>
      </c>
      <c r="L383" s="181">
        <f t="shared" si="386"/>
        <v>42.630005017589021</v>
      </c>
      <c r="M383" s="181">
        <f t="shared" si="375"/>
        <v>50</v>
      </c>
      <c r="N383" s="181">
        <f t="shared" si="375"/>
        <v>55</v>
      </c>
      <c r="O383" s="181">
        <f t="shared" si="375"/>
        <v>45</v>
      </c>
      <c r="P383" s="181">
        <f t="shared" si="375"/>
        <v>49.388235294117649</v>
      </c>
      <c r="Q383" s="188">
        <f t="shared" si="315"/>
        <v>0</v>
      </c>
      <c r="R383" s="180" t="str">
        <f t="shared" si="359"/>
        <v/>
      </c>
      <c r="S383" s="180" t="str">
        <f t="shared" si="360"/>
        <v/>
      </c>
      <c r="T383" s="180" t="str">
        <f t="shared" si="364"/>
        <v/>
      </c>
      <c r="U383" s="180" t="str">
        <f t="shared" si="365"/>
        <v/>
      </c>
      <c r="V383" s="180" t="str">
        <f t="shared" si="353"/>
        <v/>
      </c>
      <c r="W383" s="180" t="str">
        <f t="shared" si="350"/>
        <v/>
      </c>
      <c r="X383" s="180" t="str">
        <f t="shared" si="354"/>
        <v/>
      </c>
      <c r="Y383" s="183"/>
      <c r="Z383" s="183"/>
      <c r="AA383" s="183"/>
    </row>
    <row r="384" spans="1:27" x14ac:dyDescent="0.25">
      <c r="A384" s="52">
        <v>350</v>
      </c>
      <c r="B384" s="50" t="str">
        <f t="shared" si="351"/>
        <v/>
      </c>
      <c r="C384" s="177"/>
      <c r="D384" s="190" t="str">
        <f t="shared" si="379"/>
        <v>OK</v>
      </c>
      <c r="E384" s="189" t="str">
        <f>IF(ISBLANK(C384),"",AVERAGE(C$35:C384))</f>
        <v/>
      </c>
      <c r="F384" s="185"/>
      <c r="G384" s="185"/>
      <c r="H384" s="185"/>
      <c r="I384" s="181">
        <f t="shared" ref="I384:L384" si="387">I383</f>
        <v>53.893722145136735</v>
      </c>
      <c r="J384" s="181">
        <f t="shared" si="387"/>
        <v>44.882748443098563</v>
      </c>
      <c r="K384" s="181">
        <f t="shared" si="387"/>
        <v>56.146465570646278</v>
      </c>
      <c r="L384" s="181">
        <f t="shared" si="387"/>
        <v>42.630005017589021</v>
      </c>
      <c r="M384" s="181">
        <f t="shared" si="375"/>
        <v>50</v>
      </c>
      <c r="N384" s="181">
        <f t="shared" si="375"/>
        <v>55</v>
      </c>
      <c r="O384" s="181">
        <f t="shared" si="375"/>
        <v>45</v>
      </c>
      <c r="P384" s="181">
        <f t="shared" si="375"/>
        <v>49.388235294117649</v>
      </c>
      <c r="Q384" s="188">
        <f t="shared" si="315"/>
        <v>0</v>
      </c>
      <c r="R384" s="180" t="str">
        <f t="shared" si="359"/>
        <v/>
      </c>
      <c r="S384" s="180" t="str">
        <f t="shared" si="360"/>
        <v/>
      </c>
      <c r="T384" s="180" t="str">
        <f t="shared" si="364"/>
        <v/>
      </c>
      <c r="U384" s="180" t="str">
        <f t="shared" si="365"/>
        <v/>
      </c>
      <c r="V384" s="180" t="str">
        <f t="shared" si="353"/>
        <v/>
      </c>
      <c r="W384" s="180" t="str">
        <f t="shared" si="350"/>
        <v/>
      </c>
      <c r="X384" s="180" t="str">
        <f t="shared" si="354"/>
        <v/>
      </c>
      <c r="Y384" s="183"/>
      <c r="Z384" s="183"/>
      <c r="AA384" s="183"/>
    </row>
    <row r="385" spans="1:27" x14ac:dyDescent="0.25">
      <c r="A385" s="52">
        <v>351</v>
      </c>
      <c r="B385" s="50" t="str">
        <f t="shared" si="351"/>
        <v/>
      </c>
      <c r="C385" s="177"/>
      <c r="D385" s="190" t="str">
        <f t="shared" si="379"/>
        <v>OK</v>
      </c>
      <c r="E385" s="189" t="str">
        <f>IF(ISBLANK(C385),"",AVERAGE(C$35:C385))</f>
        <v/>
      </c>
      <c r="F385" s="185"/>
      <c r="G385" s="185"/>
      <c r="H385" s="185"/>
      <c r="I385" s="181">
        <f t="shared" ref="I385:L385" si="388">I384</f>
        <v>53.893722145136735</v>
      </c>
      <c r="J385" s="181">
        <f t="shared" si="388"/>
        <v>44.882748443098563</v>
      </c>
      <c r="K385" s="181">
        <f t="shared" si="388"/>
        <v>56.146465570646278</v>
      </c>
      <c r="L385" s="181">
        <f t="shared" si="388"/>
        <v>42.630005017589021</v>
      </c>
      <c r="M385" s="181">
        <f t="shared" si="375"/>
        <v>50</v>
      </c>
      <c r="N385" s="181">
        <f t="shared" si="375"/>
        <v>55</v>
      </c>
      <c r="O385" s="181">
        <f t="shared" si="375"/>
        <v>45</v>
      </c>
      <c r="P385" s="181">
        <f t="shared" si="375"/>
        <v>49.388235294117649</v>
      </c>
      <c r="Q385" s="188">
        <f t="shared" ref="Q385:Q386" si="389">SUM(R385:X385)</f>
        <v>0</v>
      </c>
      <c r="R385" s="180" t="str">
        <f t="shared" si="359"/>
        <v/>
      </c>
      <c r="S385" s="180" t="str">
        <f t="shared" si="360"/>
        <v/>
      </c>
      <c r="T385" s="180" t="str">
        <f t="shared" si="364"/>
        <v/>
      </c>
      <c r="U385" s="180" t="str">
        <f t="shared" si="365"/>
        <v/>
      </c>
      <c r="V385" s="180" t="str">
        <f t="shared" si="353"/>
        <v/>
      </c>
      <c r="W385" s="180" t="str">
        <f t="shared" si="350"/>
        <v/>
      </c>
      <c r="X385" s="180" t="str">
        <f t="shared" si="354"/>
        <v/>
      </c>
      <c r="Y385" s="183"/>
      <c r="Z385" s="183"/>
      <c r="AA385" s="183"/>
    </row>
    <row r="386" spans="1:27" x14ac:dyDescent="0.25">
      <c r="A386" s="52">
        <v>352</v>
      </c>
      <c r="B386" s="50" t="str">
        <f t="shared" si="351"/>
        <v/>
      </c>
      <c r="C386" s="177"/>
      <c r="D386" s="50" t="str">
        <f t="shared" si="379"/>
        <v>OK</v>
      </c>
      <c r="E386" s="189" t="str">
        <f>IF(ISBLANK(C386),"",AVERAGE(C$35:C386))</f>
        <v/>
      </c>
      <c r="F386" s="185"/>
      <c r="G386" s="185"/>
      <c r="H386" s="185"/>
      <c r="I386" s="181">
        <f t="shared" ref="I386:L386" si="390">I385</f>
        <v>53.893722145136735</v>
      </c>
      <c r="J386" s="181">
        <f t="shared" si="390"/>
        <v>44.882748443098563</v>
      </c>
      <c r="K386" s="181">
        <f t="shared" si="390"/>
        <v>56.146465570646278</v>
      </c>
      <c r="L386" s="181">
        <f t="shared" si="390"/>
        <v>42.630005017589021</v>
      </c>
      <c r="M386" s="181">
        <f t="shared" si="375"/>
        <v>50</v>
      </c>
      <c r="N386" s="181">
        <f t="shared" si="375"/>
        <v>55</v>
      </c>
      <c r="O386" s="181">
        <f t="shared" si="375"/>
        <v>45</v>
      </c>
      <c r="P386" s="181">
        <f t="shared" si="375"/>
        <v>49.388235294117649</v>
      </c>
      <c r="Q386" s="188">
        <f t="shared" si="389"/>
        <v>0</v>
      </c>
      <c r="R386" s="180" t="str">
        <f t="shared" si="359"/>
        <v/>
      </c>
      <c r="S386" s="180" t="str">
        <f t="shared" si="360"/>
        <v/>
      </c>
      <c r="T386" s="180" t="str">
        <f t="shared" si="364"/>
        <v/>
      </c>
      <c r="U386" s="180" t="str">
        <f t="shared" si="365"/>
        <v/>
      </c>
      <c r="V386" s="180" t="str">
        <f t="shared" si="353"/>
        <v/>
      </c>
      <c r="W386" s="180" t="str">
        <f t="shared" si="350"/>
        <v/>
      </c>
      <c r="X386" s="180" t="str">
        <f t="shared" si="354"/>
        <v/>
      </c>
      <c r="Y386" s="183"/>
      <c r="Z386" s="183"/>
      <c r="AA386" s="183"/>
    </row>
    <row r="387" spans="1:27" x14ac:dyDescent="0.25">
      <c r="E387" s="183"/>
      <c r="F387" s="183"/>
      <c r="G387" s="183"/>
      <c r="H387" s="183"/>
      <c r="I387" s="184"/>
      <c r="J387" s="184"/>
      <c r="K387" s="184"/>
      <c r="L387" s="184"/>
      <c r="M387" s="184"/>
      <c r="N387" s="184"/>
      <c r="O387" s="184"/>
      <c r="P387" s="184"/>
      <c r="Q387" s="184"/>
      <c r="R387" s="184"/>
      <c r="S387" s="184"/>
      <c r="T387" s="184"/>
      <c r="U387" s="184"/>
      <c r="V387" s="184"/>
      <c r="W387" s="184"/>
      <c r="X387" s="184"/>
      <c r="Y387" s="183"/>
      <c r="Z387" s="183"/>
      <c r="AA387" s="183"/>
    </row>
    <row r="388" spans="1:27" x14ac:dyDescent="0.25">
      <c r="I388" s="65"/>
      <c r="J388" s="65"/>
      <c r="K388" s="65"/>
      <c r="L388" s="65"/>
      <c r="M388" s="65"/>
      <c r="N388" s="65"/>
      <c r="O388" s="65"/>
      <c r="P388" s="65"/>
      <c r="Q388" s="65"/>
      <c r="R388" s="65"/>
      <c r="S388" s="65"/>
      <c r="T388" s="65"/>
      <c r="U388" s="65"/>
      <c r="V388" s="65"/>
      <c r="W388" s="65"/>
      <c r="X388" s="65"/>
    </row>
  </sheetData>
  <protectedRanges>
    <protectedRange sqref="C2:C5 M3 C35:C386" name="Plage1"/>
  </protectedRanges>
  <mergeCells count="1">
    <mergeCell ref="Q33:Q34"/>
  </mergeCells>
  <conditionalFormatting sqref="C35:C386">
    <cfRule type="cellIs" dxfId="0" priority="6" operator="between">
      <formula>$M$5</formula>
      <formula>$M$4</formula>
    </cfRule>
  </conditionalFormatting>
  <pageMargins left="0.7" right="0.7" top="0.75" bottom="0.75" header="0.3" footer="0.3"/>
  <pageSetup paperSize="9" orientation="portrait" horizontalDpi="300" verticalDpi="300" r:id="rId1"/>
  <ignoredErrors>
    <ignoredError sqref="E40:E51" formulaRange="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AJ119"/>
  <sheetViews>
    <sheetView showGridLines="0" zoomScale="85" zoomScaleNormal="85" workbookViewId="0">
      <pane ySplit="29" topLeftCell="A30" activePane="bottomLeft" state="frozen"/>
      <selection pane="bottomLeft" activeCell="O3" sqref="O3:O7"/>
    </sheetView>
  </sheetViews>
  <sheetFormatPr baseColWidth="10" defaultColWidth="9.140625" defaultRowHeight="15" x14ac:dyDescent="0.25"/>
  <cols>
    <col min="2" max="2" width="12.140625" customWidth="1"/>
    <col min="3" max="4" width="13" customWidth="1"/>
    <col min="5" max="5" width="13.7109375" customWidth="1"/>
    <col min="6" max="6" width="12.85546875" customWidth="1"/>
    <col min="7" max="8" width="13.85546875" customWidth="1"/>
    <col min="9" max="9" width="13.7109375" customWidth="1"/>
    <col min="10" max="10" width="14.28515625" customWidth="1"/>
    <col min="11" max="11" width="12.5703125" customWidth="1"/>
    <col min="12" max="12" width="10.85546875" customWidth="1"/>
    <col min="14" max="14" width="14.42578125" customWidth="1"/>
    <col min="15" max="15" width="13.140625" bestFit="1" customWidth="1"/>
    <col min="17" max="17" width="12.85546875" customWidth="1"/>
    <col min="18" max="18" width="11.5703125" customWidth="1"/>
    <col min="21" max="21" width="12" bestFit="1" customWidth="1"/>
  </cols>
  <sheetData>
    <row r="2" spans="2:36" x14ac:dyDescent="0.25">
      <c r="B2" s="80" t="s">
        <v>169</v>
      </c>
    </row>
    <row r="3" spans="2:36" x14ac:dyDescent="0.25">
      <c r="B3" t="s">
        <v>85</v>
      </c>
      <c r="H3" s="1" t="s">
        <v>128</v>
      </c>
    </row>
    <row r="4" spans="2:36" x14ac:dyDescent="0.25">
      <c r="B4" t="s">
        <v>86</v>
      </c>
      <c r="H4" s="1" t="s">
        <v>129</v>
      </c>
    </row>
    <row r="5" spans="2:36" x14ac:dyDescent="0.25">
      <c r="B5" t="s">
        <v>170</v>
      </c>
      <c r="H5" s="1" t="s">
        <v>130</v>
      </c>
    </row>
    <row r="7" spans="2:36" x14ac:dyDescent="0.25">
      <c r="B7" s="80" t="s">
        <v>125</v>
      </c>
      <c r="H7" s="80" t="s">
        <v>165</v>
      </c>
      <c r="U7" s="71"/>
      <c r="V7" s="71"/>
      <c r="W7" s="71"/>
      <c r="X7" s="71"/>
      <c r="Y7" s="71"/>
      <c r="Z7" s="71"/>
      <c r="AA7" s="71"/>
      <c r="AB7" s="71"/>
      <c r="AC7" s="71"/>
      <c r="AD7" s="71"/>
      <c r="AE7" s="71"/>
      <c r="AF7" s="71"/>
      <c r="AG7" s="71"/>
      <c r="AH7" s="71"/>
      <c r="AI7" s="71"/>
      <c r="AJ7" s="71"/>
    </row>
    <row r="8" spans="2:36" x14ac:dyDescent="0.25">
      <c r="B8" t="s">
        <v>171</v>
      </c>
      <c r="H8" s="14" t="s">
        <v>173</v>
      </c>
      <c r="L8" s="15"/>
      <c r="M8" s="156">
        <v>0.73029999999999995</v>
      </c>
      <c r="N8" t="s">
        <v>233</v>
      </c>
      <c r="U8" s="71"/>
      <c r="V8" s="71"/>
      <c r="W8" s="71"/>
      <c r="X8" s="71"/>
      <c r="Y8" s="71"/>
      <c r="Z8" s="71"/>
      <c r="AA8" s="71"/>
      <c r="AB8" s="71"/>
      <c r="AC8" s="71"/>
      <c r="AD8" s="71"/>
      <c r="AE8" s="71"/>
      <c r="AF8" s="71"/>
      <c r="AG8" s="71"/>
      <c r="AH8" s="71"/>
      <c r="AI8" s="71"/>
      <c r="AJ8" s="71"/>
    </row>
    <row r="9" spans="2:36" x14ac:dyDescent="0.25">
      <c r="B9" s="80" t="s">
        <v>126</v>
      </c>
      <c r="H9" s="14" t="s">
        <v>21</v>
      </c>
      <c r="M9" s="156">
        <v>10</v>
      </c>
      <c r="N9" t="s">
        <v>232</v>
      </c>
      <c r="U9" s="71"/>
      <c r="V9" s="71"/>
      <c r="W9" s="71"/>
      <c r="X9" s="71"/>
      <c r="Y9" s="71"/>
      <c r="Z9" s="71"/>
      <c r="AA9" s="71"/>
      <c r="AB9" s="71"/>
      <c r="AC9" s="71"/>
      <c r="AD9" s="71"/>
      <c r="AE9" s="71"/>
      <c r="AF9" s="71"/>
      <c r="AG9" s="71"/>
      <c r="AH9" s="71"/>
      <c r="AI9" s="71"/>
      <c r="AJ9" s="71"/>
    </row>
    <row r="10" spans="2:36" x14ac:dyDescent="0.25">
      <c r="B10" t="s">
        <v>172</v>
      </c>
      <c r="D10" s="49"/>
      <c r="U10" s="71"/>
      <c r="V10" s="71"/>
      <c r="W10" s="71"/>
      <c r="X10" s="71"/>
      <c r="Y10" s="71"/>
      <c r="Z10" s="71"/>
      <c r="AA10" s="71"/>
      <c r="AB10" s="71"/>
      <c r="AC10" s="71"/>
      <c r="AD10" s="71"/>
      <c r="AE10" s="71"/>
      <c r="AF10" s="71"/>
      <c r="AG10" s="71"/>
      <c r="AH10" s="71"/>
      <c r="AI10" s="71"/>
      <c r="AJ10" s="71"/>
    </row>
    <row r="11" spans="2:36" x14ac:dyDescent="0.25">
      <c r="B11" s="77"/>
      <c r="C11" s="78"/>
      <c r="D11" s="78"/>
      <c r="E11" s="78"/>
      <c r="F11" s="78"/>
      <c r="G11" s="78"/>
      <c r="H11" s="78"/>
      <c r="I11" s="78"/>
      <c r="J11" s="78"/>
      <c r="K11" s="78"/>
      <c r="L11" s="78"/>
      <c r="M11" s="78"/>
      <c r="N11" s="78"/>
      <c r="O11" s="79"/>
      <c r="P11" s="79"/>
      <c r="Q11" s="78"/>
      <c r="R11" s="78"/>
      <c r="S11" s="78"/>
      <c r="U11" s="71"/>
      <c r="V11" s="71"/>
      <c r="W11" s="71"/>
      <c r="X11" s="71"/>
      <c r="Y11" s="71"/>
      <c r="Z11" s="71"/>
      <c r="AA11" s="71"/>
      <c r="AB11" s="71"/>
      <c r="AC11" s="71"/>
      <c r="AD11" s="71"/>
      <c r="AE11" s="71"/>
      <c r="AF11" s="71"/>
      <c r="AG11" s="71"/>
      <c r="AH11" s="71"/>
      <c r="AI11" s="71"/>
      <c r="AJ11" s="71"/>
    </row>
    <row r="12" spans="2:36" x14ac:dyDescent="0.25">
      <c r="U12" s="71"/>
      <c r="V12" s="71"/>
      <c r="W12" s="71"/>
      <c r="X12" s="71"/>
      <c r="Y12" s="71"/>
      <c r="Z12" s="71"/>
      <c r="AA12" s="71"/>
      <c r="AB12" s="71"/>
      <c r="AC12" s="71"/>
      <c r="AD12" s="71"/>
      <c r="AE12" s="71"/>
      <c r="AF12" s="71"/>
      <c r="AG12" s="71"/>
      <c r="AH12" s="71"/>
      <c r="AI12" s="71"/>
      <c r="AJ12" s="71"/>
    </row>
    <row r="13" spans="2:36" x14ac:dyDescent="0.25">
      <c r="U13" s="71"/>
      <c r="V13" s="71"/>
      <c r="W13" s="71"/>
      <c r="X13" s="71"/>
      <c r="Y13" s="71"/>
      <c r="Z13" s="71"/>
      <c r="AA13" s="71"/>
      <c r="AB13" s="71"/>
      <c r="AC13" s="71"/>
      <c r="AD13" s="71"/>
      <c r="AE13" s="71"/>
      <c r="AF13" s="71"/>
      <c r="AG13" s="71"/>
      <c r="AH13" s="71"/>
      <c r="AI13" s="71"/>
      <c r="AJ13" s="71"/>
    </row>
    <row r="14" spans="2:36" x14ac:dyDescent="0.25">
      <c r="O14" s="17"/>
      <c r="P14" s="17"/>
      <c r="U14" s="71"/>
      <c r="V14" s="71"/>
      <c r="W14" s="71"/>
      <c r="X14" s="71"/>
      <c r="Y14" s="71"/>
      <c r="Z14" s="71"/>
      <c r="AA14" s="71"/>
      <c r="AB14" s="71"/>
      <c r="AC14" s="71"/>
      <c r="AD14" s="71"/>
      <c r="AE14" s="71"/>
      <c r="AF14" s="71"/>
      <c r="AG14" s="71"/>
      <c r="AH14" s="71"/>
      <c r="AI14" s="71"/>
      <c r="AJ14" s="71"/>
    </row>
    <row r="15" spans="2:36" x14ac:dyDescent="0.25">
      <c r="U15" s="71"/>
      <c r="V15" s="71"/>
      <c r="W15" s="71"/>
      <c r="X15" s="71"/>
      <c r="Y15" s="71"/>
      <c r="Z15" s="71"/>
      <c r="AA15" s="71"/>
      <c r="AB15" s="71"/>
      <c r="AC15" s="71"/>
      <c r="AD15" s="71"/>
      <c r="AE15" s="71"/>
      <c r="AF15" s="71"/>
      <c r="AG15" s="71"/>
      <c r="AH15" s="71"/>
      <c r="AI15" s="71"/>
      <c r="AJ15" s="71"/>
    </row>
    <row r="16" spans="2:36" x14ac:dyDescent="0.25">
      <c r="F16" s="15"/>
      <c r="G16" s="15"/>
      <c r="H16" s="15"/>
      <c r="I16" s="15"/>
      <c r="O16" s="17"/>
      <c r="P16" s="17"/>
      <c r="U16" s="71"/>
      <c r="V16" s="71"/>
      <c r="W16" s="71"/>
      <c r="X16" s="71"/>
      <c r="Y16" s="71"/>
      <c r="Z16" s="71"/>
      <c r="AA16" s="71"/>
      <c r="AB16" s="71"/>
      <c r="AC16" s="71"/>
      <c r="AD16" s="71"/>
      <c r="AE16" s="71"/>
      <c r="AF16" s="71"/>
      <c r="AG16" s="71"/>
      <c r="AH16" s="71"/>
      <c r="AI16" s="71"/>
      <c r="AJ16" s="71"/>
    </row>
    <row r="17" spans="2:36" x14ac:dyDescent="0.25">
      <c r="U17" s="71"/>
      <c r="V17" s="71"/>
      <c r="W17" s="71"/>
      <c r="X17" s="71"/>
      <c r="Y17" s="71"/>
      <c r="Z17" s="71"/>
      <c r="AA17" s="71"/>
      <c r="AB17" s="71"/>
      <c r="AC17" s="71"/>
      <c r="AD17" s="71"/>
      <c r="AE17" s="71"/>
      <c r="AF17" s="71"/>
      <c r="AG17" s="71"/>
      <c r="AH17" s="71"/>
      <c r="AI17" s="71"/>
      <c r="AJ17" s="71"/>
    </row>
    <row r="18" spans="2:36" x14ac:dyDescent="0.25">
      <c r="U18" s="70" t="s">
        <v>50</v>
      </c>
      <c r="V18" s="71"/>
      <c r="W18" s="71"/>
      <c r="X18" s="71"/>
      <c r="Y18" s="71"/>
      <c r="Z18" s="71"/>
      <c r="AA18" s="71"/>
      <c r="AB18" s="71"/>
      <c r="AC18" s="71"/>
      <c r="AD18" s="71"/>
      <c r="AE18" s="71"/>
      <c r="AF18" s="71"/>
      <c r="AG18" s="71"/>
      <c r="AH18" s="71"/>
      <c r="AI18" s="71"/>
      <c r="AJ18" s="71"/>
    </row>
    <row r="19" spans="2:36" x14ac:dyDescent="0.25">
      <c r="U19" s="72" t="s">
        <v>24</v>
      </c>
      <c r="V19" s="72" t="s">
        <v>26</v>
      </c>
      <c r="W19" s="72"/>
      <c r="X19" s="72" t="s">
        <v>23</v>
      </c>
      <c r="Y19" s="72" t="s">
        <v>20</v>
      </c>
      <c r="Z19" s="72" t="s">
        <v>22</v>
      </c>
      <c r="AA19" s="72" t="s">
        <v>19</v>
      </c>
      <c r="AB19" s="71"/>
      <c r="AC19" s="71"/>
      <c r="AD19" s="71"/>
      <c r="AE19" s="73">
        <f>NORMSDIST(3)</f>
        <v>0.9986501019683699</v>
      </c>
      <c r="AF19" s="74">
        <f>1-AE19</f>
        <v>1.3498980316301035E-3</v>
      </c>
      <c r="AG19" s="71"/>
      <c r="AH19" s="71"/>
      <c r="AI19" s="71"/>
      <c r="AJ19" s="71"/>
    </row>
    <row r="20" spans="2:36" x14ac:dyDescent="0.25">
      <c r="U20" s="72" t="s">
        <v>3</v>
      </c>
      <c r="V20" s="72" t="s">
        <v>27</v>
      </c>
      <c r="W20" s="72"/>
      <c r="X20" s="72" t="s">
        <v>160</v>
      </c>
      <c r="Y20" s="72" t="s">
        <v>161</v>
      </c>
      <c r="Z20" s="72" t="s">
        <v>162</v>
      </c>
      <c r="AA20" s="72" t="s">
        <v>163</v>
      </c>
      <c r="AB20" s="71"/>
      <c r="AC20" s="71"/>
      <c r="AD20" s="71"/>
      <c r="AE20" s="73">
        <f>1-AF20</f>
        <v>0.99932505098418489</v>
      </c>
      <c r="AF20" s="74">
        <f>AF19/2</f>
        <v>6.7494901581505173E-4</v>
      </c>
      <c r="AG20" s="71"/>
      <c r="AH20" s="71"/>
      <c r="AI20" s="71"/>
      <c r="AJ20" s="71"/>
    </row>
    <row r="21" spans="2:36" x14ac:dyDescent="0.25">
      <c r="U21" s="72" t="s">
        <v>17</v>
      </c>
      <c r="V21" s="72" t="s">
        <v>28</v>
      </c>
      <c r="W21" s="72"/>
      <c r="X21" s="72" t="s">
        <v>36</v>
      </c>
      <c r="Y21" s="72" t="s">
        <v>43</v>
      </c>
      <c r="Z21" s="72" t="s">
        <v>42</v>
      </c>
      <c r="AA21" s="72" t="s">
        <v>41</v>
      </c>
      <c r="AB21" s="71"/>
      <c r="AC21" s="71"/>
      <c r="AD21" s="71"/>
      <c r="AE21" s="71"/>
      <c r="AF21" s="71"/>
      <c r="AG21" s="71"/>
      <c r="AH21" s="71"/>
      <c r="AI21" s="71"/>
      <c r="AJ21" s="71"/>
    </row>
    <row r="22" spans="2:36" x14ac:dyDescent="0.25">
      <c r="U22" s="72" t="s">
        <v>25</v>
      </c>
      <c r="V22" s="72" t="s">
        <v>29</v>
      </c>
      <c r="W22" s="72"/>
      <c r="X22" s="72" t="s">
        <v>38</v>
      </c>
      <c r="Y22" s="72" t="s">
        <v>37</v>
      </c>
      <c r="Z22" s="72" t="s">
        <v>39</v>
      </c>
      <c r="AA22" s="72" t="s">
        <v>40</v>
      </c>
      <c r="AB22" s="71"/>
      <c r="AC22" s="71"/>
      <c r="AD22" s="71"/>
      <c r="AE22" s="71"/>
      <c r="AF22" s="71"/>
      <c r="AG22" s="71"/>
      <c r="AH22" s="71"/>
      <c r="AI22" s="71"/>
      <c r="AJ22" s="71"/>
    </row>
    <row r="23" spans="2:36" x14ac:dyDescent="0.25">
      <c r="U23" s="69" t="s">
        <v>51</v>
      </c>
      <c r="V23" s="71"/>
      <c r="W23" s="71"/>
      <c r="X23" s="71"/>
      <c r="Y23" s="71"/>
      <c r="Z23" s="71"/>
      <c r="AA23" s="71"/>
      <c r="AB23" s="71"/>
      <c r="AC23" s="71"/>
      <c r="AD23" s="71"/>
      <c r="AE23" s="71"/>
      <c r="AF23" s="71"/>
      <c r="AG23" s="71"/>
      <c r="AH23" s="71"/>
      <c r="AI23" s="71"/>
      <c r="AJ23" s="71"/>
    </row>
    <row r="24" spans="2:36" x14ac:dyDescent="0.25">
      <c r="U24" s="75" t="s">
        <v>30</v>
      </c>
      <c r="V24" s="76" t="s">
        <v>31</v>
      </c>
      <c r="W24" s="76"/>
      <c r="X24" s="76" t="s">
        <v>44</v>
      </c>
      <c r="Y24" s="76" t="s">
        <v>45</v>
      </c>
      <c r="Z24" s="76" t="s">
        <v>46</v>
      </c>
      <c r="AA24" s="76" t="s">
        <v>47</v>
      </c>
      <c r="AB24" s="76" t="s">
        <v>32</v>
      </c>
      <c r="AC24" s="75" t="s">
        <v>48</v>
      </c>
      <c r="AD24" s="75" t="s">
        <v>33</v>
      </c>
      <c r="AE24" s="75" t="s">
        <v>34</v>
      </c>
      <c r="AF24" s="75" t="s">
        <v>35</v>
      </c>
      <c r="AG24" s="71"/>
      <c r="AH24" s="71"/>
      <c r="AI24" s="71"/>
      <c r="AJ24" s="71"/>
    </row>
    <row r="25" spans="2:36" x14ac:dyDescent="0.25">
      <c r="U25" s="76">
        <v>2</v>
      </c>
      <c r="V25" s="76">
        <v>0.79800000000000004</v>
      </c>
      <c r="W25" s="76"/>
      <c r="X25" s="76" t="s">
        <v>49</v>
      </c>
      <c r="Y25" s="76">
        <v>2.6059999999999999</v>
      </c>
      <c r="Z25" s="76" t="s">
        <v>49</v>
      </c>
      <c r="AA25" s="76">
        <v>2.0030000000000001</v>
      </c>
      <c r="AB25" s="76">
        <v>1.1279999999999999</v>
      </c>
      <c r="AC25" s="72" t="s">
        <v>49</v>
      </c>
      <c r="AD25" s="72">
        <v>3.6859999999999999</v>
      </c>
      <c r="AE25" s="72" t="s">
        <v>49</v>
      </c>
      <c r="AF25" s="72">
        <v>2.8340000000000001</v>
      </c>
      <c r="AG25" s="71"/>
      <c r="AH25" s="71"/>
      <c r="AI25" s="71"/>
      <c r="AJ25" s="71"/>
    </row>
    <row r="26" spans="2:36" x14ac:dyDescent="0.25">
      <c r="U26" s="76">
        <v>3</v>
      </c>
      <c r="V26" s="76">
        <v>0.88619999999999999</v>
      </c>
      <c r="W26" s="76"/>
      <c r="X26" s="76"/>
      <c r="Y26" s="76">
        <v>2.2759999999999998</v>
      </c>
      <c r="Z26" s="76"/>
      <c r="AA26" s="76">
        <v>1.8129999999999999</v>
      </c>
      <c r="AB26" s="76">
        <v>1.6930000000000001</v>
      </c>
      <c r="AC26" s="72"/>
      <c r="AD26" s="72"/>
      <c r="AE26" s="72"/>
      <c r="AF26" s="72"/>
      <c r="AG26" s="71"/>
      <c r="AH26" s="71"/>
      <c r="AI26" s="71"/>
      <c r="AJ26" s="71"/>
    </row>
    <row r="27" spans="2:36" x14ac:dyDescent="0.25">
      <c r="U27" s="76">
        <v>5</v>
      </c>
      <c r="V27" s="76">
        <v>0.94</v>
      </c>
      <c r="W27" s="76"/>
      <c r="X27" s="76" t="s">
        <v>49</v>
      </c>
      <c r="Y27" s="76">
        <v>1.964</v>
      </c>
      <c r="Z27" s="76">
        <v>0.25800000000000001</v>
      </c>
      <c r="AA27" s="76">
        <v>1.6220000000000001</v>
      </c>
      <c r="AB27" s="76">
        <v>2.3260000000000001</v>
      </c>
      <c r="AC27" s="72" t="s">
        <v>49</v>
      </c>
      <c r="AD27" s="72">
        <v>4.9180000000000001</v>
      </c>
      <c r="AE27" s="72">
        <v>0.59799999999999998</v>
      </c>
      <c r="AF27" s="72">
        <v>4.0540000000000003</v>
      </c>
      <c r="AG27" s="71"/>
      <c r="AH27" s="71"/>
      <c r="AI27" s="71"/>
      <c r="AJ27" s="71"/>
    </row>
    <row r="28" spans="2:36" x14ac:dyDescent="0.25">
      <c r="U28" s="76">
        <v>10</v>
      </c>
      <c r="V28" s="76">
        <v>0.97299999999999998</v>
      </c>
      <c r="W28" s="76"/>
      <c r="X28" s="76">
        <v>0.27600000000000002</v>
      </c>
      <c r="Y28" s="76">
        <v>1.669</v>
      </c>
      <c r="Z28" s="76">
        <v>0.50900000000000001</v>
      </c>
      <c r="AA28" s="76">
        <v>1.4370000000000001</v>
      </c>
      <c r="AB28" s="76">
        <v>3.0779999999999998</v>
      </c>
      <c r="AC28" s="72">
        <v>0.68700000000000006</v>
      </c>
      <c r="AD28" s="72">
        <v>5.4690000000000003</v>
      </c>
      <c r="AE28" s="72">
        <v>1.484</v>
      </c>
      <c r="AF28" s="72">
        <v>4.6719999999999997</v>
      </c>
      <c r="AG28" s="71"/>
      <c r="AH28" s="71"/>
      <c r="AI28" s="71"/>
      <c r="AJ28" s="71"/>
    </row>
    <row r="29" spans="2:36" x14ac:dyDescent="0.25">
      <c r="B29" s="78"/>
      <c r="C29" s="78"/>
      <c r="D29" s="78"/>
      <c r="E29" s="78"/>
      <c r="F29" s="78"/>
      <c r="G29" s="78"/>
      <c r="H29" s="78"/>
      <c r="I29" s="78"/>
      <c r="J29" s="78"/>
      <c r="K29" s="78"/>
      <c r="L29" s="78"/>
      <c r="M29" s="78"/>
      <c r="N29" s="78"/>
      <c r="O29" s="78"/>
      <c r="P29" s="78"/>
      <c r="Q29" s="78"/>
      <c r="R29" s="78"/>
      <c r="S29" s="78"/>
      <c r="U29" s="71"/>
      <c r="V29" s="71"/>
      <c r="W29" s="71"/>
      <c r="X29" s="71"/>
      <c r="Y29" s="71"/>
      <c r="Z29" s="71"/>
      <c r="AA29" s="71"/>
      <c r="AB29" s="71"/>
      <c r="AC29" s="71"/>
      <c r="AD29" s="71"/>
      <c r="AE29" s="71"/>
      <c r="AF29" s="71"/>
      <c r="AG29" s="71"/>
      <c r="AH29" s="71"/>
      <c r="AI29" s="71"/>
      <c r="AJ29" s="71"/>
    </row>
    <row r="30" spans="2:36" x14ac:dyDescent="0.25">
      <c r="U30" s="71"/>
      <c r="V30" s="71"/>
      <c r="W30" s="71"/>
      <c r="X30" s="71"/>
      <c r="Y30" s="71"/>
      <c r="Z30" s="71"/>
      <c r="AA30" s="71"/>
      <c r="AB30" s="71"/>
      <c r="AC30" s="71"/>
      <c r="AD30" s="71"/>
      <c r="AE30" s="71"/>
      <c r="AF30" s="71"/>
      <c r="AG30" s="71"/>
      <c r="AH30" s="71"/>
      <c r="AI30" s="71"/>
      <c r="AJ30" s="71"/>
    </row>
    <row r="31" spans="2:36" x14ac:dyDescent="0.25">
      <c r="B31" s="10" t="s">
        <v>164</v>
      </c>
      <c r="C31" s="40">
        <f ca="1">COUNT(C33:E33)</f>
        <v>3</v>
      </c>
      <c r="F31" s="88"/>
      <c r="G31" s="88"/>
      <c r="H31" s="88"/>
      <c r="I31" s="192" t="s">
        <v>55</v>
      </c>
      <c r="J31" s="192"/>
      <c r="K31" s="192"/>
      <c r="L31" s="192"/>
      <c r="M31" s="192"/>
      <c r="N31" s="192" t="s">
        <v>64</v>
      </c>
      <c r="O31" s="192"/>
      <c r="P31" s="192"/>
      <c r="Q31" s="192" t="s">
        <v>100</v>
      </c>
      <c r="R31" s="192"/>
      <c r="S31" s="192"/>
      <c r="U31" s="71"/>
      <c r="V31" s="71"/>
      <c r="W31" s="71"/>
      <c r="X31" s="71"/>
      <c r="Y31" s="71"/>
      <c r="Z31" s="71"/>
      <c r="AA31" s="71"/>
      <c r="AB31" s="71"/>
      <c r="AC31" s="71"/>
      <c r="AD31" s="71"/>
      <c r="AE31" s="71"/>
      <c r="AF31" s="71"/>
      <c r="AG31" s="71"/>
      <c r="AH31" s="71"/>
      <c r="AI31" s="71"/>
      <c r="AJ31" s="71"/>
    </row>
    <row r="32" spans="2:36" x14ac:dyDescent="0.25">
      <c r="B32" s="16" t="s">
        <v>16</v>
      </c>
      <c r="C32" s="68" t="s">
        <v>65</v>
      </c>
      <c r="D32" s="68" t="s">
        <v>66</v>
      </c>
      <c r="E32" s="68" t="s">
        <v>139</v>
      </c>
      <c r="F32" s="89" t="s">
        <v>137</v>
      </c>
      <c r="G32" s="89" t="s">
        <v>25</v>
      </c>
      <c r="H32" s="89" t="s">
        <v>138</v>
      </c>
      <c r="I32" s="90" t="s">
        <v>18</v>
      </c>
      <c r="J32" s="90" t="s">
        <v>19</v>
      </c>
      <c r="K32" s="90" t="s">
        <v>20</v>
      </c>
      <c r="L32" s="89" t="s">
        <v>22</v>
      </c>
      <c r="M32" s="89" t="s">
        <v>23</v>
      </c>
      <c r="N32" s="90" t="s">
        <v>18</v>
      </c>
      <c r="O32" s="90" t="s">
        <v>19</v>
      </c>
      <c r="P32" s="90" t="s">
        <v>20</v>
      </c>
      <c r="Q32" s="90" t="s">
        <v>18</v>
      </c>
      <c r="R32" s="90" t="s">
        <v>19</v>
      </c>
      <c r="S32" s="90" t="s">
        <v>20</v>
      </c>
      <c r="U32" s="83"/>
      <c r="V32" s="71"/>
      <c r="W32" s="71"/>
      <c r="X32" s="71"/>
      <c r="Y32" s="71"/>
      <c r="Z32" s="71"/>
      <c r="AA32" s="71"/>
      <c r="AB32" s="71"/>
      <c r="AC32" s="71"/>
      <c r="AD32" s="71"/>
      <c r="AE32" s="71"/>
      <c r="AF32" s="71"/>
      <c r="AG32" s="71"/>
      <c r="AH32" s="71"/>
      <c r="AI32" s="71"/>
      <c r="AJ32" s="71"/>
    </row>
    <row r="33" spans="2:36" x14ac:dyDescent="0.25">
      <c r="B33" s="16">
        <v>1</v>
      </c>
      <c r="C33" s="48">
        <f ca="1">10+RAND()-RAND()</f>
        <v>10.302284039284316</v>
      </c>
      <c r="D33" s="48">
        <f ca="1">10+RAND()-RAND()</f>
        <v>10.267597340313094</v>
      </c>
      <c r="E33" s="48">
        <f t="shared" ref="E33:E48" ca="1" si="0">10+RAND()-RAND()</f>
        <v>10.369695808314255</v>
      </c>
      <c r="F33" s="91">
        <f ca="1">STDEV(C33:E33)</f>
        <v>5.1915975154490604E-2</v>
      </c>
      <c r="G33" s="91">
        <f t="shared" ref="G33:G51" ca="1" si="1">MAX(C33:E33)-MIN(C33:E33)</f>
        <v>0.10209846800116118</v>
      </c>
      <c r="H33" s="91">
        <f t="shared" ref="H33:H51" ca="1" si="2">AVERAGE(C33:E33)</f>
        <v>10.313192395970555</v>
      </c>
      <c r="I33" s="92">
        <f>M9</f>
        <v>10</v>
      </c>
      <c r="J33" s="92">
        <f ca="1">I33+2*M8/SQRT(C31)</f>
        <v>10.843277803178367</v>
      </c>
      <c r="K33" s="92">
        <f ca="1">I33+3*M8/SQRT(C31)</f>
        <v>11.26491670476755</v>
      </c>
      <c r="L33" s="92">
        <f ca="1">I33-2*M8/SQRT(C31)</f>
        <v>9.156722196821633</v>
      </c>
      <c r="M33" s="92">
        <f ca="1">I33-3*M8/SQRT(C31)</f>
        <v>8.7350832952324495</v>
      </c>
      <c r="N33" s="92">
        <f>M8*V26</f>
        <v>0.64719185999999995</v>
      </c>
      <c r="O33" s="92">
        <f>M8*AA26</f>
        <v>1.3240338999999999</v>
      </c>
      <c r="P33" s="92">
        <f>M8*Y26</f>
        <v>1.6621627999999997</v>
      </c>
      <c r="Q33" s="92">
        <f>M8*AB25</f>
        <v>0.82377839999999991</v>
      </c>
      <c r="R33" s="92">
        <f>M8*AF25</f>
        <v>2.0696702</v>
      </c>
      <c r="S33" s="92">
        <f>M8*AD25</f>
        <v>2.6918857999999997</v>
      </c>
      <c r="U33" s="72"/>
      <c r="V33" s="71"/>
      <c r="W33" s="71"/>
      <c r="X33" s="71"/>
      <c r="Y33" s="71"/>
      <c r="Z33" s="71"/>
      <c r="AA33" s="71"/>
      <c r="AB33" s="71"/>
      <c r="AC33" s="71"/>
      <c r="AD33" s="71"/>
      <c r="AE33" s="71"/>
      <c r="AF33" s="71"/>
      <c r="AG33" s="71"/>
      <c r="AH33" s="71"/>
      <c r="AI33" s="71"/>
      <c r="AJ33" s="71"/>
    </row>
    <row r="34" spans="2:36" x14ac:dyDescent="0.25">
      <c r="B34" s="16">
        <v>2</v>
      </c>
      <c r="C34" s="48">
        <f t="shared" ref="C34:E52" ca="1" si="3">10+RAND()-RAND()</f>
        <v>9.6465360356987873</v>
      </c>
      <c r="D34" s="48">
        <f t="shared" ca="1" si="3"/>
        <v>10.109753531667796</v>
      </c>
      <c r="E34" s="48">
        <f t="shared" ca="1" si="0"/>
        <v>9.7177545129635163</v>
      </c>
      <c r="F34" s="91">
        <f t="shared" ref="F34:F51" ca="1" si="4">STDEV(C34:E34)</f>
        <v>0.24943461091731128</v>
      </c>
      <c r="G34" s="91">
        <f t="shared" ca="1" si="1"/>
        <v>0.4632174959690083</v>
      </c>
      <c r="H34" s="91">
        <f t="shared" ca="1" si="2"/>
        <v>9.8246813601100325</v>
      </c>
      <c r="I34" s="92">
        <f>I33</f>
        <v>10</v>
      </c>
      <c r="J34" s="92">
        <f t="shared" ref="J34:M37" ca="1" si="5">J33</f>
        <v>10.843277803178367</v>
      </c>
      <c r="K34" s="92">
        <f t="shared" ca="1" si="5"/>
        <v>11.26491670476755</v>
      </c>
      <c r="L34" s="92">
        <f t="shared" ca="1" si="5"/>
        <v>9.156722196821633</v>
      </c>
      <c r="M34" s="92">
        <f t="shared" ca="1" si="5"/>
        <v>8.7350832952324495</v>
      </c>
      <c r="N34" s="92">
        <f t="shared" ref="N34:Q37" si="6">N33</f>
        <v>0.64719185999999995</v>
      </c>
      <c r="O34" s="92">
        <f t="shared" si="6"/>
        <v>1.3240338999999999</v>
      </c>
      <c r="P34" s="92">
        <f>P33</f>
        <v>1.6621627999999997</v>
      </c>
      <c r="Q34" s="92">
        <f>Q33</f>
        <v>0.82377839999999991</v>
      </c>
      <c r="R34" s="92">
        <f t="shared" ref="R34:S34" si="7">R33</f>
        <v>2.0696702</v>
      </c>
      <c r="S34" s="92">
        <f t="shared" si="7"/>
        <v>2.6918857999999997</v>
      </c>
      <c r="T34" s="15"/>
      <c r="U34" s="81"/>
      <c r="V34" s="15"/>
      <c r="W34" s="15"/>
      <c r="X34" s="15"/>
      <c r="Y34" s="15"/>
      <c r="Z34" s="15"/>
      <c r="AA34" s="15"/>
      <c r="AB34" s="15"/>
      <c r="AC34" s="15"/>
      <c r="AD34" s="15"/>
      <c r="AE34" s="15"/>
      <c r="AF34" s="15"/>
      <c r="AG34" s="15"/>
      <c r="AH34" s="15"/>
      <c r="AI34" s="15"/>
    </row>
    <row r="35" spans="2:36" x14ac:dyDescent="0.25">
      <c r="B35" s="16">
        <v>3</v>
      </c>
      <c r="C35" s="48">
        <f t="shared" ca="1" si="3"/>
        <v>9.5650099537166327</v>
      </c>
      <c r="D35" s="48">
        <f t="shared" ca="1" si="3"/>
        <v>9.8195169758184644</v>
      </c>
      <c r="E35" s="48">
        <f t="shared" ca="1" si="0"/>
        <v>10.358754145944529</v>
      </c>
      <c r="F35" s="91">
        <f t="shared" ca="1" si="4"/>
        <v>0.40529421260779258</v>
      </c>
      <c r="G35" s="91">
        <f t="shared" ca="1" si="1"/>
        <v>0.79374419222789605</v>
      </c>
      <c r="H35" s="91">
        <f t="shared" ca="1" si="2"/>
        <v>9.9144270251598758</v>
      </c>
      <c r="I35" s="92">
        <f>I34</f>
        <v>10</v>
      </c>
      <c r="J35" s="92">
        <f t="shared" ca="1" si="5"/>
        <v>10.843277803178367</v>
      </c>
      <c r="K35" s="92">
        <f t="shared" ca="1" si="5"/>
        <v>11.26491670476755</v>
      </c>
      <c r="L35" s="92">
        <f t="shared" ca="1" si="5"/>
        <v>9.156722196821633</v>
      </c>
      <c r="M35" s="92">
        <f t="shared" ca="1" si="5"/>
        <v>8.7350832952324495</v>
      </c>
      <c r="N35" s="92">
        <f t="shared" si="6"/>
        <v>0.64719185999999995</v>
      </c>
      <c r="O35" s="92">
        <f t="shared" si="6"/>
        <v>1.3240338999999999</v>
      </c>
      <c r="P35" s="92">
        <f t="shared" si="6"/>
        <v>1.6621627999999997</v>
      </c>
      <c r="Q35" s="92">
        <f t="shared" si="6"/>
        <v>0.82377839999999991</v>
      </c>
      <c r="R35" s="92">
        <f t="shared" ref="R35:S35" si="8">R34</f>
        <v>2.0696702</v>
      </c>
      <c r="S35" s="92">
        <f t="shared" si="8"/>
        <v>2.6918857999999997</v>
      </c>
      <c r="T35" s="15"/>
      <c r="U35" s="82"/>
      <c r="V35" s="15"/>
      <c r="W35" s="15"/>
      <c r="X35" s="15"/>
      <c r="Y35" s="15"/>
      <c r="Z35" s="15"/>
      <c r="AA35" s="15"/>
      <c r="AB35" s="15"/>
      <c r="AC35" s="15"/>
      <c r="AD35" s="15"/>
      <c r="AE35" s="15"/>
      <c r="AF35" s="15"/>
      <c r="AG35" s="15"/>
      <c r="AH35" s="15"/>
      <c r="AI35" s="15"/>
    </row>
    <row r="36" spans="2:36" x14ac:dyDescent="0.25">
      <c r="B36" s="16">
        <v>4</v>
      </c>
      <c r="C36" s="48">
        <f t="shared" ca="1" si="3"/>
        <v>10.51758172997558</v>
      </c>
      <c r="D36" s="48">
        <f t="shared" ca="1" si="3"/>
        <v>9.0459467282728294</v>
      </c>
      <c r="E36" s="48">
        <f t="shared" ca="1" si="0"/>
        <v>9.828437035078375</v>
      </c>
      <c r="F36" s="91">
        <f t="shared" ca="1" si="4"/>
        <v>0.73631074384237327</v>
      </c>
      <c r="G36" s="91">
        <f t="shared" ca="1" si="1"/>
        <v>1.4716350017027509</v>
      </c>
      <c r="H36" s="91">
        <f t="shared" ca="1" si="2"/>
        <v>9.7973218311089294</v>
      </c>
      <c r="I36" s="92">
        <f>I35</f>
        <v>10</v>
      </c>
      <c r="J36" s="92">
        <f t="shared" ca="1" si="5"/>
        <v>10.843277803178367</v>
      </c>
      <c r="K36" s="92">
        <f t="shared" ca="1" si="5"/>
        <v>11.26491670476755</v>
      </c>
      <c r="L36" s="92">
        <f t="shared" ca="1" si="5"/>
        <v>9.156722196821633</v>
      </c>
      <c r="M36" s="92">
        <f t="shared" ca="1" si="5"/>
        <v>8.7350832952324495</v>
      </c>
      <c r="N36" s="92">
        <f t="shared" si="6"/>
        <v>0.64719185999999995</v>
      </c>
      <c r="O36" s="92">
        <f t="shared" si="6"/>
        <v>1.3240338999999999</v>
      </c>
      <c r="P36" s="92">
        <f t="shared" si="6"/>
        <v>1.6621627999999997</v>
      </c>
      <c r="Q36" s="92">
        <f t="shared" si="6"/>
        <v>0.82377839999999991</v>
      </c>
      <c r="R36" s="92">
        <f t="shared" ref="R36:S36" si="9">R35</f>
        <v>2.0696702</v>
      </c>
      <c r="S36" s="92">
        <f t="shared" si="9"/>
        <v>2.6918857999999997</v>
      </c>
      <c r="T36" s="15"/>
      <c r="U36" s="87"/>
    </row>
    <row r="37" spans="2:36" x14ac:dyDescent="0.25">
      <c r="B37" s="16">
        <v>5</v>
      </c>
      <c r="C37" s="48">
        <f t="shared" ca="1" si="3"/>
        <v>10.327182830064906</v>
      </c>
      <c r="D37" s="48">
        <f t="shared" ca="1" si="3"/>
        <v>9.8137694567542901</v>
      </c>
      <c r="E37" s="48">
        <f t="shared" ca="1" si="0"/>
        <v>10.038469052920178</v>
      </c>
      <c r="F37" s="91">
        <f t="shared" ca="1" si="4"/>
        <v>0.25737095327059056</v>
      </c>
      <c r="G37" s="91">
        <f t="shared" ca="1" si="1"/>
        <v>0.51341337331061609</v>
      </c>
      <c r="H37" s="91">
        <f t="shared" ca="1" si="2"/>
        <v>10.059807113246459</v>
      </c>
      <c r="I37" s="92">
        <f>I36</f>
        <v>10</v>
      </c>
      <c r="J37" s="92">
        <f t="shared" ca="1" si="5"/>
        <v>10.843277803178367</v>
      </c>
      <c r="K37" s="92">
        <f t="shared" ca="1" si="5"/>
        <v>11.26491670476755</v>
      </c>
      <c r="L37" s="92">
        <f t="shared" ca="1" si="5"/>
        <v>9.156722196821633</v>
      </c>
      <c r="M37" s="92">
        <f t="shared" ca="1" si="5"/>
        <v>8.7350832952324495</v>
      </c>
      <c r="N37" s="92">
        <f t="shared" si="6"/>
        <v>0.64719185999999995</v>
      </c>
      <c r="O37" s="92">
        <f t="shared" si="6"/>
        <v>1.3240338999999999</v>
      </c>
      <c r="P37" s="92">
        <f t="shared" si="6"/>
        <v>1.6621627999999997</v>
      </c>
      <c r="Q37" s="92">
        <f t="shared" si="6"/>
        <v>0.82377839999999991</v>
      </c>
      <c r="R37" s="92">
        <f t="shared" ref="R37:S37" si="10">R36</f>
        <v>2.0696702</v>
      </c>
      <c r="S37" s="92">
        <f t="shared" si="10"/>
        <v>2.6918857999999997</v>
      </c>
      <c r="T37" s="15"/>
      <c r="U37" s="15"/>
    </row>
    <row r="38" spans="2:36" x14ac:dyDescent="0.25">
      <c r="B38" s="16">
        <v>6</v>
      </c>
      <c r="C38" s="48">
        <f t="shared" ca="1" si="3"/>
        <v>9.2765704370520865</v>
      </c>
      <c r="D38" s="48">
        <f t="shared" ca="1" si="3"/>
        <v>10.292516914496465</v>
      </c>
      <c r="E38" s="48">
        <f t="shared" ca="1" si="0"/>
        <v>10.041064899169346</v>
      </c>
      <c r="F38" s="91">
        <f t="shared" ca="1" si="4"/>
        <v>0.52912303919656667</v>
      </c>
      <c r="G38" s="91">
        <f t="shared" ca="1" si="1"/>
        <v>1.0159464774443787</v>
      </c>
      <c r="H38" s="91">
        <f t="shared" ca="1" si="2"/>
        <v>9.8700507502392991</v>
      </c>
      <c r="I38" s="92">
        <f t="shared" ref="I38:M51" si="11">I37</f>
        <v>10</v>
      </c>
      <c r="J38" s="92">
        <f t="shared" ca="1" si="11"/>
        <v>10.843277803178367</v>
      </c>
      <c r="K38" s="92">
        <f t="shared" ca="1" si="11"/>
        <v>11.26491670476755</v>
      </c>
      <c r="L38" s="92">
        <f t="shared" ca="1" si="11"/>
        <v>9.156722196821633</v>
      </c>
      <c r="M38" s="92">
        <f t="shared" ca="1" si="11"/>
        <v>8.7350832952324495</v>
      </c>
      <c r="N38" s="92">
        <f t="shared" ref="N38:S53" si="12">N37</f>
        <v>0.64719185999999995</v>
      </c>
      <c r="O38" s="92">
        <f t="shared" ref="O38:Q51" si="13">O37</f>
        <v>1.3240338999999999</v>
      </c>
      <c r="P38" s="92">
        <f t="shared" si="13"/>
        <v>1.6621627999999997</v>
      </c>
      <c r="Q38" s="92">
        <f t="shared" si="13"/>
        <v>0.82377839999999991</v>
      </c>
      <c r="R38" s="92">
        <f t="shared" ref="R38:S38" si="14">R37</f>
        <v>2.0696702</v>
      </c>
      <c r="S38" s="92">
        <f t="shared" si="14"/>
        <v>2.6918857999999997</v>
      </c>
      <c r="T38" s="15"/>
      <c r="U38" s="15"/>
    </row>
    <row r="39" spans="2:36" x14ac:dyDescent="0.25">
      <c r="B39" s="16">
        <v>7</v>
      </c>
      <c r="C39" s="48">
        <f t="shared" ca="1" si="3"/>
        <v>9.4822935642686517</v>
      </c>
      <c r="D39" s="48">
        <f t="shared" ca="1" si="3"/>
        <v>10.125601295671304</v>
      </c>
      <c r="E39" s="48">
        <f t="shared" ca="1" si="0"/>
        <v>10.192650786426993</v>
      </c>
      <c r="F39" s="91">
        <f t="shared" ca="1" si="4"/>
        <v>0.39220484753198803</v>
      </c>
      <c r="G39" s="91">
        <f t="shared" ca="1" si="1"/>
        <v>0.71035722215834163</v>
      </c>
      <c r="H39" s="91">
        <f t="shared" ca="1" si="2"/>
        <v>9.9335152154556496</v>
      </c>
      <c r="I39" s="92">
        <f t="shared" si="11"/>
        <v>10</v>
      </c>
      <c r="J39" s="92">
        <f t="shared" ca="1" si="11"/>
        <v>10.843277803178367</v>
      </c>
      <c r="K39" s="92">
        <f t="shared" ca="1" si="11"/>
        <v>11.26491670476755</v>
      </c>
      <c r="L39" s="92">
        <f t="shared" ca="1" si="11"/>
        <v>9.156722196821633</v>
      </c>
      <c r="M39" s="92">
        <f t="shared" ca="1" si="11"/>
        <v>8.7350832952324495</v>
      </c>
      <c r="N39" s="92">
        <f t="shared" si="12"/>
        <v>0.64719185999999995</v>
      </c>
      <c r="O39" s="92">
        <f t="shared" si="13"/>
        <v>1.3240338999999999</v>
      </c>
      <c r="P39" s="92">
        <f t="shared" si="13"/>
        <v>1.6621627999999997</v>
      </c>
      <c r="Q39" s="92">
        <f t="shared" si="13"/>
        <v>0.82377839999999991</v>
      </c>
      <c r="R39" s="92">
        <f t="shared" ref="R39:S39" si="15">R38</f>
        <v>2.0696702</v>
      </c>
      <c r="S39" s="92">
        <f t="shared" si="15"/>
        <v>2.6918857999999997</v>
      </c>
      <c r="T39" s="15"/>
      <c r="U39" s="15"/>
    </row>
    <row r="40" spans="2:36" x14ac:dyDescent="0.25">
      <c r="B40" s="16">
        <v>8</v>
      </c>
      <c r="C40" s="48">
        <f t="shared" ca="1" si="3"/>
        <v>9.3088111534131066</v>
      </c>
      <c r="D40" s="48">
        <f t="shared" ca="1" si="3"/>
        <v>9.6334734314393415</v>
      </c>
      <c r="E40" s="48">
        <f t="shared" ca="1" si="0"/>
        <v>9.9943341865907431</v>
      </c>
      <c r="F40" s="91">
        <f t="shared" ca="1" si="4"/>
        <v>0.34292076548348865</v>
      </c>
      <c r="G40" s="91">
        <f t="shared" ca="1" si="1"/>
        <v>0.68552303317763652</v>
      </c>
      <c r="H40" s="91">
        <f t="shared" ca="1" si="2"/>
        <v>9.6455395904810644</v>
      </c>
      <c r="I40" s="92">
        <f t="shared" si="11"/>
        <v>10</v>
      </c>
      <c r="J40" s="92">
        <f t="shared" ca="1" si="11"/>
        <v>10.843277803178367</v>
      </c>
      <c r="K40" s="92">
        <f t="shared" ca="1" si="11"/>
        <v>11.26491670476755</v>
      </c>
      <c r="L40" s="92">
        <f t="shared" ca="1" si="11"/>
        <v>9.156722196821633</v>
      </c>
      <c r="M40" s="92">
        <f t="shared" ca="1" si="11"/>
        <v>8.7350832952324495</v>
      </c>
      <c r="N40" s="92">
        <f t="shared" si="12"/>
        <v>0.64719185999999995</v>
      </c>
      <c r="O40" s="92">
        <f t="shared" si="13"/>
        <v>1.3240338999999999</v>
      </c>
      <c r="P40" s="92">
        <f t="shared" si="13"/>
        <v>1.6621627999999997</v>
      </c>
      <c r="Q40" s="92">
        <f t="shared" si="13"/>
        <v>0.82377839999999991</v>
      </c>
      <c r="R40" s="92">
        <f t="shared" ref="R40:S40" si="16">R39</f>
        <v>2.0696702</v>
      </c>
      <c r="S40" s="92">
        <f t="shared" si="16"/>
        <v>2.6918857999999997</v>
      </c>
    </row>
    <row r="41" spans="2:36" x14ac:dyDescent="0.25">
      <c r="B41" s="16">
        <v>9</v>
      </c>
      <c r="C41" s="48">
        <f t="shared" ca="1" si="3"/>
        <v>9.2222170251029407</v>
      </c>
      <c r="D41" s="48">
        <f t="shared" ca="1" si="3"/>
        <v>10.023364359020313</v>
      </c>
      <c r="E41" s="48">
        <f t="shared" ca="1" si="0"/>
        <v>10.581206160772636</v>
      </c>
      <c r="F41" s="91">
        <f t="shared" ca="1" si="4"/>
        <v>0.6831149241151957</v>
      </c>
      <c r="G41" s="91">
        <f t="shared" ca="1" si="1"/>
        <v>1.3589891356696953</v>
      </c>
      <c r="H41" s="91">
        <f t="shared" ca="1" si="2"/>
        <v>9.9422625149652983</v>
      </c>
      <c r="I41" s="92">
        <f t="shared" si="11"/>
        <v>10</v>
      </c>
      <c r="J41" s="92">
        <f t="shared" ca="1" si="11"/>
        <v>10.843277803178367</v>
      </c>
      <c r="K41" s="92">
        <f t="shared" ca="1" si="11"/>
        <v>11.26491670476755</v>
      </c>
      <c r="L41" s="92">
        <f t="shared" ca="1" si="11"/>
        <v>9.156722196821633</v>
      </c>
      <c r="M41" s="92">
        <f t="shared" ca="1" si="11"/>
        <v>8.7350832952324495</v>
      </c>
      <c r="N41" s="92">
        <f t="shared" si="12"/>
        <v>0.64719185999999995</v>
      </c>
      <c r="O41" s="92">
        <f t="shared" si="13"/>
        <v>1.3240338999999999</v>
      </c>
      <c r="P41" s="92">
        <f t="shared" si="13"/>
        <v>1.6621627999999997</v>
      </c>
      <c r="Q41" s="92">
        <f t="shared" si="13"/>
        <v>0.82377839999999991</v>
      </c>
      <c r="R41" s="92">
        <f t="shared" ref="R41:S41" si="17">R40</f>
        <v>2.0696702</v>
      </c>
      <c r="S41" s="92">
        <f t="shared" si="17"/>
        <v>2.6918857999999997</v>
      </c>
    </row>
    <row r="42" spans="2:36" x14ac:dyDescent="0.25">
      <c r="B42" s="16">
        <v>10</v>
      </c>
      <c r="C42" s="48">
        <f t="shared" ca="1" si="3"/>
        <v>9.6966814874202623</v>
      </c>
      <c r="D42" s="48">
        <f t="shared" ca="1" si="3"/>
        <v>10.493382832787761</v>
      </c>
      <c r="E42" s="48">
        <f t="shared" ca="1" si="0"/>
        <v>10.312438521178967</v>
      </c>
      <c r="F42" s="91">
        <f t="shared" ca="1" si="4"/>
        <v>0.41765827383904841</v>
      </c>
      <c r="G42" s="91">
        <f t="shared" ca="1" si="1"/>
        <v>0.7967013453674987</v>
      </c>
      <c r="H42" s="91">
        <f t="shared" ca="1" si="2"/>
        <v>10.167500947128998</v>
      </c>
      <c r="I42" s="92">
        <f t="shared" si="11"/>
        <v>10</v>
      </c>
      <c r="J42" s="92">
        <f t="shared" ca="1" si="11"/>
        <v>10.843277803178367</v>
      </c>
      <c r="K42" s="92">
        <f t="shared" ca="1" si="11"/>
        <v>11.26491670476755</v>
      </c>
      <c r="L42" s="92">
        <f t="shared" ca="1" si="11"/>
        <v>9.156722196821633</v>
      </c>
      <c r="M42" s="92">
        <f t="shared" ca="1" si="11"/>
        <v>8.7350832952324495</v>
      </c>
      <c r="N42" s="92">
        <f t="shared" si="12"/>
        <v>0.64719185999999995</v>
      </c>
      <c r="O42" s="92">
        <f t="shared" si="13"/>
        <v>1.3240338999999999</v>
      </c>
      <c r="P42" s="92">
        <f t="shared" si="13"/>
        <v>1.6621627999999997</v>
      </c>
      <c r="Q42" s="92">
        <f t="shared" si="13"/>
        <v>0.82377839999999991</v>
      </c>
      <c r="R42" s="92">
        <f t="shared" ref="R42:S42" si="18">R41</f>
        <v>2.0696702</v>
      </c>
      <c r="S42" s="92">
        <f t="shared" si="18"/>
        <v>2.6918857999999997</v>
      </c>
    </row>
    <row r="43" spans="2:36" x14ac:dyDescent="0.25">
      <c r="B43" s="16">
        <v>11</v>
      </c>
      <c r="C43" s="48">
        <f t="shared" ca="1" si="3"/>
        <v>9.786073956273956</v>
      </c>
      <c r="D43" s="48">
        <f t="shared" ca="1" si="3"/>
        <v>9.8429079428924524</v>
      </c>
      <c r="E43" s="48">
        <f t="shared" ca="1" si="0"/>
        <v>10.316990356642561</v>
      </c>
      <c r="F43" s="91">
        <f t="shared" ca="1" si="4"/>
        <v>0.29150656403199515</v>
      </c>
      <c r="G43" s="91">
        <f t="shared" ca="1" si="1"/>
        <v>0.53091640036860532</v>
      </c>
      <c r="H43" s="91">
        <f t="shared" ca="1" si="2"/>
        <v>9.9819907519363227</v>
      </c>
      <c r="I43" s="92">
        <f t="shared" si="11"/>
        <v>10</v>
      </c>
      <c r="J43" s="92">
        <f t="shared" ca="1" si="11"/>
        <v>10.843277803178367</v>
      </c>
      <c r="K43" s="92">
        <f t="shared" ca="1" si="11"/>
        <v>11.26491670476755</v>
      </c>
      <c r="L43" s="92">
        <f t="shared" ca="1" si="11"/>
        <v>9.156722196821633</v>
      </c>
      <c r="M43" s="92">
        <f t="shared" ca="1" si="11"/>
        <v>8.7350832952324495</v>
      </c>
      <c r="N43" s="92">
        <f t="shared" si="12"/>
        <v>0.64719185999999995</v>
      </c>
      <c r="O43" s="92">
        <f t="shared" si="13"/>
        <v>1.3240338999999999</v>
      </c>
      <c r="P43" s="92">
        <f t="shared" si="13"/>
        <v>1.6621627999999997</v>
      </c>
      <c r="Q43" s="92">
        <f t="shared" si="13"/>
        <v>0.82377839999999991</v>
      </c>
      <c r="R43" s="92">
        <f t="shared" ref="R43:S43" si="19">R42</f>
        <v>2.0696702</v>
      </c>
      <c r="S43" s="92">
        <f t="shared" si="19"/>
        <v>2.6918857999999997</v>
      </c>
    </row>
    <row r="44" spans="2:36" x14ac:dyDescent="0.25">
      <c r="B44" s="16">
        <v>12</v>
      </c>
      <c r="C44" s="48">
        <f t="shared" ca="1" si="3"/>
        <v>10.661544089425226</v>
      </c>
      <c r="D44" s="48">
        <f t="shared" ca="1" si="3"/>
        <v>10.534790128468822</v>
      </c>
      <c r="E44" s="48">
        <f t="shared" ca="1" si="0"/>
        <v>10.17600890476035</v>
      </c>
      <c r="F44" s="91">
        <f t="shared" ca="1" si="4"/>
        <v>0.2518382247433994</v>
      </c>
      <c r="G44" s="91">
        <f t="shared" ca="1" si="1"/>
        <v>0.48553518466487589</v>
      </c>
      <c r="H44" s="91">
        <f t="shared" ca="1" si="2"/>
        <v>10.457447707551466</v>
      </c>
      <c r="I44" s="92">
        <f t="shared" si="11"/>
        <v>10</v>
      </c>
      <c r="J44" s="92">
        <f t="shared" ca="1" si="11"/>
        <v>10.843277803178367</v>
      </c>
      <c r="K44" s="92">
        <f t="shared" ca="1" si="11"/>
        <v>11.26491670476755</v>
      </c>
      <c r="L44" s="92">
        <f t="shared" ca="1" si="11"/>
        <v>9.156722196821633</v>
      </c>
      <c r="M44" s="92">
        <f t="shared" ca="1" si="11"/>
        <v>8.7350832952324495</v>
      </c>
      <c r="N44" s="92">
        <f t="shared" si="12"/>
        <v>0.64719185999999995</v>
      </c>
      <c r="O44" s="92">
        <f t="shared" si="13"/>
        <v>1.3240338999999999</v>
      </c>
      <c r="P44" s="92">
        <f t="shared" si="13"/>
        <v>1.6621627999999997</v>
      </c>
      <c r="Q44" s="92">
        <f t="shared" si="13"/>
        <v>0.82377839999999991</v>
      </c>
      <c r="R44" s="92">
        <f t="shared" ref="R44:S44" si="20">R43</f>
        <v>2.0696702</v>
      </c>
      <c r="S44" s="92">
        <f t="shared" si="20"/>
        <v>2.6918857999999997</v>
      </c>
    </row>
    <row r="45" spans="2:36" x14ac:dyDescent="0.25">
      <c r="B45" s="16">
        <v>13</v>
      </c>
      <c r="C45" s="48">
        <f t="shared" ca="1" si="3"/>
        <v>10.092731505188267</v>
      </c>
      <c r="D45" s="48">
        <f t="shared" ca="1" si="3"/>
        <v>9.5031958166697557</v>
      </c>
      <c r="E45" s="48">
        <f t="shared" ca="1" si="0"/>
        <v>10.204066564870743</v>
      </c>
      <c r="F45" s="91">
        <f t="shared" ca="1" si="4"/>
        <v>0.37664475509320178</v>
      </c>
      <c r="G45" s="91">
        <f t="shared" ca="1" si="1"/>
        <v>0.70087074820098749</v>
      </c>
      <c r="H45" s="91">
        <f t="shared" ca="1" si="2"/>
        <v>9.933331295576254</v>
      </c>
      <c r="I45" s="92">
        <f t="shared" si="11"/>
        <v>10</v>
      </c>
      <c r="J45" s="92">
        <f t="shared" ca="1" si="11"/>
        <v>10.843277803178367</v>
      </c>
      <c r="K45" s="92">
        <f t="shared" ca="1" si="11"/>
        <v>11.26491670476755</v>
      </c>
      <c r="L45" s="92">
        <f t="shared" ca="1" si="11"/>
        <v>9.156722196821633</v>
      </c>
      <c r="M45" s="92">
        <f t="shared" ca="1" si="11"/>
        <v>8.7350832952324495</v>
      </c>
      <c r="N45" s="92">
        <f t="shared" si="12"/>
        <v>0.64719185999999995</v>
      </c>
      <c r="O45" s="92">
        <f t="shared" si="13"/>
        <v>1.3240338999999999</v>
      </c>
      <c r="P45" s="92">
        <f t="shared" si="13"/>
        <v>1.6621627999999997</v>
      </c>
      <c r="Q45" s="92">
        <f t="shared" si="13"/>
        <v>0.82377839999999991</v>
      </c>
      <c r="R45" s="92">
        <f t="shared" ref="R45:S45" si="21">R44</f>
        <v>2.0696702</v>
      </c>
      <c r="S45" s="92">
        <f t="shared" si="21"/>
        <v>2.6918857999999997</v>
      </c>
    </row>
    <row r="46" spans="2:36" x14ac:dyDescent="0.25">
      <c r="B46" s="16">
        <v>14</v>
      </c>
      <c r="C46" s="48">
        <f t="shared" ca="1" si="3"/>
        <v>10.368331518754673</v>
      </c>
      <c r="D46" s="48">
        <f t="shared" ca="1" si="3"/>
        <v>9.5141854037974376</v>
      </c>
      <c r="E46" s="48">
        <f t="shared" ca="1" si="0"/>
        <v>9.7857187460788957</v>
      </c>
      <c r="F46" s="91">
        <f t="shared" ca="1" si="4"/>
        <v>0.43641218753070926</v>
      </c>
      <c r="G46" s="91">
        <f t="shared" ca="1" si="1"/>
        <v>0.85414611495723491</v>
      </c>
      <c r="H46" s="91">
        <f t="shared" ca="1" si="2"/>
        <v>9.889411889543668</v>
      </c>
      <c r="I46" s="92">
        <f t="shared" si="11"/>
        <v>10</v>
      </c>
      <c r="J46" s="92">
        <f t="shared" ca="1" si="11"/>
        <v>10.843277803178367</v>
      </c>
      <c r="K46" s="92">
        <f t="shared" ca="1" si="11"/>
        <v>11.26491670476755</v>
      </c>
      <c r="L46" s="92">
        <f t="shared" ca="1" si="11"/>
        <v>9.156722196821633</v>
      </c>
      <c r="M46" s="92">
        <f t="shared" ca="1" si="11"/>
        <v>8.7350832952324495</v>
      </c>
      <c r="N46" s="92">
        <f t="shared" si="12"/>
        <v>0.64719185999999995</v>
      </c>
      <c r="O46" s="92">
        <f t="shared" si="13"/>
        <v>1.3240338999999999</v>
      </c>
      <c r="P46" s="92">
        <f t="shared" si="13"/>
        <v>1.6621627999999997</v>
      </c>
      <c r="Q46" s="92">
        <f t="shared" si="13"/>
        <v>0.82377839999999991</v>
      </c>
      <c r="R46" s="92">
        <f t="shared" ref="R46:S46" si="22">R45</f>
        <v>2.0696702</v>
      </c>
      <c r="S46" s="92">
        <f t="shared" si="22"/>
        <v>2.6918857999999997</v>
      </c>
    </row>
    <row r="47" spans="2:36" x14ac:dyDescent="0.25">
      <c r="B47" s="16">
        <v>15</v>
      </c>
      <c r="C47" s="48">
        <f t="shared" ca="1" si="3"/>
        <v>9.975633796760448</v>
      </c>
      <c r="D47" s="48">
        <f t="shared" ca="1" si="3"/>
        <v>9.92363185577344</v>
      </c>
      <c r="E47" s="48">
        <f t="shared" ca="1" si="0"/>
        <v>10.490002551433488</v>
      </c>
      <c r="F47" s="91">
        <f t="shared" ca="1" si="4"/>
        <v>0.31306420602190549</v>
      </c>
      <c r="G47" s="91">
        <f t="shared" ca="1" si="1"/>
        <v>0.56637069566004783</v>
      </c>
      <c r="H47" s="91">
        <f t="shared" ca="1" si="2"/>
        <v>10.129756067989126</v>
      </c>
      <c r="I47" s="92">
        <f t="shared" si="11"/>
        <v>10</v>
      </c>
      <c r="J47" s="92">
        <f t="shared" ca="1" si="11"/>
        <v>10.843277803178367</v>
      </c>
      <c r="K47" s="92">
        <f t="shared" ca="1" si="11"/>
        <v>11.26491670476755</v>
      </c>
      <c r="L47" s="92">
        <f t="shared" ca="1" si="11"/>
        <v>9.156722196821633</v>
      </c>
      <c r="M47" s="92">
        <f t="shared" ca="1" si="11"/>
        <v>8.7350832952324495</v>
      </c>
      <c r="N47" s="92">
        <f t="shared" si="12"/>
        <v>0.64719185999999995</v>
      </c>
      <c r="O47" s="92">
        <f t="shared" si="13"/>
        <v>1.3240338999999999</v>
      </c>
      <c r="P47" s="92">
        <f t="shared" si="13"/>
        <v>1.6621627999999997</v>
      </c>
      <c r="Q47" s="92">
        <f t="shared" si="13"/>
        <v>0.82377839999999991</v>
      </c>
      <c r="R47" s="92">
        <f t="shared" ref="R47:S47" si="23">R46</f>
        <v>2.0696702</v>
      </c>
      <c r="S47" s="92">
        <f t="shared" si="23"/>
        <v>2.6918857999999997</v>
      </c>
    </row>
    <row r="48" spans="2:36" x14ac:dyDescent="0.25">
      <c r="B48" s="16">
        <v>16</v>
      </c>
      <c r="C48" s="48">
        <f t="shared" ca="1" si="3"/>
        <v>9.8499401417351997</v>
      </c>
      <c r="D48" s="48">
        <f t="shared" ca="1" si="3"/>
        <v>10.364361659218051</v>
      </c>
      <c r="E48" s="48">
        <f t="shared" ca="1" si="0"/>
        <v>9.9212236584509572</v>
      </c>
      <c r="F48" s="91">
        <f t="shared" ca="1" si="4"/>
        <v>0.27871195558873524</v>
      </c>
      <c r="G48" s="91">
        <f t="shared" ca="1" si="1"/>
        <v>0.5144215174828517</v>
      </c>
      <c r="H48" s="91">
        <f t="shared" ca="1" si="2"/>
        <v>10.045175153134736</v>
      </c>
      <c r="I48" s="92">
        <f t="shared" si="11"/>
        <v>10</v>
      </c>
      <c r="J48" s="92">
        <f t="shared" ca="1" si="11"/>
        <v>10.843277803178367</v>
      </c>
      <c r="K48" s="92">
        <f t="shared" ca="1" si="11"/>
        <v>11.26491670476755</v>
      </c>
      <c r="L48" s="92">
        <f t="shared" ca="1" si="11"/>
        <v>9.156722196821633</v>
      </c>
      <c r="M48" s="92">
        <f t="shared" ca="1" si="11"/>
        <v>8.7350832952324495</v>
      </c>
      <c r="N48" s="92">
        <f t="shared" si="12"/>
        <v>0.64719185999999995</v>
      </c>
      <c r="O48" s="92">
        <f t="shared" si="13"/>
        <v>1.3240338999999999</v>
      </c>
      <c r="P48" s="92">
        <f t="shared" si="13"/>
        <v>1.6621627999999997</v>
      </c>
      <c r="Q48" s="92">
        <f t="shared" si="13"/>
        <v>0.82377839999999991</v>
      </c>
      <c r="R48" s="92">
        <f t="shared" ref="R48:S48" si="24">R47</f>
        <v>2.0696702</v>
      </c>
      <c r="S48" s="92">
        <f t="shared" si="24"/>
        <v>2.6918857999999997</v>
      </c>
    </row>
    <row r="49" spans="2:19" x14ac:dyDescent="0.25">
      <c r="B49" s="16">
        <v>17</v>
      </c>
      <c r="C49" s="48">
        <f t="shared" ca="1" si="3"/>
        <v>9.9925052214715411</v>
      </c>
      <c r="D49" s="48">
        <f t="shared" ca="1" si="3"/>
        <v>9.7466827775656011</v>
      </c>
      <c r="E49" s="48">
        <f t="shared" ca="1" si="3"/>
        <v>10.08259287784349</v>
      </c>
      <c r="F49" s="91">
        <f t="shared" ca="1" si="4"/>
        <v>0.17386779231510985</v>
      </c>
      <c r="G49" s="91">
        <f t="shared" ca="1" si="1"/>
        <v>0.33591010027788926</v>
      </c>
      <c r="H49" s="91">
        <f t="shared" ca="1" si="2"/>
        <v>9.9405936256268763</v>
      </c>
      <c r="I49" s="92">
        <f t="shared" si="11"/>
        <v>10</v>
      </c>
      <c r="J49" s="92">
        <f t="shared" ca="1" si="11"/>
        <v>10.843277803178367</v>
      </c>
      <c r="K49" s="92">
        <f t="shared" ca="1" si="11"/>
        <v>11.26491670476755</v>
      </c>
      <c r="L49" s="92">
        <f t="shared" ca="1" si="11"/>
        <v>9.156722196821633</v>
      </c>
      <c r="M49" s="92">
        <f t="shared" ca="1" si="11"/>
        <v>8.7350832952324495</v>
      </c>
      <c r="N49" s="92">
        <f t="shared" si="12"/>
        <v>0.64719185999999995</v>
      </c>
      <c r="O49" s="92">
        <f t="shared" si="13"/>
        <v>1.3240338999999999</v>
      </c>
      <c r="P49" s="92">
        <f t="shared" si="13"/>
        <v>1.6621627999999997</v>
      </c>
      <c r="Q49" s="92">
        <f t="shared" si="13"/>
        <v>0.82377839999999991</v>
      </c>
      <c r="R49" s="92">
        <f t="shared" ref="R49:S49" si="25">R48</f>
        <v>2.0696702</v>
      </c>
      <c r="S49" s="92">
        <f t="shared" si="25"/>
        <v>2.6918857999999997</v>
      </c>
    </row>
    <row r="50" spans="2:19" x14ac:dyDescent="0.25">
      <c r="B50" s="16">
        <v>18</v>
      </c>
      <c r="C50" s="48">
        <f t="shared" ca="1" si="3"/>
        <v>10.176143847348568</v>
      </c>
      <c r="D50" s="48">
        <f t="shared" ca="1" si="3"/>
        <v>9.9720752228716858</v>
      </c>
      <c r="E50" s="48">
        <f t="shared" ca="1" si="3"/>
        <v>9.9740283469191393</v>
      </c>
      <c r="F50" s="91">
        <f t="shared" ca="1" si="4"/>
        <v>0.1172593235122264</v>
      </c>
      <c r="G50" s="91">
        <f t="shared" ca="1" si="1"/>
        <v>0.20406862447688212</v>
      </c>
      <c r="H50" s="91">
        <f t="shared" ca="1" si="2"/>
        <v>10.040749139046463</v>
      </c>
      <c r="I50" s="92">
        <f t="shared" si="11"/>
        <v>10</v>
      </c>
      <c r="J50" s="92">
        <f t="shared" ca="1" si="11"/>
        <v>10.843277803178367</v>
      </c>
      <c r="K50" s="92">
        <f t="shared" ca="1" si="11"/>
        <v>11.26491670476755</v>
      </c>
      <c r="L50" s="92">
        <f t="shared" ca="1" si="11"/>
        <v>9.156722196821633</v>
      </c>
      <c r="M50" s="92">
        <f t="shared" ca="1" si="11"/>
        <v>8.7350832952324495</v>
      </c>
      <c r="N50" s="92">
        <f t="shared" si="12"/>
        <v>0.64719185999999995</v>
      </c>
      <c r="O50" s="92">
        <f t="shared" si="13"/>
        <v>1.3240338999999999</v>
      </c>
      <c r="P50" s="92">
        <f t="shared" si="13"/>
        <v>1.6621627999999997</v>
      </c>
      <c r="Q50" s="92">
        <f t="shared" si="13"/>
        <v>0.82377839999999991</v>
      </c>
      <c r="R50" s="92">
        <f t="shared" ref="R50:S50" si="26">R49</f>
        <v>2.0696702</v>
      </c>
      <c r="S50" s="92">
        <f t="shared" si="26"/>
        <v>2.6918857999999997</v>
      </c>
    </row>
    <row r="51" spans="2:19" x14ac:dyDescent="0.25">
      <c r="B51" s="16">
        <v>19</v>
      </c>
      <c r="C51" s="48">
        <f t="shared" ca="1" si="3"/>
        <v>9.5286450392828481</v>
      </c>
      <c r="D51" s="48">
        <f t="shared" ca="1" si="3"/>
        <v>10.578078428678355</v>
      </c>
      <c r="E51" s="48">
        <f t="shared" ca="1" si="3"/>
        <v>9.8581434650766333</v>
      </c>
      <c r="F51" s="91">
        <f t="shared" ca="1" si="4"/>
        <v>0.5366851968635703</v>
      </c>
      <c r="G51" s="91">
        <f t="shared" ca="1" si="1"/>
        <v>1.0494333893955066</v>
      </c>
      <c r="H51" s="91">
        <f t="shared" ca="1" si="2"/>
        <v>9.9882889776792787</v>
      </c>
      <c r="I51" s="92">
        <f t="shared" si="11"/>
        <v>10</v>
      </c>
      <c r="J51" s="92">
        <f t="shared" ca="1" si="11"/>
        <v>10.843277803178367</v>
      </c>
      <c r="K51" s="92">
        <f t="shared" ca="1" si="11"/>
        <v>11.26491670476755</v>
      </c>
      <c r="L51" s="92">
        <f t="shared" ca="1" si="11"/>
        <v>9.156722196821633</v>
      </c>
      <c r="M51" s="92">
        <f t="shared" ca="1" si="11"/>
        <v>8.7350832952324495</v>
      </c>
      <c r="N51" s="92">
        <f t="shared" si="12"/>
        <v>0.64719185999999995</v>
      </c>
      <c r="O51" s="92">
        <f t="shared" si="13"/>
        <v>1.3240338999999999</v>
      </c>
      <c r="P51" s="92">
        <f t="shared" si="13"/>
        <v>1.6621627999999997</v>
      </c>
      <c r="Q51" s="92">
        <f t="shared" si="13"/>
        <v>0.82377839999999991</v>
      </c>
      <c r="R51" s="92">
        <f t="shared" ref="R51:S51" si="27">R50</f>
        <v>2.0696702</v>
      </c>
      <c r="S51" s="92">
        <f t="shared" si="27"/>
        <v>2.6918857999999997</v>
      </c>
    </row>
    <row r="52" spans="2:19" x14ac:dyDescent="0.25">
      <c r="B52" s="16">
        <v>20</v>
      </c>
      <c r="C52" s="48">
        <f t="shared" ca="1" si="3"/>
        <v>10.200738118531586</v>
      </c>
      <c r="D52" s="48">
        <f t="shared" ca="1" si="3"/>
        <v>9.6201802605067037</v>
      </c>
      <c r="E52" s="48">
        <f t="shared" ca="1" si="3"/>
        <v>9.8057425371927778</v>
      </c>
      <c r="F52" s="91">
        <f t="shared" ref="F52:F63" ca="1" si="28">STDEV(C52:E52)</f>
        <v>0.29650809272838319</v>
      </c>
      <c r="G52" s="91">
        <f t="shared" ref="G52:G63" ca="1" si="29">MAX(C52:E52)-MIN(C52:E52)</f>
        <v>0.58055785802488202</v>
      </c>
      <c r="H52" s="91">
        <f t="shared" ref="H52:H63" ca="1" si="30">AVERAGE(C52:E52)</f>
        <v>9.8755536387436891</v>
      </c>
      <c r="I52" s="92">
        <f t="shared" ref="I52:M52" si="31">I51</f>
        <v>10</v>
      </c>
      <c r="J52" s="92">
        <f t="shared" ca="1" si="31"/>
        <v>10.843277803178367</v>
      </c>
      <c r="K52" s="92">
        <f t="shared" ca="1" si="31"/>
        <v>11.26491670476755</v>
      </c>
      <c r="L52" s="92">
        <f t="shared" ca="1" si="31"/>
        <v>9.156722196821633</v>
      </c>
      <c r="M52" s="92">
        <f t="shared" ca="1" si="31"/>
        <v>8.7350832952324495</v>
      </c>
      <c r="N52" s="92">
        <f t="shared" si="12"/>
        <v>0.64719185999999995</v>
      </c>
      <c r="O52" s="92">
        <f t="shared" si="12"/>
        <v>1.3240338999999999</v>
      </c>
      <c r="P52" s="92">
        <f t="shared" si="12"/>
        <v>1.6621627999999997</v>
      </c>
      <c r="Q52" s="92">
        <f t="shared" si="12"/>
        <v>0.82377839999999991</v>
      </c>
      <c r="R52" s="92">
        <f t="shared" si="12"/>
        <v>2.0696702</v>
      </c>
      <c r="S52" s="92">
        <f t="shared" si="12"/>
        <v>2.6918857999999997</v>
      </c>
    </row>
    <row r="53" spans="2:19" x14ac:dyDescent="0.25">
      <c r="B53" s="16">
        <v>21</v>
      </c>
      <c r="C53" s="48">
        <f t="shared" ref="C53:E63" ca="1" si="32">10+RAND()-RAND()</f>
        <v>10.028083955003519</v>
      </c>
      <c r="D53" s="48">
        <f t="shared" ca="1" si="32"/>
        <v>10.509784051005324</v>
      </c>
      <c r="E53" s="48">
        <f t="shared" ca="1" si="32"/>
        <v>9.4810078059985585</v>
      </c>
      <c r="F53" s="91">
        <f t="shared" ca="1" si="28"/>
        <v>0.51473421257779028</v>
      </c>
      <c r="G53" s="91">
        <f t="shared" ca="1" si="29"/>
        <v>1.0287762450067657</v>
      </c>
      <c r="H53" s="91">
        <f t="shared" ca="1" si="30"/>
        <v>10.006291937335801</v>
      </c>
      <c r="I53" s="92">
        <f t="shared" ref="I53:M53" si="33">I52</f>
        <v>10</v>
      </c>
      <c r="J53" s="92">
        <f t="shared" ca="1" si="33"/>
        <v>10.843277803178367</v>
      </c>
      <c r="K53" s="92">
        <f t="shared" ca="1" si="33"/>
        <v>11.26491670476755</v>
      </c>
      <c r="L53" s="92">
        <f t="shared" ca="1" si="33"/>
        <v>9.156722196821633</v>
      </c>
      <c r="M53" s="92">
        <f t="shared" ca="1" si="33"/>
        <v>8.7350832952324495</v>
      </c>
      <c r="N53" s="92">
        <f t="shared" si="12"/>
        <v>0.64719185999999995</v>
      </c>
      <c r="O53" s="92">
        <f t="shared" si="12"/>
        <v>1.3240338999999999</v>
      </c>
      <c r="P53" s="92">
        <f t="shared" si="12"/>
        <v>1.6621627999999997</v>
      </c>
      <c r="Q53" s="92">
        <f t="shared" si="12"/>
        <v>0.82377839999999991</v>
      </c>
      <c r="R53" s="92">
        <f t="shared" si="12"/>
        <v>2.0696702</v>
      </c>
      <c r="S53" s="92">
        <f t="shared" si="12"/>
        <v>2.6918857999999997</v>
      </c>
    </row>
    <row r="54" spans="2:19" x14ac:dyDescent="0.25">
      <c r="B54" s="16">
        <v>22</v>
      </c>
      <c r="C54" s="48">
        <f t="shared" ca="1" si="32"/>
        <v>9.4726157222195955</v>
      </c>
      <c r="D54" s="48">
        <f t="shared" ca="1" si="32"/>
        <v>10.585243552644899</v>
      </c>
      <c r="E54" s="48">
        <f t="shared" ca="1" si="32"/>
        <v>9.4631894063408541</v>
      </c>
      <c r="F54" s="91">
        <f t="shared" ca="1" si="28"/>
        <v>0.64511433763145976</v>
      </c>
      <c r="G54" s="91">
        <f t="shared" ca="1" si="29"/>
        <v>1.1220541463040448</v>
      </c>
      <c r="H54" s="91">
        <f t="shared" ca="1" si="30"/>
        <v>9.8403495604017834</v>
      </c>
      <c r="I54" s="92">
        <f t="shared" ref="I54:S63" si="34">I53</f>
        <v>10</v>
      </c>
      <c r="J54" s="92">
        <f t="shared" ca="1" si="34"/>
        <v>10.843277803178367</v>
      </c>
      <c r="K54" s="92">
        <f t="shared" ca="1" si="34"/>
        <v>11.26491670476755</v>
      </c>
      <c r="L54" s="92">
        <f t="shared" ca="1" si="34"/>
        <v>9.156722196821633</v>
      </c>
      <c r="M54" s="92">
        <f t="shared" ca="1" si="34"/>
        <v>8.7350832952324495</v>
      </c>
      <c r="N54" s="92">
        <f t="shared" si="34"/>
        <v>0.64719185999999995</v>
      </c>
      <c r="O54" s="92">
        <f t="shared" si="34"/>
        <v>1.3240338999999999</v>
      </c>
      <c r="P54" s="92">
        <f t="shared" si="34"/>
        <v>1.6621627999999997</v>
      </c>
      <c r="Q54" s="92">
        <f t="shared" si="34"/>
        <v>0.82377839999999991</v>
      </c>
      <c r="R54" s="92">
        <f t="shared" si="34"/>
        <v>2.0696702</v>
      </c>
      <c r="S54" s="92">
        <f t="shared" si="34"/>
        <v>2.6918857999999997</v>
      </c>
    </row>
    <row r="55" spans="2:19" x14ac:dyDescent="0.25">
      <c r="B55" s="16">
        <v>23</v>
      </c>
      <c r="C55" s="48">
        <f t="shared" ca="1" si="32"/>
        <v>10.201106939125825</v>
      </c>
      <c r="D55" s="48">
        <f t="shared" ca="1" si="32"/>
        <v>9.7150622196306422</v>
      </c>
      <c r="E55" s="48">
        <f t="shared" ca="1" si="32"/>
        <v>10.459923947846734</v>
      </c>
      <c r="F55" s="91">
        <f t="shared" ca="1" si="28"/>
        <v>0.37816326005079115</v>
      </c>
      <c r="G55" s="91">
        <f t="shared" ca="1" si="29"/>
        <v>0.74486172821609209</v>
      </c>
      <c r="H55" s="91">
        <f t="shared" ca="1" si="30"/>
        <v>10.125364368867734</v>
      </c>
      <c r="I55" s="92">
        <f t="shared" ref="I55:M55" si="35">I54</f>
        <v>10</v>
      </c>
      <c r="J55" s="92">
        <f t="shared" ca="1" si="35"/>
        <v>10.843277803178367</v>
      </c>
      <c r="K55" s="92">
        <f t="shared" ca="1" si="35"/>
        <v>11.26491670476755</v>
      </c>
      <c r="L55" s="92">
        <f t="shared" ca="1" si="35"/>
        <v>9.156722196821633</v>
      </c>
      <c r="M55" s="92">
        <f t="shared" ca="1" si="35"/>
        <v>8.7350832952324495</v>
      </c>
      <c r="N55" s="92">
        <f t="shared" si="34"/>
        <v>0.64719185999999995</v>
      </c>
      <c r="O55" s="92">
        <f t="shared" si="34"/>
        <v>1.3240338999999999</v>
      </c>
      <c r="P55" s="92">
        <f t="shared" si="34"/>
        <v>1.6621627999999997</v>
      </c>
      <c r="Q55" s="92">
        <f t="shared" si="34"/>
        <v>0.82377839999999991</v>
      </c>
      <c r="R55" s="92">
        <f t="shared" si="34"/>
        <v>2.0696702</v>
      </c>
      <c r="S55" s="92">
        <f t="shared" si="34"/>
        <v>2.6918857999999997</v>
      </c>
    </row>
    <row r="56" spans="2:19" x14ac:dyDescent="0.25">
      <c r="B56" s="16">
        <v>24</v>
      </c>
      <c r="C56" s="48">
        <f t="shared" ca="1" si="32"/>
        <v>10.299218630282651</v>
      </c>
      <c r="D56" s="48">
        <f t="shared" ca="1" si="32"/>
        <v>10.608323501600495</v>
      </c>
      <c r="E56" s="48">
        <f t="shared" ca="1" si="32"/>
        <v>10.336465274435195</v>
      </c>
      <c r="F56" s="91">
        <f t="shared" ca="1" si="28"/>
        <v>0.16874044647056172</v>
      </c>
      <c r="G56" s="91">
        <f t="shared" ca="1" si="29"/>
        <v>0.30910487131784414</v>
      </c>
      <c r="H56" s="91">
        <f t="shared" ca="1" si="30"/>
        <v>10.414669135439448</v>
      </c>
      <c r="I56" s="92">
        <f t="shared" ref="I56:M56" si="36">I55</f>
        <v>10</v>
      </c>
      <c r="J56" s="92">
        <f t="shared" ca="1" si="36"/>
        <v>10.843277803178367</v>
      </c>
      <c r="K56" s="92">
        <f t="shared" ca="1" si="36"/>
        <v>11.26491670476755</v>
      </c>
      <c r="L56" s="92">
        <f t="shared" ca="1" si="36"/>
        <v>9.156722196821633</v>
      </c>
      <c r="M56" s="92">
        <f t="shared" ca="1" si="36"/>
        <v>8.7350832952324495</v>
      </c>
      <c r="N56" s="92">
        <f t="shared" si="34"/>
        <v>0.64719185999999995</v>
      </c>
      <c r="O56" s="92">
        <f t="shared" si="34"/>
        <v>1.3240338999999999</v>
      </c>
      <c r="P56" s="92">
        <f t="shared" si="34"/>
        <v>1.6621627999999997</v>
      </c>
      <c r="Q56" s="92">
        <f t="shared" si="34"/>
        <v>0.82377839999999991</v>
      </c>
      <c r="R56" s="92">
        <f t="shared" si="34"/>
        <v>2.0696702</v>
      </c>
      <c r="S56" s="92">
        <f t="shared" si="34"/>
        <v>2.6918857999999997</v>
      </c>
    </row>
    <row r="57" spans="2:19" x14ac:dyDescent="0.25">
      <c r="B57" s="16">
        <v>25</v>
      </c>
      <c r="C57" s="48">
        <f t="shared" ca="1" si="32"/>
        <v>10.013475080710819</v>
      </c>
      <c r="D57" s="48">
        <f t="shared" ca="1" si="32"/>
        <v>9.753132987411961</v>
      </c>
      <c r="E57" s="48">
        <f t="shared" ca="1" si="32"/>
        <v>9.3867171067776365</v>
      </c>
      <c r="F57" s="91">
        <f t="shared" ca="1" si="28"/>
        <v>0.31487144493509484</v>
      </c>
      <c r="G57" s="91">
        <f t="shared" ca="1" si="29"/>
        <v>0.62675797393318256</v>
      </c>
      <c r="H57" s="91">
        <f t="shared" ca="1" si="30"/>
        <v>9.7177750583001394</v>
      </c>
      <c r="I57" s="92">
        <f t="shared" ref="I57:M57" si="37">I56</f>
        <v>10</v>
      </c>
      <c r="J57" s="92">
        <f t="shared" ca="1" si="37"/>
        <v>10.843277803178367</v>
      </c>
      <c r="K57" s="92">
        <f t="shared" ca="1" si="37"/>
        <v>11.26491670476755</v>
      </c>
      <c r="L57" s="92">
        <f t="shared" ca="1" si="37"/>
        <v>9.156722196821633</v>
      </c>
      <c r="M57" s="92">
        <f t="shared" ca="1" si="37"/>
        <v>8.7350832952324495</v>
      </c>
      <c r="N57" s="92">
        <f t="shared" si="34"/>
        <v>0.64719185999999995</v>
      </c>
      <c r="O57" s="92">
        <f t="shared" si="34"/>
        <v>1.3240338999999999</v>
      </c>
      <c r="P57" s="92">
        <f t="shared" si="34"/>
        <v>1.6621627999999997</v>
      </c>
      <c r="Q57" s="92">
        <f t="shared" si="34"/>
        <v>0.82377839999999991</v>
      </c>
      <c r="R57" s="92">
        <f t="shared" si="34"/>
        <v>2.0696702</v>
      </c>
      <c r="S57" s="92">
        <f t="shared" si="34"/>
        <v>2.6918857999999997</v>
      </c>
    </row>
    <row r="58" spans="2:19" x14ac:dyDescent="0.25">
      <c r="B58" s="16">
        <v>26</v>
      </c>
      <c r="C58" s="48">
        <f t="shared" ca="1" si="32"/>
        <v>10.584802470928249</v>
      </c>
      <c r="D58" s="48">
        <f t="shared" ca="1" si="32"/>
        <v>9.9961414341734312</v>
      </c>
      <c r="E58" s="48">
        <f t="shared" ca="1" si="32"/>
        <v>9.5985800080600701</v>
      </c>
      <c r="F58" s="91">
        <f t="shared" ca="1" si="28"/>
        <v>0.49618740579078308</v>
      </c>
      <c r="G58" s="91">
        <f t="shared" ca="1" si="29"/>
        <v>0.98622246286817905</v>
      </c>
      <c r="H58" s="91">
        <f t="shared" ca="1" si="30"/>
        <v>10.05984130438725</v>
      </c>
      <c r="I58" s="92">
        <f t="shared" ref="I58:M58" si="38">I57</f>
        <v>10</v>
      </c>
      <c r="J58" s="92">
        <f t="shared" ca="1" si="38"/>
        <v>10.843277803178367</v>
      </c>
      <c r="K58" s="92">
        <f t="shared" ca="1" si="38"/>
        <v>11.26491670476755</v>
      </c>
      <c r="L58" s="92">
        <f t="shared" ca="1" si="38"/>
        <v>9.156722196821633</v>
      </c>
      <c r="M58" s="92">
        <f t="shared" ca="1" si="38"/>
        <v>8.7350832952324495</v>
      </c>
      <c r="N58" s="92">
        <f t="shared" si="34"/>
        <v>0.64719185999999995</v>
      </c>
      <c r="O58" s="92">
        <f t="shared" si="34"/>
        <v>1.3240338999999999</v>
      </c>
      <c r="P58" s="92">
        <f t="shared" si="34"/>
        <v>1.6621627999999997</v>
      </c>
      <c r="Q58" s="92">
        <f t="shared" si="34"/>
        <v>0.82377839999999991</v>
      </c>
      <c r="R58" s="92">
        <f t="shared" si="34"/>
        <v>2.0696702</v>
      </c>
      <c r="S58" s="92">
        <f t="shared" si="34"/>
        <v>2.6918857999999997</v>
      </c>
    </row>
    <row r="59" spans="2:19" x14ac:dyDescent="0.25">
      <c r="B59" s="16">
        <v>27</v>
      </c>
      <c r="C59" s="48">
        <f t="shared" ca="1" si="32"/>
        <v>9.955588048837722</v>
      </c>
      <c r="D59" s="48">
        <f t="shared" ca="1" si="32"/>
        <v>10.505018625750484</v>
      </c>
      <c r="E59" s="48">
        <f t="shared" ca="1" si="32"/>
        <v>10.445953083519525</v>
      </c>
      <c r="F59" s="91">
        <f t="shared" ca="1" si="28"/>
        <v>0.30161248989506761</v>
      </c>
      <c r="G59" s="91">
        <f t="shared" ca="1" si="29"/>
        <v>0.54943057691276209</v>
      </c>
      <c r="H59" s="91">
        <f t="shared" ca="1" si="30"/>
        <v>10.30218658603591</v>
      </c>
      <c r="I59" s="92">
        <f t="shared" ref="I59:M59" si="39">I58</f>
        <v>10</v>
      </c>
      <c r="J59" s="92">
        <f t="shared" ca="1" si="39"/>
        <v>10.843277803178367</v>
      </c>
      <c r="K59" s="92">
        <f t="shared" ca="1" si="39"/>
        <v>11.26491670476755</v>
      </c>
      <c r="L59" s="92">
        <f t="shared" ca="1" si="39"/>
        <v>9.156722196821633</v>
      </c>
      <c r="M59" s="92">
        <f t="shared" ca="1" si="39"/>
        <v>8.7350832952324495</v>
      </c>
      <c r="N59" s="92">
        <f t="shared" si="34"/>
        <v>0.64719185999999995</v>
      </c>
      <c r="O59" s="92">
        <f t="shared" si="34"/>
        <v>1.3240338999999999</v>
      </c>
      <c r="P59" s="92">
        <f t="shared" si="34"/>
        <v>1.6621627999999997</v>
      </c>
      <c r="Q59" s="92">
        <f t="shared" si="34"/>
        <v>0.82377839999999991</v>
      </c>
      <c r="R59" s="92">
        <f t="shared" si="34"/>
        <v>2.0696702</v>
      </c>
      <c r="S59" s="92">
        <f t="shared" si="34"/>
        <v>2.6918857999999997</v>
      </c>
    </row>
    <row r="60" spans="2:19" x14ac:dyDescent="0.25">
      <c r="B60" s="16">
        <v>28</v>
      </c>
      <c r="C60" s="48">
        <f t="shared" ca="1" si="32"/>
        <v>10.452344691295355</v>
      </c>
      <c r="D60" s="48">
        <f t="shared" ca="1" si="32"/>
        <v>10.731241554011625</v>
      </c>
      <c r="E60" s="48">
        <f t="shared" ca="1" si="32"/>
        <v>10.1002938359184</v>
      </c>
      <c r="F60" s="91">
        <f t="shared" ca="1" si="28"/>
        <v>0.31617987701403744</v>
      </c>
      <c r="G60" s="91">
        <f t="shared" ca="1" si="29"/>
        <v>0.63094771809322481</v>
      </c>
      <c r="H60" s="91">
        <f t="shared" ca="1" si="30"/>
        <v>10.427960027075127</v>
      </c>
      <c r="I60" s="92">
        <f t="shared" ref="I60:M60" si="40">I59</f>
        <v>10</v>
      </c>
      <c r="J60" s="92">
        <f t="shared" ca="1" si="40"/>
        <v>10.843277803178367</v>
      </c>
      <c r="K60" s="92">
        <f t="shared" ca="1" si="40"/>
        <v>11.26491670476755</v>
      </c>
      <c r="L60" s="92">
        <f t="shared" ca="1" si="40"/>
        <v>9.156722196821633</v>
      </c>
      <c r="M60" s="92">
        <f t="shared" ca="1" si="40"/>
        <v>8.7350832952324495</v>
      </c>
      <c r="N60" s="92">
        <f t="shared" si="34"/>
        <v>0.64719185999999995</v>
      </c>
      <c r="O60" s="92">
        <f t="shared" si="34"/>
        <v>1.3240338999999999</v>
      </c>
      <c r="P60" s="92">
        <f t="shared" si="34"/>
        <v>1.6621627999999997</v>
      </c>
      <c r="Q60" s="92">
        <f t="shared" si="34"/>
        <v>0.82377839999999991</v>
      </c>
      <c r="R60" s="92">
        <f t="shared" si="34"/>
        <v>2.0696702</v>
      </c>
      <c r="S60" s="92">
        <f t="shared" si="34"/>
        <v>2.6918857999999997</v>
      </c>
    </row>
    <row r="61" spans="2:19" x14ac:dyDescent="0.25">
      <c r="B61" s="16">
        <v>29</v>
      </c>
      <c r="C61" s="48">
        <f t="shared" ca="1" si="32"/>
        <v>9.3305135395665904</v>
      </c>
      <c r="D61" s="48">
        <f t="shared" ca="1" si="32"/>
        <v>9.5536675309885855</v>
      </c>
      <c r="E61" s="48">
        <f t="shared" ca="1" si="32"/>
        <v>9.9209289097685751</v>
      </c>
      <c r="F61" s="91">
        <f t="shared" ca="1" si="28"/>
        <v>0.29812439618434833</v>
      </c>
      <c r="G61" s="91">
        <f t="shared" ca="1" si="29"/>
        <v>0.59041537020198476</v>
      </c>
      <c r="H61" s="91">
        <f t="shared" ca="1" si="30"/>
        <v>9.601703326774583</v>
      </c>
      <c r="I61" s="92">
        <f t="shared" ref="I61:M61" si="41">I60</f>
        <v>10</v>
      </c>
      <c r="J61" s="92">
        <f t="shared" ca="1" si="41"/>
        <v>10.843277803178367</v>
      </c>
      <c r="K61" s="92">
        <f t="shared" ca="1" si="41"/>
        <v>11.26491670476755</v>
      </c>
      <c r="L61" s="92">
        <f t="shared" ca="1" si="41"/>
        <v>9.156722196821633</v>
      </c>
      <c r="M61" s="92">
        <f t="shared" ca="1" si="41"/>
        <v>8.7350832952324495</v>
      </c>
      <c r="N61" s="92">
        <f t="shared" si="34"/>
        <v>0.64719185999999995</v>
      </c>
      <c r="O61" s="92">
        <f t="shared" si="34"/>
        <v>1.3240338999999999</v>
      </c>
      <c r="P61" s="92">
        <f t="shared" si="34"/>
        <v>1.6621627999999997</v>
      </c>
      <c r="Q61" s="92">
        <f t="shared" si="34"/>
        <v>0.82377839999999991</v>
      </c>
      <c r="R61" s="92">
        <f t="shared" si="34"/>
        <v>2.0696702</v>
      </c>
      <c r="S61" s="92">
        <f t="shared" si="34"/>
        <v>2.6918857999999997</v>
      </c>
    </row>
    <row r="62" spans="2:19" x14ac:dyDescent="0.25">
      <c r="B62" s="16">
        <v>30</v>
      </c>
      <c r="C62" s="48">
        <f t="shared" ca="1" si="32"/>
        <v>9.7657644319355654</v>
      </c>
      <c r="D62" s="48">
        <f t="shared" ca="1" si="32"/>
        <v>9.1974857824544873</v>
      </c>
      <c r="E62" s="48">
        <f t="shared" ca="1" si="32"/>
        <v>9.1921161812940557</v>
      </c>
      <c r="F62" s="91">
        <f t="shared" ca="1" si="28"/>
        <v>0.3296568345862923</v>
      </c>
      <c r="G62" s="91">
        <f t="shared" ca="1" si="29"/>
        <v>0.5736482506415097</v>
      </c>
      <c r="H62" s="91">
        <f t="shared" ca="1" si="30"/>
        <v>9.3851221318947022</v>
      </c>
      <c r="I62" s="92">
        <f t="shared" ref="I62:M62" si="42">I61</f>
        <v>10</v>
      </c>
      <c r="J62" s="92">
        <f t="shared" ca="1" si="42"/>
        <v>10.843277803178367</v>
      </c>
      <c r="K62" s="92">
        <f t="shared" ca="1" si="42"/>
        <v>11.26491670476755</v>
      </c>
      <c r="L62" s="92">
        <f t="shared" ca="1" si="42"/>
        <v>9.156722196821633</v>
      </c>
      <c r="M62" s="92">
        <f t="shared" ca="1" si="42"/>
        <v>8.7350832952324495</v>
      </c>
      <c r="N62" s="92">
        <f t="shared" si="34"/>
        <v>0.64719185999999995</v>
      </c>
      <c r="O62" s="92">
        <f t="shared" si="34"/>
        <v>1.3240338999999999</v>
      </c>
      <c r="P62" s="92">
        <f t="shared" si="34"/>
        <v>1.6621627999999997</v>
      </c>
      <c r="Q62" s="92">
        <f t="shared" si="34"/>
        <v>0.82377839999999991</v>
      </c>
      <c r="R62" s="92">
        <f t="shared" si="34"/>
        <v>2.0696702</v>
      </c>
      <c r="S62" s="92">
        <f t="shared" si="34"/>
        <v>2.6918857999999997</v>
      </c>
    </row>
    <row r="63" spans="2:19" x14ac:dyDescent="0.25">
      <c r="B63" s="16">
        <v>31</v>
      </c>
      <c r="C63" s="48">
        <f t="shared" ca="1" si="32"/>
        <v>9.7888741186911474</v>
      </c>
      <c r="D63" s="48">
        <f t="shared" ca="1" si="32"/>
        <v>10.016438198650489</v>
      </c>
      <c r="E63" s="48">
        <f t="shared" ca="1" si="32"/>
        <v>9.7951933855191342</v>
      </c>
      <c r="F63" s="91">
        <f t="shared" ca="1" si="28"/>
        <v>0.12959848954785502</v>
      </c>
      <c r="G63" s="91">
        <f t="shared" ca="1" si="29"/>
        <v>0.22756407995934147</v>
      </c>
      <c r="H63" s="91">
        <f t="shared" ca="1" si="30"/>
        <v>9.8668352342869241</v>
      </c>
      <c r="I63" s="92">
        <f t="shared" ref="I63:M63" si="43">I62</f>
        <v>10</v>
      </c>
      <c r="J63" s="92">
        <f t="shared" ca="1" si="43"/>
        <v>10.843277803178367</v>
      </c>
      <c r="K63" s="92">
        <f t="shared" ca="1" si="43"/>
        <v>11.26491670476755</v>
      </c>
      <c r="L63" s="92">
        <f t="shared" ca="1" si="43"/>
        <v>9.156722196821633</v>
      </c>
      <c r="M63" s="92">
        <f t="shared" ca="1" si="43"/>
        <v>8.7350832952324495</v>
      </c>
      <c r="N63" s="92">
        <f t="shared" si="34"/>
        <v>0.64719185999999995</v>
      </c>
      <c r="O63" s="92">
        <f t="shared" si="34"/>
        <v>1.3240338999999999</v>
      </c>
      <c r="P63" s="92">
        <f t="shared" si="34"/>
        <v>1.6621627999999997</v>
      </c>
      <c r="Q63" s="92">
        <f t="shared" si="34"/>
        <v>0.82377839999999991</v>
      </c>
      <c r="R63" s="92">
        <f t="shared" si="34"/>
        <v>2.0696702</v>
      </c>
      <c r="S63" s="92">
        <f t="shared" si="34"/>
        <v>2.6918857999999997</v>
      </c>
    </row>
    <row r="64" spans="2:19" x14ac:dyDescent="0.25">
      <c r="B64" s="16"/>
      <c r="C64" s="48"/>
      <c r="D64" s="48"/>
      <c r="E64" s="48"/>
      <c r="F64" s="85"/>
      <c r="G64" s="85"/>
      <c r="H64" s="85"/>
      <c r="I64" s="86"/>
      <c r="J64" s="86"/>
      <c r="K64" s="86"/>
      <c r="L64" s="86"/>
      <c r="M64" s="86"/>
      <c r="N64" s="86"/>
      <c r="O64" s="86"/>
      <c r="P64" s="86"/>
      <c r="Q64" s="86"/>
      <c r="R64" s="86"/>
      <c r="S64" s="86"/>
    </row>
    <row r="65" spans="2:19" x14ac:dyDescent="0.25">
      <c r="B65" s="16"/>
      <c r="C65" s="48"/>
      <c r="D65" s="48"/>
      <c r="E65" s="48"/>
      <c r="F65" s="85"/>
      <c r="G65" s="85"/>
      <c r="H65" s="85"/>
      <c r="I65" s="86"/>
      <c r="J65" s="86"/>
      <c r="K65" s="86"/>
      <c r="L65" s="86"/>
      <c r="M65" s="86"/>
      <c r="N65" s="86"/>
      <c r="O65" s="86"/>
      <c r="P65" s="86"/>
      <c r="Q65" s="86"/>
      <c r="R65" s="86"/>
      <c r="S65" s="86"/>
    </row>
    <row r="66" spans="2:19" x14ac:dyDescent="0.25">
      <c r="B66" s="16"/>
      <c r="C66" s="48"/>
      <c r="D66" s="48"/>
      <c r="E66" s="48"/>
      <c r="F66" s="85"/>
      <c r="G66" s="85"/>
      <c r="H66" s="85"/>
      <c r="I66" s="86"/>
      <c r="J66" s="86"/>
      <c r="K66" s="86"/>
      <c r="L66" s="86"/>
      <c r="M66" s="86"/>
      <c r="N66" s="86"/>
      <c r="O66" s="86"/>
      <c r="P66" s="86"/>
      <c r="Q66" s="86"/>
      <c r="R66" s="86"/>
      <c r="S66" s="86"/>
    </row>
    <row r="67" spans="2:19" x14ac:dyDescent="0.25">
      <c r="B67" s="16"/>
      <c r="C67" s="48"/>
      <c r="D67" s="48"/>
      <c r="E67" s="48"/>
      <c r="F67" s="85"/>
      <c r="G67" s="85"/>
      <c r="H67" s="85"/>
      <c r="I67" s="86"/>
      <c r="J67" s="86"/>
      <c r="K67" s="86"/>
      <c r="L67" s="86"/>
      <c r="M67" s="86"/>
      <c r="N67" s="86"/>
      <c r="O67" s="86"/>
      <c r="P67" s="86"/>
      <c r="Q67" s="86"/>
      <c r="R67" s="86"/>
      <c r="S67" s="86"/>
    </row>
    <row r="68" spans="2:19" x14ac:dyDescent="0.25">
      <c r="B68" s="16"/>
      <c r="C68" s="48"/>
      <c r="D68" s="48"/>
      <c r="E68" s="48"/>
      <c r="F68" s="85"/>
      <c r="G68" s="85"/>
      <c r="H68" s="85"/>
      <c r="I68" s="86"/>
      <c r="J68" s="86"/>
      <c r="K68" s="86"/>
      <c r="L68" s="86"/>
      <c r="M68" s="86"/>
      <c r="N68" s="86"/>
      <c r="O68" s="86"/>
      <c r="P68" s="86"/>
      <c r="Q68" s="86"/>
      <c r="R68" s="86"/>
      <c r="S68" s="86"/>
    </row>
    <row r="69" spans="2:19" x14ac:dyDescent="0.25">
      <c r="B69" s="16"/>
      <c r="C69" s="48"/>
      <c r="D69" s="48"/>
      <c r="E69" s="48"/>
      <c r="F69" s="85"/>
      <c r="G69" s="85"/>
      <c r="H69" s="85"/>
      <c r="I69" s="86"/>
      <c r="J69" s="86"/>
      <c r="K69" s="86"/>
      <c r="L69" s="86"/>
      <c r="M69" s="86"/>
      <c r="N69" s="86"/>
      <c r="O69" s="86"/>
      <c r="P69" s="86"/>
      <c r="Q69" s="86"/>
      <c r="R69" s="86"/>
      <c r="S69" s="86"/>
    </row>
    <row r="70" spans="2:19" x14ac:dyDescent="0.25">
      <c r="B70" s="16"/>
      <c r="C70" s="48"/>
      <c r="D70" s="48"/>
      <c r="E70" s="48"/>
      <c r="F70" s="85"/>
      <c r="G70" s="85"/>
      <c r="H70" s="85"/>
      <c r="I70" s="86"/>
      <c r="J70" s="86"/>
      <c r="K70" s="86"/>
      <c r="L70" s="86"/>
      <c r="M70" s="86"/>
      <c r="N70" s="86"/>
      <c r="O70" s="86"/>
      <c r="P70" s="86"/>
      <c r="Q70" s="86"/>
      <c r="R70" s="86"/>
      <c r="S70" s="86"/>
    </row>
    <row r="71" spans="2:19" x14ac:dyDescent="0.25">
      <c r="B71" s="16"/>
      <c r="C71" s="48"/>
      <c r="D71" s="48"/>
      <c r="E71" s="48"/>
      <c r="F71" s="85"/>
      <c r="G71" s="85"/>
      <c r="H71" s="85"/>
      <c r="I71" s="86"/>
      <c r="J71" s="86"/>
      <c r="K71" s="86"/>
      <c r="L71" s="86"/>
      <c r="M71" s="86"/>
      <c r="N71" s="86"/>
      <c r="O71" s="86"/>
      <c r="P71" s="86"/>
      <c r="Q71" s="86"/>
      <c r="R71" s="86"/>
      <c r="S71" s="86"/>
    </row>
    <row r="72" spans="2:19" x14ac:dyDescent="0.25">
      <c r="B72" s="16"/>
      <c r="C72" s="48"/>
      <c r="D72" s="48"/>
      <c r="E72" s="48"/>
      <c r="F72" s="85"/>
      <c r="G72" s="85"/>
      <c r="H72" s="85"/>
      <c r="I72" s="86"/>
      <c r="J72" s="86"/>
      <c r="K72" s="86"/>
      <c r="L72" s="86"/>
      <c r="M72" s="86"/>
      <c r="N72" s="86"/>
      <c r="O72" s="86"/>
      <c r="P72" s="86"/>
      <c r="Q72" s="86"/>
      <c r="R72" s="86"/>
      <c r="S72" s="86"/>
    </row>
    <row r="73" spans="2:19" x14ac:dyDescent="0.25">
      <c r="F73" s="71"/>
      <c r="G73" s="71"/>
      <c r="H73" s="71"/>
      <c r="I73" s="71"/>
      <c r="J73" s="71"/>
      <c r="K73" s="71"/>
      <c r="L73" s="71"/>
      <c r="M73" s="71"/>
      <c r="N73" s="71"/>
      <c r="O73" s="71"/>
      <c r="P73" s="71"/>
      <c r="Q73" s="71"/>
      <c r="R73" s="71"/>
      <c r="S73" s="71"/>
    </row>
    <row r="74" spans="2:19" x14ac:dyDescent="0.25">
      <c r="F74" s="71"/>
      <c r="G74" s="71"/>
      <c r="H74" s="71"/>
      <c r="I74" s="71"/>
      <c r="J74" s="71"/>
      <c r="K74" s="71"/>
      <c r="L74" s="71"/>
      <c r="M74" s="71"/>
      <c r="N74" s="71"/>
      <c r="O74" s="71"/>
      <c r="P74" s="71"/>
      <c r="Q74" s="71"/>
      <c r="R74" s="71"/>
      <c r="S74" s="71"/>
    </row>
    <row r="75" spans="2:19" x14ac:dyDescent="0.25">
      <c r="F75" s="71"/>
      <c r="G75" s="71"/>
      <c r="H75" s="71"/>
      <c r="I75" s="71"/>
      <c r="J75" s="71"/>
      <c r="K75" s="71"/>
      <c r="L75" s="71"/>
      <c r="M75" s="71"/>
      <c r="N75" s="71"/>
      <c r="O75" s="71"/>
      <c r="P75" s="71"/>
      <c r="Q75" s="71"/>
      <c r="R75" s="71"/>
      <c r="S75" s="71"/>
    </row>
    <row r="76" spans="2:19" x14ac:dyDescent="0.25">
      <c r="F76" s="71"/>
      <c r="G76" s="71"/>
      <c r="H76" s="71"/>
      <c r="I76" s="71"/>
      <c r="J76" s="71"/>
      <c r="K76" s="71"/>
      <c r="L76" s="71"/>
      <c r="M76" s="71"/>
      <c r="N76" s="71"/>
      <c r="O76" s="71"/>
      <c r="P76" s="71"/>
      <c r="Q76" s="71"/>
      <c r="R76" s="71"/>
      <c r="S76" s="71"/>
    </row>
    <row r="77" spans="2:19" x14ac:dyDescent="0.25">
      <c r="F77" s="71"/>
      <c r="G77" s="71"/>
      <c r="H77" s="71"/>
      <c r="I77" s="71"/>
      <c r="J77" s="71"/>
      <c r="K77" s="71"/>
      <c r="L77" s="71"/>
      <c r="M77" s="71"/>
      <c r="N77" s="71"/>
      <c r="O77" s="71"/>
      <c r="P77" s="71"/>
      <c r="Q77" s="71"/>
      <c r="R77" s="71"/>
      <c r="S77" s="71"/>
    </row>
    <row r="78" spans="2:19" x14ac:dyDescent="0.25">
      <c r="F78" s="71"/>
      <c r="G78" s="71"/>
      <c r="H78" s="71"/>
      <c r="I78" s="71"/>
      <c r="J78" s="71"/>
      <c r="K78" s="71"/>
      <c r="L78" s="71"/>
      <c r="M78" s="71"/>
      <c r="N78" s="71"/>
      <c r="O78" s="71"/>
      <c r="P78" s="71"/>
      <c r="Q78" s="71"/>
      <c r="R78" s="71"/>
      <c r="S78" s="71"/>
    </row>
    <row r="79" spans="2:19" x14ac:dyDescent="0.25">
      <c r="F79" s="71"/>
      <c r="G79" s="71"/>
      <c r="H79" s="71"/>
      <c r="I79" s="71"/>
      <c r="J79" s="71"/>
      <c r="K79" s="71"/>
      <c r="L79" s="71"/>
      <c r="M79" s="71"/>
      <c r="N79" s="71"/>
      <c r="O79" s="71"/>
      <c r="P79" s="71"/>
      <c r="Q79" s="71"/>
      <c r="R79" s="71"/>
      <c r="S79" s="71"/>
    </row>
    <row r="80" spans="2:19" x14ac:dyDescent="0.25">
      <c r="F80" s="71"/>
      <c r="G80" s="71"/>
      <c r="H80" s="71"/>
      <c r="I80" s="71"/>
      <c r="J80" s="71"/>
      <c r="K80" s="71"/>
      <c r="L80" s="71"/>
      <c r="M80" s="71"/>
      <c r="N80" s="71"/>
      <c r="O80" s="71"/>
      <c r="P80" s="71"/>
      <c r="Q80" s="71"/>
      <c r="R80" s="71"/>
      <c r="S80" s="71"/>
    </row>
    <row r="81" spans="6:19" x14ac:dyDescent="0.25">
      <c r="F81" s="71"/>
      <c r="G81" s="71"/>
      <c r="H81" s="71"/>
      <c r="I81" s="71"/>
      <c r="J81" s="71"/>
      <c r="K81" s="71"/>
      <c r="L81" s="71"/>
      <c r="M81" s="71"/>
      <c r="N81" s="71"/>
      <c r="O81" s="71"/>
      <c r="P81" s="71"/>
      <c r="Q81" s="71"/>
      <c r="R81" s="71"/>
      <c r="S81" s="71"/>
    </row>
    <row r="82" spans="6:19" x14ac:dyDescent="0.25">
      <c r="F82" s="71"/>
      <c r="G82" s="71"/>
      <c r="H82" s="71"/>
      <c r="I82" s="71"/>
      <c r="J82" s="71"/>
      <c r="K82" s="71"/>
      <c r="L82" s="71"/>
      <c r="M82" s="71"/>
      <c r="N82" s="71"/>
      <c r="O82" s="71"/>
      <c r="P82" s="71"/>
      <c r="Q82" s="71"/>
      <c r="R82" s="71"/>
      <c r="S82" s="71"/>
    </row>
    <row r="83" spans="6:19" x14ac:dyDescent="0.25">
      <c r="F83" s="71"/>
      <c r="G83" s="71"/>
      <c r="H83" s="71"/>
      <c r="I83" s="71"/>
      <c r="J83" s="71"/>
      <c r="K83" s="71"/>
      <c r="L83" s="71"/>
      <c r="M83" s="71"/>
      <c r="N83" s="71"/>
      <c r="O83" s="71"/>
      <c r="P83" s="71"/>
      <c r="Q83" s="71"/>
      <c r="R83" s="71"/>
      <c r="S83" s="71"/>
    </row>
    <row r="84" spans="6:19" x14ac:dyDescent="0.25">
      <c r="F84" s="71"/>
      <c r="G84" s="71"/>
      <c r="H84" s="71"/>
      <c r="I84" s="71"/>
      <c r="J84" s="71"/>
      <c r="K84" s="71"/>
      <c r="L84" s="71"/>
      <c r="M84" s="71"/>
      <c r="N84" s="71"/>
      <c r="O84" s="71"/>
      <c r="P84" s="71"/>
      <c r="Q84" s="71"/>
      <c r="R84" s="71"/>
      <c r="S84" s="71"/>
    </row>
    <row r="85" spans="6:19" x14ac:dyDescent="0.25">
      <c r="F85" s="71"/>
      <c r="G85" s="71"/>
      <c r="H85" s="71"/>
      <c r="I85" s="71"/>
      <c r="J85" s="71"/>
      <c r="K85" s="71"/>
      <c r="L85" s="71"/>
      <c r="M85" s="71"/>
      <c r="N85" s="71"/>
      <c r="O85" s="71"/>
      <c r="P85" s="71"/>
      <c r="Q85" s="71"/>
      <c r="R85" s="71"/>
      <c r="S85" s="71"/>
    </row>
    <row r="86" spans="6:19" x14ac:dyDescent="0.25">
      <c r="F86" s="71"/>
      <c r="G86" s="71"/>
      <c r="H86" s="71"/>
      <c r="I86" s="71"/>
      <c r="J86" s="71"/>
      <c r="K86" s="71"/>
      <c r="L86" s="71"/>
      <c r="M86" s="71"/>
      <c r="N86" s="71"/>
      <c r="O86" s="71"/>
      <c r="P86" s="71"/>
      <c r="Q86" s="71"/>
      <c r="R86" s="71"/>
      <c r="S86" s="71"/>
    </row>
    <row r="87" spans="6:19" x14ac:dyDescent="0.25">
      <c r="F87" s="71"/>
      <c r="G87" s="71"/>
      <c r="H87" s="71"/>
      <c r="I87" s="71"/>
      <c r="J87" s="71"/>
      <c r="K87" s="71"/>
      <c r="L87" s="71"/>
      <c r="M87" s="71"/>
      <c r="N87" s="71"/>
      <c r="O87" s="71"/>
      <c r="P87" s="71"/>
      <c r="Q87" s="71"/>
      <c r="R87" s="71"/>
      <c r="S87" s="71"/>
    </row>
    <row r="88" spans="6:19" x14ac:dyDescent="0.25">
      <c r="F88" s="71"/>
      <c r="G88" s="71"/>
      <c r="H88" s="71"/>
      <c r="I88" s="71"/>
      <c r="J88" s="71"/>
      <c r="K88" s="71"/>
      <c r="L88" s="71"/>
      <c r="M88" s="71"/>
      <c r="N88" s="71"/>
      <c r="O88" s="71"/>
      <c r="P88" s="71"/>
      <c r="Q88" s="71"/>
      <c r="R88" s="71"/>
      <c r="S88" s="71"/>
    </row>
    <row r="89" spans="6:19" x14ac:dyDescent="0.25">
      <c r="F89" s="71"/>
      <c r="G89" s="71"/>
      <c r="H89" s="71"/>
      <c r="I89" s="71"/>
      <c r="J89" s="71"/>
      <c r="K89" s="71"/>
      <c r="L89" s="71"/>
      <c r="M89" s="71"/>
      <c r="N89" s="71"/>
      <c r="O89" s="71"/>
      <c r="P89" s="71"/>
      <c r="Q89" s="71"/>
      <c r="R89" s="71"/>
      <c r="S89" s="71"/>
    </row>
    <row r="90" spans="6:19" x14ac:dyDescent="0.25">
      <c r="F90" s="71"/>
      <c r="G90" s="71"/>
      <c r="H90" s="71"/>
      <c r="I90" s="71"/>
      <c r="J90" s="71"/>
      <c r="K90" s="71"/>
      <c r="L90" s="71"/>
      <c r="M90" s="71"/>
      <c r="N90" s="71"/>
      <c r="O90" s="71"/>
      <c r="P90" s="71"/>
      <c r="Q90" s="71"/>
      <c r="R90" s="71"/>
      <c r="S90" s="71"/>
    </row>
    <row r="91" spans="6:19" x14ac:dyDescent="0.25">
      <c r="F91" s="71"/>
      <c r="G91" s="71"/>
      <c r="H91" s="71"/>
      <c r="I91" s="71"/>
      <c r="J91" s="71"/>
      <c r="K91" s="71"/>
      <c r="L91" s="71"/>
      <c r="M91" s="71"/>
      <c r="N91" s="71"/>
      <c r="O91" s="71"/>
      <c r="P91" s="71"/>
      <c r="Q91" s="71"/>
      <c r="R91" s="71"/>
      <c r="S91" s="71"/>
    </row>
    <row r="92" spans="6:19" x14ac:dyDescent="0.25">
      <c r="F92" s="71"/>
      <c r="G92" s="71"/>
      <c r="H92" s="71"/>
      <c r="I92" s="71"/>
      <c r="J92" s="71"/>
      <c r="K92" s="71"/>
      <c r="L92" s="71"/>
      <c r="M92" s="71"/>
      <c r="N92" s="71"/>
      <c r="O92" s="71"/>
      <c r="P92" s="71"/>
      <c r="Q92" s="71"/>
      <c r="R92" s="71"/>
      <c r="S92" s="71"/>
    </row>
    <row r="93" spans="6:19" x14ac:dyDescent="0.25">
      <c r="F93" s="71"/>
      <c r="G93" s="71"/>
      <c r="H93" s="71"/>
      <c r="I93" s="71"/>
      <c r="J93" s="71"/>
      <c r="K93" s="71"/>
      <c r="L93" s="71"/>
      <c r="M93" s="71"/>
      <c r="N93" s="71"/>
      <c r="O93" s="71"/>
      <c r="P93" s="71"/>
      <c r="Q93" s="71"/>
      <c r="R93" s="71"/>
      <c r="S93" s="71"/>
    </row>
    <row r="94" spans="6:19" x14ac:dyDescent="0.25">
      <c r="F94" s="71"/>
      <c r="G94" s="71"/>
      <c r="H94" s="71"/>
      <c r="I94" s="71"/>
      <c r="J94" s="71"/>
      <c r="K94" s="71"/>
      <c r="L94" s="71"/>
      <c r="M94" s="71"/>
      <c r="N94" s="71"/>
      <c r="O94" s="71"/>
      <c r="P94" s="71"/>
      <c r="Q94" s="71"/>
      <c r="R94" s="71"/>
      <c r="S94" s="71"/>
    </row>
    <row r="95" spans="6:19" x14ac:dyDescent="0.25">
      <c r="F95" s="71"/>
      <c r="G95" s="71"/>
      <c r="H95" s="71"/>
      <c r="I95" s="71"/>
      <c r="J95" s="71"/>
      <c r="K95" s="71"/>
      <c r="L95" s="71"/>
      <c r="M95" s="71"/>
      <c r="N95" s="71"/>
      <c r="O95" s="71"/>
      <c r="P95" s="71"/>
      <c r="Q95" s="71"/>
      <c r="R95" s="71"/>
      <c r="S95" s="71"/>
    </row>
    <row r="96" spans="6:19" x14ac:dyDescent="0.25">
      <c r="F96" s="71"/>
      <c r="G96" s="71"/>
      <c r="H96" s="71"/>
      <c r="I96" s="71"/>
      <c r="J96" s="71"/>
      <c r="K96" s="71"/>
      <c r="L96" s="71"/>
      <c r="M96" s="71"/>
      <c r="N96" s="71"/>
      <c r="O96" s="71"/>
      <c r="P96" s="71"/>
      <c r="Q96" s="71"/>
      <c r="R96" s="71"/>
      <c r="S96" s="71"/>
    </row>
    <row r="97" spans="6:19" x14ac:dyDescent="0.25">
      <c r="F97" s="71"/>
      <c r="G97" s="71"/>
      <c r="H97" s="71"/>
      <c r="I97" s="71"/>
      <c r="J97" s="71"/>
      <c r="K97" s="71"/>
      <c r="L97" s="71"/>
      <c r="M97" s="71"/>
      <c r="N97" s="71"/>
      <c r="O97" s="71"/>
      <c r="P97" s="71"/>
      <c r="Q97" s="71"/>
      <c r="R97" s="71"/>
      <c r="S97" s="71"/>
    </row>
    <row r="98" spans="6:19" x14ac:dyDescent="0.25">
      <c r="F98" s="71"/>
      <c r="G98" s="71"/>
      <c r="H98" s="71"/>
      <c r="I98" s="71"/>
      <c r="J98" s="71"/>
      <c r="K98" s="71"/>
      <c r="L98" s="71"/>
      <c r="M98" s="71"/>
      <c r="N98" s="71"/>
      <c r="O98" s="71"/>
      <c r="P98" s="71"/>
      <c r="Q98" s="71"/>
      <c r="R98" s="71"/>
      <c r="S98" s="71"/>
    </row>
    <row r="99" spans="6:19" x14ac:dyDescent="0.25">
      <c r="F99" s="71"/>
      <c r="G99" s="71"/>
      <c r="H99" s="71"/>
      <c r="I99" s="71"/>
      <c r="J99" s="71"/>
      <c r="K99" s="71"/>
      <c r="L99" s="71"/>
      <c r="M99" s="71"/>
      <c r="N99" s="71"/>
      <c r="O99" s="71"/>
      <c r="P99" s="71"/>
      <c r="Q99" s="71"/>
      <c r="R99" s="71"/>
      <c r="S99" s="71"/>
    </row>
    <row r="100" spans="6:19" x14ac:dyDescent="0.25">
      <c r="F100" s="71"/>
      <c r="G100" s="71"/>
      <c r="H100" s="71"/>
      <c r="I100" s="71"/>
      <c r="J100" s="71"/>
      <c r="K100" s="71"/>
      <c r="L100" s="71"/>
      <c r="M100" s="71"/>
      <c r="N100" s="71"/>
      <c r="O100" s="71"/>
      <c r="P100" s="71"/>
      <c r="Q100" s="71"/>
      <c r="R100" s="71"/>
      <c r="S100" s="71"/>
    </row>
    <row r="101" spans="6:19" x14ac:dyDescent="0.25">
      <c r="F101" s="71"/>
      <c r="G101" s="71"/>
      <c r="H101" s="71"/>
      <c r="I101" s="71"/>
      <c r="J101" s="71"/>
      <c r="K101" s="71"/>
      <c r="L101" s="71"/>
      <c r="M101" s="71"/>
      <c r="N101" s="71"/>
      <c r="O101" s="71"/>
      <c r="P101" s="71"/>
      <c r="Q101" s="71"/>
      <c r="R101" s="71"/>
      <c r="S101" s="71"/>
    </row>
    <row r="102" spans="6:19" x14ac:dyDescent="0.25">
      <c r="F102" s="71"/>
      <c r="G102" s="71"/>
      <c r="H102" s="71"/>
      <c r="I102" s="71"/>
      <c r="J102" s="71"/>
      <c r="K102" s="71"/>
      <c r="L102" s="71"/>
      <c r="M102" s="71"/>
      <c r="N102" s="71"/>
      <c r="O102" s="71"/>
      <c r="P102" s="71"/>
      <c r="Q102" s="71"/>
      <c r="R102" s="71"/>
      <c r="S102" s="71"/>
    </row>
    <row r="103" spans="6:19" x14ac:dyDescent="0.25">
      <c r="F103" s="71"/>
      <c r="G103" s="71"/>
      <c r="H103" s="71"/>
      <c r="I103" s="71"/>
      <c r="J103" s="71"/>
      <c r="K103" s="71"/>
      <c r="L103" s="71"/>
      <c r="M103" s="71"/>
      <c r="N103" s="71"/>
      <c r="O103" s="71"/>
      <c r="P103" s="71"/>
      <c r="Q103" s="71"/>
      <c r="R103" s="71"/>
      <c r="S103" s="71"/>
    </row>
    <row r="104" spans="6:19" x14ac:dyDescent="0.25">
      <c r="F104" s="71"/>
      <c r="G104" s="71"/>
      <c r="H104" s="71"/>
      <c r="I104" s="71"/>
      <c r="J104" s="71"/>
      <c r="K104" s="71"/>
      <c r="L104" s="71"/>
      <c r="M104" s="71"/>
      <c r="N104" s="71"/>
      <c r="O104" s="71"/>
      <c r="P104" s="71"/>
      <c r="Q104" s="71"/>
      <c r="R104" s="71"/>
      <c r="S104" s="71"/>
    </row>
    <row r="105" spans="6:19" x14ac:dyDescent="0.25">
      <c r="F105" s="71"/>
      <c r="G105" s="71"/>
      <c r="H105" s="71"/>
      <c r="I105" s="71"/>
      <c r="J105" s="71"/>
      <c r="K105" s="71"/>
      <c r="L105" s="71"/>
      <c r="M105" s="71"/>
      <c r="N105" s="71"/>
      <c r="O105" s="71"/>
      <c r="P105" s="71"/>
      <c r="Q105" s="71"/>
      <c r="R105" s="71"/>
      <c r="S105" s="71"/>
    </row>
    <row r="106" spans="6:19" x14ac:dyDescent="0.25">
      <c r="F106" s="71"/>
      <c r="G106" s="71"/>
      <c r="H106" s="71"/>
      <c r="I106" s="71"/>
      <c r="J106" s="71"/>
      <c r="K106" s="71"/>
      <c r="L106" s="71"/>
      <c r="M106" s="71"/>
      <c r="N106" s="71"/>
      <c r="O106" s="71"/>
      <c r="P106" s="71"/>
      <c r="Q106" s="71"/>
      <c r="R106" s="71"/>
      <c r="S106" s="71"/>
    </row>
    <row r="107" spans="6:19" x14ac:dyDescent="0.25">
      <c r="F107" s="71"/>
      <c r="G107" s="71"/>
      <c r="H107" s="71"/>
      <c r="I107" s="71"/>
      <c r="J107" s="71"/>
      <c r="K107" s="71"/>
      <c r="L107" s="71"/>
      <c r="M107" s="71"/>
      <c r="N107" s="71"/>
      <c r="O107" s="71"/>
      <c r="P107" s="71"/>
      <c r="Q107" s="71"/>
      <c r="R107" s="71"/>
      <c r="S107" s="71"/>
    </row>
    <row r="108" spans="6:19" x14ac:dyDescent="0.25">
      <c r="F108" s="71"/>
      <c r="G108" s="71"/>
      <c r="H108" s="71"/>
      <c r="I108" s="71"/>
      <c r="J108" s="71"/>
      <c r="K108" s="71"/>
      <c r="L108" s="71"/>
      <c r="M108" s="71"/>
      <c r="N108" s="71"/>
      <c r="O108" s="71"/>
      <c r="P108" s="71"/>
      <c r="Q108" s="71"/>
      <c r="R108" s="71"/>
      <c r="S108" s="71"/>
    </row>
    <row r="109" spans="6:19" x14ac:dyDescent="0.25">
      <c r="F109" s="71"/>
      <c r="G109" s="71"/>
      <c r="H109" s="71"/>
      <c r="I109" s="71"/>
      <c r="J109" s="71"/>
      <c r="K109" s="71"/>
      <c r="L109" s="71"/>
      <c r="M109" s="71"/>
      <c r="N109" s="71"/>
      <c r="O109" s="71"/>
      <c r="P109" s="71"/>
      <c r="Q109" s="71"/>
      <c r="R109" s="71"/>
      <c r="S109" s="71"/>
    </row>
    <row r="110" spans="6:19" x14ac:dyDescent="0.25">
      <c r="F110" s="71"/>
      <c r="G110" s="71"/>
      <c r="H110" s="71"/>
      <c r="I110" s="71"/>
      <c r="J110" s="71"/>
      <c r="K110" s="71"/>
      <c r="L110" s="71"/>
      <c r="M110" s="71"/>
      <c r="N110" s="71"/>
      <c r="O110" s="71"/>
      <c r="P110" s="71"/>
      <c r="Q110" s="71"/>
      <c r="R110" s="71"/>
      <c r="S110" s="71"/>
    </row>
    <row r="111" spans="6:19" x14ac:dyDescent="0.25">
      <c r="F111" s="71"/>
      <c r="G111" s="71"/>
      <c r="H111" s="71"/>
      <c r="I111" s="71"/>
      <c r="J111" s="71"/>
      <c r="K111" s="71"/>
      <c r="L111" s="71"/>
      <c r="M111" s="71"/>
      <c r="N111" s="71"/>
      <c r="O111" s="71"/>
      <c r="P111" s="71"/>
      <c r="Q111" s="71"/>
      <c r="R111" s="71"/>
      <c r="S111" s="71"/>
    </row>
    <row r="112" spans="6:19" x14ac:dyDescent="0.25">
      <c r="F112" s="71"/>
      <c r="G112" s="71"/>
      <c r="H112" s="71"/>
      <c r="I112" s="71"/>
      <c r="J112" s="71"/>
      <c r="K112" s="71"/>
      <c r="L112" s="71"/>
      <c r="M112" s="71"/>
      <c r="N112" s="71"/>
      <c r="O112" s="71"/>
      <c r="P112" s="71"/>
      <c r="Q112" s="71"/>
      <c r="R112" s="71"/>
      <c r="S112" s="71"/>
    </row>
    <row r="113" spans="6:19" x14ac:dyDescent="0.25">
      <c r="F113" s="71"/>
      <c r="G113" s="71"/>
      <c r="H113" s="71"/>
      <c r="I113" s="71"/>
      <c r="J113" s="71"/>
      <c r="K113" s="71"/>
      <c r="L113" s="71"/>
      <c r="M113" s="71"/>
      <c r="N113" s="71"/>
      <c r="O113" s="71"/>
      <c r="P113" s="71"/>
      <c r="Q113" s="71"/>
      <c r="R113" s="71"/>
      <c r="S113" s="71"/>
    </row>
    <row r="114" spans="6:19" x14ac:dyDescent="0.25">
      <c r="F114" s="71"/>
      <c r="G114" s="71"/>
      <c r="H114" s="71"/>
      <c r="I114" s="71"/>
      <c r="J114" s="71"/>
      <c r="K114" s="71"/>
      <c r="L114" s="71"/>
      <c r="M114" s="71"/>
      <c r="N114" s="71"/>
      <c r="O114" s="71"/>
      <c r="P114" s="71"/>
      <c r="Q114" s="71"/>
      <c r="R114" s="71"/>
      <c r="S114" s="71"/>
    </row>
    <row r="115" spans="6:19" x14ac:dyDescent="0.25">
      <c r="F115" s="71"/>
      <c r="G115" s="71"/>
      <c r="H115" s="71"/>
      <c r="I115" s="71"/>
      <c r="J115" s="71"/>
      <c r="K115" s="71"/>
      <c r="L115" s="71"/>
      <c r="M115" s="71"/>
      <c r="N115" s="71"/>
      <c r="O115" s="71"/>
      <c r="P115" s="71"/>
      <c r="Q115" s="71"/>
      <c r="R115" s="71"/>
      <c r="S115" s="71"/>
    </row>
    <row r="116" spans="6:19" x14ac:dyDescent="0.25">
      <c r="F116" s="71"/>
      <c r="G116" s="71"/>
      <c r="H116" s="71"/>
      <c r="I116" s="71"/>
      <c r="J116" s="71"/>
      <c r="K116" s="71"/>
      <c r="L116" s="71"/>
      <c r="M116" s="71"/>
      <c r="N116" s="71"/>
      <c r="O116" s="71"/>
      <c r="P116" s="71"/>
      <c r="Q116" s="71"/>
      <c r="R116" s="71"/>
      <c r="S116" s="71"/>
    </row>
    <row r="117" spans="6:19" x14ac:dyDescent="0.25">
      <c r="F117" s="71"/>
      <c r="G117" s="71"/>
      <c r="H117" s="71"/>
      <c r="I117" s="71"/>
      <c r="J117" s="71"/>
      <c r="K117" s="71"/>
      <c r="L117" s="71"/>
      <c r="M117" s="71"/>
      <c r="N117" s="71"/>
      <c r="O117" s="71"/>
      <c r="P117" s="71"/>
      <c r="Q117" s="71"/>
      <c r="R117" s="71"/>
      <c r="S117" s="71"/>
    </row>
    <row r="118" spans="6:19" x14ac:dyDescent="0.25">
      <c r="F118" s="71"/>
      <c r="G118" s="71"/>
      <c r="H118" s="71"/>
      <c r="I118" s="71"/>
      <c r="J118" s="71"/>
      <c r="K118" s="71"/>
      <c r="L118" s="71"/>
      <c r="M118" s="71"/>
      <c r="N118" s="71"/>
      <c r="O118" s="71"/>
      <c r="P118" s="71"/>
      <c r="Q118" s="71"/>
      <c r="R118" s="71"/>
      <c r="S118" s="71"/>
    </row>
    <row r="119" spans="6:19" x14ac:dyDescent="0.25">
      <c r="F119" s="71"/>
      <c r="G119" s="71"/>
      <c r="H119" s="71"/>
      <c r="I119" s="71"/>
      <c r="J119" s="71"/>
      <c r="K119" s="71"/>
      <c r="L119" s="71"/>
      <c r="M119" s="71"/>
      <c r="N119" s="71"/>
      <c r="O119" s="71"/>
      <c r="P119" s="71"/>
      <c r="Q119" s="71"/>
      <c r="R119" s="71"/>
      <c r="S119" s="71"/>
    </row>
  </sheetData>
  <mergeCells count="3">
    <mergeCell ref="I31:M31"/>
    <mergeCell ref="N31:P31"/>
    <mergeCell ref="Q31:S31"/>
  </mergeCells>
  <pageMargins left="0.7" right="0.7" top="0.75" bottom="0.75" header="0.3" footer="0.3"/>
  <pageSetup paperSize="9" orientation="portrait" horizontalDpi="300" verticalDpi="3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AC86"/>
  <sheetViews>
    <sheetView showGridLines="0" zoomScale="85" zoomScaleNormal="85" workbookViewId="0">
      <pane ySplit="29" topLeftCell="A30" activePane="bottomLeft" state="frozen"/>
      <selection pane="bottomLeft" activeCell="T37" sqref="T37"/>
    </sheetView>
  </sheetViews>
  <sheetFormatPr baseColWidth="10" defaultColWidth="11.42578125" defaultRowHeight="12.75" x14ac:dyDescent="0.2"/>
  <cols>
    <col min="1" max="16384" width="11.42578125" style="1"/>
  </cols>
  <sheetData>
    <row r="2" spans="2:29" x14ac:dyDescent="0.2">
      <c r="R2" s="123"/>
      <c r="S2" s="123"/>
      <c r="T2" s="123"/>
      <c r="U2" s="123"/>
      <c r="V2" s="123"/>
      <c r="W2" s="123"/>
      <c r="X2" s="123"/>
      <c r="Y2" s="123"/>
      <c r="Z2" s="123"/>
      <c r="AA2" s="123"/>
      <c r="AB2" s="123"/>
      <c r="AC2" s="123"/>
    </row>
    <row r="3" spans="2:29" ht="17.25" customHeight="1" x14ac:dyDescent="0.2">
      <c r="B3" s="193" t="s">
        <v>219</v>
      </c>
      <c r="C3" s="193"/>
      <c r="D3" s="193"/>
      <c r="E3" s="193"/>
      <c r="F3" s="193"/>
      <c r="G3" s="193"/>
      <c r="H3" s="193"/>
      <c r="I3" s="193"/>
      <c r="J3" s="193"/>
      <c r="K3" s="193"/>
      <c r="L3" s="193"/>
      <c r="M3" s="193"/>
      <c r="N3" s="193"/>
      <c r="R3" s="123"/>
      <c r="S3" s="123"/>
      <c r="T3" s="123"/>
      <c r="U3" s="123"/>
      <c r="V3" s="123"/>
      <c r="W3" s="123"/>
      <c r="X3" s="123"/>
      <c r="Y3" s="123"/>
      <c r="Z3" s="123"/>
      <c r="AA3" s="123"/>
      <c r="AB3" s="123"/>
      <c r="AC3" s="123"/>
    </row>
    <row r="4" spans="2:29" ht="17.25" customHeight="1" x14ac:dyDescent="0.2">
      <c r="B4" s="193"/>
      <c r="C4" s="193"/>
      <c r="D4" s="193"/>
      <c r="E4" s="193"/>
      <c r="F4" s="193"/>
      <c r="G4" s="193"/>
      <c r="H4" s="193"/>
      <c r="I4" s="193"/>
      <c r="J4" s="193"/>
      <c r="K4" s="193"/>
      <c r="L4" s="193"/>
      <c r="M4" s="193"/>
      <c r="N4" s="193"/>
      <c r="R4" s="123"/>
      <c r="S4" s="123"/>
      <c r="T4" s="123"/>
      <c r="U4" s="123"/>
      <c r="V4" s="123"/>
      <c r="W4" s="123"/>
      <c r="X4" s="123"/>
      <c r="Y4" s="123"/>
      <c r="Z4" s="123"/>
      <c r="AA4" s="123"/>
      <c r="AB4" s="123"/>
      <c r="AC4" s="123"/>
    </row>
    <row r="5" spans="2:29" x14ac:dyDescent="0.2">
      <c r="B5" s="193"/>
      <c r="C5" s="193"/>
      <c r="D5" s="193"/>
      <c r="E5" s="193"/>
      <c r="F5" s="193"/>
      <c r="G5" s="193"/>
      <c r="H5" s="193"/>
      <c r="I5" s="193"/>
      <c r="J5" s="193"/>
      <c r="K5" s="193"/>
      <c r="L5" s="193"/>
      <c r="M5" s="193"/>
      <c r="N5" s="193"/>
      <c r="R5" s="123"/>
      <c r="S5" s="123"/>
      <c r="T5" s="123"/>
      <c r="U5" s="123"/>
      <c r="V5" s="123"/>
      <c r="W5" s="123"/>
      <c r="X5" s="123"/>
      <c r="Y5" s="123"/>
      <c r="Z5" s="123"/>
      <c r="AA5" s="123"/>
      <c r="AB5" s="123"/>
      <c r="AC5" s="123"/>
    </row>
    <row r="6" spans="2:29" x14ac:dyDescent="0.2">
      <c r="B6" s="131"/>
      <c r="C6" s="132"/>
      <c r="D6" s="132"/>
      <c r="E6" s="132"/>
      <c r="F6" s="132"/>
      <c r="G6" s="132"/>
      <c r="H6" s="132"/>
      <c r="I6" s="132"/>
      <c r="J6" s="132"/>
      <c r="K6" s="132"/>
      <c r="L6" s="132"/>
      <c r="M6" s="132"/>
      <c r="N6" s="133"/>
      <c r="R6" s="123"/>
      <c r="S6" s="123"/>
      <c r="T6" s="123"/>
      <c r="U6" s="123"/>
      <c r="V6" s="123"/>
      <c r="W6" s="123"/>
      <c r="X6" s="123"/>
      <c r="Y6" s="123"/>
      <c r="Z6" s="123"/>
      <c r="AA6" s="123"/>
      <c r="AB6" s="123"/>
      <c r="AC6" s="123"/>
    </row>
    <row r="7" spans="2:29" x14ac:dyDescent="0.2">
      <c r="B7" s="134"/>
      <c r="C7" s="20"/>
      <c r="D7" s="105" t="s">
        <v>197</v>
      </c>
      <c r="E7" s="20"/>
      <c r="F7" s="135"/>
      <c r="G7" s="135"/>
      <c r="H7" s="136"/>
      <c r="I7" s="135"/>
      <c r="J7" s="137"/>
      <c r="K7" s="136" t="s">
        <v>216</v>
      </c>
      <c r="L7" s="135"/>
      <c r="M7" s="20"/>
      <c r="N7" s="138"/>
      <c r="O7" s="20"/>
      <c r="P7" s="20"/>
      <c r="Q7" s="20"/>
      <c r="R7" s="123"/>
      <c r="S7" s="123"/>
      <c r="T7" s="123"/>
      <c r="U7" s="123"/>
      <c r="V7" s="123"/>
      <c r="W7" s="123"/>
      <c r="X7" s="123"/>
      <c r="Y7" s="123"/>
      <c r="Z7" s="123"/>
      <c r="AA7" s="123"/>
      <c r="AB7" s="123"/>
      <c r="AC7" s="123"/>
    </row>
    <row r="8" spans="2:29" x14ac:dyDescent="0.2">
      <c r="B8" s="139"/>
      <c r="C8" s="140" t="s">
        <v>56</v>
      </c>
      <c r="D8" s="7">
        <v>2.8</v>
      </c>
      <c r="E8" s="24" t="s">
        <v>220</v>
      </c>
      <c r="F8" s="135"/>
      <c r="G8" s="135"/>
      <c r="H8" s="135"/>
      <c r="I8" s="135"/>
      <c r="J8" s="2" t="s">
        <v>131</v>
      </c>
      <c r="K8" s="36">
        <f ca="1">(D10-D11)/(6*K12)</f>
        <v>3.7873067639380236</v>
      </c>
      <c r="L8" s="141" t="s">
        <v>132</v>
      </c>
      <c r="M8" s="20"/>
      <c r="N8" s="138"/>
      <c r="O8" s="20"/>
      <c r="P8" s="20"/>
      <c r="Q8" s="20"/>
      <c r="R8" s="123" t="s">
        <v>180</v>
      </c>
      <c r="S8" s="123"/>
      <c r="T8" s="123" t="s">
        <v>181</v>
      </c>
      <c r="U8" s="123"/>
      <c r="V8" s="123"/>
      <c r="W8" s="123"/>
      <c r="X8" s="123"/>
      <c r="Y8" s="123"/>
      <c r="Z8" s="123"/>
      <c r="AA8" s="123"/>
      <c r="AB8" s="123"/>
      <c r="AC8" s="123"/>
    </row>
    <row r="9" spans="2:29" x14ac:dyDescent="0.2">
      <c r="B9" s="139"/>
      <c r="C9" s="140" t="s">
        <v>58</v>
      </c>
      <c r="D9" s="7">
        <v>0.24</v>
      </c>
      <c r="E9" s="141" t="s">
        <v>190</v>
      </c>
      <c r="F9" s="135"/>
      <c r="G9" s="135"/>
      <c r="H9" s="135"/>
      <c r="I9" s="135"/>
      <c r="J9" s="45" t="s">
        <v>133</v>
      </c>
      <c r="K9" s="36">
        <f ca="1">K8*SQRT(_xlfn.CHISQ.INV(0.025,K13)/K13)</f>
        <v>3.2345614467784425</v>
      </c>
      <c r="L9" s="141" t="s">
        <v>229</v>
      </c>
      <c r="M9" s="20"/>
      <c r="N9" s="138"/>
      <c r="O9" s="20"/>
      <c r="P9" s="20"/>
      <c r="Q9" s="20"/>
      <c r="R9" s="123">
        <v>0</v>
      </c>
      <c r="S9" s="123"/>
      <c r="T9" s="123">
        <v>100</v>
      </c>
      <c r="U9" s="123">
        <v>370</v>
      </c>
      <c r="V9" s="123">
        <v>500</v>
      </c>
      <c r="W9" s="124">
        <v>1000</v>
      </c>
      <c r="X9" s="123"/>
      <c r="Y9" s="123"/>
      <c r="Z9" s="123"/>
      <c r="AA9" s="123"/>
      <c r="AB9" s="123"/>
      <c r="AC9" s="123"/>
    </row>
    <row r="10" spans="2:29" x14ac:dyDescent="0.2">
      <c r="B10" s="139"/>
      <c r="C10" s="140" t="s">
        <v>76</v>
      </c>
      <c r="D10" s="7">
        <v>3.8</v>
      </c>
      <c r="E10" s="141" t="s">
        <v>192</v>
      </c>
      <c r="F10" s="135"/>
      <c r="G10" s="142"/>
      <c r="H10" s="135"/>
      <c r="I10" s="135"/>
      <c r="J10" s="45" t="s">
        <v>134</v>
      </c>
      <c r="K10" s="36">
        <f ca="1">K8*SQRT(_xlfn.CHISQ.INV(0.975,K13)/K13)</f>
        <v>4.339105026715294</v>
      </c>
      <c r="L10" s="141" t="s">
        <v>230</v>
      </c>
      <c r="M10" s="135"/>
      <c r="N10" s="138"/>
      <c r="O10" s="20"/>
      <c r="P10" s="20"/>
      <c r="Q10" s="20"/>
      <c r="R10" s="123"/>
      <c r="S10" s="123" t="s">
        <v>53</v>
      </c>
      <c r="T10" s="126">
        <v>7.0000000000000007E-2</v>
      </c>
      <c r="U10" s="126">
        <v>0.06</v>
      </c>
      <c r="V10" s="126">
        <v>0.05</v>
      </c>
      <c r="W10" s="126">
        <v>0.04</v>
      </c>
      <c r="X10" s="126"/>
      <c r="Y10" s="123"/>
      <c r="Z10" s="123"/>
      <c r="AA10" s="123"/>
      <c r="AB10" s="123"/>
      <c r="AC10" s="123"/>
    </row>
    <row r="11" spans="2:29" x14ac:dyDescent="0.2">
      <c r="B11" s="134"/>
      <c r="C11" s="140" t="s">
        <v>77</v>
      </c>
      <c r="D11" s="7">
        <v>1.8</v>
      </c>
      <c r="E11" s="141" t="s">
        <v>193</v>
      </c>
      <c r="F11" s="135"/>
      <c r="G11" s="143"/>
      <c r="H11" s="135"/>
      <c r="I11" s="135"/>
      <c r="J11" s="135"/>
      <c r="K11" s="135"/>
      <c r="L11" s="135"/>
      <c r="M11" s="135"/>
      <c r="N11" s="138"/>
      <c r="O11" s="20"/>
      <c r="P11" s="20"/>
      <c r="Q11" s="20"/>
      <c r="R11" s="123" t="s">
        <v>182</v>
      </c>
      <c r="S11" s="123" t="s">
        <v>52</v>
      </c>
      <c r="T11" s="126">
        <v>2.0099999999999998</v>
      </c>
      <c r="U11" s="126">
        <v>2.5499999999999998</v>
      </c>
      <c r="V11" s="126">
        <v>2.62</v>
      </c>
      <c r="W11" s="126">
        <v>2.82</v>
      </c>
      <c r="X11" s="126"/>
      <c r="Y11" s="123"/>
      <c r="Z11" s="123"/>
      <c r="AA11" s="123"/>
      <c r="AB11" s="123"/>
      <c r="AC11" s="123"/>
    </row>
    <row r="12" spans="2:29" x14ac:dyDescent="0.2">
      <c r="B12" s="139"/>
      <c r="C12" s="135"/>
      <c r="D12" s="135"/>
      <c r="E12" s="135"/>
      <c r="F12" s="135"/>
      <c r="G12" s="143"/>
      <c r="H12" s="135"/>
      <c r="I12" s="3"/>
      <c r="J12" s="2" t="s">
        <v>222</v>
      </c>
      <c r="K12" s="35">
        <f ca="1">STDEV(D32:E61)</f>
        <v>8.8013291267363528E-2</v>
      </c>
      <c r="L12" s="144" t="s">
        <v>231</v>
      </c>
      <c r="M12" s="135"/>
      <c r="N12" s="145"/>
      <c r="O12" s="6"/>
      <c r="P12" s="6"/>
      <c r="Q12" s="6"/>
      <c r="R12" s="123"/>
      <c r="S12" s="123" t="s">
        <v>54</v>
      </c>
      <c r="T12" s="126">
        <v>17.3</v>
      </c>
      <c r="U12" s="126">
        <v>26.5</v>
      </c>
      <c r="V12" s="126">
        <v>28.7</v>
      </c>
      <c r="W12" s="126">
        <v>34.299999999999997</v>
      </c>
      <c r="X12" s="126"/>
      <c r="Y12" s="123"/>
      <c r="Z12" s="123"/>
      <c r="AA12" s="123"/>
      <c r="AB12" s="123"/>
      <c r="AC12" s="123"/>
    </row>
    <row r="13" spans="2:29" x14ac:dyDescent="0.2">
      <c r="B13" s="139"/>
      <c r="C13" s="32" t="s">
        <v>198</v>
      </c>
      <c r="D13" s="141"/>
      <c r="E13" s="141"/>
      <c r="F13" s="135"/>
      <c r="G13" s="135"/>
      <c r="H13" s="3"/>
      <c r="I13" s="20"/>
      <c r="J13" s="2" t="s">
        <v>159</v>
      </c>
      <c r="K13" s="2">
        <f ca="1">COUNT(D32:H86)</f>
        <v>90</v>
      </c>
      <c r="L13" s="135"/>
      <c r="M13" s="135"/>
      <c r="N13" s="146"/>
      <c r="O13" s="6"/>
      <c r="P13" s="6"/>
      <c r="Q13" s="6"/>
      <c r="R13" s="123"/>
      <c r="S13" s="123" t="s">
        <v>53</v>
      </c>
      <c r="T13" s="126">
        <v>0.12</v>
      </c>
      <c r="U13" s="126">
        <v>0.1</v>
      </c>
      <c r="V13" s="126">
        <v>0.09</v>
      </c>
      <c r="W13" s="126">
        <v>7.0000000000000007E-2</v>
      </c>
      <c r="X13" s="126"/>
      <c r="Y13" s="111" t="s">
        <v>201</v>
      </c>
      <c r="Z13" s="111" t="s">
        <v>202</v>
      </c>
      <c r="AA13" s="111" t="s">
        <v>203</v>
      </c>
      <c r="AB13" s="111" t="s">
        <v>204</v>
      </c>
      <c r="AC13" s="123"/>
    </row>
    <row r="14" spans="2:29" x14ac:dyDescent="0.2">
      <c r="B14" s="139"/>
      <c r="C14" s="140" t="s">
        <v>195</v>
      </c>
      <c r="D14" s="100">
        <f>D10-3*D9</f>
        <v>3.08</v>
      </c>
      <c r="E14" s="135" t="s">
        <v>152</v>
      </c>
      <c r="F14" s="135"/>
      <c r="G14" s="135"/>
      <c r="H14" s="135"/>
      <c r="I14" s="20"/>
      <c r="J14" s="135"/>
      <c r="K14" s="135"/>
      <c r="L14" s="135"/>
      <c r="M14" s="135"/>
      <c r="N14" s="146"/>
      <c r="O14" s="6"/>
      <c r="P14" s="6"/>
      <c r="Q14" s="6"/>
      <c r="R14" s="123" t="s">
        <v>183</v>
      </c>
      <c r="S14" s="123" t="s">
        <v>52</v>
      </c>
      <c r="T14" s="126">
        <v>2.21</v>
      </c>
      <c r="U14" s="126">
        <v>2.7</v>
      </c>
      <c r="V14" s="126">
        <v>2.79</v>
      </c>
      <c r="W14" s="126">
        <v>2.97</v>
      </c>
      <c r="X14" s="126"/>
      <c r="Y14" s="111">
        <v>17.3</v>
      </c>
      <c r="Z14" s="111">
        <v>26.5</v>
      </c>
      <c r="AA14" s="111">
        <v>28.7</v>
      </c>
      <c r="AB14" s="111">
        <v>34.299999999999997</v>
      </c>
      <c r="AC14" s="123"/>
    </row>
    <row r="15" spans="2:29" x14ac:dyDescent="0.2">
      <c r="B15" s="134"/>
      <c r="C15" s="140" t="s">
        <v>194</v>
      </c>
      <c r="D15" s="100">
        <f>D11+3*D9</f>
        <v>2.52</v>
      </c>
      <c r="E15" s="135" t="s">
        <v>153</v>
      </c>
      <c r="F15" s="135"/>
      <c r="G15" s="135"/>
      <c r="H15" s="135"/>
      <c r="I15" s="20"/>
      <c r="J15" s="135"/>
      <c r="K15" s="135"/>
      <c r="L15" s="135"/>
      <c r="M15" s="135"/>
      <c r="N15" s="146"/>
      <c r="O15" s="6"/>
      <c r="P15" s="6"/>
      <c r="Q15" s="6"/>
      <c r="R15" s="123"/>
      <c r="S15" s="123" t="s">
        <v>54</v>
      </c>
      <c r="T15" s="126">
        <v>10.3</v>
      </c>
      <c r="U15" s="126">
        <v>14.7</v>
      </c>
      <c r="V15" s="126">
        <v>15.8</v>
      </c>
      <c r="W15" s="126">
        <v>18.399999999999999</v>
      </c>
      <c r="X15" s="126"/>
      <c r="Y15" s="111">
        <v>10.3</v>
      </c>
      <c r="Z15" s="111">
        <v>14.7</v>
      </c>
      <c r="AA15" s="111">
        <v>15.8</v>
      </c>
      <c r="AB15" s="111">
        <v>18.399999999999999</v>
      </c>
      <c r="AC15" s="123"/>
    </row>
    <row r="16" spans="2:29" x14ac:dyDescent="0.2">
      <c r="B16" s="139"/>
      <c r="C16" s="140" t="s">
        <v>221</v>
      </c>
      <c r="D16" s="100">
        <f>ABS(MIN((D14-D8)/D9,(D15-D8)/D9))</f>
        <v>1.1666666666666659</v>
      </c>
      <c r="E16" s="144" t="s">
        <v>191</v>
      </c>
      <c r="F16" s="135"/>
      <c r="G16" s="135"/>
      <c r="H16" s="135"/>
      <c r="I16" s="20"/>
      <c r="J16" s="135"/>
      <c r="K16" s="135"/>
      <c r="L16" s="135"/>
      <c r="M16" s="20"/>
      <c r="N16" s="146"/>
      <c r="O16" s="6"/>
      <c r="P16" s="6"/>
      <c r="Q16" s="6"/>
      <c r="R16" s="123"/>
      <c r="S16" s="123" t="s">
        <v>53</v>
      </c>
      <c r="T16" s="126">
        <v>0.19</v>
      </c>
      <c r="U16" s="126">
        <v>0.15</v>
      </c>
      <c r="V16" s="126">
        <v>0.15</v>
      </c>
      <c r="W16" s="126">
        <v>0.13</v>
      </c>
      <c r="X16" s="126"/>
      <c r="Y16" s="111">
        <v>7</v>
      </c>
      <c r="Z16" s="111">
        <v>9.6</v>
      </c>
      <c r="AA16" s="111">
        <v>10.199999999999999</v>
      </c>
      <c r="AB16" s="111">
        <v>11.7</v>
      </c>
      <c r="AC16" s="123"/>
    </row>
    <row r="17" spans="1:29" x14ac:dyDescent="0.2">
      <c r="B17" s="139"/>
      <c r="C17" s="29"/>
      <c r="D17" s="6"/>
      <c r="E17" s="34"/>
      <c r="F17" s="19"/>
      <c r="G17" s="20"/>
      <c r="H17" s="22"/>
      <c r="I17" s="22"/>
      <c r="J17" s="135"/>
      <c r="K17" s="135"/>
      <c r="L17" s="135"/>
      <c r="M17" s="20"/>
      <c r="N17" s="147"/>
      <c r="O17" s="6"/>
      <c r="P17" s="6"/>
      <c r="Q17" s="6"/>
      <c r="R17" s="123" t="s">
        <v>184</v>
      </c>
      <c r="S17" s="123" t="s">
        <v>52</v>
      </c>
      <c r="T17" s="126">
        <v>2.35</v>
      </c>
      <c r="U17" s="126">
        <v>2.8</v>
      </c>
      <c r="V17" s="126">
        <v>2.91</v>
      </c>
      <c r="W17" s="126">
        <v>3.11</v>
      </c>
      <c r="X17" s="126"/>
      <c r="Y17" s="111">
        <v>3.9</v>
      </c>
      <c r="Z17" s="111">
        <v>5.2</v>
      </c>
      <c r="AA17" s="116">
        <v>5.5</v>
      </c>
      <c r="AB17" s="111">
        <v>6.1</v>
      </c>
      <c r="AC17" s="123"/>
    </row>
    <row r="18" spans="1:29" x14ac:dyDescent="0.2">
      <c r="B18" s="139"/>
      <c r="C18" s="137" t="s">
        <v>217</v>
      </c>
      <c r="D18" s="141"/>
      <c r="E18" s="141"/>
      <c r="F18" s="135"/>
      <c r="G18" s="25"/>
      <c r="H18" s="27"/>
      <c r="I18" s="22"/>
      <c r="J18" s="135"/>
      <c r="K18" s="135"/>
      <c r="L18" s="135"/>
      <c r="M18" s="25"/>
      <c r="N18" s="147"/>
      <c r="O18" s="6"/>
      <c r="P18" s="6"/>
      <c r="Q18" s="6"/>
      <c r="R18" s="123"/>
      <c r="S18" s="123" t="s">
        <v>54</v>
      </c>
      <c r="T18" s="126">
        <v>7</v>
      </c>
      <c r="U18" s="126">
        <v>9.6</v>
      </c>
      <c r="V18" s="126">
        <v>10.199999999999999</v>
      </c>
      <c r="W18" s="126">
        <v>11.7</v>
      </c>
      <c r="X18" s="126"/>
      <c r="Y18" s="111">
        <v>2.6</v>
      </c>
      <c r="Z18" s="111">
        <v>3.3</v>
      </c>
      <c r="AA18" s="116">
        <v>3.5</v>
      </c>
      <c r="AB18" s="111">
        <v>3.9</v>
      </c>
      <c r="AC18" s="123"/>
    </row>
    <row r="19" spans="1:29" x14ac:dyDescent="0.2">
      <c r="B19" s="134"/>
      <c r="C19" s="25" t="s">
        <v>59</v>
      </c>
      <c r="D19" s="101">
        <v>370</v>
      </c>
      <c r="E19" s="24" t="s">
        <v>199</v>
      </c>
      <c r="F19" s="135"/>
      <c r="G19" s="25"/>
      <c r="H19" s="20"/>
      <c r="I19" s="26"/>
      <c r="J19" s="135"/>
      <c r="K19" s="135"/>
      <c r="L19" s="135"/>
      <c r="M19" s="6"/>
      <c r="N19" s="148"/>
      <c r="O19" s="20"/>
      <c r="P19" s="20"/>
      <c r="Q19" s="20"/>
      <c r="R19" s="123"/>
      <c r="S19" s="123" t="s">
        <v>53</v>
      </c>
      <c r="T19" s="126">
        <v>0.33</v>
      </c>
      <c r="U19" s="126">
        <v>0.26</v>
      </c>
      <c r="V19" s="126">
        <v>0.24</v>
      </c>
      <c r="W19" s="126">
        <v>0.22</v>
      </c>
      <c r="X19" s="126"/>
      <c r="Y19" s="111">
        <v>1.89</v>
      </c>
      <c r="Z19" s="111">
        <v>2.38</v>
      </c>
      <c r="AA19" s="118">
        <v>2.5</v>
      </c>
      <c r="AB19" s="111">
        <v>2.76</v>
      </c>
      <c r="AC19" s="123"/>
    </row>
    <row r="20" spans="1:29" x14ac:dyDescent="0.2">
      <c r="B20" s="134"/>
      <c r="C20" s="25" t="s">
        <v>54</v>
      </c>
      <c r="D20" s="94">
        <v>3.3</v>
      </c>
      <c r="E20" s="24" t="s">
        <v>205</v>
      </c>
      <c r="F20" s="135"/>
      <c r="G20" s="135"/>
      <c r="H20" s="135"/>
      <c r="I20" s="26"/>
      <c r="J20" s="135"/>
      <c r="K20" s="135"/>
      <c r="L20" s="135"/>
      <c r="M20" s="6"/>
      <c r="N20" s="138"/>
      <c r="O20" s="20"/>
      <c r="P20" s="20"/>
      <c r="Q20" s="20"/>
      <c r="R20" s="123" t="s">
        <v>185</v>
      </c>
      <c r="S20" s="123" t="s">
        <v>52</v>
      </c>
      <c r="T20" s="126">
        <v>2.4700000000000002</v>
      </c>
      <c r="U20" s="126">
        <v>2.9</v>
      </c>
      <c r="V20" s="126">
        <v>2.99</v>
      </c>
      <c r="W20" s="126">
        <v>3.2</v>
      </c>
      <c r="X20" s="126"/>
      <c r="Y20" s="111">
        <v>1.45</v>
      </c>
      <c r="Z20" s="111">
        <v>1.78</v>
      </c>
      <c r="AA20" s="111">
        <v>1.86</v>
      </c>
      <c r="AB20" s="111">
        <v>2.06</v>
      </c>
      <c r="AC20" s="123"/>
    </row>
    <row r="21" spans="1:29" x14ac:dyDescent="0.2">
      <c r="B21" s="134"/>
      <c r="C21" s="135"/>
      <c r="D21" s="135"/>
      <c r="E21" s="135"/>
      <c r="F21" s="135"/>
      <c r="G21" s="135"/>
      <c r="H21" s="135"/>
      <c r="I21" s="26"/>
      <c r="J21" s="135"/>
      <c r="K21" s="135"/>
      <c r="L21" s="135"/>
      <c r="M21" s="6"/>
      <c r="N21" s="138"/>
      <c r="O21" s="20"/>
      <c r="P21" s="20"/>
      <c r="Q21" s="20"/>
      <c r="R21" s="123"/>
      <c r="S21" s="123" t="s">
        <v>54</v>
      </c>
      <c r="T21" s="126">
        <v>3.9</v>
      </c>
      <c r="U21" s="126">
        <v>5.2</v>
      </c>
      <c r="V21" s="126">
        <v>5.5</v>
      </c>
      <c r="W21" s="126">
        <v>6.1</v>
      </c>
      <c r="X21" s="126"/>
      <c r="Y21" s="123"/>
      <c r="Z21" s="123"/>
      <c r="AA21" s="123"/>
      <c r="AB21" s="123"/>
      <c r="AC21" s="123"/>
    </row>
    <row r="22" spans="1:29" x14ac:dyDescent="0.2">
      <c r="B22" s="134"/>
      <c r="C22" s="137" t="s">
        <v>206</v>
      </c>
      <c r="D22" s="141"/>
      <c r="E22" s="141"/>
      <c r="F22" s="135"/>
      <c r="G22" s="135"/>
      <c r="H22" s="135"/>
      <c r="I22" s="135"/>
      <c r="J22" s="135"/>
      <c r="K22" s="135"/>
      <c r="L22" s="20"/>
      <c r="M22" s="20"/>
      <c r="N22" s="138"/>
      <c r="O22" s="20"/>
      <c r="P22" s="20"/>
      <c r="Q22" s="20"/>
      <c r="R22" s="123"/>
      <c r="S22" s="123" t="s">
        <v>53</v>
      </c>
      <c r="T22" s="126">
        <v>0.52</v>
      </c>
      <c r="U22" s="126">
        <v>0.4</v>
      </c>
      <c r="V22" s="126">
        <v>0.37</v>
      </c>
      <c r="W22" s="126">
        <v>0.35</v>
      </c>
      <c r="X22" s="126"/>
      <c r="Y22" s="123"/>
      <c r="Z22" s="123"/>
      <c r="AA22" s="123"/>
      <c r="AB22" s="123"/>
      <c r="AC22" s="123"/>
    </row>
    <row r="23" spans="1:29" x14ac:dyDescent="0.2">
      <c r="B23" s="134"/>
      <c r="C23" s="34" t="s">
        <v>53</v>
      </c>
      <c r="D23" s="16">
        <f>VLOOKUP(D20,Y27:AA55,2,)</f>
        <v>0.4</v>
      </c>
      <c r="E23" s="43" t="s">
        <v>127</v>
      </c>
      <c r="F23" s="135"/>
      <c r="G23" s="135"/>
      <c r="H23" s="135"/>
      <c r="I23" s="26"/>
      <c r="J23" s="26"/>
      <c r="K23" s="20"/>
      <c r="L23" s="135"/>
      <c r="M23" s="24"/>
      <c r="N23" s="149"/>
      <c r="O23" s="20"/>
      <c r="P23" s="20"/>
      <c r="Q23" s="20"/>
      <c r="R23" s="123" t="s">
        <v>186</v>
      </c>
      <c r="S23" s="123" t="s">
        <v>52</v>
      </c>
      <c r="T23" s="126">
        <v>2.54</v>
      </c>
      <c r="U23" s="126">
        <v>2.96</v>
      </c>
      <c r="V23" s="126">
        <v>3.05</v>
      </c>
      <c r="W23" s="126">
        <v>3.25</v>
      </c>
      <c r="X23" s="126"/>
      <c r="Y23" s="123"/>
      <c r="Z23" s="123"/>
      <c r="AA23" s="123"/>
      <c r="AB23" s="123"/>
      <c r="AC23" s="123"/>
    </row>
    <row r="24" spans="1:29" x14ac:dyDescent="0.2">
      <c r="B24" s="134"/>
      <c r="C24" s="21" t="s">
        <v>52</v>
      </c>
      <c r="D24" s="16">
        <f>VLOOKUP(D20,Y27:AA55,3,)</f>
        <v>2.96</v>
      </c>
      <c r="E24" s="23" t="s">
        <v>69</v>
      </c>
      <c r="F24" s="135"/>
      <c r="G24" s="135"/>
      <c r="H24" s="135"/>
      <c r="I24" s="26"/>
      <c r="J24" s="137"/>
      <c r="K24" s="135"/>
      <c r="L24" s="135"/>
      <c r="M24" s="135"/>
      <c r="N24" s="149"/>
      <c r="O24" s="20"/>
      <c r="P24" s="20"/>
      <c r="Q24" s="20"/>
      <c r="R24" s="123"/>
      <c r="S24" s="123" t="s">
        <v>54</v>
      </c>
      <c r="T24" s="126">
        <v>2.6</v>
      </c>
      <c r="U24" s="126">
        <v>3.3</v>
      </c>
      <c r="V24" s="126">
        <v>3.5</v>
      </c>
      <c r="W24" s="126">
        <v>3.9</v>
      </c>
      <c r="X24" s="126"/>
      <c r="Y24" s="123"/>
      <c r="Z24" s="123"/>
      <c r="AA24" s="123"/>
      <c r="AB24" s="123"/>
      <c r="AC24" s="123"/>
    </row>
    <row r="25" spans="1:29" x14ac:dyDescent="0.2">
      <c r="B25" s="134"/>
      <c r="C25" s="25" t="s">
        <v>61</v>
      </c>
      <c r="D25" s="107">
        <f>VLOOKUP(D20,Y27:AB55,4,)</f>
        <v>2</v>
      </c>
      <c r="E25" s="141"/>
      <c r="F25" s="135"/>
      <c r="G25" s="135"/>
      <c r="H25" s="135"/>
      <c r="I25" s="26"/>
      <c r="J25" s="135"/>
      <c r="K25" s="21"/>
      <c r="L25" s="135"/>
      <c r="M25" s="24"/>
      <c r="N25" s="149"/>
      <c r="O25" s="20"/>
      <c r="P25" s="20"/>
      <c r="Q25" s="20"/>
      <c r="R25" s="123"/>
      <c r="S25" s="123" t="s">
        <v>53</v>
      </c>
      <c r="T25" s="126">
        <v>0.66</v>
      </c>
      <c r="U25" s="126">
        <v>0.54</v>
      </c>
      <c r="V25" s="126">
        <v>0.52</v>
      </c>
      <c r="W25" s="126">
        <v>0.46</v>
      </c>
      <c r="X25" s="126"/>
      <c r="Y25" s="123"/>
      <c r="Z25" s="123"/>
      <c r="AA25" s="123"/>
      <c r="AB25" s="123"/>
      <c r="AC25" s="123"/>
    </row>
    <row r="26" spans="1:29" x14ac:dyDescent="0.2">
      <c r="B26" s="150"/>
      <c r="C26" s="140" t="s">
        <v>218</v>
      </c>
      <c r="D26" s="97">
        <f>ROUNDUP((D25/D16)^2,0)</f>
        <v>3</v>
      </c>
      <c r="E26" s="141" t="s">
        <v>207</v>
      </c>
      <c r="F26" s="135"/>
      <c r="G26" s="135"/>
      <c r="H26" s="135"/>
      <c r="I26" s="26"/>
      <c r="J26" s="135"/>
      <c r="K26" s="34"/>
      <c r="L26" s="135"/>
      <c r="M26" s="28"/>
      <c r="N26" s="138"/>
      <c r="O26" s="20"/>
      <c r="P26" s="20"/>
      <c r="Q26" s="20"/>
      <c r="R26" s="123" t="s">
        <v>187</v>
      </c>
      <c r="S26" s="123" t="s">
        <v>52</v>
      </c>
      <c r="T26" s="126">
        <v>2.56</v>
      </c>
      <c r="U26" s="126">
        <v>2.98</v>
      </c>
      <c r="V26" s="126">
        <v>3.07</v>
      </c>
      <c r="W26" s="126">
        <v>3.27</v>
      </c>
      <c r="X26" s="126"/>
      <c r="Y26" s="125" t="s">
        <v>54</v>
      </c>
      <c r="Z26" s="125" t="s">
        <v>53</v>
      </c>
      <c r="AA26" s="125" t="s">
        <v>52</v>
      </c>
      <c r="AB26" s="125" t="s">
        <v>180</v>
      </c>
      <c r="AC26" s="123"/>
    </row>
    <row r="27" spans="1:29" x14ac:dyDescent="0.2">
      <c r="B27" s="134"/>
      <c r="C27" s="135"/>
      <c r="D27" s="135"/>
      <c r="E27" s="135"/>
      <c r="F27" s="135"/>
      <c r="G27" s="135"/>
      <c r="H27" s="135"/>
      <c r="I27" s="26"/>
      <c r="J27" s="135"/>
      <c r="K27" s="21"/>
      <c r="L27" s="135"/>
      <c r="M27" s="20"/>
      <c r="N27" s="149"/>
      <c r="O27" s="20"/>
      <c r="P27" s="20"/>
      <c r="Q27" s="20"/>
      <c r="R27" s="123"/>
      <c r="S27" s="123" t="s">
        <v>54</v>
      </c>
      <c r="T27" s="126">
        <v>1.89</v>
      </c>
      <c r="U27" s="126">
        <v>2.38</v>
      </c>
      <c r="V27" s="126">
        <v>2.5</v>
      </c>
      <c r="W27" s="126">
        <v>2.76</v>
      </c>
      <c r="X27" s="126"/>
      <c r="Y27" s="111">
        <v>17.3</v>
      </c>
      <c r="Z27" s="125">
        <v>7.0000000000000007E-2</v>
      </c>
      <c r="AA27" s="125">
        <v>2.0099999999999998</v>
      </c>
      <c r="AB27" s="111">
        <v>0.5</v>
      </c>
      <c r="AC27" s="123"/>
    </row>
    <row r="28" spans="1:29" x14ac:dyDescent="0.2">
      <c r="A28" s="31"/>
      <c r="B28" s="151" t="s">
        <v>224</v>
      </c>
      <c r="C28" s="152"/>
      <c r="D28" s="152"/>
      <c r="E28" s="152"/>
      <c r="F28" s="152"/>
      <c r="G28" s="152"/>
      <c r="H28" s="152"/>
      <c r="I28" s="153"/>
      <c r="J28" s="152"/>
      <c r="K28" s="154"/>
      <c r="L28" s="152"/>
      <c r="M28" s="152"/>
      <c r="N28" s="155"/>
      <c r="O28" s="20"/>
      <c r="P28" s="20"/>
      <c r="Q28" s="20"/>
      <c r="R28" s="123"/>
      <c r="S28" s="123" t="s">
        <v>53</v>
      </c>
      <c r="T28" s="126">
        <v>0.81</v>
      </c>
      <c r="U28" s="126">
        <v>0.7</v>
      </c>
      <c r="V28" s="126">
        <v>0.7</v>
      </c>
      <c r="W28" s="126">
        <v>0.66</v>
      </c>
      <c r="X28" s="126"/>
      <c r="Y28" s="111">
        <v>10.3</v>
      </c>
      <c r="Z28" s="125">
        <v>0.12</v>
      </c>
      <c r="AA28" s="125">
        <v>2.21</v>
      </c>
      <c r="AB28" s="111">
        <v>0.75</v>
      </c>
      <c r="AC28" s="123"/>
    </row>
    <row r="29" spans="1:29" x14ac:dyDescent="0.2">
      <c r="A29" s="31"/>
      <c r="B29" s="127"/>
      <c r="C29" s="128"/>
      <c r="D29" s="128"/>
      <c r="E29" s="128"/>
      <c r="F29" s="128"/>
      <c r="G29" s="128"/>
      <c r="H29" s="128"/>
      <c r="I29" s="129"/>
      <c r="J29" s="128"/>
      <c r="K29" s="130"/>
      <c r="L29" s="128"/>
      <c r="M29" s="128"/>
      <c r="N29" s="128"/>
      <c r="O29" s="20"/>
      <c r="P29" s="20"/>
      <c r="Q29" s="20"/>
      <c r="R29" s="123"/>
      <c r="S29" s="123"/>
      <c r="T29" s="126"/>
      <c r="U29" s="126"/>
      <c r="V29" s="126"/>
      <c r="W29" s="126"/>
      <c r="X29" s="126"/>
      <c r="Y29" s="111"/>
      <c r="Z29" s="125"/>
      <c r="AA29" s="125"/>
      <c r="AB29" s="111"/>
      <c r="AC29" s="123"/>
    </row>
    <row r="30" spans="1:29" ht="14.25" customHeight="1" x14ac:dyDescent="0.2">
      <c r="E30" s="31"/>
      <c r="I30" s="26"/>
      <c r="K30" s="8"/>
      <c r="N30" s="19"/>
      <c r="O30" s="20"/>
      <c r="P30" s="20"/>
      <c r="Q30" s="20"/>
      <c r="R30" s="123" t="s">
        <v>188</v>
      </c>
      <c r="S30" s="123" t="s">
        <v>52</v>
      </c>
      <c r="T30" s="126">
        <v>2.57</v>
      </c>
      <c r="U30" s="126">
        <v>2.99</v>
      </c>
      <c r="V30" s="126">
        <v>3.09</v>
      </c>
      <c r="W30" s="126">
        <v>3.29</v>
      </c>
      <c r="X30" s="126"/>
      <c r="Y30" s="111">
        <v>7</v>
      </c>
      <c r="Z30" s="125">
        <v>0.19</v>
      </c>
      <c r="AA30" s="125">
        <v>2.35</v>
      </c>
      <c r="AB30" s="111">
        <v>1</v>
      </c>
      <c r="AC30" s="123"/>
    </row>
    <row r="31" spans="1:29" x14ac:dyDescent="0.2">
      <c r="C31" s="2" t="s">
        <v>60</v>
      </c>
      <c r="D31" s="108" t="s">
        <v>98</v>
      </c>
      <c r="E31" s="108" t="s">
        <v>99</v>
      </c>
      <c r="F31" s="108" t="s">
        <v>211</v>
      </c>
      <c r="G31" s="108" t="s">
        <v>212</v>
      </c>
      <c r="H31" s="108" t="s">
        <v>213</v>
      </c>
      <c r="I31" s="39" t="s">
        <v>55</v>
      </c>
      <c r="J31" s="39" t="s">
        <v>101</v>
      </c>
      <c r="K31" s="30" t="s">
        <v>57</v>
      </c>
      <c r="L31" s="30" t="s">
        <v>62</v>
      </c>
      <c r="M31" s="30" t="s">
        <v>63</v>
      </c>
      <c r="N31" s="39" t="s">
        <v>214</v>
      </c>
      <c r="O31" s="20"/>
      <c r="P31" s="20"/>
      <c r="Q31" s="20"/>
      <c r="R31" s="123"/>
      <c r="S31" s="123" t="s">
        <v>54</v>
      </c>
      <c r="T31" s="126">
        <v>1.45</v>
      </c>
      <c r="U31" s="126">
        <v>1.78</v>
      </c>
      <c r="V31" s="126">
        <v>1.86</v>
      </c>
      <c r="W31" s="126">
        <v>2.06</v>
      </c>
      <c r="X31" s="126"/>
      <c r="Y31" s="111">
        <v>3.9</v>
      </c>
      <c r="Z31" s="125">
        <v>0.33</v>
      </c>
      <c r="AA31" s="125">
        <v>2.4700000000000002</v>
      </c>
      <c r="AB31" s="111">
        <v>1.5</v>
      </c>
      <c r="AC31" s="123"/>
    </row>
    <row r="32" spans="1:29" x14ac:dyDescent="0.2">
      <c r="C32" s="2">
        <v>1</v>
      </c>
      <c r="D32" s="37">
        <f ca="1">$D$8+RAND()/5-RAND()/5</f>
        <v>2.9179659920144503</v>
      </c>
      <c r="E32" s="37">
        <f t="shared" ref="E32:F47" ca="1" si="0">$D$8+RAND()/5-RAND()/5</f>
        <v>2.728223912772525</v>
      </c>
      <c r="F32" s="37">
        <f t="shared" ca="1" si="0"/>
        <v>2.7795887573826432</v>
      </c>
      <c r="G32" s="37"/>
      <c r="H32" s="37"/>
      <c r="I32" s="35">
        <f ca="1">AVERAGE(D32:H32)</f>
        <v>2.8085928873898731</v>
      </c>
      <c r="J32" s="35">
        <f ca="1">D23*I32+(1-D23)*D8</f>
        <v>2.8034371549559491</v>
      </c>
      <c r="K32" s="35">
        <f>D8+(D24*D9)/SQRT(D26)*SQRT(D23/(2-D23))</f>
        <v>3.0050748156161551</v>
      </c>
      <c r="L32" s="35">
        <f ca="1">D8-D24*D9/SQRT(COUNT(D32:H32))*SQRT(D23/(2-D23))</f>
        <v>2.5949251843838446</v>
      </c>
      <c r="M32" s="35">
        <f>D8</f>
        <v>2.8</v>
      </c>
      <c r="N32" s="39" t="str">
        <f ca="1">IF(J32&gt;K32,"X",IF(J32&lt;L32,"X",""))</f>
        <v/>
      </c>
      <c r="O32" s="20"/>
      <c r="P32" s="20"/>
      <c r="Q32" s="20"/>
      <c r="R32" s="123"/>
      <c r="S32" s="123"/>
      <c r="T32" s="126"/>
      <c r="U32" s="126"/>
      <c r="V32" s="126"/>
      <c r="W32" s="126"/>
      <c r="X32" s="126"/>
      <c r="Y32" s="111">
        <v>2.6</v>
      </c>
      <c r="Z32" s="125">
        <v>0.52</v>
      </c>
      <c r="AA32" s="125">
        <v>2.54</v>
      </c>
      <c r="AB32" s="111">
        <v>2</v>
      </c>
      <c r="AC32" s="123"/>
    </row>
    <row r="33" spans="3:29" x14ac:dyDescent="0.2">
      <c r="C33" s="2">
        <v>2</v>
      </c>
      <c r="D33" s="37">
        <f t="shared" ref="D33:F61" ca="1" si="1">$D$8+RAND()/5-RAND()/5</f>
        <v>2.6459611202982551</v>
      </c>
      <c r="E33" s="37">
        <f t="shared" ca="1" si="0"/>
        <v>2.8243651834344736</v>
      </c>
      <c r="F33" s="37">
        <f t="shared" ca="1" si="0"/>
        <v>2.8334007508797199</v>
      </c>
      <c r="G33" s="37"/>
      <c r="H33" s="37"/>
      <c r="I33" s="35">
        <f t="shared" ref="I33:I86" ca="1" si="2">AVERAGE(D33:H33)</f>
        <v>2.7679090182041493</v>
      </c>
      <c r="J33" s="35">
        <f ca="1">$D$23*I33+(1-$D$23)*J32</f>
        <v>2.7892259002552291</v>
      </c>
      <c r="K33" s="35">
        <f>K32</f>
        <v>3.0050748156161551</v>
      </c>
      <c r="L33" s="35">
        <f ca="1">L32</f>
        <v>2.5949251843838446</v>
      </c>
      <c r="M33" s="35">
        <f>M32</f>
        <v>2.8</v>
      </c>
      <c r="N33" s="39" t="str">
        <f t="shared" ref="N33:N86" ca="1" si="3">IF(J33&gt;K33,"X",IF(J33&lt;L33,"X",""))</f>
        <v/>
      </c>
      <c r="O33" s="20"/>
      <c r="P33" s="20"/>
      <c r="Q33" s="20"/>
      <c r="R33" s="123"/>
      <c r="S33" s="123"/>
      <c r="T33" s="126"/>
      <c r="U33" s="126"/>
      <c r="V33" s="126"/>
      <c r="W33" s="126"/>
      <c r="X33" s="126"/>
      <c r="Y33" s="111">
        <v>1.89</v>
      </c>
      <c r="Z33" s="125">
        <v>0.66</v>
      </c>
      <c r="AA33" s="125">
        <v>2.56</v>
      </c>
      <c r="AB33" s="111">
        <v>2.5</v>
      </c>
      <c r="AC33" s="123"/>
    </row>
    <row r="34" spans="3:29" x14ac:dyDescent="0.2">
      <c r="C34" s="2">
        <v>3</v>
      </c>
      <c r="D34" s="37">
        <f t="shared" ca="1" si="1"/>
        <v>2.7919565271266684</v>
      </c>
      <c r="E34" s="37">
        <f t="shared" ca="1" si="0"/>
        <v>2.7176765009191333</v>
      </c>
      <c r="F34" s="37">
        <f t="shared" ca="1" si="0"/>
        <v>2.7529227433861765</v>
      </c>
      <c r="G34" s="37"/>
      <c r="H34" s="37"/>
      <c r="I34" s="35">
        <f t="shared" ca="1" si="2"/>
        <v>2.7541852571439924</v>
      </c>
      <c r="J34" s="35">
        <f ca="1">$D$23*I34+(1-$D$23)*J33</f>
        <v>2.7752096430107343</v>
      </c>
      <c r="K34" s="35">
        <f t="shared" ref="K34:M41" si="4">K33</f>
        <v>3.0050748156161551</v>
      </c>
      <c r="L34" s="35">
        <f ca="1">L33</f>
        <v>2.5949251843838446</v>
      </c>
      <c r="M34" s="35">
        <f t="shared" si="4"/>
        <v>2.8</v>
      </c>
      <c r="N34" s="39" t="str">
        <f t="shared" ca="1" si="3"/>
        <v/>
      </c>
      <c r="O34" s="20"/>
      <c r="P34" s="20"/>
      <c r="Q34" s="20"/>
      <c r="R34" s="123"/>
      <c r="S34" s="123"/>
      <c r="T34" s="126"/>
      <c r="U34" s="126"/>
      <c r="V34" s="126"/>
      <c r="W34" s="126"/>
      <c r="X34" s="126"/>
      <c r="Y34" s="111">
        <v>1.45</v>
      </c>
      <c r="Z34" s="125">
        <v>0.81</v>
      </c>
      <c r="AA34" s="125">
        <v>2.57</v>
      </c>
      <c r="AB34" s="111">
        <v>3</v>
      </c>
      <c r="AC34" s="123"/>
    </row>
    <row r="35" spans="3:29" x14ac:dyDescent="0.2">
      <c r="C35" s="2">
        <v>4</v>
      </c>
      <c r="D35" s="37">
        <f t="shared" ca="1" si="1"/>
        <v>2.6944624054925272</v>
      </c>
      <c r="E35" s="37">
        <f t="shared" ca="1" si="0"/>
        <v>2.8114369733396583</v>
      </c>
      <c r="F35" s="37">
        <f t="shared" ca="1" si="0"/>
        <v>2.6836491750455131</v>
      </c>
      <c r="G35" s="37"/>
      <c r="H35" s="37"/>
      <c r="I35" s="35">
        <f t="shared" ca="1" si="2"/>
        <v>2.729849517959233</v>
      </c>
      <c r="J35" s="35">
        <f ca="1">$D$23*I35+(1-$D$23)*J34</f>
        <v>2.7570655929901338</v>
      </c>
      <c r="K35" s="35">
        <f t="shared" si="4"/>
        <v>3.0050748156161551</v>
      </c>
      <c r="L35" s="35">
        <f t="shared" ca="1" si="4"/>
        <v>2.5949251843838446</v>
      </c>
      <c r="M35" s="35">
        <f t="shared" si="4"/>
        <v>2.8</v>
      </c>
      <c r="N35" s="39" t="str">
        <f t="shared" ca="1" si="3"/>
        <v/>
      </c>
      <c r="O35" s="20"/>
      <c r="P35" s="20"/>
      <c r="Q35" s="20"/>
      <c r="R35" s="123"/>
      <c r="S35" s="123"/>
      <c r="T35" s="126"/>
      <c r="U35" s="126"/>
      <c r="V35" s="126"/>
      <c r="W35" s="126"/>
      <c r="X35" s="126"/>
      <c r="Y35" s="111">
        <v>26.5</v>
      </c>
      <c r="Z35" s="125">
        <v>0.06</v>
      </c>
      <c r="AA35" s="125">
        <v>2.5499999999999998</v>
      </c>
      <c r="AB35" s="111">
        <v>0.5</v>
      </c>
      <c r="AC35" s="123"/>
    </row>
    <row r="36" spans="3:29" x14ac:dyDescent="0.2">
      <c r="C36" s="2">
        <v>5</v>
      </c>
      <c r="D36" s="37">
        <f t="shared" ca="1" si="1"/>
        <v>2.7049627286731051</v>
      </c>
      <c r="E36" s="37">
        <f t="shared" ca="1" si="0"/>
        <v>2.8223145813496853</v>
      </c>
      <c r="F36" s="37">
        <f t="shared" ca="1" si="0"/>
        <v>2.7513872454175026</v>
      </c>
      <c r="G36" s="37"/>
      <c r="H36" s="37"/>
      <c r="I36" s="35">
        <f t="shared" ca="1" si="2"/>
        <v>2.7595548518134314</v>
      </c>
      <c r="J36" s="35">
        <f ca="1">$D$23*I36+(1-$D$23)*J35</f>
        <v>2.7580612965194531</v>
      </c>
      <c r="K36" s="35">
        <f t="shared" si="4"/>
        <v>3.0050748156161551</v>
      </c>
      <c r="L36" s="35">
        <f t="shared" ca="1" si="4"/>
        <v>2.5949251843838446</v>
      </c>
      <c r="M36" s="35">
        <f t="shared" si="4"/>
        <v>2.8</v>
      </c>
      <c r="N36" s="39" t="str">
        <f t="shared" ca="1" si="3"/>
        <v/>
      </c>
      <c r="O36" s="20"/>
      <c r="P36" s="20"/>
      <c r="Q36" s="20"/>
      <c r="R36" s="123"/>
      <c r="S36" s="123"/>
      <c r="T36" s="126"/>
      <c r="U36" s="126"/>
      <c r="V36" s="126"/>
      <c r="W36" s="126"/>
      <c r="X36" s="126"/>
      <c r="Y36" s="111">
        <v>14.7</v>
      </c>
      <c r="Z36" s="125">
        <v>0.1</v>
      </c>
      <c r="AA36" s="125">
        <v>2.7</v>
      </c>
      <c r="AB36" s="111">
        <v>0.75</v>
      </c>
      <c r="AC36" s="123"/>
    </row>
    <row r="37" spans="3:29" x14ac:dyDescent="0.2">
      <c r="C37" s="2">
        <v>6</v>
      </c>
      <c r="D37" s="37">
        <f t="shared" ca="1" si="1"/>
        <v>2.8752795439732952</v>
      </c>
      <c r="E37" s="37">
        <f t="shared" ca="1" si="0"/>
        <v>2.8181988047224369</v>
      </c>
      <c r="F37" s="37">
        <f t="shared" ca="1" si="0"/>
        <v>2.8796910169832164</v>
      </c>
      <c r="G37" s="37"/>
      <c r="H37" s="37"/>
      <c r="I37" s="35">
        <f t="shared" ca="1" si="2"/>
        <v>2.8577231218929828</v>
      </c>
      <c r="J37" s="35">
        <f t="shared" ref="J37:J86" ca="1" si="5">$D$23*I37+(1-$D$23)*J36</f>
        <v>2.7979260266688648</v>
      </c>
      <c r="K37" s="35">
        <f t="shared" si="4"/>
        <v>3.0050748156161551</v>
      </c>
      <c r="L37" s="35">
        <f t="shared" ca="1" si="4"/>
        <v>2.5949251843838446</v>
      </c>
      <c r="M37" s="35">
        <f t="shared" si="4"/>
        <v>2.8</v>
      </c>
      <c r="N37" s="39" t="str">
        <f t="shared" ca="1" si="3"/>
        <v/>
      </c>
      <c r="O37" s="20"/>
      <c r="P37" s="20"/>
      <c r="Q37" s="20"/>
      <c r="R37" s="123"/>
      <c r="S37" s="123"/>
      <c r="T37" s="126"/>
      <c r="U37" s="126"/>
      <c r="V37" s="126"/>
      <c r="W37" s="126"/>
      <c r="X37" s="126"/>
      <c r="Y37" s="111">
        <v>9.6</v>
      </c>
      <c r="Z37" s="125">
        <v>0.15</v>
      </c>
      <c r="AA37" s="125">
        <v>2.8</v>
      </c>
      <c r="AB37" s="111">
        <v>1</v>
      </c>
      <c r="AC37" s="123"/>
    </row>
    <row r="38" spans="3:29" x14ac:dyDescent="0.2">
      <c r="C38" s="2">
        <v>7</v>
      </c>
      <c r="D38" s="37">
        <f t="shared" ca="1" si="1"/>
        <v>2.7224563612279242</v>
      </c>
      <c r="E38" s="37">
        <f t="shared" ca="1" si="0"/>
        <v>2.6768342467610546</v>
      </c>
      <c r="F38" s="37">
        <f t="shared" ca="1" si="0"/>
        <v>2.7273931200054617</v>
      </c>
      <c r="G38" s="37"/>
      <c r="H38" s="37"/>
      <c r="I38" s="35">
        <f t="shared" ca="1" si="2"/>
        <v>2.7088945759981464</v>
      </c>
      <c r="J38" s="35">
        <f t="shared" ca="1" si="5"/>
        <v>2.7623134464005776</v>
      </c>
      <c r="K38" s="35">
        <f t="shared" si="4"/>
        <v>3.0050748156161551</v>
      </c>
      <c r="L38" s="35">
        <f t="shared" ca="1" si="4"/>
        <v>2.5949251843838446</v>
      </c>
      <c r="M38" s="35">
        <f t="shared" si="4"/>
        <v>2.8</v>
      </c>
      <c r="N38" s="39" t="str">
        <f t="shared" ca="1" si="3"/>
        <v/>
      </c>
      <c r="O38" s="20"/>
      <c r="P38" s="20"/>
      <c r="Q38" s="20"/>
      <c r="R38" s="123"/>
      <c r="S38" s="123"/>
      <c r="T38" s="123"/>
      <c r="U38" s="123"/>
      <c r="V38" s="123"/>
      <c r="W38" s="123"/>
      <c r="X38" s="123"/>
      <c r="Y38" s="111">
        <v>5.2</v>
      </c>
      <c r="Z38" s="125">
        <v>0.26</v>
      </c>
      <c r="AA38" s="125">
        <v>2.9</v>
      </c>
      <c r="AB38" s="111">
        <v>1.5</v>
      </c>
      <c r="AC38" s="123"/>
    </row>
    <row r="39" spans="3:29" x14ac:dyDescent="0.2">
      <c r="C39" s="2">
        <v>8</v>
      </c>
      <c r="D39" s="37">
        <f t="shared" ca="1" si="1"/>
        <v>2.7012805347760103</v>
      </c>
      <c r="E39" s="37">
        <f t="shared" ca="1" si="0"/>
        <v>2.8865463273236069</v>
      </c>
      <c r="F39" s="37">
        <f t="shared" ca="1" si="0"/>
        <v>2.738615287397379</v>
      </c>
      <c r="G39" s="37"/>
      <c r="H39" s="37"/>
      <c r="I39" s="35">
        <f t="shared" ca="1" si="2"/>
        <v>2.7754807164989987</v>
      </c>
      <c r="J39" s="35">
        <f t="shared" ca="1" si="5"/>
        <v>2.767580354439946</v>
      </c>
      <c r="K39" s="35">
        <f t="shared" si="4"/>
        <v>3.0050748156161551</v>
      </c>
      <c r="L39" s="35">
        <f t="shared" ca="1" si="4"/>
        <v>2.5949251843838446</v>
      </c>
      <c r="M39" s="35">
        <f t="shared" si="4"/>
        <v>2.8</v>
      </c>
      <c r="N39" s="39" t="str">
        <f t="shared" ca="1" si="3"/>
        <v/>
      </c>
      <c r="O39" s="20"/>
      <c r="P39" s="20"/>
      <c r="Q39" s="20"/>
      <c r="R39" s="123"/>
      <c r="S39" s="123"/>
      <c r="T39" s="123"/>
      <c r="U39" s="123"/>
      <c r="V39" s="123"/>
      <c r="W39" s="123"/>
      <c r="X39" s="123"/>
      <c r="Y39" s="111">
        <v>3.3</v>
      </c>
      <c r="Z39" s="125">
        <v>0.4</v>
      </c>
      <c r="AA39" s="125">
        <v>2.96</v>
      </c>
      <c r="AB39" s="111">
        <v>2</v>
      </c>
      <c r="AC39" s="123"/>
    </row>
    <row r="40" spans="3:29" x14ac:dyDescent="0.2">
      <c r="C40" s="2">
        <v>9</v>
      </c>
      <c r="D40" s="37">
        <f t="shared" ca="1" si="1"/>
        <v>2.6772218902588496</v>
      </c>
      <c r="E40" s="37">
        <f t="shared" ca="1" si="0"/>
        <v>2.8170639271684177</v>
      </c>
      <c r="F40" s="37">
        <f t="shared" ca="1" si="0"/>
        <v>2.7446521249761293</v>
      </c>
      <c r="G40" s="37"/>
      <c r="H40" s="37"/>
      <c r="I40" s="35">
        <f t="shared" ca="1" si="2"/>
        <v>2.7463126474677986</v>
      </c>
      <c r="J40" s="35">
        <f t="shared" ca="1" si="5"/>
        <v>2.7590732716510868</v>
      </c>
      <c r="K40" s="35">
        <f t="shared" si="4"/>
        <v>3.0050748156161551</v>
      </c>
      <c r="L40" s="35">
        <f t="shared" ca="1" si="4"/>
        <v>2.5949251843838446</v>
      </c>
      <c r="M40" s="35">
        <f t="shared" si="4"/>
        <v>2.8</v>
      </c>
      <c r="N40" s="39" t="str">
        <f t="shared" ca="1" si="3"/>
        <v/>
      </c>
      <c r="O40" s="20"/>
      <c r="P40" s="20"/>
      <c r="Q40" s="20"/>
      <c r="R40" s="123"/>
      <c r="S40" s="123"/>
      <c r="T40" s="123"/>
      <c r="U40" s="123"/>
      <c r="V40" s="123"/>
      <c r="W40" s="123"/>
      <c r="X40" s="123"/>
      <c r="Y40" s="111">
        <v>2.38</v>
      </c>
      <c r="Z40" s="125">
        <v>0.54</v>
      </c>
      <c r="AA40" s="125">
        <v>2.98</v>
      </c>
      <c r="AB40" s="111">
        <v>2.5</v>
      </c>
      <c r="AC40" s="123"/>
    </row>
    <row r="41" spans="3:29" x14ac:dyDescent="0.2">
      <c r="C41" s="2">
        <v>10</v>
      </c>
      <c r="D41" s="37">
        <f t="shared" ca="1" si="1"/>
        <v>2.8460337964251909</v>
      </c>
      <c r="E41" s="37">
        <f t="shared" ca="1" si="0"/>
        <v>2.8532185652723001</v>
      </c>
      <c r="F41" s="37">
        <f t="shared" ca="1" si="0"/>
        <v>2.7792181109189946</v>
      </c>
      <c r="G41" s="37"/>
      <c r="H41" s="37"/>
      <c r="I41" s="35">
        <f t="shared" ca="1" si="2"/>
        <v>2.8261568242054955</v>
      </c>
      <c r="J41" s="35">
        <f t="shared" ca="1" si="5"/>
        <v>2.7859066926728504</v>
      </c>
      <c r="K41" s="35">
        <f t="shared" si="4"/>
        <v>3.0050748156161551</v>
      </c>
      <c r="L41" s="35">
        <f t="shared" ca="1" si="4"/>
        <v>2.5949251843838446</v>
      </c>
      <c r="M41" s="35">
        <f t="shared" si="4"/>
        <v>2.8</v>
      </c>
      <c r="N41" s="39" t="str">
        <f t="shared" ca="1" si="3"/>
        <v/>
      </c>
      <c r="O41" s="20"/>
      <c r="P41" s="20"/>
      <c r="Q41" s="20"/>
      <c r="R41" s="123"/>
      <c r="S41" s="123"/>
      <c r="T41" s="123"/>
      <c r="U41" s="123"/>
      <c r="V41" s="123"/>
      <c r="W41" s="123"/>
      <c r="X41" s="123"/>
      <c r="Y41" s="111">
        <v>1.78</v>
      </c>
      <c r="Z41" s="125">
        <v>0.7</v>
      </c>
      <c r="AA41" s="125">
        <v>2.99</v>
      </c>
      <c r="AB41" s="111">
        <v>3</v>
      </c>
      <c r="AC41" s="123"/>
    </row>
    <row r="42" spans="3:29" x14ac:dyDescent="0.2">
      <c r="C42" s="2">
        <v>11</v>
      </c>
      <c r="D42" s="37">
        <f t="shared" ca="1" si="1"/>
        <v>2.6874333306699056</v>
      </c>
      <c r="E42" s="37">
        <f t="shared" ca="1" si="0"/>
        <v>2.9152510241606535</v>
      </c>
      <c r="F42" s="37">
        <f t="shared" ca="1" si="0"/>
        <v>2.7628398890923216</v>
      </c>
      <c r="G42" s="37"/>
      <c r="H42" s="37"/>
      <c r="I42" s="35">
        <f t="shared" ca="1" si="2"/>
        <v>2.7885080813076271</v>
      </c>
      <c r="J42" s="35">
        <f t="shared" ca="1" si="5"/>
        <v>2.7869472481267614</v>
      </c>
      <c r="K42" s="35">
        <f t="shared" ref="K42:K86" si="6">K41</f>
        <v>3.0050748156161551</v>
      </c>
      <c r="L42" s="35">
        <f t="shared" ref="L42:L86" ca="1" si="7">L41</f>
        <v>2.5949251843838446</v>
      </c>
      <c r="M42" s="35">
        <f t="shared" ref="M42:M86" si="8">M41</f>
        <v>2.8</v>
      </c>
      <c r="N42" s="39" t="str">
        <f t="shared" ca="1" si="3"/>
        <v/>
      </c>
      <c r="R42" s="123"/>
      <c r="S42" s="123"/>
      <c r="T42" s="123"/>
      <c r="U42" s="123"/>
      <c r="V42" s="123"/>
      <c r="W42" s="123"/>
      <c r="X42" s="123"/>
      <c r="Y42" s="111">
        <v>28.7</v>
      </c>
      <c r="Z42" s="125">
        <v>0.05</v>
      </c>
      <c r="AA42" s="125">
        <v>2.62</v>
      </c>
      <c r="AB42" s="111">
        <v>0.5</v>
      </c>
      <c r="AC42" s="123"/>
    </row>
    <row r="43" spans="3:29" x14ac:dyDescent="0.2">
      <c r="C43" s="2">
        <v>12</v>
      </c>
      <c r="D43" s="37">
        <f t="shared" ca="1" si="1"/>
        <v>2.7078428446663256</v>
      </c>
      <c r="E43" s="37">
        <f t="shared" ca="1" si="0"/>
        <v>2.9235665320234641</v>
      </c>
      <c r="F43" s="37">
        <f t="shared" ca="1" si="0"/>
        <v>2.8421566120807884</v>
      </c>
      <c r="G43" s="37"/>
      <c r="H43" s="37"/>
      <c r="I43" s="35">
        <f t="shared" ca="1" si="2"/>
        <v>2.8245219962568595</v>
      </c>
      <c r="J43" s="35">
        <f t="shared" ca="1" si="5"/>
        <v>2.8019771473788007</v>
      </c>
      <c r="K43" s="35">
        <f t="shared" si="6"/>
        <v>3.0050748156161551</v>
      </c>
      <c r="L43" s="35">
        <f t="shared" ca="1" si="7"/>
        <v>2.5949251843838446</v>
      </c>
      <c r="M43" s="35">
        <f t="shared" si="8"/>
        <v>2.8</v>
      </c>
      <c r="N43" s="39" t="str">
        <f t="shared" ca="1" si="3"/>
        <v/>
      </c>
      <c r="R43" s="123"/>
      <c r="S43" s="123"/>
      <c r="T43" s="123"/>
      <c r="U43" s="123"/>
      <c r="V43" s="123"/>
      <c r="W43" s="123"/>
      <c r="X43" s="123"/>
      <c r="Y43" s="111">
        <v>15.8</v>
      </c>
      <c r="Z43" s="125">
        <v>0.09</v>
      </c>
      <c r="AA43" s="125">
        <v>2.79</v>
      </c>
      <c r="AB43" s="111">
        <v>0.75</v>
      </c>
      <c r="AC43" s="123"/>
    </row>
    <row r="44" spans="3:29" x14ac:dyDescent="0.2">
      <c r="C44" s="2">
        <v>13</v>
      </c>
      <c r="D44" s="37">
        <f t="shared" ca="1" si="1"/>
        <v>2.7707560808505751</v>
      </c>
      <c r="E44" s="37">
        <f t="shared" ca="1" si="0"/>
        <v>2.6576421474640259</v>
      </c>
      <c r="F44" s="37">
        <f t="shared" ca="1" si="0"/>
        <v>2.8291873071652529</v>
      </c>
      <c r="G44" s="37"/>
      <c r="H44" s="37"/>
      <c r="I44" s="35">
        <f t="shared" ca="1" si="2"/>
        <v>2.7525285118266178</v>
      </c>
      <c r="J44" s="35">
        <f t="shared" ca="1" si="5"/>
        <v>2.7821976931579275</v>
      </c>
      <c r="K44" s="35">
        <f t="shared" si="6"/>
        <v>3.0050748156161551</v>
      </c>
      <c r="L44" s="35">
        <f t="shared" ca="1" si="7"/>
        <v>2.5949251843838446</v>
      </c>
      <c r="M44" s="35">
        <f t="shared" si="8"/>
        <v>2.8</v>
      </c>
      <c r="N44" s="39" t="str">
        <f t="shared" ca="1" si="3"/>
        <v/>
      </c>
      <c r="R44" s="123"/>
      <c r="S44" s="123"/>
      <c r="T44" s="123"/>
      <c r="U44" s="123"/>
      <c r="V44" s="123"/>
      <c r="W44" s="123"/>
      <c r="X44" s="123"/>
      <c r="Y44" s="111">
        <v>10.199999999999999</v>
      </c>
      <c r="Z44" s="125">
        <v>0.15</v>
      </c>
      <c r="AA44" s="125">
        <v>2.91</v>
      </c>
      <c r="AB44" s="111">
        <v>1</v>
      </c>
      <c r="AC44" s="123"/>
    </row>
    <row r="45" spans="3:29" x14ac:dyDescent="0.2">
      <c r="C45" s="2">
        <v>14</v>
      </c>
      <c r="D45" s="37">
        <f t="shared" ca="1" si="1"/>
        <v>2.7131054508703816</v>
      </c>
      <c r="E45" s="37">
        <f t="shared" ca="1" si="0"/>
        <v>2.6709150542224553</v>
      </c>
      <c r="F45" s="37">
        <f t="shared" ca="1" si="0"/>
        <v>2.9263155992641297</v>
      </c>
      <c r="G45" s="37"/>
      <c r="H45" s="37"/>
      <c r="I45" s="35">
        <f t="shared" ca="1" si="2"/>
        <v>2.7701120347856558</v>
      </c>
      <c r="J45" s="35">
        <f t="shared" ca="1" si="5"/>
        <v>2.7773634298090188</v>
      </c>
      <c r="K45" s="35">
        <f t="shared" si="6"/>
        <v>3.0050748156161551</v>
      </c>
      <c r="L45" s="35">
        <f t="shared" ca="1" si="7"/>
        <v>2.5949251843838446</v>
      </c>
      <c r="M45" s="35">
        <f t="shared" si="8"/>
        <v>2.8</v>
      </c>
      <c r="N45" s="39" t="str">
        <f t="shared" ca="1" si="3"/>
        <v/>
      </c>
      <c r="R45" s="123"/>
      <c r="S45" s="123"/>
      <c r="T45" s="123"/>
      <c r="U45" s="123"/>
      <c r="V45" s="123"/>
      <c r="W45" s="123"/>
      <c r="X45" s="123"/>
      <c r="Y45" s="116">
        <v>5.5</v>
      </c>
      <c r="Z45" s="125">
        <v>0.24</v>
      </c>
      <c r="AA45" s="125">
        <v>2.99</v>
      </c>
      <c r="AB45" s="111">
        <v>1.5</v>
      </c>
      <c r="AC45" s="123"/>
    </row>
    <row r="46" spans="3:29" x14ac:dyDescent="0.2">
      <c r="C46" s="2">
        <v>15</v>
      </c>
      <c r="D46" s="37">
        <f t="shared" ca="1" si="1"/>
        <v>2.6755807800243181</v>
      </c>
      <c r="E46" s="37">
        <f t="shared" ca="1" si="0"/>
        <v>2.6770762141811146</v>
      </c>
      <c r="F46" s="37">
        <f t="shared" ca="1" si="0"/>
        <v>2.6656592313725151</v>
      </c>
      <c r="G46" s="37"/>
      <c r="H46" s="37"/>
      <c r="I46" s="35">
        <f t="shared" ca="1" si="2"/>
        <v>2.6727720751926491</v>
      </c>
      <c r="J46" s="35">
        <f t="shared" ca="1" si="5"/>
        <v>2.7355268879624708</v>
      </c>
      <c r="K46" s="35">
        <f t="shared" si="6"/>
        <v>3.0050748156161551</v>
      </c>
      <c r="L46" s="35">
        <f t="shared" ca="1" si="7"/>
        <v>2.5949251843838446</v>
      </c>
      <c r="M46" s="35">
        <f t="shared" si="8"/>
        <v>2.8</v>
      </c>
      <c r="N46" s="39" t="str">
        <f t="shared" ca="1" si="3"/>
        <v/>
      </c>
      <c r="R46" s="123"/>
      <c r="S46" s="123"/>
      <c r="T46" s="123"/>
      <c r="U46" s="123"/>
      <c r="V46" s="123"/>
      <c r="W46" s="123"/>
      <c r="X46" s="123"/>
      <c r="Y46" s="116">
        <v>3.5</v>
      </c>
      <c r="Z46" s="125">
        <v>0.37</v>
      </c>
      <c r="AA46" s="125">
        <v>3.05</v>
      </c>
      <c r="AB46" s="111">
        <v>2</v>
      </c>
      <c r="AC46" s="123"/>
    </row>
    <row r="47" spans="3:29" x14ac:dyDescent="0.2">
      <c r="C47" s="2">
        <v>16</v>
      </c>
      <c r="D47" s="37">
        <f t="shared" ca="1" si="1"/>
        <v>2.7730725895409623</v>
      </c>
      <c r="E47" s="37">
        <f t="shared" ca="1" si="0"/>
        <v>2.7475541681798492</v>
      </c>
      <c r="F47" s="37">
        <f t="shared" ca="1" si="0"/>
        <v>2.8933778211481975</v>
      </c>
      <c r="G47" s="37"/>
      <c r="H47" s="37"/>
      <c r="I47" s="35">
        <f t="shared" ca="1" si="2"/>
        <v>2.8046681929563362</v>
      </c>
      <c r="J47" s="35">
        <f t="shared" ca="1" si="5"/>
        <v>2.7631834099600168</v>
      </c>
      <c r="K47" s="35">
        <f t="shared" si="6"/>
        <v>3.0050748156161551</v>
      </c>
      <c r="L47" s="35">
        <f t="shared" ca="1" si="7"/>
        <v>2.5949251843838446</v>
      </c>
      <c r="M47" s="35">
        <f t="shared" si="8"/>
        <v>2.8</v>
      </c>
      <c r="N47" s="39" t="str">
        <f t="shared" ca="1" si="3"/>
        <v/>
      </c>
      <c r="R47" s="123"/>
      <c r="S47" s="123"/>
      <c r="T47" s="123"/>
      <c r="U47" s="123"/>
      <c r="V47" s="123"/>
      <c r="W47" s="123"/>
      <c r="X47" s="123"/>
      <c r="Y47" s="118">
        <v>2.5</v>
      </c>
      <c r="Z47" s="125">
        <v>0.52</v>
      </c>
      <c r="AA47" s="125">
        <v>3.07</v>
      </c>
      <c r="AB47" s="111">
        <v>2.5</v>
      </c>
      <c r="AC47" s="123"/>
    </row>
    <row r="48" spans="3:29" x14ac:dyDescent="0.2">
      <c r="C48" s="2">
        <v>17</v>
      </c>
      <c r="D48" s="37">
        <f t="shared" ca="1" si="1"/>
        <v>2.7494470664174329</v>
      </c>
      <c r="E48" s="37">
        <f t="shared" ca="1" si="1"/>
        <v>2.8838841260780121</v>
      </c>
      <c r="F48" s="37">
        <f t="shared" ca="1" si="1"/>
        <v>2.9005984018680926</v>
      </c>
      <c r="G48" s="37"/>
      <c r="H48" s="37"/>
      <c r="I48" s="35">
        <f t="shared" ca="1" si="2"/>
        <v>2.8446431981211795</v>
      </c>
      <c r="J48" s="35">
        <f t="shared" ca="1" si="5"/>
        <v>2.7957673252244817</v>
      </c>
      <c r="K48" s="35">
        <f t="shared" si="6"/>
        <v>3.0050748156161551</v>
      </c>
      <c r="L48" s="35">
        <f t="shared" ca="1" si="7"/>
        <v>2.5949251843838446</v>
      </c>
      <c r="M48" s="35">
        <f t="shared" si="8"/>
        <v>2.8</v>
      </c>
      <c r="N48" s="39" t="str">
        <f t="shared" ca="1" si="3"/>
        <v/>
      </c>
      <c r="R48" s="123"/>
      <c r="S48" s="123"/>
      <c r="T48" s="123"/>
      <c r="U48" s="123"/>
      <c r="V48" s="123"/>
      <c r="W48" s="123"/>
      <c r="X48" s="123"/>
      <c r="Y48" s="111">
        <v>1.86</v>
      </c>
      <c r="Z48" s="125">
        <v>0.7</v>
      </c>
      <c r="AA48" s="125">
        <v>3.09</v>
      </c>
      <c r="AB48" s="111">
        <v>3</v>
      </c>
      <c r="AC48" s="123"/>
    </row>
    <row r="49" spans="3:29" x14ac:dyDescent="0.2">
      <c r="C49" s="2">
        <v>18</v>
      </c>
      <c r="D49" s="37">
        <f t="shared" ca="1" si="1"/>
        <v>2.9323241813793466</v>
      </c>
      <c r="E49" s="37">
        <f t="shared" ca="1" si="1"/>
        <v>2.9785378867218095</v>
      </c>
      <c r="F49" s="37">
        <f t="shared" ca="1" si="1"/>
        <v>2.8870128683680236</v>
      </c>
      <c r="G49" s="37"/>
      <c r="H49" s="37"/>
      <c r="I49" s="35">
        <f t="shared" ca="1" si="2"/>
        <v>2.9326249788230601</v>
      </c>
      <c r="J49" s="35">
        <f t="shared" ca="1" si="5"/>
        <v>2.8505103866639132</v>
      </c>
      <c r="K49" s="35">
        <f t="shared" si="6"/>
        <v>3.0050748156161551</v>
      </c>
      <c r="L49" s="35">
        <f t="shared" ca="1" si="7"/>
        <v>2.5949251843838446</v>
      </c>
      <c r="M49" s="35">
        <f t="shared" si="8"/>
        <v>2.8</v>
      </c>
      <c r="N49" s="39" t="str">
        <f t="shared" ca="1" si="3"/>
        <v/>
      </c>
      <c r="R49" s="123"/>
      <c r="S49" s="123"/>
      <c r="T49" s="123"/>
      <c r="U49" s="123"/>
      <c r="V49" s="123"/>
      <c r="W49" s="123"/>
      <c r="X49" s="123"/>
      <c r="Y49" s="111">
        <v>34.299999999999997</v>
      </c>
      <c r="Z49" s="125">
        <v>0.04</v>
      </c>
      <c r="AA49" s="125">
        <v>2.82</v>
      </c>
      <c r="AB49" s="111">
        <v>0.5</v>
      </c>
      <c r="AC49" s="123"/>
    </row>
    <row r="50" spans="3:29" x14ac:dyDescent="0.2">
      <c r="C50" s="2">
        <v>19</v>
      </c>
      <c r="D50" s="37">
        <f t="shared" ca="1" si="1"/>
        <v>2.9833591261102059</v>
      </c>
      <c r="E50" s="37">
        <f t="shared" ca="1" si="1"/>
        <v>2.7357846790676756</v>
      </c>
      <c r="F50" s="37">
        <f t="shared" ca="1" si="1"/>
        <v>2.8530452321998596</v>
      </c>
      <c r="G50" s="37"/>
      <c r="H50" s="37"/>
      <c r="I50" s="35">
        <f t="shared" ca="1" si="2"/>
        <v>2.8573963457925804</v>
      </c>
      <c r="J50" s="35">
        <f t="shared" ca="1" si="5"/>
        <v>2.8532647703153802</v>
      </c>
      <c r="K50" s="35">
        <f t="shared" si="6"/>
        <v>3.0050748156161551</v>
      </c>
      <c r="L50" s="35">
        <f t="shared" ca="1" si="7"/>
        <v>2.5949251843838446</v>
      </c>
      <c r="M50" s="35">
        <f t="shared" si="8"/>
        <v>2.8</v>
      </c>
      <c r="N50" s="39" t="str">
        <f t="shared" ca="1" si="3"/>
        <v/>
      </c>
      <c r="R50" s="123"/>
      <c r="S50" s="123"/>
      <c r="T50" s="123"/>
      <c r="U50" s="123"/>
      <c r="V50" s="123"/>
      <c r="W50" s="123"/>
      <c r="X50" s="123"/>
      <c r="Y50" s="111">
        <v>18.399999999999999</v>
      </c>
      <c r="Z50" s="125">
        <v>7.0000000000000007E-2</v>
      </c>
      <c r="AA50" s="125">
        <v>2.97</v>
      </c>
      <c r="AB50" s="111">
        <v>0.75</v>
      </c>
      <c r="AC50" s="123"/>
    </row>
    <row r="51" spans="3:29" x14ac:dyDescent="0.2">
      <c r="C51" s="2">
        <v>20</v>
      </c>
      <c r="D51" s="37">
        <f t="shared" ca="1" si="1"/>
        <v>2.897598298595601</v>
      </c>
      <c r="E51" s="37">
        <f t="shared" ca="1" si="1"/>
        <v>2.8303462900928356</v>
      </c>
      <c r="F51" s="37">
        <f t="shared" ca="1" si="1"/>
        <v>2.725556414899716</v>
      </c>
      <c r="G51" s="37"/>
      <c r="H51" s="37"/>
      <c r="I51" s="35">
        <f t="shared" ca="1" si="2"/>
        <v>2.8178336678627178</v>
      </c>
      <c r="J51" s="35">
        <f t="shared" ca="1" si="5"/>
        <v>2.8390923293343153</v>
      </c>
      <c r="K51" s="35">
        <f t="shared" si="6"/>
        <v>3.0050748156161551</v>
      </c>
      <c r="L51" s="35">
        <f t="shared" ca="1" si="7"/>
        <v>2.5949251843838446</v>
      </c>
      <c r="M51" s="35">
        <f t="shared" si="8"/>
        <v>2.8</v>
      </c>
      <c r="N51" s="39" t="str">
        <f t="shared" ca="1" si="3"/>
        <v/>
      </c>
      <c r="R51" s="123"/>
      <c r="S51" s="123"/>
      <c r="T51" s="123"/>
      <c r="U51" s="123"/>
      <c r="V51" s="123"/>
      <c r="W51" s="123"/>
      <c r="X51" s="123"/>
      <c r="Y51" s="111">
        <v>11.7</v>
      </c>
      <c r="Z51" s="125">
        <v>0.13</v>
      </c>
      <c r="AA51" s="125">
        <v>3.11</v>
      </c>
      <c r="AB51" s="111">
        <v>1</v>
      </c>
      <c r="AC51" s="123"/>
    </row>
    <row r="52" spans="3:29" x14ac:dyDescent="0.2">
      <c r="C52" s="2">
        <v>21</v>
      </c>
      <c r="D52" s="37">
        <f t="shared" ca="1" si="1"/>
        <v>2.8874689740468984</v>
      </c>
      <c r="E52" s="37">
        <f t="shared" ca="1" si="1"/>
        <v>2.8230982756747345</v>
      </c>
      <c r="F52" s="37">
        <f t="shared" ca="1" si="1"/>
        <v>2.7487264331729864</v>
      </c>
      <c r="G52" s="37"/>
      <c r="H52" s="37"/>
      <c r="I52" s="35">
        <f t="shared" ca="1" si="2"/>
        <v>2.8197645609648734</v>
      </c>
      <c r="J52" s="35">
        <f t="shared" ca="1" si="5"/>
        <v>2.8313612219865387</v>
      </c>
      <c r="K52" s="35">
        <f t="shared" si="6"/>
        <v>3.0050748156161551</v>
      </c>
      <c r="L52" s="35">
        <f t="shared" ca="1" si="7"/>
        <v>2.5949251843838446</v>
      </c>
      <c r="M52" s="35">
        <f t="shared" si="8"/>
        <v>2.8</v>
      </c>
      <c r="N52" s="39" t="str">
        <f t="shared" ca="1" si="3"/>
        <v/>
      </c>
      <c r="R52" s="123"/>
      <c r="S52" s="123"/>
      <c r="T52" s="123"/>
      <c r="U52" s="123"/>
      <c r="V52" s="123"/>
      <c r="W52" s="123"/>
      <c r="X52" s="123"/>
      <c r="Y52" s="111">
        <v>6.1</v>
      </c>
      <c r="Z52" s="125">
        <v>0.22</v>
      </c>
      <c r="AA52" s="125">
        <v>3.2</v>
      </c>
      <c r="AB52" s="111">
        <v>1.5</v>
      </c>
      <c r="AC52" s="123"/>
    </row>
    <row r="53" spans="3:29" x14ac:dyDescent="0.2">
      <c r="C53" s="2">
        <v>22</v>
      </c>
      <c r="D53" s="37">
        <f t="shared" ca="1" si="1"/>
        <v>2.8170154077042722</v>
      </c>
      <c r="E53" s="37">
        <f t="shared" ca="1" si="1"/>
        <v>2.7530195723779061</v>
      </c>
      <c r="F53" s="37">
        <f t="shared" ca="1" si="1"/>
        <v>2.7341726177683445</v>
      </c>
      <c r="G53" s="37"/>
      <c r="H53" s="37"/>
      <c r="I53" s="35">
        <f t="shared" ca="1" si="2"/>
        <v>2.7680691992835076</v>
      </c>
      <c r="J53" s="35">
        <f t="shared" ca="1" si="5"/>
        <v>2.8060444129053264</v>
      </c>
      <c r="K53" s="35">
        <f t="shared" si="6"/>
        <v>3.0050748156161551</v>
      </c>
      <c r="L53" s="35">
        <f t="shared" ca="1" si="7"/>
        <v>2.5949251843838446</v>
      </c>
      <c r="M53" s="35">
        <f t="shared" si="8"/>
        <v>2.8</v>
      </c>
      <c r="N53" s="39" t="str">
        <f t="shared" ca="1" si="3"/>
        <v/>
      </c>
      <c r="R53" s="123"/>
      <c r="S53" s="123"/>
      <c r="T53" s="123"/>
      <c r="U53" s="123"/>
      <c r="V53" s="123"/>
      <c r="W53" s="123"/>
      <c r="X53" s="123"/>
      <c r="Y53" s="111">
        <v>3.9</v>
      </c>
      <c r="Z53" s="125">
        <v>0.35</v>
      </c>
      <c r="AA53" s="125">
        <v>3.25</v>
      </c>
      <c r="AB53" s="111">
        <v>2</v>
      </c>
      <c r="AC53" s="123"/>
    </row>
    <row r="54" spans="3:29" x14ac:dyDescent="0.2">
      <c r="C54" s="2">
        <v>23</v>
      </c>
      <c r="D54" s="37">
        <f t="shared" ca="1" si="1"/>
        <v>2.8244561512149611</v>
      </c>
      <c r="E54" s="37">
        <f t="shared" ca="1" si="1"/>
        <v>2.7341827205079525</v>
      </c>
      <c r="F54" s="37">
        <f t="shared" ca="1" si="1"/>
        <v>2.7924797398459713</v>
      </c>
      <c r="G54" s="37"/>
      <c r="H54" s="37"/>
      <c r="I54" s="35">
        <f t="shared" ca="1" si="2"/>
        <v>2.7837062038562954</v>
      </c>
      <c r="J54" s="35">
        <f t="shared" ca="1" si="5"/>
        <v>2.797109129285714</v>
      </c>
      <c r="K54" s="35">
        <f t="shared" si="6"/>
        <v>3.0050748156161551</v>
      </c>
      <c r="L54" s="35">
        <f t="shared" ca="1" si="7"/>
        <v>2.5949251843838446</v>
      </c>
      <c r="M54" s="35">
        <f t="shared" si="8"/>
        <v>2.8</v>
      </c>
      <c r="N54" s="39" t="str">
        <f t="shared" ca="1" si="3"/>
        <v/>
      </c>
      <c r="R54" s="123"/>
      <c r="S54" s="123"/>
      <c r="T54" s="123"/>
      <c r="U54" s="123"/>
      <c r="V54" s="123"/>
      <c r="W54" s="123"/>
      <c r="X54" s="123"/>
      <c r="Y54" s="111">
        <v>2.76</v>
      </c>
      <c r="Z54" s="125">
        <v>0.46</v>
      </c>
      <c r="AA54" s="125">
        <v>3.27</v>
      </c>
      <c r="AB54" s="111">
        <v>2.5</v>
      </c>
      <c r="AC54" s="123"/>
    </row>
    <row r="55" spans="3:29" x14ac:dyDescent="0.2">
      <c r="C55" s="2">
        <v>24</v>
      </c>
      <c r="D55" s="37">
        <f t="shared" ca="1" si="1"/>
        <v>2.8651064546499363</v>
      </c>
      <c r="E55" s="37">
        <f t="shared" ca="1" si="1"/>
        <v>2.7193111379996884</v>
      </c>
      <c r="F55" s="37">
        <f t="shared" ca="1" si="1"/>
        <v>2.7250452571357981</v>
      </c>
      <c r="G55" s="37"/>
      <c r="H55" s="37"/>
      <c r="I55" s="35">
        <f t="shared" ca="1" si="2"/>
        <v>2.7698209499284743</v>
      </c>
      <c r="J55" s="35">
        <f t="shared" ca="1" si="5"/>
        <v>2.786193857542818</v>
      </c>
      <c r="K55" s="35">
        <f t="shared" si="6"/>
        <v>3.0050748156161551</v>
      </c>
      <c r="L55" s="35">
        <f t="shared" ca="1" si="7"/>
        <v>2.5949251843838446</v>
      </c>
      <c r="M55" s="35">
        <f t="shared" si="8"/>
        <v>2.8</v>
      </c>
      <c r="N55" s="39" t="str">
        <f t="shared" ca="1" si="3"/>
        <v/>
      </c>
      <c r="R55" s="123"/>
      <c r="S55" s="123"/>
      <c r="T55" s="123"/>
      <c r="U55" s="123"/>
      <c r="V55" s="123"/>
      <c r="W55" s="123"/>
      <c r="X55" s="123"/>
      <c r="Y55" s="111">
        <v>2.06</v>
      </c>
      <c r="Z55" s="125">
        <v>0.66</v>
      </c>
      <c r="AA55" s="125">
        <v>3.29</v>
      </c>
      <c r="AB55" s="111">
        <v>3</v>
      </c>
      <c r="AC55" s="123"/>
    </row>
    <row r="56" spans="3:29" x14ac:dyDescent="0.2">
      <c r="C56" s="2">
        <v>25</v>
      </c>
      <c r="D56" s="37">
        <f t="shared" ca="1" si="1"/>
        <v>2.7528588480364835</v>
      </c>
      <c r="E56" s="37">
        <f t="shared" ca="1" si="1"/>
        <v>2.8171605071802608</v>
      </c>
      <c r="F56" s="37">
        <f t="shared" ca="1" si="1"/>
        <v>2.846909429371165</v>
      </c>
      <c r="G56" s="37"/>
      <c r="H56" s="37"/>
      <c r="I56" s="35">
        <f t="shared" ca="1" si="2"/>
        <v>2.8056429281959701</v>
      </c>
      <c r="J56" s="35">
        <f t="shared" ca="1" si="5"/>
        <v>2.793973485804079</v>
      </c>
      <c r="K56" s="35">
        <f t="shared" si="6"/>
        <v>3.0050748156161551</v>
      </c>
      <c r="L56" s="35">
        <f t="shared" ca="1" si="7"/>
        <v>2.5949251843838446</v>
      </c>
      <c r="M56" s="35">
        <f t="shared" si="8"/>
        <v>2.8</v>
      </c>
      <c r="N56" s="39" t="str">
        <f t="shared" ca="1" si="3"/>
        <v/>
      </c>
      <c r="R56" s="123"/>
      <c r="S56" s="123"/>
      <c r="T56" s="123"/>
      <c r="U56" s="123"/>
      <c r="V56" s="123"/>
      <c r="W56" s="123"/>
      <c r="X56" s="123"/>
      <c r="Y56" s="123"/>
      <c r="Z56" s="123"/>
      <c r="AA56" s="123"/>
      <c r="AB56" s="123"/>
      <c r="AC56" s="123"/>
    </row>
    <row r="57" spans="3:29" x14ac:dyDescent="0.2">
      <c r="C57" s="2">
        <v>26</v>
      </c>
      <c r="D57" s="37">
        <f t="shared" ca="1" si="1"/>
        <v>2.7620979973464475</v>
      </c>
      <c r="E57" s="37">
        <f t="shared" ca="1" si="1"/>
        <v>2.7364667072484434</v>
      </c>
      <c r="F57" s="37">
        <f t="shared" ca="1" si="1"/>
        <v>2.7132244556579148</v>
      </c>
      <c r="G57" s="37"/>
      <c r="H57" s="37"/>
      <c r="I57" s="35">
        <f t="shared" ca="1" si="2"/>
        <v>2.7372630534176019</v>
      </c>
      <c r="J57" s="35">
        <f t="shared" ca="1" si="5"/>
        <v>2.771289312849488</v>
      </c>
      <c r="K57" s="35">
        <f t="shared" si="6"/>
        <v>3.0050748156161551</v>
      </c>
      <c r="L57" s="35">
        <f t="shared" ca="1" si="7"/>
        <v>2.5949251843838446</v>
      </c>
      <c r="M57" s="35">
        <f t="shared" si="8"/>
        <v>2.8</v>
      </c>
      <c r="N57" s="39" t="str">
        <f t="shared" ca="1" si="3"/>
        <v/>
      </c>
      <c r="R57" s="123"/>
      <c r="S57" s="123"/>
      <c r="T57" s="123"/>
      <c r="U57" s="123"/>
      <c r="V57" s="123"/>
      <c r="W57" s="123"/>
      <c r="X57" s="123"/>
      <c r="Y57" s="123"/>
      <c r="Z57" s="123"/>
      <c r="AA57" s="123"/>
      <c r="AB57" s="123"/>
      <c r="AC57" s="123"/>
    </row>
    <row r="58" spans="3:29" x14ac:dyDescent="0.2">
      <c r="C58" s="2">
        <v>27</v>
      </c>
      <c r="D58" s="37">
        <f t="shared" ca="1" si="1"/>
        <v>2.7486299515444559</v>
      </c>
      <c r="E58" s="37">
        <f t="shared" ca="1" si="1"/>
        <v>2.8558790548772177</v>
      </c>
      <c r="F58" s="37">
        <f t="shared" ca="1" si="1"/>
        <v>2.6259622691670841</v>
      </c>
      <c r="G58" s="37"/>
      <c r="H58" s="37"/>
      <c r="I58" s="35">
        <f t="shared" ca="1" si="2"/>
        <v>2.7434904251962529</v>
      </c>
      <c r="J58" s="35">
        <f t="shared" ca="1" si="5"/>
        <v>2.7601697577881938</v>
      </c>
      <c r="K58" s="35">
        <f t="shared" si="6"/>
        <v>3.0050748156161551</v>
      </c>
      <c r="L58" s="35">
        <f t="shared" ca="1" si="7"/>
        <v>2.5949251843838446</v>
      </c>
      <c r="M58" s="35">
        <f t="shared" si="8"/>
        <v>2.8</v>
      </c>
      <c r="N58" s="39" t="str">
        <f t="shared" ca="1" si="3"/>
        <v/>
      </c>
      <c r="R58" s="123"/>
      <c r="S58" s="123"/>
      <c r="T58" s="123"/>
      <c r="U58" s="123"/>
      <c r="V58" s="123"/>
      <c r="W58" s="123"/>
      <c r="X58" s="123"/>
      <c r="Y58" s="123"/>
      <c r="Z58" s="123"/>
      <c r="AA58" s="123"/>
      <c r="AB58" s="123"/>
      <c r="AC58" s="123"/>
    </row>
    <row r="59" spans="3:29" x14ac:dyDescent="0.2">
      <c r="C59" s="2">
        <v>28</v>
      </c>
      <c r="D59" s="37">
        <f t="shared" ca="1" si="1"/>
        <v>2.8447213462818444</v>
      </c>
      <c r="E59" s="37">
        <f t="shared" ca="1" si="1"/>
        <v>2.7590741282271676</v>
      </c>
      <c r="F59" s="37">
        <f t="shared" ca="1" si="1"/>
        <v>2.7830479257104526</v>
      </c>
      <c r="G59" s="37"/>
      <c r="H59" s="37"/>
      <c r="I59" s="35">
        <f t="shared" ca="1" si="2"/>
        <v>2.7956144667398211</v>
      </c>
      <c r="J59" s="35">
        <f t="shared" ca="1" si="5"/>
        <v>2.7743476413688448</v>
      </c>
      <c r="K59" s="35">
        <f t="shared" si="6"/>
        <v>3.0050748156161551</v>
      </c>
      <c r="L59" s="35">
        <f t="shared" ca="1" si="7"/>
        <v>2.5949251843838446</v>
      </c>
      <c r="M59" s="35">
        <f t="shared" si="8"/>
        <v>2.8</v>
      </c>
      <c r="N59" s="39" t="str">
        <f t="shared" ca="1" si="3"/>
        <v/>
      </c>
      <c r="R59" s="109"/>
      <c r="S59" s="109"/>
      <c r="T59" s="109"/>
      <c r="U59" s="109"/>
      <c r="V59" s="109"/>
      <c r="W59" s="109"/>
      <c r="X59" s="109"/>
      <c r="Y59" s="109"/>
      <c r="Z59" s="109"/>
      <c r="AA59" s="109"/>
      <c r="AB59" s="109"/>
      <c r="AC59" s="109"/>
    </row>
    <row r="60" spans="3:29" x14ac:dyDescent="0.2">
      <c r="C60" s="2">
        <v>29</v>
      </c>
      <c r="D60" s="37">
        <f t="shared" ca="1" si="1"/>
        <v>2.9685231997954724</v>
      </c>
      <c r="E60" s="37">
        <f t="shared" ca="1" si="1"/>
        <v>2.8299725793784822</v>
      </c>
      <c r="F60" s="37">
        <f t="shared" ca="1" si="1"/>
        <v>2.790800407639332</v>
      </c>
      <c r="G60" s="37"/>
      <c r="H60" s="37"/>
      <c r="I60" s="35">
        <f t="shared" ca="1" si="2"/>
        <v>2.8630987289377621</v>
      </c>
      <c r="J60" s="35">
        <f t="shared" ca="1" si="5"/>
        <v>2.8098480763964115</v>
      </c>
      <c r="K60" s="35">
        <f t="shared" si="6"/>
        <v>3.0050748156161551</v>
      </c>
      <c r="L60" s="35">
        <f t="shared" ca="1" si="7"/>
        <v>2.5949251843838446</v>
      </c>
      <c r="M60" s="35">
        <f t="shared" si="8"/>
        <v>2.8</v>
      </c>
      <c r="N60" s="39" t="str">
        <f t="shared" ca="1" si="3"/>
        <v/>
      </c>
    </row>
    <row r="61" spans="3:29" x14ac:dyDescent="0.2">
      <c r="C61" s="2">
        <v>30</v>
      </c>
      <c r="D61" s="37">
        <f t="shared" ca="1" si="1"/>
        <v>2.9176061623115803</v>
      </c>
      <c r="E61" s="37">
        <f t="shared" ca="1" si="1"/>
        <v>2.7903654158424578</v>
      </c>
      <c r="F61" s="37">
        <f t="shared" ca="1" si="1"/>
        <v>2.7869902128080506</v>
      </c>
      <c r="G61" s="37"/>
      <c r="H61" s="37"/>
      <c r="I61" s="35">
        <f t="shared" ca="1" si="2"/>
        <v>2.8316539303206962</v>
      </c>
      <c r="J61" s="35">
        <f t="shared" ca="1" si="5"/>
        <v>2.8185704179661251</v>
      </c>
      <c r="K61" s="35">
        <f t="shared" si="6"/>
        <v>3.0050748156161551</v>
      </c>
      <c r="L61" s="35">
        <f t="shared" ca="1" si="7"/>
        <v>2.5949251843838446</v>
      </c>
      <c r="M61" s="35">
        <f t="shared" si="8"/>
        <v>2.8</v>
      </c>
      <c r="N61" s="39" t="str">
        <f t="shared" ca="1" si="3"/>
        <v/>
      </c>
    </row>
    <row r="62" spans="3:29" x14ac:dyDescent="0.2">
      <c r="C62" s="2">
        <v>31</v>
      </c>
      <c r="D62" s="37"/>
      <c r="E62" s="37"/>
      <c r="F62" s="37"/>
      <c r="G62" s="37"/>
      <c r="H62" s="37"/>
      <c r="I62" s="35" t="e">
        <f t="shared" si="2"/>
        <v>#DIV/0!</v>
      </c>
      <c r="J62" s="35" t="e">
        <f t="shared" ca="1" si="5"/>
        <v>#DIV/0!</v>
      </c>
      <c r="K62" s="35">
        <f t="shared" si="6"/>
        <v>3.0050748156161551</v>
      </c>
      <c r="L62" s="35">
        <f t="shared" ca="1" si="7"/>
        <v>2.5949251843838446</v>
      </c>
      <c r="M62" s="35">
        <f t="shared" si="8"/>
        <v>2.8</v>
      </c>
      <c r="N62" s="39" t="e">
        <f t="shared" ca="1" si="3"/>
        <v>#DIV/0!</v>
      </c>
    </row>
    <row r="63" spans="3:29" x14ac:dyDescent="0.2">
      <c r="C63" s="2">
        <v>32</v>
      </c>
      <c r="D63" s="37"/>
      <c r="E63" s="37"/>
      <c r="F63" s="37"/>
      <c r="G63" s="37"/>
      <c r="H63" s="37"/>
      <c r="I63" s="35" t="e">
        <f t="shared" si="2"/>
        <v>#DIV/0!</v>
      </c>
      <c r="J63" s="35" t="e">
        <f t="shared" ca="1" si="5"/>
        <v>#DIV/0!</v>
      </c>
      <c r="K63" s="35">
        <f t="shared" si="6"/>
        <v>3.0050748156161551</v>
      </c>
      <c r="L63" s="35">
        <f t="shared" ca="1" si="7"/>
        <v>2.5949251843838446</v>
      </c>
      <c r="M63" s="35">
        <f t="shared" si="8"/>
        <v>2.8</v>
      </c>
      <c r="N63" s="39" t="e">
        <f t="shared" ca="1" si="3"/>
        <v>#DIV/0!</v>
      </c>
    </row>
    <row r="64" spans="3:29" x14ac:dyDescent="0.2">
      <c r="C64" s="2">
        <v>33</v>
      </c>
      <c r="D64" s="37"/>
      <c r="E64" s="37"/>
      <c r="F64" s="37"/>
      <c r="G64" s="37"/>
      <c r="H64" s="37"/>
      <c r="I64" s="35" t="e">
        <f t="shared" si="2"/>
        <v>#DIV/0!</v>
      </c>
      <c r="J64" s="35" t="e">
        <f t="shared" ca="1" si="5"/>
        <v>#DIV/0!</v>
      </c>
      <c r="K64" s="35">
        <f t="shared" si="6"/>
        <v>3.0050748156161551</v>
      </c>
      <c r="L64" s="35">
        <f t="shared" ca="1" si="7"/>
        <v>2.5949251843838446</v>
      </c>
      <c r="M64" s="35">
        <f t="shared" si="8"/>
        <v>2.8</v>
      </c>
      <c r="N64" s="39" t="e">
        <f t="shared" ca="1" si="3"/>
        <v>#DIV/0!</v>
      </c>
    </row>
    <row r="65" spans="3:14" x14ac:dyDescent="0.2">
      <c r="C65" s="2">
        <v>34</v>
      </c>
      <c r="D65" s="37"/>
      <c r="E65" s="37"/>
      <c r="F65" s="37"/>
      <c r="G65" s="37"/>
      <c r="H65" s="37"/>
      <c r="I65" s="35" t="e">
        <f t="shared" si="2"/>
        <v>#DIV/0!</v>
      </c>
      <c r="J65" s="35" t="e">
        <f t="shared" ca="1" si="5"/>
        <v>#DIV/0!</v>
      </c>
      <c r="K65" s="35">
        <f t="shared" si="6"/>
        <v>3.0050748156161551</v>
      </c>
      <c r="L65" s="35">
        <f t="shared" ca="1" si="7"/>
        <v>2.5949251843838446</v>
      </c>
      <c r="M65" s="35">
        <f t="shared" si="8"/>
        <v>2.8</v>
      </c>
      <c r="N65" s="39" t="e">
        <f t="shared" ca="1" si="3"/>
        <v>#DIV/0!</v>
      </c>
    </row>
    <row r="66" spans="3:14" x14ac:dyDescent="0.2">
      <c r="C66" s="2">
        <v>35</v>
      </c>
      <c r="D66" s="37"/>
      <c r="E66" s="37"/>
      <c r="F66" s="37"/>
      <c r="G66" s="37"/>
      <c r="H66" s="37"/>
      <c r="I66" s="35" t="e">
        <f t="shared" si="2"/>
        <v>#DIV/0!</v>
      </c>
      <c r="J66" s="35" t="e">
        <f t="shared" ca="1" si="5"/>
        <v>#DIV/0!</v>
      </c>
      <c r="K66" s="35">
        <f t="shared" si="6"/>
        <v>3.0050748156161551</v>
      </c>
      <c r="L66" s="35">
        <f t="shared" ca="1" si="7"/>
        <v>2.5949251843838446</v>
      </c>
      <c r="M66" s="35">
        <f t="shared" si="8"/>
        <v>2.8</v>
      </c>
      <c r="N66" s="39" t="e">
        <f t="shared" ca="1" si="3"/>
        <v>#DIV/0!</v>
      </c>
    </row>
    <row r="67" spans="3:14" x14ac:dyDescent="0.2">
      <c r="C67" s="2">
        <v>36</v>
      </c>
      <c r="D67" s="37"/>
      <c r="E67" s="37"/>
      <c r="F67" s="37"/>
      <c r="G67" s="37"/>
      <c r="H67" s="37"/>
      <c r="I67" s="35" t="e">
        <f t="shared" si="2"/>
        <v>#DIV/0!</v>
      </c>
      <c r="J67" s="35" t="e">
        <f t="shared" ca="1" si="5"/>
        <v>#DIV/0!</v>
      </c>
      <c r="K67" s="35">
        <f t="shared" si="6"/>
        <v>3.0050748156161551</v>
      </c>
      <c r="L67" s="35">
        <f t="shared" ca="1" si="7"/>
        <v>2.5949251843838446</v>
      </c>
      <c r="M67" s="35">
        <f t="shared" si="8"/>
        <v>2.8</v>
      </c>
      <c r="N67" s="39" t="e">
        <f t="shared" ca="1" si="3"/>
        <v>#DIV/0!</v>
      </c>
    </row>
    <row r="68" spans="3:14" x14ac:dyDescent="0.2">
      <c r="C68" s="2">
        <v>37</v>
      </c>
      <c r="D68" s="37"/>
      <c r="E68" s="37"/>
      <c r="F68" s="37"/>
      <c r="G68" s="37"/>
      <c r="H68" s="37"/>
      <c r="I68" s="35" t="e">
        <f t="shared" si="2"/>
        <v>#DIV/0!</v>
      </c>
      <c r="J68" s="35" t="e">
        <f t="shared" ca="1" si="5"/>
        <v>#DIV/0!</v>
      </c>
      <c r="K68" s="35">
        <f t="shared" si="6"/>
        <v>3.0050748156161551</v>
      </c>
      <c r="L68" s="35">
        <f t="shared" ca="1" si="7"/>
        <v>2.5949251843838446</v>
      </c>
      <c r="M68" s="35">
        <f t="shared" si="8"/>
        <v>2.8</v>
      </c>
      <c r="N68" s="39" t="e">
        <f t="shared" ca="1" si="3"/>
        <v>#DIV/0!</v>
      </c>
    </row>
    <row r="69" spans="3:14" x14ac:dyDescent="0.2">
      <c r="C69" s="2">
        <v>38</v>
      </c>
      <c r="D69" s="37"/>
      <c r="E69" s="37"/>
      <c r="F69" s="37"/>
      <c r="G69" s="37"/>
      <c r="H69" s="37"/>
      <c r="I69" s="35" t="e">
        <f t="shared" si="2"/>
        <v>#DIV/0!</v>
      </c>
      <c r="J69" s="35" t="e">
        <f t="shared" ca="1" si="5"/>
        <v>#DIV/0!</v>
      </c>
      <c r="K69" s="35">
        <f t="shared" si="6"/>
        <v>3.0050748156161551</v>
      </c>
      <c r="L69" s="35">
        <f t="shared" ca="1" si="7"/>
        <v>2.5949251843838446</v>
      </c>
      <c r="M69" s="35">
        <f t="shared" si="8"/>
        <v>2.8</v>
      </c>
      <c r="N69" s="39" t="e">
        <f t="shared" ca="1" si="3"/>
        <v>#DIV/0!</v>
      </c>
    </row>
    <row r="70" spans="3:14" x14ac:dyDescent="0.2">
      <c r="C70" s="2">
        <v>39</v>
      </c>
      <c r="D70" s="37"/>
      <c r="E70" s="37"/>
      <c r="F70" s="37"/>
      <c r="G70" s="37"/>
      <c r="H70" s="37"/>
      <c r="I70" s="35" t="e">
        <f t="shared" si="2"/>
        <v>#DIV/0!</v>
      </c>
      <c r="J70" s="35" t="e">
        <f t="shared" ca="1" si="5"/>
        <v>#DIV/0!</v>
      </c>
      <c r="K70" s="35">
        <f t="shared" si="6"/>
        <v>3.0050748156161551</v>
      </c>
      <c r="L70" s="35">
        <f t="shared" ca="1" si="7"/>
        <v>2.5949251843838446</v>
      </c>
      <c r="M70" s="35">
        <f t="shared" si="8"/>
        <v>2.8</v>
      </c>
      <c r="N70" s="39" t="e">
        <f t="shared" ca="1" si="3"/>
        <v>#DIV/0!</v>
      </c>
    </row>
    <row r="71" spans="3:14" x14ac:dyDescent="0.2">
      <c r="C71" s="2">
        <v>40</v>
      </c>
      <c r="D71" s="37"/>
      <c r="E71" s="37"/>
      <c r="F71" s="37"/>
      <c r="G71" s="37"/>
      <c r="H71" s="37"/>
      <c r="I71" s="35" t="e">
        <f t="shared" si="2"/>
        <v>#DIV/0!</v>
      </c>
      <c r="J71" s="35" t="e">
        <f t="shared" ca="1" si="5"/>
        <v>#DIV/0!</v>
      </c>
      <c r="K71" s="35">
        <f t="shared" si="6"/>
        <v>3.0050748156161551</v>
      </c>
      <c r="L71" s="35">
        <f t="shared" ca="1" si="7"/>
        <v>2.5949251843838446</v>
      </c>
      <c r="M71" s="35">
        <f t="shared" si="8"/>
        <v>2.8</v>
      </c>
      <c r="N71" s="39" t="e">
        <f t="shared" ca="1" si="3"/>
        <v>#DIV/0!</v>
      </c>
    </row>
    <row r="72" spans="3:14" x14ac:dyDescent="0.2">
      <c r="C72" s="2">
        <v>41</v>
      </c>
      <c r="D72" s="37"/>
      <c r="E72" s="37"/>
      <c r="F72" s="37"/>
      <c r="G72" s="37"/>
      <c r="H72" s="37"/>
      <c r="I72" s="35" t="e">
        <f t="shared" si="2"/>
        <v>#DIV/0!</v>
      </c>
      <c r="J72" s="35" t="e">
        <f t="shared" ca="1" si="5"/>
        <v>#DIV/0!</v>
      </c>
      <c r="K72" s="35">
        <f t="shared" si="6"/>
        <v>3.0050748156161551</v>
      </c>
      <c r="L72" s="35">
        <f t="shared" ca="1" si="7"/>
        <v>2.5949251843838446</v>
      </c>
      <c r="M72" s="35">
        <f t="shared" si="8"/>
        <v>2.8</v>
      </c>
      <c r="N72" s="39" t="e">
        <f t="shared" ca="1" si="3"/>
        <v>#DIV/0!</v>
      </c>
    </row>
    <row r="73" spans="3:14" x14ac:dyDescent="0.2">
      <c r="C73" s="2">
        <v>42</v>
      </c>
      <c r="D73" s="37"/>
      <c r="E73" s="37"/>
      <c r="F73" s="37"/>
      <c r="G73" s="37"/>
      <c r="H73" s="37"/>
      <c r="I73" s="35" t="e">
        <f t="shared" si="2"/>
        <v>#DIV/0!</v>
      </c>
      <c r="J73" s="35" t="e">
        <f t="shared" ca="1" si="5"/>
        <v>#DIV/0!</v>
      </c>
      <c r="K73" s="35">
        <f t="shared" si="6"/>
        <v>3.0050748156161551</v>
      </c>
      <c r="L73" s="35">
        <f t="shared" ca="1" si="7"/>
        <v>2.5949251843838446</v>
      </c>
      <c r="M73" s="35">
        <f t="shared" si="8"/>
        <v>2.8</v>
      </c>
      <c r="N73" s="39" t="e">
        <f t="shared" ca="1" si="3"/>
        <v>#DIV/0!</v>
      </c>
    </row>
    <row r="74" spans="3:14" x14ac:dyDescent="0.2">
      <c r="C74" s="2">
        <v>43</v>
      </c>
      <c r="D74" s="37"/>
      <c r="E74" s="37"/>
      <c r="F74" s="37"/>
      <c r="G74" s="37"/>
      <c r="H74" s="37"/>
      <c r="I74" s="35" t="e">
        <f t="shared" si="2"/>
        <v>#DIV/0!</v>
      </c>
      <c r="J74" s="35" t="e">
        <f t="shared" ca="1" si="5"/>
        <v>#DIV/0!</v>
      </c>
      <c r="K74" s="35">
        <f t="shared" si="6"/>
        <v>3.0050748156161551</v>
      </c>
      <c r="L74" s="35">
        <f t="shared" ca="1" si="7"/>
        <v>2.5949251843838446</v>
      </c>
      <c r="M74" s="35">
        <f t="shared" si="8"/>
        <v>2.8</v>
      </c>
      <c r="N74" s="39" t="e">
        <f t="shared" ca="1" si="3"/>
        <v>#DIV/0!</v>
      </c>
    </row>
    <row r="75" spans="3:14" x14ac:dyDescent="0.2">
      <c r="C75" s="2">
        <v>44</v>
      </c>
      <c r="D75" s="37"/>
      <c r="E75" s="37"/>
      <c r="F75" s="37"/>
      <c r="G75" s="37"/>
      <c r="H75" s="37"/>
      <c r="I75" s="35" t="e">
        <f t="shared" si="2"/>
        <v>#DIV/0!</v>
      </c>
      <c r="J75" s="35" t="e">
        <f t="shared" ca="1" si="5"/>
        <v>#DIV/0!</v>
      </c>
      <c r="K75" s="35">
        <f t="shared" si="6"/>
        <v>3.0050748156161551</v>
      </c>
      <c r="L75" s="35">
        <f t="shared" ca="1" si="7"/>
        <v>2.5949251843838446</v>
      </c>
      <c r="M75" s="35">
        <f t="shared" si="8"/>
        <v>2.8</v>
      </c>
      <c r="N75" s="39" t="e">
        <f t="shared" ca="1" si="3"/>
        <v>#DIV/0!</v>
      </c>
    </row>
    <row r="76" spans="3:14" x14ac:dyDescent="0.2">
      <c r="C76" s="2">
        <v>45</v>
      </c>
      <c r="D76" s="37"/>
      <c r="E76" s="37"/>
      <c r="F76" s="37"/>
      <c r="G76" s="37"/>
      <c r="H76" s="37"/>
      <c r="I76" s="35" t="e">
        <f t="shared" si="2"/>
        <v>#DIV/0!</v>
      </c>
      <c r="J76" s="35" t="e">
        <f t="shared" ca="1" si="5"/>
        <v>#DIV/0!</v>
      </c>
      <c r="K76" s="35">
        <f t="shared" si="6"/>
        <v>3.0050748156161551</v>
      </c>
      <c r="L76" s="35">
        <f t="shared" ca="1" si="7"/>
        <v>2.5949251843838446</v>
      </c>
      <c r="M76" s="35">
        <f t="shared" si="8"/>
        <v>2.8</v>
      </c>
      <c r="N76" s="39" t="e">
        <f t="shared" ca="1" si="3"/>
        <v>#DIV/0!</v>
      </c>
    </row>
    <row r="77" spans="3:14" x14ac:dyDescent="0.2">
      <c r="C77" s="2">
        <v>46</v>
      </c>
      <c r="D77" s="37"/>
      <c r="E77" s="37"/>
      <c r="F77" s="37"/>
      <c r="G77" s="37"/>
      <c r="H77" s="37"/>
      <c r="I77" s="35" t="e">
        <f t="shared" si="2"/>
        <v>#DIV/0!</v>
      </c>
      <c r="J77" s="35" t="e">
        <f t="shared" ca="1" si="5"/>
        <v>#DIV/0!</v>
      </c>
      <c r="K77" s="35">
        <f t="shared" si="6"/>
        <v>3.0050748156161551</v>
      </c>
      <c r="L77" s="35">
        <f t="shared" ca="1" si="7"/>
        <v>2.5949251843838446</v>
      </c>
      <c r="M77" s="35">
        <f t="shared" si="8"/>
        <v>2.8</v>
      </c>
      <c r="N77" s="39" t="e">
        <f t="shared" ca="1" si="3"/>
        <v>#DIV/0!</v>
      </c>
    </row>
    <row r="78" spans="3:14" x14ac:dyDescent="0.2">
      <c r="C78" s="2">
        <v>47</v>
      </c>
      <c r="D78" s="37"/>
      <c r="E78" s="37"/>
      <c r="F78" s="37"/>
      <c r="G78" s="37"/>
      <c r="H78" s="37"/>
      <c r="I78" s="35" t="e">
        <f t="shared" si="2"/>
        <v>#DIV/0!</v>
      </c>
      <c r="J78" s="35" t="e">
        <f t="shared" ca="1" si="5"/>
        <v>#DIV/0!</v>
      </c>
      <c r="K78" s="35">
        <f t="shared" si="6"/>
        <v>3.0050748156161551</v>
      </c>
      <c r="L78" s="35">
        <f t="shared" ca="1" si="7"/>
        <v>2.5949251843838446</v>
      </c>
      <c r="M78" s="35">
        <f t="shared" si="8"/>
        <v>2.8</v>
      </c>
      <c r="N78" s="39" t="e">
        <f t="shared" ca="1" si="3"/>
        <v>#DIV/0!</v>
      </c>
    </row>
    <row r="79" spans="3:14" x14ac:dyDescent="0.2">
      <c r="C79" s="2">
        <v>48</v>
      </c>
      <c r="D79" s="37"/>
      <c r="E79" s="37"/>
      <c r="F79" s="37"/>
      <c r="G79" s="37"/>
      <c r="H79" s="37"/>
      <c r="I79" s="35" t="e">
        <f t="shared" si="2"/>
        <v>#DIV/0!</v>
      </c>
      <c r="J79" s="35" t="e">
        <f t="shared" ca="1" si="5"/>
        <v>#DIV/0!</v>
      </c>
      <c r="K79" s="35">
        <f t="shared" si="6"/>
        <v>3.0050748156161551</v>
      </c>
      <c r="L79" s="35">
        <f t="shared" ca="1" si="7"/>
        <v>2.5949251843838446</v>
      </c>
      <c r="M79" s="35">
        <f t="shared" si="8"/>
        <v>2.8</v>
      </c>
      <c r="N79" s="39" t="e">
        <f t="shared" ca="1" si="3"/>
        <v>#DIV/0!</v>
      </c>
    </row>
    <row r="80" spans="3:14" x14ac:dyDescent="0.2">
      <c r="C80" s="2">
        <v>49</v>
      </c>
      <c r="D80" s="37"/>
      <c r="E80" s="37"/>
      <c r="F80" s="37"/>
      <c r="G80" s="37"/>
      <c r="H80" s="37"/>
      <c r="I80" s="35" t="e">
        <f t="shared" si="2"/>
        <v>#DIV/0!</v>
      </c>
      <c r="J80" s="35" t="e">
        <f t="shared" ca="1" si="5"/>
        <v>#DIV/0!</v>
      </c>
      <c r="K80" s="35">
        <f t="shared" si="6"/>
        <v>3.0050748156161551</v>
      </c>
      <c r="L80" s="35">
        <f t="shared" ca="1" si="7"/>
        <v>2.5949251843838446</v>
      </c>
      <c r="M80" s="35">
        <f t="shared" si="8"/>
        <v>2.8</v>
      </c>
      <c r="N80" s="39" t="e">
        <f t="shared" ca="1" si="3"/>
        <v>#DIV/0!</v>
      </c>
    </row>
    <row r="81" spans="3:14" x14ac:dyDescent="0.2">
      <c r="C81" s="2">
        <v>50</v>
      </c>
      <c r="D81" s="37"/>
      <c r="E81" s="37"/>
      <c r="F81" s="37"/>
      <c r="G81" s="37"/>
      <c r="H81" s="37"/>
      <c r="I81" s="35" t="e">
        <f t="shared" si="2"/>
        <v>#DIV/0!</v>
      </c>
      <c r="J81" s="35" t="e">
        <f t="shared" ca="1" si="5"/>
        <v>#DIV/0!</v>
      </c>
      <c r="K81" s="35">
        <f t="shared" si="6"/>
        <v>3.0050748156161551</v>
      </c>
      <c r="L81" s="35">
        <f t="shared" ca="1" si="7"/>
        <v>2.5949251843838446</v>
      </c>
      <c r="M81" s="35">
        <f t="shared" si="8"/>
        <v>2.8</v>
      </c>
      <c r="N81" s="39" t="e">
        <f t="shared" ca="1" si="3"/>
        <v>#DIV/0!</v>
      </c>
    </row>
    <row r="82" spans="3:14" x14ac:dyDescent="0.2">
      <c r="C82" s="2">
        <v>51</v>
      </c>
      <c r="D82" s="37"/>
      <c r="E82" s="37"/>
      <c r="F82" s="37"/>
      <c r="G82" s="37"/>
      <c r="H82" s="37"/>
      <c r="I82" s="35" t="e">
        <f t="shared" si="2"/>
        <v>#DIV/0!</v>
      </c>
      <c r="J82" s="35" t="e">
        <f t="shared" ca="1" si="5"/>
        <v>#DIV/0!</v>
      </c>
      <c r="K82" s="35">
        <f t="shared" si="6"/>
        <v>3.0050748156161551</v>
      </c>
      <c r="L82" s="35">
        <f t="shared" ca="1" si="7"/>
        <v>2.5949251843838446</v>
      </c>
      <c r="M82" s="35">
        <f t="shared" si="8"/>
        <v>2.8</v>
      </c>
      <c r="N82" s="39" t="e">
        <f t="shared" ca="1" si="3"/>
        <v>#DIV/0!</v>
      </c>
    </row>
    <row r="83" spans="3:14" x14ac:dyDescent="0.2">
      <c r="C83" s="2">
        <v>52</v>
      </c>
      <c r="D83" s="37"/>
      <c r="E83" s="37"/>
      <c r="F83" s="37"/>
      <c r="G83" s="37"/>
      <c r="H83" s="37"/>
      <c r="I83" s="35" t="e">
        <f t="shared" si="2"/>
        <v>#DIV/0!</v>
      </c>
      <c r="J83" s="35" t="e">
        <f t="shared" ca="1" si="5"/>
        <v>#DIV/0!</v>
      </c>
      <c r="K83" s="35">
        <f t="shared" si="6"/>
        <v>3.0050748156161551</v>
      </c>
      <c r="L83" s="35">
        <f t="shared" ca="1" si="7"/>
        <v>2.5949251843838446</v>
      </c>
      <c r="M83" s="35">
        <f t="shared" si="8"/>
        <v>2.8</v>
      </c>
      <c r="N83" s="39" t="e">
        <f t="shared" ca="1" si="3"/>
        <v>#DIV/0!</v>
      </c>
    </row>
    <row r="84" spans="3:14" x14ac:dyDescent="0.2">
      <c r="C84" s="2">
        <v>53</v>
      </c>
      <c r="D84" s="37"/>
      <c r="E84" s="37"/>
      <c r="F84" s="37"/>
      <c r="G84" s="37"/>
      <c r="H84" s="37"/>
      <c r="I84" s="35" t="e">
        <f t="shared" si="2"/>
        <v>#DIV/0!</v>
      </c>
      <c r="J84" s="35" t="e">
        <f t="shared" ca="1" si="5"/>
        <v>#DIV/0!</v>
      </c>
      <c r="K84" s="35">
        <f t="shared" si="6"/>
        <v>3.0050748156161551</v>
      </c>
      <c r="L84" s="35">
        <f t="shared" ca="1" si="7"/>
        <v>2.5949251843838446</v>
      </c>
      <c r="M84" s="35">
        <f t="shared" si="8"/>
        <v>2.8</v>
      </c>
      <c r="N84" s="39" t="e">
        <f t="shared" ca="1" si="3"/>
        <v>#DIV/0!</v>
      </c>
    </row>
    <row r="85" spans="3:14" x14ac:dyDescent="0.2">
      <c r="C85" s="2">
        <v>54</v>
      </c>
      <c r="D85" s="37"/>
      <c r="E85" s="37"/>
      <c r="F85" s="37"/>
      <c r="G85" s="37"/>
      <c r="H85" s="37"/>
      <c r="I85" s="35" t="e">
        <f t="shared" si="2"/>
        <v>#DIV/0!</v>
      </c>
      <c r="J85" s="35" t="e">
        <f t="shared" ca="1" si="5"/>
        <v>#DIV/0!</v>
      </c>
      <c r="K85" s="35">
        <f t="shared" si="6"/>
        <v>3.0050748156161551</v>
      </c>
      <c r="L85" s="35">
        <f t="shared" ca="1" si="7"/>
        <v>2.5949251843838446</v>
      </c>
      <c r="M85" s="35">
        <f t="shared" si="8"/>
        <v>2.8</v>
      </c>
      <c r="N85" s="39" t="e">
        <f t="shared" ca="1" si="3"/>
        <v>#DIV/0!</v>
      </c>
    </row>
    <row r="86" spans="3:14" x14ac:dyDescent="0.2">
      <c r="C86" s="2">
        <v>55</v>
      </c>
      <c r="D86" s="37"/>
      <c r="E86" s="37"/>
      <c r="F86" s="37"/>
      <c r="G86" s="37"/>
      <c r="H86" s="37"/>
      <c r="I86" s="35" t="e">
        <f t="shared" si="2"/>
        <v>#DIV/0!</v>
      </c>
      <c r="J86" s="35" t="e">
        <f t="shared" ca="1" si="5"/>
        <v>#DIV/0!</v>
      </c>
      <c r="K86" s="35">
        <f t="shared" si="6"/>
        <v>3.0050748156161551</v>
      </c>
      <c r="L86" s="35">
        <f t="shared" ca="1" si="7"/>
        <v>2.5949251843838446</v>
      </c>
      <c r="M86" s="35">
        <f t="shared" si="8"/>
        <v>2.8</v>
      </c>
      <c r="N86" s="39" t="e">
        <f t="shared" ca="1" si="3"/>
        <v>#DIV/0!</v>
      </c>
    </row>
  </sheetData>
  <mergeCells count="1">
    <mergeCell ref="B3:N5"/>
  </mergeCells>
  <phoneticPr fontId="16" type="noConversion"/>
  <dataValidations count="2">
    <dataValidation type="list" allowBlank="1" showInputMessage="1" showErrorMessage="1" sqref="D19" xr:uid="{0392362A-87F1-4C1F-9B28-CDCC2E9ECC01}">
      <formula1>$T$9:$W$9</formula1>
    </dataValidation>
    <dataValidation type="list" allowBlank="1" showInputMessage="1" showErrorMessage="1" sqref="D20" xr:uid="{95485D64-265B-445B-9BB5-DF2B625792CB}">
      <formula1>INDIRECT("PO_" &amp; $D$19)</formula1>
    </dataValidation>
  </dataValidations>
  <pageMargins left="0.7" right="0.7" top="0.75" bottom="0.75" header="0.3" footer="0.3"/>
  <pageSetup paperSize="9" orientation="portrait" horizontalDpi="90" verticalDpi="9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AB90"/>
  <sheetViews>
    <sheetView showGridLines="0" zoomScale="70" zoomScaleNormal="70" workbookViewId="0">
      <pane ySplit="31" topLeftCell="A32" activePane="bottomLeft" state="frozen"/>
      <selection pane="bottomLeft" activeCell="S57" sqref="S57"/>
    </sheetView>
  </sheetViews>
  <sheetFormatPr baseColWidth="10" defaultColWidth="11.42578125" defaultRowHeight="12.75" x14ac:dyDescent="0.2"/>
  <cols>
    <col min="1" max="11" width="11.42578125" style="93"/>
    <col min="12" max="12" width="12.42578125" style="93" customWidth="1"/>
    <col min="13" max="13" width="15" style="93" customWidth="1"/>
    <col min="14" max="16384" width="11.42578125" style="93"/>
  </cols>
  <sheetData>
    <row r="2" spans="2:28" ht="12.75" customHeight="1" x14ac:dyDescent="0.2">
      <c r="B2" s="195" t="s">
        <v>189</v>
      </c>
      <c r="C2" s="195"/>
      <c r="D2" s="195"/>
      <c r="E2" s="195"/>
      <c r="F2" s="195"/>
      <c r="G2" s="195"/>
      <c r="H2" s="195"/>
      <c r="I2" s="195"/>
      <c r="J2" s="195"/>
      <c r="K2" s="195"/>
      <c r="L2" s="195"/>
    </row>
    <row r="3" spans="2:28" x14ac:dyDescent="0.2">
      <c r="B3" s="195"/>
      <c r="C3" s="195"/>
      <c r="D3" s="195"/>
      <c r="E3" s="195"/>
      <c r="F3" s="195"/>
      <c r="G3" s="195"/>
      <c r="H3" s="195"/>
      <c r="I3" s="195"/>
      <c r="J3" s="195"/>
      <c r="K3" s="195"/>
      <c r="L3" s="195"/>
    </row>
    <row r="4" spans="2:28" x14ac:dyDescent="0.2">
      <c r="B4" s="195"/>
      <c r="C4" s="195"/>
      <c r="D4" s="195"/>
      <c r="E4" s="195"/>
      <c r="F4" s="195"/>
      <c r="G4" s="195"/>
      <c r="H4" s="195"/>
      <c r="I4" s="195"/>
      <c r="J4" s="195"/>
      <c r="K4" s="195"/>
      <c r="L4" s="195"/>
      <c r="O4" s="109"/>
      <c r="P4" s="109"/>
      <c r="Q4" s="109"/>
      <c r="R4" s="109"/>
      <c r="S4" s="109"/>
      <c r="T4" s="109"/>
      <c r="U4" s="109"/>
      <c r="V4" s="109"/>
      <c r="W4" s="109"/>
      <c r="X4" s="109"/>
      <c r="Y4" s="109"/>
      <c r="Z4" s="109"/>
      <c r="AA4" s="109"/>
      <c r="AB4" s="109"/>
    </row>
    <row r="5" spans="2:28" x14ac:dyDescent="0.2">
      <c r="B5" s="157"/>
      <c r="C5" s="158" t="s">
        <v>197</v>
      </c>
      <c r="D5" s="159"/>
      <c r="E5" s="159"/>
      <c r="F5" s="159"/>
      <c r="G5" s="141"/>
      <c r="H5" s="136" t="s">
        <v>216</v>
      </c>
      <c r="I5" s="141"/>
      <c r="J5" s="159"/>
      <c r="K5" s="141"/>
      <c r="L5" s="160"/>
      <c r="O5" s="109"/>
      <c r="P5" s="109"/>
      <c r="Q5" s="109"/>
      <c r="R5" s="109"/>
      <c r="S5" s="109"/>
      <c r="T5" s="109"/>
      <c r="U5" s="109"/>
      <c r="V5" s="109"/>
      <c r="W5" s="109"/>
      <c r="X5" s="109"/>
      <c r="Y5" s="109"/>
      <c r="Z5" s="109"/>
      <c r="AA5" s="109"/>
      <c r="AB5" s="109"/>
    </row>
    <row r="6" spans="2:28" x14ac:dyDescent="0.2">
      <c r="B6" s="161" t="s">
        <v>56</v>
      </c>
      <c r="C6" s="98">
        <v>2.8</v>
      </c>
      <c r="D6" s="24" t="s">
        <v>220</v>
      </c>
      <c r="E6" s="141"/>
      <c r="F6" s="141"/>
      <c r="G6" s="5" t="s">
        <v>131</v>
      </c>
      <c r="H6" s="96">
        <f ca="1">(C8-C9)/(6*H11)</f>
        <v>0.88564003033020422</v>
      </c>
      <c r="I6" s="141" t="s">
        <v>132</v>
      </c>
      <c r="J6" s="141"/>
      <c r="K6" s="141"/>
      <c r="L6" s="160"/>
      <c r="O6" s="109"/>
      <c r="P6" s="109"/>
      <c r="Q6" s="109"/>
      <c r="R6" s="109"/>
      <c r="S6" s="109"/>
      <c r="T6" s="109"/>
      <c r="U6" s="109"/>
      <c r="V6" s="109"/>
      <c r="W6" s="109"/>
      <c r="X6" s="109"/>
      <c r="Y6" s="109"/>
      <c r="Z6" s="109"/>
      <c r="AA6" s="109"/>
      <c r="AB6" s="109"/>
    </row>
    <row r="7" spans="2:28" x14ac:dyDescent="0.2">
      <c r="B7" s="161" t="s">
        <v>58</v>
      </c>
      <c r="C7" s="98">
        <v>0.24</v>
      </c>
      <c r="D7" s="141" t="s">
        <v>190</v>
      </c>
      <c r="E7" s="141"/>
      <c r="F7" s="141"/>
      <c r="G7" s="5" t="s">
        <v>133</v>
      </c>
      <c r="H7" s="96">
        <f ca="1">H6*SQRT(_xlfn.CHISQ.INV(0.025,H10)/H10)</f>
        <v>0.75847922499702058</v>
      </c>
      <c r="I7" s="141" t="s">
        <v>157</v>
      </c>
      <c r="J7" s="141"/>
      <c r="K7" s="141"/>
      <c r="L7" s="160"/>
      <c r="O7" s="110"/>
      <c r="P7" s="110"/>
      <c r="Q7" s="110"/>
      <c r="R7" s="110"/>
      <c r="S7" s="110"/>
      <c r="T7" s="110"/>
      <c r="U7" s="110"/>
      <c r="V7" s="110"/>
      <c r="W7" s="110"/>
      <c r="X7" s="110"/>
      <c r="Y7" s="109"/>
      <c r="Z7" s="109"/>
      <c r="AA7" s="109"/>
      <c r="AB7" s="109"/>
    </row>
    <row r="8" spans="2:28" x14ac:dyDescent="0.2">
      <c r="B8" s="161" t="s">
        <v>76</v>
      </c>
      <c r="C8" s="98">
        <v>4</v>
      </c>
      <c r="D8" s="141" t="s">
        <v>192</v>
      </c>
      <c r="E8" s="141"/>
      <c r="F8" s="141"/>
      <c r="G8" s="5" t="s">
        <v>134</v>
      </c>
      <c r="H8" s="96">
        <f ca="1">H6*SQRT(_xlfn.CHISQ.INV(0.975,H10)/H10)</f>
        <v>1.0125853066287478</v>
      </c>
      <c r="I8" s="141" t="s">
        <v>158</v>
      </c>
      <c r="J8" s="141"/>
      <c r="K8" s="141"/>
      <c r="L8" s="160"/>
      <c r="O8" s="110"/>
      <c r="P8" s="110"/>
      <c r="Q8" s="110"/>
      <c r="R8" s="110"/>
      <c r="S8" s="110"/>
      <c r="T8" s="110"/>
      <c r="U8" s="110"/>
      <c r="V8" s="110"/>
      <c r="W8" s="110"/>
      <c r="X8" s="110"/>
      <c r="Y8" s="109"/>
      <c r="Z8" s="109"/>
      <c r="AA8" s="109"/>
      <c r="AB8" s="109"/>
    </row>
    <row r="9" spans="2:28" x14ac:dyDescent="0.2">
      <c r="B9" s="161" t="s">
        <v>77</v>
      </c>
      <c r="C9" s="98">
        <v>1.78</v>
      </c>
      <c r="D9" s="141" t="s">
        <v>193</v>
      </c>
      <c r="E9" s="141"/>
      <c r="F9" s="141"/>
      <c r="I9" s="141"/>
      <c r="J9" s="141"/>
      <c r="K9" s="141"/>
      <c r="L9" s="160"/>
      <c r="N9" s="99"/>
      <c r="O9" s="110"/>
      <c r="P9" s="110"/>
      <c r="Q9" s="110"/>
      <c r="R9" s="110"/>
      <c r="S9" s="110"/>
      <c r="T9" s="110"/>
      <c r="U9" s="110"/>
      <c r="V9" s="110"/>
      <c r="W9" s="110"/>
      <c r="X9" s="110"/>
      <c r="Y9" s="109"/>
      <c r="Z9" s="109"/>
      <c r="AA9" s="109"/>
      <c r="AB9" s="109"/>
    </row>
    <row r="10" spans="2:28" x14ac:dyDescent="0.2">
      <c r="B10" s="161"/>
      <c r="C10" s="140"/>
      <c r="D10" s="141"/>
      <c r="E10" s="141"/>
      <c r="F10" s="141"/>
      <c r="G10" s="5" t="s">
        <v>159</v>
      </c>
      <c r="H10" s="5">
        <f ca="1">COUNT(C34:G64)</f>
        <v>93</v>
      </c>
      <c r="I10" s="141"/>
      <c r="J10" s="141"/>
      <c r="K10" s="141"/>
      <c r="L10" s="160"/>
      <c r="O10" s="111" t="s">
        <v>54</v>
      </c>
      <c r="P10" s="111" t="s">
        <v>0</v>
      </c>
      <c r="Q10" s="111" t="s">
        <v>5</v>
      </c>
      <c r="R10" s="111" t="s">
        <v>223</v>
      </c>
      <c r="S10" s="110"/>
      <c r="T10" s="110" t="s">
        <v>201</v>
      </c>
      <c r="U10" s="110" t="s">
        <v>202</v>
      </c>
      <c r="V10" s="110" t="s">
        <v>203</v>
      </c>
      <c r="W10" s="110" t="s">
        <v>204</v>
      </c>
      <c r="X10" s="110"/>
      <c r="Y10" s="109"/>
      <c r="Z10" s="109"/>
      <c r="AA10" s="109"/>
      <c r="AB10" s="109"/>
    </row>
    <row r="11" spans="2:28" x14ac:dyDescent="0.2">
      <c r="B11" s="162" t="s">
        <v>198</v>
      </c>
      <c r="C11" s="141"/>
      <c r="D11" s="141"/>
      <c r="E11" s="24"/>
      <c r="F11" s="141"/>
      <c r="G11" s="2" t="s">
        <v>222</v>
      </c>
      <c r="H11" s="35">
        <f ca="1">STDEV(C34:G64)</f>
        <v>0.41777696053558944</v>
      </c>
      <c r="I11" s="141"/>
      <c r="J11" s="141"/>
      <c r="K11" s="141"/>
      <c r="L11" s="160"/>
      <c r="O11" s="111">
        <v>19.3</v>
      </c>
      <c r="P11" s="111">
        <v>5.6</v>
      </c>
      <c r="Q11" s="111">
        <v>0.25</v>
      </c>
      <c r="R11" s="111">
        <v>0.5</v>
      </c>
      <c r="S11" s="110"/>
      <c r="T11" s="110">
        <v>19.3</v>
      </c>
      <c r="U11" s="112">
        <v>28.8</v>
      </c>
      <c r="V11" s="112">
        <v>31.1</v>
      </c>
      <c r="W11" s="112" t="s">
        <v>200</v>
      </c>
      <c r="X11" s="110"/>
      <c r="Y11" s="109"/>
      <c r="Z11" s="109"/>
      <c r="AA11" s="109"/>
      <c r="AB11" s="109"/>
    </row>
    <row r="12" spans="2:28" x14ac:dyDescent="0.2">
      <c r="B12" s="161" t="s">
        <v>195</v>
      </c>
      <c r="C12" s="100">
        <f>C8-3*C7</f>
        <v>3.2800000000000002</v>
      </c>
      <c r="D12" s="141"/>
      <c r="E12" s="22"/>
      <c r="F12" s="141"/>
      <c r="G12" s="141"/>
      <c r="H12" s="141"/>
      <c r="I12" s="141"/>
      <c r="J12" s="141"/>
      <c r="K12" s="141"/>
      <c r="L12" s="160"/>
      <c r="O12" s="111">
        <v>19.3</v>
      </c>
      <c r="P12" s="111">
        <v>4.33</v>
      </c>
      <c r="Q12" s="111">
        <v>0.375</v>
      </c>
      <c r="R12" s="111">
        <v>0.75</v>
      </c>
      <c r="S12" s="110"/>
      <c r="T12" s="110">
        <v>19.3</v>
      </c>
      <c r="U12" s="112">
        <v>15.6</v>
      </c>
      <c r="V12" s="112">
        <v>16.600000000000001</v>
      </c>
      <c r="W12" s="112">
        <v>19.100000000000001</v>
      </c>
      <c r="X12" s="110"/>
      <c r="Y12" s="109"/>
      <c r="Z12" s="109"/>
      <c r="AA12" s="109"/>
      <c r="AB12" s="109"/>
    </row>
    <row r="13" spans="2:28" x14ac:dyDescent="0.2">
      <c r="B13" s="161" t="s">
        <v>194</v>
      </c>
      <c r="C13" s="100">
        <f>C9+3*C7</f>
        <v>2.5</v>
      </c>
      <c r="D13" s="141"/>
      <c r="E13" s="141"/>
      <c r="F13" s="141"/>
      <c r="G13" s="141"/>
      <c r="H13" s="141"/>
      <c r="I13" s="141"/>
      <c r="J13" s="141"/>
      <c r="K13" s="141"/>
      <c r="L13" s="160"/>
      <c r="O13" s="111">
        <v>7.4</v>
      </c>
      <c r="P13" s="111">
        <v>3.5019999999999998</v>
      </c>
      <c r="Q13" s="111">
        <v>0.5</v>
      </c>
      <c r="R13" s="111">
        <v>1</v>
      </c>
      <c r="S13" s="110"/>
      <c r="T13" s="110">
        <v>7.4</v>
      </c>
      <c r="U13" s="112">
        <v>9.9</v>
      </c>
      <c r="V13" s="112">
        <v>10.5</v>
      </c>
      <c r="W13" s="112">
        <v>11.9</v>
      </c>
      <c r="X13" s="110"/>
      <c r="Y13" s="109"/>
      <c r="Z13" s="109"/>
      <c r="AA13" s="109"/>
      <c r="AB13" s="109"/>
    </row>
    <row r="14" spans="2:28" x14ac:dyDescent="0.2">
      <c r="B14" s="161" t="s">
        <v>196</v>
      </c>
      <c r="C14" s="100">
        <f>ABS(MIN((C12-C6)/C7,(C13-C6)/C7))</f>
        <v>1.2499999999999993</v>
      </c>
      <c r="D14" s="144" t="s">
        <v>191</v>
      </c>
      <c r="E14" s="141"/>
      <c r="F14" s="141"/>
      <c r="G14" s="141"/>
      <c r="H14" s="141"/>
      <c r="I14" s="141"/>
      <c r="J14" s="141"/>
      <c r="K14" s="141"/>
      <c r="L14" s="160"/>
      <c r="O14" s="111">
        <v>4</v>
      </c>
      <c r="P14" s="111">
        <v>2.48</v>
      </c>
      <c r="Q14" s="111">
        <v>0.75</v>
      </c>
      <c r="R14" s="111">
        <v>1.5</v>
      </c>
      <c r="S14" s="110"/>
      <c r="T14" s="110">
        <v>4</v>
      </c>
      <c r="U14" s="112">
        <v>5.2</v>
      </c>
      <c r="V14" s="113">
        <v>5.4</v>
      </c>
      <c r="W14" s="112">
        <v>6.1</v>
      </c>
      <c r="X14" s="110"/>
      <c r="Y14" s="109"/>
      <c r="Z14" s="109"/>
      <c r="AA14" s="109"/>
      <c r="AB14" s="109"/>
    </row>
    <row r="15" spans="2:28" x14ac:dyDescent="0.2">
      <c r="B15" s="157"/>
      <c r="C15" s="141"/>
      <c r="D15" s="141"/>
      <c r="E15" s="22"/>
      <c r="F15" s="141"/>
      <c r="G15" s="141"/>
      <c r="H15" s="141"/>
      <c r="I15" s="141"/>
      <c r="J15" s="141"/>
      <c r="K15" s="141"/>
      <c r="L15" s="160"/>
      <c r="O15" s="111">
        <v>2.6</v>
      </c>
      <c r="P15" s="111">
        <v>1.8740000000000001</v>
      </c>
      <c r="Q15" s="114">
        <v>1</v>
      </c>
      <c r="R15" s="111">
        <v>2</v>
      </c>
      <c r="S15" s="110"/>
      <c r="T15" s="110">
        <v>2.6</v>
      </c>
      <c r="U15" s="112">
        <v>3.3</v>
      </c>
      <c r="V15" s="113">
        <v>3.4</v>
      </c>
      <c r="W15" s="112">
        <v>3.8</v>
      </c>
      <c r="X15" s="110"/>
      <c r="Y15" s="109"/>
      <c r="Z15" s="109"/>
      <c r="AA15" s="109"/>
      <c r="AB15" s="109"/>
    </row>
    <row r="16" spans="2:28" x14ac:dyDescent="0.2">
      <c r="B16" s="163" t="s">
        <v>217</v>
      </c>
      <c r="C16" s="141"/>
      <c r="D16" s="141"/>
      <c r="E16" s="22"/>
      <c r="F16" s="141"/>
      <c r="G16" s="141"/>
      <c r="H16" s="141"/>
      <c r="I16" s="141"/>
      <c r="J16" s="141"/>
      <c r="K16" s="141"/>
      <c r="L16" s="160"/>
      <c r="O16" s="111">
        <v>1.87</v>
      </c>
      <c r="P16" s="111">
        <v>1.46</v>
      </c>
      <c r="Q16" s="111">
        <v>1.25</v>
      </c>
      <c r="R16" s="111">
        <v>2.5</v>
      </c>
      <c r="S16" s="110"/>
      <c r="T16" s="110">
        <v>1.87</v>
      </c>
      <c r="U16" s="112">
        <v>2.29</v>
      </c>
      <c r="V16" s="115">
        <v>2.39</v>
      </c>
      <c r="W16" s="112">
        <v>2.61</v>
      </c>
      <c r="X16" s="110"/>
      <c r="Y16" s="109"/>
      <c r="Z16" s="109"/>
      <c r="AA16" s="109"/>
      <c r="AB16" s="109"/>
    </row>
    <row r="17" spans="1:28" x14ac:dyDescent="0.2">
      <c r="B17" s="164" t="s">
        <v>59</v>
      </c>
      <c r="C17" s="101">
        <v>370</v>
      </c>
      <c r="D17" s="24" t="s">
        <v>199</v>
      </c>
      <c r="E17" s="141"/>
      <c r="F17" s="141"/>
      <c r="G17" s="141"/>
      <c r="H17" s="141"/>
      <c r="I17" s="141"/>
      <c r="J17" s="141"/>
      <c r="K17" s="141"/>
      <c r="L17" s="160"/>
      <c r="O17" s="111">
        <v>1.44</v>
      </c>
      <c r="P17" s="111">
        <v>1.1319999999999999</v>
      </c>
      <c r="Q17" s="111">
        <v>1.5</v>
      </c>
      <c r="R17" s="111">
        <v>3</v>
      </c>
      <c r="S17" s="110"/>
      <c r="T17" s="110">
        <v>1.44</v>
      </c>
      <c r="U17" s="112">
        <v>1.72</v>
      </c>
      <c r="V17" s="112">
        <v>1.79</v>
      </c>
      <c r="W17" s="112">
        <v>1.95</v>
      </c>
      <c r="X17" s="110"/>
      <c r="Y17" s="109"/>
      <c r="Z17" s="109"/>
      <c r="AA17" s="109"/>
      <c r="AB17" s="109"/>
    </row>
    <row r="18" spans="1:28" x14ac:dyDescent="0.2">
      <c r="B18" s="164" t="s">
        <v>54</v>
      </c>
      <c r="C18" s="94">
        <v>3.3</v>
      </c>
      <c r="D18" s="24" t="s">
        <v>205</v>
      </c>
      <c r="E18" s="141"/>
      <c r="F18" s="141"/>
      <c r="G18" s="141"/>
      <c r="H18" s="141"/>
      <c r="I18" s="141"/>
      <c r="J18" s="141"/>
      <c r="K18" s="141"/>
      <c r="L18" s="160"/>
      <c r="O18" s="111">
        <v>28.8</v>
      </c>
      <c r="P18" s="111">
        <v>8.01</v>
      </c>
      <c r="Q18" s="111">
        <v>0.25</v>
      </c>
      <c r="R18" s="111">
        <v>0.5</v>
      </c>
      <c r="S18" s="110"/>
      <c r="T18" s="109"/>
      <c r="U18" s="109"/>
      <c r="V18" s="109"/>
      <c r="W18" s="109"/>
      <c r="X18" s="110"/>
      <c r="Y18" s="109"/>
      <c r="Z18" s="109"/>
      <c r="AA18" s="109"/>
      <c r="AB18" s="109"/>
    </row>
    <row r="19" spans="1:28" x14ac:dyDescent="0.2">
      <c r="B19" s="165"/>
      <c r="C19" s="140"/>
      <c r="D19" s="140"/>
      <c r="E19" s="141"/>
      <c r="F19" s="141"/>
      <c r="G19" s="141"/>
      <c r="H19" s="141"/>
      <c r="I19" s="141"/>
      <c r="J19" s="141"/>
      <c r="K19" s="141"/>
      <c r="L19" s="160"/>
      <c r="N19" s="99"/>
      <c r="O19" s="111">
        <v>15.6</v>
      </c>
      <c r="P19" s="111">
        <v>6</v>
      </c>
      <c r="Q19" s="111">
        <v>0.375</v>
      </c>
      <c r="R19" s="111">
        <v>0.75</v>
      </c>
      <c r="S19" s="110"/>
      <c r="T19" s="110"/>
      <c r="U19" s="110"/>
      <c r="V19" s="110"/>
      <c r="W19" s="110"/>
      <c r="X19" s="110"/>
      <c r="Y19" s="109"/>
      <c r="Z19" s="109"/>
      <c r="AA19" s="109"/>
      <c r="AB19" s="109"/>
    </row>
    <row r="20" spans="1:28" x14ac:dyDescent="0.2">
      <c r="B20" s="163" t="s">
        <v>206</v>
      </c>
      <c r="C20" s="141"/>
      <c r="D20" s="141"/>
      <c r="E20" s="141"/>
      <c r="F20" s="141"/>
      <c r="G20" s="141"/>
      <c r="H20" s="141"/>
      <c r="I20" s="141"/>
      <c r="J20" s="141"/>
      <c r="K20" s="141"/>
      <c r="L20" s="160"/>
      <c r="N20" s="99"/>
      <c r="O20" s="111">
        <v>9.9</v>
      </c>
      <c r="P20" s="111">
        <v>4.7699999999999996</v>
      </c>
      <c r="Q20" s="111">
        <v>0.5</v>
      </c>
      <c r="R20" s="111">
        <v>1</v>
      </c>
      <c r="S20" s="110"/>
      <c r="T20" s="110"/>
      <c r="U20" s="110"/>
      <c r="V20" s="110"/>
      <c r="W20" s="110"/>
      <c r="X20" s="110"/>
      <c r="Y20" s="109"/>
      <c r="Z20" s="109"/>
      <c r="AA20" s="109"/>
      <c r="AB20" s="109"/>
    </row>
    <row r="21" spans="1:28" x14ac:dyDescent="0.2">
      <c r="B21" s="166" t="s">
        <v>5</v>
      </c>
      <c r="C21" s="16">
        <f>VLOOKUP(C18,O11:Q38,3,)</f>
        <v>1</v>
      </c>
      <c r="D21" s="43" t="s">
        <v>127</v>
      </c>
      <c r="E21" s="23"/>
      <c r="F21" s="141"/>
      <c r="G21" s="4"/>
      <c r="H21" s="4"/>
      <c r="I21" s="141"/>
      <c r="J21" s="141"/>
      <c r="K21" s="141"/>
      <c r="L21" s="160"/>
      <c r="N21" s="99"/>
      <c r="O21" s="111">
        <v>5.2</v>
      </c>
      <c r="P21" s="114">
        <v>3.34</v>
      </c>
      <c r="Q21" s="111">
        <v>0.75</v>
      </c>
      <c r="R21" s="111">
        <v>1.5</v>
      </c>
      <c r="S21" s="110"/>
      <c r="T21" s="110"/>
      <c r="U21" s="110"/>
      <c r="V21" s="110"/>
      <c r="W21" s="110"/>
      <c r="X21" s="110"/>
      <c r="Y21" s="109"/>
      <c r="Z21" s="109"/>
      <c r="AA21" s="109"/>
      <c r="AB21" s="109"/>
    </row>
    <row r="22" spans="1:28" ht="15" x14ac:dyDescent="0.25">
      <c r="B22" s="164" t="s">
        <v>0</v>
      </c>
      <c r="C22" s="16">
        <f>VLOOKUP(C18,O11:P38,2,)</f>
        <v>2.516</v>
      </c>
      <c r="D22" s="23" t="s">
        <v>69</v>
      </c>
      <c r="E22" s="141"/>
      <c r="F22" s="141"/>
      <c r="G22" s="4"/>
      <c r="H22" s="167"/>
      <c r="I22" s="141"/>
      <c r="J22" s="141"/>
      <c r="K22" s="141"/>
      <c r="L22" s="160"/>
      <c r="N22" s="99"/>
      <c r="O22" s="111">
        <v>3.3</v>
      </c>
      <c r="P22" s="111">
        <v>2.516</v>
      </c>
      <c r="Q22" s="114">
        <v>1</v>
      </c>
      <c r="R22" s="111">
        <v>2</v>
      </c>
      <c r="S22" s="110"/>
      <c r="T22" s="110"/>
      <c r="U22" s="110"/>
      <c r="V22" s="110"/>
      <c r="W22" s="110"/>
      <c r="X22" s="110"/>
      <c r="Y22" s="109"/>
      <c r="Z22" s="109"/>
      <c r="AA22" s="109"/>
      <c r="AB22" s="109"/>
    </row>
    <row r="23" spans="1:28" x14ac:dyDescent="0.2">
      <c r="B23" s="164" t="s">
        <v>61</v>
      </c>
      <c r="C23" s="95">
        <f>VLOOKUP(C18,O11:R38,4,)</f>
        <v>2</v>
      </c>
      <c r="D23" s="141"/>
      <c r="E23" s="141"/>
      <c r="F23" s="141"/>
      <c r="G23" s="4"/>
      <c r="H23" s="4"/>
      <c r="I23" s="4"/>
      <c r="J23" s="141"/>
      <c r="K23" s="141"/>
      <c r="L23" s="160"/>
      <c r="N23" s="99"/>
      <c r="O23" s="111">
        <v>2.29</v>
      </c>
      <c r="P23" s="111">
        <v>1.986</v>
      </c>
      <c r="Q23" s="111">
        <v>1.25</v>
      </c>
      <c r="R23" s="111">
        <v>2.5</v>
      </c>
      <c r="S23" s="110"/>
      <c r="T23" s="110"/>
      <c r="U23" s="110"/>
      <c r="V23" s="110"/>
      <c r="W23" s="110"/>
      <c r="X23" s="110"/>
      <c r="Y23" s="109"/>
      <c r="Z23" s="109"/>
      <c r="AA23" s="109"/>
      <c r="AB23" s="109"/>
    </row>
    <row r="24" spans="1:28" x14ac:dyDescent="0.2">
      <c r="B24" s="161" t="s">
        <v>218</v>
      </c>
      <c r="C24" s="97">
        <f>ROUNDUP((C23/C14)^2,0)</f>
        <v>3</v>
      </c>
      <c r="D24" s="141" t="s">
        <v>207</v>
      </c>
      <c r="E24" s="141"/>
      <c r="F24" s="141"/>
      <c r="G24" s="141"/>
      <c r="H24" s="141"/>
      <c r="I24" s="141"/>
      <c r="J24" s="141"/>
      <c r="K24" s="141"/>
      <c r="L24" s="160"/>
      <c r="N24" s="99"/>
      <c r="O24" s="111">
        <v>1.72</v>
      </c>
      <c r="P24" s="111">
        <v>1.6040000000000001</v>
      </c>
      <c r="Q24" s="111">
        <v>1.5</v>
      </c>
      <c r="R24" s="111">
        <v>3</v>
      </c>
      <c r="S24" s="110"/>
      <c r="T24" s="110"/>
      <c r="U24" s="110"/>
      <c r="V24" s="110"/>
      <c r="W24" s="110"/>
      <c r="X24" s="110"/>
      <c r="Y24" s="109"/>
      <c r="Z24" s="109"/>
      <c r="AA24" s="109"/>
      <c r="AB24" s="109"/>
    </row>
    <row r="25" spans="1:28" x14ac:dyDescent="0.2">
      <c r="B25" s="157"/>
      <c r="C25" s="141"/>
      <c r="D25" s="141"/>
      <c r="E25" s="141"/>
      <c r="F25" s="141"/>
      <c r="G25" s="141"/>
      <c r="H25" s="141"/>
      <c r="I25" s="141"/>
      <c r="J25" s="141"/>
      <c r="K25" s="141"/>
      <c r="L25" s="160"/>
      <c r="N25" s="99"/>
      <c r="O25" s="111">
        <v>31.1</v>
      </c>
      <c r="P25" s="111">
        <v>5.585</v>
      </c>
      <c r="Q25" s="111">
        <v>0.25</v>
      </c>
      <c r="R25" s="111">
        <v>0.5</v>
      </c>
      <c r="S25" s="110"/>
      <c r="T25" s="110"/>
      <c r="U25" s="110"/>
      <c r="V25" s="110"/>
      <c r="W25" s="110"/>
      <c r="X25" s="110"/>
      <c r="Y25" s="109"/>
      <c r="Z25" s="109"/>
      <c r="AA25" s="109"/>
      <c r="AB25" s="109"/>
    </row>
    <row r="26" spans="1:28" x14ac:dyDescent="0.2">
      <c r="B26" s="163" t="s">
        <v>208</v>
      </c>
      <c r="C26" s="141"/>
      <c r="D26" s="141"/>
      <c r="E26" s="141"/>
      <c r="F26" s="136" t="s">
        <v>209</v>
      </c>
      <c r="G26" s="141"/>
      <c r="H26" s="141"/>
      <c r="I26" s="141"/>
      <c r="J26" s="141"/>
      <c r="K26" s="141"/>
      <c r="L26" s="160"/>
      <c r="N26" s="99"/>
      <c r="O26" s="111">
        <v>16.600000000000001</v>
      </c>
      <c r="P26" s="111">
        <v>6.39</v>
      </c>
      <c r="Q26" s="111">
        <v>0.375</v>
      </c>
      <c r="R26" s="111">
        <v>0.75</v>
      </c>
      <c r="S26" s="110"/>
      <c r="T26" s="110"/>
      <c r="U26" s="110"/>
      <c r="V26" s="110"/>
      <c r="W26" s="110"/>
      <c r="X26" s="110"/>
      <c r="Y26" s="109"/>
      <c r="Z26" s="109"/>
      <c r="AA26" s="109"/>
      <c r="AB26" s="109"/>
    </row>
    <row r="27" spans="1:28" x14ac:dyDescent="0.2">
      <c r="B27" s="161" t="s">
        <v>7</v>
      </c>
      <c r="C27" s="96">
        <f>C6+C22*C7/SQRT(C24)</f>
        <v>3.1486271865474635</v>
      </c>
      <c r="D27" s="141"/>
      <c r="E27" s="140" t="s">
        <v>2</v>
      </c>
      <c r="F27" s="96">
        <f>C21*C7/SQRT(C24)</f>
        <v>0.13856406460551018</v>
      </c>
      <c r="G27" s="141"/>
      <c r="H27" s="141"/>
      <c r="I27" s="141"/>
      <c r="J27" s="141"/>
      <c r="K27" s="141"/>
      <c r="L27" s="160"/>
      <c r="N27" s="99"/>
      <c r="O27" s="111">
        <v>10.5</v>
      </c>
      <c r="P27" s="111">
        <v>5.07</v>
      </c>
      <c r="Q27" s="111">
        <v>0.5</v>
      </c>
      <c r="R27" s="111">
        <v>1</v>
      </c>
      <c r="S27" s="110"/>
      <c r="T27" s="110"/>
      <c r="U27" s="110"/>
      <c r="V27" s="110"/>
      <c r="W27" s="110"/>
      <c r="X27" s="110"/>
      <c r="Y27" s="109"/>
      <c r="Z27" s="109"/>
      <c r="AA27" s="109"/>
      <c r="AB27" s="109"/>
    </row>
    <row r="28" spans="1:28" x14ac:dyDescent="0.2">
      <c r="B28" s="161" t="s">
        <v>6</v>
      </c>
      <c r="C28" s="96">
        <f>C6-C22*C7/SQRT(C24)</f>
        <v>2.4513728134525361</v>
      </c>
      <c r="D28" s="141"/>
      <c r="E28" s="140" t="s">
        <v>210</v>
      </c>
      <c r="F28" s="96">
        <f>-F27</f>
        <v>-0.13856406460551018</v>
      </c>
      <c r="G28" s="141"/>
      <c r="H28" s="141"/>
      <c r="I28" s="141"/>
      <c r="J28" s="141"/>
      <c r="K28" s="141"/>
      <c r="L28" s="160"/>
      <c r="N28" s="99"/>
      <c r="O28" s="116">
        <v>5.4</v>
      </c>
      <c r="P28" s="111">
        <v>3.54</v>
      </c>
      <c r="Q28" s="111">
        <v>0.75</v>
      </c>
      <c r="R28" s="111">
        <v>1.5</v>
      </c>
      <c r="S28" s="110"/>
      <c r="T28" s="110"/>
      <c r="U28" s="110"/>
      <c r="V28" s="110"/>
      <c r="W28" s="110"/>
      <c r="X28" s="110"/>
      <c r="Y28" s="109"/>
      <c r="Z28" s="109"/>
      <c r="AA28" s="109"/>
      <c r="AB28" s="109"/>
    </row>
    <row r="29" spans="1:28" x14ac:dyDescent="0.2">
      <c r="A29" s="24"/>
      <c r="B29" s="168"/>
      <c r="C29" s="169"/>
      <c r="D29" s="169"/>
      <c r="E29" s="169"/>
      <c r="F29" s="169"/>
      <c r="G29" s="169"/>
      <c r="H29" s="169"/>
      <c r="I29" s="169"/>
      <c r="J29" s="169"/>
      <c r="K29" s="169"/>
      <c r="L29" s="170"/>
      <c r="N29" s="99"/>
      <c r="O29" s="116">
        <v>3.4</v>
      </c>
      <c r="P29" s="117">
        <v>2.665</v>
      </c>
      <c r="Q29" s="114">
        <v>1</v>
      </c>
      <c r="R29" s="111">
        <v>2</v>
      </c>
      <c r="S29" s="110"/>
      <c r="T29" s="110"/>
      <c r="U29" s="110"/>
      <c r="V29" s="110"/>
      <c r="W29" s="110"/>
      <c r="X29" s="110"/>
      <c r="Y29" s="109"/>
      <c r="Z29" s="109"/>
      <c r="AA29" s="109"/>
      <c r="AB29" s="109"/>
    </row>
    <row r="30" spans="1:28" x14ac:dyDescent="0.2">
      <c r="B30" s="102"/>
      <c r="C30" s="102"/>
      <c r="D30" s="102"/>
      <c r="E30" s="102"/>
      <c r="F30" s="102"/>
      <c r="G30" s="102"/>
      <c r="H30" s="102"/>
      <c r="I30" s="102"/>
      <c r="J30" s="102"/>
      <c r="K30" s="102"/>
      <c r="L30" s="102"/>
      <c r="N30" s="99"/>
      <c r="O30" s="118">
        <v>2.39</v>
      </c>
      <c r="P30" s="117">
        <v>2.105</v>
      </c>
      <c r="Q30" s="118">
        <v>1.25</v>
      </c>
      <c r="R30" s="111">
        <v>2.5</v>
      </c>
      <c r="S30" s="110"/>
      <c r="T30" s="110"/>
      <c r="U30" s="110"/>
      <c r="V30" s="110"/>
      <c r="W30" s="110"/>
      <c r="X30" s="110"/>
      <c r="Y30" s="109"/>
      <c r="Z30" s="109"/>
      <c r="AA30" s="109"/>
      <c r="AB30" s="109"/>
    </row>
    <row r="31" spans="1:28" x14ac:dyDescent="0.2">
      <c r="B31" s="33" t="s">
        <v>215</v>
      </c>
      <c r="N31" s="99"/>
      <c r="O31" s="111">
        <v>1.79</v>
      </c>
      <c r="P31" s="111">
        <v>1.708</v>
      </c>
      <c r="Q31" s="111">
        <v>1.5</v>
      </c>
      <c r="R31" s="111">
        <v>3</v>
      </c>
      <c r="S31" s="110"/>
      <c r="T31" s="110"/>
      <c r="U31" s="110"/>
      <c r="V31" s="110"/>
      <c r="W31" s="110"/>
      <c r="X31" s="110"/>
      <c r="Y31" s="109"/>
      <c r="Z31" s="109"/>
      <c r="AA31" s="109"/>
      <c r="AB31" s="109"/>
    </row>
    <row r="32" spans="1:28" x14ac:dyDescent="0.2">
      <c r="N32" s="99"/>
      <c r="O32" s="111">
        <f>T47</f>
        <v>36.4</v>
      </c>
      <c r="P32" s="111">
        <v>9.93</v>
      </c>
      <c r="Q32" s="111">
        <v>0.25</v>
      </c>
      <c r="R32" s="111">
        <v>0.5</v>
      </c>
      <c r="S32" s="110"/>
      <c r="T32" s="110"/>
      <c r="U32" s="110"/>
      <c r="V32" s="110"/>
      <c r="W32" s="110"/>
      <c r="X32" s="110"/>
      <c r="Y32" s="109"/>
      <c r="Z32" s="109"/>
      <c r="AA32" s="109"/>
      <c r="AB32" s="109"/>
    </row>
    <row r="33" spans="2:28" x14ac:dyDescent="0.2">
      <c r="B33" s="5" t="s">
        <v>97</v>
      </c>
      <c r="C33" s="103" t="s">
        <v>98</v>
      </c>
      <c r="D33" s="103" t="s">
        <v>99</v>
      </c>
      <c r="E33" s="103" t="s">
        <v>211</v>
      </c>
      <c r="F33" s="103" t="s">
        <v>212</v>
      </c>
      <c r="G33" s="103" t="s">
        <v>213</v>
      </c>
      <c r="H33" s="5" t="s">
        <v>3</v>
      </c>
      <c r="I33" s="5" t="s">
        <v>67</v>
      </c>
      <c r="J33" s="5" t="s">
        <v>68</v>
      </c>
      <c r="K33" s="5" t="s">
        <v>2</v>
      </c>
      <c r="L33" s="5" t="s">
        <v>1</v>
      </c>
      <c r="M33" s="5" t="s">
        <v>214</v>
      </c>
      <c r="O33" s="111">
        <v>19.100000000000001</v>
      </c>
      <c r="P33" s="111">
        <v>7.3</v>
      </c>
      <c r="Q33" s="111">
        <v>0.375</v>
      </c>
      <c r="R33" s="111">
        <v>0.75</v>
      </c>
      <c r="S33" s="110"/>
      <c r="T33" s="110"/>
      <c r="U33" s="110"/>
      <c r="V33" s="110"/>
      <c r="W33" s="110"/>
      <c r="X33" s="110"/>
      <c r="Y33" s="109"/>
      <c r="Z33" s="109"/>
      <c r="AA33" s="109"/>
      <c r="AB33" s="109"/>
    </row>
    <row r="34" spans="2:28" x14ac:dyDescent="0.2">
      <c r="B34" s="5">
        <v>1</v>
      </c>
      <c r="C34" s="104">
        <f ca="1">$C$6+RAND()-RAND()</f>
        <v>2.9977734779345031</v>
      </c>
      <c r="D34" s="104">
        <f t="shared" ref="D34:E49" ca="1" si="0">$C$6+RAND()-RAND()</f>
        <v>2.6287802567611744</v>
      </c>
      <c r="E34" s="104">
        <f t="shared" ca="1" si="0"/>
        <v>3.2900369525853828</v>
      </c>
      <c r="F34" s="104"/>
      <c r="G34" s="104"/>
      <c r="H34" s="96">
        <f ca="1">AVERAGE(C34:G34)</f>
        <v>2.9721968957603537</v>
      </c>
      <c r="I34" s="96">
        <f ca="1">MAX(0,0+(H34-$C$27))</f>
        <v>0</v>
      </c>
      <c r="J34" s="96">
        <f ca="1">MIN(0,0+(H34-$C$28))</f>
        <v>0</v>
      </c>
      <c r="K34" s="96">
        <f>F27</f>
        <v>0.13856406460551018</v>
      </c>
      <c r="L34" s="96">
        <f>F28</f>
        <v>-0.13856406460551018</v>
      </c>
      <c r="M34" s="5" t="str">
        <f t="shared" ref="M34:M58" ca="1" si="1">IF(I34&gt;K34,"X",IF(J34&lt;L34,"X",""))</f>
        <v/>
      </c>
      <c r="O34" s="111">
        <v>11.9</v>
      </c>
      <c r="P34" s="111">
        <v>5.758</v>
      </c>
      <c r="Q34" s="111">
        <v>0.5</v>
      </c>
      <c r="R34" s="111">
        <v>1</v>
      </c>
      <c r="S34" s="110"/>
      <c r="T34" s="110"/>
      <c r="U34" s="110"/>
      <c r="V34" s="110"/>
      <c r="W34" s="110"/>
      <c r="X34" s="110"/>
      <c r="Y34" s="109"/>
      <c r="Z34" s="109"/>
      <c r="AA34" s="109"/>
      <c r="AB34" s="109"/>
    </row>
    <row r="35" spans="2:28" x14ac:dyDescent="0.2">
      <c r="B35" s="5">
        <v>2</v>
      </c>
      <c r="C35" s="104">
        <f t="shared" ref="C35:E64" ca="1" si="2">$C$6+RAND()-RAND()</f>
        <v>2.7508154111030367</v>
      </c>
      <c r="D35" s="104">
        <f t="shared" ca="1" si="0"/>
        <v>2.0221460096959349</v>
      </c>
      <c r="E35" s="104">
        <f t="shared" ca="1" si="0"/>
        <v>2.5285153083999226</v>
      </c>
      <c r="F35" s="104"/>
      <c r="G35" s="104"/>
      <c r="H35" s="96">
        <f t="shared" ref="H35" ca="1" si="3">AVERAGE(C35:G35)</f>
        <v>2.4338255763996313</v>
      </c>
      <c r="I35" s="96">
        <f ca="1">MAX(0,I34+(H35-$C$27))</f>
        <v>0</v>
      </c>
      <c r="J35" s="96">
        <f ca="1">MIN(0,J34+(H35-$C$28))</f>
        <v>-1.754723705290484E-2</v>
      </c>
      <c r="K35" s="96">
        <f>K34</f>
        <v>0.13856406460551018</v>
      </c>
      <c r="L35" s="96">
        <f>L34</f>
        <v>-0.13856406460551018</v>
      </c>
      <c r="M35" s="5" t="str">
        <f t="shared" ca="1" si="1"/>
        <v/>
      </c>
      <c r="O35" s="111">
        <v>6.1</v>
      </c>
      <c r="P35" s="111">
        <v>4</v>
      </c>
      <c r="Q35" s="111">
        <v>0.75</v>
      </c>
      <c r="R35" s="111">
        <v>1.5</v>
      </c>
      <c r="S35" s="110"/>
      <c r="T35" s="110"/>
      <c r="U35" s="110"/>
      <c r="V35" s="110"/>
      <c r="W35" s="110"/>
      <c r="X35" s="110"/>
      <c r="Y35" s="109"/>
      <c r="Z35" s="109"/>
      <c r="AA35" s="109"/>
      <c r="AB35" s="109"/>
    </row>
    <row r="36" spans="2:28" x14ac:dyDescent="0.2">
      <c r="B36" s="5">
        <v>3</v>
      </c>
      <c r="C36" s="104">
        <f t="shared" ca="1" si="2"/>
        <v>3.4688295305218046</v>
      </c>
      <c r="D36" s="104">
        <f t="shared" ca="1" si="0"/>
        <v>3.3743112310345422</v>
      </c>
      <c r="E36" s="104">
        <f t="shared" ca="1" si="0"/>
        <v>3.1961907014432906</v>
      </c>
      <c r="F36" s="104"/>
      <c r="G36" s="104"/>
      <c r="H36" s="96">
        <f t="shared" ref="H36:H63" ca="1" si="4">AVERAGE(C36:G36)</f>
        <v>3.346443820999879</v>
      </c>
      <c r="I36" s="96">
        <f t="shared" ref="I36:I63" ca="1" si="5">MAX(0,I35+(H36-$C$27))</f>
        <v>0.19781663445241549</v>
      </c>
      <c r="J36" s="96">
        <f t="shared" ref="J36:J63" ca="1" si="6">MIN(0,J35+(H36-$C$28))</f>
        <v>0</v>
      </c>
      <c r="K36" s="96">
        <f t="shared" ref="K36:K63" si="7">K35</f>
        <v>0.13856406460551018</v>
      </c>
      <c r="L36" s="96">
        <f t="shared" ref="L36:L63" si="8">L35</f>
        <v>-0.13856406460551018</v>
      </c>
      <c r="M36" s="5" t="str">
        <f t="shared" ca="1" si="1"/>
        <v>X</v>
      </c>
      <c r="O36" s="111">
        <v>3.8</v>
      </c>
      <c r="P36" s="111">
        <v>3.01</v>
      </c>
      <c r="Q36" s="114">
        <v>1</v>
      </c>
      <c r="R36" s="111">
        <v>2</v>
      </c>
      <c r="S36" s="110"/>
      <c r="T36" s="110"/>
      <c r="U36" s="110"/>
      <c r="V36" s="110"/>
      <c r="W36" s="110"/>
      <c r="X36" s="110"/>
      <c r="Y36" s="109"/>
      <c r="Z36" s="109"/>
      <c r="AA36" s="109"/>
      <c r="AB36" s="109"/>
    </row>
    <row r="37" spans="2:28" x14ac:dyDescent="0.2">
      <c r="B37" s="5">
        <v>4</v>
      </c>
      <c r="C37" s="104">
        <f t="shared" ca="1" si="2"/>
        <v>2.7438124581480103</v>
      </c>
      <c r="D37" s="104">
        <f t="shared" ca="1" si="0"/>
        <v>3.2816691005400269</v>
      </c>
      <c r="E37" s="104">
        <f t="shared" ca="1" si="0"/>
        <v>2.7206130818311403</v>
      </c>
      <c r="F37" s="104"/>
      <c r="G37" s="104"/>
      <c r="H37" s="96">
        <f t="shared" ca="1" si="4"/>
        <v>2.9153648801730596</v>
      </c>
      <c r="I37" s="96">
        <f t="shared" ca="1" si="5"/>
        <v>0</v>
      </c>
      <c r="J37" s="96">
        <f t="shared" ca="1" si="6"/>
        <v>0</v>
      </c>
      <c r="K37" s="96">
        <f t="shared" si="7"/>
        <v>0.13856406460551018</v>
      </c>
      <c r="L37" s="96">
        <f t="shared" si="8"/>
        <v>-0.13856406460551018</v>
      </c>
      <c r="M37" s="5" t="str">
        <f t="shared" ca="1" si="1"/>
        <v/>
      </c>
      <c r="O37" s="111">
        <v>2.61</v>
      </c>
      <c r="P37" s="111">
        <v>2.379</v>
      </c>
      <c r="Q37" s="111">
        <v>1.25</v>
      </c>
      <c r="R37" s="111">
        <v>2.5</v>
      </c>
      <c r="S37" s="110"/>
      <c r="T37" s="110"/>
      <c r="U37" s="110"/>
      <c r="V37" s="110"/>
      <c r="W37" s="110"/>
      <c r="X37" s="110"/>
      <c r="Y37" s="109"/>
      <c r="Z37" s="109"/>
      <c r="AA37" s="109"/>
      <c r="AB37" s="109"/>
    </row>
    <row r="38" spans="2:28" x14ac:dyDescent="0.2">
      <c r="B38" s="5">
        <v>5</v>
      </c>
      <c r="C38" s="104">
        <f t="shared" ca="1" si="2"/>
        <v>3.4282395568325903</v>
      </c>
      <c r="D38" s="104">
        <f t="shared" ca="1" si="0"/>
        <v>2.9602250348551236</v>
      </c>
      <c r="E38" s="104">
        <f t="shared" ca="1" si="0"/>
        <v>3.2720576340268419</v>
      </c>
      <c r="F38" s="104"/>
      <c r="G38" s="104"/>
      <c r="H38" s="96">
        <f t="shared" ca="1" si="4"/>
        <v>3.2201740752381851</v>
      </c>
      <c r="I38" s="96">
        <f t="shared" ca="1" si="5"/>
        <v>7.1546888690721566E-2</v>
      </c>
      <c r="J38" s="96">
        <f t="shared" ca="1" si="6"/>
        <v>0</v>
      </c>
      <c r="K38" s="96">
        <f t="shared" si="7"/>
        <v>0.13856406460551018</v>
      </c>
      <c r="L38" s="96">
        <f t="shared" si="8"/>
        <v>-0.13856406460551018</v>
      </c>
      <c r="M38" s="5" t="str">
        <f t="shared" ca="1" si="1"/>
        <v/>
      </c>
      <c r="O38" s="111">
        <v>1.95</v>
      </c>
      <c r="P38" s="111">
        <v>1.9430000000000001</v>
      </c>
      <c r="Q38" s="111">
        <v>1.5</v>
      </c>
      <c r="R38" s="111">
        <v>3</v>
      </c>
      <c r="S38" s="110"/>
      <c r="T38" s="110"/>
      <c r="U38" s="110"/>
      <c r="V38" s="110"/>
      <c r="W38" s="110"/>
      <c r="X38" s="110"/>
      <c r="Y38" s="109"/>
      <c r="Z38" s="109"/>
      <c r="AA38" s="109"/>
      <c r="AB38" s="109"/>
    </row>
    <row r="39" spans="2:28" x14ac:dyDescent="0.2">
      <c r="B39" s="5">
        <v>6</v>
      </c>
      <c r="C39" s="104">
        <f t="shared" ca="1" si="2"/>
        <v>2.5494613424379899</v>
      </c>
      <c r="D39" s="104">
        <f t="shared" ca="1" si="0"/>
        <v>2.4718974588516573</v>
      </c>
      <c r="E39" s="104">
        <f t="shared" ca="1" si="0"/>
        <v>2.7480229264374332</v>
      </c>
      <c r="F39" s="104"/>
      <c r="G39" s="104"/>
      <c r="H39" s="96">
        <f t="shared" ca="1" si="4"/>
        <v>2.5897939092423603</v>
      </c>
      <c r="I39" s="96">
        <f t="shared" ca="1" si="5"/>
        <v>0</v>
      </c>
      <c r="J39" s="96">
        <f t="shared" ca="1" si="6"/>
        <v>0</v>
      </c>
      <c r="K39" s="96">
        <f t="shared" si="7"/>
        <v>0.13856406460551018</v>
      </c>
      <c r="L39" s="96">
        <f t="shared" si="8"/>
        <v>-0.13856406460551018</v>
      </c>
      <c r="M39" s="5" t="str">
        <f t="shared" ca="1" si="1"/>
        <v/>
      </c>
      <c r="O39" s="109"/>
      <c r="P39" s="109"/>
      <c r="Q39" s="109"/>
      <c r="R39" s="109"/>
      <c r="S39" s="110"/>
      <c r="T39" s="110"/>
      <c r="U39" s="110"/>
      <c r="V39" s="110"/>
      <c r="W39" s="110"/>
      <c r="X39" s="110"/>
      <c r="Y39" s="109"/>
      <c r="Z39" s="109"/>
      <c r="AA39" s="109"/>
      <c r="AB39" s="109"/>
    </row>
    <row r="40" spans="2:28" x14ac:dyDescent="0.2">
      <c r="B40" s="5">
        <v>7</v>
      </c>
      <c r="C40" s="104">
        <f t="shared" ca="1" si="2"/>
        <v>2.5506980383958209</v>
      </c>
      <c r="D40" s="104">
        <f t="shared" ca="1" si="0"/>
        <v>2.9101000519703142</v>
      </c>
      <c r="E40" s="104">
        <f t="shared" ca="1" si="0"/>
        <v>2.6957414174045704</v>
      </c>
      <c r="F40" s="104"/>
      <c r="G40" s="104"/>
      <c r="H40" s="96">
        <f t="shared" ca="1" si="4"/>
        <v>2.7188465025902353</v>
      </c>
      <c r="I40" s="96">
        <f t="shared" ca="1" si="5"/>
        <v>0</v>
      </c>
      <c r="J40" s="96">
        <f t="shared" ca="1" si="6"/>
        <v>0</v>
      </c>
      <c r="K40" s="96">
        <f t="shared" si="7"/>
        <v>0.13856406460551018</v>
      </c>
      <c r="L40" s="96">
        <f t="shared" si="8"/>
        <v>-0.13856406460551018</v>
      </c>
      <c r="M40" s="5" t="str">
        <f t="shared" ca="1" si="1"/>
        <v/>
      </c>
      <c r="O40" s="110"/>
      <c r="P40" s="110"/>
      <c r="Q40" s="110"/>
      <c r="R40" s="110"/>
      <c r="S40" s="110"/>
      <c r="T40" s="110"/>
      <c r="U40" s="110"/>
      <c r="V40" s="110"/>
      <c r="W40" s="110"/>
      <c r="X40" s="110"/>
      <c r="Y40" s="109"/>
      <c r="Z40" s="109"/>
      <c r="AA40" s="109"/>
      <c r="AB40" s="109"/>
    </row>
    <row r="41" spans="2:28" x14ac:dyDescent="0.2">
      <c r="B41" s="5">
        <v>8</v>
      </c>
      <c r="C41" s="104">
        <f t="shared" ca="1" si="2"/>
        <v>2.338202859735929</v>
      </c>
      <c r="D41" s="104">
        <f t="shared" ca="1" si="0"/>
        <v>2.7961094318079374</v>
      </c>
      <c r="E41" s="104">
        <f t="shared" ca="1" si="0"/>
        <v>1.9180847487057688</v>
      </c>
      <c r="F41" s="104"/>
      <c r="G41" s="104"/>
      <c r="H41" s="96">
        <f t="shared" ca="1" si="4"/>
        <v>2.3507990134165451</v>
      </c>
      <c r="I41" s="96">
        <f t="shared" ca="1" si="5"/>
        <v>0</v>
      </c>
      <c r="J41" s="96">
        <f t="shared" ca="1" si="6"/>
        <v>-0.10057380003599103</v>
      </c>
      <c r="K41" s="96">
        <f t="shared" si="7"/>
        <v>0.13856406460551018</v>
      </c>
      <c r="L41" s="96">
        <f t="shared" si="8"/>
        <v>-0.13856406460551018</v>
      </c>
      <c r="M41" s="5" t="str">
        <f t="shared" ca="1" si="1"/>
        <v/>
      </c>
      <c r="O41" s="110"/>
      <c r="P41" s="110"/>
      <c r="Q41" s="110"/>
      <c r="R41" s="110"/>
      <c r="S41" s="110"/>
      <c r="T41" s="110"/>
      <c r="U41" s="110"/>
      <c r="V41" s="110"/>
      <c r="W41" s="110"/>
      <c r="X41" s="110"/>
      <c r="Y41" s="109"/>
      <c r="Z41" s="109"/>
      <c r="AA41" s="109"/>
      <c r="AB41" s="109"/>
    </row>
    <row r="42" spans="2:28" x14ac:dyDescent="0.2">
      <c r="B42" s="5">
        <v>9</v>
      </c>
      <c r="C42" s="104">
        <f t="shared" ca="1" si="2"/>
        <v>2.1960494910920092</v>
      </c>
      <c r="D42" s="104">
        <f t="shared" ca="1" si="0"/>
        <v>2.7022266680540463</v>
      </c>
      <c r="E42" s="104">
        <f t="shared" ca="1" si="0"/>
        <v>2.6780411043040848</v>
      </c>
      <c r="F42" s="104"/>
      <c r="G42" s="104"/>
      <c r="H42" s="96">
        <f t="shared" ca="1" si="4"/>
        <v>2.5254390878167134</v>
      </c>
      <c r="I42" s="96">
        <f t="shared" ca="1" si="5"/>
        <v>0</v>
      </c>
      <c r="J42" s="96">
        <f t="shared" ca="1" si="6"/>
        <v>-2.6507525671813692E-2</v>
      </c>
      <c r="K42" s="96">
        <f t="shared" si="7"/>
        <v>0.13856406460551018</v>
      </c>
      <c r="L42" s="96">
        <f t="shared" si="8"/>
        <v>-0.13856406460551018</v>
      </c>
      <c r="M42" s="5" t="str">
        <f t="shared" ca="1" si="1"/>
        <v/>
      </c>
      <c r="O42" s="110"/>
      <c r="P42" s="110"/>
      <c r="Q42" s="111"/>
      <c r="R42" s="111"/>
      <c r="S42" s="111"/>
      <c r="T42" s="111"/>
      <c r="U42" s="110"/>
      <c r="V42" s="110"/>
      <c r="W42" s="110"/>
      <c r="X42" s="110"/>
      <c r="Y42" s="109"/>
      <c r="Z42" s="109"/>
      <c r="AA42" s="109"/>
      <c r="AB42" s="109"/>
    </row>
    <row r="43" spans="2:28" x14ac:dyDescent="0.2">
      <c r="B43" s="5">
        <v>10</v>
      </c>
      <c r="C43" s="104">
        <f t="shared" ca="1" si="2"/>
        <v>2.8052929184806454</v>
      </c>
      <c r="D43" s="104">
        <f t="shared" ca="1" si="0"/>
        <v>3.0689022187942752</v>
      </c>
      <c r="E43" s="104">
        <f t="shared" ca="1" si="0"/>
        <v>2.3603631030693482</v>
      </c>
      <c r="F43" s="104"/>
      <c r="G43" s="104"/>
      <c r="H43" s="96">
        <f t="shared" ca="1" si="4"/>
        <v>2.7448527467814228</v>
      </c>
      <c r="I43" s="96">
        <f t="shared" ca="1" si="5"/>
        <v>0</v>
      </c>
      <c r="J43" s="96">
        <f t="shared" ca="1" si="6"/>
        <v>0</v>
      </c>
      <c r="K43" s="96">
        <f t="shared" si="7"/>
        <v>0.13856406460551018</v>
      </c>
      <c r="L43" s="96">
        <f t="shared" si="8"/>
        <v>-0.13856406460551018</v>
      </c>
      <c r="M43" s="5" t="str">
        <f t="shared" ca="1" si="1"/>
        <v/>
      </c>
      <c r="O43" s="110" t="s">
        <v>180</v>
      </c>
      <c r="P43" s="110"/>
      <c r="Q43" s="194" t="s">
        <v>181</v>
      </c>
      <c r="R43" s="194"/>
      <c r="S43" s="194"/>
      <c r="T43" s="194"/>
      <c r="U43" s="110"/>
      <c r="V43" s="110"/>
      <c r="W43" s="110"/>
      <c r="X43" s="110"/>
      <c r="Y43" s="109"/>
      <c r="Z43" s="109"/>
      <c r="AA43" s="109"/>
      <c r="AB43" s="109"/>
    </row>
    <row r="44" spans="2:28" x14ac:dyDescent="0.2">
      <c r="B44" s="5">
        <v>11</v>
      </c>
      <c r="C44" s="104">
        <f t="shared" ca="1" si="2"/>
        <v>2.7542935687910735</v>
      </c>
      <c r="D44" s="104">
        <f t="shared" ca="1" si="0"/>
        <v>2.6805698024475291</v>
      </c>
      <c r="E44" s="104">
        <f t="shared" ca="1" si="0"/>
        <v>2.3431266422953758</v>
      </c>
      <c r="F44" s="104"/>
      <c r="G44" s="104"/>
      <c r="H44" s="96">
        <f t="shared" ca="1" si="4"/>
        <v>2.5926633378446593</v>
      </c>
      <c r="I44" s="96">
        <f t="shared" ca="1" si="5"/>
        <v>0</v>
      </c>
      <c r="J44" s="96">
        <f t="shared" ca="1" si="6"/>
        <v>0</v>
      </c>
      <c r="K44" s="96">
        <f t="shared" si="7"/>
        <v>0.13856406460551018</v>
      </c>
      <c r="L44" s="96">
        <f t="shared" si="8"/>
        <v>-0.13856406460551018</v>
      </c>
      <c r="M44" s="5" t="str">
        <f t="shared" ca="1" si="1"/>
        <v/>
      </c>
      <c r="N44" s="99"/>
      <c r="O44" s="110"/>
      <c r="P44" s="110" t="s">
        <v>59</v>
      </c>
      <c r="Q44" s="110">
        <v>100</v>
      </c>
      <c r="R44" s="112">
        <v>370</v>
      </c>
      <c r="S44" s="112">
        <v>500</v>
      </c>
      <c r="T44" s="119">
        <v>1000</v>
      </c>
      <c r="U44" s="111"/>
      <c r="V44" s="111"/>
      <c r="W44" s="111"/>
      <c r="X44" s="110"/>
      <c r="Y44" s="109"/>
      <c r="Z44" s="109"/>
      <c r="AA44" s="109"/>
      <c r="AB44" s="109"/>
    </row>
    <row r="45" spans="2:28" x14ac:dyDescent="0.2">
      <c r="B45" s="5">
        <v>12</v>
      </c>
      <c r="C45" s="104">
        <f t="shared" ca="1" si="2"/>
        <v>2.7464838252050447</v>
      </c>
      <c r="D45" s="104">
        <f t="shared" ca="1" si="0"/>
        <v>2.1109150675076345</v>
      </c>
      <c r="E45" s="104">
        <f t="shared" ca="1" si="0"/>
        <v>2.817856663411928</v>
      </c>
      <c r="F45" s="104"/>
      <c r="G45" s="104"/>
      <c r="H45" s="96">
        <f t="shared" ca="1" si="4"/>
        <v>2.5584185187082022</v>
      </c>
      <c r="I45" s="96">
        <f t="shared" ca="1" si="5"/>
        <v>0</v>
      </c>
      <c r="J45" s="96">
        <f t="shared" ca="1" si="6"/>
        <v>0</v>
      </c>
      <c r="K45" s="96">
        <f t="shared" si="7"/>
        <v>0.13856406460551018</v>
      </c>
      <c r="L45" s="96">
        <f t="shared" si="8"/>
        <v>-0.13856406460551018</v>
      </c>
      <c r="M45" s="5" t="str">
        <f t="shared" ca="1" si="1"/>
        <v/>
      </c>
      <c r="N45" s="99"/>
      <c r="O45" s="110" t="s">
        <v>182</v>
      </c>
      <c r="P45" s="110" t="s">
        <v>5</v>
      </c>
      <c r="Q45" s="110">
        <v>0.25</v>
      </c>
      <c r="R45" s="112">
        <v>0.25</v>
      </c>
      <c r="S45" s="112">
        <v>0.25</v>
      </c>
      <c r="T45" s="112">
        <v>0.25</v>
      </c>
      <c r="U45" s="111"/>
      <c r="V45" s="111"/>
      <c r="W45" s="111"/>
      <c r="X45" s="110"/>
      <c r="Y45" s="109"/>
      <c r="Z45" s="109"/>
      <c r="AA45" s="109"/>
      <c r="AB45" s="109"/>
    </row>
    <row r="46" spans="2:28" x14ac:dyDescent="0.2">
      <c r="B46" s="5">
        <v>13</v>
      </c>
      <c r="C46" s="104">
        <f t="shared" ca="1" si="2"/>
        <v>2.6727876350667596</v>
      </c>
      <c r="D46" s="104">
        <f t="shared" ca="1" si="0"/>
        <v>2.3012830909156294</v>
      </c>
      <c r="E46" s="104">
        <f t="shared" ca="1" si="0"/>
        <v>1.9082954677824751</v>
      </c>
      <c r="F46" s="104"/>
      <c r="G46" s="104"/>
      <c r="H46" s="96">
        <f t="shared" ca="1" si="4"/>
        <v>2.2941220645882878</v>
      </c>
      <c r="I46" s="96">
        <f t="shared" ca="1" si="5"/>
        <v>0</v>
      </c>
      <c r="J46" s="96">
        <f t="shared" ca="1" si="6"/>
        <v>-0.15725074886424828</v>
      </c>
      <c r="K46" s="96">
        <f t="shared" si="7"/>
        <v>0.13856406460551018</v>
      </c>
      <c r="L46" s="96">
        <f t="shared" si="8"/>
        <v>-0.13856406460551018</v>
      </c>
      <c r="M46" s="5" t="str">
        <f t="shared" ca="1" si="1"/>
        <v>X</v>
      </c>
      <c r="N46" s="99"/>
      <c r="O46" s="110"/>
      <c r="P46" s="110" t="s">
        <v>0</v>
      </c>
      <c r="Q46" s="110">
        <v>5.6</v>
      </c>
      <c r="R46" s="112">
        <v>8.01</v>
      </c>
      <c r="S46" s="112">
        <v>5.585</v>
      </c>
      <c r="T46" s="112">
        <v>9.93</v>
      </c>
      <c r="U46" s="111"/>
      <c r="V46" s="111"/>
      <c r="W46" s="111"/>
      <c r="X46" s="110"/>
      <c r="Y46" s="109"/>
      <c r="Z46" s="109"/>
      <c r="AA46" s="109"/>
      <c r="AB46" s="109"/>
    </row>
    <row r="47" spans="2:28" x14ac:dyDescent="0.2">
      <c r="B47" s="5">
        <v>14</v>
      </c>
      <c r="C47" s="104">
        <f t="shared" ca="1" si="2"/>
        <v>3.2096729134402362</v>
      </c>
      <c r="D47" s="104">
        <f t="shared" ca="1" si="0"/>
        <v>3.0137497383416774</v>
      </c>
      <c r="E47" s="104">
        <f t="shared" ca="1" si="0"/>
        <v>3.4020711623883844</v>
      </c>
      <c r="F47" s="104"/>
      <c r="G47" s="104"/>
      <c r="H47" s="96">
        <f t="shared" ca="1" si="4"/>
        <v>3.208497938056766</v>
      </c>
      <c r="I47" s="96">
        <f t="shared" ca="1" si="5"/>
        <v>5.9870751509302433E-2</v>
      </c>
      <c r="J47" s="96">
        <f t="shared" ca="1" si="6"/>
        <v>0</v>
      </c>
      <c r="K47" s="96">
        <f t="shared" si="7"/>
        <v>0.13856406460551018</v>
      </c>
      <c r="L47" s="96">
        <f t="shared" si="8"/>
        <v>-0.13856406460551018</v>
      </c>
      <c r="M47" s="5" t="str">
        <f t="shared" ca="1" si="1"/>
        <v/>
      </c>
      <c r="N47" s="99"/>
      <c r="O47" s="110"/>
      <c r="P47" s="110" t="s">
        <v>54</v>
      </c>
      <c r="Q47" s="110">
        <v>19.3</v>
      </c>
      <c r="R47" s="112">
        <v>28.8</v>
      </c>
      <c r="S47" s="112">
        <v>31.1</v>
      </c>
      <c r="T47" s="112">
        <v>36.4</v>
      </c>
      <c r="U47" s="111"/>
      <c r="V47" s="111"/>
      <c r="W47" s="111"/>
      <c r="X47" s="110"/>
      <c r="Y47" s="109"/>
      <c r="Z47" s="109"/>
      <c r="AA47" s="109"/>
      <c r="AB47" s="109"/>
    </row>
    <row r="48" spans="2:28" x14ac:dyDescent="0.2">
      <c r="B48" s="5">
        <v>15</v>
      </c>
      <c r="C48" s="104">
        <f t="shared" ca="1" si="2"/>
        <v>2.6569824089569205</v>
      </c>
      <c r="D48" s="104">
        <f t="shared" ca="1" si="0"/>
        <v>2.38733794948556</v>
      </c>
      <c r="E48" s="104">
        <f t="shared" ca="1" si="0"/>
        <v>2.6310737195882128</v>
      </c>
      <c r="F48" s="104"/>
      <c r="G48" s="104"/>
      <c r="H48" s="96">
        <f t="shared" ca="1" si="4"/>
        <v>2.5584646926768975</v>
      </c>
      <c r="I48" s="96">
        <f t="shared" ca="1" si="5"/>
        <v>0</v>
      </c>
      <c r="J48" s="96">
        <f t="shared" ca="1" si="6"/>
        <v>0</v>
      </c>
      <c r="K48" s="96">
        <f t="shared" si="7"/>
        <v>0.13856406460551018</v>
      </c>
      <c r="L48" s="96">
        <f t="shared" si="8"/>
        <v>-0.13856406460551018</v>
      </c>
      <c r="M48" s="5" t="str">
        <f t="shared" ca="1" si="1"/>
        <v/>
      </c>
      <c r="N48" s="99"/>
      <c r="O48" s="110" t="s">
        <v>183</v>
      </c>
      <c r="P48" s="110" t="s">
        <v>5</v>
      </c>
      <c r="Q48" s="110">
        <v>0.375</v>
      </c>
      <c r="R48" s="112">
        <v>0.375</v>
      </c>
      <c r="S48" s="112">
        <v>0.375</v>
      </c>
      <c r="T48" s="112">
        <v>0.375</v>
      </c>
      <c r="U48" s="111"/>
      <c r="V48" s="111"/>
      <c r="W48" s="111"/>
      <c r="X48" s="110"/>
      <c r="Y48" s="109"/>
      <c r="Z48" s="109"/>
      <c r="AA48" s="109"/>
      <c r="AB48" s="109"/>
    </row>
    <row r="49" spans="2:28" x14ac:dyDescent="0.2">
      <c r="B49" s="5">
        <v>16</v>
      </c>
      <c r="C49" s="104">
        <f t="shared" ca="1" si="2"/>
        <v>3.4646619740987479</v>
      </c>
      <c r="D49" s="104">
        <f t="shared" ca="1" si="0"/>
        <v>3.319959988518312</v>
      </c>
      <c r="E49" s="104">
        <f t="shared" ca="1" si="0"/>
        <v>2.974961661837408</v>
      </c>
      <c r="F49" s="104"/>
      <c r="G49" s="104"/>
      <c r="H49" s="96">
        <f t="shared" ca="1" si="4"/>
        <v>3.2531945414848225</v>
      </c>
      <c r="I49" s="96">
        <f t="shared" ca="1" si="5"/>
        <v>0.10456735493735891</v>
      </c>
      <c r="J49" s="96">
        <f t="shared" ca="1" si="6"/>
        <v>0</v>
      </c>
      <c r="K49" s="96">
        <f t="shared" si="7"/>
        <v>0.13856406460551018</v>
      </c>
      <c r="L49" s="96">
        <f t="shared" si="8"/>
        <v>-0.13856406460551018</v>
      </c>
      <c r="M49" s="5" t="str">
        <f t="shared" ca="1" si="1"/>
        <v/>
      </c>
      <c r="N49" s="99"/>
      <c r="O49" s="110"/>
      <c r="P49" s="110" t="s">
        <v>0</v>
      </c>
      <c r="Q49" s="110">
        <v>4.33</v>
      </c>
      <c r="R49" s="112">
        <v>6</v>
      </c>
      <c r="S49" s="112">
        <v>6.39</v>
      </c>
      <c r="T49" s="112">
        <v>7.3</v>
      </c>
      <c r="U49" s="111"/>
      <c r="V49" s="111"/>
      <c r="W49" s="111"/>
      <c r="X49" s="110"/>
      <c r="Y49" s="109"/>
      <c r="Z49" s="109"/>
      <c r="AA49" s="109"/>
      <c r="AB49" s="109"/>
    </row>
    <row r="50" spans="2:28" x14ac:dyDescent="0.2">
      <c r="B50" s="5">
        <v>17</v>
      </c>
      <c r="C50" s="104">
        <f t="shared" ca="1" si="2"/>
        <v>3.3911360006619815</v>
      </c>
      <c r="D50" s="104">
        <f t="shared" ca="1" si="2"/>
        <v>2.8798423270297469</v>
      </c>
      <c r="E50" s="104">
        <f t="shared" ca="1" si="2"/>
        <v>2.6802999841261719</v>
      </c>
      <c r="F50" s="104"/>
      <c r="G50" s="104"/>
      <c r="H50" s="96">
        <f t="shared" ca="1" si="4"/>
        <v>2.9837594372726333</v>
      </c>
      <c r="I50" s="96">
        <f t="shared" ca="1" si="5"/>
        <v>0</v>
      </c>
      <c r="J50" s="96">
        <f t="shared" ca="1" si="6"/>
        <v>0</v>
      </c>
      <c r="K50" s="96">
        <f t="shared" si="7"/>
        <v>0.13856406460551018</v>
      </c>
      <c r="L50" s="96">
        <f t="shared" si="8"/>
        <v>-0.13856406460551018</v>
      </c>
      <c r="M50" s="5" t="str">
        <f t="shared" ca="1" si="1"/>
        <v/>
      </c>
      <c r="N50" s="99"/>
      <c r="O50" s="110"/>
      <c r="P50" s="110" t="s">
        <v>54</v>
      </c>
      <c r="Q50" s="110">
        <v>19.3</v>
      </c>
      <c r="R50" s="112">
        <v>15.6</v>
      </c>
      <c r="S50" s="112">
        <v>16.600000000000001</v>
      </c>
      <c r="T50" s="112">
        <v>19.100000000000001</v>
      </c>
      <c r="U50" s="111"/>
      <c r="V50" s="111"/>
      <c r="W50" s="111"/>
      <c r="X50" s="110"/>
      <c r="Y50" s="109"/>
      <c r="Z50" s="109"/>
      <c r="AA50" s="109"/>
      <c r="AB50" s="109"/>
    </row>
    <row r="51" spans="2:28" x14ac:dyDescent="0.2">
      <c r="B51" s="5">
        <v>18</v>
      </c>
      <c r="C51" s="104">
        <f t="shared" ca="1" si="2"/>
        <v>2.5224933038080763</v>
      </c>
      <c r="D51" s="104">
        <f t="shared" ca="1" si="2"/>
        <v>2.8209319237146331</v>
      </c>
      <c r="E51" s="104">
        <f t="shared" ca="1" si="2"/>
        <v>3.1608592641300146</v>
      </c>
      <c r="F51" s="104"/>
      <c r="G51" s="104"/>
      <c r="H51" s="96">
        <f t="shared" ca="1" si="4"/>
        <v>2.8347614972175745</v>
      </c>
      <c r="I51" s="96">
        <f t="shared" ca="1" si="5"/>
        <v>0</v>
      </c>
      <c r="J51" s="96">
        <f t="shared" ca="1" si="6"/>
        <v>0</v>
      </c>
      <c r="K51" s="96">
        <f t="shared" si="7"/>
        <v>0.13856406460551018</v>
      </c>
      <c r="L51" s="96">
        <f t="shared" si="8"/>
        <v>-0.13856406460551018</v>
      </c>
      <c r="M51" s="5" t="str">
        <f t="shared" ca="1" si="1"/>
        <v/>
      </c>
      <c r="N51" s="99"/>
      <c r="O51" s="110" t="s">
        <v>184</v>
      </c>
      <c r="P51" s="110" t="s">
        <v>5</v>
      </c>
      <c r="Q51" s="110">
        <v>0.5</v>
      </c>
      <c r="R51" s="112">
        <v>0.5</v>
      </c>
      <c r="S51" s="112">
        <v>0.5</v>
      </c>
      <c r="T51" s="112">
        <v>0.5</v>
      </c>
      <c r="U51" s="111"/>
      <c r="V51" s="111"/>
      <c r="W51" s="111"/>
      <c r="X51" s="110"/>
      <c r="Y51" s="109"/>
      <c r="Z51" s="109"/>
      <c r="AA51" s="109"/>
      <c r="AB51" s="109"/>
    </row>
    <row r="52" spans="2:28" x14ac:dyDescent="0.2">
      <c r="B52" s="5">
        <v>19</v>
      </c>
      <c r="C52" s="104">
        <f t="shared" ca="1" si="2"/>
        <v>2.5921594483631658</v>
      </c>
      <c r="D52" s="104">
        <f t="shared" ca="1" si="2"/>
        <v>2.6604107016669758</v>
      </c>
      <c r="E52" s="104">
        <f t="shared" ca="1" si="2"/>
        <v>2.8161096284685438</v>
      </c>
      <c r="F52" s="104"/>
      <c r="G52" s="104"/>
      <c r="H52" s="96">
        <f t="shared" ca="1" si="4"/>
        <v>2.6895599261662286</v>
      </c>
      <c r="I52" s="96">
        <f t="shared" ca="1" si="5"/>
        <v>0</v>
      </c>
      <c r="J52" s="96">
        <f t="shared" ca="1" si="6"/>
        <v>0</v>
      </c>
      <c r="K52" s="96">
        <f t="shared" si="7"/>
        <v>0.13856406460551018</v>
      </c>
      <c r="L52" s="96">
        <f t="shared" si="8"/>
        <v>-0.13856406460551018</v>
      </c>
      <c r="M52" s="5" t="str">
        <f t="shared" ca="1" si="1"/>
        <v/>
      </c>
      <c r="N52" s="99"/>
      <c r="O52" s="110"/>
      <c r="P52" s="110" t="s">
        <v>0</v>
      </c>
      <c r="Q52" s="110">
        <v>3.5019999999999998</v>
      </c>
      <c r="R52" s="112">
        <v>4.7699999999999996</v>
      </c>
      <c r="S52" s="112">
        <v>5.07</v>
      </c>
      <c r="T52" s="112">
        <v>5.758</v>
      </c>
      <c r="U52" s="110"/>
      <c r="V52" s="110"/>
      <c r="W52" s="110"/>
      <c r="X52" s="110"/>
      <c r="Y52" s="109"/>
      <c r="Z52" s="109"/>
      <c r="AA52" s="109"/>
      <c r="AB52" s="109"/>
    </row>
    <row r="53" spans="2:28" x14ac:dyDescent="0.2">
      <c r="B53" s="5">
        <v>20</v>
      </c>
      <c r="C53" s="104">
        <f t="shared" ca="1" si="2"/>
        <v>3.4233537135444467</v>
      </c>
      <c r="D53" s="104">
        <f t="shared" ca="1" si="2"/>
        <v>2.4757938294440276</v>
      </c>
      <c r="E53" s="104">
        <f t="shared" ca="1" si="2"/>
        <v>3.0179095016320296</v>
      </c>
      <c r="F53" s="104"/>
      <c r="G53" s="104"/>
      <c r="H53" s="96">
        <f t="shared" ca="1" si="4"/>
        <v>2.9723523482068348</v>
      </c>
      <c r="I53" s="96">
        <f t="shared" ca="1" si="5"/>
        <v>0</v>
      </c>
      <c r="J53" s="96">
        <f t="shared" ca="1" si="6"/>
        <v>0</v>
      </c>
      <c r="K53" s="96">
        <f t="shared" si="7"/>
        <v>0.13856406460551018</v>
      </c>
      <c r="L53" s="96">
        <f t="shared" si="8"/>
        <v>-0.13856406460551018</v>
      </c>
      <c r="M53" s="5" t="str">
        <f t="shared" ca="1" si="1"/>
        <v/>
      </c>
      <c r="O53" s="110"/>
      <c r="P53" s="110" t="s">
        <v>54</v>
      </c>
      <c r="Q53" s="110">
        <v>7.4</v>
      </c>
      <c r="R53" s="112">
        <v>9.9</v>
      </c>
      <c r="S53" s="112">
        <v>10.5</v>
      </c>
      <c r="T53" s="112">
        <v>11.9</v>
      </c>
      <c r="U53" s="110"/>
      <c r="V53" s="110"/>
      <c r="W53" s="110"/>
      <c r="X53" s="110"/>
      <c r="Y53" s="109"/>
      <c r="Z53" s="109"/>
      <c r="AA53" s="109"/>
      <c r="AB53" s="109"/>
    </row>
    <row r="54" spans="2:28" x14ac:dyDescent="0.2">
      <c r="B54" s="5">
        <v>21</v>
      </c>
      <c r="C54" s="104">
        <f t="shared" ca="1" si="2"/>
        <v>3.0665094229856775</v>
      </c>
      <c r="D54" s="104">
        <f t="shared" ca="1" si="2"/>
        <v>2.5529489038290931</v>
      </c>
      <c r="E54" s="104">
        <f t="shared" ca="1" si="2"/>
        <v>3.0824639488638526</v>
      </c>
      <c r="F54" s="104"/>
      <c r="G54" s="104"/>
      <c r="H54" s="96">
        <f t="shared" ca="1" si="4"/>
        <v>2.9006407585595411</v>
      </c>
      <c r="I54" s="96">
        <f t="shared" ca="1" si="5"/>
        <v>0</v>
      </c>
      <c r="J54" s="96">
        <f t="shared" ca="1" si="6"/>
        <v>0</v>
      </c>
      <c r="K54" s="96">
        <f t="shared" si="7"/>
        <v>0.13856406460551018</v>
      </c>
      <c r="L54" s="96">
        <f t="shared" si="8"/>
        <v>-0.13856406460551018</v>
      </c>
      <c r="M54" s="5" t="str">
        <f t="shared" ca="1" si="1"/>
        <v/>
      </c>
      <c r="O54" s="110" t="s">
        <v>185</v>
      </c>
      <c r="P54" s="110" t="s">
        <v>5</v>
      </c>
      <c r="Q54" s="110">
        <v>0.75</v>
      </c>
      <c r="R54" s="112">
        <v>0.75</v>
      </c>
      <c r="S54" s="112">
        <v>0.75</v>
      </c>
      <c r="T54" s="112">
        <v>0.75</v>
      </c>
      <c r="U54" s="110"/>
      <c r="V54" s="110"/>
      <c r="W54" s="110"/>
      <c r="X54" s="110"/>
      <c r="Y54" s="109"/>
      <c r="Z54" s="109"/>
      <c r="AA54" s="109"/>
      <c r="AB54" s="109"/>
    </row>
    <row r="55" spans="2:28" x14ac:dyDescent="0.2">
      <c r="B55" s="5">
        <v>22</v>
      </c>
      <c r="C55" s="104">
        <f t="shared" ca="1" si="2"/>
        <v>2.931509630848526</v>
      </c>
      <c r="D55" s="104">
        <f t="shared" ca="1" si="2"/>
        <v>2.6175558868211257</v>
      </c>
      <c r="E55" s="104">
        <f t="shared" ca="1" si="2"/>
        <v>2.1196802979158962</v>
      </c>
      <c r="F55" s="104"/>
      <c r="G55" s="104"/>
      <c r="H55" s="96">
        <f t="shared" ca="1" si="4"/>
        <v>2.5562486051951825</v>
      </c>
      <c r="I55" s="96">
        <f t="shared" ca="1" si="5"/>
        <v>0</v>
      </c>
      <c r="J55" s="96">
        <f t="shared" ca="1" si="6"/>
        <v>0</v>
      </c>
      <c r="K55" s="96">
        <f t="shared" si="7"/>
        <v>0.13856406460551018</v>
      </c>
      <c r="L55" s="96">
        <f t="shared" si="8"/>
        <v>-0.13856406460551018</v>
      </c>
      <c r="M55" s="5" t="str">
        <f t="shared" ca="1" si="1"/>
        <v/>
      </c>
      <c r="O55" s="110"/>
      <c r="P55" s="110" t="s">
        <v>0</v>
      </c>
      <c r="Q55" s="110">
        <v>2.48</v>
      </c>
      <c r="R55" s="120">
        <v>3.34</v>
      </c>
      <c r="S55" s="112">
        <v>3.54</v>
      </c>
      <c r="T55" s="112">
        <v>4</v>
      </c>
      <c r="U55" s="110"/>
      <c r="V55" s="110"/>
      <c r="W55" s="110"/>
      <c r="X55" s="110"/>
      <c r="Y55" s="109"/>
      <c r="Z55" s="109"/>
      <c r="AA55" s="109"/>
      <c r="AB55" s="109"/>
    </row>
    <row r="56" spans="2:28" x14ac:dyDescent="0.2">
      <c r="B56" s="5">
        <v>23</v>
      </c>
      <c r="C56" s="104">
        <f t="shared" ca="1" si="2"/>
        <v>2.258278830203504</v>
      </c>
      <c r="D56" s="104">
        <f t="shared" ca="1" si="2"/>
        <v>3.1007397027097672</v>
      </c>
      <c r="E56" s="104">
        <f t="shared" ca="1" si="2"/>
        <v>2.3920317348933904</v>
      </c>
      <c r="F56" s="104"/>
      <c r="G56" s="104"/>
      <c r="H56" s="96">
        <f t="shared" ca="1" si="4"/>
        <v>2.5836834226022205</v>
      </c>
      <c r="I56" s="96">
        <f t="shared" ca="1" si="5"/>
        <v>0</v>
      </c>
      <c r="J56" s="96">
        <f t="shared" ca="1" si="6"/>
        <v>0</v>
      </c>
      <c r="K56" s="96">
        <f t="shared" si="7"/>
        <v>0.13856406460551018</v>
      </c>
      <c r="L56" s="96">
        <f t="shared" si="8"/>
        <v>-0.13856406460551018</v>
      </c>
      <c r="M56" s="5" t="str">
        <f t="shared" ca="1" si="1"/>
        <v/>
      </c>
      <c r="O56" s="110"/>
      <c r="P56" s="110" t="s">
        <v>54</v>
      </c>
      <c r="Q56" s="110">
        <v>4</v>
      </c>
      <c r="R56" s="112">
        <v>5.2</v>
      </c>
      <c r="S56" s="113">
        <v>5.4</v>
      </c>
      <c r="T56" s="112">
        <v>6.1</v>
      </c>
      <c r="U56" s="110"/>
      <c r="V56" s="110"/>
      <c r="W56" s="110"/>
      <c r="X56" s="110"/>
      <c r="Y56" s="109"/>
      <c r="Z56" s="109"/>
      <c r="AA56" s="109"/>
      <c r="AB56" s="109"/>
    </row>
    <row r="57" spans="2:28" x14ac:dyDescent="0.2">
      <c r="B57" s="5">
        <v>24</v>
      </c>
      <c r="C57" s="104">
        <f t="shared" ca="1" si="2"/>
        <v>2.6515922103885696</v>
      </c>
      <c r="D57" s="104">
        <f t="shared" ca="1" si="2"/>
        <v>3.1345388314308336</v>
      </c>
      <c r="E57" s="104">
        <f t="shared" ca="1" si="2"/>
        <v>2.8362819047120027</v>
      </c>
      <c r="F57" s="104"/>
      <c r="G57" s="104"/>
      <c r="H57" s="96">
        <f t="shared" ca="1" si="4"/>
        <v>2.8741376488438015</v>
      </c>
      <c r="I57" s="96">
        <f t="shared" ca="1" si="5"/>
        <v>0</v>
      </c>
      <c r="J57" s="96">
        <f t="shared" ca="1" si="6"/>
        <v>0</v>
      </c>
      <c r="K57" s="96">
        <f t="shared" si="7"/>
        <v>0.13856406460551018</v>
      </c>
      <c r="L57" s="96">
        <f t="shared" si="8"/>
        <v>-0.13856406460551018</v>
      </c>
      <c r="M57" s="5" t="str">
        <f t="shared" ca="1" si="1"/>
        <v/>
      </c>
      <c r="O57" s="110" t="s">
        <v>186</v>
      </c>
      <c r="P57" s="110" t="s">
        <v>5</v>
      </c>
      <c r="Q57" s="121">
        <v>1</v>
      </c>
      <c r="R57" s="120">
        <v>1</v>
      </c>
      <c r="S57" s="120">
        <v>1</v>
      </c>
      <c r="T57" s="120">
        <v>1</v>
      </c>
      <c r="U57" s="110"/>
      <c r="V57" s="110"/>
      <c r="W57" s="110"/>
      <c r="X57" s="110"/>
      <c r="Y57" s="109"/>
      <c r="Z57" s="109"/>
      <c r="AA57" s="109"/>
      <c r="AB57" s="109"/>
    </row>
    <row r="58" spans="2:28" x14ac:dyDescent="0.2">
      <c r="B58" s="5">
        <v>25</v>
      </c>
      <c r="C58" s="104">
        <f t="shared" ca="1" si="2"/>
        <v>2.0147050052824826</v>
      </c>
      <c r="D58" s="104">
        <f t="shared" ca="1" si="2"/>
        <v>3.1488416566122734</v>
      </c>
      <c r="E58" s="104">
        <f t="shared" ca="1" si="2"/>
        <v>3.6093356262942828</v>
      </c>
      <c r="F58" s="104"/>
      <c r="G58" s="104"/>
      <c r="H58" s="96">
        <f t="shared" ca="1" si="4"/>
        <v>2.9242940960630128</v>
      </c>
      <c r="I58" s="96">
        <f t="shared" ca="1" si="5"/>
        <v>0</v>
      </c>
      <c r="J58" s="96">
        <f t="shared" ca="1" si="6"/>
        <v>0</v>
      </c>
      <c r="K58" s="96">
        <f t="shared" si="7"/>
        <v>0.13856406460551018</v>
      </c>
      <c r="L58" s="96">
        <f t="shared" si="8"/>
        <v>-0.13856406460551018</v>
      </c>
      <c r="M58" s="5" t="str">
        <f t="shared" ca="1" si="1"/>
        <v/>
      </c>
      <c r="O58" s="110"/>
      <c r="P58" s="110" t="s">
        <v>0</v>
      </c>
      <c r="Q58" s="110">
        <v>1.8740000000000001</v>
      </c>
      <c r="R58" s="112">
        <v>2.516</v>
      </c>
      <c r="S58" s="122">
        <v>2.665</v>
      </c>
      <c r="T58" s="112">
        <v>3.01</v>
      </c>
      <c r="U58" s="110"/>
      <c r="V58" s="110"/>
      <c r="W58" s="110"/>
      <c r="X58" s="110"/>
      <c r="Y58" s="109"/>
      <c r="Z58" s="109"/>
      <c r="AA58" s="109"/>
      <c r="AB58" s="109"/>
    </row>
    <row r="59" spans="2:28" x14ac:dyDescent="0.2">
      <c r="B59" s="5">
        <v>26</v>
      </c>
      <c r="C59" s="104">
        <f t="shared" ca="1" si="2"/>
        <v>3.4011552834664438</v>
      </c>
      <c r="D59" s="104">
        <f t="shared" ca="1" si="2"/>
        <v>3.6636004656389867</v>
      </c>
      <c r="E59" s="104">
        <f t="shared" ca="1" si="2"/>
        <v>3.0345443999084969</v>
      </c>
      <c r="F59" s="104"/>
      <c r="G59" s="104"/>
      <c r="H59" s="96">
        <f t="shared" ca="1" si="4"/>
        <v>3.3664333830046425</v>
      </c>
      <c r="I59" s="96">
        <f t="shared" ca="1" si="5"/>
        <v>0.21780619645717891</v>
      </c>
      <c r="J59" s="96">
        <f t="shared" ca="1" si="6"/>
        <v>0</v>
      </c>
      <c r="K59" s="96">
        <f t="shared" si="7"/>
        <v>0.13856406460551018</v>
      </c>
      <c r="L59" s="96">
        <f t="shared" si="8"/>
        <v>-0.13856406460551018</v>
      </c>
      <c r="M59" s="5" t="str">
        <f ca="1">IF(I59&gt;K59,"X",IF(J59&lt;L59,"X",""))</f>
        <v>X</v>
      </c>
      <c r="O59" s="110"/>
      <c r="P59" s="110" t="s">
        <v>54</v>
      </c>
      <c r="Q59" s="110">
        <v>2.6</v>
      </c>
      <c r="R59" s="112">
        <v>3.3</v>
      </c>
      <c r="S59" s="113">
        <v>3.4</v>
      </c>
      <c r="T59" s="112">
        <v>3.8</v>
      </c>
      <c r="U59" s="110"/>
      <c r="V59" s="110"/>
      <c r="W59" s="110"/>
      <c r="X59" s="110"/>
      <c r="Y59" s="109"/>
      <c r="Z59" s="109"/>
      <c r="AA59" s="109"/>
      <c r="AB59" s="109"/>
    </row>
    <row r="60" spans="2:28" x14ac:dyDescent="0.2">
      <c r="B60" s="5">
        <v>27</v>
      </c>
      <c r="C60" s="104">
        <f t="shared" ca="1" si="2"/>
        <v>2.9852758450239736</v>
      </c>
      <c r="D60" s="104">
        <f t="shared" ca="1" si="2"/>
        <v>2.6027812900202845</v>
      </c>
      <c r="E60" s="104">
        <f t="shared" ca="1" si="2"/>
        <v>3.0009007880833067</v>
      </c>
      <c r="F60" s="104"/>
      <c r="G60" s="104"/>
      <c r="H60" s="96">
        <f t="shared" ca="1" si="4"/>
        <v>2.8629859743758548</v>
      </c>
      <c r="I60" s="96">
        <f t="shared" ca="1" si="5"/>
        <v>0</v>
      </c>
      <c r="J60" s="96">
        <f t="shared" ca="1" si="6"/>
        <v>0</v>
      </c>
      <c r="K60" s="96">
        <f t="shared" si="7"/>
        <v>0.13856406460551018</v>
      </c>
      <c r="L60" s="96">
        <f t="shared" si="8"/>
        <v>-0.13856406460551018</v>
      </c>
      <c r="M60" s="5" t="str">
        <f t="shared" ref="M60:M63" ca="1" si="9">IF(I60&gt;K60,"X",IF(J60&lt;L60,"X",""))</f>
        <v/>
      </c>
      <c r="O60" s="110" t="s">
        <v>187</v>
      </c>
      <c r="P60" s="110" t="s">
        <v>5</v>
      </c>
      <c r="Q60" s="110">
        <v>1.25</v>
      </c>
      <c r="R60" s="112">
        <v>1.25</v>
      </c>
      <c r="S60" s="115">
        <v>1.25</v>
      </c>
      <c r="T60" s="112">
        <v>1.25</v>
      </c>
      <c r="U60" s="110"/>
      <c r="V60" s="110"/>
      <c r="W60" s="110"/>
      <c r="X60" s="110"/>
      <c r="Y60" s="109"/>
      <c r="Z60" s="109"/>
      <c r="AA60" s="109"/>
      <c r="AB60" s="109"/>
    </row>
    <row r="61" spans="2:28" x14ac:dyDescent="0.2">
      <c r="B61" s="5">
        <v>28</v>
      </c>
      <c r="C61" s="104">
        <f t="shared" ca="1" si="2"/>
        <v>2.5424556879443263</v>
      </c>
      <c r="D61" s="104">
        <f t="shared" ca="1" si="2"/>
        <v>2.5594036668924698</v>
      </c>
      <c r="E61" s="104">
        <f t="shared" ca="1" si="2"/>
        <v>3.0833249491376513</v>
      </c>
      <c r="F61" s="104"/>
      <c r="G61" s="104"/>
      <c r="H61" s="96">
        <f t="shared" ca="1" si="4"/>
        <v>2.7283947679914822</v>
      </c>
      <c r="I61" s="96">
        <f t="shared" ca="1" si="5"/>
        <v>0</v>
      </c>
      <c r="J61" s="96">
        <f t="shared" ca="1" si="6"/>
        <v>0</v>
      </c>
      <c r="K61" s="96">
        <f t="shared" si="7"/>
        <v>0.13856406460551018</v>
      </c>
      <c r="L61" s="96">
        <f t="shared" si="8"/>
        <v>-0.13856406460551018</v>
      </c>
      <c r="M61" s="5" t="str">
        <f t="shared" ca="1" si="9"/>
        <v/>
      </c>
      <c r="O61" s="110"/>
      <c r="P61" s="110" t="s">
        <v>0</v>
      </c>
      <c r="Q61" s="110">
        <v>1.46</v>
      </c>
      <c r="R61" s="112">
        <v>1.986</v>
      </c>
      <c r="S61" s="122">
        <v>2.105</v>
      </c>
      <c r="T61" s="112">
        <v>2.379</v>
      </c>
      <c r="U61" s="110"/>
      <c r="V61" s="110"/>
      <c r="W61" s="110"/>
      <c r="X61" s="110"/>
      <c r="Y61" s="109"/>
      <c r="Z61" s="109"/>
      <c r="AA61" s="109"/>
      <c r="AB61" s="109"/>
    </row>
    <row r="62" spans="2:28" x14ac:dyDescent="0.2">
      <c r="B62" s="5">
        <v>29</v>
      </c>
      <c r="C62" s="104">
        <f t="shared" ca="1" si="2"/>
        <v>3.6526275428133754</v>
      </c>
      <c r="D62" s="104">
        <f t="shared" ca="1" si="2"/>
        <v>2.8052776524822627</v>
      </c>
      <c r="E62" s="104">
        <f t="shared" ca="1" si="2"/>
        <v>3.6426361478936728</v>
      </c>
      <c r="F62" s="104"/>
      <c r="G62" s="104"/>
      <c r="H62" s="96">
        <f t="shared" ca="1" si="4"/>
        <v>3.3668471143964367</v>
      </c>
      <c r="I62" s="96">
        <f t="shared" ca="1" si="5"/>
        <v>0.21821992784897315</v>
      </c>
      <c r="J62" s="96">
        <f t="shared" ca="1" si="6"/>
        <v>0</v>
      </c>
      <c r="K62" s="96">
        <f t="shared" si="7"/>
        <v>0.13856406460551018</v>
      </c>
      <c r="L62" s="96">
        <f t="shared" si="8"/>
        <v>-0.13856406460551018</v>
      </c>
      <c r="M62" s="5" t="str">
        <f t="shared" ca="1" si="9"/>
        <v>X</v>
      </c>
      <c r="O62" s="110"/>
      <c r="P62" s="110" t="s">
        <v>54</v>
      </c>
      <c r="Q62" s="110">
        <v>1.87</v>
      </c>
      <c r="R62" s="112">
        <v>2.29</v>
      </c>
      <c r="S62" s="115">
        <v>2.39</v>
      </c>
      <c r="T62" s="112">
        <v>2.61</v>
      </c>
      <c r="U62" s="110"/>
      <c r="V62" s="110"/>
      <c r="W62" s="110"/>
      <c r="X62" s="110"/>
      <c r="Y62" s="109"/>
      <c r="Z62" s="109"/>
      <c r="AA62" s="109"/>
      <c r="AB62" s="109"/>
    </row>
    <row r="63" spans="2:28" x14ac:dyDescent="0.2">
      <c r="B63" s="5">
        <v>30</v>
      </c>
      <c r="C63" s="104">
        <f t="shared" ca="1" si="2"/>
        <v>2.9926684085043331</v>
      </c>
      <c r="D63" s="104">
        <f t="shared" ca="1" si="2"/>
        <v>2.8734207684844013</v>
      </c>
      <c r="E63" s="104">
        <f t="shared" ca="1" si="2"/>
        <v>2.968111725863614</v>
      </c>
      <c r="F63" s="104"/>
      <c r="G63" s="104"/>
      <c r="H63" s="96">
        <f t="shared" ca="1" si="4"/>
        <v>2.9447336342841162</v>
      </c>
      <c r="I63" s="96">
        <f t="shared" ca="1" si="5"/>
        <v>1.4326375585625772E-2</v>
      </c>
      <c r="J63" s="96">
        <f t="shared" ca="1" si="6"/>
        <v>0</v>
      </c>
      <c r="K63" s="96">
        <f t="shared" si="7"/>
        <v>0.13856406460551018</v>
      </c>
      <c r="L63" s="96">
        <f t="shared" si="8"/>
        <v>-0.13856406460551018</v>
      </c>
      <c r="M63" s="5" t="str">
        <f t="shared" ca="1" si="9"/>
        <v/>
      </c>
      <c r="O63" s="110" t="s">
        <v>188</v>
      </c>
      <c r="P63" s="110" t="s">
        <v>5</v>
      </c>
      <c r="Q63" s="110">
        <v>1.5</v>
      </c>
      <c r="R63" s="112">
        <v>1.5</v>
      </c>
      <c r="S63" s="112">
        <v>1.5</v>
      </c>
      <c r="T63" s="112">
        <v>1.5</v>
      </c>
      <c r="U63" s="110"/>
      <c r="V63" s="110"/>
      <c r="W63" s="110"/>
      <c r="X63" s="110"/>
      <c r="Y63" s="109"/>
      <c r="Z63" s="109"/>
      <c r="AA63" s="109"/>
      <c r="AB63" s="109"/>
    </row>
    <row r="64" spans="2:28" x14ac:dyDescent="0.2">
      <c r="B64" s="5">
        <v>31</v>
      </c>
      <c r="C64" s="104">
        <f t="shared" ca="1" si="2"/>
        <v>3.0160315958114889</v>
      </c>
      <c r="D64" s="104">
        <f t="shared" ca="1" si="2"/>
        <v>1.9797002505581105</v>
      </c>
      <c r="E64" s="104">
        <f t="shared" ca="1" si="2"/>
        <v>2.1909572326215159</v>
      </c>
      <c r="F64" s="104"/>
      <c r="G64" s="104"/>
      <c r="H64" s="96">
        <f t="shared" ref="H64" ca="1" si="10">AVERAGE(C64:G64)</f>
        <v>2.3955630263303718</v>
      </c>
      <c r="I64" s="96">
        <f t="shared" ref="I64" ca="1" si="11">MAX(0,I63+(H64-$C$27))</f>
        <v>0</v>
      </c>
      <c r="J64" s="96">
        <f t="shared" ref="J64" ca="1" si="12">MIN(0,J63+(H64-$C$28))</f>
        <v>-5.5809787122164334E-2</v>
      </c>
      <c r="K64" s="96">
        <f t="shared" ref="K64" si="13">K63</f>
        <v>0.13856406460551018</v>
      </c>
      <c r="L64" s="96">
        <f t="shared" ref="L64" si="14">L63</f>
        <v>-0.13856406460551018</v>
      </c>
      <c r="M64" s="5" t="str">
        <f t="shared" ref="M64" ca="1" si="15">IF(I64&gt;K64,"X",IF(J64&lt;L64,"X",""))</f>
        <v/>
      </c>
      <c r="O64" s="110"/>
      <c r="P64" s="110" t="s">
        <v>0</v>
      </c>
      <c r="Q64" s="110">
        <v>1.1319999999999999</v>
      </c>
      <c r="R64" s="112">
        <v>1.6040000000000001</v>
      </c>
      <c r="S64" s="112">
        <v>1.708</v>
      </c>
      <c r="T64" s="112">
        <v>1.9430000000000001</v>
      </c>
      <c r="U64" s="110"/>
      <c r="V64" s="110"/>
      <c r="W64" s="110"/>
      <c r="X64" s="110"/>
      <c r="Y64" s="109"/>
      <c r="Z64" s="109"/>
      <c r="AA64" s="109"/>
      <c r="AB64" s="109"/>
    </row>
    <row r="65" spans="15:28" x14ac:dyDescent="0.2">
      <c r="O65" s="110"/>
      <c r="P65" s="110" t="s">
        <v>54</v>
      </c>
      <c r="Q65" s="110">
        <v>1.44</v>
      </c>
      <c r="R65" s="112">
        <v>1.72</v>
      </c>
      <c r="S65" s="112">
        <v>1.79</v>
      </c>
      <c r="T65" s="112">
        <v>1.95</v>
      </c>
      <c r="U65" s="110"/>
      <c r="V65" s="110"/>
      <c r="W65" s="110"/>
      <c r="X65" s="110"/>
      <c r="Y65" s="109"/>
      <c r="Z65" s="109"/>
      <c r="AA65" s="109"/>
      <c r="AB65" s="109"/>
    </row>
    <row r="66" spans="15:28" x14ac:dyDescent="0.2">
      <c r="O66" s="110"/>
      <c r="P66" s="110"/>
      <c r="Q66" s="110"/>
      <c r="R66" s="110"/>
      <c r="S66" s="110"/>
      <c r="T66" s="110"/>
      <c r="U66" s="110"/>
      <c r="V66" s="110"/>
      <c r="W66" s="110"/>
      <c r="X66" s="110"/>
      <c r="Y66" s="109"/>
      <c r="Z66" s="109"/>
      <c r="AA66" s="109"/>
      <c r="AB66" s="109"/>
    </row>
    <row r="67" spans="15:28" x14ac:dyDescent="0.2">
      <c r="O67" s="109"/>
      <c r="P67" s="109"/>
      <c r="Q67" s="109"/>
      <c r="R67" s="109"/>
      <c r="S67" s="109"/>
      <c r="T67" s="109"/>
      <c r="U67" s="109"/>
      <c r="V67" s="109"/>
      <c r="W67" s="109"/>
      <c r="X67" s="109"/>
      <c r="Y67" s="109"/>
      <c r="Z67" s="109"/>
      <c r="AA67" s="109"/>
      <c r="AB67" s="109"/>
    </row>
    <row r="68" spans="15:28" x14ac:dyDescent="0.2">
      <c r="O68" s="109"/>
      <c r="P68" s="109"/>
      <c r="Q68" s="109"/>
      <c r="R68" s="109"/>
      <c r="S68" s="109"/>
      <c r="T68" s="109"/>
      <c r="U68" s="109"/>
      <c r="V68" s="109"/>
      <c r="W68" s="109"/>
      <c r="X68" s="109"/>
      <c r="Y68" s="109"/>
      <c r="Z68" s="109"/>
      <c r="AA68" s="109"/>
      <c r="AB68" s="109"/>
    </row>
    <row r="69" spans="15:28" x14ac:dyDescent="0.2">
      <c r="O69" s="109"/>
      <c r="P69" s="109"/>
      <c r="Q69" s="109"/>
      <c r="R69" s="109"/>
      <c r="S69" s="109"/>
      <c r="T69" s="109"/>
      <c r="U69" s="109"/>
      <c r="V69" s="109"/>
      <c r="W69" s="109"/>
      <c r="X69" s="109"/>
      <c r="Y69" s="109"/>
      <c r="Z69" s="109"/>
      <c r="AA69" s="109"/>
      <c r="AB69" s="109"/>
    </row>
    <row r="70" spans="15:28" x14ac:dyDescent="0.2">
      <c r="O70" s="109"/>
      <c r="P70" s="109"/>
      <c r="Q70" s="109"/>
      <c r="R70" s="109"/>
      <c r="S70" s="109"/>
      <c r="T70" s="109"/>
      <c r="U70" s="109"/>
      <c r="V70" s="109"/>
      <c r="W70" s="109"/>
      <c r="X70" s="109"/>
      <c r="Y70" s="109"/>
      <c r="Z70" s="109"/>
      <c r="AA70" s="109"/>
      <c r="AB70" s="109"/>
    </row>
    <row r="71" spans="15:28" x14ac:dyDescent="0.2">
      <c r="O71" s="109"/>
      <c r="P71" s="109"/>
      <c r="Q71" s="109"/>
      <c r="R71" s="109"/>
      <c r="S71" s="109"/>
      <c r="T71" s="109"/>
      <c r="U71" s="109"/>
      <c r="V71" s="109"/>
      <c r="W71" s="109"/>
      <c r="X71" s="109"/>
      <c r="Y71" s="109"/>
      <c r="Z71" s="109"/>
      <c r="AA71" s="109"/>
      <c r="AB71" s="109"/>
    </row>
    <row r="72" spans="15:28" x14ac:dyDescent="0.2">
      <c r="O72" s="109"/>
      <c r="P72" s="109"/>
      <c r="Q72" s="109"/>
      <c r="R72" s="109"/>
      <c r="S72" s="109"/>
      <c r="T72" s="109"/>
      <c r="U72" s="109"/>
      <c r="V72" s="109"/>
      <c r="W72" s="109"/>
      <c r="X72" s="109"/>
      <c r="Y72" s="109"/>
      <c r="Z72" s="109"/>
      <c r="AA72" s="109"/>
      <c r="AB72" s="109"/>
    </row>
    <row r="73" spans="15:28" x14ac:dyDescent="0.2">
      <c r="O73" s="109"/>
      <c r="P73" s="109"/>
      <c r="Q73" s="109"/>
      <c r="R73" s="109"/>
      <c r="S73" s="109"/>
      <c r="T73" s="109"/>
      <c r="U73" s="109"/>
      <c r="V73" s="109"/>
      <c r="W73" s="109"/>
      <c r="X73" s="109"/>
      <c r="Y73" s="109"/>
      <c r="Z73" s="109"/>
      <c r="AA73" s="109"/>
      <c r="AB73" s="109"/>
    </row>
    <row r="74" spans="15:28" x14ac:dyDescent="0.2">
      <c r="O74" s="109"/>
      <c r="P74" s="109"/>
      <c r="Q74" s="109"/>
      <c r="R74" s="109"/>
      <c r="S74" s="109"/>
      <c r="T74" s="109"/>
      <c r="U74" s="109"/>
      <c r="V74" s="109"/>
      <c r="W74" s="109"/>
      <c r="X74" s="109"/>
      <c r="Y74" s="109"/>
      <c r="Z74" s="109"/>
      <c r="AA74" s="109"/>
      <c r="AB74" s="109"/>
    </row>
    <row r="75" spans="15:28" x14ac:dyDescent="0.2">
      <c r="O75" s="109"/>
      <c r="P75" s="109"/>
      <c r="Q75" s="109"/>
      <c r="R75" s="109"/>
      <c r="S75" s="109"/>
      <c r="T75" s="109"/>
      <c r="U75" s="109"/>
      <c r="V75" s="109"/>
      <c r="W75" s="109"/>
      <c r="X75" s="109"/>
      <c r="Y75" s="109"/>
      <c r="Z75" s="109"/>
      <c r="AA75" s="109"/>
      <c r="AB75" s="109"/>
    </row>
    <row r="76" spans="15:28" x14ac:dyDescent="0.2">
      <c r="O76" s="109"/>
      <c r="P76" s="109"/>
      <c r="Q76" s="109"/>
      <c r="R76" s="109"/>
      <c r="S76" s="109"/>
      <c r="T76" s="109"/>
      <c r="U76" s="109"/>
      <c r="V76" s="109"/>
      <c r="W76" s="109"/>
      <c r="X76" s="109"/>
      <c r="Y76" s="109"/>
      <c r="Z76" s="109"/>
      <c r="AA76" s="109"/>
      <c r="AB76" s="109"/>
    </row>
    <row r="77" spans="15:28" x14ac:dyDescent="0.2">
      <c r="O77" s="109"/>
      <c r="P77" s="109"/>
      <c r="Q77" s="109"/>
      <c r="R77" s="109"/>
      <c r="S77" s="109"/>
      <c r="T77" s="109"/>
      <c r="U77" s="109"/>
      <c r="V77" s="109"/>
      <c r="W77" s="109"/>
      <c r="X77" s="109"/>
      <c r="Y77" s="109"/>
      <c r="Z77" s="109"/>
      <c r="AA77" s="109"/>
      <c r="AB77" s="109"/>
    </row>
    <row r="78" spans="15:28" x14ac:dyDescent="0.2">
      <c r="O78" s="109"/>
      <c r="P78" s="109"/>
      <c r="Q78" s="109"/>
      <c r="R78" s="109"/>
      <c r="S78" s="109"/>
      <c r="T78" s="109"/>
      <c r="U78" s="109"/>
      <c r="V78" s="109"/>
      <c r="W78" s="109"/>
      <c r="X78" s="109"/>
      <c r="Y78" s="109"/>
      <c r="Z78" s="109"/>
      <c r="AA78" s="109"/>
      <c r="AB78" s="109"/>
    </row>
    <row r="79" spans="15:28" x14ac:dyDescent="0.2">
      <c r="O79" s="109"/>
      <c r="P79" s="109"/>
      <c r="Q79" s="109"/>
      <c r="R79" s="109"/>
      <c r="S79" s="109"/>
      <c r="T79" s="109"/>
      <c r="U79" s="109"/>
      <c r="V79" s="109"/>
      <c r="W79" s="109"/>
      <c r="X79" s="109"/>
      <c r="Y79" s="109"/>
      <c r="Z79" s="109"/>
      <c r="AA79" s="109"/>
      <c r="AB79" s="109"/>
    </row>
    <row r="80" spans="15:28" x14ac:dyDescent="0.2">
      <c r="O80" s="109"/>
      <c r="P80" s="109"/>
      <c r="Q80" s="109"/>
      <c r="R80" s="109"/>
      <c r="S80" s="109"/>
      <c r="T80" s="109"/>
      <c r="U80" s="109"/>
      <c r="V80" s="109"/>
      <c r="W80" s="109"/>
      <c r="X80" s="109"/>
      <c r="Y80" s="109"/>
      <c r="Z80" s="109"/>
      <c r="AA80" s="109"/>
      <c r="AB80" s="109"/>
    </row>
    <row r="81" spans="14:28" x14ac:dyDescent="0.2">
      <c r="O81" s="109"/>
      <c r="P81" s="109"/>
      <c r="Q81" s="109"/>
      <c r="R81" s="109"/>
      <c r="S81" s="109"/>
      <c r="T81" s="109"/>
      <c r="U81" s="109"/>
      <c r="V81" s="109"/>
      <c r="W81" s="109"/>
      <c r="X81" s="109"/>
      <c r="Y81" s="109"/>
      <c r="Z81" s="109"/>
      <c r="AA81" s="109"/>
      <c r="AB81" s="109"/>
    </row>
    <row r="82" spans="14:28" x14ac:dyDescent="0.2">
      <c r="O82" s="109"/>
      <c r="P82" s="109"/>
      <c r="Q82" s="109"/>
      <c r="R82" s="109"/>
      <c r="S82" s="109"/>
      <c r="T82" s="109"/>
      <c r="U82" s="109"/>
      <c r="V82" s="109"/>
      <c r="W82" s="109"/>
      <c r="X82" s="109"/>
      <c r="Y82" s="109"/>
      <c r="Z82" s="109"/>
      <c r="AA82" s="109"/>
      <c r="AB82" s="109"/>
    </row>
    <row r="83" spans="14:28" x14ac:dyDescent="0.2">
      <c r="O83" s="109"/>
      <c r="P83" s="109"/>
      <c r="Q83" s="109"/>
      <c r="R83" s="109"/>
      <c r="S83" s="109"/>
      <c r="T83" s="109"/>
      <c r="U83" s="109"/>
      <c r="V83" s="109"/>
      <c r="W83" s="109"/>
      <c r="X83" s="109"/>
      <c r="Y83" s="109"/>
      <c r="Z83" s="109"/>
      <c r="AA83" s="109"/>
      <c r="AB83" s="109"/>
    </row>
    <row r="84" spans="14:28" x14ac:dyDescent="0.2">
      <c r="O84" s="109"/>
      <c r="P84" s="109"/>
      <c r="Q84" s="109"/>
      <c r="R84" s="109"/>
      <c r="S84" s="109"/>
      <c r="T84" s="109"/>
      <c r="U84" s="109"/>
      <c r="V84" s="109"/>
      <c r="W84" s="109"/>
      <c r="X84" s="109"/>
      <c r="Y84" s="109"/>
      <c r="Z84" s="109"/>
      <c r="AA84" s="109"/>
      <c r="AB84" s="109"/>
    </row>
    <row r="85" spans="14:28" x14ac:dyDescent="0.2">
      <c r="O85" s="109"/>
      <c r="P85" s="109"/>
      <c r="Q85" s="109"/>
      <c r="R85" s="109"/>
      <c r="S85" s="109"/>
      <c r="T85" s="109"/>
      <c r="U85" s="109"/>
      <c r="V85" s="109"/>
      <c r="W85" s="109"/>
      <c r="X85" s="109"/>
      <c r="Y85" s="109"/>
      <c r="Z85" s="109"/>
      <c r="AA85" s="109"/>
      <c r="AB85" s="109"/>
    </row>
    <row r="89" spans="14:28" x14ac:dyDescent="0.2">
      <c r="N89" s="93">
        <v>0</v>
      </c>
    </row>
    <row r="90" spans="14:28" x14ac:dyDescent="0.2">
      <c r="N90" s="93">
        <v>30</v>
      </c>
    </row>
  </sheetData>
  <mergeCells count="2">
    <mergeCell ref="Q43:T43"/>
    <mergeCell ref="B2:L4"/>
  </mergeCells>
  <phoneticPr fontId="16" type="noConversion"/>
  <dataValidations disablePrompts="1" count="2">
    <dataValidation type="list" allowBlank="1" showInputMessage="1" showErrorMessage="1" sqref="C18" xr:uid="{67376CDB-D129-45DD-8363-A517F9F0AE27}">
      <formula1>INDIRECT("POM_" &amp; $C$17)</formula1>
    </dataValidation>
    <dataValidation type="list" allowBlank="1" showInputMessage="1" showErrorMessage="1" sqref="C17" xr:uid="{A4A4DABA-E3EC-4BE0-BE2F-5F617BA1ADCA}">
      <formula1>$Q$44:$T$44</formula1>
    </dataValidation>
  </dataValidations>
  <pageMargins left="0.7" right="0.7" top="0.75" bottom="0.75" header="0.3" footer="0.3"/>
  <pageSetup paperSize="9" orientation="portrait" horizontalDpi="90" verticalDpi="9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3:N57"/>
  <sheetViews>
    <sheetView showGridLines="0" zoomScaleNormal="100" workbookViewId="0">
      <selection activeCell="M21" sqref="M21"/>
    </sheetView>
  </sheetViews>
  <sheetFormatPr baseColWidth="10" defaultRowHeight="15" x14ac:dyDescent="0.25"/>
  <cols>
    <col min="12" max="12" width="17.42578125" customWidth="1"/>
  </cols>
  <sheetData>
    <row r="3" spans="2:14" x14ac:dyDescent="0.25">
      <c r="B3" s="199" t="s">
        <v>225</v>
      </c>
      <c r="C3" s="200"/>
      <c r="D3" s="200"/>
      <c r="E3" s="200"/>
      <c r="F3" s="200"/>
      <c r="G3" s="200"/>
      <c r="H3" s="201"/>
      <c r="I3" s="198" t="s">
        <v>3</v>
      </c>
      <c r="J3" s="198"/>
      <c r="M3" s="196" t="s">
        <v>116</v>
      </c>
      <c r="N3" s="197"/>
    </row>
    <row r="4" spans="2:14" x14ac:dyDescent="0.25">
      <c r="B4" s="202"/>
      <c r="C4" s="203"/>
      <c r="D4" s="203"/>
      <c r="E4" s="203"/>
      <c r="F4" s="203"/>
      <c r="G4" s="203"/>
      <c r="H4" s="204"/>
      <c r="I4" s="9" t="s">
        <v>102</v>
      </c>
      <c r="J4" s="9" t="s">
        <v>103</v>
      </c>
      <c r="L4" s="171" t="s">
        <v>226</v>
      </c>
      <c r="M4" s="9" t="s">
        <v>102</v>
      </c>
      <c r="N4" s="9" t="s">
        <v>103</v>
      </c>
    </row>
    <row r="5" spans="2:14" x14ac:dyDescent="0.25">
      <c r="B5" s="202"/>
      <c r="C5" s="203"/>
      <c r="D5" s="203"/>
      <c r="E5" s="203"/>
      <c r="F5" s="203"/>
      <c r="G5" s="203"/>
      <c r="H5" s="204"/>
      <c r="I5" s="18">
        <v>5</v>
      </c>
      <c r="J5" s="18">
        <v>20</v>
      </c>
      <c r="L5" s="171" t="s">
        <v>119</v>
      </c>
      <c r="M5" s="42" t="s">
        <v>49</v>
      </c>
      <c r="N5" s="42" t="s">
        <v>121</v>
      </c>
    </row>
    <row r="6" spans="2:14" x14ac:dyDescent="0.25">
      <c r="B6" s="202"/>
      <c r="C6" s="203"/>
      <c r="D6" s="203"/>
      <c r="E6" s="203"/>
      <c r="F6" s="203"/>
      <c r="G6" s="203"/>
      <c r="H6" s="204"/>
      <c r="I6" s="198" t="s">
        <v>104</v>
      </c>
      <c r="J6" s="198"/>
      <c r="L6" s="171" t="s">
        <v>117</v>
      </c>
      <c r="M6" s="42" t="s">
        <v>49</v>
      </c>
      <c r="N6" s="42" t="s">
        <v>49</v>
      </c>
    </row>
    <row r="7" spans="2:14" x14ac:dyDescent="0.25">
      <c r="B7" s="202"/>
      <c r="C7" s="203"/>
      <c r="D7" s="203"/>
      <c r="E7" s="203"/>
      <c r="F7" s="203"/>
      <c r="G7" s="203"/>
      <c r="H7" s="204"/>
      <c r="I7" s="9" t="s">
        <v>102</v>
      </c>
      <c r="J7" s="9" t="s">
        <v>103</v>
      </c>
      <c r="L7" s="171" t="s">
        <v>118</v>
      </c>
      <c r="M7" s="42" t="s">
        <v>121</v>
      </c>
      <c r="N7" s="42" t="s">
        <v>121</v>
      </c>
    </row>
    <row r="8" spans="2:14" x14ac:dyDescent="0.25">
      <c r="B8" s="205"/>
      <c r="C8" s="206"/>
      <c r="D8" s="206"/>
      <c r="E8" s="206"/>
      <c r="F8" s="206"/>
      <c r="G8" s="206"/>
      <c r="H8" s="207"/>
      <c r="I8" s="41">
        <f ca="1">STDEV(C18:C48)</f>
        <v>0.6321264226120179</v>
      </c>
      <c r="J8" s="41">
        <f ca="1">STDEV(D18:D48)</f>
        <v>0.56193890014081072</v>
      </c>
      <c r="L8" s="171" t="s">
        <v>120</v>
      </c>
      <c r="M8" s="42" t="s">
        <v>121</v>
      </c>
      <c r="N8" s="42" t="s">
        <v>49</v>
      </c>
    </row>
    <row r="10" spans="2:14" x14ac:dyDescent="0.25">
      <c r="C10" s="198" t="s">
        <v>114</v>
      </c>
      <c r="D10" s="198"/>
      <c r="E10" s="198"/>
      <c r="F10" s="198"/>
      <c r="G10" s="198"/>
      <c r="H10" s="198"/>
    </row>
    <row r="11" spans="2:14" x14ac:dyDescent="0.25">
      <c r="C11" s="208" t="s">
        <v>110</v>
      </c>
      <c r="D11" s="209"/>
      <c r="E11" s="208" t="s">
        <v>109</v>
      </c>
      <c r="F11" s="209"/>
      <c r="G11" s="210" t="s">
        <v>113</v>
      </c>
      <c r="H11" s="211"/>
    </row>
    <row r="12" spans="2:14" x14ac:dyDescent="0.25">
      <c r="B12" s="9" t="s">
        <v>107</v>
      </c>
      <c r="C12" s="12">
        <f ca="1">I5-I8</f>
        <v>4.3678735773879822</v>
      </c>
      <c r="D12" s="12">
        <f ca="1">I5+I8</f>
        <v>5.6321264226120178</v>
      </c>
      <c r="E12" s="12">
        <f ca="1">I5-2*I8</f>
        <v>3.7357471547759644</v>
      </c>
      <c r="F12" s="12">
        <f ca="1">I5+2*I8</f>
        <v>6.2642528452240356</v>
      </c>
      <c r="G12" s="12">
        <f ca="1">I5-3*I8</f>
        <v>3.1036207321639462</v>
      </c>
      <c r="H12" s="12">
        <f ca="1">I5+3*I8</f>
        <v>6.8963792678360534</v>
      </c>
    </row>
    <row r="13" spans="2:14" x14ac:dyDescent="0.25">
      <c r="B13" s="9" t="s">
        <v>108</v>
      </c>
      <c r="C13" s="12">
        <f ca="1">J5-J8</f>
        <v>19.438061099859191</v>
      </c>
      <c r="D13" s="12">
        <f ca="1">J5+J8</f>
        <v>20.561938900140809</v>
      </c>
      <c r="E13" s="12">
        <f ca="1">J5-2*J8</f>
        <v>18.876122199718377</v>
      </c>
      <c r="F13" s="12">
        <f ca="1">J5+2*J8</f>
        <v>21.123877800281623</v>
      </c>
      <c r="G13" s="12">
        <f ca="1">J5-3*J8</f>
        <v>18.314183299577568</v>
      </c>
      <c r="H13" s="12">
        <f ca="1">J5+3*J8</f>
        <v>21.685816700422432</v>
      </c>
    </row>
    <row r="14" spans="2:14" x14ac:dyDescent="0.25">
      <c r="B14" s="47" t="s">
        <v>3</v>
      </c>
      <c r="C14" s="12">
        <f ca="1">AVERAGE(C18:C48)</f>
        <v>5.0684346067475712</v>
      </c>
      <c r="D14" s="12">
        <f ca="1">AVERAGE(D18:D48)</f>
        <v>20.210241733666354</v>
      </c>
    </row>
    <row r="15" spans="2:14" x14ac:dyDescent="0.25">
      <c r="B15" s="17"/>
      <c r="C15" s="17"/>
      <c r="D15" s="17"/>
      <c r="E15" s="17"/>
      <c r="F15" s="17"/>
      <c r="G15" s="17"/>
    </row>
    <row r="16" spans="2:14" x14ac:dyDescent="0.25">
      <c r="C16" s="198" t="s">
        <v>115</v>
      </c>
      <c r="D16" s="198"/>
      <c r="F16" s="198" t="s">
        <v>111</v>
      </c>
      <c r="G16" s="198"/>
      <c r="H16" s="198"/>
      <c r="I16" s="198"/>
    </row>
    <row r="17" spans="2:9" x14ac:dyDescent="0.25">
      <c r="B17" s="9" t="s">
        <v>30</v>
      </c>
      <c r="C17" s="9" t="s">
        <v>105</v>
      </c>
      <c r="D17" s="9" t="s">
        <v>106</v>
      </c>
      <c r="F17" s="12">
        <f ca="1">C12</f>
        <v>4.3678735773879822</v>
      </c>
      <c r="G17" s="12">
        <f ca="1">C12</f>
        <v>4.3678735773879822</v>
      </c>
      <c r="H17" s="12">
        <f ca="1">E12</f>
        <v>3.7357471547759644</v>
      </c>
      <c r="I17" s="12">
        <f ca="1">H17</f>
        <v>3.7357471547759644</v>
      </c>
    </row>
    <row r="18" spans="2:9" x14ac:dyDescent="0.25">
      <c r="B18" s="9">
        <v>1</v>
      </c>
      <c r="C18" s="41">
        <f t="shared" ref="C18:C25" ca="1" si="0">RAND()+RANDBETWEEN(4,5)</f>
        <v>4.8608724591802641</v>
      </c>
      <c r="D18" s="41">
        <f t="shared" ref="D18:D32" ca="1" si="1">RAND()+RANDBETWEEN(19,20)</f>
        <v>20.337133497038874</v>
      </c>
      <c r="F18" s="12">
        <f ca="1">D13</f>
        <v>20.561938900140809</v>
      </c>
      <c r="G18" s="12">
        <f ca="1">C13</f>
        <v>19.438061099859191</v>
      </c>
      <c r="H18" s="12">
        <f ca="1">E13</f>
        <v>18.876122199718377</v>
      </c>
      <c r="I18" s="12">
        <f ca="1">F13</f>
        <v>21.123877800281623</v>
      </c>
    </row>
    <row r="19" spans="2:9" x14ac:dyDescent="0.25">
      <c r="B19" s="9">
        <v>2</v>
      </c>
      <c r="C19" s="41">
        <f t="shared" ca="1" si="0"/>
        <v>5.5297340728060265</v>
      </c>
      <c r="D19" s="41">
        <f t="shared" ca="1" si="1"/>
        <v>20.978657537714248</v>
      </c>
      <c r="F19" s="12">
        <f ca="1">D12</f>
        <v>5.6321264226120178</v>
      </c>
      <c r="G19" s="12">
        <f ca="1">D12</f>
        <v>5.6321264226120178</v>
      </c>
      <c r="H19" s="12">
        <f ca="1">F12</f>
        <v>6.2642528452240356</v>
      </c>
      <c r="I19" s="12">
        <f ca="1">F12</f>
        <v>6.2642528452240356</v>
      </c>
    </row>
    <row r="20" spans="2:9" x14ac:dyDescent="0.25">
      <c r="B20" s="9">
        <v>3</v>
      </c>
      <c r="C20" s="41">
        <f t="shared" ca="1" si="0"/>
        <v>5.9171013751630372</v>
      </c>
      <c r="D20" s="41">
        <f t="shared" ca="1" si="1"/>
        <v>20.376650873948392</v>
      </c>
      <c r="F20" s="12">
        <f ca="1">D13</f>
        <v>20.561938900140809</v>
      </c>
      <c r="G20" s="12">
        <f ca="1">C13</f>
        <v>19.438061099859191</v>
      </c>
      <c r="H20" s="12">
        <f ca="1">E13</f>
        <v>18.876122199718377</v>
      </c>
      <c r="I20" s="12">
        <f ca="1">F13</f>
        <v>21.123877800281623</v>
      </c>
    </row>
    <row r="21" spans="2:9" x14ac:dyDescent="0.25">
      <c r="B21" s="9">
        <v>4</v>
      </c>
      <c r="C21" s="41">
        <f t="shared" ca="1" si="0"/>
        <v>5.1870074519282223</v>
      </c>
      <c r="D21" s="41">
        <f t="shared" ca="1" si="1"/>
        <v>20.950896549729926</v>
      </c>
    </row>
    <row r="22" spans="2:9" x14ac:dyDescent="0.25">
      <c r="B22" s="9">
        <v>5</v>
      </c>
      <c r="C22" s="41">
        <f t="shared" ca="1" si="0"/>
        <v>4.6610249945697975</v>
      </c>
      <c r="D22" s="41">
        <f t="shared" ca="1" si="1"/>
        <v>20.189879033506934</v>
      </c>
      <c r="F22" s="198" t="s">
        <v>112</v>
      </c>
      <c r="G22" s="198"/>
      <c r="H22" s="198"/>
      <c r="I22" s="198"/>
    </row>
    <row r="23" spans="2:9" x14ac:dyDescent="0.25">
      <c r="B23" s="9">
        <v>6</v>
      </c>
      <c r="C23" s="41">
        <f t="shared" ca="1" si="0"/>
        <v>5.2273764626264052</v>
      </c>
      <c r="D23" s="41">
        <f t="shared" ca="1" si="1"/>
        <v>20.272232553268537</v>
      </c>
      <c r="F23" s="12">
        <f ca="1">C13</f>
        <v>19.438061099859191</v>
      </c>
      <c r="G23" s="12">
        <f ca="1">C13</f>
        <v>19.438061099859191</v>
      </c>
      <c r="H23" s="12">
        <f ca="1">E13</f>
        <v>18.876122199718377</v>
      </c>
      <c r="I23" s="12">
        <f ca="1">E13</f>
        <v>18.876122199718377</v>
      </c>
    </row>
    <row r="24" spans="2:9" x14ac:dyDescent="0.25">
      <c r="B24" s="9">
        <v>7</v>
      </c>
      <c r="C24" s="41">
        <f t="shared" ca="1" si="0"/>
        <v>4.1115398454306247</v>
      </c>
      <c r="D24" s="41">
        <f t="shared" ca="1" si="1"/>
        <v>20.045006254733174</v>
      </c>
      <c r="F24" s="12">
        <f ca="1">C12</f>
        <v>4.3678735773879822</v>
      </c>
      <c r="G24" s="12">
        <f ca="1">D12</f>
        <v>5.6321264226120178</v>
      </c>
      <c r="H24" s="12">
        <f ca="1">E12</f>
        <v>3.7357471547759644</v>
      </c>
      <c r="I24" s="12">
        <f ca="1">F12</f>
        <v>6.2642528452240356</v>
      </c>
    </row>
    <row r="25" spans="2:9" x14ac:dyDescent="0.25">
      <c r="B25" s="9">
        <v>8</v>
      </c>
      <c r="C25" s="41">
        <f t="shared" ca="1" si="0"/>
        <v>4.3359532674104022</v>
      </c>
      <c r="D25" s="41">
        <f t="shared" ca="1" si="1"/>
        <v>19.862282101122346</v>
      </c>
      <c r="F25" s="12">
        <f ca="1">D13</f>
        <v>20.561938900140809</v>
      </c>
      <c r="G25" s="12">
        <f ca="1">D13</f>
        <v>20.561938900140809</v>
      </c>
      <c r="H25" s="12">
        <f ca="1">F13</f>
        <v>21.123877800281623</v>
      </c>
      <c r="I25" s="12">
        <f ca="1">F13</f>
        <v>21.123877800281623</v>
      </c>
    </row>
    <row r="26" spans="2:9" x14ac:dyDescent="0.25">
      <c r="B26" s="9">
        <v>9</v>
      </c>
      <c r="C26" s="41">
        <f t="shared" ref="C26:C46" ca="1" si="2">RAND()+RANDBETWEEN(4,5)</f>
        <v>5.940052778316538</v>
      </c>
      <c r="D26" s="41">
        <f t="shared" ca="1" si="1"/>
        <v>19.593986498691866</v>
      </c>
      <c r="F26" s="12">
        <f ca="1">C12</f>
        <v>4.3678735773879822</v>
      </c>
      <c r="G26" s="12">
        <f ca="1">D12</f>
        <v>5.6321264226120178</v>
      </c>
      <c r="H26" s="12">
        <f ca="1">E12</f>
        <v>3.7357471547759644</v>
      </c>
      <c r="I26" s="12">
        <f ca="1">F12</f>
        <v>6.2642528452240356</v>
      </c>
    </row>
    <row r="27" spans="2:9" x14ac:dyDescent="0.25">
      <c r="B27" s="9">
        <v>10</v>
      </c>
      <c r="C27" s="41">
        <f t="shared" ca="1" si="2"/>
        <v>4.6117000523172393</v>
      </c>
      <c r="D27" s="41">
        <f t="shared" ca="1" si="1"/>
        <v>20.927851981704137</v>
      </c>
    </row>
    <row r="28" spans="2:9" x14ac:dyDescent="0.25">
      <c r="B28" s="9">
        <v>11</v>
      </c>
      <c r="C28" s="41">
        <f t="shared" ca="1" si="2"/>
        <v>5.1198753001177364</v>
      </c>
      <c r="D28" s="41">
        <f t="shared" ca="1" si="1"/>
        <v>20.053232659235032</v>
      </c>
    </row>
    <row r="29" spans="2:9" x14ac:dyDescent="0.25">
      <c r="B29" s="9">
        <v>12</v>
      </c>
      <c r="C29" s="41">
        <f t="shared" ca="1" si="2"/>
        <v>4.084710495657017</v>
      </c>
      <c r="D29" s="41">
        <f t="shared" ca="1" si="1"/>
        <v>20.549419696481753</v>
      </c>
    </row>
    <row r="30" spans="2:9" x14ac:dyDescent="0.25">
      <c r="B30" s="9">
        <v>13</v>
      </c>
      <c r="C30" s="41">
        <f t="shared" ca="1" si="2"/>
        <v>5.5418586287103393</v>
      </c>
      <c r="D30" s="41">
        <f t="shared" ca="1" si="1"/>
        <v>20.291598736979751</v>
      </c>
    </row>
    <row r="31" spans="2:9" x14ac:dyDescent="0.25">
      <c r="B31" s="9">
        <v>14</v>
      </c>
      <c r="C31" s="41">
        <f t="shared" ca="1" si="2"/>
        <v>4.0681411980653683</v>
      </c>
      <c r="D31" s="41">
        <f t="shared" ca="1" si="1"/>
        <v>19.93372780819427</v>
      </c>
    </row>
    <row r="32" spans="2:9" x14ac:dyDescent="0.25">
      <c r="B32" s="9">
        <v>15</v>
      </c>
      <c r="C32" s="41">
        <f t="shared" ca="1" si="2"/>
        <v>4.3877999783024402</v>
      </c>
      <c r="D32" s="41">
        <f t="shared" ca="1" si="1"/>
        <v>20.584239388474895</v>
      </c>
    </row>
    <row r="33" spans="2:4" x14ac:dyDescent="0.25">
      <c r="B33" s="9">
        <v>16</v>
      </c>
      <c r="C33" s="41">
        <f t="shared" ca="1" si="2"/>
        <v>4.1446403697432403</v>
      </c>
      <c r="D33" s="41">
        <f t="shared" ref="D33:D46" ca="1" si="3">RAND()+RANDBETWEEN(19,20)</f>
        <v>20.984944047599814</v>
      </c>
    </row>
    <row r="34" spans="2:4" x14ac:dyDescent="0.25">
      <c r="B34" s="9">
        <v>17</v>
      </c>
      <c r="C34" s="41">
        <f t="shared" ca="1" si="2"/>
        <v>5.8806102727479956</v>
      </c>
      <c r="D34" s="41">
        <f t="shared" ca="1" si="3"/>
        <v>19.161467379316377</v>
      </c>
    </row>
    <row r="35" spans="2:4" x14ac:dyDescent="0.25">
      <c r="B35" s="9">
        <v>18</v>
      </c>
      <c r="C35" s="41">
        <f t="shared" ca="1" si="2"/>
        <v>5.8060715318576781</v>
      </c>
      <c r="D35" s="41">
        <f t="shared" ca="1" si="3"/>
        <v>19.830821181207707</v>
      </c>
    </row>
    <row r="36" spans="2:4" x14ac:dyDescent="0.25">
      <c r="B36" s="9">
        <v>19</v>
      </c>
      <c r="C36" s="41">
        <f t="shared" ca="1" si="2"/>
        <v>5.3554878572687024</v>
      </c>
      <c r="D36" s="41">
        <f t="shared" ca="1" si="3"/>
        <v>20.259983179074581</v>
      </c>
    </row>
    <row r="37" spans="2:4" x14ac:dyDescent="0.25">
      <c r="B37" s="9">
        <v>20</v>
      </c>
      <c r="C37" s="41">
        <f t="shared" ca="1" si="2"/>
        <v>5.424472014847642</v>
      </c>
      <c r="D37" s="41">
        <f t="shared" ca="1" si="3"/>
        <v>20.25594309931823</v>
      </c>
    </row>
    <row r="38" spans="2:4" x14ac:dyDescent="0.25">
      <c r="B38" s="9">
        <v>21</v>
      </c>
      <c r="C38" s="41">
        <f t="shared" ca="1" si="2"/>
        <v>5.7723872698933398</v>
      </c>
      <c r="D38" s="41">
        <f t="shared" ca="1" si="3"/>
        <v>20.784786097584135</v>
      </c>
    </row>
    <row r="39" spans="2:4" x14ac:dyDescent="0.25">
      <c r="B39" s="9">
        <v>22</v>
      </c>
      <c r="C39" s="41">
        <f t="shared" ca="1" si="2"/>
        <v>5.8512110390703498</v>
      </c>
      <c r="D39" s="41">
        <f t="shared" ca="1" si="3"/>
        <v>19.354144289915016</v>
      </c>
    </row>
    <row r="40" spans="2:4" x14ac:dyDescent="0.25">
      <c r="B40" s="9">
        <v>23</v>
      </c>
      <c r="C40" s="41">
        <f t="shared" ca="1" si="2"/>
        <v>5.3654241891869736</v>
      </c>
      <c r="D40" s="41">
        <f t="shared" ca="1" si="3"/>
        <v>20.821881274399868</v>
      </c>
    </row>
    <row r="41" spans="2:4" x14ac:dyDescent="0.25">
      <c r="B41" s="9">
        <v>24</v>
      </c>
      <c r="C41" s="41">
        <f t="shared" ca="1" si="2"/>
        <v>4.3248030607041628</v>
      </c>
      <c r="D41" s="41">
        <f t="shared" ca="1" si="3"/>
        <v>19.082851580677556</v>
      </c>
    </row>
    <row r="42" spans="2:4" x14ac:dyDescent="0.25">
      <c r="B42" s="9">
        <v>25</v>
      </c>
      <c r="C42" s="41">
        <f t="shared" ca="1" si="2"/>
        <v>4.4920212817140923</v>
      </c>
      <c r="D42" s="41">
        <f t="shared" ca="1" si="3"/>
        <v>19.158204977113034</v>
      </c>
    </row>
    <row r="43" spans="2:4" x14ac:dyDescent="0.25">
      <c r="B43" s="9">
        <v>26</v>
      </c>
      <c r="C43" s="41">
        <f t="shared" ca="1" si="2"/>
        <v>5.1471192982628384</v>
      </c>
      <c r="D43" s="41">
        <f t="shared" ca="1" si="3"/>
        <v>20.231944780969307</v>
      </c>
    </row>
    <row r="44" spans="2:4" x14ac:dyDescent="0.25">
      <c r="B44" s="9">
        <v>27</v>
      </c>
      <c r="C44" s="41">
        <f t="shared" ca="1" si="2"/>
        <v>5.8059193004251881</v>
      </c>
      <c r="D44" s="41">
        <f t="shared" ca="1" si="3"/>
        <v>20.775513372315523</v>
      </c>
    </row>
    <row r="45" spans="2:4" x14ac:dyDescent="0.25">
      <c r="B45" s="9">
        <v>28</v>
      </c>
      <c r="C45" s="41">
        <f t="shared" ca="1" si="2"/>
        <v>4.9047513078878335</v>
      </c>
      <c r="D45" s="41">
        <f t="shared" ca="1" si="3"/>
        <v>20.587856802492112</v>
      </c>
    </row>
    <row r="46" spans="2:4" x14ac:dyDescent="0.25">
      <c r="B46" s="9">
        <v>29</v>
      </c>
      <c r="C46" s="41">
        <f t="shared" ca="1" si="2"/>
        <v>5.1249364414680798</v>
      </c>
      <c r="D46" s="41">
        <f t="shared" ca="1" si="3"/>
        <v>19.859873043516941</v>
      </c>
    </row>
    <row r="47" spans="2:4" x14ac:dyDescent="0.25">
      <c r="B47" s="9">
        <v>30</v>
      </c>
      <c r="C47" s="41"/>
      <c r="D47" s="41"/>
    </row>
    <row r="48" spans="2:4" x14ac:dyDescent="0.25">
      <c r="B48" s="9">
        <v>31</v>
      </c>
      <c r="C48" s="41"/>
      <c r="D48" s="41"/>
    </row>
    <row r="49" spans="2:4" x14ac:dyDescent="0.25">
      <c r="B49" s="106">
        <v>32</v>
      </c>
      <c r="C49" s="41"/>
      <c r="D49" s="41"/>
    </row>
    <row r="50" spans="2:4" x14ac:dyDescent="0.25">
      <c r="B50" s="106">
        <v>33</v>
      </c>
      <c r="C50" s="41"/>
      <c r="D50" s="41"/>
    </row>
    <row r="51" spans="2:4" x14ac:dyDescent="0.25">
      <c r="B51" s="106">
        <v>34</v>
      </c>
      <c r="C51" s="41"/>
      <c r="D51" s="41"/>
    </row>
    <row r="52" spans="2:4" x14ac:dyDescent="0.25">
      <c r="B52" s="106">
        <v>35</v>
      </c>
      <c r="C52" s="41"/>
      <c r="D52" s="41"/>
    </row>
    <row r="53" spans="2:4" x14ac:dyDescent="0.25">
      <c r="B53" s="106">
        <v>36</v>
      </c>
      <c r="C53" s="41"/>
      <c r="D53" s="41"/>
    </row>
    <row r="54" spans="2:4" x14ac:dyDescent="0.25">
      <c r="B54" s="106">
        <v>37</v>
      </c>
      <c r="C54" s="41"/>
      <c r="D54" s="41"/>
    </row>
    <row r="55" spans="2:4" x14ac:dyDescent="0.25">
      <c r="B55" s="106">
        <v>38</v>
      </c>
      <c r="C55" s="41"/>
      <c r="D55" s="41"/>
    </row>
    <row r="56" spans="2:4" x14ac:dyDescent="0.25">
      <c r="B56" s="106">
        <v>39</v>
      </c>
      <c r="C56" s="41"/>
      <c r="D56" s="41"/>
    </row>
    <row r="57" spans="2:4" x14ac:dyDescent="0.25">
      <c r="B57" s="106">
        <v>40</v>
      </c>
      <c r="C57" s="41"/>
      <c r="D57" s="41"/>
    </row>
  </sheetData>
  <mergeCells count="11">
    <mergeCell ref="M3:N3"/>
    <mergeCell ref="I3:J3"/>
    <mergeCell ref="I6:J6"/>
    <mergeCell ref="F16:I16"/>
    <mergeCell ref="F22:I22"/>
    <mergeCell ref="B3:H8"/>
    <mergeCell ref="C11:D11"/>
    <mergeCell ref="E11:F11"/>
    <mergeCell ref="G11:H11"/>
    <mergeCell ref="C10:H10"/>
    <mergeCell ref="C16:D16"/>
  </mergeCells>
  <pageMargins left="0.7" right="0.7" top="0.75" bottom="0.75" header="0.3" footer="0.3"/>
  <pageSetup paperSize="9" orientation="portrait" horizontalDpi="300" verticalDpi="30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C2:H55"/>
  <sheetViews>
    <sheetView showGridLines="0" zoomScale="85" zoomScaleNormal="85" workbookViewId="0">
      <pane ySplit="18" topLeftCell="A19" activePane="bottomLeft" state="frozen"/>
      <selection pane="bottomLeft" activeCell="M22" sqref="M22"/>
    </sheetView>
  </sheetViews>
  <sheetFormatPr baseColWidth="10" defaultColWidth="9.140625" defaultRowHeight="15" x14ac:dyDescent="0.25"/>
  <cols>
    <col min="5" max="5" width="10.7109375" customWidth="1"/>
  </cols>
  <sheetData>
    <row r="2" spans="3:3" x14ac:dyDescent="0.25">
      <c r="C2" t="s">
        <v>176</v>
      </c>
    </row>
    <row r="3" spans="3:3" x14ac:dyDescent="0.25">
      <c r="C3" t="s">
        <v>174</v>
      </c>
    </row>
    <row r="4" spans="3:3" x14ac:dyDescent="0.25">
      <c r="C4" s="67"/>
    </row>
    <row r="21" spans="3:8" x14ac:dyDescent="0.25">
      <c r="C21" s="198" t="s">
        <v>8</v>
      </c>
      <c r="D21" s="198"/>
    </row>
    <row r="22" spans="3:8" x14ac:dyDescent="0.25">
      <c r="C22" s="212">
        <v>9.3970000000000002</v>
      </c>
      <c r="D22" s="212"/>
    </row>
    <row r="23" spans="3:8" x14ac:dyDescent="0.25">
      <c r="C23" s="9" t="s">
        <v>4</v>
      </c>
      <c r="D23" s="9" t="s">
        <v>9</v>
      </c>
      <c r="E23" s="9" t="s">
        <v>10</v>
      </c>
      <c r="F23" s="9" t="s">
        <v>12</v>
      </c>
      <c r="G23" s="13" t="s">
        <v>70</v>
      </c>
      <c r="H23" s="13" t="s">
        <v>136</v>
      </c>
    </row>
    <row r="24" spans="3:8" x14ac:dyDescent="0.25">
      <c r="C24" s="9">
        <v>1</v>
      </c>
      <c r="D24" s="44">
        <v>9.5</v>
      </c>
      <c r="E24" s="9">
        <f t="shared" ref="E24:E55" si="0">IF(ISNUMBER(D24),D24-$C$22,"")</f>
        <v>0.10299999999999976</v>
      </c>
      <c r="F24" s="9">
        <f>IF(ISNUMBER(D24),E24,"")</f>
        <v>0.10299999999999976</v>
      </c>
      <c r="G24" s="9">
        <f>MEDIAN(F24,F25,F26,F27,F28,F29,F30,F31,F32,F33,F34,F35)</f>
        <v>0.17649999999999899</v>
      </c>
      <c r="H24" s="46" t="str">
        <f>IF(F24&lt;G24,"-","+")</f>
        <v>-</v>
      </c>
    </row>
    <row r="25" spans="3:8" x14ac:dyDescent="0.25">
      <c r="C25" s="9">
        <v>2</v>
      </c>
      <c r="D25" s="44">
        <v>9.36</v>
      </c>
      <c r="E25" s="9">
        <f t="shared" si="0"/>
        <v>-3.700000000000081E-2</v>
      </c>
      <c r="F25" s="9">
        <f>IF(ISNUMBER(D25),E25+F24,"")</f>
        <v>6.5999999999998948E-2</v>
      </c>
      <c r="G25" s="66">
        <f t="shared" ref="G25:G35" si="1">IF(D25="","",G24)</f>
        <v>0.17649999999999899</v>
      </c>
      <c r="H25" s="66" t="str">
        <f t="shared" ref="H25:H36" si="2">IF(D25="","",IF(F25&lt;G25,"-","+"))</f>
        <v>-</v>
      </c>
    </row>
    <row r="26" spans="3:8" x14ac:dyDescent="0.25">
      <c r="C26" s="9">
        <v>3</v>
      </c>
      <c r="D26" s="44">
        <v>9.3000000000000007</v>
      </c>
      <c r="E26" s="9">
        <f t="shared" si="0"/>
        <v>-9.6999999999999531E-2</v>
      </c>
      <c r="F26" s="9">
        <f t="shared" ref="F26:F55" si="3">IF(ISNUMBER(D26),E26+F25,"")</f>
        <v>-3.1000000000000583E-2</v>
      </c>
      <c r="G26" s="66">
        <f t="shared" si="1"/>
        <v>0.17649999999999899</v>
      </c>
      <c r="H26" s="66" t="str">
        <f t="shared" si="2"/>
        <v>-</v>
      </c>
    </row>
    <row r="27" spans="3:8" x14ac:dyDescent="0.25">
      <c r="C27" s="9">
        <v>4</v>
      </c>
      <c r="D27" s="44">
        <v>9.5</v>
      </c>
      <c r="E27" s="9">
        <f t="shared" si="0"/>
        <v>0.10299999999999976</v>
      </c>
      <c r="F27" s="9">
        <f t="shared" si="3"/>
        <v>7.1999999999999176E-2</v>
      </c>
      <c r="G27" s="66">
        <f t="shared" si="1"/>
        <v>0.17649999999999899</v>
      </c>
      <c r="H27" s="66" t="str">
        <f t="shared" si="2"/>
        <v>-</v>
      </c>
    </row>
    <row r="28" spans="3:8" x14ac:dyDescent="0.25">
      <c r="C28" s="9">
        <v>5</v>
      </c>
      <c r="D28" s="44">
        <v>9.5</v>
      </c>
      <c r="E28" s="9">
        <f t="shared" si="0"/>
        <v>0.10299999999999976</v>
      </c>
      <c r="F28" s="9">
        <f t="shared" si="3"/>
        <v>0.17499999999999893</v>
      </c>
      <c r="G28" s="66">
        <f t="shared" si="1"/>
        <v>0.17649999999999899</v>
      </c>
      <c r="H28" s="66" t="str">
        <f t="shared" si="2"/>
        <v>-</v>
      </c>
    </row>
    <row r="29" spans="3:8" x14ac:dyDescent="0.25">
      <c r="C29" s="9">
        <v>6</v>
      </c>
      <c r="D29" s="44">
        <v>9.4</v>
      </c>
      <c r="E29" s="9">
        <f t="shared" si="0"/>
        <v>3.0000000000001137E-3</v>
      </c>
      <c r="F29" s="9">
        <f t="shared" si="3"/>
        <v>0.17799999999999905</v>
      </c>
      <c r="G29" s="66">
        <f t="shared" si="1"/>
        <v>0.17649999999999899</v>
      </c>
      <c r="H29" s="66" t="str">
        <f t="shared" si="2"/>
        <v>+</v>
      </c>
    </row>
    <row r="30" spans="3:8" x14ac:dyDescent="0.25">
      <c r="C30" s="9">
        <v>7</v>
      </c>
      <c r="D30" s="44">
        <v>9.4</v>
      </c>
      <c r="E30" s="9">
        <f t="shared" si="0"/>
        <v>3.0000000000001137E-3</v>
      </c>
      <c r="F30" s="9">
        <f t="shared" si="3"/>
        <v>0.18099999999999916</v>
      </c>
      <c r="G30" s="66">
        <f t="shared" si="1"/>
        <v>0.17649999999999899</v>
      </c>
      <c r="H30" s="66" t="str">
        <f t="shared" si="2"/>
        <v>+</v>
      </c>
    </row>
    <row r="31" spans="3:8" x14ac:dyDescent="0.25">
      <c r="C31" s="9">
        <v>8</v>
      </c>
      <c r="D31" s="44">
        <v>9.5</v>
      </c>
      <c r="E31" s="9">
        <f t="shared" si="0"/>
        <v>0.10299999999999976</v>
      </c>
      <c r="F31" s="9">
        <f t="shared" si="3"/>
        <v>0.28399999999999892</v>
      </c>
      <c r="G31" s="66">
        <f t="shared" si="1"/>
        <v>0.17649999999999899</v>
      </c>
      <c r="H31" s="66" t="str">
        <f t="shared" si="2"/>
        <v>+</v>
      </c>
    </row>
    <row r="32" spans="3:8" x14ac:dyDescent="0.25">
      <c r="C32" s="9">
        <v>9</v>
      </c>
      <c r="D32" s="44">
        <v>9.3000000000000007</v>
      </c>
      <c r="E32" s="9">
        <f t="shared" si="0"/>
        <v>-9.6999999999999531E-2</v>
      </c>
      <c r="F32" s="9">
        <f t="shared" si="3"/>
        <v>0.18699999999999939</v>
      </c>
      <c r="G32" s="66">
        <f t="shared" si="1"/>
        <v>0.17649999999999899</v>
      </c>
      <c r="H32" s="66" t="str">
        <f t="shared" si="2"/>
        <v>+</v>
      </c>
    </row>
    <row r="33" spans="3:8" x14ac:dyDescent="0.25">
      <c r="C33" s="9">
        <v>10</v>
      </c>
      <c r="D33" s="44">
        <v>9.3000000000000007</v>
      </c>
      <c r="E33" s="9">
        <f t="shared" si="0"/>
        <v>-9.6999999999999531E-2</v>
      </c>
      <c r="F33" s="9">
        <f t="shared" si="3"/>
        <v>8.9999999999999858E-2</v>
      </c>
      <c r="G33" s="66">
        <f t="shared" si="1"/>
        <v>0.17649999999999899</v>
      </c>
      <c r="H33" s="66" t="str">
        <f t="shared" si="2"/>
        <v>-</v>
      </c>
    </row>
    <row r="34" spans="3:8" x14ac:dyDescent="0.25">
      <c r="C34" s="9">
        <v>11</v>
      </c>
      <c r="D34" s="44">
        <v>9.5</v>
      </c>
      <c r="E34" s="9">
        <f t="shared" si="0"/>
        <v>0.10299999999999976</v>
      </c>
      <c r="F34" s="9">
        <f t="shared" si="3"/>
        <v>0.19299999999999962</v>
      </c>
      <c r="G34" s="66">
        <f t="shared" si="1"/>
        <v>0.17649999999999899</v>
      </c>
      <c r="H34" s="66" t="str">
        <f t="shared" si="2"/>
        <v>+</v>
      </c>
    </row>
    <row r="35" spans="3:8" x14ac:dyDescent="0.25">
      <c r="C35" s="66">
        <v>12</v>
      </c>
      <c r="D35" s="44">
        <v>9.6</v>
      </c>
      <c r="E35" s="9">
        <f t="shared" si="0"/>
        <v>0.2029999999999994</v>
      </c>
      <c r="F35" s="9">
        <f t="shared" si="3"/>
        <v>0.39599999999999902</v>
      </c>
      <c r="G35" s="66">
        <f t="shared" si="1"/>
        <v>0.17649999999999899</v>
      </c>
      <c r="H35" s="66" t="str">
        <f t="shared" si="2"/>
        <v>+</v>
      </c>
    </row>
    <row r="36" spans="3:8" x14ac:dyDescent="0.25">
      <c r="C36" s="66">
        <v>13</v>
      </c>
      <c r="D36" s="44"/>
      <c r="E36" s="66" t="str">
        <f t="shared" si="0"/>
        <v/>
      </c>
      <c r="F36" s="66" t="str">
        <f t="shared" si="3"/>
        <v/>
      </c>
      <c r="G36" s="66" t="str">
        <f>IF(D36="","",G35)</f>
        <v/>
      </c>
      <c r="H36" s="66" t="str">
        <f t="shared" si="2"/>
        <v/>
      </c>
    </row>
    <row r="37" spans="3:8" x14ac:dyDescent="0.25">
      <c r="C37" s="66">
        <v>14</v>
      </c>
      <c r="D37" s="44"/>
      <c r="E37" s="66" t="str">
        <f t="shared" si="0"/>
        <v/>
      </c>
      <c r="F37" s="66" t="str">
        <f t="shared" si="3"/>
        <v/>
      </c>
      <c r="G37" s="66" t="str">
        <f t="shared" ref="G37:G55" si="4">IF(D37="","",G36)</f>
        <v/>
      </c>
      <c r="H37" s="66" t="str">
        <f t="shared" ref="H37:H55" si="5">IF(D37="","",IF(F37&lt;G37,"-","+"))</f>
        <v/>
      </c>
    </row>
    <row r="38" spans="3:8" x14ac:dyDescent="0.25">
      <c r="C38" s="66">
        <v>15</v>
      </c>
      <c r="D38" s="44"/>
      <c r="E38" s="66" t="str">
        <f t="shared" si="0"/>
        <v/>
      </c>
      <c r="F38" s="66" t="str">
        <f t="shared" si="3"/>
        <v/>
      </c>
      <c r="G38" s="66" t="str">
        <f t="shared" si="4"/>
        <v/>
      </c>
      <c r="H38" s="66" t="str">
        <f t="shared" si="5"/>
        <v/>
      </c>
    </row>
    <row r="39" spans="3:8" x14ac:dyDescent="0.25">
      <c r="C39" s="66">
        <v>16</v>
      </c>
      <c r="D39" s="44"/>
      <c r="E39" s="66" t="str">
        <f t="shared" si="0"/>
        <v/>
      </c>
      <c r="F39" s="66" t="str">
        <f t="shared" si="3"/>
        <v/>
      </c>
      <c r="G39" s="66" t="str">
        <f t="shared" si="4"/>
        <v/>
      </c>
      <c r="H39" s="66" t="str">
        <f t="shared" si="5"/>
        <v/>
      </c>
    </row>
    <row r="40" spans="3:8" x14ac:dyDescent="0.25">
      <c r="C40" s="66">
        <v>17</v>
      </c>
      <c r="D40" s="44"/>
      <c r="E40" s="66" t="str">
        <f t="shared" si="0"/>
        <v/>
      </c>
      <c r="F40" s="66" t="str">
        <f t="shared" si="3"/>
        <v/>
      </c>
      <c r="G40" s="66" t="str">
        <f t="shared" si="4"/>
        <v/>
      </c>
      <c r="H40" s="66" t="str">
        <f t="shared" si="5"/>
        <v/>
      </c>
    </row>
    <row r="41" spans="3:8" x14ac:dyDescent="0.25">
      <c r="C41" s="66">
        <v>18</v>
      </c>
      <c r="D41" s="44"/>
      <c r="E41" s="66" t="str">
        <f t="shared" si="0"/>
        <v/>
      </c>
      <c r="F41" s="66" t="str">
        <f t="shared" si="3"/>
        <v/>
      </c>
      <c r="G41" s="66" t="str">
        <f t="shared" si="4"/>
        <v/>
      </c>
      <c r="H41" s="66" t="str">
        <f t="shared" si="5"/>
        <v/>
      </c>
    </row>
    <row r="42" spans="3:8" x14ac:dyDescent="0.25">
      <c r="C42" s="66">
        <v>19</v>
      </c>
      <c r="D42" s="44"/>
      <c r="E42" s="66" t="str">
        <f t="shared" si="0"/>
        <v/>
      </c>
      <c r="F42" s="66" t="str">
        <f t="shared" si="3"/>
        <v/>
      </c>
      <c r="G42" s="66" t="str">
        <f t="shared" si="4"/>
        <v/>
      </c>
      <c r="H42" s="66" t="str">
        <f t="shared" si="5"/>
        <v/>
      </c>
    </row>
    <row r="43" spans="3:8" x14ac:dyDescent="0.25">
      <c r="C43" s="66">
        <v>20</v>
      </c>
      <c r="D43" s="44"/>
      <c r="E43" s="66" t="str">
        <f t="shared" si="0"/>
        <v/>
      </c>
      <c r="F43" s="66" t="str">
        <f t="shared" si="3"/>
        <v/>
      </c>
      <c r="G43" s="66" t="str">
        <f t="shared" si="4"/>
        <v/>
      </c>
      <c r="H43" s="66" t="str">
        <f t="shared" si="5"/>
        <v/>
      </c>
    </row>
    <row r="44" spans="3:8" x14ac:dyDescent="0.25">
      <c r="C44" s="66">
        <v>21</v>
      </c>
      <c r="D44" s="44"/>
      <c r="E44" s="66" t="str">
        <f t="shared" si="0"/>
        <v/>
      </c>
      <c r="F44" s="66" t="str">
        <f t="shared" si="3"/>
        <v/>
      </c>
      <c r="G44" s="66" t="str">
        <f t="shared" si="4"/>
        <v/>
      </c>
      <c r="H44" s="66" t="str">
        <f t="shared" si="5"/>
        <v/>
      </c>
    </row>
    <row r="45" spans="3:8" x14ac:dyDescent="0.25">
      <c r="C45" s="66">
        <v>22</v>
      </c>
      <c r="D45" s="44"/>
      <c r="E45" s="66" t="str">
        <f t="shared" si="0"/>
        <v/>
      </c>
      <c r="F45" s="66" t="str">
        <f t="shared" si="3"/>
        <v/>
      </c>
      <c r="G45" s="66" t="str">
        <f t="shared" si="4"/>
        <v/>
      </c>
      <c r="H45" s="66" t="str">
        <f t="shared" si="5"/>
        <v/>
      </c>
    </row>
    <row r="46" spans="3:8" x14ac:dyDescent="0.25">
      <c r="C46" s="66">
        <v>23</v>
      </c>
      <c r="D46" s="44"/>
      <c r="E46" s="66" t="str">
        <f t="shared" si="0"/>
        <v/>
      </c>
      <c r="F46" s="66" t="str">
        <f t="shared" si="3"/>
        <v/>
      </c>
      <c r="G46" s="66" t="str">
        <f t="shared" si="4"/>
        <v/>
      </c>
      <c r="H46" s="66" t="str">
        <f t="shared" si="5"/>
        <v/>
      </c>
    </row>
    <row r="47" spans="3:8" x14ac:dyDescent="0.25">
      <c r="C47" s="66">
        <v>24</v>
      </c>
      <c r="D47" s="44"/>
      <c r="E47" s="66" t="str">
        <f t="shared" si="0"/>
        <v/>
      </c>
      <c r="F47" s="66" t="str">
        <f t="shared" si="3"/>
        <v/>
      </c>
      <c r="G47" s="66" t="str">
        <f t="shared" si="4"/>
        <v/>
      </c>
      <c r="H47" s="66" t="str">
        <f t="shared" si="5"/>
        <v/>
      </c>
    </row>
    <row r="48" spans="3:8" x14ac:dyDescent="0.25">
      <c r="C48" s="66">
        <v>25</v>
      </c>
      <c r="D48" s="44"/>
      <c r="E48" s="66" t="str">
        <f t="shared" si="0"/>
        <v/>
      </c>
      <c r="F48" s="66" t="str">
        <f t="shared" si="3"/>
        <v/>
      </c>
      <c r="G48" s="66" t="str">
        <f t="shared" si="4"/>
        <v/>
      </c>
      <c r="H48" s="66" t="str">
        <f t="shared" si="5"/>
        <v/>
      </c>
    </row>
    <row r="49" spans="3:8" x14ac:dyDescent="0.25">
      <c r="C49" s="66">
        <v>26</v>
      </c>
      <c r="D49" s="44"/>
      <c r="E49" s="66" t="str">
        <f t="shared" si="0"/>
        <v/>
      </c>
      <c r="F49" s="66" t="str">
        <f t="shared" si="3"/>
        <v/>
      </c>
      <c r="G49" s="66" t="str">
        <f t="shared" si="4"/>
        <v/>
      </c>
      <c r="H49" s="66" t="str">
        <f t="shared" si="5"/>
        <v/>
      </c>
    </row>
    <row r="50" spans="3:8" x14ac:dyDescent="0.25">
      <c r="C50" s="66">
        <v>27</v>
      </c>
      <c r="D50" s="44"/>
      <c r="E50" s="66" t="str">
        <f t="shared" si="0"/>
        <v/>
      </c>
      <c r="F50" s="66" t="str">
        <f t="shared" si="3"/>
        <v/>
      </c>
      <c r="G50" s="66" t="str">
        <f t="shared" si="4"/>
        <v/>
      </c>
      <c r="H50" s="66" t="str">
        <f t="shared" si="5"/>
        <v/>
      </c>
    </row>
    <row r="51" spans="3:8" x14ac:dyDescent="0.25">
      <c r="C51" s="66">
        <v>28</v>
      </c>
      <c r="D51" s="44"/>
      <c r="E51" s="66" t="str">
        <f t="shared" si="0"/>
        <v/>
      </c>
      <c r="F51" s="66" t="str">
        <f t="shared" si="3"/>
        <v/>
      </c>
      <c r="G51" s="66" t="str">
        <f t="shared" si="4"/>
        <v/>
      </c>
      <c r="H51" s="66" t="str">
        <f t="shared" si="5"/>
        <v/>
      </c>
    </row>
    <row r="52" spans="3:8" x14ac:dyDescent="0.25">
      <c r="C52" s="66">
        <v>29</v>
      </c>
      <c r="D52" s="44"/>
      <c r="E52" s="66" t="str">
        <f t="shared" si="0"/>
        <v/>
      </c>
      <c r="F52" s="66" t="str">
        <f t="shared" si="3"/>
        <v/>
      </c>
      <c r="G52" s="66" t="str">
        <f t="shared" si="4"/>
        <v/>
      </c>
      <c r="H52" s="66" t="str">
        <f t="shared" si="5"/>
        <v/>
      </c>
    </row>
    <row r="53" spans="3:8" x14ac:dyDescent="0.25">
      <c r="C53" s="66">
        <v>30</v>
      </c>
      <c r="D53" s="44"/>
      <c r="E53" s="66" t="str">
        <f t="shared" si="0"/>
        <v/>
      </c>
      <c r="F53" s="66" t="str">
        <f t="shared" si="3"/>
        <v/>
      </c>
      <c r="G53" s="66" t="str">
        <f t="shared" si="4"/>
        <v/>
      </c>
      <c r="H53" s="66" t="str">
        <f t="shared" si="5"/>
        <v/>
      </c>
    </row>
    <row r="54" spans="3:8" x14ac:dyDescent="0.25">
      <c r="C54" s="66">
        <v>31</v>
      </c>
      <c r="D54" s="44"/>
      <c r="E54" s="66" t="str">
        <f t="shared" si="0"/>
        <v/>
      </c>
      <c r="F54" s="66" t="str">
        <f t="shared" si="3"/>
        <v/>
      </c>
      <c r="G54" s="66" t="str">
        <f t="shared" si="4"/>
        <v/>
      </c>
      <c r="H54" s="66" t="str">
        <f t="shared" si="5"/>
        <v/>
      </c>
    </row>
    <row r="55" spans="3:8" x14ac:dyDescent="0.25">
      <c r="C55" s="66">
        <v>32</v>
      </c>
      <c r="D55" s="44"/>
      <c r="E55" s="66" t="str">
        <f t="shared" si="0"/>
        <v/>
      </c>
      <c r="F55" s="66" t="str">
        <f t="shared" si="3"/>
        <v/>
      </c>
      <c r="G55" s="66" t="str">
        <f t="shared" si="4"/>
        <v/>
      </c>
      <c r="H55" s="66" t="str">
        <f t="shared" si="5"/>
        <v/>
      </c>
    </row>
  </sheetData>
  <mergeCells count="2">
    <mergeCell ref="C21:D21"/>
    <mergeCell ref="C22:D22"/>
  </mergeCells>
  <pageMargins left="0.7" right="0.7" top="0.75" bottom="0.75" header="0.3" footer="0.3"/>
  <pageSetup paperSize="9" orientation="portrait" horizontalDpi="300" verticalDpi="300"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P61"/>
  <sheetViews>
    <sheetView showGridLines="0" tabSelected="1" zoomScale="85" zoomScaleNormal="85" workbookViewId="0">
      <pane ySplit="26" topLeftCell="A27" activePane="bottomLeft" state="frozen"/>
      <selection pane="bottomLeft" activeCell="P40" sqref="P40"/>
    </sheetView>
  </sheetViews>
  <sheetFormatPr baseColWidth="10" defaultColWidth="9.140625" defaultRowHeight="15" x14ac:dyDescent="0.25"/>
  <cols>
    <col min="6" max="6" width="10.42578125" customWidth="1"/>
  </cols>
  <sheetData>
    <row r="2" spans="3:12" x14ac:dyDescent="0.25">
      <c r="C2" s="213" t="s">
        <v>175</v>
      </c>
      <c r="D2" s="213"/>
      <c r="E2" s="213"/>
      <c r="F2" s="213"/>
      <c r="G2" s="213"/>
      <c r="H2" s="213"/>
      <c r="I2" s="213"/>
      <c r="J2" s="213"/>
      <c r="K2" s="213"/>
      <c r="L2" s="213"/>
    </row>
    <row r="3" spans="3:12" x14ac:dyDescent="0.25">
      <c r="C3" s="213"/>
      <c r="D3" s="213"/>
      <c r="E3" s="213"/>
      <c r="F3" s="213"/>
      <c r="G3" s="213"/>
      <c r="H3" s="213"/>
      <c r="I3" s="213"/>
      <c r="J3" s="213"/>
      <c r="K3" s="213"/>
      <c r="L3" s="213"/>
    </row>
    <row r="4" spans="3:12" x14ac:dyDescent="0.25">
      <c r="C4" s="10" t="s">
        <v>166</v>
      </c>
      <c r="D4" s="18">
        <v>2</v>
      </c>
      <c r="E4" t="s">
        <v>227</v>
      </c>
    </row>
    <row r="5" spans="3:12" x14ac:dyDescent="0.25">
      <c r="C5" s="10" t="s">
        <v>167</v>
      </c>
      <c r="D5" s="18">
        <v>1.5</v>
      </c>
      <c r="E5" t="s">
        <v>228</v>
      </c>
    </row>
    <row r="7" spans="3:12" x14ac:dyDescent="0.25">
      <c r="C7" s="10" t="s">
        <v>15</v>
      </c>
      <c r="D7" s="12">
        <f>SQRT((3*D4^2)+(3*D5^2))</f>
        <v>4.3301270189221936</v>
      </c>
    </row>
    <row r="8" spans="3:12" x14ac:dyDescent="0.25">
      <c r="F8" s="10"/>
      <c r="G8" s="84"/>
    </row>
    <row r="26" spans="2:16" x14ac:dyDescent="0.25">
      <c r="B26" s="172"/>
      <c r="C26" s="172"/>
      <c r="D26" s="172"/>
      <c r="E26" s="172"/>
      <c r="F26" s="172"/>
      <c r="G26" s="172"/>
      <c r="H26" s="172"/>
      <c r="I26" s="172"/>
      <c r="J26" s="172"/>
      <c r="K26" s="172"/>
      <c r="L26" s="172"/>
      <c r="M26" s="172"/>
      <c r="N26" s="172"/>
      <c r="O26" s="172"/>
      <c r="P26" s="172"/>
    </row>
    <row r="28" spans="2:16" x14ac:dyDescent="0.25">
      <c r="C28" t="s">
        <v>168</v>
      </c>
    </row>
    <row r="29" spans="2:16" x14ac:dyDescent="0.25">
      <c r="C29" s="9" t="s">
        <v>4</v>
      </c>
      <c r="D29" s="9" t="s">
        <v>13</v>
      </c>
      <c r="E29" s="9" t="s">
        <v>14</v>
      </c>
      <c r="F29" s="9" t="s">
        <v>177</v>
      </c>
      <c r="G29" s="9" t="s">
        <v>11</v>
      </c>
      <c r="H29" s="13" t="s">
        <v>178</v>
      </c>
      <c r="I29" s="13" t="s">
        <v>179</v>
      </c>
      <c r="J29" s="13" t="s">
        <v>214</v>
      </c>
    </row>
    <row r="30" spans="2:16" x14ac:dyDescent="0.25">
      <c r="C30" s="9">
        <v>1</v>
      </c>
      <c r="D30" s="11">
        <v>10</v>
      </c>
      <c r="E30" s="11">
        <v>11</v>
      </c>
      <c r="F30" s="9">
        <f>D30-E30</f>
        <v>-1</v>
      </c>
      <c r="G30" s="9">
        <f>IF(ISNUMBER(D30),F30,"")</f>
        <v>-1</v>
      </c>
      <c r="H30" s="12">
        <f>D7</f>
        <v>4.3301270189221936</v>
      </c>
      <c r="I30" s="12">
        <f>-H30</f>
        <v>-4.3301270189221936</v>
      </c>
      <c r="J30" s="106" t="str">
        <f>IF(ABS(G30)&gt;H30,"X","")</f>
        <v/>
      </c>
    </row>
    <row r="31" spans="2:16" x14ac:dyDescent="0.25">
      <c r="C31" s="9">
        <v>2</v>
      </c>
      <c r="D31" s="11">
        <v>12</v>
      </c>
      <c r="E31" s="11">
        <v>12</v>
      </c>
      <c r="F31" s="9">
        <f>IF(ISNUMBER(D31),D31-E31,"")</f>
        <v>0</v>
      </c>
      <c r="G31" s="9">
        <f>IF(ISNUMBER(D31),F31+G30,"")</f>
        <v>-1</v>
      </c>
      <c r="H31" s="12">
        <f>H30</f>
        <v>4.3301270189221936</v>
      </c>
      <c r="I31" s="12">
        <f t="shared" ref="I31:I60" si="0">-H31</f>
        <v>-4.3301270189221936</v>
      </c>
      <c r="J31" s="106" t="str">
        <f t="shared" ref="J31:J60" si="1">IF(ABS(G31)&gt;H31,"X","")</f>
        <v/>
      </c>
    </row>
    <row r="32" spans="2:16" x14ac:dyDescent="0.25">
      <c r="C32" s="9">
        <v>3</v>
      </c>
      <c r="D32" s="11">
        <v>10</v>
      </c>
      <c r="E32" s="11">
        <v>12</v>
      </c>
      <c r="F32" s="9">
        <f t="shared" ref="F32:F60" si="2">IF(ISNUMBER(D32),D32-E32,"")</f>
        <v>-2</v>
      </c>
      <c r="G32" s="9">
        <f t="shared" ref="G32:G60" si="3">IF(ISNUMBER(D32),F32+G31,"")</f>
        <v>-3</v>
      </c>
      <c r="H32" s="12">
        <f t="shared" ref="H32:H60" si="4">H31</f>
        <v>4.3301270189221936</v>
      </c>
      <c r="I32" s="12">
        <f t="shared" si="0"/>
        <v>-4.3301270189221936</v>
      </c>
      <c r="J32" s="106" t="str">
        <f t="shared" si="1"/>
        <v/>
      </c>
    </row>
    <row r="33" spans="3:10" x14ac:dyDescent="0.25">
      <c r="C33" s="9">
        <v>4</v>
      </c>
      <c r="D33" s="11">
        <v>11</v>
      </c>
      <c r="E33" s="11">
        <v>10</v>
      </c>
      <c r="F33" s="9">
        <f t="shared" si="2"/>
        <v>1</v>
      </c>
      <c r="G33" s="9">
        <f t="shared" si="3"/>
        <v>-2</v>
      </c>
      <c r="H33" s="12">
        <f t="shared" si="4"/>
        <v>4.3301270189221936</v>
      </c>
      <c r="I33" s="12">
        <f t="shared" si="0"/>
        <v>-4.3301270189221936</v>
      </c>
      <c r="J33" s="106" t="str">
        <f t="shared" si="1"/>
        <v/>
      </c>
    </row>
    <row r="34" spans="3:10" x14ac:dyDescent="0.25">
      <c r="C34" s="9">
        <v>5</v>
      </c>
      <c r="D34" s="11">
        <v>12</v>
      </c>
      <c r="E34" s="11">
        <v>10</v>
      </c>
      <c r="F34" s="9">
        <f t="shared" si="2"/>
        <v>2</v>
      </c>
      <c r="G34" s="9">
        <f t="shared" si="3"/>
        <v>0</v>
      </c>
      <c r="H34" s="12">
        <f t="shared" si="4"/>
        <v>4.3301270189221936</v>
      </c>
      <c r="I34" s="12">
        <f t="shared" si="0"/>
        <v>-4.3301270189221936</v>
      </c>
      <c r="J34" s="106" t="str">
        <f t="shared" si="1"/>
        <v/>
      </c>
    </row>
    <row r="35" spans="3:10" x14ac:dyDescent="0.25">
      <c r="C35" s="9">
        <v>6</v>
      </c>
      <c r="D35" s="11">
        <v>11</v>
      </c>
      <c r="E35" s="11">
        <v>10</v>
      </c>
      <c r="F35" s="9">
        <f t="shared" si="2"/>
        <v>1</v>
      </c>
      <c r="G35" s="9">
        <f t="shared" si="3"/>
        <v>1</v>
      </c>
      <c r="H35" s="12">
        <f t="shared" si="4"/>
        <v>4.3301270189221936</v>
      </c>
      <c r="I35" s="12">
        <f t="shared" si="0"/>
        <v>-4.3301270189221936</v>
      </c>
      <c r="J35" s="106" t="str">
        <f t="shared" si="1"/>
        <v/>
      </c>
    </row>
    <row r="36" spans="3:10" x14ac:dyDescent="0.25">
      <c r="C36" s="9">
        <v>7</v>
      </c>
      <c r="D36" s="11">
        <v>11</v>
      </c>
      <c r="E36" s="11">
        <v>10</v>
      </c>
      <c r="F36" s="9">
        <f t="shared" si="2"/>
        <v>1</v>
      </c>
      <c r="G36" s="9">
        <f t="shared" si="3"/>
        <v>2</v>
      </c>
      <c r="H36" s="12">
        <f t="shared" si="4"/>
        <v>4.3301270189221936</v>
      </c>
      <c r="I36" s="12">
        <f t="shared" si="0"/>
        <v>-4.3301270189221936</v>
      </c>
      <c r="J36" s="106" t="str">
        <f t="shared" si="1"/>
        <v/>
      </c>
    </row>
    <row r="37" spans="3:10" x14ac:dyDescent="0.25">
      <c r="C37" s="9">
        <v>8</v>
      </c>
      <c r="D37" s="11">
        <v>12</v>
      </c>
      <c r="E37" s="11">
        <v>10</v>
      </c>
      <c r="F37" s="9">
        <f t="shared" si="2"/>
        <v>2</v>
      </c>
      <c r="G37" s="9">
        <f>IF(ISNUMBER(D37),F37+G36,"")</f>
        <v>4</v>
      </c>
      <c r="H37" s="12">
        <f t="shared" si="4"/>
        <v>4.3301270189221936</v>
      </c>
      <c r="I37" s="12">
        <f t="shared" si="0"/>
        <v>-4.3301270189221936</v>
      </c>
      <c r="J37" s="106" t="str">
        <f t="shared" si="1"/>
        <v/>
      </c>
    </row>
    <row r="38" spans="3:10" x14ac:dyDescent="0.25">
      <c r="C38" s="9">
        <v>9</v>
      </c>
      <c r="D38" s="11">
        <v>11</v>
      </c>
      <c r="E38" s="11">
        <v>12</v>
      </c>
      <c r="F38" s="9">
        <f t="shared" si="2"/>
        <v>-1</v>
      </c>
      <c r="G38" s="9">
        <f t="shared" si="3"/>
        <v>3</v>
      </c>
      <c r="H38" s="12">
        <f t="shared" si="4"/>
        <v>4.3301270189221936</v>
      </c>
      <c r="I38" s="12">
        <f t="shared" si="0"/>
        <v>-4.3301270189221936</v>
      </c>
      <c r="J38" s="106" t="str">
        <f t="shared" si="1"/>
        <v/>
      </c>
    </row>
    <row r="39" spans="3:10" x14ac:dyDescent="0.25">
      <c r="C39" s="9">
        <v>10</v>
      </c>
      <c r="D39" s="11">
        <v>10</v>
      </c>
      <c r="E39" s="11">
        <v>10</v>
      </c>
      <c r="F39" s="9">
        <f t="shared" si="2"/>
        <v>0</v>
      </c>
      <c r="G39" s="9">
        <f t="shared" si="3"/>
        <v>3</v>
      </c>
      <c r="H39" s="12">
        <f t="shared" si="4"/>
        <v>4.3301270189221936</v>
      </c>
      <c r="I39" s="12">
        <f t="shared" si="0"/>
        <v>-4.3301270189221936</v>
      </c>
      <c r="J39" s="106" t="str">
        <f t="shared" si="1"/>
        <v/>
      </c>
    </row>
    <row r="40" spans="3:10" x14ac:dyDescent="0.25">
      <c r="C40" s="9">
        <v>11</v>
      </c>
      <c r="D40" s="11">
        <v>10</v>
      </c>
      <c r="E40" s="11">
        <v>10</v>
      </c>
      <c r="F40" s="9">
        <f t="shared" si="2"/>
        <v>0</v>
      </c>
      <c r="G40" s="9">
        <f t="shared" si="3"/>
        <v>3</v>
      </c>
      <c r="H40" s="12">
        <f t="shared" si="4"/>
        <v>4.3301270189221936</v>
      </c>
      <c r="I40" s="12">
        <f t="shared" si="0"/>
        <v>-4.3301270189221936</v>
      </c>
      <c r="J40" s="106" t="str">
        <f t="shared" si="1"/>
        <v/>
      </c>
    </row>
    <row r="41" spans="3:10" x14ac:dyDescent="0.25">
      <c r="C41" s="9">
        <v>12</v>
      </c>
      <c r="D41" s="11">
        <v>12</v>
      </c>
      <c r="E41" s="11">
        <v>11</v>
      </c>
      <c r="F41" s="9">
        <f t="shared" si="2"/>
        <v>1</v>
      </c>
      <c r="G41" s="9">
        <f t="shared" si="3"/>
        <v>4</v>
      </c>
      <c r="H41" s="12">
        <f t="shared" si="4"/>
        <v>4.3301270189221936</v>
      </c>
      <c r="I41" s="12">
        <f t="shared" si="0"/>
        <v>-4.3301270189221936</v>
      </c>
      <c r="J41" s="106" t="str">
        <f t="shared" si="1"/>
        <v/>
      </c>
    </row>
    <row r="42" spans="3:10" x14ac:dyDescent="0.25">
      <c r="C42" s="9">
        <v>13</v>
      </c>
      <c r="D42" s="11">
        <v>11</v>
      </c>
      <c r="E42" s="11">
        <v>10</v>
      </c>
      <c r="F42" s="9">
        <f t="shared" si="2"/>
        <v>1</v>
      </c>
      <c r="G42" s="9">
        <f t="shared" si="3"/>
        <v>5</v>
      </c>
      <c r="H42" s="12">
        <f t="shared" si="4"/>
        <v>4.3301270189221936</v>
      </c>
      <c r="I42" s="12">
        <f t="shared" si="0"/>
        <v>-4.3301270189221936</v>
      </c>
      <c r="J42" s="106" t="str">
        <f t="shared" si="1"/>
        <v>X</v>
      </c>
    </row>
    <row r="43" spans="3:10" x14ac:dyDescent="0.25">
      <c r="C43" s="9">
        <v>14</v>
      </c>
      <c r="D43" s="11">
        <v>12</v>
      </c>
      <c r="E43" s="11">
        <v>12</v>
      </c>
      <c r="F43" s="9">
        <f t="shared" si="2"/>
        <v>0</v>
      </c>
      <c r="G43" s="9">
        <f t="shared" si="3"/>
        <v>5</v>
      </c>
      <c r="H43" s="12">
        <f t="shared" si="4"/>
        <v>4.3301270189221936</v>
      </c>
      <c r="I43" s="12">
        <f t="shared" si="0"/>
        <v>-4.3301270189221936</v>
      </c>
      <c r="J43" s="106" t="str">
        <f t="shared" si="1"/>
        <v>X</v>
      </c>
    </row>
    <row r="44" spans="3:10" x14ac:dyDescent="0.25">
      <c r="C44" s="9">
        <v>15</v>
      </c>
      <c r="D44" s="11"/>
      <c r="E44" s="11"/>
      <c r="F44" s="9" t="str">
        <f t="shared" si="2"/>
        <v/>
      </c>
      <c r="G44" s="9" t="str">
        <f t="shared" si="3"/>
        <v/>
      </c>
      <c r="H44" s="12">
        <f t="shared" si="4"/>
        <v>4.3301270189221936</v>
      </c>
      <c r="I44" s="12">
        <f t="shared" si="0"/>
        <v>-4.3301270189221936</v>
      </c>
      <c r="J44" s="106" t="e">
        <f t="shared" si="1"/>
        <v>#VALUE!</v>
      </c>
    </row>
    <row r="45" spans="3:10" x14ac:dyDescent="0.25">
      <c r="C45" s="9">
        <v>16</v>
      </c>
      <c r="D45" s="11"/>
      <c r="E45" s="11"/>
      <c r="F45" s="9" t="str">
        <f t="shared" si="2"/>
        <v/>
      </c>
      <c r="G45" s="9" t="str">
        <f t="shared" si="3"/>
        <v/>
      </c>
      <c r="H45" s="12">
        <f t="shared" si="4"/>
        <v>4.3301270189221936</v>
      </c>
      <c r="I45" s="12">
        <f t="shared" si="0"/>
        <v>-4.3301270189221936</v>
      </c>
      <c r="J45" s="106" t="e">
        <f t="shared" si="1"/>
        <v>#VALUE!</v>
      </c>
    </row>
    <row r="46" spans="3:10" x14ac:dyDescent="0.25">
      <c r="C46" s="9">
        <v>17</v>
      </c>
      <c r="D46" s="11"/>
      <c r="E46" s="11"/>
      <c r="F46" s="9" t="str">
        <f t="shared" si="2"/>
        <v/>
      </c>
      <c r="G46" s="9" t="str">
        <f t="shared" si="3"/>
        <v/>
      </c>
      <c r="H46" s="12">
        <f t="shared" si="4"/>
        <v>4.3301270189221936</v>
      </c>
      <c r="I46" s="12">
        <f t="shared" si="0"/>
        <v>-4.3301270189221936</v>
      </c>
      <c r="J46" s="106" t="e">
        <f t="shared" si="1"/>
        <v>#VALUE!</v>
      </c>
    </row>
    <row r="47" spans="3:10" x14ac:dyDescent="0.25">
      <c r="C47" s="9">
        <v>18</v>
      </c>
      <c r="D47" s="11"/>
      <c r="E47" s="11"/>
      <c r="F47" s="9" t="str">
        <f t="shared" si="2"/>
        <v/>
      </c>
      <c r="G47" s="9" t="str">
        <f t="shared" si="3"/>
        <v/>
      </c>
      <c r="H47" s="12">
        <f t="shared" si="4"/>
        <v>4.3301270189221936</v>
      </c>
      <c r="I47" s="12">
        <f t="shared" si="0"/>
        <v>-4.3301270189221936</v>
      </c>
      <c r="J47" s="106" t="e">
        <f t="shared" si="1"/>
        <v>#VALUE!</v>
      </c>
    </row>
    <row r="48" spans="3:10" x14ac:dyDescent="0.25">
      <c r="C48" s="9">
        <v>19</v>
      </c>
      <c r="D48" s="11"/>
      <c r="E48" s="11"/>
      <c r="F48" s="9" t="str">
        <f t="shared" si="2"/>
        <v/>
      </c>
      <c r="G48" s="9" t="str">
        <f t="shared" si="3"/>
        <v/>
      </c>
      <c r="H48" s="12">
        <f t="shared" si="4"/>
        <v>4.3301270189221936</v>
      </c>
      <c r="I48" s="12">
        <f t="shared" si="0"/>
        <v>-4.3301270189221936</v>
      </c>
      <c r="J48" s="106" t="e">
        <f t="shared" si="1"/>
        <v>#VALUE!</v>
      </c>
    </row>
    <row r="49" spans="3:10" x14ac:dyDescent="0.25">
      <c r="C49" s="9">
        <v>20</v>
      </c>
      <c r="D49" s="11"/>
      <c r="E49" s="11"/>
      <c r="F49" s="9" t="str">
        <f t="shared" si="2"/>
        <v/>
      </c>
      <c r="G49" s="9" t="str">
        <f t="shared" si="3"/>
        <v/>
      </c>
      <c r="H49" s="12">
        <f t="shared" si="4"/>
        <v>4.3301270189221936</v>
      </c>
      <c r="I49" s="12">
        <f t="shared" si="0"/>
        <v>-4.3301270189221936</v>
      </c>
      <c r="J49" s="106" t="e">
        <f t="shared" si="1"/>
        <v>#VALUE!</v>
      </c>
    </row>
    <row r="50" spans="3:10" x14ac:dyDescent="0.25">
      <c r="C50" s="9">
        <v>21</v>
      </c>
      <c r="D50" s="11"/>
      <c r="E50" s="11"/>
      <c r="F50" s="9" t="str">
        <f t="shared" si="2"/>
        <v/>
      </c>
      <c r="G50" s="9" t="str">
        <f t="shared" si="3"/>
        <v/>
      </c>
      <c r="H50" s="12">
        <f t="shared" si="4"/>
        <v>4.3301270189221936</v>
      </c>
      <c r="I50" s="12">
        <f t="shared" si="0"/>
        <v>-4.3301270189221936</v>
      </c>
      <c r="J50" s="106" t="e">
        <f t="shared" si="1"/>
        <v>#VALUE!</v>
      </c>
    </row>
    <row r="51" spans="3:10" x14ac:dyDescent="0.25">
      <c r="C51" s="9">
        <v>22</v>
      </c>
      <c r="D51" s="11"/>
      <c r="E51" s="11"/>
      <c r="F51" s="9" t="str">
        <f t="shared" si="2"/>
        <v/>
      </c>
      <c r="G51" s="9" t="str">
        <f t="shared" si="3"/>
        <v/>
      </c>
      <c r="H51" s="12">
        <f t="shared" si="4"/>
        <v>4.3301270189221936</v>
      </c>
      <c r="I51" s="12">
        <f t="shared" si="0"/>
        <v>-4.3301270189221936</v>
      </c>
      <c r="J51" s="106" t="e">
        <f t="shared" si="1"/>
        <v>#VALUE!</v>
      </c>
    </row>
    <row r="52" spans="3:10" x14ac:dyDescent="0.25">
      <c r="C52" s="9">
        <v>23</v>
      </c>
      <c r="D52" s="11"/>
      <c r="E52" s="11"/>
      <c r="F52" s="9" t="str">
        <f t="shared" si="2"/>
        <v/>
      </c>
      <c r="G52" s="9" t="str">
        <f t="shared" si="3"/>
        <v/>
      </c>
      <c r="H52" s="12">
        <f t="shared" si="4"/>
        <v>4.3301270189221936</v>
      </c>
      <c r="I52" s="12">
        <f t="shared" si="0"/>
        <v>-4.3301270189221936</v>
      </c>
      <c r="J52" s="106" t="e">
        <f t="shared" si="1"/>
        <v>#VALUE!</v>
      </c>
    </row>
    <row r="53" spans="3:10" x14ac:dyDescent="0.25">
      <c r="C53" s="9">
        <v>24</v>
      </c>
      <c r="D53" s="11"/>
      <c r="E53" s="11"/>
      <c r="F53" s="9" t="str">
        <f t="shared" si="2"/>
        <v/>
      </c>
      <c r="G53" s="9" t="str">
        <f t="shared" si="3"/>
        <v/>
      </c>
      <c r="H53" s="12">
        <f t="shared" si="4"/>
        <v>4.3301270189221936</v>
      </c>
      <c r="I53" s="12">
        <f t="shared" si="0"/>
        <v>-4.3301270189221936</v>
      </c>
      <c r="J53" s="106" t="e">
        <f t="shared" si="1"/>
        <v>#VALUE!</v>
      </c>
    </row>
    <row r="54" spans="3:10" x14ac:dyDescent="0.25">
      <c r="C54" s="9">
        <v>25</v>
      </c>
      <c r="D54" s="11"/>
      <c r="E54" s="11"/>
      <c r="F54" s="9" t="str">
        <f t="shared" si="2"/>
        <v/>
      </c>
      <c r="G54" s="9" t="str">
        <f t="shared" si="3"/>
        <v/>
      </c>
      <c r="H54" s="12">
        <f t="shared" si="4"/>
        <v>4.3301270189221936</v>
      </c>
      <c r="I54" s="12">
        <f t="shared" si="0"/>
        <v>-4.3301270189221936</v>
      </c>
      <c r="J54" s="106" t="e">
        <f t="shared" si="1"/>
        <v>#VALUE!</v>
      </c>
    </row>
    <row r="55" spans="3:10" x14ac:dyDescent="0.25">
      <c r="C55" s="9">
        <v>26</v>
      </c>
      <c r="D55" s="11"/>
      <c r="E55" s="11"/>
      <c r="F55" s="9" t="str">
        <f t="shared" si="2"/>
        <v/>
      </c>
      <c r="G55" s="9" t="str">
        <f t="shared" si="3"/>
        <v/>
      </c>
      <c r="H55" s="12">
        <f t="shared" si="4"/>
        <v>4.3301270189221936</v>
      </c>
      <c r="I55" s="12">
        <f t="shared" si="0"/>
        <v>-4.3301270189221936</v>
      </c>
      <c r="J55" s="106" t="e">
        <f t="shared" si="1"/>
        <v>#VALUE!</v>
      </c>
    </row>
    <row r="56" spans="3:10" x14ac:dyDescent="0.25">
      <c r="C56" s="9">
        <v>27</v>
      </c>
      <c r="D56" s="11"/>
      <c r="E56" s="11"/>
      <c r="F56" s="9" t="str">
        <f t="shared" si="2"/>
        <v/>
      </c>
      <c r="G56" s="9" t="str">
        <f t="shared" si="3"/>
        <v/>
      </c>
      <c r="H56" s="12">
        <f t="shared" si="4"/>
        <v>4.3301270189221936</v>
      </c>
      <c r="I56" s="12">
        <f t="shared" si="0"/>
        <v>-4.3301270189221936</v>
      </c>
      <c r="J56" s="106" t="e">
        <f t="shared" si="1"/>
        <v>#VALUE!</v>
      </c>
    </row>
    <row r="57" spans="3:10" x14ac:dyDescent="0.25">
      <c r="C57" s="9">
        <v>28</v>
      </c>
      <c r="D57" s="11"/>
      <c r="E57" s="11"/>
      <c r="F57" s="9" t="str">
        <f t="shared" si="2"/>
        <v/>
      </c>
      <c r="G57" s="9" t="str">
        <f t="shared" si="3"/>
        <v/>
      </c>
      <c r="H57" s="12">
        <f t="shared" si="4"/>
        <v>4.3301270189221936</v>
      </c>
      <c r="I57" s="12">
        <f t="shared" si="0"/>
        <v>-4.3301270189221936</v>
      </c>
      <c r="J57" s="106" t="e">
        <f t="shared" si="1"/>
        <v>#VALUE!</v>
      </c>
    </row>
    <row r="58" spans="3:10" x14ac:dyDescent="0.25">
      <c r="C58" s="9">
        <v>29</v>
      </c>
      <c r="D58" s="11"/>
      <c r="E58" s="11"/>
      <c r="F58" s="9" t="str">
        <f t="shared" si="2"/>
        <v/>
      </c>
      <c r="G58" s="9" t="str">
        <f t="shared" si="3"/>
        <v/>
      </c>
      <c r="H58" s="12">
        <f t="shared" si="4"/>
        <v>4.3301270189221936</v>
      </c>
      <c r="I58" s="12">
        <f t="shared" si="0"/>
        <v>-4.3301270189221936</v>
      </c>
      <c r="J58" s="106" t="e">
        <f t="shared" si="1"/>
        <v>#VALUE!</v>
      </c>
    </row>
    <row r="59" spans="3:10" x14ac:dyDescent="0.25">
      <c r="C59" s="9">
        <v>30</v>
      </c>
      <c r="D59" s="11"/>
      <c r="E59" s="11"/>
      <c r="F59" s="9" t="str">
        <f t="shared" si="2"/>
        <v/>
      </c>
      <c r="G59" s="9" t="str">
        <f t="shared" si="3"/>
        <v/>
      </c>
      <c r="H59" s="12">
        <f t="shared" si="4"/>
        <v>4.3301270189221936</v>
      </c>
      <c r="I59" s="12">
        <f t="shared" si="0"/>
        <v>-4.3301270189221936</v>
      </c>
      <c r="J59" s="106" t="e">
        <f t="shared" si="1"/>
        <v>#VALUE!</v>
      </c>
    </row>
    <row r="60" spans="3:10" x14ac:dyDescent="0.25">
      <c r="C60" s="9">
        <v>31</v>
      </c>
      <c r="D60" s="11"/>
      <c r="E60" s="11"/>
      <c r="F60" s="9" t="str">
        <f t="shared" si="2"/>
        <v/>
      </c>
      <c r="G60" s="9" t="str">
        <f t="shared" si="3"/>
        <v/>
      </c>
      <c r="H60" s="12">
        <f t="shared" si="4"/>
        <v>4.3301270189221936</v>
      </c>
      <c r="I60" s="12">
        <f t="shared" si="0"/>
        <v>-4.3301270189221936</v>
      </c>
      <c r="J60" s="106" t="e">
        <f t="shared" si="1"/>
        <v>#VALUE!</v>
      </c>
    </row>
    <row r="61" spans="3:10" x14ac:dyDescent="0.25">
      <c r="C61" s="38" t="s">
        <v>135</v>
      </c>
      <c r="D61" s="68">
        <f>SUM(D30:D60)</f>
        <v>155</v>
      </c>
      <c r="E61" s="68">
        <f>SUM(E30:E60)</f>
        <v>150</v>
      </c>
    </row>
  </sheetData>
  <mergeCells count="1">
    <mergeCell ref="C2:L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Feuilles de calcul</vt:lpstr>
      </vt:variant>
      <vt:variant>
        <vt:i4>7</vt:i4>
      </vt:variant>
      <vt:variant>
        <vt:lpstr>Plages nommées</vt:lpstr>
      </vt:variant>
      <vt:variant>
        <vt:i4>8</vt:i4>
      </vt:variant>
    </vt:vector>
  </HeadingPairs>
  <TitlesOfParts>
    <vt:vector size="15" baseType="lpstr">
      <vt:lpstr>Levey Jennings</vt:lpstr>
      <vt:lpstr>Shewhart</vt:lpstr>
      <vt:lpstr>EWMA</vt:lpstr>
      <vt:lpstr>Cusum</vt:lpstr>
      <vt:lpstr>Carre de Youden</vt:lpstr>
      <vt:lpstr>Cusum simplifiée</vt:lpstr>
      <vt:lpstr>Cusum correlation</vt:lpstr>
      <vt:lpstr>A</vt:lpstr>
      <vt:lpstr>PO_1000</vt:lpstr>
      <vt:lpstr>PO_370</vt:lpstr>
      <vt:lpstr>PO_500</vt:lpstr>
      <vt:lpstr>POM_100</vt:lpstr>
      <vt:lpstr>POM_1000</vt:lpstr>
      <vt:lpstr>POM_370</vt:lpstr>
      <vt:lpstr>POM_500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2025-11-18T07:49:29Z</dcterms:modified>
</cp:coreProperties>
</file>