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E645F704-1110-41AD-819D-A5A2DFE107B2}" xr6:coauthVersionLast="47" xr6:coauthVersionMax="47" xr10:uidLastSave="{00000000-0000-0000-0000-000000000000}"/>
  <bookViews>
    <workbookView xWindow="-120" yWindow="-120" windowWidth="29040" windowHeight="15720" tabRatio="828" xr2:uid="{00000000-000D-0000-FFFF-FFFF00000000}"/>
  </bookViews>
  <sheets>
    <sheet name="CL 3f3n" sheetId="1" r:id="rId1"/>
    <sheet name="Récapitulatif" sheetId="9" state="hidden" r:id="rId2"/>
    <sheet name="Graph Profil" sheetId="10" state="hidden" r:id="rId3"/>
    <sheet name="80%" sheetId="11" state="hidden" r:id="rId4"/>
    <sheet name="90%" sheetId="12" state="hidden" r:id="rId5"/>
    <sheet name="100%" sheetId="13" state="hidden" r:id="rId6"/>
    <sheet name="110%" sheetId="14" state="hidden" r:id="rId7"/>
    <sheet name="120%" sheetId="15" state="hidden" r:id="rId8"/>
  </sheets>
  <definedNames>
    <definedName name="__123Graph_A" hidden="1">#REF!</definedName>
    <definedName name="__123Graph_ARG" hidden="1">#REF!</definedName>
    <definedName name="__123Graph_B" hidden="1">#REF!</definedName>
    <definedName name="__123Graph_BRG" hidden="1">#REF!</definedName>
    <definedName name="__123Graph_C" hidden="1">#REF!</definedName>
    <definedName name="__123Graph_CRG" hidden="1">#REF!</definedName>
    <definedName name="__123Graph_X" hidden="1">#REF!</definedName>
    <definedName name="__123Graph_XRG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NALYTES">#REF!</definedName>
    <definedName name="_xlnm.Print_Area" localSheetId="3">'80%'!$A$1:$I$40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1" l="1"/>
  <c r="K6" i="1"/>
  <c r="K7" i="1"/>
  <c r="J8" i="1"/>
  <c r="K8" i="1"/>
  <c r="J9" i="1"/>
  <c r="K9" i="1"/>
  <c r="J10" i="1"/>
  <c r="K10" i="1"/>
  <c r="J11" i="1"/>
  <c r="K11" i="1"/>
  <c r="J6" i="1"/>
  <c r="M11" i="1"/>
  <c r="L11" i="1"/>
  <c r="I11" i="1"/>
  <c r="H11" i="1"/>
  <c r="M10" i="1"/>
  <c r="L10" i="1"/>
  <c r="I10" i="1"/>
  <c r="H10" i="1"/>
  <c r="M9" i="1"/>
  <c r="L9" i="1"/>
  <c r="I9" i="1"/>
  <c r="H9" i="1"/>
  <c r="M8" i="1"/>
  <c r="L8" i="1"/>
  <c r="I8" i="1"/>
  <c r="H8" i="1"/>
  <c r="I7" i="1"/>
  <c r="H7" i="1"/>
  <c r="I6" i="1"/>
  <c r="H6" i="1"/>
  <c r="N8" i="1" l="1"/>
  <c r="N10" i="1"/>
  <c r="H12" i="1"/>
  <c r="M7" i="1"/>
  <c r="L7" i="1"/>
  <c r="M6" i="1"/>
  <c r="L6" i="1"/>
  <c r="L12" i="1" l="1"/>
  <c r="N6" i="1"/>
  <c r="N12" i="1" s="1"/>
  <c r="J12" i="1"/>
  <c r="J53" i="1"/>
  <c r="K53" i="1"/>
  <c r="I53" i="1" l="1"/>
  <c r="I51" i="1" l="1"/>
  <c r="J51" i="1"/>
  <c r="K51" i="1"/>
  <c r="K49" i="1"/>
  <c r="J49" i="1"/>
  <c r="I49" i="1"/>
  <c r="Q11" i="1"/>
  <c r="Q10" i="1"/>
  <c r="Q7" i="1"/>
  <c r="G34" i="1"/>
  <c r="E34" i="1"/>
  <c r="E39" i="1"/>
  <c r="E38" i="1"/>
  <c r="D34" i="1"/>
  <c r="E37" i="1"/>
  <c r="Q35" i="1"/>
  <c r="H38" i="1"/>
  <c r="H39" i="1"/>
  <c r="H37" i="1"/>
  <c r="H35" i="1" s="1"/>
  <c r="C39" i="1"/>
  <c r="C38" i="1"/>
  <c r="C37" i="1"/>
  <c r="I55" i="1" l="1"/>
  <c r="F34" i="1"/>
  <c r="F37" i="1"/>
  <c r="H34" i="1"/>
  <c r="C3" i="9"/>
  <c r="C2" i="9"/>
  <c r="Q34" i="1" l="1"/>
  <c r="M42" i="1"/>
  <c r="M43" i="1" s="1"/>
  <c r="M44" i="1" s="1"/>
  <c r="G37" i="1"/>
  <c r="F38" i="1"/>
  <c r="G38" i="1" s="1"/>
  <c r="F39" i="1"/>
  <c r="G39" i="1" s="1"/>
  <c r="G6" i="9"/>
  <c r="F6" i="9"/>
  <c r="E6" i="9"/>
  <c r="D6" i="9"/>
  <c r="C6" i="9"/>
  <c r="I9" i="14"/>
  <c r="I7" i="12"/>
  <c r="B33" i="15"/>
  <c r="B33" i="14"/>
  <c r="B33" i="13"/>
  <c r="I8" i="13"/>
  <c r="B33" i="12"/>
  <c r="B33" i="11"/>
  <c r="G21" i="9"/>
  <c r="F21" i="9"/>
  <c r="E21" i="9"/>
  <c r="D21" i="9"/>
  <c r="C21" i="9"/>
  <c r="G20" i="9"/>
  <c r="F20" i="9"/>
  <c r="E20" i="9"/>
  <c r="D20" i="9"/>
  <c r="C20" i="9"/>
  <c r="F3" i="9"/>
  <c r="K7" i="9"/>
  <c r="G35" i="1" l="1"/>
  <c r="G36" i="1" s="1"/>
  <c r="C8" i="11"/>
  <c r="C8" i="15"/>
  <c r="C8" i="14"/>
  <c r="C5" i="11"/>
  <c r="B8" i="11" l="1"/>
  <c r="H8" i="11" s="1"/>
  <c r="I8" i="11" s="1"/>
  <c r="B8" i="15"/>
  <c r="H8" i="15" s="1"/>
  <c r="I8" i="15" s="1"/>
  <c r="B8" i="14"/>
  <c r="H8" i="14" s="1"/>
  <c r="I8" i="14" s="1"/>
  <c r="C9" i="15"/>
  <c r="B9" i="15"/>
  <c r="C9" i="13"/>
  <c r="B9" i="13"/>
  <c r="C9" i="12"/>
  <c r="B9" i="12"/>
  <c r="C9" i="11"/>
  <c r="B9" i="11"/>
  <c r="C8" i="12"/>
  <c r="B8" i="12"/>
  <c r="C7" i="15"/>
  <c r="B7" i="15"/>
  <c r="C7" i="14"/>
  <c r="B7" i="14"/>
  <c r="C7" i="13"/>
  <c r="B7" i="13"/>
  <c r="C7" i="11"/>
  <c r="B7" i="11"/>
  <c r="C6" i="15"/>
  <c r="B6" i="15"/>
  <c r="C6" i="14"/>
  <c r="B6" i="14"/>
  <c r="C6" i="13"/>
  <c r="B6" i="13"/>
  <c r="C6" i="12"/>
  <c r="B6" i="12"/>
  <c r="C5" i="14"/>
  <c r="B5" i="14"/>
  <c r="C5" i="13"/>
  <c r="B5" i="13"/>
  <c r="C5" i="12"/>
  <c r="B5" i="12"/>
  <c r="B5" i="11"/>
  <c r="I35" i="1" l="1"/>
  <c r="B11" i="11"/>
  <c r="B12" i="11"/>
  <c r="H7" i="15"/>
  <c r="I7" i="15" s="1"/>
  <c r="H9" i="15"/>
  <c r="I9" i="15" s="1"/>
  <c r="B11" i="15"/>
  <c r="B15" i="15"/>
  <c r="B12" i="15"/>
  <c r="H6" i="15"/>
  <c r="B22" i="15"/>
  <c r="G7" i="9" s="1"/>
  <c r="H7" i="14"/>
  <c r="I7" i="14" s="1"/>
  <c r="H6" i="14"/>
  <c r="I6" i="14" s="1"/>
  <c r="B12" i="14"/>
  <c r="B15" i="14"/>
  <c r="B11" i="14"/>
  <c r="H5" i="14"/>
  <c r="B22" i="14"/>
  <c r="H6" i="13"/>
  <c r="I6" i="13" s="1"/>
  <c r="H7" i="13"/>
  <c r="I7" i="13" s="1"/>
  <c r="H9" i="13"/>
  <c r="I9" i="13" s="1"/>
  <c r="B15" i="13"/>
  <c r="B11" i="13"/>
  <c r="B12" i="13"/>
  <c r="H5" i="13"/>
  <c r="B22" i="13"/>
  <c r="E7" i="9" s="1"/>
  <c r="H6" i="12"/>
  <c r="I6" i="12" s="1"/>
  <c r="H7" i="11"/>
  <c r="I7" i="11" s="1"/>
  <c r="H8" i="12"/>
  <c r="I8" i="12" s="1"/>
  <c r="H9" i="11"/>
  <c r="I9" i="11" s="1"/>
  <c r="H9" i="12"/>
  <c r="I9" i="12" s="1"/>
  <c r="B12" i="12"/>
  <c r="H5" i="12"/>
  <c r="B22" i="12"/>
  <c r="D7" i="9" s="1"/>
  <c r="B15" i="12"/>
  <c r="B11" i="12"/>
  <c r="H5" i="11"/>
  <c r="B15" i="11"/>
  <c r="B22" i="11"/>
  <c r="C7" i="9" s="1"/>
  <c r="G17" i="9" l="1"/>
  <c r="F7" i="9"/>
  <c r="F17" i="9" s="1"/>
  <c r="I6" i="15"/>
  <c r="B14" i="15" s="1"/>
  <c r="B18" i="15" s="1"/>
  <c r="B23" i="15" s="1"/>
  <c r="G8" i="9" s="1"/>
  <c r="B13" i="15"/>
  <c r="B13" i="11"/>
  <c r="B27" i="15"/>
  <c r="G16" i="9" s="1"/>
  <c r="B13" i="14"/>
  <c r="I5" i="14"/>
  <c r="B14" i="14" s="1"/>
  <c r="B18" i="14" s="1"/>
  <c r="B27" i="14"/>
  <c r="F16" i="9" s="1"/>
  <c r="E17" i="9"/>
  <c r="B13" i="13"/>
  <c r="I5" i="13"/>
  <c r="B14" i="13" s="1"/>
  <c r="B18" i="13" s="1"/>
  <c r="B27" i="13"/>
  <c r="E16" i="9" s="1"/>
  <c r="D17" i="9"/>
  <c r="B27" i="12"/>
  <c r="D16" i="9" s="1"/>
  <c r="I5" i="12"/>
  <c r="B14" i="12" s="1"/>
  <c r="B18" i="12" s="1"/>
  <c r="B13" i="12"/>
  <c r="C17" i="9"/>
  <c r="I5" i="11"/>
  <c r="B14" i="11" s="1"/>
  <c r="B18" i="11" s="1"/>
  <c r="B27" i="11"/>
  <c r="C16" i="9" s="1"/>
  <c r="B16" i="15" l="1"/>
  <c r="B16" i="14"/>
  <c r="B17" i="14" s="1"/>
  <c r="B19" i="14" s="1"/>
  <c r="B20" i="14" s="1"/>
  <c r="B25" i="14" s="1"/>
  <c r="F10" i="9" s="1"/>
  <c r="B23" i="14"/>
  <c r="F8" i="9" s="1"/>
  <c r="B16" i="13"/>
  <c r="B17" i="13" s="1"/>
  <c r="B19" i="13" s="1"/>
  <c r="B24" i="13" s="1"/>
  <c r="E9" i="9" s="1"/>
  <c r="B23" i="13"/>
  <c r="E8" i="9" s="1"/>
  <c r="B23" i="12"/>
  <c r="D8" i="9" s="1"/>
  <c r="B16" i="12"/>
  <c r="B17" i="12" s="1"/>
  <c r="B19" i="12" s="1"/>
  <c r="B23" i="11"/>
  <c r="C8" i="9" s="1"/>
  <c r="B16" i="11"/>
  <c r="B17" i="11" s="1"/>
  <c r="B19" i="11" s="1"/>
  <c r="B20" i="11" s="1"/>
  <c r="B25" i="11" s="1"/>
  <c r="C10" i="9" s="1"/>
  <c r="B17" i="15" l="1"/>
  <c r="B19" i="15" s="1"/>
  <c r="B24" i="14"/>
  <c r="F9" i="9" s="1"/>
  <c r="B29" i="14"/>
  <c r="F11" i="9" s="1"/>
  <c r="B20" i="13"/>
  <c r="B25" i="13" s="1"/>
  <c r="E10" i="9" s="1"/>
  <c r="B29" i="13"/>
  <c r="B29" i="12"/>
  <c r="D11" i="9" s="1"/>
  <c r="B24" i="12"/>
  <c r="D9" i="9" s="1"/>
  <c r="B20" i="12"/>
  <c r="B25" i="12" s="1"/>
  <c r="D10" i="9" s="1"/>
  <c r="B24" i="11"/>
  <c r="C9" i="9" s="1"/>
  <c r="B29" i="11"/>
  <c r="C11" i="9" s="1"/>
  <c r="B32" i="13" l="1"/>
  <c r="E13" i="9" s="1"/>
  <c r="E11" i="9"/>
  <c r="B24" i="15"/>
  <c r="G9" i="9" s="1"/>
  <c r="B20" i="15"/>
  <c r="B25" i="15" s="1"/>
  <c r="G10" i="9" s="1"/>
  <c r="B29" i="15"/>
  <c r="G11" i="9" s="1"/>
  <c r="B32" i="14"/>
  <c r="F13" i="9" s="1"/>
  <c r="B30" i="14"/>
  <c r="B31" i="14" s="1"/>
  <c r="F12" i="9" s="1"/>
  <c r="F28" i="9" s="1"/>
  <c r="F29" i="9" s="1"/>
  <c r="B30" i="13"/>
  <c r="B31" i="13" s="1"/>
  <c r="E12" i="9" s="1"/>
  <c r="B32" i="12"/>
  <c r="D13" i="9" s="1"/>
  <c r="B30" i="12"/>
  <c r="B31" i="12" s="1"/>
  <c r="D12" i="9" s="1"/>
  <c r="B30" i="11"/>
  <c r="B31" i="11" s="1"/>
  <c r="C12" i="9" s="1"/>
  <c r="B32" i="11"/>
  <c r="C13" i="9" s="1"/>
  <c r="B34" i="13" l="1"/>
  <c r="B35" i="13"/>
  <c r="B30" i="15"/>
  <c r="B31" i="15" s="1"/>
  <c r="G12" i="9" s="1"/>
  <c r="G28" i="9" s="1"/>
  <c r="G29" i="9" s="1"/>
  <c r="B32" i="15"/>
  <c r="G13" i="9" s="1"/>
  <c r="B34" i="14"/>
  <c r="B35" i="14"/>
  <c r="E28" i="9"/>
  <c r="E29" i="9" s="1"/>
  <c r="D28" i="9"/>
  <c r="D29" i="9" s="1"/>
  <c r="B34" i="12"/>
  <c r="B35" i="12"/>
  <c r="C28" i="9"/>
  <c r="C29" i="9" s="1"/>
  <c r="B34" i="11"/>
  <c r="B35" i="11"/>
  <c r="B36" i="13" l="1"/>
  <c r="B37" i="13" s="1"/>
  <c r="B40" i="13" s="1"/>
  <c r="E15" i="9" s="1"/>
  <c r="E19" i="9" s="1"/>
  <c r="B35" i="15"/>
  <c r="B34" i="15"/>
  <c r="B36" i="14"/>
  <c r="B37" i="14" s="1"/>
  <c r="B36" i="12"/>
  <c r="B37" i="12" s="1"/>
  <c r="B40" i="12" s="1"/>
  <c r="D15" i="9" s="1"/>
  <c r="B36" i="11"/>
  <c r="B37" i="11" s="1"/>
  <c r="B39" i="13" l="1"/>
  <c r="E14" i="9" s="1"/>
  <c r="E18" i="9" s="1"/>
  <c r="B36" i="15"/>
  <c r="B37" i="15" s="1"/>
  <c r="B39" i="15" s="1"/>
  <c r="G14" i="9" s="1"/>
  <c r="G18" i="9" s="1"/>
  <c r="B39" i="14"/>
  <c r="F14" i="9" s="1"/>
  <c r="F18" i="9" s="1"/>
  <c r="B40" i="14"/>
  <c r="F15" i="9" s="1"/>
  <c r="F19" i="9" s="1"/>
  <c r="B39" i="12"/>
  <c r="D14" i="9" s="1"/>
  <c r="D19" i="9"/>
  <c r="B40" i="11"/>
  <c r="C15" i="9" s="1"/>
  <c r="B39" i="11"/>
  <c r="C14" i="9" s="1"/>
  <c r="B40" i="15" l="1"/>
  <c r="G15" i="9" s="1"/>
  <c r="G19" i="9" s="1"/>
  <c r="D18" i="9"/>
  <c r="C18" i="9"/>
  <c r="C19" i="9"/>
  <c r="R5" i="1" l="1"/>
  <c r="R4" i="1"/>
  <c r="H36" i="1" l="1"/>
  <c r="K39" i="1" s="1"/>
  <c r="K37" i="1" l="1"/>
  <c r="K38" i="1"/>
  <c r="K35" i="1"/>
  <c r="I34" i="1" l="1"/>
  <c r="D45" i="1" s="1"/>
  <c r="I37" i="1"/>
  <c r="L39" i="1"/>
  <c r="Q8" i="1" l="1"/>
  <c r="I38" i="1"/>
  <c r="L38" i="1"/>
  <c r="L37" i="1"/>
  <c r="I39" i="1"/>
  <c r="W31" i="1" l="1"/>
  <c r="X31" i="1" s="1"/>
  <c r="W16" i="1"/>
  <c r="X16" i="1" s="1"/>
  <c r="W10" i="1"/>
  <c r="X10" i="1" s="1"/>
  <c r="W12" i="1"/>
  <c r="X12" i="1" s="1"/>
  <c r="W50" i="1"/>
  <c r="X50" i="1" s="1"/>
  <c r="W25" i="1"/>
  <c r="X25" i="1" s="1"/>
  <c r="W57" i="1"/>
  <c r="X57" i="1" s="1"/>
  <c r="W47" i="1"/>
  <c r="X47" i="1" s="1"/>
  <c r="W38" i="1"/>
  <c r="X38" i="1" s="1"/>
  <c r="W58" i="1"/>
  <c r="X58" i="1" s="1"/>
  <c r="W33" i="1"/>
  <c r="X33" i="1" s="1"/>
  <c r="W19" i="1"/>
  <c r="X19" i="1" s="1"/>
  <c r="W43" i="1"/>
  <c r="X43" i="1" s="1"/>
  <c r="W36" i="1"/>
  <c r="X36" i="1" s="1"/>
  <c r="W60" i="1"/>
  <c r="X60" i="1" s="1"/>
  <c r="W34" i="1"/>
  <c r="X34" i="1" s="1"/>
  <c r="W30" i="1"/>
  <c r="X30" i="1" s="1"/>
  <c r="W21" i="1"/>
  <c r="X21" i="1" s="1"/>
  <c r="W35" i="1"/>
  <c r="X35" i="1" s="1"/>
  <c r="W51" i="1"/>
  <c r="X51" i="1" s="1"/>
  <c r="Q9" i="1"/>
  <c r="W49" i="1"/>
  <c r="X49" i="1" s="1"/>
  <c r="W52" i="1"/>
  <c r="X52" i="1" s="1"/>
  <c r="W54" i="1"/>
  <c r="X54" i="1" s="1"/>
  <c r="W53" i="1"/>
  <c r="X53" i="1" s="1"/>
  <c r="W26" i="1"/>
  <c r="X26" i="1" s="1"/>
  <c r="W15" i="1"/>
  <c r="X15" i="1" s="1"/>
  <c r="W23" i="1"/>
  <c r="X23" i="1" s="1"/>
  <c r="W41" i="1"/>
  <c r="X41" i="1" s="1"/>
  <c r="W65" i="1"/>
  <c r="X65" i="1" s="1"/>
  <c r="W28" i="1"/>
  <c r="X28" i="1" s="1"/>
  <c r="W44" i="1"/>
  <c r="X44" i="1" s="1"/>
  <c r="W14" i="1"/>
  <c r="X14" i="1" s="1"/>
  <c r="W27" i="1"/>
  <c r="X27" i="1" s="1"/>
  <c r="W42" i="1"/>
  <c r="X42" i="1" s="1"/>
  <c r="W67" i="1"/>
  <c r="X67" i="1" s="1"/>
  <c r="W63" i="1"/>
  <c r="X63" i="1" s="1"/>
  <c r="W17" i="1"/>
  <c r="X17" i="1" s="1"/>
  <c r="W32" i="1"/>
  <c r="X32" i="1" s="1"/>
  <c r="W40" i="1"/>
  <c r="X40" i="1" s="1"/>
  <c r="W20" i="1"/>
  <c r="X20" i="1" s="1"/>
  <c r="W68" i="1"/>
  <c r="X68" i="1" s="1"/>
  <c r="W22" i="1"/>
  <c r="X22" i="1" s="1"/>
  <c r="W59" i="1"/>
  <c r="X59" i="1" s="1"/>
  <c r="W48" i="1"/>
  <c r="X48" i="1" s="1"/>
  <c r="W55" i="1"/>
  <c r="X55" i="1" s="1"/>
  <c r="W46" i="1"/>
  <c r="X46" i="1" s="1"/>
  <c r="W62" i="1"/>
  <c r="X62" i="1" s="1"/>
  <c r="W11" i="1"/>
  <c r="X11" i="1" s="1"/>
  <c r="W13" i="1"/>
  <c r="X13" i="1" s="1"/>
  <c r="W39" i="1"/>
  <c r="X39" i="1" s="1"/>
  <c r="T4" i="1" s="1"/>
  <c r="T5" i="1" s="1"/>
  <c r="W18" i="1"/>
  <c r="X18" i="1" s="1"/>
  <c r="W9" i="1"/>
  <c r="X9" i="1" s="1"/>
  <c r="W61" i="1"/>
  <c r="X61" i="1" s="1"/>
  <c r="W29" i="1"/>
  <c r="X29" i="1" s="1"/>
  <c r="W56" i="1"/>
  <c r="X56" i="1" s="1"/>
  <c r="W64" i="1"/>
  <c r="X64" i="1" s="1"/>
  <c r="W69" i="1"/>
  <c r="X69" i="1" s="1"/>
  <c r="W37" i="1"/>
  <c r="X37" i="1" s="1"/>
  <c r="W45" i="1"/>
  <c r="X45" i="1" s="1"/>
  <c r="W66" i="1"/>
  <c r="X66" i="1" s="1"/>
  <c r="W24" i="1"/>
  <c r="X24" i="1" s="1"/>
  <c r="Q12" i="1"/>
  <c r="L35" i="1"/>
  <c r="D41" i="1" s="1"/>
  <c r="L36" i="1" l="1"/>
  <c r="L34" i="1" s="1"/>
  <c r="I36" i="1"/>
  <c r="O37" i="1" s="1"/>
  <c r="O38" i="1" s="1"/>
  <c r="O39" i="1" s="1"/>
  <c r="O40" i="1" s="1"/>
  <c r="D43" i="1" l="1"/>
  <c r="J35" i="1"/>
  <c r="J38" i="1"/>
  <c r="J37" i="1"/>
  <c r="M37" i="1" s="1"/>
  <c r="J39" i="1"/>
  <c r="M38" i="1" l="1"/>
  <c r="N38" i="1" s="1"/>
  <c r="M39" i="1"/>
  <c r="N39" i="1" s="1"/>
  <c r="N37" i="1"/>
</calcChain>
</file>

<file path=xl/sharedStrings.xml><?xml version="1.0" encoding="utf-8"?>
<sst xmlns="http://schemas.openxmlformats.org/spreadsheetml/2006/main" count="326" uniqueCount="118">
  <si>
    <t>Origine</t>
  </si>
  <si>
    <t>niveau</t>
  </si>
  <si>
    <t>SCE</t>
  </si>
  <si>
    <t>ddl</t>
  </si>
  <si>
    <t>CM</t>
  </si>
  <si>
    <t>Fobs</t>
  </si>
  <si>
    <t>F5%</t>
  </si>
  <si>
    <t>x</t>
  </si>
  <si>
    <t>résiduel</t>
  </si>
  <si>
    <t>SB²</t>
  </si>
  <si>
    <t>CI</t>
  </si>
  <si>
    <t>contrib%</t>
  </si>
  <si>
    <t>Total</t>
  </si>
  <si>
    <t>jour</t>
  </si>
  <si>
    <t>modèle</t>
  </si>
  <si>
    <t>Tolérance +</t>
  </si>
  <si>
    <t>Tolérance -</t>
  </si>
  <si>
    <t>moyenne</t>
  </si>
  <si>
    <t>Min</t>
  </si>
  <si>
    <t>Max</t>
  </si>
  <si>
    <t>Cpk</t>
  </si>
  <si>
    <t>Niveau A</t>
  </si>
  <si>
    <t>Répétition 1</t>
  </si>
  <si>
    <t>Répétition 2</t>
  </si>
  <si>
    <t>Répétition 3</t>
  </si>
  <si>
    <t>Répétition 4</t>
  </si>
  <si>
    <t>Répétition 5</t>
  </si>
  <si>
    <t>nk</t>
  </si>
  <si>
    <t>SCEk</t>
  </si>
  <si>
    <t>Niveau B</t>
  </si>
  <si>
    <t>Niveau C</t>
  </si>
  <si>
    <t>Niveau D</t>
  </si>
  <si>
    <t>Niveau E</t>
  </si>
  <si>
    <t>Profil d'exactitude</t>
  </si>
  <si>
    <t>Probabilité tolérance (bêta)</t>
  </si>
  <si>
    <t>Limite d'acceptabilité</t>
  </si>
  <si>
    <t>Niveaux</t>
  </si>
  <si>
    <t>Recouvrement (justesse)</t>
  </si>
  <si>
    <t>Limite basse tolérance (%)</t>
  </si>
  <si>
    <t>Limite haute tolérance (%)</t>
  </si>
  <si>
    <t>Limite d'acceptabilité basse</t>
  </si>
  <si>
    <t>Limite d'acceptabilité haute</t>
  </si>
  <si>
    <t>Incertitude</t>
  </si>
  <si>
    <t>Ecart-type de l'IT (sIT)</t>
  </si>
  <si>
    <t>Incertitude élargie relative</t>
  </si>
  <si>
    <t>Valeur cible</t>
  </si>
  <si>
    <t>Moyenne niveau</t>
  </si>
  <si>
    <t>Ecart-type de répétabilité (sr)</t>
  </si>
  <si>
    <t>Ecart-type inter-séries (sL)</t>
  </si>
  <si>
    <t>Ecart-type de fidélité (sFI)</t>
  </si>
  <si>
    <t>Rapport des variances (R)</t>
  </si>
  <si>
    <t>Coefficient intermédiaire</t>
  </si>
  <si>
    <t>Nombre de degrés liberté</t>
  </si>
  <si>
    <t>Valeur basse tolérance</t>
  </si>
  <si>
    <t>Valeur haute tolérance</t>
  </si>
  <si>
    <t>Biais (%)</t>
  </si>
  <si>
    <t>R²</t>
  </si>
  <si>
    <r>
      <t xml:space="preserve">équiv </t>
    </r>
    <r>
      <rPr>
        <sz val="11"/>
        <rFont val="Calibri"/>
        <family val="2"/>
      </rPr>
      <t>β</t>
    </r>
  </si>
  <si>
    <r>
      <t>diff 1-</t>
    </r>
    <r>
      <rPr>
        <sz val="11"/>
        <rFont val="Calibri"/>
        <family val="2"/>
      </rPr>
      <t>β</t>
    </r>
  </si>
  <si>
    <t>étape d'identification</t>
  </si>
  <si>
    <t>ANOVA</t>
  </si>
  <si>
    <t>R²ajusté</t>
  </si>
  <si>
    <t>Y</t>
  </si>
  <si>
    <t>case</t>
  </si>
  <si>
    <t>opérateur</t>
  </si>
  <si>
    <t>fournisseur</t>
  </si>
  <si>
    <t>Catégorie</t>
  </si>
  <si>
    <t>&lt; expliqué par le modèle (ajusté)</t>
  </si>
  <si>
    <t>&lt; nombre de catégorie détectable par la méthode</t>
  </si>
  <si>
    <t>S² totale</t>
  </si>
  <si>
    <t>S totale</t>
  </si>
  <si>
    <t>version 1</t>
  </si>
  <si>
    <t>X</t>
  </si>
  <si>
    <t>lundi</t>
  </si>
  <si>
    <t>mercreci</t>
  </si>
  <si>
    <t>jeudi</t>
  </si>
  <si>
    <t>pierre</t>
  </si>
  <si>
    <t>paul</t>
  </si>
  <si>
    <t>jack</t>
  </si>
  <si>
    <t>A</t>
  </si>
  <si>
    <t>B</t>
  </si>
  <si>
    <t>C</t>
  </si>
  <si>
    <t>Facteur qualitatif</t>
  </si>
  <si>
    <t>Morgan GERMA</t>
  </si>
  <si>
    <t>Prérequis</t>
  </si>
  <si>
    <t>Cochran</t>
  </si>
  <si>
    <t>Cobs</t>
  </si>
  <si>
    <t>C 1%</t>
  </si>
  <si>
    <t>Cobs &lt; C 1% = OK</t>
  </si>
  <si>
    <t>Fobs &lt; F5% = équivalence</t>
  </si>
  <si>
    <t>&lt;Coefficient de détermination : ce qui est expliqué par le modèle</t>
  </si>
  <si>
    <t>∑</t>
  </si>
  <si>
    <t>S²répéta</t>
  </si>
  <si>
    <t>contri %</t>
  </si>
  <si>
    <t>Jour (Série) 1</t>
  </si>
  <si>
    <t>Jour (Série) 2</t>
  </si>
  <si>
    <t>Jour (Série) 3</t>
  </si>
  <si>
    <t>Jour (Série) 4</t>
  </si>
  <si>
    <t>Jour (Série) 5</t>
  </si>
  <si>
    <t>Nombre de séries (K)</t>
  </si>
  <si>
    <t>Nombre de mesures (IK)</t>
  </si>
  <si>
    <t>Nombre de répétitions (I)</t>
  </si>
  <si>
    <t>SCE résiduelle</t>
  </si>
  <si>
    <t>SCE totale</t>
  </si>
  <si>
    <t>SCE inter-séries</t>
  </si>
  <si>
    <t>Valeur intermédiaire de s²L</t>
  </si>
  <si>
    <t>Variance de répétabilité (s²r)</t>
  </si>
  <si>
    <t>Variance inter-séries (s²L)</t>
  </si>
  <si>
    <t>Variance de fidélité (s²FI)</t>
  </si>
  <si>
    <t>Fidélité</t>
  </si>
  <si>
    <t>Justesse</t>
  </si>
  <si>
    <t>Facteur de couverture</t>
  </si>
  <si>
    <t>Coefficient B²</t>
  </si>
  <si>
    <t>t Student bas</t>
  </si>
  <si>
    <t>t Student haut</t>
  </si>
  <si>
    <t>t Student interpolé</t>
  </si>
  <si>
    <t>Facteur de couverture (ktol)</t>
  </si>
  <si>
    <t>Intervalle de tolérance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</si>
</sst>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0"/>
    <numFmt numFmtId="169" formatCode="0.000000"/>
  </numFmts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9"/>
      <name val="Verdana"/>
      <family val="2"/>
    </font>
    <font>
      <sz val="9"/>
      <name val="Arial"/>
      <family val="2"/>
    </font>
    <font>
      <sz val="8"/>
      <color indexed="20"/>
      <name val="Verdana"/>
      <family val="2"/>
    </font>
    <font>
      <sz val="8"/>
      <name val="Tahoma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sz val="9"/>
      <color theme="0" tint="-0.249977111117893"/>
      <name val="Arial"/>
      <family val="2"/>
    </font>
    <font>
      <sz val="9"/>
      <color indexed="23"/>
      <name val="Arial"/>
      <family val="2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4" fillId="6" borderId="0"/>
    <xf numFmtId="0" fontId="6" fillId="7" borderId="0"/>
    <xf numFmtId="0" fontId="6" fillId="0" borderId="0">
      <alignment horizontal="right"/>
      <protection locked="0"/>
    </xf>
    <xf numFmtId="0" fontId="7" fillId="7" borderId="0"/>
    <xf numFmtId="9" fontId="8" fillId="7" borderId="0" applyFont="0" applyBorder="0" applyAlignment="0"/>
  </cellStyleXfs>
  <cellXfs count="118">
    <xf numFmtId="0" fontId="0" fillId="0" borderId="0" xfId="0"/>
    <xf numFmtId="0" fontId="5" fillId="6" borderId="0" xfId="3" applyFont="1"/>
    <xf numFmtId="0" fontId="6" fillId="7" borderId="0" xfId="4"/>
    <xf numFmtId="0" fontId="4" fillId="6" borderId="0" xfId="3"/>
    <xf numFmtId="0" fontId="6" fillId="0" borderId="2" xfId="5" applyBorder="1">
      <alignment horizontal="right"/>
      <protection locked="0"/>
    </xf>
    <xf numFmtId="1" fontId="6" fillId="7" borderId="0" xfId="4" applyNumberFormat="1"/>
    <xf numFmtId="167" fontId="6" fillId="7" borderId="0" xfId="4" applyNumberFormat="1"/>
    <xf numFmtId="0" fontId="7" fillId="7" borderId="0" xfId="6"/>
    <xf numFmtId="168" fontId="6" fillId="7" borderId="0" xfId="4" applyNumberFormat="1"/>
    <xf numFmtId="10" fontId="0" fillId="7" borderId="0" xfId="7" applyNumberFormat="1" applyFont="1"/>
    <xf numFmtId="0" fontId="4" fillId="6" borderId="0" xfId="3" applyFont="1"/>
    <xf numFmtId="165" fontId="6" fillId="0" borderId="2" xfId="5" applyNumberFormat="1" applyBorder="1">
      <alignment horizontal="right"/>
      <protection locked="0"/>
    </xf>
    <xf numFmtId="169" fontId="6" fillId="7" borderId="0" xfId="4" applyNumberFormat="1"/>
    <xf numFmtId="0" fontId="9" fillId="6" borderId="0" xfId="3" applyFont="1"/>
    <xf numFmtId="0" fontId="6" fillId="7" borderId="0" xfId="4" applyFont="1"/>
    <xf numFmtId="9" fontId="6" fillId="0" borderId="2" xfId="5" applyNumberFormat="1" applyFont="1" applyBorder="1">
      <alignment horizontal="right"/>
      <protection locked="0"/>
    </xf>
    <xf numFmtId="10" fontId="0" fillId="0" borderId="2" xfId="5" applyNumberFormat="1" applyFont="1" applyBorder="1">
      <alignment horizontal="right"/>
      <protection locked="0"/>
    </xf>
    <xf numFmtId="0" fontId="6" fillId="7" borderId="1" xfId="4" applyFont="1" applyBorder="1"/>
    <xf numFmtId="0" fontId="10" fillId="7" borderId="0" xfId="4" applyFont="1"/>
    <xf numFmtId="0" fontId="10" fillId="7" borderId="1" xfId="4" applyFont="1" applyBorder="1"/>
    <xf numFmtId="165" fontId="6" fillId="7" borderId="1" xfId="4" applyNumberFormat="1" applyFont="1" applyBorder="1"/>
    <xf numFmtId="0" fontId="11" fillId="7" borderId="0" xfId="4" applyFont="1"/>
    <xf numFmtId="10" fontId="6" fillId="7" borderId="1" xfId="7" applyNumberFormat="1" applyFont="1" applyBorder="1"/>
    <xf numFmtId="10" fontId="10" fillId="7" borderId="1" xfId="7" applyNumberFormat="1" applyFont="1" applyBorder="1"/>
    <xf numFmtId="10" fontId="10" fillId="7" borderId="1" xfId="4" applyNumberFormat="1" applyFont="1" applyBorder="1"/>
    <xf numFmtId="0" fontId="10" fillId="7" borderId="0" xfId="4" applyFont="1" applyBorder="1"/>
    <xf numFmtId="10" fontId="10" fillId="7" borderId="0" xfId="4" applyNumberFormat="1" applyFont="1" applyBorder="1"/>
    <xf numFmtId="166" fontId="6" fillId="7" borderId="0" xfId="4" applyNumberFormat="1" applyFont="1"/>
    <xf numFmtId="10" fontId="6" fillId="7" borderId="0" xfId="7" applyNumberFormat="1" applyFont="1"/>
    <xf numFmtId="0" fontId="12" fillId="7" borderId="0" xfId="4" applyFont="1"/>
    <xf numFmtId="166" fontId="12" fillId="7" borderId="0" xfId="4" applyNumberFormat="1" applyFont="1"/>
    <xf numFmtId="10" fontId="12" fillId="7" borderId="0" xfId="7" applyNumberFormat="1" applyFont="1"/>
    <xf numFmtId="0" fontId="10" fillId="0" borderId="1" xfId="0" applyFont="1" applyBorder="1"/>
    <xf numFmtId="0" fontId="6" fillId="0" borderId="1" xfId="0" applyFont="1" applyBorder="1"/>
    <xf numFmtId="1" fontId="10" fillId="7" borderId="1" xfId="4" applyNumberFormat="1" applyFont="1" applyBorder="1"/>
    <xf numFmtId="166" fontId="6" fillId="0" borderId="1" xfId="5" applyNumberFormat="1" applyBorder="1" applyAlignment="1">
      <alignment horizontal="center"/>
      <protection locked="0"/>
    </xf>
    <xf numFmtId="165" fontId="6" fillId="0" borderId="1" xfId="5" applyNumberFormat="1" applyBorder="1" applyAlignment="1">
      <alignment horizontal="center"/>
      <protection locked="0"/>
    </xf>
    <xf numFmtId="0" fontId="6" fillId="0" borderId="1" xfId="5" applyBorder="1" applyAlignment="1">
      <alignment horizontal="center"/>
      <protection locked="0"/>
    </xf>
    <xf numFmtId="0" fontId="3" fillId="0" borderId="0" xfId="0" applyFont="1" applyProtection="1"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3" fillId="0" borderId="0" xfId="0" applyFont="1" applyBorder="1" applyProtection="1">
      <protection hidden="1"/>
    </xf>
    <xf numFmtId="0" fontId="3" fillId="0" borderId="7" xfId="0" applyFont="1" applyBorder="1" applyProtection="1">
      <protection hidden="1"/>
    </xf>
    <xf numFmtId="2" fontId="3" fillId="0" borderId="1" xfId="0" applyNumberFormat="1" applyFont="1" applyBorder="1" applyAlignment="1" applyProtection="1">
      <alignment horizontal="center"/>
      <protection hidden="1"/>
    </xf>
    <xf numFmtId="0" fontId="3" fillId="4" borderId="1" xfId="0" applyFont="1" applyFill="1" applyBorder="1" applyAlignment="1" applyProtection="1">
      <alignment horizontal="center"/>
      <protection hidden="1"/>
    </xf>
    <xf numFmtId="10" fontId="3" fillId="4" borderId="1" xfId="0" applyNumberFormat="1" applyFont="1" applyFill="1" applyBorder="1" applyAlignment="1" applyProtection="1">
      <alignment horizontal="center"/>
      <protection hidden="1"/>
    </xf>
    <xf numFmtId="0" fontId="3" fillId="3" borderId="1" xfId="0" applyFont="1" applyFill="1" applyBorder="1" applyAlignment="1" applyProtection="1">
      <alignment horizontal="center"/>
      <protection hidden="1"/>
    </xf>
    <xf numFmtId="2" fontId="3" fillId="3" borderId="1" xfId="0" applyNumberFormat="1" applyFont="1" applyFill="1" applyBorder="1" applyAlignment="1" applyProtection="1">
      <alignment horizontal="center"/>
      <protection hidden="1"/>
    </xf>
    <xf numFmtId="2" fontId="3" fillId="3" borderId="1" xfId="0" applyNumberFormat="1" applyFont="1" applyFill="1" applyBorder="1" applyAlignment="1" applyProtection="1">
      <alignment horizontal="center" vertical="center"/>
      <protection hidden="1"/>
    </xf>
    <xf numFmtId="9" fontId="3" fillId="3" borderId="1" xfId="0" applyNumberFormat="1" applyFont="1" applyFill="1" applyBorder="1" applyAlignment="1" applyProtection="1">
      <alignment horizontal="center"/>
      <protection hidden="1"/>
    </xf>
    <xf numFmtId="1" fontId="3" fillId="3" borderId="1" xfId="0" applyNumberFormat="1" applyFont="1" applyFill="1" applyBorder="1" applyAlignment="1" applyProtection="1">
      <alignment horizontal="center"/>
      <protection hidden="1"/>
    </xf>
    <xf numFmtId="0" fontId="3" fillId="5" borderId="1" xfId="0" applyFont="1" applyFill="1" applyBorder="1" applyAlignment="1" applyProtection="1">
      <alignment horizontal="center"/>
      <protection hidden="1"/>
    </xf>
    <xf numFmtId="164" fontId="3" fillId="5" borderId="1" xfId="0" applyNumberFormat="1" applyFont="1" applyFill="1" applyBorder="1" applyAlignment="1" applyProtection="1">
      <alignment horizontal="center"/>
      <protection hidden="1"/>
    </xf>
    <xf numFmtId="2" fontId="3" fillId="5" borderId="1" xfId="0" applyNumberFormat="1" applyFont="1" applyFill="1" applyBorder="1" applyAlignment="1" applyProtection="1">
      <alignment horizontal="center"/>
      <protection hidden="1"/>
    </xf>
    <xf numFmtId="9" fontId="3" fillId="5" borderId="1" xfId="0" applyNumberFormat="1" applyFont="1" applyFill="1" applyBorder="1" applyAlignment="1" applyProtection="1">
      <alignment horizontal="center"/>
      <protection hidden="1"/>
    </xf>
    <xf numFmtId="164" fontId="3" fillId="5" borderId="1" xfId="0" applyNumberFormat="1" applyFont="1" applyFill="1" applyBorder="1" applyAlignment="1" applyProtection="1">
      <alignment horizontal="center" vertical="center"/>
      <protection hidden="1"/>
    </xf>
    <xf numFmtId="9" fontId="3" fillId="0" borderId="1" xfId="0" applyNumberFormat="1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17" fontId="3" fillId="0" borderId="0" xfId="0" applyNumberFormat="1" applyFont="1" applyAlignment="1" applyProtection="1">
      <alignment horizontal="center"/>
      <protection hidden="1"/>
    </xf>
    <xf numFmtId="0" fontId="3" fillId="9" borderId="1" xfId="0" applyFont="1" applyFill="1" applyBorder="1" applyAlignment="1" applyProtection="1">
      <alignment horizontal="center"/>
      <protection hidden="1"/>
    </xf>
    <xf numFmtId="0" fontId="3" fillId="0" borderId="1" xfId="0" applyFont="1" applyFill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3" fillId="0" borderId="0" xfId="0" applyFont="1" applyBorder="1" applyAlignment="1" applyProtection="1">
      <alignment horizontal="center"/>
      <protection hidden="1"/>
    </xf>
    <xf numFmtId="2" fontId="3" fillId="10" borderId="1" xfId="0" applyNumberFormat="1" applyFont="1" applyFill="1" applyBorder="1" applyAlignment="1" applyProtection="1">
      <alignment horizontal="center"/>
      <protection hidden="1"/>
    </xf>
    <xf numFmtId="0" fontId="3" fillId="0" borderId="3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3" fillId="0" borderId="5" xfId="0" applyFont="1" applyBorder="1" applyProtection="1">
      <protection hidden="1"/>
    </xf>
    <xf numFmtId="0" fontId="3" fillId="0" borderId="6" xfId="0" applyFont="1" applyBorder="1" applyProtection="1">
      <protection hidden="1"/>
    </xf>
    <xf numFmtId="0" fontId="3" fillId="0" borderId="11" xfId="0" applyFont="1" applyFill="1" applyBorder="1" applyAlignment="1" applyProtection="1">
      <alignment horizontal="center"/>
      <protection hidden="1"/>
    </xf>
    <xf numFmtId="0" fontId="3" fillId="2" borderId="11" xfId="0" applyFont="1" applyFill="1" applyBorder="1" applyProtection="1">
      <protection hidden="1"/>
    </xf>
    <xf numFmtId="0" fontId="3" fillId="2" borderId="0" xfId="0" applyFont="1" applyFill="1" applyBorder="1" applyProtection="1"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3" fillId="0" borderId="11" xfId="0" applyFont="1" applyBorder="1" applyAlignment="1" applyProtection="1">
      <alignment horizontal="center"/>
      <protection hidden="1"/>
    </xf>
    <xf numFmtId="0" fontId="3" fillId="2" borderId="12" xfId="0" applyFont="1" applyFill="1" applyBorder="1" applyProtection="1">
      <protection hidden="1"/>
    </xf>
    <xf numFmtId="2" fontId="13" fillId="5" borderId="1" xfId="1" applyNumberFormat="1" applyFont="1" applyFill="1" applyBorder="1" applyAlignment="1" applyProtection="1">
      <alignment horizontal="center"/>
      <protection hidden="1"/>
    </xf>
    <xf numFmtId="2" fontId="4" fillId="3" borderId="1" xfId="1" applyNumberFormat="1" applyFont="1" applyFill="1" applyBorder="1" applyAlignment="1" applyProtection="1">
      <alignment horizontal="center"/>
      <protection hidden="1"/>
    </xf>
    <xf numFmtId="2" fontId="13" fillId="8" borderId="1" xfId="1" applyNumberFormat="1" applyFont="1" applyFill="1" applyBorder="1" applyAlignment="1" applyProtection="1">
      <alignment horizontal="center"/>
      <protection hidden="1"/>
    </xf>
    <xf numFmtId="0" fontId="3" fillId="3" borderId="0" xfId="0" applyFont="1" applyFill="1" applyBorder="1" applyProtection="1">
      <protection hidden="1"/>
    </xf>
    <xf numFmtId="0" fontId="3" fillId="5" borderId="0" xfId="0" applyFont="1" applyFill="1" applyBorder="1" applyProtection="1">
      <protection hidden="1"/>
    </xf>
    <xf numFmtId="0" fontId="3" fillId="9" borderId="0" xfId="0" applyFont="1" applyFill="1" applyBorder="1" applyProtection="1">
      <protection hidden="1"/>
    </xf>
    <xf numFmtId="2" fontId="13" fillId="3" borderId="1" xfId="1" applyNumberFormat="1" applyFont="1" applyFill="1" applyBorder="1" applyAlignment="1" applyProtection="1">
      <alignment horizontal="center"/>
      <protection hidden="1"/>
    </xf>
    <xf numFmtId="2" fontId="3" fillId="4" borderId="0" xfId="0" applyNumberFormat="1" applyFont="1" applyFill="1" applyBorder="1" applyAlignment="1" applyProtection="1">
      <alignment horizontal="center"/>
      <protection hidden="1"/>
    </xf>
    <xf numFmtId="0" fontId="3" fillId="10" borderId="6" xfId="0" applyFont="1" applyFill="1" applyBorder="1" applyProtection="1">
      <protection hidden="1"/>
    </xf>
    <xf numFmtId="0" fontId="3" fillId="10" borderId="0" xfId="0" applyFont="1" applyFill="1" applyBorder="1" applyProtection="1">
      <protection hidden="1"/>
    </xf>
    <xf numFmtId="2" fontId="3" fillId="10" borderId="0" xfId="0" applyNumberFormat="1" applyFont="1" applyFill="1" applyBorder="1" applyAlignment="1" applyProtection="1">
      <alignment horizontal="center"/>
      <protection hidden="1"/>
    </xf>
    <xf numFmtId="0" fontId="3" fillId="10" borderId="7" xfId="0" applyFont="1" applyFill="1" applyBorder="1" applyProtection="1">
      <protection hidden="1"/>
    </xf>
    <xf numFmtId="0" fontId="3" fillId="0" borderId="8" xfId="0" applyFont="1" applyBorder="1" applyProtection="1">
      <protection hidden="1"/>
    </xf>
    <xf numFmtId="0" fontId="3" fillId="0" borderId="9" xfId="0" applyFont="1" applyBorder="1" applyProtection="1">
      <protection hidden="1"/>
    </xf>
    <xf numFmtId="0" fontId="3" fillId="0" borderId="10" xfId="0" applyFont="1" applyBorder="1" applyProtection="1">
      <protection hidden="1"/>
    </xf>
    <xf numFmtId="165" fontId="3" fillId="0" borderId="1" xfId="0" applyNumberFormat="1" applyFont="1" applyBorder="1" applyAlignment="1" applyProtection="1">
      <alignment horizontal="center"/>
      <protection hidden="1"/>
    </xf>
    <xf numFmtId="0" fontId="2" fillId="0" borderId="1" xfId="2" applyFont="1" applyBorder="1" applyAlignment="1" applyProtection="1">
      <alignment horizontal="center"/>
      <protection hidden="1"/>
    </xf>
    <xf numFmtId="0" fontId="3" fillId="0" borderId="9" xfId="0" applyFont="1" applyFill="1" applyBorder="1" applyProtection="1">
      <protection hidden="1"/>
    </xf>
    <xf numFmtId="10" fontId="3" fillId="0" borderId="1" xfId="0" applyNumberFormat="1" applyFont="1" applyBorder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5" fillId="4" borderId="0" xfId="2" applyFont="1" applyFill="1" applyBorder="1" applyProtection="1">
      <protection hidden="1"/>
    </xf>
    <xf numFmtId="0" fontId="14" fillId="4" borderId="0" xfId="0" applyFont="1" applyFill="1" applyBorder="1" applyProtection="1">
      <protection hidden="1"/>
    </xf>
    <xf numFmtId="0" fontId="14" fillId="0" borderId="0" xfId="0" applyFont="1" applyBorder="1" applyProtection="1">
      <protection hidden="1"/>
    </xf>
    <xf numFmtId="0" fontId="15" fillId="4" borderId="0" xfId="2" applyFont="1" applyFill="1" applyBorder="1" applyAlignment="1" applyProtection="1">
      <alignment horizontal="center"/>
      <protection hidden="1"/>
    </xf>
    <xf numFmtId="2" fontId="15" fillId="4" borderId="0" xfId="2" applyNumberFormat="1" applyFont="1" applyFill="1" applyBorder="1" applyAlignment="1" applyProtection="1">
      <alignment horizontal="center"/>
      <protection hidden="1"/>
    </xf>
    <xf numFmtId="11" fontId="15" fillId="4" borderId="0" xfId="2" applyNumberFormat="1" applyFont="1" applyFill="1" applyBorder="1" applyAlignment="1" applyProtection="1">
      <alignment horizontal="center"/>
      <protection hidden="1"/>
    </xf>
    <xf numFmtId="0" fontId="14" fillId="0" borderId="7" xfId="0" applyFont="1" applyBorder="1" applyProtection="1">
      <protection hidden="1"/>
    </xf>
    <xf numFmtId="11" fontId="14" fillId="0" borderId="0" xfId="0" applyNumberFormat="1" applyFont="1" applyProtection="1">
      <protection hidden="1"/>
    </xf>
    <xf numFmtId="0" fontId="15" fillId="4" borderId="0" xfId="2" applyFont="1" applyFill="1" applyBorder="1" applyAlignment="1" applyProtection="1">
      <alignment horizontal="center"/>
      <protection hidden="1"/>
    </xf>
    <xf numFmtId="0" fontId="3" fillId="0" borderId="11" xfId="0" applyFont="1" applyBorder="1" applyAlignment="1" applyProtection="1">
      <alignment horizontal="center"/>
      <protection hidden="1"/>
    </xf>
    <xf numFmtId="0" fontId="3" fillId="0" borderId="13" xfId="0" applyFont="1" applyBorder="1" applyAlignment="1" applyProtection="1">
      <alignment horizontal="center"/>
      <protection hidden="1"/>
    </xf>
    <xf numFmtId="0" fontId="3" fillId="0" borderId="14" xfId="0" applyFont="1" applyBorder="1" applyAlignment="1" applyProtection="1">
      <alignment horizontal="center"/>
      <protection hidden="1"/>
    </xf>
    <xf numFmtId="0" fontId="3" fillId="0" borderId="15" xfId="0" applyFont="1" applyBorder="1" applyAlignment="1" applyProtection="1">
      <alignment horizontal="center"/>
      <protection hidden="1"/>
    </xf>
    <xf numFmtId="0" fontId="3" fillId="2" borderId="13" xfId="0" applyFont="1" applyFill="1" applyBorder="1" applyAlignment="1" applyProtection="1">
      <alignment horizontal="center"/>
      <protection hidden="1"/>
    </xf>
    <xf numFmtId="0" fontId="3" fillId="2" borderId="15" xfId="0" applyFont="1" applyFill="1" applyBorder="1" applyAlignment="1" applyProtection="1">
      <alignment horizontal="center"/>
      <protection hidden="1"/>
    </xf>
    <xf numFmtId="0" fontId="3" fillId="2" borderId="16" xfId="0" applyFont="1" applyFill="1" applyBorder="1" applyAlignment="1" applyProtection="1">
      <alignment horizontal="center" vertical="center"/>
      <protection hidden="1"/>
    </xf>
    <xf numFmtId="0" fontId="3" fillId="2" borderId="17" xfId="0" applyFont="1" applyFill="1" applyBorder="1" applyAlignment="1" applyProtection="1">
      <alignment horizontal="center" vertical="center"/>
      <protection hidden="1"/>
    </xf>
    <xf numFmtId="2" fontId="3" fillId="0" borderId="1" xfId="0" applyNumberFormat="1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9" borderId="1" xfId="0" applyFont="1" applyFill="1" applyBorder="1" applyAlignment="1" applyProtection="1">
      <alignment horizontal="center"/>
      <protection hidden="1"/>
    </xf>
    <xf numFmtId="0" fontId="3" fillId="0" borderId="1" xfId="0" applyFont="1" applyFill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2" fontId="3" fillId="0" borderId="1" xfId="0" applyNumberFormat="1" applyFont="1" applyBorder="1" applyAlignment="1" applyProtection="1">
      <alignment horizontal="center"/>
      <protection hidden="1"/>
    </xf>
    <xf numFmtId="10" fontId="14" fillId="0" borderId="0" xfId="0" applyNumberFormat="1" applyFont="1" applyBorder="1" applyProtection="1">
      <protection hidden="1"/>
    </xf>
    <xf numFmtId="0" fontId="14" fillId="0" borderId="7" xfId="0" applyFont="1" applyBorder="1" applyAlignment="1" applyProtection="1">
      <alignment horizontal="center"/>
      <protection hidden="1"/>
    </xf>
  </cellXfs>
  <cellStyles count="8">
    <cellStyle name="Formule" xfId="6" xr:uid="{00000000-0005-0000-0000-000000000000}"/>
    <cellStyle name="Normal" xfId="0" builtinId="0"/>
    <cellStyle name="Normal 2" xfId="1" xr:uid="{00000000-0005-0000-0000-000003000000}"/>
    <cellStyle name="Normal 2 2" xfId="2" xr:uid="{00000000-0005-0000-0000-000004000000}"/>
    <cellStyle name="Normal 3" xfId="4" xr:uid="{00000000-0005-0000-0000-000005000000}"/>
    <cellStyle name="Pourcentage 2" xfId="7" xr:uid="{00000000-0005-0000-0000-000006000000}"/>
    <cellStyle name="Saisie" xfId="5" xr:uid="{00000000-0005-0000-0000-000007000000}"/>
    <cellStyle name="Titre 2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Contribution% des facteurs à la 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 3f3n'!$C$36:$C$39</c:f>
              <c:strCache>
                <c:ptCount val="4"/>
                <c:pt idx="0">
                  <c:v>résiduel</c:v>
                </c:pt>
                <c:pt idx="1">
                  <c:v>opérateur</c:v>
                </c:pt>
                <c:pt idx="2">
                  <c:v>fournisseur</c:v>
                </c:pt>
                <c:pt idx="3">
                  <c:v>jour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 3f3n'!$C$36:$C$39</c:f>
              <c:strCache>
                <c:ptCount val="4"/>
                <c:pt idx="0">
                  <c:v>résiduel</c:v>
                </c:pt>
                <c:pt idx="1">
                  <c:v>opérateur</c:v>
                </c:pt>
                <c:pt idx="2">
                  <c:v>fournisseur</c:v>
                </c:pt>
                <c:pt idx="3">
                  <c:v>jour</c:v>
                </c:pt>
              </c:strCache>
            </c:strRef>
          </c:cat>
          <c:val>
            <c:numRef>
              <c:f>'CL 3f3n'!$L$36:$L$39</c:f>
              <c:numCache>
                <c:formatCode>0%</c:formatCode>
                <c:ptCount val="4"/>
                <c:pt idx="0">
                  <c:v>0.13304364010381883</c:v>
                </c:pt>
                <c:pt idx="1">
                  <c:v>9.1511924375798862E-3</c:v>
                </c:pt>
                <c:pt idx="2">
                  <c:v>0.85240458788923146</c:v>
                </c:pt>
                <c:pt idx="3">
                  <c:v>5.4005795693697796E-3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0-4477-831E-C279DDDA16C7}"/>
            </c:ext>
          </c:extLst>
        </c:ser>
        <c:ser>
          <c:idx val="1"/>
          <c:order val="1"/>
          <c:spPr>
            <a:noFill/>
            <a:ln>
              <a:solidFill>
                <a:schemeClr val="accent1"/>
              </a:solidFill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'CL 3f3n'!$O$37:$O$40</c:f>
              <c:numCache>
                <c:formatCode>0.00%</c:formatCode>
                <c:ptCount val="4"/>
                <c:pt idx="0">
                  <c:v>1.5266319568892241E-2</c:v>
                </c:pt>
                <c:pt idx="1">
                  <c:v>1.5266319568892241E-2</c:v>
                </c:pt>
                <c:pt idx="2">
                  <c:v>1.5266319568892241E-2</c:v>
                </c:pt>
                <c:pt idx="3">
                  <c:v>1.5266319568892241E-2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B0-4477-831E-C279DDDA1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144432"/>
        <c:axId val="1523144976"/>
      </c:barChart>
      <c:catAx>
        <c:axId val="1523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3144976"/>
        <c:crosses val="autoZero"/>
        <c:auto val="1"/>
        <c:lblAlgn val="ctr"/>
        <c:lblOffset val="100"/>
        <c:noMultiLvlLbl val="0"/>
      </c:catAx>
      <c:valAx>
        <c:axId val="15231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314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'CL 3f3n'!$W$9:$W$69</c:f>
              <c:numCache>
                <c:formatCode>0.00</c:formatCode>
                <c:ptCount val="61"/>
                <c:pt idx="0">
                  <c:v>37.71294352332702</c:v>
                </c:pt>
                <c:pt idx="1">
                  <c:v>37.807719302763196</c:v>
                </c:pt>
                <c:pt idx="2">
                  <c:v>37.902495082199366</c:v>
                </c:pt>
                <c:pt idx="3">
                  <c:v>37.997270861635542</c:v>
                </c:pt>
                <c:pt idx="4">
                  <c:v>38.092046641071711</c:v>
                </c:pt>
                <c:pt idx="5">
                  <c:v>38.186822420507887</c:v>
                </c:pt>
                <c:pt idx="6">
                  <c:v>38.281598199944057</c:v>
                </c:pt>
                <c:pt idx="7">
                  <c:v>38.376373979380233</c:v>
                </c:pt>
                <c:pt idx="8">
                  <c:v>38.471149758816402</c:v>
                </c:pt>
                <c:pt idx="9">
                  <c:v>38.565925538252579</c:v>
                </c:pt>
                <c:pt idx="10">
                  <c:v>38.660701317688748</c:v>
                </c:pt>
                <c:pt idx="11">
                  <c:v>38.755477097124924</c:v>
                </c:pt>
                <c:pt idx="12">
                  <c:v>38.850252876561093</c:v>
                </c:pt>
                <c:pt idx="13">
                  <c:v>38.94502865599727</c:v>
                </c:pt>
                <c:pt idx="14">
                  <c:v>39.039804435433439</c:v>
                </c:pt>
                <c:pt idx="15">
                  <c:v>39.134580214869615</c:v>
                </c:pt>
                <c:pt idx="16">
                  <c:v>39.229355994305791</c:v>
                </c:pt>
                <c:pt idx="17">
                  <c:v>39.324131773741961</c:v>
                </c:pt>
                <c:pt idx="18">
                  <c:v>39.418907553178137</c:v>
                </c:pt>
                <c:pt idx="19">
                  <c:v>39.513683332614306</c:v>
                </c:pt>
                <c:pt idx="20">
                  <c:v>39.608459112050483</c:v>
                </c:pt>
                <c:pt idx="21">
                  <c:v>39.703234891486652</c:v>
                </c:pt>
                <c:pt idx="22">
                  <c:v>39.798010670922828</c:v>
                </c:pt>
                <c:pt idx="23">
                  <c:v>39.892786450358997</c:v>
                </c:pt>
                <c:pt idx="24">
                  <c:v>39.987562229795174</c:v>
                </c:pt>
                <c:pt idx="25">
                  <c:v>40.082338009231343</c:v>
                </c:pt>
                <c:pt idx="26">
                  <c:v>40.177113788667519</c:v>
                </c:pt>
                <c:pt idx="27">
                  <c:v>40.271889568103688</c:v>
                </c:pt>
                <c:pt idx="28">
                  <c:v>40.366665347539865</c:v>
                </c:pt>
                <c:pt idx="29">
                  <c:v>40.461441126976034</c:v>
                </c:pt>
                <c:pt idx="30">
                  <c:v>40.55621690641221</c:v>
                </c:pt>
                <c:pt idx="31">
                  <c:v>40.650992685848387</c:v>
                </c:pt>
                <c:pt idx="32">
                  <c:v>40.745768465284556</c:v>
                </c:pt>
                <c:pt idx="33">
                  <c:v>40.840544244720732</c:v>
                </c:pt>
                <c:pt idx="34">
                  <c:v>40.935320024156901</c:v>
                </c:pt>
                <c:pt idx="35">
                  <c:v>41.030095803593078</c:v>
                </c:pt>
                <c:pt idx="36">
                  <c:v>41.124871583029247</c:v>
                </c:pt>
                <c:pt idx="37">
                  <c:v>41.219647362465423</c:v>
                </c:pt>
                <c:pt idx="38">
                  <c:v>41.314423141901592</c:v>
                </c:pt>
                <c:pt idx="39">
                  <c:v>41.409198921337769</c:v>
                </c:pt>
                <c:pt idx="40">
                  <c:v>41.503974700773938</c:v>
                </c:pt>
                <c:pt idx="41">
                  <c:v>41.598750480210114</c:v>
                </c:pt>
                <c:pt idx="42">
                  <c:v>41.693526259646283</c:v>
                </c:pt>
                <c:pt idx="43">
                  <c:v>41.78830203908246</c:v>
                </c:pt>
                <c:pt idx="44">
                  <c:v>41.883077818518629</c:v>
                </c:pt>
                <c:pt idx="45">
                  <c:v>41.977853597954805</c:v>
                </c:pt>
                <c:pt idx="46">
                  <c:v>42.072629377390982</c:v>
                </c:pt>
                <c:pt idx="47">
                  <c:v>42.167405156827151</c:v>
                </c:pt>
                <c:pt idx="48">
                  <c:v>42.262180936263327</c:v>
                </c:pt>
                <c:pt idx="49">
                  <c:v>42.356956715699496</c:v>
                </c:pt>
                <c:pt idx="50">
                  <c:v>42.451732495135673</c:v>
                </c:pt>
                <c:pt idx="51">
                  <c:v>42.546508274571842</c:v>
                </c:pt>
                <c:pt idx="52">
                  <c:v>42.641284054008018</c:v>
                </c:pt>
                <c:pt idx="53">
                  <c:v>42.736059833444187</c:v>
                </c:pt>
                <c:pt idx="54">
                  <c:v>42.830835612880364</c:v>
                </c:pt>
                <c:pt idx="55">
                  <c:v>42.925611392316547</c:v>
                </c:pt>
                <c:pt idx="56">
                  <c:v>43.020387171752709</c:v>
                </c:pt>
                <c:pt idx="57">
                  <c:v>43.115162951188879</c:v>
                </c:pt>
                <c:pt idx="58">
                  <c:v>43.209938730625062</c:v>
                </c:pt>
                <c:pt idx="59">
                  <c:v>43.304714510061238</c:v>
                </c:pt>
                <c:pt idx="60">
                  <c:v>43.399490289497408</c:v>
                </c:pt>
              </c:numCache>
            </c:numRef>
          </c:xVal>
          <c:yVal>
            <c:numRef>
              <c:f>'CL 3f3n'!$X$9:$X$69</c:f>
              <c:numCache>
                <c:formatCode>0.00E+00</c:formatCode>
                <c:ptCount val="61"/>
                <c:pt idx="0">
                  <c:v>4.6761402948130226E-3</c:v>
                </c:pt>
                <c:pt idx="1">
                  <c:v>6.2806472868784588E-3</c:v>
                </c:pt>
                <c:pt idx="2">
                  <c:v>8.3517662741150241E-3</c:v>
                </c:pt>
                <c:pt idx="3">
                  <c:v>1.0995356489197403E-2</c:v>
                </c:pt>
                <c:pt idx="4">
                  <c:v>1.4331688237745442E-2</c:v>
                </c:pt>
                <c:pt idx="5">
                  <c:v>1.849449363312608E-2</c:v>
                </c:pt>
                <c:pt idx="6">
                  <c:v>2.3628959242613743E-2</c:v>
                </c:pt>
                <c:pt idx="7">
                  <c:v>2.988847774201445E-2</c:v>
                </c:pt>
                <c:pt idx="8">
                  <c:v>3.7430019628719294E-2</c:v>
                </c:pt>
                <c:pt idx="9">
                  <c:v>4.6408055140341194E-2</c:v>
                </c:pt>
                <c:pt idx="10">
                  <c:v>5.6967050900961609E-2</c:v>
                </c:pt>
                <c:pt idx="11">
                  <c:v>6.9232682827858813E-2</c:v>
                </c:pt>
                <c:pt idx="12">
                  <c:v>8.330204063799114E-2</c:v>
                </c:pt>
                <c:pt idx="13">
                  <c:v>9.9233240746096504E-2</c:v>
                </c:pt>
                <c:pt idx="14">
                  <c:v>0.11703500128337627</c:v>
                </c:pt>
                <c:pt idx="15">
                  <c:v>0.13665685097648356</c:v>
                </c:pt>
                <c:pt idx="16">
                  <c:v>0.15798072727703591</c:v>
                </c:pt>
                <c:pt idx="17">
                  <c:v>0.18081475358713966</c:v>
                </c:pt>
                <c:pt idx="18">
                  <c:v>0.20488995831892756</c:v>
                </c:pt>
                <c:pt idx="19">
                  <c:v>0.22986060186322541</c:v>
                </c:pt>
                <c:pt idx="20">
                  <c:v>0.25530860939223382</c:v>
                </c:pt>
                <c:pt idx="21">
                  <c:v>0.28075237310810014</c:v>
                </c:pt>
                <c:pt idx="22">
                  <c:v>0.30565990011886612</c:v>
                </c:pt>
                <c:pt idx="23">
                  <c:v>0.32946596189910426</c:v>
                </c:pt>
                <c:pt idx="24">
                  <c:v>0.35159257446804848</c:v>
                </c:pt>
                <c:pt idx="25">
                  <c:v>0.37147183474381068</c:v>
                </c:pt>
                <c:pt idx="26">
                  <c:v>0.38856988831343348</c:v>
                </c:pt>
                <c:pt idx="27">
                  <c:v>0.40241063458345966</c:v>
                </c:pt>
                <c:pt idx="28">
                  <c:v>0.41259770829825215</c:v>
                </c:pt>
                <c:pt idx="29">
                  <c:v>0.41883332412406105</c:v>
                </c:pt>
                <c:pt idx="30">
                  <c:v>0.42093273489784538</c:v>
                </c:pt>
                <c:pt idx="31">
                  <c:v>0.41883332412406105</c:v>
                </c:pt>
                <c:pt idx="32">
                  <c:v>0.41259770829825215</c:v>
                </c:pt>
                <c:pt idx="33">
                  <c:v>0.40241063458345966</c:v>
                </c:pt>
                <c:pt idx="34">
                  <c:v>0.38856988831343348</c:v>
                </c:pt>
                <c:pt idx="35">
                  <c:v>0.37147183474381068</c:v>
                </c:pt>
                <c:pt idx="36">
                  <c:v>0.35159257446804848</c:v>
                </c:pt>
                <c:pt idx="37">
                  <c:v>0.32946596189910426</c:v>
                </c:pt>
                <c:pt idx="38">
                  <c:v>0.30565990011886612</c:v>
                </c:pt>
                <c:pt idx="39">
                  <c:v>0.28075237310810014</c:v>
                </c:pt>
                <c:pt idx="40">
                  <c:v>0.25530860939223382</c:v>
                </c:pt>
                <c:pt idx="41">
                  <c:v>0.22986060186322541</c:v>
                </c:pt>
                <c:pt idx="42">
                  <c:v>0.20488995831892756</c:v>
                </c:pt>
                <c:pt idx="43">
                  <c:v>0.18081475358713966</c:v>
                </c:pt>
                <c:pt idx="44">
                  <c:v>0.15798072727703591</c:v>
                </c:pt>
                <c:pt idx="45">
                  <c:v>0.13665685097648356</c:v>
                </c:pt>
                <c:pt idx="46">
                  <c:v>0.11703500128337627</c:v>
                </c:pt>
                <c:pt idx="47">
                  <c:v>9.9233240746096504E-2</c:v>
                </c:pt>
                <c:pt idx="48">
                  <c:v>8.330204063799114E-2</c:v>
                </c:pt>
                <c:pt idx="49">
                  <c:v>6.9232682827858813E-2</c:v>
                </c:pt>
                <c:pt idx="50">
                  <c:v>5.6967050900961609E-2</c:v>
                </c:pt>
                <c:pt idx="51">
                  <c:v>4.6408055140341194E-2</c:v>
                </c:pt>
                <c:pt idx="52">
                  <c:v>3.7430019628719294E-2</c:v>
                </c:pt>
                <c:pt idx="53">
                  <c:v>2.988847774201445E-2</c:v>
                </c:pt>
                <c:pt idx="54">
                  <c:v>2.3628959242613743E-2</c:v>
                </c:pt>
                <c:pt idx="55">
                  <c:v>1.849449363312539E-2</c:v>
                </c:pt>
                <c:pt idx="56">
                  <c:v>1.4331688237745442E-2</c:v>
                </c:pt>
                <c:pt idx="57">
                  <c:v>1.0995356489197403E-2</c:v>
                </c:pt>
                <c:pt idx="58">
                  <c:v>8.3517662741148593E-3</c:v>
                </c:pt>
                <c:pt idx="59">
                  <c:v>6.2806472868781804E-3</c:v>
                </c:pt>
                <c:pt idx="60">
                  <c:v>4.6761402948129185E-3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0-4688-92D8-DA55EF10BA30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2C0-4688-92D8-DA55EF10BA30}"/>
              </c:ext>
            </c:extLst>
          </c:dPt>
          <c:xVal>
            <c:numRef>
              <c:f>'CL 3f3n'!$Q$4:$R$4</c:f>
              <c:numCache>
                <c:formatCode>General</c:formatCode>
                <c:ptCount val="2"/>
                <c:pt idx="0">
                  <c:v>35</c:v>
                </c:pt>
                <c:pt idx="1">
                  <c:v>35</c:v>
                </c:pt>
              </c:numCache>
            </c:numRef>
          </c:xVal>
          <c:yVal>
            <c:numRef>
              <c:f>'CL 3f3n'!$S$4:$T$4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0.42093273489784538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C0-4688-92D8-DA55EF10BA3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C0-4688-92D8-DA55EF10BA30}"/>
              </c:ext>
            </c:extLst>
          </c:dPt>
          <c:xVal>
            <c:numRef>
              <c:f>'CL 3f3n'!$Q$5:$R$5</c:f>
              <c:numCache>
                <c:formatCode>General</c:formatCode>
                <c:ptCount val="2"/>
                <c:pt idx="0">
                  <c:v>45</c:v>
                </c:pt>
                <c:pt idx="1">
                  <c:v>45</c:v>
                </c:pt>
              </c:numCache>
            </c:numRef>
          </c:xVal>
          <c:yVal>
            <c:numRef>
              <c:f>'CL 3f3n'!$S$5:$T$5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0.42093273489784538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2C0-4688-92D8-DA55EF10B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136272"/>
        <c:axId val="1523134640"/>
      </c:scatterChart>
      <c:valAx>
        <c:axId val="1523136272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3134640"/>
        <c:crosses val="autoZero"/>
        <c:crossBetween val="midCat"/>
      </c:valAx>
      <c:valAx>
        <c:axId val="1523134640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313627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Equivalence%</a:t>
            </a:r>
            <a:r>
              <a:rPr lang="en-US" baseline="0"/>
              <a:t> entre les niveaux d'un facteur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 3f3n'!$C$37:$C$39</c:f>
              <c:strCache>
                <c:ptCount val="3"/>
                <c:pt idx="0">
                  <c:v>opérateur</c:v>
                </c:pt>
                <c:pt idx="1">
                  <c:v>fournisseur</c:v>
                </c:pt>
                <c:pt idx="2">
                  <c:v>jour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 3f3n'!$C$37:$C$39</c:f>
              <c:strCache>
                <c:ptCount val="3"/>
                <c:pt idx="0">
                  <c:v>opérateur</c:v>
                </c:pt>
                <c:pt idx="1">
                  <c:v>fournisseur</c:v>
                </c:pt>
                <c:pt idx="2">
                  <c:v>jour</c:v>
                </c:pt>
              </c:strCache>
            </c:strRef>
          </c:cat>
          <c:val>
            <c:numRef>
              <c:f>'CL 3f3n'!$M$37:$M$39</c:f>
              <c:numCache>
                <c:formatCode>0%</c:formatCode>
                <c:ptCount val="3"/>
                <c:pt idx="0">
                  <c:v>0.95035695529326025</c:v>
                </c:pt>
                <c:pt idx="1">
                  <c:v>3.514288086811268E-2</c:v>
                </c:pt>
                <c:pt idx="2">
                  <c:v>0.99155251721767712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0-48B8-BB18-D6D2BB64E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136816"/>
        <c:axId val="1523137360"/>
      </c:barChart>
      <c:catAx>
        <c:axId val="152313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3137360"/>
        <c:crosses val="autoZero"/>
        <c:auto val="1"/>
        <c:lblAlgn val="ctr"/>
        <c:lblOffset val="100"/>
        <c:noMultiLvlLbl val="0"/>
      </c:catAx>
      <c:valAx>
        <c:axId val="1523137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313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74999999999998"/>
          <c:y val="2.8619528619528625E-2"/>
          <c:w val="0.85625000000000007"/>
          <c:h val="0.91919191919191923"/>
        </c:manualLayout>
      </c:layout>
      <c:scatterChart>
        <c:scatterStyle val="lineMarker"/>
        <c:varyColors val="0"/>
        <c:ser>
          <c:idx val="0"/>
          <c:order val="0"/>
          <c:tx>
            <c:strRef>
              <c:f>Récapitulatif!$B$17</c:f>
              <c:strCache>
                <c:ptCount val="1"/>
                <c:pt idx="0">
                  <c:v>Recouvrement (justesse)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Récapitulatif!$C$17:$G$17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AA-42C4-BEE1-9F1727C61DA2}"/>
            </c:ext>
          </c:extLst>
        </c:ser>
        <c:ser>
          <c:idx val="1"/>
          <c:order val="1"/>
          <c:tx>
            <c:strRef>
              <c:f>Récapitulatif!$B$18</c:f>
              <c:strCache>
                <c:ptCount val="1"/>
                <c:pt idx="0">
                  <c:v>Limite basse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Récapitulatif!$C$18:$G$18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AA-42C4-BEE1-9F1727C61DA2}"/>
            </c:ext>
          </c:extLst>
        </c:ser>
        <c:ser>
          <c:idx val="2"/>
          <c:order val="2"/>
          <c:tx>
            <c:strRef>
              <c:f>Récapitulatif!$B$19</c:f>
              <c:strCache>
                <c:ptCount val="1"/>
                <c:pt idx="0">
                  <c:v>Limite haute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Récapitulatif!$C$19:$G$19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AA-42C4-BEE1-9F1727C61DA2}"/>
            </c:ext>
          </c:extLst>
        </c:ser>
        <c:ser>
          <c:idx val="3"/>
          <c:order val="3"/>
          <c:tx>
            <c:strRef>
              <c:f>Récapitulatif!$B$20</c:f>
              <c:strCache>
                <c:ptCount val="1"/>
                <c:pt idx="0">
                  <c:v>Limite d'acceptabilité basse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Récapitulatif!$C$20:$G$20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AA-42C4-BEE1-9F1727C61DA2}"/>
            </c:ext>
          </c:extLst>
        </c:ser>
        <c:ser>
          <c:idx val="4"/>
          <c:order val="4"/>
          <c:tx>
            <c:strRef>
              <c:f>Récapitulatif!$B$21</c:f>
              <c:strCache>
                <c:ptCount val="1"/>
                <c:pt idx="0">
                  <c:v>Limite d'acceptabilité haute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Récapitulatif!$C$21:$G$21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AA-42C4-BEE1-9F1727C61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137904"/>
        <c:axId val="1523145520"/>
      </c:scatterChart>
      <c:valAx>
        <c:axId val="1523137904"/>
        <c:scaling>
          <c:orientation val="minMax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Niveaux</a:t>
                </a:r>
              </a:p>
            </c:rich>
          </c:tx>
          <c:layout>
            <c:manualLayout>
              <c:xMode val="edge"/>
              <c:yMode val="edge"/>
              <c:x val="0.86875000000000013"/>
              <c:y val="0.922558922558922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1523145520"/>
        <c:crossesAt val="1"/>
        <c:crossBetween val="midCat"/>
      </c:valAx>
      <c:valAx>
        <c:axId val="1523145520"/>
        <c:scaling>
          <c:orientation val="minMax"/>
          <c:max val="1.2"/>
          <c:min val="0.8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Exactitude (%)</a:t>
                </a:r>
              </a:p>
            </c:rich>
          </c:tx>
          <c:layout>
            <c:manualLayout>
              <c:xMode val="edge"/>
              <c:yMode val="edge"/>
              <c:x val="0"/>
              <c:y val="0.326555995357196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152313790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249218583788484"/>
          <c:y val="0.74578482160133208"/>
          <c:w val="0.61770833333333341"/>
          <c:h val="0.124579124579124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theme="4" tint="0.59999389629810485"/>
  </sheetPr>
  <sheetViews>
    <sheetView zoomScale="55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326159</xdr:colOff>
      <xdr:row>14</xdr:row>
      <xdr:rowOff>46181</xdr:rowOff>
    </xdr:from>
    <xdr:to>
      <xdr:col>12</xdr:col>
      <xdr:colOff>381000</xdr:colOff>
      <xdr:row>29</xdr:row>
      <xdr:rowOff>124691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127000</xdr:colOff>
      <xdr:row>14</xdr:row>
      <xdr:rowOff>48555</xdr:rowOff>
    </xdr:from>
    <xdr:to>
      <xdr:col>7</xdr:col>
      <xdr:colOff>263073</xdr:colOff>
      <xdr:row>29</xdr:row>
      <xdr:rowOff>127000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461818</xdr:colOff>
      <xdr:row>14</xdr:row>
      <xdr:rowOff>46182</xdr:rowOff>
    </xdr:from>
    <xdr:to>
      <xdr:col>17</xdr:col>
      <xdr:colOff>715818</xdr:colOff>
      <xdr:row>29</xdr:row>
      <xdr:rowOff>115455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9525</xdr:rowOff>
    </xdr:from>
    <xdr:to>
      <xdr:col>7</xdr:col>
      <xdr:colOff>0</xdr:colOff>
      <xdr:row>25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260725"/>
          <a:ext cx="74009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Les données qui servent à construire le graphique du profil sont en bleu. </a:t>
          </a:r>
        </a:p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Il convient de modifier le graphique en fonction du nombre de niveaux en sélectionnant la zone correcte de données par la commande &lt;Données du graphique…&gt;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55545" cy="564572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61"/>
  <sheetViews>
    <sheetView showGridLines="0" tabSelected="1" zoomScale="55" zoomScaleNormal="55" workbookViewId="0">
      <selection activeCell="W34" sqref="W34"/>
    </sheetView>
  </sheetViews>
  <sheetFormatPr baseColWidth="10" defaultColWidth="10.85546875" defaultRowHeight="15" x14ac:dyDescent="0.25"/>
  <cols>
    <col min="1" max="1" width="5.5703125" style="38" customWidth="1"/>
    <col min="2" max="13" width="10.85546875" style="38"/>
    <col min="14" max="14" width="8.85546875" style="38" customWidth="1"/>
    <col min="15" max="15" width="9.42578125" style="38" customWidth="1"/>
    <col min="16" max="16" width="11.42578125" style="38" customWidth="1"/>
    <col min="17" max="21" width="10.85546875" style="38"/>
    <col min="22" max="24" width="10.85546875" style="92"/>
    <col min="25" max="16384" width="10.85546875" style="38"/>
  </cols>
  <sheetData>
    <row r="1" spans="2:24" ht="15.75" thickBot="1" x14ac:dyDescent="0.3"/>
    <row r="2" spans="2:24" x14ac:dyDescent="0.25">
      <c r="B2" s="63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5"/>
    </row>
    <row r="3" spans="2:24" x14ac:dyDescent="0.25">
      <c r="B3" s="66"/>
      <c r="C3" s="40"/>
      <c r="D3" s="40"/>
      <c r="E3" s="40"/>
      <c r="F3" s="40"/>
      <c r="L3" s="40"/>
      <c r="M3" s="40"/>
      <c r="N3" s="40"/>
      <c r="O3" s="40"/>
      <c r="P3" s="40"/>
      <c r="Q3" s="40"/>
      <c r="R3" s="99"/>
      <c r="S3" s="92"/>
      <c r="T3" s="92"/>
      <c r="U3" s="92"/>
    </row>
    <row r="4" spans="2:24" x14ac:dyDescent="0.25">
      <c r="B4" s="66"/>
      <c r="C4" s="102" t="s">
        <v>82</v>
      </c>
      <c r="D4" s="102"/>
      <c r="E4" s="102"/>
      <c r="F4" s="40"/>
      <c r="G4" s="40"/>
      <c r="H4" s="103" t="s">
        <v>72</v>
      </c>
      <c r="I4" s="104"/>
      <c r="J4" s="104"/>
      <c r="K4" s="104"/>
      <c r="L4" s="104"/>
      <c r="M4" s="105"/>
      <c r="O4" s="40"/>
      <c r="P4" s="60" t="s">
        <v>16</v>
      </c>
      <c r="Q4" s="39">
        <v>35</v>
      </c>
      <c r="R4" s="99">
        <f>+Q4</f>
        <v>35</v>
      </c>
      <c r="S4" s="92">
        <v>0</v>
      </c>
      <c r="T4" s="100">
        <f ca="1">X39</f>
        <v>0.42093273489784538</v>
      </c>
      <c r="U4" s="92"/>
    </row>
    <row r="5" spans="2:24" x14ac:dyDescent="0.25">
      <c r="B5" s="66"/>
      <c r="C5" s="67" t="s">
        <v>72</v>
      </c>
      <c r="D5" s="68" t="s">
        <v>64</v>
      </c>
      <c r="E5" s="69"/>
      <c r="F5" s="40"/>
      <c r="G5" s="60" t="s">
        <v>62</v>
      </c>
      <c r="H5" s="106" t="s">
        <v>76</v>
      </c>
      <c r="I5" s="107"/>
      <c r="J5" s="106" t="s">
        <v>77</v>
      </c>
      <c r="K5" s="107"/>
      <c r="L5" s="106" t="s">
        <v>78</v>
      </c>
      <c r="M5" s="107"/>
      <c r="N5" s="70" t="s">
        <v>91</v>
      </c>
      <c r="O5" s="40"/>
      <c r="P5" s="60" t="s">
        <v>15</v>
      </c>
      <c r="Q5" s="39">
        <v>45</v>
      </c>
      <c r="R5" s="99">
        <f>+Q5</f>
        <v>45</v>
      </c>
      <c r="S5" s="92">
        <v>0</v>
      </c>
      <c r="T5" s="100">
        <f ca="1">T4</f>
        <v>0.42093273489784538</v>
      </c>
      <c r="U5" s="92"/>
    </row>
    <row r="6" spans="2:24" x14ac:dyDescent="0.25">
      <c r="B6" s="66"/>
      <c r="C6" s="71" t="s">
        <v>62</v>
      </c>
      <c r="D6" s="68" t="s">
        <v>65</v>
      </c>
      <c r="E6" s="72"/>
      <c r="F6" s="40"/>
      <c r="G6" s="108" t="s">
        <v>79</v>
      </c>
      <c r="H6" s="73">
        <f ca="1">40+RAND()*2</f>
        <v>40.509044704504859</v>
      </c>
      <c r="I6" s="73">
        <f ca="1">40+RAND()*2</f>
        <v>41.630908832267849</v>
      </c>
      <c r="J6" s="74">
        <f ca="1">41+RAND()</f>
        <v>41.208394081612752</v>
      </c>
      <c r="K6" s="74">
        <f t="shared" ref="K6:M7" ca="1" si="0">40+RAND()</f>
        <v>40.254526886719908</v>
      </c>
      <c r="L6" s="75">
        <f t="shared" ca="1" si="0"/>
        <v>40.977565825180157</v>
      </c>
      <c r="M6" s="75">
        <f t="shared" ca="1" si="0"/>
        <v>40.937164706774254</v>
      </c>
      <c r="N6" s="110">
        <f ca="1">SUM(H6:M7)</f>
        <v>487.67308906336416</v>
      </c>
      <c r="O6" s="40"/>
      <c r="P6" s="40"/>
      <c r="Q6" s="40"/>
      <c r="R6" s="99"/>
      <c r="S6" s="92"/>
      <c r="T6" s="92"/>
      <c r="U6" s="92"/>
      <c r="V6" s="93"/>
      <c r="W6" s="101"/>
      <c r="X6" s="101"/>
    </row>
    <row r="7" spans="2:24" x14ac:dyDescent="0.25">
      <c r="B7" s="66"/>
      <c r="C7" s="61" t="s">
        <v>63</v>
      </c>
      <c r="D7" s="69" t="s">
        <v>13</v>
      </c>
      <c r="E7" s="72"/>
      <c r="F7" s="40"/>
      <c r="G7" s="109"/>
      <c r="H7" s="73">
        <f ca="1">40+RAND()*2</f>
        <v>40.188865951914366</v>
      </c>
      <c r="I7" s="73">
        <f ca="1">40+RAND()*2</f>
        <v>40.066397928272949</v>
      </c>
      <c r="J7" s="74">
        <f ca="1">40+RAND()</f>
        <v>40.392260833214038</v>
      </c>
      <c r="K7" s="74">
        <f t="shared" ca="1" si="0"/>
        <v>40.096695508750535</v>
      </c>
      <c r="L7" s="75">
        <f t="shared" ca="1" si="0"/>
        <v>40.846003091700837</v>
      </c>
      <c r="M7" s="75">
        <f t="shared" ca="1" si="0"/>
        <v>40.565260712451597</v>
      </c>
      <c r="N7" s="111"/>
      <c r="O7" s="40"/>
      <c r="P7" s="60" t="s">
        <v>17</v>
      </c>
      <c r="Q7" s="42">
        <f ca="1">AVERAGE(H6:M11)</f>
        <v>40.55621690641221</v>
      </c>
      <c r="R7" s="41"/>
      <c r="V7" s="94"/>
      <c r="W7" s="95"/>
      <c r="X7" s="95"/>
    </row>
    <row r="8" spans="2:24" x14ac:dyDescent="0.25">
      <c r="B8" s="66"/>
      <c r="C8" s="40"/>
      <c r="D8" s="76" t="s">
        <v>73</v>
      </c>
      <c r="E8" s="76"/>
      <c r="F8" s="40"/>
      <c r="G8" s="108" t="s">
        <v>80</v>
      </c>
      <c r="H8" s="75">
        <f ca="1">41+RAND()</f>
        <v>41.757598867167786</v>
      </c>
      <c r="I8" s="75">
        <f t="shared" ref="I8:M9" ca="1" si="1">41+RAND()</f>
        <v>41.201985846978857</v>
      </c>
      <c r="J8" s="73">
        <f t="shared" ca="1" si="1"/>
        <v>41.554141777272058</v>
      </c>
      <c r="K8" s="73">
        <f t="shared" ca="1" si="1"/>
        <v>41.882309352738837</v>
      </c>
      <c r="L8" s="74">
        <f t="shared" ca="1" si="1"/>
        <v>41.211937140637531</v>
      </c>
      <c r="M8" s="74">
        <f t="shared" ca="1" si="1"/>
        <v>41.948365713198882</v>
      </c>
      <c r="N8" s="110">
        <f t="shared" ref="N8" ca="1" si="2">SUM(H8:M9)</f>
        <v>498.82615237485749</v>
      </c>
      <c r="O8" s="40"/>
      <c r="P8" s="60" t="s">
        <v>69</v>
      </c>
      <c r="Q8" s="42">
        <f ca="1">I34</f>
        <v>0.89824483677341116</v>
      </c>
      <c r="R8" s="41"/>
      <c r="V8" s="95"/>
      <c r="W8" s="95"/>
      <c r="X8" s="95"/>
    </row>
    <row r="9" spans="2:24" x14ac:dyDescent="0.25">
      <c r="B9" s="66"/>
      <c r="C9" s="40"/>
      <c r="D9" s="77" t="s">
        <v>74</v>
      </c>
      <c r="E9" s="77"/>
      <c r="F9" s="40"/>
      <c r="G9" s="109"/>
      <c r="H9" s="75">
        <f t="shared" ref="H9" ca="1" si="3">41+RAND()</f>
        <v>41.609170964264948</v>
      </c>
      <c r="I9" s="75">
        <f t="shared" ca="1" si="1"/>
        <v>41.870677832957696</v>
      </c>
      <c r="J9" s="73">
        <f t="shared" ca="1" si="1"/>
        <v>41.616645836532811</v>
      </c>
      <c r="K9" s="73">
        <f t="shared" ca="1" si="1"/>
        <v>41.441772204287638</v>
      </c>
      <c r="L9" s="74">
        <f t="shared" ca="1" si="1"/>
        <v>41.269325464401931</v>
      </c>
      <c r="M9" s="74">
        <f t="shared" ca="1" si="1"/>
        <v>41.462221374418455</v>
      </c>
      <c r="N9" s="111"/>
      <c r="O9" s="40"/>
      <c r="P9" s="59" t="s">
        <v>70</v>
      </c>
      <c r="Q9" s="42">
        <f ca="1">SQRT(Q8)</f>
        <v>0.94775779436172991</v>
      </c>
      <c r="R9" s="41"/>
      <c r="V9" s="96">
        <v>-3</v>
      </c>
      <c r="W9" s="97">
        <f t="shared" ref="W9:W40" ca="1" si="4">Q$7+V9*SQRT(Q$8)</f>
        <v>37.71294352332702</v>
      </c>
      <c r="X9" s="98">
        <f t="shared" ref="X9:X40" ca="1" si="5">NORMDIST(W9,Q$7,SQRT(Q$8),0)</f>
        <v>4.6761402948130226E-3</v>
      </c>
    </row>
    <row r="10" spans="2:24" x14ac:dyDescent="0.25">
      <c r="B10" s="66"/>
      <c r="C10" s="40"/>
      <c r="D10" s="78" t="s">
        <v>75</v>
      </c>
      <c r="E10" s="78"/>
      <c r="F10" s="40"/>
      <c r="G10" s="108" t="s">
        <v>81</v>
      </c>
      <c r="H10" s="79">
        <f ca="1">40-RAND()</f>
        <v>39.787275009868303</v>
      </c>
      <c r="I10" s="79">
        <f t="shared" ref="I10:M11" ca="1" si="6">40-RAND()</f>
        <v>39.486971072406632</v>
      </c>
      <c r="J10" s="75">
        <f t="shared" ca="1" si="6"/>
        <v>39.005013682826586</v>
      </c>
      <c r="K10" s="75">
        <f t="shared" ca="1" si="6"/>
        <v>39.174683052927541</v>
      </c>
      <c r="L10" s="73">
        <f t="shared" ca="1" si="6"/>
        <v>39.877576516470683</v>
      </c>
      <c r="M10" s="73">
        <f t="shared" ca="1" si="6"/>
        <v>39.924188793754325</v>
      </c>
      <c r="N10" s="110">
        <f t="shared" ref="N10" ca="1" si="7">SUM(H10:M11)</f>
        <v>473.52456719261784</v>
      </c>
      <c r="O10" s="40"/>
      <c r="P10" s="59" t="s">
        <v>18</v>
      </c>
      <c r="Q10" s="42">
        <f ca="1">MIN(H6:M11)</f>
        <v>39.005013682826586</v>
      </c>
      <c r="R10" s="41"/>
      <c r="V10" s="96">
        <v>-2.9</v>
      </c>
      <c r="W10" s="97">
        <f t="shared" ca="1" si="4"/>
        <v>37.807719302763196</v>
      </c>
      <c r="X10" s="98">
        <f t="shared" ca="1" si="5"/>
        <v>6.2806472868784588E-3</v>
      </c>
    </row>
    <row r="11" spans="2:24" x14ac:dyDescent="0.25">
      <c r="B11" s="66"/>
      <c r="F11" s="40"/>
      <c r="G11" s="109"/>
      <c r="H11" s="79">
        <f t="shared" ref="H11" ca="1" si="8">40-RAND()</f>
        <v>39.531121093349164</v>
      </c>
      <c r="I11" s="79">
        <f t="shared" ca="1" si="6"/>
        <v>39.006872066005066</v>
      </c>
      <c r="J11" s="75">
        <f t="shared" ca="1" si="6"/>
        <v>39.45716211934846</v>
      </c>
      <c r="K11" s="75">
        <f t="shared" ca="1" si="6"/>
        <v>39.291222899775768</v>
      </c>
      <c r="L11" s="73">
        <f t="shared" ca="1" si="6"/>
        <v>39.84538081084861</v>
      </c>
      <c r="M11" s="73">
        <f t="shared" ca="1" si="6"/>
        <v>39.137100075036585</v>
      </c>
      <c r="N11" s="111"/>
      <c r="O11" s="40"/>
      <c r="P11" s="59" t="s">
        <v>19</v>
      </c>
      <c r="Q11" s="42">
        <f ca="1">MAX(H6:M11)</f>
        <v>41.948365713198882</v>
      </c>
      <c r="R11" s="41"/>
      <c r="V11" s="96">
        <v>-2.8</v>
      </c>
      <c r="W11" s="97">
        <f t="shared" ca="1" si="4"/>
        <v>37.902495082199366</v>
      </c>
      <c r="X11" s="98">
        <f t="shared" ca="1" si="5"/>
        <v>8.3517662741150241E-3</v>
      </c>
    </row>
    <row r="12" spans="2:24" x14ac:dyDescent="0.25">
      <c r="B12" s="66"/>
      <c r="C12" s="40"/>
      <c r="D12" s="40"/>
      <c r="E12" s="40"/>
      <c r="F12" s="40"/>
      <c r="G12" s="70" t="s">
        <v>91</v>
      </c>
      <c r="H12" s="115">
        <f ca="1">SUM(H6:I11)</f>
        <v>486.64689016995851</v>
      </c>
      <c r="I12" s="115"/>
      <c r="J12" s="115">
        <f t="shared" ref="J12" ca="1" si="9">SUM(J6:K11)</f>
        <v>485.37482823600703</v>
      </c>
      <c r="K12" s="115"/>
      <c r="L12" s="115">
        <f t="shared" ref="L12" ca="1" si="10">SUM(L6:M11)</f>
        <v>488.00209022487383</v>
      </c>
      <c r="M12" s="115"/>
      <c r="N12" s="62">
        <f t="shared" ref="N12" ca="1" si="11">SUM(N6:O11)</f>
        <v>1460.0238086308395</v>
      </c>
      <c r="O12" s="40"/>
      <c r="P12" s="59" t="s">
        <v>20</v>
      </c>
      <c r="Q12" s="42">
        <f ca="1">MIN((Q5-Q7)/(3*SQRT(Q8)),(Q7-Q4)/(3*SQRT(Q8)))</f>
        <v>1.5629109462439075</v>
      </c>
      <c r="R12" s="41"/>
      <c r="V12" s="96">
        <v>-2.7</v>
      </c>
      <c r="W12" s="97">
        <f t="shared" ca="1" si="4"/>
        <v>37.997270861635542</v>
      </c>
      <c r="X12" s="98">
        <f t="shared" ca="1" si="5"/>
        <v>1.0995356489197403E-2</v>
      </c>
    </row>
    <row r="13" spans="2:24" x14ac:dyDescent="0.25">
      <c r="B13" s="66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80"/>
      <c r="O13" s="40"/>
      <c r="P13" s="40"/>
      <c r="Q13" s="40"/>
      <c r="R13" s="41"/>
      <c r="V13" s="96">
        <v>-2.6</v>
      </c>
      <c r="W13" s="97">
        <f t="shared" ca="1" si="4"/>
        <v>38.092046641071711</v>
      </c>
      <c r="X13" s="98">
        <f t="shared" ca="1" si="5"/>
        <v>1.4331688237745442E-2</v>
      </c>
    </row>
    <row r="14" spans="2:24" x14ac:dyDescent="0.25">
      <c r="B14" s="81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3"/>
      <c r="O14" s="82"/>
      <c r="P14" s="82"/>
      <c r="Q14" s="82"/>
      <c r="R14" s="84"/>
      <c r="V14" s="96">
        <v>-2.5</v>
      </c>
      <c r="W14" s="97">
        <f t="shared" ca="1" si="4"/>
        <v>38.186822420507887</v>
      </c>
      <c r="X14" s="98">
        <f t="shared" ca="1" si="5"/>
        <v>1.849449363312608E-2</v>
      </c>
    </row>
    <row r="15" spans="2:24" x14ac:dyDescent="0.25">
      <c r="B15" s="66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1"/>
      <c r="V15" s="96">
        <v>-2.4</v>
      </c>
      <c r="W15" s="97">
        <f t="shared" ca="1" si="4"/>
        <v>38.281598199944057</v>
      </c>
      <c r="X15" s="98">
        <f t="shared" ca="1" si="5"/>
        <v>2.3628959242613743E-2</v>
      </c>
    </row>
    <row r="16" spans="2:24" x14ac:dyDescent="0.25">
      <c r="B16" s="66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1"/>
      <c r="V16" s="96">
        <v>-2.2999999999999998</v>
      </c>
      <c r="W16" s="97">
        <f ca="1">Q$7+V16*SQRT(Q$8)</f>
        <v>38.376373979380233</v>
      </c>
      <c r="X16" s="98">
        <f ca="1">NORMDIST(W16,Q$7,SQRT(Q$8),0)</f>
        <v>2.988847774201445E-2</v>
      </c>
    </row>
    <row r="17" spans="2:24" x14ac:dyDescent="0.25">
      <c r="B17" s="66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1"/>
      <c r="V17" s="96">
        <v>-2.2000000000000002</v>
      </c>
      <c r="W17" s="97">
        <f t="shared" ca="1" si="4"/>
        <v>38.471149758816402</v>
      </c>
      <c r="X17" s="98">
        <f t="shared" ca="1" si="5"/>
        <v>3.7430019628719294E-2</v>
      </c>
    </row>
    <row r="18" spans="2:24" x14ac:dyDescent="0.25">
      <c r="B18" s="66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1"/>
      <c r="V18" s="96">
        <v>-2.1</v>
      </c>
      <c r="W18" s="97">
        <f t="shared" ca="1" si="4"/>
        <v>38.565925538252579</v>
      </c>
      <c r="X18" s="98">
        <f t="shared" ca="1" si="5"/>
        <v>4.6408055140341194E-2</v>
      </c>
    </row>
    <row r="19" spans="2:24" x14ac:dyDescent="0.25">
      <c r="B19" s="66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1"/>
      <c r="V19" s="96">
        <v>-2</v>
      </c>
      <c r="W19" s="97">
        <f t="shared" ca="1" si="4"/>
        <v>38.660701317688748</v>
      </c>
      <c r="X19" s="98">
        <f t="shared" ca="1" si="5"/>
        <v>5.6967050900961609E-2</v>
      </c>
    </row>
    <row r="20" spans="2:24" x14ac:dyDescent="0.25">
      <c r="B20" s="66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1"/>
      <c r="V20" s="96">
        <v>-1.9</v>
      </c>
      <c r="W20" s="97">
        <f t="shared" ca="1" si="4"/>
        <v>38.755477097124924</v>
      </c>
      <c r="X20" s="98">
        <f t="shared" ca="1" si="5"/>
        <v>6.9232682827858813E-2</v>
      </c>
    </row>
    <row r="21" spans="2:24" x14ac:dyDescent="0.25">
      <c r="B21" s="66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1"/>
      <c r="V21" s="96">
        <v>-1.8</v>
      </c>
      <c r="W21" s="97">
        <f t="shared" ca="1" si="4"/>
        <v>38.850252876561093</v>
      </c>
      <c r="X21" s="98">
        <f t="shared" ca="1" si="5"/>
        <v>8.330204063799114E-2</v>
      </c>
    </row>
    <row r="22" spans="2:24" x14ac:dyDescent="0.25">
      <c r="B22" s="66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1"/>
      <c r="V22" s="96">
        <v>-1.7</v>
      </c>
      <c r="W22" s="97">
        <f t="shared" ca="1" si="4"/>
        <v>38.94502865599727</v>
      </c>
      <c r="X22" s="98">
        <f t="shared" ca="1" si="5"/>
        <v>9.9233240746096504E-2</v>
      </c>
    </row>
    <row r="23" spans="2:24" x14ac:dyDescent="0.25">
      <c r="B23" s="66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1"/>
      <c r="V23" s="96">
        <v>-1.6</v>
      </c>
      <c r="W23" s="97">
        <f t="shared" ca="1" si="4"/>
        <v>39.039804435433439</v>
      </c>
      <c r="X23" s="98">
        <f t="shared" ca="1" si="5"/>
        <v>0.11703500128337627</v>
      </c>
    </row>
    <row r="24" spans="2:24" x14ac:dyDescent="0.25">
      <c r="B24" s="66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1"/>
      <c r="V24" s="96">
        <v>-1.5</v>
      </c>
      <c r="W24" s="97">
        <f t="shared" ca="1" si="4"/>
        <v>39.134580214869615</v>
      </c>
      <c r="X24" s="98">
        <f t="shared" ca="1" si="5"/>
        <v>0.13665685097648356</v>
      </c>
    </row>
    <row r="25" spans="2:24" x14ac:dyDescent="0.25">
      <c r="B25" s="66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1"/>
      <c r="V25" s="96">
        <v>-1.4</v>
      </c>
      <c r="W25" s="97">
        <f t="shared" ca="1" si="4"/>
        <v>39.229355994305791</v>
      </c>
      <c r="X25" s="98">
        <f t="shared" ca="1" si="5"/>
        <v>0.15798072727703591</v>
      </c>
    </row>
    <row r="26" spans="2:24" x14ac:dyDescent="0.25">
      <c r="B26" s="66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1"/>
      <c r="V26" s="96">
        <v>-1.3</v>
      </c>
      <c r="W26" s="97">
        <f t="shared" ca="1" si="4"/>
        <v>39.324131773741961</v>
      </c>
      <c r="X26" s="98">
        <f t="shared" ca="1" si="5"/>
        <v>0.18081475358713966</v>
      </c>
    </row>
    <row r="27" spans="2:24" x14ac:dyDescent="0.25">
      <c r="B27" s="66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1"/>
      <c r="V27" s="96">
        <v>-1.2</v>
      </c>
      <c r="W27" s="97">
        <f t="shared" ca="1" si="4"/>
        <v>39.418907553178137</v>
      </c>
      <c r="X27" s="98">
        <f t="shared" ca="1" si="5"/>
        <v>0.20488995831892756</v>
      </c>
    </row>
    <row r="28" spans="2:24" x14ac:dyDescent="0.2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1"/>
      <c r="V28" s="96">
        <v>-1.1000000000000001</v>
      </c>
      <c r="W28" s="97">
        <f t="shared" ca="1" si="4"/>
        <v>39.513683332614306</v>
      </c>
      <c r="X28" s="98">
        <f t="shared" ca="1" si="5"/>
        <v>0.22986060186322541</v>
      </c>
    </row>
    <row r="29" spans="2:24" x14ac:dyDescent="0.25">
      <c r="B29" s="66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1"/>
      <c r="V29" s="96">
        <v>-1</v>
      </c>
      <c r="W29" s="97">
        <f t="shared" ca="1" si="4"/>
        <v>39.608459112050483</v>
      </c>
      <c r="X29" s="98">
        <f t="shared" ca="1" si="5"/>
        <v>0.25530860939223382</v>
      </c>
    </row>
    <row r="30" spans="2:24" ht="15.75" thickBot="1" x14ac:dyDescent="0.3">
      <c r="B30" s="85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7"/>
      <c r="V30" s="96">
        <v>-0.9</v>
      </c>
      <c r="W30" s="97">
        <f t="shared" ca="1" si="4"/>
        <v>39.703234891486652</v>
      </c>
      <c r="X30" s="98">
        <f t="shared" ca="1" si="5"/>
        <v>0.28075237310810014</v>
      </c>
    </row>
    <row r="31" spans="2:24" x14ac:dyDescent="0.25">
      <c r="B31" s="63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5"/>
      <c r="V31" s="96">
        <v>-0.8</v>
      </c>
      <c r="W31" s="97">
        <f t="shared" ca="1" si="4"/>
        <v>39.798010670922828</v>
      </c>
      <c r="X31" s="98">
        <f t="shared" ca="1" si="5"/>
        <v>0.30565990011886612</v>
      </c>
    </row>
    <row r="32" spans="2:24" x14ac:dyDescent="0.25">
      <c r="B32" s="66"/>
      <c r="C32" s="113" t="s">
        <v>59</v>
      </c>
      <c r="D32" s="113"/>
      <c r="E32" s="113"/>
      <c r="F32" s="113"/>
      <c r="G32" s="114" t="s">
        <v>60</v>
      </c>
      <c r="H32" s="114"/>
      <c r="I32" s="114"/>
      <c r="J32" s="114"/>
      <c r="K32" s="114"/>
      <c r="L32" s="114"/>
      <c r="M32" s="114"/>
      <c r="N32" s="114"/>
      <c r="O32" s="40"/>
      <c r="P32" s="40" t="s">
        <v>84</v>
      </c>
      <c r="Q32" s="40"/>
      <c r="R32" s="41"/>
      <c r="V32" s="96">
        <v>-0.7</v>
      </c>
      <c r="W32" s="97">
        <f t="shared" ca="1" si="4"/>
        <v>39.892786450358997</v>
      </c>
      <c r="X32" s="98">
        <f t="shared" ca="1" si="5"/>
        <v>0.32946596189910426</v>
      </c>
    </row>
    <row r="33" spans="2:24" x14ac:dyDescent="0.25">
      <c r="B33" s="66"/>
      <c r="C33" s="43" t="s">
        <v>0</v>
      </c>
      <c r="D33" s="43" t="s">
        <v>1</v>
      </c>
      <c r="E33" s="43" t="s">
        <v>9</v>
      </c>
      <c r="F33" s="43" t="s">
        <v>10</v>
      </c>
      <c r="G33" s="43" t="s">
        <v>2</v>
      </c>
      <c r="H33" s="43" t="s">
        <v>3</v>
      </c>
      <c r="I33" s="43" t="s">
        <v>4</v>
      </c>
      <c r="J33" s="43" t="s">
        <v>5</v>
      </c>
      <c r="K33" s="43" t="s">
        <v>6</v>
      </c>
      <c r="L33" s="44" t="s">
        <v>11</v>
      </c>
      <c r="M33" s="44" t="s">
        <v>57</v>
      </c>
      <c r="N33" s="43" t="s">
        <v>58</v>
      </c>
      <c r="O33" s="40"/>
      <c r="P33" s="112" t="s">
        <v>85</v>
      </c>
      <c r="Q33" s="112"/>
      <c r="R33" s="41"/>
      <c r="V33" s="96">
        <v>-0.6</v>
      </c>
      <c r="W33" s="97">
        <f t="shared" ca="1" si="4"/>
        <v>39.987562229795174</v>
      </c>
      <c r="X33" s="98">
        <f t="shared" ca="1" si="5"/>
        <v>0.35159257446804848</v>
      </c>
    </row>
    <row r="34" spans="2:24" x14ac:dyDescent="0.25">
      <c r="B34" s="66"/>
      <c r="C34" s="45" t="s">
        <v>12</v>
      </c>
      <c r="D34" s="45">
        <f ca="1">COUNT(H6:M11)</f>
        <v>36</v>
      </c>
      <c r="E34" s="46">
        <f ca="1">SUM(H6:M11)^2</f>
        <v>2131669.5217689024</v>
      </c>
      <c r="F34" s="46">
        <f ca="1">E34/D34</f>
        <v>59213.042271358398</v>
      </c>
      <c r="G34" s="47">
        <f ca="1">DEVSQ(H6:M11)</f>
        <v>31.438569287069392</v>
      </c>
      <c r="H34" s="45">
        <f ca="1">D34-1</f>
        <v>35</v>
      </c>
      <c r="I34" s="46">
        <f ca="1">G34/H34</f>
        <v>0.89824483677341116</v>
      </c>
      <c r="J34" s="45" t="s">
        <v>7</v>
      </c>
      <c r="K34" s="45" t="s">
        <v>7</v>
      </c>
      <c r="L34" s="48">
        <f ca="1">SUM(L36:L39)</f>
        <v>1</v>
      </c>
      <c r="M34" s="45" t="s">
        <v>7</v>
      </c>
      <c r="N34" s="45" t="s">
        <v>7</v>
      </c>
      <c r="O34" s="40"/>
      <c r="P34" s="60" t="s">
        <v>86</v>
      </c>
      <c r="Q34" s="88">
        <f ca="1">MAX(I48:I56)/SUM(I48:I56)</f>
        <v>0.60191888867519627</v>
      </c>
      <c r="R34" s="117">
        <v>9</v>
      </c>
      <c r="V34" s="96">
        <v>-0.5</v>
      </c>
      <c r="W34" s="97">
        <f t="shared" ca="1" si="4"/>
        <v>40.082338009231343</v>
      </c>
      <c r="X34" s="98">
        <f t="shared" ca="1" si="5"/>
        <v>0.37147183474381068</v>
      </c>
    </row>
    <row r="35" spans="2:24" x14ac:dyDescent="0.25">
      <c r="B35" s="66"/>
      <c r="C35" s="45" t="s">
        <v>14</v>
      </c>
      <c r="D35" s="45" t="s">
        <v>7</v>
      </c>
      <c r="E35" s="47" t="s">
        <v>7</v>
      </c>
      <c r="F35" s="46" t="s">
        <v>7</v>
      </c>
      <c r="G35" s="46">
        <f ca="1">SUM(G37:G39)</f>
        <v>27.255867589461559</v>
      </c>
      <c r="H35" s="49">
        <f>SUM(H37:H39)</f>
        <v>6</v>
      </c>
      <c r="I35" s="46">
        <f ca="1">G35/H35</f>
        <v>4.5426445982435935</v>
      </c>
      <c r="J35" s="46">
        <f ca="1">I35/I36</f>
        <v>31.495598508592415</v>
      </c>
      <c r="K35" s="46">
        <f ca="1">FINV(0.05,H35,H36)</f>
        <v>2.4324341045767892</v>
      </c>
      <c r="L35" s="48">
        <f ca="1">G35/G34</f>
        <v>0.86695635989618114</v>
      </c>
      <c r="M35" s="45" t="s">
        <v>7</v>
      </c>
      <c r="N35" s="45" t="s">
        <v>7</v>
      </c>
      <c r="O35" s="40"/>
      <c r="P35" s="60" t="s">
        <v>87</v>
      </c>
      <c r="Q35" s="88">
        <f>1/((1+(R34-1)/FINV(0.01/R34,R35-1,(R34)*(R35-1))))</f>
        <v>0.73460938989543889</v>
      </c>
      <c r="R35" s="117">
        <v>2</v>
      </c>
      <c r="V35" s="96">
        <v>-0.4</v>
      </c>
      <c r="W35" s="97">
        <f t="shared" ca="1" si="4"/>
        <v>40.177113788667519</v>
      </c>
      <c r="X35" s="98">
        <f t="shared" ca="1" si="5"/>
        <v>0.38856988831343348</v>
      </c>
    </row>
    <row r="36" spans="2:24" x14ac:dyDescent="0.25">
      <c r="B36" s="66"/>
      <c r="C36" s="45" t="s">
        <v>8</v>
      </c>
      <c r="D36" s="45" t="s">
        <v>7</v>
      </c>
      <c r="E36" s="46" t="s">
        <v>7</v>
      </c>
      <c r="F36" s="46" t="s">
        <v>7</v>
      </c>
      <c r="G36" s="46">
        <f ca="1">G34-G35</f>
        <v>4.1827016976078326</v>
      </c>
      <c r="H36" s="49">
        <f ca="1">H34-H35</f>
        <v>29</v>
      </c>
      <c r="I36" s="46">
        <f ca="1">G36/H36</f>
        <v>0.14423109302095974</v>
      </c>
      <c r="J36" s="46" t="s">
        <v>7</v>
      </c>
      <c r="K36" s="45" t="s">
        <v>7</v>
      </c>
      <c r="L36" s="48">
        <f ca="1">G36/G34</f>
        <v>0.13304364010381883</v>
      </c>
      <c r="M36" s="45" t="s">
        <v>7</v>
      </c>
      <c r="N36" s="45" t="s">
        <v>7</v>
      </c>
      <c r="O36" s="40"/>
      <c r="P36" s="40" t="s">
        <v>88</v>
      </c>
      <c r="Q36" s="40"/>
      <c r="R36" s="41"/>
      <c r="V36" s="96">
        <v>-0.3</v>
      </c>
      <c r="W36" s="97">
        <f t="shared" ca="1" si="4"/>
        <v>40.271889568103688</v>
      </c>
      <c r="X36" s="98">
        <f t="shared" ca="1" si="5"/>
        <v>0.40241063458345966</v>
      </c>
    </row>
    <row r="37" spans="2:24" x14ac:dyDescent="0.25">
      <c r="B37" s="66"/>
      <c r="C37" s="50" t="str">
        <f>D5</f>
        <v>opérateur</v>
      </c>
      <c r="D37" s="50">
        <v>3</v>
      </c>
      <c r="E37" s="51">
        <f ca="1">SUM(H6:I11)^2+SUM(J6:K11)^2+SUM(L6:M11)^2</f>
        <v>710559.95966107096</v>
      </c>
      <c r="F37" s="52">
        <f ca="1">E37*D37/$D$34</f>
        <v>59213.329971755906</v>
      </c>
      <c r="G37" s="52">
        <f ca="1">F37-$F$34</f>
        <v>0.28770039750816068</v>
      </c>
      <c r="H37" s="50">
        <f>D37-1</f>
        <v>2</v>
      </c>
      <c r="I37" s="52">
        <f ca="1">G37/H37</f>
        <v>0.14385019875408034</v>
      </c>
      <c r="J37" s="52">
        <f ca="1">I37/I$36</f>
        <v>0.99735913901155804</v>
      </c>
      <c r="K37" s="52">
        <f ca="1">FINV(0.05,H37,H$36)</f>
        <v>3.3276544985720609</v>
      </c>
      <c r="L37" s="53">
        <f ca="1">G37/$G$34</f>
        <v>9.1511924375798862E-3</v>
      </c>
      <c r="M37" s="53">
        <f ca="1">1-FDIST(K37/J37,H37,H$36)</f>
        <v>0.95035695529326025</v>
      </c>
      <c r="N37" s="53">
        <f ca="1">1-M37</f>
        <v>4.9643044706739747E-2</v>
      </c>
      <c r="O37" s="116">
        <f ca="1">K37*I36/G34</f>
        <v>1.5266319568892241E-2</v>
      </c>
      <c r="P37" s="40"/>
      <c r="Q37" s="40"/>
      <c r="R37" s="41"/>
      <c r="V37" s="96">
        <v>-0.2</v>
      </c>
      <c r="W37" s="97">
        <f t="shared" ca="1" si="4"/>
        <v>40.366665347539865</v>
      </c>
      <c r="X37" s="98">
        <f t="shared" ca="1" si="5"/>
        <v>0.41259770829825215</v>
      </c>
    </row>
    <row r="38" spans="2:24" x14ac:dyDescent="0.25">
      <c r="B38" s="66"/>
      <c r="C38" s="50" t="str">
        <f>D6</f>
        <v>fournisseur</v>
      </c>
      <c r="D38" s="50">
        <v>3</v>
      </c>
      <c r="E38" s="51">
        <f ca="1">SUM(H6:M7)^2+SUM(H8:M9)^2+SUM(H10:M11)^2</f>
        <v>710878.08782466443</v>
      </c>
      <c r="F38" s="52">
        <f ca="1">E38*D38/D34</f>
        <v>59239.840652055369</v>
      </c>
      <c r="G38" s="52">
        <f ca="1">F38-$F$34</f>
        <v>26.798380696971435</v>
      </c>
      <c r="H38" s="50">
        <f t="shared" ref="H38:H39" si="12">D38-1</f>
        <v>2</v>
      </c>
      <c r="I38" s="52">
        <f ca="1">G38/H38</f>
        <v>13.399190348485718</v>
      </c>
      <c r="J38" s="52">
        <f ca="1">I38/I$36</f>
        <v>92.900844525518082</v>
      </c>
      <c r="K38" s="52">
        <f ca="1">FINV(0.05,H38,H$36)</f>
        <v>3.3276544985720609</v>
      </c>
      <c r="L38" s="53">
        <f ca="1">G38/$G$34</f>
        <v>0.85240458788923146</v>
      </c>
      <c r="M38" s="53">
        <f ca="1">1-FDIST(K38/J38,H38,H$36)</f>
        <v>3.514288086811268E-2</v>
      </c>
      <c r="N38" s="53">
        <f ca="1">1-M38</f>
        <v>0.96485711913188732</v>
      </c>
      <c r="O38" s="116">
        <f ca="1">O37</f>
        <v>1.5266319568892241E-2</v>
      </c>
      <c r="P38" s="40"/>
      <c r="Q38" s="40"/>
      <c r="R38" s="41"/>
      <c r="V38" s="96">
        <v>-0.1</v>
      </c>
      <c r="W38" s="97">
        <f t="shared" ca="1" si="4"/>
        <v>40.461441126976034</v>
      </c>
      <c r="X38" s="98">
        <f t="shared" ca="1" si="5"/>
        <v>0.41883332412406105</v>
      </c>
    </row>
    <row r="39" spans="2:24" x14ac:dyDescent="0.25">
      <c r="B39" s="66"/>
      <c r="C39" s="50" t="str">
        <f>D7</f>
        <v>jour</v>
      </c>
      <c r="D39" s="50">
        <v>3</v>
      </c>
      <c r="E39" s="54">
        <f ca="1">SUM(J6:K7,L8:M9,H10:I11)^2+SUM(L6:M7,H8:I9,J10:K11)^2+SUM(H6:I7,J8:K9,L10:M11)^2</f>
        <v>710558.54469424055</v>
      </c>
      <c r="F39" s="52">
        <f ca="1">E39*D39/$D$34</f>
        <v>59213.21205785338</v>
      </c>
      <c r="G39" s="52">
        <f ca="1">F39-$F$34</f>
        <v>0.16978649498196319</v>
      </c>
      <c r="H39" s="50">
        <f t="shared" si="12"/>
        <v>2</v>
      </c>
      <c r="I39" s="52">
        <f t="shared" ref="I39" ca="1" si="13">G39/H39</f>
        <v>8.4893247490981594E-2</v>
      </c>
      <c r="J39" s="52">
        <f ca="1">I39/I$36</f>
        <v>0.58859186124759422</v>
      </c>
      <c r="K39" s="52">
        <f ca="1">FINV(0.05,H39,H$36)</f>
        <v>3.3276544985720609</v>
      </c>
      <c r="L39" s="53">
        <f ca="1">G39/$G$34</f>
        <v>5.4005795693697796E-3</v>
      </c>
      <c r="M39" s="53">
        <f ca="1">1-FDIST(K39/J39,H39,H$36)</f>
        <v>0.99155251721767712</v>
      </c>
      <c r="N39" s="53">
        <f t="shared" ref="N39" ca="1" si="14">1-M39</f>
        <v>8.4474827823228793E-3</v>
      </c>
      <c r="O39" s="116">
        <f ca="1">O38</f>
        <v>1.5266319568892241E-2</v>
      </c>
      <c r="P39" s="40"/>
      <c r="Q39" s="40"/>
      <c r="R39" s="41"/>
      <c r="V39" s="96">
        <v>0</v>
      </c>
      <c r="W39" s="97">
        <f t="shared" ca="1" si="4"/>
        <v>40.55621690641221</v>
      </c>
      <c r="X39" s="98">
        <f t="shared" ca="1" si="5"/>
        <v>0.42093273489784538</v>
      </c>
    </row>
    <row r="40" spans="2:24" x14ac:dyDescent="0.25">
      <c r="B40" s="66"/>
      <c r="C40" s="40"/>
      <c r="D40" s="40"/>
      <c r="E40" s="40"/>
      <c r="F40" s="40"/>
      <c r="G40" s="40"/>
      <c r="H40" s="40"/>
      <c r="I40" s="40"/>
      <c r="J40" s="40" t="s">
        <v>89</v>
      </c>
      <c r="K40" s="40"/>
      <c r="L40" s="40"/>
      <c r="M40" s="40"/>
      <c r="N40" s="40"/>
      <c r="O40" s="116">
        <f ca="1">O39</f>
        <v>1.5266319568892241E-2</v>
      </c>
      <c r="P40" s="40"/>
      <c r="Q40" s="40"/>
      <c r="R40" s="41"/>
      <c r="V40" s="96">
        <v>0.1</v>
      </c>
      <c r="W40" s="97">
        <f t="shared" ca="1" si="4"/>
        <v>40.650992685848387</v>
      </c>
      <c r="X40" s="98">
        <f t="shared" ca="1" si="5"/>
        <v>0.41883332412406105</v>
      </c>
    </row>
    <row r="41" spans="2:24" x14ac:dyDescent="0.25">
      <c r="B41" s="66"/>
      <c r="C41" s="58" t="s">
        <v>56</v>
      </c>
      <c r="D41" s="55">
        <f ca="1">L35</f>
        <v>0.86695635989618114</v>
      </c>
      <c r="E41" s="40" t="s">
        <v>90</v>
      </c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1"/>
      <c r="V41" s="96">
        <v>0.2</v>
      </c>
      <c r="W41" s="97">
        <f t="shared" ref="W41:W69" ca="1" si="15">Q$7+V41*SQRT(Q$8)</f>
        <v>40.745768465284556</v>
      </c>
      <c r="X41" s="98">
        <f t="shared" ref="X41:X69" ca="1" si="16">NORMDIST(W41,Q$7,SQRT(Q$8),0)</f>
        <v>0.41259770829825215</v>
      </c>
    </row>
    <row r="42" spans="2:24" x14ac:dyDescent="0.25">
      <c r="B42" s="66"/>
      <c r="C42" s="40"/>
      <c r="D42" s="40"/>
      <c r="E42" s="40"/>
      <c r="F42" s="40"/>
      <c r="G42" s="40"/>
      <c r="H42" s="40"/>
      <c r="I42" s="40"/>
      <c r="J42" s="40"/>
      <c r="K42" s="40"/>
      <c r="L42" s="60" t="s">
        <v>92</v>
      </c>
      <c r="M42" s="88">
        <f ca="1">I55</f>
        <v>0.14473067068305623</v>
      </c>
      <c r="N42" s="40"/>
      <c r="O42" s="40"/>
      <c r="P42" s="40"/>
      <c r="Q42" s="40"/>
      <c r="R42" s="41"/>
      <c r="V42" s="96">
        <v>0.3</v>
      </c>
      <c r="W42" s="97">
        <f t="shared" ca="1" si="15"/>
        <v>40.840544244720732</v>
      </c>
      <c r="X42" s="98">
        <f t="shared" ca="1" si="16"/>
        <v>0.40241063458345966</v>
      </c>
    </row>
    <row r="43" spans="2:24" x14ac:dyDescent="0.25">
      <c r="B43" s="66"/>
      <c r="C43" s="58" t="s">
        <v>61</v>
      </c>
      <c r="D43" s="55">
        <f ca="1">(I34-I36)/I34</f>
        <v>0.83943008952987386</v>
      </c>
      <c r="E43" s="40" t="s">
        <v>67</v>
      </c>
      <c r="F43" s="40"/>
      <c r="G43" s="40"/>
      <c r="H43" s="40"/>
      <c r="I43" s="40"/>
      <c r="J43" s="40"/>
      <c r="K43" s="40"/>
      <c r="L43" s="60" t="s">
        <v>2</v>
      </c>
      <c r="M43" s="88">
        <f ca="1">M42*9</f>
        <v>1.3025760361475061</v>
      </c>
      <c r="N43" s="40"/>
      <c r="O43" s="40"/>
      <c r="P43" s="40"/>
      <c r="Q43" s="40"/>
      <c r="R43" s="41"/>
      <c r="V43" s="96">
        <v>0.4</v>
      </c>
      <c r="W43" s="97">
        <f t="shared" ca="1" si="15"/>
        <v>40.935320024156901</v>
      </c>
      <c r="X43" s="98">
        <f t="shared" ca="1" si="16"/>
        <v>0.38856988831343348</v>
      </c>
    </row>
    <row r="44" spans="2:24" x14ac:dyDescent="0.25">
      <c r="B44" s="66"/>
      <c r="C44" s="61"/>
      <c r="D44" s="40"/>
      <c r="E44" s="40"/>
      <c r="F44" s="40"/>
      <c r="G44" s="40"/>
      <c r="H44" s="40"/>
      <c r="I44" s="40"/>
      <c r="J44" s="40"/>
      <c r="K44" s="40"/>
      <c r="L44" s="60" t="s">
        <v>93</v>
      </c>
      <c r="M44" s="91">
        <f ca="1">M43/G34</f>
        <v>4.1432420930276E-2</v>
      </c>
      <c r="N44" s="40"/>
      <c r="O44" s="40"/>
      <c r="P44" s="40"/>
      <c r="Q44" s="40"/>
      <c r="R44" s="41"/>
      <c r="V44" s="96">
        <v>0.5</v>
      </c>
      <c r="W44" s="97">
        <f t="shared" ca="1" si="15"/>
        <v>41.030095803593078</v>
      </c>
      <c r="X44" s="98">
        <f t="shared" ca="1" si="16"/>
        <v>0.37147183474381068</v>
      </c>
    </row>
    <row r="45" spans="2:24" x14ac:dyDescent="0.25">
      <c r="B45" s="66"/>
      <c r="C45" s="58" t="s">
        <v>66</v>
      </c>
      <c r="D45" s="89">
        <f ca="1">TRUNC(SQRT(I34/I55)*SQRT(2),0)</f>
        <v>3</v>
      </c>
      <c r="E45" s="40" t="s">
        <v>68</v>
      </c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1"/>
      <c r="V45" s="96">
        <v>0.6</v>
      </c>
      <c r="W45" s="97">
        <f t="shared" ca="1" si="15"/>
        <v>41.124871583029247</v>
      </c>
      <c r="X45" s="98">
        <f t="shared" ca="1" si="16"/>
        <v>0.35159257446804848</v>
      </c>
    </row>
    <row r="46" spans="2:24" x14ac:dyDescent="0.25">
      <c r="B46" s="66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1"/>
      <c r="V46" s="96">
        <v>0.7</v>
      </c>
      <c r="W46" s="97">
        <f t="shared" ca="1" si="15"/>
        <v>41.219647362465423</v>
      </c>
      <c r="X46" s="98">
        <f t="shared" ca="1" si="16"/>
        <v>0.32946596189910426</v>
      </c>
    </row>
    <row r="47" spans="2:24" ht="15.75" thickBot="1" x14ac:dyDescent="0.3">
      <c r="B47" s="85"/>
      <c r="C47" s="86"/>
      <c r="D47" s="86"/>
      <c r="E47" s="86"/>
      <c r="F47" s="86"/>
      <c r="G47" s="86"/>
      <c r="H47" s="86"/>
      <c r="I47" s="86"/>
      <c r="J47" s="86"/>
      <c r="K47" s="86"/>
      <c r="L47" s="90"/>
      <c r="M47" s="86"/>
      <c r="N47" s="86"/>
      <c r="O47" s="86"/>
      <c r="P47" s="86"/>
      <c r="Q47" s="86"/>
      <c r="R47" s="87"/>
      <c r="V47" s="96">
        <v>0.8</v>
      </c>
      <c r="W47" s="97">
        <f t="shared" ca="1" si="15"/>
        <v>41.314423141901592</v>
      </c>
      <c r="X47" s="98">
        <f t="shared" ca="1" si="16"/>
        <v>0.30565990011886612</v>
      </c>
    </row>
    <row r="48" spans="2:24" x14ac:dyDescent="0.25">
      <c r="B48" s="38" t="s">
        <v>83</v>
      </c>
      <c r="I48" s="92"/>
      <c r="J48" s="92"/>
      <c r="K48" s="92"/>
      <c r="L48" s="92"/>
      <c r="R48" s="56" t="s">
        <v>71</v>
      </c>
      <c r="V48" s="96">
        <v>0.9</v>
      </c>
      <c r="W48" s="97">
        <f t="shared" ca="1" si="15"/>
        <v>41.409198921337769</v>
      </c>
      <c r="X48" s="98">
        <f t="shared" ca="1" si="16"/>
        <v>0.28075237310810014</v>
      </c>
    </row>
    <row r="49" spans="9:24" x14ac:dyDescent="0.25">
      <c r="I49" s="92">
        <f ca="1">VAR(H6:I7)</f>
        <v>0.50826751479933907</v>
      </c>
      <c r="J49" s="92">
        <f ca="1">VAR(J6:K7)</f>
        <v>0.24525417220435364</v>
      </c>
      <c r="K49" s="92">
        <f ca="1">VAR(L6:M7)</f>
        <v>3.4531317812797925E-2</v>
      </c>
      <c r="L49" s="92"/>
      <c r="R49" s="57">
        <v>42795</v>
      </c>
      <c r="V49" s="96">
        <v>1</v>
      </c>
      <c r="W49" s="97">
        <f t="shared" ca="1" si="15"/>
        <v>41.503974700773938</v>
      </c>
      <c r="X49" s="98">
        <f t="shared" ca="1" si="16"/>
        <v>0.25530860939223382</v>
      </c>
    </row>
    <row r="50" spans="9:24" x14ac:dyDescent="0.25">
      <c r="I50" s="92"/>
      <c r="J50" s="92"/>
      <c r="K50" s="92"/>
      <c r="L50" s="92"/>
      <c r="V50" s="96">
        <v>1.1000000000000001</v>
      </c>
      <c r="W50" s="97">
        <f t="shared" ca="1" si="15"/>
        <v>41.598750480210114</v>
      </c>
      <c r="X50" s="98">
        <f t="shared" ca="1" si="16"/>
        <v>0.22986060186322541</v>
      </c>
    </row>
    <row r="51" spans="9:24" x14ac:dyDescent="0.25">
      <c r="I51" s="92">
        <f ca="1">VAR(H8:I9)</f>
        <v>8.5404838107734207E-2</v>
      </c>
      <c r="J51" s="92">
        <f ca="1">VAR(J8:K9)</f>
        <v>3.4954875517299956E-2</v>
      </c>
      <c r="K51" s="92">
        <f ca="1">VAR(L8:M9)</f>
        <v>0.1119086224653441</v>
      </c>
      <c r="L51" s="92"/>
      <c r="V51" s="96">
        <v>1.2</v>
      </c>
      <c r="W51" s="97">
        <f t="shared" ca="1" si="15"/>
        <v>41.693526259646283</v>
      </c>
      <c r="X51" s="98">
        <f t="shared" ca="1" si="16"/>
        <v>0.20488995831892756</v>
      </c>
    </row>
    <row r="52" spans="9:24" x14ac:dyDescent="0.25">
      <c r="I52" s="92"/>
      <c r="J52" s="92"/>
      <c r="K52" s="92"/>
      <c r="L52" s="92"/>
      <c r="V52" s="96">
        <v>1.3</v>
      </c>
      <c r="W52" s="97">
        <f t="shared" ca="1" si="15"/>
        <v>41.78830203908246</v>
      </c>
      <c r="X52" s="98">
        <f t="shared" ca="1" si="16"/>
        <v>0.18081475358713966</v>
      </c>
    </row>
    <row r="53" spans="9:24" x14ac:dyDescent="0.25">
      <c r="I53" s="92">
        <f ca="1">VAR(H10:I11)</f>
        <v>0.10600894679680946</v>
      </c>
      <c r="J53" s="92">
        <f ca="1">VAR(J10:K11)</f>
        <v>3.6337783594010825E-2</v>
      </c>
      <c r="K53" s="92">
        <f ca="1">VAR(L10:M11)</f>
        <v>0.13990796484981663</v>
      </c>
      <c r="L53" s="92"/>
      <c r="V53" s="96">
        <v>1.4</v>
      </c>
      <c r="W53" s="97">
        <f t="shared" ca="1" si="15"/>
        <v>41.883077818518629</v>
      </c>
      <c r="X53" s="98">
        <f t="shared" ca="1" si="16"/>
        <v>0.15798072727703591</v>
      </c>
    </row>
    <row r="54" spans="9:24" x14ac:dyDescent="0.25">
      <c r="I54" s="92"/>
      <c r="J54" s="92"/>
      <c r="K54" s="92"/>
      <c r="L54" s="92"/>
      <c r="V54" s="96">
        <v>1.5</v>
      </c>
      <c r="W54" s="97">
        <f t="shared" ca="1" si="15"/>
        <v>41.977853597954805</v>
      </c>
      <c r="X54" s="98">
        <f t="shared" ca="1" si="16"/>
        <v>0.13665685097648356</v>
      </c>
    </row>
    <row r="55" spans="9:24" x14ac:dyDescent="0.25">
      <c r="I55" s="92">
        <f ca="1">AVERAGE(I49:K53)</f>
        <v>0.14473067068305623</v>
      </c>
      <c r="J55" s="92"/>
      <c r="K55" s="92"/>
      <c r="L55" s="92"/>
      <c r="V55" s="96">
        <v>1.6</v>
      </c>
      <c r="W55" s="97">
        <f t="shared" ca="1" si="15"/>
        <v>42.072629377390982</v>
      </c>
      <c r="X55" s="98">
        <f t="shared" ca="1" si="16"/>
        <v>0.11703500128337627</v>
      </c>
    </row>
    <row r="56" spans="9:24" x14ac:dyDescent="0.25">
      <c r="I56" s="92"/>
      <c r="J56" s="92"/>
      <c r="K56" s="92"/>
      <c r="L56" s="92"/>
      <c r="V56" s="96">
        <v>1.7</v>
      </c>
      <c r="W56" s="97">
        <f t="shared" ca="1" si="15"/>
        <v>42.167405156827151</v>
      </c>
      <c r="X56" s="98">
        <f t="shared" ca="1" si="16"/>
        <v>9.9233240746096504E-2</v>
      </c>
    </row>
    <row r="57" spans="9:24" x14ac:dyDescent="0.25">
      <c r="I57" s="92"/>
      <c r="J57" s="92"/>
      <c r="K57" s="92"/>
      <c r="L57" s="92"/>
      <c r="V57" s="96">
        <v>1.8</v>
      </c>
      <c r="W57" s="97">
        <f t="shared" ca="1" si="15"/>
        <v>42.262180936263327</v>
      </c>
      <c r="X57" s="98">
        <f t="shared" ca="1" si="16"/>
        <v>8.330204063799114E-2</v>
      </c>
    </row>
    <row r="58" spans="9:24" x14ac:dyDescent="0.25">
      <c r="I58" s="92"/>
      <c r="J58" s="92"/>
      <c r="K58" s="92"/>
      <c r="L58" s="92"/>
      <c r="V58" s="96">
        <v>1.9</v>
      </c>
      <c r="W58" s="97">
        <f t="shared" ca="1" si="15"/>
        <v>42.356956715699496</v>
      </c>
      <c r="X58" s="98">
        <f t="shared" ca="1" si="16"/>
        <v>6.9232682827858813E-2</v>
      </c>
    </row>
    <row r="59" spans="9:24" x14ac:dyDescent="0.25">
      <c r="I59" s="92"/>
      <c r="J59" s="92"/>
      <c r="K59" s="92"/>
      <c r="L59" s="92"/>
      <c r="V59" s="96">
        <v>2</v>
      </c>
      <c r="W59" s="97">
        <f t="shared" ca="1" si="15"/>
        <v>42.451732495135673</v>
      </c>
      <c r="X59" s="98">
        <f t="shared" ca="1" si="16"/>
        <v>5.6967050900961609E-2</v>
      </c>
    </row>
    <row r="60" spans="9:24" x14ac:dyDescent="0.25">
      <c r="V60" s="96">
        <v>2.1</v>
      </c>
      <c r="W60" s="97">
        <f t="shared" ca="1" si="15"/>
        <v>42.546508274571842</v>
      </c>
      <c r="X60" s="98">
        <f t="shared" ca="1" si="16"/>
        <v>4.6408055140341194E-2</v>
      </c>
    </row>
    <row r="61" spans="9:24" x14ac:dyDescent="0.25">
      <c r="V61" s="96">
        <v>2.2000000000000002</v>
      </c>
      <c r="W61" s="97">
        <f t="shared" ca="1" si="15"/>
        <v>42.641284054008018</v>
      </c>
      <c r="X61" s="98">
        <f t="shared" ca="1" si="16"/>
        <v>3.7430019628719294E-2</v>
      </c>
    </row>
    <row r="62" spans="9:24" x14ac:dyDescent="0.25">
      <c r="V62" s="96">
        <v>2.2999999999999998</v>
      </c>
      <c r="W62" s="97">
        <f t="shared" ca="1" si="15"/>
        <v>42.736059833444187</v>
      </c>
      <c r="X62" s="98">
        <f t="shared" ca="1" si="16"/>
        <v>2.988847774201445E-2</v>
      </c>
    </row>
    <row r="63" spans="9:24" x14ac:dyDescent="0.25">
      <c r="V63" s="96">
        <v>2.4</v>
      </c>
      <c r="W63" s="97">
        <f t="shared" ca="1" si="15"/>
        <v>42.830835612880364</v>
      </c>
      <c r="X63" s="98">
        <f t="shared" ca="1" si="16"/>
        <v>2.3628959242613743E-2</v>
      </c>
    </row>
    <row r="64" spans="9:24" x14ac:dyDescent="0.25">
      <c r="V64" s="96">
        <v>2.5000000000000102</v>
      </c>
      <c r="W64" s="97">
        <f t="shared" ca="1" si="15"/>
        <v>42.925611392316547</v>
      </c>
      <c r="X64" s="98">
        <f t="shared" ca="1" si="16"/>
        <v>1.849449363312539E-2</v>
      </c>
    </row>
    <row r="65" spans="22:24" x14ac:dyDescent="0.25">
      <c r="V65" s="96">
        <v>2.6</v>
      </c>
      <c r="W65" s="97">
        <f t="shared" ca="1" si="15"/>
        <v>43.020387171752709</v>
      </c>
      <c r="X65" s="98">
        <f t="shared" ca="1" si="16"/>
        <v>1.4331688237745442E-2</v>
      </c>
    </row>
    <row r="66" spans="22:24" x14ac:dyDescent="0.25">
      <c r="V66" s="96">
        <v>2.7</v>
      </c>
      <c r="W66" s="97">
        <f t="shared" ca="1" si="15"/>
        <v>43.115162951188879</v>
      </c>
      <c r="X66" s="98">
        <f t="shared" ca="1" si="16"/>
        <v>1.0995356489197403E-2</v>
      </c>
    </row>
    <row r="67" spans="22:24" x14ac:dyDescent="0.25">
      <c r="V67" s="96">
        <v>2.80000000000001</v>
      </c>
      <c r="W67" s="97">
        <f t="shared" ca="1" si="15"/>
        <v>43.209938730625062</v>
      </c>
      <c r="X67" s="98">
        <f t="shared" ca="1" si="16"/>
        <v>8.3517662741148593E-3</v>
      </c>
    </row>
    <row r="68" spans="22:24" x14ac:dyDescent="0.25">
      <c r="V68" s="96">
        <v>2.9000000000000101</v>
      </c>
      <c r="W68" s="97">
        <f t="shared" ca="1" si="15"/>
        <v>43.304714510061238</v>
      </c>
      <c r="X68" s="98">
        <f t="shared" ca="1" si="16"/>
        <v>6.2806472868781804E-3</v>
      </c>
    </row>
    <row r="69" spans="22:24" x14ac:dyDescent="0.25">
      <c r="V69" s="96">
        <v>3.0000000000000102</v>
      </c>
      <c r="W69" s="97">
        <f t="shared" ca="1" si="15"/>
        <v>43.399490289497408</v>
      </c>
      <c r="X69" s="98">
        <f t="shared" ca="1" si="16"/>
        <v>4.6761402948129185E-3</v>
      </c>
    </row>
    <row r="70" spans="22:24" x14ac:dyDescent="0.25">
      <c r="V70" s="95"/>
      <c r="W70" s="95"/>
      <c r="X70" s="95"/>
    </row>
    <row r="71" spans="22:24" x14ac:dyDescent="0.25">
      <c r="V71" s="95"/>
      <c r="W71" s="95"/>
      <c r="X71" s="95"/>
    </row>
    <row r="72" spans="22:24" x14ac:dyDescent="0.25">
      <c r="V72" s="95"/>
      <c r="W72" s="95"/>
      <c r="X72" s="95"/>
    </row>
    <row r="73" spans="22:24" x14ac:dyDescent="0.25">
      <c r="V73" s="95"/>
      <c r="W73" s="95"/>
      <c r="X73" s="95"/>
    </row>
    <row r="74" spans="22:24" x14ac:dyDescent="0.25">
      <c r="V74" s="95"/>
      <c r="W74" s="95"/>
      <c r="X74" s="95"/>
    </row>
    <row r="75" spans="22:24" x14ac:dyDescent="0.25">
      <c r="V75" s="95"/>
      <c r="W75" s="95"/>
      <c r="X75" s="95"/>
    </row>
    <row r="76" spans="22:24" x14ac:dyDescent="0.25">
      <c r="V76" s="95"/>
      <c r="W76" s="95"/>
      <c r="X76" s="95"/>
    </row>
    <row r="77" spans="22:24" x14ac:dyDescent="0.25">
      <c r="V77" s="95"/>
      <c r="W77" s="95"/>
      <c r="X77" s="95"/>
    </row>
    <row r="78" spans="22:24" x14ac:dyDescent="0.25">
      <c r="V78" s="95"/>
      <c r="W78" s="95"/>
      <c r="X78" s="95"/>
    </row>
    <row r="79" spans="22:24" x14ac:dyDescent="0.25">
      <c r="V79" s="95"/>
      <c r="W79" s="95"/>
      <c r="X79" s="95"/>
    </row>
    <row r="80" spans="22:24" x14ac:dyDescent="0.25">
      <c r="V80" s="95"/>
      <c r="W80" s="95"/>
      <c r="X80" s="95"/>
    </row>
    <row r="81" spans="22:24" x14ac:dyDescent="0.25">
      <c r="V81" s="95"/>
      <c r="W81" s="95"/>
      <c r="X81" s="95"/>
    </row>
    <row r="82" spans="22:24" x14ac:dyDescent="0.25">
      <c r="V82" s="95"/>
      <c r="W82" s="95"/>
      <c r="X82" s="95"/>
    </row>
    <row r="83" spans="22:24" x14ac:dyDescent="0.25">
      <c r="V83" s="95"/>
      <c r="W83" s="95"/>
      <c r="X83" s="95"/>
    </row>
    <row r="84" spans="22:24" x14ac:dyDescent="0.25">
      <c r="V84" s="95"/>
      <c r="W84" s="95"/>
      <c r="X84" s="95"/>
    </row>
    <row r="85" spans="22:24" x14ac:dyDescent="0.25">
      <c r="V85" s="95"/>
      <c r="W85" s="95"/>
      <c r="X85" s="95"/>
    </row>
    <row r="86" spans="22:24" x14ac:dyDescent="0.25">
      <c r="V86" s="95"/>
      <c r="W86" s="95"/>
      <c r="X86" s="95"/>
    </row>
    <row r="87" spans="22:24" x14ac:dyDescent="0.25">
      <c r="V87" s="95"/>
      <c r="W87" s="95"/>
      <c r="X87" s="95"/>
    </row>
    <row r="88" spans="22:24" x14ac:dyDescent="0.25">
      <c r="V88" s="95"/>
      <c r="W88" s="95"/>
      <c r="X88" s="95"/>
    </row>
    <row r="89" spans="22:24" x14ac:dyDescent="0.25">
      <c r="V89" s="95"/>
      <c r="W89" s="95"/>
      <c r="X89" s="95"/>
    </row>
    <row r="90" spans="22:24" x14ac:dyDescent="0.25">
      <c r="V90" s="95"/>
      <c r="W90" s="95"/>
      <c r="X90" s="95"/>
    </row>
    <row r="91" spans="22:24" x14ac:dyDescent="0.25">
      <c r="V91" s="95"/>
      <c r="W91" s="95"/>
      <c r="X91" s="95"/>
    </row>
    <row r="92" spans="22:24" x14ac:dyDescent="0.25">
      <c r="V92" s="95"/>
      <c r="W92" s="95"/>
      <c r="X92" s="95"/>
    </row>
    <row r="93" spans="22:24" x14ac:dyDescent="0.25">
      <c r="V93" s="95"/>
      <c r="W93" s="95"/>
      <c r="X93" s="95"/>
    </row>
    <row r="94" spans="22:24" x14ac:dyDescent="0.25">
      <c r="V94" s="95"/>
      <c r="W94" s="95"/>
      <c r="X94" s="95"/>
    </row>
    <row r="95" spans="22:24" x14ac:dyDescent="0.25">
      <c r="V95" s="95"/>
      <c r="W95" s="95"/>
      <c r="X95" s="95"/>
    </row>
    <row r="96" spans="22:24" x14ac:dyDescent="0.25">
      <c r="V96" s="95"/>
      <c r="W96" s="95"/>
      <c r="X96" s="95"/>
    </row>
    <row r="97" spans="22:24" x14ac:dyDescent="0.25">
      <c r="V97" s="95"/>
      <c r="W97" s="95"/>
      <c r="X97" s="95"/>
    </row>
    <row r="98" spans="22:24" x14ac:dyDescent="0.25">
      <c r="V98" s="95"/>
      <c r="W98" s="95"/>
      <c r="X98" s="95"/>
    </row>
    <row r="99" spans="22:24" x14ac:dyDescent="0.25">
      <c r="V99" s="95"/>
      <c r="W99" s="95"/>
      <c r="X99" s="95"/>
    </row>
    <row r="100" spans="22:24" x14ac:dyDescent="0.25">
      <c r="V100" s="95"/>
      <c r="W100" s="95"/>
      <c r="X100" s="95"/>
    </row>
    <row r="101" spans="22:24" x14ac:dyDescent="0.25">
      <c r="V101" s="95"/>
      <c r="W101" s="95"/>
      <c r="X101" s="95"/>
    </row>
    <row r="102" spans="22:24" x14ac:dyDescent="0.25">
      <c r="V102" s="95"/>
      <c r="W102" s="95"/>
      <c r="X102" s="95"/>
    </row>
    <row r="103" spans="22:24" x14ac:dyDescent="0.25">
      <c r="V103" s="95"/>
      <c r="W103" s="95"/>
      <c r="X103" s="95"/>
    </row>
    <row r="104" spans="22:24" x14ac:dyDescent="0.25">
      <c r="V104" s="95"/>
      <c r="W104" s="95"/>
      <c r="X104" s="95"/>
    </row>
    <row r="105" spans="22:24" x14ac:dyDescent="0.25">
      <c r="V105" s="95"/>
      <c r="W105" s="95"/>
      <c r="X105" s="95"/>
    </row>
    <row r="106" spans="22:24" x14ac:dyDescent="0.25">
      <c r="V106" s="95"/>
      <c r="W106" s="95"/>
      <c r="X106" s="95"/>
    </row>
    <row r="107" spans="22:24" x14ac:dyDescent="0.25">
      <c r="V107" s="95"/>
      <c r="W107" s="95"/>
      <c r="X107" s="95"/>
    </row>
    <row r="108" spans="22:24" x14ac:dyDescent="0.25">
      <c r="V108" s="95"/>
      <c r="W108" s="95"/>
      <c r="X108" s="95"/>
    </row>
    <row r="109" spans="22:24" x14ac:dyDescent="0.25">
      <c r="V109" s="95"/>
      <c r="W109" s="95"/>
      <c r="X109" s="95"/>
    </row>
    <row r="110" spans="22:24" x14ac:dyDescent="0.25">
      <c r="V110" s="95"/>
      <c r="W110" s="95"/>
      <c r="X110" s="95"/>
    </row>
    <row r="111" spans="22:24" x14ac:dyDescent="0.25">
      <c r="V111" s="95"/>
      <c r="W111" s="95"/>
      <c r="X111" s="95"/>
    </row>
    <row r="112" spans="22:24" x14ac:dyDescent="0.25">
      <c r="V112" s="95"/>
      <c r="W112" s="95"/>
      <c r="X112" s="95"/>
    </row>
    <row r="113" spans="22:24" x14ac:dyDescent="0.25">
      <c r="V113" s="95"/>
      <c r="W113" s="95"/>
      <c r="X113" s="95"/>
    </row>
    <row r="114" spans="22:24" x14ac:dyDescent="0.25">
      <c r="V114" s="95"/>
      <c r="W114" s="95"/>
      <c r="X114" s="95"/>
    </row>
    <row r="115" spans="22:24" x14ac:dyDescent="0.25">
      <c r="V115" s="95"/>
      <c r="W115" s="95"/>
      <c r="X115" s="95"/>
    </row>
    <row r="116" spans="22:24" x14ac:dyDescent="0.25">
      <c r="V116" s="95"/>
      <c r="W116" s="95"/>
      <c r="X116" s="95"/>
    </row>
    <row r="117" spans="22:24" x14ac:dyDescent="0.25">
      <c r="V117" s="95"/>
      <c r="W117" s="95"/>
      <c r="X117" s="95"/>
    </row>
    <row r="118" spans="22:24" x14ac:dyDescent="0.25">
      <c r="V118" s="95"/>
      <c r="W118" s="95"/>
      <c r="X118" s="95"/>
    </row>
    <row r="119" spans="22:24" x14ac:dyDescent="0.25">
      <c r="V119" s="95"/>
      <c r="W119" s="95"/>
      <c r="X119" s="95"/>
    </row>
    <row r="120" spans="22:24" x14ac:dyDescent="0.25">
      <c r="V120" s="95"/>
      <c r="W120" s="95"/>
      <c r="X120" s="95"/>
    </row>
    <row r="121" spans="22:24" x14ac:dyDescent="0.25">
      <c r="V121" s="95"/>
      <c r="W121" s="95"/>
      <c r="X121" s="95"/>
    </row>
    <row r="122" spans="22:24" x14ac:dyDescent="0.25">
      <c r="V122" s="95"/>
      <c r="W122" s="95"/>
      <c r="X122" s="95"/>
    </row>
    <row r="123" spans="22:24" x14ac:dyDescent="0.25">
      <c r="V123" s="95"/>
      <c r="W123" s="95"/>
      <c r="X123" s="95"/>
    </row>
    <row r="124" spans="22:24" x14ac:dyDescent="0.25">
      <c r="V124" s="95"/>
      <c r="W124" s="95"/>
      <c r="X124" s="95"/>
    </row>
    <row r="125" spans="22:24" x14ac:dyDescent="0.25">
      <c r="V125" s="95"/>
      <c r="W125" s="95"/>
      <c r="X125" s="95"/>
    </row>
    <row r="126" spans="22:24" x14ac:dyDescent="0.25">
      <c r="V126" s="95"/>
      <c r="W126" s="95"/>
      <c r="X126" s="95"/>
    </row>
    <row r="127" spans="22:24" x14ac:dyDescent="0.25">
      <c r="V127" s="95"/>
      <c r="W127" s="95"/>
      <c r="X127" s="95"/>
    </row>
    <row r="128" spans="22:24" x14ac:dyDescent="0.25">
      <c r="V128" s="95"/>
      <c r="W128" s="95"/>
      <c r="X128" s="95"/>
    </row>
    <row r="129" spans="22:24" x14ac:dyDescent="0.25">
      <c r="V129" s="95"/>
      <c r="W129" s="95"/>
      <c r="X129" s="95"/>
    </row>
    <row r="130" spans="22:24" x14ac:dyDescent="0.25">
      <c r="V130" s="95"/>
      <c r="W130" s="95"/>
      <c r="X130" s="95"/>
    </row>
    <row r="131" spans="22:24" x14ac:dyDescent="0.25">
      <c r="V131" s="95"/>
      <c r="W131" s="95"/>
      <c r="X131" s="95"/>
    </row>
    <row r="132" spans="22:24" x14ac:dyDescent="0.25">
      <c r="V132" s="95"/>
      <c r="W132" s="95"/>
      <c r="X132" s="95"/>
    </row>
    <row r="133" spans="22:24" x14ac:dyDescent="0.25">
      <c r="V133" s="95"/>
      <c r="W133" s="95"/>
      <c r="X133" s="95"/>
    </row>
    <row r="134" spans="22:24" x14ac:dyDescent="0.25">
      <c r="V134" s="95"/>
      <c r="W134" s="95"/>
      <c r="X134" s="95"/>
    </row>
    <row r="135" spans="22:24" x14ac:dyDescent="0.25">
      <c r="V135" s="95"/>
      <c r="W135" s="95"/>
      <c r="X135" s="95"/>
    </row>
    <row r="136" spans="22:24" x14ac:dyDescent="0.25">
      <c r="V136" s="95"/>
      <c r="W136" s="95"/>
      <c r="X136" s="95"/>
    </row>
    <row r="137" spans="22:24" x14ac:dyDescent="0.25">
      <c r="V137" s="95"/>
      <c r="W137" s="95"/>
      <c r="X137" s="95"/>
    </row>
    <row r="138" spans="22:24" x14ac:dyDescent="0.25">
      <c r="V138" s="95"/>
      <c r="W138" s="95"/>
      <c r="X138" s="95"/>
    </row>
    <row r="139" spans="22:24" x14ac:dyDescent="0.25">
      <c r="V139" s="95"/>
      <c r="W139" s="95"/>
      <c r="X139" s="95"/>
    </row>
    <row r="140" spans="22:24" x14ac:dyDescent="0.25">
      <c r="V140" s="95"/>
      <c r="W140" s="95"/>
      <c r="X140" s="95"/>
    </row>
    <row r="141" spans="22:24" x14ac:dyDescent="0.25">
      <c r="V141" s="95"/>
      <c r="W141" s="95"/>
      <c r="X141" s="95"/>
    </row>
    <row r="142" spans="22:24" x14ac:dyDescent="0.25">
      <c r="V142" s="95"/>
      <c r="W142" s="95"/>
      <c r="X142" s="95"/>
    </row>
    <row r="143" spans="22:24" x14ac:dyDescent="0.25">
      <c r="V143" s="95"/>
      <c r="W143" s="95"/>
      <c r="X143" s="95"/>
    </row>
    <row r="144" spans="22:24" x14ac:dyDescent="0.25">
      <c r="V144" s="95"/>
      <c r="W144" s="95"/>
      <c r="X144" s="95"/>
    </row>
    <row r="145" spans="22:24" x14ac:dyDescent="0.25">
      <c r="V145" s="95"/>
      <c r="W145" s="95"/>
      <c r="X145" s="95"/>
    </row>
    <row r="146" spans="22:24" x14ac:dyDescent="0.25">
      <c r="V146" s="95"/>
      <c r="W146" s="95"/>
      <c r="X146" s="95"/>
    </row>
    <row r="147" spans="22:24" x14ac:dyDescent="0.25">
      <c r="V147" s="95"/>
      <c r="W147" s="95"/>
      <c r="X147" s="95"/>
    </row>
    <row r="148" spans="22:24" x14ac:dyDescent="0.25">
      <c r="V148" s="95"/>
      <c r="W148" s="95"/>
      <c r="X148" s="95"/>
    </row>
    <row r="149" spans="22:24" x14ac:dyDescent="0.25">
      <c r="V149" s="95"/>
      <c r="W149" s="95"/>
      <c r="X149" s="95"/>
    </row>
    <row r="150" spans="22:24" x14ac:dyDescent="0.25">
      <c r="V150" s="95"/>
      <c r="W150" s="95"/>
      <c r="X150" s="95"/>
    </row>
    <row r="151" spans="22:24" x14ac:dyDescent="0.25">
      <c r="V151" s="95"/>
      <c r="W151" s="95"/>
      <c r="X151" s="95"/>
    </row>
    <row r="152" spans="22:24" x14ac:dyDescent="0.25">
      <c r="V152" s="95"/>
      <c r="W152" s="95"/>
      <c r="X152" s="95"/>
    </row>
    <row r="153" spans="22:24" x14ac:dyDescent="0.25">
      <c r="V153" s="95"/>
      <c r="W153" s="95"/>
      <c r="X153" s="95"/>
    </row>
    <row r="154" spans="22:24" x14ac:dyDescent="0.25">
      <c r="V154" s="95"/>
      <c r="W154" s="95"/>
      <c r="X154" s="95"/>
    </row>
    <row r="155" spans="22:24" x14ac:dyDescent="0.25">
      <c r="V155" s="95"/>
      <c r="W155" s="95"/>
      <c r="X155" s="95"/>
    </row>
    <row r="156" spans="22:24" x14ac:dyDescent="0.25">
      <c r="V156" s="95"/>
      <c r="W156" s="95"/>
      <c r="X156" s="95"/>
    </row>
    <row r="157" spans="22:24" x14ac:dyDescent="0.25">
      <c r="V157" s="95"/>
      <c r="W157" s="95"/>
      <c r="X157" s="95"/>
    </row>
    <row r="158" spans="22:24" x14ac:dyDescent="0.25">
      <c r="V158" s="95"/>
      <c r="W158" s="95"/>
      <c r="X158" s="95"/>
    </row>
    <row r="159" spans="22:24" x14ac:dyDescent="0.25">
      <c r="V159" s="95"/>
      <c r="W159" s="95"/>
      <c r="X159" s="95"/>
    </row>
    <row r="160" spans="22:24" x14ac:dyDescent="0.25">
      <c r="V160" s="95"/>
      <c r="W160" s="95"/>
      <c r="X160" s="95"/>
    </row>
    <row r="161" spans="22:24" x14ac:dyDescent="0.25">
      <c r="V161" s="95"/>
      <c r="W161" s="95"/>
      <c r="X161" s="95"/>
    </row>
  </sheetData>
  <sheetProtection algorithmName="SHA-512" hashValue="rIh1O5Ipesm4Cn1iXZXGjhZ+itdlw/SvbMjwmnSRzrnoTXdVSrDmonOUQSlXAFMv8yV/HynFXL4V0FEjWdNZtA==" saltValue="7XMgyn6L6JI1ft+90Crmsw==" spinCount="100000" sheet="1" objects="1" scenarios="1"/>
  <protectedRanges>
    <protectedRange sqref="D5:E10 L5:L9 Q4:Q5 H5 J5:J8 M6:M9 K6:K8 J9:K11 L10:M11 G6:I11" name="Plage1"/>
  </protectedRanges>
  <mergeCells count="18">
    <mergeCell ref="N8:N9"/>
    <mergeCell ref="N10:N11"/>
    <mergeCell ref="P33:Q33"/>
    <mergeCell ref="C32:F32"/>
    <mergeCell ref="G32:N32"/>
    <mergeCell ref="G8:G9"/>
    <mergeCell ref="G10:G11"/>
    <mergeCell ref="H12:I12"/>
    <mergeCell ref="J12:K12"/>
    <mergeCell ref="L12:M12"/>
    <mergeCell ref="W6:X6"/>
    <mergeCell ref="C4:E4"/>
    <mergeCell ref="H4:M4"/>
    <mergeCell ref="H5:I5"/>
    <mergeCell ref="J5:K5"/>
    <mergeCell ref="L5:M5"/>
    <mergeCell ref="G6:G7"/>
    <mergeCell ref="N6:N7"/>
  </mergeCells>
  <pageMargins left="0.7" right="0.7" top="0.75" bottom="0.75" header="0.3" footer="0.3"/>
  <ignoredErrors>
    <ignoredError sqref="F38 J7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K36"/>
  <sheetViews>
    <sheetView workbookViewId="0">
      <selection activeCell="C4" sqref="C4"/>
    </sheetView>
  </sheetViews>
  <sheetFormatPr baseColWidth="10" defaultColWidth="10.42578125" defaultRowHeight="12" x14ac:dyDescent="0.2"/>
  <cols>
    <col min="1" max="1" width="7.42578125" style="14" customWidth="1"/>
    <col min="2" max="2" width="24.42578125" style="14" customWidth="1"/>
    <col min="3" max="7" width="12.7109375" style="14" bestFit="1" customWidth="1"/>
    <col min="8" max="16384" width="10.42578125" style="14"/>
  </cols>
  <sheetData>
    <row r="1" spans="1:11" s="13" customFormat="1" ht="13.5" thickBot="1" x14ac:dyDescent="0.25">
      <c r="B1" s="3" t="s">
        <v>33</v>
      </c>
    </row>
    <row r="2" spans="1:11" ht="12.75" thickBot="1" x14ac:dyDescent="0.25">
      <c r="B2" s="14" t="s">
        <v>34</v>
      </c>
      <c r="C2" s="15" t="e">
        <f>#REF!</f>
        <v>#REF!</v>
      </c>
      <c r="E2" s="14">
        <v>20</v>
      </c>
      <c r="F2" s="14">
        <v>100</v>
      </c>
    </row>
    <row r="3" spans="1:11" ht="15.75" thickBot="1" x14ac:dyDescent="0.3">
      <c r="B3" s="14" t="s">
        <v>35</v>
      </c>
      <c r="C3" s="16" t="e">
        <f>#REF!</f>
        <v>#REF!</v>
      </c>
      <c r="E3" s="14">
        <v>0.01</v>
      </c>
      <c r="F3" s="14">
        <f>E3*F2/E2</f>
        <v>0.05</v>
      </c>
    </row>
    <row r="5" spans="1:11" x14ac:dyDescent="0.2">
      <c r="B5" s="17" t="s">
        <v>36</v>
      </c>
      <c r="C5" s="17" t="s">
        <v>21</v>
      </c>
      <c r="D5" s="17" t="s">
        <v>29</v>
      </c>
      <c r="E5" s="17" t="s">
        <v>30</v>
      </c>
      <c r="F5" s="17" t="s">
        <v>31</v>
      </c>
      <c r="G5" s="17" t="s">
        <v>32</v>
      </c>
    </row>
    <row r="6" spans="1:11" s="18" customFormat="1" x14ac:dyDescent="0.2">
      <c r="A6" s="18">
        <v>2</v>
      </c>
      <c r="B6" s="32" t="s">
        <v>45</v>
      </c>
      <c r="C6" s="19">
        <f>'80%'!B2</f>
        <v>80</v>
      </c>
      <c r="D6" s="19">
        <f>'90%'!B2</f>
        <v>90</v>
      </c>
      <c r="E6" s="19">
        <f>'100%'!B2</f>
        <v>100</v>
      </c>
      <c r="F6" s="34">
        <f>'110%'!B2</f>
        <v>110</v>
      </c>
      <c r="G6" s="19">
        <f>'120%'!B2</f>
        <v>120</v>
      </c>
    </row>
    <row r="7" spans="1:11" x14ac:dyDescent="0.2">
      <c r="A7" s="14">
        <v>30</v>
      </c>
      <c r="B7" s="33" t="s">
        <v>46</v>
      </c>
      <c r="C7" s="20" t="e">
        <f>'80%'!B22</f>
        <v>#REF!</v>
      </c>
      <c r="D7" s="20" t="e">
        <f>'90%'!B22</f>
        <v>#REF!</v>
      </c>
      <c r="E7" s="20" t="e">
        <f>'100%'!B22</f>
        <v>#REF!</v>
      </c>
      <c r="F7" s="20" t="e">
        <f>'110%'!B22</f>
        <v>#REF!</v>
      </c>
      <c r="G7" s="20" t="e">
        <f>'120%'!B22</f>
        <v>#REF!</v>
      </c>
      <c r="K7" s="21" t="str">
        <f>ADDRESS($A8,2,,,C$5)</f>
        <v>'Niveau A'!$B$31</v>
      </c>
    </row>
    <row r="8" spans="1:11" x14ac:dyDescent="0.2">
      <c r="A8" s="14">
        <v>31</v>
      </c>
      <c r="B8" s="33" t="s">
        <v>47</v>
      </c>
      <c r="C8" s="20" t="e">
        <f>'80%'!B23</f>
        <v>#DIV/0!</v>
      </c>
      <c r="D8" s="20" t="e">
        <f>'90%'!B23</f>
        <v>#DIV/0!</v>
      </c>
      <c r="E8" s="20" t="e">
        <f>'100%'!B23</f>
        <v>#DIV/0!</v>
      </c>
      <c r="F8" s="20" t="e">
        <f>'110%'!B23</f>
        <v>#DIV/0!</v>
      </c>
      <c r="G8" s="20" t="e">
        <f>'120%'!B23</f>
        <v>#DIV/0!</v>
      </c>
    </row>
    <row r="9" spans="1:11" x14ac:dyDescent="0.2">
      <c r="A9" s="14">
        <v>32</v>
      </c>
      <c r="B9" s="33" t="s">
        <v>48</v>
      </c>
      <c r="C9" s="20" t="e">
        <f>'80%'!B24</f>
        <v>#REF!</v>
      </c>
      <c r="D9" s="20" t="e">
        <f>'90%'!B24</f>
        <v>#REF!</v>
      </c>
      <c r="E9" s="20" t="e">
        <f>'100%'!B24</f>
        <v>#REF!</v>
      </c>
      <c r="F9" s="20" t="e">
        <f>'110%'!B24</f>
        <v>#REF!</v>
      </c>
      <c r="G9" s="20" t="e">
        <f>'120%'!B24</f>
        <v>#REF!</v>
      </c>
      <c r="H9" s="2"/>
    </row>
    <row r="10" spans="1:11" x14ac:dyDescent="0.2">
      <c r="A10" s="14">
        <v>33</v>
      </c>
      <c r="B10" s="33" t="s">
        <v>49</v>
      </c>
      <c r="C10" s="20" t="e">
        <f>'80%'!B25</f>
        <v>#DIV/0!</v>
      </c>
      <c r="D10" s="20" t="e">
        <f>'90%'!B25</f>
        <v>#DIV/0!</v>
      </c>
      <c r="E10" s="20" t="e">
        <f>'100%'!B25</f>
        <v>#DIV/0!</v>
      </c>
      <c r="F10" s="20" t="e">
        <f>'110%'!B25</f>
        <v>#DIV/0!</v>
      </c>
      <c r="G10" s="20" t="e">
        <f>'120%'!B25</f>
        <v>#DIV/0!</v>
      </c>
    </row>
    <row r="11" spans="1:11" x14ac:dyDescent="0.2">
      <c r="A11" s="14">
        <v>37</v>
      </c>
      <c r="B11" s="33" t="s">
        <v>50</v>
      </c>
      <c r="C11" s="20" t="e">
        <f>'80%'!B29</f>
        <v>#REF!</v>
      </c>
      <c r="D11" s="20" t="e">
        <f>'90%'!B29</f>
        <v>#REF!</v>
      </c>
      <c r="E11" s="20" t="e">
        <f>'100%'!B29</f>
        <v>#REF!</v>
      </c>
      <c r="F11" s="20" t="e">
        <f>'110%'!B29</f>
        <v>#REF!</v>
      </c>
      <c r="G11" s="20" t="e">
        <f>'120%'!B29</f>
        <v>#REF!</v>
      </c>
    </row>
    <row r="12" spans="1:11" x14ac:dyDescent="0.2">
      <c r="A12" s="14">
        <v>39</v>
      </c>
      <c r="B12" s="33" t="s">
        <v>51</v>
      </c>
      <c r="C12" s="20" t="e">
        <f>'80%'!B31</f>
        <v>#REF!</v>
      </c>
      <c r="D12" s="20" t="e">
        <f>'90%'!B31</f>
        <v>#REF!</v>
      </c>
      <c r="E12" s="20" t="e">
        <f>'100%'!B31</f>
        <v>#REF!</v>
      </c>
      <c r="F12" s="20" t="e">
        <f>'110%'!B31</f>
        <v>#REF!</v>
      </c>
      <c r="G12" s="20" t="e">
        <f>'120%'!B31</f>
        <v>#REF!</v>
      </c>
    </row>
    <row r="13" spans="1:11" x14ac:dyDescent="0.2">
      <c r="A13" s="14">
        <v>40</v>
      </c>
      <c r="B13" s="33" t="s">
        <v>52</v>
      </c>
      <c r="C13" s="20" t="e">
        <f>'80%'!B32</f>
        <v>#REF!</v>
      </c>
      <c r="D13" s="20" t="e">
        <f>'90%'!B32</f>
        <v>#REF!</v>
      </c>
      <c r="E13" s="20" t="e">
        <f>'100%'!B32</f>
        <v>#REF!</v>
      </c>
      <c r="F13" s="20" t="e">
        <f>'110%'!B32</f>
        <v>#REF!</v>
      </c>
      <c r="G13" s="20" t="e">
        <f>'120%'!B32</f>
        <v>#REF!</v>
      </c>
    </row>
    <row r="14" spans="1:11" x14ac:dyDescent="0.2">
      <c r="A14" s="14">
        <v>47</v>
      </c>
      <c r="B14" s="33" t="s">
        <v>53</v>
      </c>
      <c r="C14" s="20" t="e">
        <f>'80%'!B39</f>
        <v>#REF!</v>
      </c>
      <c r="D14" s="20" t="e">
        <f>'90%'!B39</f>
        <v>#REF!</v>
      </c>
      <c r="E14" s="20" t="e">
        <f>'100%'!B39</f>
        <v>#REF!</v>
      </c>
      <c r="F14" s="20" t="e">
        <f>'110%'!B39</f>
        <v>#REF!</v>
      </c>
      <c r="G14" s="20" t="e">
        <f>'120%'!B39</f>
        <v>#REF!</v>
      </c>
    </row>
    <row r="15" spans="1:11" x14ac:dyDescent="0.2">
      <c r="A15" s="14">
        <v>48</v>
      </c>
      <c r="B15" s="33" t="s">
        <v>54</v>
      </c>
      <c r="C15" s="20" t="e">
        <f>'80%'!B40</f>
        <v>#REF!</v>
      </c>
      <c r="D15" s="20" t="e">
        <f>'90%'!B40</f>
        <v>#REF!</v>
      </c>
      <c r="E15" s="20" t="e">
        <f>'100%'!B40</f>
        <v>#REF!</v>
      </c>
      <c r="F15" s="20" t="e">
        <f>'110%'!B40</f>
        <v>#REF!</v>
      </c>
      <c r="G15" s="20" t="e">
        <f>'120%'!B40</f>
        <v>#REF!</v>
      </c>
    </row>
    <row r="16" spans="1:11" x14ac:dyDescent="0.2">
      <c r="A16" s="14">
        <v>35</v>
      </c>
      <c r="B16" s="33" t="s">
        <v>55</v>
      </c>
      <c r="C16" s="22" t="e">
        <f>'80%'!B27</f>
        <v>#REF!</v>
      </c>
      <c r="D16" s="22" t="e">
        <f>'90%'!B27</f>
        <v>#REF!</v>
      </c>
      <c r="E16" s="22" t="e">
        <f>'100%'!B27</f>
        <v>#REF!</v>
      </c>
      <c r="F16" s="22" t="e">
        <f>'110%'!B27</f>
        <v>#REF!</v>
      </c>
      <c r="G16" s="22" t="e">
        <f>'120%'!B27</f>
        <v>#REF!</v>
      </c>
    </row>
    <row r="17" spans="2:7" s="18" customFormat="1" x14ac:dyDescent="0.2">
      <c r="B17" s="19" t="s">
        <v>37</v>
      </c>
      <c r="C17" s="23" t="e">
        <f>C7/C$6</f>
        <v>#REF!</v>
      </c>
      <c r="D17" s="23" t="e">
        <f t="shared" ref="D17:G17" si="0">D7/D$6</f>
        <v>#REF!</v>
      </c>
      <c r="E17" s="23" t="e">
        <f t="shared" si="0"/>
        <v>#REF!</v>
      </c>
      <c r="F17" s="23" t="e">
        <f t="shared" si="0"/>
        <v>#REF!</v>
      </c>
      <c r="G17" s="23" t="e">
        <f t="shared" si="0"/>
        <v>#REF!</v>
      </c>
    </row>
    <row r="18" spans="2:7" s="18" customFormat="1" x14ac:dyDescent="0.2">
      <c r="B18" s="19" t="s">
        <v>38</v>
      </c>
      <c r="C18" s="23" t="e">
        <f>C14/C$6</f>
        <v>#REF!</v>
      </c>
      <c r="D18" s="23" t="e">
        <f>D14/D$6</f>
        <v>#REF!</v>
      </c>
      <c r="E18" s="23" t="e">
        <f t="shared" ref="E18:G19" si="1">E14/E$6</f>
        <v>#REF!</v>
      </c>
      <c r="F18" s="23" t="e">
        <f t="shared" si="1"/>
        <v>#REF!</v>
      </c>
      <c r="G18" s="23" t="e">
        <f t="shared" si="1"/>
        <v>#REF!</v>
      </c>
    </row>
    <row r="19" spans="2:7" s="18" customFormat="1" x14ac:dyDescent="0.2">
      <c r="B19" s="19" t="s">
        <v>39</v>
      </c>
      <c r="C19" s="23" t="e">
        <f>C15/C$6</f>
        <v>#REF!</v>
      </c>
      <c r="D19" s="23" t="e">
        <f>D15/D$6</f>
        <v>#REF!</v>
      </c>
      <c r="E19" s="23" t="e">
        <f t="shared" si="1"/>
        <v>#REF!</v>
      </c>
      <c r="F19" s="23" t="e">
        <f t="shared" si="1"/>
        <v>#REF!</v>
      </c>
      <c r="G19" s="23" t="e">
        <f t="shared" si="1"/>
        <v>#REF!</v>
      </c>
    </row>
    <row r="20" spans="2:7" s="18" customFormat="1" x14ac:dyDescent="0.2">
      <c r="B20" s="19" t="s">
        <v>40</v>
      </c>
      <c r="C20" s="24" t="e">
        <f>1-$C$3</f>
        <v>#REF!</v>
      </c>
      <c r="D20" s="24" t="e">
        <f t="shared" ref="D20:G20" si="2">1-$C$3</f>
        <v>#REF!</v>
      </c>
      <c r="E20" s="24" t="e">
        <f t="shared" si="2"/>
        <v>#REF!</v>
      </c>
      <c r="F20" s="24" t="e">
        <f t="shared" si="2"/>
        <v>#REF!</v>
      </c>
      <c r="G20" s="24" t="e">
        <f t="shared" si="2"/>
        <v>#REF!</v>
      </c>
    </row>
    <row r="21" spans="2:7" s="18" customFormat="1" x14ac:dyDescent="0.2">
      <c r="B21" s="19" t="s">
        <v>41</v>
      </c>
      <c r="C21" s="24" t="e">
        <f t="shared" ref="C21:G21" si="3">1+$C$3</f>
        <v>#REF!</v>
      </c>
      <c r="D21" s="24" t="e">
        <f t="shared" si="3"/>
        <v>#REF!</v>
      </c>
      <c r="E21" s="24" t="e">
        <f t="shared" si="3"/>
        <v>#REF!</v>
      </c>
      <c r="F21" s="24" t="e">
        <f t="shared" si="3"/>
        <v>#REF!</v>
      </c>
      <c r="G21" s="24" t="e">
        <f t="shared" si="3"/>
        <v>#REF!</v>
      </c>
    </row>
    <row r="22" spans="2:7" s="18" customFormat="1" x14ac:dyDescent="0.2">
      <c r="B22" s="25"/>
      <c r="C22" s="26"/>
      <c r="D22" s="26"/>
      <c r="E22" s="26"/>
      <c r="F22" s="26"/>
      <c r="G22" s="26"/>
    </row>
    <row r="23" spans="2:7" s="18" customFormat="1" x14ac:dyDescent="0.2">
      <c r="B23" s="25"/>
      <c r="C23" s="26"/>
      <c r="D23" s="26"/>
      <c r="E23" s="26"/>
      <c r="F23" s="26"/>
      <c r="G23" s="26"/>
    </row>
    <row r="24" spans="2:7" s="18" customFormat="1" x14ac:dyDescent="0.2">
      <c r="B24" s="25"/>
      <c r="C24" s="26"/>
      <c r="D24" s="26"/>
      <c r="E24" s="26"/>
      <c r="F24" s="26"/>
      <c r="G24" s="26"/>
    </row>
    <row r="25" spans="2:7" s="18" customFormat="1" x14ac:dyDescent="0.2">
      <c r="B25" s="25"/>
      <c r="C25" s="26"/>
      <c r="D25" s="26"/>
      <c r="E25" s="26"/>
      <c r="F25" s="26"/>
      <c r="G25" s="26"/>
    </row>
    <row r="26" spans="2:7" s="18" customFormat="1" x14ac:dyDescent="0.2">
      <c r="B26" s="25"/>
      <c r="C26" s="26"/>
      <c r="D26" s="26"/>
      <c r="E26" s="26"/>
      <c r="F26" s="26"/>
      <c r="G26" s="26"/>
    </row>
    <row r="27" spans="2:7" s="13" customFormat="1" x14ac:dyDescent="0.2">
      <c r="B27" s="13" t="s">
        <v>42</v>
      </c>
    </row>
    <row r="28" spans="2:7" x14ac:dyDescent="0.2">
      <c r="B28" s="14" t="s">
        <v>43</v>
      </c>
      <c r="C28" s="27" t="e">
        <f t="shared" ref="C28:G28" si="4">C$12*C$10</f>
        <v>#REF!</v>
      </c>
      <c r="D28" s="27" t="e">
        <f t="shared" si="4"/>
        <v>#REF!</v>
      </c>
      <c r="E28" s="27" t="e">
        <f t="shared" si="4"/>
        <v>#REF!</v>
      </c>
      <c r="F28" s="27" t="e">
        <f t="shared" si="4"/>
        <v>#REF!</v>
      </c>
      <c r="G28" s="27" t="e">
        <f t="shared" si="4"/>
        <v>#REF!</v>
      </c>
    </row>
    <row r="29" spans="2:7" x14ac:dyDescent="0.2">
      <c r="B29" s="14" t="s">
        <v>44</v>
      </c>
      <c r="C29" s="28" t="e">
        <f t="shared" ref="C29:G29" si="5">2*C28/C7</f>
        <v>#REF!</v>
      </c>
      <c r="D29" s="28" t="e">
        <f t="shared" si="5"/>
        <v>#REF!</v>
      </c>
      <c r="E29" s="28" t="e">
        <f t="shared" si="5"/>
        <v>#REF!</v>
      </c>
      <c r="F29" s="28" t="e">
        <f t="shared" si="5"/>
        <v>#REF!</v>
      </c>
      <c r="G29" s="28" t="e">
        <f t="shared" si="5"/>
        <v>#REF!</v>
      </c>
    </row>
    <row r="30" spans="2:7" x14ac:dyDescent="0.2">
      <c r="C30" s="27"/>
      <c r="D30" s="27"/>
      <c r="E30" s="27"/>
      <c r="F30" s="27"/>
      <c r="G30" s="27"/>
    </row>
    <row r="31" spans="2:7" s="29" customFormat="1" x14ac:dyDescent="0.2">
      <c r="F31" s="30"/>
    </row>
    <row r="32" spans="2:7" s="29" customFormat="1" x14ac:dyDescent="0.2">
      <c r="F32" s="30"/>
    </row>
    <row r="33" spans="3:7" s="29" customFormat="1" x14ac:dyDescent="0.2">
      <c r="C33" s="30"/>
      <c r="D33" s="30"/>
      <c r="E33" s="30"/>
      <c r="F33" s="30"/>
      <c r="G33" s="30"/>
    </row>
    <row r="34" spans="3:7" s="29" customFormat="1" x14ac:dyDescent="0.2">
      <c r="C34" s="30"/>
      <c r="D34" s="30"/>
      <c r="E34" s="30"/>
      <c r="F34" s="30"/>
      <c r="G34" s="30"/>
    </row>
    <row r="35" spans="3:7" s="29" customFormat="1" x14ac:dyDescent="0.2">
      <c r="C35" s="31"/>
      <c r="D35" s="31"/>
      <c r="E35" s="31"/>
      <c r="F35" s="31"/>
      <c r="G35" s="31"/>
    </row>
    <row r="36" spans="3:7" s="29" customFormat="1" x14ac:dyDescent="0.2">
      <c r="C36" s="31"/>
      <c r="D36" s="31"/>
      <c r="E36" s="31"/>
      <c r="F36" s="31"/>
      <c r="G36" s="31"/>
    </row>
  </sheetData>
  <sheetProtection pivotTables="0"/>
  <pageMargins left="0.78740157499999996" right="0.78740157499999996" top="0.984251969" bottom="0.984251969" header="0.4921259845" footer="0.4921259845"/>
  <pageSetup paperSize="9" orientation="landscape" verticalDpi="0" r:id="rId1"/>
  <headerFooter alignWithMargins="0">
    <oddFooter>&amp;A&amp;RPage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pageSetUpPr fitToPage="1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7.7109375" style="2" bestFit="1" customWidth="1"/>
    <col min="3" max="3" width="11.5703125" style="2" customWidth="1"/>
    <col min="4" max="4" width="11.140625" style="2" customWidth="1"/>
    <col min="5" max="5" width="12.42578125" style="2" customWidth="1"/>
    <col min="6" max="6" width="10.28515625" style="2" customWidth="1"/>
    <col min="7" max="7" width="3.5703125" style="2" customWidth="1"/>
    <col min="8" max="8" width="6.42578125" style="2" customWidth="1"/>
    <col min="9" max="9" width="15" style="2" bestFit="1" customWidth="1"/>
    <col min="10" max="10" width="10.85546875" style="2" customWidth="1"/>
    <col min="11" max="16384" width="10.85546875" style="2"/>
  </cols>
  <sheetData>
    <row r="1" spans="1:9" ht="12.75" thickBot="1" x14ac:dyDescent="0.25">
      <c r="A1" s="1" t="s">
        <v>21</v>
      </c>
    </row>
    <row r="2" spans="1:9" ht="13.5" thickBot="1" x14ac:dyDescent="0.25">
      <c r="A2" s="3" t="s">
        <v>45</v>
      </c>
      <c r="B2" s="4">
        <v>80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94</v>
      </c>
      <c r="B5" s="35" t="e">
        <f>#REF!*$B$2</f>
        <v>#REF!</v>
      </c>
      <c r="C5" s="35" t="e">
        <f>#REF!*$B$2</f>
        <v>#REF!</v>
      </c>
      <c r="D5" s="35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95</v>
      </c>
      <c r="B6" s="35"/>
      <c r="C6" s="35"/>
      <c r="D6" s="35"/>
      <c r="E6" s="36"/>
      <c r="F6" s="37"/>
      <c r="H6" s="5"/>
      <c r="I6" s="6"/>
    </row>
    <row r="7" spans="1:9" x14ac:dyDescent="0.2">
      <c r="A7" s="2" t="s">
        <v>96</v>
      </c>
      <c r="B7" s="35" t="e">
        <f>#REF!*$B$2</f>
        <v>#REF!</v>
      </c>
      <c r="C7" s="35" t="e">
        <f>#REF!*$B$2</f>
        <v>#REF!</v>
      </c>
      <c r="D7" s="35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97</v>
      </c>
      <c r="B8" s="35" t="e">
        <f>#REF!*$B$2</f>
        <v>#REF!</v>
      </c>
      <c r="C8" s="35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98</v>
      </c>
      <c r="B9" s="35" t="e">
        <f>#REF!*$B$2</f>
        <v>#REF!</v>
      </c>
      <c r="C9" s="35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99</v>
      </c>
      <c r="B11" s="2">
        <f>COUNT(B5:B9)</f>
        <v>0</v>
      </c>
      <c r="C11" s="7"/>
    </row>
    <row r="12" spans="1:9" x14ac:dyDescent="0.2">
      <c r="A12" s="2" t="s">
        <v>100</v>
      </c>
      <c r="B12" s="2">
        <f>COUNT(B5:F9)</f>
        <v>0</v>
      </c>
      <c r="C12" s="7"/>
    </row>
    <row r="13" spans="1:9" x14ac:dyDescent="0.2">
      <c r="A13" s="2" t="s">
        <v>101</v>
      </c>
      <c r="B13" s="2">
        <f>IF(H5*B11&lt;&gt;B12,"Calcul impossible",H5)</f>
        <v>0</v>
      </c>
      <c r="C13" s="7"/>
    </row>
    <row r="14" spans="1:9" x14ac:dyDescent="0.2">
      <c r="A14" s="2" t="s">
        <v>102</v>
      </c>
      <c r="B14" s="8">
        <f>SUM(I5:I9)</f>
        <v>0</v>
      </c>
      <c r="C14" s="7"/>
    </row>
    <row r="15" spans="1:9" x14ac:dyDescent="0.2">
      <c r="A15" s="2" t="s">
        <v>103</v>
      </c>
      <c r="B15" s="8" t="e">
        <f>DEVSQ(B5:F9)</f>
        <v>#REF!</v>
      </c>
      <c r="C15" s="7"/>
    </row>
    <row r="16" spans="1:9" x14ac:dyDescent="0.2">
      <c r="A16" s="2" t="s">
        <v>104</v>
      </c>
      <c r="B16" s="8" t="e">
        <f>B15-B14</f>
        <v>#REF!</v>
      </c>
      <c r="C16" s="7"/>
    </row>
    <row r="17" spans="1:9" x14ac:dyDescent="0.2">
      <c r="A17" s="2" t="s">
        <v>105</v>
      </c>
      <c r="B17" s="8" t="e">
        <f>((B16/(B11-1))-B18)/B13</f>
        <v>#REF!</v>
      </c>
      <c r="C17" s="7"/>
    </row>
    <row r="18" spans="1:9" x14ac:dyDescent="0.2">
      <c r="A18" s="2" t="s">
        <v>106</v>
      </c>
      <c r="B18" s="8" t="e">
        <f>B14/(B12-B11)</f>
        <v>#DIV/0!</v>
      </c>
      <c r="C18" s="7"/>
    </row>
    <row r="19" spans="1:9" x14ac:dyDescent="0.2">
      <c r="A19" s="2" t="s">
        <v>107</v>
      </c>
      <c r="B19" s="8" t="e">
        <f>IF(B17&lt;0,0,B17)</f>
        <v>#REF!</v>
      </c>
      <c r="C19" s="7"/>
    </row>
    <row r="20" spans="1:9" x14ac:dyDescent="0.2">
      <c r="A20" s="2" t="s">
        <v>108</v>
      </c>
      <c r="B20" s="8" t="e">
        <f>SUM(B18:B19)</f>
        <v>#DIV/0!</v>
      </c>
      <c r="C20" s="7"/>
    </row>
    <row r="21" spans="1:9" s="3" customFormat="1" ht="12.75" x14ac:dyDescent="0.2">
      <c r="A21" s="3" t="s">
        <v>109</v>
      </c>
    </row>
    <row r="22" spans="1:9" x14ac:dyDescent="0.2">
      <c r="A22" s="2" t="s">
        <v>46</v>
      </c>
      <c r="B22" s="8" t="e">
        <f>AVERAGE(B5:F9)</f>
        <v>#REF!</v>
      </c>
      <c r="C22" s="7"/>
    </row>
    <row r="23" spans="1:9" ht="12" customHeight="1" x14ac:dyDescent="0.2">
      <c r="A23" s="2" t="s">
        <v>47</v>
      </c>
      <c r="B23" s="8" t="e">
        <f>SQRT(B18)</f>
        <v>#DIV/0!</v>
      </c>
      <c r="C23" s="7"/>
    </row>
    <row r="24" spans="1:9" x14ac:dyDescent="0.2">
      <c r="A24" s="2" t="s">
        <v>48</v>
      </c>
      <c r="B24" s="8" t="e">
        <f>SQRT(B19)</f>
        <v>#REF!</v>
      </c>
      <c r="C24" s="7"/>
    </row>
    <row r="25" spans="1:9" x14ac:dyDescent="0.2">
      <c r="A25" s="2" t="s">
        <v>49</v>
      </c>
      <c r="B25" s="8" t="e">
        <f>SQRT(B20)</f>
        <v>#DIV/0!</v>
      </c>
      <c r="C25" s="7"/>
    </row>
    <row r="26" spans="1:9" s="3" customFormat="1" ht="12.75" x14ac:dyDescent="0.2">
      <c r="A26" s="3" t="s">
        <v>110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111</v>
      </c>
    </row>
    <row r="29" spans="1:9" x14ac:dyDescent="0.2">
      <c r="A29" s="2" t="s">
        <v>50</v>
      </c>
      <c r="B29" s="8" t="e">
        <f>B19/B18</f>
        <v>#REF!</v>
      </c>
      <c r="C29" s="7"/>
    </row>
    <row r="30" spans="1:9" x14ac:dyDescent="0.2">
      <c r="A30" s="2" t="s">
        <v>112</v>
      </c>
      <c r="B30" s="8" t="e">
        <f>(B29+1)/(B13*B29+1)</f>
        <v>#REF!</v>
      </c>
      <c r="C30" s="7"/>
    </row>
    <row r="31" spans="1:9" x14ac:dyDescent="0.2">
      <c r="A31" s="2" t="s">
        <v>51</v>
      </c>
      <c r="B31" s="8" t="e">
        <f>SQRT(1+1/(B12*B30))</f>
        <v>#REF!</v>
      </c>
      <c r="C31" s="7"/>
    </row>
    <row r="32" spans="1:9" x14ac:dyDescent="0.2">
      <c r="A32" s="2" t="s">
        <v>52</v>
      </c>
      <c r="B32" s="8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8" t="e">
        <f>Récapitulatif!C2</f>
        <v>#REF!</v>
      </c>
      <c r="C33" s="7"/>
    </row>
    <row r="34" spans="1:3" x14ac:dyDescent="0.2">
      <c r="A34" s="2" t="s">
        <v>113</v>
      </c>
      <c r="B34" s="8" t="e">
        <f>TINV(1-B33,ROUNDDOWN(B32,0))</f>
        <v>#REF!</v>
      </c>
      <c r="C34" s="7"/>
    </row>
    <row r="35" spans="1:3" x14ac:dyDescent="0.2">
      <c r="A35" s="2" t="s">
        <v>114</v>
      </c>
      <c r="B35" s="8" t="e">
        <f>TINV(1-B33,ROUNDUP(B32,0))</f>
        <v>#REF!</v>
      </c>
      <c r="C35" s="7"/>
    </row>
    <row r="36" spans="1:3" x14ac:dyDescent="0.2">
      <c r="A36" s="2" t="s">
        <v>115</v>
      </c>
      <c r="B36" s="8" t="e">
        <f>B34-(B34-B35)*(B32-ROUNDDOWN(B32,0))</f>
        <v>#REF!</v>
      </c>
      <c r="C36" s="7"/>
    </row>
    <row r="37" spans="1:3" x14ac:dyDescent="0.2">
      <c r="A37" s="2" t="s">
        <v>116</v>
      </c>
      <c r="B37" s="8" t="e">
        <f>B36*B31</f>
        <v>#REF!</v>
      </c>
      <c r="C37" s="7"/>
    </row>
    <row r="38" spans="1:3" s="3" customFormat="1" ht="12.75" x14ac:dyDescent="0.2">
      <c r="A38" s="3" t="s">
        <v>117</v>
      </c>
    </row>
    <row r="39" spans="1:3" x14ac:dyDescent="0.2">
      <c r="A39" s="2" t="s">
        <v>53</v>
      </c>
      <c r="B39" s="8" t="e">
        <f>B22-B37*B25</f>
        <v>#REF!</v>
      </c>
      <c r="C39" s="7"/>
    </row>
    <row r="40" spans="1:3" x14ac:dyDescent="0.2">
      <c r="A40" s="2" t="s">
        <v>54</v>
      </c>
      <c r="B40" s="8" t="e">
        <f>B22+B37*B25</f>
        <v>#REF!</v>
      </c>
      <c r="C40" s="7"/>
    </row>
  </sheetData>
  <sheetProtection pivotTables="0"/>
  <printOptions headings="1" gridLines="1"/>
  <pageMargins left="0.78740157499999996" right="0.78740157499999996" top="0.49" bottom="0.76" header="0.28000000000000003" footer="0.4921259845"/>
  <pageSetup paperSize="9" orientation="landscape" horizontalDpi="300" verticalDpi="300" r:id="rId1"/>
  <headerFooter alignWithMargins="0">
    <oddFooter>&amp;A&amp;RPage &amp;P</oddFooter>
  </headerFooter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29</v>
      </c>
    </row>
    <row r="2" spans="1:9" ht="13.5" thickBot="1" x14ac:dyDescent="0.25">
      <c r="A2" s="3" t="s">
        <v>45</v>
      </c>
      <c r="B2" s="11">
        <v>90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94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95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96</v>
      </c>
      <c r="B7" s="36"/>
      <c r="C7" s="36"/>
      <c r="D7" s="36"/>
      <c r="E7" s="36"/>
      <c r="F7" s="37"/>
      <c r="H7" s="5"/>
      <c r="I7" s="6" t="str">
        <f>IF(H7=0,"",DEVSQ(B7:F7))</f>
        <v/>
      </c>
    </row>
    <row r="8" spans="1:9" x14ac:dyDescent="0.2">
      <c r="A8" s="2" t="s">
        <v>97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98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99</v>
      </c>
      <c r="B11" s="2">
        <f>COUNT(B5:B9)</f>
        <v>0</v>
      </c>
      <c r="C11" s="7"/>
    </row>
    <row r="12" spans="1:9" x14ac:dyDescent="0.2">
      <c r="A12" s="2" t="s">
        <v>100</v>
      </c>
      <c r="B12" s="2">
        <f>COUNT(B5:F9)</f>
        <v>0</v>
      </c>
      <c r="C12" s="7"/>
    </row>
    <row r="13" spans="1:9" x14ac:dyDescent="0.2">
      <c r="A13" s="2" t="s">
        <v>101</v>
      </c>
      <c r="B13" s="2">
        <f>IF(H5*B11&lt;&gt;B12,"Calcul impossible",H5)</f>
        <v>0</v>
      </c>
      <c r="C13" s="7"/>
    </row>
    <row r="14" spans="1:9" x14ac:dyDescent="0.2">
      <c r="A14" s="2" t="s">
        <v>102</v>
      </c>
      <c r="B14" s="12">
        <f>SUM(I5:I9)</f>
        <v>0</v>
      </c>
      <c r="C14" s="7"/>
    </row>
    <row r="15" spans="1:9" x14ac:dyDescent="0.2">
      <c r="A15" s="2" t="s">
        <v>103</v>
      </c>
      <c r="B15" s="12" t="e">
        <f>DEVSQ(B5:F9)</f>
        <v>#REF!</v>
      </c>
      <c r="C15" s="7"/>
    </row>
    <row r="16" spans="1:9" x14ac:dyDescent="0.2">
      <c r="A16" s="2" t="s">
        <v>104</v>
      </c>
      <c r="B16" s="12" t="e">
        <f>B15-B14</f>
        <v>#REF!</v>
      </c>
      <c r="C16" s="7"/>
    </row>
    <row r="17" spans="1:9" x14ac:dyDescent="0.2">
      <c r="A17" s="2" t="s">
        <v>105</v>
      </c>
      <c r="B17" s="12" t="e">
        <f>((B16/(B11-1))-B18)/B13</f>
        <v>#REF!</v>
      </c>
      <c r="C17" s="7"/>
    </row>
    <row r="18" spans="1:9" x14ac:dyDescent="0.2">
      <c r="A18" s="2" t="s">
        <v>106</v>
      </c>
      <c r="B18" s="12" t="e">
        <f>B14/(B12-B11)</f>
        <v>#DIV/0!</v>
      </c>
      <c r="C18" s="7"/>
    </row>
    <row r="19" spans="1:9" x14ac:dyDescent="0.2">
      <c r="A19" s="2" t="s">
        <v>107</v>
      </c>
      <c r="B19" s="12" t="e">
        <f>IF(B17&lt;0,0,B17)</f>
        <v>#REF!</v>
      </c>
      <c r="C19" s="7"/>
    </row>
    <row r="20" spans="1:9" x14ac:dyDescent="0.2">
      <c r="A20" s="2" t="s">
        <v>108</v>
      </c>
      <c r="B20" s="12" t="e">
        <f>SUM(B18:B19)</f>
        <v>#DIV/0!</v>
      </c>
      <c r="C20" s="7"/>
    </row>
    <row r="21" spans="1:9" s="3" customFormat="1" ht="12.75" x14ac:dyDescent="0.2">
      <c r="A21" s="3" t="s">
        <v>109</v>
      </c>
    </row>
    <row r="22" spans="1:9" x14ac:dyDescent="0.2">
      <c r="A22" s="2" t="s">
        <v>46</v>
      </c>
      <c r="B22" s="12" t="e">
        <f>AVERAGE(B5:F9)</f>
        <v>#REF!</v>
      </c>
      <c r="C22" s="7"/>
    </row>
    <row r="23" spans="1:9" ht="12" customHeight="1" x14ac:dyDescent="0.2">
      <c r="A23" s="2" t="s">
        <v>47</v>
      </c>
      <c r="B23" s="12" t="e">
        <f>SQRT(B18)</f>
        <v>#DIV/0!</v>
      </c>
      <c r="C23" s="7"/>
    </row>
    <row r="24" spans="1:9" x14ac:dyDescent="0.2">
      <c r="A24" s="2" t="s">
        <v>48</v>
      </c>
      <c r="B24" s="12" t="e">
        <f>SQRT(B19)</f>
        <v>#REF!</v>
      </c>
      <c r="C24" s="7"/>
    </row>
    <row r="25" spans="1:9" x14ac:dyDescent="0.2">
      <c r="A25" s="2" t="s">
        <v>49</v>
      </c>
      <c r="B25" s="12" t="e">
        <f>SQRT(B20)</f>
        <v>#DIV/0!</v>
      </c>
      <c r="C25" s="7"/>
    </row>
    <row r="26" spans="1:9" s="3" customFormat="1" ht="12.75" x14ac:dyDescent="0.2">
      <c r="A26" s="3" t="s">
        <v>110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111</v>
      </c>
    </row>
    <row r="29" spans="1:9" x14ac:dyDescent="0.2">
      <c r="A29" s="2" t="s">
        <v>50</v>
      </c>
      <c r="B29" s="6" t="e">
        <f>B19/B18</f>
        <v>#REF!</v>
      </c>
      <c r="C29" s="7"/>
    </row>
    <row r="30" spans="1:9" x14ac:dyDescent="0.2">
      <c r="A30" s="2" t="s">
        <v>112</v>
      </c>
      <c r="B30" s="6" t="e">
        <f>(B29+1)/(B13*B29+1)</f>
        <v>#REF!</v>
      </c>
      <c r="C30" s="7"/>
    </row>
    <row r="31" spans="1:9" x14ac:dyDescent="0.2">
      <c r="A31" s="2" t="s">
        <v>51</v>
      </c>
      <c r="B31" s="6" t="e">
        <f>SQRT(1+1/(B12*B30))</f>
        <v>#REF!</v>
      </c>
      <c r="C31" s="7"/>
    </row>
    <row r="32" spans="1:9" x14ac:dyDescent="0.2">
      <c r="A32" s="2" t="s">
        <v>52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6" t="e">
        <f>Récapitulatif!C2</f>
        <v>#REF!</v>
      </c>
      <c r="C33" s="7"/>
    </row>
    <row r="34" spans="1:3" x14ac:dyDescent="0.2">
      <c r="A34" s="2" t="s">
        <v>113</v>
      </c>
      <c r="B34" s="6" t="e">
        <f>TINV(1-B33,ROUNDDOWN(B32,0))</f>
        <v>#REF!</v>
      </c>
      <c r="C34" s="7"/>
    </row>
    <row r="35" spans="1:3" x14ac:dyDescent="0.2">
      <c r="A35" s="2" t="s">
        <v>114</v>
      </c>
      <c r="B35" s="6" t="e">
        <f>TINV(1-B33,ROUNDUP(B32,0))</f>
        <v>#REF!</v>
      </c>
      <c r="C35" s="7"/>
    </row>
    <row r="36" spans="1:3" x14ac:dyDescent="0.2">
      <c r="A36" s="2" t="s">
        <v>115</v>
      </c>
      <c r="B36" s="6" t="e">
        <f>B34-(B34-B35)*(B32-ROUNDDOWN(B32,0))</f>
        <v>#REF!</v>
      </c>
      <c r="C36" s="7"/>
    </row>
    <row r="37" spans="1:3" x14ac:dyDescent="0.2">
      <c r="A37" s="2" t="s">
        <v>116</v>
      </c>
      <c r="B37" s="6" t="e">
        <f>B36*B31</f>
        <v>#REF!</v>
      </c>
      <c r="C37" s="7"/>
    </row>
    <row r="38" spans="1:3" s="3" customFormat="1" ht="12.75" x14ac:dyDescent="0.2">
      <c r="A38" s="3" t="s">
        <v>117</v>
      </c>
    </row>
    <row r="39" spans="1:3" x14ac:dyDescent="0.2">
      <c r="A39" s="2" t="s">
        <v>53</v>
      </c>
      <c r="B39" s="6" t="e">
        <f>B22-B37*B25</f>
        <v>#REF!</v>
      </c>
      <c r="C39" s="7"/>
    </row>
    <row r="40" spans="1:3" x14ac:dyDescent="0.2">
      <c r="A40" s="2" t="s">
        <v>54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4" bottom="0.56999999999999995" header="0.32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30</v>
      </c>
    </row>
    <row r="2" spans="1:9" ht="13.5" thickBot="1" x14ac:dyDescent="0.25">
      <c r="A2" s="3" t="s">
        <v>45</v>
      </c>
      <c r="B2" s="4">
        <v>100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94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95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96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97</v>
      </c>
      <c r="B8" s="36"/>
      <c r="C8" s="36"/>
      <c r="D8" s="36"/>
      <c r="E8" s="36"/>
      <c r="F8" s="37"/>
      <c r="H8" s="5"/>
      <c r="I8" s="6" t="str">
        <f>IF(H8=0,"",DEVSQ(B8:F8))</f>
        <v/>
      </c>
    </row>
    <row r="9" spans="1:9" x14ac:dyDescent="0.2">
      <c r="A9" s="2" t="s">
        <v>98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99</v>
      </c>
      <c r="B11" s="2">
        <f>COUNT(B5:B9)</f>
        <v>0</v>
      </c>
      <c r="C11" s="7"/>
    </row>
    <row r="12" spans="1:9" x14ac:dyDescent="0.2">
      <c r="A12" s="2" t="s">
        <v>100</v>
      </c>
      <c r="B12" s="2">
        <f>COUNT(B5:F9)</f>
        <v>0</v>
      </c>
      <c r="C12" s="7"/>
    </row>
    <row r="13" spans="1:9" x14ac:dyDescent="0.2">
      <c r="A13" s="2" t="s">
        <v>101</v>
      </c>
      <c r="B13" s="2">
        <f>IF(H5*B11&lt;&gt;B12,"Calcul impossible",H5)</f>
        <v>0</v>
      </c>
      <c r="C13" s="7"/>
    </row>
    <row r="14" spans="1:9" x14ac:dyDescent="0.2">
      <c r="A14" s="2" t="s">
        <v>102</v>
      </c>
      <c r="B14" s="12">
        <f>SUM(I5:I9)</f>
        <v>0</v>
      </c>
      <c r="C14" s="7"/>
    </row>
    <row r="15" spans="1:9" x14ac:dyDescent="0.2">
      <c r="A15" s="2" t="s">
        <v>103</v>
      </c>
      <c r="B15" s="12" t="e">
        <f>DEVSQ(B5:F9)</f>
        <v>#REF!</v>
      </c>
      <c r="C15" s="7"/>
    </row>
    <row r="16" spans="1:9" x14ac:dyDescent="0.2">
      <c r="A16" s="2" t="s">
        <v>104</v>
      </c>
      <c r="B16" s="12" t="e">
        <f>B15-B14</f>
        <v>#REF!</v>
      </c>
      <c r="C16" s="7"/>
    </row>
    <row r="17" spans="1:9" x14ac:dyDescent="0.2">
      <c r="A17" s="2" t="s">
        <v>105</v>
      </c>
      <c r="B17" s="12" t="e">
        <f>((B16/(B11-1))-B18)/B13</f>
        <v>#REF!</v>
      </c>
      <c r="C17" s="7"/>
    </row>
    <row r="18" spans="1:9" x14ac:dyDescent="0.2">
      <c r="A18" s="2" t="s">
        <v>106</v>
      </c>
      <c r="B18" s="12" t="e">
        <f>B14/(B12-B11)</f>
        <v>#DIV/0!</v>
      </c>
      <c r="C18" s="7"/>
    </row>
    <row r="19" spans="1:9" x14ac:dyDescent="0.2">
      <c r="A19" s="2" t="s">
        <v>107</v>
      </c>
      <c r="B19" s="12" t="e">
        <f>IF(B17&lt;0,0,B17)</f>
        <v>#REF!</v>
      </c>
      <c r="C19" s="7"/>
    </row>
    <row r="20" spans="1:9" x14ac:dyDescent="0.2">
      <c r="A20" s="2" t="s">
        <v>108</v>
      </c>
      <c r="B20" s="12" t="e">
        <f>SUM(B18:B19)</f>
        <v>#DIV/0!</v>
      </c>
      <c r="C20" s="7"/>
    </row>
    <row r="21" spans="1:9" s="3" customFormat="1" ht="12.75" x14ac:dyDescent="0.2">
      <c r="A21" s="3" t="s">
        <v>109</v>
      </c>
    </row>
    <row r="22" spans="1:9" x14ac:dyDescent="0.2">
      <c r="A22" s="2" t="s">
        <v>46</v>
      </c>
      <c r="B22" s="12" t="e">
        <f>AVERAGE(B5:F9)</f>
        <v>#REF!</v>
      </c>
      <c r="C22" s="7"/>
    </row>
    <row r="23" spans="1:9" ht="12" customHeight="1" x14ac:dyDescent="0.2">
      <c r="A23" s="2" t="s">
        <v>47</v>
      </c>
      <c r="B23" s="12" t="e">
        <f>SQRT(B18)</f>
        <v>#DIV/0!</v>
      </c>
      <c r="C23" s="7"/>
    </row>
    <row r="24" spans="1:9" x14ac:dyDescent="0.2">
      <c r="A24" s="2" t="s">
        <v>48</v>
      </c>
      <c r="B24" s="12" t="e">
        <f>SQRT(B19)</f>
        <v>#REF!</v>
      </c>
      <c r="C24" s="7"/>
    </row>
    <row r="25" spans="1:9" x14ac:dyDescent="0.2">
      <c r="A25" s="2" t="s">
        <v>49</v>
      </c>
      <c r="B25" s="12" t="e">
        <f>SQRT(B20)</f>
        <v>#DIV/0!</v>
      </c>
      <c r="C25" s="7"/>
    </row>
    <row r="26" spans="1:9" s="3" customFormat="1" ht="12.75" x14ac:dyDescent="0.2">
      <c r="A26" s="3" t="s">
        <v>110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111</v>
      </c>
    </row>
    <row r="29" spans="1:9" x14ac:dyDescent="0.2">
      <c r="A29" s="2" t="s">
        <v>50</v>
      </c>
      <c r="B29" s="6" t="e">
        <f>B19/B18</f>
        <v>#REF!</v>
      </c>
      <c r="C29" s="7"/>
    </row>
    <row r="30" spans="1:9" x14ac:dyDescent="0.2">
      <c r="A30" s="2" t="s">
        <v>112</v>
      </c>
      <c r="B30" s="6" t="e">
        <f>(B29+1)/(B13*B29+1)</f>
        <v>#REF!</v>
      </c>
      <c r="C30" s="7"/>
    </row>
    <row r="31" spans="1:9" x14ac:dyDescent="0.2">
      <c r="A31" s="2" t="s">
        <v>51</v>
      </c>
      <c r="B31" s="6" t="e">
        <f>SQRT(1+1/(B12*B30))</f>
        <v>#REF!</v>
      </c>
      <c r="C31" s="7"/>
    </row>
    <row r="32" spans="1:9" x14ac:dyDescent="0.2">
      <c r="A32" s="2" t="s">
        <v>52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6" t="e">
        <f>Récapitulatif!C2</f>
        <v>#REF!</v>
      </c>
      <c r="C33" s="7"/>
    </row>
    <row r="34" spans="1:3" x14ac:dyDescent="0.2">
      <c r="A34" s="2" t="s">
        <v>113</v>
      </c>
      <c r="B34" s="6" t="e">
        <f>TINV(1-B33,ROUNDDOWN(B32,0))</f>
        <v>#REF!</v>
      </c>
      <c r="C34" s="7"/>
    </row>
    <row r="35" spans="1:3" x14ac:dyDescent="0.2">
      <c r="A35" s="2" t="s">
        <v>114</v>
      </c>
      <c r="B35" s="6" t="e">
        <f>TINV(1-B33,ROUNDUP(B32,0))</f>
        <v>#REF!</v>
      </c>
      <c r="C35" s="7"/>
    </row>
    <row r="36" spans="1:3" x14ac:dyDescent="0.2">
      <c r="A36" s="2" t="s">
        <v>115</v>
      </c>
      <c r="B36" s="6" t="e">
        <f>B34-(B34-B35)*(B32-ROUNDDOWN(B32,0))</f>
        <v>#REF!</v>
      </c>
      <c r="C36" s="7"/>
    </row>
    <row r="37" spans="1:3" x14ac:dyDescent="0.2">
      <c r="A37" s="2" t="s">
        <v>116</v>
      </c>
      <c r="B37" s="6" t="e">
        <f>B36*B31</f>
        <v>#REF!</v>
      </c>
      <c r="C37" s="7"/>
    </row>
    <row r="38" spans="1:3" s="3" customFormat="1" ht="12.75" x14ac:dyDescent="0.2">
      <c r="A38" s="3" t="s">
        <v>117</v>
      </c>
    </row>
    <row r="39" spans="1:3" x14ac:dyDescent="0.2">
      <c r="A39" s="2" t="s">
        <v>53</v>
      </c>
      <c r="B39" s="6" t="e">
        <f>B22-B37*B25</f>
        <v>#REF!</v>
      </c>
      <c r="C39" s="7"/>
    </row>
    <row r="40" spans="1:3" x14ac:dyDescent="0.2">
      <c r="A40" s="2" t="s">
        <v>54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31</v>
      </c>
    </row>
    <row r="2" spans="1:9" ht="13.5" thickBot="1" x14ac:dyDescent="0.25">
      <c r="A2" s="3" t="s">
        <v>45</v>
      </c>
      <c r="B2" s="4">
        <v>110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94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95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96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97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98</v>
      </c>
      <c r="B9" s="36"/>
      <c r="C9" s="36"/>
      <c r="D9" s="36"/>
      <c r="E9" s="36"/>
      <c r="F9" s="37"/>
      <c r="H9" s="5"/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99</v>
      </c>
      <c r="B11" s="2">
        <f>COUNT(B5:B9)</f>
        <v>0</v>
      </c>
      <c r="C11" s="7"/>
    </row>
    <row r="12" spans="1:9" x14ac:dyDescent="0.2">
      <c r="A12" s="2" t="s">
        <v>100</v>
      </c>
      <c r="B12" s="2">
        <f>COUNT(B5:F9)</f>
        <v>0</v>
      </c>
      <c r="C12" s="7"/>
    </row>
    <row r="13" spans="1:9" x14ac:dyDescent="0.2">
      <c r="A13" s="2" t="s">
        <v>101</v>
      </c>
      <c r="B13" s="2">
        <f>IF(H5*B11&lt;&gt;B12,"Calcul impossible",H5)</f>
        <v>0</v>
      </c>
      <c r="C13" s="7"/>
    </row>
    <row r="14" spans="1:9" x14ac:dyDescent="0.2">
      <c r="A14" s="2" t="s">
        <v>102</v>
      </c>
      <c r="B14" s="12">
        <f>SUM(I5:I9)</f>
        <v>0</v>
      </c>
      <c r="C14" s="7"/>
    </row>
    <row r="15" spans="1:9" x14ac:dyDescent="0.2">
      <c r="A15" s="2" t="s">
        <v>103</v>
      </c>
      <c r="B15" s="12" t="e">
        <f>DEVSQ(B5:F9)</f>
        <v>#REF!</v>
      </c>
      <c r="C15" s="7"/>
    </row>
    <row r="16" spans="1:9" x14ac:dyDescent="0.2">
      <c r="A16" s="2" t="s">
        <v>104</v>
      </c>
      <c r="B16" s="12" t="e">
        <f>B15-B14</f>
        <v>#REF!</v>
      </c>
      <c r="C16" s="7"/>
    </row>
    <row r="17" spans="1:9" x14ac:dyDescent="0.2">
      <c r="A17" s="2" t="s">
        <v>105</v>
      </c>
      <c r="B17" s="12" t="e">
        <f>((B16/(B11-1))-B18)/B13</f>
        <v>#REF!</v>
      </c>
      <c r="C17" s="7"/>
    </row>
    <row r="18" spans="1:9" x14ac:dyDescent="0.2">
      <c r="A18" s="2" t="s">
        <v>106</v>
      </c>
      <c r="B18" s="12" t="e">
        <f>B14/(B12-B11)</f>
        <v>#DIV/0!</v>
      </c>
      <c r="C18" s="7"/>
    </row>
    <row r="19" spans="1:9" x14ac:dyDescent="0.2">
      <c r="A19" s="2" t="s">
        <v>107</v>
      </c>
      <c r="B19" s="12" t="e">
        <f>IF(B17&lt;0,0,B17)</f>
        <v>#REF!</v>
      </c>
      <c r="C19" s="7"/>
    </row>
    <row r="20" spans="1:9" x14ac:dyDescent="0.2">
      <c r="A20" s="2" t="s">
        <v>108</v>
      </c>
      <c r="B20" s="12" t="e">
        <f>SUM(B18:B19)</f>
        <v>#DIV/0!</v>
      </c>
      <c r="C20" s="7"/>
    </row>
    <row r="21" spans="1:9" s="3" customFormat="1" ht="12.75" x14ac:dyDescent="0.2">
      <c r="A21" s="3" t="s">
        <v>109</v>
      </c>
    </row>
    <row r="22" spans="1:9" x14ac:dyDescent="0.2">
      <c r="A22" s="2" t="s">
        <v>46</v>
      </c>
      <c r="B22" s="12" t="e">
        <f>AVERAGE(B5:F9)</f>
        <v>#REF!</v>
      </c>
      <c r="C22" s="7"/>
    </row>
    <row r="23" spans="1:9" ht="12" customHeight="1" x14ac:dyDescent="0.2">
      <c r="A23" s="2" t="s">
        <v>47</v>
      </c>
      <c r="B23" s="12" t="e">
        <f>SQRT(B18)</f>
        <v>#DIV/0!</v>
      </c>
      <c r="C23" s="7"/>
    </row>
    <row r="24" spans="1:9" x14ac:dyDescent="0.2">
      <c r="A24" s="2" t="s">
        <v>48</v>
      </c>
      <c r="B24" s="12" t="e">
        <f>SQRT(B19)</f>
        <v>#REF!</v>
      </c>
      <c r="C24" s="7"/>
    </row>
    <row r="25" spans="1:9" x14ac:dyDescent="0.2">
      <c r="A25" s="2" t="s">
        <v>49</v>
      </c>
      <c r="B25" s="12" t="e">
        <f>SQRT(B20)</f>
        <v>#DIV/0!</v>
      </c>
      <c r="C25" s="7"/>
    </row>
    <row r="26" spans="1:9" s="3" customFormat="1" ht="12.75" x14ac:dyDescent="0.2">
      <c r="A26" s="3" t="s">
        <v>110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111</v>
      </c>
    </row>
    <row r="29" spans="1:9" x14ac:dyDescent="0.2">
      <c r="A29" s="2" t="s">
        <v>50</v>
      </c>
      <c r="B29" s="6" t="e">
        <f>B19/B18</f>
        <v>#REF!</v>
      </c>
      <c r="C29" s="7"/>
    </row>
    <row r="30" spans="1:9" x14ac:dyDescent="0.2">
      <c r="A30" s="2" t="s">
        <v>112</v>
      </c>
      <c r="B30" s="6" t="e">
        <f>(B29+1)/(B13*B29+1)</f>
        <v>#REF!</v>
      </c>
      <c r="C30" s="7"/>
    </row>
    <row r="31" spans="1:9" x14ac:dyDescent="0.2">
      <c r="A31" s="2" t="s">
        <v>51</v>
      </c>
      <c r="B31" s="6" t="e">
        <f>SQRT(1+1/(B12*B30))</f>
        <v>#REF!</v>
      </c>
      <c r="C31" s="7"/>
    </row>
    <row r="32" spans="1:9" x14ac:dyDescent="0.2">
      <c r="A32" s="2" t="s">
        <v>52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6" t="e">
        <f>Récapitulatif!C2</f>
        <v>#REF!</v>
      </c>
      <c r="C33" s="7"/>
    </row>
    <row r="34" spans="1:3" x14ac:dyDescent="0.2">
      <c r="A34" s="2" t="s">
        <v>113</v>
      </c>
      <c r="B34" s="6" t="e">
        <f>TINV(1-B33,ROUNDDOWN(B32,0))</f>
        <v>#REF!</v>
      </c>
      <c r="C34" s="7"/>
    </row>
    <row r="35" spans="1:3" x14ac:dyDescent="0.2">
      <c r="A35" s="2" t="s">
        <v>114</v>
      </c>
      <c r="B35" s="6" t="e">
        <f>TINV(1-B33,ROUNDUP(B32,0))</f>
        <v>#REF!</v>
      </c>
      <c r="C35" s="7"/>
    </row>
    <row r="36" spans="1:3" x14ac:dyDescent="0.2">
      <c r="A36" s="2" t="s">
        <v>115</v>
      </c>
      <c r="B36" s="6" t="e">
        <f>B34-(B34-B35)*(B32-ROUNDDOWN(B32,0))</f>
        <v>#REF!</v>
      </c>
      <c r="C36" s="7"/>
    </row>
    <row r="37" spans="1:3" x14ac:dyDescent="0.2">
      <c r="A37" s="2" t="s">
        <v>116</v>
      </c>
      <c r="B37" s="6" t="e">
        <f>B36*B31</f>
        <v>#REF!</v>
      </c>
      <c r="C37" s="7"/>
    </row>
    <row r="38" spans="1:3" s="3" customFormat="1" ht="12.75" x14ac:dyDescent="0.2">
      <c r="A38" s="3" t="s">
        <v>117</v>
      </c>
    </row>
    <row r="39" spans="1:3" x14ac:dyDescent="0.2">
      <c r="A39" s="2" t="s">
        <v>53</v>
      </c>
      <c r="B39" s="6" t="e">
        <f>B22-B37*B25</f>
        <v>#REF!</v>
      </c>
      <c r="C39" s="7"/>
    </row>
    <row r="40" spans="1:3" x14ac:dyDescent="0.2">
      <c r="A40" s="2" t="s">
        <v>54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3" width="10.85546875" style="2" customWidth="1"/>
    <col min="4" max="4" width="12.140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32</v>
      </c>
    </row>
    <row r="2" spans="1:9" ht="13.5" thickBot="1" x14ac:dyDescent="0.25">
      <c r="A2" s="3" t="s">
        <v>45</v>
      </c>
      <c r="B2" s="4">
        <v>120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94</v>
      </c>
      <c r="B5" s="36"/>
      <c r="C5" s="36"/>
      <c r="D5" s="36"/>
      <c r="E5" s="37"/>
      <c r="F5" s="37"/>
      <c r="H5" s="5"/>
      <c r="I5" s="6"/>
    </row>
    <row r="6" spans="1:9" x14ac:dyDescent="0.2">
      <c r="A6" s="2" t="s">
        <v>95</v>
      </c>
      <c r="B6" s="36" t="e">
        <f>#REF!*$B$2</f>
        <v>#REF!</v>
      </c>
      <c r="C6" s="36" t="e">
        <f>#REF!*$B$2</f>
        <v>#REF!</v>
      </c>
      <c r="D6" s="36"/>
      <c r="E6" s="37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96</v>
      </c>
      <c r="B7" s="36" t="e">
        <f>#REF!*$B$2</f>
        <v>#REF!</v>
      </c>
      <c r="C7" s="36" t="e">
        <f>#REF!*$B$2</f>
        <v>#REF!</v>
      </c>
      <c r="D7" s="36"/>
      <c r="E7" s="37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97</v>
      </c>
      <c r="B8" s="36" t="e">
        <f>#REF!*$B$2</f>
        <v>#REF!</v>
      </c>
      <c r="C8" s="36" t="e">
        <f>#REF!*$B$2</f>
        <v>#REF!</v>
      </c>
      <c r="D8" s="37"/>
      <c r="E8" s="37"/>
      <c r="F8" s="37"/>
      <c r="H8" s="5">
        <f t="shared" ref="H8:H9" si="0">COUNT(B8:F8)</f>
        <v>0</v>
      </c>
      <c r="I8" s="6" t="str">
        <f t="shared" ref="I8:I9" si="1">IF(H8=0,"",DEVSQ(B8:F8))</f>
        <v/>
      </c>
    </row>
    <row r="9" spans="1:9" x14ac:dyDescent="0.2">
      <c r="A9" s="2" t="s">
        <v>98</v>
      </c>
      <c r="B9" s="36" t="e">
        <f>#REF!*$B$2</f>
        <v>#REF!</v>
      </c>
      <c r="C9" s="36" t="e">
        <f>#REF!*$B$2</f>
        <v>#REF!</v>
      </c>
      <c r="D9" s="37"/>
      <c r="E9" s="37"/>
      <c r="F9" s="37"/>
      <c r="H9" s="5">
        <f t="shared" si="0"/>
        <v>0</v>
      </c>
      <c r="I9" s="6" t="str">
        <f t="shared" si="1"/>
        <v/>
      </c>
    </row>
    <row r="10" spans="1:9" s="3" customFormat="1" ht="12.75" x14ac:dyDescent="0.2"/>
    <row r="11" spans="1:9" x14ac:dyDescent="0.2">
      <c r="A11" s="2" t="s">
        <v>99</v>
      </c>
      <c r="B11" s="2">
        <f>COUNT(B5:B9)</f>
        <v>0</v>
      </c>
      <c r="C11" s="7"/>
    </row>
    <row r="12" spans="1:9" x14ac:dyDescent="0.2">
      <c r="A12" s="2" t="s">
        <v>100</v>
      </c>
      <c r="B12" s="2">
        <f>COUNT(B5:F9)</f>
        <v>0</v>
      </c>
      <c r="C12" s="7"/>
    </row>
    <row r="13" spans="1:9" x14ac:dyDescent="0.2">
      <c r="A13" s="2" t="s">
        <v>101</v>
      </c>
      <c r="B13" s="2">
        <f>IF(H6*B11&lt;&gt;B12,"Calcul impossible",H6)</f>
        <v>0</v>
      </c>
      <c r="C13" s="7"/>
    </row>
    <row r="14" spans="1:9" x14ac:dyDescent="0.2">
      <c r="A14" s="2" t="s">
        <v>102</v>
      </c>
      <c r="B14" s="12">
        <f>SUM(I5:I9)</f>
        <v>0</v>
      </c>
      <c r="C14" s="7"/>
    </row>
    <row r="15" spans="1:9" x14ac:dyDescent="0.2">
      <c r="A15" s="2" t="s">
        <v>103</v>
      </c>
      <c r="B15" s="12" t="e">
        <f>DEVSQ(B5:F9)</f>
        <v>#REF!</v>
      </c>
      <c r="C15" s="7"/>
    </row>
    <row r="16" spans="1:9" x14ac:dyDescent="0.2">
      <c r="A16" s="2" t="s">
        <v>104</v>
      </c>
      <c r="B16" s="12" t="e">
        <f>B15-B14</f>
        <v>#REF!</v>
      </c>
      <c r="C16" s="7"/>
    </row>
    <row r="17" spans="1:9" x14ac:dyDescent="0.2">
      <c r="A17" s="2" t="s">
        <v>105</v>
      </c>
      <c r="B17" s="12" t="e">
        <f>((B16/(B11-1))-B18)/B13</f>
        <v>#REF!</v>
      </c>
      <c r="C17" s="7"/>
    </row>
    <row r="18" spans="1:9" x14ac:dyDescent="0.2">
      <c r="A18" s="2" t="s">
        <v>106</v>
      </c>
      <c r="B18" s="12" t="e">
        <f>B14/(B12-B11)</f>
        <v>#DIV/0!</v>
      </c>
      <c r="C18" s="7"/>
    </row>
    <row r="19" spans="1:9" x14ac:dyDescent="0.2">
      <c r="A19" s="2" t="s">
        <v>107</v>
      </c>
      <c r="B19" s="12" t="e">
        <f>IF(B17&lt;0,0,B17)</f>
        <v>#REF!</v>
      </c>
      <c r="C19" s="7"/>
    </row>
    <row r="20" spans="1:9" x14ac:dyDescent="0.2">
      <c r="A20" s="2" t="s">
        <v>108</v>
      </c>
      <c r="B20" s="12" t="e">
        <f>SUM(B18:B19)</f>
        <v>#DIV/0!</v>
      </c>
      <c r="C20" s="7"/>
    </row>
    <row r="21" spans="1:9" s="3" customFormat="1" ht="12.75" x14ac:dyDescent="0.2">
      <c r="A21" s="3" t="s">
        <v>109</v>
      </c>
    </row>
    <row r="22" spans="1:9" x14ac:dyDescent="0.2">
      <c r="A22" s="2" t="s">
        <v>46</v>
      </c>
      <c r="B22" s="12" t="e">
        <f>AVERAGE(B5:F9)</f>
        <v>#REF!</v>
      </c>
      <c r="C22" s="7"/>
    </row>
    <row r="23" spans="1:9" ht="12" customHeight="1" x14ac:dyDescent="0.2">
      <c r="A23" s="2" t="s">
        <v>47</v>
      </c>
      <c r="B23" s="12" t="e">
        <f>SQRT(B18)</f>
        <v>#DIV/0!</v>
      </c>
      <c r="C23" s="7"/>
    </row>
    <row r="24" spans="1:9" x14ac:dyDescent="0.2">
      <c r="A24" s="2" t="s">
        <v>48</v>
      </c>
      <c r="B24" s="12" t="e">
        <f>SQRT(B19)</f>
        <v>#REF!</v>
      </c>
      <c r="C24" s="7"/>
    </row>
    <row r="25" spans="1:9" x14ac:dyDescent="0.2">
      <c r="A25" s="2" t="s">
        <v>49</v>
      </c>
      <c r="B25" s="12" t="e">
        <f>SQRT(B20)</f>
        <v>#DIV/0!</v>
      </c>
      <c r="C25" s="7"/>
    </row>
    <row r="26" spans="1:9" s="3" customFormat="1" ht="12.75" x14ac:dyDescent="0.2">
      <c r="A26" s="3" t="s">
        <v>110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111</v>
      </c>
    </row>
    <row r="29" spans="1:9" x14ac:dyDescent="0.2">
      <c r="A29" s="2" t="s">
        <v>50</v>
      </c>
      <c r="B29" s="6" t="e">
        <f>B19/B18</f>
        <v>#REF!</v>
      </c>
      <c r="C29" s="7"/>
    </row>
    <row r="30" spans="1:9" x14ac:dyDescent="0.2">
      <c r="A30" s="2" t="s">
        <v>112</v>
      </c>
      <c r="B30" s="6" t="e">
        <f>(B29+1)/(B13*B29+1)</f>
        <v>#REF!</v>
      </c>
      <c r="C30" s="7"/>
    </row>
    <row r="31" spans="1:9" x14ac:dyDescent="0.2">
      <c r="A31" s="2" t="s">
        <v>51</v>
      </c>
      <c r="B31" s="6" t="e">
        <f>SQRT(1+1/(B12*B30))</f>
        <v>#REF!</v>
      </c>
      <c r="C31" s="7"/>
    </row>
    <row r="32" spans="1:9" x14ac:dyDescent="0.2">
      <c r="A32" s="2" t="s">
        <v>52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6" t="e">
        <f>Récapitulatif!C2</f>
        <v>#REF!</v>
      </c>
      <c r="C33" s="7"/>
    </row>
    <row r="34" spans="1:3" x14ac:dyDescent="0.2">
      <c r="A34" s="2" t="s">
        <v>113</v>
      </c>
      <c r="B34" s="6" t="e">
        <f>TINV(1-B33,ROUNDDOWN(B32,0))</f>
        <v>#REF!</v>
      </c>
      <c r="C34" s="7"/>
    </row>
    <row r="35" spans="1:3" x14ac:dyDescent="0.2">
      <c r="A35" s="2" t="s">
        <v>114</v>
      </c>
      <c r="B35" s="6" t="e">
        <f>TINV(1-B33,ROUNDUP(B32,0))</f>
        <v>#REF!</v>
      </c>
      <c r="C35" s="7"/>
    </row>
    <row r="36" spans="1:3" x14ac:dyDescent="0.2">
      <c r="A36" s="2" t="s">
        <v>115</v>
      </c>
      <c r="B36" s="6" t="e">
        <f>B34-(B34-B35)*(B32-ROUNDDOWN(B32,0))</f>
        <v>#REF!</v>
      </c>
      <c r="C36" s="7"/>
    </row>
    <row r="37" spans="1:3" x14ac:dyDescent="0.2">
      <c r="A37" s="2" t="s">
        <v>116</v>
      </c>
      <c r="B37" s="6" t="e">
        <f>B36*B31</f>
        <v>#REF!</v>
      </c>
      <c r="C37" s="7"/>
    </row>
    <row r="38" spans="1:3" s="3" customFormat="1" ht="12.75" x14ac:dyDescent="0.2">
      <c r="A38" s="3" t="s">
        <v>117</v>
      </c>
    </row>
    <row r="39" spans="1:3" x14ac:dyDescent="0.2">
      <c r="A39" s="2" t="s">
        <v>53</v>
      </c>
      <c r="B39" s="6" t="e">
        <f>B22-B37*B25</f>
        <v>#REF!</v>
      </c>
      <c r="C39" s="7"/>
    </row>
    <row r="40" spans="1:3" x14ac:dyDescent="0.2">
      <c r="A40" s="2" t="s">
        <v>54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7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CL 3f3n</vt:lpstr>
      <vt:lpstr>Récapitulatif</vt:lpstr>
      <vt:lpstr>80%</vt:lpstr>
      <vt:lpstr>90%</vt:lpstr>
      <vt:lpstr>100%</vt:lpstr>
      <vt:lpstr>110%</vt:lpstr>
      <vt:lpstr>120%</vt:lpstr>
      <vt:lpstr>Graph Profil</vt:lpstr>
      <vt:lpstr>'80%'!Zone_d_impression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2017-02-03T08:41:23Z</dcterms:created>
  <dcterms:modified xsi:type="dcterms:W3CDTF">2025-11-18T07:48:00Z</dcterms:modified>
</cp:coreProperties>
</file>