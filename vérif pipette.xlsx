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rgan\Desktop\Excel payant\"/>
    </mc:Choice>
  </mc:AlternateContent>
  <bookViews>
    <workbookView xWindow="0" yWindow="0" windowWidth="19200" windowHeight="7310"/>
  </bookViews>
  <sheets>
    <sheet name="vérification pipette" sheetId="1" r:id="rId1"/>
  </sheets>
  <definedNames>
    <definedName name="_Hlk389637313" localSheetId="0">'vérification pipette'!$K$10</definedName>
    <definedName name="OLE_LINK21" localSheetId="0">'vérification pipette'!$L$11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1" l="1"/>
  <c r="H65" i="1"/>
  <c r="H91" i="1" s="1"/>
  <c r="H40" i="1"/>
  <c r="H66" i="1" s="1"/>
  <c r="H92" i="1" s="1"/>
  <c r="H39" i="1"/>
  <c r="D3" i="1"/>
  <c r="D38" i="1"/>
  <c r="G94" i="1" l="1"/>
  <c r="F94" i="1"/>
  <c r="E94" i="1"/>
  <c r="D90" i="1"/>
  <c r="D88" i="1"/>
  <c r="E81" i="1"/>
  <c r="D81" i="1"/>
  <c r="E80" i="1"/>
  <c r="D80" i="1"/>
  <c r="F78" i="1"/>
  <c r="G78" i="1" s="1"/>
  <c r="F77" i="1"/>
  <c r="G77" i="1" s="1"/>
  <c r="F76" i="1"/>
  <c r="G76" i="1" s="1"/>
  <c r="F75" i="1"/>
  <c r="G75" i="1" s="1"/>
  <c r="F80" i="1" s="1"/>
  <c r="D64" i="1"/>
  <c r="D62" i="1"/>
  <c r="E55" i="1"/>
  <c r="D55" i="1"/>
  <c r="E54" i="1"/>
  <c r="D54" i="1"/>
  <c r="F52" i="1"/>
  <c r="G52" i="1" s="1"/>
  <c r="F51" i="1"/>
  <c r="G51" i="1" s="1"/>
  <c r="F50" i="1"/>
  <c r="G50" i="1" s="1"/>
  <c r="F49" i="1"/>
  <c r="G49" i="1" s="1"/>
  <c r="F54" i="1" s="1"/>
  <c r="D36" i="1"/>
  <c r="E29" i="1"/>
  <c r="D29" i="1"/>
  <c r="E28" i="1"/>
  <c r="D28" i="1"/>
  <c r="F26" i="1"/>
  <c r="G26" i="1" s="1"/>
  <c r="F25" i="1"/>
  <c r="G25" i="1" s="1"/>
  <c r="F24" i="1"/>
  <c r="G24" i="1" s="1"/>
  <c r="F23" i="1"/>
  <c r="G23" i="1" s="1"/>
  <c r="F28" i="1" s="1"/>
  <c r="F29" i="1" l="1"/>
  <c r="F55" i="1"/>
  <c r="D63" i="1" s="1"/>
  <c r="D66" i="1" s="1"/>
  <c r="G66" i="1" s="1"/>
  <c r="I66" i="1" s="1"/>
  <c r="F81" i="1"/>
  <c r="D89" i="1" s="1"/>
  <c r="D92" i="1" s="1"/>
  <c r="G92" i="1" s="1"/>
  <c r="I92" i="1" s="1"/>
  <c r="D40" i="1" l="1"/>
  <c r="G40" i="1" s="1"/>
  <c r="I40" i="1" s="1"/>
  <c r="D39" i="1"/>
  <c r="D65" i="1"/>
  <c r="G65" i="1" s="1"/>
  <c r="I65" i="1" s="1"/>
  <c r="D91" i="1"/>
  <c r="G91" i="1" s="1"/>
  <c r="I91" i="1" s="1"/>
  <c r="G39" i="1" l="1"/>
  <c r="I39" i="1" s="1"/>
</calcChain>
</file>

<file path=xl/sharedStrings.xml><?xml version="1.0" encoding="utf-8"?>
<sst xmlns="http://schemas.openxmlformats.org/spreadsheetml/2006/main" count="186" uniqueCount="109">
  <si>
    <t>Informations</t>
  </si>
  <si>
    <t>CONSTAT DE VERIFICATION</t>
  </si>
  <si>
    <t>N° balance :</t>
  </si>
  <si>
    <t>N° série :</t>
  </si>
  <si>
    <t>N° thermomètre air :</t>
  </si>
  <si>
    <t>Pipette de :</t>
  </si>
  <si>
    <t>Marque :</t>
  </si>
  <si>
    <t>N° thermomètre eau :</t>
  </si>
  <si>
    <t>prélèvement</t>
  </si>
  <si>
    <t>distribution</t>
  </si>
  <si>
    <t>thermomètre</t>
  </si>
  <si>
    <t>précision à 0,1°C avec une incertitude de +/-0,1°C maximum</t>
  </si>
  <si>
    <t>Instruments de mesure</t>
  </si>
  <si>
    <t>correction</t>
  </si>
  <si>
    <t>incertitude (+/-)</t>
  </si>
  <si>
    <t>mesurer la température de l'air et de l'eau</t>
  </si>
  <si>
    <t>Thermomètre air (ta,td) °C</t>
  </si>
  <si>
    <t>si disponible</t>
  </si>
  <si>
    <t>eau</t>
  </si>
  <si>
    <t>Hygromètre (phi) %</t>
  </si>
  <si>
    <t>sortir l'eau 2h avant son utilisation (isothermicité) &gt;&gt; T°C eau = T°C air</t>
  </si>
  <si>
    <t>Baromètre (pa) hPa</t>
  </si>
  <si>
    <t>eau de qualité 3 (ISO 3696), distillé ou désionisée</t>
  </si>
  <si>
    <t>Thermomètre eau (tw) °C</t>
  </si>
  <si>
    <t>disposer d'un dispositif précis à +/-10%</t>
  </si>
  <si>
    <t>pression</t>
  </si>
  <si>
    <t>volume nominal</t>
  </si>
  <si>
    <t>Pipette</t>
  </si>
  <si>
    <t>valeur</t>
  </si>
  <si>
    <t>unité</t>
  </si>
  <si>
    <t>volume cible Vn</t>
  </si>
  <si>
    <t>µL</t>
  </si>
  <si>
    <t>EMT justesse</t>
  </si>
  <si>
    <r>
      <t xml:space="preserve">selon ISO 8655 </t>
    </r>
    <r>
      <rPr>
        <u/>
        <sz val="10"/>
        <rFont val="Arial"/>
        <family val="2"/>
      </rPr>
      <t>ou</t>
    </r>
    <r>
      <rPr>
        <sz val="10"/>
        <rFont val="Arial"/>
        <family val="2"/>
      </rPr>
      <t xml:space="preserve"> selon spécification interne</t>
    </r>
  </si>
  <si>
    <t>http://www.meteociel.fr/observations-meteo/pression.php</t>
  </si>
  <si>
    <t>EMT fidélité</t>
  </si>
  <si>
    <t>Résultats et traitement des paramètres ambiants</t>
  </si>
  <si>
    <t>Mesures</t>
  </si>
  <si>
    <t>Moyenne</t>
  </si>
  <si>
    <t>début</t>
  </si>
  <si>
    <t>fin</t>
  </si>
  <si>
    <t>corrigée</t>
  </si>
  <si>
    <t>Température ta °C</t>
  </si>
  <si>
    <t>Humidité phi %</t>
  </si>
  <si>
    <t>Pression pa hPa</t>
  </si>
  <si>
    <t>Température tw °C</t>
  </si>
  <si>
    <t>Durée de l'essai (min)</t>
  </si>
  <si>
    <t>Masse volumique pw kg/m^3</t>
  </si>
  <si>
    <r>
      <t xml:space="preserve">Masse volumique </t>
    </r>
    <r>
      <rPr>
        <sz val="10"/>
        <rFont val="Arial"/>
        <family val="2"/>
      </rPr>
      <t>pa</t>
    </r>
    <r>
      <rPr>
        <sz val="10"/>
        <rFont val="Arial"/>
        <family val="2"/>
      </rPr>
      <t xml:space="preserve"> kg/m^-3</t>
    </r>
  </si>
  <si>
    <t>Résultat de pesée (mg)</t>
  </si>
  <si>
    <t>Durée du test &lt; 10 minutes</t>
  </si>
  <si>
    <t>Facteur Z</t>
  </si>
  <si>
    <t>Résultat</t>
  </si>
  <si>
    <t>Masse moyenne M (mg)</t>
  </si>
  <si>
    <t>Erreur</t>
  </si>
  <si>
    <t>Observation</t>
  </si>
  <si>
    <t>EMT</t>
  </si>
  <si>
    <t>avis</t>
  </si>
  <si>
    <t>Volume moyen V (µL)</t>
  </si>
  <si>
    <t>Biais</t>
  </si>
  <si>
    <t>écart-type (µL)</t>
  </si>
  <si>
    <t>écart-type</t>
  </si>
  <si>
    <t>volume 50%</t>
  </si>
  <si>
    <t>volume minimal</t>
  </si>
  <si>
    <t>Bilan</t>
  </si>
  <si>
    <t>Volume (µL)</t>
  </si>
  <si>
    <t>VISA/Date :</t>
  </si>
  <si>
    <t>Conformité de la pipette :</t>
  </si>
  <si>
    <t>Conforme</t>
  </si>
  <si>
    <t>Non conforme</t>
  </si>
  <si>
    <t>Remarque</t>
  </si>
  <si>
    <t>selon spécification interne</t>
  </si>
  <si>
    <t>www.methodesdevalidation.com</t>
  </si>
  <si>
    <t>Morgan GERMA</t>
  </si>
  <si>
    <t>Date :</t>
  </si>
  <si>
    <t>N° ID :</t>
  </si>
  <si>
    <t>N° cône :</t>
  </si>
  <si>
    <t>N°baromètre :</t>
  </si>
  <si>
    <t>N°Hygromètre :</t>
  </si>
  <si>
    <t>version 1</t>
  </si>
  <si>
    <t>soit par sonde précise à +/-25hPa &gt;&gt;&gt; 965hPa</t>
  </si>
  <si>
    <t>soit par météociel (site du laboratoire) corrigé de l'altitude (500m)</t>
  </si>
  <si>
    <t>XCV43R</t>
  </si>
  <si>
    <t>AAA</t>
  </si>
  <si>
    <t>Plage volumique :</t>
  </si>
  <si>
    <t>100 - 1 000</t>
  </si>
  <si>
    <t>AZE</t>
  </si>
  <si>
    <t>B123</t>
  </si>
  <si>
    <t>T345</t>
  </si>
  <si>
    <t>T346</t>
  </si>
  <si>
    <t>B12</t>
  </si>
  <si>
    <t>H23</t>
  </si>
  <si>
    <t>balance</t>
  </si>
  <si>
    <t>hygrométrie</t>
  </si>
  <si>
    <t xml:space="preserve">La balance de précision doit avoir une sensibilité de l’ordre du 10ème de mg. </t>
  </si>
  <si>
    <t>Les exigences spécifiques sont résumées ci-dessous.</t>
  </si>
  <si>
    <t>Volume pipette</t>
  </si>
  <si>
    <t>Précision d’affichage d (mg)</t>
  </si>
  <si>
    <t>récipient</t>
  </si>
  <si>
    <t>Celui-ci est idéalement en plastique afin de réduire l’électricité statique sur la pesée (plastique &gt; verre &gt; métal).</t>
  </si>
  <si>
    <r>
      <t>Ø</t>
    </r>
    <r>
      <rPr>
        <sz val="10"/>
        <color theme="0"/>
        <rFont val="Times New Roman"/>
        <family val="1"/>
      </rPr>
      <t xml:space="preserve">  </t>
    </r>
    <r>
      <rPr>
        <sz val="10"/>
        <color theme="0"/>
        <rFont val="Arial"/>
        <family val="2"/>
      </rPr>
      <t>1 à 10 µL</t>
    </r>
  </si>
  <si>
    <r>
      <t>&lt;</t>
    </r>
    <r>
      <rPr>
        <sz val="10"/>
        <color theme="0"/>
        <rFont val="Arial"/>
        <family val="2"/>
      </rPr>
      <t xml:space="preserve"> 0,001</t>
    </r>
  </si>
  <si>
    <r>
      <t>Ø</t>
    </r>
    <r>
      <rPr>
        <sz val="10"/>
        <color theme="0"/>
        <rFont val="Times New Roman"/>
        <family val="1"/>
      </rPr>
      <t xml:space="preserve">  </t>
    </r>
    <r>
      <rPr>
        <sz val="10"/>
        <color theme="0"/>
        <rFont val="Arial"/>
        <family val="2"/>
      </rPr>
      <t>10 à 100 µL</t>
    </r>
  </si>
  <si>
    <r>
      <t>&lt;</t>
    </r>
    <r>
      <rPr>
        <sz val="10"/>
        <color theme="0"/>
        <rFont val="Arial"/>
        <family val="2"/>
      </rPr>
      <t xml:space="preserve"> 0,01</t>
    </r>
  </si>
  <si>
    <r>
      <t>Ø</t>
    </r>
    <r>
      <rPr>
        <sz val="10"/>
        <color theme="0"/>
        <rFont val="Times New Roman"/>
        <family val="1"/>
      </rPr>
      <t xml:space="preserve">  </t>
    </r>
    <r>
      <rPr>
        <sz val="10"/>
        <color theme="0"/>
        <rFont val="Arial"/>
        <family val="2"/>
      </rPr>
      <t>100 à 1 000 µL</t>
    </r>
  </si>
  <si>
    <r>
      <t>&lt;</t>
    </r>
    <r>
      <rPr>
        <sz val="10"/>
        <color theme="0"/>
        <rFont val="Arial"/>
        <family val="2"/>
      </rPr>
      <t xml:space="preserve"> 0,1</t>
    </r>
  </si>
  <si>
    <r>
      <t>Ø</t>
    </r>
    <r>
      <rPr>
        <sz val="10"/>
        <color theme="0"/>
        <rFont val="Times New Roman"/>
        <family val="1"/>
      </rPr>
      <t xml:space="preserve">  </t>
    </r>
    <r>
      <rPr>
        <sz val="10"/>
        <color theme="0"/>
        <rFont val="Arial"/>
        <family val="2"/>
      </rPr>
      <t>1 à 10 mL</t>
    </r>
  </si>
  <si>
    <r>
      <t>Ø</t>
    </r>
    <r>
      <rPr>
        <sz val="10"/>
        <color theme="0"/>
        <rFont val="Times New Roman"/>
        <family val="1"/>
      </rPr>
      <t xml:space="preserve">  </t>
    </r>
    <r>
      <rPr>
        <sz val="10"/>
        <color theme="0"/>
        <rFont val="Arial"/>
        <family val="2"/>
      </rPr>
      <t>10 à 100 mL</t>
    </r>
  </si>
  <si>
    <r>
      <t>&lt;</t>
    </r>
    <r>
      <rPr>
        <sz val="10"/>
        <color theme="0"/>
        <rFont val="Arial"/>
        <family val="2"/>
      </rPr>
      <t xml:space="preserve">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</si>
</sst>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"/>
    <numFmt numFmtId="165" formatCode="0.0%"/>
    <numFmt numFmtId="166" formatCode="#.###"/>
    <numFmt numFmtId="167" formatCode="0.000"/>
    <numFmt numFmtId="168" formatCode="0.0000"/>
    <numFmt numFmtId="169" formatCode="0.00000"/>
  </numFmts>
  <fonts count="22" x14ac:knownFonts="1">
    <font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u val="double"/>
      <sz val="20"/>
      <color indexed="25"/>
      <name val="Times New Roman"/>
      <family val="1"/>
    </font>
    <font>
      <b/>
      <u/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sz val="10"/>
      <color theme="0"/>
      <name val="Arial"/>
      <family val="2"/>
    </font>
    <font>
      <b/>
      <sz val="11"/>
      <name val="Arial"/>
      <family val="2"/>
    </font>
    <font>
      <sz val="10"/>
      <color theme="0"/>
      <name val="Times New Roman"/>
      <family val="1"/>
    </font>
    <font>
      <sz val="11"/>
      <name val="Arial"/>
      <family val="2"/>
    </font>
    <font>
      <b/>
      <sz val="10"/>
      <color theme="0"/>
      <name val="Arial"/>
      <family val="2"/>
    </font>
    <font>
      <sz val="9"/>
      <color theme="0"/>
      <name val="Times New Roman"/>
      <family val="1"/>
    </font>
    <font>
      <sz val="8"/>
      <name val="Segoe UI"/>
      <family val="2"/>
    </font>
    <font>
      <sz val="10"/>
      <color rgb="FFFF0000"/>
      <name val="Arial"/>
      <family val="2"/>
    </font>
    <font>
      <b/>
      <sz val="10"/>
      <color rgb="FFFF0000"/>
      <name val="Times New Roman"/>
      <family val="1"/>
    </font>
    <font>
      <sz val="9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color rgb="FFFF0000"/>
      <name val="Arial"/>
      <family val="2"/>
    </font>
    <font>
      <sz val="10"/>
      <color theme="0"/>
      <name val="Wingdings"/>
      <charset val="2"/>
    </font>
    <font>
      <u/>
      <sz val="10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247">
    <xf numFmtId="0" fontId="0" fillId="0" borderId="0" xfId="0"/>
    <xf numFmtId="0" fontId="1" fillId="0" borderId="1" xfId="1" applyFill="1" applyBorder="1"/>
    <xf numFmtId="0" fontId="1" fillId="0" borderId="2" xfId="1" applyFill="1" applyBorder="1"/>
    <xf numFmtId="0" fontId="1" fillId="0" borderId="0" xfId="1" applyBorder="1"/>
    <xf numFmtId="0" fontId="0" fillId="0" borderId="0" xfId="0" applyBorder="1"/>
    <xf numFmtId="0" fontId="8" fillId="2" borderId="0" xfId="0" applyFont="1" applyFill="1" applyBorder="1"/>
    <xf numFmtId="0" fontId="12" fillId="2" borderId="0" xfId="0" applyFont="1" applyFill="1" applyBorder="1"/>
    <xf numFmtId="0" fontId="13" fillId="2" borderId="0" xfId="0" applyFont="1" applyFill="1" applyBorder="1" applyAlignment="1">
      <alignment horizontal="center" vertical="center" wrapText="1"/>
    </xf>
    <xf numFmtId="49" fontId="3" fillId="0" borderId="0" xfId="1" applyNumberFormat="1" applyFont="1" applyFill="1" applyBorder="1" applyAlignment="1" applyProtection="1">
      <alignment vertical="center"/>
      <protection hidden="1"/>
    </xf>
    <xf numFmtId="0" fontId="0" fillId="0" borderId="0" xfId="0" applyProtection="1">
      <protection hidden="1"/>
    </xf>
    <xf numFmtId="0" fontId="0" fillId="2" borderId="0" xfId="1" applyFont="1" applyFill="1" applyBorder="1" applyProtection="1">
      <protection hidden="1"/>
    </xf>
    <xf numFmtId="0" fontId="1" fillId="2" borderId="0" xfId="1" applyFill="1" applyBorder="1" applyProtection="1">
      <protection hidden="1"/>
    </xf>
    <xf numFmtId="0" fontId="0" fillId="2" borderId="0" xfId="1" applyFont="1" applyFill="1" applyBorder="1" applyAlignment="1" applyProtection="1">
      <alignment horizontal="right"/>
      <protection hidden="1"/>
    </xf>
    <xf numFmtId="0" fontId="0" fillId="0" borderId="7" xfId="0" applyBorder="1" applyAlignment="1" applyProtection="1">
      <alignment horizontal="left"/>
      <protection hidden="1"/>
    </xf>
    <xf numFmtId="0" fontId="0" fillId="0" borderId="0" xfId="0" applyFill="1" applyBorder="1" applyProtection="1">
      <protection hidden="1"/>
    </xf>
    <xf numFmtId="0" fontId="0" fillId="3" borderId="0" xfId="1" applyFont="1" applyFill="1" applyBorder="1" applyAlignment="1" applyProtection="1">
      <alignment horizontal="left" vertical="center"/>
      <protection hidden="1"/>
    </xf>
    <xf numFmtId="0" fontId="4" fillId="2" borderId="0" xfId="1" applyFont="1" applyFill="1" applyBorder="1" applyAlignment="1" applyProtection="1">
      <alignment horizontal="left" vertical="center"/>
      <protection hidden="1"/>
    </xf>
    <xf numFmtId="0" fontId="0" fillId="3" borderId="0" xfId="0" applyFill="1" applyBorder="1" applyProtection="1">
      <protection hidden="1"/>
    </xf>
    <xf numFmtId="0" fontId="4" fillId="2" borderId="0" xfId="0" applyFont="1" applyFill="1" applyBorder="1" applyAlignment="1" applyProtection="1">
      <alignment horizontal="right"/>
      <protection hidden="1"/>
    </xf>
    <xf numFmtId="0" fontId="0" fillId="2" borderId="7" xfId="1" applyFont="1" applyFill="1" applyBorder="1" applyAlignment="1" applyProtection="1">
      <alignment horizontal="center"/>
      <protection hidden="1"/>
    </xf>
    <xf numFmtId="0" fontId="4" fillId="2" borderId="8" xfId="1" applyFont="1" applyFill="1" applyBorder="1" applyAlignment="1" applyProtection="1">
      <alignment horizontal="left" vertical="center"/>
      <protection hidden="1"/>
    </xf>
    <xf numFmtId="0" fontId="0" fillId="2" borderId="0" xfId="0" applyFill="1" applyBorder="1" applyProtection="1">
      <protection hidden="1"/>
    </xf>
    <xf numFmtId="0" fontId="4" fillId="2" borderId="7" xfId="1" applyFont="1" applyFill="1" applyBorder="1" applyAlignment="1" applyProtection="1">
      <alignment horizontal="left" vertical="center"/>
      <protection hidden="1"/>
    </xf>
    <xf numFmtId="0" fontId="4" fillId="0" borderId="0" xfId="0" applyFont="1" applyBorder="1" applyProtection="1">
      <protection hidden="1"/>
    </xf>
    <xf numFmtId="0" fontId="1" fillId="2" borderId="0" xfId="1" applyFont="1" applyFill="1" applyBorder="1" applyAlignment="1" applyProtection="1">
      <alignment horizontal="right"/>
      <protection hidden="1"/>
    </xf>
    <xf numFmtId="0" fontId="0" fillId="0" borderId="0" xfId="0" applyFill="1" applyProtection="1">
      <protection hidden="1"/>
    </xf>
    <xf numFmtId="0" fontId="4" fillId="2" borderId="0" xfId="0" applyFont="1" applyFill="1" applyBorder="1" applyAlignment="1" applyProtection="1">
      <alignment horizontal="left"/>
      <protection hidden="1"/>
    </xf>
    <xf numFmtId="0" fontId="1" fillId="2" borderId="7" xfId="1" applyFill="1" applyBorder="1" applyAlignment="1" applyProtection="1">
      <alignment horizontal="center"/>
      <protection hidden="1"/>
    </xf>
    <xf numFmtId="0" fontId="0" fillId="2" borderId="0" xfId="1" applyFont="1" applyFill="1" applyBorder="1" applyAlignment="1" applyProtection="1">
      <alignment horizontal="left" vertical="center"/>
      <protection hidden="1"/>
    </xf>
    <xf numFmtId="0" fontId="0" fillId="6" borderId="0" xfId="0" applyFill="1" applyBorder="1" applyProtection="1">
      <protection hidden="1"/>
    </xf>
    <xf numFmtId="0" fontId="5" fillId="6" borderId="8" xfId="0" applyFont="1" applyFill="1" applyBorder="1" applyProtection="1">
      <protection hidden="1"/>
    </xf>
    <xf numFmtId="0" fontId="5" fillId="6" borderId="0" xfId="0" applyFont="1" applyFill="1" applyBorder="1" applyAlignment="1" applyProtection="1">
      <alignment horizontal="center"/>
      <protection hidden="1"/>
    </xf>
    <xf numFmtId="0" fontId="5" fillId="6" borderId="0" xfId="0" applyFont="1" applyFill="1" applyBorder="1" applyAlignment="1" applyProtection="1">
      <alignment horizontal="left"/>
      <protection hidden="1"/>
    </xf>
    <xf numFmtId="0" fontId="0" fillId="0" borderId="0" xfId="0" applyBorder="1" applyProtection="1">
      <protection hidden="1"/>
    </xf>
    <xf numFmtId="0" fontId="0" fillId="6" borderId="10" xfId="0" applyFill="1" applyBorder="1" applyProtection="1">
      <protection hidden="1"/>
    </xf>
    <xf numFmtId="0" fontId="0" fillId="5" borderId="11" xfId="0" applyFill="1" applyBorder="1" applyAlignment="1" applyProtection="1">
      <alignment horizontal="center"/>
      <protection hidden="1"/>
    </xf>
    <xf numFmtId="0" fontId="0" fillId="5" borderId="12" xfId="0" applyFill="1" applyBorder="1" applyAlignment="1" applyProtection="1">
      <alignment horizontal="center" vertical="center"/>
      <protection hidden="1"/>
    </xf>
    <xf numFmtId="0" fontId="0" fillId="6" borderId="0" xfId="0" applyFill="1" applyBorder="1" applyAlignment="1" applyProtection="1">
      <alignment horizontal="center"/>
      <protection hidden="1"/>
    </xf>
    <xf numFmtId="0" fontId="0" fillId="6" borderId="7" xfId="0" applyFill="1" applyBorder="1" applyAlignment="1" applyProtection="1">
      <alignment horizontal="center"/>
      <protection hidden="1"/>
    </xf>
    <xf numFmtId="0" fontId="0" fillId="0" borderId="13" xfId="0" applyBorder="1" applyProtection="1">
      <protection hidden="1"/>
    </xf>
    <xf numFmtId="9" fontId="0" fillId="5" borderId="9" xfId="0" applyNumberFormat="1" applyFill="1" applyBorder="1" applyAlignment="1" applyProtection="1">
      <alignment horizontal="center"/>
      <protection hidden="1"/>
    </xf>
    <xf numFmtId="10" fontId="0" fillId="5" borderId="14" xfId="0" applyNumberFormat="1" applyFill="1" applyBorder="1" applyAlignment="1" applyProtection="1">
      <alignment horizontal="center" vertical="center"/>
      <protection hidden="1"/>
    </xf>
    <xf numFmtId="0" fontId="0" fillId="5" borderId="9" xfId="0" applyFill="1" applyBorder="1" applyAlignment="1" applyProtection="1">
      <alignment horizontal="center"/>
      <protection hidden="1"/>
    </xf>
    <xf numFmtId="0" fontId="0" fillId="5" borderId="14" xfId="0" applyFill="1" applyBorder="1" applyAlignment="1" applyProtection="1">
      <alignment horizontal="center" vertical="center"/>
      <protection hidden="1"/>
    </xf>
    <xf numFmtId="0" fontId="0" fillId="6" borderId="15" xfId="0" applyFill="1" applyBorder="1" applyProtection="1">
      <protection hidden="1"/>
    </xf>
    <xf numFmtId="0" fontId="0" fillId="5" borderId="16" xfId="0" applyFill="1" applyBorder="1" applyAlignment="1" applyProtection="1">
      <alignment horizontal="center"/>
      <protection hidden="1"/>
    </xf>
    <xf numFmtId="0" fontId="0" fillId="5" borderId="17" xfId="0" applyFill="1" applyBorder="1" applyAlignment="1" applyProtection="1">
      <alignment horizontal="center" vertical="center"/>
      <protection hidden="1"/>
    </xf>
    <xf numFmtId="0" fontId="1" fillId="2" borderId="0" xfId="0" applyFont="1" applyFill="1" applyBorder="1" applyProtection="1">
      <protection hidden="1"/>
    </xf>
    <xf numFmtId="0" fontId="0" fillId="2" borderId="19" xfId="0" applyFill="1" applyBorder="1" applyProtection="1">
      <protection hidden="1"/>
    </xf>
    <xf numFmtId="0" fontId="0" fillId="2" borderId="20" xfId="0" applyFill="1" applyBorder="1" applyProtection="1">
      <protection hidden="1"/>
    </xf>
    <xf numFmtId="0" fontId="0" fillId="6" borderId="20" xfId="0" applyFill="1" applyBorder="1" applyAlignment="1" applyProtection="1">
      <alignment horizontal="center"/>
      <protection hidden="1"/>
    </xf>
    <xf numFmtId="0" fontId="0" fillId="6" borderId="21" xfId="0" applyFill="1" applyBorder="1" applyAlignment="1" applyProtection="1">
      <alignment horizontal="center"/>
      <protection hidden="1"/>
    </xf>
    <xf numFmtId="0" fontId="5" fillId="6" borderId="22" xfId="0" applyFont="1" applyFill="1" applyBorder="1" applyProtection="1">
      <protection hidden="1"/>
    </xf>
    <xf numFmtId="0" fontId="5" fillId="0" borderId="1" xfId="0" applyFont="1" applyBorder="1" applyAlignment="1" applyProtection="1">
      <alignment horizontal="center"/>
      <protection hidden="1"/>
    </xf>
    <xf numFmtId="0" fontId="5" fillId="6" borderId="1" xfId="0" applyFont="1" applyFill="1" applyBorder="1" applyAlignment="1" applyProtection="1">
      <alignment horizontal="center"/>
      <protection hidden="1"/>
    </xf>
    <xf numFmtId="0" fontId="0" fillId="6" borderId="2" xfId="0" applyFill="1" applyBorder="1" applyProtection="1">
      <protection hidden="1"/>
    </xf>
    <xf numFmtId="0" fontId="0" fillId="2" borderId="2" xfId="0" applyFill="1" applyBorder="1" applyProtection="1">
      <protection hidden="1"/>
    </xf>
    <xf numFmtId="0" fontId="0" fillId="6" borderId="5" xfId="0" applyFill="1" applyBorder="1" applyAlignment="1" applyProtection="1">
      <alignment horizontal="center"/>
      <protection hidden="1"/>
    </xf>
    <xf numFmtId="0" fontId="0" fillId="6" borderId="10" xfId="0" applyFont="1" applyFill="1" applyBorder="1" applyProtection="1">
      <protection hidden="1"/>
    </xf>
    <xf numFmtId="0" fontId="0" fillId="3" borderId="11" xfId="0" applyFill="1" applyBorder="1" applyAlignment="1" applyProtection="1">
      <alignment horizontal="center"/>
      <protection hidden="1"/>
    </xf>
    <xf numFmtId="0" fontId="0" fillId="6" borderId="12" xfId="0" applyFill="1" applyBorder="1" applyAlignment="1" applyProtection="1">
      <alignment horizontal="center"/>
      <protection hidden="1"/>
    </xf>
    <xf numFmtId="0" fontId="0" fillId="6" borderId="8" xfId="0" applyFill="1" applyBorder="1" applyProtection="1">
      <protection hidden="1"/>
    </xf>
    <xf numFmtId="0" fontId="0" fillId="6" borderId="13" xfId="0" applyFont="1" applyFill="1" applyBorder="1" applyProtection="1">
      <protection hidden="1"/>
    </xf>
    <xf numFmtId="0" fontId="0" fillId="4" borderId="0" xfId="0" applyFill="1" applyBorder="1" applyAlignment="1" applyProtection="1">
      <alignment horizontal="center"/>
      <protection hidden="1"/>
    </xf>
    <xf numFmtId="0" fontId="0" fillId="6" borderId="14" xfId="0" applyFill="1" applyBorder="1" applyAlignment="1" applyProtection="1">
      <alignment horizontal="center"/>
      <protection hidden="1"/>
    </xf>
    <xf numFmtId="0" fontId="0" fillId="6" borderId="15" xfId="0" applyFont="1" applyFill="1" applyBorder="1" applyProtection="1">
      <protection hidden="1"/>
    </xf>
    <xf numFmtId="0" fontId="1" fillId="4" borderId="16" xfId="0" applyFont="1" applyFill="1" applyBorder="1" applyAlignment="1" applyProtection="1">
      <alignment horizontal="center"/>
      <protection hidden="1"/>
    </xf>
    <xf numFmtId="0" fontId="0" fillId="6" borderId="17" xfId="0" applyFill="1" applyBorder="1" applyAlignment="1" applyProtection="1">
      <alignment horizontal="center"/>
      <protection hidden="1"/>
    </xf>
    <xf numFmtId="0" fontId="0" fillId="6" borderId="7" xfId="0" applyFill="1" applyBorder="1" applyAlignment="1" applyProtection="1">
      <protection hidden="1"/>
    </xf>
    <xf numFmtId="0" fontId="0" fillId="0" borderId="8" xfId="0" applyBorder="1" applyProtection="1">
      <protection hidden="1"/>
    </xf>
    <xf numFmtId="0" fontId="5" fillId="2" borderId="27" xfId="0" applyFont="1" applyFill="1" applyBorder="1" applyAlignment="1" applyProtection="1">
      <alignment horizontal="center"/>
      <protection hidden="1"/>
    </xf>
    <xf numFmtId="0" fontId="5" fillId="2" borderId="30" xfId="0" applyFont="1" applyFill="1" applyBorder="1" applyAlignment="1" applyProtection="1">
      <alignment horizontal="center"/>
      <protection hidden="1"/>
    </xf>
    <xf numFmtId="0" fontId="5" fillId="2" borderId="9" xfId="0" applyFont="1" applyFill="1" applyBorder="1" applyAlignment="1" applyProtection="1">
      <alignment horizontal="center"/>
      <protection hidden="1"/>
    </xf>
    <xf numFmtId="0" fontId="5" fillId="2" borderId="31" xfId="0" applyFont="1" applyFill="1" applyBorder="1" applyAlignment="1" applyProtection="1">
      <alignment horizontal="center"/>
      <protection hidden="1"/>
    </xf>
    <xf numFmtId="0" fontId="0" fillId="2" borderId="13" xfId="0" applyFill="1" applyBorder="1" applyProtection="1">
      <protection hidden="1"/>
    </xf>
    <xf numFmtId="0" fontId="0" fillId="3" borderId="9" xfId="0" applyFill="1" applyBorder="1" applyAlignment="1" applyProtection="1">
      <alignment horizontal="center"/>
      <protection hidden="1"/>
    </xf>
    <xf numFmtId="164" fontId="0" fillId="2" borderId="30" xfId="0" applyNumberFormat="1" applyFill="1" applyBorder="1" applyAlignment="1" applyProtection="1">
      <alignment horizontal="center"/>
      <protection hidden="1"/>
    </xf>
    <xf numFmtId="164" fontId="0" fillId="2" borderId="14" xfId="0" applyNumberFormat="1" applyFill="1" applyBorder="1" applyAlignment="1" applyProtection="1">
      <alignment horizontal="center"/>
      <protection hidden="1"/>
    </xf>
    <xf numFmtId="0" fontId="8" fillId="2" borderId="0" xfId="0" applyFont="1" applyFill="1" applyBorder="1" applyProtection="1">
      <protection hidden="1"/>
    </xf>
    <xf numFmtId="165" fontId="0" fillId="3" borderId="9" xfId="0" applyNumberFormat="1" applyFill="1" applyBorder="1" applyAlignment="1" applyProtection="1">
      <alignment horizontal="center"/>
      <protection hidden="1"/>
    </xf>
    <xf numFmtId="165" fontId="0" fillId="2" borderId="30" xfId="0" applyNumberFormat="1" applyFill="1" applyBorder="1" applyAlignment="1" applyProtection="1">
      <alignment horizontal="center"/>
      <protection hidden="1"/>
    </xf>
    <xf numFmtId="165" fontId="0" fillId="2" borderId="14" xfId="0" applyNumberFormat="1" applyFill="1" applyBorder="1" applyAlignment="1" applyProtection="1">
      <alignment horizontal="center"/>
      <protection hidden="1"/>
    </xf>
    <xf numFmtId="0" fontId="10" fillId="2" borderId="0" xfId="0" applyFont="1" applyFill="1" applyBorder="1" applyAlignment="1" applyProtection="1">
      <alignment horizontal="center" vertical="center" wrapText="1"/>
      <protection hidden="1"/>
    </xf>
    <xf numFmtId="0" fontId="0" fillId="3" borderId="9" xfId="0" applyNumberFormat="1" applyFill="1" applyBorder="1" applyAlignment="1" applyProtection="1">
      <alignment horizontal="center"/>
      <protection hidden="1"/>
    </xf>
    <xf numFmtId="2" fontId="0" fillId="2" borderId="30" xfId="0" applyNumberFormat="1" applyFill="1" applyBorder="1" applyAlignment="1" applyProtection="1">
      <alignment horizontal="center"/>
      <protection hidden="1"/>
    </xf>
    <xf numFmtId="2" fontId="0" fillId="2" borderId="14" xfId="0" applyNumberFormat="1" applyFill="1" applyBorder="1" applyAlignment="1" applyProtection="1">
      <alignment horizontal="center"/>
      <protection hidden="1"/>
    </xf>
    <xf numFmtId="0" fontId="0" fillId="2" borderId="0" xfId="0" applyFill="1" applyBorder="1" applyAlignment="1" applyProtection="1">
      <protection hidden="1"/>
    </xf>
    <xf numFmtId="0" fontId="0" fillId="2" borderId="30" xfId="0" applyFill="1" applyBorder="1" applyAlignment="1" applyProtection="1">
      <alignment horizontal="center"/>
      <protection hidden="1"/>
    </xf>
    <xf numFmtId="164" fontId="0" fillId="2" borderId="32" xfId="0" applyNumberFormat="1" applyFill="1" applyBorder="1" applyAlignment="1" applyProtection="1">
      <alignment horizontal="center"/>
      <protection hidden="1"/>
    </xf>
    <xf numFmtId="0" fontId="0" fillId="6" borderId="0" xfId="0" applyFill="1" applyBorder="1" applyAlignment="1" applyProtection="1">
      <protection hidden="1"/>
    </xf>
    <xf numFmtId="0" fontId="0" fillId="2" borderId="7" xfId="0" applyFill="1" applyBorder="1" applyProtection="1">
      <protection hidden="1"/>
    </xf>
    <xf numFmtId="0" fontId="0" fillId="0" borderId="33" xfId="0" applyFill="1" applyBorder="1" applyAlignment="1" applyProtection="1">
      <alignment horizontal="center"/>
      <protection hidden="1"/>
    </xf>
    <xf numFmtId="0" fontId="0" fillId="3" borderId="33" xfId="0" applyFill="1" applyBorder="1" applyAlignment="1" applyProtection="1">
      <alignment horizontal="center"/>
      <protection hidden="1"/>
    </xf>
    <xf numFmtId="0" fontId="0" fillId="7" borderId="34" xfId="0" applyFill="1" applyBorder="1" applyAlignment="1" applyProtection="1">
      <alignment horizontal="center"/>
      <protection hidden="1"/>
    </xf>
    <xf numFmtId="0" fontId="0" fillId="2" borderId="4" xfId="0" applyFill="1" applyBorder="1" applyProtection="1">
      <protection hidden="1"/>
    </xf>
    <xf numFmtId="166" fontId="0" fillId="2" borderId="33" xfId="0" applyNumberFormat="1" applyFill="1" applyBorder="1" applyAlignment="1" applyProtection="1">
      <alignment horizontal="center"/>
      <protection hidden="1"/>
    </xf>
    <xf numFmtId="166" fontId="0" fillId="2" borderId="32" xfId="0" applyNumberFormat="1" applyFill="1" applyBorder="1" applyAlignment="1" applyProtection="1">
      <alignment horizontal="center"/>
      <protection hidden="1"/>
    </xf>
    <xf numFmtId="0" fontId="0" fillId="2" borderId="15" xfId="0" applyFill="1" applyBorder="1" applyProtection="1">
      <protection hidden="1"/>
    </xf>
    <xf numFmtId="167" fontId="0" fillId="2" borderId="35" xfId="0" applyNumberFormat="1" applyFont="1" applyFill="1" applyBorder="1" applyAlignment="1" applyProtection="1">
      <alignment horizontal="center"/>
      <protection hidden="1"/>
    </xf>
    <xf numFmtId="167" fontId="0" fillId="2" borderId="17" xfId="0" applyNumberFormat="1" applyFont="1" applyFill="1" applyBorder="1" applyAlignment="1" applyProtection="1">
      <alignment horizontal="center"/>
      <protection hidden="1"/>
    </xf>
    <xf numFmtId="0" fontId="0" fillId="6" borderId="7" xfId="0" applyFill="1" applyBorder="1" applyProtection="1">
      <protection hidden="1"/>
    </xf>
    <xf numFmtId="0" fontId="0" fillId="0" borderId="11" xfId="0" applyFill="1" applyBorder="1" applyAlignment="1" applyProtection="1">
      <alignment horizontal="center" vertical="center"/>
      <protection hidden="1"/>
    </xf>
    <xf numFmtId="0" fontId="0" fillId="6" borderId="11" xfId="0" applyFill="1" applyBorder="1" applyAlignment="1" applyProtection="1">
      <alignment horizontal="center" vertical="center"/>
      <protection hidden="1"/>
    </xf>
    <xf numFmtId="0" fontId="0" fillId="6" borderId="12" xfId="0" applyFill="1" applyBorder="1" applyAlignment="1" applyProtection="1">
      <alignment horizontal="center" vertical="center"/>
      <protection hidden="1"/>
    </xf>
    <xf numFmtId="164" fontId="0" fillId="3" borderId="9" xfId="0" applyNumberFormat="1" applyFill="1" applyBorder="1" applyAlignment="1" applyProtection="1">
      <alignment horizontal="center" vertical="center"/>
      <protection hidden="1"/>
    </xf>
    <xf numFmtId="164" fontId="0" fillId="3" borderId="14" xfId="0" applyNumberFormat="1" applyFill="1" applyBorder="1" applyAlignment="1" applyProtection="1">
      <alignment horizontal="center" vertical="center"/>
      <protection hidden="1"/>
    </xf>
    <xf numFmtId="0" fontId="0" fillId="0" borderId="16" xfId="0" applyBorder="1" applyAlignment="1" applyProtection="1">
      <alignment horizontal="center" vertical="center"/>
      <protection hidden="1"/>
    </xf>
    <xf numFmtId="0" fontId="0" fillId="6" borderId="16" xfId="0" applyFill="1" applyBorder="1" applyAlignment="1" applyProtection="1">
      <alignment horizontal="center" vertical="center"/>
      <protection hidden="1"/>
    </xf>
    <xf numFmtId="0" fontId="0" fillId="6" borderId="17" xfId="0" applyFill="1" applyBorder="1" applyAlignment="1" applyProtection="1">
      <alignment horizontal="center" vertical="center"/>
      <protection hidden="1"/>
    </xf>
    <xf numFmtId="0" fontId="0" fillId="0" borderId="22" xfId="0" applyFill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0" xfId="0" applyBorder="1" applyAlignment="1" applyProtection="1">
      <alignment horizontal="center" vertical="center"/>
      <protection hidden="1"/>
    </xf>
    <xf numFmtId="0" fontId="0" fillId="6" borderId="0" xfId="0" applyFill="1" applyBorder="1" applyAlignment="1" applyProtection="1">
      <alignment horizontal="center" vertical="center"/>
      <protection hidden="1"/>
    </xf>
    <xf numFmtId="0" fontId="0" fillId="2" borderId="36" xfId="0" applyFill="1" applyBorder="1" applyProtection="1">
      <protection hidden="1"/>
    </xf>
    <xf numFmtId="0" fontId="0" fillId="2" borderId="12" xfId="0" applyFill="1" applyBorder="1" applyAlignment="1" applyProtection="1">
      <alignment horizontal="center"/>
      <protection hidden="1"/>
    </xf>
    <xf numFmtId="0" fontId="0" fillId="2" borderId="29" xfId="0" applyFill="1" applyBorder="1" applyProtection="1">
      <protection hidden="1"/>
    </xf>
    <xf numFmtId="168" fontId="0" fillId="6" borderId="7" xfId="0" applyNumberFormat="1" applyFill="1" applyBorder="1" applyAlignment="1" applyProtection="1">
      <alignment horizontal="center"/>
      <protection hidden="1"/>
    </xf>
    <xf numFmtId="167" fontId="0" fillId="2" borderId="14" xfId="0" applyNumberFormat="1" applyFont="1" applyFill="1" applyBorder="1" applyAlignment="1" applyProtection="1">
      <alignment horizontal="center"/>
      <protection hidden="1"/>
    </xf>
    <xf numFmtId="0" fontId="5" fillId="0" borderId="10" xfId="0" applyFont="1" applyBorder="1" applyAlignment="1" applyProtection="1">
      <alignment horizontal="center"/>
      <protection hidden="1"/>
    </xf>
    <xf numFmtId="0" fontId="5" fillId="0" borderId="11" xfId="0" applyFont="1" applyBorder="1" applyAlignment="1" applyProtection="1">
      <alignment horizontal="center"/>
      <protection hidden="1"/>
    </xf>
    <xf numFmtId="0" fontId="5" fillId="0" borderId="12" xfId="0" applyFont="1" applyBorder="1" applyAlignment="1" applyProtection="1">
      <alignment horizontal="center"/>
      <protection hidden="1"/>
    </xf>
    <xf numFmtId="0" fontId="5" fillId="0" borderId="13" xfId="0" applyFont="1" applyBorder="1" applyAlignment="1" applyProtection="1">
      <protection hidden="1"/>
    </xf>
    <xf numFmtId="2" fontId="1" fillId="0" borderId="9" xfId="0" applyNumberFormat="1" applyFont="1" applyBorder="1" applyAlignment="1" applyProtection="1">
      <alignment horizontal="center"/>
      <protection hidden="1"/>
    </xf>
    <xf numFmtId="0" fontId="1" fillId="8" borderId="14" xfId="0" applyFont="1" applyFill="1" applyBorder="1" applyAlignment="1" applyProtection="1">
      <alignment horizontal="center"/>
      <protection hidden="1"/>
    </xf>
    <xf numFmtId="167" fontId="5" fillId="0" borderId="15" xfId="0" applyNumberFormat="1" applyFont="1" applyBorder="1" applyAlignment="1" applyProtection="1">
      <protection hidden="1"/>
    </xf>
    <xf numFmtId="2" fontId="0" fillId="0" borderId="16" xfId="0" applyNumberFormat="1" applyBorder="1" applyAlignment="1" applyProtection="1">
      <alignment horizontal="center"/>
      <protection hidden="1"/>
    </xf>
    <xf numFmtId="0" fontId="1" fillId="8" borderId="17" xfId="0" applyFont="1" applyFill="1" applyBorder="1" applyAlignment="1" applyProtection="1">
      <alignment horizontal="center"/>
      <protection hidden="1"/>
    </xf>
    <xf numFmtId="0" fontId="0" fillId="6" borderId="19" xfId="0" applyFill="1" applyBorder="1" applyProtection="1">
      <protection hidden="1"/>
    </xf>
    <xf numFmtId="0" fontId="0" fillId="6" borderId="20" xfId="0" applyFill="1" applyBorder="1" applyProtection="1">
      <protection hidden="1"/>
    </xf>
    <xf numFmtId="0" fontId="0" fillId="2" borderId="21" xfId="0" applyFill="1" applyBorder="1" applyProtection="1">
      <protection hidden="1"/>
    </xf>
    <xf numFmtId="0" fontId="0" fillId="0" borderId="8" xfId="0" applyFill="1" applyBorder="1" applyProtection="1">
      <protection hidden="1"/>
    </xf>
    <xf numFmtId="0" fontId="8" fillId="0" borderId="0" xfId="0" applyFont="1" applyBorder="1" applyProtection="1">
      <protection hidden="1"/>
    </xf>
    <xf numFmtId="0" fontId="8" fillId="0" borderId="0" xfId="0" applyFont="1" applyFill="1" applyBorder="1" applyProtection="1">
      <protection hidden="1"/>
    </xf>
    <xf numFmtId="167" fontId="0" fillId="0" borderId="0" xfId="0" applyNumberFormat="1" applyAlignment="1" applyProtection="1">
      <alignment horizontal="center"/>
      <protection hidden="1"/>
    </xf>
    <xf numFmtId="168" fontId="0" fillId="0" borderId="0" xfId="0" applyNumberFormat="1" applyAlignment="1" applyProtection="1">
      <alignment horizontal="center"/>
      <protection hidden="1"/>
    </xf>
    <xf numFmtId="0" fontId="0" fillId="0" borderId="4" xfId="0" applyBorder="1" applyProtection="1">
      <protection hidden="1"/>
    </xf>
    <xf numFmtId="0" fontId="5" fillId="2" borderId="11" xfId="0" applyFont="1" applyFill="1" applyBorder="1" applyAlignment="1" applyProtection="1">
      <alignment horizontal="center"/>
      <protection hidden="1"/>
    </xf>
    <xf numFmtId="0" fontId="5" fillId="2" borderId="2" xfId="0" applyFont="1" applyFill="1" applyBorder="1" applyProtection="1">
      <protection hidden="1"/>
    </xf>
    <xf numFmtId="0" fontId="5" fillId="2" borderId="5" xfId="0" applyFont="1" applyFill="1" applyBorder="1" applyAlignment="1" applyProtection="1">
      <protection hidden="1"/>
    </xf>
    <xf numFmtId="0" fontId="5" fillId="2" borderId="8" xfId="0" applyFont="1" applyFill="1" applyBorder="1" applyAlignment="1" applyProtection="1">
      <alignment horizontal="right"/>
      <protection hidden="1"/>
    </xf>
    <xf numFmtId="167" fontId="0" fillId="2" borderId="9" xfId="0" applyNumberFormat="1" applyFill="1" applyBorder="1" applyAlignment="1" applyProtection="1">
      <alignment horizontal="center"/>
      <protection hidden="1"/>
    </xf>
    <xf numFmtId="2" fontId="0" fillId="3" borderId="9" xfId="0" applyNumberFormat="1" applyFill="1" applyBorder="1" applyAlignment="1" applyProtection="1">
      <alignment horizontal="center"/>
      <protection hidden="1"/>
    </xf>
    <xf numFmtId="0" fontId="5" fillId="3" borderId="7" xfId="0" applyFont="1" applyFill="1" applyBorder="1" applyAlignment="1" applyProtection="1">
      <alignment horizontal="center"/>
      <protection hidden="1"/>
    </xf>
    <xf numFmtId="0" fontId="0" fillId="2" borderId="19" xfId="0" applyFill="1" applyBorder="1" applyAlignment="1" applyProtection="1">
      <alignment horizontal="center"/>
      <protection hidden="1"/>
    </xf>
    <xf numFmtId="167" fontId="0" fillId="2" borderId="16" xfId="0" applyNumberFormat="1" applyFill="1" applyBorder="1" applyAlignment="1" applyProtection="1">
      <alignment horizontal="center"/>
      <protection hidden="1"/>
    </xf>
    <xf numFmtId="2" fontId="0" fillId="3" borderId="16" xfId="0" applyNumberFormat="1" applyFill="1" applyBorder="1" applyAlignment="1" applyProtection="1">
      <alignment horizontal="center"/>
      <protection hidden="1"/>
    </xf>
    <xf numFmtId="0" fontId="0" fillId="3" borderId="20" xfId="0" applyFill="1" applyBorder="1" applyProtection="1">
      <protection hidden="1"/>
    </xf>
    <xf numFmtId="0" fontId="5" fillId="3" borderId="21" xfId="0" applyFont="1" applyFill="1" applyBorder="1" applyAlignment="1" applyProtection="1">
      <alignment horizontal="center"/>
      <protection hidden="1"/>
    </xf>
    <xf numFmtId="0" fontId="7" fillId="0" borderId="0" xfId="2"/>
    <xf numFmtId="0" fontId="2" fillId="0" borderId="3" xfId="0" applyFont="1" applyBorder="1" applyAlignment="1" applyProtection="1">
      <alignment horizontal="center" vertical="center" textRotation="90"/>
      <protection hidden="1"/>
    </xf>
    <xf numFmtId="0" fontId="2" fillId="0" borderId="6" xfId="0" applyFont="1" applyBorder="1" applyAlignment="1" applyProtection="1">
      <alignment horizontal="center" vertical="center" textRotation="90"/>
      <protection hidden="1"/>
    </xf>
    <xf numFmtId="0" fontId="2" fillId="0" borderId="18" xfId="0" applyFont="1" applyBorder="1" applyAlignment="1" applyProtection="1">
      <alignment horizontal="center" vertical="center" textRotation="90"/>
      <protection hidden="1"/>
    </xf>
    <xf numFmtId="0" fontId="5" fillId="0" borderId="22" xfId="0" applyFont="1" applyBorder="1" applyAlignment="1" applyProtection="1">
      <alignment horizontal="center"/>
      <protection hidden="1"/>
    </xf>
    <xf numFmtId="0" fontId="5" fillId="0" borderId="1" xfId="0" applyFont="1" applyBorder="1" applyAlignment="1" applyProtection="1">
      <alignment horizontal="center"/>
      <protection hidden="1"/>
    </xf>
    <xf numFmtId="0" fontId="5" fillId="0" borderId="20" xfId="0" applyFont="1" applyBorder="1" applyAlignment="1" applyProtection="1">
      <alignment horizontal="center"/>
      <protection hidden="1"/>
    </xf>
    <xf numFmtId="0" fontId="5" fillId="0" borderId="28" xfId="0" applyFont="1" applyBorder="1" applyAlignment="1" applyProtection="1">
      <alignment horizontal="center"/>
      <protection hidden="1"/>
    </xf>
    <xf numFmtId="0" fontId="11" fillId="3" borderId="4" xfId="0" applyFont="1" applyFill="1" applyBorder="1" applyAlignment="1" applyProtection="1">
      <alignment horizontal="left" vertical="top"/>
      <protection hidden="1"/>
    </xf>
    <xf numFmtId="0" fontId="11" fillId="3" borderId="2" xfId="0" applyFont="1" applyFill="1" applyBorder="1" applyAlignment="1" applyProtection="1">
      <alignment horizontal="left" vertical="top"/>
      <protection hidden="1"/>
    </xf>
    <xf numFmtId="0" fontId="11" fillId="3" borderId="5" xfId="0" applyFont="1" applyFill="1" applyBorder="1" applyAlignment="1" applyProtection="1">
      <alignment horizontal="left" vertical="top"/>
      <protection hidden="1"/>
    </xf>
    <xf numFmtId="0" fontId="11" fillId="3" borderId="8" xfId="0" applyFont="1" applyFill="1" applyBorder="1" applyAlignment="1" applyProtection="1">
      <alignment horizontal="left" vertical="top"/>
      <protection hidden="1"/>
    </xf>
    <xf numFmtId="0" fontId="11" fillId="3" borderId="0" xfId="0" applyFont="1" applyFill="1" applyBorder="1" applyAlignment="1" applyProtection="1">
      <alignment horizontal="left" vertical="top"/>
      <protection hidden="1"/>
    </xf>
    <xf numFmtId="0" fontId="11" fillId="3" borderId="7" xfId="0" applyFont="1" applyFill="1" applyBorder="1" applyAlignment="1" applyProtection="1">
      <alignment horizontal="left" vertical="top"/>
      <protection hidden="1"/>
    </xf>
    <xf numFmtId="0" fontId="11" fillId="3" borderId="19" xfId="0" applyFont="1" applyFill="1" applyBorder="1" applyAlignment="1" applyProtection="1">
      <alignment horizontal="left" vertical="top"/>
      <protection hidden="1"/>
    </xf>
    <xf numFmtId="0" fontId="11" fillId="3" borderId="20" xfId="0" applyFont="1" applyFill="1" applyBorder="1" applyAlignment="1" applyProtection="1">
      <alignment horizontal="left" vertical="top"/>
      <protection hidden="1"/>
    </xf>
    <xf numFmtId="0" fontId="11" fillId="3" borderId="21" xfId="0" applyFont="1" applyFill="1" applyBorder="1" applyAlignment="1" applyProtection="1">
      <alignment horizontal="left" vertical="top"/>
      <protection hidden="1"/>
    </xf>
    <xf numFmtId="0" fontId="1" fillId="2" borderId="4" xfId="0" applyFont="1" applyFill="1" applyBorder="1" applyAlignment="1" applyProtection="1">
      <alignment horizontal="center" vertical="center" wrapText="1"/>
      <protection hidden="1"/>
    </xf>
    <xf numFmtId="0" fontId="0" fillId="2" borderId="5" xfId="0" applyFill="1" applyBorder="1" applyAlignment="1" applyProtection="1">
      <alignment horizontal="center" vertical="center" wrapText="1"/>
      <protection hidden="1"/>
    </xf>
    <xf numFmtId="0" fontId="0" fillId="2" borderId="19" xfId="0" applyFill="1" applyBorder="1" applyAlignment="1" applyProtection="1">
      <alignment horizontal="center" vertical="center" wrapText="1"/>
      <protection hidden="1"/>
    </xf>
    <xf numFmtId="0" fontId="0" fillId="2" borderId="21" xfId="0" applyFill="1" applyBorder="1" applyAlignment="1" applyProtection="1">
      <alignment horizontal="center" vertical="center" wrapText="1"/>
      <protection hidden="1"/>
    </xf>
    <xf numFmtId="0" fontId="5" fillId="2" borderId="23" xfId="0" applyFont="1" applyFill="1" applyBorder="1" applyAlignment="1" applyProtection="1">
      <alignment horizontal="center" vertical="center" wrapText="1"/>
      <protection hidden="1"/>
    </xf>
    <xf numFmtId="0" fontId="5" fillId="2" borderId="29" xfId="0" applyFont="1" applyFill="1" applyBorder="1" applyAlignment="1" applyProtection="1">
      <alignment horizontal="center" vertical="center" wrapText="1"/>
      <protection hidden="1"/>
    </xf>
    <xf numFmtId="0" fontId="5" fillId="2" borderId="24" xfId="0" applyFont="1" applyFill="1" applyBorder="1" applyAlignment="1" applyProtection="1">
      <alignment horizontal="center"/>
      <protection hidden="1"/>
    </xf>
    <xf numFmtId="0" fontId="5" fillId="2" borderId="25" xfId="0" applyFont="1" applyFill="1" applyBorder="1" applyAlignment="1" applyProtection="1">
      <alignment horizontal="center"/>
      <protection hidden="1"/>
    </xf>
    <xf numFmtId="0" fontId="5" fillId="2" borderId="26" xfId="0" applyFont="1" applyFill="1" applyBorder="1" applyAlignment="1" applyProtection="1">
      <alignment horizontal="center" vertical="center"/>
      <protection hidden="1"/>
    </xf>
    <xf numFmtId="0" fontId="5" fillId="2" borderId="25" xfId="0" applyFont="1" applyFill="1" applyBorder="1" applyAlignment="1" applyProtection="1">
      <alignment horizontal="center" vertical="center"/>
      <protection hidden="1"/>
    </xf>
    <xf numFmtId="0" fontId="0" fillId="0" borderId="10" xfId="0" applyFill="1" applyBorder="1" applyAlignment="1" applyProtection="1">
      <alignment horizontal="center" vertical="center"/>
      <protection hidden="1"/>
    </xf>
    <xf numFmtId="0" fontId="0" fillId="0" borderId="13" xfId="0" applyFill="1" applyBorder="1" applyAlignment="1" applyProtection="1">
      <alignment horizontal="center" vertical="center"/>
      <protection hidden="1"/>
    </xf>
    <xf numFmtId="0" fontId="0" fillId="0" borderId="15" xfId="0" applyFill="1" applyBorder="1" applyAlignment="1" applyProtection="1">
      <alignment horizontal="center" vertical="center"/>
      <protection hidden="1"/>
    </xf>
    <xf numFmtId="0" fontId="9" fillId="6" borderId="22" xfId="0" applyFont="1" applyFill="1" applyBorder="1" applyAlignment="1" applyProtection="1">
      <alignment horizontal="center"/>
      <protection hidden="1"/>
    </xf>
    <xf numFmtId="0" fontId="9" fillId="6" borderId="1" xfId="0" applyFont="1" applyFill="1" applyBorder="1" applyAlignment="1" applyProtection="1">
      <alignment horizontal="center"/>
      <protection hidden="1"/>
    </xf>
    <xf numFmtId="0" fontId="9" fillId="6" borderId="28" xfId="0" applyFont="1" applyFill="1" applyBorder="1" applyAlignment="1" applyProtection="1">
      <alignment horizontal="center"/>
      <protection hidden="1"/>
    </xf>
    <xf numFmtId="49" fontId="3" fillId="2" borderId="4" xfId="1" applyNumberFormat="1" applyFont="1" applyFill="1" applyBorder="1" applyAlignment="1" applyProtection="1">
      <alignment horizontal="center" vertical="center"/>
      <protection hidden="1"/>
    </xf>
    <xf numFmtId="49" fontId="3" fillId="2" borderId="2" xfId="1" applyNumberFormat="1" applyFont="1" applyFill="1" applyBorder="1" applyAlignment="1" applyProtection="1">
      <alignment horizontal="center" vertical="center"/>
      <protection hidden="1"/>
    </xf>
    <xf numFmtId="49" fontId="3" fillId="2" borderId="5" xfId="1" applyNumberFormat="1" applyFont="1" applyFill="1" applyBorder="1" applyAlignment="1" applyProtection="1">
      <alignment horizontal="center" vertical="center"/>
      <protection hidden="1"/>
    </xf>
    <xf numFmtId="0" fontId="0" fillId="2" borderId="0" xfId="0" applyFont="1" applyFill="1" applyBorder="1" applyAlignment="1" applyProtection="1">
      <alignment horizontal="center"/>
      <protection hidden="1"/>
    </xf>
    <xf numFmtId="0" fontId="0" fillId="2" borderId="7" xfId="0" applyFont="1" applyFill="1" applyBorder="1" applyAlignment="1" applyProtection="1">
      <alignment horizontal="center"/>
      <protection hidden="1"/>
    </xf>
    <xf numFmtId="0" fontId="0" fillId="2" borderId="3" xfId="0" applyFill="1" applyBorder="1" applyAlignment="1" applyProtection="1">
      <alignment horizontal="center" vertical="center"/>
      <protection hidden="1"/>
    </xf>
    <xf numFmtId="0" fontId="0" fillId="2" borderId="6" xfId="0" applyFill="1" applyBorder="1" applyAlignment="1" applyProtection="1">
      <alignment horizontal="center" vertical="center"/>
      <protection hidden="1"/>
    </xf>
    <xf numFmtId="0" fontId="0" fillId="2" borderId="18" xfId="0" applyFill="1" applyBorder="1" applyAlignment="1" applyProtection="1">
      <alignment horizontal="center" vertical="center"/>
      <protection hidden="1"/>
    </xf>
    <xf numFmtId="0" fontId="0" fillId="2" borderId="4" xfId="0" applyFont="1" applyFill="1" applyBorder="1" applyAlignment="1" applyProtection="1">
      <alignment horizontal="center" vertical="center" wrapText="1"/>
      <protection hidden="1"/>
    </xf>
    <xf numFmtId="0" fontId="4" fillId="2" borderId="8" xfId="1" applyFont="1" applyFill="1" applyBorder="1" applyProtection="1">
      <protection hidden="1"/>
    </xf>
    <xf numFmtId="0" fontId="0" fillId="2" borderId="7" xfId="0" applyFill="1" applyBorder="1" applyAlignment="1" applyProtection="1">
      <alignment horizontal="left"/>
      <protection hidden="1"/>
    </xf>
    <xf numFmtId="0" fontId="1" fillId="2" borderId="7" xfId="1" applyFont="1" applyFill="1" applyBorder="1" applyAlignment="1" applyProtection="1">
      <alignment horizontal="left"/>
      <protection hidden="1"/>
    </xf>
    <xf numFmtId="17" fontId="0" fillId="0" borderId="0" xfId="0" applyNumberFormat="1"/>
    <xf numFmtId="0" fontId="0" fillId="0" borderId="0" xfId="0" applyAlignment="1">
      <alignment horizontal="right"/>
    </xf>
    <xf numFmtId="0" fontId="0" fillId="9" borderId="11" xfId="0" applyFill="1" applyBorder="1" applyAlignment="1" applyProtection="1">
      <alignment horizontal="center"/>
      <protection hidden="1"/>
    </xf>
    <xf numFmtId="0" fontId="0" fillId="9" borderId="0" xfId="0" applyFill="1" applyBorder="1" applyAlignment="1" applyProtection="1">
      <alignment horizontal="center"/>
      <protection hidden="1"/>
    </xf>
    <xf numFmtId="0" fontId="1" fillId="9" borderId="16" xfId="0" applyFont="1" applyFill="1" applyBorder="1" applyAlignment="1" applyProtection="1">
      <alignment horizontal="center"/>
      <protection hidden="1"/>
    </xf>
    <xf numFmtId="0" fontId="0" fillId="3" borderId="9" xfId="0" applyFont="1" applyFill="1" applyBorder="1" applyAlignment="1">
      <alignment horizontal="center"/>
    </xf>
    <xf numFmtId="165" fontId="0" fillId="3" borderId="9" xfId="0" applyNumberFormat="1" applyFont="1" applyFill="1" applyBorder="1" applyAlignment="1">
      <alignment horizontal="center"/>
    </xf>
    <xf numFmtId="2" fontId="0" fillId="3" borderId="9" xfId="0" applyNumberFormat="1" applyFont="1" applyFill="1" applyBorder="1" applyAlignment="1">
      <alignment horizontal="center"/>
    </xf>
    <xf numFmtId="0" fontId="0" fillId="2" borderId="33" xfId="0" applyFont="1" applyFill="1" applyBorder="1" applyAlignment="1">
      <alignment horizontal="center"/>
    </xf>
    <xf numFmtId="0" fontId="0" fillId="3" borderId="33" xfId="0" applyFont="1" applyFill="1" applyBorder="1" applyAlignment="1">
      <alignment horizontal="center"/>
    </xf>
    <xf numFmtId="169" fontId="0" fillId="3" borderId="9" xfId="0" applyNumberFormat="1" applyFont="1" applyFill="1" applyBorder="1" applyAlignment="1">
      <alignment horizontal="center" vertical="center"/>
    </xf>
    <xf numFmtId="169" fontId="0" fillId="3" borderId="14" xfId="0" applyNumberFormat="1" applyFont="1" applyFill="1" applyBorder="1" applyAlignment="1">
      <alignment horizontal="center" vertical="center"/>
    </xf>
    <xf numFmtId="14" fontId="0" fillId="3" borderId="0" xfId="1" applyNumberFormat="1" applyFont="1" applyFill="1" applyBorder="1" applyAlignment="1" applyProtection="1">
      <alignment horizontal="left" vertical="center"/>
      <protection hidden="1"/>
    </xf>
    <xf numFmtId="0" fontId="15" fillId="0" borderId="0" xfId="0" applyFont="1" applyFill="1" applyProtection="1">
      <protection hidden="1"/>
    </xf>
    <xf numFmtId="0" fontId="15" fillId="2" borderId="0" xfId="0" applyFont="1" applyFill="1" applyBorder="1" applyProtection="1">
      <protection hidden="1"/>
    </xf>
    <xf numFmtId="0" fontId="17" fillId="2" borderId="0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 wrapText="1"/>
      <protection hidden="1"/>
    </xf>
    <xf numFmtId="0" fontId="15" fillId="0" borderId="0" xfId="0" applyFont="1" applyFill="1" applyBorder="1" applyProtection="1">
      <protection hidden="1"/>
    </xf>
    <xf numFmtId="0" fontId="15" fillId="0" borderId="0" xfId="0" applyFont="1"/>
    <xf numFmtId="17" fontId="17" fillId="2" borderId="0" xfId="0" applyNumberFormat="1" applyFont="1" applyFill="1" applyBorder="1" applyAlignment="1">
      <alignment horizontal="center" vertical="center" wrapText="1"/>
    </xf>
    <xf numFmtId="3" fontId="18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15" fillId="0" borderId="0" xfId="0" applyFont="1" applyFill="1" applyBorder="1"/>
    <xf numFmtId="0" fontId="15" fillId="2" borderId="0" xfId="0" applyFont="1" applyFill="1" applyBorder="1" applyAlignment="1" applyProtection="1">
      <alignment horizontal="center"/>
      <protection hidden="1"/>
    </xf>
    <xf numFmtId="0" fontId="19" fillId="0" borderId="0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15" fillId="2" borderId="0" xfId="0" applyFont="1" applyFill="1" applyProtection="1">
      <protection hidden="1"/>
    </xf>
    <xf numFmtId="2" fontId="15" fillId="0" borderId="0" xfId="0" applyNumberFormat="1" applyFont="1" applyFill="1" applyBorder="1" applyAlignment="1">
      <alignment horizontal="center"/>
    </xf>
    <xf numFmtId="165" fontId="15" fillId="0" borderId="0" xfId="0" applyNumberFormat="1" applyFont="1" applyFill="1" applyBorder="1" applyAlignment="1">
      <alignment horizontal="center"/>
    </xf>
    <xf numFmtId="0" fontId="15" fillId="0" borderId="0" xfId="0" applyFont="1" applyProtection="1">
      <protection hidden="1"/>
    </xf>
    <xf numFmtId="0" fontId="16" fillId="0" borderId="0" xfId="0" applyFont="1" applyFill="1" applyBorder="1" applyAlignment="1" applyProtection="1">
      <alignment vertical="center"/>
      <protection hidden="1"/>
    </xf>
    <xf numFmtId="0" fontId="18" fillId="0" borderId="0" xfId="0" applyFont="1" applyFill="1" applyBorder="1" applyAlignment="1" applyProtection="1">
      <alignment horizontal="center" vertical="center" wrapText="1"/>
      <protection hidden="1"/>
    </xf>
    <xf numFmtId="3" fontId="18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5" fillId="0" borderId="0" xfId="0" applyFont="1" applyFill="1" applyBorder="1" applyAlignment="1" applyProtection="1">
      <alignment horizontal="center"/>
      <protection hidden="1"/>
    </xf>
    <xf numFmtId="0" fontId="0" fillId="3" borderId="0" xfId="0" applyFont="1" applyFill="1" applyBorder="1" applyAlignment="1" applyProtection="1">
      <alignment horizontal="left"/>
      <protection hidden="1"/>
    </xf>
    <xf numFmtId="0" fontId="0" fillId="3" borderId="0" xfId="1" applyFont="1" applyFill="1" applyBorder="1" applyAlignment="1" applyProtection="1">
      <alignment horizontal="left"/>
      <protection hidden="1"/>
    </xf>
    <xf numFmtId="0" fontId="8" fillId="0" borderId="0" xfId="0" applyFont="1" applyProtection="1">
      <protection hidden="1"/>
    </xf>
    <xf numFmtId="0" fontId="8" fillId="0" borderId="0" xfId="0" applyFont="1"/>
    <xf numFmtId="0" fontId="8" fillId="0" borderId="0" xfId="0" applyFont="1" applyAlignment="1" applyProtection="1">
      <alignment wrapText="1"/>
      <protection hidden="1"/>
    </xf>
    <xf numFmtId="0" fontId="12" fillId="0" borderId="0" xfId="0" applyFont="1"/>
    <xf numFmtId="0" fontId="8" fillId="0" borderId="0" xfId="0" applyFont="1" applyFill="1" applyProtection="1">
      <protection hidden="1"/>
    </xf>
    <xf numFmtId="0" fontId="8" fillId="0" borderId="0" xfId="0" applyFont="1" applyBorder="1" applyAlignment="1" applyProtection="1">
      <alignment horizontal="center"/>
      <protection hidden="1"/>
    </xf>
    <xf numFmtId="0" fontId="12" fillId="0" borderId="0" xfId="0" applyFont="1" applyFill="1" applyBorder="1" applyAlignment="1">
      <alignment horizontal="justify" vertical="center" wrapText="1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Alignment="1"/>
    <xf numFmtId="0" fontId="8" fillId="0" borderId="0" xfId="0" applyFont="1" applyAlignment="1" applyProtection="1">
      <protection hidden="1"/>
    </xf>
    <xf numFmtId="0" fontId="12" fillId="0" borderId="0" xfId="0" applyFont="1" applyFill="1" applyBorder="1" applyAlignment="1" applyProtection="1">
      <alignment horizontal="left"/>
      <protection hidden="1"/>
    </xf>
    <xf numFmtId="0" fontId="8" fillId="0" borderId="0" xfId="0" applyFont="1" applyBorder="1"/>
    <xf numFmtId="0" fontId="8" fillId="0" borderId="0" xfId="0" applyFont="1" applyFill="1" applyBorder="1" applyAlignment="1" applyProtection="1">
      <alignment horizontal="left"/>
      <protection hidden="1"/>
    </xf>
    <xf numFmtId="0" fontId="12" fillId="0" borderId="0" xfId="0" applyFont="1" applyAlignment="1" applyProtection="1">
      <protection hidden="1"/>
    </xf>
    <xf numFmtId="0" fontId="12" fillId="0" borderId="0" xfId="0" applyFont="1" applyProtection="1">
      <protection hidden="1"/>
    </xf>
    <xf numFmtId="0" fontId="21" fillId="0" borderId="0" xfId="2" applyFont="1" applyProtection="1">
      <protection hidden="1"/>
    </xf>
    <xf numFmtId="0" fontId="8" fillId="0" borderId="0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justify" vertical="center" wrapText="1"/>
    </xf>
    <xf numFmtId="0" fontId="21" fillId="0" borderId="0" xfId="0" applyFont="1" applyBorder="1" applyAlignment="1">
      <alignment horizontal="center" vertical="center" wrapText="1"/>
    </xf>
  </cellXfs>
  <cellStyles count="3">
    <cellStyle name="Lien hypertexte" xfId="2" builtinId="8"/>
    <cellStyle name="Normal" xfId="0" builtinId="0"/>
    <cellStyle name="Normal_233 2005.2006 (nouveaux poids)" xfId="1"/>
  </cellStyles>
  <dxfs count="12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5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5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57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685798</xdr:colOff>
          <xdr:row>5</xdr:row>
          <xdr:rowOff>29882</xdr:rowOff>
        </xdr:from>
        <xdr:to>
          <xdr:col>8</xdr:col>
          <xdr:colOff>694764</xdr:colOff>
          <xdr:row>6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687666</xdr:colOff>
          <xdr:row>6</xdr:row>
          <xdr:rowOff>22412</xdr:rowOff>
        </xdr:from>
        <xdr:to>
          <xdr:col>8</xdr:col>
          <xdr:colOff>649940</xdr:colOff>
          <xdr:row>7</xdr:row>
          <xdr:rowOff>29881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ctrlProp" Target="../ctrlProps/ctrlProp2.xml"/><Relationship Id="rId2" Type="http://schemas.openxmlformats.org/officeDocument/2006/relationships/hyperlink" Target="http://www.methodesdevalidation.com/" TargetMode="External"/><Relationship Id="rId1" Type="http://schemas.openxmlformats.org/officeDocument/2006/relationships/hyperlink" Target="http://www.meteociel.fr/observations-meteo/pression.php" TargetMode="External"/><Relationship Id="rId6" Type="http://schemas.openxmlformats.org/officeDocument/2006/relationships/ctrlProp" Target="../ctrlProps/ctrlProp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S105"/>
  <sheetViews>
    <sheetView showGridLines="0" tabSelected="1" zoomScale="70" zoomScaleNormal="70" zoomScaleSheetLayoutView="115" workbookViewId="0">
      <selection activeCell="K5" sqref="K5"/>
    </sheetView>
  </sheetViews>
  <sheetFormatPr baseColWidth="10" defaultRowHeight="12.5" x14ac:dyDescent="0.25"/>
  <cols>
    <col min="3" max="3" width="25.453125" customWidth="1"/>
    <col min="4" max="4" width="12.26953125" bestFit="1" customWidth="1"/>
    <col min="5" max="5" width="13" customWidth="1"/>
    <col min="6" max="6" width="11.54296875" customWidth="1"/>
    <col min="7" max="8" width="12.1796875" customWidth="1"/>
    <col min="9" max="9" width="13.54296875" bestFit="1" customWidth="1"/>
    <col min="10" max="10" width="9.7265625" customWidth="1"/>
    <col min="11" max="11" width="18.7265625" customWidth="1"/>
    <col min="12" max="12" width="26.6328125" customWidth="1"/>
    <col min="13" max="13" width="18.81640625" customWidth="1"/>
    <col min="14" max="14" width="11" customWidth="1"/>
    <col min="15" max="15" width="13.81640625" customWidth="1"/>
    <col min="16" max="16" width="12.453125" customWidth="1"/>
  </cols>
  <sheetData>
    <row r="1" spans="2:14" ht="13" thickBot="1" x14ac:dyDescent="0.3">
      <c r="C1" s="1"/>
      <c r="D1" s="1"/>
      <c r="E1" s="1"/>
      <c r="F1" s="1"/>
      <c r="G1" s="1"/>
      <c r="H1" s="1"/>
      <c r="I1" s="1"/>
      <c r="J1" s="2"/>
      <c r="K1" s="3"/>
      <c r="L1" s="4"/>
    </row>
    <row r="2" spans="2:14" ht="25" x14ac:dyDescent="0.25">
      <c r="B2" s="149" t="s">
        <v>0</v>
      </c>
      <c r="C2" s="181" t="s">
        <v>1</v>
      </c>
      <c r="D2" s="182"/>
      <c r="E2" s="182"/>
      <c r="F2" s="182"/>
      <c r="G2" s="182"/>
      <c r="H2" s="182"/>
      <c r="I2" s="183"/>
      <c r="J2" s="8"/>
      <c r="K2" s="9"/>
      <c r="L2" s="9"/>
      <c r="M2" s="9"/>
    </row>
    <row r="3" spans="2:14" ht="13" x14ac:dyDescent="0.3">
      <c r="B3" s="150"/>
      <c r="C3" s="190" t="s">
        <v>74</v>
      </c>
      <c r="D3" s="205">
        <f ca="1">TODAY()</f>
        <v>42810</v>
      </c>
      <c r="E3" s="10"/>
      <c r="F3" s="4"/>
      <c r="G3" s="11"/>
      <c r="H3" s="12"/>
      <c r="I3" s="13"/>
      <c r="J3" s="14"/>
      <c r="K3" s="9"/>
      <c r="L3" s="9"/>
      <c r="M3" s="228"/>
      <c r="N3" s="229"/>
    </row>
    <row r="4" spans="2:14" ht="13" x14ac:dyDescent="0.3">
      <c r="B4" s="150"/>
      <c r="C4" s="190" t="s">
        <v>75</v>
      </c>
      <c r="D4" s="15">
        <v>123</v>
      </c>
      <c r="E4" s="16" t="s">
        <v>2</v>
      </c>
      <c r="F4" s="21"/>
      <c r="G4" s="226" t="s">
        <v>87</v>
      </c>
      <c r="H4" s="18"/>
      <c r="I4" s="19"/>
      <c r="J4" s="14"/>
      <c r="K4" s="9"/>
      <c r="L4" s="9"/>
      <c r="M4" s="228"/>
      <c r="N4" s="229"/>
    </row>
    <row r="5" spans="2:14" ht="13" x14ac:dyDescent="0.25">
      <c r="B5" s="150"/>
      <c r="C5" s="20" t="s">
        <v>3</v>
      </c>
      <c r="D5" s="15" t="s">
        <v>82</v>
      </c>
      <c r="E5" s="16" t="s">
        <v>4</v>
      </c>
      <c r="F5" s="21"/>
      <c r="G5" s="15" t="s">
        <v>88</v>
      </c>
      <c r="H5" s="21"/>
      <c r="I5" s="22" t="s">
        <v>5</v>
      </c>
      <c r="J5" s="14"/>
      <c r="K5" s="230"/>
      <c r="L5" s="229"/>
      <c r="M5" s="228"/>
      <c r="N5" s="229"/>
    </row>
    <row r="6" spans="2:14" ht="13" x14ac:dyDescent="0.3">
      <c r="B6" s="150"/>
      <c r="C6" s="20" t="s">
        <v>6</v>
      </c>
      <c r="D6" s="15" t="s">
        <v>83</v>
      </c>
      <c r="E6" s="16" t="s">
        <v>7</v>
      </c>
      <c r="F6" s="21"/>
      <c r="G6" s="15" t="s">
        <v>89</v>
      </c>
      <c r="H6" s="4"/>
      <c r="I6" s="191" t="s">
        <v>8</v>
      </c>
      <c r="J6" s="14"/>
      <c r="K6" s="231" t="s">
        <v>92</v>
      </c>
      <c r="L6" s="228"/>
      <c r="M6" s="228"/>
      <c r="N6" s="229"/>
    </row>
    <row r="7" spans="2:14" ht="13" x14ac:dyDescent="0.3">
      <c r="B7" s="150"/>
      <c r="C7" s="20" t="s">
        <v>84</v>
      </c>
      <c r="D7" s="15" t="s">
        <v>85</v>
      </c>
      <c r="E7" s="23" t="s">
        <v>77</v>
      </c>
      <c r="F7" s="24"/>
      <c r="G7" s="15" t="s">
        <v>90</v>
      </c>
      <c r="H7" s="4"/>
      <c r="I7" s="192" t="s">
        <v>9</v>
      </c>
      <c r="J7" s="14"/>
      <c r="K7" s="232" t="s">
        <v>94</v>
      </c>
      <c r="L7" s="232"/>
      <c r="M7" s="228"/>
      <c r="N7" s="229"/>
    </row>
    <row r="8" spans="2:14" ht="13" x14ac:dyDescent="0.3">
      <c r="B8" s="150"/>
      <c r="C8" s="20" t="s">
        <v>76</v>
      </c>
      <c r="D8" s="15" t="s">
        <v>86</v>
      </c>
      <c r="E8" s="26" t="s">
        <v>78</v>
      </c>
      <c r="F8" s="24"/>
      <c r="G8" s="227" t="s">
        <v>91</v>
      </c>
      <c r="H8" s="24"/>
      <c r="I8" s="27"/>
      <c r="J8" s="14"/>
      <c r="K8" s="229" t="s">
        <v>95</v>
      </c>
      <c r="L8" s="232"/>
      <c r="M8" s="228"/>
      <c r="N8" s="229"/>
    </row>
    <row r="9" spans="2:14" ht="13" x14ac:dyDescent="0.3">
      <c r="B9" s="150"/>
      <c r="C9" s="20"/>
      <c r="D9" s="28"/>
      <c r="E9" s="26"/>
      <c r="F9" s="29"/>
      <c r="G9" s="21"/>
      <c r="H9" s="24"/>
      <c r="I9" s="27"/>
      <c r="J9" s="14"/>
      <c r="K9" s="229"/>
      <c r="L9" s="229"/>
      <c r="M9" s="228"/>
      <c r="N9" s="229"/>
    </row>
    <row r="10" spans="2:14" ht="13.5" thickBot="1" x14ac:dyDescent="0.35">
      <c r="B10" s="150"/>
      <c r="C10" s="30" t="s">
        <v>12</v>
      </c>
      <c r="D10" s="31" t="s">
        <v>13</v>
      </c>
      <c r="E10" s="32" t="s">
        <v>14</v>
      </c>
      <c r="F10" s="29"/>
      <c r="G10" s="21"/>
      <c r="H10" s="184"/>
      <c r="I10" s="185"/>
      <c r="J10" s="33"/>
      <c r="K10" s="244" t="s">
        <v>96</v>
      </c>
      <c r="L10" s="244" t="s">
        <v>97</v>
      </c>
      <c r="M10" s="233"/>
      <c r="N10" s="229"/>
    </row>
    <row r="11" spans="2:14" ht="13" x14ac:dyDescent="0.25">
      <c r="B11" s="150"/>
      <c r="C11" s="34" t="s">
        <v>16</v>
      </c>
      <c r="D11" s="35">
        <v>-0.1</v>
      </c>
      <c r="E11" s="36">
        <v>0.1</v>
      </c>
      <c r="F11" s="186" t="s">
        <v>17</v>
      </c>
      <c r="G11" s="21"/>
      <c r="H11" s="37"/>
      <c r="I11" s="38"/>
      <c r="J11" s="9"/>
      <c r="K11" s="245" t="s">
        <v>100</v>
      </c>
      <c r="L11" s="246" t="s">
        <v>101</v>
      </c>
      <c r="M11" s="233"/>
      <c r="N11" s="229"/>
    </row>
    <row r="12" spans="2:14" ht="13" x14ac:dyDescent="0.25">
      <c r="B12" s="150"/>
      <c r="C12" s="39" t="s">
        <v>19</v>
      </c>
      <c r="D12" s="40">
        <v>-1E-3</v>
      </c>
      <c r="E12" s="41">
        <v>0.05</v>
      </c>
      <c r="F12" s="187"/>
      <c r="G12" s="21"/>
      <c r="H12" s="37"/>
      <c r="I12" s="38"/>
      <c r="J12" s="9"/>
      <c r="K12" s="245" t="s">
        <v>102</v>
      </c>
      <c r="L12" s="246" t="s">
        <v>103</v>
      </c>
      <c r="M12" s="233"/>
      <c r="N12" s="229"/>
    </row>
    <row r="13" spans="2:14" ht="13" x14ac:dyDescent="0.25">
      <c r="B13" s="150"/>
      <c r="C13" s="39" t="s">
        <v>21</v>
      </c>
      <c r="D13" s="42">
        <v>0.3</v>
      </c>
      <c r="E13" s="43">
        <v>5</v>
      </c>
      <c r="F13" s="187"/>
      <c r="G13" s="21"/>
      <c r="H13" s="37"/>
      <c r="I13" s="38"/>
      <c r="J13" s="9"/>
      <c r="K13" s="245" t="s">
        <v>104</v>
      </c>
      <c r="L13" s="246" t="s">
        <v>105</v>
      </c>
      <c r="M13" s="233"/>
      <c r="N13" s="229"/>
    </row>
    <row r="14" spans="2:14" ht="13.5" thickBot="1" x14ac:dyDescent="0.3">
      <c r="B14" s="150"/>
      <c r="C14" s="44" t="s">
        <v>23</v>
      </c>
      <c r="D14" s="45">
        <v>0.09</v>
      </c>
      <c r="E14" s="46">
        <v>0.1</v>
      </c>
      <c r="F14" s="188"/>
      <c r="G14" s="47"/>
      <c r="H14" s="37"/>
      <c r="I14" s="38"/>
      <c r="J14" s="9"/>
      <c r="K14" s="245" t="s">
        <v>106</v>
      </c>
      <c r="L14" s="246" t="s">
        <v>105</v>
      </c>
      <c r="M14" s="228"/>
      <c r="N14" s="229"/>
    </row>
    <row r="15" spans="2:14" ht="13.5" thickBot="1" x14ac:dyDescent="0.3">
      <c r="B15" s="151"/>
      <c r="C15" s="48"/>
      <c r="D15" s="49"/>
      <c r="E15" s="49"/>
      <c r="F15" s="49"/>
      <c r="G15" s="49"/>
      <c r="H15" s="50"/>
      <c r="I15" s="51"/>
      <c r="J15" s="9"/>
      <c r="K15" s="245" t="s">
        <v>107</v>
      </c>
      <c r="L15" s="246" t="s">
        <v>108</v>
      </c>
      <c r="M15" s="228"/>
      <c r="N15" s="229"/>
    </row>
    <row r="16" spans="2:14" ht="13.5" customHeight="1" thickBot="1" x14ac:dyDescent="0.35">
      <c r="B16" s="149" t="s">
        <v>26</v>
      </c>
      <c r="C16" s="52" t="s">
        <v>27</v>
      </c>
      <c r="D16" s="53" t="s">
        <v>28</v>
      </c>
      <c r="E16" s="54" t="s">
        <v>29</v>
      </c>
      <c r="F16" s="55"/>
      <c r="G16" s="55"/>
      <c r="H16" s="56"/>
      <c r="I16" s="57"/>
      <c r="J16" s="9"/>
      <c r="K16" s="229"/>
      <c r="L16" s="229"/>
      <c r="M16" s="228"/>
      <c r="N16" s="229"/>
    </row>
    <row r="17" spans="2:19" ht="13.5" thickBot="1" x14ac:dyDescent="0.3">
      <c r="B17" s="150"/>
      <c r="C17" s="58" t="s">
        <v>30</v>
      </c>
      <c r="D17" s="195">
        <v>100</v>
      </c>
      <c r="E17" s="60" t="s">
        <v>31</v>
      </c>
      <c r="F17" s="61"/>
      <c r="G17" s="29"/>
      <c r="H17" s="21"/>
      <c r="I17" s="38"/>
      <c r="J17" s="9"/>
      <c r="K17" s="234" t="s">
        <v>98</v>
      </c>
      <c r="L17" s="229"/>
      <c r="M17" s="228"/>
      <c r="N17" s="229"/>
    </row>
    <row r="18" spans="2:19" x14ac:dyDescent="0.25">
      <c r="B18" s="150"/>
      <c r="C18" s="62" t="s">
        <v>32</v>
      </c>
      <c r="D18" s="196">
        <v>0.8</v>
      </c>
      <c r="E18" s="64" t="s">
        <v>31</v>
      </c>
      <c r="F18" s="189" t="s">
        <v>71</v>
      </c>
      <c r="G18" s="166"/>
      <c r="H18" s="21"/>
      <c r="I18" s="38"/>
      <c r="J18" s="9"/>
      <c r="K18" s="235" t="s">
        <v>99</v>
      </c>
      <c r="L18" s="236"/>
      <c r="M18" s="237"/>
      <c r="N18" s="229"/>
      <c r="O18" s="5"/>
      <c r="P18" s="5"/>
      <c r="Q18" s="5"/>
      <c r="R18" s="5"/>
      <c r="S18" s="5"/>
    </row>
    <row r="19" spans="2:19" ht="13" thickBot="1" x14ac:dyDescent="0.3">
      <c r="B19" s="150"/>
      <c r="C19" s="65" t="s">
        <v>35</v>
      </c>
      <c r="D19" s="197">
        <v>0.3</v>
      </c>
      <c r="E19" s="67" t="s">
        <v>31</v>
      </c>
      <c r="F19" s="167"/>
      <c r="G19" s="168"/>
      <c r="H19" s="21"/>
      <c r="I19" s="68"/>
      <c r="J19" s="9"/>
      <c r="K19" s="229"/>
      <c r="L19" s="229"/>
      <c r="M19" s="228"/>
      <c r="N19" s="229"/>
      <c r="O19" s="5"/>
      <c r="P19" s="5"/>
      <c r="Q19" s="5"/>
      <c r="R19" s="5"/>
      <c r="S19" s="5"/>
    </row>
    <row r="20" spans="2:19" ht="13.5" thickBot="1" x14ac:dyDescent="0.35">
      <c r="B20" s="150"/>
      <c r="C20" s="69"/>
      <c r="D20" s="49"/>
      <c r="E20" s="49"/>
      <c r="F20" s="49"/>
      <c r="G20" s="49"/>
      <c r="H20" s="21"/>
      <c r="I20" s="68"/>
      <c r="J20" s="25"/>
      <c r="K20" s="238" t="s">
        <v>10</v>
      </c>
      <c r="L20" s="232"/>
      <c r="M20" s="228"/>
      <c r="N20" s="239"/>
      <c r="O20" s="6"/>
      <c r="P20" s="5"/>
      <c r="Q20" s="5"/>
      <c r="R20" s="5"/>
      <c r="S20" s="5"/>
    </row>
    <row r="21" spans="2:19" ht="12" customHeight="1" x14ac:dyDescent="0.3">
      <c r="B21" s="150"/>
      <c r="C21" s="169" t="s">
        <v>36</v>
      </c>
      <c r="D21" s="171" t="s">
        <v>37</v>
      </c>
      <c r="E21" s="172"/>
      <c r="F21" s="173" t="s">
        <v>38</v>
      </c>
      <c r="G21" s="70" t="s">
        <v>38</v>
      </c>
      <c r="H21" s="21"/>
      <c r="I21" s="68"/>
      <c r="J21" s="25"/>
      <c r="K21" s="240" t="s">
        <v>11</v>
      </c>
      <c r="L21" s="228"/>
      <c r="M21" s="228"/>
      <c r="N21" s="239"/>
      <c r="O21" s="7"/>
      <c r="P21" s="7"/>
      <c r="Q21" s="7"/>
      <c r="R21" s="7"/>
      <c r="S21" s="7"/>
    </row>
    <row r="22" spans="2:19" ht="13" x14ac:dyDescent="0.3">
      <c r="B22" s="150"/>
      <c r="C22" s="170"/>
      <c r="D22" s="71" t="s">
        <v>39</v>
      </c>
      <c r="E22" s="72" t="s">
        <v>40</v>
      </c>
      <c r="F22" s="174"/>
      <c r="G22" s="73" t="s">
        <v>41</v>
      </c>
      <c r="H22" s="21"/>
      <c r="I22" s="68"/>
      <c r="J22" s="25"/>
      <c r="K22" s="237" t="s">
        <v>15</v>
      </c>
      <c r="L22" s="228"/>
      <c r="M22" s="228"/>
      <c r="N22" s="239"/>
      <c r="O22" s="7"/>
      <c r="P22" s="7"/>
      <c r="Q22" s="7"/>
      <c r="R22" s="7"/>
      <c r="S22" s="7"/>
    </row>
    <row r="23" spans="2:19" ht="13" x14ac:dyDescent="0.3">
      <c r="B23" s="150"/>
      <c r="C23" s="74" t="s">
        <v>42</v>
      </c>
      <c r="D23" s="198">
        <v>19.100000000000001</v>
      </c>
      <c r="E23" s="198">
        <v>21.1</v>
      </c>
      <c r="F23" s="76">
        <f>(D23+E23)/2</f>
        <v>20.100000000000001</v>
      </c>
      <c r="G23" s="77">
        <f>F23+D11</f>
        <v>20</v>
      </c>
      <c r="H23" s="21"/>
      <c r="I23" s="68"/>
      <c r="J23" s="206"/>
      <c r="K23" s="241" t="s">
        <v>18</v>
      </c>
      <c r="L23" s="228"/>
      <c r="M23" s="78"/>
      <c r="N23" s="239"/>
      <c r="O23" s="208"/>
      <c r="P23" s="208"/>
      <c r="Q23" s="208"/>
      <c r="R23" s="7"/>
      <c r="S23" s="7"/>
    </row>
    <row r="24" spans="2:19" ht="13" x14ac:dyDescent="0.25">
      <c r="B24" s="150"/>
      <c r="C24" s="74" t="s">
        <v>43</v>
      </c>
      <c r="D24" s="199">
        <v>0.51100000000000001</v>
      </c>
      <c r="E24" s="199">
        <v>0.49</v>
      </c>
      <c r="F24" s="80">
        <f>(D24+E24)/2</f>
        <v>0.50049999999999994</v>
      </c>
      <c r="G24" s="81">
        <f>F24+D12</f>
        <v>0.49949999999999994</v>
      </c>
      <c r="H24" s="21"/>
      <c r="I24" s="68"/>
      <c r="J24" s="206"/>
      <c r="K24" s="237" t="s">
        <v>20</v>
      </c>
      <c r="L24" s="228"/>
      <c r="M24" s="82"/>
      <c r="N24" s="239"/>
      <c r="O24" s="208"/>
      <c r="P24" s="208"/>
      <c r="Q24" s="208"/>
      <c r="R24" s="7"/>
      <c r="S24" s="7"/>
    </row>
    <row r="25" spans="2:19" ht="13" x14ac:dyDescent="0.25">
      <c r="B25" s="150"/>
      <c r="C25" s="74" t="s">
        <v>44</v>
      </c>
      <c r="D25" s="200">
        <v>1012.7</v>
      </c>
      <c r="E25" s="200">
        <v>1012.7</v>
      </c>
      <c r="F25" s="84">
        <f>(D25+E25)/2</f>
        <v>1012.7</v>
      </c>
      <c r="G25" s="85">
        <f>F25+D13</f>
        <v>1013</v>
      </c>
      <c r="H25" s="86"/>
      <c r="I25" s="68"/>
      <c r="J25" s="210"/>
      <c r="K25" s="237" t="s">
        <v>22</v>
      </c>
      <c r="L25" s="228"/>
      <c r="M25" s="82"/>
      <c r="N25" s="239"/>
      <c r="O25" s="208"/>
      <c r="P25" s="208"/>
      <c r="Q25" s="208"/>
      <c r="R25" s="7"/>
      <c r="S25" s="7"/>
    </row>
    <row r="26" spans="2:19" ht="13.5" thickBot="1" x14ac:dyDescent="0.3">
      <c r="B26" s="150"/>
      <c r="C26" s="74" t="s">
        <v>45</v>
      </c>
      <c r="D26" s="198">
        <v>19.5</v>
      </c>
      <c r="E26" s="198">
        <v>20.3</v>
      </c>
      <c r="F26" s="87">
        <f>(D26+E26)/2</f>
        <v>19.899999999999999</v>
      </c>
      <c r="G26" s="88">
        <f>F26+D14</f>
        <v>19.989999999999998</v>
      </c>
      <c r="H26" s="89"/>
      <c r="I26" s="90"/>
      <c r="J26" s="210"/>
      <c r="K26" s="228"/>
      <c r="L26" s="228"/>
      <c r="M26" s="82"/>
      <c r="N26" s="229"/>
      <c r="O26" s="208"/>
      <c r="P26" s="208"/>
      <c r="Q26" s="208"/>
      <c r="R26" s="7"/>
      <c r="S26" s="7"/>
    </row>
    <row r="27" spans="2:19" ht="13" x14ac:dyDescent="0.3">
      <c r="B27" s="150"/>
      <c r="C27" s="74" t="s">
        <v>46</v>
      </c>
      <c r="D27" s="201">
        <v>0</v>
      </c>
      <c r="E27" s="202">
        <v>8</v>
      </c>
      <c r="F27" s="93"/>
      <c r="G27" s="94"/>
      <c r="H27" s="89"/>
      <c r="I27" s="90"/>
      <c r="J27" s="210"/>
      <c r="K27" s="242" t="s">
        <v>25</v>
      </c>
      <c r="L27" s="228"/>
      <c r="M27" s="82"/>
      <c r="N27" s="229"/>
      <c r="O27" s="208"/>
      <c r="P27" s="208"/>
      <c r="Q27" s="208"/>
      <c r="R27" s="7"/>
      <c r="S27" s="7"/>
    </row>
    <row r="28" spans="2:19" ht="13" x14ac:dyDescent="0.25">
      <c r="B28" s="150"/>
      <c r="C28" s="74" t="s">
        <v>47</v>
      </c>
      <c r="D28" s="95">
        <f>999.85308+0.0632693*D23-0.008523829*D23^2+0.00006943248*D23^3-0.0000003821216*D23^4</f>
        <v>998.38488697267144</v>
      </c>
      <c r="E28" s="95">
        <f>999.85308+0.0632693*E23-0.008523829*E23^2+0.00006943248*E23^3-0.0000003821216*E23^4</f>
        <v>997.96967118197028</v>
      </c>
      <c r="F28" s="96">
        <f>999.85308+0.0632693*G23-0.008523829*G23^2+0.00006943248*G23^3-0.0000003821216*G23^4</f>
        <v>998.20325478400002</v>
      </c>
      <c r="G28" s="33"/>
      <c r="H28" s="89"/>
      <c r="I28" s="90"/>
      <c r="J28" s="210"/>
      <c r="K28" s="228" t="s">
        <v>80</v>
      </c>
      <c r="L28" s="228"/>
      <c r="M28" s="82"/>
      <c r="N28" s="229"/>
      <c r="O28" s="208"/>
      <c r="P28" s="208"/>
      <c r="Q28" s="208"/>
      <c r="R28" s="7"/>
      <c r="S28" s="7"/>
    </row>
    <row r="29" spans="2:19" ht="13.5" thickBot="1" x14ac:dyDescent="0.3">
      <c r="B29" s="150"/>
      <c r="C29" s="97" t="s">
        <v>48</v>
      </c>
      <c r="D29" s="98">
        <f>((0.348444*D25)-(D24*(-0.00252*D23-0.020582)))/(D23+273.15)</f>
        <v>1.2075426917159966</v>
      </c>
      <c r="E29" s="98">
        <f>((0.348444*E25)-(E24*(-0.00252*E23-0.020582)))/(E23+273.15)</f>
        <v>1.1993385837213255</v>
      </c>
      <c r="F29" s="99">
        <f>((0.348444*G25)-(G24*(-0.00252*G23-0.020582)))/(G23+273.15)</f>
        <v>1.2041931690567969</v>
      </c>
      <c r="G29" s="21"/>
      <c r="H29" s="29"/>
      <c r="I29" s="90"/>
      <c r="J29" s="210"/>
      <c r="K29" s="228" t="s">
        <v>81</v>
      </c>
      <c r="L29" s="228"/>
      <c r="M29" s="82"/>
      <c r="N29" s="229"/>
      <c r="O29" s="208"/>
      <c r="P29" s="208"/>
      <c r="Q29" s="208"/>
      <c r="R29" s="7"/>
      <c r="S29" s="7"/>
    </row>
    <row r="30" spans="2:19" ht="13.5" thickBot="1" x14ac:dyDescent="0.3">
      <c r="B30" s="150"/>
      <c r="C30" s="61"/>
      <c r="D30" s="33"/>
      <c r="E30" s="37"/>
      <c r="F30" s="29"/>
      <c r="G30" s="29"/>
      <c r="H30" s="29"/>
      <c r="I30" s="100"/>
      <c r="J30" s="210"/>
      <c r="K30" s="243" t="s">
        <v>34</v>
      </c>
      <c r="L30" s="228"/>
      <c r="M30" s="82"/>
      <c r="N30" s="229"/>
      <c r="O30" s="208"/>
      <c r="P30" s="212"/>
      <c r="Q30" s="208"/>
      <c r="R30" s="7"/>
      <c r="S30" s="7"/>
    </row>
    <row r="31" spans="2:19" ht="13" x14ac:dyDescent="0.25">
      <c r="B31" s="150"/>
      <c r="C31" s="175" t="s">
        <v>49</v>
      </c>
      <c r="D31" s="101">
        <v>1</v>
      </c>
      <c r="E31" s="102">
        <v>2</v>
      </c>
      <c r="F31" s="102">
        <v>3</v>
      </c>
      <c r="G31" s="102">
        <v>4</v>
      </c>
      <c r="H31" s="103">
        <v>5</v>
      </c>
      <c r="I31" s="100"/>
      <c r="J31" s="210"/>
      <c r="K31" s="228"/>
      <c r="L31" s="228"/>
      <c r="M31" s="82"/>
      <c r="N31" s="229"/>
      <c r="O31" s="208"/>
      <c r="P31" s="208"/>
      <c r="Q31" s="208"/>
      <c r="R31" s="7"/>
      <c r="S31" s="7"/>
    </row>
    <row r="32" spans="2:19" ht="13" x14ac:dyDescent="0.3">
      <c r="B32" s="150"/>
      <c r="C32" s="176"/>
      <c r="D32" s="203">
        <v>99.10802842387487</v>
      </c>
      <c r="E32" s="203">
        <v>99.013899746862592</v>
      </c>
      <c r="F32" s="203">
        <v>99.268222632935263</v>
      </c>
      <c r="G32" s="203">
        <v>99.703030520897073</v>
      </c>
      <c r="H32" s="204">
        <v>99.294440849949297</v>
      </c>
      <c r="I32" s="100"/>
      <c r="J32" s="210"/>
      <c r="K32" s="238" t="s">
        <v>93</v>
      </c>
      <c r="L32" s="228"/>
      <c r="M32" s="82"/>
      <c r="N32" s="229"/>
      <c r="O32" s="208"/>
      <c r="P32" s="208"/>
      <c r="Q32" s="208"/>
      <c r="R32" s="7"/>
      <c r="S32" s="7"/>
    </row>
    <row r="33" spans="2:19" ht="13" x14ac:dyDescent="0.25">
      <c r="B33" s="150"/>
      <c r="C33" s="176"/>
      <c r="D33" s="203">
        <v>99.589430267227996</v>
      </c>
      <c r="E33" s="203">
        <v>99.554607586598266</v>
      </c>
      <c r="F33" s="203">
        <v>99.191242367247497</v>
      </c>
      <c r="G33" s="203">
        <v>99.586031382926649</v>
      </c>
      <c r="H33" s="204">
        <v>99.91</v>
      </c>
      <c r="I33" s="100"/>
      <c r="J33" s="210"/>
      <c r="K33" s="228" t="s">
        <v>24</v>
      </c>
      <c r="L33" s="228"/>
      <c r="M33" s="82"/>
      <c r="N33" s="229"/>
      <c r="O33" s="208"/>
      <c r="P33" s="208"/>
      <c r="Q33" s="208"/>
      <c r="R33" s="7"/>
      <c r="S33" s="7"/>
    </row>
    <row r="34" spans="2:19" ht="13.5" thickBot="1" x14ac:dyDescent="0.3">
      <c r="B34" s="150"/>
      <c r="C34" s="177"/>
      <c r="D34" s="106">
        <v>6</v>
      </c>
      <c r="E34" s="106">
        <v>7</v>
      </c>
      <c r="F34" s="107">
        <v>8</v>
      </c>
      <c r="G34" s="107">
        <v>9</v>
      </c>
      <c r="H34" s="108">
        <v>10</v>
      </c>
      <c r="I34" s="100"/>
      <c r="J34" s="210"/>
      <c r="K34" s="213"/>
      <c r="L34" s="209"/>
      <c r="M34" s="209"/>
      <c r="N34" s="211"/>
      <c r="O34" s="208"/>
      <c r="P34" s="208"/>
      <c r="Q34" s="208"/>
      <c r="R34" s="7"/>
      <c r="S34" s="7"/>
    </row>
    <row r="35" spans="2:19" ht="13.5" thickBot="1" x14ac:dyDescent="0.3">
      <c r="B35" s="150"/>
      <c r="C35" s="109"/>
      <c r="D35" s="110"/>
      <c r="E35" s="111"/>
      <c r="F35" s="112"/>
      <c r="G35" s="112"/>
      <c r="H35" s="112"/>
      <c r="I35" s="100"/>
      <c r="J35" s="14"/>
      <c r="K35" s="213"/>
      <c r="L35" s="209"/>
      <c r="M35" s="209"/>
      <c r="N35" s="211"/>
      <c r="O35" s="208"/>
      <c r="P35" s="7"/>
      <c r="Q35" s="7"/>
      <c r="R35" s="7"/>
      <c r="S35" s="7"/>
    </row>
    <row r="36" spans="2:19" ht="13.5" thickBot="1" x14ac:dyDescent="0.3">
      <c r="B36" s="150"/>
      <c r="C36" s="113" t="s">
        <v>50</v>
      </c>
      <c r="D36" s="114" t="str">
        <f>IF(E27&lt;=10,"conforme","non conforme")</f>
        <v>conforme</v>
      </c>
      <c r="E36" s="61"/>
      <c r="F36" s="29"/>
      <c r="G36" s="29"/>
      <c r="H36" s="29"/>
      <c r="I36" s="100"/>
      <c r="J36" s="14"/>
      <c r="K36" s="213"/>
      <c r="L36" s="209"/>
      <c r="M36" s="209"/>
      <c r="N36" s="211"/>
      <c r="O36" s="208"/>
      <c r="P36" s="7"/>
      <c r="Q36" s="7"/>
      <c r="R36" s="7"/>
      <c r="S36" s="7"/>
    </row>
    <row r="37" spans="2:19" ht="14.25" customHeight="1" thickBot="1" x14ac:dyDescent="0.35">
      <c r="B37" s="150"/>
      <c r="C37" s="115" t="s">
        <v>51</v>
      </c>
      <c r="D37" s="116">
        <f>(1/8000*((8000-F29)/(F28-F29)*(1-0.00045*(G23-20))))*1000</f>
        <v>1.0028589939034722</v>
      </c>
      <c r="E37" s="29"/>
      <c r="F37" s="178" t="s">
        <v>52</v>
      </c>
      <c r="G37" s="179"/>
      <c r="H37" s="179"/>
      <c r="I37" s="180"/>
      <c r="J37" s="14"/>
      <c r="K37" s="213"/>
      <c r="L37" s="209"/>
      <c r="M37" s="209"/>
      <c r="N37" s="214"/>
      <c r="O37" s="208"/>
      <c r="P37" s="7"/>
      <c r="Q37" s="7"/>
      <c r="R37" s="7"/>
      <c r="S37" s="7"/>
    </row>
    <row r="38" spans="2:19" ht="13" x14ac:dyDescent="0.3">
      <c r="B38" s="150"/>
      <c r="C38" s="62" t="s">
        <v>53</v>
      </c>
      <c r="D38" s="117">
        <f>AVERAGE(D32:H33)</f>
        <v>99.421893377851944</v>
      </c>
      <c r="E38" s="33"/>
      <c r="F38" s="118" t="s">
        <v>54</v>
      </c>
      <c r="G38" s="119" t="s">
        <v>55</v>
      </c>
      <c r="H38" s="119" t="s">
        <v>56</v>
      </c>
      <c r="I38" s="120" t="s">
        <v>57</v>
      </c>
      <c r="J38" s="14"/>
      <c r="K38" s="207"/>
      <c r="L38" s="215"/>
      <c r="M38" s="215"/>
      <c r="N38" s="216"/>
      <c r="O38" s="208"/>
      <c r="P38" s="7"/>
      <c r="Q38" s="7"/>
      <c r="R38" s="7"/>
      <c r="S38" s="7"/>
    </row>
    <row r="39" spans="2:19" ht="13" x14ac:dyDescent="0.3">
      <c r="B39" s="150"/>
      <c r="C39" s="62" t="s">
        <v>58</v>
      </c>
      <c r="D39" s="117">
        <f>D38*D37</f>
        <v>99.706139964890895</v>
      </c>
      <c r="E39" s="47"/>
      <c r="F39" s="121" t="s">
        <v>59</v>
      </c>
      <c r="G39" s="122">
        <f>D39-D17</f>
        <v>-0.29386003510910541</v>
      </c>
      <c r="H39" s="122">
        <f>D18</f>
        <v>0.8</v>
      </c>
      <c r="I39" s="123" t="str">
        <f>IF(ABS(G39)&lt;H39,"Conforme","NC")</f>
        <v>Conforme</v>
      </c>
      <c r="J39" s="14"/>
      <c r="K39" s="207"/>
      <c r="L39" s="215"/>
      <c r="M39" s="215"/>
      <c r="N39" s="217"/>
      <c r="O39" s="208"/>
      <c r="P39" s="7"/>
      <c r="Q39" s="7"/>
      <c r="R39" s="7"/>
      <c r="S39" s="7"/>
    </row>
    <row r="40" spans="2:19" ht="13.5" thickBot="1" x14ac:dyDescent="0.35">
      <c r="B40" s="150"/>
      <c r="C40" s="44" t="s">
        <v>60</v>
      </c>
      <c r="D40" s="99">
        <f>STDEV(D32:H33)*D37</f>
        <v>0.28910218912454955</v>
      </c>
      <c r="E40" s="29"/>
      <c r="F40" s="124" t="s">
        <v>61</v>
      </c>
      <c r="G40" s="125">
        <f>D40</f>
        <v>0.28910218912454955</v>
      </c>
      <c r="H40" s="125">
        <f>D19</f>
        <v>0.3</v>
      </c>
      <c r="I40" s="126" t="str">
        <f>IF(ABS(G40)&lt;H40,"Conforme","NC")</f>
        <v>Conforme</v>
      </c>
      <c r="J40" s="14"/>
      <c r="K40" s="218"/>
      <c r="L40" s="218"/>
      <c r="M40" s="218"/>
      <c r="N40" s="217"/>
      <c r="O40" s="208"/>
      <c r="P40" s="7"/>
      <c r="Q40" s="7"/>
      <c r="R40" s="7"/>
      <c r="S40" s="7"/>
    </row>
    <row r="41" spans="2:19" ht="13" thickBot="1" x14ac:dyDescent="0.3">
      <c r="B41" s="151"/>
      <c r="C41" s="127"/>
      <c r="D41" s="50"/>
      <c r="E41" s="128"/>
      <c r="F41" s="49"/>
      <c r="G41" s="49"/>
      <c r="H41" s="49"/>
      <c r="I41" s="129"/>
      <c r="J41" s="130"/>
      <c r="K41" s="218"/>
      <c r="L41" s="218"/>
      <c r="M41" s="218"/>
      <c r="N41" s="219"/>
      <c r="O41" s="208"/>
      <c r="P41" s="7"/>
      <c r="Q41" s="7"/>
      <c r="R41" s="7"/>
      <c r="S41" s="7"/>
    </row>
    <row r="42" spans="2:19" ht="13.5" thickBot="1" x14ac:dyDescent="0.35">
      <c r="B42" s="149" t="s">
        <v>62</v>
      </c>
      <c r="C42" s="52" t="s">
        <v>27</v>
      </c>
      <c r="D42" s="53" t="s">
        <v>28</v>
      </c>
      <c r="E42" s="54" t="s">
        <v>29</v>
      </c>
      <c r="F42" s="55"/>
      <c r="G42" s="55"/>
      <c r="H42" s="56"/>
      <c r="I42" s="57"/>
      <c r="J42" s="9"/>
      <c r="K42" s="218"/>
      <c r="L42" s="218"/>
      <c r="M42" s="218"/>
      <c r="N42" s="220"/>
      <c r="O42" s="208"/>
      <c r="P42" s="7"/>
      <c r="Q42" s="7"/>
      <c r="R42" s="7"/>
      <c r="S42" s="7"/>
    </row>
    <row r="43" spans="2:19" ht="13" thickBot="1" x14ac:dyDescent="0.3">
      <c r="B43" s="150"/>
      <c r="C43" s="58" t="s">
        <v>30</v>
      </c>
      <c r="D43" s="59"/>
      <c r="E43" s="60" t="s">
        <v>31</v>
      </c>
      <c r="F43" s="61"/>
      <c r="G43" s="29"/>
      <c r="H43" s="21"/>
      <c r="I43" s="38"/>
      <c r="J43" s="131"/>
      <c r="K43" s="221"/>
      <c r="L43" s="221"/>
      <c r="M43" s="221"/>
      <c r="N43" s="214"/>
      <c r="O43" s="208"/>
      <c r="P43" s="7"/>
      <c r="Q43" s="7"/>
      <c r="R43" s="7"/>
      <c r="S43" s="7"/>
    </row>
    <row r="44" spans="2:19" x14ac:dyDescent="0.25">
      <c r="B44" s="150"/>
      <c r="C44" s="62" t="s">
        <v>32</v>
      </c>
      <c r="D44" s="63"/>
      <c r="E44" s="64" t="s">
        <v>31</v>
      </c>
      <c r="F44" s="165" t="s">
        <v>33</v>
      </c>
      <c r="G44" s="166"/>
      <c r="H44" s="21"/>
      <c r="I44" s="38"/>
      <c r="J44" s="131"/>
      <c r="K44" s="221"/>
      <c r="L44" s="221"/>
      <c r="M44" s="221"/>
      <c r="N44" s="211"/>
      <c r="O44" s="208"/>
      <c r="P44" s="7"/>
      <c r="Q44" s="7"/>
      <c r="R44" s="7"/>
      <c r="S44" s="7"/>
    </row>
    <row r="45" spans="2:19" ht="13" thickBot="1" x14ac:dyDescent="0.3">
      <c r="B45" s="150"/>
      <c r="C45" s="65" t="s">
        <v>35</v>
      </c>
      <c r="D45" s="66"/>
      <c r="E45" s="67" t="s">
        <v>31</v>
      </c>
      <c r="F45" s="167"/>
      <c r="G45" s="168"/>
      <c r="H45" s="21"/>
      <c r="I45" s="68"/>
      <c r="J45" s="33"/>
      <c r="K45" s="221"/>
      <c r="L45" s="221"/>
      <c r="M45" s="221"/>
      <c r="N45" s="211"/>
      <c r="O45" s="208"/>
      <c r="P45" s="7"/>
      <c r="Q45" s="7"/>
      <c r="R45" s="7"/>
      <c r="S45" s="7"/>
    </row>
    <row r="46" spans="2:19" ht="13" thickBot="1" x14ac:dyDescent="0.3">
      <c r="B46" s="150"/>
      <c r="C46" s="69"/>
      <c r="D46" s="49"/>
      <c r="E46" s="49"/>
      <c r="F46" s="49"/>
      <c r="G46" s="49"/>
      <c r="H46" s="21"/>
      <c r="I46" s="68"/>
      <c r="J46" s="9"/>
      <c r="K46" s="221"/>
      <c r="L46" s="221"/>
      <c r="M46" s="221"/>
      <c r="N46" s="211"/>
      <c r="O46" s="208"/>
      <c r="P46" s="7"/>
      <c r="Q46" s="7"/>
      <c r="R46" s="7"/>
      <c r="S46" s="7"/>
    </row>
    <row r="47" spans="2:19" ht="13" x14ac:dyDescent="0.3">
      <c r="B47" s="150"/>
      <c r="C47" s="169" t="s">
        <v>36</v>
      </c>
      <c r="D47" s="171" t="s">
        <v>37</v>
      </c>
      <c r="E47" s="172"/>
      <c r="F47" s="173" t="s">
        <v>38</v>
      </c>
      <c r="G47" s="70" t="s">
        <v>38</v>
      </c>
      <c r="H47" s="21"/>
      <c r="I47" s="68"/>
      <c r="J47" s="9"/>
      <c r="K47" s="210"/>
      <c r="L47" s="210"/>
      <c r="M47" s="210"/>
      <c r="N47" s="211"/>
      <c r="O47" s="211"/>
    </row>
    <row r="48" spans="2:19" ht="13" x14ac:dyDescent="0.3">
      <c r="B48" s="150"/>
      <c r="C48" s="170"/>
      <c r="D48" s="71" t="s">
        <v>39</v>
      </c>
      <c r="E48" s="72" t="s">
        <v>40</v>
      </c>
      <c r="F48" s="174"/>
      <c r="G48" s="73" t="s">
        <v>41</v>
      </c>
      <c r="H48" s="21"/>
      <c r="I48" s="68"/>
      <c r="J48" s="9"/>
      <c r="K48" s="210"/>
      <c r="L48" s="210"/>
      <c r="M48" s="210"/>
      <c r="N48" s="211"/>
      <c r="O48" s="211"/>
    </row>
    <row r="49" spans="2:15" x14ac:dyDescent="0.25">
      <c r="B49" s="150"/>
      <c r="C49" s="74" t="s">
        <v>42</v>
      </c>
      <c r="D49" s="75"/>
      <c r="E49" s="75"/>
      <c r="F49" s="76">
        <f>(D49+E49)/2</f>
        <v>0</v>
      </c>
      <c r="G49" s="77">
        <f>F49+D11</f>
        <v>-0.1</v>
      </c>
      <c r="H49" s="21"/>
      <c r="I49" s="68"/>
      <c r="J49" s="9"/>
      <c r="K49" s="210"/>
      <c r="L49" s="210"/>
      <c r="M49" s="210"/>
      <c r="N49" s="211"/>
      <c r="O49" s="211"/>
    </row>
    <row r="50" spans="2:15" x14ac:dyDescent="0.25">
      <c r="B50" s="150"/>
      <c r="C50" s="74" t="s">
        <v>43</v>
      </c>
      <c r="D50" s="79"/>
      <c r="E50" s="79"/>
      <c r="F50" s="80">
        <f>(D50+E50)/2</f>
        <v>0</v>
      </c>
      <c r="G50" s="81">
        <f>F50+D12</f>
        <v>-1E-3</v>
      </c>
      <c r="H50" s="21"/>
      <c r="I50" s="68"/>
      <c r="J50" s="9"/>
      <c r="K50" s="210"/>
      <c r="L50" s="210"/>
      <c r="M50" s="210"/>
      <c r="N50" s="211"/>
      <c r="O50" s="211"/>
    </row>
    <row r="51" spans="2:15" x14ac:dyDescent="0.25">
      <c r="B51" s="150"/>
      <c r="C51" s="74" t="s">
        <v>44</v>
      </c>
      <c r="D51" s="83"/>
      <c r="E51" s="83"/>
      <c r="F51" s="84">
        <f>(D51+E51)/2</f>
        <v>0</v>
      </c>
      <c r="G51" s="85">
        <f>F51+D13</f>
        <v>0.3</v>
      </c>
      <c r="H51" s="86"/>
      <c r="I51" s="68"/>
      <c r="J51" s="9"/>
      <c r="K51" s="210"/>
      <c r="L51" s="210"/>
      <c r="M51" s="210"/>
      <c r="N51" s="211"/>
      <c r="O51" s="211"/>
    </row>
    <row r="52" spans="2:15" ht="13" thickBot="1" x14ac:dyDescent="0.3">
      <c r="B52" s="150"/>
      <c r="C52" s="74" t="s">
        <v>45</v>
      </c>
      <c r="D52" s="75"/>
      <c r="E52" s="75"/>
      <c r="F52" s="87">
        <f>(D52+E52)/2</f>
        <v>0</v>
      </c>
      <c r="G52" s="88">
        <f>F52+D14</f>
        <v>0.09</v>
      </c>
      <c r="H52" s="89"/>
      <c r="I52" s="90"/>
      <c r="J52" s="9"/>
      <c r="K52" s="210"/>
      <c r="L52" s="210"/>
      <c r="M52" s="210"/>
      <c r="N52" s="211"/>
      <c r="O52" s="211"/>
    </row>
    <row r="53" spans="2:15" ht="13" x14ac:dyDescent="0.25">
      <c r="B53" s="150"/>
      <c r="C53" s="74" t="s">
        <v>46</v>
      </c>
      <c r="D53" s="91">
        <v>0</v>
      </c>
      <c r="E53" s="92"/>
      <c r="F53" s="93"/>
      <c r="G53" s="94"/>
      <c r="H53" s="89"/>
      <c r="I53" s="90"/>
      <c r="J53" s="9"/>
      <c r="K53" s="222"/>
      <c r="L53" s="210"/>
      <c r="M53" s="210"/>
      <c r="N53" s="211"/>
      <c r="O53" s="211"/>
    </row>
    <row r="54" spans="2:15" ht="13" x14ac:dyDescent="0.25">
      <c r="B54" s="150"/>
      <c r="C54" s="74" t="s">
        <v>47</v>
      </c>
      <c r="D54" s="95">
        <f>999.85308+0.0632693*D49-0.008523829*D49^2+0.00006943248*D49^3-0.0000003821216*D49^4</f>
        <v>999.85307999999998</v>
      </c>
      <c r="E54" s="95">
        <f>999.85308+0.0632693*E49-0.008523829*E49^2+0.00006943248*E49^3-0.0000003821216*E49^4</f>
        <v>999.85307999999998</v>
      </c>
      <c r="F54" s="96">
        <f>999.85308+0.0632693*G49-0.008523829*G49^2+0.00006943248*G49^3-0.0000003821216*G49^4</f>
        <v>999.84666776223924</v>
      </c>
      <c r="G54" s="33"/>
      <c r="H54" s="89"/>
      <c r="I54" s="90"/>
      <c r="J54" s="9"/>
      <c r="K54" s="223"/>
      <c r="L54" s="223"/>
      <c r="M54" s="223"/>
      <c r="N54" s="211"/>
      <c r="O54" s="211"/>
    </row>
    <row r="55" spans="2:15" ht="13.5" thickBot="1" x14ac:dyDescent="0.3">
      <c r="B55" s="150"/>
      <c r="C55" s="97" t="s">
        <v>48</v>
      </c>
      <c r="D55" s="98">
        <f>((0.348444*D51)-(D50*(-0.00252*D49-0.020582)))/(D49+273.15)</f>
        <v>0</v>
      </c>
      <c r="E55" s="98">
        <f>((0.348444*E51)-(E50*(-0.00252*E49-0.020582)))/(E49+273.15)</f>
        <v>0</v>
      </c>
      <c r="F55" s="99">
        <f>((0.348444*G51)-(G50*(-0.00252*G49-0.020582)))/(G49+273.15)</f>
        <v>3.8276092290789236E-4</v>
      </c>
      <c r="G55" s="21"/>
      <c r="H55" s="29"/>
      <c r="I55" s="90"/>
      <c r="J55" s="133"/>
      <c r="K55" s="223"/>
      <c r="L55" s="223"/>
      <c r="M55" s="223"/>
      <c r="N55" s="211"/>
      <c r="O55" s="211"/>
    </row>
    <row r="56" spans="2:15" ht="13.5" thickBot="1" x14ac:dyDescent="0.3">
      <c r="B56" s="150"/>
      <c r="C56" s="61"/>
      <c r="D56" s="33"/>
      <c r="E56" s="37"/>
      <c r="F56" s="29"/>
      <c r="G56" s="29"/>
      <c r="H56" s="29"/>
      <c r="I56" s="100"/>
      <c r="J56" s="134"/>
      <c r="K56" s="223"/>
      <c r="L56" s="223"/>
      <c r="M56" s="223"/>
      <c r="N56" s="211"/>
      <c r="O56" s="211"/>
    </row>
    <row r="57" spans="2:15" ht="13" x14ac:dyDescent="0.25">
      <c r="B57" s="150"/>
      <c r="C57" s="175" t="s">
        <v>49</v>
      </c>
      <c r="D57" s="101">
        <v>1</v>
      </c>
      <c r="E57" s="102">
        <v>2</v>
      </c>
      <c r="F57" s="102">
        <v>3</v>
      </c>
      <c r="G57" s="102">
        <v>4</v>
      </c>
      <c r="H57" s="103">
        <v>5</v>
      </c>
      <c r="I57" s="100"/>
      <c r="J57" s="9"/>
      <c r="K57" s="223"/>
      <c r="L57" s="223"/>
      <c r="M57" s="223"/>
      <c r="N57" s="211"/>
      <c r="O57" s="211"/>
    </row>
    <row r="58" spans="2:15" ht="13" x14ac:dyDescent="0.25">
      <c r="B58" s="150"/>
      <c r="C58" s="176"/>
      <c r="D58" s="104"/>
      <c r="E58" s="104"/>
      <c r="F58" s="104"/>
      <c r="G58" s="104"/>
      <c r="H58" s="105"/>
      <c r="I58" s="100"/>
      <c r="J58" s="9"/>
      <c r="K58" s="223"/>
      <c r="L58" s="223"/>
      <c r="M58" s="223"/>
      <c r="N58" s="211"/>
      <c r="O58" s="211"/>
    </row>
    <row r="59" spans="2:15" ht="13" x14ac:dyDescent="0.25">
      <c r="B59" s="150"/>
      <c r="C59" s="176"/>
      <c r="D59" s="104"/>
      <c r="E59" s="104"/>
      <c r="F59" s="104"/>
      <c r="G59" s="104"/>
      <c r="H59" s="105"/>
      <c r="I59" s="100"/>
      <c r="J59" s="9"/>
      <c r="K59" s="223"/>
      <c r="L59" s="223"/>
      <c r="M59" s="223"/>
      <c r="N59" s="211"/>
      <c r="O59" s="211"/>
    </row>
    <row r="60" spans="2:15" ht="13.5" thickBot="1" x14ac:dyDescent="0.3">
      <c r="B60" s="150"/>
      <c r="C60" s="177"/>
      <c r="D60" s="106">
        <v>6</v>
      </c>
      <c r="E60" s="106">
        <v>7</v>
      </c>
      <c r="F60" s="107">
        <v>8</v>
      </c>
      <c r="G60" s="107">
        <v>9</v>
      </c>
      <c r="H60" s="108">
        <v>10</v>
      </c>
      <c r="I60" s="100"/>
      <c r="J60" s="9"/>
      <c r="K60" s="223"/>
      <c r="L60" s="223"/>
      <c r="M60" s="223"/>
      <c r="N60" s="211"/>
      <c r="O60" s="211"/>
    </row>
    <row r="61" spans="2:15" ht="13.5" thickBot="1" x14ac:dyDescent="0.3">
      <c r="B61" s="150"/>
      <c r="C61" s="109"/>
      <c r="D61" s="110"/>
      <c r="E61" s="111"/>
      <c r="F61" s="112"/>
      <c r="G61" s="112"/>
      <c r="H61" s="112"/>
      <c r="I61" s="100"/>
      <c r="J61" s="9"/>
      <c r="K61" s="223"/>
      <c r="L61" s="223"/>
      <c r="M61" s="223"/>
      <c r="N61" s="211"/>
      <c r="O61" s="211"/>
    </row>
    <row r="62" spans="2:15" ht="13.5" thickBot="1" x14ac:dyDescent="0.3">
      <c r="B62" s="150"/>
      <c r="C62" s="113" t="s">
        <v>50</v>
      </c>
      <c r="D62" s="114" t="str">
        <f>IF(E53&lt;=10,"conforme","non conforme")</f>
        <v>conforme</v>
      </c>
      <c r="E62" s="61"/>
      <c r="F62" s="29"/>
      <c r="G62" s="29"/>
      <c r="H62" s="29"/>
      <c r="I62" s="100"/>
      <c r="J62" s="9"/>
      <c r="K62" s="223"/>
      <c r="L62" s="223"/>
      <c r="M62" s="223"/>
      <c r="N62" s="211"/>
      <c r="O62" s="211"/>
    </row>
    <row r="63" spans="2:15" ht="14.5" thickBot="1" x14ac:dyDescent="0.35">
      <c r="B63" s="150"/>
      <c r="C63" s="115" t="s">
        <v>51</v>
      </c>
      <c r="D63" s="116">
        <f>(1/8000*((8000-F55)/(F54-F55)*(1-0.00045*(G49-20))))*1000</f>
        <v>1.0092000809112345</v>
      </c>
      <c r="E63" s="29"/>
      <c r="F63" s="178" t="s">
        <v>52</v>
      </c>
      <c r="G63" s="179"/>
      <c r="H63" s="179"/>
      <c r="I63" s="180"/>
      <c r="J63" s="9"/>
      <c r="K63" s="223"/>
      <c r="L63" s="223"/>
      <c r="M63" s="223"/>
      <c r="N63" s="211"/>
      <c r="O63" s="211"/>
    </row>
    <row r="64" spans="2:15" ht="13" x14ac:dyDescent="0.3">
      <c r="B64" s="150"/>
      <c r="C64" s="62" t="s">
        <v>53</v>
      </c>
      <c r="D64" s="117" t="e">
        <f>AVERAGE(D58:H59)</f>
        <v>#DIV/0!</v>
      </c>
      <c r="E64" s="33"/>
      <c r="F64" s="118" t="s">
        <v>54</v>
      </c>
      <c r="G64" s="119" t="s">
        <v>55</v>
      </c>
      <c r="H64" s="119" t="s">
        <v>56</v>
      </c>
      <c r="I64" s="120" t="s">
        <v>57</v>
      </c>
      <c r="J64" s="9"/>
      <c r="K64" s="224"/>
      <c r="L64" s="223"/>
      <c r="M64" s="223"/>
      <c r="N64" s="211"/>
      <c r="O64" s="211"/>
    </row>
    <row r="65" spans="2:15" ht="13" x14ac:dyDescent="0.3">
      <c r="B65" s="150"/>
      <c r="C65" s="62" t="s">
        <v>58</v>
      </c>
      <c r="D65" s="117" t="e">
        <f>D64*D63</f>
        <v>#DIV/0!</v>
      </c>
      <c r="E65" s="47"/>
      <c r="F65" s="121" t="s">
        <v>59</v>
      </c>
      <c r="G65" s="122" t="e">
        <f>D65-D43</f>
        <v>#DIV/0!</v>
      </c>
      <c r="H65" s="122">
        <f>H39</f>
        <v>0.8</v>
      </c>
      <c r="I65" s="123" t="e">
        <f>IF(ABS(G65)&lt;H65,"Conforme","NC")</f>
        <v>#DIV/0!</v>
      </c>
      <c r="J65" s="9"/>
      <c r="K65" s="224"/>
      <c r="L65" s="223"/>
      <c r="M65" s="223"/>
      <c r="N65" s="211"/>
      <c r="O65" s="211"/>
    </row>
    <row r="66" spans="2:15" ht="13.5" thickBot="1" x14ac:dyDescent="0.35">
      <c r="B66" s="150"/>
      <c r="C66" s="44" t="s">
        <v>60</v>
      </c>
      <c r="D66" s="99" t="e">
        <f>STDEV(D58:H59)*D63</f>
        <v>#DIV/0!</v>
      </c>
      <c r="E66" s="29"/>
      <c r="F66" s="124" t="s">
        <v>61</v>
      </c>
      <c r="G66" s="125" t="e">
        <f>D66</f>
        <v>#DIV/0!</v>
      </c>
      <c r="H66" s="125">
        <f>H40</f>
        <v>0.3</v>
      </c>
      <c r="I66" s="126" t="e">
        <f>IF(ABS(G66)&lt;H66,"Conforme","NC")</f>
        <v>#DIV/0!</v>
      </c>
      <c r="J66" s="9"/>
      <c r="K66" s="224"/>
      <c r="L66" s="223"/>
      <c r="M66" s="223"/>
      <c r="N66" s="211"/>
      <c r="O66" s="211"/>
    </row>
    <row r="67" spans="2:15" ht="13.5" thickBot="1" x14ac:dyDescent="0.3">
      <c r="B67" s="151"/>
      <c r="C67" s="127"/>
      <c r="D67" s="50"/>
      <c r="E67" s="128"/>
      <c r="F67" s="49"/>
      <c r="G67" s="49"/>
      <c r="H67" s="49"/>
      <c r="I67" s="129"/>
      <c r="J67" s="9"/>
      <c r="K67" s="224"/>
      <c r="L67" s="223"/>
      <c r="M67" s="223"/>
      <c r="N67" s="211"/>
      <c r="O67" s="211"/>
    </row>
    <row r="68" spans="2:15" ht="13.5" customHeight="1" thickBot="1" x14ac:dyDescent="0.35">
      <c r="B68" s="149" t="s">
        <v>63</v>
      </c>
      <c r="C68" s="52" t="s">
        <v>27</v>
      </c>
      <c r="D68" s="53" t="s">
        <v>28</v>
      </c>
      <c r="E68" s="54" t="s">
        <v>29</v>
      </c>
      <c r="F68" s="55"/>
      <c r="G68" s="55"/>
      <c r="H68" s="56"/>
      <c r="I68" s="57"/>
      <c r="J68" s="9"/>
      <c r="K68" s="210"/>
      <c r="L68" s="225"/>
      <c r="M68" s="225"/>
      <c r="N68" s="211"/>
      <c r="O68" s="211"/>
    </row>
    <row r="69" spans="2:15" ht="13" thickBot="1" x14ac:dyDescent="0.3">
      <c r="B69" s="150"/>
      <c r="C69" s="58" t="s">
        <v>30</v>
      </c>
      <c r="D69" s="59"/>
      <c r="E69" s="60" t="s">
        <v>31</v>
      </c>
      <c r="F69" s="61"/>
      <c r="G69" s="29"/>
      <c r="H69" s="21"/>
      <c r="I69" s="38"/>
      <c r="J69" s="9"/>
      <c r="K69" s="210"/>
      <c r="L69" s="225"/>
      <c r="M69" s="225"/>
      <c r="N69" s="211"/>
      <c r="O69" s="211"/>
    </row>
    <row r="70" spans="2:15" x14ac:dyDescent="0.25">
      <c r="B70" s="150"/>
      <c r="C70" s="62" t="s">
        <v>32</v>
      </c>
      <c r="D70" s="63"/>
      <c r="E70" s="64" t="s">
        <v>31</v>
      </c>
      <c r="F70" s="165" t="s">
        <v>33</v>
      </c>
      <c r="G70" s="166"/>
      <c r="H70" s="21"/>
      <c r="I70" s="38"/>
      <c r="J70" s="9"/>
      <c r="K70" s="210"/>
      <c r="L70" s="210"/>
      <c r="M70" s="210"/>
      <c r="N70" s="211"/>
      <c r="O70" s="211"/>
    </row>
    <row r="71" spans="2:15" ht="13" thickBot="1" x14ac:dyDescent="0.3">
      <c r="B71" s="150"/>
      <c r="C71" s="65" t="s">
        <v>35</v>
      </c>
      <c r="D71" s="66"/>
      <c r="E71" s="67" t="s">
        <v>31</v>
      </c>
      <c r="F71" s="167"/>
      <c r="G71" s="168"/>
      <c r="H71" s="21"/>
      <c r="I71" s="68"/>
      <c r="J71" s="9"/>
      <c r="K71" s="210"/>
      <c r="L71" s="210"/>
      <c r="M71" s="210"/>
      <c r="N71" s="211"/>
      <c r="O71" s="211"/>
    </row>
    <row r="72" spans="2:15" ht="13" thickBot="1" x14ac:dyDescent="0.3">
      <c r="B72" s="150"/>
      <c r="C72" s="69"/>
      <c r="D72" s="49"/>
      <c r="E72" s="49"/>
      <c r="F72" s="49"/>
      <c r="G72" s="49"/>
      <c r="H72" s="21"/>
      <c r="I72" s="68"/>
      <c r="J72" s="9"/>
      <c r="K72" s="210"/>
      <c r="L72" s="210"/>
      <c r="M72" s="210"/>
      <c r="N72" s="211"/>
      <c r="O72" s="211"/>
    </row>
    <row r="73" spans="2:15" ht="13" x14ac:dyDescent="0.3">
      <c r="B73" s="150"/>
      <c r="C73" s="169" t="s">
        <v>36</v>
      </c>
      <c r="D73" s="171" t="s">
        <v>37</v>
      </c>
      <c r="E73" s="172"/>
      <c r="F73" s="173" t="s">
        <v>38</v>
      </c>
      <c r="G73" s="70" t="s">
        <v>38</v>
      </c>
      <c r="H73" s="21"/>
      <c r="I73" s="68"/>
      <c r="J73" s="9"/>
      <c r="K73" s="210"/>
      <c r="L73" s="210"/>
      <c r="M73" s="210"/>
      <c r="N73" s="211"/>
      <c r="O73" s="211"/>
    </row>
    <row r="74" spans="2:15" ht="13" x14ac:dyDescent="0.3">
      <c r="B74" s="150"/>
      <c r="C74" s="170"/>
      <c r="D74" s="71" t="s">
        <v>39</v>
      </c>
      <c r="E74" s="72" t="s">
        <v>40</v>
      </c>
      <c r="F74" s="174"/>
      <c r="G74" s="73" t="s">
        <v>41</v>
      </c>
      <c r="H74" s="21"/>
      <c r="I74" s="68"/>
      <c r="J74" s="9"/>
      <c r="K74" s="210"/>
      <c r="L74" s="210"/>
      <c r="M74" s="210"/>
      <c r="N74" s="211"/>
      <c r="O74" s="211"/>
    </row>
    <row r="75" spans="2:15" x14ac:dyDescent="0.25">
      <c r="B75" s="150"/>
      <c r="C75" s="113" t="s">
        <v>42</v>
      </c>
      <c r="D75" s="75"/>
      <c r="E75" s="75"/>
      <c r="F75" s="76">
        <f>(D75+E75)/2</f>
        <v>0</v>
      </c>
      <c r="G75" s="77">
        <f>F75+D11</f>
        <v>-0.1</v>
      </c>
      <c r="H75" s="21"/>
      <c r="I75" s="68"/>
      <c r="J75" s="9"/>
      <c r="K75" s="210"/>
      <c r="L75" s="210"/>
      <c r="M75" s="210"/>
      <c r="N75" s="211"/>
      <c r="O75" s="211"/>
    </row>
    <row r="76" spans="2:15" x14ac:dyDescent="0.25">
      <c r="B76" s="150"/>
      <c r="C76" s="74" t="s">
        <v>43</v>
      </c>
      <c r="D76" s="79"/>
      <c r="E76" s="79"/>
      <c r="F76" s="80">
        <f>(D76+E76)/2</f>
        <v>0</v>
      </c>
      <c r="G76" s="81">
        <f>F76+D12</f>
        <v>-1E-3</v>
      </c>
      <c r="H76" s="21"/>
      <c r="I76" s="68"/>
      <c r="J76" s="9"/>
      <c r="K76" s="210"/>
      <c r="L76" s="210"/>
      <c r="M76" s="210"/>
      <c r="N76" s="211"/>
      <c r="O76" s="211"/>
    </row>
    <row r="77" spans="2:15" x14ac:dyDescent="0.25">
      <c r="B77" s="150"/>
      <c r="C77" s="74" t="s">
        <v>44</v>
      </c>
      <c r="D77" s="83"/>
      <c r="E77" s="83"/>
      <c r="F77" s="84">
        <f>(D77+E77)/2</f>
        <v>0</v>
      </c>
      <c r="G77" s="85">
        <f>F77+D13</f>
        <v>0.3</v>
      </c>
      <c r="H77" s="86"/>
      <c r="I77" s="68"/>
      <c r="J77" s="9"/>
      <c r="K77" s="210"/>
      <c r="L77" s="210"/>
      <c r="M77" s="210"/>
      <c r="N77" s="211"/>
      <c r="O77" s="211"/>
    </row>
    <row r="78" spans="2:15" ht="13" thickBot="1" x14ac:dyDescent="0.3">
      <c r="B78" s="150"/>
      <c r="C78" s="74" t="s">
        <v>45</v>
      </c>
      <c r="D78" s="75"/>
      <c r="E78" s="75"/>
      <c r="F78" s="87">
        <f>(D78+E78)/2</f>
        <v>0</v>
      </c>
      <c r="G78" s="88">
        <f>F78+D14</f>
        <v>0.09</v>
      </c>
      <c r="H78" s="89"/>
      <c r="I78" s="90"/>
      <c r="J78" s="9"/>
      <c r="K78" s="210"/>
      <c r="L78" s="210"/>
      <c r="M78" s="210"/>
      <c r="N78" s="211"/>
      <c r="O78" s="211"/>
    </row>
    <row r="79" spans="2:15" ht="13" x14ac:dyDescent="0.25">
      <c r="B79" s="150"/>
      <c r="C79" s="74" t="s">
        <v>46</v>
      </c>
      <c r="D79" s="91">
        <v>0</v>
      </c>
      <c r="E79" s="92"/>
      <c r="F79" s="93"/>
      <c r="G79" s="94"/>
      <c r="H79" s="89"/>
      <c r="I79" s="90"/>
      <c r="J79" s="9"/>
      <c r="K79" s="222"/>
      <c r="L79" s="210"/>
      <c r="M79" s="210"/>
      <c r="N79" s="211"/>
      <c r="O79" s="211"/>
    </row>
    <row r="80" spans="2:15" ht="13" x14ac:dyDescent="0.25">
      <c r="B80" s="150"/>
      <c r="C80" s="74" t="s">
        <v>47</v>
      </c>
      <c r="D80" s="95">
        <f>999.85308+0.0632693*D75-0.008523829*D75^2+0.00006943248*D75^3-0.0000003821216*D75^4</f>
        <v>999.85307999999998</v>
      </c>
      <c r="E80" s="95">
        <f>999.85308+0.0632693*E75-0.008523829*E75^2+0.00006943248*E75^3-0.0000003821216*E75^4</f>
        <v>999.85307999999998</v>
      </c>
      <c r="F80" s="96">
        <f>999.85308+0.0632693*G75-0.008523829*G75^2+0.00006943248*G75^3-0.0000003821216*G75^4</f>
        <v>999.84666776223924</v>
      </c>
      <c r="G80" s="33"/>
      <c r="H80" s="89"/>
      <c r="I80" s="90"/>
      <c r="J80" s="9"/>
      <c r="K80" s="223"/>
      <c r="L80" s="223"/>
      <c r="M80" s="223"/>
      <c r="N80" s="211"/>
      <c r="O80" s="211"/>
    </row>
    <row r="81" spans="2:15" ht="13.5" thickBot="1" x14ac:dyDescent="0.3">
      <c r="B81" s="150"/>
      <c r="C81" s="97" t="s">
        <v>48</v>
      </c>
      <c r="D81" s="98">
        <f>((0.348444*D77)-(D76*(-0.00252*D75-0.020582)))/(D75+273.15)</f>
        <v>0</v>
      </c>
      <c r="E81" s="98">
        <f>((0.348444*E77)-(E76*(-0.00252*E75-0.020582)))/(E75+273.15)</f>
        <v>0</v>
      </c>
      <c r="F81" s="99">
        <f>((0.348444*G77)-(G76*(-0.00252*G75-0.020582)))/(G75+273.15)</f>
        <v>3.8276092290789236E-4</v>
      </c>
      <c r="G81" s="21"/>
      <c r="H81" s="29"/>
      <c r="I81" s="90"/>
      <c r="J81" s="9"/>
      <c r="K81" s="223"/>
      <c r="L81" s="223"/>
      <c r="M81" s="223"/>
      <c r="N81" s="211"/>
      <c r="O81" s="211"/>
    </row>
    <row r="82" spans="2:15" ht="13.5" thickBot="1" x14ac:dyDescent="0.3">
      <c r="B82" s="150"/>
      <c r="C82" s="61"/>
      <c r="D82" s="33"/>
      <c r="E82" s="37"/>
      <c r="F82" s="29"/>
      <c r="G82" s="29"/>
      <c r="H82" s="29"/>
      <c r="I82" s="100"/>
      <c r="J82" s="9"/>
      <c r="K82" s="223"/>
      <c r="L82" s="223"/>
      <c r="M82" s="223"/>
      <c r="N82" s="211"/>
      <c r="O82" s="211"/>
    </row>
    <row r="83" spans="2:15" ht="13" x14ac:dyDescent="0.25">
      <c r="B83" s="150"/>
      <c r="C83" s="175" t="s">
        <v>49</v>
      </c>
      <c r="D83" s="101">
        <v>1</v>
      </c>
      <c r="E83" s="102">
        <v>2</v>
      </c>
      <c r="F83" s="102">
        <v>3</v>
      </c>
      <c r="G83" s="102">
        <v>4</v>
      </c>
      <c r="H83" s="103">
        <v>5</v>
      </c>
      <c r="I83" s="100"/>
      <c r="J83" s="9"/>
      <c r="K83" s="223"/>
      <c r="L83" s="223"/>
      <c r="M83" s="223"/>
      <c r="N83" s="211"/>
      <c r="O83" s="211"/>
    </row>
    <row r="84" spans="2:15" ht="13" x14ac:dyDescent="0.25">
      <c r="B84" s="150"/>
      <c r="C84" s="176"/>
      <c r="D84" s="104"/>
      <c r="E84" s="104"/>
      <c r="F84" s="104"/>
      <c r="G84" s="104"/>
      <c r="H84" s="105"/>
      <c r="I84" s="100"/>
      <c r="J84" s="9"/>
      <c r="K84" s="223"/>
      <c r="L84" s="223"/>
      <c r="M84" s="223"/>
      <c r="N84" s="211"/>
      <c r="O84" s="211"/>
    </row>
    <row r="85" spans="2:15" ht="13" x14ac:dyDescent="0.25">
      <c r="B85" s="150"/>
      <c r="C85" s="176"/>
      <c r="D85" s="104"/>
      <c r="E85" s="104"/>
      <c r="F85" s="104"/>
      <c r="G85" s="104"/>
      <c r="H85" s="105"/>
      <c r="I85" s="100"/>
      <c r="J85" s="9"/>
      <c r="K85" s="223"/>
      <c r="L85" s="223"/>
      <c r="M85" s="223"/>
      <c r="N85" s="211"/>
      <c r="O85" s="211"/>
    </row>
    <row r="86" spans="2:15" ht="13.5" thickBot="1" x14ac:dyDescent="0.3">
      <c r="B86" s="150"/>
      <c r="C86" s="177"/>
      <c r="D86" s="106">
        <v>6</v>
      </c>
      <c r="E86" s="106">
        <v>7</v>
      </c>
      <c r="F86" s="107">
        <v>8</v>
      </c>
      <c r="G86" s="107">
        <v>9</v>
      </c>
      <c r="H86" s="108">
        <v>10</v>
      </c>
      <c r="I86" s="100"/>
      <c r="J86" s="9"/>
      <c r="K86" s="223"/>
      <c r="L86" s="223"/>
      <c r="M86" s="223"/>
      <c r="N86" s="211"/>
      <c r="O86" s="211"/>
    </row>
    <row r="87" spans="2:15" ht="13.5" thickBot="1" x14ac:dyDescent="0.3">
      <c r="B87" s="150"/>
      <c r="C87" s="109"/>
      <c r="D87" s="110"/>
      <c r="E87" s="111"/>
      <c r="F87" s="112"/>
      <c r="G87" s="112"/>
      <c r="H87" s="112"/>
      <c r="I87" s="100"/>
      <c r="J87" s="9"/>
      <c r="K87" s="223"/>
      <c r="L87" s="223"/>
      <c r="M87" s="223"/>
      <c r="N87" s="211"/>
      <c r="O87" s="211"/>
    </row>
    <row r="88" spans="2:15" ht="13.5" thickBot="1" x14ac:dyDescent="0.3">
      <c r="B88" s="150"/>
      <c r="C88" s="113" t="s">
        <v>50</v>
      </c>
      <c r="D88" s="114" t="str">
        <f>IF(E79&lt;=10,"conforme","non conforme")</f>
        <v>conforme</v>
      </c>
      <c r="E88" s="61"/>
      <c r="F88" s="29"/>
      <c r="G88" s="29"/>
      <c r="H88" s="29"/>
      <c r="I88" s="100"/>
      <c r="J88" s="9"/>
      <c r="K88" s="223"/>
      <c r="L88" s="223"/>
      <c r="M88" s="223"/>
      <c r="N88" s="211"/>
      <c r="O88" s="211"/>
    </row>
    <row r="89" spans="2:15" ht="14.5" thickBot="1" x14ac:dyDescent="0.35">
      <c r="B89" s="150"/>
      <c r="C89" s="115" t="s">
        <v>51</v>
      </c>
      <c r="D89" s="116">
        <f>(1/8000*((8000-F81)/(F80-F81)*(1-0.00045*(G75-20))))*1000</f>
        <v>1.0092000809112345</v>
      </c>
      <c r="E89" s="29"/>
      <c r="F89" s="178" t="s">
        <v>52</v>
      </c>
      <c r="G89" s="179"/>
      <c r="H89" s="179"/>
      <c r="I89" s="180"/>
      <c r="J89" s="9"/>
      <c r="K89" s="223"/>
      <c r="L89" s="223"/>
      <c r="M89" s="223"/>
      <c r="N89" s="211"/>
      <c r="O89" s="211"/>
    </row>
    <row r="90" spans="2:15" ht="13" x14ac:dyDescent="0.3">
      <c r="B90" s="150"/>
      <c r="C90" s="62" t="s">
        <v>53</v>
      </c>
      <c r="D90" s="117" t="e">
        <f>AVERAGE(D84:H85)</f>
        <v>#DIV/0!</v>
      </c>
      <c r="E90" s="33"/>
      <c r="F90" s="118" t="s">
        <v>54</v>
      </c>
      <c r="G90" s="119" t="s">
        <v>55</v>
      </c>
      <c r="H90" s="119" t="s">
        <v>56</v>
      </c>
      <c r="I90" s="120" t="s">
        <v>57</v>
      </c>
      <c r="J90" s="9"/>
      <c r="K90" s="224"/>
      <c r="L90" s="223"/>
      <c r="M90" s="223"/>
      <c r="N90" s="211"/>
      <c r="O90" s="211"/>
    </row>
    <row r="91" spans="2:15" ht="13" x14ac:dyDescent="0.3">
      <c r="B91" s="150"/>
      <c r="C91" s="62" t="s">
        <v>58</v>
      </c>
      <c r="D91" s="117" t="e">
        <f>D90*D89</f>
        <v>#DIV/0!</v>
      </c>
      <c r="E91" s="47"/>
      <c r="F91" s="121" t="s">
        <v>59</v>
      </c>
      <c r="G91" s="122" t="e">
        <f>D91-D69</f>
        <v>#DIV/0!</v>
      </c>
      <c r="H91" s="122">
        <f>H65</f>
        <v>0.8</v>
      </c>
      <c r="I91" s="123" t="e">
        <f>IF(ABS(G91)&lt;H91,"Conforme","NC")</f>
        <v>#DIV/0!</v>
      </c>
      <c r="J91" s="9"/>
      <c r="K91" s="224"/>
      <c r="L91" s="223"/>
      <c r="M91" s="223"/>
      <c r="N91" s="211"/>
      <c r="O91" s="211"/>
    </row>
    <row r="92" spans="2:15" ht="13.5" thickBot="1" x14ac:dyDescent="0.35">
      <c r="B92" s="150"/>
      <c r="C92" s="44" t="s">
        <v>60</v>
      </c>
      <c r="D92" s="99" t="e">
        <f>STDEV(D84:H85)*D89</f>
        <v>#DIV/0!</v>
      </c>
      <c r="E92" s="29"/>
      <c r="F92" s="124" t="s">
        <v>61</v>
      </c>
      <c r="G92" s="125" t="e">
        <f>D92</f>
        <v>#DIV/0!</v>
      </c>
      <c r="H92" s="125">
        <f>H66</f>
        <v>0.3</v>
      </c>
      <c r="I92" s="126" t="e">
        <f>IF(ABS(G92)&lt;H92,"Conforme","NC")</f>
        <v>#DIV/0!</v>
      </c>
      <c r="J92" s="9"/>
      <c r="K92" s="224"/>
      <c r="L92" s="223"/>
      <c r="M92" s="223"/>
      <c r="N92" s="211"/>
      <c r="O92" s="211"/>
    </row>
    <row r="93" spans="2:15" ht="13.5" thickBot="1" x14ac:dyDescent="0.3">
      <c r="B93" s="151"/>
      <c r="C93" s="61"/>
      <c r="D93" s="37"/>
      <c r="E93" s="29"/>
      <c r="F93" s="21"/>
      <c r="G93" s="21"/>
      <c r="H93" s="21"/>
      <c r="I93" s="90"/>
      <c r="J93" s="9"/>
      <c r="K93" s="224"/>
      <c r="L93" s="223"/>
      <c r="M93" s="223"/>
      <c r="N93" s="211"/>
      <c r="O93" s="211"/>
    </row>
    <row r="94" spans="2:15" ht="12.75" customHeight="1" x14ac:dyDescent="0.3">
      <c r="B94" s="149" t="s">
        <v>64</v>
      </c>
      <c r="C94" s="135"/>
      <c r="D94" s="136" t="s">
        <v>65</v>
      </c>
      <c r="E94" s="136">
        <f>D17</f>
        <v>100</v>
      </c>
      <c r="F94" s="136">
        <f>D43</f>
        <v>0</v>
      </c>
      <c r="G94" s="136">
        <f>D69</f>
        <v>0</v>
      </c>
      <c r="H94" s="137" t="s">
        <v>66</v>
      </c>
      <c r="I94" s="138"/>
      <c r="J94" s="9"/>
      <c r="K94" s="210"/>
      <c r="L94" s="225"/>
      <c r="M94" s="225"/>
      <c r="N94" s="211"/>
      <c r="O94" s="211"/>
    </row>
    <row r="95" spans="2:15" ht="13" x14ac:dyDescent="0.3">
      <c r="B95" s="150"/>
      <c r="C95" s="139" t="s">
        <v>67</v>
      </c>
      <c r="D95" s="140" t="s">
        <v>68</v>
      </c>
      <c r="E95" s="141"/>
      <c r="F95" s="141"/>
      <c r="G95" s="141"/>
      <c r="H95" s="17"/>
      <c r="I95" s="142"/>
      <c r="J95" s="9"/>
      <c r="K95" s="210"/>
      <c r="L95" s="225"/>
      <c r="M95" s="225"/>
      <c r="N95" s="211"/>
      <c r="O95" s="211"/>
    </row>
    <row r="96" spans="2:15" ht="13.5" thickBot="1" x14ac:dyDescent="0.35">
      <c r="B96" s="150"/>
      <c r="C96" s="143"/>
      <c r="D96" s="144" t="s">
        <v>69</v>
      </c>
      <c r="E96" s="145"/>
      <c r="F96" s="145"/>
      <c r="G96" s="145"/>
      <c r="H96" s="146"/>
      <c r="I96" s="147"/>
      <c r="J96" s="9"/>
      <c r="K96" s="221"/>
      <c r="L96" s="210"/>
      <c r="M96" s="210"/>
      <c r="N96" s="211"/>
      <c r="O96" s="211"/>
    </row>
    <row r="97" spans="2:15" ht="13.5" thickBot="1" x14ac:dyDescent="0.35">
      <c r="B97" s="150"/>
      <c r="C97" s="152" t="s">
        <v>70</v>
      </c>
      <c r="D97" s="153"/>
      <c r="E97" s="154"/>
      <c r="F97" s="153"/>
      <c r="G97" s="153"/>
      <c r="H97" s="153"/>
      <c r="I97" s="155"/>
      <c r="J97" s="9"/>
      <c r="K97" s="210"/>
      <c r="L97" s="210"/>
      <c r="M97" s="210"/>
      <c r="N97" s="211"/>
      <c r="O97" s="211"/>
    </row>
    <row r="98" spans="2:15" x14ac:dyDescent="0.25">
      <c r="B98" s="150"/>
      <c r="C98" s="156"/>
      <c r="D98" s="157"/>
      <c r="E98" s="157"/>
      <c r="F98" s="157"/>
      <c r="G98" s="157"/>
      <c r="H98" s="157"/>
      <c r="I98" s="158"/>
      <c r="J98" s="9"/>
      <c r="K98" s="132"/>
      <c r="L98" s="132"/>
      <c r="M98" s="132"/>
    </row>
    <row r="99" spans="2:15" x14ac:dyDescent="0.25">
      <c r="B99" s="150"/>
      <c r="C99" s="159"/>
      <c r="D99" s="160"/>
      <c r="E99" s="160"/>
      <c r="F99" s="160"/>
      <c r="G99" s="160"/>
      <c r="H99" s="160"/>
      <c r="I99" s="161"/>
      <c r="J99" s="9"/>
      <c r="K99" s="25"/>
      <c r="L99" s="25"/>
      <c r="M99" s="25"/>
    </row>
    <row r="100" spans="2:15" x14ac:dyDescent="0.25">
      <c r="B100" s="150"/>
      <c r="C100" s="159"/>
      <c r="D100" s="160"/>
      <c r="E100" s="160"/>
      <c r="F100" s="160"/>
      <c r="G100" s="160"/>
      <c r="H100" s="160"/>
      <c r="I100" s="161"/>
      <c r="J100" s="9"/>
      <c r="K100" s="9"/>
      <c r="L100" s="9"/>
      <c r="M100" s="9"/>
    </row>
    <row r="101" spans="2:15" x14ac:dyDescent="0.25">
      <c r="B101" s="150"/>
      <c r="C101" s="159"/>
      <c r="D101" s="160"/>
      <c r="E101" s="160"/>
      <c r="F101" s="160"/>
      <c r="G101" s="160"/>
      <c r="H101" s="160"/>
      <c r="I101" s="161"/>
      <c r="J101" s="9"/>
      <c r="K101" s="9"/>
      <c r="L101" s="9"/>
      <c r="M101" s="9"/>
    </row>
    <row r="102" spans="2:15" x14ac:dyDescent="0.25">
      <c r="B102" s="150"/>
      <c r="C102" s="159"/>
      <c r="D102" s="160"/>
      <c r="E102" s="160"/>
      <c r="F102" s="160"/>
      <c r="G102" s="160"/>
      <c r="H102" s="160"/>
      <c r="I102" s="161"/>
      <c r="J102" s="9"/>
      <c r="K102" s="9"/>
      <c r="L102" s="9"/>
      <c r="M102" s="9"/>
    </row>
    <row r="103" spans="2:15" ht="13" thickBot="1" x14ac:dyDescent="0.3">
      <c r="B103" s="151"/>
      <c r="C103" s="162"/>
      <c r="D103" s="163"/>
      <c r="E103" s="163"/>
      <c r="F103" s="163"/>
      <c r="G103" s="163"/>
      <c r="H103" s="163"/>
      <c r="I103" s="164"/>
      <c r="J103" s="9"/>
      <c r="K103" s="9"/>
      <c r="L103" s="9"/>
      <c r="M103" s="9"/>
    </row>
    <row r="104" spans="2:15" x14ac:dyDescent="0.25">
      <c r="B104" s="148" t="s">
        <v>72</v>
      </c>
      <c r="I104" s="194" t="s">
        <v>79</v>
      </c>
    </row>
    <row r="105" spans="2:15" x14ac:dyDescent="0.25">
      <c r="B105" t="s">
        <v>73</v>
      </c>
      <c r="I105" s="193">
        <v>42795</v>
      </c>
    </row>
  </sheetData>
  <sheetProtection algorithmName="SHA-512" hashValue="oydlmO6O91Kx1+UBYxjdFpUYIIH0ZUCNoVa8DyzT/hILEXvVf10Jd9r1zPticqHBuUFRIz6sKVlD2e+p0sw6bA==" saltValue="O6R4WDy6F2OdbOaFNxxcfA==" spinCount="100000" sheet="1" objects="1" scenarios="1"/>
  <protectedRanges>
    <protectedRange sqref="G4:G8 D11:E14 D17:D19 D23:E26 E27 D32:H33 D43:D45 D49:E52 E53 D58:H59 D69:D71 D75:E78 E79 D84:H85 E95:I96 C98 D3:D8" name="Plage1"/>
  </protectedRanges>
  <mergeCells count="28">
    <mergeCell ref="B2:B15"/>
    <mergeCell ref="C2:I2"/>
    <mergeCell ref="H10:I10"/>
    <mergeCell ref="F11:F14"/>
    <mergeCell ref="B16:B41"/>
    <mergeCell ref="F18:G19"/>
    <mergeCell ref="C21:C22"/>
    <mergeCell ref="D21:E21"/>
    <mergeCell ref="F21:F22"/>
    <mergeCell ref="C31:C34"/>
    <mergeCell ref="F37:I37"/>
    <mergeCell ref="B42:B67"/>
    <mergeCell ref="F44:G45"/>
    <mergeCell ref="C47:C48"/>
    <mergeCell ref="D47:E47"/>
    <mergeCell ref="F47:F48"/>
    <mergeCell ref="C57:C60"/>
    <mergeCell ref="F63:I63"/>
    <mergeCell ref="B94:B103"/>
    <mergeCell ref="C97:I97"/>
    <mergeCell ref="C98:I103"/>
    <mergeCell ref="B68:B93"/>
    <mergeCell ref="F70:G71"/>
    <mergeCell ref="C73:C74"/>
    <mergeCell ref="D73:E73"/>
    <mergeCell ref="F73:F74"/>
    <mergeCell ref="C83:C86"/>
    <mergeCell ref="F89:I89"/>
  </mergeCells>
  <conditionalFormatting sqref="I39:I40 I95:I96">
    <cfRule type="cellIs" dxfId="11" priority="9" stopIfTrue="1" operator="equal">
      <formula>"conforme"</formula>
    </cfRule>
    <cfRule type="cellIs" dxfId="10" priority="10" stopIfTrue="1" operator="equal">
      <formula>"non conforme"</formula>
    </cfRule>
  </conditionalFormatting>
  <conditionalFormatting sqref="I40">
    <cfRule type="cellIs" dxfId="9" priority="11" stopIfTrue="1" operator="equal">
      <formula>"conforme"</formula>
    </cfRule>
    <cfRule type="cellIs" dxfId="8" priority="12" stopIfTrue="1" operator="equal">
      <formula>"non conforme"</formula>
    </cfRule>
  </conditionalFormatting>
  <conditionalFormatting sqref="I65:I66">
    <cfRule type="cellIs" dxfId="7" priority="5" stopIfTrue="1" operator="equal">
      <formula>"conforme"</formula>
    </cfRule>
    <cfRule type="cellIs" dxfId="6" priority="6" stopIfTrue="1" operator="equal">
      <formula>"non conforme"</formula>
    </cfRule>
  </conditionalFormatting>
  <conditionalFormatting sqref="I66">
    <cfRule type="cellIs" dxfId="5" priority="7" stopIfTrue="1" operator="equal">
      <formula>"conforme"</formula>
    </cfRule>
    <cfRule type="cellIs" dxfId="4" priority="8" stopIfTrue="1" operator="equal">
      <formula>"non conforme"</formula>
    </cfRule>
  </conditionalFormatting>
  <conditionalFormatting sqref="I91:I92">
    <cfRule type="cellIs" dxfId="3" priority="1" stopIfTrue="1" operator="equal">
      <formula>"conforme"</formula>
    </cfRule>
    <cfRule type="cellIs" dxfId="2" priority="2" stopIfTrue="1" operator="equal">
      <formula>"non conforme"</formula>
    </cfRule>
  </conditionalFormatting>
  <conditionalFormatting sqref="I92">
    <cfRule type="cellIs" dxfId="1" priority="3" stopIfTrue="1" operator="equal">
      <formula>"conforme"</formula>
    </cfRule>
    <cfRule type="cellIs" dxfId="0" priority="4" stopIfTrue="1" operator="equal">
      <formula>"non conforme"</formula>
    </cfRule>
  </conditionalFormatting>
  <hyperlinks>
    <hyperlink ref="K30" r:id="rId1"/>
    <hyperlink ref="B104" r:id="rId2"/>
  </hyperlinks>
  <pageMargins left="0.17" right="0.16" top="0.79" bottom="0.984251969" header="0.4921259845" footer="0.4921259845"/>
  <pageSetup paperSize="9" scale="60" orientation="portrait" r:id="rId3"/>
  <headerFooter alignWithMargins="0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6" name="Check Box 1">
              <controlPr defaultSize="0" autoFill="0" autoLine="0" autoPict="0">
                <anchor moveWithCells="1">
                  <from>
                    <xdr:col>7</xdr:col>
                    <xdr:colOff>685800</xdr:colOff>
                    <xdr:row>5</xdr:row>
                    <xdr:rowOff>31750</xdr:rowOff>
                  </from>
                  <to>
                    <xdr:col>8</xdr:col>
                    <xdr:colOff>692150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7" name="Check Box 2">
              <controlPr defaultSize="0" autoFill="0" autoLine="0" autoPict="0">
                <anchor moveWithCells="1">
                  <from>
                    <xdr:col>7</xdr:col>
                    <xdr:colOff>685800</xdr:colOff>
                    <xdr:row>6</xdr:row>
                    <xdr:rowOff>25400</xdr:rowOff>
                  </from>
                  <to>
                    <xdr:col>8</xdr:col>
                    <xdr:colOff>647700</xdr:colOff>
                    <xdr:row>7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vérification pipette</vt:lpstr>
      <vt:lpstr>'vérification pipette'!_Hlk389637313</vt:lpstr>
      <vt:lpstr>'vérification pipette'!OLE_LINK21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germa</dc:creator>
  <cp:lastModifiedBy>morgan germa</cp:lastModifiedBy>
  <dcterms:created xsi:type="dcterms:W3CDTF">2017-03-09T08:29:32Z</dcterms:created>
  <dcterms:modified xsi:type="dcterms:W3CDTF">2017-03-16T11:11:24Z</dcterms:modified>
</cp:coreProperties>
</file>