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B86C43D6-C532-4D5B-B3AA-D751A49B06C0}" xr6:coauthVersionLast="47" xr6:coauthVersionMax="47" xr10:uidLastSave="{00000000-0000-0000-0000-000000000000}"/>
  <bookViews>
    <workbookView xWindow="0" yWindow="375" windowWidth="27300" windowHeight="15105" xr2:uid="{9EA61D78-8CC8-4E80-8209-3B0A78A18D2E}"/>
  </bookViews>
  <sheets>
    <sheet name="plan partiellement emboi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4" i="1" l="1"/>
  <c r="Y31" i="1"/>
  <c r="Y30" i="1"/>
  <c r="Y29" i="1"/>
  <c r="Y28" i="1"/>
  <c r="Y33" i="1"/>
  <c r="Y34" i="1"/>
  <c r="Y52" i="1"/>
  <c r="Y48" i="1"/>
  <c r="Y42" i="1"/>
  <c r="Y32" i="1"/>
  <c r="Y19" i="1"/>
  <c r="Y20" i="1"/>
  <c r="Y21" i="1"/>
  <c r="Y22" i="1"/>
  <c r="Y23" i="1"/>
  <c r="Y24" i="1"/>
  <c r="Y18" i="1"/>
  <c r="AA30" i="1"/>
  <c r="AC30" i="1" s="1"/>
  <c r="AD30" i="1" s="1"/>
  <c r="AA54" i="1"/>
  <c r="AC54" i="1" s="1"/>
  <c r="AD54" i="1" s="1"/>
  <c r="Z54" i="1"/>
  <c r="AA53" i="1"/>
  <c r="AC53" i="1" s="1"/>
  <c r="AD53" i="1" s="1"/>
  <c r="Z53" i="1"/>
  <c r="AC52" i="1"/>
  <c r="AD52" i="1" s="1"/>
  <c r="AA52" i="1"/>
  <c r="Z52" i="1"/>
  <c r="AA51" i="1"/>
  <c r="AC51" i="1" s="1"/>
  <c r="AD51" i="1" s="1"/>
  <c r="Z51" i="1"/>
  <c r="AA50" i="1"/>
  <c r="AC50" i="1" s="1"/>
  <c r="AD50" i="1" s="1"/>
  <c r="Z50" i="1"/>
  <c r="AA49" i="1"/>
  <c r="AC49" i="1" s="1"/>
  <c r="AD49" i="1" s="1"/>
  <c r="Z49" i="1"/>
  <c r="AC48" i="1"/>
  <c r="AD48" i="1" s="1"/>
  <c r="AA48" i="1"/>
  <c r="Z48" i="1"/>
  <c r="AA40" i="1"/>
  <c r="AC40" i="1" s="1"/>
  <c r="AD40" i="1" s="1"/>
  <c r="AA39" i="1"/>
  <c r="AC39" i="1" s="1"/>
  <c r="AD39" i="1" s="1"/>
  <c r="AC38" i="1"/>
  <c r="AD38" i="1" s="1"/>
  <c r="AA38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4" i="1"/>
  <c r="T44" i="1"/>
  <c r="U43" i="1"/>
  <c r="T43" i="1"/>
  <c r="U42" i="1"/>
  <c r="T42" i="1"/>
  <c r="U34" i="1"/>
  <c r="T34" i="1"/>
  <c r="AA28" i="1" s="1"/>
  <c r="AC28" i="1" s="1"/>
  <c r="AD28" i="1" s="1"/>
  <c r="U33" i="1"/>
  <c r="T33" i="1"/>
  <c r="AA29" i="1" s="1"/>
  <c r="AC29" i="1" s="1"/>
  <c r="AD29" i="1" s="1"/>
  <c r="U32" i="1"/>
  <c r="T32" i="1"/>
  <c r="AD19" i="1"/>
  <c r="AD20" i="1"/>
  <c r="AD18" i="1"/>
  <c r="AC20" i="1"/>
  <c r="AC19" i="1"/>
  <c r="AC18" i="1"/>
  <c r="AA20" i="1"/>
  <c r="AA19" i="1"/>
  <c r="AA18" i="1"/>
  <c r="U23" i="1"/>
  <c r="U24" i="1"/>
  <c r="U22" i="1"/>
  <c r="T23" i="1"/>
  <c r="T24" i="1"/>
  <c r="T22" i="1"/>
  <c r="V24" i="1"/>
  <c r="V34" i="1" s="1"/>
  <c r="V44" i="1" s="1"/>
  <c r="V54" i="1" s="1"/>
  <c r="V23" i="1"/>
  <c r="V33" i="1" s="1"/>
  <c r="V43" i="1" s="1"/>
  <c r="V53" i="1" s="1"/>
  <c r="V22" i="1"/>
  <c r="V32" i="1" s="1"/>
  <c r="V42" i="1" s="1"/>
  <c r="V52" i="1" s="1"/>
  <c r="V21" i="1"/>
  <c r="V31" i="1" s="1"/>
  <c r="V41" i="1" s="1"/>
  <c r="V51" i="1" s="1"/>
  <c r="S31" i="1"/>
  <c r="S41" i="1" s="1"/>
  <c r="R31" i="1"/>
  <c r="R41" i="1" s="1"/>
  <c r="Q31" i="1"/>
  <c r="Q41" i="1" s="1"/>
  <c r="P31" i="1"/>
  <c r="P41" i="1" s="1"/>
  <c r="O31" i="1"/>
  <c r="O41" i="1" s="1"/>
  <c r="N31" i="1"/>
  <c r="N41" i="1" s="1"/>
  <c r="M31" i="1"/>
  <c r="M41" i="1" s="1"/>
  <c r="L31" i="1"/>
  <c r="L41" i="1" s="1"/>
  <c r="K31" i="1"/>
  <c r="K41" i="1" s="1"/>
  <c r="J31" i="1"/>
  <c r="J41" i="1" s="1"/>
  <c r="V20" i="1"/>
  <c r="V30" i="1" s="1"/>
  <c r="V40" i="1" s="1"/>
  <c r="V50" i="1" s="1"/>
  <c r="S30" i="1"/>
  <c r="S40" i="1" s="1"/>
  <c r="R30" i="1"/>
  <c r="R40" i="1" s="1"/>
  <c r="Q30" i="1"/>
  <c r="Q40" i="1" s="1"/>
  <c r="P30" i="1"/>
  <c r="P40" i="1" s="1"/>
  <c r="O30" i="1"/>
  <c r="O40" i="1" s="1"/>
  <c r="N30" i="1"/>
  <c r="N40" i="1" s="1"/>
  <c r="M30" i="1"/>
  <c r="M40" i="1" s="1"/>
  <c r="L30" i="1"/>
  <c r="L40" i="1" s="1"/>
  <c r="K30" i="1"/>
  <c r="K40" i="1" s="1"/>
  <c r="J30" i="1"/>
  <c r="J40" i="1" s="1"/>
  <c r="V19" i="1"/>
  <c r="V29" i="1" s="1"/>
  <c r="V39" i="1" s="1"/>
  <c r="V49" i="1" s="1"/>
  <c r="S29" i="1"/>
  <c r="S39" i="1" s="1"/>
  <c r="R29" i="1"/>
  <c r="R39" i="1" s="1"/>
  <c r="Q29" i="1"/>
  <c r="Q39" i="1" s="1"/>
  <c r="P29" i="1"/>
  <c r="P39" i="1" s="1"/>
  <c r="O29" i="1"/>
  <c r="O39" i="1" s="1"/>
  <c r="N29" i="1"/>
  <c r="N39" i="1" s="1"/>
  <c r="M29" i="1"/>
  <c r="M39" i="1" s="1"/>
  <c r="L29" i="1"/>
  <c r="L39" i="1" s="1"/>
  <c r="K29" i="1"/>
  <c r="K39" i="1" s="1"/>
  <c r="J29" i="1"/>
  <c r="J39" i="1" s="1"/>
  <c r="S28" i="1"/>
  <c r="S38" i="1" s="1"/>
  <c r="R28" i="1"/>
  <c r="R38" i="1" s="1"/>
  <c r="Q28" i="1"/>
  <c r="Q38" i="1" s="1"/>
  <c r="P28" i="1"/>
  <c r="P38" i="1" s="1"/>
  <c r="O28" i="1"/>
  <c r="O38" i="1" s="1"/>
  <c r="N28" i="1"/>
  <c r="N38" i="1" s="1"/>
  <c r="M28" i="1"/>
  <c r="M38" i="1" s="1"/>
  <c r="L28" i="1"/>
  <c r="L38" i="1" s="1"/>
  <c r="K28" i="1"/>
  <c r="K38" i="1" s="1"/>
  <c r="J28" i="1"/>
  <c r="J38" i="1" s="1"/>
  <c r="V17" i="1"/>
  <c r="V27" i="1" s="1"/>
  <c r="V37" i="1" s="1"/>
  <c r="V47" i="1" s="1"/>
  <c r="S27" i="1"/>
  <c r="S37" i="1" s="1"/>
  <c r="R27" i="1"/>
  <c r="R37" i="1" s="1"/>
  <c r="Q27" i="1"/>
  <c r="Q37" i="1" s="1"/>
  <c r="P27" i="1"/>
  <c r="P37" i="1" s="1"/>
  <c r="O27" i="1"/>
  <c r="O37" i="1" s="1"/>
  <c r="N27" i="1"/>
  <c r="N37" i="1" s="1"/>
  <c r="M27" i="1"/>
  <c r="M37" i="1" s="1"/>
  <c r="L27" i="1"/>
  <c r="L37" i="1" s="1"/>
  <c r="K27" i="1"/>
  <c r="K37" i="1" s="1"/>
  <c r="J27" i="1"/>
  <c r="J37" i="1" s="1"/>
  <c r="G26" i="1" l="1"/>
  <c r="U37" i="1"/>
  <c r="U39" i="1"/>
  <c r="U41" i="1"/>
  <c r="T37" i="1"/>
  <c r="U40" i="1"/>
  <c r="T41" i="1"/>
  <c r="U38" i="1"/>
  <c r="T39" i="1"/>
  <c r="T27" i="1"/>
  <c r="U30" i="1"/>
  <c r="U31" i="1"/>
  <c r="T38" i="1"/>
  <c r="T40" i="1"/>
  <c r="U28" i="1"/>
  <c r="U29" i="1"/>
  <c r="U27" i="1"/>
  <c r="T31" i="1"/>
  <c r="T28" i="1"/>
  <c r="T30" i="1"/>
  <c r="T29" i="1"/>
  <c r="U18" i="1"/>
  <c r="U20" i="1"/>
  <c r="U17" i="1"/>
  <c r="U19" i="1"/>
  <c r="U21" i="1"/>
  <c r="T20" i="1"/>
  <c r="T19" i="1"/>
  <c r="T21" i="1"/>
  <c r="T18" i="1"/>
  <c r="T17" i="1"/>
  <c r="AC35" i="1" l="1"/>
  <c r="AA34" i="1"/>
  <c r="AC34" i="1" s="1"/>
  <c r="Z34" i="1"/>
  <c r="AA33" i="1" s="1"/>
  <c r="AC33" i="1" s="1"/>
  <c r="Z33" i="1"/>
  <c r="Z32" i="1"/>
  <c r="Z31" i="1"/>
  <c r="Z30" i="1"/>
  <c r="Z29" i="1"/>
  <c r="Z28" i="1"/>
  <c r="Z43" i="1"/>
  <c r="AA42" i="1" s="1"/>
  <c r="AC42" i="1" s="1"/>
  <c r="Z39" i="1"/>
  <c r="Z42" i="1"/>
  <c r="AA41" i="1" s="1"/>
  <c r="AC41" i="1" s="1"/>
  <c r="Z38" i="1"/>
  <c r="AA44" i="1"/>
  <c r="AC44" i="1" s="1"/>
  <c r="Z41" i="1"/>
  <c r="Z44" i="1"/>
  <c r="AA43" i="1" s="1"/>
  <c r="AC43" i="1" s="1"/>
  <c r="Z40" i="1"/>
  <c r="Z18" i="1"/>
  <c r="AC45" i="1"/>
  <c r="AC24" i="1"/>
  <c r="AC25" i="1"/>
  <c r="Z24" i="1"/>
  <c r="AA23" i="1" s="1"/>
  <c r="AC23" i="1" s="1"/>
  <c r="Z22" i="1"/>
  <c r="Z20" i="1"/>
  <c r="Z21" i="1"/>
  <c r="Z19" i="1"/>
  <c r="Z23" i="1"/>
  <c r="AA22" i="1" s="1"/>
  <c r="AC22" i="1" s="1"/>
  <c r="AC55" i="1"/>
  <c r="AD33" i="1" l="1"/>
  <c r="AD34" i="1"/>
  <c r="AA32" i="1"/>
  <c r="AA31" i="1"/>
  <c r="AD43" i="1"/>
  <c r="AD41" i="1"/>
  <c r="AD44" i="1"/>
  <c r="AD42" i="1"/>
  <c r="AD24" i="1"/>
  <c r="AD22" i="1"/>
  <c r="AD23" i="1"/>
  <c r="AA21" i="1"/>
  <c r="AC21" i="1" s="1"/>
  <c r="AD21" i="1" s="1"/>
  <c r="AF47" i="1"/>
  <c r="AF37" i="1"/>
  <c r="AF17" i="1"/>
  <c r="AF27" i="1"/>
  <c r="AC32" i="1" l="1"/>
  <c r="AD32" i="1" s="1"/>
  <c r="AC31" i="1"/>
  <c r="AD31" i="1" s="1"/>
  <c r="AD35" i="1" s="1"/>
  <c r="AD25" i="1"/>
  <c r="AD55" i="1"/>
  <c r="AD45" i="1"/>
</calcChain>
</file>

<file path=xl/sharedStrings.xml><?xml version="1.0" encoding="utf-8"?>
<sst xmlns="http://schemas.openxmlformats.org/spreadsheetml/2006/main" count="148" uniqueCount="67">
  <si>
    <t>echantillon-T1</t>
  </si>
  <si>
    <t>a</t>
  </si>
  <si>
    <t>b</t>
  </si>
  <si>
    <t>c</t>
  </si>
  <si>
    <t>d</t>
  </si>
  <si>
    <t>e</t>
  </si>
  <si>
    <t>f</t>
  </si>
  <si>
    <t>g</t>
  </si>
  <si>
    <t>piece 1-1</t>
  </si>
  <si>
    <t>piece 1-2</t>
  </si>
  <si>
    <t>piece 1-3</t>
  </si>
  <si>
    <t>piece 1-4</t>
  </si>
  <si>
    <t>piece 1-5</t>
  </si>
  <si>
    <t>piece 1-6</t>
  </si>
  <si>
    <t>piece 1-7</t>
  </si>
  <si>
    <t>piece 1-8</t>
  </si>
  <si>
    <t>piece 1-9</t>
  </si>
  <si>
    <t>piece 1-10</t>
  </si>
  <si>
    <t>mesure</t>
  </si>
  <si>
    <t>moyenne</t>
  </si>
  <si>
    <t>variance</t>
  </si>
  <si>
    <t>identification</t>
  </si>
  <si>
    <t>ANOVA</t>
  </si>
  <si>
    <t>R²ajusté</t>
  </si>
  <si>
    <t>avec</t>
  </si>
  <si>
    <t>r1</t>
  </si>
  <si>
    <t>facteur</t>
  </si>
  <si>
    <t>etendu E</t>
  </si>
  <si>
    <t>coefficient C</t>
  </si>
  <si>
    <t>SCE = E²*C</t>
  </si>
  <si>
    <t>contribution</t>
  </si>
  <si>
    <t>r2</t>
  </si>
  <si>
    <t>→</t>
  </si>
  <si>
    <t>total</t>
  </si>
  <si>
    <t>Objectif:</t>
  </si>
  <si>
    <t>les plans emboités sont utilisés pour évaluer les variances intermédiaires de fidélité, c’est-à-dire les variances de chaque étape.</t>
  </si>
  <si>
    <t>niveau</t>
  </si>
  <si>
    <t>Cela permet d'étudier l'impact de chacune des étapes sur la pièce (diamètre, aspect, etc)</t>
  </si>
  <si>
    <t>plan emboité</t>
  </si>
  <si>
    <t>plan partiellement emboité</t>
  </si>
  <si>
    <t>les plans sont ici partiellement emboités car les étapes ne sont pas rétépées pour chaque niveau de l'étape précédente.</t>
  </si>
  <si>
    <r>
      <t xml:space="preserve">L'analyse de variances associées permet dévaluer </t>
    </r>
    <r>
      <rPr>
        <b/>
        <sz val="11"/>
        <color theme="1"/>
        <rFont val="Aptos Narrow"/>
        <family val="2"/>
        <scheme val="minor"/>
      </rPr>
      <t xml:space="preserve">la contribution de chaque étape </t>
    </r>
    <r>
      <rPr>
        <sz val="11"/>
        <color theme="1"/>
        <rFont val="Aptos Narrow"/>
        <family val="2"/>
        <scheme val="minor"/>
      </rPr>
      <t>sur le produit final.</t>
    </r>
  </si>
  <si>
    <t>les étapes étudiées sont ici le nettoyage, le metex, le polissage, le brillantage, le dorag et enfin le moyen de mesure</t>
  </si>
  <si>
    <t xml:space="preserve">les critères mesurées seront : le diamètre externe, interne, la fente et l'esthetique </t>
  </si>
  <si>
    <t>Contribution de chacune des étapes</t>
  </si>
  <si>
    <t>Analyse des données</t>
  </si>
  <si>
    <t>Mesures</t>
  </si>
  <si>
    <t xml:space="preserve">Etapes </t>
  </si>
  <si>
    <t>&lt;=&gt;100%</t>
  </si>
  <si>
    <t>rinçage</t>
  </si>
  <si>
    <t>séchage</t>
  </si>
  <si>
    <t>lavage</t>
  </si>
  <si>
    <t>Process de nettoyage</t>
  </si>
  <si>
    <t>sans f →</t>
  </si>
  <si>
    <t>sans e →</t>
  </si>
  <si>
    <t>sans d →</t>
  </si>
  <si>
    <t>nombre de pièces pour la réalisation du protocole</t>
  </si>
  <si>
    <t>=D16</t>
  </si>
  <si>
    <t>=E16</t>
  </si>
  <si>
    <t>=F16</t>
  </si>
  <si>
    <t>=H16</t>
  </si>
  <si>
    <t>=I16</t>
  </si>
  <si>
    <t>=C16</t>
  </si>
  <si>
    <t>COT</t>
  </si>
  <si>
    <t>RNV</t>
  </si>
  <si>
    <t>pH</t>
  </si>
  <si>
    <t>Particules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</si>
</sst>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9" fontId="4" fillId="0" borderId="1" xfId="1" applyNumberFormat="1" applyBorder="1" applyAlignment="1">
      <alignment horizontal="center" vertical="center"/>
    </xf>
    <xf numFmtId="49" fontId="4" fillId="0" borderId="2" xfId="1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10" fontId="4" fillId="0" borderId="1" xfId="1" applyNumberFormat="1" applyBorder="1" applyAlignment="1">
      <alignment horizontal="center"/>
    </xf>
    <xf numFmtId="2" fontId="4" fillId="5" borderId="1" xfId="1" applyNumberFormat="1" applyFill="1" applyBorder="1" applyAlignment="1">
      <alignment horizontal="center"/>
    </xf>
    <xf numFmtId="12" fontId="4" fillId="6" borderId="1" xfId="1" applyNumberFormat="1" applyFill="1" applyBorder="1" applyAlignment="1">
      <alignment horizontal="center"/>
    </xf>
    <xf numFmtId="164" fontId="4" fillId="5" borderId="1" xfId="1" applyNumberFormat="1" applyFill="1" applyBorder="1" applyAlignment="1">
      <alignment horizontal="center"/>
    </xf>
    <xf numFmtId="10" fontId="4" fillId="7" borderId="1" xfId="1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4" fillId="0" borderId="1" xfId="1" applyNumberFormat="1" applyBorder="1" applyAlignment="1">
      <alignment horizontal="center"/>
    </xf>
    <xf numFmtId="12" fontId="6" fillId="6" borderId="0" xfId="0" applyNumberFormat="1" applyFont="1" applyFill="1" applyAlignment="1">
      <alignment horizontal="center"/>
    </xf>
    <xf numFmtId="12" fontId="6" fillId="6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2" fontId="4" fillId="0" borderId="0" xfId="1" applyNumberFormat="1" applyAlignment="1">
      <alignment horizontal="center" vertical="center"/>
    </xf>
    <xf numFmtId="0" fontId="0" fillId="8" borderId="17" xfId="0" applyFill="1" applyBorder="1"/>
    <xf numFmtId="0" fontId="0" fillId="8" borderId="0" xfId="0" applyFill="1"/>
    <xf numFmtId="0" fontId="4" fillId="8" borderId="0" xfId="1" applyFill="1"/>
    <xf numFmtId="0" fontId="0" fillId="8" borderId="18" xfId="0" applyFill="1" applyBorder="1"/>
    <xf numFmtId="0" fontId="4" fillId="0" borderId="0" xfId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64" fontId="4" fillId="4" borderId="13" xfId="1" applyNumberFormat="1" applyFill="1" applyBorder="1" applyAlignment="1">
      <alignment horizontal="center" vertical="center"/>
    </xf>
    <xf numFmtId="164" fontId="4" fillId="4" borderId="1" xfId="1" applyNumberFormat="1" applyFill="1" applyBorder="1" applyAlignment="1">
      <alignment horizontal="center" vertical="center"/>
    </xf>
    <xf numFmtId="164" fontId="4" fillId="4" borderId="14" xfId="1" applyNumberFormat="1" applyFill="1" applyBorder="1" applyAlignment="1">
      <alignment horizontal="center" vertical="center"/>
    </xf>
    <xf numFmtId="1" fontId="4" fillId="4" borderId="13" xfId="1" applyNumberFormat="1" applyFill="1" applyBorder="1" applyAlignment="1">
      <alignment horizontal="center" vertical="center"/>
    </xf>
    <xf numFmtId="1" fontId="4" fillId="4" borderId="1" xfId="1" applyNumberFormat="1" applyFill="1" applyBorder="1" applyAlignment="1">
      <alignment horizontal="center" vertical="center"/>
    </xf>
    <xf numFmtId="1" fontId="4" fillId="4" borderId="14" xfId="1" applyNumberFormat="1" applyFill="1" applyBorder="1" applyAlignment="1">
      <alignment horizontal="center" vertical="center"/>
    </xf>
    <xf numFmtId="1" fontId="4" fillId="4" borderId="19" xfId="1" applyNumberFormat="1" applyFill="1" applyBorder="1" applyAlignment="1">
      <alignment horizontal="center" vertical="center"/>
    </xf>
    <xf numFmtId="1" fontId="4" fillId="4" borderId="20" xfId="1" applyNumberFormat="1" applyFill="1" applyBorder="1" applyAlignment="1">
      <alignment horizontal="center" vertical="center"/>
    </xf>
    <xf numFmtId="1" fontId="4" fillId="4" borderId="21" xfId="1" applyNumberFormat="1" applyFill="1" applyBorder="1" applyAlignment="1">
      <alignment horizontal="center" vertical="center"/>
    </xf>
    <xf numFmtId="49" fontId="4" fillId="4" borderId="1" xfId="1" applyNumberFormat="1" applyFill="1" applyBorder="1" applyAlignment="1">
      <alignment horizontal="center" vertical="center"/>
    </xf>
    <xf numFmtId="0" fontId="4" fillId="4" borderId="1" xfId="1" applyFill="1" applyBorder="1" applyAlignment="1">
      <alignment horizontal="center" vertical="center"/>
    </xf>
    <xf numFmtId="49" fontId="4" fillId="4" borderId="2" xfId="1" applyNumberFormat="1" applyFill="1" applyBorder="1" applyAlignment="1">
      <alignment horizontal="center" vertical="center"/>
    </xf>
    <xf numFmtId="0" fontId="4" fillId="6" borderId="1" xfId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64" fontId="4" fillId="4" borderId="19" xfId="1" applyNumberFormat="1" applyFill="1" applyBorder="1" applyAlignment="1">
      <alignment horizontal="center" vertical="center"/>
    </xf>
    <xf numFmtId="164" fontId="4" fillId="4" borderId="20" xfId="1" applyNumberFormat="1" applyFill="1" applyBorder="1" applyAlignment="1">
      <alignment horizontal="center" vertical="center"/>
    </xf>
    <xf numFmtId="164" fontId="4" fillId="4" borderId="21" xfId="1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/>
    </xf>
    <xf numFmtId="0" fontId="4" fillId="0" borderId="12" xfId="1" applyBorder="1" applyAlignment="1">
      <alignment horizontal="center" vertical="center"/>
    </xf>
    <xf numFmtId="0" fontId="4" fillId="0" borderId="15" xfId="1" applyBorder="1" applyAlignment="1">
      <alignment horizontal="center" vertical="center"/>
    </xf>
    <xf numFmtId="0" fontId="4" fillId="0" borderId="16" xfId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0" xfId="0" applyFont="1" applyFill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6" borderId="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</cellXfs>
  <cellStyles count="2">
    <cellStyle name="Normal" xfId="0" builtinId="0"/>
    <cellStyle name="Normal 2 3 2" xfId="1" xr:uid="{85D913EE-6D3B-4D57-9296-D58B043C24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 partiellement emboité'!$Y$18:$Y$24</c:f>
              <c:strCach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lavage</c:v>
                </c:pt>
                <c:pt idx="4">
                  <c:v>rinçage</c:v>
                </c:pt>
                <c:pt idx="5">
                  <c:v>séchage</c:v>
                </c:pt>
                <c:pt idx="6">
                  <c:v>mesure</c:v>
                </c:pt>
              </c:strCache>
            </c:strRef>
          </c:cat>
          <c:val>
            <c:numRef>
              <c:f>'plan partiellement emboité'!$AD$18:$AD$24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3.2718591934995742E-3</c:v>
                </c:pt>
                <c:pt idx="4">
                  <c:v>0.25916252516006355</c:v>
                </c:pt>
                <c:pt idx="5">
                  <c:v>0.72924897115676357</c:v>
                </c:pt>
                <c:pt idx="6">
                  <c:v>8.3166444896728784E-3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C-4FF9-9DA0-C6BA15E97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571792"/>
        <c:axId val="1115574512"/>
      </c:barChart>
      <c:catAx>
        <c:axId val="111557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5574512"/>
        <c:crosses val="autoZero"/>
        <c:auto val="1"/>
        <c:lblAlgn val="ctr"/>
        <c:lblOffset val="100"/>
        <c:noMultiLvlLbl val="0"/>
      </c:catAx>
      <c:valAx>
        <c:axId val="111557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557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 partiellement emboité'!$Y$28:$Y$34</c:f>
              <c:strCach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lavage</c:v>
                </c:pt>
                <c:pt idx="4">
                  <c:v>rinçage</c:v>
                </c:pt>
                <c:pt idx="5">
                  <c:v>séchage</c:v>
                </c:pt>
                <c:pt idx="6">
                  <c:v>mesure</c:v>
                </c:pt>
              </c:strCache>
            </c:strRef>
          </c:cat>
          <c:val>
            <c:numRef>
              <c:f>'plan partiellement emboité'!$AD$28:$AD$34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3.2718591934995742E-3</c:v>
                </c:pt>
                <c:pt idx="4">
                  <c:v>0.25916252516006355</c:v>
                </c:pt>
                <c:pt idx="5">
                  <c:v>0.72924897115676357</c:v>
                </c:pt>
                <c:pt idx="6">
                  <c:v>8.3166444896728784E-3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B-44CC-A289-BC99B7BDF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575600"/>
        <c:axId val="1115560368"/>
      </c:barChart>
      <c:catAx>
        <c:axId val="111557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5560368"/>
        <c:crosses val="autoZero"/>
        <c:auto val="1"/>
        <c:lblAlgn val="ctr"/>
        <c:lblOffset val="100"/>
        <c:noMultiLvlLbl val="0"/>
      </c:catAx>
      <c:valAx>
        <c:axId val="11155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557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 partiellement emboité'!$Y$38:$Y$44</c:f>
              <c:strCache>
                <c:ptCount val="7"/>
                <c:pt idx="0">
                  <c:v>=C16</c:v>
                </c:pt>
                <c:pt idx="1">
                  <c:v>=D16</c:v>
                </c:pt>
                <c:pt idx="2">
                  <c:v>=E16</c:v>
                </c:pt>
                <c:pt idx="3">
                  <c:v>=F16</c:v>
                </c:pt>
                <c:pt idx="4">
                  <c:v>rinçage</c:v>
                </c:pt>
                <c:pt idx="5">
                  <c:v>=H16</c:v>
                </c:pt>
                <c:pt idx="6">
                  <c:v>=I16</c:v>
                </c:pt>
              </c:strCache>
            </c:strRef>
          </c:cat>
          <c:val>
            <c:numRef>
              <c:f>'plan partiellement emboité'!$AD$38:$AD$44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3.2718591934995742E-3</c:v>
                </c:pt>
                <c:pt idx="4">
                  <c:v>0.25916252516006355</c:v>
                </c:pt>
                <c:pt idx="5">
                  <c:v>0.72924897115676357</c:v>
                </c:pt>
                <c:pt idx="6">
                  <c:v>8.3166444896728784E-3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5-4B1F-9EA1-3BF0E38CB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575056"/>
        <c:axId val="1115572880"/>
      </c:barChart>
      <c:catAx>
        <c:axId val="111557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5572880"/>
        <c:crosses val="autoZero"/>
        <c:auto val="1"/>
        <c:lblAlgn val="ctr"/>
        <c:lblOffset val="100"/>
        <c:noMultiLvlLbl val="0"/>
      </c:catAx>
      <c:valAx>
        <c:axId val="111557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557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 partiellement emboité'!$Y$48:$Y$54</c:f>
              <c:strCache>
                <c:ptCount val="7"/>
                <c:pt idx="0">
                  <c:v>0</c:v>
                </c:pt>
                <c:pt idx="1">
                  <c:v>=D16</c:v>
                </c:pt>
                <c:pt idx="2">
                  <c:v>=E16</c:v>
                </c:pt>
                <c:pt idx="3">
                  <c:v>=F16</c:v>
                </c:pt>
                <c:pt idx="4">
                  <c:v>rinçage</c:v>
                </c:pt>
                <c:pt idx="5">
                  <c:v>=H16</c:v>
                </c:pt>
                <c:pt idx="6">
                  <c:v>=I16</c:v>
                </c:pt>
              </c:strCache>
            </c:strRef>
          </c:cat>
          <c:val>
            <c:numRef>
              <c:f>'plan partiellement emboité'!$AD$48:$AD$54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A-41A7-9ACB-513323ED1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561456"/>
        <c:axId val="1115563088"/>
      </c:barChart>
      <c:catAx>
        <c:axId val="11155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5563088"/>
        <c:crosses val="autoZero"/>
        <c:auto val="1"/>
        <c:lblAlgn val="ctr"/>
        <c:lblOffset val="100"/>
        <c:noMultiLvlLbl val="0"/>
      </c:catAx>
      <c:valAx>
        <c:axId val="111556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556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34018</xdr:colOff>
      <xdr:row>13</xdr:row>
      <xdr:rowOff>183015</xdr:rowOff>
    </xdr:from>
    <xdr:to>
      <xdr:col>38</xdr:col>
      <xdr:colOff>34018</xdr:colOff>
      <xdr:row>23</xdr:row>
      <xdr:rowOff>187098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8AE6EB2-7731-4CE3-A471-97389FCAD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34018</xdr:colOff>
      <xdr:row>24</xdr:row>
      <xdr:rowOff>78242</xdr:rowOff>
    </xdr:from>
    <xdr:to>
      <xdr:col>38</xdr:col>
      <xdr:colOff>34018</xdr:colOff>
      <xdr:row>34</xdr:row>
      <xdr:rowOff>82325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864337F-966F-420F-BEE8-12003961F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57830</xdr:colOff>
      <xdr:row>34</xdr:row>
      <xdr:rowOff>105456</xdr:rowOff>
    </xdr:from>
    <xdr:to>
      <xdr:col>38</xdr:col>
      <xdr:colOff>57830</xdr:colOff>
      <xdr:row>44</xdr:row>
      <xdr:rowOff>109539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4404EE5-2121-47A6-8441-6E40CF539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44224</xdr:colOff>
      <xdr:row>44</xdr:row>
      <xdr:rowOff>176893</xdr:rowOff>
    </xdr:from>
    <xdr:to>
      <xdr:col>38</xdr:col>
      <xdr:colOff>44224</xdr:colOff>
      <xdr:row>54</xdr:row>
      <xdr:rowOff>167369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3266DE2-939C-4A26-8202-C9986E3F3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142875</xdr:colOff>
      <xdr:row>2</xdr:row>
      <xdr:rowOff>9525</xdr:rowOff>
    </xdr:from>
    <xdr:to>
      <xdr:col>15</xdr:col>
      <xdr:colOff>333375</xdr:colOff>
      <xdr:row>4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F33FA496-BDAE-4AF9-98B9-9E23300F37F7}"/>
            </a:ext>
          </a:extLst>
        </xdr:cNvPr>
        <xdr:cNvSpPr/>
      </xdr:nvSpPr>
      <xdr:spPr>
        <a:xfrm>
          <a:off x="9591675" y="200025"/>
          <a:ext cx="1714500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1100"/>
            <a:t>laboratoire</a:t>
          </a:r>
        </a:p>
      </xdr:txBody>
    </xdr:sp>
    <xdr:clientData/>
  </xdr:twoCellAnchor>
  <xdr:twoCellAnchor>
    <xdr:from>
      <xdr:col>13</xdr:col>
      <xdr:colOff>142875</xdr:colOff>
      <xdr:row>4</xdr:row>
      <xdr:rowOff>28575</xdr:rowOff>
    </xdr:from>
    <xdr:to>
      <xdr:col>14</xdr:col>
      <xdr:colOff>180975</xdr:colOff>
      <xdr:row>6</xdr:row>
      <xdr:rowOff>19050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9301CFC8-0A36-45A1-AD7D-41991AE9E0F2}"/>
            </a:ext>
          </a:extLst>
        </xdr:cNvPr>
        <xdr:cNvSpPr/>
      </xdr:nvSpPr>
      <xdr:spPr>
        <a:xfrm>
          <a:off x="9591675" y="600075"/>
          <a:ext cx="800100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1000"/>
            <a:t>france</a:t>
          </a:r>
        </a:p>
      </xdr:txBody>
    </xdr:sp>
    <xdr:clientData/>
  </xdr:twoCellAnchor>
  <xdr:twoCellAnchor>
    <xdr:from>
      <xdr:col>14</xdr:col>
      <xdr:colOff>295275</xdr:colOff>
      <xdr:row>4</xdr:row>
      <xdr:rowOff>28575</xdr:rowOff>
    </xdr:from>
    <xdr:to>
      <xdr:col>15</xdr:col>
      <xdr:colOff>333375</xdr:colOff>
      <xdr:row>6</xdr:row>
      <xdr:rowOff>19050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59225D82-4D93-4373-9316-65CB8A01A3A1}"/>
            </a:ext>
          </a:extLst>
        </xdr:cNvPr>
        <xdr:cNvSpPr/>
      </xdr:nvSpPr>
      <xdr:spPr>
        <a:xfrm>
          <a:off x="10506075" y="600075"/>
          <a:ext cx="800100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1000"/>
            <a:t>suisse</a:t>
          </a:r>
        </a:p>
      </xdr:txBody>
    </xdr:sp>
    <xdr:clientData/>
  </xdr:twoCellAnchor>
  <xdr:twoCellAnchor>
    <xdr:from>
      <xdr:col>13</xdr:col>
      <xdr:colOff>142875</xdr:colOff>
      <xdr:row>6</xdr:row>
      <xdr:rowOff>57150</xdr:rowOff>
    </xdr:from>
    <xdr:to>
      <xdr:col>13</xdr:col>
      <xdr:colOff>514350</xdr:colOff>
      <xdr:row>8</xdr:row>
      <xdr:rowOff>47625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71D7E28A-CA71-4537-8388-8FF227329AEC}"/>
            </a:ext>
          </a:extLst>
        </xdr:cNvPr>
        <xdr:cNvSpPr/>
      </xdr:nvSpPr>
      <xdr:spPr>
        <a:xfrm>
          <a:off x="9591675" y="1009650"/>
          <a:ext cx="371475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800"/>
            <a:t>op </a:t>
          </a:r>
          <a:r>
            <a:rPr lang="fr-CH" sz="800" baseline="0"/>
            <a:t>1</a:t>
          </a:r>
          <a:endParaRPr lang="fr-CH" sz="800"/>
        </a:p>
      </xdr:txBody>
    </xdr:sp>
    <xdr:clientData/>
  </xdr:twoCellAnchor>
  <xdr:twoCellAnchor>
    <xdr:from>
      <xdr:col>13</xdr:col>
      <xdr:colOff>581025</xdr:colOff>
      <xdr:row>6</xdr:row>
      <xdr:rowOff>57150</xdr:rowOff>
    </xdr:from>
    <xdr:to>
      <xdr:col>14</xdr:col>
      <xdr:colOff>190500</xdr:colOff>
      <xdr:row>8</xdr:row>
      <xdr:rowOff>47625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403F3FD-32CC-4406-9462-F73CAAC7C6B0}"/>
            </a:ext>
          </a:extLst>
        </xdr:cNvPr>
        <xdr:cNvSpPr/>
      </xdr:nvSpPr>
      <xdr:spPr>
        <a:xfrm>
          <a:off x="10029825" y="1009650"/>
          <a:ext cx="371475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800"/>
            <a:t>op 2</a:t>
          </a:r>
        </a:p>
      </xdr:txBody>
    </xdr:sp>
    <xdr:clientData/>
  </xdr:twoCellAnchor>
  <xdr:twoCellAnchor>
    <xdr:from>
      <xdr:col>14</xdr:col>
      <xdr:colOff>295275</xdr:colOff>
      <xdr:row>6</xdr:row>
      <xdr:rowOff>66675</xdr:rowOff>
    </xdr:from>
    <xdr:to>
      <xdr:col>14</xdr:col>
      <xdr:colOff>666750</xdr:colOff>
      <xdr:row>8</xdr:row>
      <xdr:rowOff>57150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CBAA430E-67DA-47C6-B013-9150C8904535}"/>
            </a:ext>
          </a:extLst>
        </xdr:cNvPr>
        <xdr:cNvSpPr/>
      </xdr:nvSpPr>
      <xdr:spPr>
        <a:xfrm>
          <a:off x="10506075" y="1019175"/>
          <a:ext cx="371475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800"/>
            <a:t>op</a:t>
          </a:r>
          <a:r>
            <a:rPr lang="fr-CH" sz="800" baseline="0"/>
            <a:t> 1</a:t>
          </a:r>
          <a:endParaRPr lang="fr-CH" sz="800"/>
        </a:p>
      </xdr:txBody>
    </xdr:sp>
    <xdr:clientData/>
  </xdr:twoCellAnchor>
  <xdr:twoCellAnchor>
    <xdr:from>
      <xdr:col>14</xdr:col>
      <xdr:colOff>723900</xdr:colOff>
      <xdr:row>6</xdr:row>
      <xdr:rowOff>66675</xdr:rowOff>
    </xdr:from>
    <xdr:to>
      <xdr:col>15</xdr:col>
      <xdr:colOff>333375</xdr:colOff>
      <xdr:row>8</xdr:row>
      <xdr:rowOff>57150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CC4D5C86-B922-480A-80AD-0ECBF660E959}"/>
            </a:ext>
          </a:extLst>
        </xdr:cNvPr>
        <xdr:cNvSpPr/>
      </xdr:nvSpPr>
      <xdr:spPr>
        <a:xfrm>
          <a:off x="10934700" y="1019175"/>
          <a:ext cx="371475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800"/>
            <a:t>op 2</a:t>
          </a:r>
        </a:p>
      </xdr:txBody>
    </xdr:sp>
    <xdr:clientData/>
  </xdr:twoCellAnchor>
  <xdr:twoCellAnchor>
    <xdr:from>
      <xdr:col>17</xdr:col>
      <xdr:colOff>76200</xdr:colOff>
      <xdr:row>2</xdr:row>
      <xdr:rowOff>38100</xdr:rowOff>
    </xdr:from>
    <xdr:to>
      <xdr:col>19</xdr:col>
      <xdr:colOff>266700</xdr:colOff>
      <xdr:row>4</xdr:row>
      <xdr:rowOff>28575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89564FF9-3FBD-4F78-B724-A838F00CD4A1}"/>
            </a:ext>
          </a:extLst>
        </xdr:cNvPr>
        <xdr:cNvSpPr/>
      </xdr:nvSpPr>
      <xdr:spPr>
        <a:xfrm>
          <a:off x="12573000" y="228600"/>
          <a:ext cx="1714500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1100"/>
            <a:t>decolletage</a:t>
          </a:r>
        </a:p>
      </xdr:txBody>
    </xdr:sp>
    <xdr:clientData/>
  </xdr:twoCellAnchor>
  <xdr:twoCellAnchor>
    <xdr:from>
      <xdr:col>17</xdr:col>
      <xdr:colOff>76200</xdr:colOff>
      <xdr:row>4</xdr:row>
      <xdr:rowOff>57150</xdr:rowOff>
    </xdr:from>
    <xdr:to>
      <xdr:col>18</xdr:col>
      <xdr:colOff>114300</xdr:colOff>
      <xdr:row>6</xdr:row>
      <xdr:rowOff>47625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7B66881-F7E9-4DD0-A240-BBEB7E7A76FB}"/>
            </a:ext>
          </a:extLst>
        </xdr:cNvPr>
        <xdr:cNvSpPr/>
      </xdr:nvSpPr>
      <xdr:spPr>
        <a:xfrm>
          <a:off x="12573000" y="628650"/>
          <a:ext cx="800100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1000"/>
            <a:t>nettoyage</a:t>
          </a:r>
        </a:p>
      </xdr:txBody>
    </xdr:sp>
    <xdr:clientData/>
  </xdr:twoCellAnchor>
  <xdr:twoCellAnchor>
    <xdr:from>
      <xdr:col>17</xdr:col>
      <xdr:colOff>76200</xdr:colOff>
      <xdr:row>6</xdr:row>
      <xdr:rowOff>85725</xdr:rowOff>
    </xdr:from>
    <xdr:to>
      <xdr:col>17</xdr:col>
      <xdr:colOff>447675</xdr:colOff>
      <xdr:row>8</xdr:row>
      <xdr:rowOff>76200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395DEDE-5301-4F18-B499-E3B94FEDCD86}"/>
            </a:ext>
          </a:extLst>
        </xdr:cNvPr>
        <xdr:cNvSpPr/>
      </xdr:nvSpPr>
      <xdr:spPr>
        <a:xfrm>
          <a:off x="12573000" y="1038225"/>
          <a:ext cx="371475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800"/>
            <a:t>durc</a:t>
          </a:r>
        </a:p>
      </xdr:txBody>
    </xdr:sp>
    <xdr:clientData/>
  </xdr:twoCellAnchor>
  <xdr:twoCellAnchor>
    <xdr:from>
      <xdr:col>18</xdr:col>
      <xdr:colOff>219075</xdr:colOff>
      <xdr:row>4</xdr:row>
      <xdr:rowOff>57150</xdr:rowOff>
    </xdr:from>
    <xdr:to>
      <xdr:col>19</xdr:col>
      <xdr:colOff>257175</xdr:colOff>
      <xdr:row>6</xdr:row>
      <xdr:rowOff>47625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E1CD7ACA-AA34-41E8-8B0A-359E71CA03F0}"/>
            </a:ext>
          </a:extLst>
        </xdr:cNvPr>
        <xdr:cNvSpPr/>
      </xdr:nvSpPr>
      <xdr:spPr>
        <a:xfrm>
          <a:off x="13477875" y="628650"/>
          <a:ext cx="800100" cy="3714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1000">
              <a:solidFill>
                <a:sysClr val="windowText" lastClr="000000"/>
              </a:solidFill>
            </a:rPr>
            <a:t>sans </a:t>
          </a:r>
        </a:p>
      </xdr:txBody>
    </xdr:sp>
    <xdr:clientData/>
  </xdr:twoCellAnchor>
  <xdr:twoCellAnchor>
    <xdr:from>
      <xdr:col>17</xdr:col>
      <xdr:colOff>523875</xdr:colOff>
      <xdr:row>6</xdr:row>
      <xdr:rowOff>85725</xdr:rowOff>
    </xdr:from>
    <xdr:to>
      <xdr:col>18</xdr:col>
      <xdr:colOff>133350</xdr:colOff>
      <xdr:row>8</xdr:row>
      <xdr:rowOff>76200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C0C9D64F-256E-45EE-8454-3A97813DFD45}"/>
            </a:ext>
          </a:extLst>
        </xdr:cNvPr>
        <xdr:cNvSpPr/>
      </xdr:nvSpPr>
      <xdr:spPr>
        <a:xfrm>
          <a:off x="13020675" y="1038225"/>
          <a:ext cx="371475" cy="3714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800">
              <a:solidFill>
                <a:sysClr val="windowText" lastClr="000000"/>
              </a:solidFill>
            </a:rPr>
            <a:t>sans</a:t>
          </a:r>
        </a:p>
      </xdr:txBody>
    </xdr:sp>
    <xdr:clientData/>
  </xdr:twoCellAnchor>
  <xdr:twoCellAnchor>
    <xdr:from>
      <xdr:col>18</xdr:col>
      <xdr:colOff>228600</xdr:colOff>
      <xdr:row>6</xdr:row>
      <xdr:rowOff>85725</xdr:rowOff>
    </xdr:from>
    <xdr:to>
      <xdr:col>18</xdr:col>
      <xdr:colOff>600075</xdr:colOff>
      <xdr:row>8</xdr:row>
      <xdr:rowOff>76200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1DC9926-3970-4B40-9C8B-C85CCD51C881}"/>
            </a:ext>
          </a:extLst>
        </xdr:cNvPr>
        <xdr:cNvSpPr/>
      </xdr:nvSpPr>
      <xdr:spPr>
        <a:xfrm>
          <a:off x="13487400" y="1038225"/>
          <a:ext cx="371475" cy="3714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800">
              <a:solidFill>
                <a:sysClr val="windowText" lastClr="000000"/>
              </a:solidFill>
            </a:rPr>
            <a:t>sans</a:t>
          </a:r>
        </a:p>
      </xdr:txBody>
    </xdr:sp>
    <xdr:clientData/>
  </xdr:twoCellAnchor>
  <xdr:twoCellAnchor>
    <xdr:from>
      <xdr:col>18</xdr:col>
      <xdr:colOff>647700</xdr:colOff>
      <xdr:row>6</xdr:row>
      <xdr:rowOff>85725</xdr:rowOff>
    </xdr:from>
    <xdr:to>
      <xdr:col>19</xdr:col>
      <xdr:colOff>257175</xdr:colOff>
      <xdr:row>8</xdr:row>
      <xdr:rowOff>76200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80899072-D5B4-4F22-B0B6-42B6308FE74C}"/>
            </a:ext>
          </a:extLst>
        </xdr:cNvPr>
        <xdr:cNvSpPr/>
      </xdr:nvSpPr>
      <xdr:spPr>
        <a:xfrm>
          <a:off x="13906500" y="1038225"/>
          <a:ext cx="371475" cy="3714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800">
              <a:solidFill>
                <a:sysClr val="windowText" lastClr="000000"/>
              </a:solidFill>
            </a:rPr>
            <a:t>sans</a:t>
          </a:r>
        </a:p>
      </xdr:txBody>
    </xdr:sp>
    <xdr:clientData/>
  </xdr:twoCellAnchor>
  <xdr:twoCellAnchor>
    <xdr:from>
      <xdr:col>12</xdr:col>
      <xdr:colOff>752475</xdr:colOff>
      <xdr:row>5</xdr:row>
      <xdr:rowOff>104775</xdr:rowOff>
    </xdr:from>
    <xdr:to>
      <xdr:col>13</xdr:col>
      <xdr:colOff>209550</xdr:colOff>
      <xdr:row>5</xdr:row>
      <xdr:rowOff>104775</xdr:rowOff>
    </xdr:to>
    <xdr:cxnSp macro="">
      <xdr:nvCxnSpPr>
        <xdr:cNvPr id="70" name="Connecteur droit avec flèche 69">
          <a:extLst>
            <a:ext uri="{FF2B5EF4-FFF2-40B4-BE49-F238E27FC236}">
              <a16:creationId xmlns:a16="http://schemas.microsoft.com/office/drawing/2014/main" id="{2176CE68-E152-4A8E-AA3E-55DBA5645E98}"/>
            </a:ext>
          </a:extLst>
        </xdr:cNvPr>
        <xdr:cNvCxnSpPr/>
      </xdr:nvCxnSpPr>
      <xdr:spPr>
        <a:xfrm>
          <a:off x="9439275" y="866775"/>
          <a:ext cx="219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6</xdr:row>
      <xdr:rowOff>0</xdr:rowOff>
    </xdr:from>
    <xdr:to>
      <xdr:col>13</xdr:col>
      <xdr:colOff>142875</xdr:colOff>
      <xdr:row>7</xdr:row>
      <xdr:rowOff>52388</xdr:rowOff>
    </xdr:to>
    <xdr:cxnSp macro="">
      <xdr:nvCxnSpPr>
        <xdr:cNvPr id="71" name="Connecteur droit avec flèche 70">
          <a:extLst>
            <a:ext uri="{FF2B5EF4-FFF2-40B4-BE49-F238E27FC236}">
              <a16:creationId xmlns:a16="http://schemas.microsoft.com/office/drawing/2014/main" id="{697306CD-D499-45F5-93BD-4D62EC8FBEE0}"/>
            </a:ext>
          </a:extLst>
        </xdr:cNvPr>
        <xdr:cNvCxnSpPr>
          <a:endCxn id="59" idx="1"/>
        </xdr:cNvCxnSpPr>
      </xdr:nvCxnSpPr>
      <xdr:spPr>
        <a:xfrm>
          <a:off x="9458325" y="952500"/>
          <a:ext cx="133350" cy="2428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723900</xdr:colOff>
      <xdr:row>3</xdr:row>
      <xdr:rowOff>123825</xdr:rowOff>
    </xdr:from>
    <xdr:to>
      <xdr:col>13</xdr:col>
      <xdr:colOff>133350</xdr:colOff>
      <xdr:row>5</xdr:row>
      <xdr:rowOff>38100</xdr:rowOff>
    </xdr:to>
    <xdr:cxnSp macro="">
      <xdr:nvCxnSpPr>
        <xdr:cNvPr id="72" name="Connecteur droit avec flèche 71">
          <a:extLst>
            <a:ext uri="{FF2B5EF4-FFF2-40B4-BE49-F238E27FC236}">
              <a16:creationId xmlns:a16="http://schemas.microsoft.com/office/drawing/2014/main" id="{64A001D9-64A1-41C3-9CF2-8D12589B3462}"/>
            </a:ext>
          </a:extLst>
        </xdr:cNvPr>
        <xdr:cNvCxnSpPr/>
      </xdr:nvCxnSpPr>
      <xdr:spPr>
        <a:xfrm flipV="1">
          <a:off x="9410700" y="504825"/>
          <a:ext cx="17145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2906-329E-4D21-A7EE-68990AC4B01E}">
  <dimension ref="A3:AM55"/>
  <sheetViews>
    <sheetView showGridLines="0" tabSelected="1" topLeftCell="I6" zoomScale="70" zoomScaleNormal="70" workbookViewId="0">
      <selection activeCell="AE25" sqref="AE25"/>
    </sheetView>
  </sheetViews>
  <sheetFormatPr baseColWidth="10" defaultColWidth="11.42578125" defaultRowHeight="15" x14ac:dyDescent="0.25"/>
  <cols>
    <col min="1" max="1" width="9.85546875" customWidth="1"/>
    <col min="2" max="2" width="5.28515625" bestFit="1" customWidth="1"/>
    <col min="3" max="3" width="10" bestFit="1" customWidth="1"/>
    <col min="6" max="6" width="12.7109375" customWidth="1"/>
    <col min="22" max="22" width="14" bestFit="1" customWidth="1"/>
    <col min="23" max="23" width="3" bestFit="1" customWidth="1"/>
    <col min="25" max="25" width="14.42578125" customWidth="1"/>
    <col min="39" max="39" width="9.7109375" customWidth="1"/>
  </cols>
  <sheetData>
    <row r="3" spans="1:39" x14ac:dyDescent="0.25">
      <c r="B3" s="32" t="s">
        <v>34</v>
      </c>
      <c r="M3" s="33"/>
    </row>
    <row r="4" spans="1:39" x14ac:dyDescent="0.25">
      <c r="B4" t="s">
        <v>35</v>
      </c>
    </row>
    <row r="5" spans="1:39" x14ac:dyDescent="0.25">
      <c r="B5" t="s">
        <v>40</v>
      </c>
    </row>
    <row r="6" spans="1:39" x14ac:dyDescent="0.25">
      <c r="B6" t="s">
        <v>41</v>
      </c>
      <c r="M6" s="33" t="s">
        <v>36</v>
      </c>
    </row>
    <row r="7" spans="1:39" x14ac:dyDescent="0.25">
      <c r="B7" t="s">
        <v>37</v>
      </c>
    </row>
    <row r="9" spans="1:39" x14ac:dyDescent="0.25">
      <c r="B9" t="s">
        <v>42</v>
      </c>
    </row>
    <row r="10" spans="1:39" x14ac:dyDescent="0.25">
      <c r="B10" t="s">
        <v>43</v>
      </c>
      <c r="N10" s="62" t="s">
        <v>38</v>
      </c>
      <c r="O10" s="62"/>
      <c r="P10" s="62"/>
      <c r="R10" s="62" t="s">
        <v>39</v>
      </c>
      <c r="S10" s="62"/>
      <c r="T10" s="62"/>
    </row>
    <row r="12" spans="1:39" ht="15" customHeight="1" x14ac:dyDescent="0.25">
      <c r="B12" s="54" t="s">
        <v>47</v>
      </c>
      <c r="C12" s="54"/>
      <c r="D12" s="54"/>
      <c r="E12" s="54"/>
      <c r="F12" s="54"/>
      <c r="G12" s="54"/>
      <c r="H12" s="54"/>
      <c r="I12" s="54"/>
      <c r="J12" s="55" t="s">
        <v>46</v>
      </c>
      <c r="K12" s="55"/>
      <c r="L12" s="55"/>
      <c r="M12" s="55"/>
      <c r="N12" s="55"/>
      <c r="O12" s="55"/>
      <c r="P12" s="55"/>
      <c r="Q12" s="55"/>
      <c r="R12" s="55"/>
      <c r="S12" s="55"/>
      <c r="T12" s="57" t="s">
        <v>45</v>
      </c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6" t="s">
        <v>44</v>
      </c>
      <c r="AF12" s="56"/>
      <c r="AG12" s="56"/>
      <c r="AH12" s="56"/>
      <c r="AI12" s="56"/>
      <c r="AJ12" s="56"/>
      <c r="AK12" s="56"/>
      <c r="AL12" s="56"/>
      <c r="AM12" s="56"/>
    </row>
    <row r="13" spans="1:39" ht="15" customHeight="1" x14ac:dyDescent="0.25">
      <c r="B13" s="54"/>
      <c r="C13" s="54"/>
      <c r="D13" s="54"/>
      <c r="E13" s="54"/>
      <c r="F13" s="54"/>
      <c r="G13" s="54"/>
      <c r="H13" s="54"/>
      <c r="I13" s="54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6"/>
      <c r="AF13" s="56"/>
      <c r="AG13" s="56"/>
      <c r="AH13" s="56"/>
      <c r="AI13" s="56"/>
      <c r="AJ13" s="56"/>
      <c r="AK13" s="56"/>
      <c r="AL13" s="56"/>
      <c r="AM13" s="56"/>
    </row>
    <row r="14" spans="1:39" ht="15.75" customHeight="1" thickBot="1" x14ac:dyDescent="0.3">
      <c r="A14" s="78" t="s">
        <v>0</v>
      </c>
      <c r="AM14" s="78" t="s">
        <v>0</v>
      </c>
    </row>
    <row r="15" spans="1:39" x14ac:dyDescent="0.25">
      <c r="A15" s="78"/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2" t="s">
        <v>7</v>
      </c>
      <c r="J15" s="3" t="s">
        <v>8</v>
      </c>
      <c r="K15" s="4" t="s">
        <v>9</v>
      </c>
      <c r="L15" s="4" t="s">
        <v>10</v>
      </c>
      <c r="M15" s="5" t="s">
        <v>11</v>
      </c>
      <c r="N15" s="6" t="s">
        <v>12</v>
      </c>
      <c r="O15" s="6" t="s">
        <v>13</v>
      </c>
      <c r="P15" s="6" t="s">
        <v>14</v>
      </c>
      <c r="Q15" s="4" t="s">
        <v>15</v>
      </c>
      <c r="R15" s="4" t="s">
        <v>16</v>
      </c>
      <c r="S15" s="7" t="s">
        <v>17</v>
      </c>
      <c r="AM15" s="78"/>
    </row>
    <row r="16" spans="1:39" ht="15" customHeight="1" x14ac:dyDescent="0.25">
      <c r="A16" s="78"/>
      <c r="B16" s="79" t="s">
        <v>52</v>
      </c>
      <c r="C16" s="44"/>
      <c r="D16" s="44"/>
      <c r="E16" s="44"/>
      <c r="F16" s="44" t="s">
        <v>51</v>
      </c>
      <c r="G16" s="45" t="s">
        <v>49</v>
      </c>
      <c r="H16" s="44" t="s">
        <v>50</v>
      </c>
      <c r="I16" s="46" t="s">
        <v>18</v>
      </c>
      <c r="J16" s="58" t="s">
        <v>63</v>
      </c>
      <c r="K16" s="59"/>
      <c r="L16" s="59"/>
      <c r="M16" s="59"/>
      <c r="N16" s="59"/>
      <c r="O16" s="59"/>
      <c r="P16" s="59"/>
      <c r="Q16" s="59"/>
      <c r="R16" s="59"/>
      <c r="S16" s="60"/>
      <c r="T16" s="10" t="s">
        <v>19</v>
      </c>
      <c r="U16" s="1" t="s">
        <v>20</v>
      </c>
      <c r="Y16" s="61" t="s">
        <v>21</v>
      </c>
      <c r="Z16" s="61"/>
      <c r="AA16" s="61"/>
      <c r="AB16" s="61"/>
      <c r="AC16" s="61" t="s">
        <v>22</v>
      </c>
      <c r="AD16" s="61"/>
      <c r="AF16" s="48" t="s">
        <v>23</v>
      </c>
      <c r="AM16" s="78"/>
    </row>
    <row r="17" spans="1:39" ht="15" customHeight="1" x14ac:dyDescent="0.25">
      <c r="A17" s="78"/>
      <c r="B17" s="80"/>
      <c r="C17" s="70" t="s">
        <v>24</v>
      </c>
      <c r="D17" s="70" t="s">
        <v>24</v>
      </c>
      <c r="E17" s="70" t="s">
        <v>24</v>
      </c>
      <c r="F17" s="70" t="s">
        <v>24</v>
      </c>
      <c r="G17" s="70" t="s">
        <v>24</v>
      </c>
      <c r="H17" s="65" t="s">
        <v>24</v>
      </c>
      <c r="I17" s="9" t="s">
        <v>25</v>
      </c>
      <c r="J17" s="35">
        <v>0.81399854998305621</v>
      </c>
      <c r="K17" s="36">
        <v>0.54149812851326085</v>
      </c>
      <c r="L17" s="36">
        <v>0.41950728522005221</v>
      </c>
      <c r="M17" s="36">
        <v>0.21168716792456432</v>
      </c>
      <c r="N17" s="36">
        <v>0.77367880506814912</v>
      </c>
      <c r="O17" s="36">
        <v>0.64810307901731612</v>
      </c>
      <c r="P17" s="36">
        <v>0.48925904113669816</v>
      </c>
      <c r="Q17" s="36">
        <v>0.40255644362461196</v>
      </c>
      <c r="R17" s="36">
        <v>0.36597255861539946</v>
      </c>
      <c r="S17" s="37">
        <v>0.60422093070780492</v>
      </c>
      <c r="T17" s="11">
        <f t="shared" ref="T17:T21" si="0">IF(J17="","",AVERAGE(J17:S17))</f>
        <v>0.52704819898109134</v>
      </c>
      <c r="U17" s="11">
        <f t="shared" ref="U17:U21" si="1">IF(J17="","",VAR(J17:S17))</f>
        <v>3.5319453592043505E-2</v>
      </c>
      <c r="V17" s="63" t="str">
        <f>I16</f>
        <v>mesure</v>
      </c>
      <c r="W17" s="65" t="s">
        <v>7</v>
      </c>
      <c r="Y17" s="47" t="s">
        <v>26</v>
      </c>
      <c r="Z17" s="47" t="s">
        <v>19</v>
      </c>
      <c r="AA17" s="47" t="s">
        <v>27</v>
      </c>
      <c r="AB17" s="47" t="s">
        <v>28</v>
      </c>
      <c r="AC17" s="47" t="s">
        <v>29</v>
      </c>
      <c r="AD17" s="47" t="s">
        <v>30</v>
      </c>
      <c r="AF17" s="12">
        <f>(AC25-AC24)/AC25</f>
        <v>0.99168335551032705</v>
      </c>
      <c r="AM17" s="78"/>
    </row>
    <row r="18" spans="1:39" ht="15" customHeight="1" x14ac:dyDescent="0.25">
      <c r="A18" s="78"/>
      <c r="B18" s="80"/>
      <c r="C18" s="71"/>
      <c r="D18" s="71"/>
      <c r="E18" s="71"/>
      <c r="F18" s="71"/>
      <c r="G18" s="71"/>
      <c r="H18" s="73"/>
      <c r="I18" s="9" t="s">
        <v>31</v>
      </c>
      <c r="J18" s="35">
        <v>8.272862822405036E-2</v>
      </c>
      <c r="K18" s="36">
        <v>0.40364571174644603</v>
      </c>
      <c r="L18" s="36">
        <v>0.9876403005205473</v>
      </c>
      <c r="M18" s="36">
        <v>0.25732837680597698</v>
      </c>
      <c r="N18" s="36">
        <v>0.50763705315457019</v>
      </c>
      <c r="O18" s="36">
        <v>0.96694890960371804</v>
      </c>
      <c r="P18" s="36">
        <v>0.60119450079394032</v>
      </c>
      <c r="Q18" s="36">
        <v>0.24652364662162307</v>
      </c>
      <c r="R18" s="36">
        <v>0.26983906036171612</v>
      </c>
      <c r="S18" s="37">
        <v>0.71638936339565595</v>
      </c>
      <c r="T18" s="11">
        <f t="shared" si="0"/>
        <v>0.50398755512282434</v>
      </c>
      <c r="U18" s="11">
        <f t="shared" si="1"/>
        <v>9.6923525800591631E-2</v>
      </c>
      <c r="V18" s="63"/>
      <c r="W18" s="66"/>
      <c r="Y18" s="8">
        <f>C$16</f>
        <v>0</v>
      </c>
      <c r="Z18" s="13">
        <f>AVERAGE(T17:T24)</f>
        <v>0.54929058116508345</v>
      </c>
      <c r="AA18" s="13" t="str">
        <f>IF(T24="","",ABS(Z19-T24))</f>
        <v/>
      </c>
      <c r="AB18" s="14">
        <v>0.875</v>
      </c>
      <c r="AC18" s="15" t="str">
        <f>IF(AA18="","",AA18^2*AB18)</f>
        <v/>
      </c>
      <c r="AD18" s="16" t="str">
        <f>IF(AC18="","",AC18/$AC$25)</f>
        <v/>
      </c>
      <c r="AM18" s="78"/>
    </row>
    <row r="19" spans="1:39" x14ac:dyDescent="0.25">
      <c r="A19" s="78"/>
      <c r="B19" s="80"/>
      <c r="C19" s="71"/>
      <c r="D19" s="71"/>
      <c r="E19" s="71"/>
      <c r="F19" s="71"/>
      <c r="G19" s="72"/>
      <c r="H19" s="74" t="s">
        <v>53</v>
      </c>
      <c r="I19" s="75"/>
      <c r="J19" s="35">
        <v>0.95445210227209432</v>
      </c>
      <c r="K19" s="36">
        <v>0.59294541822593705</v>
      </c>
      <c r="L19" s="36">
        <v>0.85769347181357269</v>
      </c>
      <c r="M19" s="36">
        <v>0.85678359433585571</v>
      </c>
      <c r="N19" s="36">
        <v>0.49092383076489321</v>
      </c>
      <c r="O19" s="36">
        <v>0.65536773633046597</v>
      </c>
      <c r="P19" s="36">
        <v>0.95275386099865667</v>
      </c>
      <c r="Q19" s="36">
        <v>0.79774733159971289</v>
      </c>
      <c r="R19" s="36">
        <v>0.63196511392754728</v>
      </c>
      <c r="S19" s="37">
        <v>0.23465093566786133</v>
      </c>
      <c r="T19" s="11">
        <f t="shared" si="0"/>
        <v>0.70252833959365979</v>
      </c>
      <c r="U19" s="11">
        <f t="shared" si="1"/>
        <v>5.1768154812062366E-2</v>
      </c>
      <c r="V19" s="17" t="str">
        <f>H16</f>
        <v>séchage</v>
      </c>
      <c r="W19" s="1" t="s">
        <v>6</v>
      </c>
      <c r="Y19" s="8">
        <f>D16</f>
        <v>0</v>
      </c>
      <c r="Z19" s="13">
        <f>AVERAGE(T17:T23)</f>
        <v>0.54929058116508345</v>
      </c>
      <c r="AA19" s="13" t="str">
        <f>IF(T23="","",ABS(Z20-T23))</f>
        <v/>
      </c>
      <c r="AB19" s="14">
        <v>0.8571428571428571</v>
      </c>
      <c r="AC19" s="15" t="str">
        <f>IF(AA19="","",AA19^2*AB19)</f>
        <v/>
      </c>
      <c r="AD19" s="16" t="str">
        <f t="shared" ref="AD19:AD24" si="2">IF(AC19="","",AC19/$AC$25)</f>
        <v/>
      </c>
      <c r="AM19" s="78"/>
    </row>
    <row r="20" spans="1:39" x14ac:dyDescent="0.25">
      <c r="A20" s="78"/>
      <c r="B20" s="80"/>
      <c r="C20" s="71"/>
      <c r="D20" s="71"/>
      <c r="E20" s="71"/>
      <c r="F20" s="72"/>
      <c r="G20" s="76" t="s">
        <v>54</v>
      </c>
      <c r="H20" s="77"/>
      <c r="I20" s="77"/>
      <c r="J20" s="35">
        <v>0.83617996850314491</v>
      </c>
      <c r="K20" s="36">
        <v>0.95230324654586063</v>
      </c>
      <c r="L20" s="36">
        <v>0.66548715791689328</v>
      </c>
      <c r="M20" s="36">
        <v>0.18122665322731024</v>
      </c>
      <c r="N20" s="36">
        <v>2.2862304818250356E-2</v>
      </c>
      <c r="O20" s="36">
        <v>0.2853040215146746</v>
      </c>
      <c r="P20" s="36">
        <v>0.87900015588056557</v>
      </c>
      <c r="Q20" s="36">
        <v>0.12832448299068688</v>
      </c>
      <c r="R20" s="36">
        <v>0.60450266162516064</v>
      </c>
      <c r="S20" s="37">
        <v>0.17227134117326082</v>
      </c>
      <c r="T20" s="11">
        <f t="shared" si="0"/>
        <v>0.47274619941958085</v>
      </c>
      <c r="U20" s="11">
        <f t="shared" si="1"/>
        <v>0.12367059768798594</v>
      </c>
      <c r="V20" s="18" t="str">
        <f>G16</f>
        <v>rinçage</v>
      </c>
      <c r="W20" s="1" t="s">
        <v>5</v>
      </c>
      <c r="Y20" s="8">
        <f>E16</f>
        <v>0</v>
      </c>
      <c r="Z20" s="13">
        <f>AVERAGE(T17:T22)</f>
        <v>0.54929058116508345</v>
      </c>
      <c r="AA20" s="13" t="str">
        <f>IF(T22="","",ABS(Z21-T22))</f>
        <v/>
      </c>
      <c r="AB20" s="14">
        <v>0.83333333333333337</v>
      </c>
      <c r="AC20" s="15" t="str">
        <f>IF(AA20="","",AA20^2*AB20)</f>
        <v/>
      </c>
      <c r="AD20" s="16" t="str">
        <f t="shared" si="2"/>
        <v/>
      </c>
      <c r="AM20" s="78"/>
    </row>
    <row r="21" spans="1:39" x14ac:dyDescent="0.25">
      <c r="A21" s="78"/>
      <c r="B21" s="80"/>
      <c r="C21" s="71"/>
      <c r="D21" s="71"/>
      <c r="E21" s="72"/>
      <c r="F21" s="82" t="s">
        <v>55</v>
      </c>
      <c r="G21" s="83"/>
      <c r="H21" s="83"/>
      <c r="I21" s="83"/>
      <c r="J21" s="35">
        <v>0.94995038735956261</v>
      </c>
      <c r="K21" s="36">
        <v>0.44806890855734149</v>
      </c>
      <c r="L21" s="36">
        <v>0.32412230408821741</v>
      </c>
      <c r="M21" s="36">
        <v>0.46316563854690318</v>
      </c>
      <c r="N21" s="36">
        <v>0.85901020545024054</v>
      </c>
      <c r="O21" s="36">
        <v>0.39679408159141905</v>
      </c>
      <c r="P21" s="36">
        <v>0.91230489319994057</v>
      </c>
      <c r="Q21" s="36">
        <v>0.51152169613757115</v>
      </c>
      <c r="R21" s="36">
        <v>0.46555450434019618</v>
      </c>
      <c r="S21" s="37">
        <v>7.0933507811215435E-2</v>
      </c>
      <c r="T21" s="11">
        <f t="shared" si="0"/>
        <v>0.54014261270826069</v>
      </c>
      <c r="U21" s="11">
        <f t="shared" si="1"/>
        <v>7.9586671159645475E-2</v>
      </c>
      <c r="V21" s="19" t="str">
        <f>F16</f>
        <v>lavage</v>
      </c>
      <c r="W21" s="1" t="s">
        <v>4</v>
      </c>
      <c r="Y21" s="20" t="str">
        <f>F16</f>
        <v>lavage</v>
      </c>
      <c r="Z21" s="15">
        <f>AVERAGE(T17:T21)</f>
        <v>0.54929058116508345</v>
      </c>
      <c r="AA21" s="13">
        <f>IF(T21="","",ABS(Z22-T21))</f>
        <v>1.143496057102833E-2</v>
      </c>
      <c r="AB21" s="21">
        <v>0.8</v>
      </c>
      <c r="AC21" s="15">
        <f>IF(AA21="","",AA21^2*AB21)</f>
        <v>1.0460665860877804E-4</v>
      </c>
      <c r="AD21" s="16">
        <f t="shared" si="2"/>
        <v>3.2718591934995742E-3</v>
      </c>
      <c r="AM21" s="78"/>
    </row>
    <row r="22" spans="1:39" x14ac:dyDescent="0.25">
      <c r="A22" s="78"/>
      <c r="B22" s="80"/>
      <c r="C22" s="71"/>
      <c r="D22" s="72"/>
      <c r="E22" s="84" t="s">
        <v>32</v>
      </c>
      <c r="F22" s="85"/>
      <c r="G22" s="85"/>
      <c r="H22" s="85"/>
      <c r="I22" s="85"/>
      <c r="J22" s="35"/>
      <c r="K22" s="36"/>
      <c r="L22" s="36"/>
      <c r="M22" s="36"/>
      <c r="N22" s="36"/>
      <c r="O22" s="36"/>
      <c r="P22" s="36"/>
      <c r="Q22" s="36"/>
      <c r="R22" s="36"/>
      <c r="S22" s="37"/>
      <c r="T22" s="11" t="str">
        <f>IF(J22="","",AVERAGE(J22:S22))</f>
        <v/>
      </c>
      <c r="U22" s="11" t="str">
        <f>IF(J22="","",VAR(J22:S22))</f>
        <v/>
      </c>
      <c r="V22" s="19">
        <f>E16</f>
        <v>0</v>
      </c>
      <c r="W22" s="1" t="s">
        <v>3</v>
      </c>
      <c r="Y22" s="1" t="str">
        <f>G16</f>
        <v>rinçage</v>
      </c>
      <c r="Z22" s="15">
        <f>AVERAGE(T17:T20)</f>
        <v>0.55157757327928902</v>
      </c>
      <c r="AA22" s="13">
        <f>ABS(Z23-T20)</f>
        <v>0.1051084984796109</v>
      </c>
      <c r="AB22" s="22">
        <v>0.75</v>
      </c>
      <c r="AC22" s="15">
        <f>AA22^2*AB22</f>
        <v>8.2858473394787739E-3</v>
      </c>
      <c r="AD22" s="16">
        <f t="shared" si="2"/>
        <v>0.25916252516006355</v>
      </c>
      <c r="AM22" s="78"/>
    </row>
    <row r="23" spans="1:39" x14ac:dyDescent="0.25">
      <c r="A23" s="78"/>
      <c r="B23" s="80"/>
      <c r="C23" s="72"/>
      <c r="D23" s="74" t="s">
        <v>32</v>
      </c>
      <c r="E23" s="75"/>
      <c r="F23" s="75"/>
      <c r="G23" s="75"/>
      <c r="H23" s="75"/>
      <c r="I23" s="75"/>
      <c r="J23" s="35"/>
      <c r="K23" s="36"/>
      <c r="L23" s="36"/>
      <c r="M23" s="36"/>
      <c r="N23" s="36"/>
      <c r="O23" s="36"/>
      <c r="P23" s="36"/>
      <c r="Q23" s="36"/>
      <c r="R23" s="36"/>
      <c r="S23" s="37"/>
      <c r="T23" s="11" t="str">
        <f t="shared" ref="T23:T24" si="3">IF(J23="","",AVERAGE(J23:S23))</f>
        <v/>
      </c>
      <c r="U23" s="11" t="str">
        <f t="shared" ref="U23:U24" si="4">IF(J23="","",VAR(J23:S23))</f>
        <v/>
      </c>
      <c r="V23" s="19">
        <f>D16</f>
        <v>0</v>
      </c>
      <c r="W23" s="1" t="s">
        <v>2</v>
      </c>
      <c r="Y23" s="17" t="str">
        <f>H16</f>
        <v>séchage</v>
      </c>
      <c r="Z23" s="15">
        <f>AVERAGE(T17:T19)</f>
        <v>0.57785469789919175</v>
      </c>
      <c r="AA23" s="13">
        <f>ABS(Z24-T19)</f>
        <v>0.18701046254170195</v>
      </c>
      <c r="AB23" s="22">
        <v>0.66666666666666663</v>
      </c>
      <c r="AC23" s="15">
        <f>AA23^2*AB23</f>
        <v>2.3315275400040872E-2</v>
      </c>
      <c r="AD23" s="16">
        <f t="shared" si="2"/>
        <v>0.72924897115676357</v>
      </c>
      <c r="AM23" s="78"/>
    </row>
    <row r="24" spans="1:39" ht="15.75" thickBot="1" x14ac:dyDescent="0.3">
      <c r="A24" s="78"/>
      <c r="B24" s="81"/>
      <c r="C24" s="86" t="s">
        <v>32</v>
      </c>
      <c r="D24" s="77"/>
      <c r="E24" s="77"/>
      <c r="F24" s="77"/>
      <c r="G24" s="77"/>
      <c r="H24" s="77"/>
      <c r="I24" s="77"/>
      <c r="J24" s="50"/>
      <c r="K24" s="51"/>
      <c r="L24" s="51"/>
      <c r="M24" s="51"/>
      <c r="N24" s="51"/>
      <c r="O24" s="51"/>
      <c r="P24" s="51"/>
      <c r="Q24" s="51"/>
      <c r="R24" s="51"/>
      <c r="S24" s="52"/>
      <c r="T24" s="11" t="str">
        <f t="shared" si="3"/>
        <v/>
      </c>
      <c r="U24" s="11" t="str">
        <f t="shared" si="4"/>
        <v/>
      </c>
      <c r="V24" s="19">
        <f>C16</f>
        <v>0</v>
      </c>
      <c r="W24" s="1" t="s">
        <v>1</v>
      </c>
      <c r="Y24" s="17" t="str">
        <f>I16</f>
        <v>mesure</v>
      </c>
      <c r="Z24" s="15">
        <f>AVERAGE(T17:T18)</f>
        <v>0.51551787705195784</v>
      </c>
      <c r="AA24" s="13">
        <f>ABS(T17-T18)</f>
        <v>2.3060643858267005E-2</v>
      </c>
      <c r="AB24" s="22">
        <v>0.5</v>
      </c>
      <c r="AC24" s="15">
        <f t="shared" ref="AC24" si="5">AA24^2*AB24</f>
        <v>2.6589664757891389E-4</v>
      </c>
      <c r="AD24" s="16">
        <f t="shared" si="2"/>
        <v>8.3166444896728784E-3</v>
      </c>
      <c r="AM24" s="78"/>
    </row>
    <row r="25" spans="1:39" ht="15.75" thickBot="1" x14ac:dyDescent="0.3">
      <c r="A25" s="78"/>
      <c r="C25" s="23"/>
      <c r="D25" s="24"/>
      <c r="E25" s="23"/>
      <c r="F25" s="24"/>
      <c r="G25" s="25"/>
      <c r="H25" s="24"/>
      <c r="I25" s="23"/>
      <c r="J25" s="26"/>
      <c r="K25" s="27"/>
      <c r="L25" s="27"/>
      <c r="M25" s="27"/>
      <c r="N25" s="27"/>
      <c r="O25" s="27"/>
      <c r="P25" s="28"/>
      <c r="Q25" s="27"/>
      <c r="R25" s="27"/>
      <c r="S25" s="29"/>
      <c r="T25" s="27"/>
      <c r="U25" s="27"/>
      <c r="V25" s="27"/>
      <c r="W25" s="27"/>
      <c r="X25" s="27"/>
      <c r="Y25" s="27"/>
      <c r="Z25" s="27"/>
      <c r="AA25" s="27"/>
      <c r="AB25" s="47" t="s">
        <v>33</v>
      </c>
      <c r="AC25" s="15">
        <f>DEVSQ(T17:T24)</f>
        <v>3.1971626045707351E-2</v>
      </c>
      <c r="AD25" s="16">
        <f>SUM(AD18:AD24)</f>
        <v>0.99999999999999956</v>
      </c>
      <c r="AE25" t="s">
        <v>48</v>
      </c>
      <c r="AM25" s="78"/>
    </row>
    <row r="26" spans="1:39" x14ac:dyDescent="0.25">
      <c r="A26" s="78"/>
      <c r="C26" t="s">
        <v>56</v>
      </c>
      <c r="G26" s="53">
        <f>COUNT(J17:S24)-COUNT(J17:S17)</f>
        <v>40</v>
      </c>
      <c r="I26" s="30"/>
      <c r="J26" s="67" t="s">
        <v>64</v>
      </c>
      <c r="K26" s="68"/>
      <c r="L26" s="68"/>
      <c r="M26" s="68"/>
      <c r="N26" s="68"/>
      <c r="O26" s="68"/>
      <c r="P26" s="68"/>
      <c r="Q26" s="68"/>
      <c r="R26" s="68"/>
      <c r="S26" s="69"/>
      <c r="T26" s="10" t="s">
        <v>19</v>
      </c>
      <c r="U26" s="1" t="s">
        <v>20</v>
      </c>
      <c r="Y26" s="61" t="s">
        <v>21</v>
      </c>
      <c r="Z26" s="61"/>
      <c r="AA26" s="61"/>
      <c r="AB26" s="61"/>
      <c r="AC26" s="61" t="s">
        <v>22</v>
      </c>
      <c r="AD26" s="61"/>
      <c r="AF26" s="48" t="s">
        <v>23</v>
      </c>
      <c r="AM26" s="78"/>
    </row>
    <row r="27" spans="1:39" x14ac:dyDescent="0.25">
      <c r="A27" s="78"/>
      <c r="J27" s="35">
        <f>J17</f>
        <v>0.81399854998305621</v>
      </c>
      <c r="K27" s="36">
        <f t="shared" ref="K27:S27" si="6">K17</f>
        <v>0.54149812851326085</v>
      </c>
      <c r="L27" s="36">
        <f t="shared" si="6"/>
        <v>0.41950728522005221</v>
      </c>
      <c r="M27" s="36">
        <f t="shared" si="6"/>
        <v>0.21168716792456432</v>
      </c>
      <c r="N27" s="36">
        <f t="shared" si="6"/>
        <v>0.77367880506814912</v>
      </c>
      <c r="O27" s="36">
        <f t="shared" si="6"/>
        <v>0.64810307901731612</v>
      </c>
      <c r="P27" s="36">
        <f t="shared" si="6"/>
        <v>0.48925904113669816</v>
      </c>
      <c r="Q27" s="36">
        <f t="shared" si="6"/>
        <v>0.40255644362461196</v>
      </c>
      <c r="R27" s="36">
        <f t="shared" si="6"/>
        <v>0.36597255861539946</v>
      </c>
      <c r="S27" s="37">
        <f t="shared" si="6"/>
        <v>0.60422093070780492</v>
      </c>
      <c r="T27" s="11">
        <f t="shared" ref="T27:T31" si="7">IF(J27="","",AVERAGE(J27:S27))</f>
        <v>0.52704819898109134</v>
      </c>
      <c r="U27" s="11">
        <f t="shared" ref="U27:U31" si="8">IF(J27="","",VAR(J27:S27))</f>
        <v>3.5319453592043505E-2</v>
      </c>
      <c r="V27" s="63" t="str">
        <f>V17</f>
        <v>mesure</v>
      </c>
      <c r="W27" s="65" t="s">
        <v>7</v>
      </c>
      <c r="Y27" s="47" t="s">
        <v>26</v>
      </c>
      <c r="Z27" s="47" t="s">
        <v>19</v>
      </c>
      <c r="AA27" s="47" t="s">
        <v>27</v>
      </c>
      <c r="AB27" s="47" t="s">
        <v>28</v>
      </c>
      <c r="AC27" s="47" t="s">
        <v>29</v>
      </c>
      <c r="AD27" s="47" t="s">
        <v>30</v>
      </c>
      <c r="AF27" s="12">
        <f>(AC35-AC34)/AC35</f>
        <v>0.99168335551032705</v>
      </c>
      <c r="AM27" s="78"/>
    </row>
    <row r="28" spans="1:39" x14ac:dyDescent="0.25">
      <c r="A28" s="78"/>
      <c r="J28" s="35">
        <f t="shared" ref="J28:S28" si="9">J18</f>
        <v>8.272862822405036E-2</v>
      </c>
      <c r="K28" s="36">
        <f t="shared" si="9"/>
        <v>0.40364571174644603</v>
      </c>
      <c r="L28" s="36">
        <f t="shared" si="9"/>
        <v>0.9876403005205473</v>
      </c>
      <c r="M28" s="36">
        <f t="shared" si="9"/>
        <v>0.25732837680597698</v>
      </c>
      <c r="N28" s="36">
        <f t="shared" si="9"/>
        <v>0.50763705315457019</v>
      </c>
      <c r="O28" s="36">
        <f t="shared" si="9"/>
        <v>0.96694890960371804</v>
      </c>
      <c r="P28" s="36">
        <f t="shared" si="9"/>
        <v>0.60119450079394032</v>
      </c>
      <c r="Q28" s="36">
        <f t="shared" si="9"/>
        <v>0.24652364662162307</v>
      </c>
      <c r="R28" s="36">
        <f t="shared" si="9"/>
        <v>0.26983906036171612</v>
      </c>
      <c r="S28" s="37">
        <f t="shared" si="9"/>
        <v>0.71638936339565595</v>
      </c>
      <c r="T28" s="11">
        <f t="shared" si="7"/>
        <v>0.50398755512282434</v>
      </c>
      <c r="U28" s="11">
        <f t="shared" si="8"/>
        <v>9.6923525800591631E-2</v>
      </c>
      <c r="V28" s="64"/>
      <c r="W28" s="66"/>
      <c r="Y28" s="8">
        <f>C16</f>
        <v>0</v>
      </c>
      <c r="Z28" s="13">
        <f>AVERAGE(T27:T34)</f>
        <v>0.54929058116508345</v>
      </c>
      <c r="AA28" s="13" t="str">
        <f>IF(T34="","",ABS(Z29-T34))</f>
        <v/>
      </c>
      <c r="AB28" s="14">
        <v>0.875</v>
      </c>
      <c r="AC28" s="15" t="str">
        <f>IF(AA28="","",AA28^2*AB28)</f>
        <v/>
      </c>
      <c r="AD28" s="16" t="str">
        <f>IF(AC28="","",AC28/$AC$25)</f>
        <v/>
      </c>
      <c r="AM28" s="78"/>
    </row>
    <row r="29" spans="1:39" x14ac:dyDescent="0.25">
      <c r="A29" s="78"/>
      <c r="J29" s="35">
        <f t="shared" ref="J29:S29" si="10">J19</f>
        <v>0.95445210227209432</v>
      </c>
      <c r="K29" s="36">
        <f t="shared" si="10"/>
        <v>0.59294541822593705</v>
      </c>
      <c r="L29" s="36">
        <f t="shared" si="10"/>
        <v>0.85769347181357269</v>
      </c>
      <c r="M29" s="36">
        <f t="shared" si="10"/>
        <v>0.85678359433585571</v>
      </c>
      <c r="N29" s="36">
        <f t="shared" si="10"/>
        <v>0.49092383076489321</v>
      </c>
      <c r="O29" s="36">
        <f t="shared" si="10"/>
        <v>0.65536773633046597</v>
      </c>
      <c r="P29" s="36">
        <f t="shared" si="10"/>
        <v>0.95275386099865667</v>
      </c>
      <c r="Q29" s="36">
        <f t="shared" si="10"/>
        <v>0.79774733159971289</v>
      </c>
      <c r="R29" s="36">
        <f t="shared" si="10"/>
        <v>0.63196511392754728</v>
      </c>
      <c r="S29" s="37">
        <f t="shared" si="10"/>
        <v>0.23465093566786133</v>
      </c>
      <c r="T29" s="11">
        <f t="shared" si="7"/>
        <v>0.70252833959365979</v>
      </c>
      <c r="U29" s="11">
        <f t="shared" si="8"/>
        <v>5.1768154812062366E-2</v>
      </c>
      <c r="V29" s="17" t="str">
        <f>V19</f>
        <v>séchage</v>
      </c>
      <c r="W29" s="1" t="s">
        <v>6</v>
      </c>
      <c r="Y29" s="8">
        <f>D16</f>
        <v>0</v>
      </c>
      <c r="Z29" s="13">
        <f>AVERAGE(T27:T33)</f>
        <v>0.54929058116508345</v>
      </c>
      <c r="AA29" s="13" t="str">
        <f>IF(T33="","",ABS(Z30-T33))</f>
        <v/>
      </c>
      <c r="AB29" s="14">
        <v>0.8571428571428571</v>
      </c>
      <c r="AC29" s="15" t="str">
        <f>IF(AA29="","",AA29^2*AB29)</f>
        <v/>
      </c>
      <c r="AD29" s="16" t="str">
        <f t="shared" ref="AD29:AD30" si="11">IF(AC29="","",AC29/$AC$25)</f>
        <v/>
      </c>
      <c r="AM29" s="78"/>
    </row>
    <row r="30" spans="1:39" x14ac:dyDescent="0.25">
      <c r="A30" s="78"/>
      <c r="J30" s="35">
        <f t="shared" ref="J30:S30" si="12">J20</f>
        <v>0.83617996850314491</v>
      </c>
      <c r="K30" s="36">
        <f t="shared" si="12"/>
        <v>0.95230324654586063</v>
      </c>
      <c r="L30" s="36">
        <f t="shared" si="12"/>
        <v>0.66548715791689328</v>
      </c>
      <c r="M30" s="36">
        <f t="shared" si="12"/>
        <v>0.18122665322731024</v>
      </c>
      <c r="N30" s="36">
        <f t="shared" si="12"/>
        <v>2.2862304818250356E-2</v>
      </c>
      <c r="O30" s="36">
        <f t="shared" si="12"/>
        <v>0.2853040215146746</v>
      </c>
      <c r="P30" s="36">
        <f t="shared" si="12"/>
        <v>0.87900015588056557</v>
      </c>
      <c r="Q30" s="36">
        <f t="shared" si="12"/>
        <v>0.12832448299068688</v>
      </c>
      <c r="R30" s="36">
        <f t="shared" si="12"/>
        <v>0.60450266162516064</v>
      </c>
      <c r="S30" s="37">
        <f t="shared" si="12"/>
        <v>0.17227134117326082</v>
      </c>
      <c r="T30" s="11">
        <f t="shared" si="7"/>
        <v>0.47274619941958085</v>
      </c>
      <c r="U30" s="11">
        <f t="shared" si="8"/>
        <v>0.12367059768798594</v>
      </c>
      <c r="V30" s="17" t="str">
        <f t="shared" ref="V30:V34" si="13">V20</f>
        <v>rinçage</v>
      </c>
      <c r="W30" s="1" t="s">
        <v>5</v>
      </c>
      <c r="Y30" s="8">
        <f>E16</f>
        <v>0</v>
      </c>
      <c r="Z30" s="13">
        <f>AVERAGE(T27:T32)</f>
        <v>0.54929058116508345</v>
      </c>
      <c r="AA30" s="13" t="str">
        <f>IF(T32="","",ABS(Z31-T32))</f>
        <v/>
      </c>
      <c r="AB30" s="14">
        <v>0.83333333333333337</v>
      </c>
      <c r="AC30" s="15" t="str">
        <f>IF(AA30="","",AA30^2*AB30)</f>
        <v/>
      </c>
      <c r="AD30" s="16" t="str">
        <f t="shared" si="11"/>
        <v/>
      </c>
      <c r="AM30" s="78"/>
    </row>
    <row r="31" spans="1:39" x14ac:dyDescent="0.25">
      <c r="A31" s="78"/>
      <c r="J31" s="35">
        <f t="shared" ref="J31:S31" si="14">J21</f>
        <v>0.94995038735956261</v>
      </c>
      <c r="K31" s="36">
        <f t="shared" si="14"/>
        <v>0.44806890855734149</v>
      </c>
      <c r="L31" s="36">
        <f t="shared" si="14"/>
        <v>0.32412230408821741</v>
      </c>
      <c r="M31" s="36">
        <f t="shared" si="14"/>
        <v>0.46316563854690318</v>
      </c>
      <c r="N31" s="36">
        <f t="shared" si="14"/>
        <v>0.85901020545024054</v>
      </c>
      <c r="O31" s="36">
        <f t="shared" si="14"/>
        <v>0.39679408159141905</v>
      </c>
      <c r="P31" s="36">
        <f t="shared" si="14"/>
        <v>0.91230489319994057</v>
      </c>
      <c r="Q31" s="36">
        <f t="shared" si="14"/>
        <v>0.51152169613757115</v>
      </c>
      <c r="R31" s="36">
        <f t="shared" si="14"/>
        <v>0.46555450434019618</v>
      </c>
      <c r="S31" s="37">
        <f t="shared" si="14"/>
        <v>7.0933507811215435E-2</v>
      </c>
      <c r="T31" s="11">
        <f t="shared" si="7"/>
        <v>0.54014261270826069</v>
      </c>
      <c r="U31" s="11">
        <f t="shared" si="8"/>
        <v>7.9586671159645475E-2</v>
      </c>
      <c r="V31" s="17" t="str">
        <f t="shared" si="13"/>
        <v>lavage</v>
      </c>
      <c r="W31" s="1" t="s">
        <v>4</v>
      </c>
      <c r="Y31" s="20" t="str">
        <f>F16</f>
        <v>lavage</v>
      </c>
      <c r="Z31" s="13">
        <f>AVERAGE(T27:T31)</f>
        <v>0.54929058116508345</v>
      </c>
      <c r="AA31" s="13">
        <f>IF(T31="","",ABS(Z32-T31))</f>
        <v>1.143496057102833E-2</v>
      </c>
      <c r="AB31" s="21">
        <v>0.8</v>
      </c>
      <c r="AC31" s="15">
        <f>IF(AA31="","",AA31^2*AB31)</f>
        <v>1.0460665860877804E-4</v>
      </c>
      <c r="AD31" s="16">
        <f>IF(AC31="","",AC31/$AC$25)</f>
        <v>3.2718591934995742E-3</v>
      </c>
      <c r="AM31" s="78"/>
    </row>
    <row r="32" spans="1:39" x14ac:dyDescent="0.25">
      <c r="A32" s="78"/>
      <c r="J32" s="35"/>
      <c r="K32" s="36"/>
      <c r="L32" s="36"/>
      <c r="M32" s="36"/>
      <c r="N32" s="36"/>
      <c r="O32" s="36"/>
      <c r="P32" s="36"/>
      <c r="Q32" s="36"/>
      <c r="R32" s="36"/>
      <c r="S32" s="37"/>
      <c r="T32" s="11" t="str">
        <f>IF(J32="","",AVERAGE(J32:S32))</f>
        <v/>
      </c>
      <c r="U32" s="11" t="str">
        <f>IF(J32="","",VAR(J32:S32))</f>
        <v/>
      </c>
      <c r="V32" s="17">
        <f t="shared" si="13"/>
        <v>0</v>
      </c>
      <c r="W32" s="1" t="s">
        <v>3</v>
      </c>
      <c r="Y32" s="49" t="str">
        <f>G16</f>
        <v>rinçage</v>
      </c>
      <c r="Z32" s="13">
        <f>AVERAGE(T27:T30)</f>
        <v>0.55157757327928902</v>
      </c>
      <c r="AA32" s="13">
        <f>ABS(Z33-T30)</f>
        <v>0.1051084984796109</v>
      </c>
      <c r="AB32" s="22">
        <v>0.75</v>
      </c>
      <c r="AC32" s="15">
        <f>AA32^2*AB32</f>
        <v>8.2858473394787739E-3</v>
      </c>
      <c r="AD32" s="16">
        <f>IF(AC32="","",AC32/$AC$25)</f>
        <v>0.25916252516006355</v>
      </c>
      <c r="AM32" s="78"/>
    </row>
    <row r="33" spans="1:39" x14ac:dyDescent="0.25">
      <c r="A33" s="78"/>
      <c r="J33" s="35"/>
      <c r="K33" s="36"/>
      <c r="L33" s="36"/>
      <c r="M33" s="36"/>
      <c r="N33" s="36"/>
      <c r="O33" s="36"/>
      <c r="P33" s="36"/>
      <c r="Q33" s="36"/>
      <c r="R33" s="36"/>
      <c r="S33" s="37"/>
      <c r="T33" s="11" t="str">
        <f t="shared" ref="T33:T34" si="15">IF(J33="","",AVERAGE(J33:S33))</f>
        <v/>
      </c>
      <c r="U33" s="11" t="str">
        <f t="shared" ref="U33:U34" si="16">IF(J33="","",VAR(J33:S33))</f>
        <v/>
      </c>
      <c r="V33" s="17">
        <f t="shared" si="13"/>
        <v>0</v>
      </c>
      <c r="W33" s="1" t="s">
        <v>2</v>
      </c>
      <c r="Y33" s="17" t="str">
        <f>H16</f>
        <v>séchage</v>
      </c>
      <c r="Z33" s="13">
        <f>AVERAGE(T27:T29)</f>
        <v>0.57785469789919175</v>
      </c>
      <c r="AA33" s="13">
        <f>ABS(Z34-T29)</f>
        <v>0.18701046254170195</v>
      </c>
      <c r="AB33" s="22">
        <v>0.66666666666666663</v>
      </c>
      <c r="AC33" s="15">
        <f>AA33^2*AB33</f>
        <v>2.3315275400040872E-2</v>
      </c>
      <c r="AD33" s="16">
        <f>IF(AC33="","",AC33/$AC$25)</f>
        <v>0.72924897115676357</v>
      </c>
      <c r="AM33" s="78"/>
    </row>
    <row r="34" spans="1:39" ht="15.75" thickBot="1" x14ac:dyDescent="0.3">
      <c r="A34" s="78"/>
      <c r="J34" s="50"/>
      <c r="K34" s="51"/>
      <c r="L34" s="51"/>
      <c r="M34" s="51"/>
      <c r="N34" s="51"/>
      <c r="O34" s="51"/>
      <c r="P34" s="51"/>
      <c r="Q34" s="51"/>
      <c r="R34" s="51"/>
      <c r="S34" s="52"/>
      <c r="T34" s="11" t="str">
        <f t="shared" si="15"/>
        <v/>
      </c>
      <c r="U34" s="11" t="str">
        <f t="shared" si="16"/>
        <v/>
      </c>
      <c r="V34" s="17">
        <f t="shared" si="13"/>
        <v>0</v>
      </c>
      <c r="W34" s="1" t="s">
        <v>1</v>
      </c>
      <c r="Y34" s="17" t="str">
        <f>I16</f>
        <v>mesure</v>
      </c>
      <c r="Z34" s="13">
        <f>AVERAGE(T27:T28)</f>
        <v>0.51551787705195784</v>
      </c>
      <c r="AA34" s="13">
        <f>ABS(T27-T28)</f>
        <v>2.3060643858267005E-2</v>
      </c>
      <c r="AB34" s="22">
        <v>0.5</v>
      </c>
      <c r="AC34" s="15">
        <f>AA34^2*AB34</f>
        <v>2.6589664757891389E-4</v>
      </c>
      <c r="AD34" s="16">
        <f>IF(AC34="","",AC34/$AC$25)</f>
        <v>8.3166444896728784E-3</v>
      </c>
      <c r="AM34" s="78"/>
    </row>
    <row r="35" spans="1:39" ht="15.75" thickBot="1" x14ac:dyDescent="0.3">
      <c r="A35" s="78"/>
      <c r="B35" s="31"/>
      <c r="J35" s="26"/>
      <c r="K35" s="27"/>
      <c r="L35" s="27"/>
      <c r="M35" s="27"/>
      <c r="N35" s="27"/>
      <c r="O35" s="27"/>
      <c r="P35" s="28"/>
      <c r="Q35" s="27"/>
      <c r="R35" s="27"/>
      <c r="S35" s="29"/>
      <c r="T35" s="27"/>
      <c r="U35" s="27"/>
      <c r="V35" s="27"/>
      <c r="W35" s="27"/>
      <c r="X35" s="27"/>
      <c r="Y35" s="27"/>
      <c r="Z35" s="27"/>
      <c r="AA35" s="27"/>
      <c r="AB35" s="47" t="s">
        <v>33</v>
      </c>
      <c r="AC35" s="15">
        <f>DEVSQ(T27:T34)</f>
        <v>3.1971626045707351E-2</v>
      </c>
      <c r="AD35" s="16">
        <f>SUM(AD28:AD34)</f>
        <v>0.99999999999999956</v>
      </c>
      <c r="AE35" t="s">
        <v>48</v>
      </c>
      <c r="AM35" s="78"/>
    </row>
    <row r="36" spans="1:39" x14ac:dyDescent="0.25">
      <c r="A36" s="78"/>
      <c r="J36" s="67" t="s">
        <v>65</v>
      </c>
      <c r="K36" s="68"/>
      <c r="L36" s="68"/>
      <c r="M36" s="68"/>
      <c r="N36" s="68"/>
      <c r="O36" s="68"/>
      <c r="P36" s="68"/>
      <c r="Q36" s="68"/>
      <c r="R36" s="68"/>
      <c r="S36" s="69"/>
      <c r="T36" s="10" t="s">
        <v>19</v>
      </c>
      <c r="U36" s="1" t="s">
        <v>20</v>
      </c>
      <c r="Y36" s="61" t="s">
        <v>21</v>
      </c>
      <c r="Z36" s="61"/>
      <c r="AA36" s="61"/>
      <c r="AB36" s="61"/>
      <c r="AC36" s="61" t="s">
        <v>22</v>
      </c>
      <c r="AD36" s="61"/>
      <c r="AF36" s="48" t="s">
        <v>23</v>
      </c>
      <c r="AM36" s="78"/>
    </row>
    <row r="37" spans="1:39" x14ac:dyDescent="0.25">
      <c r="A37" s="78"/>
      <c r="J37" s="35">
        <f>J27</f>
        <v>0.81399854998305621</v>
      </c>
      <c r="K37" s="36">
        <f t="shared" ref="K37:S37" si="17">K27</f>
        <v>0.54149812851326085</v>
      </c>
      <c r="L37" s="36">
        <f t="shared" si="17"/>
        <v>0.41950728522005221</v>
      </c>
      <c r="M37" s="36">
        <f t="shared" si="17"/>
        <v>0.21168716792456432</v>
      </c>
      <c r="N37" s="36">
        <f t="shared" si="17"/>
        <v>0.77367880506814912</v>
      </c>
      <c r="O37" s="36">
        <f t="shared" si="17"/>
        <v>0.64810307901731612</v>
      </c>
      <c r="P37" s="36">
        <f t="shared" si="17"/>
        <v>0.48925904113669816</v>
      </c>
      <c r="Q37" s="36">
        <f t="shared" si="17"/>
        <v>0.40255644362461196</v>
      </c>
      <c r="R37" s="36">
        <f t="shared" si="17"/>
        <v>0.36597255861539946</v>
      </c>
      <c r="S37" s="37">
        <f t="shared" si="17"/>
        <v>0.60422093070780492</v>
      </c>
      <c r="T37" s="11">
        <f t="shared" ref="T37:T41" si="18">IF(J37="","",AVERAGE(J37:S37))</f>
        <v>0.52704819898109134</v>
      </c>
      <c r="U37" s="11">
        <f t="shared" ref="U37:U41" si="19">IF(J37="","",VAR(J37:S37))</f>
        <v>3.5319453592043505E-2</v>
      </c>
      <c r="V37" s="63" t="str">
        <f>V27</f>
        <v>mesure</v>
      </c>
      <c r="W37" s="65" t="s">
        <v>7</v>
      </c>
      <c r="Y37" s="47" t="s">
        <v>26</v>
      </c>
      <c r="Z37" s="47" t="s">
        <v>19</v>
      </c>
      <c r="AA37" s="47" t="s">
        <v>27</v>
      </c>
      <c r="AB37" s="47" t="s">
        <v>28</v>
      </c>
      <c r="AC37" s="47" t="s">
        <v>29</v>
      </c>
      <c r="AD37" s="47" t="s">
        <v>30</v>
      </c>
      <c r="AF37" s="12">
        <f>(AC45-AC44)/AC45</f>
        <v>0.99168335551032705</v>
      </c>
      <c r="AM37" s="78"/>
    </row>
    <row r="38" spans="1:39" x14ac:dyDescent="0.25">
      <c r="A38" s="78"/>
      <c r="J38" s="35">
        <f>J28</f>
        <v>8.272862822405036E-2</v>
      </c>
      <c r="K38" s="36">
        <f t="shared" ref="K38:S38" si="20">K28</f>
        <v>0.40364571174644603</v>
      </c>
      <c r="L38" s="36">
        <f t="shared" si="20"/>
        <v>0.9876403005205473</v>
      </c>
      <c r="M38" s="36">
        <f t="shared" si="20"/>
        <v>0.25732837680597698</v>
      </c>
      <c r="N38" s="36">
        <f t="shared" si="20"/>
        <v>0.50763705315457019</v>
      </c>
      <c r="O38" s="36">
        <f t="shared" si="20"/>
        <v>0.96694890960371804</v>
      </c>
      <c r="P38" s="36">
        <f t="shared" si="20"/>
        <v>0.60119450079394032</v>
      </c>
      <c r="Q38" s="36">
        <f t="shared" si="20"/>
        <v>0.24652364662162307</v>
      </c>
      <c r="R38" s="36">
        <f t="shared" si="20"/>
        <v>0.26983906036171612</v>
      </c>
      <c r="S38" s="37">
        <f t="shared" si="20"/>
        <v>0.71638936339565595</v>
      </c>
      <c r="T38" s="11">
        <f t="shared" si="18"/>
        <v>0.50398755512282434</v>
      </c>
      <c r="U38" s="11">
        <f t="shared" si="19"/>
        <v>9.6923525800591631E-2</v>
      </c>
      <c r="V38" s="64"/>
      <c r="W38" s="66"/>
      <c r="Y38" s="8" t="s">
        <v>62</v>
      </c>
      <c r="Z38" s="13">
        <f>AVERAGE(T37:T44)</f>
        <v>0.54929058116508345</v>
      </c>
      <c r="AA38" s="13" t="str">
        <f>IF(T44="","",ABS(Z39-T44))</f>
        <v/>
      </c>
      <c r="AB38" s="14">
        <v>0.875</v>
      </c>
      <c r="AC38" s="15" t="str">
        <f>IF(AA38="","",AA38^2*AB38)</f>
        <v/>
      </c>
      <c r="AD38" s="16" t="str">
        <f>IF(AC38="","",AC38/$AC$25)</f>
        <v/>
      </c>
      <c r="AM38" s="78"/>
    </row>
    <row r="39" spans="1:39" x14ac:dyDescent="0.25">
      <c r="A39" s="78"/>
      <c r="J39" s="35">
        <f>J29</f>
        <v>0.95445210227209432</v>
      </c>
      <c r="K39" s="36">
        <f t="shared" ref="K39:S39" si="21">K29</f>
        <v>0.59294541822593705</v>
      </c>
      <c r="L39" s="36">
        <f t="shared" si="21"/>
        <v>0.85769347181357269</v>
      </c>
      <c r="M39" s="36">
        <f t="shared" si="21"/>
        <v>0.85678359433585571</v>
      </c>
      <c r="N39" s="36">
        <f t="shared" si="21"/>
        <v>0.49092383076489321</v>
      </c>
      <c r="O39" s="36">
        <f t="shared" si="21"/>
        <v>0.65536773633046597</v>
      </c>
      <c r="P39" s="36">
        <f t="shared" si="21"/>
        <v>0.95275386099865667</v>
      </c>
      <c r="Q39" s="36">
        <f t="shared" si="21"/>
        <v>0.79774733159971289</v>
      </c>
      <c r="R39" s="36">
        <f t="shared" si="21"/>
        <v>0.63196511392754728</v>
      </c>
      <c r="S39" s="37">
        <f t="shared" si="21"/>
        <v>0.23465093566786133</v>
      </c>
      <c r="T39" s="11">
        <f t="shared" si="18"/>
        <v>0.70252833959365979</v>
      </c>
      <c r="U39" s="11">
        <f t="shared" si="19"/>
        <v>5.1768154812062366E-2</v>
      </c>
      <c r="V39" s="17" t="str">
        <f t="shared" ref="V39:V44" si="22">V29</f>
        <v>séchage</v>
      </c>
      <c r="W39" s="1" t="s">
        <v>6</v>
      </c>
      <c r="Y39" s="8" t="s">
        <v>57</v>
      </c>
      <c r="Z39" s="13">
        <f>AVERAGE(T37:T43)</f>
        <v>0.54929058116508345</v>
      </c>
      <c r="AA39" s="13" t="str">
        <f>IF(T43="","",ABS(Z40-T43))</f>
        <v/>
      </c>
      <c r="AB39" s="14">
        <v>0.8571428571428571</v>
      </c>
      <c r="AC39" s="15" t="str">
        <f>IF(AA39="","",AA39^2*AB39)</f>
        <v/>
      </c>
      <c r="AD39" s="16" t="str">
        <f t="shared" ref="AD39:AD44" si="23">IF(AC39="","",AC39/$AC$25)</f>
        <v/>
      </c>
      <c r="AM39" s="78"/>
    </row>
    <row r="40" spans="1:39" x14ac:dyDescent="0.25">
      <c r="A40" s="78"/>
      <c r="J40" s="35">
        <f t="shared" ref="J40:S40" si="24">J30</f>
        <v>0.83617996850314491</v>
      </c>
      <c r="K40" s="36">
        <f t="shared" si="24"/>
        <v>0.95230324654586063</v>
      </c>
      <c r="L40" s="36">
        <f t="shared" si="24"/>
        <v>0.66548715791689328</v>
      </c>
      <c r="M40" s="36">
        <f t="shared" si="24"/>
        <v>0.18122665322731024</v>
      </c>
      <c r="N40" s="36">
        <f t="shared" si="24"/>
        <v>2.2862304818250356E-2</v>
      </c>
      <c r="O40" s="36">
        <f t="shared" si="24"/>
        <v>0.2853040215146746</v>
      </c>
      <c r="P40" s="36">
        <f t="shared" si="24"/>
        <v>0.87900015588056557</v>
      </c>
      <c r="Q40" s="36">
        <f t="shared" si="24"/>
        <v>0.12832448299068688</v>
      </c>
      <c r="R40" s="36">
        <f t="shared" si="24"/>
        <v>0.60450266162516064</v>
      </c>
      <c r="S40" s="37">
        <f t="shared" si="24"/>
        <v>0.17227134117326082</v>
      </c>
      <c r="T40" s="11">
        <f t="shared" si="18"/>
        <v>0.47274619941958085</v>
      </c>
      <c r="U40" s="11">
        <f t="shared" si="19"/>
        <v>0.12367059768798594</v>
      </c>
      <c r="V40" s="17" t="str">
        <f t="shared" si="22"/>
        <v>rinçage</v>
      </c>
      <c r="W40" s="1" t="s">
        <v>5</v>
      </c>
      <c r="Y40" s="8" t="s">
        <v>58</v>
      </c>
      <c r="Z40" s="13">
        <f>AVERAGE(T37:T42)</f>
        <v>0.54929058116508345</v>
      </c>
      <c r="AA40" s="13" t="str">
        <f>IF(T42="","",ABS(Z41-T42))</f>
        <v/>
      </c>
      <c r="AB40" s="14">
        <v>0.83333333333333337</v>
      </c>
      <c r="AC40" s="15" t="str">
        <f>IF(AA40="","",AA40^2*AB40)</f>
        <v/>
      </c>
      <c r="AD40" s="16" t="str">
        <f t="shared" si="23"/>
        <v/>
      </c>
      <c r="AM40" s="78"/>
    </row>
    <row r="41" spans="1:39" x14ac:dyDescent="0.25">
      <c r="A41" s="78"/>
      <c r="J41" s="35">
        <f t="shared" ref="J41:S41" si="25">J31</f>
        <v>0.94995038735956261</v>
      </c>
      <c r="K41" s="36">
        <f t="shared" si="25"/>
        <v>0.44806890855734149</v>
      </c>
      <c r="L41" s="36">
        <f t="shared" si="25"/>
        <v>0.32412230408821741</v>
      </c>
      <c r="M41" s="36">
        <f t="shared" si="25"/>
        <v>0.46316563854690318</v>
      </c>
      <c r="N41" s="36">
        <f t="shared" si="25"/>
        <v>0.85901020545024054</v>
      </c>
      <c r="O41" s="36">
        <f t="shared" si="25"/>
        <v>0.39679408159141905</v>
      </c>
      <c r="P41" s="36">
        <f t="shared" si="25"/>
        <v>0.91230489319994057</v>
      </c>
      <c r="Q41" s="36">
        <f t="shared" si="25"/>
        <v>0.51152169613757115</v>
      </c>
      <c r="R41" s="36">
        <f t="shared" si="25"/>
        <v>0.46555450434019618</v>
      </c>
      <c r="S41" s="37">
        <f t="shared" si="25"/>
        <v>7.0933507811215435E-2</v>
      </c>
      <c r="T41" s="11">
        <f t="shared" si="18"/>
        <v>0.54014261270826069</v>
      </c>
      <c r="U41" s="11">
        <f t="shared" si="19"/>
        <v>7.9586671159645475E-2</v>
      </c>
      <c r="V41" s="17" t="str">
        <f t="shared" si="22"/>
        <v>lavage</v>
      </c>
      <c r="W41" s="1" t="s">
        <v>4</v>
      </c>
      <c r="Y41" s="20" t="s">
        <v>59</v>
      </c>
      <c r="Z41" s="13">
        <f>AVERAGE(T37:T41)</f>
        <v>0.54929058116508345</v>
      </c>
      <c r="AA41" s="13">
        <f>IF(T41="","",ABS(Z42-T41))</f>
        <v>1.143496057102833E-2</v>
      </c>
      <c r="AB41" s="21">
        <v>0.8</v>
      </c>
      <c r="AC41" s="15">
        <f>IF(AA41="","",AA41^2*AB41)</f>
        <v>1.0460665860877804E-4</v>
      </c>
      <c r="AD41" s="16">
        <f t="shared" si="23"/>
        <v>3.2718591934995742E-3</v>
      </c>
      <c r="AM41" s="78"/>
    </row>
    <row r="42" spans="1:39" x14ac:dyDescent="0.25">
      <c r="A42" s="78"/>
      <c r="J42" s="35"/>
      <c r="K42" s="36"/>
      <c r="L42" s="36"/>
      <c r="M42" s="36"/>
      <c r="N42" s="36"/>
      <c r="O42" s="36"/>
      <c r="P42" s="36"/>
      <c r="Q42" s="36"/>
      <c r="R42" s="36"/>
      <c r="S42" s="37"/>
      <c r="T42" s="11" t="str">
        <f>IF(J42="","",AVERAGE(J42:S42))</f>
        <v/>
      </c>
      <c r="U42" s="11" t="str">
        <f>IF(J42="","",VAR(J42:S42))</f>
        <v/>
      </c>
      <c r="V42" s="17">
        <f t="shared" si="22"/>
        <v>0</v>
      </c>
      <c r="W42" s="1" t="s">
        <v>3</v>
      </c>
      <c r="Y42" s="34" t="str">
        <f>G16</f>
        <v>rinçage</v>
      </c>
      <c r="Z42" s="13">
        <f>AVERAGE(T37:T40)</f>
        <v>0.55157757327928902</v>
      </c>
      <c r="AA42" s="13">
        <f>ABS(Z43-T40)</f>
        <v>0.1051084984796109</v>
      </c>
      <c r="AB42" s="22">
        <v>0.75</v>
      </c>
      <c r="AC42" s="15">
        <f>AA42^2*AB42</f>
        <v>8.2858473394787739E-3</v>
      </c>
      <c r="AD42" s="16">
        <f t="shared" si="23"/>
        <v>0.25916252516006355</v>
      </c>
      <c r="AM42" s="78"/>
    </row>
    <row r="43" spans="1:39" x14ac:dyDescent="0.25">
      <c r="A43" s="78"/>
      <c r="J43" s="35"/>
      <c r="K43" s="36"/>
      <c r="L43" s="36"/>
      <c r="M43" s="36"/>
      <c r="N43" s="36"/>
      <c r="O43" s="36"/>
      <c r="P43" s="36"/>
      <c r="Q43" s="36"/>
      <c r="R43" s="36"/>
      <c r="S43" s="37"/>
      <c r="T43" s="11" t="str">
        <f t="shared" ref="T43:T44" si="26">IF(J43="","",AVERAGE(J43:S43))</f>
        <v/>
      </c>
      <c r="U43" s="11" t="str">
        <f t="shared" ref="U43:U44" si="27">IF(J43="","",VAR(J43:S43))</f>
        <v/>
      </c>
      <c r="V43" s="17">
        <f t="shared" si="22"/>
        <v>0</v>
      </c>
      <c r="W43" s="1" t="s">
        <v>2</v>
      </c>
      <c r="Y43" s="17" t="s">
        <v>60</v>
      </c>
      <c r="Z43" s="13">
        <f>AVERAGE(T37:T39)</f>
        <v>0.57785469789919175</v>
      </c>
      <c r="AA43" s="13">
        <f>ABS(Z44-T39)</f>
        <v>0.18701046254170195</v>
      </c>
      <c r="AB43" s="22">
        <v>0.66666666666666663</v>
      </c>
      <c r="AC43" s="15">
        <f>AA43^2*AB43</f>
        <v>2.3315275400040872E-2</v>
      </c>
      <c r="AD43" s="16">
        <f t="shared" si="23"/>
        <v>0.72924897115676357</v>
      </c>
      <c r="AM43" s="78"/>
    </row>
    <row r="44" spans="1:39" ht="15.75" thickBot="1" x14ac:dyDescent="0.3">
      <c r="A44" s="78"/>
      <c r="J44" s="50"/>
      <c r="K44" s="51"/>
      <c r="L44" s="51"/>
      <c r="M44" s="51"/>
      <c r="N44" s="51"/>
      <c r="O44" s="51"/>
      <c r="P44" s="51"/>
      <c r="Q44" s="51"/>
      <c r="R44" s="51"/>
      <c r="S44" s="52"/>
      <c r="T44" s="11" t="str">
        <f t="shared" si="26"/>
        <v/>
      </c>
      <c r="U44" s="11" t="str">
        <f t="shared" si="27"/>
        <v/>
      </c>
      <c r="V44" s="17">
        <f t="shared" si="22"/>
        <v>0</v>
      </c>
      <c r="W44" s="1" t="s">
        <v>1</v>
      </c>
      <c r="Y44" s="17" t="s">
        <v>61</v>
      </c>
      <c r="Z44" s="13">
        <f>AVERAGE(T37:T38)</f>
        <v>0.51551787705195784</v>
      </c>
      <c r="AA44" s="13">
        <f>ABS(T37-T38)</f>
        <v>2.3060643858267005E-2</v>
      </c>
      <c r="AB44" s="22">
        <v>0.5</v>
      </c>
      <c r="AC44" s="15">
        <f t="shared" ref="AC44" si="28">AA44^2*AB44</f>
        <v>2.6589664757891389E-4</v>
      </c>
      <c r="AD44" s="16">
        <f t="shared" si="23"/>
        <v>8.3166444896728784E-3</v>
      </c>
      <c r="AM44" s="78"/>
    </row>
    <row r="45" spans="1:39" x14ac:dyDescent="0.25">
      <c r="A45" s="78"/>
      <c r="J45" s="26"/>
      <c r="K45" s="27"/>
      <c r="L45" s="27"/>
      <c r="M45" s="27"/>
      <c r="N45" s="27"/>
      <c r="O45" s="27"/>
      <c r="P45" s="28"/>
      <c r="Q45" s="27"/>
      <c r="R45" s="27"/>
      <c r="S45" s="29"/>
      <c r="T45" s="27"/>
      <c r="U45" s="27"/>
      <c r="V45" s="27"/>
      <c r="W45" s="27"/>
      <c r="X45" s="27"/>
      <c r="Y45" s="27"/>
      <c r="Z45" s="27"/>
      <c r="AA45" s="27"/>
      <c r="AB45" s="47" t="s">
        <v>33</v>
      </c>
      <c r="AC45" s="15">
        <f>DEVSQ(T37:T44)</f>
        <v>3.1971626045707351E-2</v>
      </c>
      <c r="AD45" s="16">
        <f>SUM(AD38:AD44)</f>
        <v>0.99999999999999956</v>
      </c>
      <c r="AE45" t="s">
        <v>48</v>
      </c>
      <c r="AM45" s="78"/>
    </row>
    <row r="46" spans="1:39" x14ac:dyDescent="0.25">
      <c r="A46" s="78"/>
      <c r="J46" s="58" t="s">
        <v>66</v>
      </c>
      <c r="K46" s="59"/>
      <c r="L46" s="59"/>
      <c r="M46" s="59"/>
      <c r="N46" s="59"/>
      <c r="O46" s="59"/>
      <c r="P46" s="59"/>
      <c r="Q46" s="59"/>
      <c r="R46" s="59"/>
      <c r="S46" s="60"/>
      <c r="T46" s="10" t="s">
        <v>19</v>
      </c>
      <c r="U46" s="1" t="s">
        <v>20</v>
      </c>
      <c r="Y46" s="61" t="s">
        <v>21</v>
      </c>
      <c r="Z46" s="61"/>
      <c r="AA46" s="61"/>
      <c r="AB46" s="61"/>
      <c r="AC46" s="61" t="s">
        <v>22</v>
      </c>
      <c r="AD46" s="61"/>
      <c r="AF46" s="48" t="s">
        <v>23</v>
      </c>
      <c r="AM46" s="78"/>
    </row>
    <row r="47" spans="1:39" x14ac:dyDescent="0.25">
      <c r="A47" s="78"/>
      <c r="J47" s="38"/>
      <c r="K47" s="39"/>
      <c r="L47" s="39"/>
      <c r="M47" s="39"/>
      <c r="N47" s="39"/>
      <c r="O47" s="39"/>
      <c r="P47" s="39"/>
      <c r="Q47" s="39"/>
      <c r="R47" s="39"/>
      <c r="S47" s="40"/>
      <c r="T47" s="11" t="str">
        <f t="shared" ref="T47:T51" si="29">IF(J47="","",AVERAGE(J47:S47))</f>
        <v/>
      </c>
      <c r="U47" s="11" t="str">
        <f t="shared" ref="U47:U51" si="30">IF(J47="","",VAR(J47:S47))</f>
        <v/>
      </c>
      <c r="V47" s="63" t="str">
        <f>V37</f>
        <v>mesure</v>
      </c>
      <c r="W47" s="65" t="s">
        <v>7</v>
      </c>
      <c r="Y47" s="47" t="s">
        <v>26</v>
      </c>
      <c r="Z47" s="47" t="s">
        <v>19</v>
      </c>
      <c r="AA47" s="47" t="s">
        <v>27</v>
      </c>
      <c r="AB47" s="47" t="s">
        <v>28</v>
      </c>
      <c r="AC47" s="47" t="s">
        <v>29</v>
      </c>
      <c r="AD47" s="47" t="s">
        <v>30</v>
      </c>
      <c r="AF47" s="12" t="e">
        <f>(AC55-AC54)/AC55</f>
        <v>#NUM!</v>
      </c>
      <c r="AM47" s="78"/>
    </row>
    <row r="48" spans="1:39" x14ac:dyDescent="0.25">
      <c r="A48" s="78"/>
      <c r="J48" s="38"/>
      <c r="K48" s="39"/>
      <c r="L48" s="39"/>
      <c r="M48" s="39"/>
      <c r="N48" s="39"/>
      <c r="O48" s="39"/>
      <c r="P48" s="39"/>
      <c r="Q48" s="39"/>
      <c r="R48" s="39"/>
      <c r="S48" s="40"/>
      <c r="T48" s="11" t="str">
        <f t="shared" si="29"/>
        <v/>
      </c>
      <c r="U48" s="11" t="str">
        <f t="shared" si="30"/>
        <v/>
      </c>
      <c r="V48" s="64"/>
      <c r="W48" s="66"/>
      <c r="Y48" s="8">
        <f>C16</f>
        <v>0</v>
      </c>
      <c r="Z48" s="13" t="e">
        <f>AVERAGE(T47:T54)</f>
        <v>#DIV/0!</v>
      </c>
      <c r="AA48" s="13" t="str">
        <f>IF(T54="","",ABS(Z49-T54))</f>
        <v/>
      </c>
      <c r="AB48" s="14">
        <v>0.875</v>
      </c>
      <c r="AC48" s="15" t="str">
        <f>IF(AA48="","",AA48^2*AB48)</f>
        <v/>
      </c>
      <c r="AD48" s="16" t="str">
        <f>IF(AC48="","",AC48/$AC$25)</f>
        <v/>
      </c>
      <c r="AM48" s="78"/>
    </row>
    <row r="49" spans="1:39" x14ac:dyDescent="0.25">
      <c r="A49" s="78"/>
      <c r="J49" s="38"/>
      <c r="K49" s="39"/>
      <c r="L49" s="39"/>
      <c r="M49" s="39"/>
      <c r="N49" s="39"/>
      <c r="O49" s="39"/>
      <c r="P49" s="39"/>
      <c r="Q49" s="39"/>
      <c r="R49" s="39"/>
      <c r="S49" s="40"/>
      <c r="T49" s="11" t="str">
        <f t="shared" si="29"/>
        <v/>
      </c>
      <c r="U49" s="11" t="str">
        <f t="shared" si="30"/>
        <v/>
      </c>
      <c r="V49" s="17" t="str">
        <f t="shared" ref="V49:V54" si="31">V39</f>
        <v>séchage</v>
      </c>
      <c r="W49" s="1" t="s">
        <v>6</v>
      </c>
      <c r="Y49" s="8" t="s">
        <v>57</v>
      </c>
      <c r="Z49" s="13" t="e">
        <f>AVERAGE(T47:T53)</f>
        <v>#DIV/0!</v>
      </c>
      <c r="AA49" s="13" t="str">
        <f>IF(T53="","",ABS(Z50-T53))</f>
        <v/>
      </c>
      <c r="AB49" s="14">
        <v>0.8571428571428571</v>
      </c>
      <c r="AC49" s="15" t="str">
        <f>IF(AA49="","",AA49^2*AB49)</f>
        <v/>
      </c>
      <c r="AD49" s="16" t="str">
        <f t="shared" ref="AD49:AD54" si="32">IF(AC49="","",AC49/$AC$25)</f>
        <v/>
      </c>
      <c r="AM49" s="78"/>
    </row>
    <row r="50" spans="1:39" x14ac:dyDescent="0.25">
      <c r="A50" s="78"/>
      <c r="J50" s="38"/>
      <c r="K50" s="39"/>
      <c r="L50" s="39"/>
      <c r="M50" s="39"/>
      <c r="N50" s="39"/>
      <c r="O50" s="39"/>
      <c r="P50" s="39"/>
      <c r="Q50" s="39"/>
      <c r="R50" s="39"/>
      <c r="S50" s="40"/>
      <c r="T50" s="11" t="str">
        <f t="shared" si="29"/>
        <v/>
      </c>
      <c r="U50" s="11" t="str">
        <f t="shared" si="30"/>
        <v/>
      </c>
      <c r="V50" s="17" t="str">
        <f t="shared" si="31"/>
        <v>rinçage</v>
      </c>
      <c r="W50" s="1" t="s">
        <v>5</v>
      </c>
      <c r="Y50" s="8" t="s">
        <v>58</v>
      </c>
      <c r="Z50" s="13" t="e">
        <f>AVERAGE(T47:T52)</f>
        <v>#DIV/0!</v>
      </c>
      <c r="AA50" s="13" t="str">
        <f>IF(T52="","",ABS(Z51-T52))</f>
        <v/>
      </c>
      <c r="AB50" s="14">
        <v>0.83333333333333337</v>
      </c>
      <c r="AC50" s="15" t="str">
        <f>IF(AA50="","",AA50^2*AB50)</f>
        <v/>
      </c>
      <c r="AD50" s="16" t="str">
        <f t="shared" si="32"/>
        <v/>
      </c>
      <c r="AM50" s="78"/>
    </row>
    <row r="51" spans="1:39" x14ac:dyDescent="0.25">
      <c r="A51" s="78"/>
      <c r="J51" s="38"/>
      <c r="K51" s="39"/>
      <c r="L51" s="39"/>
      <c r="M51" s="39"/>
      <c r="N51" s="39"/>
      <c r="O51" s="39"/>
      <c r="P51" s="39"/>
      <c r="Q51" s="39"/>
      <c r="R51" s="39"/>
      <c r="S51" s="40"/>
      <c r="T51" s="11" t="str">
        <f t="shared" si="29"/>
        <v/>
      </c>
      <c r="U51" s="11" t="str">
        <f t="shared" si="30"/>
        <v/>
      </c>
      <c r="V51" s="17" t="str">
        <f t="shared" si="31"/>
        <v>lavage</v>
      </c>
      <c r="W51" s="1" t="s">
        <v>4</v>
      </c>
      <c r="Y51" s="20" t="s">
        <v>59</v>
      </c>
      <c r="Z51" s="13" t="e">
        <f>AVERAGE(T47:T51)</f>
        <v>#DIV/0!</v>
      </c>
      <c r="AA51" s="13" t="str">
        <f>IF(T51="","",ABS(Z52-T51))</f>
        <v/>
      </c>
      <c r="AB51" s="21">
        <v>0.8</v>
      </c>
      <c r="AC51" s="15" t="str">
        <f>IF(AA51="","",AA51^2*AB51)</f>
        <v/>
      </c>
      <c r="AD51" s="16" t="str">
        <f t="shared" si="32"/>
        <v/>
      </c>
      <c r="AM51" s="78"/>
    </row>
    <row r="52" spans="1:39" x14ac:dyDescent="0.25">
      <c r="A52" s="78"/>
      <c r="J52" s="38"/>
      <c r="K52" s="39"/>
      <c r="L52" s="39"/>
      <c r="M52" s="39"/>
      <c r="N52" s="39"/>
      <c r="O52" s="39"/>
      <c r="P52" s="39"/>
      <c r="Q52" s="39"/>
      <c r="R52" s="39"/>
      <c r="S52" s="40"/>
      <c r="T52" s="11" t="str">
        <f>IF(J52="","",AVERAGE(J52:S52))</f>
        <v/>
      </c>
      <c r="U52" s="11" t="str">
        <f>IF(J52="","",VAR(J52:S52))</f>
        <v/>
      </c>
      <c r="V52" s="17">
        <f t="shared" si="31"/>
        <v>0</v>
      </c>
      <c r="W52" s="1" t="s">
        <v>3</v>
      </c>
      <c r="Y52" s="34" t="str">
        <f>G16</f>
        <v>rinçage</v>
      </c>
      <c r="Z52" s="13" t="e">
        <f>AVERAGE(T47:T50)</f>
        <v>#DIV/0!</v>
      </c>
      <c r="AA52" s="13" t="e">
        <f>ABS(Z53-T50)</f>
        <v>#DIV/0!</v>
      </c>
      <c r="AB52" s="22">
        <v>0.75</v>
      </c>
      <c r="AC52" s="15" t="e">
        <f>AA52^2*AB52</f>
        <v>#DIV/0!</v>
      </c>
      <c r="AD52" s="16" t="e">
        <f t="shared" si="32"/>
        <v>#DIV/0!</v>
      </c>
      <c r="AM52" s="78"/>
    </row>
    <row r="53" spans="1:39" x14ac:dyDescent="0.25">
      <c r="A53" s="78"/>
      <c r="J53" s="38"/>
      <c r="K53" s="39"/>
      <c r="L53" s="39"/>
      <c r="M53" s="39"/>
      <c r="N53" s="39"/>
      <c r="O53" s="39"/>
      <c r="P53" s="39"/>
      <c r="Q53" s="39"/>
      <c r="R53" s="39"/>
      <c r="S53" s="40"/>
      <c r="T53" s="11" t="str">
        <f t="shared" ref="T53:T54" si="33">IF(J53="","",AVERAGE(J53:S53))</f>
        <v/>
      </c>
      <c r="U53" s="11" t="str">
        <f t="shared" ref="U53:U54" si="34">IF(J53="","",VAR(J53:S53))</f>
        <v/>
      </c>
      <c r="V53" s="17">
        <f t="shared" si="31"/>
        <v>0</v>
      </c>
      <c r="W53" s="1" t="s">
        <v>2</v>
      </c>
      <c r="Y53" s="17" t="s">
        <v>60</v>
      </c>
      <c r="Z53" s="13" t="e">
        <f>AVERAGE(T47:T49)</f>
        <v>#DIV/0!</v>
      </c>
      <c r="AA53" s="13" t="e">
        <f>ABS(Z54-T49)</f>
        <v>#DIV/0!</v>
      </c>
      <c r="AB53" s="22">
        <v>0.66666666666666663</v>
      </c>
      <c r="AC53" s="15" t="e">
        <f>AA53^2*AB53</f>
        <v>#DIV/0!</v>
      </c>
      <c r="AD53" s="16" t="e">
        <f t="shared" si="32"/>
        <v>#DIV/0!</v>
      </c>
      <c r="AM53" s="78"/>
    </row>
    <row r="54" spans="1:39" ht="15.75" thickBot="1" x14ac:dyDescent="0.3">
      <c r="A54" s="78"/>
      <c r="J54" s="41"/>
      <c r="K54" s="42"/>
      <c r="L54" s="42"/>
      <c r="M54" s="42"/>
      <c r="N54" s="42"/>
      <c r="O54" s="42"/>
      <c r="P54" s="42"/>
      <c r="Q54" s="42"/>
      <c r="R54" s="42"/>
      <c r="S54" s="43"/>
      <c r="T54" s="11" t="str">
        <f t="shared" si="33"/>
        <v/>
      </c>
      <c r="U54" s="11" t="str">
        <f t="shared" si="34"/>
        <v/>
      </c>
      <c r="V54" s="17">
        <f t="shared" si="31"/>
        <v>0</v>
      </c>
      <c r="W54" s="1" t="s">
        <v>1</v>
      </c>
      <c r="Y54" s="17" t="s">
        <v>61</v>
      </c>
      <c r="Z54" s="13" t="e">
        <f>AVERAGE(T47:T48)</f>
        <v>#DIV/0!</v>
      </c>
      <c r="AA54" s="13" t="e">
        <f>ABS(T47-T48)</f>
        <v>#VALUE!</v>
      </c>
      <c r="AB54" s="22">
        <v>0.5</v>
      </c>
      <c r="AC54" s="15" t="e">
        <f t="shared" ref="AC54" si="35">AA54^2*AB54</f>
        <v>#VALUE!</v>
      </c>
      <c r="AD54" s="16" t="e">
        <f t="shared" si="32"/>
        <v>#VALUE!</v>
      </c>
      <c r="AM54" s="78"/>
    </row>
    <row r="55" spans="1:39" x14ac:dyDescent="0.25">
      <c r="AB55" s="47" t="s">
        <v>33</v>
      </c>
      <c r="AC55" s="15" t="e">
        <f>DEVSQ(T47:T54)</f>
        <v>#NUM!</v>
      </c>
      <c r="AD55" s="16" t="e">
        <f>SUM(AD48:AD54)</f>
        <v>#DIV/0!</v>
      </c>
      <c r="AE55" t="s">
        <v>48</v>
      </c>
    </row>
  </sheetData>
  <mergeCells count="41">
    <mergeCell ref="A14:A54"/>
    <mergeCell ref="AM14:AM54"/>
    <mergeCell ref="B16:B24"/>
    <mergeCell ref="J16:S16"/>
    <mergeCell ref="Y16:AB16"/>
    <mergeCell ref="AC16:AD16"/>
    <mergeCell ref="J36:S36"/>
    <mergeCell ref="Y36:AB36"/>
    <mergeCell ref="AC36:AD36"/>
    <mergeCell ref="F21:I21"/>
    <mergeCell ref="E22:I22"/>
    <mergeCell ref="D23:I23"/>
    <mergeCell ref="C24:I24"/>
    <mergeCell ref="N10:P10"/>
    <mergeCell ref="R10:T10"/>
    <mergeCell ref="V47:V48"/>
    <mergeCell ref="W47:W48"/>
    <mergeCell ref="AC26:AD26"/>
    <mergeCell ref="V27:V28"/>
    <mergeCell ref="W27:W28"/>
    <mergeCell ref="V37:V38"/>
    <mergeCell ref="W37:W38"/>
    <mergeCell ref="J26:S26"/>
    <mergeCell ref="Y26:AB26"/>
    <mergeCell ref="V17:V18"/>
    <mergeCell ref="W17:W18"/>
    <mergeCell ref="B12:I13"/>
    <mergeCell ref="J12:S13"/>
    <mergeCell ref="AE12:AM13"/>
    <mergeCell ref="T12:AD13"/>
    <mergeCell ref="J46:S46"/>
    <mergeCell ref="Y46:AB46"/>
    <mergeCell ref="AC46:AD46"/>
    <mergeCell ref="E17:E21"/>
    <mergeCell ref="D17:D22"/>
    <mergeCell ref="C17:C23"/>
    <mergeCell ref="F17:F20"/>
    <mergeCell ref="G17:G19"/>
    <mergeCell ref="H17:H18"/>
    <mergeCell ref="H19:I19"/>
    <mergeCell ref="G20:I20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partiellement emboité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 Colliou</dc:creator>
  <cp:lastModifiedBy>morgan Germa Colliou</cp:lastModifiedBy>
  <dcterms:created xsi:type="dcterms:W3CDTF">2025-11-15T11:21:29Z</dcterms:created>
  <dcterms:modified xsi:type="dcterms:W3CDTF">2025-11-17T14:05:28Z</dcterms:modified>
</cp:coreProperties>
</file>