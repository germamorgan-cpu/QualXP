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ayant\"/>
    </mc:Choice>
  </mc:AlternateContent>
  <xr:revisionPtr revIDLastSave="0" documentId="8_{41341683-E930-48F5-8B42-D4A3E882B828}" xr6:coauthVersionLast="47" xr6:coauthVersionMax="47" xr10:uidLastSave="{00000000-0000-0000-0000-000000000000}"/>
  <bookViews>
    <workbookView xWindow="-120" yWindow="-120" windowWidth="29040" windowHeight="15720" xr2:uid="{713273DD-1C2C-4AF0-94D3-9EF93C3200D6}"/>
  </bookViews>
  <sheets>
    <sheet name="BIE" sheetId="1" r:id="rId1"/>
  </sheets>
  <externalReferences>
    <externalReference r:id="rId2"/>
  </externalReferences>
  <definedNames>
    <definedName name="ANALYTES">'[1]validation de méthode'!$AD$6:$AD$461</definedName>
    <definedName name="_xlnm.Print_Area" localSheetId="0">BIE!$B$2:$R$48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D41" i="1"/>
  <c r="D39" i="1"/>
  <c r="H33" i="1"/>
  <c r="G33" i="1"/>
  <c r="F33" i="1"/>
  <c r="E33" i="1"/>
  <c r="D33" i="1"/>
  <c r="D42" i="1" s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G34" i="1" s="1"/>
  <c r="F34" i="1" l="1"/>
  <c r="G35" i="1"/>
  <c r="D44" i="1"/>
  <c r="D45" i="1" s="1"/>
  <c r="G41" i="1"/>
  <c r="F35" i="1"/>
  <c r="I33" i="1"/>
  <c r="E34" i="1"/>
  <c r="E35" i="1" s="1"/>
  <c r="E36" i="1" s="1"/>
  <c r="D34" i="1"/>
  <c r="H34" i="1"/>
  <c r="H35" i="1" s="1"/>
  <c r="D40" i="1"/>
  <c r="H36" i="1" l="1"/>
  <c r="F36" i="1"/>
  <c r="I34" i="1"/>
  <c r="G42" i="1"/>
  <c r="D43" i="1"/>
  <c r="F40" i="1" s="1"/>
  <c r="G40" i="1"/>
  <c r="D35" i="1"/>
  <c r="J41" i="1"/>
  <c r="G36" i="1"/>
  <c r="J40" i="1" l="1"/>
  <c r="H40" i="1"/>
  <c r="D36" i="1"/>
  <c r="I36" i="1" s="1"/>
  <c r="I35" i="1"/>
  <c r="F41" i="1"/>
  <c r="H41" i="1" l="1"/>
  <c r="F42" i="1"/>
  <c r="H42" i="1" s="1"/>
  <c r="I40" i="1" s="1"/>
  <c r="I41" i="1" l="1"/>
</calcChain>
</file>

<file path=xl/sharedStrings.xml><?xml version="1.0" encoding="utf-8"?>
<sst xmlns="http://schemas.openxmlformats.org/spreadsheetml/2006/main" count="42" uniqueCount="41">
  <si>
    <t>Blocs Incomplet Equilibre</t>
  </si>
  <si>
    <t>Paramètre</t>
  </si>
  <si>
    <t>doc interne</t>
  </si>
  <si>
    <t>Instruments</t>
  </si>
  <si>
    <t>version 1</t>
  </si>
  <si>
    <t>lot réactifs :</t>
  </si>
  <si>
    <t>tube :</t>
  </si>
  <si>
    <t>Periode :</t>
  </si>
  <si>
    <t>Traitement</t>
  </si>
  <si>
    <t>Eqt A</t>
  </si>
  <si>
    <t>Eqt B</t>
  </si>
  <si>
    <t>Eqt C</t>
  </si>
  <si>
    <t>Eqt D</t>
  </si>
  <si>
    <t>Eqt E</t>
  </si>
  <si>
    <t>Total</t>
  </si>
  <si>
    <t>MOYENNE</t>
  </si>
  <si>
    <t>echantillon = bloc</t>
  </si>
  <si>
    <t>échantillon</t>
  </si>
  <si>
    <t>Er</t>
  </si>
  <si>
    <t>Somme Bi</t>
  </si>
  <si>
    <t>T ajusté</t>
  </si>
  <si>
    <t>biais (unité)</t>
  </si>
  <si>
    <t>le biais% détermine le pourcentage d'erreur d'une colonne en fonction des autres colonnes.</t>
  </si>
  <si>
    <t>SCE</t>
  </si>
  <si>
    <t>ddl</t>
  </si>
  <si>
    <t>Fobs</t>
  </si>
  <si>
    <t>p (nb obs/bloc)</t>
  </si>
  <si>
    <t>fluctuation</t>
  </si>
  <si>
    <t>S²</t>
  </si>
  <si>
    <t>Fcrit 5%</t>
  </si>
  <si>
    <t>B (nb Bloc)</t>
  </si>
  <si>
    <t>inter-bloc</t>
  </si>
  <si>
    <t>r (obs/traitement)</t>
  </si>
  <si>
    <t>inter-colonne</t>
  </si>
  <si>
    <t>nb traitement</t>
  </si>
  <si>
    <t>résiduelle</t>
  </si>
  <si>
    <t>N observation</t>
  </si>
  <si>
    <t>totale</t>
  </si>
  <si>
    <t>efficacité E*</t>
  </si>
  <si>
    <t>Si Fobs &lt; Fcrit alors il n'y a pas de différence significative entre les colonnes</t>
  </si>
  <si>
    <t>*E: plus E est proche de 1, plus le test est puissant (E=1 si tout le plan est rempli)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</si>
</sst>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0"/>
      <name val="Verdana"/>
      <family val="2"/>
    </font>
    <font>
      <i/>
      <sz val="10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Verdana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0" xfId="1"/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/>
    </xf>
    <xf numFmtId="0" fontId="4" fillId="3" borderId="0" xfId="1" applyFont="1" applyFill="1" applyAlignment="1">
      <alignment vertical="center"/>
    </xf>
    <xf numFmtId="0" fontId="1" fillId="3" borderId="0" xfId="1" applyFill="1"/>
    <xf numFmtId="0" fontId="1" fillId="2" borderId="0" xfId="1" applyFill="1"/>
    <xf numFmtId="0" fontId="5" fillId="4" borderId="0" xfId="1" applyFont="1" applyFill="1"/>
    <xf numFmtId="0" fontId="6" fillId="4" borderId="0" xfId="1" applyFont="1" applyFill="1"/>
    <xf numFmtId="0" fontId="1" fillId="4" borderId="0" xfId="1" applyFill="1"/>
    <xf numFmtId="17" fontId="7" fillId="0" borderId="8" xfId="1" applyNumberFormat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4" fillId="3" borderId="0" xfId="1" applyFont="1" applyFill="1"/>
    <xf numFmtId="17" fontId="8" fillId="0" borderId="10" xfId="1" applyNumberFormat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9" fillId="2" borderId="4" xfId="1" applyFont="1" applyFill="1" applyBorder="1"/>
    <xf numFmtId="0" fontId="9" fillId="2" borderId="5" xfId="1" applyFont="1" applyFill="1" applyBorder="1"/>
    <xf numFmtId="0" fontId="9" fillId="2" borderId="5" xfId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0" fontId="9" fillId="2" borderId="7" xfId="1" applyFont="1" applyFill="1" applyBorder="1"/>
    <xf numFmtId="0" fontId="9" fillId="2" borderId="0" xfId="1" applyFont="1" applyFill="1"/>
    <xf numFmtId="0" fontId="9" fillId="2" borderId="0" xfId="1" applyFont="1" applyFill="1" applyAlignment="1">
      <alignment horizontal="center"/>
    </xf>
    <xf numFmtId="0" fontId="9" fillId="2" borderId="12" xfId="1" applyFont="1" applyFill="1" applyBorder="1" applyAlignment="1">
      <alignment horizontal="center"/>
    </xf>
    <xf numFmtId="0" fontId="5" fillId="5" borderId="1" xfId="1" applyFont="1" applyFill="1" applyBorder="1"/>
    <xf numFmtId="0" fontId="9" fillId="5" borderId="2" xfId="1" applyFont="1" applyFill="1" applyBorder="1"/>
    <xf numFmtId="0" fontId="5" fillId="5" borderId="2" xfId="1" applyFont="1" applyFill="1" applyBorder="1"/>
    <xf numFmtId="0" fontId="9" fillId="5" borderId="2" xfId="1" applyFont="1" applyFill="1" applyBorder="1" applyAlignment="1">
      <alignment horizont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/>
    <xf numFmtId="0" fontId="5" fillId="5" borderId="7" xfId="1" applyFont="1" applyFill="1" applyBorder="1"/>
    <xf numFmtId="0" fontId="9" fillId="5" borderId="0" xfId="1" applyFont="1" applyFill="1"/>
    <xf numFmtId="0" fontId="5" fillId="5" borderId="0" xfId="1" applyFont="1" applyFill="1"/>
    <xf numFmtId="0" fontId="9" fillId="5" borderId="0" xfId="1" applyFont="1" applyFill="1" applyAlignment="1">
      <alignment horizontal="center"/>
    </xf>
    <xf numFmtId="0" fontId="5" fillId="5" borderId="0" xfId="1" applyFont="1" applyFill="1" applyAlignment="1">
      <alignment horizontal="center"/>
    </xf>
    <xf numFmtId="0" fontId="5" fillId="5" borderId="12" xfId="1" applyFont="1" applyFill="1" applyBorder="1"/>
    <xf numFmtId="0" fontId="5" fillId="5" borderId="4" xfId="1" applyFont="1" applyFill="1" applyBorder="1"/>
    <xf numFmtId="0" fontId="9" fillId="5" borderId="5" xfId="1" applyFont="1" applyFill="1" applyBorder="1"/>
    <xf numFmtId="0" fontId="5" fillId="5" borderId="5" xfId="1" applyFont="1" applyFill="1" applyBorder="1"/>
    <xf numFmtId="0" fontId="9" fillId="5" borderId="5" xfId="1" applyFont="1" applyFill="1" applyBorder="1" applyAlignment="1">
      <alignment horizontal="center"/>
    </xf>
    <xf numFmtId="0" fontId="5" fillId="5" borderId="6" xfId="1" applyFont="1" applyFill="1" applyBorder="1"/>
    <xf numFmtId="0" fontId="5" fillId="2" borderId="7" xfId="1" applyFont="1" applyFill="1" applyBorder="1"/>
    <xf numFmtId="0" fontId="5" fillId="6" borderId="13" xfId="1" applyFont="1" applyFill="1" applyBorder="1" applyAlignment="1">
      <alignment horizontal="center"/>
    </xf>
    <xf numFmtId="0" fontId="5" fillId="6" borderId="14" xfId="1" applyFont="1" applyFill="1" applyBorder="1" applyAlignment="1">
      <alignment horizontal="center"/>
    </xf>
    <xf numFmtId="0" fontId="5" fillId="6" borderId="15" xfId="1" applyFont="1" applyFill="1" applyBorder="1" applyAlignment="1">
      <alignment horizontal="center"/>
    </xf>
    <xf numFmtId="0" fontId="5" fillId="2" borderId="6" xfId="1" applyFont="1" applyFill="1" applyBorder="1"/>
    <xf numFmtId="0" fontId="1" fillId="2" borderId="7" xfId="1" applyFill="1" applyBorder="1"/>
    <xf numFmtId="0" fontId="7" fillId="7" borderId="16" xfId="1" applyFont="1" applyFill="1" applyBorder="1" applyAlignment="1">
      <alignment horizontal="center"/>
    </xf>
    <xf numFmtId="0" fontId="7" fillId="8" borderId="17" xfId="1" applyFont="1" applyFill="1" applyBorder="1" applyAlignment="1">
      <alignment horizontal="center"/>
    </xf>
    <xf numFmtId="0" fontId="7" fillId="8" borderId="18" xfId="1" applyFont="1" applyFill="1" applyBorder="1" applyAlignment="1">
      <alignment horizontal="center"/>
    </xf>
    <xf numFmtId="0" fontId="7" fillId="8" borderId="19" xfId="1" applyFont="1" applyFill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1" fillId="0" borderId="20" xfId="1" applyBorder="1" applyAlignment="1">
      <alignment horizontal="center" vertical="center" textRotation="90"/>
    </xf>
    <xf numFmtId="0" fontId="7" fillId="0" borderId="21" xfId="1" applyFont="1" applyBorder="1" applyAlignment="1">
      <alignment horizontal="center"/>
    </xf>
    <xf numFmtId="0" fontId="1" fillId="9" borderId="22" xfId="1" applyFill="1" applyBorder="1" applyAlignment="1">
      <alignment horizontal="center"/>
    </xf>
    <xf numFmtId="0" fontId="1" fillId="10" borderId="8" xfId="1" applyFill="1" applyBorder="1" applyAlignment="1">
      <alignment horizontal="center"/>
    </xf>
    <xf numFmtId="0" fontId="1" fillId="9" borderId="8" xfId="1" applyFill="1" applyBorder="1" applyAlignment="1">
      <alignment horizontal="center"/>
    </xf>
    <xf numFmtId="0" fontId="1" fillId="9" borderId="9" xfId="1" applyFill="1" applyBorder="1" applyAlignment="1">
      <alignment horizontal="center"/>
    </xf>
    <xf numFmtId="0" fontId="1" fillId="0" borderId="23" xfId="1" applyBorder="1" applyAlignment="1">
      <alignment horizontal="center"/>
    </xf>
    <xf numFmtId="2" fontId="1" fillId="0" borderId="24" xfId="1" applyNumberFormat="1" applyBorder="1" applyAlignment="1">
      <alignment horizontal="center"/>
    </xf>
    <xf numFmtId="1" fontId="1" fillId="0" borderId="10" xfId="1" applyNumberFormat="1" applyBorder="1" applyAlignment="1">
      <alignment horizontal="center"/>
    </xf>
    <xf numFmtId="0" fontId="1" fillId="0" borderId="25" xfId="1" applyBorder="1" applyAlignment="1">
      <alignment horizontal="center" vertical="center" textRotation="90"/>
    </xf>
    <xf numFmtId="0" fontId="7" fillId="0" borderId="26" xfId="1" applyFont="1" applyBorder="1" applyAlignment="1">
      <alignment horizontal="center"/>
    </xf>
    <xf numFmtId="0" fontId="1" fillId="10" borderId="27" xfId="1" applyFill="1" applyBorder="1" applyAlignment="1">
      <alignment horizontal="center"/>
    </xf>
    <xf numFmtId="0" fontId="1" fillId="9" borderId="10" xfId="1" applyFill="1" applyBorder="1" applyAlignment="1">
      <alignment horizontal="center"/>
    </xf>
    <xf numFmtId="0" fontId="1" fillId="10" borderId="10" xfId="1" applyFill="1" applyBorder="1" applyAlignment="1">
      <alignment horizontal="center"/>
    </xf>
    <xf numFmtId="0" fontId="1" fillId="9" borderId="11" xfId="1" applyFill="1" applyBorder="1" applyAlignment="1">
      <alignment horizontal="center"/>
    </xf>
    <xf numFmtId="0" fontId="1" fillId="0" borderId="28" xfId="1" applyBorder="1" applyAlignment="1">
      <alignment horizontal="center"/>
    </xf>
    <xf numFmtId="2" fontId="1" fillId="0" borderId="29" xfId="1" applyNumberFormat="1" applyBorder="1" applyAlignment="1">
      <alignment horizontal="center"/>
    </xf>
    <xf numFmtId="0" fontId="1" fillId="10" borderId="11" xfId="1" applyFill="1" applyBorder="1" applyAlignment="1">
      <alignment horizontal="center"/>
    </xf>
    <xf numFmtId="0" fontId="1" fillId="9" borderId="27" xfId="1" applyFill="1" applyBorder="1" applyAlignment="1">
      <alignment horizontal="center"/>
    </xf>
    <xf numFmtId="0" fontId="1" fillId="9" borderId="30" xfId="1" applyFill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1" fillId="10" borderId="32" xfId="1" applyFill="1" applyBorder="1" applyAlignment="1">
      <alignment horizontal="center"/>
    </xf>
    <xf numFmtId="0" fontId="1" fillId="0" borderId="33" xfId="1" applyBorder="1" applyAlignment="1">
      <alignment horizontal="center"/>
    </xf>
    <xf numFmtId="0" fontId="7" fillId="0" borderId="34" xfId="1" applyFont="1" applyBorder="1" applyAlignment="1">
      <alignment horizontal="center"/>
    </xf>
    <xf numFmtId="0" fontId="1" fillId="9" borderId="35" xfId="1" applyFill="1" applyBorder="1" applyAlignment="1">
      <alignment horizontal="center"/>
    </xf>
    <xf numFmtId="0" fontId="1" fillId="0" borderId="36" xfId="1" applyBorder="1" applyAlignment="1">
      <alignment horizontal="center" vertical="center" textRotation="90"/>
    </xf>
    <xf numFmtId="0" fontId="1" fillId="10" borderId="37" xfId="1" applyFill="1" applyBorder="1" applyAlignment="1">
      <alignment horizontal="center"/>
    </xf>
    <xf numFmtId="0" fontId="1" fillId="9" borderId="38" xfId="1" applyFill="1" applyBorder="1" applyAlignment="1">
      <alignment horizontal="center"/>
    </xf>
    <xf numFmtId="0" fontId="1" fillId="10" borderId="38" xfId="1" applyFill="1" applyBorder="1" applyAlignment="1">
      <alignment horizontal="center"/>
    </xf>
    <xf numFmtId="0" fontId="1" fillId="9" borderId="39" xfId="1" applyFill="1" applyBorder="1" applyAlignment="1">
      <alignment horizontal="center"/>
    </xf>
    <xf numFmtId="2" fontId="1" fillId="0" borderId="36" xfId="1" applyNumberFormat="1" applyBorder="1" applyAlignment="1">
      <alignment horizontal="center"/>
    </xf>
    <xf numFmtId="0" fontId="7" fillId="0" borderId="24" xfId="1" applyFont="1" applyBorder="1"/>
    <xf numFmtId="0" fontId="1" fillId="0" borderId="40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4" borderId="12" xfId="1" applyFill="1" applyBorder="1"/>
    <xf numFmtId="0" fontId="7" fillId="0" borderId="42" xfId="1" applyFont="1" applyBorder="1"/>
    <xf numFmtId="2" fontId="1" fillId="0" borderId="32" xfId="1" applyNumberFormat="1" applyBorder="1" applyAlignment="1">
      <alignment horizontal="center"/>
    </xf>
    <xf numFmtId="2" fontId="1" fillId="0" borderId="10" xfId="1" applyNumberFormat="1" applyBorder="1" applyAlignment="1">
      <alignment horizontal="center"/>
    </xf>
    <xf numFmtId="2" fontId="1" fillId="0" borderId="11" xfId="1" applyNumberFormat="1" applyBorder="1" applyAlignment="1">
      <alignment horizontal="center"/>
    </xf>
    <xf numFmtId="2" fontId="1" fillId="0" borderId="26" xfId="1" applyNumberFormat="1" applyBorder="1" applyAlignment="1">
      <alignment horizontal="center"/>
    </xf>
    <xf numFmtId="0" fontId="7" fillId="0" borderId="43" xfId="1" applyFont="1" applyBorder="1"/>
    <xf numFmtId="2" fontId="1" fillId="0" borderId="44" xfId="1" applyNumberFormat="1" applyBorder="1" applyAlignment="1">
      <alignment horizontal="center"/>
    </xf>
    <xf numFmtId="2" fontId="1" fillId="0" borderId="38" xfId="1" applyNumberFormat="1" applyBorder="1" applyAlignment="1">
      <alignment horizontal="center"/>
    </xf>
    <xf numFmtId="2" fontId="1" fillId="0" borderId="39" xfId="1" applyNumberFormat="1" applyBorder="1" applyAlignment="1">
      <alignment horizontal="center"/>
    </xf>
    <xf numFmtId="2" fontId="1" fillId="0" borderId="31" xfId="1" applyNumberFormat="1" applyBorder="1" applyAlignment="1">
      <alignment horizontal="center"/>
    </xf>
    <xf numFmtId="0" fontId="7" fillId="3" borderId="13" xfId="1" applyFont="1" applyFill="1" applyBorder="1"/>
    <xf numFmtId="2" fontId="7" fillId="3" borderId="45" xfId="1" applyNumberFormat="1" applyFont="1" applyFill="1" applyBorder="1" applyAlignment="1">
      <alignment horizontal="center"/>
    </xf>
    <xf numFmtId="2" fontId="7" fillId="3" borderId="36" xfId="1" applyNumberFormat="1" applyFont="1" applyFill="1" applyBorder="1" applyAlignment="1">
      <alignment horizontal="center"/>
    </xf>
    <xf numFmtId="2" fontId="7" fillId="4" borderId="6" xfId="1" applyNumberFormat="1" applyFont="1" applyFill="1" applyBorder="1" applyAlignment="1">
      <alignment horizontal="center"/>
    </xf>
    <xf numFmtId="0" fontId="1" fillId="2" borderId="2" xfId="1" applyFill="1" applyBorder="1"/>
    <xf numFmtId="0" fontId="1" fillId="2" borderId="12" xfId="1" applyFill="1" applyBorder="1"/>
    <xf numFmtId="0" fontId="1" fillId="0" borderId="0" xfId="1" applyAlignment="1">
      <alignment horizontal="right"/>
    </xf>
    <xf numFmtId="0" fontId="10" fillId="0" borderId="0" xfId="1" applyFont="1" applyAlignment="1">
      <alignment horizontal="right"/>
    </xf>
    <xf numFmtId="0" fontId="7" fillId="2" borderId="46" xfId="1" applyFont="1" applyFill="1" applyBorder="1"/>
    <xf numFmtId="0" fontId="1" fillId="2" borderId="9" xfId="1" applyFill="1" applyBorder="1" applyAlignment="1">
      <alignment horizontal="center"/>
    </xf>
    <xf numFmtId="0" fontId="1" fillId="2" borderId="46" xfId="1" applyFill="1" applyBorder="1"/>
    <xf numFmtId="0" fontId="1" fillId="2" borderId="47" xfId="1" applyFill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0" borderId="9" xfId="1" applyBorder="1" applyAlignment="1">
      <alignment horizontal="center"/>
    </xf>
    <xf numFmtId="0" fontId="7" fillId="2" borderId="44" xfId="1" applyFont="1" applyFill="1" applyBorder="1"/>
    <xf numFmtId="0" fontId="1" fillId="2" borderId="39" xfId="1" applyFill="1" applyBorder="1" applyAlignment="1">
      <alignment horizontal="center"/>
    </xf>
    <xf numFmtId="0" fontId="1" fillId="2" borderId="32" xfId="1" applyFill="1" applyBorder="1"/>
    <xf numFmtId="2" fontId="1" fillId="2" borderId="10" xfId="1" applyNumberFormat="1" applyFill="1" applyBorder="1" applyAlignment="1">
      <alignment horizontal="center"/>
    </xf>
    <xf numFmtId="2" fontId="1" fillId="11" borderId="10" xfId="1" applyNumberFormat="1" applyFill="1" applyBorder="1" applyAlignment="1">
      <alignment horizontal="center"/>
    </xf>
    <xf numFmtId="2" fontId="1" fillId="11" borderId="11" xfId="1" applyNumberFormat="1" applyFill="1" applyBorder="1" applyAlignment="1">
      <alignment horizontal="center"/>
    </xf>
    <xf numFmtId="2" fontId="1" fillId="12" borderId="10" xfId="1" applyNumberFormat="1" applyFill="1" applyBorder="1" applyAlignment="1">
      <alignment horizontal="center"/>
    </xf>
    <xf numFmtId="166" fontId="1" fillId="4" borderId="33" xfId="1" applyNumberFormat="1" applyFill="1" applyBorder="1" applyAlignment="1">
      <alignment horizontal="center"/>
    </xf>
    <xf numFmtId="166" fontId="1" fillId="4" borderId="48" xfId="1" applyNumberFormat="1" applyFill="1" applyBorder="1" applyAlignment="1">
      <alignment horizontal="center"/>
    </xf>
    <xf numFmtId="0" fontId="7" fillId="2" borderId="49" xfId="1" applyFont="1" applyFill="1" applyBorder="1"/>
    <xf numFmtId="0" fontId="1" fillId="2" borderId="35" xfId="1" applyFill="1" applyBorder="1" applyAlignment="1">
      <alignment horizontal="center"/>
    </xf>
    <xf numFmtId="0" fontId="1" fillId="2" borderId="44" xfId="1" applyFill="1" applyBorder="1"/>
    <xf numFmtId="2" fontId="1" fillId="2" borderId="38" xfId="1" applyNumberFormat="1" applyFill="1" applyBorder="1" applyAlignment="1">
      <alignment horizontal="center"/>
    </xf>
    <xf numFmtId="2" fontId="1" fillId="4" borderId="5" xfId="1" applyNumberFormat="1" applyFill="1" applyBorder="1" applyAlignment="1">
      <alignment horizontal="center"/>
    </xf>
    <xf numFmtId="166" fontId="1" fillId="4" borderId="5" xfId="1" applyNumberFormat="1" applyFill="1" applyBorder="1" applyAlignment="1">
      <alignment horizontal="center"/>
    </xf>
    <xf numFmtId="166" fontId="1" fillId="4" borderId="6" xfId="1" applyNumberFormat="1" applyFill="1" applyBorder="1" applyAlignment="1">
      <alignment horizontal="center"/>
    </xf>
    <xf numFmtId="0" fontId="7" fillId="2" borderId="32" xfId="1" applyFont="1" applyFill="1" applyBorder="1"/>
    <xf numFmtId="10" fontId="1" fillId="2" borderId="11" xfId="1" applyNumberFormat="1" applyFill="1" applyBorder="1" applyAlignment="1">
      <alignment horizontal="center"/>
    </xf>
    <xf numFmtId="1" fontId="1" fillId="2" borderId="39" xfId="1" applyNumberFormat="1" applyFill="1" applyBorder="1" applyAlignment="1">
      <alignment horizontal="center"/>
    </xf>
    <xf numFmtId="0" fontId="1" fillId="2" borderId="4" xfId="1" applyFill="1" applyBorder="1"/>
    <xf numFmtId="0" fontId="1" fillId="2" borderId="5" xfId="1" applyFill="1" applyBorder="1"/>
    <xf numFmtId="0" fontId="1" fillId="2" borderId="6" xfId="1" applyFill="1" applyBorder="1"/>
  </cellXfs>
  <cellStyles count="2">
    <cellStyle name="Normal" xfId="0" builtinId="0"/>
    <cellStyle name="Normal 2" xfId="1" xr:uid="{15261BFE-2924-4726-8F7E-F0EEC2D94519}"/>
  </cellStyles>
  <dxfs count="2"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1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MAQUETTE%20validation%20biologie%20m&#233;dicale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EE59-CB43-4241-B491-52692BDA19C5}">
  <sheetPr>
    <pageSetUpPr fitToPage="1"/>
  </sheetPr>
  <dimension ref="B1:K47"/>
  <sheetViews>
    <sheetView showGridLines="0" tabSelected="1" zoomScale="85" zoomScaleNormal="85" zoomScaleSheetLayoutView="130" workbookViewId="0">
      <selection activeCell="L40" sqref="L40"/>
    </sheetView>
  </sheetViews>
  <sheetFormatPr baseColWidth="10" defaultColWidth="11.42578125" defaultRowHeight="12.75" x14ac:dyDescent="0.2"/>
  <cols>
    <col min="1" max="2" width="11.42578125" style="5"/>
    <col min="3" max="3" width="19.5703125" style="5" customWidth="1"/>
    <col min="4" max="8" width="13.140625" style="5" customWidth="1"/>
    <col min="9" max="9" width="11.42578125" style="5"/>
    <col min="10" max="10" width="11.5703125" style="5" bestFit="1" customWidth="1"/>
    <col min="11" max="16384" width="11.42578125" style="5"/>
  </cols>
  <sheetData>
    <row r="1" spans="2:11" ht="13.5" thickBot="1" x14ac:dyDescent="0.25"/>
    <row r="2" spans="2:11" ht="24.75" x14ac:dyDescent="0.2">
      <c r="B2" s="1" t="s">
        <v>0</v>
      </c>
      <c r="C2" s="2"/>
      <c r="D2" s="2"/>
      <c r="E2" s="2"/>
      <c r="F2" s="2"/>
      <c r="G2" s="2"/>
      <c r="H2" s="2"/>
      <c r="I2" s="2"/>
      <c r="J2" s="3"/>
      <c r="K2" s="4"/>
    </row>
    <row r="3" spans="2:11" ht="13.5" thickBot="1" x14ac:dyDescent="0.25">
      <c r="B3" s="6"/>
      <c r="C3" s="7"/>
      <c r="D3" s="7"/>
      <c r="E3" s="7"/>
      <c r="F3" s="7"/>
      <c r="G3" s="7"/>
      <c r="H3" s="7"/>
      <c r="I3" s="7"/>
      <c r="J3" s="8"/>
    </row>
    <row r="4" spans="2:11" ht="15" x14ac:dyDescent="0.2">
      <c r="B4" s="9" t="s">
        <v>1</v>
      </c>
      <c r="C4" s="10"/>
      <c r="D4" s="11"/>
      <c r="E4" s="12"/>
      <c r="F4" s="13"/>
      <c r="G4" s="14"/>
      <c r="H4" s="15"/>
      <c r="I4" s="16">
        <v>40695</v>
      </c>
      <c r="J4" s="17" t="s">
        <v>2</v>
      </c>
    </row>
    <row r="5" spans="2:11" ht="15" x14ac:dyDescent="0.2">
      <c r="B5" s="9" t="s">
        <v>3</v>
      </c>
      <c r="C5" s="18"/>
      <c r="D5" s="11"/>
      <c r="E5" s="12"/>
      <c r="F5" s="14"/>
      <c r="G5" s="14"/>
      <c r="H5" s="15"/>
      <c r="I5" s="19" t="s">
        <v>4</v>
      </c>
      <c r="J5" s="20"/>
    </row>
    <row r="6" spans="2:11" ht="13.5" thickBot="1" x14ac:dyDescent="0.25">
      <c r="B6" s="21"/>
      <c r="C6" s="22"/>
      <c r="D6" s="22"/>
      <c r="E6" s="22"/>
      <c r="F6" s="23"/>
      <c r="G6" s="23"/>
      <c r="H6" s="23"/>
      <c r="I6" s="23"/>
      <c r="J6" s="24"/>
      <c r="K6" s="25"/>
    </row>
    <row r="7" spans="2:11" ht="13.5" thickBot="1" x14ac:dyDescent="0.25">
      <c r="B7" s="26"/>
      <c r="C7" s="27"/>
      <c r="D7" s="27"/>
      <c r="E7" s="27"/>
      <c r="F7" s="28"/>
      <c r="G7" s="28"/>
      <c r="H7" s="28"/>
      <c r="I7" s="28"/>
      <c r="J7" s="29"/>
      <c r="K7" s="25"/>
    </row>
    <row r="8" spans="2:11" ht="10.5" customHeight="1" x14ac:dyDescent="0.2">
      <c r="B8" s="30" t="s">
        <v>5</v>
      </c>
      <c r="C8" s="31"/>
      <c r="D8" s="31"/>
      <c r="E8" s="32"/>
      <c r="F8" s="32"/>
      <c r="G8" s="32"/>
      <c r="H8" s="33"/>
      <c r="I8" s="34"/>
      <c r="J8" s="35"/>
      <c r="K8" s="25"/>
    </row>
    <row r="9" spans="2:11" ht="10.5" customHeight="1" x14ac:dyDescent="0.2">
      <c r="B9" s="36" t="s">
        <v>6</v>
      </c>
      <c r="C9" s="37"/>
      <c r="D9" s="37"/>
      <c r="E9" s="38"/>
      <c r="F9" s="38"/>
      <c r="G9" s="38"/>
      <c r="H9" s="39"/>
      <c r="I9" s="40"/>
      <c r="J9" s="41"/>
      <c r="K9" s="25"/>
    </row>
    <row r="10" spans="2:11" ht="13.5" thickBot="1" x14ac:dyDescent="0.25">
      <c r="B10" s="42" t="s">
        <v>7</v>
      </c>
      <c r="C10" s="43"/>
      <c r="D10" s="43"/>
      <c r="E10" s="43"/>
      <c r="F10" s="44"/>
      <c r="G10" s="44"/>
      <c r="H10" s="45"/>
      <c r="I10" s="45"/>
      <c r="J10" s="46"/>
      <c r="K10" s="25"/>
    </row>
    <row r="11" spans="2:11" ht="15.75" customHeight="1" thickBot="1" x14ac:dyDescent="0.25">
      <c r="B11" s="47"/>
      <c r="C11" s="22"/>
      <c r="D11" s="48" t="s">
        <v>8</v>
      </c>
      <c r="E11" s="49"/>
      <c r="F11" s="49"/>
      <c r="G11" s="49"/>
      <c r="H11" s="50"/>
      <c r="I11" s="23"/>
      <c r="J11" s="51"/>
      <c r="K11" s="25"/>
    </row>
    <row r="12" spans="2:11" ht="13.5" thickBot="1" x14ac:dyDescent="0.25">
      <c r="B12" s="52"/>
      <c r="C12" s="53"/>
      <c r="D12" s="54" t="s">
        <v>9</v>
      </c>
      <c r="E12" s="55" t="s">
        <v>10</v>
      </c>
      <c r="F12" s="55" t="s">
        <v>11</v>
      </c>
      <c r="G12" s="55" t="s">
        <v>12</v>
      </c>
      <c r="H12" s="56" t="s">
        <v>13</v>
      </c>
      <c r="I12" s="57" t="s">
        <v>14</v>
      </c>
      <c r="J12" s="57" t="s">
        <v>15</v>
      </c>
    </row>
    <row r="13" spans="2:11" x14ac:dyDescent="0.2">
      <c r="B13" s="58" t="s">
        <v>16</v>
      </c>
      <c r="C13" s="59" t="s">
        <v>17</v>
      </c>
      <c r="D13" s="60">
        <v>0.9</v>
      </c>
      <c r="E13" s="61"/>
      <c r="F13" s="61"/>
      <c r="G13" s="62">
        <v>1</v>
      </c>
      <c r="H13" s="63">
        <v>2</v>
      </c>
      <c r="I13" s="64">
        <f t="shared" ref="I13:I32" si="0">SUM(D13:H13)</f>
        <v>3.9</v>
      </c>
      <c r="J13" s="65">
        <f>IF(ISNUMBER(D13),AVERAGE(D13:H13),"")</f>
        <v>1.3</v>
      </c>
    </row>
    <row r="14" spans="2:11" x14ac:dyDescent="0.2">
      <c r="B14" s="67"/>
      <c r="C14" s="68">
        <v>2</v>
      </c>
      <c r="D14" s="69"/>
      <c r="E14" s="70">
        <v>2</v>
      </c>
      <c r="F14" s="70">
        <v>5</v>
      </c>
      <c r="G14" s="71"/>
      <c r="H14" s="72">
        <v>4</v>
      </c>
      <c r="I14" s="73">
        <f t="shared" si="0"/>
        <v>11</v>
      </c>
      <c r="J14" s="74">
        <f>IF(ISNUMBER(E14),AVERAGE(D14:H14),"")</f>
        <v>3.6666666666666665</v>
      </c>
    </row>
    <row r="15" spans="2:11" x14ac:dyDescent="0.2">
      <c r="B15" s="67"/>
      <c r="C15" s="68">
        <v>3</v>
      </c>
      <c r="D15" s="69"/>
      <c r="E15" s="70">
        <v>2</v>
      </c>
      <c r="F15" s="70">
        <v>2</v>
      </c>
      <c r="G15" s="70">
        <v>6</v>
      </c>
      <c r="H15" s="75"/>
      <c r="I15" s="73">
        <f t="shared" si="0"/>
        <v>10</v>
      </c>
      <c r="J15" s="74">
        <f>IF(ISNUMBER(E15),AVERAGE(D15:H15),"")</f>
        <v>3.3333333333333335</v>
      </c>
    </row>
    <row r="16" spans="2:11" x14ac:dyDescent="0.2">
      <c r="B16" s="67"/>
      <c r="C16" s="68">
        <v>4</v>
      </c>
      <c r="D16" s="76">
        <v>1.6</v>
      </c>
      <c r="E16" s="70">
        <v>2</v>
      </c>
      <c r="F16" s="71"/>
      <c r="G16" s="70">
        <v>0</v>
      </c>
      <c r="H16" s="75"/>
      <c r="I16" s="73">
        <f t="shared" si="0"/>
        <v>3.6</v>
      </c>
      <c r="J16" s="74">
        <f>IF(ISNUMBER(D16),AVERAGE(D16:H16),"")</f>
        <v>1.2</v>
      </c>
    </row>
    <row r="17" spans="2:10" x14ac:dyDescent="0.2">
      <c r="B17" s="67"/>
      <c r="C17" s="68">
        <v>5</v>
      </c>
      <c r="D17" s="76">
        <v>2.5</v>
      </c>
      <c r="E17" s="70">
        <v>1</v>
      </c>
      <c r="F17" s="71"/>
      <c r="G17" s="71"/>
      <c r="H17" s="72">
        <v>9</v>
      </c>
      <c r="I17" s="73">
        <f t="shared" si="0"/>
        <v>12.5</v>
      </c>
      <c r="J17" s="74">
        <f>IF(ISNUMBER(D17),AVERAGE(D17:H17),"")</f>
        <v>4.166666666666667</v>
      </c>
    </row>
    <row r="18" spans="2:10" x14ac:dyDescent="0.2">
      <c r="B18" s="67"/>
      <c r="C18" s="68">
        <v>6</v>
      </c>
      <c r="D18" s="69"/>
      <c r="E18" s="71"/>
      <c r="F18" s="70">
        <v>2</v>
      </c>
      <c r="G18" s="70">
        <v>1</v>
      </c>
      <c r="H18" s="72">
        <v>1</v>
      </c>
      <c r="I18" s="73">
        <f t="shared" si="0"/>
        <v>4</v>
      </c>
      <c r="J18" s="74">
        <f>IF(ISNUMBER(F18),AVERAGE(D18:H18),"")</f>
        <v>1.3333333333333333</v>
      </c>
    </row>
    <row r="19" spans="2:10" x14ac:dyDescent="0.2">
      <c r="B19" s="67"/>
      <c r="C19" s="68">
        <v>7</v>
      </c>
      <c r="D19" s="76">
        <v>2.6</v>
      </c>
      <c r="E19" s="71"/>
      <c r="F19" s="70">
        <v>1</v>
      </c>
      <c r="G19" s="70">
        <v>2</v>
      </c>
      <c r="H19" s="75"/>
      <c r="I19" s="73">
        <f t="shared" si="0"/>
        <v>5.6</v>
      </c>
      <c r="J19" s="74">
        <f>IF(ISNUMBER(D19),AVERAGE(D19:H19),"")</f>
        <v>1.8666666666666665</v>
      </c>
    </row>
    <row r="20" spans="2:10" x14ac:dyDescent="0.2">
      <c r="B20" s="67"/>
      <c r="C20" s="68">
        <v>8</v>
      </c>
      <c r="D20" s="76">
        <v>4.2</v>
      </c>
      <c r="E20" s="70">
        <v>2</v>
      </c>
      <c r="F20" s="70">
        <v>4</v>
      </c>
      <c r="G20" s="71"/>
      <c r="H20" s="75"/>
      <c r="I20" s="73">
        <f t="shared" si="0"/>
        <v>10.199999999999999</v>
      </c>
      <c r="J20" s="74">
        <f>IF(ISNUMBER(D20),AVERAGE(D20:H20),"")</f>
        <v>3.4</v>
      </c>
    </row>
    <row r="21" spans="2:10" x14ac:dyDescent="0.2">
      <c r="B21" s="67"/>
      <c r="C21" s="68">
        <v>9</v>
      </c>
      <c r="D21" s="76">
        <v>7.7</v>
      </c>
      <c r="E21" s="71"/>
      <c r="F21" s="70">
        <v>10</v>
      </c>
      <c r="G21" s="71"/>
      <c r="H21" s="77">
        <v>8</v>
      </c>
      <c r="I21" s="73">
        <f t="shared" si="0"/>
        <v>25.7</v>
      </c>
      <c r="J21" s="74">
        <f>IF(ISNUMBER(D21),AVERAGE(D21:H21),"")</f>
        <v>8.5666666666666664</v>
      </c>
    </row>
    <row r="22" spans="2:10" ht="13.5" thickBot="1" x14ac:dyDescent="0.25">
      <c r="B22" s="67"/>
      <c r="C22" s="78">
        <v>10</v>
      </c>
      <c r="D22" s="79"/>
      <c r="E22" s="70">
        <v>2</v>
      </c>
      <c r="F22" s="71"/>
      <c r="G22" s="70">
        <v>0</v>
      </c>
      <c r="H22" s="72">
        <v>0</v>
      </c>
      <c r="I22" s="80">
        <f t="shared" si="0"/>
        <v>2</v>
      </c>
      <c r="J22" s="74">
        <f>IF(ISNUMBER(E22),AVERAGE(D22:H22),"")</f>
        <v>0.66666666666666663</v>
      </c>
    </row>
    <row r="23" spans="2:10" ht="15" customHeight="1" x14ac:dyDescent="0.2">
      <c r="B23" s="67"/>
      <c r="C23" s="81">
        <v>11</v>
      </c>
      <c r="D23" s="60">
        <v>0.9</v>
      </c>
      <c r="E23" s="61"/>
      <c r="F23" s="61"/>
      <c r="G23" s="62">
        <v>1</v>
      </c>
      <c r="H23" s="82">
        <v>2</v>
      </c>
      <c r="I23" s="80">
        <f t="shared" si="0"/>
        <v>3.9</v>
      </c>
      <c r="J23" s="74">
        <f>IF(ISNUMBER(D23),AVERAGE(D23:H23),"")</f>
        <v>1.3</v>
      </c>
    </row>
    <row r="24" spans="2:10" x14ac:dyDescent="0.2">
      <c r="B24" s="67"/>
      <c r="C24" s="68">
        <v>12</v>
      </c>
      <c r="D24" s="69"/>
      <c r="E24" s="70">
        <v>2</v>
      </c>
      <c r="F24" s="70">
        <v>5</v>
      </c>
      <c r="G24" s="71"/>
      <c r="H24" s="72">
        <v>4</v>
      </c>
      <c r="I24" s="80">
        <f t="shared" si="0"/>
        <v>11</v>
      </c>
      <c r="J24" s="74">
        <f>IF(ISNUMBER(E24),AVERAGE(D24:H24),"")</f>
        <v>3.6666666666666665</v>
      </c>
    </row>
    <row r="25" spans="2:10" x14ac:dyDescent="0.2">
      <c r="B25" s="67"/>
      <c r="C25" s="68">
        <v>13</v>
      </c>
      <c r="D25" s="69"/>
      <c r="E25" s="70">
        <v>2</v>
      </c>
      <c r="F25" s="70">
        <v>2</v>
      </c>
      <c r="G25" s="70">
        <v>6</v>
      </c>
      <c r="H25" s="75"/>
      <c r="I25" s="80">
        <f t="shared" si="0"/>
        <v>10</v>
      </c>
      <c r="J25" s="74">
        <f>IF(ISNUMBER(E25),AVERAGE(D25:H25),"")</f>
        <v>3.3333333333333335</v>
      </c>
    </row>
    <row r="26" spans="2:10" x14ac:dyDescent="0.2">
      <c r="B26" s="67"/>
      <c r="C26" s="68">
        <v>14</v>
      </c>
      <c r="D26" s="76">
        <v>1.6</v>
      </c>
      <c r="E26" s="70">
        <v>2</v>
      </c>
      <c r="F26" s="71"/>
      <c r="G26" s="70">
        <v>0</v>
      </c>
      <c r="H26" s="75"/>
      <c r="I26" s="80">
        <f t="shared" si="0"/>
        <v>3.6</v>
      </c>
      <c r="J26" s="74">
        <f>IF(ISNUMBER(D26),AVERAGE(D26:H26),"")</f>
        <v>1.2</v>
      </c>
    </row>
    <row r="27" spans="2:10" x14ac:dyDescent="0.2">
      <c r="B27" s="67"/>
      <c r="C27" s="68">
        <v>15</v>
      </c>
      <c r="D27" s="76">
        <v>2.5</v>
      </c>
      <c r="E27" s="70">
        <v>1</v>
      </c>
      <c r="F27" s="71"/>
      <c r="G27" s="71"/>
      <c r="H27" s="72">
        <v>9</v>
      </c>
      <c r="I27" s="80">
        <f t="shared" si="0"/>
        <v>12.5</v>
      </c>
      <c r="J27" s="74">
        <f>IF(ISNUMBER(D27),AVERAGE(D27:H27),"")</f>
        <v>4.166666666666667</v>
      </c>
    </row>
    <row r="28" spans="2:10" x14ac:dyDescent="0.2">
      <c r="B28" s="67"/>
      <c r="C28" s="68">
        <v>16</v>
      </c>
      <c r="D28" s="69"/>
      <c r="E28" s="71"/>
      <c r="F28" s="70">
        <v>2</v>
      </c>
      <c r="G28" s="70">
        <v>1</v>
      </c>
      <c r="H28" s="72">
        <v>1</v>
      </c>
      <c r="I28" s="80">
        <f t="shared" si="0"/>
        <v>4</v>
      </c>
      <c r="J28" s="74">
        <f>IF(ISNUMBER(F28),AVERAGE(D28:H28),"")</f>
        <v>1.3333333333333333</v>
      </c>
    </row>
    <row r="29" spans="2:10" x14ac:dyDescent="0.2">
      <c r="B29" s="67"/>
      <c r="C29" s="68">
        <v>17</v>
      </c>
      <c r="D29" s="76">
        <v>2.6</v>
      </c>
      <c r="E29" s="71"/>
      <c r="F29" s="70">
        <v>1</v>
      </c>
      <c r="G29" s="70">
        <v>2</v>
      </c>
      <c r="H29" s="75"/>
      <c r="I29" s="80">
        <f t="shared" si="0"/>
        <v>5.6</v>
      </c>
      <c r="J29" s="74">
        <f>IF(ISNUMBER(D29),AVERAGE(D29:H29),"")</f>
        <v>1.8666666666666665</v>
      </c>
    </row>
    <row r="30" spans="2:10" x14ac:dyDescent="0.2">
      <c r="B30" s="67"/>
      <c r="C30" s="68">
        <v>18</v>
      </c>
      <c r="D30" s="76">
        <v>4.2</v>
      </c>
      <c r="E30" s="70">
        <v>2</v>
      </c>
      <c r="F30" s="70">
        <v>4</v>
      </c>
      <c r="G30" s="71"/>
      <c r="H30" s="75"/>
      <c r="I30" s="80">
        <f t="shared" si="0"/>
        <v>10.199999999999999</v>
      </c>
      <c r="J30" s="74">
        <f>IF(ISNUMBER(D30),AVERAGE(D30:H30),"")</f>
        <v>3.4</v>
      </c>
    </row>
    <row r="31" spans="2:10" x14ac:dyDescent="0.2">
      <c r="B31" s="67"/>
      <c r="C31" s="68">
        <v>19</v>
      </c>
      <c r="D31" s="76">
        <v>7.7</v>
      </c>
      <c r="E31" s="71"/>
      <c r="F31" s="70">
        <v>10</v>
      </c>
      <c r="G31" s="71"/>
      <c r="H31" s="77">
        <v>8</v>
      </c>
      <c r="I31" s="80">
        <f t="shared" si="0"/>
        <v>25.7</v>
      </c>
      <c r="J31" s="74">
        <f>IF(ISNUMBER(D31),AVERAGE(D31:H31),"")</f>
        <v>8.5666666666666664</v>
      </c>
    </row>
    <row r="32" spans="2:10" ht="13.5" thickBot="1" x14ac:dyDescent="0.25">
      <c r="B32" s="83"/>
      <c r="C32" s="78">
        <v>20</v>
      </c>
      <c r="D32" s="84"/>
      <c r="E32" s="85">
        <v>2</v>
      </c>
      <c r="F32" s="86"/>
      <c r="G32" s="85">
        <v>0</v>
      </c>
      <c r="H32" s="87">
        <v>0</v>
      </c>
      <c r="I32" s="80">
        <f t="shared" si="0"/>
        <v>2</v>
      </c>
      <c r="J32" s="88">
        <f>IF(ISNUMBER(E32),AVERAGE(D32:H32),"")</f>
        <v>0.66666666666666663</v>
      </c>
    </row>
    <row r="33" spans="2:11" x14ac:dyDescent="0.2">
      <c r="B33" s="52"/>
      <c r="C33" s="89" t="s">
        <v>14</v>
      </c>
      <c r="D33" s="90">
        <f>SUM(D13:D32)</f>
        <v>39</v>
      </c>
      <c r="E33" s="91">
        <f>SUM(E13:E32)</f>
        <v>22</v>
      </c>
      <c r="F33" s="92">
        <f t="shared" ref="F33:H33" si="1">SUM(F13:F32)</f>
        <v>48</v>
      </c>
      <c r="G33" s="64">
        <f t="shared" si="1"/>
        <v>20</v>
      </c>
      <c r="H33" s="91">
        <f t="shared" si="1"/>
        <v>48</v>
      </c>
      <c r="I33" s="93">
        <f>SUM(I13:I32)</f>
        <v>176.99999999999997</v>
      </c>
      <c r="J33" s="94"/>
    </row>
    <row r="34" spans="2:11" x14ac:dyDescent="0.2">
      <c r="B34" s="52"/>
      <c r="C34" s="95" t="s">
        <v>19</v>
      </c>
      <c r="D34" s="96">
        <f>I13+I16+I17+I19+I20+I21+I23+I26+I27+I29+I30+I31</f>
        <v>123</v>
      </c>
      <c r="E34" s="97">
        <f>I14+I15+I16+I17+I20+I22+I24+I25+I26+I27+I30+I32</f>
        <v>98.6</v>
      </c>
      <c r="F34" s="97">
        <f>I14+I15+I18+I19+I20+I21+I24+I25+I28+I29+I30+I31</f>
        <v>133</v>
      </c>
      <c r="G34" s="97">
        <f>I13+I15+I16+I18+I19+I22+I23+I25+I26+I28+I29+I32</f>
        <v>58.2</v>
      </c>
      <c r="H34" s="98">
        <f>I13+I14+I21+I22+I17+I18+I23+I24+I27+I28+I31+I32</f>
        <v>118.2</v>
      </c>
      <c r="I34" s="99">
        <f>SUM(D34:H34)</f>
        <v>531</v>
      </c>
      <c r="J34" s="94"/>
    </row>
    <row r="35" spans="2:11" ht="13.5" thickBot="1" x14ac:dyDescent="0.25">
      <c r="B35" s="52"/>
      <c r="C35" s="100" t="s">
        <v>20</v>
      </c>
      <c r="D35" s="101">
        <f>IF(ISNUMBER(D13),D33-(D34)/$D$39,"")</f>
        <v>-2</v>
      </c>
      <c r="E35" s="102">
        <f>IF(ISNUMBER(E14),E33-(E34)/$D$39,"")</f>
        <v>-10.866666666666667</v>
      </c>
      <c r="F35" s="102">
        <f>IF(ISNUMBER(F14),F33-(F34)/$D$39,"")</f>
        <v>3.6666666666666643</v>
      </c>
      <c r="G35" s="102">
        <f>IF(ISNUMBER(G13),G33-(G34)/$D$39,"")</f>
        <v>0.59999999999999787</v>
      </c>
      <c r="H35" s="103">
        <f>IF(ISNUMBER(H13),H33-(H34)/$D$39,"")</f>
        <v>8.6000000000000014</v>
      </c>
      <c r="I35" s="104">
        <f>SUM(D35:H35)</f>
        <v>0</v>
      </c>
      <c r="J35" s="94"/>
    </row>
    <row r="36" spans="2:11" ht="13.5" thickBot="1" x14ac:dyDescent="0.25">
      <c r="B36" s="52"/>
      <c r="C36" s="105" t="s">
        <v>21</v>
      </c>
      <c r="D36" s="106">
        <f>IF(ISNUMBER(D35),D35/$D$45,"")</f>
        <v>-0.2</v>
      </c>
      <c r="E36" s="106">
        <f>IF(ISNUMBER(E35),E35/$D$45,"")</f>
        <v>-1.0866666666666667</v>
      </c>
      <c r="F36" s="106">
        <f>IF(ISNUMBER(F33),F35/$D$45,"")</f>
        <v>0.36666666666666642</v>
      </c>
      <c r="G36" s="106">
        <f>IF(ISNUMBER(G35),G35/$D$45,"")</f>
        <v>5.999999999999979E-2</v>
      </c>
      <c r="H36" s="107">
        <f>IF(ISNUMBER(H35),H35/$D$45,"")</f>
        <v>0.8600000000000001</v>
      </c>
      <c r="I36" s="104">
        <f>SUM(D36:H36)</f>
        <v>0</v>
      </c>
      <c r="J36" s="108"/>
    </row>
    <row r="37" spans="2:11" x14ac:dyDescent="0.2">
      <c r="B37" s="52"/>
      <c r="C37" s="12" t="s">
        <v>22</v>
      </c>
      <c r="D37" s="12"/>
      <c r="E37" s="12"/>
      <c r="F37" s="109"/>
      <c r="G37" s="109"/>
      <c r="H37" s="12"/>
      <c r="I37" s="12"/>
      <c r="J37" s="110"/>
      <c r="K37" s="111"/>
    </row>
    <row r="38" spans="2:11" ht="13.5" thickBot="1" x14ac:dyDescent="0.25">
      <c r="B38" s="52"/>
      <c r="C38" s="12"/>
      <c r="D38" s="12"/>
      <c r="E38" s="12"/>
      <c r="F38" s="12"/>
      <c r="G38" s="12"/>
      <c r="H38" s="12"/>
      <c r="I38" s="12"/>
      <c r="J38" s="110"/>
      <c r="K38" s="112"/>
    </row>
    <row r="39" spans="2:11" x14ac:dyDescent="0.2">
      <c r="B39" s="52"/>
      <c r="C39" s="113" t="s">
        <v>26</v>
      </c>
      <c r="D39" s="114">
        <f>COUNT(D13:H13)</f>
        <v>3</v>
      </c>
      <c r="E39" s="115" t="s">
        <v>27</v>
      </c>
      <c r="F39" s="116" t="s">
        <v>23</v>
      </c>
      <c r="G39" s="117" t="s">
        <v>24</v>
      </c>
      <c r="H39" s="117" t="s">
        <v>28</v>
      </c>
      <c r="I39" s="117" t="s">
        <v>25</v>
      </c>
      <c r="J39" s="118" t="s">
        <v>29</v>
      </c>
      <c r="K39" s="111"/>
    </row>
    <row r="40" spans="2:11" ht="13.5" thickBot="1" x14ac:dyDescent="0.25">
      <c r="B40" s="52"/>
      <c r="C40" s="119" t="s">
        <v>30</v>
      </c>
      <c r="D40" s="120">
        <f>COUNT(I13:I32)</f>
        <v>20</v>
      </c>
      <c r="E40" s="121" t="s">
        <v>31</v>
      </c>
      <c r="F40" s="122">
        <f>SUMSQ(I13:I32)/D39-I33^2/D43</f>
        <v>292.05666666666673</v>
      </c>
      <c r="G40" s="66">
        <f>D40-1</f>
        <v>19</v>
      </c>
      <c r="H40" s="97">
        <f>F40/G40</f>
        <v>15.371403508771934</v>
      </c>
      <c r="I40" s="123">
        <f>H40/H42</f>
        <v>5.056916683090841</v>
      </c>
      <c r="J40" s="124">
        <f>FINV(0.05,G40,G42)</f>
        <v>1.8834364870945846</v>
      </c>
      <c r="K40" s="111"/>
    </row>
    <row r="41" spans="2:11" x14ac:dyDescent="0.2">
      <c r="B41" s="52"/>
      <c r="C41" s="113" t="s">
        <v>32</v>
      </c>
      <c r="D41" s="114">
        <f>COUNT(D13:D32)</f>
        <v>12</v>
      </c>
      <c r="E41" s="121" t="s">
        <v>33</v>
      </c>
      <c r="F41" s="125">
        <f>SUMSQ(D35:H35)/D45</f>
        <v>20.984888888888889</v>
      </c>
      <c r="G41" s="66">
        <f>D42-1</f>
        <v>4</v>
      </c>
      <c r="H41" s="97">
        <f>F41/G41</f>
        <v>5.2462222222222223</v>
      </c>
      <c r="I41" s="97">
        <f>H41/H42</f>
        <v>1.7259132299544324</v>
      </c>
      <c r="J41" s="98">
        <f>FINV(0.05,G41,G42)</f>
        <v>2.6335320942137543</v>
      </c>
    </row>
    <row r="42" spans="2:11" ht="13.5" thickBot="1" x14ac:dyDescent="0.25">
      <c r="B42" s="52"/>
      <c r="C42" s="119" t="s">
        <v>34</v>
      </c>
      <c r="D42" s="120">
        <f>COUNT(D33:H33)</f>
        <v>5</v>
      </c>
      <c r="E42" s="121" t="s">
        <v>35</v>
      </c>
      <c r="F42" s="122">
        <f>F43-F40-F41</f>
        <v>109.4284444444443</v>
      </c>
      <c r="G42" s="66">
        <f>D40*(D39-1)-(D42-1)</f>
        <v>36</v>
      </c>
      <c r="H42" s="97">
        <f>F42/G42</f>
        <v>3.0396790123456747</v>
      </c>
      <c r="I42" s="126"/>
      <c r="J42" s="127"/>
    </row>
    <row r="43" spans="2:11" ht="13.5" thickBot="1" x14ac:dyDescent="0.25">
      <c r="B43" s="52"/>
      <c r="C43" s="128" t="s">
        <v>36</v>
      </c>
      <c r="D43" s="129">
        <f>D39*D40</f>
        <v>60</v>
      </c>
      <c r="E43" s="130" t="s">
        <v>37</v>
      </c>
      <c r="F43" s="131">
        <f>DEVSQ(D13:H32)</f>
        <v>422.46999999999991</v>
      </c>
      <c r="G43" s="132"/>
      <c r="H43" s="132"/>
      <c r="I43" s="133"/>
      <c r="J43" s="134"/>
    </row>
    <row r="44" spans="2:11" x14ac:dyDescent="0.2">
      <c r="B44" s="52"/>
      <c r="C44" s="135" t="s">
        <v>38</v>
      </c>
      <c r="D44" s="136">
        <f>(D39-1)*D42/(D39*(D42-1))</f>
        <v>0.83333333333333337</v>
      </c>
      <c r="E44" s="12" t="s">
        <v>39</v>
      </c>
      <c r="F44" s="12"/>
      <c r="G44" s="12"/>
      <c r="H44" s="12"/>
      <c r="I44" s="12"/>
      <c r="J44" s="110"/>
    </row>
    <row r="45" spans="2:11" ht="13.5" thickBot="1" x14ac:dyDescent="0.25">
      <c r="B45" s="52"/>
      <c r="C45" s="119" t="s">
        <v>18</v>
      </c>
      <c r="D45" s="137">
        <f>D44*D41</f>
        <v>10</v>
      </c>
      <c r="E45" s="12"/>
      <c r="F45" s="12"/>
      <c r="G45" s="12"/>
      <c r="H45" s="12"/>
      <c r="I45" s="12"/>
      <c r="J45" s="110"/>
    </row>
    <row r="46" spans="2:11" x14ac:dyDescent="0.2">
      <c r="B46" s="52"/>
      <c r="C46" s="12" t="s">
        <v>40</v>
      </c>
      <c r="D46" s="12"/>
      <c r="E46" s="12"/>
      <c r="F46" s="12"/>
      <c r="G46" s="12"/>
      <c r="H46" s="12"/>
      <c r="I46" s="12"/>
      <c r="J46" s="110"/>
    </row>
    <row r="47" spans="2:11" ht="13.5" thickBot="1" x14ac:dyDescent="0.25">
      <c r="B47" s="138"/>
      <c r="C47" s="139"/>
      <c r="D47" s="139"/>
      <c r="E47" s="139"/>
      <c r="F47" s="139"/>
      <c r="G47" s="139"/>
      <c r="H47" s="139"/>
      <c r="I47" s="139"/>
      <c r="J47" s="140"/>
    </row>
  </sheetData>
  <protectedRanges>
    <protectedRange sqref="D16:E17 D19:D20 E20 E15 F14 F18:F19 F21 G18 G13:H13 G15 H14 H21 D26:E27 D29:D30 E30 E25 F24 F28:F29 F31 G28 G22:H23 G25 H24 H31 G32:H32" name="Plage1"/>
    <protectedRange sqref="C4:C5 F4:F5" name="Plage1_2"/>
  </protectedRanges>
  <mergeCells count="4">
    <mergeCell ref="I42:J43"/>
    <mergeCell ref="B2:J3"/>
    <mergeCell ref="D11:H11"/>
    <mergeCell ref="B13:B32"/>
  </mergeCells>
  <conditionalFormatting sqref="H40">
    <cfRule type="cellIs" dxfId="1" priority="1" stopIfTrue="1" operator="equal">
      <formula>0</formula>
    </cfRule>
  </conditionalFormatting>
  <conditionalFormatting sqref="I40:I41">
    <cfRule type="cellIs" dxfId="0" priority="2" stopIfTrue="1" operator="between">
      <formula>-$J$41</formula>
      <formula>$J$41</formula>
    </cfRule>
    <cfRule type="cellIs" priority="3" stopIfTrue="1" operator="notBetween">
      <formula>-$J$41</formula>
      <formula>$J$41</formula>
    </cfRule>
  </conditionalFormatting>
  <pageMargins left="0.59055118110236227" right="0.15748031496062992" top="0.47244094488188981" bottom="0.98425196850393704" header="0.51181102362204722" footer="0.51181102362204722"/>
  <pageSetup paperSize="9" scale="25" orientation="portrait" r:id="rId1"/>
  <headerFooter alignWithMargins="0"/>
  <ignoredErrors>
    <ignoredError sqref="I14:J17 I32:J32 I18:I31 J33" formulaRange="1"/>
    <ignoredError sqref="J18:J31 I33" formula="1" formulaRange="1"/>
    <ignoredError sqref="F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BIE</vt:lpstr>
      <vt:lpstr>BIE!Zone_d_impression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 Colliou</dc:creator>
  <cp:lastModifiedBy>morgan Germa Colliou</cp:lastModifiedBy>
  <dcterms:created xsi:type="dcterms:W3CDTF">2025-07-10T14:26:20Z</dcterms:created>
  <dcterms:modified xsi:type="dcterms:W3CDTF">2025-07-10T14:28:23Z</dcterms:modified>
</cp:coreProperties>
</file>