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13_ncr:1_{FB74264D-4E8A-4CD0-8959-72109F49668D}" xr6:coauthVersionLast="47" xr6:coauthVersionMax="47" xr10:uidLastSave="{00000000-0000-0000-0000-000000000000}"/>
  <bookViews>
    <workbookView xWindow="-120" yWindow="-120" windowWidth="29040" windowHeight="15720" tabRatio="947" activeTab="1" xr2:uid="{00000000-000D-0000-FFFF-FFFF00000000}"/>
  </bookViews>
  <sheets>
    <sheet name="N°1 Shapiro-Wilk" sheetId="16" r:id="rId1"/>
    <sheet name="N°2 Kolmogarov - Capabilité" sheetId="19" r:id="rId2"/>
    <sheet name="N°3 group comparison" sheetId="11" r:id="rId3"/>
    <sheet name="N°4 variance study" sheetId="12" r:id="rId4"/>
    <sheet name="N°5 Correlation Qualitative" sheetId="8" r:id="rId5"/>
    <sheet name="N°6 comparison m1=m2" sheetId="14" r:id="rId6"/>
    <sheet name="N°7 ANOVA 1factor" sheetId="17" r:id="rId7"/>
    <sheet name="N°8 ANOVA 3 factors" sheetId="1" r:id="rId8"/>
    <sheet name="N°9 Robustness" sheetId="4" r:id="rId9"/>
    <sheet name="Feuil1" sheetId="18" r:id="rId10"/>
  </sheets>
  <externalReferences>
    <externalReference r:id="rId11"/>
    <externalReference r:id="rId12"/>
    <externalReference r:id="rId13"/>
    <externalReference r:id="rId14"/>
    <externalReference r:id="rId15"/>
  </externalReferences>
  <definedNames>
    <definedName name="ANALYTES" localSheetId="1">'[5]données 1'!$T$6:$T$479</definedName>
    <definedName name="ANALYTES" localSheetId="4">'[1]données 1'!$T$6:$T$479</definedName>
    <definedName name="ANALYTES" localSheetId="5">'[1]données 1'!$T$6:$T$479</definedName>
    <definedName name="ANALYTES" localSheetId="6">'[2]données 1'!$T$6:$T$479</definedName>
    <definedName name="ANALYTES">'[3]validation de méthode'!$AD$6:$AD$461</definedName>
    <definedName name="OLE_LINK147" localSheetId="6">'N°7 ANOVA 1factor'!#REF!</definedName>
    <definedName name="_xlnm.Print_Area" localSheetId="1">'N°2 Kolmogarov - Capabilité'!$C$5:$L$109</definedName>
    <definedName name="_xlnm.Print_Area" localSheetId="4">'N°5 Correlation Qualitative'!$B$2:$T$30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9" i="19" l="1"/>
  <c r="D108" i="19"/>
  <c r="AC106" i="19"/>
  <c r="W106" i="19"/>
  <c r="V106" i="19"/>
  <c r="U106" i="19"/>
  <c r="T106" i="19"/>
  <c r="S106" i="19"/>
  <c r="R106" i="19"/>
  <c r="Q106" i="19"/>
  <c r="P106" i="19"/>
  <c r="AD105" i="19"/>
  <c r="AC105" i="19"/>
  <c r="W105" i="19"/>
  <c r="V105" i="19"/>
  <c r="U105" i="19"/>
  <c r="T105" i="19"/>
  <c r="S105" i="19"/>
  <c r="R105" i="19"/>
  <c r="Q105" i="19"/>
  <c r="P105" i="19"/>
  <c r="AC104" i="19"/>
  <c r="W104" i="19"/>
  <c r="V104" i="19"/>
  <c r="U104" i="19"/>
  <c r="T104" i="19"/>
  <c r="S104" i="19"/>
  <c r="R104" i="19"/>
  <c r="Q104" i="19"/>
  <c r="P104" i="19"/>
  <c r="AD103" i="19"/>
  <c r="AC103" i="19"/>
  <c r="W103" i="19"/>
  <c r="V103" i="19"/>
  <c r="U103" i="19"/>
  <c r="T103" i="19"/>
  <c r="S103" i="19"/>
  <c r="R103" i="19"/>
  <c r="Q103" i="19"/>
  <c r="P103" i="19"/>
  <c r="AC102" i="19"/>
  <c r="W102" i="19"/>
  <c r="V102" i="19"/>
  <c r="U102" i="19"/>
  <c r="T102" i="19"/>
  <c r="S102" i="19"/>
  <c r="R102" i="19"/>
  <c r="Q102" i="19"/>
  <c r="P102" i="19"/>
  <c r="AD101" i="19"/>
  <c r="AC101" i="19"/>
  <c r="W101" i="19"/>
  <c r="V101" i="19"/>
  <c r="U101" i="19"/>
  <c r="T101" i="19"/>
  <c r="S101" i="19"/>
  <c r="R101" i="19"/>
  <c r="Q101" i="19"/>
  <c r="P101" i="19"/>
  <c r="AC100" i="19"/>
  <c r="W100" i="19"/>
  <c r="V100" i="19"/>
  <c r="U100" i="19"/>
  <c r="T100" i="19"/>
  <c r="S100" i="19"/>
  <c r="R100" i="19"/>
  <c r="Q100" i="19"/>
  <c r="P100" i="19"/>
  <c r="AD99" i="19"/>
  <c r="AC99" i="19"/>
  <c r="W99" i="19"/>
  <c r="V99" i="19"/>
  <c r="U99" i="19"/>
  <c r="T99" i="19"/>
  <c r="S99" i="19"/>
  <c r="R99" i="19"/>
  <c r="Q99" i="19"/>
  <c r="P99" i="19"/>
  <c r="AC98" i="19"/>
  <c r="W98" i="19"/>
  <c r="V98" i="19"/>
  <c r="U98" i="19"/>
  <c r="T98" i="19"/>
  <c r="S98" i="19"/>
  <c r="R98" i="19"/>
  <c r="Q98" i="19"/>
  <c r="P98" i="19"/>
  <c r="AD97" i="19"/>
  <c r="AC97" i="19"/>
  <c r="W97" i="19"/>
  <c r="V97" i="19"/>
  <c r="U97" i="19"/>
  <c r="T97" i="19"/>
  <c r="S97" i="19"/>
  <c r="R97" i="19"/>
  <c r="Q97" i="19"/>
  <c r="P97" i="19"/>
  <c r="AC96" i="19"/>
  <c r="W96" i="19"/>
  <c r="V96" i="19"/>
  <c r="U96" i="19"/>
  <c r="T96" i="19"/>
  <c r="S96" i="19"/>
  <c r="R96" i="19"/>
  <c r="Q96" i="19"/>
  <c r="P96" i="19"/>
  <c r="AD95" i="19"/>
  <c r="AC95" i="19"/>
  <c r="W95" i="19"/>
  <c r="V95" i="19"/>
  <c r="U95" i="19"/>
  <c r="T95" i="19"/>
  <c r="S95" i="19"/>
  <c r="R95" i="19"/>
  <c r="Q95" i="19"/>
  <c r="P95" i="19"/>
  <c r="AC94" i="19"/>
  <c r="W94" i="19"/>
  <c r="V94" i="19"/>
  <c r="U94" i="19"/>
  <c r="T94" i="19"/>
  <c r="S94" i="19"/>
  <c r="R94" i="19"/>
  <c r="Q94" i="19"/>
  <c r="P94" i="19"/>
  <c r="AD93" i="19"/>
  <c r="AC93" i="19"/>
  <c r="W93" i="19"/>
  <c r="V93" i="19"/>
  <c r="U93" i="19"/>
  <c r="T93" i="19"/>
  <c r="S93" i="19"/>
  <c r="R93" i="19"/>
  <c r="Q93" i="19"/>
  <c r="P93" i="19"/>
  <c r="AC92" i="19"/>
  <c r="W92" i="19"/>
  <c r="V92" i="19"/>
  <c r="U92" i="19"/>
  <c r="T92" i="19"/>
  <c r="S92" i="19"/>
  <c r="R92" i="19"/>
  <c r="Q92" i="19"/>
  <c r="P92" i="19"/>
  <c r="AD91" i="19"/>
  <c r="AC91" i="19"/>
  <c r="W91" i="19"/>
  <c r="V91" i="19"/>
  <c r="U91" i="19"/>
  <c r="T91" i="19"/>
  <c r="S91" i="19"/>
  <c r="R91" i="19"/>
  <c r="Q91" i="19"/>
  <c r="P91" i="19"/>
  <c r="AC90" i="19"/>
  <c r="W90" i="19"/>
  <c r="V90" i="19"/>
  <c r="U90" i="19"/>
  <c r="T90" i="19"/>
  <c r="S90" i="19"/>
  <c r="R90" i="19"/>
  <c r="Q90" i="19"/>
  <c r="P90" i="19"/>
  <c r="AD89" i="19"/>
  <c r="AC89" i="19"/>
  <c r="W89" i="19"/>
  <c r="V89" i="19"/>
  <c r="U89" i="19"/>
  <c r="T89" i="19"/>
  <c r="S89" i="19"/>
  <c r="R89" i="19"/>
  <c r="Q89" i="19"/>
  <c r="P89" i="19"/>
  <c r="AC88" i="19"/>
  <c r="W88" i="19"/>
  <c r="V88" i="19"/>
  <c r="U88" i="19"/>
  <c r="T88" i="19"/>
  <c r="S88" i="19"/>
  <c r="R88" i="19"/>
  <c r="Q88" i="19"/>
  <c r="P88" i="19"/>
  <c r="AD87" i="19"/>
  <c r="AC87" i="19"/>
  <c r="W87" i="19"/>
  <c r="V87" i="19"/>
  <c r="U87" i="19"/>
  <c r="T87" i="19"/>
  <c r="S87" i="19"/>
  <c r="R87" i="19"/>
  <c r="Q87" i="19"/>
  <c r="P87" i="19"/>
  <c r="AC86" i="19"/>
  <c r="W86" i="19"/>
  <c r="V86" i="19"/>
  <c r="U86" i="19"/>
  <c r="T86" i="19"/>
  <c r="S86" i="19"/>
  <c r="R86" i="19"/>
  <c r="Q86" i="19"/>
  <c r="P86" i="19"/>
  <c r="AD85" i="19"/>
  <c r="AC85" i="19"/>
  <c r="W85" i="19"/>
  <c r="V85" i="19"/>
  <c r="U85" i="19"/>
  <c r="T85" i="19"/>
  <c r="S85" i="19"/>
  <c r="R85" i="19"/>
  <c r="Q85" i="19"/>
  <c r="P85" i="19"/>
  <c r="AC84" i="19"/>
  <c r="W84" i="19"/>
  <c r="V84" i="19"/>
  <c r="U84" i="19"/>
  <c r="T84" i="19"/>
  <c r="S84" i="19"/>
  <c r="R84" i="19"/>
  <c r="Q84" i="19"/>
  <c r="P84" i="19"/>
  <c r="AD83" i="19"/>
  <c r="AC83" i="19"/>
  <c r="W83" i="19"/>
  <c r="V83" i="19"/>
  <c r="U83" i="19"/>
  <c r="T83" i="19"/>
  <c r="S83" i="19"/>
  <c r="R83" i="19"/>
  <c r="Q83" i="19"/>
  <c r="P83" i="19"/>
  <c r="AC82" i="19"/>
  <c r="W82" i="19"/>
  <c r="V82" i="19"/>
  <c r="U82" i="19"/>
  <c r="T82" i="19"/>
  <c r="S82" i="19"/>
  <c r="R82" i="19"/>
  <c r="Q82" i="19"/>
  <c r="P82" i="19"/>
  <c r="AD81" i="19"/>
  <c r="AC81" i="19"/>
  <c r="W81" i="19"/>
  <c r="V81" i="19"/>
  <c r="U81" i="19"/>
  <c r="T81" i="19"/>
  <c r="S81" i="19"/>
  <c r="R81" i="19"/>
  <c r="Q81" i="19"/>
  <c r="P81" i="19"/>
  <c r="AC80" i="19"/>
  <c r="W80" i="19"/>
  <c r="V80" i="19"/>
  <c r="U80" i="19"/>
  <c r="T80" i="19"/>
  <c r="S80" i="19"/>
  <c r="R80" i="19"/>
  <c r="Q80" i="19"/>
  <c r="P80" i="19"/>
  <c r="AD79" i="19"/>
  <c r="AC79" i="19"/>
  <c r="W79" i="19"/>
  <c r="V79" i="19"/>
  <c r="U79" i="19"/>
  <c r="T79" i="19"/>
  <c r="S79" i="19"/>
  <c r="R79" i="19"/>
  <c r="Q79" i="19"/>
  <c r="P79" i="19"/>
  <c r="AC78" i="19"/>
  <c r="W78" i="19"/>
  <c r="V78" i="19"/>
  <c r="U78" i="19"/>
  <c r="T78" i="19"/>
  <c r="S78" i="19"/>
  <c r="R78" i="19"/>
  <c r="Q78" i="19"/>
  <c r="P78" i="19"/>
  <c r="AC77" i="19"/>
  <c r="W77" i="19"/>
  <c r="V77" i="19"/>
  <c r="U77" i="19"/>
  <c r="T77" i="19"/>
  <c r="S77" i="19"/>
  <c r="R77" i="19"/>
  <c r="Q77" i="19"/>
  <c r="P77" i="19"/>
  <c r="AD76" i="19"/>
  <c r="AC76" i="19"/>
  <c r="W76" i="19"/>
  <c r="V76" i="19"/>
  <c r="U76" i="19"/>
  <c r="T76" i="19"/>
  <c r="S76" i="19"/>
  <c r="R76" i="19"/>
  <c r="Q76" i="19"/>
  <c r="P76" i="19"/>
  <c r="G76" i="19"/>
  <c r="AC75" i="19"/>
  <c r="W75" i="19"/>
  <c r="V75" i="19"/>
  <c r="U75" i="19"/>
  <c r="T75" i="19"/>
  <c r="S75" i="19"/>
  <c r="R75" i="19"/>
  <c r="Q75" i="19"/>
  <c r="P75" i="19"/>
  <c r="AD74" i="19"/>
  <c r="AC74" i="19"/>
  <c r="W74" i="19"/>
  <c r="V74" i="19"/>
  <c r="U74" i="19"/>
  <c r="T74" i="19"/>
  <c r="S74" i="19"/>
  <c r="R74" i="19"/>
  <c r="Q74" i="19"/>
  <c r="P74" i="19"/>
  <c r="N74" i="19"/>
  <c r="N75" i="19" s="1"/>
  <c r="AC73" i="19"/>
  <c r="W73" i="19"/>
  <c r="V73" i="19"/>
  <c r="U73" i="19"/>
  <c r="T73" i="19"/>
  <c r="S73" i="19"/>
  <c r="R73" i="19"/>
  <c r="Q73" i="19"/>
  <c r="P73" i="19"/>
  <c r="G73" i="19"/>
  <c r="AC72" i="19"/>
  <c r="W72" i="19"/>
  <c r="V72" i="19"/>
  <c r="U72" i="19"/>
  <c r="T72" i="19"/>
  <c r="S72" i="19"/>
  <c r="R72" i="19"/>
  <c r="Q72" i="19"/>
  <c r="P72" i="19"/>
  <c r="G72" i="19"/>
  <c r="AC71" i="19"/>
  <c r="W71" i="19"/>
  <c r="V71" i="19"/>
  <c r="U71" i="19"/>
  <c r="T71" i="19"/>
  <c r="S71" i="19"/>
  <c r="R71" i="19"/>
  <c r="Q71" i="19"/>
  <c r="P71" i="19"/>
  <c r="N71" i="19"/>
  <c r="N72" i="19" s="1"/>
  <c r="AC70" i="19"/>
  <c r="W70" i="19"/>
  <c r="V70" i="19"/>
  <c r="U70" i="19"/>
  <c r="T70" i="19"/>
  <c r="S70" i="19"/>
  <c r="R70" i="19"/>
  <c r="Q70" i="19"/>
  <c r="P70" i="19"/>
  <c r="AC69" i="19"/>
  <c r="W69" i="19"/>
  <c r="V69" i="19"/>
  <c r="U69" i="19"/>
  <c r="T69" i="19"/>
  <c r="S69" i="19"/>
  <c r="R69" i="19"/>
  <c r="Q69" i="19"/>
  <c r="P69" i="19"/>
  <c r="AC68" i="19"/>
  <c r="W68" i="19"/>
  <c r="V68" i="19"/>
  <c r="U68" i="19"/>
  <c r="T68" i="19"/>
  <c r="S68" i="19"/>
  <c r="R68" i="19"/>
  <c r="Q68" i="19"/>
  <c r="P68" i="19"/>
  <c r="AC67" i="19"/>
  <c r="W67" i="19"/>
  <c r="V67" i="19"/>
  <c r="U67" i="19"/>
  <c r="T67" i="19"/>
  <c r="S67" i="19"/>
  <c r="R67" i="19"/>
  <c r="Q67" i="19"/>
  <c r="P67" i="19"/>
  <c r="AC66" i="19"/>
  <c r="W66" i="19"/>
  <c r="V66" i="19"/>
  <c r="U66" i="19"/>
  <c r="T66" i="19"/>
  <c r="S66" i="19"/>
  <c r="R66" i="19"/>
  <c r="Q66" i="19"/>
  <c r="P66" i="19"/>
  <c r="AC65" i="19"/>
  <c r="W65" i="19"/>
  <c r="V65" i="19"/>
  <c r="U65" i="19"/>
  <c r="T65" i="19"/>
  <c r="S65" i="19"/>
  <c r="R65" i="19"/>
  <c r="Q65" i="19"/>
  <c r="P65" i="19"/>
  <c r="AC64" i="19"/>
  <c r="W64" i="19"/>
  <c r="V64" i="19"/>
  <c r="U64" i="19"/>
  <c r="T64" i="19"/>
  <c r="S64" i="19"/>
  <c r="R64" i="19"/>
  <c r="Q64" i="19"/>
  <c r="P64" i="19"/>
  <c r="AC63" i="19"/>
  <c r="W63" i="19"/>
  <c r="V63" i="19"/>
  <c r="U63" i="19"/>
  <c r="T63" i="19"/>
  <c r="S63" i="19"/>
  <c r="R63" i="19"/>
  <c r="Q63" i="19"/>
  <c r="P63" i="19"/>
  <c r="AC62" i="19"/>
  <c r="W62" i="19"/>
  <c r="V62" i="19"/>
  <c r="U62" i="19"/>
  <c r="T62" i="19"/>
  <c r="S62" i="19"/>
  <c r="R62" i="19"/>
  <c r="Q62" i="19"/>
  <c r="P62" i="19"/>
  <c r="AC61" i="19"/>
  <c r="W61" i="19"/>
  <c r="V61" i="19"/>
  <c r="U61" i="19"/>
  <c r="T61" i="19"/>
  <c r="S61" i="19"/>
  <c r="R61" i="19"/>
  <c r="Q61" i="19"/>
  <c r="P61" i="19"/>
  <c r="AD60" i="19"/>
  <c r="AC60" i="19"/>
  <c r="W60" i="19"/>
  <c r="V60" i="19"/>
  <c r="U60" i="19"/>
  <c r="T60" i="19"/>
  <c r="S60" i="19"/>
  <c r="R60" i="19"/>
  <c r="Q60" i="19"/>
  <c r="P60" i="19"/>
  <c r="AC59" i="19"/>
  <c r="W59" i="19"/>
  <c r="V59" i="19"/>
  <c r="U59" i="19"/>
  <c r="T59" i="19"/>
  <c r="S59" i="19"/>
  <c r="R59" i="19"/>
  <c r="Q59" i="19"/>
  <c r="P59" i="19"/>
  <c r="AC58" i="19"/>
  <c r="W58" i="19"/>
  <c r="V58" i="19"/>
  <c r="U58" i="19"/>
  <c r="T58" i="19"/>
  <c r="S58" i="19"/>
  <c r="R58" i="19"/>
  <c r="Q58" i="19"/>
  <c r="P58" i="19"/>
  <c r="AC57" i="19"/>
  <c r="W57" i="19"/>
  <c r="V57" i="19"/>
  <c r="U57" i="19"/>
  <c r="T57" i="19"/>
  <c r="S57" i="19"/>
  <c r="R57" i="19"/>
  <c r="Q57" i="19"/>
  <c r="P57" i="19"/>
  <c r="AD56" i="19"/>
  <c r="AC56" i="19"/>
  <c r="W56" i="19"/>
  <c r="V56" i="19"/>
  <c r="U56" i="19"/>
  <c r="T56" i="19"/>
  <c r="S56" i="19"/>
  <c r="R56" i="19"/>
  <c r="Q56" i="19"/>
  <c r="P56" i="19"/>
  <c r="AC55" i="19"/>
  <c r="W55" i="19"/>
  <c r="V55" i="19"/>
  <c r="U55" i="19"/>
  <c r="T55" i="19"/>
  <c r="S55" i="19"/>
  <c r="R55" i="19"/>
  <c r="Q55" i="19"/>
  <c r="P55" i="19"/>
  <c r="AD54" i="19"/>
  <c r="AC54" i="19"/>
  <c r="W54" i="19"/>
  <c r="V54" i="19"/>
  <c r="U54" i="19"/>
  <c r="T54" i="19"/>
  <c r="S54" i="19"/>
  <c r="R54" i="19"/>
  <c r="Q54" i="19"/>
  <c r="P54" i="19"/>
  <c r="AC53" i="19"/>
  <c r="W53" i="19"/>
  <c r="V53" i="19"/>
  <c r="U53" i="19"/>
  <c r="T53" i="19"/>
  <c r="S53" i="19"/>
  <c r="R53" i="19"/>
  <c r="Q53" i="19"/>
  <c r="P53" i="19"/>
  <c r="AC52" i="19"/>
  <c r="W52" i="19"/>
  <c r="V52" i="19"/>
  <c r="U52" i="19"/>
  <c r="T52" i="19"/>
  <c r="S52" i="19"/>
  <c r="R52" i="19"/>
  <c r="Q52" i="19"/>
  <c r="P52" i="19"/>
  <c r="AC51" i="19"/>
  <c r="W51" i="19"/>
  <c r="V51" i="19"/>
  <c r="U51" i="19"/>
  <c r="T51" i="19"/>
  <c r="S51" i="19"/>
  <c r="R51" i="19"/>
  <c r="Q51" i="19"/>
  <c r="P51" i="19"/>
  <c r="AC50" i="19"/>
  <c r="W50" i="19"/>
  <c r="V50" i="19"/>
  <c r="U50" i="19"/>
  <c r="T50" i="19"/>
  <c r="S50" i="19"/>
  <c r="R50" i="19"/>
  <c r="Q50" i="19"/>
  <c r="P50" i="19"/>
  <c r="AC49" i="19"/>
  <c r="W49" i="19"/>
  <c r="V49" i="19"/>
  <c r="U49" i="19"/>
  <c r="T49" i="19"/>
  <c r="S49" i="19"/>
  <c r="R49" i="19"/>
  <c r="Q49" i="19"/>
  <c r="P49" i="19"/>
  <c r="AC48" i="19"/>
  <c r="W48" i="19"/>
  <c r="V48" i="19"/>
  <c r="U48" i="19"/>
  <c r="T48" i="19"/>
  <c r="S48" i="19"/>
  <c r="R48" i="19"/>
  <c r="Q48" i="19"/>
  <c r="P48" i="19"/>
  <c r="AC47" i="19"/>
  <c r="T47" i="19"/>
  <c r="U47" i="19" s="1"/>
  <c r="W47" i="19" s="1"/>
  <c r="Q47" i="19"/>
  <c r="P47" i="19"/>
  <c r="AC46" i="19"/>
  <c r="T46" i="19"/>
  <c r="U46" i="19" s="1"/>
  <c r="W46" i="19" s="1"/>
  <c r="Q46" i="19"/>
  <c r="P46" i="19"/>
  <c r="AC45" i="19"/>
  <c r="T45" i="19"/>
  <c r="U45" i="19" s="1"/>
  <c r="W45" i="19" s="1"/>
  <c r="Q45" i="19"/>
  <c r="V45" i="19" s="1"/>
  <c r="P45" i="19"/>
  <c r="AC44" i="19"/>
  <c r="W44" i="19"/>
  <c r="T44" i="19"/>
  <c r="U44" i="19" s="1"/>
  <c r="Q44" i="19"/>
  <c r="V44" i="19" s="1"/>
  <c r="P44" i="19"/>
  <c r="AC43" i="19"/>
  <c r="W43" i="19"/>
  <c r="T43" i="19"/>
  <c r="U43" i="19" s="1"/>
  <c r="Q43" i="19"/>
  <c r="P43" i="19"/>
  <c r="AC42" i="19"/>
  <c r="T42" i="19"/>
  <c r="U42" i="19" s="1"/>
  <c r="W42" i="19" s="1"/>
  <c r="Q42" i="19"/>
  <c r="P42" i="19"/>
  <c r="AC41" i="19"/>
  <c r="T41" i="19"/>
  <c r="U41" i="19" s="1"/>
  <c r="W41" i="19" s="1"/>
  <c r="Q41" i="19"/>
  <c r="V41" i="19" s="1"/>
  <c r="P41" i="19"/>
  <c r="AC40" i="19"/>
  <c r="W40" i="19"/>
  <c r="T40" i="19"/>
  <c r="U40" i="19" s="1"/>
  <c r="Q40" i="19"/>
  <c r="V40" i="19" s="1"/>
  <c r="P40" i="19"/>
  <c r="AC39" i="19"/>
  <c r="T39" i="19"/>
  <c r="U39" i="19" s="1"/>
  <c r="W39" i="19" s="1"/>
  <c r="Q39" i="19"/>
  <c r="P39" i="19"/>
  <c r="AC38" i="19"/>
  <c r="T38" i="19"/>
  <c r="U38" i="19" s="1"/>
  <c r="W38" i="19" s="1"/>
  <c r="Q38" i="19"/>
  <c r="P38" i="19"/>
  <c r="AC37" i="19"/>
  <c r="T37" i="19"/>
  <c r="U37" i="19" s="1"/>
  <c r="W37" i="19" s="1"/>
  <c r="Q37" i="19"/>
  <c r="V37" i="19" s="1"/>
  <c r="P37" i="19"/>
  <c r="AC36" i="19"/>
  <c r="W36" i="19"/>
  <c r="T36" i="19"/>
  <c r="U36" i="19" s="1"/>
  <c r="Q36" i="19"/>
  <c r="V36" i="19" s="1"/>
  <c r="P36" i="19"/>
  <c r="AC35" i="19"/>
  <c r="W35" i="19"/>
  <c r="T35" i="19"/>
  <c r="U35" i="19" s="1"/>
  <c r="Q35" i="19"/>
  <c r="P35" i="19"/>
  <c r="AC34" i="19"/>
  <c r="T34" i="19"/>
  <c r="U34" i="19" s="1"/>
  <c r="W34" i="19" s="1"/>
  <c r="Q34" i="19"/>
  <c r="P34" i="19"/>
  <c r="AC33" i="19"/>
  <c r="T33" i="19"/>
  <c r="U33" i="19" s="1"/>
  <c r="W33" i="19" s="1"/>
  <c r="Q33" i="19"/>
  <c r="V33" i="19" s="1"/>
  <c r="P33" i="19"/>
  <c r="AC32" i="19"/>
  <c r="T32" i="19"/>
  <c r="U32" i="19" s="1"/>
  <c r="W32" i="19" s="1"/>
  <c r="Q32" i="19"/>
  <c r="P32" i="19"/>
  <c r="AC31" i="19"/>
  <c r="U31" i="19"/>
  <c r="T31" i="19"/>
  <c r="Q31" i="19"/>
  <c r="R31" i="19" s="1"/>
  <c r="S31" i="19" s="1"/>
  <c r="P31" i="19"/>
  <c r="N31" i="19"/>
  <c r="O31" i="19" s="1"/>
  <c r="AC30" i="19"/>
  <c r="W30" i="19"/>
  <c r="V30" i="19"/>
  <c r="T30" i="19"/>
  <c r="U30" i="19" s="1"/>
  <c r="Q30" i="19"/>
  <c r="P30" i="19"/>
  <c r="N30" i="19"/>
  <c r="O30" i="19" s="1"/>
  <c r="AC29" i="19"/>
  <c r="T29" i="19"/>
  <c r="U29" i="19" s="1"/>
  <c r="W29" i="19" s="1"/>
  <c r="Q29" i="19"/>
  <c r="P29" i="19"/>
  <c r="AN28" i="19"/>
  <c r="AC28" i="19"/>
  <c r="U28" i="19"/>
  <c r="W28" i="19" s="1"/>
  <c r="T28" i="19"/>
  <c r="Q28" i="19"/>
  <c r="P28" i="19"/>
  <c r="N28" i="19"/>
  <c r="O28" i="19" s="1"/>
  <c r="AN27" i="19"/>
  <c r="AC27" i="19"/>
  <c r="T27" i="19"/>
  <c r="U27" i="19" s="1"/>
  <c r="W27" i="19" s="1"/>
  <c r="Q27" i="19"/>
  <c r="P27" i="19"/>
  <c r="AN26" i="19"/>
  <c r="AC26" i="19"/>
  <c r="U26" i="19"/>
  <c r="W26" i="19" s="1"/>
  <c r="T26" i="19"/>
  <c r="Q26" i="19"/>
  <c r="V26" i="19" s="1"/>
  <c r="P26" i="19"/>
  <c r="N26" i="19"/>
  <c r="O26" i="19" s="1"/>
  <c r="AN25" i="19"/>
  <c r="AC25" i="19"/>
  <c r="T25" i="19"/>
  <c r="U25" i="19" s="1"/>
  <c r="W25" i="19" s="1"/>
  <c r="Q25" i="19"/>
  <c r="P25" i="19"/>
  <c r="AN24" i="19"/>
  <c r="AC24" i="19"/>
  <c r="T24" i="19"/>
  <c r="U24" i="19" s="1"/>
  <c r="Q24" i="19"/>
  <c r="V24" i="19" s="1"/>
  <c r="P24" i="19"/>
  <c r="N24" i="19"/>
  <c r="O24" i="19" s="1"/>
  <c r="AN23" i="19"/>
  <c r="AC23" i="19"/>
  <c r="W23" i="19"/>
  <c r="V23" i="19"/>
  <c r="T23" i="19"/>
  <c r="U23" i="19" s="1"/>
  <c r="Q23" i="19"/>
  <c r="P23" i="19"/>
  <c r="N23" i="19"/>
  <c r="O23" i="19" s="1"/>
  <c r="AN22" i="19"/>
  <c r="AC22" i="19"/>
  <c r="T22" i="19"/>
  <c r="U22" i="19" s="1"/>
  <c r="W22" i="19" s="1"/>
  <c r="Q22" i="19"/>
  <c r="P22" i="19"/>
  <c r="N22" i="19"/>
  <c r="O22" i="19" s="1"/>
  <c r="AC21" i="19"/>
  <c r="U21" i="19"/>
  <c r="W21" i="19" s="1"/>
  <c r="T21" i="19"/>
  <c r="Q21" i="19"/>
  <c r="V21" i="19" s="1"/>
  <c r="P21" i="19"/>
  <c r="N21" i="19"/>
  <c r="O21" i="19" s="1"/>
  <c r="AC20" i="19"/>
  <c r="T20" i="19"/>
  <c r="U20" i="19" s="1"/>
  <c r="W20" i="19" s="1"/>
  <c r="Q20" i="19"/>
  <c r="P20" i="19"/>
  <c r="O20" i="19"/>
  <c r="N20" i="19"/>
  <c r="H20" i="19"/>
  <c r="G20" i="19"/>
  <c r="G77" i="19" s="1"/>
  <c r="AC19" i="19"/>
  <c r="T19" i="19"/>
  <c r="U19" i="19" s="1"/>
  <c r="W19" i="19" s="1"/>
  <c r="Q19" i="19"/>
  <c r="P19" i="19"/>
  <c r="O19" i="19"/>
  <c r="N19" i="19"/>
  <c r="J19" i="19"/>
  <c r="I19" i="19"/>
  <c r="K19" i="19" s="1"/>
  <c r="H19" i="19"/>
  <c r="G19" i="19"/>
  <c r="G78" i="19" s="1"/>
  <c r="AC18" i="19"/>
  <c r="T18" i="19"/>
  <c r="U18" i="19" s="1"/>
  <c r="W18" i="19" s="1"/>
  <c r="Q18" i="19"/>
  <c r="P18" i="19"/>
  <c r="O18" i="19"/>
  <c r="N18" i="19"/>
  <c r="AC17" i="19"/>
  <c r="W17" i="19"/>
  <c r="V17" i="19"/>
  <c r="T17" i="19"/>
  <c r="U17" i="19" s="1"/>
  <c r="Q17" i="19"/>
  <c r="P17" i="19"/>
  <c r="N17" i="19"/>
  <c r="O17" i="19" s="1"/>
  <c r="AC16" i="19"/>
  <c r="Y16" i="19"/>
  <c r="Y20" i="19" s="1"/>
  <c r="X16" i="19"/>
  <c r="X20" i="19" s="1"/>
  <c r="T16" i="19"/>
  <c r="U16" i="19" s="1"/>
  <c r="W16" i="19" s="1"/>
  <c r="Q16" i="19"/>
  <c r="P16" i="19"/>
  <c r="O16" i="19"/>
  <c r="N16" i="19"/>
  <c r="AC15" i="19"/>
  <c r="Y15" i="19"/>
  <c r="X15" i="19"/>
  <c r="T15" i="19"/>
  <c r="U15" i="19" s="1"/>
  <c r="W15" i="19" s="1"/>
  <c r="Q15" i="19"/>
  <c r="P15" i="19"/>
  <c r="N15" i="19"/>
  <c r="O15" i="19" s="1"/>
  <c r="AC14" i="19"/>
  <c r="Y14" i="19"/>
  <c r="X14" i="19"/>
  <c r="T14" i="19"/>
  <c r="U14" i="19" s="1"/>
  <c r="W14" i="19" s="1"/>
  <c r="Q14" i="19"/>
  <c r="P14" i="19"/>
  <c r="N14" i="19"/>
  <c r="O14" i="19" s="1"/>
  <c r="AC13" i="19"/>
  <c r="T13" i="19"/>
  <c r="U13" i="19" s="1"/>
  <c r="W13" i="19" s="1"/>
  <c r="Q13" i="19"/>
  <c r="P13" i="19"/>
  <c r="N13" i="19"/>
  <c r="O13" i="19" s="1"/>
  <c r="AC12" i="19"/>
  <c r="U12" i="19"/>
  <c r="W12" i="19" s="1"/>
  <c r="T12" i="19"/>
  <c r="Q12" i="19"/>
  <c r="P12" i="19"/>
  <c r="O12" i="19"/>
  <c r="N12" i="19"/>
  <c r="AC11" i="19"/>
  <c r="W11" i="19"/>
  <c r="T11" i="19"/>
  <c r="U11" i="19" s="1"/>
  <c r="V11" i="19" s="1"/>
  <c r="Q11" i="19"/>
  <c r="P11" i="19"/>
  <c r="N11" i="19"/>
  <c r="O11" i="19" s="1"/>
  <c r="AC10" i="19"/>
  <c r="W10" i="19"/>
  <c r="T10" i="19"/>
  <c r="U10" i="19" s="1"/>
  <c r="V10" i="19" s="1"/>
  <c r="Q10" i="19"/>
  <c r="P10" i="19"/>
  <c r="N10" i="19"/>
  <c r="O10" i="19" s="1"/>
  <c r="AC9" i="19"/>
  <c r="W9" i="19"/>
  <c r="T9" i="19"/>
  <c r="U9" i="19" s="1"/>
  <c r="V9" i="19" s="1"/>
  <c r="Q9" i="19"/>
  <c r="P9" i="19"/>
  <c r="N9" i="19"/>
  <c r="O9" i="19" s="1"/>
  <c r="AC8" i="19"/>
  <c r="U8" i="19"/>
  <c r="W8" i="19" s="1"/>
  <c r="T8" i="19"/>
  <c r="Q8" i="19"/>
  <c r="R25" i="19" s="1"/>
  <c r="S25" i="19" s="1"/>
  <c r="P8" i="19"/>
  <c r="N8" i="19"/>
  <c r="O8" i="19" s="1"/>
  <c r="R9" i="19" l="1"/>
  <c r="S9" i="19" s="1"/>
  <c r="R10" i="19"/>
  <c r="S10" i="19" s="1"/>
  <c r="R11" i="19"/>
  <c r="S11" i="19" s="1"/>
  <c r="AD20" i="19"/>
  <c r="AD33" i="19"/>
  <c r="AD41" i="19"/>
  <c r="AD50" i="19"/>
  <c r="AD58" i="19"/>
  <c r="R8" i="19"/>
  <c r="S8" i="19" s="1"/>
  <c r="AD114" i="19"/>
  <c r="AN11" i="19" s="1"/>
  <c r="AF110" i="19"/>
  <c r="AD113" i="19"/>
  <c r="AD117" i="19" s="1"/>
  <c r="AD115" i="19"/>
  <c r="G25" i="19"/>
  <c r="AD8" i="19"/>
  <c r="G26" i="19" s="1"/>
  <c r="AD31" i="19"/>
  <c r="AD24" i="19"/>
  <c r="AD9" i="19"/>
  <c r="H26" i="19" s="1"/>
  <c r="H25" i="19"/>
  <c r="AD110" i="19"/>
  <c r="AD111" i="19" s="1"/>
  <c r="I25" i="19" s="1"/>
  <c r="L25" i="19" s="1"/>
  <c r="AD10" i="19"/>
  <c r="AD11" i="19"/>
  <c r="V12" i="19"/>
  <c r="R12" i="19"/>
  <c r="S12" i="19" s="1"/>
  <c r="V13" i="19"/>
  <c r="R13" i="19"/>
  <c r="S13" i="19" s="1"/>
  <c r="AD13" i="19"/>
  <c r="V14" i="19"/>
  <c r="V15" i="19"/>
  <c r="R15" i="19"/>
  <c r="S15" i="19" s="1"/>
  <c r="AD16" i="19"/>
  <c r="V20" i="19"/>
  <c r="V22" i="19"/>
  <c r="R24" i="19"/>
  <c r="S24" i="19" s="1"/>
  <c r="V31" i="19"/>
  <c r="AD32" i="19"/>
  <c r="AD48" i="19"/>
  <c r="AD88" i="19"/>
  <c r="AD12" i="19"/>
  <c r="R14" i="19"/>
  <c r="S14" i="19" s="1"/>
  <c r="AD14" i="19"/>
  <c r="V16" i="19"/>
  <c r="V18" i="19"/>
  <c r="AD18" i="19"/>
  <c r="V19" i="19"/>
  <c r="AD19" i="19"/>
  <c r="R20" i="19"/>
  <c r="S20" i="19" s="1"/>
  <c r="AD22" i="19"/>
  <c r="W24" i="19"/>
  <c r="R28" i="19"/>
  <c r="S28" i="19" s="1"/>
  <c r="AD28" i="19"/>
  <c r="R30" i="19"/>
  <c r="S30" i="19" s="1"/>
  <c r="V32" i="19"/>
  <c r="R32" i="19"/>
  <c r="S32" i="19" s="1"/>
  <c r="AD37" i="19"/>
  <c r="AD45" i="19"/>
  <c r="AD80" i="19"/>
  <c r="V8" i="19"/>
  <c r="R17" i="19"/>
  <c r="S17" i="19" s="1"/>
  <c r="K20" i="19"/>
  <c r="R26" i="19"/>
  <c r="S26" i="19" s="1"/>
  <c r="AD26" i="19"/>
  <c r="AD40" i="19"/>
  <c r="AD52" i="19"/>
  <c r="AD98" i="19"/>
  <c r="AD106" i="19"/>
  <c r="R21" i="19"/>
  <c r="S21" i="19" s="1"/>
  <c r="R22" i="19"/>
  <c r="S22" i="19" s="1"/>
  <c r="R23" i="19"/>
  <c r="S23" i="19" s="1"/>
  <c r="AD36" i="19"/>
  <c r="AD44" i="19"/>
  <c r="AD23" i="19"/>
  <c r="V25" i="19"/>
  <c r="AD25" i="19"/>
  <c r="V28" i="19"/>
  <c r="V29" i="19"/>
  <c r="AD29" i="19"/>
  <c r="V35" i="19"/>
  <c r="AD35" i="19"/>
  <c r="V39" i="19"/>
  <c r="AD39" i="19"/>
  <c r="V43" i="19"/>
  <c r="AD43" i="19"/>
  <c r="V47" i="19"/>
  <c r="AD47" i="19"/>
  <c r="AD49" i="19"/>
  <c r="AD63" i="19"/>
  <c r="AD15" i="19"/>
  <c r="R16" i="19"/>
  <c r="S16" i="19" s="1"/>
  <c r="AD17" i="19"/>
  <c r="R18" i="19"/>
  <c r="S18" i="19" s="1"/>
  <c r="R19" i="19"/>
  <c r="S19" i="19" s="1"/>
  <c r="AD21" i="19"/>
  <c r="V27" i="19"/>
  <c r="AD27" i="19"/>
  <c r="W31" i="19"/>
  <c r="Y8" i="19" s="1"/>
  <c r="V34" i="19"/>
  <c r="AD34" i="19"/>
  <c r="V38" i="19"/>
  <c r="AD38" i="19"/>
  <c r="V42" i="19"/>
  <c r="AD42" i="19"/>
  <c r="V46" i="19"/>
  <c r="AD46" i="19"/>
  <c r="AD62" i="19"/>
  <c r="N67" i="19"/>
  <c r="O67" i="19" s="1"/>
  <c r="N63" i="19"/>
  <c r="O63" i="19" s="1"/>
  <c r="N68" i="19"/>
  <c r="O68" i="19" s="1"/>
  <c r="N64" i="19"/>
  <c r="O64" i="19" s="1"/>
  <c r="N62" i="19"/>
  <c r="O62" i="19" s="1"/>
  <c r="N61" i="19"/>
  <c r="O61" i="19" s="1"/>
  <c r="N60" i="19"/>
  <c r="O60" i="19" s="1"/>
  <c r="N59" i="19"/>
  <c r="O59" i="19" s="1"/>
  <c r="N58" i="19"/>
  <c r="O58" i="19" s="1"/>
  <c r="N57" i="19"/>
  <c r="O57" i="19" s="1"/>
  <c r="N56" i="19"/>
  <c r="O56" i="19" s="1"/>
  <c r="N55" i="19"/>
  <c r="O55" i="19" s="1"/>
  <c r="N54" i="19"/>
  <c r="O54" i="19" s="1"/>
  <c r="N53" i="19"/>
  <c r="O53" i="19" s="1"/>
  <c r="N52" i="19"/>
  <c r="O52" i="19" s="1"/>
  <c r="N51" i="19"/>
  <c r="O51" i="19" s="1"/>
  <c r="N66" i="19"/>
  <c r="O66" i="19" s="1"/>
  <c r="N65" i="19"/>
  <c r="O65" i="19" s="1"/>
  <c r="N50" i="19"/>
  <c r="O50" i="19" s="1"/>
  <c r="N49" i="19"/>
  <c r="O49" i="19" s="1"/>
  <c r="N48" i="19"/>
  <c r="O48" i="19" s="1"/>
  <c r="N47" i="19"/>
  <c r="O47" i="19" s="1"/>
  <c r="N46" i="19"/>
  <c r="O46" i="19" s="1"/>
  <c r="N45" i="19"/>
  <c r="O45" i="19" s="1"/>
  <c r="N44" i="19"/>
  <c r="O44" i="19" s="1"/>
  <c r="N43" i="19"/>
  <c r="O43" i="19" s="1"/>
  <c r="N42" i="19"/>
  <c r="O42" i="19" s="1"/>
  <c r="N41" i="19"/>
  <c r="O41" i="19" s="1"/>
  <c r="N40" i="19"/>
  <c r="O40" i="19" s="1"/>
  <c r="N39" i="19"/>
  <c r="O39" i="19" s="1"/>
  <c r="N38" i="19"/>
  <c r="O38" i="19" s="1"/>
  <c r="N37" i="19"/>
  <c r="O37" i="19" s="1"/>
  <c r="N36" i="19"/>
  <c r="O36" i="19" s="1"/>
  <c r="N35" i="19"/>
  <c r="O35" i="19" s="1"/>
  <c r="N34" i="19"/>
  <c r="O34" i="19" s="1"/>
  <c r="N33" i="19"/>
  <c r="O33" i="19" s="1"/>
  <c r="N29" i="19"/>
  <c r="O29" i="19" s="1"/>
  <c r="N27" i="19"/>
  <c r="O27" i="19" s="1"/>
  <c r="N25" i="19"/>
  <c r="O25" i="19" s="1"/>
  <c r="O72" i="19" s="1"/>
  <c r="O75" i="19" s="1"/>
  <c r="N32" i="19"/>
  <c r="O32" i="19" s="1"/>
  <c r="AD75" i="19"/>
  <c r="AD96" i="19"/>
  <c r="AD104" i="19"/>
  <c r="R27" i="19"/>
  <c r="S27" i="19" s="1"/>
  <c r="R29" i="19"/>
  <c r="S29" i="19" s="1"/>
  <c r="AD30" i="19"/>
  <c r="R33" i="19"/>
  <c r="S33" i="19" s="1"/>
  <c r="R34" i="19"/>
  <c r="S34" i="19" s="1"/>
  <c r="R35" i="19"/>
  <c r="S35" i="19" s="1"/>
  <c r="R36" i="19"/>
  <c r="S36" i="19" s="1"/>
  <c r="R37" i="19"/>
  <c r="S37" i="19" s="1"/>
  <c r="R38" i="19"/>
  <c r="S38" i="19" s="1"/>
  <c r="R39" i="19"/>
  <c r="S39" i="19" s="1"/>
  <c r="R40" i="19"/>
  <c r="S40" i="19" s="1"/>
  <c r="R41" i="19"/>
  <c r="S41" i="19" s="1"/>
  <c r="R42" i="19"/>
  <c r="S42" i="19" s="1"/>
  <c r="R43" i="19"/>
  <c r="S43" i="19" s="1"/>
  <c r="R44" i="19"/>
  <c r="S44" i="19" s="1"/>
  <c r="R45" i="19"/>
  <c r="S45" i="19" s="1"/>
  <c r="R46" i="19"/>
  <c r="S46" i="19" s="1"/>
  <c r="R47" i="19"/>
  <c r="S47" i="19" s="1"/>
  <c r="AD51" i="19"/>
  <c r="AD53" i="19"/>
  <c r="AD55" i="19"/>
  <c r="AD57" i="19"/>
  <c r="AD59" i="19"/>
  <c r="AD61" i="19"/>
  <c r="AD69" i="19"/>
  <c r="AD82" i="19"/>
  <c r="AD90" i="19"/>
  <c r="J73" i="19"/>
  <c r="AD78" i="19"/>
  <c r="AD86" i="19"/>
  <c r="AD94" i="19"/>
  <c r="AD102" i="19"/>
  <c r="AD71" i="19"/>
  <c r="AD73" i="19"/>
  <c r="AD84" i="19"/>
  <c r="AD92" i="19"/>
  <c r="AD100" i="19"/>
  <c r="AD64" i="19"/>
  <c r="AD65" i="19"/>
  <c r="AD66" i="19"/>
  <c r="AD67" i="19"/>
  <c r="AD68" i="19"/>
  <c r="AD70" i="19"/>
  <c r="AD72" i="19"/>
  <c r="AD77" i="19"/>
  <c r="K73" i="19" l="1"/>
  <c r="J75" i="19"/>
  <c r="I73" i="19"/>
  <c r="AO11" i="19"/>
  <c r="X8" i="19"/>
  <c r="Z8" i="19" s="1"/>
  <c r="AE110" i="19"/>
  <c r="AE111" i="19" s="1"/>
  <c r="I26" i="19" s="1"/>
  <c r="L26" i="19" s="1"/>
  <c r="AD116" i="19"/>
  <c r="AD118" i="19" s="1"/>
  <c r="AE99" i="19" l="1"/>
  <c r="AE87" i="19"/>
  <c r="AE79" i="19"/>
  <c r="AE77" i="19"/>
  <c r="AE76" i="19"/>
  <c r="AE66" i="19"/>
  <c r="AE101" i="19"/>
  <c r="AE89" i="19"/>
  <c r="AE81" i="19"/>
  <c r="AE72" i="19"/>
  <c r="AE67" i="19"/>
  <c r="AE105" i="19"/>
  <c r="AE97" i="19"/>
  <c r="AE91" i="19"/>
  <c r="AE83" i="19"/>
  <c r="AE70" i="19"/>
  <c r="AE31" i="19"/>
  <c r="AE30" i="19"/>
  <c r="AE24" i="19"/>
  <c r="AN12" i="19"/>
  <c r="AE103" i="19"/>
  <c r="AE95" i="19"/>
  <c r="AE74" i="19"/>
  <c r="AE65" i="19"/>
  <c r="AE26" i="19"/>
  <c r="AE28" i="19"/>
  <c r="AE17" i="19"/>
  <c r="AE15" i="19"/>
  <c r="AE85" i="19"/>
  <c r="AE68" i="19"/>
  <c r="AE16" i="19"/>
  <c r="AE93" i="19"/>
  <c r="AE64" i="19"/>
  <c r="AE62" i="19"/>
  <c r="AE21" i="19"/>
  <c r="AE32" i="19"/>
  <c r="AE33" i="19"/>
  <c r="AE50" i="19"/>
  <c r="AE88" i="19"/>
  <c r="AE37" i="19"/>
  <c r="AE45" i="19"/>
  <c r="AE106" i="19"/>
  <c r="AE8" i="19"/>
  <c r="AE10" i="19"/>
  <c r="AE39" i="19"/>
  <c r="AE58" i="19"/>
  <c r="AE48" i="19"/>
  <c r="AE80" i="19"/>
  <c r="AE52" i="19"/>
  <c r="AE40" i="19"/>
  <c r="AE36" i="19"/>
  <c r="AE44" i="19"/>
  <c r="AE25" i="19"/>
  <c r="AE29" i="19"/>
  <c r="AE35" i="19"/>
  <c r="AE63" i="19"/>
  <c r="AE12" i="19"/>
  <c r="AE19" i="19"/>
  <c r="AE14" i="19"/>
  <c r="AE9" i="19"/>
  <c r="AE11" i="19"/>
  <c r="AE20" i="19"/>
  <c r="AE47" i="19"/>
  <c r="AE34" i="19"/>
  <c r="AE38" i="19"/>
  <c r="AE42" i="19"/>
  <c r="AE46" i="19"/>
  <c r="AE13" i="19"/>
  <c r="AE53" i="19"/>
  <c r="AE61" i="19"/>
  <c r="AE84" i="19"/>
  <c r="AE78" i="19"/>
  <c r="AE86" i="19"/>
  <c r="AE102" i="19"/>
  <c r="AE71" i="19"/>
  <c r="AE92" i="19"/>
  <c r="AE100" i="19"/>
  <c r="AE98" i="19"/>
  <c r="AE49" i="19"/>
  <c r="AE56" i="19"/>
  <c r="AE55" i="19"/>
  <c r="AE51" i="19"/>
  <c r="AE59" i="19"/>
  <c r="AE96" i="19"/>
  <c r="AE82" i="19"/>
  <c r="AE73" i="19"/>
  <c r="AE41" i="19"/>
  <c r="AE22" i="19"/>
  <c r="AE43" i="19"/>
  <c r="AE23" i="19"/>
  <c r="AE75" i="19"/>
  <c r="AE57" i="19"/>
  <c r="AE104" i="19"/>
  <c r="AE69" i="19"/>
  <c r="AE94" i="19"/>
  <c r="AE18" i="19"/>
  <c r="AE60" i="19"/>
  <c r="AE27" i="19"/>
  <c r="AE54" i="19"/>
  <c r="AE90" i="19"/>
  <c r="AR11" i="19"/>
  <c r="K14" i="19"/>
  <c r="H14" i="19"/>
  <c r="AP11" i="19" l="1"/>
  <c r="I14" i="19"/>
  <c r="I15" i="19"/>
  <c r="AR12" i="19"/>
  <c r="AO12" i="19"/>
  <c r="AS11" i="19"/>
  <c r="AF105" i="19" l="1"/>
  <c r="AF103" i="19"/>
  <c r="AF101" i="19"/>
  <c r="AF99" i="19"/>
  <c r="AF97" i="19"/>
  <c r="AF95" i="19"/>
  <c r="AF67" i="19"/>
  <c r="AF68" i="19"/>
  <c r="AF64" i="19"/>
  <c r="AF66" i="19"/>
  <c r="AF65" i="19"/>
  <c r="AF31" i="19"/>
  <c r="AF28" i="19"/>
  <c r="AF26" i="19"/>
  <c r="AF49" i="19"/>
  <c r="AN13" i="19"/>
  <c r="AF16" i="19"/>
  <c r="AF46" i="19"/>
  <c r="AF45" i="19"/>
  <c r="AF38" i="19"/>
  <c r="AF37" i="19"/>
  <c r="AF30" i="19"/>
  <c r="AF19" i="19"/>
  <c r="AF18" i="19"/>
  <c r="AF42" i="19"/>
  <c r="AF34" i="19"/>
  <c r="AF23" i="19"/>
  <c r="AF17" i="19"/>
  <c r="AF15" i="19"/>
  <c r="AF100" i="19"/>
  <c r="AF27" i="19"/>
  <c r="AF14" i="19"/>
  <c r="AF8" i="19"/>
  <c r="AF10" i="19"/>
  <c r="AF12" i="19"/>
  <c r="AF20" i="19"/>
  <c r="AF13" i="19"/>
  <c r="AF22" i="19"/>
  <c r="AF60" i="19"/>
  <c r="AF21" i="19"/>
  <c r="AF32" i="19"/>
  <c r="AF40" i="19"/>
  <c r="AF98" i="19"/>
  <c r="AF9" i="19"/>
  <c r="AF11" i="19"/>
  <c r="AF36" i="19"/>
  <c r="AF44" i="19"/>
  <c r="AF56" i="19"/>
  <c r="AF29" i="19"/>
  <c r="AF58" i="19"/>
  <c r="AF52" i="19"/>
  <c r="AF25" i="19"/>
  <c r="AF39" i="19"/>
  <c r="AF47" i="19"/>
  <c r="AF24" i="19"/>
  <c r="AF57" i="19"/>
  <c r="AF96" i="19"/>
  <c r="AF69" i="19"/>
  <c r="AF94" i="19"/>
  <c r="AF102" i="19"/>
  <c r="AF50" i="19"/>
  <c r="AF62" i="19"/>
  <c r="AF51" i="19"/>
  <c r="AF59" i="19"/>
  <c r="AF33" i="19"/>
  <c r="AF48" i="19"/>
  <c r="AF106" i="19"/>
  <c r="AF63" i="19"/>
  <c r="AF35" i="19"/>
  <c r="AF43" i="19"/>
  <c r="AF54" i="19"/>
  <c r="AF53" i="19"/>
  <c r="AF61" i="19"/>
  <c r="AF41" i="19"/>
  <c r="AF55" i="19"/>
  <c r="AF104" i="19"/>
  <c r="AO22" i="19"/>
  <c r="AP12" i="19" l="1"/>
  <c r="AO13" i="19"/>
  <c r="AR13" i="19" s="1"/>
  <c r="AO23" i="19" l="1"/>
  <c r="AS12" i="19"/>
  <c r="AG100" i="19"/>
  <c r="AG57" i="19"/>
  <c r="AN14" i="19"/>
  <c r="AG102" i="19"/>
  <c r="AG94" i="19"/>
  <c r="AG59" i="19"/>
  <c r="AG51" i="19"/>
  <c r="AG53" i="19"/>
  <c r="AG47" i="19"/>
  <c r="AG39" i="19"/>
  <c r="AG22" i="19"/>
  <c r="AG43" i="19"/>
  <c r="AG35" i="19"/>
  <c r="AG27" i="19"/>
  <c r="AG21" i="19"/>
  <c r="AG20" i="19"/>
  <c r="AG55" i="19"/>
  <c r="AG38" i="19"/>
  <c r="AG19" i="19"/>
  <c r="AG61" i="19"/>
  <c r="AG49" i="19"/>
  <c r="AG42" i="19"/>
  <c r="AG34" i="19"/>
  <c r="AG23" i="19"/>
  <c r="AG46" i="19"/>
  <c r="AG29" i="19"/>
  <c r="AG25" i="19"/>
  <c r="AG18" i="19"/>
  <c r="AG12" i="19"/>
  <c r="AG11" i="19"/>
  <c r="AG10" i="19"/>
  <c r="AG9" i="19"/>
  <c r="AG8" i="19"/>
  <c r="AG41" i="19"/>
  <c r="AG50" i="19"/>
  <c r="AG98" i="19"/>
  <c r="AG33" i="19"/>
  <c r="AG37" i="19"/>
  <c r="AG45" i="19"/>
  <c r="AG40" i="19"/>
  <c r="AG106" i="19"/>
  <c r="AG36" i="19"/>
  <c r="AG44" i="19"/>
  <c r="AG60" i="19"/>
  <c r="AG15" i="19"/>
  <c r="AG32" i="19"/>
  <c r="AG48" i="19"/>
  <c r="AG14" i="19"/>
  <c r="AG17" i="19"/>
  <c r="AG56" i="19"/>
  <c r="AG62" i="19"/>
  <c r="AG24" i="19"/>
  <c r="AG65" i="19"/>
  <c r="AG67" i="19"/>
  <c r="AG97" i="19"/>
  <c r="AG105" i="19"/>
  <c r="AG26" i="19"/>
  <c r="AG58" i="19"/>
  <c r="AG52" i="19"/>
  <c r="AG63" i="19"/>
  <c r="AG16" i="19"/>
  <c r="AG54" i="19"/>
  <c r="AG99" i="19"/>
  <c r="AG28" i="19"/>
  <c r="AG69" i="19"/>
  <c r="AG95" i="19"/>
  <c r="AG13" i="19"/>
  <c r="AG30" i="19"/>
  <c r="AG104" i="19"/>
  <c r="AG64" i="19"/>
  <c r="AG66" i="19"/>
  <c r="AG68" i="19"/>
  <c r="AG101" i="19"/>
  <c r="AG96" i="19"/>
  <c r="AG31" i="19"/>
  <c r="AG103" i="19"/>
  <c r="AP13" i="19" l="1"/>
  <c r="AO14" i="19"/>
  <c r="AR14" i="19"/>
  <c r="AH101" i="19" l="1"/>
  <c r="AH103" i="19"/>
  <c r="AH95" i="19"/>
  <c r="AH99" i="19"/>
  <c r="AH59" i="19"/>
  <c r="AH51" i="19"/>
  <c r="AH26" i="19"/>
  <c r="AH69" i="19"/>
  <c r="AH61" i="19"/>
  <c r="AH53" i="19"/>
  <c r="AH28" i="19"/>
  <c r="AH57" i="19"/>
  <c r="AH31" i="19"/>
  <c r="AH16" i="19"/>
  <c r="AN15" i="19"/>
  <c r="AH55" i="19"/>
  <c r="AH105" i="19"/>
  <c r="AH97" i="19"/>
  <c r="AH24" i="19"/>
  <c r="AH22" i="19"/>
  <c r="AH14" i="19"/>
  <c r="AH20" i="19"/>
  <c r="AH19" i="19"/>
  <c r="AH60" i="19"/>
  <c r="AH23" i="19"/>
  <c r="AH47" i="19"/>
  <c r="AH32" i="19"/>
  <c r="AH41" i="19"/>
  <c r="AH50" i="19"/>
  <c r="AH8" i="19"/>
  <c r="AH10" i="19"/>
  <c r="AH11" i="19"/>
  <c r="AH18" i="19"/>
  <c r="AH98" i="19"/>
  <c r="AH13" i="19"/>
  <c r="AH43" i="19"/>
  <c r="AH56" i="19"/>
  <c r="AH33" i="19"/>
  <c r="AH58" i="19"/>
  <c r="AH37" i="19"/>
  <c r="AH45" i="19"/>
  <c r="AH52" i="19"/>
  <c r="AH106" i="19"/>
  <c r="AH21" i="19"/>
  <c r="AH39" i="19"/>
  <c r="AH49" i="19"/>
  <c r="AH15" i="19"/>
  <c r="AH17" i="19"/>
  <c r="AH27" i="19"/>
  <c r="AH9" i="19"/>
  <c r="AH12" i="19"/>
  <c r="AH44" i="19"/>
  <c r="AH35" i="19"/>
  <c r="AH34" i="19"/>
  <c r="AH42" i="19"/>
  <c r="AH54" i="19"/>
  <c r="AH104" i="19"/>
  <c r="AH94" i="19"/>
  <c r="AH100" i="19"/>
  <c r="AH67" i="19"/>
  <c r="AH66" i="19"/>
  <c r="AH40" i="19"/>
  <c r="AH36" i="19"/>
  <c r="AH25" i="19"/>
  <c r="AH29" i="19"/>
  <c r="AH96" i="19"/>
  <c r="AH65" i="19"/>
  <c r="AH102" i="19"/>
  <c r="AH64" i="19"/>
  <c r="AH38" i="19"/>
  <c r="AH46" i="19"/>
  <c r="AH62" i="19"/>
  <c r="AH30" i="19"/>
  <c r="AH48" i="19"/>
  <c r="AH63" i="19"/>
  <c r="AH68" i="19"/>
  <c r="AO24" i="19"/>
  <c r="AS13" i="19"/>
  <c r="AO15" i="19" l="1"/>
  <c r="AR15" i="19" s="1"/>
  <c r="AP14" i="19"/>
  <c r="AO25" i="19" l="1"/>
  <c r="AS14" i="19"/>
  <c r="AI103" i="19"/>
  <c r="AI95" i="19"/>
  <c r="AI68" i="19"/>
  <c r="AI64" i="19"/>
  <c r="AI105" i="19"/>
  <c r="AI97" i="19"/>
  <c r="AI65" i="19"/>
  <c r="AI99" i="19"/>
  <c r="AI66" i="19"/>
  <c r="AI67" i="19"/>
  <c r="AI28" i="19"/>
  <c r="AI17" i="19"/>
  <c r="AI26" i="19"/>
  <c r="AI24" i="19"/>
  <c r="AN16" i="19"/>
  <c r="AI15" i="19"/>
  <c r="AI101" i="19"/>
  <c r="AI31" i="19"/>
  <c r="AI30" i="19"/>
  <c r="AI16" i="19"/>
  <c r="AI58" i="19"/>
  <c r="AI48" i="19"/>
  <c r="AI22" i="19"/>
  <c r="AI52" i="19"/>
  <c r="AI40" i="19"/>
  <c r="AI36" i="19"/>
  <c r="AI44" i="19"/>
  <c r="AI25" i="19"/>
  <c r="AI29" i="19"/>
  <c r="AI35" i="19"/>
  <c r="AI8" i="19"/>
  <c r="AI12" i="19"/>
  <c r="AI19" i="19"/>
  <c r="AI14" i="19"/>
  <c r="AI20" i="19"/>
  <c r="AI47" i="19"/>
  <c r="AI13" i="19"/>
  <c r="AI41" i="19"/>
  <c r="AI9" i="19"/>
  <c r="AI18" i="19"/>
  <c r="AI98" i="19"/>
  <c r="AI60" i="19"/>
  <c r="AI23" i="19"/>
  <c r="AI43" i="19"/>
  <c r="AI21" i="19"/>
  <c r="AI54" i="19"/>
  <c r="AI33" i="19"/>
  <c r="AI45" i="19"/>
  <c r="AI106" i="19"/>
  <c r="AI49" i="19"/>
  <c r="AI56" i="19"/>
  <c r="AI38" i="19"/>
  <c r="AI46" i="19"/>
  <c r="AI55" i="19"/>
  <c r="AI102" i="19"/>
  <c r="AI94" i="19"/>
  <c r="AI50" i="19"/>
  <c r="AI10" i="19"/>
  <c r="AI57" i="19"/>
  <c r="AI104" i="19"/>
  <c r="AI69" i="19"/>
  <c r="AI62" i="19"/>
  <c r="AI37" i="19"/>
  <c r="AI27" i="19"/>
  <c r="AI34" i="19"/>
  <c r="AI42" i="19"/>
  <c r="AI51" i="19"/>
  <c r="AI59" i="19"/>
  <c r="AI96" i="19"/>
  <c r="AI100" i="19"/>
  <c r="AI32" i="19"/>
  <c r="AI11" i="19"/>
  <c r="AI39" i="19"/>
  <c r="AI63" i="19"/>
  <c r="AI53" i="19"/>
  <c r="AI61" i="19"/>
  <c r="AP15" i="19" l="1"/>
  <c r="AO16" i="19"/>
  <c r="AR16" i="19" s="1"/>
  <c r="AJ105" i="19" l="1"/>
  <c r="AJ103" i="19"/>
  <c r="AJ101" i="19"/>
  <c r="AJ99" i="19"/>
  <c r="AJ97" i="19"/>
  <c r="AJ95" i="19"/>
  <c r="AJ93" i="19"/>
  <c r="AJ91" i="19"/>
  <c r="AJ89" i="19"/>
  <c r="AJ87" i="19"/>
  <c r="AJ85" i="19"/>
  <c r="AJ83" i="19"/>
  <c r="AJ74" i="19"/>
  <c r="AJ72" i="19"/>
  <c r="AJ65" i="19"/>
  <c r="AJ100" i="19"/>
  <c r="AJ66" i="19"/>
  <c r="AJ104" i="19"/>
  <c r="AJ96" i="19"/>
  <c r="AJ71" i="19"/>
  <c r="AJ67" i="19"/>
  <c r="AJ68" i="19"/>
  <c r="AJ64" i="19"/>
  <c r="AJ31" i="19"/>
  <c r="AJ28" i="19"/>
  <c r="AJ26" i="19"/>
  <c r="AJ102" i="19"/>
  <c r="AJ94" i="19"/>
  <c r="AJ38" i="19"/>
  <c r="AJ34" i="19"/>
  <c r="AJ30" i="19"/>
  <c r="AJ27" i="19"/>
  <c r="AJ16" i="19"/>
  <c r="AJ49" i="19"/>
  <c r="AN17" i="19"/>
  <c r="AJ90" i="19"/>
  <c r="AJ29" i="19"/>
  <c r="AJ19" i="19"/>
  <c r="AJ18" i="19"/>
  <c r="AJ36" i="19"/>
  <c r="AJ84" i="19"/>
  <c r="AJ82" i="19"/>
  <c r="AJ77" i="19"/>
  <c r="AJ43" i="19"/>
  <c r="AJ35" i="19"/>
  <c r="AJ17" i="19"/>
  <c r="AJ15" i="19"/>
  <c r="AJ92" i="19"/>
  <c r="AJ70" i="19"/>
  <c r="AJ25" i="19"/>
  <c r="AJ12" i="19"/>
  <c r="AJ47" i="19"/>
  <c r="AJ44" i="19"/>
  <c r="AJ39" i="19"/>
  <c r="AJ13" i="19"/>
  <c r="AJ33" i="19"/>
  <c r="AJ88" i="19"/>
  <c r="AJ22" i="19"/>
  <c r="AJ37" i="19"/>
  <c r="AJ45" i="19"/>
  <c r="AJ106" i="19"/>
  <c r="AJ60" i="19"/>
  <c r="AJ21" i="19"/>
  <c r="AJ40" i="19"/>
  <c r="AJ32" i="19"/>
  <c r="AJ42" i="19"/>
  <c r="AJ48" i="19"/>
  <c r="AJ80" i="19"/>
  <c r="AJ8" i="19"/>
  <c r="AJ10" i="19"/>
  <c r="AJ56" i="19"/>
  <c r="AJ50" i="19"/>
  <c r="AJ58" i="19"/>
  <c r="AJ46" i="19"/>
  <c r="AJ52" i="19"/>
  <c r="AJ63" i="19"/>
  <c r="AJ41" i="19"/>
  <c r="AJ11" i="19"/>
  <c r="AJ51" i="19"/>
  <c r="AJ59" i="19"/>
  <c r="AJ79" i="19"/>
  <c r="AJ81" i="19"/>
  <c r="AJ69" i="19"/>
  <c r="AJ54" i="19"/>
  <c r="AJ75" i="19"/>
  <c r="AJ24" i="19"/>
  <c r="AJ53" i="19"/>
  <c r="AJ61" i="19"/>
  <c r="AJ57" i="19"/>
  <c r="AJ62" i="19"/>
  <c r="AJ55" i="19"/>
  <c r="AJ73" i="19"/>
  <c r="AJ78" i="19"/>
  <c r="AJ76" i="19"/>
  <c r="AJ14" i="19"/>
  <c r="AJ98" i="19"/>
  <c r="AJ9" i="19"/>
  <c r="AJ20" i="19"/>
  <c r="AJ23" i="19"/>
  <c r="AJ86" i="19"/>
  <c r="AO26" i="19"/>
  <c r="AS15" i="19"/>
  <c r="AP16" i="19" l="1"/>
  <c r="AO17" i="19"/>
  <c r="AK73" i="19" l="1"/>
  <c r="AK92" i="19"/>
  <c r="AK84" i="19"/>
  <c r="AK69" i="19"/>
  <c r="AN18" i="19"/>
  <c r="AK86" i="19"/>
  <c r="AK78" i="19"/>
  <c r="AK104" i="19"/>
  <c r="AK44" i="19"/>
  <c r="AK37" i="19"/>
  <c r="AK54" i="19"/>
  <c r="AK23" i="19"/>
  <c r="AK21" i="19"/>
  <c r="AK96" i="19"/>
  <c r="AK36" i="19"/>
  <c r="AK71" i="19"/>
  <c r="AK56" i="19"/>
  <c r="AK45" i="19"/>
  <c r="AK13" i="19"/>
  <c r="AK26" i="19"/>
  <c r="AK58" i="19"/>
  <c r="AK80" i="19"/>
  <c r="AK76" i="19"/>
  <c r="AK39" i="19"/>
  <c r="AK16" i="19"/>
  <c r="AK32" i="19"/>
  <c r="AK52" i="19"/>
  <c r="AK98" i="19"/>
  <c r="AK8" i="19"/>
  <c r="AK10" i="19"/>
  <c r="AK25" i="19"/>
  <c r="AK29" i="19"/>
  <c r="AK35" i="19"/>
  <c r="AK81" i="19"/>
  <c r="AK12" i="19"/>
  <c r="AK19" i="19"/>
  <c r="AK22" i="19"/>
  <c r="AK31" i="19"/>
  <c r="AK33" i="19"/>
  <c r="AK41" i="19"/>
  <c r="AK106" i="19"/>
  <c r="AK47" i="19"/>
  <c r="AK63" i="19"/>
  <c r="AK89" i="19"/>
  <c r="AK34" i="19"/>
  <c r="AK38" i="19"/>
  <c r="AK42" i="19"/>
  <c r="AK46" i="19"/>
  <c r="AK62" i="19"/>
  <c r="AK14" i="19"/>
  <c r="AK20" i="19"/>
  <c r="AK60" i="19"/>
  <c r="AK43" i="19"/>
  <c r="AK75" i="19"/>
  <c r="AK51" i="19"/>
  <c r="AK59" i="19"/>
  <c r="AK85" i="19"/>
  <c r="AK93" i="19"/>
  <c r="AK91" i="19"/>
  <c r="AK70" i="19"/>
  <c r="AK102" i="19"/>
  <c r="AK95" i="19"/>
  <c r="AK103" i="19"/>
  <c r="AK67" i="19"/>
  <c r="AK72" i="19"/>
  <c r="AK101" i="19"/>
  <c r="AK83" i="19"/>
  <c r="AK64" i="19"/>
  <c r="AK77" i="19"/>
  <c r="AK18" i="19"/>
  <c r="AK9" i="19"/>
  <c r="AK17" i="19"/>
  <c r="AK99" i="19"/>
  <c r="AK53" i="19"/>
  <c r="AK61" i="19"/>
  <c r="AK74" i="19"/>
  <c r="AK65" i="19"/>
  <c r="AK87" i="19"/>
  <c r="AK97" i="19"/>
  <c r="AK66" i="19"/>
  <c r="AK24" i="19"/>
  <c r="AK11" i="19"/>
  <c r="AK48" i="19"/>
  <c r="AK15" i="19"/>
  <c r="AK27" i="19"/>
  <c r="AK79" i="19"/>
  <c r="AK55" i="19"/>
  <c r="AK82" i="19"/>
  <c r="AK90" i="19"/>
  <c r="AK94" i="19"/>
  <c r="AK105" i="19"/>
  <c r="AK50" i="19"/>
  <c r="AK88" i="19"/>
  <c r="AK40" i="19"/>
  <c r="AK49" i="19"/>
  <c r="AK28" i="19"/>
  <c r="AK30" i="19"/>
  <c r="AK57" i="19"/>
  <c r="AK100" i="19"/>
  <c r="AK68" i="19"/>
  <c r="AR17" i="19"/>
  <c r="AO27" i="19"/>
  <c r="AS16" i="19"/>
  <c r="AP17" i="19" l="1"/>
  <c r="AR18" i="19"/>
  <c r="AO18" i="19"/>
  <c r="AO28" i="19" l="1"/>
  <c r="AS17" i="19"/>
  <c r="AL105" i="19"/>
  <c r="AL97" i="19"/>
  <c r="AL89" i="19"/>
  <c r="AL81" i="19"/>
  <c r="AL99" i="19"/>
  <c r="AL91" i="19"/>
  <c r="AL83" i="19"/>
  <c r="AL74" i="19"/>
  <c r="AL87" i="19"/>
  <c r="AL79" i="19"/>
  <c r="AL101" i="19"/>
  <c r="AL93" i="19"/>
  <c r="AL85" i="19"/>
  <c r="AL76" i="19"/>
  <c r="AL103" i="19"/>
  <c r="AL95" i="19"/>
  <c r="AL73" i="19"/>
  <c r="AL31" i="19"/>
  <c r="AL24" i="19"/>
  <c r="AL26" i="19"/>
  <c r="AL21" i="19"/>
  <c r="AL56" i="19"/>
  <c r="AL22" i="19"/>
  <c r="AL16" i="19"/>
  <c r="AL28" i="19"/>
  <c r="AL20" i="19"/>
  <c r="AL14" i="19"/>
  <c r="AL41" i="19"/>
  <c r="AL8" i="19"/>
  <c r="AL10" i="19"/>
  <c r="AL11" i="19"/>
  <c r="AL12" i="19"/>
  <c r="AL17" i="19"/>
  <c r="AL18" i="19"/>
  <c r="AL50" i="19"/>
  <c r="AL52" i="19"/>
  <c r="AL98" i="19"/>
  <c r="AL43" i="19"/>
  <c r="AL33" i="19"/>
  <c r="AL54" i="19"/>
  <c r="AL13" i="19"/>
  <c r="AL88" i="19"/>
  <c r="AL37" i="19"/>
  <c r="AL45" i="19"/>
  <c r="AL58" i="19"/>
  <c r="AL106" i="19"/>
  <c r="AL39" i="19"/>
  <c r="AL49" i="19"/>
  <c r="AL9" i="19"/>
  <c r="AL48" i="19"/>
  <c r="AL15" i="19"/>
  <c r="AL80" i="19"/>
  <c r="AL40" i="19"/>
  <c r="AL36" i="19"/>
  <c r="AL44" i="19"/>
  <c r="AL60" i="19"/>
  <c r="AL25" i="19"/>
  <c r="AL29" i="19"/>
  <c r="AL30" i="19"/>
  <c r="AL35" i="19"/>
  <c r="AL62" i="19"/>
  <c r="AL64" i="19"/>
  <c r="AL32" i="19"/>
  <c r="AL67" i="19"/>
  <c r="AL27" i="19"/>
  <c r="AL68" i="19"/>
  <c r="AL96" i="19"/>
  <c r="AL51" i="19"/>
  <c r="AL55" i="19"/>
  <c r="AL59" i="19"/>
  <c r="AL69" i="19"/>
  <c r="AL82" i="19"/>
  <c r="AL90" i="19"/>
  <c r="AL66" i="19"/>
  <c r="AL77" i="19"/>
  <c r="AL70" i="19"/>
  <c r="AL100" i="19"/>
  <c r="AL84" i="19"/>
  <c r="AL42" i="19"/>
  <c r="AL38" i="19"/>
  <c r="AL46" i="19"/>
  <c r="AL104" i="19"/>
  <c r="AL94" i="19"/>
  <c r="AL23" i="19"/>
  <c r="AL47" i="19"/>
  <c r="AL63" i="19"/>
  <c r="AL53" i="19"/>
  <c r="AL57" i="19"/>
  <c r="AL61" i="19"/>
  <c r="AL72" i="19"/>
  <c r="AL78" i="19"/>
  <c r="AL86" i="19"/>
  <c r="AL102" i="19"/>
  <c r="AL71" i="19"/>
  <c r="AL92" i="19"/>
  <c r="AL19" i="19"/>
  <c r="AL34" i="19"/>
  <c r="AL75" i="19"/>
  <c r="AL65" i="19"/>
  <c r="AP18" i="19" l="1"/>
  <c r="AO29" i="19" l="1"/>
  <c r="AP19" i="19"/>
  <c r="AS18" i="19"/>
  <c r="AS19" i="19" s="1"/>
  <c r="AQ11" i="19" l="1"/>
  <c r="AT11" i="19" s="1"/>
  <c r="AQ12" i="19"/>
  <c r="AQ13" i="19"/>
  <c r="AQ14" i="19"/>
  <c r="AQ15" i="19"/>
  <c r="AQ16" i="19"/>
  <c r="AQ17" i="19"/>
  <c r="AQ18" i="19"/>
  <c r="AO30" i="19"/>
  <c r="AP30" i="19" s="1"/>
  <c r="AP22" i="19" s="1"/>
  <c r="AS32" i="19"/>
  <c r="AS31" i="19"/>
  <c r="AP23" i="19" l="1"/>
  <c r="AQ22" i="19"/>
  <c r="AT12" i="19"/>
  <c r="AT13" i="19" s="1"/>
  <c r="AT14" i="19" s="1"/>
  <c r="AT15" i="19" s="1"/>
  <c r="AT16" i="19" s="1"/>
  <c r="AT17" i="19" s="1"/>
  <c r="AT18" i="19" s="1"/>
  <c r="AR22" i="19" l="1"/>
  <c r="AP24" i="19"/>
  <c r="AQ23" i="19"/>
  <c r="AR23" i="19" s="1"/>
  <c r="AS23" i="19" s="1"/>
  <c r="AP25" i="19" l="1"/>
  <c r="AQ24" i="19"/>
  <c r="AR24" i="19" s="1"/>
  <c r="AS24" i="19" s="1"/>
  <c r="AS22" i="19"/>
  <c r="AP26" i="19" l="1"/>
  <c r="AQ25" i="19"/>
  <c r="AR25" i="19" s="1"/>
  <c r="AS25" i="19" l="1"/>
  <c r="AP27" i="19"/>
  <c r="AQ26" i="19"/>
  <c r="AR26" i="19" s="1"/>
  <c r="AS26" i="19" s="1"/>
  <c r="AP28" i="19" l="1"/>
  <c r="AQ27" i="19"/>
  <c r="AR27" i="19" s="1"/>
  <c r="AS27" i="19" s="1"/>
  <c r="AP29" i="19" l="1"/>
  <c r="AQ29" i="19" s="1"/>
  <c r="AQ28" i="19"/>
  <c r="AR28" i="19" s="1"/>
  <c r="AS28" i="19" s="1"/>
  <c r="AR29" i="19" l="1"/>
  <c r="AQ30" i="19"/>
  <c r="AS29" i="19" l="1"/>
  <c r="AS30" i="19" s="1"/>
  <c r="AR30" i="19"/>
  <c r="C7" i="16" l="1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6" i="16"/>
  <c r="F14" i="16" l="1"/>
  <c r="F15" i="16"/>
  <c r="J6" i="16"/>
  <c r="E35" i="4" l="1"/>
  <c r="D79" i="4" l="1"/>
  <c r="F79" i="4"/>
  <c r="D31" i="4"/>
  <c r="G11" i="16" l="1"/>
  <c r="G10" i="16"/>
  <c r="T26" i="8" l="1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T8" i="8"/>
  <c r="T7" i="8"/>
  <c r="Q26" i="8"/>
  <c r="Q25" i="8"/>
  <c r="Q24" i="8"/>
  <c r="Q23" i="8"/>
  <c r="Q22" i="8"/>
  <c r="Q21" i="8"/>
  <c r="Q20" i="8"/>
  <c r="Q19" i="8"/>
  <c r="Q18" i="8"/>
  <c r="Q17" i="8"/>
  <c r="Q16" i="8"/>
  <c r="Q15" i="8"/>
  <c r="Q14" i="8"/>
  <c r="Q13" i="8"/>
  <c r="Q12" i="8"/>
  <c r="Q11" i="8"/>
  <c r="Q10" i="8"/>
  <c r="Q9" i="8"/>
  <c r="Q8" i="8"/>
  <c r="Q7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7" i="8"/>
  <c r="N8" i="8"/>
  <c r="P37" i="8" l="1"/>
  <c r="N36" i="8"/>
  <c r="P36" i="8"/>
  <c r="L37" i="8"/>
  <c r="L36" i="8"/>
  <c r="N3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7" i="8"/>
  <c r="K30" i="8" l="1"/>
  <c r="O30" i="8" s="1"/>
  <c r="K32" i="8"/>
  <c r="O29" i="8" s="1"/>
  <c r="P29" i="8" s="1"/>
  <c r="K19" i="1"/>
  <c r="J19" i="1"/>
  <c r="K18" i="1"/>
  <c r="J18" i="1"/>
  <c r="K17" i="1"/>
  <c r="J17" i="1"/>
  <c r="K16" i="1"/>
  <c r="J16" i="1"/>
  <c r="K15" i="1"/>
  <c r="J15" i="1"/>
  <c r="K14" i="1"/>
  <c r="J14" i="1"/>
  <c r="K13" i="1"/>
  <c r="J13" i="1"/>
  <c r="K12" i="1"/>
  <c r="J12" i="1"/>
  <c r="K11" i="1"/>
  <c r="J11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1" i="1"/>
  <c r="G11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F17" i="1"/>
  <c r="F14" i="1"/>
  <c r="F15" i="1" s="1"/>
  <c r="F16" i="1" s="1"/>
  <c r="I11" i="17"/>
  <c r="I12" i="17"/>
  <c r="I13" i="17"/>
  <c r="I14" i="17"/>
  <c r="I15" i="17"/>
  <c r="I16" i="17"/>
  <c r="I17" i="17"/>
  <c r="I18" i="17"/>
  <c r="I19" i="17"/>
  <c r="I20" i="17"/>
  <c r="I21" i="17"/>
  <c r="I22" i="17"/>
  <c r="I23" i="17"/>
  <c r="I24" i="17"/>
  <c r="I25" i="17"/>
  <c r="I26" i="17"/>
  <c r="I27" i="17"/>
  <c r="I28" i="17"/>
  <c r="I10" i="17"/>
  <c r="K31" i="8" l="1"/>
  <c r="P30" i="8" s="1"/>
  <c r="O31" i="8" s="1"/>
  <c r="C67" i="1"/>
  <c r="C66" i="1"/>
  <c r="C65" i="1"/>
  <c r="I17" i="1"/>
  <c r="I18" i="1" s="1"/>
  <c r="I19" i="1" s="1"/>
  <c r="F18" i="1"/>
  <c r="F19" i="1" s="1"/>
  <c r="I14" i="1"/>
  <c r="I15" i="1" s="1"/>
  <c r="I16" i="1" s="1"/>
  <c r="I11" i="1"/>
  <c r="I12" i="1" s="1"/>
  <c r="I13" i="1" s="1"/>
  <c r="F11" i="1"/>
  <c r="F12" i="1" s="1"/>
  <c r="F13" i="1" s="1"/>
  <c r="C14" i="1" l="1"/>
  <c r="C15" i="1" s="1"/>
  <c r="C16" i="1" s="1"/>
  <c r="C11" i="1"/>
  <c r="C17" i="1"/>
  <c r="C18" i="1" l="1"/>
  <c r="L14" i="1"/>
  <c r="C12" i="1"/>
  <c r="V17" i="1"/>
  <c r="V14" i="1"/>
  <c r="V11" i="1"/>
  <c r="U11" i="1"/>
  <c r="U14" i="1"/>
  <c r="U17" i="1"/>
  <c r="T17" i="1"/>
  <c r="T14" i="1"/>
  <c r="T11" i="1"/>
  <c r="T19" i="1" l="1"/>
  <c r="U19" i="1"/>
  <c r="V19" i="1"/>
  <c r="C19" i="1"/>
  <c r="L17" i="1" s="1"/>
  <c r="C13" i="1"/>
  <c r="L11" i="1" s="1"/>
  <c r="D18" i="14"/>
  <c r="D17" i="14"/>
  <c r="D16" i="14"/>
  <c r="D15" i="14"/>
  <c r="D14" i="14"/>
  <c r="D13" i="14"/>
  <c r="D12" i="14"/>
  <c r="D11" i="14"/>
  <c r="D10" i="14"/>
  <c r="D9" i="14"/>
  <c r="F10" i="17"/>
  <c r="G10" i="17"/>
  <c r="H10" i="17"/>
  <c r="F11" i="17"/>
  <c r="G11" i="17"/>
  <c r="H11" i="17"/>
  <c r="F12" i="17"/>
  <c r="G12" i="17"/>
  <c r="H12" i="17"/>
  <c r="F13" i="17"/>
  <c r="G13" i="17"/>
  <c r="H13" i="17"/>
  <c r="F14" i="17"/>
  <c r="G14" i="17"/>
  <c r="H14" i="17"/>
  <c r="F15" i="17"/>
  <c r="G15" i="17"/>
  <c r="H15" i="17"/>
  <c r="F16" i="17"/>
  <c r="G16" i="17"/>
  <c r="H16" i="17"/>
  <c r="F17" i="17"/>
  <c r="G17" i="17"/>
  <c r="H17" i="17"/>
  <c r="F18" i="17"/>
  <c r="G18" i="17"/>
  <c r="H18" i="17"/>
  <c r="F19" i="17"/>
  <c r="G19" i="17"/>
  <c r="H19" i="17"/>
  <c r="F20" i="17"/>
  <c r="G20" i="17"/>
  <c r="H20" i="17"/>
  <c r="F21" i="17"/>
  <c r="G21" i="17"/>
  <c r="H21" i="17"/>
  <c r="F22" i="17"/>
  <c r="G22" i="17"/>
  <c r="H22" i="17"/>
  <c r="F23" i="17"/>
  <c r="G23" i="17"/>
  <c r="H23" i="17"/>
  <c r="F24" i="17"/>
  <c r="G24" i="17"/>
  <c r="H24" i="17"/>
  <c r="F25" i="17"/>
  <c r="G25" i="17"/>
  <c r="H25" i="17"/>
  <c r="F26" i="17"/>
  <c r="G26" i="17"/>
  <c r="H26" i="17"/>
  <c r="F27" i="17"/>
  <c r="G27" i="17"/>
  <c r="H27" i="17"/>
  <c r="F28" i="17"/>
  <c r="G28" i="17"/>
  <c r="H28" i="17"/>
  <c r="C62" i="1" l="1"/>
  <c r="E10" i="17"/>
  <c r="E11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27" i="17"/>
  <c r="E28" i="17"/>
  <c r="F50" i="17"/>
  <c r="Q70" i="17" s="1"/>
  <c r="Q71" i="17" s="1"/>
  <c r="D11" i="17"/>
  <c r="D12" i="17"/>
  <c r="D13" i="17"/>
  <c r="D14" i="17"/>
  <c r="D15" i="17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10" i="17"/>
  <c r="G66" i="17" l="1"/>
  <c r="E66" i="17"/>
  <c r="D67" i="17"/>
  <c r="H67" i="17" s="1"/>
  <c r="D68" i="17"/>
  <c r="D66" i="17"/>
  <c r="H66" i="17" s="1"/>
  <c r="J43" i="17"/>
  <c r="Q76" i="17" s="1"/>
  <c r="Q77" i="17" s="1"/>
  <c r="J42" i="17"/>
  <c r="Q74" i="17" s="1"/>
  <c r="Q75" i="17" s="1"/>
  <c r="F66" i="17" l="1"/>
  <c r="H68" i="17"/>
  <c r="K67" i="17" s="1"/>
  <c r="I66" i="17"/>
  <c r="I30" i="17"/>
  <c r="H30" i="17"/>
  <c r="G30" i="17"/>
  <c r="I29" i="17"/>
  <c r="H29" i="17"/>
  <c r="G29" i="17"/>
  <c r="I31" i="17"/>
  <c r="H31" i="17"/>
  <c r="G31" i="17"/>
  <c r="W53" i="17" l="1"/>
  <c r="X53" i="17" s="1"/>
  <c r="W52" i="17"/>
  <c r="X52" i="17" s="1"/>
  <c r="W51" i="17"/>
  <c r="X51" i="17" s="1"/>
  <c r="W50" i="17"/>
  <c r="X50" i="17" s="1"/>
  <c r="AA42" i="17"/>
  <c r="AB42" i="17" s="1"/>
  <c r="AA43" i="17"/>
  <c r="AB43" i="17" s="1"/>
  <c r="AA44" i="17"/>
  <c r="AB44" i="17" s="1"/>
  <c r="W42" i="17"/>
  <c r="X42" i="17" s="1"/>
  <c r="W43" i="17"/>
  <c r="X43" i="17" s="1"/>
  <c r="W44" i="17"/>
  <c r="X44" i="17" s="1"/>
  <c r="Y42" i="17"/>
  <c r="Z42" i="17" s="1"/>
  <c r="Y43" i="17"/>
  <c r="Z43" i="17" s="1"/>
  <c r="Y44" i="17"/>
  <c r="Z44" i="17" s="1"/>
  <c r="AA6" i="17"/>
  <c r="AB6" i="17" s="1"/>
  <c r="AA8" i="17"/>
  <c r="AB8" i="17" s="1"/>
  <c r="W6" i="17"/>
  <c r="X6" i="17" s="1"/>
  <c r="W11" i="17"/>
  <c r="X11" i="17" s="1"/>
  <c r="W15" i="17"/>
  <c r="X15" i="17" s="1"/>
  <c r="W19" i="17"/>
  <c r="X19" i="17" s="1"/>
  <c r="W23" i="17"/>
  <c r="X23" i="17" s="1"/>
  <c r="W27" i="17"/>
  <c r="X27" i="17" s="1"/>
  <c r="W31" i="17"/>
  <c r="X31" i="17" s="1"/>
  <c r="W35" i="17"/>
  <c r="X35" i="17" s="1"/>
  <c r="W39" i="17"/>
  <c r="X39" i="17" s="1"/>
  <c r="W47" i="17"/>
  <c r="X47" i="17" s="1"/>
  <c r="W55" i="17"/>
  <c r="X55" i="17" s="1"/>
  <c r="W59" i="17"/>
  <c r="X59" i="17" s="1"/>
  <c r="W63" i="17"/>
  <c r="X63" i="17" s="1"/>
  <c r="W67" i="17"/>
  <c r="X67" i="17" s="1"/>
  <c r="W8" i="17"/>
  <c r="X8" i="17" s="1"/>
  <c r="W12" i="17"/>
  <c r="X12" i="17" s="1"/>
  <c r="W16" i="17"/>
  <c r="X16" i="17" s="1"/>
  <c r="W24" i="17"/>
  <c r="X24" i="17" s="1"/>
  <c r="W32" i="17"/>
  <c r="X32" i="17" s="1"/>
  <c r="W36" i="17"/>
  <c r="X36" i="17" s="1"/>
  <c r="W64" i="17"/>
  <c r="X64" i="17" s="1"/>
  <c r="W9" i="17"/>
  <c r="X9" i="17" s="1"/>
  <c r="W13" i="17"/>
  <c r="X13" i="17" s="1"/>
  <c r="W17" i="17"/>
  <c r="X17" i="17" s="1"/>
  <c r="W21" i="17"/>
  <c r="X21" i="17" s="1"/>
  <c r="W25" i="17"/>
  <c r="X25" i="17" s="1"/>
  <c r="W29" i="17"/>
  <c r="X29" i="17" s="1"/>
  <c r="W33" i="17"/>
  <c r="X33" i="17" s="1"/>
  <c r="W37" i="17"/>
  <c r="X37" i="17" s="1"/>
  <c r="W41" i="17"/>
  <c r="X41" i="17" s="1"/>
  <c r="W45" i="17"/>
  <c r="X45" i="17" s="1"/>
  <c r="W49" i="17"/>
  <c r="X49" i="17" s="1"/>
  <c r="W57" i="17"/>
  <c r="X57" i="17" s="1"/>
  <c r="W61" i="17"/>
  <c r="X61" i="17" s="1"/>
  <c r="W65" i="17"/>
  <c r="X65" i="17" s="1"/>
  <c r="W10" i="17"/>
  <c r="X10" i="17" s="1"/>
  <c r="W14" i="17"/>
  <c r="X14" i="17" s="1"/>
  <c r="W18" i="17"/>
  <c r="X18" i="17" s="1"/>
  <c r="W22" i="17"/>
  <c r="X22" i="17" s="1"/>
  <c r="W26" i="17"/>
  <c r="X26" i="17" s="1"/>
  <c r="W30" i="17"/>
  <c r="X30" i="17" s="1"/>
  <c r="W34" i="17"/>
  <c r="X34" i="17" s="1"/>
  <c r="W38" i="17"/>
  <c r="X38" i="17" s="1"/>
  <c r="W46" i="17"/>
  <c r="X46" i="17" s="1"/>
  <c r="W54" i="17"/>
  <c r="X54" i="17" s="1"/>
  <c r="W58" i="17"/>
  <c r="X58" i="17" s="1"/>
  <c r="W62" i="17"/>
  <c r="X62" i="17" s="1"/>
  <c r="W66" i="17"/>
  <c r="X66" i="17" s="1"/>
  <c r="W20" i="17"/>
  <c r="X20" i="17" s="1"/>
  <c r="W28" i="17"/>
  <c r="X28" i="17" s="1"/>
  <c r="W40" i="17"/>
  <c r="X40" i="17" s="1"/>
  <c r="W48" i="17"/>
  <c r="X48" i="17" s="1"/>
  <c r="W56" i="17"/>
  <c r="X56" i="17" s="1"/>
  <c r="W60" i="17"/>
  <c r="X60" i="17" s="1"/>
  <c r="Y6" i="17"/>
  <c r="Z6" i="17" s="1"/>
  <c r="Y11" i="17"/>
  <c r="Z11" i="17" s="1"/>
  <c r="Y15" i="17"/>
  <c r="Z15" i="17" s="1"/>
  <c r="Y19" i="17"/>
  <c r="Z19" i="17" s="1"/>
  <c r="Y23" i="17"/>
  <c r="Z23" i="17" s="1"/>
  <c r="Y27" i="17"/>
  <c r="Z27" i="17" s="1"/>
  <c r="Y31" i="17"/>
  <c r="Z31" i="17" s="1"/>
  <c r="Y35" i="17"/>
  <c r="Z35" i="17" s="1"/>
  <c r="Y39" i="17"/>
  <c r="Z39" i="17" s="1"/>
  <c r="Y47" i="17"/>
  <c r="Z47" i="17" s="1"/>
  <c r="Y51" i="17"/>
  <c r="Z51" i="17" s="1"/>
  <c r="Y55" i="17"/>
  <c r="Z55" i="17" s="1"/>
  <c r="Y59" i="17"/>
  <c r="Z59" i="17" s="1"/>
  <c r="Y63" i="17"/>
  <c r="Z63" i="17" s="1"/>
  <c r="Y67" i="17"/>
  <c r="Z67" i="17" s="1"/>
  <c r="Y8" i="17"/>
  <c r="Z8" i="17" s="1"/>
  <c r="Y12" i="17"/>
  <c r="Z12" i="17" s="1"/>
  <c r="Y16" i="17"/>
  <c r="Z16" i="17" s="1"/>
  <c r="Y20" i="17"/>
  <c r="Z20" i="17" s="1"/>
  <c r="Y24" i="17"/>
  <c r="Z24" i="17" s="1"/>
  <c r="Y28" i="17"/>
  <c r="Z28" i="17" s="1"/>
  <c r="Y32" i="17"/>
  <c r="Z32" i="17" s="1"/>
  <c r="Y36" i="17"/>
  <c r="Z36" i="17" s="1"/>
  <c r="Y40" i="17"/>
  <c r="Z40" i="17" s="1"/>
  <c r="Y48" i="17"/>
  <c r="Z48" i="17" s="1"/>
  <c r="Y52" i="17"/>
  <c r="Z52" i="17" s="1"/>
  <c r="Y56" i="17"/>
  <c r="Z56" i="17" s="1"/>
  <c r="Y60" i="17"/>
  <c r="Z60" i="17" s="1"/>
  <c r="Y64" i="17"/>
  <c r="Z64" i="17" s="1"/>
  <c r="Y62" i="17"/>
  <c r="Z62" i="17" s="1"/>
  <c r="Y9" i="17"/>
  <c r="Z9" i="17" s="1"/>
  <c r="Y13" i="17"/>
  <c r="Z13" i="17" s="1"/>
  <c r="Y17" i="17"/>
  <c r="Z17" i="17" s="1"/>
  <c r="Y21" i="17"/>
  <c r="Z21" i="17" s="1"/>
  <c r="Y25" i="17"/>
  <c r="Z25" i="17" s="1"/>
  <c r="Y29" i="17"/>
  <c r="Z29" i="17" s="1"/>
  <c r="Y33" i="17"/>
  <c r="Z33" i="17" s="1"/>
  <c r="Y37" i="17"/>
  <c r="Z37" i="17" s="1"/>
  <c r="Y41" i="17"/>
  <c r="Z41" i="17" s="1"/>
  <c r="Y45" i="17"/>
  <c r="Z45" i="17" s="1"/>
  <c r="Y49" i="17"/>
  <c r="Z49" i="17" s="1"/>
  <c r="Y53" i="17"/>
  <c r="Z53" i="17" s="1"/>
  <c r="Y57" i="17"/>
  <c r="Z57" i="17" s="1"/>
  <c r="Y61" i="17"/>
  <c r="Z61" i="17" s="1"/>
  <c r="Y65" i="17"/>
  <c r="Z65" i="17" s="1"/>
  <c r="Y10" i="17"/>
  <c r="Z10" i="17" s="1"/>
  <c r="Y14" i="17"/>
  <c r="Z14" i="17" s="1"/>
  <c r="Y18" i="17"/>
  <c r="Z18" i="17" s="1"/>
  <c r="Y22" i="17"/>
  <c r="Z22" i="17" s="1"/>
  <c r="Y26" i="17"/>
  <c r="Z26" i="17" s="1"/>
  <c r="Y30" i="17"/>
  <c r="Z30" i="17" s="1"/>
  <c r="Y34" i="17"/>
  <c r="Z34" i="17" s="1"/>
  <c r="Y38" i="17"/>
  <c r="Z38" i="17" s="1"/>
  <c r="Y46" i="17"/>
  <c r="Z46" i="17" s="1"/>
  <c r="Y50" i="17"/>
  <c r="Z50" i="17" s="1"/>
  <c r="Y54" i="17"/>
  <c r="Z54" i="17" s="1"/>
  <c r="Y58" i="17"/>
  <c r="Z58" i="17" s="1"/>
  <c r="Y66" i="17"/>
  <c r="Z66" i="17" s="1"/>
  <c r="AA11" i="17"/>
  <c r="AB11" i="17" s="1"/>
  <c r="AA15" i="17"/>
  <c r="AB15" i="17" s="1"/>
  <c r="AA19" i="17"/>
  <c r="AB19" i="17" s="1"/>
  <c r="AA23" i="17"/>
  <c r="AB23" i="17" s="1"/>
  <c r="AA27" i="17"/>
  <c r="AB27" i="17" s="1"/>
  <c r="AA31" i="17"/>
  <c r="AB31" i="17" s="1"/>
  <c r="AA35" i="17"/>
  <c r="AB35" i="17" s="1"/>
  <c r="AA39" i="17"/>
  <c r="AB39" i="17" s="1"/>
  <c r="AA47" i="17"/>
  <c r="AB47" i="17" s="1"/>
  <c r="AA51" i="17"/>
  <c r="AB51" i="17" s="1"/>
  <c r="AA55" i="17"/>
  <c r="AB55" i="17" s="1"/>
  <c r="AA59" i="17"/>
  <c r="AB59" i="17" s="1"/>
  <c r="AA63" i="17"/>
  <c r="AB63" i="17" s="1"/>
  <c r="AA67" i="17"/>
  <c r="AB67" i="17" s="1"/>
  <c r="AA10" i="17"/>
  <c r="AB10" i="17" s="1"/>
  <c r="AA14" i="17"/>
  <c r="AB14" i="17" s="1"/>
  <c r="AA18" i="17"/>
  <c r="AB18" i="17" s="1"/>
  <c r="AA22" i="17"/>
  <c r="AB22" i="17" s="1"/>
  <c r="AA26" i="17"/>
  <c r="AB26" i="17" s="1"/>
  <c r="AA30" i="17"/>
  <c r="AB30" i="17" s="1"/>
  <c r="AA34" i="17"/>
  <c r="AB34" i="17" s="1"/>
  <c r="AA38" i="17"/>
  <c r="AB38" i="17" s="1"/>
  <c r="AA46" i="17"/>
  <c r="AB46" i="17" s="1"/>
  <c r="AA50" i="17"/>
  <c r="AB50" i="17" s="1"/>
  <c r="AA54" i="17"/>
  <c r="AB54" i="17" s="1"/>
  <c r="AA58" i="17"/>
  <c r="AB58" i="17" s="1"/>
  <c r="AA62" i="17"/>
  <c r="AB62" i="17" s="1"/>
  <c r="AA66" i="17"/>
  <c r="AB66" i="17" s="1"/>
  <c r="AA12" i="17"/>
  <c r="AB12" i="17" s="1"/>
  <c r="AA16" i="17"/>
  <c r="AB16" i="17" s="1"/>
  <c r="AA20" i="17"/>
  <c r="AB20" i="17" s="1"/>
  <c r="AA24" i="17"/>
  <c r="AB24" i="17" s="1"/>
  <c r="AA28" i="17"/>
  <c r="AB28" i="17" s="1"/>
  <c r="AA32" i="17"/>
  <c r="AB32" i="17" s="1"/>
  <c r="AA36" i="17"/>
  <c r="AB36" i="17" s="1"/>
  <c r="AA40" i="17"/>
  <c r="AB40" i="17" s="1"/>
  <c r="AA48" i="17"/>
  <c r="AB48" i="17" s="1"/>
  <c r="AA52" i="17"/>
  <c r="AB52" i="17" s="1"/>
  <c r="AA56" i="17"/>
  <c r="AB56" i="17" s="1"/>
  <c r="AA60" i="17"/>
  <c r="AB60" i="17" s="1"/>
  <c r="AA64" i="17"/>
  <c r="AB64" i="17" s="1"/>
  <c r="AA9" i="17"/>
  <c r="AB9" i="17" s="1"/>
  <c r="AA13" i="17"/>
  <c r="AB13" i="17" s="1"/>
  <c r="AA17" i="17"/>
  <c r="AB17" i="17" s="1"/>
  <c r="AA21" i="17"/>
  <c r="AB21" i="17" s="1"/>
  <c r="AA25" i="17"/>
  <c r="AB25" i="17" s="1"/>
  <c r="AA29" i="17"/>
  <c r="AB29" i="17" s="1"/>
  <c r="AA33" i="17"/>
  <c r="AB33" i="17" s="1"/>
  <c r="AA37" i="17"/>
  <c r="AB37" i="17" s="1"/>
  <c r="AA41" i="17"/>
  <c r="AB41" i="17" s="1"/>
  <c r="AA45" i="17"/>
  <c r="AB45" i="17" s="1"/>
  <c r="AA49" i="17"/>
  <c r="AB49" i="17" s="1"/>
  <c r="AA53" i="17"/>
  <c r="AB53" i="17" s="1"/>
  <c r="AA57" i="17"/>
  <c r="AB57" i="17" s="1"/>
  <c r="AA61" i="17"/>
  <c r="AB61" i="17" s="1"/>
  <c r="AA65" i="17"/>
  <c r="AB65" i="17" s="1"/>
  <c r="C10" i="14"/>
  <c r="C11" i="14"/>
  <c r="C12" i="14"/>
  <c r="C13" i="14"/>
  <c r="C14" i="14"/>
  <c r="C15" i="14"/>
  <c r="C16" i="14"/>
  <c r="C17" i="14"/>
  <c r="C18" i="14"/>
  <c r="C9" i="14"/>
  <c r="E30" i="17" l="1"/>
  <c r="D31" i="17"/>
  <c r="F30" i="17"/>
  <c r="D29" i="17"/>
  <c r="F31" i="17"/>
  <c r="F29" i="17"/>
  <c r="D30" i="17"/>
  <c r="E31" i="17"/>
  <c r="E29" i="17"/>
  <c r="K35" i="17"/>
  <c r="C17" i="12"/>
  <c r="C16" i="12"/>
  <c r="Q24" i="17" l="1"/>
  <c r="Q25" i="17"/>
  <c r="Q22" i="17"/>
  <c r="Q23" i="17"/>
  <c r="U42" i="17"/>
  <c r="V42" i="17" s="1"/>
  <c r="U43" i="17"/>
  <c r="V43" i="17" s="1"/>
  <c r="U44" i="17"/>
  <c r="V44" i="17" s="1"/>
  <c r="E67" i="17"/>
  <c r="M50" i="17"/>
  <c r="H52" i="17"/>
  <c r="S42" i="17"/>
  <c r="T42" i="17" s="1"/>
  <c r="S46" i="17"/>
  <c r="T46" i="17" s="1"/>
  <c r="S43" i="17"/>
  <c r="T43" i="17" s="1"/>
  <c r="S47" i="17"/>
  <c r="T47" i="17" s="1"/>
  <c r="S40" i="17"/>
  <c r="T40" i="17" s="1"/>
  <c r="S44" i="17"/>
  <c r="T44" i="17" s="1"/>
  <c r="S41" i="17"/>
  <c r="T41" i="17" s="1"/>
  <c r="S45" i="17"/>
  <c r="T45" i="17" s="1"/>
  <c r="Q43" i="17"/>
  <c r="R43" i="17" s="1"/>
  <c r="Q44" i="17"/>
  <c r="R44" i="17" s="1"/>
  <c r="Q41" i="17"/>
  <c r="R41" i="17" s="1"/>
  <c r="Q45" i="17"/>
  <c r="R45" i="17" s="1"/>
  <c r="Q42" i="17"/>
  <c r="R42" i="17" s="1"/>
  <c r="Q46" i="17"/>
  <c r="R46" i="17" s="1"/>
  <c r="M49" i="17"/>
  <c r="Q6" i="17"/>
  <c r="Q8" i="17"/>
  <c r="Q12" i="17"/>
  <c r="Q16" i="17"/>
  <c r="Q20" i="17"/>
  <c r="Q28" i="17"/>
  <c r="Q32" i="17"/>
  <c r="Q36" i="17"/>
  <c r="Q40" i="17"/>
  <c r="Q48" i="17"/>
  <c r="Q52" i="17"/>
  <c r="Q56" i="17"/>
  <c r="Q60" i="17"/>
  <c r="Q64" i="17"/>
  <c r="Q9" i="17"/>
  <c r="Q13" i="17"/>
  <c r="Q17" i="17"/>
  <c r="Q21" i="17"/>
  <c r="Q29" i="17"/>
  <c r="Q33" i="17"/>
  <c r="Q37" i="17"/>
  <c r="Q49" i="17"/>
  <c r="Q53" i="17"/>
  <c r="Q57" i="17"/>
  <c r="Q61" i="17"/>
  <c r="Q65" i="17"/>
  <c r="Q31" i="17"/>
  <c r="Q51" i="17"/>
  <c r="Q63" i="17"/>
  <c r="Q10" i="17"/>
  <c r="Q14" i="17"/>
  <c r="Q18" i="17"/>
  <c r="Q26" i="17"/>
  <c r="Q30" i="17"/>
  <c r="Q34" i="17"/>
  <c r="Q38" i="17"/>
  <c r="Q50" i="17"/>
  <c r="Q54" i="17"/>
  <c r="Q58" i="17"/>
  <c r="Q62" i="17"/>
  <c r="Q66" i="17"/>
  <c r="Q11" i="17"/>
  <c r="Q15" i="17"/>
  <c r="Q19" i="17"/>
  <c r="Q27" i="17"/>
  <c r="Q35" i="17"/>
  <c r="Q39" i="17"/>
  <c r="Q47" i="17"/>
  <c r="Q55" i="17"/>
  <c r="Q59" i="17"/>
  <c r="Q67" i="17"/>
  <c r="S6" i="17"/>
  <c r="T6" i="17" s="1"/>
  <c r="S11" i="17"/>
  <c r="T11" i="17" s="1"/>
  <c r="S15" i="17"/>
  <c r="T15" i="17" s="1"/>
  <c r="S19" i="17"/>
  <c r="T19" i="17" s="1"/>
  <c r="S23" i="17"/>
  <c r="T23" i="17" s="1"/>
  <c r="S27" i="17"/>
  <c r="T27" i="17" s="1"/>
  <c r="S31" i="17"/>
  <c r="T31" i="17" s="1"/>
  <c r="S35" i="17"/>
  <c r="T35" i="17" s="1"/>
  <c r="S39" i="17"/>
  <c r="T39" i="17" s="1"/>
  <c r="S51" i="17"/>
  <c r="T51" i="17" s="1"/>
  <c r="S55" i="17"/>
  <c r="T55" i="17" s="1"/>
  <c r="S59" i="17"/>
  <c r="T59" i="17" s="1"/>
  <c r="S63" i="17"/>
  <c r="T63" i="17" s="1"/>
  <c r="S67" i="17"/>
  <c r="T67" i="17" s="1"/>
  <c r="S10" i="17"/>
  <c r="T10" i="17" s="1"/>
  <c r="S14" i="17"/>
  <c r="T14" i="17" s="1"/>
  <c r="S18" i="17"/>
  <c r="T18" i="17" s="1"/>
  <c r="S22" i="17"/>
  <c r="T22" i="17" s="1"/>
  <c r="S30" i="17"/>
  <c r="T30" i="17" s="1"/>
  <c r="S38" i="17"/>
  <c r="T38" i="17" s="1"/>
  <c r="S54" i="17"/>
  <c r="T54" i="17" s="1"/>
  <c r="S62" i="17"/>
  <c r="T62" i="17" s="1"/>
  <c r="S8" i="17"/>
  <c r="T8" i="17" s="1"/>
  <c r="S12" i="17"/>
  <c r="T12" i="17" s="1"/>
  <c r="S16" i="17"/>
  <c r="T16" i="17" s="1"/>
  <c r="S20" i="17"/>
  <c r="T20" i="17" s="1"/>
  <c r="S24" i="17"/>
  <c r="T24" i="17" s="1"/>
  <c r="S28" i="17"/>
  <c r="T28" i="17" s="1"/>
  <c r="S32" i="17"/>
  <c r="T32" i="17" s="1"/>
  <c r="S36" i="17"/>
  <c r="T36" i="17" s="1"/>
  <c r="S48" i="17"/>
  <c r="T48" i="17" s="1"/>
  <c r="S52" i="17"/>
  <c r="T52" i="17" s="1"/>
  <c r="S56" i="17"/>
  <c r="T56" i="17" s="1"/>
  <c r="S60" i="17"/>
  <c r="T60" i="17" s="1"/>
  <c r="S64" i="17"/>
  <c r="T64" i="17" s="1"/>
  <c r="S9" i="17"/>
  <c r="T9" i="17" s="1"/>
  <c r="S13" i="17"/>
  <c r="T13" i="17" s="1"/>
  <c r="S17" i="17"/>
  <c r="T17" i="17" s="1"/>
  <c r="S21" i="17"/>
  <c r="T21" i="17" s="1"/>
  <c r="S25" i="17"/>
  <c r="T25" i="17" s="1"/>
  <c r="S29" i="17"/>
  <c r="T29" i="17" s="1"/>
  <c r="S33" i="17"/>
  <c r="T33" i="17" s="1"/>
  <c r="S37" i="17"/>
  <c r="T37" i="17" s="1"/>
  <c r="S49" i="17"/>
  <c r="T49" i="17" s="1"/>
  <c r="S53" i="17"/>
  <c r="T53" i="17" s="1"/>
  <c r="S57" i="17"/>
  <c r="T57" i="17" s="1"/>
  <c r="S61" i="17"/>
  <c r="T61" i="17" s="1"/>
  <c r="S65" i="17"/>
  <c r="T65" i="17" s="1"/>
  <c r="S26" i="17"/>
  <c r="T26" i="17" s="1"/>
  <c r="S34" i="17"/>
  <c r="T34" i="17" s="1"/>
  <c r="S50" i="17"/>
  <c r="T50" i="17" s="1"/>
  <c r="S58" i="17"/>
  <c r="T58" i="17" s="1"/>
  <c r="S66" i="17"/>
  <c r="T66" i="17" s="1"/>
  <c r="U6" i="17"/>
  <c r="V6" i="17" s="1"/>
  <c r="U11" i="17"/>
  <c r="V11" i="17" s="1"/>
  <c r="U15" i="17"/>
  <c r="V15" i="17" s="1"/>
  <c r="U19" i="17"/>
  <c r="V19" i="17" s="1"/>
  <c r="U23" i="17"/>
  <c r="V23" i="17" s="1"/>
  <c r="U27" i="17"/>
  <c r="V27" i="17" s="1"/>
  <c r="U31" i="17"/>
  <c r="V31" i="17" s="1"/>
  <c r="U35" i="17"/>
  <c r="V35" i="17" s="1"/>
  <c r="U39" i="17"/>
  <c r="V39" i="17" s="1"/>
  <c r="U47" i="17"/>
  <c r="V47" i="17" s="1"/>
  <c r="U51" i="17"/>
  <c r="V51" i="17" s="1"/>
  <c r="U55" i="17"/>
  <c r="V55" i="17" s="1"/>
  <c r="U59" i="17"/>
  <c r="V59" i="17" s="1"/>
  <c r="U63" i="17"/>
  <c r="V63" i="17" s="1"/>
  <c r="U67" i="17"/>
  <c r="V67" i="17" s="1"/>
  <c r="U8" i="17"/>
  <c r="V8" i="17" s="1"/>
  <c r="U12" i="17"/>
  <c r="V12" i="17" s="1"/>
  <c r="U16" i="17"/>
  <c r="V16" i="17" s="1"/>
  <c r="U20" i="17"/>
  <c r="V20" i="17" s="1"/>
  <c r="U24" i="17"/>
  <c r="V24" i="17" s="1"/>
  <c r="U28" i="17"/>
  <c r="V28" i="17" s="1"/>
  <c r="U32" i="17"/>
  <c r="V32" i="17" s="1"/>
  <c r="U36" i="17"/>
  <c r="V36" i="17" s="1"/>
  <c r="U40" i="17"/>
  <c r="V40" i="17" s="1"/>
  <c r="U48" i="17"/>
  <c r="V48" i="17" s="1"/>
  <c r="U52" i="17"/>
  <c r="V52" i="17" s="1"/>
  <c r="U56" i="17"/>
  <c r="V56" i="17" s="1"/>
  <c r="U60" i="17"/>
  <c r="V60" i="17" s="1"/>
  <c r="U64" i="17"/>
  <c r="V64" i="17" s="1"/>
  <c r="U38" i="17"/>
  <c r="V38" i="17" s="1"/>
  <c r="U50" i="17"/>
  <c r="V50" i="17" s="1"/>
  <c r="U58" i="17"/>
  <c r="V58" i="17" s="1"/>
  <c r="U66" i="17"/>
  <c r="V66" i="17" s="1"/>
  <c r="U9" i="17"/>
  <c r="V9" i="17" s="1"/>
  <c r="U13" i="17"/>
  <c r="V13" i="17" s="1"/>
  <c r="U17" i="17"/>
  <c r="V17" i="17" s="1"/>
  <c r="U21" i="17"/>
  <c r="V21" i="17" s="1"/>
  <c r="U25" i="17"/>
  <c r="V25" i="17" s="1"/>
  <c r="U29" i="17"/>
  <c r="V29" i="17" s="1"/>
  <c r="U33" i="17"/>
  <c r="V33" i="17" s="1"/>
  <c r="U37" i="17"/>
  <c r="V37" i="17" s="1"/>
  <c r="U41" i="17"/>
  <c r="V41" i="17" s="1"/>
  <c r="U45" i="17"/>
  <c r="V45" i="17" s="1"/>
  <c r="U49" i="17"/>
  <c r="V49" i="17" s="1"/>
  <c r="U53" i="17"/>
  <c r="V53" i="17" s="1"/>
  <c r="U57" i="17"/>
  <c r="V57" i="17" s="1"/>
  <c r="U61" i="17"/>
  <c r="V61" i="17" s="1"/>
  <c r="U65" i="17"/>
  <c r="V65" i="17" s="1"/>
  <c r="U10" i="17"/>
  <c r="V10" i="17" s="1"/>
  <c r="U14" i="17"/>
  <c r="V14" i="17" s="1"/>
  <c r="U18" i="17"/>
  <c r="V18" i="17" s="1"/>
  <c r="U22" i="17"/>
  <c r="V22" i="17" s="1"/>
  <c r="U26" i="17"/>
  <c r="V26" i="17" s="1"/>
  <c r="U30" i="17"/>
  <c r="V30" i="17" s="1"/>
  <c r="U34" i="17"/>
  <c r="V34" i="17" s="1"/>
  <c r="U46" i="17"/>
  <c r="V46" i="17" s="1"/>
  <c r="U54" i="17"/>
  <c r="V54" i="17" s="1"/>
  <c r="U62" i="17"/>
  <c r="V62" i="17" s="1"/>
  <c r="K34" i="17"/>
  <c r="C50" i="17"/>
  <c r="G52" i="17"/>
  <c r="L66" i="17"/>
  <c r="P39" i="12"/>
  <c r="T39" i="12" s="1"/>
  <c r="P38" i="12"/>
  <c r="T38" i="12" s="1"/>
  <c r="P37" i="12"/>
  <c r="S37" i="12" s="1"/>
  <c r="P36" i="12"/>
  <c r="P35" i="12"/>
  <c r="T35" i="12" s="1"/>
  <c r="P34" i="12"/>
  <c r="V33" i="12"/>
  <c r="Q29" i="12" s="1"/>
  <c r="P33" i="12"/>
  <c r="T33" i="12" s="1"/>
  <c r="V32" i="12"/>
  <c r="Q13" i="12"/>
  <c r="Q12" i="12"/>
  <c r="C94" i="16"/>
  <c r="C93" i="16"/>
  <c r="C92" i="16"/>
  <c r="C91" i="16"/>
  <c r="C90" i="16"/>
  <c r="C89" i="16"/>
  <c r="F67" i="17" l="1"/>
  <c r="G67" i="17" s="1"/>
  <c r="D50" i="17"/>
  <c r="J44" i="17"/>
  <c r="L44" i="17" s="1"/>
  <c r="Q72" i="17"/>
  <c r="Q73" i="17" s="1"/>
  <c r="K36" i="17"/>
  <c r="H50" i="17"/>
  <c r="D43" i="17"/>
  <c r="Q34" i="12"/>
  <c r="R34" i="12" s="1"/>
  <c r="S38" i="12"/>
  <c r="Q14" i="12"/>
  <c r="Q37" i="12"/>
  <c r="R37" i="12" s="1"/>
  <c r="Q33" i="12"/>
  <c r="R33" i="12" s="1"/>
  <c r="Q36" i="12"/>
  <c r="R36" i="12" s="1"/>
  <c r="S33" i="12"/>
  <c r="Q39" i="12"/>
  <c r="R39" i="12" s="1"/>
  <c r="Q35" i="12"/>
  <c r="R35" i="12" s="1"/>
  <c r="S35" i="12"/>
  <c r="S39" i="12"/>
  <c r="Q38" i="12"/>
  <c r="R38" i="12" s="1"/>
  <c r="T37" i="12"/>
  <c r="S34" i="12"/>
  <c r="S36" i="12"/>
  <c r="T34" i="12"/>
  <c r="T36" i="12"/>
  <c r="D78" i="16"/>
  <c r="D90" i="16"/>
  <c r="D91" i="16"/>
  <c r="D92" i="16"/>
  <c r="D93" i="16"/>
  <c r="D94" i="16"/>
  <c r="D95" i="16"/>
  <c r="G68" i="17" l="1"/>
  <c r="I68" i="17" s="1"/>
  <c r="M68" i="17" s="1"/>
  <c r="K49" i="17" s="1"/>
  <c r="I67" i="17"/>
  <c r="L67" i="17"/>
  <c r="M44" i="17"/>
  <c r="R40" i="12"/>
  <c r="V35" i="12" s="1"/>
  <c r="S40" i="12"/>
  <c r="T40" i="12"/>
  <c r="V34" i="12" s="1"/>
  <c r="D89" i="16"/>
  <c r="D83" i="16"/>
  <c r="D87" i="16"/>
  <c r="D85" i="16"/>
  <c r="D88" i="16"/>
  <c r="D79" i="16"/>
  <c r="D81" i="16"/>
  <c r="D84" i="16"/>
  <c r="D80" i="16"/>
  <c r="D82" i="16"/>
  <c r="D86" i="16"/>
  <c r="J67" i="17" l="1"/>
  <c r="D42" i="17" s="1"/>
  <c r="D44" i="17" s="1"/>
  <c r="M67" i="17"/>
  <c r="L68" i="17"/>
  <c r="Q28" i="12"/>
  <c r="Q30" i="12" s="1"/>
  <c r="F36" i="4"/>
  <c r="G36" i="4"/>
  <c r="H36" i="4"/>
  <c r="I36" i="4"/>
  <c r="J36" i="4"/>
  <c r="K36" i="4"/>
  <c r="E36" i="4"/>
  <c r="K35" i="4"/>
  <c r="M66" i="17" l="1"/>
  <c r="N49" i="17"/>
  <c r="E50" i="17" l="1"/>
  <c r="R6" i="17"/>
  <c r="R8" i="17"/>
  <c r="R12" i="17"/>
  <c r="R16" i="17"/>
  <c r="R20" i="17"/>
  <c r="R24" i="17"/>
  <c r="R28" i="17"/>
  <c r="R32" i="17"/>
  <c r="R36" i="17"/>
  <c r="R40" i="17"/>
  <c r="R48" i="17"/>
  <c r="R52" i="17"/>
  <c r="R56" i="17"/>
  <c r="R60" i="17"/>
  <c r="R64" i="17"/>
  <c r="R9" i="17"/>
  <c r="R13" i="17"/>
  <c r="R17" i="17"/>
  <c r="R21" i="17"/>
  <c r="R25" i="17"/>
  <c r="R29" i="17"/>
  <c r="R33" i="17"/>
  <c r="R37" i="17"/>
  <c r="R49" i="17"/>
  <c r="R53" i="17"/>
  <c r="R57" i="17"/>
  <c r="R61" i="17"/>
  <c r="R65" i="17"/>
  <c r="R10" i="17"/>
  <c r="R14" i="17"/>
  <c r="R18" i="17"/>
  <c r="R22" i="17"/>
  <c r="R26" i="17"/>
  <c r="R30" i="17"/>
  <c r="R34" i="17"/>
  <c r="R38" i="17"/>
  <c r="R50" i="17"/>
  <c r="R54" i="17"/>
  <c r="R58" i="17"/>
  <c r="R62" i="17"/>
  <c r="R66" i="17"/>
  <c r="R11" i="17"/>
  <c r="R15" i="17"/>
  <c r="R19" i="17"/>
  <c r="R23" i="17"/>
  <c r="R27" i="17"/>
  <c r="R31" i="17"/>
  <c r="R35" i="17"/>
  <c r="R39" i="17"/>
  <c r="R47" i="17"/>
  <c r="R51" i="17"/>
  <c r="R55" i="17"/>
  <c r="R59" i="17"/>
  <c r="R63" i="17"/>
  <c r="R67" i="17"/>
  <c r="K50" i="17"/>
  <c r="G50" i="17" l="1"/>
  <c r="N50" i="17"/>
  <c r="I20" i="1"/>
  <c r="R118" i="16"/>
  <c r="Z118" i="16" s="1"/>
  <c r="R117" i="16"/>
  <c r="X117" i="16" s="1"/>
  <c r="R116" i="16"/>
  <c r="Z116" i="16" s="1"/>
  <c r="R115" i="16"/>
  <c r="X115" i="16" s="1"/>
  <c r="R114" i="16"/>
  <c r="Z114" i="16" s="1"/>
  <c r="R113" i="16"/>
  <c r="V113" i="16" s="1"/>
  <c r="R112" i="16"/>
  <c r="Z112" i="16" s="1"/>
  <c r="R111" i="16"/>
  <c r="V111" i="16" s="1"/>
  <c r="R110" i="16"/>
  <c r="Z110" i="16" s="1"/>
  <c r="R109" i="16"/>
  <c r="X109" i="16" s="1"/>
  <c r="W87" i="16"/>
  <c r="W86" i="16"/>
  <c r="W85" i="16"/>
  <c r="W84" i="16"/>
  <c r="W83" i="16"/>
  <c r="W82" i="16"/>
  <c r="W81" i="16"/>
  <c r="AZ54" i="16"/>
  <c r="AZ55" i="16"/>
  <c r="AZ56" i="16"/>
  <c r="AZ57" i="16"/>
  <c r="AZ58" i="16"/>
  <c r="C68" i="1" l="1"/>
  <c r="C70" i="1"/>
  <c r="Q14" i="1"/>
  <c r="Q11" i="1"/>
  <c r="P17" i="1"/>
  <c r="P14" i="1"/>
  <c r="P11" i="1"/>
  <c r="O17" i="1"/>
  <c r="O14" i="1"/>
  <c r="O11" i="1"/>
  <c r="N17" i="1"/>
  <c r="N14" i="1"/>
  <c r="N11" i="1"/>
  <c r="R14" i="1"/>
  <c r="Q17" i="1"/>
  <c r="R17" i="1"/>
  <c r="S17" i="1"/>
  <c r="R11" i="1"/>
  <c r="S11" i="1"/>
  <c r="S14" i="1"/>
  <c r="R71" i="17"/>
  <c r="R73" i="17" s="1"/>
  <c r="R75" i="17" s="1"/>
  <c r="R77" i="17" s="1"/>
  <c r="W110" i="16"/>
  <c r="Y112" i="16"/>
  <c r="U110" i="16"/>
  <c r="T112" i="16"/>
  <c r="S114" i="16"/>
  <c r="U114" i="16"/>
  <c r="S116" i="16"/>
  <c r="S110" i="16"/>
  <c r="W114" i="16"/>
  <c r="U116" i="16"/>
  <c r="S118" i="16"/>
  <c r="X116" i="16"/>
  <c r="W118" i="16"/>
  <c r="W112" i="16"/>
  <c r="Y110" i="16"/>
  <c r="S112" i="16"/>
  <c r="X112" i="16"/>
  <c r="Y114" i="16"/>
  <c r="T116" i="16"/>
  <c r="Y116" i="16"/>
  <c r="U118" i="16"/>
  <c r="U112" i="16"/>
  <c r="W116" i="16"/>
  <c r="Y118" i="16"/>
  <c r="V109" i="16"/>
  <c r="Y111" i="16"/>
  <c r="U111" i="16"/>
  <c r="W111" i="16"/>
  <c r="S111" i="16"/>
  <c r="Z111" i="16"/>
  <c r="W113" i="16"/>
  <c r="S113" i="16"/>
  <c r="Y113" i="16"/>
  <c r="U113" i="16"/>
  <c r="Z113" i="16"/>
  <c r="V115" i="16"/>
  <c r="V117" i="16"/>
  <c r="T111" i="16"/>
  <c r="T113" i="16"/>
  <c r="W109" i="16"/>
  <c r="S109" i="16"/>
  <c r="Y109" i="16"/>
  <c r="U109" i="16"/>
  <c r="Z109" i="16"/>
  <c r="Y115" i="16"/>
  <c r="U115" i="16"/>
  <c r="W115" i="16"/>
  <c r="S115" i="16"/>
  <c r="Z115" i="16"/>
  <c r="W117" i="16"/>
  <c r="S117" i="16"/>
  <c r="Y117" i="16"/>
  <c r="U117" i="16"/>
  <c r="Z117" i="16"/>
  <c r="T109" i="16"/>
  <c r="X111" i="16"/>
  <c r="X113" i="16"/>
  <c r="T115" i="16"/>
  <c r="T117" i="16"/>
  <c r="T110" i="16"/>
  <c r="X110" i="16"/>
  <c r="V112" i="16"/>
  <c r="T114" i="16"/>
  <c r="X114" i="16"/>
  <c r="V116" i="16"/>
  <c r="T118" i="16"/>
  <c r="X118" i="16"/>
  <c r="V110" i="16"/>
  <c r="V114" i="16"/>
  <c r="V118" i="16"/>
  <c r="W14" i="1" l="1"/>
  <c r="W17" i="1"/>
  <c r="W11" i="1"/>
  <c r="Q19" i="1"/>
  <c r="S19" i="1"/>
  <c r="P19" i="1"/>
  <c r="R19" i="1"/>
  <c r="O19" i="1"/>
  <c r="N19" i="1"/>
  <c r="C71" i="1"/>
  <c r="C69" i="1"/>
  <c r="J5" i="16"/>
  <c r="F19" i="16" s="1"/>
  <c r="F7" i="16"/>
  <c r="D57" i="16"/>
  <c r="D65" i="16"/>
  <c r="D62" i="16"/>
  <c r="D73" i="16"/>
  <c r="D77" i="16"/>
  <c r="D72" i="16"/>
  <c r="D76" i="16"/>
  <c r="D60" i="16"/>
  <c r="D64" i="16"/>
  <c r="D68" i="16"/>
  <c r="D75" i="16"/>
  <c r="D71" i="16"/>
  <c r="D61" i="16"/>
  <c r="D69" i="16"/>
  <c r="D58" i="16"/>
  <c r="D66" i="16"/>
  <c r="D70" i="16"/>
  <c r="C59" i="16"/>
  <c r="N66" i="16" s="1"/>
  <c r="D59" i="16"/>
  <c r="C63" i="16"/>
  <c r="N70" i="16" s="1"/>
  <c r="D63" i="16"/>
  <c r="D67" i="16"/>
  <c r="D74" i="16"/>
  <c r="D56" i="16"/>
  <c r="F21" i="16" s="1"/>
  <c r="C73" i="16"/>
  <c r="N80" i="16" s="1"/>
  <c r="C77" i="16"/>
  <c r="N84" i="16" s="1"/>
  <c r="C81" i="16"/>
  <c r="C85" i="16"/>
  <c r="N96" i="16"/>
  <c r="N100" i="16"/>
  <c r="C72" i="16"/>
  <c r="N79" i="16" s="1"/>
  <c r="C76" i="16"/>
  <c r="N83" i="16" s="1"/>
  <c r="C80" i="16"/>
  <c r="C84" i="16"/>
  <c r="C88" i="16"/>
  <c r="N95" i="16" s="1"/>
  <c r="N99" i="16"/>
  <c r="C60" i="16"/>
  <c r="N67" i="16" s="1"/>
  <c r="C64" i="16"/>
  <c r="N71" i="16" s="1"/>
  <c r="C68" i="16"/>
  <c r="N75" i="16" s="1"/>
  <c r="N101" i="16"/>
  <c r="C78" i="16"/>
  <c r="C83" i="16"/>
  <c r="C57" i="16"/>
  <c r="N64" i="16" s="1"/>
  <c r="C61" i="16"/>
  <c r="N68" i="16" s="1"/>
  <c r="C65" i="16"/>
  <c r="N72" i="16" s="1"/>
  <c r="C69" i="16"/>
  <c r="N76" i="16" s="1"/>
  <c r="N97" i="16"/>
  <c r="C74" i="16"/>
  <c r="N81" i="16" s="1"/>
  <c r="C79" i="16"/>
  <c r="C58" i="16"/>
  <c r="N65" i="16" s="1"/>
  <c r="C62" i="16"/>
  <c r="N69" i="16" s="1"/>
  <c r="C66" i="16"/>
  <c r="N73" i="16" s="1"/>
  <c r="C70" i="16"/>
  <c r="N77" i="16" s="1"/>
  <c r="C86" i="16"/>
  <c r="N93" i="16" s="1"/>
  <c r="C95" i="16"/>
  <c r="N102" i="16" s="1"/>
  <c r="C75" i="16"/>
  <c r="N82" i="16" s="1"/>
  <c r="C67" i="16"/>
  <c r="N74" i="16" s="1"/>
  <c r="C87" i="16"/>
  <c r="N94" i="16" s="1"/>
  <c r="C82" i="16"/>
  <c r="N98" i="16"/>
  <c r="C71" i="16"/>
  <c r="N78" i="16" s="1"/>
  <c r="C56" i="16"/>
  <c r="W19" i="1" l="1"/>
  <c r="F22" i="16"/>
  <c r="F20" i="16"/>
  <c r="E77" i="16"/>
  <c r="N92" i="16"/>
  <c r="E12" i="16"/>
  <c r="N91" i="16"/>
  <c r="N90" i="16"/>
  <c r="N89" i="16"/>
  <c r="N88" i="16"/>
  <c r="E76" i="16"/>
  <c r="N87" i="16"/>
  <c r="N86" i="16"/>
  <c r="N85" i="16"/>
  <c r="X63" i="16"/>
  <c r="N63" i="16"/>
  <c r="X62" i="16"/>
  <c r="X70" i="16" s="1"/>
  <c r="AY53" i="16"/>
  <c r="AZ53" i="16" s="1"/>
  <c r="X61" i="16"/>
  <c r="E57" i="16"/>
  <c r="E56" i="16"/>
  <c r="E73" i="16"/>
  <c r="E71" i="16"/>
  <c r="E70" i="16"/>
  <c r="E75" i="16"/>
  <c r="E74" i="16"/>
  <c r="E72" i="16"/>
  <c r="AX52" i="16"/>
  <c r="AY52" i="16"/>
  <c r="AW52" i="16"/>
  <c r="AV51" i="16"/>
  <c r="AW51" i="16"/>
  <c r="AX51" i="16"/>
  <c r="AU51" i="16"/>
  <c r="AY51" i="16"/>
  <c r="AT50" i="16"/>
  <c r="AX50" i="16"/>
  <c r="AU50" i="16"/>
  <c r="AY50" i="16"/>
  <c r="AV50" i="16"/>
  <c r="AS50" i="16"/>
  <c r="AW50" i="16"/>
  <c r="AR48" i="16"/>
  <c r="AV48" i="16"/>
  <c r="AQ49" i="16"/>
  <c r="AU49" i="16"/>
  <c r="AY49" i="16"/>
  <c r="AS48" i="16"/>
  <c r="AW48" i="16"/>
  <c r="AR49" i="16"/>
  <c r="AV49" i="16"/>
  <c r="AT48" i="16"/>
  <c r="AX48" i="16"/>
  <c r="AS49" i="16"/>
  <c r="AW49" i="16"/>
  <c r="AQ48" i="16"/>
  <c r="AU48" i="16"/>
  <c r="AY48" i="16"/>
  <c r="AT49" i="16"/>
  <c r="AX49" i="16"/>
  <c r="AP34" i="16"/>
  <c r="AT34" i="16"/>
  <c r="AX34" i="16"/>
  <c r="AR35" i="16"/>
  <c r="AV35" i="16"/>
  <c r="AP36" i="16"/>
  <c r="AT36" i="16"/>
  <c r="AX36" i="16"/>
  <c r="AR37" i="16"/>
  <c r="AV37" i="16"/>
  <c r="AP38" i="16"/>
  <c r="AT38" i="16"/>
  <c r="AX38" i="16"/>
  <c r="AR39" i="16"/>
  <c r="AV39" i="16"/>
  <c r="AP40" i="16"/>
  <c r="AT40" i="16"/>
  <c r="AX40" i="16"/>
  <c r="AR41" i="16"/>
  <c r="AV41" i="16"/>
  <c r="AP42" i="16"/>
  <c r="AT42" i="16"/>
  <c r="AX42" i="16"/>
  <c r="AR43" i="16"/>
  <c r="AV43" i="16"/>
  <c r="AP44" i="16"/>
  <c r="AT44" i="16"/>
  <c r="AX44" i="16"/>
  <c r="AR45" i="16"/>
  <c r="AV45" i="16"/>
  <c r="AP46" i="16"/>
  <c r="AT46" i="16"/>
  <c r="AX46" i="16"/>
  <c r="AR47" i="16"/>
  <c r="AV47" i="16"/>
  <c r="AP48" i="16"/>
  <c r="AQ34" i="16"/>
  <c r="AU34" i="16"/>
  <c r="AY34" i="16"/>
  <c r="AS35" i="16"/>
  <c r="AW35" i="16"/>
  <c r="AQ36" i="16"/>
  <c r="AU36" i="16"/>
  <c r="AY36" i="16"/>
  <c r="AS37" i="16"/>
  <c r="AW37" i="16"/>
  <c r="AQ38" i="16"/>
  <c r="AU38" i="16"/>
  <c r="AY38" i="16"/>
  <c r="AS39" i="16"/>
  <c r="AW39" i="16"/>
  <c r="AQ40" i="16"/>
  <c r="AU40" i="16"/>
  <c r="AY40" i="16"/>
  <c r="AS41" i="16"/>
  <c r="AW41" i="16"/>
  <c r="AQ42" i="16"/>
  <c r="AU42" i="16"/>
  <c r="AY42" i="16"/>
  <c r="AS43" i="16"/>
  <c r="AW43" i="16"/>
  <c r="AQ44" i="16"/>
  <c r="AU44" i="16"/>
  <c r="AY44" i="16"/>
  <c r="AS45" i="16"/>
  <c r="AW45" i="16"/>
  <c r="AQ46" i="16"/>
  <c r="AU46" i="16"/>
  <c r="AY46" i="16"/>
  <c r="AS47" i="16"/>
  <c r="AW47" i="16"/>
  <c r="AR34" i="16"/>
  <c r="AV34" i="16"/>
  <c r="AP35" i="16"/>
  <c r="AT35" i="16"/>
  <c r="AX35" i="16"/>
  <c r="AR36" i="16"/>
  <c r="AV36" i="16"/>
  <c r="AP37" i="16"/>
  <c r="AT37" i="16"/>
  <c r="AX37" i="16"/>
  <c r="AR38" i="16"/>
  <c r="AV38" i="16"/>
  <c r="AP39" i="16"/>
  <c r="AT39" i="16"/>
  <c r="AX39" i="16"/>
  <c r="AR40" i="16"/>
  <c r="AV40" i="16"/>
  <c r="AP41" i="16"/>
  <c r="AT41" i="16"/>
  <c r="AX41" i="16"/>
  <c r="AR42" i="16"/>
  <c r="AV42" i="16"/>
  <c r="AP43" i="16"/>
  <c r="AT43" i="16"/>
  <c r="AX43" i="16"/>
  <c r="AR44" i="16"/>
  <c r="AV44" i="16"/>
  <c r="AP45" i="16"/>
  <c r="AT45" i="16"/>
  <c r="AX45" i="16"/>
  <c r="AR46" i="16"/>
  <c r="AV46" i="16"/>
  <c r="AP47" i="16"/>
  <c r="AT47" i="16"/>
  <c r="AX47" i="16"/>
  <c r="AS34" i="16"/>
  <c r="AW34" i="16"/>
  <c r="AQ35" i="16"/>
  <c r="AU35" i="16"/>
  <c r="AY35" i="16"/>
  <c r="AS36" i="16"/>
  <c r="AW36" i="16"/>
  <c r="AQ37" i="16"/>
  <c r="AU37" i="16"/>
  <c r="AY37" i="16"/>
  <c r="AW38" i="16"/>
  <c r="AS40" i="16"/>
  <c r="AY41" i="16"/>
  <c r="AU43" i="16"/>
  <c r="AQ45" i="16"/>
  <c r="AW46" i="16"/>
  <c r="AQ39" i="16"/>
  <c r="AW40" i="16"/>
  <c r="AS42" i="16"/>
  <c r="AY43" i="16"/>
  <c r="AU45" i="16"/>
  <c r="AQ47" i="16"/>
  <c r="AU39" i="16"/>
  <c r="AQ41" i="16"/>
  <c r="AW42" i="16"/>
  <c r="AS44" i="16"/>
  <c r="AY45" i="16"/>
  <c r="AU47" i="16"/>
  <c r="AS38" i="16"/>
  <c r="AY39" i="16"/>
  <c r="AU41" i="16"/>
  <c r="AQ43" i="16"/>
  <c r="AW44" i="16"/>
  <c r="AS46" i="16"/>
  <c r="AY47" i="16"/>
  <c r="BM43" i="16"/>
  <c r="BM44" i="16"/>
  <c r="BM40" i="16"/>
  <c r="BM41" i="16"/>
  <c r="BM42" i="16"/>
  <c r="BM38" i="16"/>
  <c r="BM37" i="16"/>
  <c r="BM39" i="16"/>
  <c r="BM35" i="16"/>
  <c r="BM36" i="16"/>
  <c r="AO35" i="16"/>
  <c r="BM7" i="16"/>
  <c r="M34" i="16"/>
  <c r="AO34" i="16"/>
  <c r="BM10" i="16"/>
  <c r="BM14" i="16"/>
  <c r="BM18" i="16"/>
  <c r="BM22" i="16"/>
  <c r="BM26" i="16"/>
  <c r="BM30" i="16"/>
  <c r="BM34" i="16"/>
  <c r="BM11" i="16"/>
  <c r="BM15" i="16"/>
  <c r="BM19" i="16"/>
  <c r="BM23" i="16"/>
  <c r="BM27" i="16"/>
  <c r="BM31" i="16"/>
  <c r="BM8" i="16"/>
  <c r="BM12" i="16"/>
  <c r="BM16" i="16"/>
  <c r="BM20" i="16"/>
  <c r="BM24" i="16"/>
  <c r="BM28" i="16"/>
  <c r="BM32" i="16"/>
  <c r="BM9" i="16"/>
  <c r="BM13" i="16"/>
  <c r="BM17" i="16"/>
  <c r="BM21" i="16"/>
  <c r="BM25" i="16"/>
  <c r="BM29" i="16"/>
  <c r="BM33" i="16"/>
  <c r="Q35" i="16"/>
  <c r="U35" i="16"/>
  <c r="Y35" i="16"/>
  <c r="AC35" i="16"/>
  <c r="AG35" i="16"/>
  <c r="AK35" i="16"/>
  <c r="T36" i="16"/>
  <c r="X36" i="16"/>
  <c r="AB36" i="16"/>
  <c r="AF36" i="16"/>
  <c r="AJ36" i="16"/>
  <c r="AN36" i="16"/>
  <c r="S37" i="16"/>
  <c r="W37" i="16"/>
  <c r="AA37" i="16"/>
  <c r="AE37" i="16"/>
  <c r="AI37" i="16"/>
  <c r="AM37" i="16"/>
  <c r="V38" i="16"/>
  <c r="Z38" i="16"/>
  <c r="AD38" i="16"/>
  <c r="AH38" i="16"/>
  <c r="AL38" i="16"/>
  <c r="Y39" i="16"/>
  <c r="AC39" i="16"/>
  <c r="AG39" i="16"/>
  <c r="AK39" i="16"/>
  <c r="AO39" i="16"/>
  <c r="AB40" i="16"/>
  <c r="AF40" i="16"/>
  <c r="AJ40" i="16"/>
  <c r="AN40" i="16"/>
  <c r="AA41" i="16"/>
  <c r="AE41" i="16"/>
  <c r="AI41" i="16"/>
  <c r="AM41" i="16"/>
  <c r="AD42" i="16"/>
  <c r="AH42" i="16"/>
  <c r="AL42" i="16"/>
  <c r="AG43" i="16"/>
  <c r="AK43" i="16"/>
  <c r="AO43" i="16"/>
  <c r="AJ44" i="16"/>
  <c r="AN44" i="16"/>
  <c r="AI45" i="16"/>
  <c r="AM45" i="16"/>
  <c r="P35" i="16"/>
  <c r="T35" i="16"/>
  <c r="X35" i="16"/>
  <c r="AB35" i="16"/>
  <c r="AF35" i="16"/>
  <c r="AJ35" i="16"/>
  <c r="AN35" i="16"/>
  <c r="S36" i="16"/>
  <c r="W36" i="16"/>
  <c r="AA36" i="16"/>
  <c r="AE36" i="16"/>
  <c r="AI36" i="16"/>
  <c r="AM36" i="16"/>
  <c r="V37" i="16"/>
  <c r="Z37" i="16"/>
  <c r="AD37" i="16"/>
  <c r="AH37" i="16"/>
  <c r="AL37" i="16"/>
  <c r="U38" i="16"/>
  <c r="Y38" i="16"/>
  <c r="AC38" i="16"/>
  <c r="AG38" i="16"/>
  <c r="AK38" i="16"/>
  <c r="AO38" i="16"/>
  <c r="X39" i="16"/>
  <c r="AB39" i="16"/>
  <c r="AF39" i="16"/>
  <c r="AJ39" i="16"/>
  <c r="AN39" i="16"/>
  <c r="AA40" i="16"/>
  <c r="AE40" i="16"/>
  <c r="AI40" i="16"/>
  <c r="AM40" i="16"/>
  <c r="AD41" i="16"/>
  <c r="AH41" i="16"/>
  <c r="AL41" i="16"/>
  <c r="AC42" i="16"/>
  <c r="AG42" i="16"/>
  <c r="AK42" i="16"/>
  <c r="AO42" i="16"/>
  <c r="AF43" i="16"/>
  <c r="AJ43" i="16"/>
  <c r="AN43" i="16"/>
  <c r="AI44" i="16"/>
  <c r="AM44" i="16"/>
  <c r="AL45" i="16"/>
  <c r="V35" i="16"/>
  <c r="AD35" i="16"/>
  <c r="AL35" i="16"/>
  <c r="Q36" i="16"/>
  <c r="Y36" i="16"/>
  <c r="AG36" i="16"/>
  <c r="AO36" i="16"/>
  <c r="T37" i="16"/>
  <c r="AB37" i="16"/>
  <c r="AJ37" i="16"/>
  <c r="W38" i="16"/>
  <c r="AE38" i="16"/>
  <c r="AM38" i="16"/>
  <c r="Z39" i="16"/>
  <c r="AH39" i="16"/>
  <c r="AC40" i="16"/>
  <c r="AK40" i="16"/>
  <c r="AF41" i="16"/>
  <c r="AN41" i="16"/>
  <c r="AI42" i="16"/>
  <c r="AL43" i="16"/>
  <c r="AG44" i="16"/>
  <c r="AO44" i="16"/>
  <c r="AJ45" i="16"/>
  <c r="AN46" i="16"/>
  <c r="AM47" i="16"/>
  <c r="O35" i="16"/>
  <c r="W35" i="16"/>
  <c r="AE35" i="16"/>
  <c r="AM35" i="16"/>
  <c r="R36" i="16"/>
  <c r="Z36" i="16"/>
  <c r="AH36" i="16"/>
  <c r="AC37" i="16"/>
  <c r="AK37" i="16"/>
  <c r="X38" i="16"/>
  <c r="AF38" i="16"/>
  <c r="AI39" i="16"/>
  <c r="AL40" i="16"/>
  <c r="AO41" i="16"/>
  <c r="AE43" i="16"/>
  <c r="AH44" i="16"/>
  <c r="AK45" i="16"/>
  <c r="AK46" i="16"/>
  <c r="AN47" i="16"/>
  <c r="Z35" i="16"/>
  <c r="AH35" i="16"/>
  <c r="AC36" i="16"/>
  <c r="S35" i="16"/>
  <c r="AA35" i="16"/>
  <c r="AI35" i="16"/>
  <c r="V36" i="16"/>
  <c r="AD36" i="16"/>
  <c r="AL36" i="16"/>
  <c r="Y37" i="16"/>
  <c r="AG37" i="16"/>
  <c r="AO37" i="16"/>
  <c r="AB38" i="16"/>
  <c r="AJ38" i="16"/>
  <c r="W39" i="16"/>
  <c r="AE39" i="16"/>
  <c r="AM39" i="16"/>
  <c r="Z40" i="16"/>
  <c r="AH40" i="16"/>
  <c r="AC41" i="16"/>
  <c r="AK41" i="16"/>
  <c r="AF42" i="16"/>
  <c r="AN42" i="16"/>
  <c r="AI43" i="16"/>
  <c r="AL44" i="16"/>
  <c r="AO45" i="16"/>
  <c r="AM46" i="16"/>
  <c r="AO48" i="16"/>
  <c r="U37" i="16"/>
  <c r="AN38" i="16"/>
  <c r="AA39" i="16"/>
  <c r="AD40" i="16"/>
  <c r="AG41" i="16"/>
  <c r="AJ42" i="16"/>
  <c r="AM43" i="16"/>
  <c r="AO46" i="16"/>
  <c r="R35" i="16"/>
  <c r="U36" i="16"/>
  <c r="AK36" i="16"/>
  <c r="AN37" i="16"/>
  <c r="Y40" i="16"/>
  <c r="AB41" i="16"/>
  <c r="AE42" i="16"/>
  <c r="AH43" i="16"/>
  <c r="AK44" i="16"/>
  <c r="AN45" i="16"/>
  <c r="AL46" i="16"/>
  <c r="AO47" i="16"/>
  <c r="X37" i="16"/>
  <c r="AD39" i="16"/>
  <c r="AJ41" i="16"/>
  <c r="AF37" i="16"/>
  <c r="AI38" i="16"/>
  <c r="AL39" i="16"/>
  <c r="AO40" i="16"/>
  <c r="AA38" i="16"/>
  <c r="AG40" i="16"/>
  <c r="AM42" i="16"/>
  <c r="N34" i="16"/>
  <c r="R34" i="16"/>
  <c r="V34" i="16"/>
  <c r="Z34" i="16"/>
  <c r="AD34" i="16"/>
  <c r="AH34" i="16"/>
  <c r="AL34" i="16"/>
  <c r="U34" i="16"/>
  <c r="AC34" i="16"/>
  <c r="AK34" i="16"/>
  <c r="O34" i="16"/>
  <c r="S34" i="16"/>
  <c r="W34" i="16"/>
  <c r="AA34" i="16"/>
  <c r="AE34" i="16"/>
  <c r="AI34" i="16"/>
  <c r="AM34" i="16"/>
  <c r="P34" i="16"/>
  <c r="T34" i="16"/>
  <c r="X34" i="16"/>
  <c r="AB34" i="16"/>
  <c r="AF34" i="16"/>
  <c r="AJ34" i="16"/>
  <c r="AN34" i="16"/>
  <c r="Q34" i="16"/>
  <c r="Y34" i="16"/>
  <c r="AG34" i="16"/>
  <c r="F75" i="16" l="1"/>
  <c r="G75" i="16" s="1"/>
  <c r="X65" i="16"/>
  <c r="X64" i="16"/>
  <c r="AZ48" i="16"/>
  <c r="AZ43" i="16"/>
  <c r="AZ38" i="16"/>
  <c r="AZ45" i="16"/>
  <c r="AZ41" i="16"/>
  <c r="AZ37" i="16"/>
  <c r="AZ39" i="16"/>
  <c r="AZ46" i="16"/>
  <c r="AZ36" i="16"/>
  <c r="AZ51" i="16"/>
  <c r="F73" i="16" s="1"/>
  <c r="G73" i="16" s="1"/>
  <c r="AZ52" i="16"/>
  <c r="F74" i="16" s="1"/>
  <c r="G74" i="16" s="1"/>
  <c r="AZ35" i="16"/>
  <c r="F57" i="16" s="1"/>
  <c r="AZ42" i="16"/>
  <c r="AZ49" i="16"/>
  <c r="F71" i="16" s="1"/>
  <c r="G71" i="16" s="1"/>
  <c r="AZ50" i="16"/>
  <c r="F72" i="16" s="1"/>
  <c r="G72" i="16" s="1"/>
  <c r="AZ40" i="16"/>
  <c r="AZ47" i="16"/>
  <c r="AZ44" i="16"/>
  <c r="AZ34" i="16"/>
  <c r="F56" i="16" s="1"/>
  <c r="BM45" i="16"/>
  <c r="F9" i="16" s="1"/>
  <c r="X66" i="16" l="1"/>
  <c r="Y70" i="16" s="1"/>
  <c r="O63" i="16" l="1"/>
  <c r="O89" i="16"/>
  <c r="O79" i="16"/>
  <c r="O90" i="16"/>
  <c r="O77" i="16"/>
  <c r="O67" i="16"/>
  <c r="O70" i="16"/>
  <c r="O88" i="16"/>
  <c r="O100" i="16"/>
  <c r="O73" i="16"/>
  <c r="O99" i="16"/>
  <c r="O102" i="16"/>
  <c r="O66" i="16"/>
  <c r="O91" i="16"/>
  <c r="O86" i="16"/>
  <c r="O87" i="16"/>
  <c r="O69" i="16"/>
  <c r="O93" i="16"/>
  <c r="O78" i="16"/>
  <c r="O81" i="16"/>
  <c r="O83" i="16"/>
  <c r="O64" i="16"/>
  <c r="O94" i="16"/>
  <c r="O84" i="16"/>
  <c r="O72" i="16"/>
  <c r="O96" i="16"/>
  <c r="O97" i="16"/>
  <c r="O76" i="16"/>
  <c r="O98" i="16"/>
  <c r="O68" i="16"/>
  <c r="O92" i="16"/>
  <c r="O95" i="16"/>
  <c r="O65" i="16"/>
  <c r="O74" i="16"/>
  <c r="O85" i="16"/>
  <c r="O80" i="16"/>
  <c r="O75" i="16"/>
  <c r="O71" i="16"/>
  <c r="O82" i="16"/>
  <c r="O101" i="16"/>
  <c r="X71" i="16"/>
  <c r="Y71" i="16" s="1"/>
  <c r="AB70" i="16"/>
  <c r="L78" i="14"/>
  <c r="P78" i="14" s="1"/>
  <c r="L77" i="14"/>
  <c r="P77" i="14" s="1"/>
  <c r="L76" i="14"/>
  <c r="P76" i="14" s="1"/>
  <c r="L75" i="14"/>
  <c r="P75" i="14" s="1"/>
  <c r="L74" i="14"/>
  <c r="P74" i="14" s="1"/>
  <c r="L73" i="14"/>
  <c r="P73" i="14" s="1"/>
  <c r="L72" i="14"/>
  <c r="P72" i="14" s="1"/>
  <c r="L71" i="14"/>
  <c r="P71" i="14" s="1"/>
  <c r="L70" i="14"/>
  <c r="P70" i="14" s="1"/>
  <c r="L69" i="14"/>
  <c r="P69" i="14" s="1"/>
  <c r="L68" i="14"/>
  <c r="P68" i="14" s="1"/>
  <c r="L67" i="14"/>
  <c r="P67" i="14" s="1"/>
  <c r="L66" i="14"/>
  <c r="P66" i="14" s="1"/>
  <c r="L65" i="14"/>
  <c r="P65" i="14" s="1"/>
  <c r="L64" i="14"/>
  <c r="P64" i="14" s="1"/>
  <c r="L63" i="14"/>
  <c r="P63" i="14" s="1"/>
  <c r="L62" i="14"/>
  <c r="S62" i="14" s="1"/>
  <c r="L61" i="14"/>
  <c r="S61" i="14" s="1"/>
  <c r="L60" i="14"/>
  <c r="S60" i="14" s="1"/>
  <c r="L59" i="14"/>
  <c r="O59" i="14" s="1"/>
  <c r="L58" i="14"/>
  <c r="L57" i="14"/>
  <c r="L56" i="14"/>
  <c r="L55" i="14"/>
  <c r="L54" i="14"/>
  <c r="L53" i="14"/>
  <c r="L52" i="14"/>
  <c r="L51" i="14"/>
  <c r="L50" i="14"/>
  <c r="L49" i="14"/>
  <c r="Z45" i="14"/>
  <c r="Y45" i="14"/>
  <c r="N45" i="14"/>
  <c r="M45" i="14"/>
  <c r="Z44" i="14"/>
  <c r="Y44" i="14"/>
  <c r="P44" i="14"/>
  <c r="O44" i="14"/>
  <c r="N44" i="14"/>
  <c r="M44" i="14"/>
  <c r="X39" i="14"/>
  <c r="W39" i="14"/>
  <c r="V39" i="14"/>
  <c r="U39" i="14"/>
  <c r="T39" i="14"/>
  <c r="S39" i="14"/>
  <c r="R39" i="14"/>
  <c r="M39" i="14"/>
  <c r="L39" i="14"/>
  <c r="K39" i="14"/>
  <c r="J39" i="14"/>
  <c r="I39" i="14"/>
  <c r="H39" i="14"/>
  <c r="G39" i="14"/>
  <c r="X38" i="14"/>
  <c r="W38" i="14"/>
  <c r="V38" i="14"/>
  <c r="U38" i="14"/>
  <c r="T38" i="14"/>
  <c r="S38" i="14"/>
  <c r="R38" i="14"/>
  <c r="M38" i="14"/>
  <c r="L38" i="14"/>
  <c r="K38" i="14"/>
  <c r="J38" i="14"/>
  <c r="I38" i="14"/>
  <c r="H38" i="14"/>
  <c r="G38" i="14"/>
  <c r="X37" i="14"/>
  <c r="W37" i="14"/>
  <c r="V37" i="14"/>
  <c r="U37" i="14"/>
  <c r="T37" i="14"/>
  <c r="S37" i="14"/>
  <c r="R37" i="14"/>
  <c r="M37" i="14"/>
  <c r="L37" i="14"/>
  <c r="K37" i="14"/>
  <c r="J37" i="14"/>
  <c r="I37" i="14"/>
  <c r="H37" i="14"/>
  <c r="G37" i="14"/>
  <c r="X36" i="14"/>
  <c r="W36" i="14"/>
  <c r="V36" i="14"/>
  <c r="U36" i="14"/>
  <c r="T36" i="14"/>
  <c r="S36" i="14"/>
  <c r="R36" i="14"/>
  <c r="M36" i="14"/>
  <c r="L36" i="14"/>
  <c r="K36" i="14"/>
  <c r="J36" i="14"/>
  <c r="I36" i="14"/>
  <c r="H36" i="14"/>
  <c r="G36" i="14"/>
  <c r="AH35" i="14"/>
  <c r="X35" i="14"/>
  <c r="W35" i="14"/>
  <c r="V35" i="14"/>
  <c r="U35" i="14"/>
  <c r="T35" i="14"/>
  <c r="S35" i="14"/>
  <c r="R35" i="14"/>
  <c r="M35" i="14"/>
  <c r="L35" i="14"/>
  <c r="K35" i="14"/>
  <c r="J35" i="14"/>
  <c r="I35" i="14"/>
  <c r="H35" i="14"/>
  <c r="G35" i="14"/>
  <c r="AH34" i="14"/>
  <c r="AH37" i="14" s="1"/>
  <c r="AH38" i="14" s="1"/>
  <c r="X34" i="14"/>
  <c r="W34" i="14"/>
  <c r="V34" i="14"/>
  <c r="U34" i="14"/>
  <c r="T34" i="14"/>
  <c r="S34" i="14"/>
  <c r="R34" i="14"/>
  <c r="M34" i="14"/>
  <c r="L34" i="14"/>
  <c r="K34" i="14"/>
  <c r="J34" i="14"/>
  <c r="I34" i="14"/>
  <c r="H34" i="14"/>
  <c r="G34" i="14"/>
  <c r="X33" i="14"/>
  <c r="W33" i="14"/>
  <c r="V33" i="14"/>
  <c r="U33" i="14"/>
  <c r="T33" i="14"/>
  <c r="S33" i="14"/>
  <c r="R33" i="14"/>
  <c r="M33" i="14"/>
  <c r="L33" i="14"/>
  <c r="K33" i="14"/>
  <c r="J33" i="14"/>
  <c r="I33" i="14"/>
  <c r="H33" i="14"/>
  <c r="G33" i="14"/>
  <c r="X32" i="14"/>
  <c r="W32" i="14"/>
  <c r="V32" i="14"/>
  <c r="U32" i="14"/>
  <c r="T32" i="14"/>
  <c r="S32" i="14"/>
  <c r="R32" i="14"/>
  <c r="M32" i="14"/>
  <c r="L32" i="14"/>
  <c r="K32" i="14"/>
  <c r="J32" i="14"/>
  <c r="I32" i="14"/>
  <c r="H32" i="14"/>
  <c r="G32" i="14"/>
  <c r="X31" i="14"/>
  <c r="W31" i="14"/>
  <c r="V31" i="14"/>
  <c r="U31" i="14"/>
  <c r="T31" i="14"/>
  <c r="S31" i="14"/>
  <c r="R31" i="14"/>
  <c r="M31" i="14"/>
  <c r="L31" i="14"/>
  <c r="K31" i="14"/>
  <c r="J31" i="14"/>
  <c r="I31" i="14"/>
  <c r="H31" i="14"/>
  <c r="G31" i="14"/>
  <c r="X30" i="14"/>
  <c r="W30" i="14"/>
  <c r="V30" i="14"/>
  <c r="U30" i="14"/>
  <c r="T30" i="14"/>
  <c r="S30" i="14"/>
  <c r="R30" i="14"/>
  <c r="M30" i="14"/>
  <c r="L30" i="14"/>
  <c r="K30" i="14"/>
  <c r="J30" i="14"/>
  <c r="I30" i="14"/>
  <c r="H30" i="14"/>
  <c r="G30" i="14"/>
  <c r="X29" i="14"/>
  <c r="W29" i="14"/>
  <c r="V29" i="14"/>
  <c r="U29" i="14"/>
  <c r="T29" i="14"/>
  <c r="S29" i="14"/>
  <c r="R29" i="14"/>
  <c r="M29" i="14"/>
  <c r="L29" i="14"/>
  <c r="K29" i="14"/>
  <c r="J29" i="14"/>
  <c r="I29" i="14"/>
  <c r="H29" i="14"/>
  <c r="G29" i="14"/>
  <c r="X28" i="14"/>
  <c r="W28" i="14"/>
  <c r="V28" i="14"/>
  <c r="U28" i="14"/>
  <c r="T28" i="14"/>
  <c r="S28" i="14"/>
  <c r="R28" i="14"/>
  <c r="M28" i="14"/>
  <c r="L28" i="14"/>
  <c r="K28" i="14"/>
  <c r="J28" i="14"/>
  <c r="I28" i="14"/>
  <c r="H28" i="14"/>
  <c r="G28" i="14"/>
  <c r="X27" i="14"/>
  <c r="W27" i="14"/>
  <c r="V27" i="14"/>
  <c r="U27" i="14"/>
  <c r="T27" i="14"/>
  <c r="S27" i="14"/>
  <c r="R27" i="14"/>
  <c r="M27" i="14"/>
  <c r="L27" i="14"/>
  <c r="K27" i="14"/>
  <c r="J27" i="14"/>
  <c r="I27" i="14"/>
  <c r="H27" i="14"/>
  <c r="G27" i="14"/>
  <c r="X26" i="14"/>
  <c r="W26" i="14"/>
  <c r="V26" i="14"/>
  <c r="U26" i="14"/>
  <c r="T26" i="14"/>
  <c r="S26" i="14"/>
  <c r="R26" i="14"/>
  <c r="M26" i="14"/>
  <c r="L26" i="14"/>
  <c r="K26" i="14"/>
  <c r="J26" i="14"/>
  <c r="I26" i="14"/>
  <c r="H26" i="14"/>
  <c r="G26" i="14"/>
  <c r="X25" i="14"/>
  <c r="W25" i="14"/>
  <c r="V25" i="14"/>
  <c r="U25" i="14"/>
  <c r="T25" i="14"/>
  <c r="S25" i="14"/>
  <c r="R25" i="14"/>
  <c r="M25" i="14"/>
  <c r="L25" i="14"/>
  <c r="K25" i="14"/>
  <c r="J25" i="14"/>
  <c r="I25" i="14"/>
  <c r="H25" i="14"/>
  <c r="G25" i="14"/>
  <c r="X24" i="14"/>
  <c r="W24" i="14"/>
  <c r="V24" i="14"/>
  <c r="U24" i="14"/>
  <c r="T24" i="14"/>
  <c r="S24" i="14"/>
  <c r="R24" i="14"/>
  <c r="M24" i="14"/>
  <c r="L24" i="14"/>
  <c r="K24" i="14"/>
  <c r="J24" i="14"/>
  <c r="I24" i="14"/>
  <c r="H24" i="14"/>
  <c r="G24" i="14"/>
  <c r="X23" i="14"/>
  <c r="W23" i="14"/>
  <c r="V23" i="14"/>
  <c r="U23" i="14"/>
  <c r="T23" i="14"/>
  <c r="S23" i="14"/>
  <c r="R23" i="14"/>
  <c r="M23" i="14"/>
  <c r="L23" i="14"/>
  <c r="K23" i="14"/>
  <c r="J23" i="14"/>
  <c r="I23" i="14"/>
  <c r="H23" i="14"/>
  <c r="G23" i="14"/>
  <c r="X22" i="14"/>
  <c r="W22" i="14"/>
  <c r="V22" i="14"/>
  <c r="U22" i="14"/>
  <c r="T22" i="14"/>
  <c r="S22" i="14"/>
  <c r="R22" i="14"/>
  <c r="M22" i="14"/>
  <c r="L22" i="14"/>
  <c r="K22" i="14"/>
  <c r="J22" i="14"/>
  <c r="I22" i="14"/>
  <c r="H22" i="14"/>
  <c r="G22" i="14"/>
  <c r="AG21" i="14"/>
  <c r="X21" i="14"/>
  <c r="W21" i="14"/>
  <c r="V21" i="14"/>
  <c r="U21" i="14"/>
  <c r="T21" i="14"/>
  <c r="S21" i="14"/>
  <c r="R21" i="14"/>
  <c r="M21" i="14"/>
  <c r="L21" i="14"/>
  <c r="K21" i="14"/>
  <c r="J21" i="14"/>
  <c r="I21" i="14"/>
  <c r="H21" i="14"/>
  <c r="G21" i="14"/>
  <c r="X20" i="14"/>
  <c r="W20" i="14"/>
  <c r="V20" i="14"/>
  <c r="U20" i="14"/>
  <c r="T20" i="14"/>
  <c r="S20" i="14"/>
  <c r="R20" i="14"/>
  <c r="M20" i="14"/>
  <c r="L20" i="14"/>
  <c r="K20" i="14"/>
  <c r="J20" i="14"/>
  <c r="I20" i="14"/>
  <c r="H20" i="14"/>
  <c r="G20" i="14"/>
  <c r="X19" i="14"/>
  <c r="W19" i="14"/>
  <c r="V19" i="14"/>
  <c r="U19" i="14"/>
  <c r="T19" i="14"/>
  <c r="S19" i="14"/>
  <c r="R19" i="14"/>
  <c r="M19" i="14"/>
  <c r="L19" i="14"/>
  <c r="K19" i="14"/>
  <c r="J19" i="14"/>
  <c r="I19" i="14"/>
  <c r="H19" i="14"/>
  <c r="G19" i="14"/>
  <c r="U18" i="14"/>
  <c r="V18" i="14" s="1"/>
  <c r="R18" i="14"/>
  <c r="J18" i="14"/>
  <c r="K18" i="14" s="1"/>
  <c r="G18" i="14"/>
  <c r="U17" i="14"/>
  <c r="V17" i="14" s="1"/>
  <c r="R17" i="14"/>
  <c r="J17" i="14"/>
  <c r="K17" i="14" s="1"/>
  <c r="G17" i="14"/>
  <c r="U16" i="14"/>
  <c r="V16" i="14" s="1"/>
  <c r="R16" i="14"/>
  <c r="J16" i="14"/>
  <c r="K16" i="14" s="1"/>
  <c r="G16" i="14"/>
  <c r="U15" i="14"/>
  <c r="V15" i="14" s="1"/>
  <c r="R15" i="14"/>
  <c r="J15" i="14"/>
  <c r="K15" i="14" s="1"/>
  <c r="G15" i="14"/>
  <c r="U14" i="14"/>
  <c r="V14" i="14" s="1"/>
  <c r="R14" i="14"/>
  <c r="J14" i="14"/>
  <c r="K14" i="14" s="1"/>
  <c r="G14" i="14"/>
  <c r="U13" i="14"/>
  <c r="V13" i="14" s="1"/>
  <c r="R13" i="14"/>
  <c r="J13" i="14"/>
  <c r="K13" i="14" s="1"/>
  <c r="G13" i="14"/>
  <c r="U12" i="14"/>
  <c r="V12" i="14" s="1"/>
  <c r="R12" i="14"/>
  <c r="J12" i="14"/>
  <c r="K12" i="14" s="1"/>
  <c r="G12" i="14"/>
  <c r="AH11" i="14"/>
  <c r="AG11" i="14"/>
  <c r="U11" i="14"/>
  <c r="V11" i="14" s="1"/>
  <c r="R11" i="14"/>
  <c r="J11" i="14"/>
  <c r="K11" i="14" s="1"/>
  <c r="G11" i="14"/>
  <c r="U10" i="14"/>
  <c r="V10" i="14" s="1"/>
  <c r="R10" i="14"/>
  <c r="J10" i="14"/>
  <c r="K10" i="14" s="1"/>
  <c r="G10" i="14"/>
  <c r="AH9" i="14"/>
  <c r="AG9" i="14"/>
  <c r="U9" i="14"/>
  <c r="V9" i="14" s="1"/>
  <c r="R9" i="14"/>
  <c r="J9" i="14"/>
  <c r="K9" i="14" s="1"/>
  <c r="G9" i="14"/>
  <c r="AH8" i="14"/>
  <c r="AG8" i="14"/>
  <c r="Q64" i="14" l="1"/>
  <c r="S59" i="14"/>
  <c r="M70" i="14"/>
  <c r="Q72" i="14"/>
  <c r="M78" i="14"/>
  <c r="O63" i="14"/>
  <c r="Q65" i="14"/>
  <c r="N70" i="14"/>
  <c r="N69" i="14"/>
  <c r="Q73" i="14"/>
  <c r="M77" i="14"/>
  <c r="N78" i="14"/>
  <c r="N77" i="14"/>
  <c r="M69" i="14"/>
  <c r="R63" i="14"/>
  <c r="M63" i="14"/>
  <c r="S63" i="14"/>
  <c r="M65" i="14"/>
  <c r="M66" i="14"/>
  <c r="Q68" i="14"/>
  <c r="Q69" i="14"/>
  <c r="M73" i="14"/>
  <c r="M74" i="14"/>
  <c r="Q76" i="14"/>
  <c r="Q77" i="14"/>
  <c r="N63" i="14"/>
  <c r="N65" i="14"/>
  <c r="N66" i="14"/>
  <c r="N73" i="14"/>
  <c r="N74" i="14"/>
  <c r="AG14" i="14"/>
  <c r="AG13" i="14"/>
  <c r="W17" i="14"/>
  <c r="AK14" i="14"/>
  <c r="X17" i="14"/>
  <c r="X11" i="14"/>
  <c r="W9" i="14"/>
  <c r="W15" i="14"/>
  <c r="X9" i="14"/>
  <c r="X13" i="14"/>
  <c r="X14" i="14"/>
  <c r="X15" i="14"/>
  <c r="AG35" i="14"/>
  <c r="X10" i="14"/>
  <c r="X16" i="14"/>
  <c r="M12" i="14"/>
  <c r="L13" i="14"/>
  <c r="L14" i="14"/>
  <c r="M14" i="14"/>
  <c r="M10" i="14"/>
  <c r="L18" i="14"/>
  <c r="M17" i="14"/>
  <c r="M15" i="14"/>
  <c r="Z70" i="16"/>
  <c r="P63" i="16"/>
  <c r="P78" i="16"/>
  <c r="P97" i="16"/>
  <c r="P79" i="16"/>
  <c r="P93" i="16"/>
  <c r="P71" i="16"/>
  <c r="P74" i="16"/>
  <c r="P85" i="16"/>
  <c r="P80" i="16"/>
  <c r="P73" i="16"/>
  <c r="P99" i="16"/>
  <c r="P69" i="16"/>
  <c r="P94" i="16"/>
  <c r="P84" i="16"/>
  <c r="P82" i="16"/>
  <c r="P89" i="16"/>
  <c r="P64" i="16"/>
  <c r="P88" i="16"/>
  <c r="P65" i="16"/>
  <c r="P91" i="16"/>
  <c r="P77" i="16"/>
  <c r="P67" i="16"/>
  <c r="P70" i="16"/>
  <c r="P81" i="16"/>
  <c r="P83" i="16"/>
  <c r="P102" i="16"/>
  <c r="P75" i="16"/>
  <c r="P66" i="16"/>
  <c r="P76" i="16"/>
  <c r="P100" i="16"/>
  <c r="P86" i="16"/>
  <c r="P87" i="16"/>
  <c r="P98" i="16"/>
  <c r="P68" i="16"/>
  <c r="P92" i="16"/>
  <c r="P95" i="16"/>
  <c r="P90" i="16"/>
  <c r="P72" i="16"/>
  <c r="P96" i="16"/>
  <c r="P101" i="16"/>
  <c r="X72" i="16"/>
  <c r="Y72" i="16" s="1"/>
  <c r="AB71" i="16"/>
  <c r="W10" i="14"/>
  <c r="S16" i="14"/>
  <c r="T16" i="14" s="1"/>
  <c r="AG25" i="14"/>
  <c r="AG26" i="14" s="1"/>
  <c r="AG28" i="14" s="1"/>
  <c r="M67" i="14"/>
  <c r="W11" i="14"/>
  <c r="H63" i="14"/>
  <c r="X12" i="14"/>
  <c r="M13" i="14"/>
  <c r="W14" i="14"/>
  <c r="L15" i="14"/>
  <c r="Q63" i="14"/>
  <c r="M64" i="14"/>
  <c r="R65" i="14"/>
  <c r="Q66" i="14"/>
  <c r="N67" i="14"/>
  <c r="M68" i="14"/>
  <c r="R69" i="14"/>
  <c r="Q70" i="14"/>
  <c r="N71" i="14"/>
  <c r="M72" i="14"/>
  <c r="R73" i="14"/>
  <c r="Q74" i="14"/>
  <c r="N75" i="14"/>
  <c r="M76" i="14"/>
  <c r="R77" i="14"/>
  <c r="Q78" i="14"/>
  <c r="R67" i="14"/>
  <c r="R71" i="14"/>
  <c r="R75" i="14"/>
  <c r="H64" i="14"/>
  <c r="X18" i="14"/>
  <c r="R64" i="14"/>
  <c r="R68" i="14"/>
  <c r="M71" i="14"/>
  <c r="R72" i="14"/>
  <c r="M75" i="14"/>
  <c r="R76" i="14"/>
  <c r="S9" i="14"/>
  <c r="T9" i="14" s="1"/>
  <c r="H11" i="14"/>
  <c r="I11" i="14" s="1"/>
  <c r="M16" i="14"/>
  <c r="L17" i="14"/>
  <c r="N64" i="14"/>
  <c r="R66" i="14"/>
  <c r="Q67" i="14"/>
  <c r="N68" i="14"/>
  <c r="R70" i="14"/>
  <c r="Q71" i="14"/>
  <c r="N72" i="14"/>
  <c r="R74" i="14"/>
  <c r="Q75" i="14"/>
  <c r="N76" i="14"/>
  <c r="R78" i="14"/>
  <c r="L10" i="14"/>
  <c r="L9" i="14"/>
  <c r="H9" i="14"/>
  <c r="I9" i="14" s="1"/>
  <c r="M9" i="14"/>
  <c r="AG10" i="14"/>
  <c r="H10" i="14"/>
  <c r="I10" i="14" s="1"/>
  <c r="L11" i="14"/>
  <c r="S10" i="14"/>
  <c r="T10" i="14" s="1"/>
  <c r="H13" i="14"/>
  <c r="I13" i="14" s="1"/>
  <c r="W16" i="14"/>
  <c r="M49" i="14"/>
  <c r="M50" i="14"/>
  <c r="M52" i="14"/>
  <c r="M54" i="14"/>
  <c r="M56" i="14"/>
  <c r="M57" i="14"/>
  <c r="M58" i="14"/>
  <c r="R60" i="14"/>
  <c r="N60" i="14"/>
  <c r="Q60" i="14"/>
  <c r="M60" i="14"/>
  <c r="R61" i="14"/>
  <c r="N61" i="14"/>
  <c r="Q61" i="14"/>
  <c r="M61" i="14"/>
  <c r="R62" i="14"/>
  <c r="N62" i="14"/>
  <c r="Q62" i="14"/>
  <c r="M62" i="14"/>
  <c r="S11" i="14"/>
  <c r="T11" i="14" s="1"/>
  <c r="AK11" i="14"/>
  <c r="W13" i="14"/>
  <c r="L16" i="14"/>
  <c r="H16" i="14"/>
  <c r="I16" i="14" s="1"/>
  <c r="H18" i="14"/>
  <c r="I18" i="14" s="1"/>
  <c r="M18" i="14"/>
  <c r="AG19" i="14"/>
  <c r="AG32" i="14" s="1"/>
  <c r="AG34" i="14" s="1"/>
  <c r="O60" i="14"/>
  <c r="O61" i="14"/>
  <c r="O62" i="14"/>
  <c r="H14" i="14"/>
  <c r="I14" i="14" s="1"/>
  <c r="S15" i="14"/>
  <c r="T15" i="14" s="1"/>
  <c r="S17" i="14"/>
  <c r="T17" i="14" s="1"/>
  <c r="M51" i="14"/>
  <c r="M53" i="14"/>
  <c r="M55" i="14"/>
  <c r="R59" i="14"/>
  <c r="N59" i="14"/>
  <c r="Q59" i="14"/>
  <c r="M59" i="14"/>
  <c r="AB44" i="14"/>
  <c r="AK10" i="14"/>
  <c r="M11" i="14"/>
  <c r="L12" i="14"/>
  <c r="H12" i="14"/>
  <c r="I12" i="14" s="1"/>
  <c r="W12" i="14"/>
  <c r="S12" i="14"/>
  <c r="T12" i="14" s="1"/>
  <c r="H15" i="14"/>
  <c r="I15" i="14" s="1"/>
  <c r="H17" i="14"/>
  <c r="I17" i="14" s="1"/>
  <c r="W18" i="14"/>
  <c r="P49" i="14"/>
  <c r="Q49" i="14" s="1"/>
  <c r="P50" i="14"/>
  <c r="Q50" i="14" s="1"/>
  <c r="P51" i="14"/>
  <c r="Q51" i="14" s="1"/>
  <c r="P52" i="14"/>
  <c r="Q52" i="14" s="1"/>
  <c r="P53" i="14"/>
  <c r="Q53" i="14" s="1"/>
  <c r="S53" i="14" s="1"/>
  <c r="P54" i="14"/>
  <c r="Q54" i="14" s="1"/>
  <c r="S54" i="14" s="1"/>
  <c r="P55" i="14"/>
  <c r="Q55" i="14" s="1"/>
  <c r="P56" i="14"/>
  <c r="Q56" i="14" s="1"/>
  <c r="P57" i="14"/>
  <c r="Q57" i="14" s="1"/>
  <c r="P58" i="14"/>
  <c r="Q58" i="14" s="1"/>
  <c r="P59" i="14"/>
  <c r="P60" i="14"/>
  <c r="P61" i="14"/>
  <c r="P62" i="14"/>
  <c r="O64" i="14"/>
  <c r="S64" i="14"/>
  <c r="O65" i="14"/>
  <c r="S65" i="14"/>
  <c r="O66" i="14"/>
  <c r="S66" i="14"/>
  <c r="O67" i="14"/>
  <c r="S67" i="14"/>
  <c r="O68" i="14"/>
  <c r="S68" i="14"/>
  <c r="O69" i="14"/>
  <c r="S69" i="14"/>
  <c r="O70" i="14"/>
  <c r="S70" i="14"/>
  <c r="O71" i="14"/>
  <c r="S71" i="14"/>
  <c r="O72" i="14"/>
  <c r="S72" i="14"/>
  <c r="O73" i="14"/>
  <c r="S73" i="14"/>
  <c r="O74" i="14"/>
  <c r="S74" i="14"/>
  <c r="O75" i="14"/>
  <c r="S75" i="14"/>
  <c r="O76" i="14"/>
  <c r="S76" i="14"/>
  <c r="O77" i="14"/>
  <c r="S77" i="14"/>
  <c r="O78" i="14"/>
  <c r="S78" i="14"/>
  <c r="S13" i="14"/>
  <c r="T13" i="14" s="1"/>
  <c r="S14" i="14"/>
  <c r="T14" i="14" s="1"/>
  <c r="S18" i="14"/>
  <c r="T18" i="14" s="1"/>
  <c r="U82" i="14" l="1"/>
  <c r="Z9" i="14"/>
  <c r="R50" i="14"/>
  <c r="S55" i="14"/>
  <c r="AL15" i="14"/>
  <c r="AG27" i="14"/>
  <c r="AG29" i="14" s="1"/>
  <c r="S51" i="14"/>
  <c r="T82" i="14"/>
  <c r="AG15" i="14"/>
  <c r="S57" i="14"/>
  <c r="S49" i="14"/>
  <c r="T83" i="14"/>
  <c r="Z71" i="16"/>
  <c r="Q63" i="16"/>
  <c r="Q69" i="16"/>
  <c r="Q88" i="16"/>
  <c r="Q100" i="16"/>
  <c r="Q77" i="16"/>
  <c r="Q67" i="16"/>
  <c r="Q70" i="16"/>
  <c r="Q79" i="16"/>
  <c r="Q90" i="16"/>
  <c r="Q73" i="16"/>
  <c r="Q99" i="16"/>
  <c r="Q97" i="16"/>
  <c r="Q93" i="16"/>
  <c r="Q84" i="16"/>
  <c r="Q86" i="16"/>
  <c r="Q87" i="16"/>
  <c r="Q89" i="16"/>
  <c r="Q66" i="16"/>
  <c r="Q91" i="16"/>
  <c r="Q81" i="16"/>
  <c r="Q83" i="16"/>
  <c r="Q75" i="16"/>
  <c r="Q76" i="16"/>
  <c r="Q78" i="16"/>
  <c r="Q72" i="16"/>
  <c r="Q96" i="16"/>
  <c r="Q102" i="16"/>
  <c r="Q94" i="16"/>
  <c r="Q98" i="16"/>
  <c r="Q68" i="16"/>
  <c r="Q92" i="16"/>
  <c r="Q95" i="16"/>
  <c r="Q71" i="16"/>
  <c r="Q74" i="16"/>
  <c r="Q85" i="16"/>
  <c r="Q80" i="16"/>
  <c r="Q64" i="16"/>
  <c r="Q65" i="16"/>
  <c r="Q82" i="16"/>
  <c r="Q101" i="16"/>
  <c r="X73" i="16"/>
  <c r="Y73" i="16" s="1"/>
  <c r="AB72" i="16"/>
  <c r="O9" i="14"/>
  <c r="S82" i="14"/>
  <c r="S83" i="14"/>
  <c r="S56" i="14"/>
  <c r="S52" i="14"/>
  <c r="Y9" i="14"/>
  <c r="AK12" i="14"/>
  <c r="R51" i="14"/>
  <c r="R57" i="14"/>
  <c r="V82" i="14"/>
  <c r="S58" i="14"/>
  <c r="S50" i="14"/>
  <c r="R55" i="14"/>
  <c r="R54" i="14"/>
  <c r="R53" i="14"/>
  <c r="R58" i="14"/>
  <c r="R52" i="14"/>
  <c r="R56" i="14"/>
  <c r="N58" i="14"/>
  <c r="O58" i="14" s="1"/>
  <c r="N57" i="14"/>
  <c r="O57" i="14" s="1"/>
  <c r="N56" i="14"/>
  <c r="O56" i="14" s="1"/>
  <c r="N54" i="14"/>
  <c r="O54" i="14" s="1"/>
  <c r="N52" i="14"/>
  <c r="O52" i="14" s="1"/>
  <c r="N55" i="14"/>
  <c r="O55" i="14" s="1"/>
  <c r="N53" i="14"/>
  <c r="O53" i="14" s="1"/>
  <c r="N51" i="14"/>
  <c r="O51" i="14" s="1"/>
  <c r="AG36" i="14"/>
  <c r="AG37" i="14" s="1"/>
  <c r="AG38" i="14" s="1"/>
  <c r="N50" i="14"/>
  <c r="O50" i="14" s="1"/>
  <c r="N9" i="14"/>
  <c r="AA44" i="14"/>
  <c r="AG20" i="14"/>
  <c r="AG22" i="14" s="1"/>
  <c r="AH22" i="14"/>
  <c r="R49" i="14"/>
  <c r="N49" i="14"/>
  <c r="O49" i="14" s="1"/>
  <c r="AH13" i="14" l="1"/>
  <c r="AH14" i="14"/>
  <c r="AK15" i="14"/>
  <c r="AK16" i="14"/>
  <c r="AK19" i="14" s="1"/>
  <c r="AK20" i="14" s="1"/>
  <c r="AA9" i="14"/>
  <c r="S44" i="14" s="1"/>
  <c r="U49" i="14"/>
  <c r="Z72" i="16"/>
  <c r="AC71" i="16"/>
  <c r="R63" i="16"/>
  <c r="R89" i="16"/>
  <c r="R64" i="16"/>
  <c r="R88" i="16"/>
  <c r="R65" i="16"/>
  <c r="R91" i="16"/>
  <c r="R74" i="16"/>
  <c r="R85" i="16"/>
  <c r="R80" i="16"/>
  <c r="R73" i="16"/>
  <c r="R99" i="16"/>
  <c r="R79" i="16"/>
  <c r="R102" i="16"/>
  <c r="R75" i="16"/>
  <c r="R66" i="16"/>
  <c r="R76" i="16"/>
  <c r="R100" i="16"/>
  <c r="R77" i="16"/>
  <c r="R67" i="16"/>
  <c r="R70" i="16"/>
  <c r="R81" i="16"/>
  <c r="R83" i="16"/>
  <c r="R69" i="16"/>
  <c r="R95" i="16"/>
  <c r="R94" i="16"/>
  <c r="R90" i="16"/>
  <c r="R84" i="16"/>
  <c r="R86" i="16"/>
  <c r="R87" i="16"/>
  <c r="R98" i="16"/>
  <c r="R68" i="16"/>
  <c r="R92" i="16"/>
  <c r="R97" i="16"/>
  <c r="R93" i="16"/>
  <c r="R71" i="16"/>
  <c r="R78" i="16"/>
  <c r="R72" i="16"/>
  <c r="R96" i="16"/>
  <c r="R82" i="16"/>
  <c r="R101" i="16"/>
  <c r="X82" i="16"/>
  <c r="AB73" i="16"/>
  <c r="P9" i="14"/>
  <c r="G44" i="14" s="1"/>
  <c r="AG12" i="14" s="1"/>
  <c r="T49" i="14"/>
  <c r="V44" i="14" l="1"/>
  <c r="AH12" i="14"/>
  <c r="V49" i="14"/>
  <c r="M82" i="14" s="1"/>
  <c r="AK9" i="14" s="1"/>
  <c r="V45" i="14"/>
  <c r="J44" i="14"/>
  <c r="J45" i="14"/>
  <c r="Z73" i="16"/>
  <c r="AC72" i="16"/>
  <c r="X83" i="16"/>
  <c r="X74" i="16"/>
  <c r="Y74" i="16" s="1"/>
  <c r="P83" i="14" l="1"/>
  <c r="P82" i="14"/>
  <c r="S63" i="16"/>
  <c r="S89" i="16"/>
  <c r="S64" i="16"/>
  <c r="S88" i="16"/>
  <c r="S65" i="16"/>
  <c r="S91" i="16"/>
  <c r="S74" i="16"/>
  <c r="S85" i="16"/>
  <c r="S80" i="16"/>
  <c r="S73" i="16"/>
  <c r="S99" i="16"/>
  <c r="S102" i="16"/>
  <c r="S75" i="16"/>
  <c r="S66" i="16"/>
  <c r="S76" i="16"/>
  <c r="S100" i="16"/>
  <c r="S77" i="16"/>
  <c r="S67" i="16"/>
  <c r="S70" i="16"/>
  <c r="S81" i="16"/>
  <c r="S83" i="16"/>
  <c r="S69" i="16"/>
  <c r="S95" i="16"/>
  <c r="S94" i="16"/>
  <c r="S90" i="16"/>
  <c r="S84" i="16"/>
  <c r="S86" i="16"/>
  <c r="S87" i="16"/>
  <c r="S98" i="16"/>
  <c r="S68" i="16"/>
  <c r="S92" i="16"/>
  <c r="S97" i="16"/>
  <c r="S79" i="16"/>
  <c r="S93" i="16"/>
  <c r="S71" i="16"/>
  <c r="S78" i="16"/>
  <c r="S72" i="16"/>
  <c r="S96" i="16"/>
  <c r="S82" i="16"/>
  <c r="S101" i="16"/>
  <c r="AC73" i="16"/>
  <c r="X84" i="16"/>
  <c r="X75" i="16"/>
  <c r="AB74" i="16"/>
  <c r="Z74" i="16" l="1"/>
  <c r="Y75" i="16"/>
  <c r="G15" i="16" l="1"/>
  <c r="T63" i="16"/>
  <c r="T102" i="16"/>
  <c r="T93" i="16"/>
  <c r="T74" i="16"/>
  <c r="T85" i="16"/>
  <c r="T80" i="16"/>
  <c r="T64" i="16"/>
  <c r="T94" i="16"/>
  <c r="T84" i="16"/>
  <c r="T73" i="16"/>
  <c r="T99" i="16"/>
  <c r="T97" i="16"/>
  <c r="T76" i="16"/>
  <c r="T77" i="16"/>
  <c r="T67" i="16"/>
  <c r="T70" i="16"/>
  <c r="T95" i="16"/>
  <c r="T65" i="16"/>
  <c r="T78" i="16"/>
  <c r="T81" i="16"/>
  <c r="T83" i="16"/>
  <c r="T75" i="16"/>
  <c r="T90" i="16"/>
  <c r="T86" i="16"/>
  <c r="T87" i="16"/>
  <c r="T89" i="16"/>
  <c r="T88" i="16"/>
  <c r="T71" i="16"/>
  <c r="T98" i="16"/>
  <c r="T68" i="16"/>
  <c r="T92" i="16"/>
  <c r="T79" i="16"/>
  <c r="T100" i="16"/>
  <c r="T72" i="16"/>
  <c r="T96" i="16"/>
  <c r="T69" i="16"/>
  <c r="T66" i="16"/>
  <c r="T91" i="16"/>
  <c r="T82" i="16"/>
  <c r="T101" i="16"/>
  <c r="AB75" i="16"/>
  <c r="X76" i="16"/>
  <c r="Z75" i="16" l="1"/>
  <c r="Y76" i="16"/>
  <c r="G14" i="16" s="1"/>
  <c r="AC75" i="16" l="1"/>
  <c r="U63" i="16"/>
  <c r="U78" i="16"/>
  <c r="U72" i="16"/>
  <c r="U96" i="16"/>
  <c r="U82" i="16"/>
  <c r="U101" i="16"/>
  <c r="U89" i="16"/>
  <c r="U64" i="16"/>
  <c r="U88" i="16"/>
  <c r="U65" i="16"/>
  <c r="U91" i="16"/>
  <c r="U74" i="16"/>
  <c r="U85" i="16"/>
  <c r="U80" i="16"/>
  <c r="U73" i="16"/>
  <c r="U99" i="16"/>
  <c r="U102" i="16"/>
  <c r="U75" i="16"/>
  <c r="U66" i="16"/>
  <c r="U76" i="16"/>
  <c r="U100" i="16"/>
  <c r="U77" i="16"/>
  <c r="U67" i="16"/>
  <c r="U70" i="16"/>
  <c r="U81" i="16"/>
  <c r="U83" i="16"/>
  <c r="U69" i="16"/>
  <c r="U95" i="16"/>
  <c r="U94" i="16"/>
  <c r="U90" i="16"/>
  <c r="U84" i="16"/>
  <c r="U86" i="16"/>
  <c r="U87" i="16"/>
  <c r="U98" i="16"/>
  <c r="U68" i="16"/>
  <c r="U92" i="16"/>
  <c r="U97" i="16"/>
  <c r="U79" i="16"/>
  <c r="U93" i="16"/>
  <c r="U71" i="16"/>
  <c r="X86" i="16"/>
  <c r="AB76" i="16"/>
  <c r="Z76" i="16" l="1"/>
  <c r="F16" i="16" l="1"/>
  <c r="G16" i="16" s="1"/>
  <c r="AC76" i="16"/>
  <c r="X87" i="16"/>
  <c r="A13" i="12" l="1"/>
  <c r="D13" i="12" s="1"/>
  <c r="A12" i="12"/>
  <c r="E12" i="12" s="1"/>
  <c r="A11" i="12"/>
  <c r="E11" i="12" s="1"/>
  <c r="A10" i="12"/>
  <c r="D10" i="12" s="1"/>
  <c r="A9" i="12"/>
  <c r="C9" i="12" s="1"/>
  <c r="A8" i="12"/>
  <c r="E8" i="12" l="1"/>
  <c r="D12" i="12"/>
  <c r="B20" i="12"/>
  <c r="D8" i="12"/>
  <c r="D9" i="12"/>
  <c r="C10" i="12"/>
  <c r="C11" i="12"/>
  <c r="E9" i="12"/>
  <c r="E10" i="12"/>
  <c r="D11" i="12"/>
  <c r="C13" i="12"/>
  <c r="E13" i="12"/>
  <c r="F28" i="12" l="1"/>
  <c r="F32" i="12"/>
  <c r="F36" i="12"/>
  <c r="F40" i="12"/>
  <c r="F29" i="12"/>
  <c r="F33" i="12"/>
  <c r="F37" i="12"/>
  <c r="F30" i="12"/>
  <c r="F34" i="12"/>
  <c r="F38" i="12"/>
  <c r="F31" i="12"/>
  <c r="F35" i="12"/>
  <c r="F39" i="12"/>
  <c r="M70" i="12"/>
  <c r="K38" i="12"/>
  <c r="I349" i="12"/>
  <c r="K60" i="12"/>
  <c r="M48" i="12"/>
  <c r="L95" i="12"/>
  <c r="K249" i="12"/>
  <c r="K367" i="12"/>
  <c r="M38" i="12"/>
  <c r="L61" i="12"/>
  <c r="M88" i="12"/>
  <c r="M209" i="12"/>
  <c r="L37" i="12"/>
  <c r="K62" i="12"/>
  <c r="M147" i="12"/>
  <c r="L261" i="12"/>
  <c r="K28" i="12"/>
  <c r="M46" i="12"/>
  <c r="L69" i="12"/>
  <c r="I68" i="12"/>
  <c r="I175" i="12"/>
  <c r="I285" i="12"/>
  <c r="L29" i="12"/>
  <c r="K52" i="12"/>
  <c r="K280" i="12"/>
  <c r="I383" i="12"/>
  <c r="I375" i="12"/>
  <c r="I371" i="12"/>
  <c r="I363" i="12"/>
  <c r="I359" i="12"/>
  <c r="I351" i="12"/>
  <c r="I347" i="12"/>
  <c r="I343" i="12"/>
  <c r="I335" i="12"/>
  <c r="I331" i="12"/>
  <c r="I323" i="12"/>
  <c r="I319" i="12"/>
  <c r="I315" i="12"/>
  <c r="I307" i="12"/>
  <c r="I303" i="12"/>
  <c r="I295" i="12"/>
  <c r="I291" i="12"/>
  <c r="I283" i="12"/>
  <c r="I279" i="12"/>
  <c r="I275" i="12"/>
  <c r="I267" i="12"/>
  <c r="M647" i="12"/>
  <c r="M545" i="12"/>
  <c r="K320" i="12"/>
  <c r="K316" i="12"/>
  <c r="K312" i="12"/>
  <c r="K308" i="12"/>
  <c r="K304" i="12"/>
  <c r="K300" i="12"/>
  <c r="K296" i="12"/>
  <c r="K292" i="12"/>
  <c r="K288" i="12"/>
  <c r="K284" i="12"/>
  <c r="K276" i="12"/>
  <c r="K272" i="12"/>
  <c r="K268" i="12"/>
  <c r="K264" i="12"/>
  <c r="L622" i="12"/>
  <c r="M564" i="12"/>
  <c r="L552" i="12"/>
  <c r="I531" i="12"/>
  <c r="M500" i="12"/>
  <c r="I488" i="12"/>
  <c r="I472" i="12"/>
  <c r="I456" i="12"/>
  <c r="I440" i="12"/>
  <c r="I432" i="12"/>
  <c r="L425" i="12"/>
  <c r="M418" i="12"/>
  <c r="K413" i="12"/>
  <c r="L409" i="12"/>
  <c r="M402" i="12"/>
  <c r="K397" i="12"/>
  <c r="L393" i="12"/>
  <c r="I387" i="12"/>
  <c r="I379" i="12"/>
  <c r="I367" i="12"/>
  <c r="I355" i="12"/>
  <c r="I339" i="12"/>
  <c r="I327" i="12"/>
  <c r="I311" i="12"/>
  <c r="I299" i="12"/>
  <c r="I287" i="12"/>
  <c r="I271" i="12"/>
  <c r="M583" i="12"/>
  <c r="L294" i="12"/>
  <c r="L290" i="12"/>
  <c r="L286" i="12"/>
  <c r="L282" i="12"/>
  <c r="L278" i="12"/>
  <c r="L274" i="12"/>
  <c r="L270" i="12"/>
  <c r="L266" i="12"/>
  <c r="L638" i="12"/>
  <c r="L574" i="12"/>
  <c r="L542" i="12"/>
  <c r="K530" i="12"/>
  <c r="I509" i="12"/>
  <c r="M480" i="12"/>
  <c r="M464" i="12"/>
  <c r="M448" i="12"/>
  <c r="L437" i="12"/>
  <c r="L429" i="12"/>
  <c r="M424" i="12"/>
  <c r="I420" i="12"/>
  <c r="K412" i="12"/>
  <c r="M408" i="12"/>
  <c r="I404" i="12"/>
  <c r="K396" i="12"/>
  <c r="M392" i="12"/>
  <c r="I388" i="12"/>
  <c r="I384" i="12"/>
  <c r="I380" i="12"/>
  <c r="I376" i="12"/>
  <c r="I372" i="12"/>
  <c r="I368" i="12"/>
  <c r="I364" i="12"/>
  <c r="I360" i="12"/>
  <c r="I356" i="12"/>
  <c r="I352" i="12"/>
  <c r="I348" i="12"/>
  <c r="I344" i="12"/>
  <c r="I340" i="12"/>
  <c r="I336" i="12"/>
  <c r="I332" i="12"/>
  <c r="I328" i="12"/>
  <c r="I324" i="12"/>
  <c r="I320" i="12"/>
  <c r="I316" i="12"/>
  <c r="I312" i="12"/>
  <c r="L55" i="12"/>
  <c r="M72" i="12"/>
  <c r="I108" i="12"/>
  <c r="L197" i="12"/>
  <c r="K252" i="12"/>
  <c r="K303" i="12"/>
  <c r="M385" i="12"/>
  <c r="M30" i="12"/>
  <c r="K44" i="12"/>
  <c r="L53" i="12"/>
  <c r="M62" i="12"/>
  <c r="K76" i="12"/>
  <c r="L85" i="12"/>
  <c r="M94" i="12"/>
  <c r="K108" i="12"/>
  <c r="L117" i="12"/>
  <c r="M126" i="12"/>
  <c r="L149" i="12"/>
  <c r="I157" i="12"/>
  <c r="K175" i="12"/>
  <c r="K207" i="12"/>
  <c r="M222" i="12"/>
  <c r="I269" i="12"/>
  <c r="L360" i="12"/>
  <c r="L526" i="12"/>
  <c r="I44" i="12"/>
  <c r="I84" i="12"/>
  <c r="M104" i="12"/>
  <c r="K135" i="12"/>
  <c r="M153" i="12"/>
  <c r="L200" i="12"/>
  <c r="K34" i="12"/>
  <c r="L43" i="12"/>
  <c r="M52" i="12"/>
  <c r="K66" i="12"/>
  <c r="L75" i="12"/>
  <c r="M84" i="12"/>
  <c r="K98" i="12"/>
  <c r="L107" i="12"/>
  <c r="M116" i="12"/>
  <c r="K130" i="12"/>
  <c r="K145" i="12"/>
  <c r="I159" i="12"/>
  <c r="M169" i="12"/>
  <c r="K217" i="12"/>
  <c r="L232" i="12"/>
  <c r="L280" i="12"/>
  <c r="M353" i="12"/>
  <c r="L31" i="12"/>
  <c r="K70" i="12"/>
  <c r="K102" i="12"/>
  <c r="L141" i="12"/>
  <c r="L176" i="12"/>
  <c r="I563" i="12"/>
  <c r="M26" i="12"/>
  <c r="K40" i="12"/>
  <c r="L49" i="12"/>
  <c r="M58" i="12"/>
  <c r="K72" i="12"/>
  <c r="L81" i="12"/>
  <c r="M90" i="12"/>
  <c r="K104" i="12"/>
  <c r="L113" i="12"/>
  <c r="M122" i="12"/>
  <c r="I135" i="12"/>
  <c r="M142" i="12"/>
  <c r="L162" i="12"/>
  <c r="I173" i="12"/>
  <c r="M187" i="12"/>
  <c r="I221" i="12"/>
  <c r="L248" i="12"/>
  <c r="M273" i="12"/>
  <c r="I365" i="12"/>
  <c r="L654" i="12"/>
  <c r="I29" i="12"/>
  <c r="K35" i="12"/>
  <c r="L40" i="12"/>
  <c r="I45" i="12"/>
  <c r="K51" i="12"/>
  <c r="L56" i="12"/>
  <c r="I61" i="12"/>
  <c r="K67" i="12"/>
  <c r="L72" i="12"/>
  <c r="I77" i="12"/>
  <c r="K83" i="12"/>
  <c r="L88" i="12"/>
  <c r="I93" i="12"/>
  <c r="K99" i="12"/>
  <c r="L104" i="12"/>
  <c r="I109" i="12"/>
  <c r="K115" i="12"/>
  <c r="L120" i="12"/>
  <c r="I125" i="12"/>
  <c r="K131" i="12"/>
  <c r="L140" i="12"/>
  <c r="I145" i="12"/>
  <c r="I155" i="12"/>
  <c r="K160" i="12"/>
  <c r="L166" i="12"/>
  <c r="M175" i="12"/>
  <c r="M181" i="12"/>
  <c r="K189" i="12"/>
  <c r="K195" i="12"/>
  <c r="L204" i="12"/>
  <c r="I209" i="12"/>
  <c r="I219" i="12"/>
  <c r="K224" i="12"/>
  <c r="L230" i="12"/>
  <c r="M239" i="12"/>
  <c r="M245" i="12"/>
  <c r="K253" i="12"/>
  <c r="K259" i="12"/>
  <c r="K267" i="12"/>
  <c r="M285" i="12"/>
  <c r="I313" i="12"/>
  <c r="K331" i="12"/>
  <c r="M349" i="12"/>
  <c r="I377" i="12"/>
  <c r="M394" i="12"/>
  <c r="K466" i="12"/>
  <c r="I627" i="12"/>
  <c r="I181" i="12"/>
  <c r="L189" i="12"/>
  <c r="K196" i="12"/>
  <c r="L202" i="12"/>
  <c r="I210" i="12"/>
  <c r="M217" i="12"/>
  <c r="K225" i="12"/>
  <c r="M230" i="12"/>
  <c r="L240" i="12"/>
  <c r="I245" i="12"/>
  <c r="L253" i="12"/>
  <c r="K260" i="12"/>
  <c r="L272" i="12"/>
  <c r="I293" i="12"/>
  <c r="M313" i="12"/>
  <c r="L336" i="12"/>
  <c r="I357" i="12"/>
  <c r="M377" i="12"/>
  <c r="L398" i="12"/>
  <c r="K430" i="12"/>
  <c r="M532" i="12"/>
  <c r="L26" i="12"/>
  <c r="M31" i="12"/>
  <c r="K37" i="12"/>
  <c r="L42" i="12"/>
  <c r="M47" i="12"/>
  <c r="K53" i="12"/>
  <c r="L58" i="12"/>
  <c r="M63" i="12"/>
  <c r="K69" i="12"/>
  <c r="L74" i="12"/>
  <c r="M79" i="12"/>
  <c r="K85" i="12"/>
  <c r="L90" i="12"/>
  <c r="M95" i="12"/>
  <c r="K101" i="12"/>
  <c r="L106" i="12"/>
  <c r="M111" i="12"/>
  <c r="K117" i="12"/>
  <c r="L122" i="12"/>
  <c r="M127" i="12"/>
  <c r="K133" i="12"/>
  <c r="M138" i="12"/>
  <c r="L148" i="12"/>
  <c r="I153" i="12"/>
  <c r="L161" i="12"/>
  <c r="K168" i="12"/>
  <c r="L174" i="12"/>
  <c r="I182" i="12"/>
  <c r="M189" i="12"/>
  <c r="K197" i="12"/>
  <c r="M202" i="12"/>
  <c r="L212" i="12"/>
  <c r="I217" i="12"/>
  <c r="L225" i="12"/>
  <c r="K232" i="12"/>
  <c r="L238" i="12"/>
  <c r="I246" i="12"/>
  <c r="M253" i="12"/>
  <c r="K261" i="12"/>
  <c r="M277" i="12"/>
  <c r="I305" i="12"/>
  <c r="K323" i="12"/>
  <c r="M341" i="12"/>
  <c r="I369" i="12"/>
  <c r="K387" i="12"/>
  <c r="L411" i="12"/>
  <c r="I436" i="12"/>
  <c r="K511" i="12"/>
  <c r="K645" i="12"/>
  <c r="L135" i="12"/>
  <c r="I140" i="12"/>
  <c r="M144" i="12"/>
  <c r="L151" i="12"/>
  <c r="I156" i="12"/>
  <c r="M160" i="12"/>
  <c r="L167" i="12"/>
  <c r="I172" i="12"/>
  <c r="M176" i="12"/>
  <c r="L183" i="12"/>
  <c r="I188" i="12"/>
  <c r="M192" i="12"/>
  <c r="L199" i="12"/>
  <c r="I204" i="12"/>
  <c r="M208" i="12"/>
  <c r="L215" i="12"/>
  <c r="I220" i="12"/>
  <c r="M224" i="12"/>
  <c r="L231" i="12"/>
  <c r="I236" i="12"/>
  <c r="M240" i="12"/>
  <c r="L247" i="12"/>
  <c r="I252" i="12"/>
  <c r="M256" i="12"/>
  <c r="L263" i="12"/>
  <c r="I268" i="12"/>
  <c r="M272" i="12"/>
  <c r="L279" i="12"/>
  <c r="I284" i="12"/>
  <c r="M288" i="12"/>
  <c r="L295" i="12"/>
  <c r="I300" i="12"/>
  <c r="M304" i="12"/>
  <c r="L311" i="12"/>
  <c r="L319" i="12"/>
  <c r="L327" i="12"/>
  <c r="L335" i="12"/>
  <c r="L343" i="12"/>
  <c r="L351" i="12"/>
  <c r="L359" i="12"/>
  <c r="L367" i="12"/>
  <c r="L375" i="12"/>
  <c r="L383" i="12"/>
  <c r="I391" i="12"/>
  <c r="L402" i="12"/>
  <c r="M411" i="12"/>
  <c r="I423" i="12"/>
  <c r="K436" i="12"/>
  <c r="K462" i="12"/>
  <c r="K494" i="12"/>
  <c r="L539" i="12"/>
  <c r="K269" i="12"/>
  <c r="K285" i="12"/>
  <c r="K301" i="12"/>
  <c r="K317" i="12"/>
  <c r="K333" i="12"/>
  <c r="K349" i="12"/>
  <c r="K365" i="12"/>
  <c r="K381" i="12"/>
  <c r="M399" i="12"/>
  <c r="L422" i="12"/>
  <c r="M460" i="12"/>
  <c r="K546" i="12"/>
  <c r="I266" i="12"/>
  <c r="I282" i="12"/>
  <c r="I298" i="12"/>
  <c r="I314" i="12"/>
  <c r="I330" i="12"/>
  <c r="I346" i="12"/>
  <c r="I362" i="12"/>
  <c r="I378" i="12"/>
  <c r="K398" i="12"/>
  <c r="I418" i="12"/>
  <c r="L463" i="12"/>
  <c r="M519" i="12"/>
  <c r="L737" i="12"/>
  <c r="M439" i="12"/>
  <c r="M455" i="12"/>
  <c r="M471" i="12"/>
  <c r="M487" i="12"/>
  <c r="M504" i="12"/>
  <c r="L527" i="12"/>
  <c r="I548" i="12"/>
  <c r="M568" i="12"/>
  <c r="K625" i="12"/>
  <c r="L835" i="12"/>
  <c r="L453" i="12"/>
  <c r="L469" i="12"/>
  <c r="L485" i="12"/>
  <c r="I504" i="12"/>
  <c r="M524" i="12"/>
  <c r="L547" i="12"/>
  <c r="I568" i="12"/>
  <c r="K621" i="12"/>
  <c r="L771" i="12"/>
  <c r="M401" i="12"/>
  <c r="M417" i="12"/>
  <c r="M433" i="12"/>
  <c r="M449" i="12"/>
  <c r="M465" i="12"/>
  <c r="M481" i="12"/>
  <c r="M499" i="12"/>
  <c r="L522" i="12"/>
  <c r="K542" i="12"/>
  <c r="M563" i="12"/>
  <c r="K617" i="12"/>
  <c r="M746" i="12"/>
  <c r="L509" i="12"/>
  <c r="L525" i="12"/>
  <c r="L541" i="12"/>
  <c r="L557" i="12"/>
  <c r="L573" i="12"/>
  <c r="L589" i="12"/>
  <c r="L605" i="12"/>
  <c r="L621" i="12"/>
  <c r="L637" i="12"/>
  <c r="L653" i="12"/>
  <c r="K680" i="12"/>
  <c r="L756" i="12"/>
  <c r="I581" i="12"/>
  <c r="I597" i="12"/>
  <c r="I613" i="12"/>
  <c r="I629" i="12"/>
  <c r="I645" i="12"/>
  <c r="I661" i="12"/>
  <c r="M714" i="12"/>
  <c r="K574" i="12"/>
  <c r="K590" i="12"/>
  <c r="K606" i="12"/>
  <c r="K622" i="12"/>
  <c r="K638" i="12"/>
  <c r="K654" i="12"/>
  <c r="I697" i="12"/>
  <c r="M796" i="12"/>
  <c r="M676" i="12"/>
  <c r="L699" i="12"/>
  <c r="K719" i="12"/>
  <c r="M740" i="12"/>
  <c r="L763" i="12"/>
  <c r="I820" i="12"/>
  <c r="M673" i="12"/>
  <c r="K694" i="12"/>
  <c r="I718" i="12"/>
  <c r="M738" i="12"/>
  <c r="K758" i="12"/>
  <c r="L811" i="12"/>
  <c r="I664" i="12"/>
  <c r="I680" i="12"/>
  <c r="L701" i="12"/>
  <c r="K724" i="12"/>
  <c r="I744" i="12"/>
  <c r="L765" i="12"/>
  <c r="I828" i="12"/>
  <c r="K681" i="12"/>
  <c r="K697" i="12"/>
  <c r="K713" i="12"/>
  <c r="K729" i="12"/>
  <c r="K745" i="12"/>
  <c r="K761" i="12"/>
  <c r="K777" i="12"/>
  <c r="K793" i="12"/>
  <c r="K809" i="12"/>
  <c r="K825" i="12"/>
  <c r="K841" i="12"/>
  <c r="I886" i="12"/>
  <c r="I778" i="12"/>
  <c r="I794" i="12"/>
  <c r="I810" i="12"/>
  <c r="I826" i="12"/>
  <c r="I842" i="12"/>
  <c r="M874" i="12"/>
  <c r="K779" i="12"/>
  <c r="K795" i="12"/>
  <c r="K811" i="12"/>
  <c r="K827" i="12"/>
  <c r="K843" i="12"/>
  <c r="M887" i="12"/>
  <c r="K860" i="12"/>
  <c r="I884" i="12"/>
  <c r="K920" i="12"/>
  <c r="K861" i="12"/>
  <c r="M882" i="12"/>
  <c r="I914" i="12"/>
  <c r="I879" i="12"/>
  <c r="L905" i="12"/>
  <c r="K851" i="12"/>
  <c r="K867" i="12"/>
  <c r="K883" i="12"/>
  <c r="K899" i="12"/>
  <c r="K915" i="12"/>
  <c r="K931" i="12"/>
  <c r="L903" i="12"/>
  <c r="L919" i="12"/>
  <c r="M947" i="12"/>
  <c r="I911" i="12"/>
  <c r="I927" i="12"/>
  <c r="K994" i="12"/>
  <c r="L945" i="12"/>
  <c r="L964" i="12"/>
  <c r="I1004" i="12"/>
  <c r="K947" i="12"/>
  <c r="M964" i="12"/>
  <c r="M1004" i="12"/>
  <c r="M944" i="12"/>
  <c r="I961" i="12"/>
  <c r="M1000" i="12"/>
  <c r="M971" i="12"/>
  <c r="M987" i="12"/>
  <c r="M1003" i="12"/>
  <c r="I990" i="12"/>
  <c r="K975" i="12"/>
  <c r="K991" i="12"/>
  <c r="M1005" i="12"/>
  <c r="I28" i="12"/>
  <c r="I60" i="12"/>
  <c r="I76" i="12"/>
  <c r="M128" i="12"/>
  <c r="M203" i="12"/>
  <c r="K255" i="12"/>
  <c r="M321" i="12"/>
  <c r="K421" i="12"/>
  <c r="K36" i="12"/>
  <c r="L45" i="12"/>
  <c r="M54" i="12"/>
  <c r="K68" i="12"/>
  <c r="L77" i="12"/>
  <c r="M86" i="12"/>
  <c r="K100" i="12"/>
  <c r="L109" i="12"/>
  <c r="M118" i="12"/>
  <c r="K137" i="12"/>
  <c r="I151" i="12"/>
  <c r="M158" i="12"/>
  <c r="I186" i="12"/>
  <c r="L210" i="12"/>
  <c r="M225" i="12"/>
  <c r="L296" i="12"/>
  <c r="M369" i="12"/>
  <c r="K581" i="12"/>
  <c r="K30" i="12"/>
  <c r="K46" i="12"/>
  <c r="L87" i="12"/>
  <c r="I116" i="12"/>
  <c r="L138" i="12"/>
  <c r="K164" i="12"/>
  <c r="K514" i="12"/>
  <c r="K26" i="12"/>
  <c r="L35" i="12"/>
  <c r="M44" i="12"/>
  <c r="K58" i="12"/>
  <c r="L67" i="12"/>
  <c r="M76" i="12"/>
  <c r="K90" i="12"/>
  <c r="L99" i="12"/>
  <c r="M108" i="12"/>
  <c r="K122" i="12"/>
  <c r="M131" i="12"/>
  <c r="K148" i="12"/>
  <c r="I162" i="12"/>
  <c r="M177" i="12"/>
  <c r="K220" i="12"/>
  <c r="M238" i="12"/>
  <c r="M289" i="12"/>
  <c r="I381" i="12"/>
  <c r="M40" i="12"/>
  <c r="M80" i="12"/>
  <c r="M112" i="12"/>
  <c r="L144" i="12"/>
  <c r="K185" i="12"/>
  <c r="K32" i="12"/>
  <c r="L41" i="12"/>
  <c r="M50" i="12"/>
  <c r="K64" i="12"/>
  <c r="L73" i="12"/>
  <c r="M82" i="12"/>
  <c r="K96" i="12"/>
  <c r="L105" i="12"/>
  <c r="M114" i="12"/>
  <c r="K128" i="12"/>
  <c r="L136" i="12"/>
  <c r="M145" i="12"/>
  <c r="I167" i="12"/>
  <c r="M174" i="12"/>
  <c r="M190" i="12"/>
  <c r="K236" i="12"/>
  <c r="M251" i="12"/>
  <c r="I301" i="12"/>
  <c r="I406" i="12"/>
  <c r="I25" i="12"/>
  <c r="K31" i="12"/>
  <c r="L36" i="12"/>
  <c r="I41" i="12"/>
  <c r="K47" i="12"/>
  <c r="L52" i="12"/>
  <c r="I57" i="12"/>
  <c r="K63" i="12"/>
  <c r="L68" i="12"/>
  <c r="I73" i="12"/>
  <c r="K79" i="12"/>
  <c r="L84" i="12"/>
  <c r="I89" i="12"/>
  <c r="K95" i="12"/>
  <c r="L100" i="12"/>
  <c r="I105" i="12"/>
  <c r="K111" i="12"/>
  <c r="L116" i="12"/>
  <c r="I121" i="12"/>
  <c r="K127" i="12"/>
  <c r="M133" i="12"/>
  <c r="K141" i="12"/>
  <c r="K147" i="12"/>
  <c r="L156" i="12"/>
  <c r="I161" i="12"/>
  <c r="I171" i="12"/>
  <c r="K176" i="12"/>
  <c r="L182" i="12"/>
  <c r="M191" i="12"/>
  <c r="M197" i="12"/>
  <c r="K205" i="12"/>
  <c r="K211" i="12"/>
  <c r="L220" i="12"/>
  <c r="I225" i="12"/>
  <c r="I235" i="12"/>
  <c r="K240" i="12"/>
  <c r="L246" i="12"/>
  <c r="M255" i="12"/>
  <c r="M261" i="12"/>
  <c r="M269" i="12"/>
  <c r="I297" i="12"/>
  <c r="K315" i="12"/>
  <c r="M333" i="12"/>
  <c r="I361" i="12"/>
  <c r="K379" i="12"/>
  <c r="I416" i="12"/>
  <c r="M484" i="12"/>
  <c r="K177" i="12"/>
  <c r="M182" i="12"/>
  <c r="L192" i="12"/>
  <c r="I197" i="12"/>
  <c r="L205" i="12"/>
  <c r="K212" i="12"/>
  <c r="L218" i="12"/>
  <c r="I226" i="12"/>
  <c r="M233" i="12"/>
  <c r="K241" i="12"/>
  <c r="M246" i="12"/>
  <c r="L256" i="12"/>
  <c r="I261" i="12"/>
  <c r="I277" i="12"/>
  <c r="M297" i="12"/>
  <c r="L320" i="12"/>
  <c r="I341" i="12"/>
  <c r="M361" i="12"/>
  <c r="L384" i="12"/>
  <c r="L401" i="12"/>
  <c r="L459" i="12"/>
  <c r="I557" i="12"/>
  <c r="M27" i="12"/>
  <c r="K33" i="12"/>
  <c r="L38" i="12"/>
  <c r="M43" i="12"/>
  <c r="K49" i="12"/>
  <c r="L54" i="12"/>
  <c r="M59" i="12"/>
  <c r="K65" i="12"/>
  <c r="L70" i="12"/>
  <c r="M75" i="12"/>
  <c r="K81" i="12"/>
  <c r="L86" i="12"/>
  <c r="M91" i="12"/>
  <c r="K97" i="12"/>
  <c r="L102" i="12"/>
  <c r="M107" i="12"/>
  <c r="K113" i="12"/>
  <c r="L118" i="12"/>
  <c r="M123" i="12"/>
  <c r="K129" i="12"/>
  <c r="I134" i="12"/>
  <c r="M141" i="12"/>
  <c r="K149" i="12"/>
  <c r="M154" i="12"/>
  <c r="L164" i="12"/>
  <c r="I169" i="12"/>
  <c r="L177" i="12"/>
  <c r="K184" i="12"/>
  <c r="L190" i="12"/>
  <c r="I198" i="12"/>
  <c r="M205" i="12"/>
  <c r="K213" i="12"/>
  <c r="M218" i="12"/>
  <c r="L228" i="12"/>
  <c r="I233" i="12"/>
  <c r="L241" i="12"/>
  <c r="K248" i="12"/>
  <c r="L254" i="12"/>
  <c r="I262" i="12"/>
  <c r="I289" i="12"/>
  <c r="K307" i="12"/>
  <c r="M325" i="12"/>
  <c r="I353" i="12"/>
  <c r="K371" i="12"/>
  <c r="I390" i="12"/>
  <c r="L417" i="12"/>
  <c r="L443" i="12"/>
  <c r="L523" i="12"/>
  <c r="L131" i="12"/>
  <c r="I136" i="12"/>
  <c r="M140" i="12"/>
  <c r="L147" i="12"/>
  <c r="I152" i="12"/>
  <c r="M156" i="12"/>
  <c r="L163" i="12"/>
  <c r="I168" i="12"/>
  <c r="M172" i="12"/>
  <c r="L179" i="12"/>
  <c r="I184" i="12"/>
  <c r="M188" i="12"/>
  <c r="L195" i="12"/>
  <c r="I200" i="12"/>
  <c r="M204" i="12"/>
  <c r="L211" i="12"/>
  <c r="I216" i="12"/>
  <c r="M220" i="12"/>
  <c r="L227" i="12"/>
  <c r="I232" i="12"/>
  <c r="M236" i="12"/>
  <c r="L243" i="12"/>
  <c r="I248" i="12"/>
  <c r="M252" i="12"/>
  <c r="L259" i="12"/>
  <c r="I264" i="12"/>
  <c r="M268" i="12"/>
  <c r="L275" i="12"/>
  <c r="I280" i="12"/>
  <c r="M284" i="12"/>
  <c r="L291" i="12"/>
  <c r="I296" i="12"/>
  <c r="M300" i="12"/>
  <c r="L307" i="12"/>
  <c r="M312" i="12"/>
  <c r="M320" i="12"/>
  <c r="M328" i="12"/>
  <c r="M336" i="12"/>
  <c r="M344" i="12"/>
  <c r="M352" i="12"/>
  <c r="M360" i="12"/>
  <c r="M368" i="12"/>
  <c r="M376" i="12"/>
  <c r="M384" i="12"/>
  <c r="K393" i="12"/>
  <c r="L405" i="12"/>
  <c r="M414" i="12"/>
  <c r="K425" i="12"/>
  <c r="L439" i="12"/>
  <c r="L471" i="12"/>
  <c r="I512" i="12"/>
  <c r="M551" i="12"/>
  <c r="K273" i="12"/>
  <c r="K289" i="12"/>
  <c r="K305" i="12"/>
  <c r="K321" i="12"/>
  <c r="K337" i="12"/>
  <c r="K353" i="12"/>
  <c r="K369" i="12"/>
  <c r="K385" i="12"/>
  <c r="L406" i="12"/>
  <c r="L427" i="12"/>
  <c r="M476" i="12"/>
  <c r="L558" i="12"/>
  <c r="I270" i="12"/>
  <c r="I286" i="12"/>
  <c r="I302" i="12"/>
  <c r="I318" i="12"/>
  <c r="I334" i="12"/>
  <c r="I350" i="12"/>
  <c r="I366" i="12"/>
  <c r="I382" i="12"/>
  <c r="I402" i="12"/>
  <c r="L423" i="12"/>
  <c r="L479" i="12"/>
  <c r="K559" i="12"/>
  <c r="M427" i="12"/>
  <c r="M443" i="12"/>
  <c r="M459" i="12"/>
  <c r="M475" i="12"/>
  <c r="M491" i="12"/>
  <c r="L511" i="12"/>
  <c r="I532" i="12"/>
  <c r="M552" i="12"/>
  <c r="K577" i="12"/>
  <c r="K641" i="12"/>
  <c r="L441" i="12"/>
  <c r="L457" i="12"/>
  <c r="L473" i="12"/>
  <c r="L489" i="12"/>
  <c r="M508" i="12"/>
  <c r="L531" i="12"/>
  <c r="I552" i="12"/>
  <c r="K573" i="12"/>
  <c r="K637" i="12"/>
  <c r="M389" i="12"/>
  <c r="M405" i="12"/>
  <c r="M421" i="12"/>
  <c r="M437" i="12"/>
  <c r="M453" i="12"/>
  <c r="M469" i="12"/>
  <c r="M485" i="12"/>
  <c r="L506" i="12"/>
  <c r="K526" i="12"/>
  <c r="M547" i="12"/>
  <c r="L570" i="12"/>
  <c r="K633" i="12"/>
  <c r="L497" i="12"/>
  <c r="L513" i="12"/>
  <c r="L529" i="12"/>
  <c r="L545" i="12"/>
  <c r="L561" i="12"/>
  <c r="L577" i="12"/>
  <c r="L593" i="12"/>
  <c r="L609" i="12"/>
  <c r="L625" i="12"/>
  <c r="L641" i="12"/>
  <c r="L657" i="12"/>
  <c r="L692" i="12"/>
  <c r="I792" i="12"/>
  <c r="I585" i="12"/>
  <c r="I601" i="12"/>
  <c r="I617" i="12"/>
  <c r="I633" i="12"/>
  <c r="I649" i="12"/>
  <c r="K669" i="12"/>
  <c r="I745" i="12"/>
  <c r="K578" i="12"/>
  <c r="K594" i="12"/>
  <c r="K610" i="12"/>
  <c r="K626" i="12"/>
  <c r="K642" i="12"/>
  <c r="K658" i="12"/>
  <c r="K718" i="12"/>
  <c r="K664" i="12"/>
  <c r="L683" i="12"/>
  <c r="K703" i="12"/>
  <c r="M724" i="12"/>
  <c r="L747" i="12"/>
  <c r="I772" i="12"/>
  <c r="I836" i="12"/>
  <c r="K678" i="12"/>
  <c r="I702" i="12"/>
  <c r="M722" i="12"/>
  <c r="K742" i="12"/>
  <c r="I766" i="12"/>
  <c r="L827" i="12"/>
  <c r="I668" i="12"/>
  <c r="L685" i="12"/>
  <c r="K708" i="12"/>
  <c r="I728" i="12"/>
  <c r="L749" i="12"/>
  <c r="I780" i="12"/>
  <c r="I844" i="12"/>
  <c r="K685" i="12"/>
  <c r="K701" i="12"/>
  <c r="K717" i="12"/>
  <c r="K733" i="12"/>
  <c r="K749" i="12"/>
  <c r="K765" i="12"/>
  <c r="K781" i="12"/>
  <c r="K797" i="12"/>
  <c r="K813" i="12"/>
  <c r="K829" i="12"/>
  <c r="K849" i="12"/>
  <c r="I951" i="12"/>
  <c r="I782" i="12"/>
  <c r="I798" i="12"/>
  <c r="I814" i="12"/>
  <c r="I830" i="12"/>
  <c r="I846" i="12"/>
  <c r="K767" i="12"/>
  <c r="K783" i="12"/>
  <c r="K799" i="12"/>
  <c r="K815" i="12"/>
  <c r="K831" i="12"/>
  <c r="M848" i="12"/>
  <c r="M844" i="12"/>
  <c r="I868" i="12"/>
  <c r="M888" i="12"/>
  <c r="K953" i="12"/>
  <c r="M866" i="12"/>
  <c r="L889" i="12"/>
  <c r="I930" i="12"/>
  <c r="M883" i="12"/>
  <c r="L921" i="12"/>
  <c r="K855" i="12"/>
  <c r="K871" i="12"/>
  <c r="K887" i="12"/>
  <c r="K903" i="12"/>
  <c r="K919" i="12"/>
  <c r="I947" i="12"/>
  <c r="L907" i="12"/>
  <c r="L923" i="12"/>
  <c r="I899" i="12"/>
  <c r="I915" i="12"/>
  <c r="I939" i="12"/>
  <c r="L933" i="12"/>
  <c r="L949" i="12"/>
  <c r="I969" i="12"/>
  <c r="K935" i="12"/>
  <c r="K951" i="12"/>
  <c r="L971" i="12"/>
  <c r="M932" i="12"/>
  <c r="M948" i="12"/>
  <c r="M965" i="12"/>
  <c r="M959" i="12"/>
  <c r="M975" i="12"/>
  <c r="M991" i="12"/>
  <c r="I978" i="12"/>
  <c r="I994" i="12"/>
  <c r="K979" i="12"/>
  <c r="K995" i="12"/>
  <c r="M78" i="12"/>
  <c r="K92" i="12"/>
  <c r="L101" i="12"/>
  <c r="M110" i="12"/>
  <c r="K124" i="12"/>
  <c r="K140" i="12"/>
  <c r="L152" i="12"/>
  <c r="K169" i="12"/>
  <c r="I189" i="12"/>
  <c r="L213" i="12"/>
  <c r="I250" i="12"/>
  <c r="M305" i="12"/>
  <c r="I400" i="12"/>
  <c r="M32" i="12"/>
  <c r="K54" i="12"/>
  <c r="M96" i="12"/>
  <c r="K118" i="12"/>
  <c r="I143" i="12"/>
  <c r="L170" i="12"/>
  <c r="L27" i="12"/>
  <c r="M36" i="12"/>
  <c r="K50" i="12"/>
  <c r="L59" i="12"/>
  <c r="M68" i="12"/>
  <c r="K82" i="12"/>
  <c r="L91" i="12"/>
  <c r="M100" i="12"/>
  <c r="K114" i="12"/>
  <c r="L123" i="12"/>
  <c r="I133" i="12"/>
  <c r="L154" i="12"/>
  <c r="M163" i="12"/>
  <c r="I199" i="12"/>
  <c r="L226" i="12"/>
  <c r="M241" i="12"/>
  <c r="I317" i="12"/>
  <c r="I428" i="12"/>
  <c r="L47" i="12"/>
  <c r="K94" i="12"/>
  <c r="M120" i="12"/>
  <c r="I149" i="12"/>
  <c r="M206" i="12"/>
  <c r="L33" i="12"/>
  <c r="M42" i="12"/>
  <c r="K56" i="12"/>
  <c r="L65" i="12"/>
  <c r="M74" i="12"/>
  <c r="K88" i="12"/>
  <c r="L97" i="12"/>
  <c r="M106" i="12"/>
  <c r="K120" i="12"/>
  <c r="L129" i="12"/>
  <c r="I138" i="12"/>
  <c r="K156" i="12"/>
  <c r="L168" i="12"/>
  <c r="L178" i="12"/>
  <c r="I215" i="12"/>
  <c r="K239" i="12"/>
  <c r="M254" i="12"/>
  <c r="L328" i="12"/>
  <c r="K418" i="12"/>
  <c r="K27" i="12"/>
  <c r="L32" i="12"/>
  <c r="I37" i="12"/>
  <c r="K43" i="12"/>
  <c r="L48" i="12"/>
  <c r="I53" i="12"/>
  <c r="K59" i="12"/>
  <c r="L64" i="12"/>
  <c r="I69" i="12"/>
  <c r="K75" i="12"/>
  <c r="L80" i="12"/>
  <c r="I85" i="12"/>
  <c r="K91" i="12"/>
  <c r="L96" i="12"/>
  <c r="I101" i="12"/>
  <c r="K107" i="12"/>
  <c r="L112" i="12"/>
  <c r="I117" i="12"/>
  <c r="K123" i="12"/>
  <c r="L128" i="12"/>
  <c r="L134" i="12"/>
  <c r="M143" i="12"/>
  <c r="M149" i="12"/>
  <c r="K157" i="12"/>
  <c r="K163" i="12"/>
  <c r="L172" i="12"/>
  <c r="I177" i="12"/>
  <c r="I187" i="12"/>
  <c r="K192" i="12"/>
  <c r="L198" i="12"/>
  <c r="M207" i="12"/>
  <c r="M213" i="12"/>
  <c r="K221" i="12"/>
  <c r="K227" i="12"/>
  <c r="L236" i="12"/>
  <c r="I241" i="12"/>
  <c r="I251" i="12"/>
  <c r="K256" i="12"/>
  <c r="L262" i="12"/>
  <c r="I281" i="12"/>
  <c r="K299" i="12"/>
  <c r="M317" i="12"/>
  <c r="I345" i="12"/>
  <c r="K363" i="12"/>
  <c r="M381" i="12"/>
  <c r="I422" i="12"/>
  <c r="K517" i="12"/>
  <c r="I178" i="12"/>
  <c r="M185" i="12"/>
  <c r="K193" i="12"/>
  <c r="M198" i="12"/>
  <c r="L208" i="12"/>
  <c r="I213" i="12"/>
  <c r="L221" i="12"/>
  <c r="K228" i="12"/>
  <c r="L234" i="12"/>
  <c r="I242" i="12"/>
  <c r="M249" i="12"/>
  <c r="K257" i="12"/>
  <c r="M262" i="12"/>
  <c r="M281" i="12"/>
  <c r="L304" i="12"/>
  <c r="I325" i="12"/>
  <c r="M345" i="12"/>
  <c r="L368" i="12"/>
  <c r="K389" i="12"/>
  <c r="M407" i="12"/>
  <c r="M468" i="12"/>
  <c r="M599" i="12"/>
  <c r="K29" i="12"/>
  <c r="L34" i="12"/>
  <c r="M39" i="12"/>
  <c r="K45" i="12"/>
  <c r="L50" i="12"/>
  <c r="M55" i="12"/>
  <c r="K61" i="12"/>
  <c r="L66" i="12"/>
  <c r="M71" i="12"/>
  <c r="K77" i="12"/>
  <c r="L82" i="12"/>
  <c r="M87" i="12"/>
  <c r="K93" i="12"/>
  <c r="L98" i="12"/>
  <c r="M103" i="12"/>
  <c r="K109" i="12"/>
  <c r="L114" i="12"/>
  <c r="M119" i="12"/>
  <c r="K125" i="12"/>
  <c r="L130" i="12"/>
  <c r="K136" i="12"/>
  <c r="L142" i="12"/>
  <c r="I150" i="12"/>
  <c r="M157" i="12"/>
  <c r="K165" i="12"/>
  <c r="M170" i="12"/>
  <c r="L180" i="12"/>
  <c r="I185" i="12"/>
  <c r="L193" i="12"/>
  <c r="K200" i="12"/>
  <c r="L206" i="12"/>
  <c r="I214" i="12"/>
  <c r="M221" i="12"/>
  <c r="K229" i="12"/>
  <c r="M234" i="12"/>
  <c r="L244" i="12"/>
  <c r="I249" i="12"/>
  <c r="L257" i="12"/>
  <c r="I273" i="12"/>
  <c r="K291" i="12"/>
  <c r="M309" i="12"/>
  <c r="I337" i="12"/>
  <c r="K355" i="12"/>
  <c r="M373" i="12"/>
  <c r="K405" i="12"/>
  <c r="M420" i="12"/>
  <c r="M452" i="12"/>
  <c r="I560" i="12"/>
  <c r="I132" i="12"/>
  <c r="M136" i="12"/>
  <c r="L143" i="12"/>
  <c r="I148" i="12"/>
  <c r="M152" i="12"/>
  <c r="L159" i="12"/>
  <c r="I164" i="12"/>
  <c r="M168" i="12"/>
  <c r="L175" i="12"/>
  <c r="I180" i="12"/>
  <c r="M184" i="12"/>
  <c r="L191" i="12"/>
  <c r="I196" i="12"/>
  <c r="M200" i="12"/>
  <c r="L207" i="12"/>
  <c r="I212" i="12"/>
  <c r="M216" i="12"/>
  <c r="L223" i="12"/>
  <c r="I228" i="12"/>
  <c r="M232" i="12"/>
  <c r="L239" i="12"/>
  <c r="I244" i="12"/>
  <c r="M248" i="12"/>
  <c r="L255" i="12"/>
  <c r="I260" i="12"/>
  <c r="M264" i="12"/>
  <c r="L271" i="12"/>
  <c r="I276" i="12"/>
  <c r="M280" i="12"/>
  <c r="L287" i="12"/>
  <c r="I292" i="12"/>
  <c r="M296" i="12"/>
  <c r="L303" i="12"/>
  <c r="I308" i="12"/>
  <c r="L315" i="12"/>
  <c r="L323" i="12"/>
  <c r="L331" i="12"/>
  <c r="L339" i="12"/>
  <c r="L347" i="12"/>
  <c r="L355" i="12"/>
  <c r="L363" i="12"/>
  <c r="L371" i="12"/>
  <c r="L379" i="12"/>
  <c r="L387" i="12"/>
  <c r="M395" i="12"/>
  <c r="I407" i="12"/>
  <c r="L418" i="12"/>
  <c r="K428" i="12"/>
  <c r="K446" i="12"/>
  <c r="K478" i="12"/>
  <c r="K527" i="12"/>
  <c r="K629" i="12"/>
  <c r="K277" i="12"/>
  <c r="K293" i="12"/>
  <c r="K309" i="12"/>
  <c r="K325" i="12"/>
  <c r="K341" i="12"/>
  <c r="K357" i="12"/>
  <c r="K373" i="12"/>
  <c r="L390" i="12"/>
  <c r="I411" i="12"/>
  <c r="L435" i="12"/>
  <c r="M492" i="12"/>
  <c r="I595" i="12"/>
  <c r="I274" i="12"/>
  <c r="I290" i="12"/>
  <c r="I306" i="12"/>
  <c r="I322" i="12"/>
  <c r="I338" i="12"/>
  <c r="I354" i="12"/>
  <c r="I370" i="12"/>
  <c r="I386" i="12"/>
  <c r="L407" i="12"/>
  <c r="L433" i="12"/>
  <c r="L495" i="12"/>
  <c r="L571" i="12"/>
  <c r="M431" i="12"/>
  <c r="M447" i="12"/>
  <c r="M463" i="12"/>
  <c r="M479" i="12"/>
  <c r="M495" i="12"/>
  <c r="I516" i="12"/>
  <c r="M536" i="12"/>
  <c r="L559" i="12"/>
  <c r="K593" i="12"/>
  <c r="K657" i="12"/>
  <c r="L445" i="12"/>
  <c r="L461" i="12"/>
  <c r="L477" i="12"/>
  <c r="L493" i="12"/>
  <c r="L515" i="12"/>
  <c r="I536" i="12"/>
  <c r="M556" i="12"/>
  <c r="K589" i="12"/>
  <c r="K653" i="12"/>
  <c r="M393" i="12"/>
  <c r="M409" i="12"/>
  <c r="M425" i="12"/>
  <c r="M441" i="12"/>
  <c r="M457" i="12"/>
  <c r="M473" i="12"/>
  <c r="M489" i="12"/>
  <c r="K510" i="12"/>
  <c r="M531" i="12"/>
  <c r="L554" i="12"/>
  <c r="K585" i="12"/>
  <c r="K649" i="12"/>
  <c r="L501" i="12"/>
  <c r="L517" i="12"/>
  <c r="L533" i="12"/>
  <c r="L549" i="12"/>
  <c r="L565" i="12"/>
  <c r="L581" i="12"/>
  <c r="L597" i="12"/>
  <c r="L613" i="12"/>
  <c r="L629" i="12"/>
  <c r="L645" i="12"/>
  <c r="L661" i="12"/>
  <c r="M704" i="12"/>
  <c r="I573" i="12"/>
  <c r="I589" i="12"/>
  <c r="I605" i="12"/>
  <c r="I621" i="12"/>
  <c r="I637" i="12"/>
  <c r="I653" i="12"/>
  <c r="I681" i="12"/>
  <c r="I776" i="12"/>
  <c r="K582" i="12"/>
  <c r="K598" i="12"/>
  <c r="K614" i="12"/>
  <c r="K630" i="12"/>
  <c r="K646" i="12"/>
  <c r="K662" i="12"/>
  <c r="M730" i="12"/>
  <c r="K668" i="12"/>
  <c r="K687" i="12"/>
  <c r="M708" i="12"/>
  <c r="L731" i="12"/>
  <c r="K751" i="12"/>
  <c r="I788" i="12"/>
  <c r="K850" i="12"/>
  <c r="I686" i="12"/>
  <c r="M706" i="12"/>
  <c r="K726" i="12"/>
  <c r="I750" i="12"/>
  <c r="L779" i="12"/>
  <c r="L843" i="12"/>
  <c r="I672" i="12"/>
  <c r="K692" i="12"/>
  <c r="I712" i="12"/>
  <c r="L733" i="12"/>
  <c r="K756" i="12"/>
  <c r="I796" i="12"/>
  <c r="L865" i="12"/>
  <c r="K689" i="12"/>
  <c r="K705" i="12"/>
  <c r="K721" i="12"/>
  <c r="K737" i="12"/>
  <c r="K753" i="12"/>
  <c r="K769" i="12"/>
  <c r="K785" i="12"/>
  <c r="K801" i="12"/>
  <c r="K817" i="12"/>
  <c r="K833" i="12"/>
  <c r="I860" i="12"/>
  <c r="I770" i="12"/>
  <c r="I786" i="12"/>
  <c r="I802" i="12"/>
  <c r="I818" i="12"/>
  <c r="I834" i="12"/>
  <c r="I851" i="12"/>
  <c r="K771" i="12"/>
  <c r="K787" i="12"/>
  <c r="K803" i="12"/>
  <c r="K819" i="12"/>
  <c r="K835" i="12"/>
  <c r="K862" i="12"/>
  <c r="I852" i="12"/>
  <c r="M872" i="12"/>
  <c r="K892" i="12"/>
  <c r="M850" i="12"/>
  <c r="L873" i="12"/>
  <c r="K893" i="12"/>
  <c r="K967" i="12"/>
  <c r="L890" i="12"/>
  <c r="M939" i="12"/>
  <c r="K859" i="12"/>
  <c r="K875" i="12"/>
  <c r="K891" i="12"/>
  <c r="K907" i="12"/>
  <c r="K923" i="12"/>
  <c r="I965" i="12"/>
  <c r="L911" i="12"/>
  <c r="L927" i="12"/>
  <c r="I903" i="12"/>
  <c r="I919" i="12"/>
  <c r="I955" i="12"/>
  <c r="L937" i="12"/>
  <c r="L953" i="12"/>
  <c r="M973" i="12"/>
  <c r="K939" i="12"/>
  <c r="K955" i="12"/>
  <c r="L975" i="12"/>
  <c r="M936" i="12"/>
  <c r="M952" i="12"/>
  <c r="L972" i="12"/>
  <c r="M963" i="12"/>
  <c r="M979" i="12"/>
  <c r="M995" i="12"/>
  <c r="I982" i="12"/>
  <c r="I998" i="12"/>
  <c r="K983" i="12"/>
  <c r="K999" i="12"/>
  <c r="K84" i="12"/>
  <c r="L93" i="12"/>
  <c r="M102" i="12"/>
  <c r="K116" i="12"/>
  <c r="L125" i="12"/>
  <c r="K143" i="12"/>
  <c r="M155" i="12"/>
  <c r="K172" i="12"/>
  <c r="K201" i="12"/>
  <c r="M219" i="12"/>
  <c r="I253" i="12"/>
  <c r="I333" i="12"/>
  <c r="K482" i="12"/>
  <c r="I36" i="12"/>
  <c r="L79" i="12"/>
  <c r="L103" i="12"/>
  <c r="K126" i="12"/>
  <c r="M150" i="12"/>
  <c r="K188" i="12"/>
  <c r="M28" i="12"/>
  <c r="K42" i="12"/>
  <c r="L51" i="12"/>
  <c r="M60" i="12"/>
  <c r="K74" i="12"/>
  <c r="L83" i="12"/>
  <c r="M92" i="12"/>
  <c r="K106" i="12"/>
  <c r="L115" i="12"/>
  <c r="M124" i="12"/>
  <c r="M137" i="12"/>
  <c r="L157" i="12"/>
  <c r="I165" i="12"/>
  <c r="I205" i="12"/>
  <c r="L229" i="12"/>
  <c r="I263" i="12"/>
  <c r="L344" i="12"/>
  <c r="L491" i="12"/>
  <c r="L63" i="12"/>
  <c r="I100" i="12"/>
  <c r="I124" i="12"/>
  <c r="L173" i="12"/>
  <c r="I231" i="12"/>
  <c r="L25" i="12"/>
  <c r="M34" i="12"/>
  <c r="K48" i="12"/>
  <c r="L57" i="12"/>
  <c r="M66" i="12"/>
  <c r="K80" i="12"/>
  <c r="L89" i="12"/>
  <c r="M98" i="12"/>
  <c r="K112" i="12"/>
  <c r="L121" i="12"/>
  <c r="M130" i="12"/>
  <c r="I141" i="12"/>
  <c r="K159" i="12"/>
  <c r="I170" i="12"/>
  <c r="L184" i="12"/>
  <c r="I218" i="12"/>
  <c r="L242" i="12"/>
  <c r="L264" i="12"/>
  <c r="M337" i="12"/>
  <c r="M432" i="12"/>
  <c r="L28" i="12"/>
  <c r="I33" i="12"/>
  <c r="K39" i="12"/>
  <c r="L44" i="12"/>
  <c r="I49" i="12"/>
  <c r="K55" i="12"/>
  <c r="L60" i="12"/>
  <c r="I65" i="12"/>
  <c r="K71" i="12"/>
  <c r="L76" i="12"/>
  <c r="I81" i="12"/>
  <c r="K87" i="12"/>
  <c r="L92" i="12"/>
  <c r="I97" i="12"/>
  <c r="K103" i="12"/>
  <c r="L108" i="12"/>
  <c r="I113" i="12"/>
  <c r="K119" i="12"/>
  <c r="L124" i="12"/>
  <c r="I129" i="12"/>
  <c r="I139" i="12"/>
  <c r="K144" i="12"/>
  <c r="L150" i="12"/>
  <c r="M159" i="12"/>
  <c r="M165" i="12"/>
  <c r="K173" i="12"/>
  <c r="K179" i="12"/>
  <c r="L188" i="12"/>
  <c r="I193" i="12"/>
  <c r="I203" i="12"/>
  <c r="K208" i="12"/>
  <c r="L214" i="12"/>
  <c r="M223" i="12"/>
  <c r="M229" i="12"/>
  <c r="K237" i="12"/>
  <c r="K243" i="12"/>
  <c r="L252" i="12"/>
  <c r="I257" i="12"/>
  <c r="I265" i="12"/>
  <c r="K283" i="12"/>
  <c r="M301" i="12"/>
  <c r="I329" i="12"/>
  <c r="K347" i="12"/>
  <c r="M365" i="12"/>
  <c r="M391" i="12"/>
  <c r="I448" i="12"/>
  <c r="M529" i="12"/>
  <c r="K180" i="12"/>
  <c r="L186" i="12"/>
  <c r="I194" i="12"/>
  <c r="M201" i="12"/>
  <c r="K209" i="12"/>
  <c r="M214" i="12"/>
  <c r="L224" i="12"/>
  <c r="I229" i="12"/>
  <c r="L237" i="12"/>
  <c r="K244" i="12"/>
  <c r="L250" i="12"/>
  <c r="I258" i="12"/>
  <c r="M265" i="12"/>
  <c r="L288" i="12"/>
  <c r="I309" i="12"/>
  <c r="M329" i="12"/>
  <c r="L352" i="12"/>
  <c r="I373" i="12"/>
  <c r="L395" i="12"/>
  <c r="M410" i="12"/>
  <c r="I496" i="12"/>
  <c r="K25" i="12"/>
  <c r="L30" i="12"/>
  <c r="M35" i="12"/>
  <c r="K41" i="12"/>
  <c r="L46" i="12"/>
  <c r="M51" i="12"/>
  <c r="K57" i="12"/>
  <c r="L62" i="12"/>
  <c r="M67" i="12"/>
  <c r="K73" i="12"/>
  <c r="L78" i="12"/>
  <c r="M83" i="12"/>
  <c r="K89" i="12"/>
  <c r="L94" i="12"/>
  <c r="M99" i="12"/>
  <c r="K105" i="12"/>
  <c r="L110" i="12"/>
  <c r="M115" i="12"/>
  <c r="K121" i="12"/>
  <c r="L126" i="12"/>
  <c r="L132" i="12"/>
  <c r="I137" i="12"/>
  <c r="L145" i="12"/>
  <c r="K152" i="12"/>
  <c r="L158" i="12"/>
  <c r="I166" i="12"/>
  <c r="M173" i="12"/>
  <c r="K181" i="12"/>
  <c r="M186" i="12"/>
  <c r="L196" i="12"/>
  <c r="I201" i="12"/>
  <c r="L209" i="12"/>
  <c r="K216" i="12"/>
  <c r="L222" i="12"/>
  <c r="I230" i="12"/>
  <c r="M237" i="12"/>
  <c r="K245" i="12"/>
  <c r="M250" i="12"/>
  <c r="L260" i="12"/>
  <c r="K275" i="12"/>
  <c r="M293" i="12"/>
  <c r="I321" i="12"/>
  <c r="K339" i="12"/>
  <c r="M357" i="12"/>
  <c r="I385" i="12"/>
  <c r="K408" i="12"/>
  <c r="M423" i="12"/>
  <c r="I499" i="12"/>
  <c r="L572" i="12"/>
  <c r="M132" i="12"/>
  <c r="L139" i="12"/>
  <c r="I144" i="12"/>
  <c r="M148" i="12"/>
  <c r="L155" i="12"/>
  <c r="I160" i="12"/>
  <c r="M164" i="12"/>
  <c r="L171" i="12"/>
  <c r="I176" i="12"/>
  <c r="M180" i="12"/>
  <c r="L187" i="12"/>
  <c r="I192" i="12"/>
  <c r="M196" i="12"/>
  <c r="L203" i="12"/>
  <c r="I208" i="12"/>
  <c r="M212" i="12"/>
  <c r="L219" i="12"/>
  <c r="I224" i="12"/>
  <c r="M228" i="12"/>
  <c r="L235" i="12"/>
  <c r="I240" i="12"/>
  <c r="M244" i="12"/>
  <c r="L251" i="12"/>
  <c r="I256" i="12"/>
  <c r="M260" i="12"/>
  <c r="L267" i="12"/>
  <c r="I272" i="12"/>
  <c r="M276" i="12"/>
  <c r="L283" i="12"/>
  <c r="I288" i="12"/>
  <c r="M292" i="12"/>
  <c r="L299" i="12"/>
  <c r="I304" i="12"/>
  <c r="M308" i="12"/>
  <c r="M316" i="12"/>
  <c r="M324" i="12"/>
  <c r="M332" i="12"/>
  <c r="M340" i="12"/>
  <c r="M348" i="12"/>
  <c r="M356" i="12"/>
  <c r="M364" i="12"/>
  <c r="M372" i="12"/>
  <c r="M380" i="12"/>
  <c r="L389" i="12"/>
  <c r="M398" i="12"/>
  <c r="K409" i="12"/>
  <c r="L421" i="12"/>
  <c r="M430" i="12"/>
  <c r="L455" i="12"/>
  <c r="L487" i="12"/>
  <c r="K533" i="12"/>
  <c r="K265" i="12"/>
  <c r="K281" i="12"/>
  <c r="K297" i="12"/>
  <c r="K313" i="12"/>
  <c r="K329" i="12"/>
  <c r="K345" i="12"/>
  <c r="K361" i="12"/>
  <c r="K377" i="12"/>
  <c r="I395" i="12"/>
  <c r="M415" i="12"/>
  <c r="M444" i="12"/>
  <c r="I525" i="12"/>
  <c r="I659" i="12"/>
  <c r="I278" i="12"/>
  <c r="I294" i="12"/>
  <c r="I310" i="12"/>
  <c r="I326" i="12"/>
  <c r="I342" i="12"/>
  <c r="I358" i="12"/>
  <c r="I374" i="12"/>
  <c r="L391" i="12"/>
  <c r="K414" i="12"/>
  <c r="L447" i="12"/>
  <c r="L507" i="12"/>
  <c r="M615" i="12"/>
  <c r="M435" i="12"/>
  <c r="M451" i="12"/>
  <c r="M467" i="12"/>
  <c r="M483" i="12"/>
  <c r="I500" i="12"/>
  <c r="M520" i="12"/>
  <c r="L543" i="12"/>
  <c r="I564" i="12"/>
  <c r="K609" i="12"/>
  <c r="I716" i="12"/>
  <c r="L449" i="12"/>
  <c r="L465" i="12"/>
  <c r="L481" i="12"/>
  <c r="L499" i="12"/>
  <c r="I520" i="12"/>
  <c r="M540" i="12"/>
  <c r="L563" i="12"/>
  <c r="K605" i="12"/>
  <c r="M671" i="12"/>
  <c r="M397" i="12"/>
  <c r="M413" i="12"/>
  <c r="M429" i="12"/>
  <c r="M445" i="12"/>
  <c r="M461" i="12"/>
  <c r="M477" i="12"/>
  <c r="M493" i="12"/>
  <c r="M515" i="12"/>
  <c r="L538" i="12"/>
  <c r="K558" i="12"/>
  <c r="K601" i="12"/>
  <c r="M667" i="12"/>
  <c r="L505" i="12"/>
  <c r="L521" i="12"/>
  <c r="L537" i="12"/>
  <c r="L553" i="12"/>
  <c r="L569" i="12"/>
  <c r="L585" i="12"/>
  <c r="L601" i="12"/>
  <c r="L617" i="12"/>
  <c r="L633" i="12"/>
  <c r="L649" i="12"/>
  <c r="L664" i="12"/>
  <c r="K744" i="12"/>
  <c r="I577" i="12"/>
  <c r="I593" i="12"/>
  <c r="I609" i="12"/>
  <c r="I625" i="12"/>
  <c r="I641" i="12"/>
  <c r="I657" i="12"/>
  <c r="K702" i="12"/>
  <c r="I840" i="12"/>
  <c r="K586" i="12"/>
  <c r="K602" i="12"/>
  <c r="K618" i="12"/>
  <c r="K634" i="12"/>
  <c r="K650" i="12"/>
  <c r="M669" i="12"/>
  <c r="I761" i="12"/>
  <c r="K672" i="12"/>
  <c r="M692" i="12"/>
  <c r="L715" i="12"/>
  <c r="K735" i="12"/>
  <c r="M756" i="12"/>
  <c r="I804" i="12"/>
  <c r="L891" i="12"/>
  <c r="M690" i="12"/>
  <c r="K710" i="12"/>
  <c r="I734" i="12"/>
  <c r="M754" i="12"/>
  <c r="L795" i="12"/>
  <c r="K882" i="12"/>
  <c r="K676" i="12"/>
  <c r="I696" i="12"/>
  <c r="L717" i="12"/>
  <c r="K740" i="12"/>
  <c r="I760" i="12"/>
  <c r="I812" i="12"/>
  <c r="K677" i="12"/>
  <c r="K693" i="12"/>
  <c r="K709" i="12"/>
  <c r="K725" i="12"/>
  <c r="K741" i="12"/>
  <c r="K757" i="12"/>
  <c r="K773" i="12"/>
  <c r="K789" i="12"/>
  <c r="K805" i="12"/>
  <c r="K821" i="12"/>
  <c r="K837" i="12"/>
  <c r="I866" i="12"/>
  <c r="I774" i="12"/>
  <c r="I790" i="12"/>
  <c r="I806" i="12"/>
  <c r="I822" i="12"/>
  <c r="I838" i="12"/>
  <c r="M858" i="12"/>
  <c r="K775" i="12"/>
  <c r="K791" i="12"/>
  <c r="K807" i="12"/>
  <c r="K823" i="12"/>
  <c r="K839" i="12"/>
  <c r="L875" i="12"/>
  <c r="M856" i="12"/>
  <c r="K876" i="12"/>
  <c r="K904" i="12"/>
  <c r="L857" i="12"/>
  <c r="K877" i="12"/>
  <c r="I898" i="12"/>
  <c r="L874" i="12"/>
  <c r="I895" i="12"/>
  <c r="K847" i="12"/>
  <c r="K863" i="12"/>
  <c r="K879" i="12"/>
  <c r="K895" i="12"/>
  <c r="K911" i="12"/>
  <c r="K927" i="12"/>
  <c r="L899" i="12"/>
  <c r="L915" i="12"/>
  <c r="M931" i="12"/>
  <c r="I907" i="12"/>
  <c r="I923" i="12"/>
  <c r="M966" i="12"/>
  <c r="L941" i="12"/>
  <c r="M957" i="12"/>
  <c r="I988" i="12"/>
  <c r="K943" i="12"/>
  <c r="K959" i="12"/>
  <c r="M988" i="12"/>
  <c r="M940" i="12"/>
  <c r="M956" i="12"/>
  <c r="M984" i="12"/>
  <c r="M967" i="12"/>
  <c r="M983" i="12"/>
  <c r="M999" i="12"/>
  <c r="I986" i="12"/>
  <c r="I1002" i="12"/>
  <c r="K987" i="12"/>
  <c r="K1003" i="12"/>
  <c r="L298" i="12"/>
  <c r="L302" i="12"/>
  <c r="L306" i="12"/>
  <c r="L310" i="12"/>
  <c r="L314" i="12"/>
  <c r="L318" i="12"/>
  <c r="L322" i="12"/>
  <c r="L326" i="12"/>
  <c r="L330" i="12"/>
  <c r="L334" i="12"/>
  <c r="L338" i="12"/>
  <c r="L342" i="12"/>
  <c r="L346" i="12"/>
  <c r="L350" i="12"/>
  <c r="L354" i="12"/>
  <c r="L358" i="12"/>
  <c r="L362" i="12"/>
  <c r="L366" i="12"/>
  <c r="L370" i="12"/>
  <c r="L374" i="12"/>
  <c r="L378" i="12"/>
  <c r="L382" i="12"/>
  <c r="L386" i="12"/>
  <c r="I392" i="12"/>
  <c r="M396" i="12"/>
  <c r="K400" i="12"/>
  <c r="I408" i="12"/>
  <c r="M412" i="12"/>
  <c r="K416" i="12"/>
  <c r="I424" i="12"/>
  <c r="M428" i="12"/>
  <c r="M436" i="12"/>
  <c r="L451" i="12"/>
  <c r="L467" i="12"/>
  <c r="L483" i="12"/>
  <c r="M497" i="12"/>
  <c r="I528" i="12"/>
  <c r="K549" i="12"/>
  <c r="M561" i="12"/>
  <c r="K613" i="12"/>
  <c r="L676" i="12"/>
  <c r="M266" i="12"/>
  <c r="M270" i="12"/>
  <c r="M274" i="12"/>
  <c r="M278" i="12"/>
  <c r="M282" i="12"/>
  <c r="M286" i="12"/>
  <c r="M290" i="12"/>
  <c r="M294" i="12"/>
  <c r="M298" i="12"/>
  <c r="M302" i="12"/>
  <c r="M306" i="12"/>
  <c r="M310" i="12"/>
  <c r="M314" i="12"/>
  <c r="M318" i="12"/>
  <c r="M322" i="12"/>
  <c r="M326" i="12"/>
  <c r="M330" i="12"/>
  <c r="M334" i="12"/>
  <c r="M338" i="12"/>
  <c r="M342" i="12"/>
  <c r="M346" i="12"/>
  <c r="M350" i="12"/>
  <c r="M354" i="12"/>
  <c r="M358" i="12"/>
  <c r="M362" i="12"/>
  <c r="M366" i="12"/>
  <c r="M370" i="12"/>
  <c r="M374" i="12"/>
  <c r="M378" i="12"/>
  <c r="M382" i="12"/>
  <c r="M386" i="12"/>
  <c r="L394" i="12"/>
  <c r="I399" i="12"/>
  <c r="M403" i="12"/>
  <c r="L410" i="12"/>
  <c r="I415" i="12"/>
  <c r="M419" i="12"/>
  <c r="M426" i="12"/>
  <c r="M434" i="12"/>
  <c r="I452" i="12"/>
  <c r="I468" i="12"/>
  <c r="I484" i="12"/>
  <c r="K498" i="12"/>
  <c r="L510" i="12"/>
  <c r="I541" i="12"/>
  <c r="K562" i="12"/>
  <c r="I579" i="12"/>
  <c r="I643" i="12"/>
  <c r="K826" i="12"/>
  <c r="K429" i="12"/>
  <c r="K433" i="12"/>
  <c r="K437" i="12"/>
  <c r="K441" i="12"/>
  <c r="K445" i="12"/>
  <c r="K449" i="12"/>
  <c r="K453" i="12"/>
  <c r="K457" i="12"/>
  <c r="K461" i="12"/>
  <c r="K465" i="12"/>
  <c r="K469" i="12"/>
  <c r="K473" i="12"/>
  <c r="K477" i="12"/>
  <c r="K481" i="12"/>
  <c r="K485" i="12"/>
  <c r="K489" i="12"/>
  <c r="K493" i="12"/>
  <c r="I497" i="12"/>
  <c r="M501" i="12"/>
  <c r="K505" i="12"/>
  <c r="I513" i="12"/>
  <c r="M517" i="12"/>
  <c r="K521" i="12"/>
  <c r="I529" i="12"/>
  <c r="M533" i="12"/>
  <c r="K537" i="12"/>
  <c r="I545" i="12"/>
  <c r="M549" i="12"/>
  <c r="K553" i="12"/>
  <c r="I561" i="12"/>
  <c r="M565" i="12"/>
  <c r="K569" i="12"/>
  <c r="M579" i="12"/>
  <c r="M595" i="12"/>
  <c r="M611" i="12"/>
  <c r="M627" i="12"/>
  <c r="M643" i="12"/>
  <c r="M659" i="12"/>
  <c r="K728" i="12"/>
  <c r="I438" i="12"/>
  <c r="I442" i="12"/>
  <c r="I446" i="12"/>
  <c r="I450" i="12"/>
  <c r="I454" i="12"/>
  <c r="I458" i="12"/>
  <c r="I462" i="12"/>
  <c r="I466" i="12"/>
  <c r="I470" i="12"/>
  <c r="I474" i="12"/>
  <c r="I478" i="12"/>
  <c r="I482" i="12"/>
  <c r="I486" i="12"/>
  <c r="I490" i="12"/>
  <c r="I494" i="12"/>
  <c r="I501" i="12"/>
  <c r="M505" i="12"/>
  <c r="K509" i="12"/>
  <c r="I517" i="12"/>
  <c r="M521" i="12"/>
  <c r="K525" i="12"/>
  <c r="I533" i="12"/>
  <c r="M537" i="12"/>
  <c r="K541" i="12"/>
  <c r="I549" i="12"/>
  <c r="M553" i="12"/>
  <c r="K557" i="12"/>
  <c r="I565" i="12"/>
  <c r="M569" i="12"/>
  <c r="M575" i="12"/>
  <c r="M591" i="12"/>
  <c r="M607" i="12"/>
  <c r="M623" i="12"/>
  <c r="M639" i="12"/>
  <c r="M655" i="12"/>
  <c r="M682" i="12"/>
  <c r="I808" i="12"/>
  <c r="K391" i="12"/>
  <c r="K395" i="12"/>
  <c r="K399" i="12"/>
  <c r="K403" i="12"/>
  <c r="K407" i="12"/>
  <c r="K411" i="12"/>
  <c r="K415" i="12"/>
  <c r="K419" i="12"/>
  <c r="K423" i="12"/>
  <c r="K427" i="12"/>
  <c r="K431" i="12"/>
  <c r="K435" i="12"/>
  <c r="K439" i="12"/>
  <c r="K443" i="12"/>
  <c r="K447" i="12"/>
  <c r="K451" i="12"/>
  <c r="K455" i="12"/>
  <c r="K459" i="12"/>
  <c r="K463" i="12"/>
  <c r="K467" i="12"/>
  <c r="K471" i="12"/>
  <c r="K475" i="12"/>
  <c r="K479" i="12"/>
  <c r="K483" i="12"/>
  <c r="K487" i="12"/>
  <c r="K491" i="12"/>
  <c r="K495" i="12"/>
  <c r="L500" i="12"/>
  <c r="K507" i="12"/>
  <c r="I511" i="12"/>
  <c r="L516" i="12"/>
  <c r="K523" i="12"/>
  <c r="I527" i="12"/>
  <c r="L532" i="12"/>
  <c r="K539" i="12"/>
  <c r="I543" i="12"/>
  <c r="L548" i="12"/>
  <c r="K555" i="12"/>
  <c r="I559" i="12"/>
  <c r="L564" i="12"/>
  <c r="K571" i="12"/>
  <c r="M587" i="12"/>
  <c r="M603" i="12"/>
  <c r="M619" i="12"/>
  <c r="M635" i="12"/>
  <c r="M651" i="12"/>
  <c r="M685" i="12"/>
  <c r="M780" i="12"/>
  <c r="I498" i="12"/>
  <c r="I502" i="12"/>
  <c r="I506" i="12"/>
  <c r="I510" i="12"/>
  <c r="I514" i="12"/>
  <c r="I518" i="12"/>
  <c r="I522" i="12"/>
  <c r="I526" i="12"/>
  <c r="I530" i="12"/>
  <c r="I534" i="12"/>
  <c r="I538" i="12"/>
  <c r="I542" i="12"/>
  <c r="I546" i="12"/>
  <c r="I550" i="12"/>
  <c r="I554" i="12"/>
  <c r="I558" i="12"/>
  <c r="I562" i="12"/>
  <c r="I566" i="12"/>
  <c r="I570" i="12"/>
  <c r="I574" i="12"/>
  <c r="I578" i="12"/>
  <c r="I582" i="12"/>
  <c r="I586" i="12"/>
  <c r="I590" i="12"/>
  <c r="I594" i="12"/>
  <c r="I598" i="12"/>
  <c r="I602" i="12"/>
  <c r="I606" i="12"/>
  <c r="I610" i="12"/>
  <c r="I614" i="12"/>
  <c r="I618" i="12"/>
  <c r="I622" i="12"/>
  <c r="I626" i="12"/>
  <c r="I630" i="12"/>
  <c r="I634" i="12"/>
  <c r="I638" i="12"/>
  <c r="I642" i="12"/>
  <c r="I646" i="12"/>
  <c r="I650" i="12"/>
  <c r="I654" i="12"/>
  <c r="I658" i="12"/>
  <c r="I662" i="12"/>
  <c r="M665" i="12"/>
  <c r="K683" i="12"/>
  <c r="L695" i="12"/>
  <c r="I726" i="12"/>
  <c r="K747" i="12"/>
  <c r="L759" i="12"/>
  <c r="K810" i="12"/>
  <c r="M573" i="12"/>
  <c r="M577" i="12"/>
  <c r="M581" i="12"/>
  <c r="M585" i="12"/>
  <c r="M589" i="12"/>
  <c r="M593" i="12"/>
  <c r="M597" i="12"/>
  <c r="M601" i="12"/>
  <c r="M605" i="12"/>
  <c r="M609" i="12"/>
  <c r="M613" i="12"/>
  <c r="M617" i="12"/>
  <c r="M621" i="12"/>
  <c r="M625" i="12"/>
  <c r="M629" i="12"/>
  <c r="M633" i="12"/>
  <c r="M637" i="12"/>
  <c r="M641" i="12"/>
  <c r="M645" i="12"/>
  <c r="M649" i="12"/>
  <c r="M653" i="12"/>
  <c r="M657" i="12"/>
  <c r="M661" i="12"/>
  <c r="L670" i="12"/>
  <c r="I684" i="12"/>
  <c r="L705" i="12"/>
  <c r="M717" i="12"/>
  <c r="I748" i="12"/>
  <c r="K794" i="12"/>
  <c r="K888" i="12"/>
  <c r="L575" i="12"/>
  <c r="L579" i="12"/>
  <c r="L583" i="12"/>
  <c r="L587" i="12"/>
  <c r="L591" i="12"/>
  <c r="L595" i="12"/>
  <c r="L599" i="12"/>
  <c r="L603" i="12"/>
  <c r="L607" i="12"/>
  <c r="L611" i="12"/>
  <c r="L615" i="12"/>
  <c r="L619" i="12"/>
  <c r="L623" i="12"/>
  <c r="L627" i="12"/>
  <c r="L631" i="12"/>
  <c r="L635" i="12"/>
  <c r="L639" i="12"/>
  <c r="L643" i="12"/>
  <c r="L647" i="12"/>
  <c r="L651" i="12"/>
  <c r="L655" i="12"/>
  <c r="L659" i="12"/>
  <c r="I665" i="12"/>
  <c r="I671" i="12"/>
  <c r="I700" i="12"/>
  <c r="L721" i="12"/>
  <c r="M733" i="12"/>
  <c r="I764" i="12"/>
  <c r="I824" i="12"/>
  <c r="L665" i="12"/>
  <c r="L669" i="12"/>
  <c r="L673" i="12"/>
  <c r="L677" i="12"/>
  <c r="K684" i="12"/>
  <c r="I688" i="12"/>
  <c r="L693" i="12"/>
  <c r="K700" i="12"/>
  <c r="I704" i="12"/>
  <c r="L709" i="12"/>
  <c r="K716" i="12"/>
  <c r="I720" i="12"/>
  <c r="L725" i="12"/>
  <c r="K732" i="12"/>
  <c r="I736" i="12"/>
  <c r="L741" i="12"/>
  <c r="K748" i="12"/>
  <c r="I752" i="12"/>
  <c r="L757" i="12"/>
  <c r="K764" i="12"/>
  <c r="K774" i="12"/>
  <c r="K790" i="12"/>
  <c r="K806" i="12"/>
  <c r="K822" i="12"/>
  <c r="K838" i="12"/>
  <c r="K856" i="12"/>
  <c r="K671" i="12"/>
  <c r="K675" i="12"/>
  <c r="M680" i="12"/>
  <c r="L687" i="12"/>
  <c r="K691" i="12"/>
  <c r="M696" i="12"/>
  <c r="L703" i="12"/>
  <c r="K707" i="12"/>
  <c r="M712" i="12"/>
  <c r="L719" i="12"/>
  <c r="K723" i="12"/>
  <c r="M728" i="12"/>
  <c r="L735" i="12"/>
  <c r="K739" i="12"/>
  <c r="M744" i="12"/>
  <c r="L751" i="12"/>
  <c r="K755" i="12"/>
  <c r="M760" i="12"/>
  <c r="I768" i="12"/>
  <c r="I784" i="12"/>
  <c r="I800" i="12"/>
  <c r="I816" i="12"/>
  <c r="I832" i="12"/>
  <c r="L846" i="12"/>
  <c r="L894" i="12"/>
  <c r="M664" i="12"/>
  <c r="M668" i="12"/>
  <c r="M672" i="12"/>
  <c r="I677" i="12"/>
  <c r="M681" i="12"/>
  <c r="L688" i="12"/>
  <c r="I693" i="12"/>
  <c r="M697" i="12"/>
  <c r="L704" i="12"/>
  <c r="I709" i="12"/>
  <c r="M713" i="12"/>
  <c r="L720" i="12"/>
  <c r="I725" i="12"/>
  <c r="M729" i="12"/>
  <c r="L736" i="12"/>
  <c r="I741" i="12"/>
  <c r="M745" i="12"/>
  <c r="L752" i="12"/>
  <c r="I757" i="12"/>
  <c r="M761" i="12"/>
  <c r="K766" i="12"/>
  <c r="K782" i="12"/>
  <c r="K798" i="12"/>
  <c r="K814" i="12"/>
  <c r="K830" i="12"/>
  <c r="M847" i="12"/>
  <c r="K885" i="12"/>
  <c r="L678" i="12"/>
  <c r="L682" i="12"/>
  <c r="L686" i="12"/>
  <c r="L690" i="12"/>
  <c r="L694" i="12"/>
  <c r="L698" i="12"/>
  <c r="L702" i="12"/>
  <c r="L706" i="12"/>
  <c r="L710" i="12"/>
  <c r="L714" i="12"/>
  <c r="L718" i="12"/>
  <c r="L722" i="12"/>
  <c r="L726" i="12"/>
  <c r="L730" i="12"/>
  <c r="L734" i="12"/>
  <c r="L738" i="12"/>
  <c r="L742" i="12"/>
  <c r="L746" i="12"/>
  <c r="L750" i="12"/>
  <c r="L754" i="12"/>
  <c r="L758" i="12"/>
  <c r="L762" i="12"/>
  <c r="L766" i="12"/>
  <c r="L770" i="12"/>
  <c r="L774" i="12"/>
  <c r="L778" i="12"/>
  <c r="L782" i="12"/>
  <c r="L786" i="12"/>
  <c r="L790" i="12"/>
  <c r="L794" i="12"/>
  <c r="L798" i="12"/>
  <c r="L802" i="12"/>
  <c r="L806" i="12"/>
  <c r="L810" i="12"/>
  <c r="L814" i="12"/>
  <c r="L818" i="12"/>
  <c r="L822" i="12"/>
  <c r="L826" i="12"/>
  <c r="L830" i="12"/>
  <c r="L834" i="12"/>
  <c r="L838" i="12"/>
  <c r="L842" i="12"/>
  <c r="K852" i="12"/>
  <c r="L861" i="12"/>
  <c r="M867" i="12"/>
  <c r="K908" i="12"/>
  <c r="M766" i="12"/>
  <c r="M770" i="12"/>
  <c r="M774" i="12"/>
  <c r="M778" i="12"/>
  <c r="M782" i="12"/>
  <c r="M786" i="12"/>
  <c r="M790" i="12"/>
  <c r="M794" i="12"/>
  <c r="M798" i="12"/>
  <c r="M802" i="12"/>
  <c r="M806" i="12"/>
  <c r="M810" i="12"/>
  <c r="M814" i="12"/>
  <c r="M818" i="12"/>
  <c r="M822" i="12"/>
  <c r="M826" i="12"/>
  <c r="M830" i="12"/>
  <c r="M834" i="12"/>
  <c r="M838" i="12"/>
  <c r="M842" i="12"/>
  <c r="I847" i="12"/>
  <c r="M852" i="12"/>
  <c r="K866" i="12"/>
  <c r="I896" i="12"/>
  <c r="L768" i="12"/>
  <c r="L772" i="12"/>
  <c r="L776" i="12"/>
  <c r="L780" i="12"/>
  <c r="L784" i="12"/>
  <c r="L788" i="12"/>
  <c r="L792" i="12"/>
  <c r="L796" i="12"/>
  <c r="L800" i="12"/>
  <c r="L804" i="12"/>
  <c r="L808" i="12"/>
  <c r="L812" i="12"/>
  <c r="L816" i="12"/>
  <c r="L820" i="12"/>
  <c r="L824" i="12"/>
  <c r="L828" i="12"/>
  <c r="L832" i="12"/>
  <c r="L836" i="12"/>
  <c r="L840" i="12"/>
  <c r="L844" i="12"/>
  <c r="I850" i="12"/>
  <c r="K865" i="12"/>
  <c r="L878" i="12"/>
  <c r="M890" i="12"/>
  <c r="M846" i="12"/>
  <c r="L853" i="12"/>
  <c r="K857" i="12"/>
  <c r="M862" i="12"/>
  <c r="L869" i="12"/>
  <c r="K873" i="12"/>
  <c r="M878" i="12"/>
  <c r="L885" i="12"/>
  <c r="K889" i="12"/>
  <c r="M894" i="12"/>
  <c r="M906" i="12"/>
  <c r="M922" i="12"/>
  <c r="K964" i="12"/>
  <c r="L851" i="12"/>
  <c r="K858" i="12"/>
  <c r="I862" i="12"/>
  <c r="L867" i="12"/>
  <c r="K874" i="12"/>
  <c r="I878" i="12"/>
  <c r="L883" i="12"/>
  <c r="K890" i="12"/>
  <c r="I894" i="12"/>
  <c r="K900" i="12"/>
  <c r="K916" i="12"/>
  <c r="K937" i="12"/>
  <c r="L987" i="12"/>
  <c r="I876" i="12"/>
  <c r="M880" i="12"/>
  <c r="K884" i="12"/>
  <c r="I892" i="12"/>
  <c r="M896" i="12"/>
  <c r="I910" i="12"/>
  <c r="I926" i="12"/>
  <c r="K970" i="12"/>
  <c r="L848" i="12"/>
  <c r="L852" i="12"/>
  <c r="L856" i="12"/>
  <c r="L860" i="12"/>
  <c r="L864" i="12"/>
  <c r="L868" i="12"/>
  <c r="L872" i="12"/>
  <c r="L876" i="12"/>
  <c r="L880" i="12"/>
  <c r="L884" i="12"/>
  <c r="L888" i="12"/>
  <c r="L892" i="12"/>
  <c r="L896" i="12"/>
  <c r="L900" i="12"/>
  <c r="L904" i="12"/>
  <c r="L908" i="12"/>
  <c r="L912" i="12"/>
  <c r="L916" i="12"/>
  <c r="L920" i="12"/>
  <c r="L924" i="12"/>
  <c r="L928" i="12"/>
  <c r="K933" i="12"/>
  <c r="K949" i="12"/>
  <c r="I968" i="12"/>
  <c r="I900" i="12"/>
  <c r="I904" i="12"/>
  <c r="I908" i="12"/>
  <c r="I912" i="12"/>
  <c r="I916" i="12"/>
  <c r="I920" i="12"/>
  <c r="I924" i="12"/>
  <c r="I928" i="12"/>
  <c r="L938" i="12"/>
  <c r="L954" i="12"/>
  <c r="M899" i="12"/>
  <c r="M903" i="12"/>
  <c r="M907" i="12"/>
  <c r="M911" i="12"/>
  <c r="M915" i="12"/>
  <c r="M919" i="12"/>
  <c r="M923" i="12"/>
  <c r="M927" i="12"/>
  <c r="K941" i="12"/>
  <c r="L957" i="12"/>
  <c r="M969" i="12"/>
  <c r="L1003" i="12"/>
  <c r="I934" i="12"/>
  <c r="I938" i="12"/>
  <c r="I942" i="12"/>
  <c r="I946" i="12"/>
  <c r="I950" i="12"/>
  <c r="I954" i="12"/>
  <c r="K958" i="12"/>
  <c r="I966" i="12"/>
  <c r="M970" i="12"/>
  <c r="K974" i="12"/>
  <c r="K990" i="12"/>
  <c r="L932" i="12"/>
  <c r="L936" i="12"/>
  <c r="L940" i="12"/>
  <c r="L944" i="12"/>
  <c r="L948" i="12"/>
  <c r="L952" i="12"/>
  <c r="L956" i="12"/>
  <c r="I960" i="12"/>
  <c r="L965" i="12"/>
  <c r="K972" i="12"/>
  <c r="L979" i="12"/>
  <c r="L995" i="12"/>
  <c r="K930" i="12"/>
  <c r="K934" i="12"/>
  <c r="K938" i="12"/>
  <c r="K942" i="12"/>
  <c r="K946" i="12"/>
  <c r="K950" i="12"/>
  <c r="K954" i="12"/>
  <c r="I958" i="12"/>
  <c r="M962" i="12"/>
  <c r="K966" i="12"/>
  <c r="I974" i="12"/>
  <c r="L991" i="12"/>
  <c r="K957" i="12"/>
  <c r="K961" i="12"/>
  <c r="K965" i="12"/>
  <c r="K969" i="12"/>
  <c r="K973" i="12"/>
  <c r="K977" i="12"/>
  <c r="K981" i="12"/>
  <c r="K985" i="12"/>
  <c r="K989" i="12"/>
  <c r="K993" i="12"/>
  <c r="K997" i="12"/>
  <c r="K1001" i="12"/>
  <c r="K1005" i="12"/>
  <c r="M978" i="12"/>
  <c r="M982" i="12"/>
  <c r="M986" i="12"/>
  <c r="M990" i="12"/>
  <c r="M994" i="12"/>
  <c r="M998" i="12"/>
  <c r="M1002" i="12"/>
  <c r="L976" i="12"/>
  <c r="L980" i="12"/>
  <c r="L984" i="12"/>
  <c r="L988" i="12"/>
  <c r="L992" i="12"/>
  <c r="L996" i="12"/>
  <c r="L1000" i="12"/>
  <c r="L1004" i="12"/>
  <c r="K324" i="12"/>
  <c r="K328" i="12"/>
  <c r="K332" i="12"/>
  <c r="K336" i="12"/>
  <c r="K340" i="12"/>
  <c r="K344" i="12"/>
  <c r="K348" i="12"/>
  <c r="K352" i="12"/>
  <c r="K356" i="12"/>
  <c r="K360" i="12"/>
  <c r="K364" i="12"/>
  <c r="K368" i="12"/>
  <c r="K372" i="12"/>
  <c r="K376" i="12"/>
  <c r="K380" i="12"/>
  <c r="K384" i="12"/>
  <c r="K388" i="12"/>
  <c r="I396" i="12"/>
  <c r="M400" i="12"/>
  <c r="K404" i="12"/>
  <c r="I412" i="12"/>
  <c r="M416" i="12"/>
  <c r="K420" i="12"/>
  <c r="I430" i="12"/>
  <c r="K438" i="12"/>
  <c r="K454" i="12"/>
  <c r="K470" i="12"/>
  <c r="K486" i="12"/>
  <c r="K501" i="12"/>
  <c r="M513" i="12"/>
  <c r="I544" i="12"/>
  <c r="K565" i="12"/>
  <c r="K597" i="12"/>
  <c r="K661" i="12"/>
  <c r="L426" i="12"/>
  <c r="L430" i="12"/>
  <c r="L434" i="12"/>
  <c r="L438" i="12"/>
  <c r="L442" i="12"/>
  <c r="L446" i="12"/>
  <c r="L450" i="12"/>
  <c r="L454" i="12"/>
  <c r="L458" i="12"/>
  <c r="L462" i="12"/>
  <c r="L466" i="12"/>
  <c r="L470" i="12"/>
  <c r="L474" i="12"/>
  <c r="L478" i="12"/>
  <c r="L482" i="12"/>
  <c r="L486" i="12"/>
  <c r="L490" i="12"/>
  <c r="L494" i="12"/>
  <c r="L498" i="12"/>
  <c r="K502" i="12"/>
  <c r="M507" i="12"/>
  <c r="L514" i="12"/>
  <c r="K518" i="12"/>
  <c r="M523" i="12"/>
  <c r="L530" i="12"/>
  <c r="K534" i="12"/>
  <c r="M539" i="12"/>
  <c r="L546" i="12"/>
  <c r="K550" i="12"/>
  <c r="M555" i="12"/>
  <c r="L562" i="12"/>
  <c r="K566" i="12"/>
  <c r="M571" i="12"/>
  <c r="L586" i="12"/>
  <c r="L602" i="12"/>
  <c r="L618" i="12"/>
  <c r="L634" i="12"/>
  <c r="L650" i="12"/>
  <c r="K665" i="12"/>
  <c r="L740" i="12"/>
  <c r="M438" i="12"/>
  <c r="M442" i="12"/>
  <c r="M446" i="12"/>
  <c r="M450" i="12"/>
  <c r="M454" i="12"/>
  <c r="M458" i="12"/>
  <c r="M462" i="12"/>
  <c r="M466" i="12"/>
  <c r="M470" i="12"/>
  <c r="M474" i="12"/>
  <c r="M478" i="12"/>
  <c r="M482" i="12"/>
  <c r="M486" i="12"/>
  <c r="M490" i="12"/>
  <c r="M494" i="12"/>
  <c r="L502" i="12"/>
  <c r="K506" i="12"/>
  <c r="M511" i="12"/>
  <c r="L518" i="12"/>
  <c r="K522" i="12"/>
  <c r="M527" i="12"/>
  <c r="L534" i="12"/>
  <c r="K538" i="12"/>
  <c r="M543" i="12"/>
  <c r="L550" i="12"/>
  <c r="K554" i="12"/>
  <c r="M559" i="12"/>
  <c r="L566" i="12"/>
  <c r="K570" i="12"/>
  <c r="L582" i="12"/>
  <c r="L598" i="12"/>
  <c r="L614" i="12"/>
  <c r="L630" i="12"/>
  <c r="L646" i="12"/>
  <c r="L662" i="12"/>
  <c r="K731" i="12"/>
  <c r="L388" i="12"/>
  <c r="L392" i="12"/>
  <c r="L396" i="12"/>
  <c r="L400" i="12"/>
  <c r="L404" i="12"/>
  <c r="L408" i="12"/>
  <c r="L412" i="12"/>
  <c r="L416" i="12"/>
  <c r="L420" i="12"/>
  <c r="L424" i="12"/>
  <c r="L428" i="12"/>
  <c r="L432" i="12"/>
  <c r="L436" i="12"/>
  <c r="L440" i="12"/>
  <c r="L444" i="12"/>
  <c r="L448" i="12"/>
  <c r="L452" i="12"/>
  <c r="L456" i="12"/>
  <c r="L460" i="12"/>
  <c r="L464" i="12"/>
  <c r="L468" i="12"/>
  <c r="L472" i="12"/>
  <c r="L476" i="12"/>
  <c r="L480" i="12"/>
  <c r="L484" i="12"/>
  <c r="L488" i="12"/>
  <c r="L492" i="12"/>
  <c r="M496" i="12"/>
  <c r="L503" i="12"/>
  <c r="I508" i="12"/>
  <c r="M512" i="12"/>
  <c r="L519" i="12"/>
  <c r="I524" i="12"/>
  <c r="M528" i="12"/>
  <c r="L535" i="12"/>
  <c r="I540" i="12"/>
  <c r="M544" i="12"/>
  <c r="L551" i="12"/>
  <c r="I556" i="12"/>
  <c r="M560" i="12"/>
  <c r="L567" i="12"/>
  <c r="L578" i="12"/>
  <c r="L594" i="12"/>
  <c r="L610" i="12"/>
  <c r="L626" i="12"/>
  <c r="L642" i="12"/>
  <c r="L658" i="12"/>
  <c r="I710" i="12"/>
  <c r="I867" i="12"/>
  <c r="M498" i="12"/>
  <c r="M502" i="12"/>
  <c r="M506" i="12"/>
  <c r="M510" i="12"/>
  <c r="M514" i="12"/>
  <c r="M518" i="12"/>
  <c r="M522" i="12"/>
  <c r="M526" i="12"/>
  <c r="M530" i="12"/>
  <c r="M534" i="12"/>
  <c r="M538" i="12"/>
  <c r="M542" i="12"/>
  <c r="M546" i="12"/>
  <c r="M550" i="12"/>
  <c r="M554" i="12"/>
  <c r="M558" i="12"/>
  <c r="M562" i="12"/>
  <c r="M566" i="12"/>
  <c r="M570" i="12"/>
  <c r="M574" i="12"/>
  <c r="M578" i="12"/>
  <c r="M582" i="12"/>
  <c r="M586" i="12"/>
  <c r="M590" i="12"/>
  <c r="M594" i="12"/>
  <c r="M598" i="12"/>
  <c r="M602" i="12"/>
  <c r="M606" i="12"/>
  <c r="M610" i="12"/>
  <c r="M614" i="12"/>
  <c r="M618" i="12"/>
  <c r="M622" i="12"/>
  <c r="M626" i="12"/>
  <c r="M630" i="12"/>
  <c r="M634" i="12"/>
  <c r="M638" i="12"/>
  <c r="M642" i="12"/>
  <c r="M646" i="12"/>
  <c r="M650" i="12"/>
  <c r="M654" i="12"/>
  <c r="M658" i="12"/>
  <c r="M662" i="12"/>
  <c r="I669" i="12"/>
  <c r="K686" i="12"/>
  <c r="M698" i="12"/>
  <c r="I729" i="12"/>
  <c r="K750" i="12"/>
  <c r="M762" i="12"/>
  <c r="L819" i="12"/>
  <c r="K575" i="12"/>
  <c r="K579" i="12"/>
  <c r="K583" i="12"/>
  <c r="K587" i="12"/>
  <c r="K591" i="12"/>
  <c r="K595" i="12"/>
  <c r="K599" i="12"/>
  <c r="K603" i="12"/>
  <c r="K607" i="12"/>
  <c r="K611" i="12"/>
  <c r="K615" i="12"/>
  <c r="K619" i="12"/>
  <c r="K623" i="12"/>
  <c r="K627" i="12"/>
  <c r="K631" i="12"/>
  <c r="K635" i="12"/>
  <c r="K639" i="12"/>
  <c r="K643" i="12"/>
  <c r="K647" i="12"/>
  <c r="K651" i="12"/>
  <c r="K655" i="12"/>
  <c r="K659" i="12"/>
  <c r="M663" i="12"/>
  <c r="I675" i="12"/>
  <c r="K696" i="12"/>
  <c r="L708" i="12"/>
  <c r="M720" i="12"/>
  <c r="K760" i="12"/>
  <c r="L803" i="12"/>
  <c r="I572" i="12"/>
  <c r="I576" i="12"/>
  <c r="I580" i="12"/>
  <c r="I584" i="12"/>
  <c r="I588" i="12"/>
  <c r="I592" i="12"/>
  <c r="I596" i="12"/>
  <c r="I600" i="12"/>
  <c r="I604" i="12"/>
  <c r="I608" i="12"/>
  <c r="I612" i="12"/>
  <c r="I616" i="12"/>
  <c r="I620" i="12"/>
  <c r="I624" i="12"/>
  <c r="I628" i="12"/>
  <c r="I632" i="12"/>
  <c r="I636" i="12"/>
  <c r="I640" i="12"/>
  <c r="I644" i="12"/>
  <c r="I648" i="12"/>
  <c r="I652" i="12"/>
  <c r="I656" i="12"/>
  <c r="I660" i="12"/>
  <c r="K667" i="12"/>
  <c r="K673" i="12"/>
  <c r="K712" i="12"/>
  <c r="L724" i="12"/>
  <c r="M736" i="12"/>
  <c r="K778" i="12"/>
  <c r="K842" i="12"/>
  <c r="I666" i="12"/>
  <c r="I670" i="12"/>
  <c r="I674" i="12"/>
  <c r="L680" i="12"/>
  <c r="I685" i="12"/>
  <c r="M689" i="12"/>
  <c r="L696" i="12"/>
  <c r="I701" i="12"/>
  <c r="M705" i="12"/>
  <c r="L712" i="12"/>
  <c r="I717" i="12"/>
  <c r="M721" i="12"/>
  <c r="L728" i="12"/>
  <c r="I733" i="12"/>
  <c r="M737" i="12"/>
  <c r="L744" i="12"/>
  <c r="I749" i="12"/>
  <c r="M753" i="12"/>
  <c r="L760" i="12"/>
  <c r="I765" i="12"/>
  <c r="M776" i="12"/>
  <c r="M792" i="12"/>
  <c r="M808" i="12"/>
  <c r="M824" i="12"/>
  <c r="M840" i="12"/>
  <c r="L862" i="12"/>
  <c r="L672" i="12"/>
  <c r="I676" i="12"/>
  <c r="L681" i="12"/>
  <c r="K688" i="12"/>
  <c r="I692" i="12"/>
  <c r="L697" i="12"/>
  <c r="K704" i="12"/>
  <c r="I708" i="12"/>
  <c r="L713" i="12"/>
  <c r="K720" i="12"/>
  <c r="I724" i="12"/>
  <c r="L729" i="12"/>
  <c r="K736" i="12"/>
  <c r="I740" i="12"/>
  <c r="L745" i="12"/>
  <c r="K752" i="12"/>
  <c r="I756" i="12"/>
  <c r="L761" i="12"/>
  <c r="K770" i="12"/>
  <c r="K786" i="12"/>
  <c r="K802" i="12"/>
  <c r="K818" i="12"/>
  <c r="K834" i="12"/>
  <c r="I864" i="12"/>
  <c r="K924" i="12"/>
  <c r="K666" i="12"/>
  <c r="K670" i="12"/>
  <c r="K674" i="12"/>
  <c r="M678" i="12"/>
  <c r="K682" i="12"/>
  <c r="I690" i="12"/>
  <c r="M694" i="12"/>
  <c r="K698" i="12"/>
  <c r="I706" i="12"/>
  <c r="M710" i="12"/>
  <c r="K714" i="12"/>
  <c r="I722" i="12"/>
  <c r="M726" i="12"/>
  <c r="K730" i="12"/>
  <c r="I738" i="12"/>
  <c r="M742" i="12"/>
  <c r="K746" i="12"/>
  <c r="I754" i="12"/>
  <c r="M758" i="12"/>
  <c r="K762" i="12"/>
  <c r="M768" i="12"/>
  <c r="M784" i="12"/>
  <c r="M800" i="12"/>
  <c r="M816" i="12"/>
  <c r="M832" i="12"/>
  <c r="K853" i="12"/>
  <c r="L897" i="12"/>
  <c r="I679" i="12"/>
  <c r="I683" i="12"/>
  <c r="I687" i="12"/>
  <c r="I691" i="12"/>
  <c r="I695" i="12"/>
  <c r="I699" i="12"/>
  <c r="I703" i="12"/>
  <c r="I707" i="12"/>
  <c r="I711" i="12"/>
  <c r="I715" i="12"/>
  <c r="I719" i="12"/>
  <c r="I723" i="12"/>
  <c r="I727" i="12"/>
  <c r="I731" i="12"/>
  <c r="I735" i="12"/>
  <c r="I739" i="12"/>
  <c r="I743" i="12"/>
  <c r="I747" i="12"/>
  <c r="I751" i="12"/>
  <c r="I755" i="12"/>
  <c r="I759" i="12"/>
  <c r="I763" i="12"/>
  <c r="I767" i="12"/>
  <c r="I771" i="12"/>
  <c r="I775" i="12"/>
  <c r="I779" i="12"/>
  <c r="I783" i="12"/>
  <c r="I787" i="12"/>
  <c r="I791" i="12"/>
  <c r="I795" i="12"/>
  <c r="I799" i="12"/>
  <c r="I803" i="12"/>
  <c r="I807" i="12"/>
  <c r="I811" i="12"/>
  <c r="I815" i="12"/>
  <c r="I819" i="12"/>
  <c r="I823" i="12"/>
  <c r="I827" i="12"/>
  <c r="I831" i="12"/>
  <c r="I835" i="12"/>
  <c r="I839" i="12"/>
  <c r="I843" i="12"/>
  <c r="L855" i="12"/>
  <c r="I863" i="12"/>
  <c r="I880" i="12"/>
  <c r="L917" i="12"/>
  <c r="K768" i="12"/>
  <c r="K772" i="12"/>
  <c r="K776" i="12"/>
  <c r="K780" i="12"/>
  <c r="K784" i="12"/>
  <c r="K788" i="12"/>
  <c r="K792" i="12"/>
  <c r="K796" i="12"/>
  <c r="K800" i="12"/>
  <c r="K804" i="12"/>
  <c r="K808" i="12"/>
  <c r="K812" i="12"/>
  <c r="K816" i="12"/>
  <c r="K820" i="12"/>
  <c r="K824" i="12"/>
  <c r="K828" i="12"/>
  <c r="K832" i="12"/>
  <c r="K836" i="12"/>
  <c r="K840" i="12"/>
  <c r="K844" i="12"/>
  <c r="I848" i="12"/>
  <c r="I854" i="12"/>
  <c r="K869" i="12"/>
  <c r="L901" i="12"/>
  <c r="I769" i="12"/>
  <c r="I773" i="12"/>
  <c r="I777" i="12"/>
  <c r="I781" i="12"/>
  <c r="I785" i="12"/>
  <c r="I789" i="12"/>
  <c r="I793" i="12"/>
  <c r="I797" i="12"/>
  <c r="I801" i="12"/>
  <c r="I805" i="12"/>
  <c r="I809" i="12"/>
  <c r="I813" i="12"/>
  <c r="I817" i="12"/>
  <c r="I821" i="12"/>
  <c r="I825" i="12"/>
  <c r="I829" i="12"/>
  <c r="I833" i="12"/>
  <c r="I837" i="12"/>
  <c r="I841" i="12"/>
  <c r="K845" i="12"/>
  <c r="M851" i="12"/>
  <c r="K868" i="12"/>
  <c r="L881" i="12"/>
  <c r="I922" i="12"/>
  <c r="L847" i="12"/>
  <c r="K854" i="12"/>
  <c r="I858" i="12"/>
  <c r="L863" i="12"/>
  <c r="K870" i="12"/>
  <c r="I874" i="12"/>
  <c r="L879" i="12"/>
  <c r="K886" i="12"/>
  <c r="I890" i="12"/>
  <c r="L895" i="12"/>
  <c r="L913" i="12"/>
  <c r="L929" i="12"/>
  <c r="K978" i="12"/>
  <c r="L854" i="12"/>
  <c r="I859" i="12"/>
  <c r="M863" i="12"/>
  <c r="L870" i="12"/>
  <c r="I875" i="12"/>
  <c r="M879" i="12"/>
  <c r="L886" i="12"/>
  <c r="I891" i="12"/>
  <c r="M895" i="12"/>
  <c r="M902" i="12"/>
  <c r="M918" i="12"/>
  <c r="L946" i="12"/>
  <c r="M870" i="12"/>
  <c r="L877" i="12"/>
  <c r="K881" i="12"/>
  <c r="M886" i="12"/>
  <c r="L893" i="12"/>
  <c r="K897" i="12"/>
  <c r="K912" i="12"/>
  <c r="K928" i="12"/>
  <c r="M996" i="12"/>
  <c r="I849" i="12"/>
  <c r="I853" i="12"/>
  <c r="I857" i="12"/>
  <c r="I861" i="12"/>
  <c r="I865" i="12"/>
  <c r="I869" i="12"/>
  <c r="I873" i="12"/>
  <c r="I877" i="12"/>
  <c r="I881" i="12"/>
  <c r="I885" i="12"/>
  <c r="I889" i="12"/>
  <c r="I893" i="12"/>
  <c r="I897" i="12"/>
  <c r="I901" i="12"/>
  <c r="I905" i="12"/>
  <c r="I909" i="12"/>
  <c r="I913" i="12"/>
  <c r="I917" i="12"/>
  <c r="I921" i="12"/>
  <c r="I925" i="12"/>
  <c r="I929" i="12"/>
  <c r="M935" i="12"/>
  <c r="M951" i="12"/>
  <c r="M980" i="12"/>
  <c r="M900" i="12"/>
  <c r="M904" i="12"/>
  <c r="M908" i="12"/>
  <c r="M912" i="12"/>
  <c r="M916" i="12"/>
  <c r="M920" i="12"/>
  <c r="M924" i="12"/>
  <c r="M928" i="12"/>
  <c r="I943" i="12"/>
  <c r="I992" i="12"/>
  <c r="K901" i="12"/>
  <c r="K905" i="12"/>
  <c r="K909" i="12"/>
  <c r="K913" i="12"/>
  <c r="K917" i="12"/>
  <c r="K921" i="12"/>
  <c r="K925" i="12"/>
  <c r="K929" i="12"/>
  <c r="M943" i="12"/>
  <c r="L960" i="12"/>
  <c r="M972" i="12"/>
  <c r="M930" i="12"/>
  <c r="M934" i="12"/>
  <c r="M938" i="12"/>
  <c r="M942" i="12"/>
  <c r="M946" i="12"/>
  <c r="M950" i="12"/>
  <c r="M954" i="12"/>
  <c r="M960" i="12"/>
  <c r="L967" i="12"/>
  <c r="K971" i="12"/>
  <c r="M976" i="12"/>
  <c r="M992" i="12"/>
  <c r="I933" i="12"/>
  <c r="I937" i="12"/>
  <c r="I941" i="12"/>
  <c r="I945" i="12"/>
  <c r="I949" i="12"/>
  <c r="I953" i="12"/>
  <c r="I957" i="12"/>
  <c r="M961" i="12"/>
  <c r="L968" i="12"/>
  <c r="I973" i="12"/>
  <c r="I984" i="12"/>
  <c r="I1000" i="12"/>
  <c r="L931" i="12"/>
  <c r="L935" i="12"/>
  <c r="L939" i="12"/>
  <c r="L943" i="12"/>
  <c r="L947" i="12"/>
  <c r="L951" i="12"/>
  <c r="L955" i="12"/>
  <c r="L959" i="12"/>
  <c r="K963" i="12"/>
  <c r="M968" i="12"/>
  <c r="I980" i="12"/>
  <c r="I996" i="12"/>
  <c r="L958" i="12"/>
  <c r="L962" i="12"/>
  <c r="L966" i="12"/>
  <c r="L970" i="12"/>
  <c r="L974" i="12"/>
  <c r="L978" i="12"/>
  <c r="L982" i="12"/>
  <c r="L986" i="12"/>
  <c r="L990" i="12"/>
  <c r="L994" i="12"/>
  <c r="L998" i="12"/>
  <c r="L1002" i="12"/>
  <c r="K976" i="12"/>
  <c r="K980" i="12"/>
  <c r="K984" i="12"/>
  <c r="K988" i="12"/>
  <c r="K992" i="12"/>
  <c r="K996" i="12"/>
  <c r="K1000" i="12"/>
  <c r="K1004" i="12"/>
  <c r="I977" i="12"/>
  <c r="I981" i="12"/>
  <c r="I985" i="12"/>
  <c r="I989" i="12"/>
  <c r="I993" i="12"/>
  <c r="I997" i="12"/>
  <c r="I1001" i="12"/>
  <c r="I1005" i="12"/>
  <c r="F1003" i="12"/>
  <c r="F999" i="12"/>
  <c r="F995" i="12"/>
  <c r="F991" i="12"/>
  <c r="F987" i="12"/>
  <c r="F983" i="12"/>
  <c r="F979" i="12"/>
  <c r="F1004" i="12"/>
  <c r="F1000" i="12"/>
  <c r="F996" i="12"/>
  <c r="F992" i="12"/>
  <c r="F988" i="12"/>
  <c r="F984" i="12"/>
  <c r="F980" i="12"/>
  <c r="F1005" i="12"/>
  <c r="F1001" i="12"/>
  <c r="F997" i="12"/>
  <c r="F993" i="12"/>
  <c r="F989" i="12"/>
  <c r="F985" i="12"/>
  <c r="F981" i="12"/>
  <c r="F977" i="12"/>
  <c r="F973" i="12"/>
  <c r="F969" i="12"/>
  <c r="F965" i="12"/>
  <c r="F961" i="12"/>
  <c r="F994" i="12"/>
  <c r="F978" i="12"/>
  <c r="F976" i="12"/>
  <c r="F975" i="12"/>
  <c r="F972" i="12"/>
  <c r="F962" i="12"/>
  <c r="F959" i="12"/>
  <c r="F954" i="12"/>
  <c r="F950" i="12"/>
  <c r="F946" i="12"/>
  <c r="F942" i="12"/>
  <c r="F938" i="12"/>
  <c r="F934" i="12"/>
  <c r="F998" i="12"/>
  <c r="F982" i="12"/>
  <c r="F974" i="12"/>
  <c r="F971" i="12"/>
  <c r="F968" i="12"/>
  <c r="F958" i="12"/>
  <c r="F955" i="12"/>
  <c r="F951" i="12"/>
  <c r="F947" i="12"/>
  <c r="F943" i="12"/>
  <c r="F939" i="12"/>
  <c r="F935" i="12"/>
  <c r="F1002" i="12"/>
  <c r="F986" i="12"/>
  <c r="F970" i="12"/>
  <c r="F967" i="12"/>
  <c r="F964" i="12"/>
  <c r="F956" i="12"/>
  <c r="F952" i="12"/>
  <c r="F948" i="12"/>
  <c r="F944" i="12"/>
  <c r="F940" i="12"/>
  <c r="F936" i="12"/>
  <c r="F932" i="12"/>
  <c r="F953" i="12"/>
  <c r="F937" i="12"/>
  <c r="F931" i="12"/>
  <c r="F929" i="12"/>
  <c r="F925" i="12"/>
  <c r="F921" i="12"/>
  <c r="F917" i="12"/>
  <c r="F913" i="12"/>
  <c r="F909" i="12"/>
  <c r="F905" i="12"/>
  <c r="F901" i="12"/>
  <c r="F966" i="12"/>
  <c r="F963" i="12"/>
  <c r="F960" i="12"/>
  <c r="F957" i="12"/>
  <c r="F941" i="12"/>
  <c r="F930" i="12"/>
  <c r="F926" i="12"/>
  <c r="F922" i="12"/>
  <c r="F918" i="12"/>
  <c r="F914" i="12"/>
  <c r="F910" i="12"/>
  <c r="F906" i="12"/>
  <c r="F902" i="12"/>
  <c r="F990" i="12"/>
  <c r="F945" i="12"/>
  <c r="F927" i="12"/>
  <c r="F923" i="12"/>
  <c r="F919" i="12"/>
  <c r="F915" i="12"/>
  <c r="F911" i="12"/>
  <c r="F907" i="12"/>
  <c r="F903" i="12"/>
  <c r="F899" i="12"/>
  <c r="F895" i="12"/>
  <c r="F891" i="12"/>
  <c r="F887" i="12"/>
  <c r="F883" i="12"/>
  <c r="F879" i="12"/>
  <c r="F875" i="12"/>
  <c r="F871" i="12"/>
  <c r="F867" i="12"/>
  <c r="F863" i="12"/>
  <c r="F859" i="12"/>
  <c r="F855" i="12"/>
  <c r="F851" i="12"/>
  <c r="F847" i="12"/>
  <c r="F949" i="12"/>
  <c r="F924" i="12"/>
  <c r="F908" i="12"/>
  <c r="F896" i="12"/>
  <c r="F893" i="12"/>
  <c r="F890" i="12"/>
  <c r="F880" i="12"/>
  <c r="F877" i="12"/>
  <c r="F874" i="12"/>
  <c r="F928" i="12"/>
  <c r="F912" i="12"/>
  <c r="F892" i="12"/>
  <c r="F889" i="12"/>
  <c r="F886" i="12"/>
  <c r="F876" i="12"/>
  <c r="F873" i="12"/>
  <c r="F870" i="12"/>
  <c r="F860" i="12"/>
  <c r="F857" i="12"/>
  <c r="F854" i="12"/>
  <c r="F916" i="12"/>
  <c r="F900" i="12"/>
  <c r="F898" i="12"/>
  <c r="F888" i="12"/>
  <c r="F885" i="12"/>
  <c r="F882" i="12"/>
  <c r="F872" i="12"/>
  <c r="F869" i="12"/>
  <c r="F866" i="12"/>
  <c r="F856" i="12"/>
  <c r="F853" i="12"/>
  <c r="F850" i="12"/>
  <c r="F933" i="12"/>
  <c r="F904" i="12"/>
  <c r="F897" i="12"/>
  <c r="F894" i="12"/>
  <c r="F864" i="12"/>
  <c r="F861" i="12"/>
  <c r="F858" i="12"/>
  <c r="F843" i="12"/>
  <c r="F839" i="12"/>
  <c r="F835" i="12"/>
  <c r="F831" i="12"/>
  <c r="F827" i="12"/>
  <c r="F823" i="12"/>
  <c r="F819" i="12"/>
  <c r="F815" i="12"/>
  <c r="F811" i="12"/>
  <c r="F807" i="12"/>
  <c r="F803" i="12"/>
  <c r="F799" i="12"/>
  <c r="F795" i="12"/>
  <c r="F791" i="12"/>
  <c r="F787" i="12"/>
  <c r="F783" i="12"/>
  <c r="F779" i="12"/>
  <c r="F775" i="12"/>
  <c r="F771" i="12"/>
  <c r="F767" i="12"/>
  <c r="F920" i="12"/>
  <c r="F884" i="12"/>
  <c r="F881" i="12"/>
  <c r="F878" i="12"/>
  <c r="F868" i="12"/>
  <c r="F865" i="12"/>
  <c r="F862" i="12"/>
  <c r="F844" i="12"/>
  <c r="F840" i="12"/>
  <c r="F836" i="12"/>
  <c r="F832" i="12"/>
  <c r="F828" i="12"/>
  <c r="F824" i="12"/>
  <c r="F820" i="12"/>
  <c r="F816" i="12"/>
  <c r="F812" i="12"/>
  <c r="F808" i="12"/>
  <c r="F804" i="12"/>
  <c r="F800" i="12"/>
  <c r="F796" i="12"/>
  <c r="F792" i="12"/>
  <c r="F788" i="12"/>
  <c r="F784" i="12"/>
  <c r="F780" i="12"/>
  <c r="F776" i="12"/>
  <c r="F772" i="12"/>
  <c r="F768" i="12"/>
  <c r="F848" i="12"/>
  <c r="F846" i="12"/>
  <c r="F841" i="12"/>
  <c r="F837" i="12"/>
  <c r="F833" i="12"/>
  <c r="F829" i="12"/>
  <c r="F825" i="12"/>
  <c r="F821" i="12"/>
  <c r="F817" i="12"/>
  <c r="F813" i="12"/>
  <c r="F809" i="12"/>
  <c r="F805" i="12"/>
  <c r="F801" i="12"/>
  <c r="F797" i="12"/>
  <c r="F793" i="12"/>
  <c r="F789" i="12"/>
  <c r="F785" i="12"/>
  <c r="F781" i="12"/>
  <c r="F777" i="12"/>
  <c r="F773" i="12"/>
  <c r="F769" i="12"/>
  <c r="F765" i="12"/>
  <c r="F761" i="12"/>
  <c r="F757" i="12"/>
  <c r="F753" i="12"/>
  <c r="F749" i="12"/>
  <c r="F745" i="12"/>
  <c r="F741" i="12"/>
  <c r="F737" i="12"/>
  <c r="F733" i="12"/>
  <c r="F729" i="12"/>
  <c r="F725" i="12"/>
  <c r="F721" i="12"/>
  <c r="F717" i="12"/>
  <c r="F713" i="12"/>
  <c r="F709" i="12"/>
  <c r="F705" i="12"/>
  <c r="F701" i="12"/>
  <c r="F697" i="12"/>
  <c r="F693" i="12"/>
  <c r="F689" i="12"/>
  <c r="F685" i="12"/>
  <c r="F681" i="12"/>
  <c r="F677" i="12"/>
  <c r="F842" i="12"/>
  <c r="F826" i="12"/>
  <c r="F810" i="12"/>
  <c r="F794" i="12"/>
  <c r="F778" i="12"/>
  <c r="F758" i="12"/>
  <c r="F755" i="12"/>
  <c r="F752" i="12"/>
  <c r="F742" i="12"/>
  <c r="F739" i="12"/>
  <c r="F736" i="12"/>
  <c r="F726" i="12"/>
  <c r="F723" i="12"/>
  <c r="F720" i="12"/>
  <c r="F710" i="12"/>
  <c r="F707" i="12"/>
  <c r="F704" i="12"/>
  <c r="F694" i="12"/>
  <c r="F691" i="12"/>
  <c r="F688" i="12"/>
  <c r="F678" i="12"/>
  <c r="F674" i="12"/>
  <c r="F670" i="12"/>
  <c r="F666" i="12"/>
  <c r="F852" i="12"/>
  <c r="F830" i="12"/>
  <c r="F814" i="12"/>
  <c r="F798" i="12"/>
  <c r="F782" i="12"/>
  <c r="F764" i="12"/>
  <c r="F754" i="12"/>
  <c r="F751" i="12"/>
  <c r="F748" i="12"/>
  <c r="F738" i="12"/>
  <c r="F735" i="12"/>
  <c r="F732" i="12"/>
  <c r="F722" i="12"/>
  <c r="F719" i="12"/>
  <c r="F716" i="12"/>
  <c r="F706" i="12"/>
  <c r="F703" i="12"/>
  <c r="F700" i="12"/>
  <c r="F690" i="12"/>
  <c r="F687" i="12"/>
  <c r="F684" i="12"/>
  <c r="F675" i="12"/>
  <c r="F671" i="12"/>
  <c r="F834" i="12"/>
  <c r="F818" i="12"/>
  <c r="F802" i="12"/>
  <c r="F786" i="12"/>
  <c r="F770" i="12"/>
  <c r="F766" i="12"/>
  <c r="F763" i="12"/>
  <c r="F760" i="12"/>
  <c r="F750" i="12"/>
  <c r="F747" i="12"/>
  <c r="F744" i="12"/>
  <c r="F734" i="12"/>
  <c r="F731" i="12"/>
  <c r="F728" i="12"/>
  <c r="F718" i="12"/>
  <c r="F715" i="12"/>
  <c r="F712" i="12"/>
  <c r="F702" i="12"/>
  <c r="F699" i="12"/>
  <c r="F696" i="12"/>
  <c r="F686" i="12"/>
  <c r="F683" i="12"/>
  <c r="F680" i="12"/>
  <c r="F672" i="12"/>
  <c r="F668" i="12"/>
  <c r="F664" i="12"/>
  <c r="F806" i="12"/>
  <c r="F746" i="12"/>
  <c r="F743" i="12"/>
  <c r="F740" i="12"/>
  <c r="F682" i="12"/>
  <c r="F679" i="12"/>
  <c r="F676" i="12"/>
  <c r="F662" i="12"/>
  <c r="F658" i="12"/>
  <c r="F654" i="12"/>
  <c r="F650" i="12"/>
  <c r="F646" i="12"/>
  <c r="F642" i="12"/>
  <c r="F638" i="12"/>
  <c r="F634" i="12"/>
  <c r="F630" i="12"/>
  <c r="F626" i="12"/>
  <c r="F622" i="12"/>
  <c r="F618" i="12"/>
  <c r="F614" i="12"/>
  <c r="F610" i="12"/>
  <c r="F606" i="12"/>
  <c r="F602" i="12"/>
  <c r="F598" i="12"/>
  <c r="F594" i="12"/>
  <c r="F590" i="12"/>
  <c r="F586" i="12"/>
  <c r="F582" i="12"/>
  <c r="F578" i="12"/>
  <c r="F574" i="12"/>
  <c r="F822" i="12"/>
  <c r="F730" i="12"/>
  <c r="F727" i="12"/>
  <c r="F724" i="12"/>
  <c r="F673" i="12"/>
  <c r="F665" i="12"/>
  <c r="F663" i="12"/>
  <c r="F659" i="12"/>
  <c r="F655" i="12"/>
  <c r="F651" i="12"/>
  <c r="F647" i="12"/>
  <c r="F643" i="12"/>
  <c r="F639" i="12"/>
  <c r="F635" i="12"/>
  <c r="F631" i="12"/>
  <c r="F627" i="12"/>
  <c r="F623" i="12"/>
  <c r="F619" i="12"/>
  <c r="F615" i="12"/>
  <c r="F611" i="12"/>
  <c r="F607" i="12"/>
  <c r="F603" i="12"/>
  <c r="F599" i="12"/>
  <c r="F595" i="12"/>
  <c r="F591" i="12"/>
  <c r="F587" i="12"/>
  <c r="F583" i="12"/>
  <c r="F579" i="12"/>
  <c r="F575" i="12"/>
  <c r="F849" i="12"/>
  <c r="F838" i="12"/>
  <c r="F774" i="12"/>
  <c r="F714" i="12"/>
  <c r="F711" i="12"/>
  <c r="F708" i="12"/>
  <c r="F667" i="12"/>
  <c r="F660" i="12"/>
  <c r="F656" i="12"/>
  <c r="F652" i="12"/>
  <c r="F648" i="12"/>
  <c r="F644" i="12"/>
  <c r="F640" i="12"/>
  <c r="F636" i="12"/>
  <c r="F632" i="12"/>
  <c r="F628" i="12"/>
  <c r="F624" i="12"/>
  <c r="F620" i="12"/>
  <c r="F616" i="12"/>
  <c r="F612" i="12"/>
  <c r="F608" i="12"/>
  <c r="F604" i="12"/>
  <c r="F600" i="12"/>
  <c r="F596" i="12"/>
  <c r="F592" i="12"/>
  <c r="F588" i="12"/>
  <c r="F584" i="12"/>
  <c r="F580" i="12"/>
  <c r="F576" i="12"/>
  <c r="F572" i="12"/>
  <c r="F568" i="12"/>
  <c r="F564" i="12"/>
  <c r="F560" i="12"/>
  <c r="F556" i="12"/>
  <c r="F552" i="12"/>
  <c r="F548" i="12"/>
  <c r="F544" i="12"/>
  <c r="F540" i="12"/>
  <c r="F536" i="12"/>
  <c r="F532" i="12"/>
  <c r="F528" i="12"/>
  <c r="F524" i="12"/>
  <c r="F520" i="12"/>
  <c r="F516" i="12"/>
  <c r="F512" i="12"/>
  <c r="F508" i="12"/>
  <c r="F504" i="12"/>
  <c r="F500" i="12"/>
  <c r="F759" i="12"/>
  <c r="F698" i="12"/>
  <c r="F661" i="12"/>
  <c r="F645" i="12"/>
  <c r="F629" i="12"/>
  <c r="F613" i="12"/>
  <c r="F597" i="12"/>
  <c r="F581" i="12"/>
  <c r="F570" i="12"/>
  <c r="F567" i="12"/>
  <c r="F557" i="12"/>
  <c r="F554" i="12"/>
  <c r="F551" i="12"/>
  <c r="F541" i="12"/>
  <c r="F538" i="12"/>
  <c r="F535" i="12"/>
  <c r="F525" i="12"/>
  <c r="F522" i="12"/>
  <c r="F519" i="12"/>
  <c r="F509" i="12"/>
  <c r="F506" i="12"/>
  <c r="F503" i="12"/>
  <c r="F495" i="12"/>
  <c r="F491" i="12"/>
  <c r="F487" i="12"/>
  <c r="F483" i="12"/>
  <c r="F479" i="12"/>
  <c r="F475" i="12"/>
  <c r="F471" i="12"/>
  <c r="F467" i="12"/>
  <c r="F463" i="12"/>
  <c r="F459" i="12"/>
  <c r="F455" i="12"/>
  <c r="F451" i="12"/>
  <c r="F447" i="12"/>
  <c r="F443" i="12"/>
  <c r="F439" i="12"/>
  <c r="F435" i="12"/>
  <c r="F431" i="12"/>
  <c r="F427" i="12"/>
  <c r="F423" i="12"/>
  <c r="F419" i="12"/>
  <c r="F415" i="12"/>
  <c r="F411" i="12"/>
  <c r="F407" i="12"/>
  <c r="F403" i="12"/>
  <c r="F399" i="12"/>
  <c r="F395" i="12"/>
  <c r="F391" i="12"/>
  <c r="F845" i="12"/>
  <c r="F756" i="12"/>
  <c r="F695" i="12"/>
  <c r="F649" i="12"/>
  <c r="F633" i="12"/>
  <c r="F617" i="12"/>
  <c r="F601" i="12"/>
  <c r="F585" i="12"/>
  <c r="F569" i="12"/>
  <c r="F566" i="12"/>
  <c r="F563" i="12"/>
  <c r="F553" i="12"/>
  <c r="F550" i="12"/>
  <c r="F547" i="12"/>
  <c r="F537" i="12"/>
  <c r="F534" i="12"/>
  <c r="F531" i="12"/>
  <c r="F521" i="12"/>
  <c r="F518" i="12"/>
  <c r="F515" i="12"/>
  <c r="F505" i="12"/>
  <c r="F502" i="12"/>
  <c r="F499" i="12"/>
  <c r="F496" i="12"/>
  <c r="F492" i="12"/>
  <c r="F488" i="12"/>
  <c r="F484" i="12"/>
  <c r="F480" i="12"/>
  <c r="F476" i="12"/>
  <c r="F472" i="12"/>
  <c r="F468" i="12"/>
  <c r="F464" i="12"/>
  <c r="F460" i="12"/>
  <c r="F456" i="12"/>
  <c r="F452" i="12"/>
  <c r="F448" i="12"/>
  <c r="F444" i="12"/>
  <c r="F440" i="12"/>
  <c r="F692" i="12"/>
  <c r="F653" i="12"/>
  <c r="F637" i="12"/>
  <c r="F621" i="12"/>
  <c r="F605" i="12"/>
  <c r="F589" i="12"/>
  <c r="F573" i="12"/>
  <c r="F565" i="12"/>
  <c r="F562" i="12"/>
  <c r="F559" i="12"/>
  <c r="F549" i="12"/>
  <c r="F546" i="12"/>
  <c r="F543" i="12"/>
  <c r="F533" i="12"/>
  <c r="F530" i="12"/>
  <c r="F527" i="12"/>
  <c r="F517" i="12"/>
  <c r="F514" i="12"/>
  <c r="F511" i="12"/>
  <c r="F501" i="12"/>
  <c r="F498" i="12"/>
  <c r="F493" i="12"/>
  <c r="F489" i="12"/>
  <c r="F485" i="12"/>
  <c r="F481" i="12"/>
  <c r="F477" i="12"/>
  <c r="F473" i="12"/>
  <c r="F469" i="12"/>
  <c r="F465" i="12"/>
  <c r="F461" i="12"/>
  <c r="F457" i="12"/>
  <c r="F453" i="12"/>
  <c r="F449" i="12"/>
  <c r="F445" i="12"/>
  <c r="F441" i="12"/>
  <c r="F437" i="12"/>
  <c r="F433" i="12"/>
  <c r="F429" i="12"/>
  <c r="F625" i="12"/>
  <c r="F529" i="12"/>
  <c r="F526" i="12"/>
  <c r="F523" i="12"/>
  <c r="F482" i="12"/>
  <c r="F466" i="12"/>
  <c r="F450" i="12"/>
  <c r="F436" i="12"/>
  <c r="F428" i="12"/>
  <c r="F426" i="12"/>
  <c r="F416" i="12"/>
  <c r="F413" i="12"/>
  <c r="F410" i="12"/>
  <c r="F400" i="12"/>
  <c r="F397" i="12"/>
  <c r="F394" i="12"/>
  <c r="F388" i="12"/>
  <c r="F384" i="12"/>
  <c r="F380" i="12"/>
  <c r="F376" i="12"/>
  <c r="F372" i="12"/>
  <c r="F368" i="12"/>
  <c r="F364" i="12"/>
  <c r="F360" i="12"/>
  <c r="F356" i="12"/>
  <c r="F352" i="12"/>
  <c r="F348" i="12"/>
  <c r="F344" i="12"/>
  <c r="F340" i="12"/>
  <c r="F336" i="12"/>
  <c r="F332" i="12"/>
  <c r="F328" i="12"/>
  <c r="F324" i="12"/>
  <c r="F320" i="12"/>
  <c r="F316" i="12"/>
  <c r="F312" i="12"/>
  <c r="F308" i="12"/>
  <c r="F304" i="12"/>
  <c r="F300" i="12"/>
  <c r="F296" i="12"/>
  <c r="F292" i="12"/>
  <c r="F288" i="12"/>
  <c r="F284" i="12"/>
  <c r="F280" i="12"/>
  <c r="F276" i="12"/>
  <c r="F272" i="12"/>
  <c r="F268" i="12"/>
  <c r="F264" i="12"/>
  <c r="F790" i="12"/>
  <c r="F641" i="12"/>
  <c r="F577" i="12"/>
  <c r="F571" i="12"/>
  <c r="F513" i="12"/>
  <c r="F510" i="12"/>
  <c r="F507" i="12"/>
  <c r="F486" i="12"/>
  <c r="F470" i="12"/>
  <c r="F454" i="12"/>
  <c r="F438" i="12"/>
  <c r="F430" i="12"/>
  <c r="F425" i="12"/>
  <c r="F422" i="12"/>
  <c r="F412" i="12"/>
  <c r="F409" i="12"/>
  <c r="F406" i="12"/>
  <c r="F396" i="12"/>
  <c r="F393" i="12"/>
  <c r="F390" i="12"/>
  <c r="F385" i="12"/>
  <c r="F381" i="12"/>
  <c r="F377" i="12"/>
  <c r="F373" i="12"/>
  <c r="F369" i="12"/>
  <c r="F365" i="12"/>
  <c r="F361" i="12"/>
  <c r="F357" i="12"/>
  <c r="F353" i="12"/>
  <c r="F349" i="12"/>
  <c r="F345" i="12"/>
  <c r="F341" i="12"/>
  <c r="F337" i="12"/>
  <c r="F333" i="12"/>
  <c r="F329" i="12"/>
  <c r="F325" i="12"/>
  <c r="F321" i="12"/>
  <c r="F317" i="12"/>
  <c r="F313" i="12"/>
  <c r="F309" i="12"/>
  <c r="F305" i="12"/>
  <c r="F301" i="12"/>
  <c r="F297" i="12"/>
  <c r="F293" i="12"/>
  <c r="F289" i="12"/>
  <c r="F285" i="12"/>
  <c r="F281" i="12"/>
  <c r="F277" i="12"/>
  <c r="F273" i="12"/>
  <c r="F269" i="12"/>
  <c r="F265" i="12"/>
  <c r="F762" i="12"/>
  <c r="F669" i="12"/>
  <c r="F657" i="12"/>
  <c r="F593" i="12"/>
  <c r="F561" i="12"/>
  <c r="F558" i="12"/>
  <c r="F555" i="12"/>
  <c r="F497" i="12"/>
  <c r="F490" i="12"/>
  <c r="F474" i="12"/>
  <c r="F458" i="12"/>
  <c r="F442" i="12"/>
  <c r="F432" i="12"/>
  <c r="F424" i="12"/>
  <c r="F421" i="12"/>
  <c r="F418" i="12"/>
  <c r="F408" i="12"/>
  <c r="F405" i="12"/>
  <c r="F402" i="12"/>
  <c r="F392" i="12"/>
  <c r="F389" i="12"/>
  <c r="F386" i="12"/>
  <c r="F382" i="12"/>
  <c r="F378" i="12"/>
  <c r="F374" i="12"/>
  <c r="F370" i="12"/>
  <c r="F366" i="12"/>
  <c r="F362" i="12"/>
  <c r="F358" i="12"/>
  <c r="F354" i="12"/>
  <c r="F350" i="12"/>
  <c r="F346" i="12"/>
  <c r="F342" i="12"/>
  <c r="F338" i="12"/>
  <c r="F334" i="12"/>
  <c r="F330" i="12"/>
  <c r="F326" i="12"/>
  <c r="F322" i="12"/>
  <c r="F318" i="12"/>
  <c r="F314" i="12"/>
  <c r="F310" i="12"/>
  <c r="F306" i="12"/>
  <c r="F302" i="12"/>
  <c r="F298" i="12"/>
  <c r="F294" i="12"/>
  <c r="F290" i="12"/>
  <c r="F286" i="12"/>
  <c r="F282" i="12"/>
  <c r="F278" i="12"/>
  <c r="F274" i="12"/>
  <c r="F270" i="12"/>
  <c r="F266" i="12"/>
  <c r="F262" i="12"/>
  <c r="F258" i="12"/>
  <c r="F254" i="12"/>
  <c r="F250" i="12"/>
  <c r="F246" i="12"/>
  <c r="F242" i="12"/>
  <c r="F238" i="12"/>
  <c r="F234" i="12"/>
  <c r="F230" i="12"/>
  <c r="F226" i="12"/>
  <c r="F222" i="12"/>
  <c r="F218" i="12"/>
  <c r="F214" i="12"/>
  <c r="F210" i="12"/>
  <c r="F206" i="12"/>
  <c r="F202" i="12"/>
  <c r="F198" i="12"/>
  <c r="F194" i="12"/>
  <c r="F190" i="12"/>
  <c r="F186" i="12"/>
  <c r="F182" i="12"/>
  <c r="F178" i="12"/>
  <c r="F174" i="12"/>
  <c r="F170" i="12"/>
  <c r="F166" i="12"/>
  <c r="F162" i="12"/>
  <c r="F158" i="12"/>
  <c r="F154" i="12"/>
  <c r="F150" i="12"/>
  <c r="F146" i="12"/>
  <c r="F142" i="12"/>
  <c r="F138" i="12"/>
  <c r="F134" i="12"/>
  <c r="F609" i="12"/>
  <c r="F462" i="12"/>
  <c r="F383" i="12"/>
  <c r="F367" i="12"/>
  <c r="F351" i="12"/>
  <c r="F335" i="12"/>
  <c r="F319" i="12"/>
  <c r="F303" i="12"/>
  <c r="F287" i="12"/>
  <c r="F271" i="12"/>
  <c r="F263" i="12"/>
  <c r="F260" i="12"/>
  <c r="F257" i="12"/>
  <c r="F247" i="12"/>
  <c r="F244" i="12"/>
  <c r="F241" i="12"/>
  <c r="F231" i="12"/>
  <c r="F228" i="12"/>
  <c r="F225" i="12"/>
  <c r="F215" i="12"/>
  <c r="F212" i="12"/>
  <c r="F209" i="12"/>
  <c r="F199" i="12"/>
  <c r="F196" i="12"/>
  <c r="F193" i="12"/>
  <c r="F183" i="12"/>
  <c r="F180" i="12"/>
  <c r="F177" i="12"/>
  <c r="F167" i="12"/>
  <c r="F164" i="12"/>
  <c r="F161" i="12"/>
  <c r="F151" i="12"/>
  <c r="F148" i="12"/>
  <c r="F145" i="12"/>
  <c r="F135" i="12"/>
  <c r="F132" i="12"/>
  <c r="F129" i="12"/>
  <c r="F125" i="12"/>
  <c r="F121" i="12"/>
  <c r="F117" i="12"/>
  <c r="F113" i="12"/>
  <c r="F109" i="12"/>
  <c r="F105" i="12"/>
  <c r="F101" i="12"/>
  <c r="F97" i="12"/>
  <c r="F93" i="12"/>
  <c r="F89" i="12"/>
  <c r="F85" i="12"/>
  <c r="F81" i="12"/>
  <c r="F77" i="12"/>
  <c r="F73" i="12"/>
  <c r="F69" i="12"/>
  <c r="F65" i="12"/>
  <c r="F61" i="12"/>
  <c r="F57" i="12"/>
  <c r="F53" i="12"/>
  <c r="F49" i="12"/>
  <c r="F45" i="12"/>
  <c r="F41" i="12"/>
  <c r="F25" i="12"/>
  <c r="F18" i="12"/>
  <c r="F11" i="12"/>
  <c r="F8" i="12"/>
  <c r="F545" i="12"/>
  <c r="F478" i="12"/>
  <c r="F420" i="12"/>
  <c r="F417" i="12"/>
  <c r="F414" i="12"/>
  <c r="F387" i="12"/>
  <c r="F371" i="12"/>
  <c r="F355" i="12"/>
  <c r="F339" i="12"/>
  <c r="F323" i="12"/>
  <c r="F307" i="12"/>
  <c r="F291" i="12"/>
  <c r="F275" i="12"/>
  <c r="F259" i="12"/>
  <c r="F256" i="12"/>
  <c r="F253" i="12"/>
  <c r="F243" i="12"/>
  <c r="F240" i="12"/>
  <c r="F237" i="12"/>
  <c r="F227" i="12"/>
  <c r="F224" i="12"/>
  <c r="F221" i="12"/>
  <c r="F211" i="12"/>
  <c r="F208" i="12"/>
  <c r="F205" i="12"/>
  <c r="F195" i="12"/>
  <c r="F192" i="12"/>
  <c r="F189" i="12"/>
  <c r="F179" i="12"/>
  <c r="F542" i="12"/>
  <c r="F494" i="12"/>
  <c r="F434" i="12"/>
  <c r="F404" i="12"/>
  <c r="F401" i="12"/>
  <c r="F398" i="12"/>
  <c r="F375" i="12"/>
  <c r="F359" i="12"/>
  <c r="F343" i="12"/>
  <c r="F327" i="12"/>
  <c r="F311" i="12"/>
  <c r="F295" i="12"/>
  <c r="F279" i="12"/>
  <c r="F255" i="12"/>
  <c r="F252" i="12"/>
  <c r="F249" i="12"/>
  <c r="F239" i="12"/>
  <c r="F236" i="12"/>
  <c r="F233" i="12"/>
  <c r="F223" i="12"/>
  <c r="F220" i="12"/>
  <c r="F217" i="12"/>
  <c r="F207" i="12"/>
  <c r="F204" i="12"/>
  <c r="F201" i="12"/>
  <c r="F191" i="12"/>
  <c r="F188" i="12"/>
  <c r="F185" i="12"/>
  <c r="F175" i="12"/>
  <c r="F172" i="12"/>
  <c r="F169" i="12"/>
  <c r="F159" i="12"/>
  <c r="F156" i="12"/>
  <c r="F153" i="12"/>
  <c r="F143" i="12"/>
  <c r="F140" i="12"/>
  <c r="F137" i="12"/>
  <c r="F131" i="12"/>
  <c r="F127" i="12"/>
  <c r="F123" i="12"/>
  <c r="F119" i="12"/>
  <c r="F115" i="12"/>
  <c r="F111" i="12"/>
  <c r="F107" i="12"/>
  <c r="F103" i="12"/>
  <c r="F99" i="12"/>
  <c r="F95" i="12"/>
  <c r="F91" i="12"/>
  <c r="F87" i="12"/>
  <c r="F83" i="12"/>
  <c r="F79" i="12"/>
  <c r="F75" i="12"/>
  <c r="F71" i="12"/>
  <c r="F67" i="12"/>
  <c r="F63" i="12"/>
  <c r="F59" i="12"/>
  <c r="F55" i="12"/>
  <c r="F51" i="12"/>
  <c r="F47" i="12"/>
  <c r="F43" i="12"/>
  <c r="F27" i="12"/>
  <c r="F23" i="12"/>
  <c r="F22" i="12"/>
  <c r="F21" i="12"/>
  <c r="F347" i="12"/>
  <c r="F283" i="12"/>
  <c r="F261" i="12"/>
  <c r="F203" i="12"/>
  <c r="F200" i="12"/>
  <c r="F197" i="12"/>
  <c r="F155" i="12"/>
  <c r="F152" i="12"/>
  <c r="F149" i="12"/>
  <c r="F124" i="12"/>
  <c r="F116" i="12"/>
  <c r="F108" i="12"/>
  <c r="F100" i="12"/>
  <c r="F92" i="12"/>
  <c r="F84" i="12"/>
  <c r="F76" i="12"/>
  <c r="F68" i="12"/>
  <c r="F60" i="12"/>
  <c r="F52" i="12"/>
  <c r="F44" i="12"/>
  <c r="F14" i="12"/>
  <c r="F13" i="12"/>
  <c r="F12" i="12"/>
  <c r="F10" i="12"/>
  <c r="F7" i="12"/>
  <c r="F130" i="12"/>
  <c r="F122" i="12"/>
  <c r="F90" i="12"/>
  <c r="F82" i="12"/>
  <c r="F74" i="12"/>
  <c r="F66" i="12"/>
  <c r="F50" i="12"/>
  <c r="F26" i="12"/>
  <c r="F16" i="12"/>
  <c r="F539" i="12"/>
  <c r="F363" i="12"/>
  <c r="F299" i="12"/>
  <c r="F251" i="12"/>
  <c r="F248" i="12"/>
  <c r="F245" i="12"/>
  <c r="F187" i="12"/>
  <c r="F184" i="12"/>
  <c r="F181" i="12"/>
  <c r="F176" i="12"/>
  <c r="F173" i="12"/>
  <c r="F147" i="12"/>
  <c r="F144" i="12"/>
  <c r="F141" i="12"/>
  <c r="F126" i="12"/>
  <c r="F118" i="12"/>
  <c r="F110" i="12"/>
  <c r="F102" i="12"/>
  <c r="F94" i="12"/>
  <c r="F86" i="12"/>
  <c r="F78" i="12"/>
  <c r="F70" i="12"/>
  <c r="F62" i="12"/>
  <c r="F54" i="12"/>
  <c r="F46" i="12"/>
  <c r="F19" i="12"/>
  <c r="F9" i="12"/>
  <c r="F6" i="12"/>
  <c r="F160" i="12"/>
  <c r="F157" i="12"/>
  <c r="F114" i="12"/>
  <c r="F106" i="12"/>
  <c r="F98" i="12"/>
  <c r="F58" i="12"/>
  <c r="F446" i="12"/>
  <c r="F379" i="12"/>
  <c r="F315" i="12"/>
  <c r="F235" i="12"/>
  <c r="F232" i="12"/>
  <c r="F229" i="12"/>
  <c r="F171" i="12"/>
  <c r="F168" i="12"/>
  <c r="F165" i="12"/>
  <c r="F139" i="12"/>
  <c r="F136" i="12"/>
  <c r="F133" i="12"/>
  <c r="F128" i="12"/>
  <c r="F120" i="12"/>
  <c r="F112" i="12"/>
  <c r="F104" i="12"/>
  <c r="F96" i="12"/>
  <c r="F88" i="12"/>
  <c r="F80" i="12"/>
  <c r="F72" i="12"/>
  <c r="F64" i="12"/>
  <c r="F56" i="12"/>
  <c r="F48" i="12"/>
  <c r="F24" i="12"/>
  <c r="F20" i="12"/>
  <c r="F17" i="12"/>
  <c r="F331" i="12"/>
  <c r="F267" i="12"/>
  <c r="F219" i="12"/>
  <c r="F216" i="12"/>
  <c r="F213" i="12"/>
  <c r="F163" i="12"/>
  <c r="F42" i="12"/>
  <c r="F15" i="12"/>
  <c r="I52" i="12"/>
  <c r="M64" i="12"/>
  <c r="K78" i="12"/>
  <c r="L119" i="12"/>
  <c r="L194" i="12"/>
  <c r="I237" i="12"/>
  <c r="L258" i="12"/>
  <c r="L312" i="12"/>
  <c r="L376" i="12"/>
  <c r="I26" i="12"/>
  <c r="I34" i="12"/>
  <c r="I42" i="12"/>
  <c r="I50" i="12"/>
  <c r="I58" i="12"/>
  <c r="I66" i="12"/>
  <c r="I74" i="12"/>
  <c r="I82" i="12"/>
  <c r="I90" i="12"/>
  <c r="I98" i="12"/>
  <c r="I106" i="12"/>
  <c r="I114" i="12"/>
  <c r="I122" i="12"/>
  <c r="I130" i="12"/>
  <c r="L146" i="12"/>
  <c r="I154" i="12"/>
  <c r="M161" i="12"/>
  <c r="I183" i="12"/>
  <c r="K204" i="12"/>
  <c r="L216" i="12"/>
  <c r="I247" i="12"/>
  <c r="K287" i="12"/>
  <c r="K351" i="12"/>
  <c r="K424" i="12"/>
  <c r="L39" i="12"/>
  <c r="L71" i="12"/>
  <c r="I92" i="12"/>
  <c r="L111" i="12"/>
  <c r="K132" i="12"/>
  <c r="I146" i="12"/>
  <c r="K167" i="12"/>
  <c r="I234" i="12"/>
  <c r="I32" i="12"/>
  <c r="I40" i="12"/>
  <c r="I48" i="12"/>
  <c r="I56" i="12"/>
  <c r="I64" i="12"/>
  <c r="I72" i="12"/>
  <c r="I80" i="12"/>
  <c r="I88" i="12"/>
  <c r="I96" i="12"/>
  <c r="I104" i="12"/>
  <c r="I112" i="12"/>
  <c r="I120" i="12"/>
  <c r="I128" i="12"/>
  <c r="M134" i="12"/>
  <c r="K151" i="12"/>
  <c r="L160" i="12"/>
  <c r="M166" i="12"/>
  <c r="I202" i="12"/>
  <c r="K223" i="12"/>
  <c r="M235" i="12"/>
  <c r="K271" i="12"/>
  <c r="K335" i="12"/>
  <c r="I403" i="12"/>
  <c r="M56" i="12"/>
  <c r="K86" i="12"/>
  <c r="K110" i="12"/>
  <c r="L127" i="12"/>
  <c r="K161" i="12"/>
  <c r="K191" i="12"/>
  <c r="I30" i="12"/>
  <c r="I38" i="12"/>
  <c r="I46" i="12"/>
  <c r="I54" i="12"/>
  <c r="I62" i="12"/>
  <c r="I70" i="12"/>
  <c r="I78" i="12"/>
  <c r="I86" i="12"/>
  <c r="I94" i="12"/>
  <c r="I102" i="12"/>
  <c r="I110" i="12"/>
  <c r="I118" i="12"/>
  <c r="I126" i="12"/>
  <c r="L133" i="12"/>
  <c r="M139" i="12"/>
  <c r="K153" i="12"/>
  <c r="L165" i="12"/>
  <c r="M171" i="12"/>
  <c r="L181" i="12"/>
  <c r="M193" i="12"/>
  <c r="K233" i="12"/>
  <c r="L245" i="12"/>
  <c r="M257" i="12"/>
  <c r="K319" i="12"/>
  <c r="K383" i="12"/>
  <c r="I464" i="12"/>
  <c r="M25" i="12"/>
  <c r="M29" i="12"/>
  <c r="M33" i="12"/>
  <c r="M37" i="12"/>
  <c r="M41" i="12"/>
  <c r="M45" i="12"/>
  <c r="M49" i="12"/>
  <c r="M53" i="12"/>
  <c r="M57" i="12"/>
  <c r="M61" i="12"/>
  <c r="M65" i="12"/>
  <c r="M69" i="12"/>
  <c r="M73" i="12"/>
  <c r="M77" i="12"/>
  <c r="M81" i="12"/>
  <c r="M85" i="12"/>
  <c r="M89" i="12"/>
  <c r="M93" i="12"/>
  <c r="M97" i="12"/>
  <c r="M101" i="12"/>
  <c r="M105" i="12"/>
  <c r="M109" i="12"/>
  <c r="M113" i="12"/>
  <c r="M117" i="12"/>
  <c r="M121" i="12"/>
  <c r="M125" i="12"/>
  <c r="M129" i="12"/>
  <c r="L137" i="12"/>
  <c r="I142" i="12"/>
  <c r="M146" i="12"/>
  <c r="L153" i="12"/>
  <c r="I158" i="12"/>
  <c r="M162" i="12"/>
  <c r="L169" i="12"/>
  <c r="I174" i="12"/>
  <c r="M178" i="12"/>
  <c r="L185" i="12"/>
  <c r="I190" i="12"/>
  <c r="M194" i="12"/>
  <c r="L201" i="12"/>
  <c r="I206" i="12"/>
  <c r="M210" i="12"/>
  <c r="L217" i="12"/>
  <c r="I222" i="12"/>
  <c r="M226" i="12"/>
  <c r="L233" i="12"/>
  <c r="I238" i="12"/>
  <c r="M242" i="12"/>
  <c r="L249" i="12"/>
  <c r="I254" i="12"/>
  <c r="M258" i="12"/>
  <c r="K263" i="12"/>
  <c r="L276" i="12"/>
  <c r="L292" i="12"/>
  <c r="L308" i="12"/>
  <c r="L324" i="12"/>
  <c r="L340" i="12"/>
  <c r="L356" i="12"/>
  <c r="L372" i="12"/>
  <c r="M388" i="12"/>
  <c r="I419" i="12"/>
  <c r="L475" i="12"/>
  <c r="L590" i="12"/>
  <c r="M179" i="12"/>
  <c r="K183" i="12"/>
  <c r="I191" i="12"/>
  <c r="M195" i="12"/>
  <c r="K199" i="12"/>
  <c r="I207" i="12"/>
  <c r="M211" i="12"/>
  <c r="K215" i="12"/>
  <c r="I223" i="12"/>
  <c r="M227" i="12"/>
  <c r="K231" i="12"/>
  <c r="I239" i="12"/>
  <c r="M243" i="12"/>
  <c r="K247" i="12"/>
  <c r="I255" i="12"/>
  <c r="M259" i="12"/>
  <c r="M263" i="12"/>
  <c r="K279" i="12"/>
  <c r="K295" i="12"/>
  <c r="K311" i="12"/>
  <c r="K327" i="12"/>
  <c r="K343" i="12"/>
  <c r="K359" i="12"/>
  <c r="K375" i="12"/>
  <c r="K392" i="12"/>
  <c r="M404" i="12"/>
  <c r="K450" i="12"/>
  <c r="L520" i="12"/>
  <c r="I27" i="12"/>
  <c r="I31" i="12"/>
  <c r="I35" i="12"/>
  <c r="I39" i="12"/>
  <c r="I43" i="12"/>
  <c r="I47" i="12"/>
  <c r="I51" i="12"/>
  <c r="I55" i="12"/>
  <c r="I59" i="12"/>
  <c r="I63" i="12"/>
  <c r="I67" i="12"/>
  <c r="I71" i="12"/>
  <c r="I75" i="12"/>
  <c r="I79" i="12"/>
  <c r="I83" i="12"/>
  <c r="I87" i="12"/>
  <c r="I91" i="12"/>
  <c r="I95" i="12"/>
  <c r="I99" i="12"/>
  <c r="I103" i="12"/>
  <c r="I107" i="12"/>
  <c r="I111" i="12"/>
  <c r="I115" i="12"/>
  <c r="I119" i="12"/>
  <c r="I123" i="12"/>
  <c r="I127" i="12"/>
  <c r="I131" i="12"/>
  <c r="M135" i="12"/>
  <c r="K139" i="12"/>
  <c r="I147" i="12"/>
  <c r="M151" i="12"/>
  <c r="K155" i="12"/>
  <c r="I163" i="12"/>
  <c r="M167" i="12"/>
  <c r="K171" i="12"/>
  <c r="I179" i="12"/>
  <c r="M183" i="12"/>
  <c r="K187" i="12"/>
  <c r="I195" i="12"/>
  <c r="M199" i="12"/>
  <c r="K203" i="12"/>
  <c r="I211" i="12"/>
  <c r="M215" i="12"/>
  <c r="K219" i="12"/>
  <c r="I227" i="12"/>
  <c r="M231" i="12"/>
  <c r="K235" i="12"/>
  <c r="I243" i="12"/>
  <c r="M247" i="12"/>
  <c r="K251" i="12"/>
  <c r="I259" i="12"/>
  <c r="L268" i="12"/>
  <c r="L284" i="12"/>
  <c r="L300" i="12"/>
  <c r="L316" i="12"/>
  <c r="L332" i="12"/>
  <c r="L348" i="12"/>
  <c r="L364" i="12"/>
  <c r="L380" i="12"/>
  <c r="K402" i="12"/>
  <c r="L414" i="12"/>
  <c r="L431" i="12"/>
  <c r="I480" i="12"/>
  <c r="M535" i="12"/>
  <c r="M749" i="12"/>
  <c r="K134" i="12"/>
  <c r="K138" i="12"/>
  <c r="K142" i="12"/>
  <c r="K146" i="12"/>
  <c r="K150" i="12"/>
  <c r="K154" i="12"/>
  <c r="K158" i="12"/>
  <c r="K162" i="12"/>
  <c r="K166" i="12"/>
  <c r="K170" i="12"/>
  <c r="K174" i="12"/>
  <c r="K178" i="12"/>
  <c r="K182" i="12"/>
  <c r="K186" i="12"/>
  <c r="K190" i="12"/>
  <c r="K194" i="12"/>
  <c r="K198" i="12"/>
  <c r="K202" i="12"/>
  <c r="K206" i="12"/>
  <c r="K210" i="12"/>
  <c r="K214" i="12"/>
  <c r="K218" i="12"/>
  <c r="K222" i="12"/>
  <c r="K226" i="12"/>
  <c r="K230" i="12"/>
  <c r="K234" i="12"/>
  <c r="K238" i="12"/>
  <c r="K242" i="12"/>
  <c r="K246" i="12"/>
  <c r="K250" i="12"/>
  <c r="K254" i="12"/>
  <c r="K258" i="12"/>
  <c r="K262" i="12"/>
  <c r="K266" i="12"/>
  <c r="K270" i="12"/>
  <c r="K274" i="12"/>
  <c r="K278" i="12"/>
  <c r="K282" i="12"/>
  <c r="K286" i="12"/>
  <c r="K290" i="12"/>
  <c r="K294" i="12"/>
  <c r="K298" i="12"/>
  <c r="K302" i="12"/>
  <c r="K306" i="12"/>
  <c r="K310" i="12"/>
  <c r="K314" i="12"/>
  <c r="K318" i="12"/>
  <c r="K322" i="12"/>
  <c r="K326" i="12"/>
  <c r="K330" i="12"/>
  <c r="K334" i="12"/>
  <c r="K338" i="12"/>
  <c r="K342" i="12"/>
  <c r="K346" i="12"/>
  <c r="K350" i="12"/>
  <c r="K354" i="12"/>
  <c r="K358" i="12"/>
  <c r="K362" i="12"/>
  <c r="K366" i="12"/>
  <c r="K370" i="12"/>
  <c r="K374" i="12"/>
  <c r="K378" i="12"/>
  <c r="K382" i="12"/>
  <c r="K386" i="12"/>
  <c r="K390" i="12"/>
  <c r="I394" i="12"/>
  <c r="L399" i="12"/>
  <c r="K406" i="12"/>
  <c r="I410" i="12"/>
  <c r="L415" i="12"/>
  <c r="K422" i="12"/>
  <c r="I426" i="12"/>
  <c r="I434" i="12"/>
  <c r="I444" i="12"/>
  <c r="I460" i="12"/>
  <c r="I476" i="12"/>
  <c r="I492" i="12"/>
  <c r="I515" i="12"/>
  <c r="L536" i="12"/>
  <c r="M548" i="12"/>
  <c r="I611" i="12"/>
  <c r="I713" i="12"/>
  <c r="M267" i="12"/>
  <c r="M271" i="12"/>
  <c r="M275" i="12"/>
  <c r="M279" i="12"/>
  <c r="M283" i="12"/>
  <c r="M287" i="12"/>
  <c r="M291" i="12"/>
  <c r="M295" i="12"/>
  <c r="M299" i="12"/>
  <c r="M303" i="12"/>
  <c r="M307" i="12"/>
  <c r="M311" i="12"/>
  <c r="M315" i="12"/>
  <c r="M319" i="12"/>
  <c r="M323" i="12"/>
  <c r="M327" i="12"/>
  <c r="M331" i="12"/>
  <c r="M335" i="12"/>
  <c r="M339" i="12"/>
  <c r="M343" i="12"/>
  <c r="M347" i="12"/>
  <c r="M351" i="12"/>
  <c r="M355" i="12"/>
  <c r="M359" i="12"/>
  <c r="M363" i="12"/>
  <c r="M367" i="12"/>
  <c r="M371" i="12"/>
  <c r="M375" i="12"/>
  <c r="M379" i="12"/>
  <c r="M383" i="12"/>
  <c r="M387" i="12"/>
  <c r="K394" i="12"/>
  <c r="I398" i="12"/>
  <c r="L403" i="12"/>
  <c r="K410" i="12"/>
  <c r="I414" i="12"/>
  <c r="L419" i="12"/>
  <c r="K426" i="12"/>
  <c r="K434" i="12"/>
  <c r="K442" i="12"/>
  <c r="K458" i="12"/>
  <c r="K474" i="12"/>
  <c r="K490" i="12"/>
  <c r="M503" i="12"/>
  <c r="K543" i="12"/>
  <c r="L555" i="12"/>
  <c r="M567" i="12"/>
  <c r="M631" i="12"/>
  <c r="L265" i="12"/>
  <c r="L269" i="12"/>
  <c r="L273" i="12"/>
  <c r="L277" i="12"/>
  <c r="L281" i="12"/>
  <c r="L285" i="12"/>
  <c r="L289" i="12"/>
  <c r="L293" i="12"/>
  <c r="L297" i="12"/>
  <c r="L301" i="12"/>
  <c r="L305" i="12"/>
  <c r="L309" i="12"/>
  <c r="L313" i="12"/>
  <c r="L317" i="12"/>
  <c r="L321" i="12"/>
  <c r="L325" i="12"/>
  <c r="L329" i="12"/>
  <c r="L333" i="12"/>
  <c r="L337" i="12"/>
  <c r="L341" i="12"/>
  <c r="L345" i="12"/>
  <c r="L349" i="12"/>
  <c r="L353" i="12"/>
  <c r="L357" i="12"/>
  <c r="L361" i="12"/>
  <c r="L365" i="12"/>
  <c r="L369" i="12"/>
  <c r="L373" i="12"/>
  <c r="L377" i="12"/>
  <c r="L381" i="12"/>
  <c r="L385" i="12"/>
  <c r="M390" i="12"/>
  <c r="L397" i="12"/>
  <c r="K401" i="12"/>
  <c r="M406" i="12"/>
  <c r="L413" i="12"/>
  <c r="K417" i="12"/>
  <c r="M422" i="12"/>
  <c r="K432" i="12"/>
  <c r="M440" i="12"/>
  <c r="M456" i="12"/>
  <c r="M472" i="12"/>
  <c r="M488" i="12"/>
  <c r="L504" i="12"/>
  <c r="M516" i="12"/>
  <c r="I547" i="12"/>
  <c r="L568" i="12"/>
  <c r="L606" i="12"/>
  <c r="M688" i="12"/>
  <c r="I427" i="12"/>
  <c r="I431" i="12"/>
  <c r="I435" i="12"/>
  <c r="I439" i="12"/>
  <c r="I443" i="12"/>
  <c r="I447" i="12"/>
  <c r="I451" i="12"/>
  <c r="I455" i="12"/>
  <c r="I459" i="12"/>
  <c r="I463" i="12"/>
  <c r="I467" i="12"/>
  <c r="I471" i="12"/>
  <c r="I475" i="12"/>
  <c r="I479" i="12"/>
  <c r="I483" i="12"/>
  <c r="I487" i="12"/>
  <c r="I491" i="12"/>
  <c r="I495" i="12"/>
  <c r="K499" i="12"/>
  <c r="I503" i="12"/>
  <c r="L508" i="12"/>
  <c r="K515" i="12"/>
  <c r="I519" i="12"/>
  <c r="L524" i="12"/>
  <c r="K531" i="12"/>
  <c r="I535" i="12"/>
  <c r="L540" i="12"/>
  <c r="K547" i="12"/>
  <c r="I551" i="12"/>
  <c r="L556" i="12"/>
  <c r="K563" i="12"/>
  <c r="I567" i="12"/>
  <c r="I575" i="12"/>
  <c r="I591" i="12"/>
  <c r="I607" i="12"/>
  <c r="I623" i="12"/>
  <c r="I639" i="12"/>
  <c r="I655" i="12"/>
  <c r="L679" i="12"/>
  <c r="M752" i="12"/>
  <c r="K440" i="12"/>
  <c r="K444" i="12"/>
  <c r="K448" i="12"/>
  <c r="K452" i="12"/>
  <c r="K456" i="12"/>
  <c r="K460" i="12"/>
  <c r="K464" i="12"/>
  <c r="K468" i="12"/>
  <c r="K472" i="12"/>
  <c r="K476" i="12"/>
  <c r="K480" i="12"/>
  <c r="K484" i="12"/>
  <c r="K488" i="12"/>
  <c r="K492" i="12"/>
  <c r="L496" i="12"/>
  <c r="K503" i="12"/>
  <c r="I507" i="12"/>
  <c r="L512" i="12"/>
  <c r="K519" i="12"/>
  <c r="I523" i="12"/>
  <c r="L528" i="12"/>
  <c r="K535" i="12"/>
  <c r="I539" i="12"/>
  <c r="L544" i="12"/>
  <c r="K551" i="12"/>
  <c r="I555" i="12"/>
  <c r="L560" i="12"/>
  <c r="K567" i="12"/>
  <c r="I571" i="12"/>
  <c r="I587" i="12"/>
  <c r="I603" i="12"/>
  <c r="I619" i="12"/>
  <c r="I635" i="12"/>
  <c r="I651" i="12"/>
  <c r="L666" i="12"/>
  <c r="L743" i="12"/>
  <c r="I389" i="12"/>
  <c r="I393" i="12"/>
  <c r="I397" i="12"/>
  <c r="I401" i="12"/>
  <c r="I405" i="12"/>
  <c r="I409" i="12"/>
  <c r="I413" i="12"/>
  <c r="I417" i="12"/>
  <c r="I421" i="12"/>
  <c r="I425" i="12"/>
  <c r="I429" i="12"/>
  <c r="I433" i="12"/>
  <c r="I437" i="12"/>
  <c r="I441" i="12"/>
  <c r="I445" i="12"/>
  <c r="I449" i="12"/>
  <c r="I453" i="12"/>
  <c r="I457" i="12"/>
  <c r="I461" i="12"/>
  <c r="I465" i="12"/>
  <c r="I469" i="12"/>
  <c r="I473" i="12"/>
  <c r="I477" i="12"/>
  <c r="I481" i="12"/>
  <c r="I485" i="12"/>
  <c r="I489" i="12"/>
  <c r="I493" i="12"/>
  <c r="K497" i="12"/>
  <c r="I505" i="12"/>
  <c r="M509" i="12"/>
  <c r="K513" i="12"/>
  <c r="I521" i="12"/>
  <c r="M525" i="12"/>
  <c r="K529" i="12"/>
  <c r="I537" i="12"/>
  <c r="M541" i="12"/>
  <c r="K545" i="12"/>
  <c r="I553" i="12"/>
  <c r="M557" i="12"/>
  <c r="K561" i="12"/>
  <c r="I569" i="12"/>
  <c r="I583" i="12"/>
  <c r="I599" i="12"/>
  <c r="I615" i="12"/>
  <c r="I631" i="12"/>
  <c r="I647" i="12"/>
  <c r="I663" i="12"/>
  <c r="K734" i="12"/>
  <c r="K496" i="12"/>
  <c r="K500" i="12"/>
  <c r="K504" i="12"/>
  <c r="K508" i="12"/>
  <c r="K512" i="12"/>
  <c r="K516" i="12"/>
  <c r="K520" i="12"/>
  <c r="K524" i="12"/>
  <c r="K528" i="12"/>
  <c r="K532" i="12"/>
  <c r="K536" i="12"/>
  <c r="K540" i="12"/>
  <c r="K544" i="12"/>
  <c r="K548" i="12"/>
  <c r="K552" i="12"/>
  <c r="K556" i="12"/>
  <c r="K560" i="12"/>
  <c r="K564" i="12"/>
  <c r="K568" i="12"/>
  <c r="K572" i="12"/>
  <c r="K576" i="12"/>
  <c r="K580" i="12"/>
  <c r="K584" i="12"/>
  <c r="K588" i="12"/>
  <c r="K592" i="12"/>
  <c r="K596" i="12"/>
  <c r="K600" i="12"/>
  <c r="K604" i="12"/>
  <c r="K608" i="12"/>
  <c r="K612" i="12"/>
  <c r="K616" i="12"/>
  <c r="K620" i="12"/>
  <c r="K624" i="12"/>
  <c r="K628" i="12"/>
  <c r="K632" i="12"/>
  <c r="K636" i="12"/>
  <c r="K640" i="12"/>
  <c r="K644" i="12"/>
  <c r="K648" i="12"/>
  <c r="K652" i="12"/>
  <c r="K656" i="12"/>
  <c r="K660" i="12"/>
  <c r="K663" i="12"/>
  <c r="L674" i="12"/>
  <c r="L689" i="12"/>
  <c r="M701" i="12"/>
  <c r="I732" i="12"/>
  <c r="L753" i="12"/>
  <c r="M765" i="12"/>
  <c r="M828" i="12"/>
  <c r="L576" i="12"/>
  <c r="L580" i="12"/>
  <c r="L584" i="12"/>
  <c r="L588" i="12"/>
  <c r="L592" i="12"/>
  <c r="L596" i="12"/>
  <c r="L600" i="12"/>
  <c r="L604" i="12"/>
  <c r="L608" i="12"/>
  <c r="L612" i="12"/>
  <c r="L616" i="12"/>
  <c r="L620" i="12"/>
  <c r="L624" i="12"/>
  <c r="L628" i="12"/>
  <c r="L632" i="12"/>
  <c r="L636" i="12"/>
  <c r="L640" i="12"/>
  <c r="L644" i="12"/>
  <c r="L648" i="12"/>
  <c r="L652" i="12"/>
  <c r="L656" i="12"/>
  <c r="L660" i="12"/>
  <c r="I667" i="12"/>
  <c r="I678" i="12"/>
  <c r="K699" i="12"/>
  <c r="L711" i="12"/>
  <c r="I742" i="12"/>
  <c r="K763" i="12"/>
  <c r="M812" i="12"/>
  <c r="M572" i="12"/>
  <c r="M576" i="12"/>
  <c r="M580" i="12"/>
  <c r="M584" i="12"/>
  <c r="M588" i="12"/>
  <c r="M592" i="12"/>
  <c r="M596" i="12"/>
  <c r="M600" i="12"/>
  <c r="M604" i="12"/>
  <c r="M608" i="12"/>
  <c r="M612" i="12"/>
  <c r="M616" i="12"/>
  <c r="M620" i="12"/>
  <c r="M624" i="12"/>
  <c r="M628" i="12"/>
  <c r="M632" i="12"/>
  <c r="M636" i="12"/>
  <c r="M640" i="12"/>
  <c r="M644" i="12"/>
  <c r="M648" i="12"/>
  <c r="M652" i="12"/>
  <c r="M656" i="12"/>
  <c r="M660" i="12"/>
  <c r="L668" i="12"/>
  <c r="I694" i="12"/>
  <c r="K715" i="12"/>
  <c r="L727" i="12"/>
  <c r="I758" i="12"/>
  <c r="L787" i="12"/>
  <c r="I906" i="12"/>
  <c r="M666" i="12"/>
  <c r="M670" i="12"/>
  <c r="M674" i="12"/>
  <c r="I682" i="12"/>
  <c r="M686" i="12"/>
  <c r="K690" i="12"/>
  <c r="I698" i="12"/>
  <c r="M702" i="12"/>
  <c r="K706" i="12"/>
  <c r="I714" i="12"/>
  <c r="M718" i="12"/>
  <c r="K722" i="12"/>
  <c r="I730" i="12"/>
  <c r="M734" i="12"/>
  <c r="K738" i="12"/>
  <c r="I746" i="12"/>
  <c r="M750" i="12"/>
  <c r="K754" i="12"/>
  <c r="I762" i="12"/>
  <c r="L767" i="12"/>
  <c r="L783" i="12"/>
  <c r="L799" i="12"/>
  <c r="L815" i="12"/>
  <c r="L831" i="12"/>
  <c r="L845" i="12"/>
  <c r="M868" i="12"/>
  <c r="I673" i="12"/>
  <c r="M677" i="12"/>
  <c r="L684" i="12"/>
  <c r="I689" i="12"/>
  <c r="M693" i="12"/>
  <c r="L700" i="12"/>
  <c r="I705" i="12"/>
  <c r="M709" i="12"/>
  <c r="L716" i="12"/>
  <c r="I721" i="12"/>
  <c r="M725" i="12"/>
  <c r="L732" i="12"/>
  <c r="I737" i="12"/>
  <c r="M741" i="12"/>
  <c r="L748" i="12"/>
  <c r="I753" i="12"/>
  <c r="M757" i="12"/>
  <c r="L764" i="12"/>
  <c r="M772" i="12"/>
  <c r="M788" i="12"/>
  <c r="M804" i="12"/>
  <c r="M820" i="12"/>
  <c r="M836" i="12"/>
  <c r="I870" i="12"/>
  <c r="L663" i="12"/>
  <c r="L667" i="12"/>
  <c r="L671" i="12"/>
  <c r="L675" i="12"/>
  <c r="K679" i="12"/>
  <c r="M684" i="12"/>
  <c r="L691" i="12"/>
  <c r="K695" i="12"/>
  <c r="M700" i="12"/>
  <c r="L707" i="12"/>
  <c r="K711" i="12"/>
  <c r="M716" i="12"/>
  <c r="L723" i="12"/>
  <c r="K727" i="12"/>
  <c r="M732" i="12"/>
  <c r="L739" i="12"/>
  <c r="K743" i="12"/>
  <c r="M748" i="12"/>
  <c r="L755" i="12"/>
  <c r="K759" i="12"/>
  <c r="M764" i="12"/>
  <c r="L775" i="12"/>
  <c r="L791" i="12"/>
  <c r="L807" i="12"/>
  <c r="L823" i="12"/>
  <c r="L839" i="12"/>
  <c r="L859" i="12"/>
  <c r="M675" i="12"/>
  <c r="M679" i="12"/>
  <c r="M683" i="12"/>
  <c r="M687" i="12"/>
  <c r="M691" i="12"/>
  <c r="M695" i="12"/>
  <c r="M699" i="12"/>
  <c r="M703" i="12"/>
  <c r="M707" i="12"/>
  <c r="M711" i="12"/>
  <c r="M715" i="12"/>
  <c r="M719" i="12"/>
  <c r="M723" i="12"/>
  <c r="M727" i="12"/>
  <c r="M731" i="12"/>
  <c r="M735" i="12"/>
  <c r="M739" i="12"/>
  <c r="M743" i="12"/>
  <c r="M747" i="12"/>
  <c r="M751" i="12"/>
  <c r="M755" i="12"/>
  <c r="M759" i="12"/>
  <c r="M763" i="12"/>
  <c r="M767" i="12"/>
  <c r="M771" i="12"/>
  <c r="M775" i="12"/>
  <c r="M779" i="12"/>
  <c r="M783" i="12"/>
  <c r="M787" i="12"/>
  <c r="M791" i="12"/>
  <c r="M795" i="12"/>
  <c r="M799" i="12"/>
  <c r="M803" i="12"/>
  <c r="M807" i="12"/>
  <c r="M811" i="12"/>
  <c r="M815" i="12"/>
  <c r="M819" i="12"/>
  <c r="M823" i="12"/>
  <c r="M827" i="12"/>
  <c r="M831" i="12"/>
  <c r="M835" i="12"/>
  <c r="M839" i="12"/>
  <c r="M843" i="12"/>
  <c r="L858" i="12"/>
  <c r="M864" i="12"/>
  <c r="I883" i="12"/>
  <c r="M926" i="12"/>
  <c r="L769" i="12"/>
  <c r="L773" i="12"/>
  <c r="L777" i="12"/>
  <c r="L781" i="12"/>
  <c r="L785" i="12"/>
  <c r="L789" i="12"/>
  <c r="L793" i="12"/>
  <c r="L797" i="12"/>
  <c r="L801" i="12"/>
  <c r="L805" i="12"/>
  <c r="L809" i="12"/>
  <c r="L813" i="12"/>
  <c r="L817" i="12"/>
  <c r="L821" i="12"/>
  <c r="L825" i="12"/>
  <c r="L829" i="12"/>
  <c r="L833" i="12"/>
  <c r="L837" i="12"/>
  <c r="L841" i="12"/>
  <c r="I845" i="12"/>
  <c r="L849" i="12"/>
  <c r="M855" i="12"/>
  <c r="M871" i="12"/>
  <c r="M910" i="12"/>
  <c r="M769" i="12"/>
  <c r="M773" i="12"/>
  <c r="M777" i="12"/>
  <c r="M781" i="12"/>
  <c r="M785" i="12"/>
  <c r="M789" i="12"/>
  <c r="M793" i="12"/>
  <c r="M797" i="12"/>
  <c r="M801" i="12"/>
  <c r="M805" i="12"/>
  <c r="M809" i="12"/>
  <c r="M813" i="12"/>
  <c r="M817" i="12"/>
  <c r="M821" i="12"/>
  <c r="M825" i="12"/>
  <c r="M829" i="12"/>
  <c r="M833" i="12"/>
  <c r="M837" i="12"/>
  <c r="M841" i="12"/>
  <c r="K846" i="12"/>
  <c r="M854" i="12"/>
  <c r="K872" i="12"/>
  <c r="M884" i="12"/>
  <c r="L973" i="12"/>
  <c r="L850" i="12"/>
  <c r="I855" i="12"/>
  <c r="M859" i="12"/>
  <c r="L866" i="12"/>
  <c r="I871" i="12"/>
  <c r="M875" i="12"/>
  <c r="L882" i="12"/>
  <c r="I887" i="12"/>
  <c r="M891" i="12"/>
  <c r="I902" i="12"/>
  <c r="I918" i="12"/>
  <c r="I935" i="12"/>
  <c r="K848" i="12"/>
  <c r="I856" i="12"/>
  <c r="M860" i="12"/>
  <c r="K864" i="12"/>
  <c r="I872" i="12"/>
  <c r="M876" i="12"/>
  <c r="K880" i="12"/>
  <c r="I888" i="12"/>
  <c r="M892" i="12"/>
  <c r="K896" i="12"/>
  <c r="L909" i="12"/>
  <c r="L925" i="12"/>
  <c r="M955" i="12"/>
  <c r="L871" i="12"/>
  <c r="K878" i="12"/>
  <c r="I882" i="12"/>
  <c r="L887" i="12"/>
  <c r="K894" i="12"/>
  <c r="M898" i="12"/>
  <c r="M914" i="12"/>
  <c r="I931" i="12"/>
  <c r="M845" i="12"/>
  <c r="M849" i="12"/>
  <c r="M853" i="12"/>
  <c r="M857" i="12"/>
  <c r="M861" i="12"/>
  <c r="M865" i="12"/>
  <c r="M869" i="12"/>
  <c r="M873" i="12"/>
  <c r="M877" i="12"/>
  <c r="M881" i="12"/>
  <c r="M885" i="12"/>
  <c r="M889" i="12"/>
  <c r="M893" i="12"/>
  <c r="M897" i="12"/>
  <c r="M901" i="12"/>
  <c r="M905" i="12"/>
  <c r="M909" i="12"/>
  <c r="M913" i="12"/>
  <c r="M917" i="12"/>
  <c r="M921" i="12"/>
  <c r="M925" i="12"/>
  <c r="M929" i="12"/>
  <c r="L942" i="12"/>
  <c r="I962" i="12"/>
  <c r="K898" i="12"/>
  <c r="K902" i="12"/>
  <c r="K906" i="12"/>
  <c r="K910" i="12"/>
  <c r="K914" i="12"/>
  <c r="K918" i="12"/>
  <c r="K922" i="12"/>
  <c r="K926" i="12"/>
  <c r="L930" i="12"/>
  <c r="K945" i="12"/>
  <c r="L898" i="12"/>
  <c r="L902" i="12"/>
  <c r="L906" i="12"/>
  <c r="L910" i="12"/>
  <c r="L914" i="12"/>
  <c r="L918" i="12"/>
  <c r="L922" i="12"/>
  <c r="L926" i="12"/>
  <c r="L934" i="12"/>
  <c r="L950" i="12"/>
  <c r="L963" i="12"/>
  <c r="I976" i="12"/>
  <c r="K932" i="12"/>
  <c r="K936" i="12"/>
  <c r="K940" i="12"/>
  <c r="K944" i="12"/>
  <c r="K948" i="12"/>
  <c r="K952" i="12"/>
  <c r="K956" i="12"/>
  <c r="L961" i="12"/>
  <c r="K968" i="12"/>
  <c r="I972" i="12"/>
  <c r="L983" i="12"/>
  <c r="L999" i="12"/>
  <c r="M933" i="12"/>
  <c r="M937" i="12"/>
  <c r="M941" i="12"/>
  <c r="M945" i="12"/>
  <c r="M949" i="12"/>
  <c r="M953" i="12"/>
  <c r="M958" i="12"/>
  <c r="K962" i="12"/>
  <c r="I970" i="12"/>
  <c r="M974" i="12"/>
  <c r="K986" i="12"/>
  <c r="K1002" i="12"/>
  <c r="I932" i="12"/>
  <c r="I936" i="12"/>
  <c r="I940" i="12"/>
  <c r="I944" i="12"/>
  <c r="I948" i="12"/>
  <c r="I952" i="12"/>
  <c r="I956" i="12"/>
  <c r="K960" i="12"/>
  <c r="I964" i="12"/>
  <c r="L969" i="12"/>
  <c r="K982" i="12"/>
  <c r="K998" i="12"/>
  <c r="I959" i="12"/>
  <c r="I963" i="12"/>
  <c r="I967" i="12"/>
  <c r="I971" i="12"/>
  <c r="I975" i="12"/>
  <c r="I979" i="12"/>
  <c r="I983" i="12"/>
  <c r="I987" i="12"/>
  <c r="I991" i="12"/>
  <c r="I995" i="12"/>
  <c r="I999" i="12"/>
  <c r="I1003" i="12"/>
  <c r="L977" i="12"/>
  <c r="L981" i="12"/>
  <c r="L985" i="12"/>
  <c r="L989" i="12"/>
  <c r="L993" i="12"/>
  <c r="L997" i="12"/>
  <c r="L1001" i="12"/>
  <c r="L1005" i="12"/>
  <c r="M977" i="12"/>
  <c r="M981" i="12"/>
  <c r="M985" i="12"/>
  <c r="M989" i="12"/>
  <c r="M993" i="12"/>
  <c r="M997" i="12"/>
  <c r="M1001" i="12"/>
  <c r="H6" i="12"/>
  <c r="H11" i="12"/>
  <c r="I6" i="12" l="1"/>
  <c r="H42" i="12"/>
  <c r="J42" i="12"/>
  <c r="H136" i="12"/>
  <c r="J136" i="12"/>
  <c r="H160" i="12"/>
  <c r="J160" i="12"/>
  <c r="H94" i="12"/>
  <c r="J94" i="12"/>
  <c r="J299" i="12"/>
  <c r="H299" i="12"/>
  <c r="J44" i="12"/>
  <c r="H44" i="12"/>
  <c r="H203" i="12"/>
  <c r="J203" i="12"/>
  <c r="J63" i="12"/>
  <c r="H63" i="12"/>
  <c r="J127" i="12"/>
  <c r="H127" i="12"/>
  <c r="H207" i="12"/>
  <c r="J207" i="12"/>
  <c r="J375" i="12"/>
  <c r="H375" i="12"/>
  <c r="H227" i="12"/>
  <c r="J227" i="12"/>
  <c r="J355" i="12"/>
  <c r="H355" i="12"/>
  <c r="H61" i="12"/>
  <c r="J61" i="12"/>
  <c r="H125" i="12"/>
  <c r="J125" i="12"/>
  <c r="J209" i="12"/>
  <c r="H209" i="12"/>
  <c r="J335" i="12"/>
  <c r="H335" i="12"/>
  <c r="J174" i="12"/>
  <c r="H174" i="12"/>
  <c r="J238" i="12"/>
  <c r="H238" i="12"/>
  <c r="H302" i="12"/>
  <c r="J302" i="12"/>
  <c r="H366" i="12"/>
  <c r="J366" i="12"/>
  <c r="J458" i="12"/>
  <c r="H458" i="12"/>
  <c r="H285" i="12"/>
  <c r="J285" i="12"/>
  <c r="H349" i="12"/>
  <c r="J349" i="12"/>
  <c r="J422" i="12"/>
  <c r="H422" i="12"/>
  <c r="J272" i="12"/>
  <c r="H272" i="12"/>
  <c r="J336" i="12"/>
  <c r="H336" i="12"/>
  <c r="H400" i="12"/>
  <c r="J400" i="12"/>
  <c r="H437" i="12"/>
  <c r="J437" i="12"/>
  <c r="H501" i="12"/>
  <c r="J501" i="12"/>
  <c r="J621" i="12"/>
  <c r="H621" i="12"/>
  <c r="H488" i="12"/>
  <c r="J488" i="12"/>
  <c r="H566" i="12"/>
  <c r="J566" i="12"/>
  <c r="H415" i="12"/>
  <c r="J415" i="12"/>
  <c r="J479" i="12"/>
  <c r="H479" i="12"/>
  <c r="H557" i="12"/>
  <c r="J557" i="12"/>
  <c r="J520" i="12"/>
  <c r="H520" i="12"/>
  <c r="H584" i="12"/>
  <c r="J584" i="12"/>
  <c r="H648" i="12"/>
  <c r="J648" i="12"/>
  <c r="H595" i="12"/>
  <c r="J595" i="12"/>
  <c r="H659" i="12"/>
  <c r="J659" i="12"/>
  <c r="J606" i="12"/>
  <c r="H606" i="12"/>
  <c r="J679" i="12"/>
  <c r="H679" i="12"/>
  <c r="J715" i="12"/>
  <c r="H715" i="12"/>
  <c r="H671" i="12"/>
  <c r="J671" i="12"/>
  <c r="H754" i="12"/>
  <c r="J754" i="12"/>
  <c r="H710" i="12"/>
  <c r="J710" i="12"/>
  <c r="H681" i="12"/>
  <c r="J681" i="12"/>
  <c r="H745" i="12"/>
  <c r="J745" i="12"/>
  <c r="H809" i="12"/>
  <c r="J809" i="12"/>
  <c r="H788" i="12"/>
  <c r="J788" i="12"/>
  <c r="J865" i="12"/>
  <c r="H865" i="12"/>
  <c r="J807" i="12"/>
  <c r="H807" i="12"/>
  <c r="H864" i="12"/>
  <c r="J864" i="12"/>
  <c r="J870" i="12"/>
  <c r="H870" i="12"/>
  <c r="J949" i="12"/>
  <c r="H949" i="12"/>
  <c r="H907" i="12"/>
  <c r="J907" i="12"/>
  <c r="H918" i="12"/>
  <c r="J918" i="12"/>
  <c r="J913" i="12"/>
  <c r="H913" i="12"/>
  <c r="J967" i="12"/>
  <c r="H967" i="12"/>
  <c r="J934" i="12"/>
  <c r="H934" i="12"/>
  <c r="J994" i="12"/>
  <c r="H994" i="12"/>
  <c r="H992" i="12"/>
  <c r="J992" i="12"/>
  <c r="H139" i="12"/>
  <c r="J139" i="12"/>
  <c r="H38" i="12"/>
  <c r="J38" i="12"/>
  <c r="J141" i="12"/>
  <c r="H141" i="12"/>
  <c r="H34" i="12"/>
  <c r="J34" i="12"/>
  <c r="J116" i="12"/>
  <c r="H116" i="12"/>
  <c r="J35" i="12"/>
  <c r="H35" i="12"/>
  <c r="H99" i="12"/>
  <c r="J99" i="12"/>
  <c r="J153" i="12"/>
  <c r="H153" i="12"/>
  <c r="J236" i="12"/>
  <c r="H236" i="12"/>
  <c r="J398" i="12"/>
  <c r="H398" i="12"/>
  <c r="J494" i="12"/>
  <c r="H494" i="12"/>
  <c r="H192" i="12"/>
  <c r="J192" i="12"/>
  <c r="H256" i="12"/>
  <c r="J256" i="12"/>
  <c r="J307" i="12"/>
  <c r="H307" i="12"/>
  <c r="J371" i="12"/>
  <c r="H371" i="12"/>
  <c r="H420" i="12"/>
  <c r="J420" i="12"/>
  <c r="J33" i="12"/>
  <c r="H33" i="12"/>
  <c r="J49" i="12"/>
  <c r="H49" i="12"/>
  <c r="J65" i="12"/>
  <c r="H65" i="12"/>
  <c r="J81" i="12"/>
  <c r="H81" i="12"/>
  <c r="J97" i="12"/>
  <c r="H97" i="12"/>
  <c r="J113" i="12"/>
  <c r="H113" i="12"/>
  <c r="J129" i="12"/>
  <c r="H129" i="12"/>
  <c r="J148" i="12"/>
  <c r="H148" i="12"/>
  <c r="H167" i="12"/>
  <c r="J167" i="12"/>
  <c r="J193" i="12"/>
  <c r="H193" i="12"/>
  <c r="J212" i="12"/>
  <c r="H212" i="12"/>
  <c r="H231" i="12"/>
  <c r="J231" i="12"/>
  <c r="J257" i="12"/>
  <c r="H257" i="12"/>
  <c r="J287" i="12"/>
  <c r="H287" i="12"/>
  <c r="J351" i="12"/>
  <c r="H351" i="12"/>
  <c r="J609" i="12"/>
  <c r="H609" i="12"/>
  <c r="J146" i="12"/>
  <c r="H146" i="12"/>
  <c r="J162" i="12"/>
  <c r="H162" i="12"/>
  <c r="J178" i="12"/>
  <c r="H178" i="12"/>
  <c r="J194" i="12"/>
  <c r="H194" i="12"/>
  <c r="J210" i="12"/>
  <c r="H210" i="12"/>
  <c r="J226" i="12"/>
  <c r="H226" i="12"/>
  <c r="J242" i="12"/>
  <c r="H242" i="12"/>
  <c r="J258" i="12"/>
  <c r="H258" i="12"/>
  <c r="H274" i="12"/>
  <c r="J274" i="12"/>
  <c r="H290" i="12"/>
  <c r="J290" i="12"/>
  <c r="H306" i="12"/>
  <c r="J306" i="12"/>
  <c r="H322" i="12"/>
  <c r="J322" i="12"/>
  <c r="H338" i="12"/>
  <c r="J338" i="12"/>
  <c r="H354" i="12"/>
  <c r="J354" i="12"/>
  <c r="H370" i="12"/>
  <c r="J370" i="12"/>
  <c r="H386" i="12"/>
  <c r="J386" i="12"/>
  <c r="J405" i="12"/>
  <c r="H405" i="12"/>
  <c r="H424" i="12"/>
  <c r="J424" i="12"/>
  <c r="J474" i="12"/>
  <c r="H474" i="12"/>
  <c r="J558" i="12"/>
  <c r="H558" i="12"/>
  <c r="J669" i="12"/>
  <c r="H669" i="12"/>
  <c r="H273" i="12"/>
  <c r="J273" i="12"/>
  <c r="H289" i="12"/>
  <c r="J289" i="12"/>
  <c r="H305" i="12"/>
  <c r="J305" i="12"/>
  <c r="H321" i="12"/>
  <c r="J321" i="12"/>
  <c r="H337" i="12"/>
  <c r="J337" i="12"/>
  <c r="H353" i="12"/>
  <c r="J353" i="12"/>
  <c r="H369" i="12"/>
  <c r="J369" i="12"/>
  <c r="H385" i="12"/>
  <c r="J385" i="12"/>
  <c r="J406" i="12"/>
  <c r="H406" i="12"/>
  <c r="H425" i="12"/>
  <c r="J425" i="12"/>
  <c r="J470" i="12"/>
  <c r="H470" i="12"/>
  <c r="H513" i="12"/>
  <c r="J513" i="12"/>
  <c r="J790" i="12"/>
  <c r="H790" i="12"/>
  <c r="J276" i="12"/>
  <c r="H276" i="12"/>
  <c r="J292" i="12"/>
  <c r="H292" i="12"/>
  <c r="J308" i="12"/>
  <c r="H308" i="12"/>
  <c r="J324" i="12"/>
  <c r="H324" i="12"/>
  <c r="J340" i="12"/>
  <c r="H340" i="12"/>
  <c r="J356" i="12"/>
  <c r="H356" i="12"/>
  <c r="J372" i="12"/>
  <c r="H372" i="12"/>
  <c r="J388" i="12"/>
  <c r="H388" i="12"/>
  <c r="J410" i="12"/>
  <c r="H410" i="12"/>
  <c r="H428" i="12"/>
  <c r="J428" i="12"/>
  <c r="J482" i="12"/>
  <c r="H482" i="12"/>
  <c r="J625" i="12"/>
  <c r="H625" i="12"/>
  <c r="H441" i="12"/>
  <c r="J441" i="12"/>
  <c r="H457" i="12"/>
  <c r="J457" i="12"/>
  <c r="H473" i="12"/>
  <c r="J473" i="12"/>
  <c r="H489" i="12"/>
  <c r="J489" i="12"/>
  <c r="J511" i="12"/>
  <c r="H511" i="12"/>
  <c r="J530" i="12"/>
  <c r="H530" i="12"/>
  <c r="H549" i="12"/>
  <c r="J549" i="12"/>
  <c r="J573" i="12"/>
  <c r="H573" i="12"/>
  <c r="J637" i="12"/>
  <c r="H637" i="12"/>
  <c r="H444" i="12"/>
  <c r="J444" i="12"/>
  <c r="H460" i="12"/>
  <c r="J460" i="12"/>
  <c r="H476" i="12"/>
  <c r="J476" i="12"/>
  <c r="H492" i="12"/>
  <c r="J492" i="12"/>
  <c r="H505" i="12"/>
  <c r="J505" i="12"/>
  <c r="J531" i="12"/>
  <c r="H531" i="12"/>
  <c r="H550" i="12"/>
  <c r="J550" i="12"/>
  <c r="H569" i="12"/>
  <c r="J569" i="12"/>
  <c r="J633" i="12"/>
  <c r="H633" i="12"/>
  <c r="J845" i="12"/>
  <c r="H845" i="12"/>
  <c r="H403" i="12"/>
  <c r="J403" i="12"/>
  <c r="H419" i="12"/>
  <c r="J419" i="12"/>
  <c r="J435" i="12"/>
  <c r="H435" i="12"/>
  <c r="J451" i="12"/>
  <c r="H451" i="12"/>
  <c r="J467" i="12"/>
  <c r="H467" i="12"/>
  <c r="J483" i="12"/>
  <c r="H483" i="12"/>
  <c r="J503" i="12"/>
  <c r="H503" i="12"/>
  <c r="J522" i="12"/>
  <c r="H522" i="12"/>
  <c r="H541" i="12"/>
  <c r="J541" i="12"/>
  <c r="J567" i="12"/>
  <c r="H567" i="12"/>
  <c r="J613" i="12"/>
  <c r="H613" i="12"/>
  <c r="H698" i="12"/>
  <c r="J698" i="12"/>
  <c r="H508" i="12"/>
  <c r="J508" i="12"/>
  <c r="H524" i="12"/>
  <c r="J524" i="12"/>
  <c r="H540" i="12"/>
  <c r="J540" i="12"/>
  <c r="H556" i="12"/>
  <c r="J556" i="12"/>
  <c r="J572" i="12"/>
  <c r="H572" i="12"/>
  <c r="H588" i="12"/>
  <c r="J588" i="12"/>
  <c r="H604" i="12"/>
  <c r="J604" i="12"/>
  <c r="H620" i="12"/>
  <c r="J620" i="12"/>
  <c r="H636" i="12"/>
  <c r="J636" i="12"/>
  <c r="H652" i="12"/>
  <c r="J652" i="12"/>
  <c r="J708" i="12"/>
  <c r="H708" i="12"/>
  <c r="J838" i="12"/>
  <c r="H838" i="12"/>
  <c r="H583" i="12"/>
  <c r="J583" i="12"/>
  <c r="H599" i="12"/>
  <c r="J599" i="12"/>
  <c r="H615" i="12"/>
  <c r="J615" i="12"/>
  <c r="H631" i="12"/>
  <c r="J631" i="12"/>
  <c r="H647" i="12"/>
  <c r="J647" i="12"/>
  <c r="J663" i="12"/>
  <c r="H663" i="12"/>
  <c r="J727" i="12"/>
  <c r="H727" i="12"/>
  <c r="J578" i="12"/>
  <c r="H578" i="12"/>
  <c r="J594" i="12"/>
  <c r="H594" i="12"/>
  <c r="J610" i="12"/>
  <c r="H610" i="12"/>
  <c r="J626" i="12"/>
  <c r="H626" i="12"/>
  <c r="J642" i="12"/>
  <c r="H642" i="12"/>
  <c r="J658" i="12"/>
  <c r="H658" i="12"/>
  <c r="H682" i="12"/>
  <c r="J682" i="12"/>
  <c r="J806" i="12"/>
  <c r="H806" i="12"/>
  <c r="J680" i="12"/>
  <c r="H680" i="12"/>
  <c r="J699" i="12"/>
  <c r="H699" i="12"/>
  <c r="H718" i="12"/>
  <c r="J718" i="12"/>
  <c r="J744" i="12"/>
  <c r="H744" i="12"/>
  <c r="J763" i="12"/>
  <c r="H763" i="12"/>
  <c r="J802" i="12"/>
  <c r="H802" i="12"/>
  <c r="H675" i="12"/>
  <c r="J675" i="12"/>
  <c r="J700" i="12"/>
  <c r="H700" i="12"/>
  <c r="H719" i="12"/>
  <c r="J719" i="12"/>
  <c r="H738" i="12"/>
  <c r="J738" i="12"/>
  <c r="J764" i="12"/>
  <c r="H764" i="12"/>
  <c r="J830" i="12"/>
  <c r="H830" i="12"/>
  <c r="J674" i="12"/>
  <c r="H674" i="12"/>
  <c r="H694" i="12"/>
  <c r="J694" i="12"/>
  <c r="J720" i="12"/>
  <c r="H720" i="12"/>
  <c r="J739" i="12"/>
  <c r="H739" i="12"/>
  <c r="H758" i="12"/>
  <c r="J758" i="12"/>
  <c r="J826" i="12"/>
  <c r="H826" i="12"/>
  <c r="J685" i="12"/>
  <c r="H685" i="12"/>
  <c r="J701" i="12"/>
  <c r="H701" i="12"/>
  <c r="J717" i="12"/>
  <c r="H717" i="12"/>
  <c r="J733" i="12"/>
  <c r="H733" i="12"/>
  <c r="J749" i="12"/>
  <c r="H749" i="12"/>
  <c r="J765" i="12"/>
  <c r="H765" i="12"/>
  <c r="H781" i="12"/>
  <c r="J781" i="12"/>
  <c r="H797" i="12"/>
  <c r="J797" i="12"/>
  <c r="H813" i="12"/>
  <c r="J813" i="12"/>
  <c r="H829" i="12"/>
  <c r="J829" i="12"/>
  <c r="J846" i="12"/>
  <c r="H846" i="12"/>
  <c r="H776" i="12"/>
  <c r="J776" i="12"/>
  <c r="H792" i="12"/>
  <c r="J792" i="12"/>
  <c r="H808" i="12"/>
  <c r="J808" i="12"/>
  <c r="H824" i="12"/>
  <c r="J824" i="12"/>
  <c r="H840" i="12"/>
  <c r="J840" i="12"/>
  <c r="H868" i="12"/>
  <c r="J868" i="12"/>
  <c r="J920" i="12"/>
  <c r="H920" i="12"/>
  <c r="J779" i="12"/>
  <c r="H779" i="12"/>
  <c r="J795" i="12"/>
  <c r="H795" i="12"/>
  <c r="J811" i="12"/>
  <c r="H811" i="12"/>
  <c r="J827" i="12"/>
  <c r="H827" i="12"/>
  <c r="J843" i="12"/>
  <c r="H843" i="12"/>
  <c r="J894" i="12"/>
  <c r="H894" i="12"/>
  <c r="J850" i="12"/>
  <c r="H850" i="12"/>
  <c r="H869" i="12"/>
  <c r="J869" i="12"/>
  <c r="H888" i="12"/>
  <c r="J888" i="12"/>
  <c r="J854" i="12"/>
  <c r="H854" i="12"/>
  <c r="H873" i="12"/>
  <c r="J873" i="12"/>
  <c r="H892" i="12"/>
  <c r="J892" i="12"/>
  <c r="J877" i="12"/>
  <c r="H877" i="12"/>
  <c r="H896" i="12"/>
  <c r="J896" i="12"/>
  <c r="J847" i="12"/>
  <c r="H847" i="12"/>
  <c r="H863" i="12"/>
  <c r="J863" i="12"/>
  <c r="H879" i="12"/>
  <c r="J879" i="12"/>
  <c r="H895" i="12"/>
  <c r="J895" i="12"/>
  <c r="H911" i="12"/>
  <c r="J911" i="12"/>
  <c r="H927" i="12"/>
  <c r="J927" i="12"/>
  <c r="H906" i="12"/>
  <c r="J906" i="12"/>
  <c r="H922" i="12"/>
  <c r="J922" i="12"/>
  <c r="J957" i="12"/>
  <c r="H957" i="12"/>
  <c r="J901" i="12"/>
  <c r="H901" i="12"/>
  <c r="J917" i="12"/>
  <c r="H917" i="12"/>
  <c r="H931" i="12"/>
  <c r="J931" i="12"/>
  <c r="H936" i="12"/>
  <c r="J936" i="12"/>
  <c r="H952" i="12"/>
  <c r="J952" i="12"/>
  <c r="H970" i="12"/>
  <c r="J970" i="12"/>
  <c r="H939" i="12"/>
  <c r="J939" i="12"/>
  <c r="H955" i="12"/>
  <c r="J955" i="12"/>
  <c r="H974" i="12"/>
  <c r="J974" i="12"/>
  <c r="J938" i="12"/>
  <c r="H938" i="12"/>
  <c r="J954" i="12"/>
  <c r="H954" i="12"/>
  <c r="J975" i="12"/>
  <c r="H975" i="12"/>
  <c r="H961" i="12"/>
  <c r="J961" i="12"/>
  <c r="H977" i="12"/>
  <c r="J977" i="12"/>
  <c r="H993" i="12"/>
  <c r="J993" i="12"/>
  <c r="H980" i="12"/>
  <c r="J980" i="12"/>
  <c r="H996" i="12"/>
  <c r="J996" i="12"/>
  <c r="J983" i="12"/>
  <c r="H983" i="12"/>
  <c r="J999" i="12"/>
  <c r="H999" i="12"/>
  <c r="J48" i="12"/>
  <c r="H48" i="12"/>
  <c r="H171" i="12"/>
  <c r="J171" i="12"/>
  <c r="H30" i="12"/>
  <c r="J30" i="12"/>
  <c r="J173" i="12"/>
  <c r="H173" i="12"/>
  <c r="H74" i="12"/>
  <c r="J74" i="12"/>
  <c r="H152" i="12"/>
  <c r="J152" i="12"/>
  <c r="J47" i="12"/>
  <c r="H47" i="12"/>
  <c r="J111" i="12"/>
  <c r="H111" i="12"/>
  <c r="J188" i="12"/>
  <c r="H188" i="12"/>
  <c r="J311" i="12"/>
  <c r="H311" i="12"/>
  <c r="J189" i="12"/>
  <c r="H189" i="12"/>
  <c r="J291" i="12"/>
  <c r="H291" i="12"/>
  <c r="H45" i="12"/>
  <c r="J45" i="12"/>
  <c r="H109" i="12"/>
  <c r="J109" i="12"/>
  <c r="H183" i="12"/>
  <c r="J183" i="12"/>
  <c r="J271" i="12"/>
  <c r="H271" i="12"/>
  <c r="H158" i="12"/>
  <c r="J158" i="12"/>
  <c r="J222" i="12"/>
  <c r="H222" i="12"/>
  <c r="H286" i="12"/>
  <c r="J286" i="12"/>
  <c r="H350" i="12"/>
  <c r="J350" i="12"/>
  <c r="J421" i="12"/>
  <c r="H421" i="12"/>
  <c r="H269" i="12"/>
  <c r="J269" i="12"/>
  <c r="H333" i="12"/>
  <c r="J333" i="12"/>
  <c r="H396" i="12"/>
  <c r="J396" i="12"/>
  <c r="J641" i="12"/>
  <c r="H641" i="12"/>
  <c r="J320" i="12"/>
  <c r="H320" i="12"/>
  <c r="J384" i="12"/>
  <c r="H384" i="12"/>
  <c r="H529" i="12"/>
  <c r="J529" i="12"/>
  <c r="H485" i="12"/>
  <c r="J485" i="12"/>
  <c r="H565" i="12"/>
  <c r="J565" i="12"/>
  <c r="H472" i="12"/>
  <c r="J472" i="12"/>
  <c r="J547" i="12"/>
  <c r="H547" i="12"/>
  <c r="H399" i="12"/>
  <c r="J399" i="12"/>
  <c r="J463" i="12"/>
  <c r="H463" i="12"/>
  <c r="J538" i="12"/>
  <c r="H538" i="12"/>
  <c r="J504" i="12"/>
  <c r="H504" i="12"/>
  <c r="J568" i="12"/>
  <c r="H568" i="12"/>
  <c r="H632" i="12"/>
  <c r="J632" i="12"/>
  <c r="H579" i="12"/>
  <c r="J579" i="12"/>
  <c r="H643" i="12"/>
  <c r="J643" i="12"/>
  <c r="J590" i="12"/>
  <c r="H590" i="12"/>
  <c r="J654" i="12"/>
  <c r="H654" i="12"/>
  <c r="J696" i="12"/>
  <c r="H696" i="12"/>
  <c r="J786" i="12"/>
  <c r="H786" i="12"/>
  <c r="H735" i="12"/>
  <c r="J735" i="12"/>
  <c r="J691" i="12"/>
  <c r="H691" i="12"/>
  <c r="J810" i="12"/>
  <c r="H810" i="12"/>
  <c r="H729" i="12"/>
  <c r="J729" i="12"/>
  <c r="H793" i="12"/>
  <c r="J793" i="12"/>
  <c r="H772" i="12"/>
  <c r="J772" i="12"/>
  <c r="H836" i="12"/>
  <c r="J836" i="12"/>
  <c r="J791" i="12"/>
  <c r="H791" i="12"/>
  <c r="J933" i="12"/>
  <c r="H933" i="12"/>
  <c r="J916" i="12"/>
  <c r="H916" i="12"/>
  <c r="J893" i="12"/>
  <c r="H893" i="12"/>
  <c r="J891" i="12"/>
  <c r="H891" i="12"/>
  <c r="H902" i="12"/>
  <c r="J902" i="12"/>
  <c r="J929" i="12"/>
  <c r="H929" i="12"/>
  <c r="H935" i="12"/>
  <c r="J935" i="12"/>
  <c r="J950" i="12"/>
  <c r="H950" i="12"/>
  <c r="H989" i="12"/>
  <c r="J989" i="12"/>
  <c r="J995" i="12"/>
  <c r="H995" i="12"/>
  <c r="H163" i="12"/>
  <c r="J163" i="12"/>
  <c r="J88" i="12"/>
  <c r="H88" i="12"/>
  <c r="J379" i="12"/>
  <c r="H379" i="12"/>
  <c r="H70" i="12"/>
  <c r="J70" i="12"/>
  <c r="J245" i="12"/>
  <c r="H245" i="12"/>
  <c r="J52" i="12"/>
  <c r="H52" i="12"/>
  <c r="H155" i="12"/>
  <c r="J155" i="12"/>
  <c r="H67" i="12"/>
  <c r="J67" i="12"/>
  <c r="H115" i="12"/>
  <c r="J115" i="12"/>
  <c r="H191" i="12"/>
  <c r="J191" i="12"/>
  <c r="H211" i="12"/>
  <c r="J211" i="12"/>
  <c r="J32" i="12"/>
  <c r="H32" i="12"/>
  <c r="J128" i="12"/>
  <c r="H128" i="12"/>
  <c r="J446" i="12"/>
  <c r="H446" i="12"/>
  <c r="H78" i="12"/>
  <c r="J78" i="12"/>
  <c r="H144" i="12"/>
  <c r="J144" i="12"/>
  <c r="J539" i="12"/>
  <c r="H539" i="12"/>
  <c r="J28" i="12"/>
  <c r="H28" i="12"/>
  <c r="J124" i="12"/>
  <c r="H124" i="12"/>
  <c r="J71" i="12"/>
  <c r="H71" i="12"/>
  <c r="J119" i="12"/>
  <c r="H119" i="12"/>
  <c r="H175" i="12"/>
  <c r="J175" i="12"/>
  <c r="H239" i="12"/>
  <c r="J239" i="12"/>
  <c r="J401" i="12"/>
  <c r="H401" i="12"/>
  <c r="J221" i="12"/>
  <c r="H221" i="12"/>
  <c r="J323" i="12"/>
  <c r="H323" i="12"/>
  <c r="H37" i="12"/>
  <c r="J37" i="12"/>
  <c r="H85" i="12"/>
  <c r="J85" i="12"/>
  <c r="J132" i="12"/>
  <c r="H132" i="12"/>
  <c r="J196" i="12"/>
  <c r="H196" i="12"/>
  <c r="J260" i="12"/>
  <c r="H260" i="12"/>
  <c r="H134" i="12"/>
  <c r="J134" i="12"/>
  <c r="H182" i="12"/>
  <c r="J182" i="12"/>
  <c r="H230" i="12"/>
  <c r="J230" i="12"/>
  <c r="H278" i="12"/>
  <c r="J278" i="12"/>
  <c r="H326" i="12"/>
  <c r="J326" i="12"/>
  <c r="H374" i="12"/>
  <c r="J374" i="12"/>
  <c r="H432" i="12"/>
  <c r="J432" i="12"/>
  <c r="H762" i="12"/>
  <c r="J762" i="12"/>
  <c r="H309" i="12"/>
  <c r="J309" i="12"/>
  <c r="H357" i="12"/>
  <c r="J357" i="12"/>
  <c r="H409" i="12"/>
  <c r="J409" i="12"/>
  <c r="J571" i="12"/>
  <c r="H571" i="12"/>
  <c r="J296" i="12"/>
  <c r="H296" i="12"/>
  <c r="J344" i="12"/>
  <c r="H344" i="12"/>
  <c r="J394" i="12"/>
  <c r="H394" i="12"/>
  <c r="J523" i="12"/>
  <c r="H523" i="12"/>
  <c r="H461" i="12"/>
  <c r="J461" i="12"/>
  <c r="J514" i="12"/>
  <c r="H514" i="12"/>
  <c r="J589" i="12"/>
  <c r="H589" i="12"/>
  <c r="H464" i="12"/>
  <c r="J464" i="12"/>
  <c r="J515" i="12"/>
  <c r="H515" i="12"/>
  <c r="J585" i="12"/>
  <c r="H585" i="12"/>
  <c r="J391" i="12"/>
  <c r="H391" i="12"/>
  <c r="J407" i="12"/>
  <c r="H407" i="12"/>
  <c r="J423" i="12"/>
  <c r="H423" i="12"/>
  <c r="J439" i="12"/>
  <c r="H439" i="12"/>
  <c r="J471" i="12"/>
  <c r="H471" i="12"/>
  <c r="J487" i="12"/>
  <c r="H487" i="12"/>
  <c r="J506" i="12"/>
  <c r="H506" i="12"/>
  <c r="H525" i="12"/>
  <c r="J525" i="12"/>
  <c r="J551" i="12"/>
  <c r="H551" i="12"/>
  <c r="J570" i="12"/>
  <c r="H570" i="12"/>
  <c r="J629" i="12"/>
  <c r="H629" i="12"/>
  <c r="J759" i="12"/>
  <c r="H759" i="12"/>
  <c r="H512" i="12"/>
  <c r="J512" i="12"/>
  <c r="H528" i="12"/>
  <c r="J528" i="12"/>
  <c r="H544" i="12"/>
  <c r="J544" i="12"/>
  <c r="H560" i="12"/>
  <c r="J560" i="12"/>
  <c r="H576" i="12"/>
  <c r="J576" i="12"/>
  <c r="H592" i="12"/>
  <c r="J592" i="12"/>
  <c r="H608" i="12"/>
  <c r="J608" i="12"/>
  <c r="H624" i="12"/>
  <c r="J624" i="12"/>
  <c r="H640" i="12"/>
  <c r="J640" i="12"/>
  <c r="H656" i="12"/>
  <c r="J656" i="12"/>
  <c r="J711" i="12"/>
  <c r="H711" i="12"/>
  <c r="J849" i="12"/>
  <c r="H849" i="12"/>
  <c r="H587" i="12"/>
  <c r="J587" i="12"/>
  <c r="H603" i="12"/>
  <c r="J603" i="12"/>
  <c r="H619" i="12"/>
  <c r="J619" i="12"/>
  <c r="H635" i="12"/>
  <c r="J635" i="12"/>
  <c r="H651" i="12"/>
  <c r="J651" i="12"/>
  <c r="J665" i="12"/>
  <c r="H665" i="12"/>
  <c r="H730" i="12"/>
  <c r="J730" i="12"/>
  <c r="J582" i="12"/>
  <c r="H582" i="12"/>
  <c r="J598" i="12"/>
  <c r="H598" i="12"/>
  <c r="J614" i="12"/>
  <c r="H614" i="12"/>
  <c r="J630" i="12"/>
  <c r="H630" i="12"/>
  <c r="J646" i="12"/>
  <c r="H646" i="12"/>
  <c r="J662" i="12"/>
  <c r="H662" i="12"/>
  <c r="J740" i="12"/>
  <c r="H740" i="12"/>
  <c r="H664" i="12"/>
  <c r="J664" i="12"/>
  <c r="J683" i="12"/>
  <c r="H683" i="12"/>
  <c r="H702" i="12"/>
  <c r="J702" i="12"/>
  <c r="J728" i="12"/>
  <c r="H728" i="12"/>
  <c r="J747" i="12"/>
  <c r="H747" i="12"/>
  <c r="J766" i="12"/>
  <c r="H766" i="12"/>
  <c r="J818" i="12"/>
  <c r="H818" i="12"/>
  <c r="J684" i="12"/>
  <c r="H684" i="12"/>
  <c r="H703" i="12"/>
  <c r="J703" i="12"/>
  <c r="H722" i="12"/>
  <c r="J722" i="12"/>
  <c r="J748" i="12"/>
  <c r="H748" i="12"/>
  <c r="J782" i="12"/>
  <c r="H782" i="12"/>
  <c r="H852" i="12"/>
  <c r="J852" i="12"/>
  <c r="H678" i="12"/>
  <c r="J678" i="12"/>
  <c r="J704" i="12"/>
  <c r="H704" i="12"/>
  <c r="J723" i="12"/>
  <c r="H723" i="12"/>
  <c r="H742" i="12"/>
  <c r="J742" i="12"/>
  <c r="J778" i="12"/>
  <c r="H778" i="12"/>
  <c r="J842" i="12"/>
  <c r="H842" i="12"/>
  <c r="J689" i="12"/>
  <c r="H689" i="12"/>
  <c r="J705" i="12"/>
  <c r="H705" i="12"/>
  <c r="J721" i="12"/>
  <c r="H721" i="12"/>
  <c r="J737" i="12"/>
  <c r="H737" i="12"/>
  <c r="J753" i="12"/>
  <c r="H753" i="12"/>
  <c r="H769" i="12"/>
  <c r="J769" i="12"/>
  <c r="H785" i="12"/>
  <c r="J785" i="12"/>
  <c r="H801" i="12"/>
  <c r="J801" i="12"/>
  <c r="H817" i="12"/>
  <c r="J817" i="12"/>
  <c r="H833" i="12"/>
  <c r="J833" i="12"/>
  <c r="H848" i="12"/>
  <c r="J848" i="12"/>
  <c r="H780" i="12"/>
  <c r="J780" i="12"/>
  <c r="H796" i="12"/>
  <c r="J796" i="12"/>
  <c r="H812" i="12"/>
  <c r="J812" i="12"/>
  <c r="H828" i="12"/>
  <c r="J828" i="12"/>
  <c r="H844" i="12"/>
  <c r="J844" i="12"/>
  <c r="J878" i="12"/>
  <c r="H878" i="12"/>
  <c r="J767" i="12"/>
  <c r="H767" i="12"/>
  <c r="J783" i="12"/>
  <c r="H783" i="12"/>
  <c r="J799" i="12"/>
  <c r="H799" i="12"/>
  <c r="J815" i="12"/>
  <c r="H815" i="12"/>
  <c r="J831" i="12"/>
  <c r="H831" i="12"/>
  <c r="J858" i="12"/>
  <c r="H858" i="12"/>
  <c r="J897" i="12"/>
  <c r="H897" i="12"/>
  <c r="H853" i="12"/>
  <c r="J853" i="12"/>
  <c r="H872" i="12"/>
  <c r="J872" i="12"/>
  <c r="H898" i="12"/>
  <c r="J898" i="12"/>
  <c r="J857" i="12"/>
  <c r="H857" i="12"/>
  <c r="H876" i="12"/>
  <c r="J876" i="12"/>
  <c r="J912" i="12"/>
  <c r="H912" i="12"/>
  <c r="H880" i="12"/>
  <c r="J880" i="12"/>
  <c r="J908" i="12"/>
  <c r="H908" i="12"/>
  <c r="J851" i="12"/>
  <c r="H851" i="12"/>
  <c r="J867" i="12"/>
  <c r="H867" i="12"/>
  <c r="H883" i="12"/>
  <c r="J883" i="12"/>
  <c r="H899" i="12"/>
  <c r="J899" i="12"/>
  <c r="H915" i="12"/>
  <c r="J915" i="12"/>
  <c r="J945" i="12"/>
  <c r="H945" i="12"/>
  <c r="H910" i="12"/>
  <c r="J910" i="12"/>
  <c r="H926" i="12"/>
  <c r="J926" i="12"/>
  <c r="J960" i="12"/>
  <c r="H960" i="12"/>
  <c r="J905" i="12"/>
  <c r="H905" i="12"/>
  <c r="J921" i="12"/>
  <c r="H921" i="12"/>
  <c r="J937" i="12"/>
  <c r="H937" i="12"/>
  <c r="H940" i="12"/>
  <c r="J940" i="12"/>
  <c r="H956" i="12"/>
  <c r="J956" i="12"/>
  <c r="J986" i="12"/>
  <c r="H986" i="12"/>
  <c r="H943" i="12"/>
  <c r="J943" i="12"/>
  <c r="H958" i="12"/>
  <c r="J958" i="12"/>
  <c r="J982" i="12"/>
  <c r="H982" i="12"/>
  <c r="J942" i="12"/>
  <c r="H942" i="12"/>
  <c r="J959" i="12"/>
  <c r="H959" i="12"/>
  <c r="H976" i="12"/>
  <c r="J976" i="12"/>
  <c r="H965" i="12"/>
  <c r="J965" i="12"/>
  <c r="H981" i="12"/>
  <c r="J981" i="12"/>
  <c r="H997" i="12"/>
  <c r="J997" i="12"/>
  <c r="H984" i="12"/>
  <c r="J984" i="12"/>
  <c r="H1000" i="12"/>
  <c r="J1000" i="12"/>
  <c r="J987" i="12"/>
  <c r="H987" i="12"/>
  <c r="J1003" i="12"/>
  <c r="H1003" i="12"/>
  <c r="H219" i="12"/>
  <c r="J219" i="12"/>
  <c r="J80" i="12"/>
  <c r="H80" i="12"/>
  <c r="J112" i="12"/>
  <c r="H112" i="12"/>
  <c r="J315" i="12"/>
  <c r="H315" i="12"/>
  <c r="H98" i="12"/>
  <c r="J98" i="12"/>
  <c r="H62" i="12"/>
  <c r="J62" i="12"/>
  <c r="H126" i="12"/>
  <c r="J126" i="12"/>
  <c r="H187" i="12"/>
  <c r="J187" i="12"/>
  <c r="H26" i="12"/>
  <c r="J26" i="12"/>
  <c r="H130" i="12"/>
  <c r="J130" i="12"/>
  <c r="J76" i="12"/>
  <c r="H76" i="12"/>
  <c r="J108" i="12"/>
  <c r="H108" i="12"/>
  <c r="J31" i="12"/>
  <c r="H31" i="12"/>
  <c r="J79" i="12"/>
  <c r="H79" i="12"/>
  <c r="J95" i="12"/>
  <c r="H95" i="12"/>
  <c r="H143" i="12"/>
  <c r="J143" i="12"/>
  <c r="J169" i="12"/>
  <c r="H169" i="12"/>
  <c r="J233" i="12"/>
  <c r="H233" i="12"/>
  <c r="J252" i="12"/>
  <c r="H252" i="12"/>
  <c r="J434" i="12"/>
  <c r="H434" i="12"/>
  <c r="H208" i="12"/>
  <c r="J208" i="12"/>
  <c r="J253" i="12"/>
  <c r="H253" i="12"/>
  <c r="J417" i="12"/>
  <c r="H417" i="12"/>
  <c r="H29" i="12"/>
  <c r="J29" i="12"/>
  <c r="H77" i="12"/>
  <c r="J77" i="12"/>
  <c r="H93" i="12"/>
  <c r="J93" i="12"/>
  <c r="J145" i="12"/>
  <c r="H145" i="12"/>
  <c r="J164" i="12"/>
  <c r="H164" i="12"/>
  <c r="J228" i="12"/>
  <c r="H228" i="12"/>
  <c r="H247" i="12"/>
  <c r="J247" i="12"/>
  <c r="J462" i="12"/>
  <c r="H462" i="12"/>
  <c r="J142" i="12"/>
  <c r="H142" i="12"/>
  <c r="J190" i="12"/>
  <c r="H190" i="12"/>
  <c r="J206" i="12"/>
  <c r="H206" i="12"/>
  <c r="J254" i="12"/>
  <c r="H254" i="12"/>
  <c r="H270" i="12"/>
  <c r="J270" i="12"/>
  <c r="H318" i="12"/>
  <c r="J318" i="12"/>
  <c r="H334" i="12"/>
  <c r="J334" i="12"/>
  <c r="H382" i="12"/>
  <c r="J382" i="12"/>
  <c r="J402" i="12"/>
  <c r="H402" i="12"/>
  <c r="J555" i="12"/>
  <c r="H555" i="12"/>
  <c r="J657" i="12"/>
  <c r="H657" i="12"/>
  <c r="H301" i="12"/>
  <c r="J301" i="12"/>
  <c r="H317" i="12"/>
  <c r="J317" i="12"/>
  <c r="H365" i="12"/>
  <c r="J365" i="12"/>
  <c r="H381" i="12"/>
  <c r="J381" i="12"/>
  <c r="J454" i="12"/>
  <c r="H454" i="12"/>
  <c r="J510" i="12"/>
  <c r="H510" i="12"/>
  <c r="J288" i="12"/>
  <c r="H288" i="12"/>
  <c r="J304" i="12"/>
  <c r="H304" i="12"/>
  <c r="J352" i="12"/>
  <c r="H352" i="12"/>
  <c r="J368" i="12"/>
  <c r="H368" i="12"/>
  <c r="J426" i="12"/>
  <c r="H426" i="12"/>
  <c r="J466" i="12"/>
  <c r="H466" i="12"/>
  <c r="H453" i="12"/>
  <c r="J453" i="12"/>
  <c r="H469" i="12"/>
  <c r="J469" i="12"/>
  <c r="J527" i="12"/>
  <c r="H527" i="12"/>
  <c r="J546" i="12"/>
  <c r="H546" i="12"/>
  <c r="H440" i="12"/>
  <c r="J440" i="12"/>
  <c r="H456" i="12"/>
  <c r="J456" i="12"/>
  <c r="H502" i="12"/>
  <c r="J502" i="12"/>
  <c r="H521" i="12"/>
  <c r="J521" i="12"/>
  <c r="J617" i="12"/>
  <c r="H617" i="12"/>
  <c r="J756" i="12"/>
  <c r="H756" i="12"/>
  <c r="J431" i="12"/>
  <c r="H431" i="12"/>
  <c r="J447" i="12"/>
  <c r="H447" i="12"/>
  <c r="J495" i="12"/>
  <c r="H495" i="12"/>
  <c r="J519" i="12"/>
  <c r="H519" i="12"/>
  <c r="J597" i="12"/>
  <c r="H597" i="12"/>
  <c r="J661" i="12"/>
  <c r="H661" i="12"/>
  <c r="J536" i="12"/>
  <c r="H536" i="12"/>
  <c r="J552" i="12"/>
  <c r="H552" i="12"/>
  <c r="H600" i="12"/>
  <c r="J600" i="12"/>
  <c r="H616" i="12"/>
  <c r="J616" i="12"/>
  <c r="H667" i="12"/>
  <c r="J667" i="12"/>
  <c r="J774" i="12"/>
  <c r="H774" i="12"/>
  <c r="H611" i="12"/>
  <c r="J611" i="12"/>
  <c r="H627" i="12"/>
  <c r="J627" i="12"/>
  <c r="J724" i="12"/>
  <c r="H724" i="12"/>
  <c r="J574" i="12"/>
  <c r="H574" i="12"/>
  <c r="J622" i="12"/>
  <c r="H622" i="12"/>
  <c r="J638" i="12"/>
  <c r="H638" i="12"/>
  <c r="H746" i="12"/>
  <c r="J746" i="12"/>
  <c r="H672" i="12"/>
  <c r="J672" i="12"/>
  <c r="H734" i="12"/>
  <c r="J734" i="12"/>
  <c r="J760" i="12"/>
  <c r="H760" i="12"/>
  <c r="H690" i="12"/>
  <c r="J690" i="12"/>
  <c r="J716" i="12"/>
  <c r="H716" i="12"/>
  <c r="J814" i="12"/>
  <c r="H814" i="12"/>
  <c r="J670" i="12"/>
  <c r="H670" i="12"/>
  <c r="J736" i="12"/>
  <c r="H736" i="12"/>
  <c r="J755" i="12"/>
  <c r="H755" i="12"/>
  <c r="H697" i="12"/>
  <c r="J697" i="12"/>
  <c r="H713" i="12"/>
  <c r="J713" i="12"/>
  <c r="H761" i="12"/>
  <c r="J761" i="12"/>
  <c r="H777" i="12"/>
  <c r="J777" i="12"/>
  <c r="H825" i="12"/>
  <c r="J825" i="12"/>
  <c r="H841" i="12"/>
  <c r="J841" i="12"/>
  <c r="H804" i="12"/>
  <c r="J804" i="12"/>
  <c r="H820" i="12"/>
  <c r="J820" i="12"/>
  <c r="H884" i="12"/>
  <c r="J884" i="12"/>
  <c r="J775" i="12"/>
  <c r="H775" i="12"/>
  <c r="J823" i="12"/>
  <c r="H823" i="12"/>
  <c r="J839" i="12"/>
  <c r="H839" i="12"/>
  <c r="J866" i="12"/>
  <c r="H866" i="12"/>
  <c r="J885" i="12"/>
  <c r="H885" i="12"/>
  <c r="H889" i="12"/>
  <c r="J889" i="12"/>
  <c r="J874" i="12"/>
  <c r="H874" i="12"/>
  <c r="H859" i="12"/>
  <c r="J859" i="12"/>
  <c r="J875" i="12"/>
  <c r="H875" i="12"/>
  <c r="H923" i="12"/>
  <c r="J923" i="12"/>
  <c r="J941" i="12"/>
  <c r="H941" i="12"/>
  <c r="H966" i="12"/>
  <c r="J966" i="12"/>
  <c r="H932" i="12"/>
  <c r="J932" i="12"/>
  <c r="H948" i="12"/>
  <c r="J948" i="12"/>
  <c r="H951" i="12"/>
  <c r="J951" i="12"/>
  <c r="H971" i="12"/>
  <c r="J971" i="12"/>
  <c r="J972" i="12"/>
  <c r="H972" i="12"/>
  <c r="J973" i="12"/>
  <c r="H973" i="12"/>
  <c r="H1005" i="12"/>
  <c r="J1005" i="12"/>
  <c r="J979" i="12"/>
  <c r="H979" i="12"/>
  <c r="J267" i="12"/>
  <c r="H267" i="12"/>
  <c r="J56" i="12"/>
  <c r="H56" i="12"/>
  <c r="J120" i="12"/>
  <c r="H120" i="12"/>
  <c r="J229" i="12"/>
  <c r="H229" i="12"/>
  <c r="H106" i="12"/>
  <c r="J106" i="12"/>
  <c r="H102" i="12"/>
  <c r="J102" i="12"/>
  <c r="H176" i="12"/>
  <c r="J176" i="12"/>
  <c r="J363" i="12"/>
  <c r="H363" i="12"/>
  <c r="H82" i="12"/>
  <c r="J82" i="12"/>
  <c r="J84" i="12"/>
  <c r="H84" i="12"/>
  <c r="J261" i="12"/>
  <c r="H261" i="12"/>
  <c r="H51" i="12"/>
  <c r="J51" i="12"/>
  <c r="J83" i="12"/>
  <c r="H83" i="12"/>
  <c r="H131" i="12"/>
  <c r="J131" i="12"/>
  <c r="J172" i="12"/>
  <c r="H172" i="12"/>
  <c r="J217" i="12"/>
  <c r="H217" i="12"/>
  <c r="H255" i="12"/>
  <c r="J255" i="12"/>
  <c r="J327" i="12"/>
  <c r="H327" i="12"/>
  <c r="J237" i="12"/>
  <c r="H237" i="12"/>
  <c r="J213" i="12"/>
  <c r="H213" i="12"/>
  <c r="J331" i="12"/>
  <c r="H331" i="12"/>
  <c r="J64" i="12"/>
  <c r="H64" i="12"/>
  <c r="J96" i="12"/>
  <c r="H96" i="12"/>
  <c r="J165" i="12"/>
  <c r="H165" i="12"/>
  <c r="J232" i="12"/>
  <c r="H232" i="12"/>
  <c r="H114" i="12"/>
  <c r="J114" i="12"/>
  <c r="H46" i="12"/>
  <c r="J46" i="12"/>
  <c r="H110" i="12"/>
  <c r="J110" i="12"/>
  <c r="J181" i="12"/>
  <c r="H181" i="12"/>
  <c r="J248" i="12"/>
  <c r="H248" i="12"/>
  <c r="H50" i="12"/>
  <c r="J50" i="12"/>
  <c r="H90" i="12"/>
  <c r="J90" i="12"/>
  <c r="J60" i="12"/>
  <c r="H60" i="12"/>
  <c r="J92" i="12"/>
  <c r="H92" i="12"/>
  <c r="J197" i="12"/>
  <c r="H197" i="12"/>
  <c r="J283" i="12"/>
  <c r="H283" i="12"/>
  <c r="J39" i="12"/>
  <c r="H39" i="12"/>
  <c r="J55" i="12"/>
  <c r="H55" i="12"/>
  <c r="J87" i="12"/>
  <c r="H87" i="12"/>
  <c r="J103" i="12"/>
  <c r="H103" i="12"/>
  <c r="J137" i="12"/>
  <c r="H137" i="12"/>
  <c r="J156" i="12"/>
  <c r="H156" i="12"/>
  <c r="J201" i="12"/>
  <c r="H201" i="12"/>
  <c r="J220" i="12"/>
  <c r="H220" i="12"/>
  <c r="J279" i="12"/>
  <c r="H279" i="12"/>
  <c r="J343" i="12"/>
  <c r="H343" i="12"/>
  <c r="J542" i="12"/>
  <c r="H542" i="12"/>
  <c r="H195" i="12"/>
  <c r="J195" i="12"/>
  <c r="H240" i="12"/>
  <c r="J240" i="12"/>
  <c r="H259" i="12"/>
  <c r="J259" i="12"/>
  <c r="J387" i="12"/>
  <c r="H387" i="12"/>
  <c r="J478" i="12"/>
  <c r="H478" i="12"/>
  <c r="H53" i="12"/>
  <c r="J53" i="12"/>
  <c r="H69" i="12"/>
  <c r="J69" i="12"/>
  <c r="H101" i="12"/>
  <c r="J101" i="12"/>
  <c r="H117" i="12"/>
  <c r="J117" i="12"/>
  <c r="H151" i="12"/>
  <c r="J151" i="12"/>
  <c r="J177" i="12"/>
  <c r="H177" i="12"/>
  <c r="H215" i="12"/>
  <c r="J215" i="12"/>
  <c r="J241" i="12"/>
  <c r="H241" i="12"/>
  <c r="J303" i="12"/>
  <c r="H303" i="12"/>
  <c r="J367" i="12"/>
  <c r="H367" i="12"/>
  <c r="J150" i="12"/>
  <c r="H150" i="12"/>
  <c r="H166" i="12"/>
  <c r="J166" i="12"/>
  <c r="H198" i="12"/>
  <c r="J198" i="12"/>
  <c r="H214" i="12"/>
  <c r="J214" i="12"/>
  <c r="H246" i="12"/>
  <c r="J246" i="12"/>
  <c r="H262" i="12"/>
  <c r="J262" i="12"/>
  <c r="H294" i="12"/>
  <c r="J294" i="12"/>
  <c r="H310" i="12"/>
  <c r="J310" i="12"/>
  <c r="H342" i="12"/>
  <c r="J342" i="12"/>
  <c r="H358" i="12"/>
  <c r="J358" i="12"/>
  <c r="J389" i="12"/>
  <c r="H389" i="12"/>
  <c r="H408" i="12"/>
  <c r="J408" i="12"/>
  <c r="J490" i="12"/>
  <c r="H490" i="12"/>
  <c r="H561" i="12"/>
  <c r="J561" i="12"/>
  <c r="H277" i="12"/>
  <c r="J277" i="12"/>
  <c r="H293" i="12"/>
  <c r="J293" i="12"/>
  <c r="H325" i="12"/>
  <c r="J325" i="12"/>
  <c r="H341" i="12"/>
  <c r="J341" i="12"/>
  <c r="H373" i="12"/>
  <c r="J373" i="12"/>
  <c r="J390" i="12"/>
  <c r="H390" i="12"/>
  <c r="J430" i="12"/>
  <c r="H430" i="12"/>
  <c r="J486" i="12"/>
  <c r="H486" i="12"/>
  <c r="J264" i="12"/>
  <c r="H264" i="12"/>
  <c r="J280" i="12"/>
  <c r="H280" i="12"/>
  <c r="J312" i="12"/>
  <c r="H312" i="12"/>
  <c r="J328" i="12"/>
  <c r="H328" i="12"/>
  <c r="J360" i="12"/>
  <c r="H360" i="12"/>
  <c r="J376" i="12"/>
  <c r="H376" i="12"/>
  <c r="J413" i="12"/>
  <c r="H413" i="12"/>
  <c r="H436" i="12"/>
  <c r="J436" i="12"/>
  <c r="H429" i="12"/>
  <c r="J429" i="12"/>
  <c r="H445" i="12"/>
  <c r="J445" i="12"/>
  <c r="H477" i="12"/>
  <c r="J477" i="12"/>
  <c r="H493" i="12"/>
  <c r="J493" i="12"/>
  <c r="H533" i="12"/>
  <c r="J533" i="12"/>
  <c r="J559" i="12"/>
  <c r="H559" i="12"/>
  <c r="J653" i="12"/>
  <c r="H653" i="12"/>
  <c r="H448" i="12"/>
  <c r="J448" i="12"/>
  <c r="H480" i="12"/>
  <c r="J480" i="12"/>
  <c r="H496" i="12"/>
  <c r="J496" i="12"/>
  <c r="H534" i="12"/>
  <c r="J534" i="12"/>
  <c r="H553" i="12"/>
  <c r="J553" i="12"/>
  <c r="J649" i="12"/>
  <c r="H649" i="12"/>
  <c r="J455" i="12"/>
  <c r="H455" i="12"/>
  <c r="J216" i="12"/>
  <c r="H216" i="12"/>
  <c r="J40" i="12"/>
  <c r="H40" i="12"/>
  <c r="J72" i="12"/>
  <c r="H72" i="12"/>
  <c r="J104" i="12"/>
  <c r="H104" i="12"/>
  <c r="J133" i="12"/>
  <c r="H133" i="12"/>
  <c r="H168" i="12"/>
  <c r="J168" i="12"/>
  <c r="H235" i="12"/>
  <c r="J235" i="12"/>
  <c r="H58" i="12"/>
  <c r="J58" i="12"/>
  <c r="J157" i="12"/>
  <c r="H157" i="12"/>
  <c r="H54" i="12"/>
  <c r="J54" i="12"/>
  <c r="H86" i="12"/>
  <c r="J86" i="12"/>
  <c r="H118" i="12"/>
  <c r="J118" i="12"/>
  <c r="H147" i="12"/>
  <c r="J147" i="12"/>
  <c r="J184" i="12"/>
  <c r="H184" i="12"/>
  <c r="H251" i="12"/>
  <c r="J251" i="12"/>
  <c r="H66" i="12"/>
  <c r="J66" i="12"/>
  <c r="H122" i="12"/>
  <c r="J122" i="12"/>
  <c r="J36" i="12"/>
  <c r="H36" i="12"/>
  <c r="J68" i="12"/>
  <c r="H68" i="12"/>
  <c r="J100" i="12"/>
  <c r="H100" i="12"/>
  <c r="J149" i="12"/>
  <c r="H149" i="12"/>
  <c r="J200" i="12"/>
  <c r="H200" i="12"/>
  <c r="J347" i="12"/>
  <c r="H347" i="12"/>
  <c r="H27" i="12"/>
  <c r="J27" i="12"/>
  <c r="H43" i="12"/>
  <c r="J43" i="12"/>
  <c r="H59" i="12"/>
  <c r="J59" i="12"/>
  <c r="H75" i="12"/>
  <c r="J75" i="12"/>
  <c r="J91" i="12"/>
  <c r="H91" i="12"/>
  <c r="H107" i="12"/>
  <c r="J107" i="12"/>
  <c r="H123" i="12"/>
  <c r="J123" i="12"/>
  <c r="J140" i="12"/>
  <c r="H140" i="12"/>
  <c r="H159" i="12"/>
  <c r="J159" i="12"/>
  <c r="J185" i="12"/>
  <c r="H185" i="12"/>
  <c r="J204" i="12"/>
  <c r="H204" i="12"/>
  <c r="H223" i="12"/>
  <c r="J223" i="12"/>
  <c r="J249" i="12"/>
  <c r="H249" i="12"/>
  <c r="J295" i="12"/>
  <c r="H295" i="12"/>
  <c r="J359" i="12"/>
  <c r="H359" i="12"/>
  <c r="H404" i="12"/>
  <c r="J404" i="12"/>
  <c r="H179" i="12"/>
  <c r="J179" i="12"/>
  <c r="J205" i="12"/>
  <c r="H205" i="12"/>
  <c r="H224" i="12"/>
  <c r="J224" i="12"/>
  <c r="H243" i="12"/>
  <c r="J243" i="12"/>
  <c r="J275" i="12"/>
  <c r="H275" i="12"/>
  <c r="J339" i="12"/>
  <c r="H339" i="12"/>
  <c r="J414" i="12"/>
  <c r="H414" i="12"/>
  <c r="H545" i="12"/>
  <c r="J545" i="12"/>
  <c r="J25" i="12"/>
  <c r="H25" i="12"/>
  <c r="J41" i="12"/>
  <c r="H41" i="12"/>
  <c r="J57" i="12"/>
  <c r="H57" i="12"/>
  <c r="J73" i="12"/>
  <c r="H73" i="12"/>
  <c r="J89" i="12"/>
  <c r="H89" i="12"/>
  <c r="J105" i="12"/>
  <c r="H105" i="12"/>
  <c r="J121" i="12"/>
  <c r="H121" i="12"/>
  <c r="H135" i="12"/>
  <c r="J135" i="12"/>
  <c r="J161" i="12"/>
  <c r="H161" i="12"/>
  <c r="J180" i="12"/>
  <c r="H180" i="12"/>
  <c r="H199" i="12"/>
  <c r="J199" i="12"/>
  <c r="J225" i="12"/>
  <c r="H225" i="12"/>
  <c r="J244" i="12"/>
  <c r="H244" i="12"/>
  <c r="J263" i="12"/>
  <c r="H263" i="12"/>
  <c r="J319" i="12"/>
  <c r="H319" i="12"/>
  <c r="J383" i="12"/>
  <c r="H383" i="12"/>
  <c r="H138" i="12"/>
  <c r="J138" i="12"/>
  <c r="H154" i="12"/>
  <c r="J154" i="12"/>
  <c r="H170" i="12"/>
  <c r="J170" i="12"/>
  <c r="H186" i="12"/>
  <c r="J186" i="12"/>
  <c r="H202" i="12"/>
  <c r="J202" i="12"/>
  <c r="H218" i="12"/>
  <c r="J218" i="12"/>
  <c r="H234" i="12"/>
  <c r="J234" i="12"/>
  <c r="H250" i="12"/>
  <c r="J250" i="12"/>
  <c r="H266" i="12"/>
  <c r="J266" i="12"/>
  <c r="H282" i="12"/>
  <c r="J282" i="12"/>
  <c r="H298" i="12"/>
  <c r="J298" i="12"/>
  <c r="H314" i="12"/>
  <c r="J314" i="12"/>
  <c r="H330" i="12"/>
  <c r="J330" i="12"/>
  <c r="H346" i="12"/>
  <c r="J346" i="12"/>
  <c r="H362" i="12"/>
  <c r="J362" i="12"/>
  <c r="H378" i="12"/>
  <c r="J378" i="12"/>
  <c r="H392" i="12"/>
  <c r="J392" i="12"/>
  <c r="J418" i="12"/>
  <c r="H418" i="12"/>
  <c r="J442" i="12"/>
  <c r="H442" i="12"/>
  <c r="H497" i="12"/>
  <c r="J497" i="12"/>
  <c r="J593" i="12"/>
  <c r="H593" i="12"/>
  <c r="H265" i="12"/>
  <c r="J265" i="12"/>
  <c r="H281" i="12"/>
  <c r="J281" i="12"/>
  <c r="H297" i="12"/>
  <c r="J297" i="12"/>
  <c r="H313" i="12"/>
  <c r="J313" i="12"/>
  <c r="H329" i="12"/>
  <c r="J329" i="12"/>
  <c r="H345" i="12"/>
  <c r="J345" i="12"/>
  <c r="H361" i="12"/>
  <c r="J361" i="12"/>
  <c r="H377" i="12"/>
  <c r="J377" i="12"/>
  <c r="H393" i="12"/>
  <c r="J393" i="12"/>
  <c r="H412" i="12"/>
  <c r="J412" i="12"/>
  <c r="J438" i="12"/>
  <c r="H438" i="12"/>
  <c r="J507" i="12"/>
  <c r="H507" i="12"/>
  <c r="J577" i="12"/>
  <c r="H577" i="12"/>
  <c r="J268" i="12"/>
  <c r="H268" i="12"/>
  <c r="J284" i="12"/>
  <c r="H284" i="12"/>
  <c r="J300" i="12"/>
  <c r="H300" i="12"/>
  <c r="J316" i="12"/>
  <c r="H316" i="12"/>
  <c r="J332" i="12"/>
  <c r="H332" i="12"/>
  <c r="J348" i="12"/>
  <c r="H348" i="12"/>
  <c r="J364" i="12"/>
  <c r="H364" i="12"/>
  <c r="J380" i="12"/>
  <c r="H380" i="12"/>
  <c r="J397" i="12"/>
  <c r="H397" i="12"/>
  <c r="H416" i="12"/>
  <c r="J416" i="12"/>
  <c r="J450" i="12"/>
  <c r="H450" i="12"/>
  <c r="J526" i="12"/>
  <c r="H526" i="12"/>
  <c r="J433" i="12"/>
  <c r="H433" i="12"/>
  <c r="H449" i="12"/>
  <c r="J449" i="12"/>
  <c r="H465" i="12"/>
  <c r="J465" i="12"/>
  <c r="H481" i="12"/>
  <c r="J481" i="12"/>
  <c r="J498" i="12"/>
  <c r="H498" i="12"/>
  <c r="H517" i="12"/>
  <c r="J517" i="12"/>
  <c r="J543" i="12"/>
  <c r="H543" i="12"/>
  <c r="J562" i="12"/>
  <c r="H562" i="12"/>
  <c r="J605" i="12"/>
  <c r="H605" i="12"/>
  <c r="J692" i="12"/>
  <c r="H692" i="12"/>
  <c r="H452" i="12"/>
  <c r="J452" i="12"/>
  <c r="H468" i="12"/>
  <c r="J468" i="12"/>
  <c r="H484" i="12"/>
  <c r="J484" i="12"/>
  <c r="J499" i="12"/>
  <c r="H499" i="12"/>
  <c r="H518" i="12"/>
  <c r="J518" i="12"/>
  <c r="H537" i="12"/>
  <c r="J537" i="12"/>
  <c r="J563" i="12"/>
  <c r="H563" i="12"/>
  <c r="J601" i="12"/>
  <c r="H601" i="12"/>
  <c r="J695" i="12"/>
  <c r="H695" i="12"/>
  <c r="J395" i="12"/>
  <c r="H395" i="12"/>
  <c r="J411" i="12"/>
  <c r="H411" i="12"/>
  <c r="J427" i="12"/>
  <c r="H427" i="12"/>
  <c r="J443" i="12"/>
  <c r="H443" i="12"/>
  <c r="J459" i="12"/>
  <c r="H459" i="12"/>
  <c r="J475" i="12"/>
  <c r="H475" i="12"/>
  <c r="J491" i="12"/>
  <c r="H491" i="12"/>
  <c r="H509" i="12"/>
  <c r="J509" i="12"/>
  <c r="J535" i="12"/>
  <c r="H535" i="12"/>
  <c r="J554" i="12"/>
  <c r="H554" i="12"/>
  <c r="J581" i="12"/>
  <c r="H581" i="12"/>
  <c r="J645" i="12"/>
  <c r="H645" i="12"/>
  <c r="J500" i="12"/>
  <c r="H500" i="12"/>
  <c r="J516" i="12"/>
  <c r="H516" i="12"/>
  <c r="J532" i="12"/>
  <c r="H532" i="12"/>
  <c r="J548" i="12"/>
  <c r="H548" i="12"/>
  <c r="J564" i="12"/>
  <c r="H564" i="12"/>
  <c r="H580" i="12"/>
  <c r="J580" i="12"/>
  <c r="H596" i="12"/>
  <c r="J596" i="12"/>
  <c r="H612" i="12"/>
  <c r="J612" i="12"/>
  <c r="H628" i="12"/>
  <c r="J628" i="12"/>
  <c r="H644" i="12"/>
  <c r="J644" i="12"/>
  <c r="H660" i="12"/>
  <c r="J660" i="12"/>
  <c r="H714" i="12"/>
  <c r="J714" i="12"/>
  <c r="H575" i="12"/>
  <c r="J575" i="12"/>
  <c r="H591" i="12"/>
  <c r="J591" i="12"/>
  <c r="H607" i="12"/>
  <c r="J607" i="12"/>
  <c r="H623" i="12"/>
  <c r="J623" i="12"/>
  <c r="H639" i="12"/>
  <c r="J639" i="12"/>
  <c r="H655" i="12"/>
  <c r="J655" i="12"/>
  <c r="J673" i="12"/>
  <c r="H673" i="12"/>
  <c r="J822" i="12"/>
  <c r="H822" i="12"/>
  <c r="J586" i="12"/>
  <c r="H586" i="12"/>
  <c r="J602" i="12"/>
  <c r="H602" i="12"/>
  <c r="J618" i="12"/>
  <c r="H618" i="12"/>
  <c r="J634" i="12"/>
  <c r="H634" i="12"/>
  <c r="J650" i="12"/>
  <c r="H650" i="12"/>
  <c r="J676" i="12"/>
  <c r="H676" i="12"/>
  <c r="J743" i="12"/>
  <c r="H743" i="12"/>
  <c r="J668" i="12"/>
  <c r="H668" i="12"/>
  <c r="H686" i="12"/>
  <c r="J686" i="12"/>
  <c r="J712" i="12"/>
  <c r="H712" i="12"/>
  <c r="J731" i="12"/>
  <c r="H731" i="12"/>
  <c r="H750" i="12"/>
  <c r="J750" i="12"/>
  <c r="J770" i="12"/>
  <c r="H770" i="12"/>
  <c r="J834" i="12"/>
  <c r="H834" i="12"/>
  <c r="H687" i="12"/>
  <c r="J687" i="12"/>
  <c r="H706" i="12"/>
  <c r="J706" i="12"/>
  <c r="J732" i="12"/>
  <c r="H732" i="12"/>
  <c r="H751" i="12"/>
  <c r="J751" i="12"/>
  <c r="J798" i="12"/>
  <c r="H798" i="12"/>
  <c r="J666" i="12"/>
  <c r="H666" i="12"/>
  <c r="J688" i="12"/>
  <c r="H688" i="12"/>
  <c r="J707" i="12"/>
  <c r="H707" i="12"/>
  <c r="H726" i="12"/>
  <c r="J726" i="12"/>
  <c r="J752" i="12"/>
  <c r="H752" i="12"/>
  <c r="J794" i="12"/>
  <c r="H794" i="12"/>
  <c r="H677" i="12"/>
  <c r="J677" i="12"/>
  <c r="H693" i="12"/>
  <c r="J693" i="12"/>
  <c r="H709" i="12"/>
  <c r="J709" i="12"/>
  <c r="H725" i="12"/>
  <c r="J725" i="12"/>
  <c r="H741" i="12"/>
  <c r="J741" i="12"/>
  <c r="H757" i="12"/>
  <c r="J757" i="12"/>
  <c r="H773" i="12"/>
  <c r="J773" i="12"/>
  <c r="H789" i="12"/>
  <c r="J789" i="12"/>
  <c r="H805" i="12"/>
  <c r="J805" i="12"/>
  <c r="H821" i="12"/>
  <c r="J821" i="12"/>
  <c r="H837" i="12"/>
  <c r="J837" i="12"/>
  <c r="H768" i="12"/>
  <c r="J768" i="12"/>
  <c r="H784" i="12"/>
  <c r="J784" i="12"/>
  <c r="H800" i="12"/>
  <c r="J800" i="12"/>
  <c r="H816" i="12"/>
  <c r="J816" i="12"/>
  <c r="H832" i="12"/>
  <c r="J832" i="12"/>
  <c r="J862" i="12"/>
  <c r="H862" i="12"/>
  <c r="J881" i="12"/>
  <c r="H881" i="12"/>
  <c r="J771" i="12"/>
  <c r="H771" i="12"/>
  <c r="J787" i="12"/>
  <c r="H787" i="12"/>
  <c r="J803" i="12"/>
  <c r="H803" i="12"/>
  <c r="J819" i="12"/>
  <c r="H819" i="12"/>
  <c r="J835" i="12"/>
  <c r="H835" i="12"/>
  <c r="J861" i="12"/>
  <c r="H861" i="12"/>
  <c r="J904" i="12"/>
  <c r="H904" i="12"/>
  <c r="H856" i="12"/>
  <c r="J856" i="12"/>
  <c r="J882" i="12"/>
  <c r="H882" i="12"/>
  <c r="J900" i="12"/>
  <c r="H900" i="12"/>
  <c r="H860" i="12"/>
  <c r="J860" i="12"/>
  <c r="J886" i="12"/>
  <c r="H886" i="12"/>
  <c r="J928" i="12"/>
  <c r="H928" i="12"/>
  <c r="J890" i="12"/>
  <c r="H890" i="12"/>
  <c r="J924" i="12"/>
  <c r="H924" i="12"/>
  <c r="J855" i="12"/>
  <c r="H855" i="12"/>
  <c r="J871" i="12"/>
  <c r="H871" i="12"/>
  <c r="J887" i="12"/>
  <c r="H887" i="12"/>
  <c r="H903" i="12"/>
  <c r="J903" i="12"/>
  <c r="H919" i="12"/>
  <c r="J919" i="12"/>
  <c r="J990" i="12"/>
  <c r="H990" i="12"/>
  <c r="H914" i="12"/>
  <c r="J914" i="12"/>
  <c r="H930" i="12"/>
  <c r="J930" i="12"/>
  <c r="J963" i="12"/>
  <c r="H963" i="12"/>
  <c r="J909" i="12"/>
  <c r="H909" i="12"/>
  <c r="J925" i="12"/>
  <c r="H925" i="12"/>
  <c r="J953" i="12"/>
  <c r="H953" i="12"/>
  <c r="H944" i="12"/>
  <c r="J944" i="12"/>
  <c r="J964" i="12"/>
  <c r="H964" i="12"/>
  <c r="J1002" i="12"/>
  <c r="H1002" i="12"/>
  <c r="H947" i="12"/>
  <c r="J947" i="12"/>
  <c r="J968" i="12"/>
  <c r="H968" i="12"/>
  <c r="J998" i="12"/>
  <c r="H998" i="12"/>
  <c r="J946" i="12"/>
  <c r="H946" i="12"/>
  <c r="H962" i="12"/>
  <c r="J962" i="12"/>
  <c r="J978" i="12"/>
  <c r="H978" i="12"/>
  <c r="J969" i="12"/>
  <c r="H969" i="12"/>
  <c r="H985" i="12"/>
  <c r="J985" i="12"/>
  <c r="H1001" i="12"/>
  <c r="J1001" i="12"/>
  <c r="H988" i="12"/>
  <c r="J988" i="12"/>
  <c r="H1004" i="12"/>
  <c r="J1004" i="12"/>
  <c r="J991" i="12"/>
  <c r="H991" i="12"/>
  <c r="H24" i="12"/>
  <c r="H23" i="12"/>
  <c r="H21" i="12"/>
  <c r="H22" i="12"/>
  <c r="H18" i="12"/>
  <c r="H7" i="12"/>
  <c r="H16" i="12"/>
  <c r="H8" i="12"/>
  <c r="H13" i="12"/>
  <c r="H15" i="12"/>
  <c r="H17" i="12"/>
  <c r="H19" i="12"/>
  <c r="H10" i="12"/>
  <c r="H9" i="12"/>
  <c r="H14" i="12"/>
  <c r="H12" i="12"/>
  <c r="H20" i="12"/>
  <c r="I19" i="12" l="1"/>
  <c r="I20" i="12"/>
  <c r="I12" i="12"/>
  <c r="I18" i="12"/>
  <c r="I9" i="12"/>
  <c r="I13" i="12"/>
  <c r="I11" i="12"/>
  <c r="I22" i="12"/>
  <c r="I7" i="12"/>
  <c r="I16" i="12"/>
  <c r="I17" i="12"/>
  <c r="I10" i="12"/>
  <c r="I14" i="12"/>
  <c r="I8" i="12"/>
  <c r="I21" i="12"/>
  <c r="I23" i="12"/>
  <c r="I24" i="12"/>
  <c r="I15" i="12"/>
  <c r="J22" i="12"/>
  <c r="J21" i="12"/>
  <c r="J23" i="12"/>
  <c r="J24" i="12"/>
  <c r="J14" i="12"/>
  <c r="J20" i="12"/>
  <c r="J13" i="12"/>
  <c r="J7" i="12"/>
  <c r="J15" i="12"/>
  <c r="J12" i="12"/>
  <c r="J9" i="12"/>
  <c r="J19" i="12"/>
  <c r="J16" i="12"/>
  <c r="J6" i="12"/>
  <c r="J18" i="12"/>
  <c r="J8" i="12"/>
  <c r="J11" i="12"/>
  <c r="J17" i="12"/>
  <c r="J10" i="12"/>
  <c r="L6" i="12" l="1"/>
  <c r="K6" i="12"/>
  <c r="M6" i="12" s="1"/>
  <c r="L23" i="12"/>
  <c r="L10" i="12"/>
  <c r="L22" i="12"/>
  <c r="L18" i="12"/>
  <c r="K13" i="12"/>
  <c r="M13" i="12" s="1"/>
  <c r="K14" i="12"/>
  <c r="M14" i="12" s="1"/>
  <c r="K8" i="12"/>
  <c r="M8" i="12" s="1"/>
  <c r="K20" i="12"/>
  <c r="M20" i="12" s="1"/>
  <c r="K24" i="12"/>
  <c r="M24" i="12" s="1"/>
  <c r="K23" i="12"/>
  <c r="M23" i="12" s="1"/>
  <c r="K7" i="12"/>
  <c r="M7" i="12" s="1"/>
  <c r="K18" i="12"/>
  <c r="M18" i="12" s="1"/>
  <c r="K19" i="12"/>
  <c r="M19" i="12" s="1"/>
  <c r="K11" i="12"/>
  <c r="M11" i="12" s="1"/>
  <c r="K17" i="12"/>
  <c r="M17" i="12" s="1"/>
  <c r="K10" i="12"/>
  <c r="M10" i="12" s="1"/>
  <c r="K12" i="12"/>
  <c r="M12" i="12" s="1"/>
  <c r="K9" i="12"/>
  <c r="M9" i="12" s="1"/>
  <c r="K16" i="12"/>
  <c r="M16" i="12" s="1"/>
  <c r="K21" i="12"/>
  <c r="M21" i="12" s="1"/>
  <c r="K15" i="12"/>
  <c r="M15" i="12" s="1"/>
  <c r="K22" i="12"/>
  <c r="M22" i="12" s="1"/>
  <c r="L21" i="12"/>
  <c r="L17" i="12"/>
  <c r="L11" i="12"/>
  <c r="L15" i="12"/>
  <c r="L8" i="12"/>
  <c r="L16" i="12"/>
  <c r="L13" i="12"/>
  <c r="L20" i="12"/>
  <c r="L12" i="12"/>
  <c r="L24" i="12"/>
  <c r="L14" i="12"/>
  <c r="L7" i="12"/>
  <c r="L9" i="12"/>
  <c r="L19" i="12"/>
  <c r="B16" i="12" l="1"/>
  <c r="B17" i="12"/>
  <c r="B19" i="12" l="1"/>
  <c r="B22" i="12" s="1"/>
  <c r="B21" i="12" l="1"/>
  <c r="H9" i="11"/>
  <c r="O9" i="11" s="1"/>
  <c r="H10" i="11"/>
  <c r="O10" i="11" s="1"/>
  <c r="H11" i="11"/>
  <c r="O11" i="11" s="1"/>
  <c r="H12" i="11"/>
  <c r="O12" i="11" s="1"/>
  <c r="J8" i="11"/>
  <c r="Q8" i="11" s="1"/>
  <c r="J9" i="11"/>
  <c r="Q9" i="11" s="1"/>
  <c r="J10" i="11"/>
  <c r="Q10" i="11" s="1"/>
  <c r="J11" i="11"/>
  <c r="Q11" i="11" s="1"/>
  <c r="J12" i="11"/>
  <c r="Q12" i="11" s="1"/>
  <c r="J7" i="11"/>
  <c r="Q7" i="11" s="1"/>
  <c r="D15" i="11"/>
  <c r="D16" i="11" s="1"/>
  <c r="H8" i="11"/>
  <c r="O8" i="11" s="1"/>
  <c r="D30" i="11" l="1"/>
  <c r="D27" i="11"/>
  <c r="E27" i="11" s="1"/>
  <c r="E24" i="11" s="1"/>
  <c r="F24" i="11" s="1"/>
  <c r="G24" i="11" s="1"/>
  <c r="H24" i="11" s="1"/>
  <c r="G13" i="11"/>
  <c r="N13" i="11" s="1"/>
  <c r="F13" i="11"/>
  <c r="M13" i="11" s="1"/>
  <c r="E13" i="11"/>
  <c r="L13" i="11" s="1"/>
  <c r="D13" i="11"/>
  <c r="K13" i="11" s="1"/>
  <c r="H7" i="11"/>
  <c r="O7" i="11" s="1"/>
  <c r="E26" i="11" l="1"/>
  <c r="F26" i="11" s="1"/>
  <c r="G26" i="11" s="1"/>
  <c r="H26" i="11" s="1"/>
  <c r="E25" i="11"/>
  <c r="F25" i="11" s="1"/>
  <c r="G25" i="11" s="1"/>
  <c r="H25" i="11" s="1"/>
  <c r="E23" i="11"/>
  <c r="F23" i="11" s="1"/>
  <c r="H13" i="11"/>
  <c r="O13" i="11" s="1"/>
  <c r="K12" i="11" s="1"/>
  <c r="R12" i="11" s="1"/>
  <c r="F27" i="11" l="1"/>
  <c r="G23" i="11"/>
  <c r="H23" i="11" s="1"/>
  <c r="D29" i="11" s="1"/>
  <c r="N10" i="11"/>
  <c r="U10" i="11" s="1"/>
  <c r="M11" i="11"/>
  <c r="T11" i="11" s="1"/>
  <c r="M10" i="11"/>
  <c r="T10" i="11" s="1"/>
  <c r="L7" i="11"/>
  <c r="S7" i="11" s="1"/>
  <c r="K11" i="11"/>
  <c r="R11" i="11" s="1"/>
  <c r="K8" i="11"/>
  <c r="R8" i="11" s="1"/>
  <c r="N12" i="11"/>
  <c r="U12" i="11" s="1"/>
  <c r="N11" i="11"/>
  <c r="U11" i="11" s="1"/>
  <c r="M7" i="11"/>
  <c r="T7" i="11" s="1"/>
  <c r="L12" i="11"/>
  <c r="S12" i="11" s="1"/>
  <c r="L8" i="11"/>
  <c r="S8" i="11" s="1"/>
  <c r="K10" i="11"/>
  <c r="R10" i="11" s="1"/>
  <c r="N8" i="11"/>
  <c r="U8" i="11" s="1"/>
  <c r="N7" i="11"/>
  <c r="U7" i="11" s="1"/>
  <c r="M12" i="11"/>
  <c r="T12" i="11" s="1"/>
  <c r="L10" i="11"/>
  <c r="S10" i="11" s="1"/>
  <c r="L9" i="11"/>
  <c r="S9" i="11" s="1"/>
  <c r="K9" i="11"/>
  <c r="R9" i="11" s="1"/>
  <c r="N9" i="11"/>
  <c r="U9" i="11" s="1"/>
  <c r="M9" i="11"/>
  <c r="T9" i="11" s="1"/>
  <c r="M8" i="11"/>
  <c r="T8" i="11" s="1"/>
  <c r="L11" i="11"/>
  <c r="S11" i="11" s="1"/>
  <c r="K7" i="11"/>
  <c r="R7" i="11" s="1"/>
  <c r="V11" i="11" l="1"/>
  <c r="V12" i="11"/>
  <c r="V9" i="11"/>
  <c r="V8" i="11"/>
  <c r="T13" i="11"/>
  <c r="V10" i="11"/>
  <c r="S13" i="11"/>
  <c r="V7" i="11"/>
  <c r="R13" i="11"/>
  <c r="U13" i="11"/>
  <c r="V13" i="11" l="1"/>
  <c r="D17" i="11" l="1"/>
  <c r="F15" i="11" s="1"/>
  <c r="G27" i="11"/>
  <c r="F28" i="11" l="1"/>
  <c r="F8" i="8"/>
  <c r="E8" i="8"/>
  <c r="G7" i="8"/>
  <c r="D11" i="8" s="1"/>
  <c r="G6" i="8"/>
  <c r="D12" i="8" s="1"/>
  <c r="F11" i="8" l="1"/>
  <c r="B16" i="8"/>
  <c r="C16" i="8" s="1"/>
  <c r="F12" i="8"/>
  <c r="G8" i="8"/>
  <c r="D10" i="8" s="1"/>
  <c r="F31" i="4" l="1"/>
  <c r="F35" i="4" s="1"/>
  <c r="G89" i="4"/>
  <c r="J91" i="4" s="1"/>
  <c r="F89" i="4" l="1"/>
  <c r="H89" i="4" s="1"/>
  <c r="G88" i="4" l="1"/>
  <c r="G87" i="4"/>
  <c r="G85" i="4"/>
  <c r="G84" i="4"/>
  <c r="G83" i="4"/>
  <c r="G82" i="4"/>
  <c r="C82" i="4"/>
  <c r="K89" i="4"/>
  <c r="F91" i="4"/>
  <c r="D39" i="4"/>
  <c r="F38" i="4"/>
  <c r="F39" i="4" s="1"/>
  <c r="D38" i="4"/>
  <c r="K31" i="4"/>
  <c r="J31" i="4"/>
  <c r="J35" i="4" s="1"/>
  <c r="I31" i="4"/>
  <c r="I35" i="4" s="1"/>
  <c r="H31" i="4"/>
  <c r="H35" i="4" s="1"/>
  <c r="G31" i="4"/>
  <c r="G35" i="4" s="1"/>
  <c r="E31" i="4"/>
  <c r="D65" i="4"/>
  <c r="K19" i="4"/>
  <c r="C88" i="4" s="1"/>
  <c r="J19" i="4"/>
  <c r="C87" i="4" s="1"/>
  <c r="I19" i="4"/>
  <c r="C86" i="4" s="1"/>
  <c r="H19" i="4"/>
  <c r="C85" i="4" s="1"/>
  <c r="G19" i="4"/>
  <c r="C84" i="4" s="1"/>
  <c r="F19" i="4"/>
  <c r="C83" i="4" s="1"/>
  <c r="E19" i="4"/>
  <c r="E86" i="4" l="1"/>
  <c r="F86" i="4" s="1"/>
  <c r="K86" i="4" s="1"/>
  <c r="E87" i="4"/>
  <c r="F87" i="4" s="1"/>
  <c r="H87" i="4" s="1"/>
  <c r="E84" i="4"/>
  <c r="F84" i="4" s="1"/>
  <c r="K84" i="4" s="1"/>
  <c r="E88" i="4"/>
  <c r="F88" i="4" s="1"/>
  <c r="K88" i="4" s="1"/>
  <c r="E82" i="4"/>
  <c r="F82" i="4" s="1"/>
  <c r="H82" i="4" s="1"/>
  <c r="E83" i="4"/>
  <c r="F83" i="4" s="1"/>
  <c r="H83" i="4" s="1"/>
  <c r="F37" i="4"/>
  <c r="G86" i="4"/>
  <c r="G80" i="4" s="1"/>
  <c r="K91" i="4"/>
  <c r="H91" i="4"/>
  <c r="I91" i="4" s="1"/>
  <c r="H37" i="4"/>
  <c r="B49" i="4"/>
  <c r="B50" i="4" s="1"/>
  <c r="B51" i="4" s="1"/>
  <c r="B52" i="4" s="1"/>
  <c r="B53" i="4" s="1"/>
  <c r="B54" i="4" s="1"/>
  <c r="B55" i="4" s="1"/>
  <c r="G79" i="4"/>
  <c r="H79" i="4" s="1"/>
  <c r="D64" i="4" s="1"/>
  <c r="D66" i="4" s="1"/>
  <c r="E85" i="4"/>
  <c r="F85" i="4" s="1"/>
  <c r="G37" i="4"/>
  <c r="J37" i="4"/>
  <c r="C49" i="4"/>
  <c r="C50" i="4" s="1"/>
  <c r="C51" i="4" s="1"/>
  <c r="C52" i="4" s="1"/>
  <c r="C53" i="4" s="1"/>
  <c r="C54" i="4" s="1"/>
  <c r="C55" i="4" s="1"/>
  <c r="K37" i="4"/>
  <c r="E37" i="4"/>
  <c r="I37" i="4"/>
  <c r="H84" i="4" l="1"/>
  <c r="K87" i="4"/>
  <c r="H88" i="4"/>
  <c r="K82" i="4"/>
  <c r="K83" i="4"/>
  <c r="F80" i="4"/>
  <c r="F81" i="4" s="1"/>
  <c r="F90" i="4" s="1"/>
  <c r="H86" i="4"/>
  <c r="K85" i="4"/>
  <c r="H85" i="4"/>
  <c r="D49" i="4"/>
  <c r="D50" i="4" s="1"/>
  <c r="D51" i="4" s="1"/>
  <c r="D52" i="4" s="1"/>
  <c r="D53" i="4" s="1"/>
  <c r="D54" i="4" s="1"/>
  <c r="D55" i="4" s="1"/>
  <c r="G81" i="4"/>
  <c r="J82" i="4" s="1"/>
  <c r="E49" i="4"/>
  <c r="E50" i="4" s="1"/>
  <c r="E51" i="4" s="1"/>
  <c r="E52" i="4" s="1"/>
  <c r="E53" i="4" s="1"/>
  <c r="E54" i="4" s="1"/>
  <c r="E55" i="4" s="1"/>
  <c r="K80" i="4" l="1"/>
  <c r="D67" i="4" s="1"/>
  <c r="H80" i="4"/>
  <c r="J86" i="4"/>
  <c r="J80" i="4"/>
  <c r="K90" i="4"/>
  <c r="J84" i="4"/>
  <c r="G90" i="4"/>
  <c r="J90" i="4" s="1"/>
  <c r="J85" i="4"/>
  <c r="J87" i="4"/>
  <c r="J83" i="4"/>
  <c r="J88" i="4"/>
  <c r="K81" i="4"/>
  <c r="H81" i="4"/>
  <c r="I82" i="4" s="1"/>
  <c r="L82" i="4" s="1"/>
  <c r="P81" i="4" l="1"/>
  <c r="P82" i="4" s="1"/>
  <c r="D93" i="4"/>
  <c r="D68" i="4" s="1"/>
  <c r="H90" i="4"/>
  <c r="I90" i="4" s="1"/>
  <c r="I80" i="4"/>
  <c r="L80" i="4" s="1"/>
  <c r="K79" i="4"/>
  <c r="I87" i="4"/>
  <c r="L87" i="4" s="1"/>
  <c r="I83" i="4"/>
  <c r="L83" i="4" s="1"/>
  <c r="I84" i="4"/>
  <c r="L84" i="4" s="1"/>
  <c r="I85" i="4"/>
  <c r="L85" i="4" s="1"/>
  <c r="I88" i="4"/>
  <c r="L88" i="4" s="1"/>
  <c r="I86" i="4"/>
  <c r="L86" i="4" s="1"/>
  <c r="P88" i="4" l="1"/>
  <c r="P83" i="4"/>
  <c r="P84" i="4" s="1"/>
  <c r="P85" i="4" s="1"/>
  <c r="P86" i="4" s="1"/>
  <c r="P87" i="4" s="1"/>
  <c r="F21" i="1" l="1"/>
  <c r="J21" i="1"/>
  <c r="K21" i="1"/>
  <c r="D21" i="1"/>
  <c r="H21" i="1"/>
  <c r="E21" i="1"/>
  <c r="I21" i="1"/>
  <c r="G21" i="1"/>
  <c r="C21" i="1"/>
  <c r="C20" i="1"/>
  <c r="F20" i="1"/>
  <c r="AF14" i="1"/>
  <c r="X11" i="1"/>
  <c r="D68" i="1" l="1"/>
  <c r="AA11" i="1"/>
  <c r="Y17" i="1"/>
  <c r="AB17" i="1"/>
  <c r="AD14" i="1"/>
  <c r="AE17" i="1"/>
  <c r="X17" i="1"/>
  <c r="AA17" i="1"/>
  <c r="AD17" i="1"/>
  <c r="AB14" i="1"/>
  <c r="AA14" i="1"/>
  <c r="AE14" i="1"/>
  <c r="Y11" i="1"/>
  <c r="AD11" i="1"/>
  <c r="X14" i="1" l="1"/>
  <c r="AB11" i="1"/>
  <c r="AC11" i="1"/>
  <c r="AC17" i="1"/>
  <c r="Z17" i="1"/>
  <c r="AF17" i="1"/>
  <c r="Y14" i="1"/>
  <c r="AC14" i="1"/>
  <c r="Z11" i="1"/>
  <c r="G67" i="1"/>
  <c r="G66" i="1"/>
  <c r="G65" i="1"/>
  <c r="AE11" i="1" l="1"/>
  <c r="G63" i="1"/>
  <c r="Z14" i="1" l="1"/>
  <c r="C24" i="1" l="1"/>
  <c r="AF11" i="1"/>
  <c r="D71" i="1" s="1"/>
  <c r="D70" i="1"/>
  <c r="D69" i="1"/>
  <c r="D66" i="1"/>
  <c r="F62" i="1"/>
  <c r="C46" i="1"/>
  <c r="D62" i="1"/>
  <c r="G62" i="1"/>
  <c r="E50" i="1" s="1"/>
  <c r="G64" i="1" l="1"/>
  <c r="J63" i="1" s="1"/>
  <c r="A48" i="1"/>
  <c r="C25" i="1"/>
  <c r="C26" i="1" s="1"/>
  <c r="E71" i="1"/>
  <c r="D65" i="1"/>
  <c r="E65" i="1" s="1"/>
  <c r="E68" i="1"/>
  <c r="D67" i="1"/>
  <c r="E67" i="1" s="1"/>
  <c r="E70" i="1"/>
  <c r="E69" i="1"/>
  <c r="E66" i="1"/>
  <c r="E62" i="1"/>
  <c r="H62" i="1"/>
  <c r="A49" i="1" s="1"/>
  <c r="C55" i="1" s="1"/>
  <c r="F67" i="1" l="1"/>
  <c r="K67" i="1" s="1"/>
  <c r="J71" i="1"/>
  <c r="J68" i="1"/>
  <c r="J69" i="1"/>
  <c r="J70" i="1"/>
  <c r="J65" i="1"/>
  <c r="J67" i="1"/>
  <c r="J66" i="1"/>
  <c r="F66" i="1"/>
  <c r="K66" i="1" s="1"/>
  <c r="F65" i="1"/>
  <c r="E55" i="1"/>
  <c r="B57" i="1" l="1"/>
  <c r="E57" i="1" s="1"/>
  <c r="C49" i="1"/>
  <c r="H50" i="1" s="1"/>
  <c r="K65" i="1"/>
  <c r="C56" i="1"/>
  <c r="F55" i="1"/>
  <c r="F68" i="1"/>
  <c r="K68" i="1" s="1"/>
  <c r="F70" i="1"/>
  <c r="K70" i="1" s="1"/>
  <c r="F69" i="1"/>
  <c r="K69" i="1" s="1"/>
  <c r="F47" i="1"/>
  <c r="E47" i="1"/>
  <c r="H66" i="1"/>
  <c r="H65" i="1"/>
  <c r="H67" i="1"/>
  <c r="F57" i="1" l="1"/>
  <c r="H47" i="1"/>
  <c r="H68" i="1"/>
  <c r="H70" i="1"/>
  <c r="F71" i="1"/>
  <c r="F63" i="1" s="1"/>
  <c r="H69" i="1"/>
  <c r="K63" i="1" l="1"/>
  <c r="L35" i="1" s="1"/>
  <c r="K71" i="1"/>
  <c r="H71" i="1"/>
  <c r="H63" i="1" l="1"/>
  <c r="F64" i="1"/>
  <c r="K64" i="1" l="1"/>
  <c r="K62" i="1" s="1"/>
  <c r="H64" i="1"/>
  <c r="M69" i="1" s="1"/>
  <c r="M67" i="1" l="1"/>
  <c r="M68" i="1"/>
  <c r="M65" i="1"/>
  <c r="M66" i="1"/>
  <c r="M70" i="1"/>
  <c r="M71" i="1"/>
  <c r="I70" i="1"/>
  <c r="L70" i="1" s="1"/>
  <c r="L32" i="1"/>
  <c r="I67" i="1"/>
  <c r="L67" i="1" s="1"/>
  <c r="I69" i="1"/>
  <c r="L69" i="1" s="1"/>
  <c r="I65" i="1"/>
  <c r="L65" i="1" s="1"/>
  <c r="I66" i="1"/>
  <c r="L66" i="1" s="1"/>
  <c r="I63" i="1"/>
  <c r="L63" i="1" s="1"/>
  <c r="I68" i="1"/>
  <c r="L68" i="1" s="1"/>
  <c r="I71" i="1"/>
  <c r="L71" i="1" s="1"/>
  <c r="E63" i="16"/>
  <c r="E61" i="16"/>
  <c r="E67" i="16"/>
  <c r="F67" i="16" s="1"/>
  <c r="E68" i="16"/>
  <c r="F68" i="16" s="1"/>
  <c r="E64" i="16"/>
  <c r="F64" i="16" s="1"/>
  <c r="E58" i="16"/>
  <c r="E66" i="16"/>
  <c r="F66" i="16" s="1"/>
  <c r="E65" i="16"/>
  <c r="F65" i="16" s="1"/>
  <c r="E69" i="16"/>
  <c r="F69" i="16" s="1"/>
  <c r="E62" i="16"/>
  <c r="E60" i="16"/>
  <c r="E59" i="16"/>
  <c r="G57" i="16" l="1"/>
  <c r="F63" i="16"/>
  <c r="G63" i="16" s="1"/>
  <c r="F62" i="16"/>
  <c r="G62" i="16" s="1"/>
  <c r="F59" i="16"/>
  <c r="G59" i="16" s="1"/>
  <c r="F58" i="16"/>
  <c r="G58" i="16" s="1"/>
  <c r="F61" i="16"/>
  <c r="G61" i="16" s="1"/>
  <c r="G56" i="16"/>
  <c r="F60" i="16"/>
  <c r="G60" i="16" s="1"/>
  <c r="G65" i="16"/>
  <c r="G68" i="16"/>
  <c r="G67" i="16"/>
  <c r="G66" i="16"/>
  <c r="G69" i="16"/>
  <c r="F70" i="16"/>
  <c r="G70" i="16" s="1"/>
  <c r="G64" i="16" l="1"/>
  <c r="F6" i="16" s="1"/>
  <c r="F8" i="16" s="1"/>
  <c r="F10" i="16" s="1"/>
  <c r="X81" i="16" l="1"/>
  <c r="AC70" i="16" l="1"/>
  <c r="X85" i="16" l="1"/>
  <c r="Z77" i="16"/>
  <c r="AA74" i="16" s="1"/>
  <c r="AC74" i="16"/>
  <c r="AC77" i="16" s="1"/>
  <c r="AB89" i="16" l="1"/>
  <c r="X88" i="16"/>
  <c r="Y88" i="16" s="1"/>
  <c r="AA70" i="16"/>
  <c r="AD70" i="16" s="1"/>
  <c r="AA71" i="16"/>
  <c r="AA72" i="16"/>
  <c r="AA73" i="16"/>
  <c r="AA75" i="16"/>
  <c r="AA76" i="16"/>
  <c r="Y81" i="16" l="1"/>
  <c r="Z81" i="16" s="1"/>
  <c r="AA81" i="16" s="1"/>
  <c r="AD71" i="16"/>
  <c r="AD72" i="16" s="1"/>
  <c r="AD73" i="16" s="1"/>
  <c r="AD74" i="16" s="1"/>
  <c r="AD75" i="16" s="1"/>
  <c r="AD76" i="16" s="1"/>
  <c r="Y82" i="16" l="1"/>
  <c r="Z82" i="16" s="1"/>
  <c r="AA82" i="16" s="1"/>
  <c r="AB82" i="16" s="1"/>
  <c r="AB81" i="16"/>
  <c r="Y83" i="16" l="1"/>
  <c r="Z83" i="16" s="1"/>
  <c r="AA83" i="16" s="1"/>
  <c r="AB83" i="16" s="1"/>
  <c r="Y84" i="16" l="1"/>
  <c r="Z84" i="16" s="1"/>
  <c r="AA84" i="16" s="1"/>
  <c r="AB84" i="16" s="1"/>
  <c r="Y85" i="16" l="1"/>
  <c r="Z85" i="16" s="1"/>
  <c r="AA85" i="16" s="1"/>
  <c r="AB85" i="16" s="1"/>
  <c r="Y86" i="16" l="1"/>
  <c r="Z86" i="16" s="1"/>
  <c r="AA86" i="16" s="1"/>
  <c r="AB86" i="16" s="1"/>
  <c r="Y87" i="16" l="1"/>
  <c r="Z87" i="16" s="1"/>
  <c r="AA87" i="16" s="1"/>
  <c r="AB87" i="16" s="1"/>
  <c r="AB88" i="16" s="1"/>
  <c r="F11" i="16" s="1"/>
  <c r="AA88" i="16" l="1"/>
  <c r="Z88" i="16"/>
</calcChain>
</file>

<file path=xl/sharedStrings.xml><?xml version="1.0" encoding="utf-8"?>
<sst xmlns="http://schemas.openxmlformats.org/spreadsheetml/2006/main" count="842" uniqueCount="495">
  <si>
    <t>SS2</t>
  </si>
  <si>
    <t>CI</t>
  </si>
  <si>
    <t>origine</t>
  </si>
  <si>
    <t>niveau</t>
  </si>
  <si>
    <t>SCE</t>
  </si>
  <si>
    <t>ddl</t>
  </si>
  <si>
    <t>CM</t>
  </si>
  <si>
    <t>F</t>
  </si>
  <si>
    <t>F5%</t>
  </si>
  <si>
    <t>%</t>
  </si>
  <si>
    <t>total</t>
  </si>
  <si>
    <t>model</t>
  </si>
  <si>
    <t>x</t>
  </si>
  <si>
    <t>Cp = 1.67</t>
  </si>
  <si>
    <t>Cp = 1.33</t>
  </si>
  <si>
    <t>Cochran</t>
  </si>
  <si>
    <t>C5%</t>
  </si>
  <si>
    <t>b1</t>
  </si>
  <si>
    <t>b2</t>
  </si>
  <si>
    <t>b3</t>
  </si>
  <si>
    <t>b4</t>
  </si>
  <si>
    <t>b5</t>
  </si>
  <si>
    <t>b6</t>
  </si>
  <si>
    <t>b7</t>
  </si>
  <si>
    <t>b0</t>
  </si>
  <si>
    <t>I</t>
  </si>
  <si>
    <t>fractile t</t>
  </si>
  <si>
    <t>stat T (95%)</t>
  </si>
  <si>
    <t>stat T (99%)</t>
  </si>
  <si>
    <t>Plackett Burman</t>
  </si>
  <si>
    <t>Identification</t>
  </si>
  <si>
    <t>ANOVA</t>
  </si>
  <si>
    <t>IC-(99%)</t>
  </si>
  <si>
    <t>IC-(95%)</t>
  </si>
  <si>
    <t>IC+(95%)</t>
  </si>
  <si>
    <t>IC+(99%)</t>
  </si>
  <si>
    <t>Fobs</t>
  </si>
  <si>
    <t>contribution</t>
  </si>
  <si>
    <t>factoriel</t>
  </si>
  <si>
    <t>centre</t>
  </si>
  <si>
    <t>ajustement</t>
  </si>
  <si>
    <t>regression</t>
  </si>
  <si>
    <t>Cpk</t>
  </si>
  <si>
    <t>T+</t>
  </si>
  <si>
    <t>T-</t>
  </si>
  <si>
    <t>X</t>
  </si>
  <si>
    <t>Conclusion</t>
  </si>
  <si>
    <t>Kolmogorov smirnov</t>
  </si>
  <si>
    <t>loi normale</t>
  </si>
  <si>
    <t>i</t>
  </si>
  <si>
    <t>fréquence</t>
  </si>
  <si>
    <t>Normit</t>
  </si>
  <si>
    <t>ui</t>
  </si>
  <si>
    <t>zi</t>
  </si>
  <si>
    <t>i/n-zi</t>
  </si>
  <si>
    <t>zi-(i-1)/n</t>
  </si>
  <si>
    <t>D+</t>
  </si>
  <si>
    <t>D-</t>
  </si>
  <si>
    <t>D</t>
  </si>
  <si>
    <t>n</t>
  </si>
  <si>
    <t>Grubbbs 5%</t>
  </si>
  <si>
    <t>Grubbs 1%</t>
  </si>
  <si>
    <t>nombre n</t>
  </si>
  <si>
    <t>si 4&lt;n&lt;12</t>
  </si>
  <si>
    <t>si 11&lt;n&lt;31</t>
  </si>
  <si>
    <t>si n&gt;=31</t>
  </si>
  <si>
    <t>TD</t>
  </si>
  <si>
    <t>limite</t>
  </si>
  <si>
    <t>conlusion</t>
  </si>
  <si>
    <t>Grubbs</t>
  </si>
  <si>
    <t>Table de Grubbs</t>
  </si>
  <si>
    <t>Max</t>
  </si>
  <si>
    <t>Grubbs 5%</t>
  </si>
  <si>
    <t>Min</t>
  </si>
  <si>
    <t>tri croissant</t>
  </si>
  <si>
    <t>N</t>
  </si>
  <si>
    <t>etendu W</t>
  </si>
  <si>
    <t>classe K</t>
  </si>
  <si>
    <t>amplitude A</t>
  </si>
  <si>
    <t>Histogramme</t>
  </si>
  <si>
    <t>moyenne pondérée</t>
  </si>
  <si>
    <t>k</t>
  </si>
  <si>
    <t>[  classe ]</t>
  </si>
  <si>
    <t>freq</t>
  </si>
  <si>
    <t>m= moy/classe</t>
  </si>
  <si>
    <t>n*m</t>
  </si>
  <si>
    <t>fréquence cumul</t>
  </si>
  <si>
    <t>my pondérée</t>
  </si>
  <si>
    <t>+</t>
  </si>
  <si>
    <t>-</t>
  </si>
  <si>
    <t>Somme</t>
  </si>
  <si>
    <t>r-1</t>
  </si>
  <si>
    <t>N-g</t>
  </si>
  <si>
    <t>1/(r-1)-1/(N-g)</t>
  </si>
  <si>
    <t>(r-1)*ln(S²)</t>
  </si>
  <si>
    <t>(r-1)*S²</t>
  </si>
  <si>
    <t>g</t>
  </si>
  <si>
    <t>S²r</t>
  </si>
  <si>
    <t>L</t>
  </si>
  <si>
    <t>B</t>
  </si>
  <si>
    <t>Salaire</t>
  </si>
  <si>
    <t>1000-2000</t>
  </si>
  <si>
    <t>2000-3000</t>
  </si>
  <si>
    <t>3000-4000</t>
  </si>
  <si>
    <t>4000-5000</t>
  </si>
  <si>
    <t>Total</t>
  </si>
  <si>
    <t>X² 5%</t>
  </si>
  <si>
    <t>valeur attendue</t>
  </si>
  <si>
    <t>xi² observé</t>
  </si>
  <si>
    <t>(Pr-Pth)²</t>
  </si>
  <si>
    <t>(Pr-Pth)²/Pth</t>
  </si>
  <si>
    <t>somme</t>
  </si>
  <si>
    <t>Xhi²</t>
  </si>
  <si>
    <t>version 1.0</t>
  </si>
  <si>
    <t>risque α</t>
  </si>
  <si>
    <t>G obs</t>
  </si>
  <si>
    <t>tri decroissant</t>
  </si>
  <si>
    <t>min</t>
  </si>
  <si>
    <t>max</t>
  </si>
  <si>
    <t>tot</t>
  </si>
  <si>
    <t>test double de Grubbs</t>
  </si>
  <si>
    <t>classe k</t>
  </si>
  <si>
    <t>n th</t>
  </si>
  <si>
    <t>nr-n th</t>
  </si>
  <si>
    <t>n reel</t>
  </si>
  <si>
    <t>Xhi² 5%</t>
  </si>
  <si>
    <t>Xhi² 1%</t>
  </si>
  <si>
    <t>classement</t>
  </si>
  <si>
    <t>value</t>
  </si>
  <si>
    <t xml:space="preserve">Distribution Study </t>
  </si>
  <si>
    <t>Kolmogorov - Smirnov test</t>
  </si>
  <si>
    <t>Simple Grubbs test</t>
  </si>
  <si>
    <t>Double Grubbs test</t>
  </si>
  <si>
    <t>qualitative criteria</t>
  </si>
  <si>
    <t>man</t>
  </si>
  <si>
    <t>woman</t>
  </si>
  <si>
    <t>conclusion</t>
  </si>
  <si>
    <t>r-th</t>
  </si>
  <si>
    <t>(r-th)²</t>
  </si>
  <si>
    <t>(r-th)²/th</t>
  </si>
  <si>
    <t>therory th</t>
  </si>
  <si>
    <t>group</t>
  </si>
  <si>
    <t>Group</t>
  </si>
  <si>
    <t>Data</t>
  </si>
  <si>
    <t>Group Median</t>
  </si>
  <si>
    <t>z_ij</t>
  </si>
  <si>
    <t>z_i-bar</t>
  </si>
  <si>
    <t>z-bar</t>
  </si>
  <si>
    <t>(I-J)^2</t>
  </si>
  <si>
    <t>(J-K)^2</t>
  </si>
  <si>
    <t>Group (i)</t>
  </si>
  <si>
    <t>Sum(n)</t>
  </si>
  <si>
    <t>BeginRow</t>
  </si>
  <si>
    <t>EndRow</t>
  </si>
  <si>
    <t>SS</t>
  </si>
  <si>
    <t>df</t>
  </si>
  <si>
    <t xml:space="preserve">Between Group </t>
  </si>
  <si>
    <t xml:space="preserve">Within Group </t>
  </si>
  <si>
    <t>Levene's Statistic</t>
  </si>
  <si>
    <t>P-value</t>
  </si>
  <si>
    <t>quantity ni</t>
  </si>
  <si>
    <t>reference method</t>
  </si>
  <si>
    <t>method to be validated</t>
  </si>
  <si>
    <t>Sum</t>
  </si>
  <si>
    <t>Accuracy</t>
  </si>
  <si>
    <t>Specificity</t>
  </si>
  <si>
    <t>Youden indice</t>
  </si>
  <si>
    <t>Equivalence</t>
  </si>
  <si>
    <t>Qualitative correlation</t>
  </si>
  <si>
    <t>X²</t>
  </si>
  <si>
    <t>Variance</t>
  </si>
  <si>
    <t>Bartlett Test</t>
  </si>
  <si>
    <t xml:space="preserve">replicate r </t>
  </si>
  <si>
    <t>replicate r</t>
  </si>
  <si>
    <t>group k</t>
  </si>
  <si>
    <t>Variance max</t>
  </si>
  <si>
    <t>Sum of variance</t>
  </si>
  <si>
    <t>Cobs</t>
  </si>
  <si>
    <t>Purpose : show equivalence between two method</t>
  </si>
  <si>
    <t>Design of experiment</t>
  </si>
  <si>
    <t>assays are performed in repeatability condition in intra cell</t>
  </si>
  <si>
    <t>Outlier study</t>
  </si>
  <si>
    <t>parameter</t>
  </si>
  <si>
    <t>Trueness</t>
  </si>
  <si>
    <t>average</t>
  </si>
  <si>
    <t>target</t>
  </si>
  <si>
    <t>intervall of confident (95%)</t>
  </si>
  <si>
    <t>Capability</t>
  </si>
  <si>
    <t>range</t>
  </si>
  <si>
    <t>Population distribution (95%)</t>
  </si>
  <si>
    <t>statistic</t>
  </si>
  <si>
    <t>interaction</t>
  </si>
  <si>
    <t>Plackett Burman : design of experiment</t>
  </si>
  <si>
    <t>This is a robusness test</t>
  </si>
  <si>
    <t>Parameter</t>
  </si>
  <si>
    <t>Allow to assess acceptance critria for each parameter</t>
  </si>
  <si>
    <t>This design of experiment assess the impact of each parameter (from 4 to 7) on several responses.</t>
  </si>
  <si>
    <t>mandatory</t>
  </si>
  <si>
    <t>optional</t>
  </si>
  <si>
    <t xml:space="preserve">perform assay randomly </t>
  </si>
  <si>
    <t>response</t>
  </si>
  <si>
    <t>contrast</t>
  </si>
  <si>
    <t>SD</t>
  </si>
  <si>
    <t>error type</t>
  </si>
  <si>
    <t>Origin</t>
  </si>
  <si>
    <t>R2 adjust</t>
  </si>
  <si>
    <t>residual</t>
  </si>
  <si>
    <t>limit</t>
  </si>
  <si>
    <t>If a blue column is higher than the red bundary</t>
  </si>
  <si>
    <t>significante againt residual (inexplicable)</t>
  </si>
  <si>
    <t>Note : look at the coefficient of determination R2</t>
  </si>
  <si>
    <t>If a blue barr is higher than black/red bundary, that</t>
  </si>
  <si>
    <t>that means the parameter (explicable) is statistcally</t>
  </si>
  <si>
    <t>Mean's approach (design of experiment)</t>
  </si>
  <si>
    <t>Variance's approch (ANOVA)</t>
  </si>
  <si>
    <t>Mean</t>
  </si>
  <si>
    <t>CV%</t>
  </si>
  <si>
    <t>According to the impact of each parameter, adjust them and select the good acceptance criteria</t>
  </si>
  <si>
    <t>linear model study</t>
  </si>
  <si>
    <t>Tolerance</t>
  </si>
  <si>
    <t>power</t>
  </si>
  <si>
    <t>population de gauche</t>
  </si>
  <si>
    <t>population de droite</t>
  </si>
  <si>
    <t>D = 0</t>
  </si>
  <si>
    <t>information</t>
  </si>
  <si>
    <t>tβ</t>
  </si>
  <si>
    <t>risque β</t>
  </si>
  <si>
    <t>m1 = m2</t>
  </si>
  <si>
    <t>S²d</t>
  </si>
  <si>
    <t>δ = tobs</t>
  </si>
  <si>
    <t>tα</t>
  </si>
  <si>
    <t>Les valeurs suivent elles une loi Normale ?</t>
  </si>
  <si>
    <t>La série contient elle une valeur aberrante ?</t>
  </si>
  <si>
    <t>Valeur</t>
  </si>
  <si>
    <t>TD doit etre &lt; à la limite</t>
  </si>
  <si>
    <t>Valeur doit etre &lt; Grubbs</t>
  </si>
  <si>
    <t>population de différence</t>
  </si>
  <si>
    <t>diff</t>
  </si>
  <si>
    <t>incertitude sur S</t>
  </si>
  <si>
    <t>√(1/2(n-1))</t>
  </si>
  <si>
    <t>Test d'égalité des variances</t>
  </si>
  <si>
    <t>F obs</t>
  </si>
  <si>
    <t>F 5%</t>
  </si>
  <si>
    <t>batch</t>
  </si>
  <si>
    <t>false accept (FA)</t>
  </si>
  <si>
    <t>false reject (FR)</t>
  </si>
  <si>
    <t>true accept</t>
  </si>
  <si>
    <t>true reject</t>
  </si>
  <si>
    <t>R^2</t>
  </si>
  <si>
    <t>R^2 adjust</t>
  </si>
  <si>
    <t>alpha 5%</t>
  </si>
  <si>
    <t>croissant</t>
  </si>
  <si>
    <t>decroissant</t>
  </si>
  <si>
    <t>NB</t>
  </si>
  <si>
    <t>bi</t>
  </si>
  <si>
    <t>Z</t>
  </si>
  <si>
    <t>W</t>
  </si>
  <si>
    <t>ai</t>
  </si>
  <si>
    <t>di</t>
  </si>
  <si>
    <t>tri</t>
  </si>
  <si>
    <t>Uniform</t>
  </si>
  <si>
    <t>loi uniforme</t>
  </si>
  <si>
    <t>Gmin</t>
  </si>
  <si>
    <t>Gmax</t>
  </si>
  <si>
    <t>G5%</t>
  </si>
  <si>
    <t>Normal</t>
  </si>
  <si>
    <t>Purpose : Assess the normality and the presence of outlier (recommended if N &lt; 50)</t>
  </si>
  <si>
    <t>red</t>
  </si>
  <si>
    <t>blue</t>
  </si>
  <si>
    <t>green</t>
  </si>
  <si>
    <t>yellow</t>
  </si>
  <si>
    <t>Nb of Groups (&lt;=6)</t>
  </si>
  <si>
    <t>Sensitivity</t>
  </si>
  <si>
    <t>variable</t>
  </si>
  <si>
    <t>mean M</t>
  </si>
  <si>
    <t>I Bias I</t>
  </si>
  <si>
    <t>Kolmogorov,5%</t>
  </si>
  <si>
    <t>Grubbs max, 5%</t>
  </si>
  <si>
    <t>Grubbs min, 5%</t>
  </si>
  <si>
    <t>Fisher Test ;5%</t>
  </si>
  <si>
    <r>
      <t>tobs = D/sd*</t>
    </r>
    <r>
      <rPr>
        <sz val="10"/>
        <color indexed="8"/>
        <rFont val="Arial"/>
        <family val="2"/>
      </rPr>
      <t>√n</t>
    </r>
  </si>
  <si>
    <r>
      <t>σ[</t>
    </r>
    <r>
      <rPr>
        <i/>
        <sz val="10"/>
        <color indexed="8"/>
        <rFont val="Arial"/>
        <family val="2"/>
      </rPr>
      <t>s</t>
    </r>
    <r>
      <rPr>
        <sz val="10"/>
        <color indexed="8"/>
        <rFont val="Arial"/>
        <family val="2"/>
      </rPr>
      <t>(</t>
    </r>
    <r>
      <rPr>
        <i/>
        <sz val="10"/>
        <color indexed="8"/>
        <rFont val="Arial"/>
        <family val="2"/>
      </rPr>
      <t>q</t>
    </r>
    <r>
      <rPr>
        <sz val="10"/>
        <color indexed="8"/>
        <rFont val="Arial"/>
        <family val="2"/>
      </rPr>
      <t>)]/σ(</t>
    </r>
    <r>
      <rPr>
        <i/>
        <sz val="10"/>
        <color indexed="8"/>
        <rFont val="Arial"/>
        <family val="2"/>
      </rPr>
      <t>q</t>
    </r>
    <r>
      <rPr>
        <sz val="10"/>
        <color indexed="8"/>
        <rFont val="Arial"/>
        <family val="2"/>
      </rPr>
      <t>)</t>
    </r>
  </si>
  <si>
    <t>Variance common</t>
  </si>
  <si>
    <t>Student calculated</t>
  </si>
  <si>
    <t>t biateral (95% ;n1+n2-2)</t>
  </si>
  <si>
    <t>degree of freedom df</t>
  </si>
  <si>
    <t>variable T</t>
  </si>
  <si>
    <t>t bilateral (95% ; v)</t>
  </si>
  <si>
    <t>S common</t>
  </si>
  <si>
    <t>Power (1-β)</t>
  </si>
  <si>
    <t>&lt; % of common</t>
  </si>
  <si>
    <t>&lt; % of difference</t>
  </si>
  <si>
    <t>Hypothesis H0</t>
  </si>
  <si>
    <t>bias D</t>
  </si>
  <si>
    <t>Standard deviation sd</t>
  </si>
  <si>
    <t>t bilateral (α/2; n-1)</t>
  </si>
  <si>
    <r>
      <t xml:space="preserve">highlighted bias (risque </t>
    </r>
    <r>
      <rPr>
        <sz val="10"/>
        <color indexed="8"/>
        <rFont val="Arial"/>
        <family val="2"/>
      </rPr>
      <t>α</t>
    </r>
    <r>
      <rPr>
        <sz val="10"/>
        <color theme="1"/>
        <rFont val="Arial"/>
        <family val="2"/>
      </rPr>
      <t>)</t>
    </r>
  </si>
  <si>
    <t>Complet block design</t>
  </si>
  <si>
    <t>Confidence intervall Cp (95%)</t>
  </si>
  <si>
    <t>min -1</t>
  </si>
  <si>
    <t>max +1</t>
  </si>
  <si>
    <t>impact from 0 to +1</t>
  </si>
  <si>
    <t>Acceptance criteria</t>
  </si>
  <si>
    <t>A</t>
  </si>
  <si>
    <t>Pupose : Compare 2 populations each other (equivalence or difference)</t>
  </si>
  <si>
    <t>Cochran Test</t>
  </si>
  <si>
    <t>If variances are equivalence : Student test</t>
  </si>
  <si>
    <t xml:space="preserve"> test Power (m1 ≠ m2)</t>
  </si>
  <si>
    <t xml:space="preserve">                 k    assay</t>
  </si>
  <si>
    <t>mean</t>
  </si>
  <si>
    <t>median</t>
  </si>
  <si>
    <t>mode</t>
  </si>
  <si>
    <t>class K</t>
  </si>
  <si>
    <t>Shapiro Wilk</t>
  </si>
  <si>
    <t>Grubbs test : outlier ?</t>
  </si>
  <si>
    <t>classes comparison</t>
  </si>
  <si>
    <t>At least one group is different ?</t>
  </si>
  <si>
    <t>groups comparison</t>
  </si>
  <si>
    <t>groups comparison at several levels</t>
  </si>
  <si>
    <t>fails</t>
  </si>
  <si>
    <t>Levene Test</t>
  </si>
  <si>
    <t>Purpose: assess the variances homogenity</t>
  </si>
  <si>
    <t>alpha risque</t>
  </si>
  <si>
    <t>Bartlett test</t>
  </si>
  <si>
    <t>Cochran test</t>
  </si>
  <si>
    <t>estimate the relationship between 2 methods</t>
  </si>
  <si>
    <t>independant sample</t>
  </si>
  <si>
    <t>matched sample (Student test)</t>
  </si>
  <si>
    <t>if D &lt; value below, a biais can be detected by the test</t>
  </si>
  <si>
    <t>Somme²</t>
  </si>
  <si>
    <t>Cochran C</t>
  </si>
  <si>
    <t>C 5%</t>
  </si>
  <si>
    <t>Student t</t>
  </si>
  <si>
    <t>Accuracy : trueness and precision</t>
  </si>
  <si>
    <t>S/√n</t>
  </si>
  <si>
    <t>If variance homogeneity is verified, go to the next step</t>
  </si>
  <si>
    <t>between serie p</t>
  </si>
  <si>
    <t>if a result is missing in a serie, use leven test</t>
  </si>
  <si>
    <t>Precision</t>
  </si>
  <si>
    <t>traget CV%</t>
  </si>
  <si>
    <t>within-serie</t>
  </si>
  <si>
    <t>If variance heterogeneity is verified, check the presence of outlier within serie containing the biggest variance</t>
  </si>
  <si>
    <t>ANOVA Test</t>
  </si>
  <si>
    <t>level</t>
  </si>
  <si>
    <t>dof</t>
  </si>
  <si>
    <t>MS</t>
  </si>
  <si>
    <t>prerequisite calculation</t>
  </si>
  <si>
    <t xml:space="preserve">between </t>
  </si>
  <si>
    <t>within</t>
  </si>
  <si>
    <t>Contribution %</t>
  </si>
  <si>
    <t>within-serie n (repeatability)</t>
  </si>
  <si>
    <t>If C &lt; C5%, variance are homogenous, go to the next step</t>
  </si>
  <si>
    <t>Fisher test allows comparing all means each other</t>
  </si>
  <si>
    <t>Accuracy test</t>
  </si>
  <si>
    <t>Confidence Interval (95%)</t>
  </si>
  <si>
    <t>Target</t>
  </si>
  <si>
    <t>Correction*</t>
  </si>
  <si>
    <t>*If the target is within confidence interval</t>
  </si>
  <si>
    <t>mean i</t>
  </si>
  <si>
    <t>Variance i</t>
  </si>
  <si>
    <t>Global Mean</t>
  </si>
  <si>
    <t>If variances are different: Aspin Welch test</t>
  </si>
  <si>
    <t>there is no significante bias (no needed correction)</t>
  </si>
  <si>
    <t>Use it if you want to compare 2 populations</t>
  </si>
  <si>
    <t>Use it if you want to compare 2 methods</t>
  </si>
  <si>
    <t>in this case, the same sample n is performed one time</t>
  </si>
  <si>
    <t>Pierre</t>
  </si>
  <si>
    <t>Sylvie</t>
  </si>
  <si>
    <t>Student test / Aspin Welch test</t>
  </si>
  <si>
    <t>C</t>
  </si>
  <si>
    <t>AB</t>
  </si>
  <si>
    <t>A1</t>
  </si>
  <si>
    <t>A2</t>
  </si>
  <si>
    <t>A3</t>
  </si>
  <si>
    <t>B1</t>
  </si>
  <si>
    <t>B2</t>
  </si>
  <si>
    <t>B3</t>
  </si>
  <si>
    <t>C1</t>
  </si>
  <si>
    <t>C2</t>
  </si>
  <si>
    <t>C3</t>
  </si>
  <si>
    <t>AC</t>
  </si>
  <si>
    <t>BC</t>
  </si>
  <si>
    <t>ABC</t>
  </si>
  <si>
    <t>day</t>
  </si>
  <si>
    <t>operator</t>
  </si>
  <si>
    <t>Note: a blue barr over the red bundary is significant (Fobs &gt; F5%)</t>
  </si>
  <si>
    <t>ANOVA graph</t>
  </si>
  <si>
    <t>factor</t>
  </si>
  <si>
    <t>adjust R^2</t>
  </si>
  <si>
    <t>Variance homogeneity (prerequisite)</t>
  </si>
  <si>
    <r>
      <t xml:space="preserve">Cochran test assesses the variance homogeneity </t>
    </r>
    <r>
      <rPr>
        <b/>
        <sz val="10"/>
        <rFont val="Arial"/>
        <family val="2"/>
      </rPr>
      <t>with same quantity of replicate n</t>
    </r>
  </si>
  <si>
    <t>Precision is assessed by the variance which can be reduced</t>
  </si>
  <si>
    <t>Trueness is assessed by the bias which can be fixed</t>
  </si>
  <si>
    <t>*CI95% is the confidence interval of the target CV</t>
  </si>
  <si>
    <t>CI95%*</t>
  </si>
  <si>
    <t xml:space="preserve">If the target CV% is heigher than CI95%, the calculated CV </t>
  </si>
  <si>
    <t>is statistcally superior/different to the target. Otherwithe, both CV% are equivalente</t>
  </si>
  <si>
    <t>CI (95%)</t>
  </si>
  <si>
    <t>&gt;&gt;&gt;&gt;&gt;</t>
  </si>
  <si>
    <t>total CV%</t>
  </si>
  <si>
    <t>&lt;&lt;&lt;&lt;&lt;&lt;</t>
  </si>
  <si>
    <t>&lt;&lt;&lt;&lt;&lt;&lt;&lt;</t>
  </si>
  <si>
    <t>target CV %</t>
  </si>
  <si>
    <t>CI95%</t>
  </si>
  <si>
    <t>standard 0</t>
  </si>
  <si>
    <t>tolerance T required (+/-)</t>
  </si>
  <si>
    <t>calculated tolerance for each parameter :</t>
  </si>
  <si>
    <t>means the parameter has an statistical effect to the</t>
  </si>
  <si>
    <t>black bundary represents 95% of method precision</t>
  </si>
  <si>
    <t>red bundary represents 99% of method precision</t>
  </si>
  <si>
    <t>Attribute Gauge Study</t>
  </si>
  <si>
    <t>R = reject</t>
  </si>
  <si>
    <t>A = Accept</t>
  </si>
  <si>
    <t>Part</t>
  </si>
  <si>
    <t>True standard</t>
  </si>
  <si>
    <t>Operator 1</t>
  </si>
  <si>
    <t>Resp</t>
  </si>
  <si>
    <t>Score</t>
  </si>
  <si>
    <t>Operator 2</t>
  </si>
  <si>
    <t>Operator 3</t>
  </si>
  <si>
    <t>1 = true response</t>
  </si>
  <si>
    <t>0 = incorrect response</t>
  </si>
  <si>
    <t>R</t>
  </si>
  <si>
    <t>Truth</t>
  </si>
  <si>
    <t>operator 1</t>
  </si>
  <si>
    <t>operator 2</t>
  </si>
  <si>
    <t>operator 3</t>
  </si>
  <si>
    <t>&lt; false reject</t>
  </si>
  <si>
    <t>&lt; false accept</t>
  </si>
  <si>
    <t>Effectiveness</t>
  </si>
  <si>
    <t>Non effectiveness</t>
  </si>
  <si>
    <t>P(FR)</t>
  </si>
  <si>
    <t>P(FA)</t>
  </si>
  <si>
    <t>Critical Value (a = 5%)</t>
  </si>
  <si>
    <t>if a outlier is detected, look for the max variance and the oultier responsaible of this variance</t>
  </si>
  <si>
    <t>variance board</t>
  </si>
  <si>
    <t>c1</t>
  </si>
  <si>
    <t>both</t>
  </si>
  <si>
    <t>metro line</t>
  </si>
  <si>
    <t>assay at level 0</t>
  </si>
  <si>
    <t>ecart-type</t>
  </si>
  <si>
    <t>operateur</t>
  </si>
  <si>
    <t>temps</t>
  </si>
  <si>
    <t>methode</t>
  </si>
  <si>
    <t>position</t>
  </si>
  <si>
    <t>dimension</t>
  </si>
  <si>
    <t>farid</t>
  </si>
  <si>
    <t>vision</t>
  </si>
  <si>
    <t>colle</t>
  </si>
  <si>
    <t>sabrina</t>
  </si>
  <si>
    <t>palpage</t>
  </si>
  <si>
    <t>pate</t>
  </si>
  <si>
    <t>V</t>
  </si>
  <si>
    <t>taille piece</t>
  </si>
  <si>
    <t>S^2 totale</t>
  </si>
  <si>
    <t>Purpose : compare severals variances in order to assess variance homogeneity</t>
  </si>
  <si>
    <t>with A method and a second time with B method</t>
  </si>
  <si>
    <t>Purpose : this test allows comparing several populations each other (&gt; 2)</t>
  </si>
  <si>
    <r>
      <t xml:space="preserve">Note : the assay condition in within serie shall be a </t>
    </r>
    <r>
      <rPr>
        <b/>
        <sz val="10"/>
        <rFont val="Arial"/>
        <family val="2"/>
      </rPr>
      <t>repeatability condition</t>
    </r>
    <r>
      <rPr>
        <sz val="10"/>
        <rFont val="Arial"/>
        <family val="2"/>
      </rPr>
      <t>, otherwise that means you want study more 1 factor (contact validation departement)</t>
    </r>
  </si>
  <si>
    <t>Purpose : assess method accuracy (trueness and precision) of the method with 3 parameters at 3 level and its interaction</t>
  </si>
  <si>
    <t>Etude de Capabilité</t>
  </si>
  <si>
    <t>doc xxxx</t>
  </si>
  <si>
    <t>valeur</t>
  </si>
  <si>
    <t>Ce fichier évalue la Normalité des résultats, prérequis au calcul de la Capabilité.</t>
  </si>
  <si>
    <t>En cas de non normalité, le fichier utilise le test de Grubbs afin de détecter la présence d'une donnée aberrante</t>
  </si>
  <si>
    <t>Si tel est le cas, l'enlever (justifier si possible) et revérifier la Normalité.</t>
  </si>
  <si>
    <t>La Normalité vérifiée, relever le résultat Cpk en bas de ce fichier</t>
  </si>
  <si>
    <t>La distribution suit elle une loi Normale ?</t>
  </si>
  <si>
    <t>KS</t>
  </si>
  <si>
    <t>Présence de 1 donnée aberrante ?</t>
  </si>
  <si>
    <t>conlusion 5%</t>
  </si>
  <si>
    <t xml:space="preserve"> Max</t>
  </si>
  <si>
    <t>*Le G obs doit être &lt; au G5% pour être ok</t>
  </si>
  <si>
    <t>Présence de 2 données aberrantes (si n &lt; 41; sinon NA) ?</t>
  </si>
  <si>
    <t>2 valeurs</t>
  </si>
  <si>
    <t>*Le G obs doit être &gt; G5% pour être ok</t>
  </si>
  <si>
    <t xml:space="preserve">L'histogramme donne un apercu de la distribution des données. Si la loi est Normale, le graphique en bleu doit </t>
  </si>
  <si>
    <t>correspondre à une coube en cloche (gaussienne)</t>
  </si>
  <si>
    <t>La droite de Henry est une autre représentation graphique qui "aligne" les observations et permet de mettre en avant</t>
  </si>
  <si>
    <t>les observations extrêmes. Plus les observations sont éloignées, plus la présence de données aberrantes sera marquée</t>
  </si>
  <si>
    <t>Capabilité</t>
  </si>
  <si>
    <t>moyenne</t>
  </si>
  <si>
    <t>Cpk- (95%)</t>
  </si>
  <si>
    <t>Cpk+ (95%)</t>
  </si>
  <si>
    <t>écart-type</t>
  </si>
  <si>
    <t>Limite basse</t>
  </si>
  <si>
    <t>Limite haute</t>
  </si>
  <si>
    <t>Cpk &gt; 1,33</t>
  </si>
  <si>
    <t>L'étude de capabilité permet d'observer la capacité de votre procédé à fournir des données stables dans le temps.</t>
  </si>
  <si>
    <t>Un Cpk = 1 équivaut a un procédé juste capable, avec une dispersion égale à l'étendu des tolérances, sans marge de</t>
  </si>
  <si>
    <t>sécurité (non acceptable)</t>
  </si>
  <si>
    <t>Un Cpk = 1,33 met en avant un procédé capable, avec une marge de sécurité égale a 1 écart-type (essentiel)</t>
  </si>
  <si>
    <t>Un Cpk = 1,66 met en avant un procédé capable, avec une marge de sécurité de 2 écrats-types (excellent)</t>
  </si>
  <si>
    <t>L'incertitude sur le Cpk (+/- 95%) est donnée à titre indicatif est n'entre pas ligne de compte dans la décision.</t>
  </si>
  <si>
    <t>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</si>
</sst>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* #,##0.00\ &quot;€&quot;_-;\-* #,##0.00\ &quot;€&quot;_-;_-* &quot;-&quot;??\ &quot;€&quot;_-;_-@_-"/>
    <numFmt numFmtId="164" formatCode="0.0%"/>
    <numFmt numFmtId="165" formatCode="0.000"/>
    <numFmt numFmtId="166" formatCode="0.0"/>
    <numFmt numFmtId="167" formatCode="0.0000"/>
    <numFmt numFmtId="168" formatCode="0.00000"/>
    <numFmt numFmtId="169" formatCode="0.000000"/>
  </numFmts>
  <fonts count="31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sz val="10"/>
      <color indexed="41"/>
      <name val="Arial"/>
      <family val="2"/>
    </font>
    <font>
      <b/>
      <sz val="16"/>
      <name val="Arial"/>
      <family val="2"/>
    </font>
    <font>
      <sz val="1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20"/>
      <name val="Arial"/>
      <family val="2"/>
    </font>
    <font>
      <i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0"/>
      <color theme="0"/>
      <name val="Antique Olive"/>
      <family val="2"/>
    </font>
    <font>
      <sz val="16"/>
      <color theme="0"/>
      <name val="Arial"/>
      <family val="2"/>
    </font>
    <font>
      <sz val="10"/>
      <color indexed="8"/>
      <name val="Arial"/>
      <family val="2"/>
    </font>
    <font>
      <b/>
      <sz val="10"/>
      <color indexed="48"/>
      <name val="Arial"/>
      <family val="2"/>
    </font>
    <font>
      <i/>
      <sz val="10"/>
      <color indexed="8"/>
      <name val="Arial"/>
      <family val="2"/>
    </font>
    <font>
      <sz val="10"/>
      <color rgb="FF000000"/>
      <name val="Arial"/>
      <family val="2"/>
    </font>
    <font>
      <sz val="10"/>
      <color theme="7" tint="0.79998168889431442"/>
      <name val="Arial"/>
      <family val="2"/>
    </font>
    <font>
      <b/>
      <u/>
      <sz val="10"/>
      <name val="Arial"/>
      <family val="2"/>
    </font>
    <font>
      <sz val="12"/>
      <name val="Arial"/>
      <family val="2"/>
    </font>
    <font>
      <sz val="10"/>
      <color theme="0" tint="-0.34998626667073579"/>
      <name val="Arial"/>
      <family val="2"/>
    </font>
    <font>
      <b/>
      <sz val="11"/>
      <name val="Arial"/>
      <family val="2"/>
    </font>
    <font>
      <sz val="10"/>
      <name val="Antique Olive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34998626667073579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dashDotDot">
        <color indexed="64"/>
      </top>
      <bottom/>
      <diagonal/>
    </border>
    <border>
      <left/>
      <right style="medium">
        <color indexed="64"/>
      </right>
      <top style="dashDotDot">
        <color indexed="64"/>
      </top>
      <bottom/>
      <diagonal/>
    </border>
    <border>
      <left/>
      <right/>
      <top/>
      <bottom style="dashDotDot">
        <color indexed="64"/>
      </bottom>
      <diagonal/>
    </border>
    <border>
      <left/>
      <right style="medium">
        <color indexed="64"/>
      </right>
      <top/>
      <bottom style="dashDotDot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ashDotDot">
        <color indexed="64"/>
      </top>
      <bottom/>
      <diagonal/>
    </border>
  </borders>
  <cellStyleXfs count="12">
    <xf numFmtId="0" fontId="0" fillId="0" borderId="0"/>
    <xf numFmtId="0" fontId="2" fillId="0" borderId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17" fillId="0" borderId="0"/>
    <xf numFmtId="0" fontId="2" fillId="0" borderId="0"/>
    <xf numFmtId="9" fontId="17" fillId="0" borderId="0" applyFont="0" applyFill="0" applyBorder="0" applyAlignment="0" applyProtection="0"/>
  </cellStyleXfs>
  <cellXfs count="655">
    <xf numFmtId="0" fontId="0" fillId="0" borderId="0" xfId="0"/>
    <xf numFmtId="0" fontId="0" fillId="2" borderId="0" xfId="0" applyFill="1"/>
    <xf numFmtId="0" fontId="2" fillId="0" borderId="0" xfId="1"/>
    <xf numFmtId="0" fontId="2" fillId="0" borderId="0" xfId="1" applyBorder="1"/>
    <xf numFmtId="0" fontId="2" fillId="0" borderId="0" xfId="1" applyFont="1" applyBorder="1"/>
    <xf numFmtId="0" fontId="2" fillId="0" borderId="0" xfId="1" applyBorder="1" applyAlignment="1">
      <alignment horizontal="center"/>
    </xf>
    <xf numFmtId="0" fontId="2" fillId="0" borderId="0" xfId="1" applyFill="1" applyBorder="1" applyAlignment="1">
      <alignment horizontal="left"/>
    </xf>
    <xf numFmtId="0" fontId="2" fillId="3" borderId="1" xfId="1" applyFill="1" applyBorder="1" applyAlignment="1">
      <alignment horizontal="center"/>
    </xf>
    <xf numFmtId="0" fontId="2" fillId="0" borderId="0" xfId="1" applyNumberFormat="1" applyFill="1" applyBorder="1" applyAlignment="1">
      <alignment horizontal="left"/>
    </xf>
    <xf numFmtId="9" fontId="2" fillId="0" borderId="0" xfId="1" applyNumberFormat="1" applyFill="1" applyBorder="1" applyAlignment="1">
      <alignment horizontal="left"/>
    </xf>
    <xf numFmtId="0" fontId="5" fillId="0" borderId="0" xfId="1" applyFont="1" applyBorder="1" applyAlignment="1">
      <alignment horizontal="center"/>
    </xf>
    <xf numFmtId="0" fontId="2" fillId="0" borderId="0" xfId="1" applyFill="1" applyBorder="1" applyAlignment="1">
      <alignment horizontal="center"/>
    </xf>
    <xf numFmtId="0" fontId="2" fillId="0" borderId="0" xfId="1" applyFont="1" applyFill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2" fillId="0" borderId="0" xfId="1" applyFont="1"/>
    <xf numFmtId="0" fontId="2" fillId="7" borderId="1" xfId="1" applyFill="1" applyBorder="1" applyAlignment="1">
      <alignment horizontal="center"/>
    </xf>
    <xf numFmtId="0" fontId="2" fillId="6" borderId="1" xfId="1" applyFill="1" applyBorder="1" applyAlignment="1">
      <alignment horizontal="center"/>
    </xf>
    <xf numFmtId="0" fontId="2" fillId="0" borderId="0" xfId="1" applyFill="1"/>
    <xf numFmtId="0" fontId="2" fillId="0" borderId="0" xfId="1" applyBorder="1" applyAlignment="1">
      <alignment horizontal="center" vertical="center" wrapText="1"/>
    </xf>
    <xf numFmtId="0" fontId="2" fillId="6" borderId="0" xfId="1" applyFill="1" applyBorder="1" applyAlignment="1">
      <alignment horizontal="center" vertical="center" wrapText="1"/>
    </xf>
    <xf numFmtId="2" fontId="2" fillId="0" borderId="0" xfId="1" applyNumberFormat="1"/>
    <xf numFmtId="0" fontId="2" fillId="6" borderId="0" xfId="1" applyFill="1" applyBorder="1" applyAlignment="1">
      <alignment horizontal="center"/>
    </xf>
    <xf numFmtId="2" fontId="2" fillId="0" borderId="0" xfId="1" applyNumberFormat="1" applyBorder="1" applyAlignment="1">
      <alignment horizontal="center"/>
    </xf>
    <xf numFmtId="0" fontId="5" fillId="6" borderId="0" xfId="1" applyFont="1" applyFill="1" applyBorder="1" applyAlignment="1">
      <alignment horizontal="center"/>
    </xf>
    <xf numFmtId="0" fontId="2" fillId="6" borderId="0" xfId="1" applyFill="1" applyBorder="1"/>
    <xf numFmtId="2" fontId="2" fillId="6" borderId="0" xfId="1" applyNumberFormat="1" applyFill="1" applyBorder="1" applyAlignment="1">
      <alignment horizontal="center"/>
    </xf>
    <xf numFmtId="2" fontId="2" fillId="0" borderId="0" xfId="1" applyNumberFormat="1" applyFill="1" applyBorder="1" applyAlignment="1">
      <alignment horizontal="center"/>
    </xf>
    <xf numFmtId="2" fontId="2" fillId="0" borderId="1" xfId="1" applyNumberFormat="1" applyBorder="1" applyAlignment="1">
      <alignment horizontal="center"/>
    </xf>
    <xf numFmtId="165" fontId="2" fillId="0" borderId="0" xfId="1" applyNumberFormat="1" applyBorder="1"/>
    <xf numFmtId="167" fontId="2" fillId="0" borderId="0" xfId="1" applyNumberFormat="1" applyBorder="1"/>
    <xf numFmtId="0" fontId="2" fillId="3" borderId="1" xfId="1" applyFont="1" applyFill="1" applyBorder="1" applyAlignment="1">
      <alignment horizontal="center"/>
    </xf>
    <xf numFmtId="0" fontId="2" fillId="2" borderId="0" xfId="1" applyFill="1" applyBorder="1"/>
    <xf numFmtId="0" fontId="4" fillId="2" borderId="0" xfId="1" applyFont="1" applyFill="1" applyBorder="1"/>
    <xf numFmtId="0" fontId="2" fillId="2" borderId="0" xfId="1" applyFill="1" applyBorder="1" applyAlignment="1">
      <alignment horizontal="center"/>
    </xf>
    <xf numFmtId="0" fontId="2" fillId="4" borderId="1" xfId="1" applyFont="1" applyFill="1" applyBorder="1" applyAlignment="1">
      <alignment horizontal="center"/>
    </xf>
    <xf numFmtId="0" fontId="2" fillId="0" borderId="0" xfId="1" applyBorder="1" applyAlignment="1">
      <alignment vertical="top"/>
    </xf>
    <xf numFmtId="11" fontId="2" fillId="2" borderId="0" xfId="1" applyNumberFormat="1" applyFill="1" applyBorder="1"/>
    <xf numFmtId="0" fontId="4" fillId="2" borderId="0" xfId="1" applyFont="1" applyFill="1" applyBorder="1" applyAlignment="1">
      <alignment horizontal="left"/>
    </xf>
    <xf numFmtId="0" fontId="0" fillId="0" borderId="0" xfId="0" applyFill="1"/>
    <xf numFmtId="0" fontId="2" fillId="0" borderId="0" xfId="1" applyFill="1" applyBorder="1"/>
    <xf numFmtId="0" fontId="2" fillId="0" borderId="1" xfId="7" applyFont="1" applyBorder="1" applyAlignment="1">
      <alignment horizontal="center"/>
    </xf>
    <xf numFmtId="0" fontId="2" fillId="0" borderId="0" xfId="7" applyFont="1" applyBorder="1"/>
    <xf numFmtId="0" fontId="2" fillId="0" borderId="0" xfId="7" applyFont="1" applyAlignment="1">
      <alignment horizontal="center"/>
    </xf>
    <xf numFmtId="0" fontId="2" fillId="0" borderId="0" xfId="7" applyFont="1"/>
    <xf numFmtId="0" fontId="2" fillId="0" borderId="0" xfId="7" applyFont="1" applyFill="1" applyBorder="1" applyAlignment="1">
      <alignment horizontal="center"/>
    </xf>
    <xf numFmtId="2" fontId="2" fillId="0" borderId="0" xfId="7" applyNumberFormat="1" applyFont="1" applyBorder="1" applyAlignment="1">
      <alignment horizontal="left"/>
    </xf>
    <xf numFmtId="0" fontId="8" fillId="10" borderId="1" xfId="7" applyFont="1" applyFill="1" applyBorder="1" applyAlignment="1">
      <alignment horizontal="center"/>
    </xf>
    <xf numFmtId="0" fontId="2" fillId="0" borderId="0" xfId="7" applyFont="1" applyBorder="1" applyAlignment="1">
      <alignment horizontal="center"/>
    </xf>
    <xf numFmtId="9" fontId="2" fillId="0" borderId="1" xfId="7" applyNumberFormat="1" applyFont="1" applyBorder="1" applyAlignment="1">
      <alignment horizontal="center"/>
    </xf>
    <xf numFmtId="2" fontId="2" fillId="0" borderId="0" xfId="7" applyNumberFormat="1" applyFont="1" applyBorder="1" applyAlignment="1">
      <alignment horizontal="center"/>
    </xf>
    <xf numFmtId="0" fontId="2" fillId="3" borderId="1" xfId="8" applyFont="1" applyFill="1" applyBorder="1" applyAlignment="1">
      <alignment horizontal="center"/>
    </xf>
    <xf numFmtId="0" fontId="2" fillId="6" borderId="1" xfId="8" applyFont="1" applyFill="1" applyBorder="1"/>
    <xf numFmtId="0" fontId="2" fillId="6" borderId="1" xfId="8" applyFont="1" applyFill="1" applyBorder="1" applyAlignment="1">
      <alignment horizontal="center"/>
    </xf>
    <xf numFmtId="2" fontId="2" fillId="6" borderId="1" xfId="8" applyNumberFormat="1" applyFont="1" applyFill="1" applyBorder="1" applyAlignment="1">
      <alignment horizontal="center"/>
    </xf>
    <xf numFmtId="0" fontId="2" fillId="0" borderId="1" xfId="8" applyFont="1" applyBorder="1" applyAlignment="1">
      <alignment horizontal="center"/>
    </xf>
    <xf numFmtId="0" fontId="2" fillId="0" borderId="0" xfId="8" applyFont="1"/>
    <xf numFmtId="0" fontId="2" fillId="0" borderId="1" xfId="8" applyFont="1" applyBorder="1" applyAlignment="1">
      <alignment horizontal="left"/>
    </xf>
    <xf numFmtId="0" fontId="2" fillId="4" borderId="1" xfId="8" applyFont="1" applyFill="1" applyBorder="1" applyAlignment="1">
      <alignment horizontal="center"/>
    </xf>
    <xf numFmtId="0" fontId="2" fillId="3" borderId="0" xfId="8" applyFont="1" applyFill="1"/>
    <xf numFmtId="0" fontId="13" fillId="0" borderId="0" xfId="7" applyFont="1" applyBorder="1" applyAlignment="1">
      <alignment vertical="center"/>
    </xf>
    <xf numFmtId="0" fontId="2" fillId="0" borderId="0" xfId="7" applyFont="1" applyFill="1" applyBorder="1"/>
    <xf numFmtId="0" fontId="14" fillId="0" borderId="0" xfId="7" applyFont="1" applyFill="1" applyBorder="1" applyAlignment="1">
      <alignment horizontal="left"/>
    </xf>
    <xf numFmtId="0" fontId="2" fillId="8" borderId="1" xfId="7" applyFont="1" applyFill="1" applyBorder="1" applyAlignment="1">
      <alignment horizontal="center"/>
    </xf>
    <xf numFmtId="0" fontId="2" fillId="5" borderId="0" xfId="8" applyFont="1" applyFill="1"/>
    <xf numFmtId="2" fontId="2" fillId="0" borderId="1" xfId="1" applyNumberFormat="1" applyBorder="1" applyAlignment="1">
      <alignment horizontal="center" vertical="center" wrapText="1"/>
    </xf>
    <xf numFmtId="0" fontId="2" fillId="0" borderId="0" xfId="1" applyBorder="1" applyAlignment="1">
      <alignment horizontal="left" vertical="center"/>
    </xf>
    <xf numFmtId="0" fontId="2" fillId="0" borderId="0" xfId="1" applyBorder="1" applyAlignment="1">
      <alignment horizontal="left"/>
    </xf>
    <xf numFmtId="0" fontId="2" fillId="0" borderId="0" xfId="1" applyBorder="1" applyAlignment="1">
      <alignment horizontal="center" vertical="center"/>
    </xf>
    <xf numFmtId="10" fontId="2" fillId="0" borderId="1" xfId="1" applyNumberFormat="1" applyBorder="1" applyAlignment="1">
      <alignment horizontal="center"/>
    </xf>
    <xf numFmtId="0" fontId="16" fillId="0" borderId="0" xfId="0" applyFont="1"/>
    <xf numFmtId="0" fontId="11" fillId="0" borderId="0" xfId="0" applyFont="1" applyFill="1"/>
    <xf numFmtId="0" fontId="11" fillId="0" borderId="0" xfId="0" applyFont="1"/>
    <xf numFmtId="0" fontId="16" fillId="15" borderId="1" xfId="0" applyFont="1" applyFill="1" applyBorder="1" applyAlignment="1">
      <alignment horizontal="center"/>
    </xf>
    <xf numFmtId="0" fontId="16" fillId="0" borderId="1" xfId="0" applyFont="1" applyFill="1" applyBorder="1" applyAlignment="1">
      <alignment horizontal="center"/>
    </xf>
    <xf numFmtId="0" fontId="2" fillId="0" borderId="0" xfId="9" applyFont="1"/>
    <xf numFmtId="0" fontId="2" fillId="0" borderId="8" xfId="9" applyFont="1" applyBorder="1" applyAlignment="1">
      <alignment horizontal="center"/>
    </xf>
    <xf numFmtId="0" fontId="2" fillId="18" borderId="9" xfId="9" applyFont="1" applyFill="1" applyBorder="1" applyAlignment="1">
      <alignment horizontal="center"/>
    </xf>
    <xf numFmtId="0" fontId="2" fillId="18" borderId="7" xfId="9" applyFont="1" applyFill="1" applyBorder="1" applyAlignment="1">
      <alignment horizontal="center"/>
    </xf>
    <xf numFmtId="0" fontId="2" fillId="0" borderId="49" xfId="9" applyFont="1" applyBorder="1" applyAlignment="1">
      <alignment horizontal="center"/>
    </xf>
    <xf numFmtId="0" fontId="2" fillId="18" borderId="11" xfId="9" applyFont="1" applyFill="1" applyBorder="1" applyAlignment="1">
      <alignment horizontal="center"/>
    </xf>
    <xf numFmtId="0" fontId="2" fillId="5" borderId="1" xfId="7" applyFont="1" applyFill="1" applyBorder="1" applyAlignment="1">
      <alignment horizontal="center"/>
    </xf>
    <xf numFmtId="0" fontId="2" fillId="0" borderId="0" xfId="7" applyFont="1" applyFill="1" applyBorder="1" applyAlignment="1">
      <alignment horizontal="right"/>
    </xf>
    <xf numFmtId="0" fontId="12" fillId="0" borderId="0" xfId="1" applyFont="1" applyFill="1" applyBorder="1" applyAlignment="1">
      <alignment horizontal="center"/>
    </xf>
    <xf numFmtId="2" fontId="11" fillId="0" borderId="0" xfId="1" applyNumberFormat="1" applyFont="1" applyFill="1" applyBorder="1" applyAlignment="1">
      <alignment horizontal="center"/>
    </xf>
    <xf numFmtId="0" fontId="12" fillId="0" borderId="0" xfId="1" applyFont="1" applyFill="1" applyBorder="1" applyAlignment="1">
      <alignment horizontal="center" vertical="center"/>
    </xf>
    <xf numFmtId="0" fontId="11" fillId="0" borderId="0" xfId="1" applyFont="1" applyFill="1" applyBorder="1" applyAlignment="1">
      <alignment horizontal="center"/>
    </xf>
    <xf numFmtId="165" fontId="11" fillId="0" borderId="0" xfId="1" applyNumberFormat="1" applyFont="1" applyFill="1" applyBorder="1" applyAlignment="1">
      <alignment horizontal="center"/>
    </xf>
    <xf numFmtId="0" fontId="2" fillId="0" borderId="0" xfId="1" applyFont="1" applyBorder="1" applyAlignment="1">
      <alignment horizontal="center" vertical="center" wrapText="1"/>
    </xf>
    <xf numFmtId="164" fontId="2" fillId="0" borderId="1" xfId="1" applyNumberFormat="1" applyBorder="1" applyAlignment="1">
      <alignment horizontal="center"/>
    </xf>
    <xf numFmtId="0" fontId="16" fillId="0" borderId="0" xfId="0" applyFont="1" applyBorder="1"/>
    <xf numFmtId="0" fontId="2" fillId="2" borderId="1" xfId="7" applyFont="1" applyFill="1" applyBorder="1" applyAlignment="1">
      <alignment horizontal="center"/>
    </xf>
    <xf numFmtId="0" fontId="2" fillId="6" borderId="1" xfId="7" applyFont="1" applyFill="1" applyBorder="1" applyAlignment="1">
      <alignment horizontal="center"/>
    </xf>
    <xf numFmtId="0" fontId="2" fillId="0" borderId="5" xfId="7" applyFont="1" applyBorder="1" applyAlignment="1">
      <alignment horizontal="right"/>
    </xf>
    <xf numFmtId="0" fontId="2" fillId="0" borderId="1" xfId="7" applyFont="1" applyBorder="1" applyAlignment="1">
      <alignment horizontal="center"/>
    </xf>
    <xf numFmtId="2" fontId="2" fillId="0" borderId="1" xfId="9" applyNumberFormat="1" applyFont="1" applyFill="1" applyBorder="1" applyAlignment="1">
      <alignment horizontal="center"/>
    </xf>
    <xf numFmtId="0" fontId="9" fillId="0" borderId="20" xfId="7" applyFont="1" applyBorder="1" applyAlignment="1">
      <alignment horizontal="center" vertical="center"/>
    </xf>
    <xf numFmtId="0" fontId="9" fillId="0" borderId="52" xfId="7" applyFont="1" applyBorder="1" applyAlignment="1">
      <alignment horizontal="center" vertical="center"/>
    </xf>
    <xf numFmtId="0" fontId="2" fillId="0" borderId="17" xfId="7" applyFont="1" applyBorder="1" applyAlignment="1">
      <alignment horizontal="left" vertical="center"/>
    </xf>
    <xf numFmtId="2" fontId="19" fillId="0" borderId="0" xfId="7" applyNumberFormat="1" applyFont="1" applyFill="1" applyBorder="1" applyAlignment="1">
      <alignment horizontal="center"/>
    </xf>
    <xf numFmtId="0" fontId="19" fillId="0" borderId="0" xfId="0" applyFont="1" applyFill="1" applyBorder="1" applyAlignment="1">
      <alignment horizontal="center"/>
    </xf>
    <xf numFmtId="0" fontId="11" fillId="6" borderId="0" xfId="0" applyFont="1" applyFill="1"/>
    <xf numFmtId="0" fontId="11" fillId="6" borderId="0" xfId="7" applyFont="1" applyFill="1" applyBorder="1"/>
    <xf numFmtId="0" fontId="2" fillId="5" borderId="1" xfId="8" applyFont="1" applyFill="1" applyBorder="1" applyAlignment="1">
      <alignment horizontal="center"/>
    </xf>
    <xf numFmtId="0" fontId="15" fillId="5" borderId="0" xfId="0" applyFont="1" applyFill="1"/>
    <xf numFmtId="0" fontId="16" fillId="5" borderId="0" xfId="0" applyFont="1" applyFill="1"/>
    <xf numFmtId="0" fontId="2" fillId="0" borderId="1" xfId="1" applyBorder="1" applyAlignment="1">
      <alignment horizontal="center"/>
    </xf>
    <xf numFmtId="0" fontId="2" fillId="6" borderId="0" xfId="1" applyFill="1" applyBorder="1" applyAlignment="1">
      <alignment horizontal="center" vertical="center" wrapText="1"/>
    </xf>
    <xf numFmtId="166" fontId="2" fillId="4" borderId="1" xfId="7" applyNumberFormat="1" applyFont="1" applyFill="1" applyBorder="1" applyAlignment="1">
      <alignment horizontal="center"/>
    </xf>
    <xf numFmtId="0" fontId="2" fillId="0" borderId="0" xfId="8" applyFont="1" applyFill="1"/>
    <xf numFmtId="0" fontId="2" fillId="12" borderId="1" xfId="7" applyFont="1" applyFill="1" applyBorder="1" applyAlignment="1">
      <alignment horizontal="center"/>
    </xf>
    <xf numFmtId="0" fontId="2" fillId="15" borderId="1" xfId="7" applyFont="1" applyFill="1" applyBorder="1" applyAlignment="1">
      <alignment horizontal="center"/>
    </xf>
    <xf numFmtId="0" fontId="11" fillId="0" borderId="0" xfId="7" applyFont="1" applyFill="1" applyBorder="1"/>
    <xf numFmtId="0" fontId="11" fillId="0" borderId="0" xfId="7" applyFont="1" applyFill="1" applyBorder="1" applyAlignment="1">
      <alignment textRotation="15"/>
    </xf>
    <xf numFmtId="0" fontId="11" fillId="0" borderId="0" xfId="7" applyFont="1" applyFill="1" applyBorder="1" applyAlignment="1">
      <alignment horizontal="center"/>
    </xf>
    <xf numFmtId="0" fontId="2" fillId="0" borderId="0" xfId="9" applyFont="1" applyBorder="1"/>
    <xf numFmtId="0" fontId="2" fillId="0" borderId="0" xfId="9" applyFont="1" applyFill="1" applyBorder="1" applyAlignment="1">
      <alignment horizontal="center"/>
    </xf>
    <xf numFmtId="0" fontId="2" fillId="0" borderId="0" xfId="9" applyFont="1" applyFill="1" applyBorder="1"/>
    <xf numFmtId="0" fontId="2" fillId="15" borderId="15" xfId="9" applyFont="1" applyFill="1" applyBorder="1" applyAlignment="1">
      <alignment horizontal="center"/>
    </xf>
    <xf numFmtId="0" fontId="2" fillId="15" borderId="21" xfId="9" applyFont="1" applyFill="1" applyBorder="1" applyAlignment="1">
      <alignment horizontal="center"/>
    </xf>
    <xf numFmtId="1" fontId="2" fillId="0" borderId="16" xfId="9" applyNumberFormat="1" applyFont="1" applyBorder="1" applyAlignment="1">
      <alignment horizontal="center"/>
    </xf>
    <xf numFmtId="1" fontId="2" fillId="0" borderId="8" xfId="9" applyNumberFormat="1" applyFont="1" applyBorder="1" applyAlignment="1">
      <alignment horizontal="center"/>
    </xf>
    <xf numFmtId="0" fontId="2" fillId="14" borderId="7" xfId="9" applyFont="1" applyFill="1" applyBorder="1" applyAlignment="1">
      <alignment horizontal="center"/>
    </xf>
    <xf numFmtId="0" fontId="2" fillId="14" borderId="16" xfId="9" applyFont="1" applyFill="1" applyBorder="1" applyAlignment="1">
      <alignment horizontal="center"/>
    </xf>
    <xf numFmtId="0" fontId="2" fillId="18" borderId="34" xfId="9" applyFont="1" applyFill="1" applyBorder="1" applyAlignment="1">
      <alignment horizontal="center"/>
    </xf>
    <xf numFmtId="2" fontId="2" fillId="3" borderId="9" xfId="10" applyNumberFormat="1" applyFont="1" applyFill="1" applyBorder="1" applyAlignment="1" applyProtection="1">
      <alignment horizontal="center"/>
      <protection locked="0"/>
    </xf>
    <xf numFmtId="2" fontId="2" fillId="11" borderId="6" xfId="10" applyNumberFormat="1" applyFont="1" applyFill="1" applyBorder="1" applyAlignment="1" applyProtection="1">
      <alignment horizontal="center"/>
      <protection locked="0"/>
    </xf>
    <xf numFmtId="167" fontId="2" fillId="0" borderId="0" xfId="9" applyNumberFormat="1" applyFont="1" applyFill="1" applyBorder="1" applyAlignment="1">
      <alignment horizontal="center"/>
    </xf>
    <xf numFmtId="2" fontId="2" fillId="0" borderId="6" xfId="9" applyNumberFormat="1" applyFont="1" applyFill="1" applyBorder="1" applyAlignment="1">
      <alignment horizontal="center"/>
    </xf>
    <xf numFmtId="0" fontId="2" fillId="0" borderId="1" xfId="9" applyFont="1" applyFill="1" applyBorder="1" applyAlignment="1">
      <alignment horizontal="center"/>
    </xf>
    <xf numFmtId="0" fontId="2" fillId="18" borderId="36" xfId="9" applyFont="1" applyFill="1" applyBorder="1" applyAlignment="1">
      <alignment horizontal="center"/>
    </xf>
    <xf numFmtId="2" fontId="2" fillId="0" borderId="1" xfId="9" applyNumberFormat="1" applyFont="1" applyBorder="1" applyAlignment="1">
      <alignment horizontal="center"/>
    </xf>
    <xf numFmtId="0" fontId="2" fillId="0" borderId="6" xfId="9" applyFont="1" applyFill="1" applyBorder="1" applyAlignment="1">
      <alignment horizontal="center"/>
    </xf>
    <xf numFmtId="164" fontId="2" fillId="14" borderId="0" xfId="9" applyNumberFormat="1" applyFont="1" applyFill="1" applyBorder="1" applyAlignment="1">
      <alignment horizontal="center"/>
    </xf>
    <xf numFmtId="165" fontId="2" fillId="0" borderId="1" xfId="9" applyNumberFormat="1" applyFont="1" applyBorder="1" applyAlignment="1">
      <alignment horizontal="center"/>
    </xf>
    <xf numFmtId="2" fontId="2" fillId="0" borderId="6" xfId="9" applyNumberFormat="1" applyFont="1" applyBorder="1" applyAlignment="1">
      <alignment horizontal="center"/>
    </xf>
    <xf numFmtId="0" fontId="2" fillId="14" borderId="47" xfId="9" applyFont="1" applyFill="1" applyBorder="1" applyAlignment="1">
      <alignment horizontal="center"/>
    </xf>
    <xf numFmtId="0" fontId="2" fillId="14" borderId="48" xfId="9" applyFont="1" applyFill="1" applyBorder="1" applyAlignment="1">
      <alignment horizontal="center"/>
    </xf>
    <xf numFmtId="2" fontId="2" fillId="0" borderId="20" xfId="9" applyNumberFormat="1" applyFont="1" applyFill="1" applyBorder="1" applyAlignment="1">
      <alignment horizontal="center"/>
    </xf>
    <xf numFmtId="167" fontId="2" fillId="0" borderId="0" xfId="9" applyNumberFormat="1" applyFont="1"/>
    <xf numFmtId="2" fontId="2" fillId="0" borderId="13" xfId="9" applyNumberFormat="1" applyFont="1" applyBorder="1" applyAlignment="1">
      <alignment horizontal="center"/>
    </xf>
    <xf numFmtId="2" fontId="2" fillId="0" borderId="16" xfId="9" applyNumberFormat="1" applyFont="1" applyFill="1" applyBorder="1" applyAlignment="1">
      <alignment horizontal="center"/>
    </xf>
    <xf numFmtId="2" fontId="2" fillId="18" borderId="8" xfId="9" applyNumberFormat="1" applyFont="1" applyFill="1" applyBorder="1" applyAlignment="1">
      <alignment horizontal="center"/>
    </xf>
    <xf numFmtId="0" fontId="2" fillId="18" borderId="6" xfId="9" applyFont="1" applyFill="1" applyBorder="1"/>
    <xf numFmtId="165" fontId="2" fillId="3" borderId="9" xfId="9" applyNumberFormat="1" applyFont="1" applyFill="1" applyBorder="1" applyAlignment="1" applyProtection="1">
      <alignment horizontal="center"/>
      <protection locked="0"/>
    </xf>
    <xf numFmtId="2" fontId="2" fillId="11" borderId="6" xfId="9" applyNumberFormat="1" applyFont="1" applyFill="1" applyBorder="1" applyAlignment="1" applyProtection="1">
      <alignment horizontal="center"/>
      <protection locked="0"/>
    </xf>
    <xf numFmtId="0" fontId="2" fillId="11" borderId="6" xfId="9" applyFont="1" applyFill="1" applyBorder="1" applyAlignment="1" applyProtection="1">
      <alignment horizontal="center"/>
      <protection locked="0"/>
    </xf>
    <xf numFmtId="0" fontId="2" fillId="18" borderId="50" xfId="9" applyFont="1" applyFill="1" applyBorder="1" applyAlignment="1">
      <alignment horizontal="center"/>
    </xf>
    <xf numFmtId="0" fontId="2" fillId="18" borderId="51" xfId="9" applyFont="1" applyFill="1" applyBorder="1" applyAlignment="1">
      <alignment horizontal="center"/>
    </xf>
    <xf numFmtId="165" fontId="2" fillId="3" borderId="11" xfId="9" applyNumberFormat="1" applyFont="1" applyFill="1" applyBorder="1" applyAlignment="1" applyProtection="1">
      <alignment horizontal="center"/>
      <protection locked="0"/>
    </xf>
    <xf numFmtId="0" fontId="2" fillId="11" borderId="13" xfId="9" applyFont="1" applyFill="1" applyBorder="1" applyAlignment="1" applyProtection="1">
      <alignment horizontal="center"/>
      <protection locked="0"/>
    </xf>
    <xf numFmtId="0" fontId="2" fillId="0" borderId="31" xfId="9" applyFont="1" applyBorder="1"/>
    <xf numFmtId="0" fontId="2" fillId="0" borderId="1" xfId="9" applyFont="1" applyBorder="1" applyAlignment="1">
      <alignment horizontal="center"/>
    </xf>
    <xf numFmtId="0" fontId="2" fillId="0" borderId="1" xfId="9" applyFont="1" applyFill="1" applyBorder="1"/>
    <xf numFmtId="2" fontId="2" fillId="0" borderId="0" xfId="9" applyNumberFormat="1" applyFont="1" applyFill="1" applyBorder="1" applyAlignment="1">
      <alignment horizontal="center"/>
    </xf>
    <xf numFmtId="0" fontId="16" fillId="0" borderId="1" xfId="9" applyFont="1" applyBorder="1" applyAlignment="1">
      <alignment horizontal="center" vertical="center" wrapText="1"/>
    </xf>
    <xf numFmtId="0" fontId="2" fillId="0" borderId="0" xfId="9" applyFont="1" applyAlignment="1">
      <alignment horizontal="right"/>
    </xf>
    <xf numFmtId="2" fontId="2" fillId="0" borderId="0" xfId="9" applyNumberFormat="1" applyFont="1" applyAlignment="1">
      <alignment horizontal="right"/>
    </xf>
    <xf numFmtId="2" fontId="2" fillId="0" borderId="0" xfId="9" applyNumberFormat="1" applyFont="1"/>
    <xf numFmtId="0" fontId="15" fillId="6" borderId="33" xfId="9" applyFont="1" applyFill="1" applyBorder="1" applyAlignment="1">
      <alignment horizontal="center"/>
    </xf>
    <xf numFmtId="0" fontId="2" fillId="0" borderId="3" xfId="9" applyFont="1" applyFill="1" applyBorder="1" applyAlignment="1">
      <alignment horizontal="center"/>
    </xf>
    <xf numFmtId="166" fontId="2" fillId="0" borderId="1" xfId="9" applyNumberFormat="1" applyFont="1" applyFill="1" applyBorder="1" applyAlignment="1">
      <alignment horizontal="center"/>
    </xf>
    <xf numFmtId="165" fontId="2" fillId="0" borderId="1" xfId="9" applyNumberFormat="1" applyFont="1" applyFill="1" applyBorder="1" applyAlignment="1">
      <alignment horizontal="center"/>
    </xf>
    <xf numFmtId="165" fontId="2" fillId="0" borderId="3" xfId="9" applyNumberFormat="1" applyFont="1" applyFill="1" applyBorder="1" applyAlignment="1">
      <alignment horizontal="center"/>
    </xf>
    <xf numFmtId="2" fontId="18" fillId="19" borderId="1" xfId="9" applyNumberFormat="1" applyFont="1" applyFill="1" applyBorder="1" applyAlignment="1">
      <alignment horizontal="center"/>
    </xf>
    <xf numFmtId="2" fontId="18" fillId="19" borderId="6" xfId="9" applyNumberFormat="1" applyFont="1" applyFill="1" applyBorder="1" applyAlignment="1">
      <alignment horizontal="center"/>
    </xf>
    <xf numFmtId="0" fontId="18" fillId="19" borderId="6" xfId="9" applyFont="1" applyFill="1" applyBorder="1" applyAlignment="1">
      <alignment horizontal="center"/>
    </xf>
    <xf numFmtId="2" fontId="15" fillId="0" borderId="1" xfId="9" applyNumberFormat="1" applyFont="1" applyFill="1" applyBorder="1" applyAlignment="1">
      <alignment horizontal="center"/>
    </xf>
    <xf numFmtId="2" fontId="15" fillId="0" borderId="12" xfId="9" applyNumberFormat="1" applyFont="1" applyFill="1" applyBorder="1" applyAlignment="1">
      <alignment horizontal="center"/>
    </xf>
    <xf numFmtId="0" fontId="2" fillId="0" borderId="0" xfId="9" applyFont="1" applyFill="1" applyBorder="1" applyAlignment="1">
      <alignment horizontal="left"/>
    </xf>
    <xf numFmtId="2" fontId="15" fillId="18" borderId="13" xfId="9" applyNumberFormat="1" applyFont="1" applyFill="1" applyBorder="1" applyAlignment="1">
      <alignment horizontal="center"/>
    </xf>
    <xf numFmtId="0" fontId="16" fillId="18" borderId="7" xfId="9" applyFont="1" applyFill="1" applyBorder="1" applyAlignment="1">
      <alignment horizontal="center"/>
    </xf>
    <xf numFmtId="0" fontId="16" fillId="18" borderId="9" xfId="9" applyFont="1" applyFill="1" applyBorder="1" applyAlignment="1">
      <alignment horizontal="center"/>
    </xf>
    <xf numFmtId="165" fontId="2" fillId="0" borderId="0" xfId="9" applyNumberFormat="1" applyFont="1" applyFill="1" applyBorder="1" applyAlignment="1">
      <alignment horizontal="center"/>
    </xf>
    <xf numFmtId="0" fontId="2" fillId="0" borderId="1" xfId="9" applyFont="1" applyFill="1" applyBorder="1" applyAlignment="1"/>
    <xf numFmtId="0" fontId="2" fillId="20" borderId="1" xfId="9" applyFont="1" applyFill="1" applyBorder="1" applyAlignment="1">
      <alignment horizontal="center"/>
    </xf>
    <xf numFmtId="0" fontId="2" fillId="9" borderId="1" xfId="9" applyFont="1" applyFill="1" applyBorder="1" applyAlignment="1">
      <alignment horizontal="center"/>
    </xf>
    <xf numFmtId="165" fontId="22" fillId="0" borderId="1" xfId="9" applyNumberFormat="1" applyFont="1" applyFill="1" applyBorder="1" applyAlignment="1">
      <alignment horizontal="center"/>
    </xf>
    <xf numFmtId="9" fontId="2" fillId="0" borderId="1" xfId="9" applyNumberFormat="1" applyFont="1" applyFill="1" applyBorder="1" applyAlignment="1">
      <alignment horizontal="center"/>
    </xf>
    <xf numFmtId="1" fontId="2" fillId="0" borderId="1" xfId="9" applyNumberFormat="1" applyFont="1" applyFill="1" applyBorder="1" applyAlignment="1">
      <alignment horizontal="center"/>
    </xf>
    <xf numFmtId="0" fontId="24" fillId="0" borderId="1" xfId="9" applyFont="1" applyBorder="1" applyAlignment="1">
      <alignment horizontal="center" vertical="center" wrapText="1"/>
    </xf>
    <xf numFmtId="9" fontId="24" fillId="0" borderId="1" xfId="9" applyNumberFormat="1" applyFont="1" applyBorder="1" applyAlignment="1">
      <alignment horizontal="center" vertical="center" wrapText="1"/>
    </xf>
    <xf numFmtId="0" fontId="2" fillId="0" borderId="0" xfId="0" applyFont="1"/>
    <xf numFmtId="0" fontId="11" fillId="0" borderId="0" xfId="0" applyFont="1" applyFill="1" applyBorder="1" applyAlignment="1">
      <alignment horizontal="center" vertical="center"/>
    </xf>
    <xf numFmtId="10" fontId="11" fillId="6" borderId="0" xfId="0" applyNumberFormat="1" applyFont="1" applyFill="1" applyBorder="1" applyAlignment="1">
      <alignment horizontal="center"/>
    </xf>
    <xf numFmtId="0" fontId="11" fillId="0" borderId="0" xfId="0" applyFont="1" applyBorder="1"/>
    <xf numFmtId="2" fontId="11" fillId="0" borderId="0" xfId="7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right"/>
    </xf>
    <xf numFmtId="0" fontId="11" fillId="0" borderId="0" xfId="0" applyFont="1" applyFill="1" applyBorder="1" applyAlignment="1">
      <alignment horizontal="center"/>
    </xf>
    <xf numFmtId="0" fontId="11" fillId="0" borderId="0" xfId="0" applyFont="1" applyFill="1" applyBorder="1"/>
    <xf numFmtId="165" fontId="11" fillId="0" borderId="0" xfId="0" applyNumberFormat="1" applyFont="1" applyFill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 applyBorder="1"/>
    <xf numFmtId="0" fontId="2" fillId="0" borderId="25" xfId="0" applyFont="1" applyBorder="1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2" fillId="0" borderId="19" xfId="0" applyFont="1" applyBorder="1"/>
    <xf numFmtId="0" fontId="2" fillId="0" borderId="14" xfId="0" applyFont="1" applyBorder="1"/>
    <xf numFmtId="0" fontId="2" fillId="0" borderId="30" xfId="0" applyFont="1" applyBorder="1"/>
    <xf numFmtId="0" fontId="2" fillId="0" borderId="14" xfId="7" applyFont="1" applyFill="1" applyBorder="1" applyAlignment="1">
      <alignment horizontal="center"/>
    </xf>
    <xf numFmtId="167" fontId="11" fillId="0" borderId="0" xfId="7" applyNumberFormat="1" applyFont="1" applyFill="1" applyBorder="1" applyAlignment="1">
      <alignment horizontal="center"/>
    </xf>
    <xf numFmtId="0" fontId="12" fillId="0" borderId="0" xfId="7" applyFont="1" applyFill="1" applyBorder="1" applyAlignment="1">
      <alignment horizontal="right"/>
    </xf>
    <xf numFmtId="166" fontId="11" fillId="0" borderId="0" xfId="7" applyNumberFormat="1" applyFont="1" applyFill="1" applyBorder="1" applyAlignment="1">
      <alignment horizontal="center"/>
    </xf>
    <xf numFmtId="0" fontId="19" fillId="0" borderId="0" xfId="7" applyFont="1" applyFill="1" applyBorder="1"/>
    <xf numFmtId="0" fontId="19" fillId="0" borderId="0" xfId="7" applyFont="1" applyFill="1" applyBorder="1" applyAlignment="1">
      <alignment horizontal="left"/>
    </xf>
    <xf numFmtId="9" fontId="19" fillId="0" borderId="0" xfId="7" applyNumberFormat="1" applyFont="1" applyFill="1" applyBorder="1" applyAlignment="1">
      <alignment horizontal="center"/>
    </xf>
    <xf numFmtId="0" fontId="19" fillId="0" borderId="0" xfId="0" applyFont="1" applyFill="1" applyBorder="1"/>
    <xf numFmtId="2" fontId="19" fillId="0" borderId="0" xfId="0" applyNumberFormat="1" applyFont="1" applyFill="1" applyBorder="1" applyAlignment="1">
      <alignment horizontal="center"/>
    </xf>
    <xf numFmtId="167" fontId="11" fillId="0" borderId="0" xfId="0" applyNumberFormat="1" applyFont="1" applyFill="1" applyBorder="1" applyAlignment="1">
      <alignment horizontal="center"/>
    </xf>
    <xf numFmtId="0" fontId="15" fillId="0" borderId="0" xfId="0" applyFont="1"/>
    <xf numFmtId="0" fontId="16" fillId="0" borderId="32" xfId="0" applyFont="1" applyBorder="1" applyAlignment="1"/>
    <xf numFmtId="0" fontId="16" fillId="4" borderId="1" xfId="0" applyFont="1" applyFill="1" applyBorder="1" applyAlignment="1">
      <alignment horizontal="center"/>
    </xf>
    <xf numFmtId="0" fontId="11" fillId="0" borderId="0" xfId="0" applyFont="1" applyBorder="1" applyAlignment="1">
      <alignment horizontal="center"/>
    </xf>
    <xf numFmtId="2" fontId="11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/>
    </xf>
    <xf numFmtId="0" fontId="2" fillId="2" borderId="1" xfId="8" applyFont="1" applyFill="1" applyBorder="1" applyAlignment="1">
      <alignment horizontal="center"/>
    </xf>
    <xf numFmtId="0" fontId="2" fillId="2" borderId="1" xfId="1" applyFill="1" applyBorder="1" applyAlignment="1">
      <alignment horizontal="center"/>
    </xf>
    <xf numFmtId="0" fontId="2" fillId="2" borderId="1" xfId="1" applyFill="1" applyBorder="1" applyAlignment="1">
      <alignment horizontal="center" vertical="center" wrapText="1"/>
    </xf>
    <xf numFmtId="0" fontId="11" fillId="0" borderId="0" xfId="1" applyFont="1" applyBorder="1" applyAlignment="1">
      <alignment horizontal="center" vertical="center" wrapText="1"/>
    </xf>
    <xf numFmtId="0" fontId="11" fillId="6" borderId="0" xfId="1" applyFont="1" applyFill="1" applyBorder="1"/>
    <xf numFmtId="0" fontId="2" fillId="0" borderId="0" xfId="1" applyFill="1" applyBorder="1" applyAlignment="1">
      <alignment horizontal="center" vertical="center" wrapText="1"/>
    </xf>
    <xf numFmtId="2" fontId="2" fillId="3" borderId="1" xfId="1" applyNumberFormat="1" applyFont="1" applyFill="1" applyBorder="1" applyAlignment="1">
      <alignment horizontal="center"/>
    </xf>
    <xf numFmtId="0" fontId="2" fillId="0" borderId="0" xfId="1" applyFont="1" applyFill="1" applyBorder="1" applyAlignment="1">
      <alignment horizontal="right"/>
    </xf>
    <xf numFmtId="0" fontId="25" fillId="5" borderId="1" xfId="1" applyFont="1" applyFill="1" applyBorder="1" applyAlignment="1">
      <alignment horizontal="center"/>
    </xf>
    <xf numFmtId="2" fontId="2" fillId="0" borderId="18" xfId="1" applyNumberFormat="1" applyFont="1" applyFill="1" applyBorder="1" applyAlignment="1">
      <alignment horizontal="center"/>
    </xf>
    <xf numFmtId="2" fontId="2" fillId="3" borderId="1" xfId="1" applyNumberFormat="1" applyFill="1" applyBorder="1" applyAlignment="1">
      <alignment horizontal="center"/>
    </xf>
    <xf numFmtId="0" fontId="2" fillId="2" borderId="18" xfId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2" fillId="0" borderId="1" xfId="7" applyFont="1" applyFill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0" fontId="2" fillId="0" borderId="0" xfId="0" applyFont="1" applyFill="1"/>
    <xf numFmtId="167" fontId="2" fillId="0" borderId="0" xfId="7" applyNumberFormat="1" applyFont="1" applyFill="1" applyBorder="1" applyAlignment="1">
      <alignment horizontal="center"/>
    </xf>
    <xf numFmtId="0" fontId="11" fillId="6" borderId="0" xfId="0" applyFont="1" applyFill="1" applyBorder="1"/>
    <xf numFmtId="0" fontId="12" fillId="6" borderId="0" xfId="7" applyFont="1" applyFill="1" applyBorder="1" applyAlignment="1">
      <alignment horizontal="right"/>
    </xf>
    <xf numFmtId="2" fontId="11" fillId="6" borderId="0" xfId="7" applyNumberFormat="1" applyFont="1" applyFill="1" applyBorder="1" applyAlignment="1">
      <alignment horizontal="center"/>
    </xf>
    <xf numFmtId="165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169" fontId="2" fillId="0" borderId="1" xfId="7" applyNumberFormat="1" applyFont="1" applyFill="1" applyBorder="1" applyAlignment="1">
      <alignment horizontal="center"/>
    </xf>
    <xf numFmtId="0" fontId="2" fillId="0" borderId="0" xfId="0" applyFont="1" applyFill="1" applyBorder="1"/>
    <xf numFmtId="0" fontId="2" fillId="6" borderId="0" xfId="0" applyFont="1" applyFill="1"/>
    <xf numFmtId="0" fontId="2" fillId="0" borderId="0" xfId="8" applyFont="1" applyBorder="1"/>
    <xf numFmtId="0" fontId="2" fillId="0" borderId="0" xfId="8" applyFont="1" applyFill="1" applyBorder="1" applyAlignment="1">
      <alignment horizontal="center"/>
    </xf>
    <xf numFmtId="2" fontId="2" fillId="0" borderId="0" xfId="8" applyNumberFormat="1" applyFont="1" applyFill="1" applyBorder="1" applyAlignment="1">
      <alignment horizontal="center"/>
    </xf>
    <xf numFmtId="0" fontId="5" fillId="5" borderId="0" xfId="0" applyFont="1" applyFill="1"/>
    <xf numFmtId="0" fontId="2" fillId="5" borderId="0" xfId="0" applyFont="1" applyFill="1"/>
    <xf numFmtId="164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2" fontId="2" fillId="6" borderId="1" xfId="0" applyNumberFormat="1" applyFont="1" applyFill="1" applyBorder="1" applyAlignment="1">
      <alignment horizontal="center"/>
    </xf>
    <xf numFmtId="0" fontId="2" fillId="0" borderId="0" xfId="8" applyFont="1" applyFill="1" applyBorder="1"/>
    <xf numFmtId="0" fontId="3" fillId="0" borderId="0" xfId="0" applyFont="1"/>
    <xf numFmtId="0" fontId="5" fillId="5" borderId="0" xfId="8" applyFont="1" applyFill="1"/>
    <xf numFmtId="0" fontId="11" fillId="6" borderId="0" xfId="8" applyFont="1" applyFill="1" applyBorder="1" applyAlignment="1">
      <alignment horizontal="center"/>
    </xf>
    <xf numFmtId="0" fontId="11" fillId="0" borderId="0" xfId="8" applyFont="1"/>
    <xf numFmtId="165" fontId="2" fillId="0" borderId="1" xfId="3" applyNumberFormat="1" applyFont="1" applyBorder="1" applyAlignment="1">
      <alignment horizontal="center" vertical="center"/>
    </xf>
    <xf numFmtId="0" fontId="2" fillId="0" borderId="0" xfId="3" applyFont="1" applyBorder="1"/>
    <xf numFmtId="2" fontId="2" fillId="0" borderId="1" xfId="3" applyNumberFormat="1" applyFont="1" applyFill="1" applyBorder="1" applyAlignment="1">
      <alignment horizontal="center"/>
    </xf>
    <xf numFmtId="0" fontId="2" fillId="0" borderId="0" xfId="3" applyFont="1"/>
    <xf numFmtId="165" fontId="2" fillId="0" borderId="1" xfId="3" applyNumberFormat="1" applyFont="1" applyFill="1" applyBorder="1" applyAlignment="1">
      <alignment horizontal="center"/>
    </xf>
    <xf numFmtId="0" fontId="2" fillId="0" borderId="0" xfId="3" applyFont="1" applyBorder="1" applyAlignment="1">
      <alignment horizontal="center"/>
    </xf>
    <xf numFmtId="0" fontId="2" fillId="0" borderId="1" xfId="3" applyFont="1" applyBorder="1" applyAlignment="1">
      <alignment horizontal="center"/>
    </xf>
    <xf numFmtId="0" fontId="2" fillId="0" borderId="0" xfId="3" applyFont="1" applyFill="1" applyBorder="1" applyAlignment="1">
      <alignment horizontal="center"/>
    </xf>
    <xf numFmtId="2" fontId="2" fillId="0" borderId="0" xfId="3" applyNumberFormat="1" applyFont="1" applyFill="1" applyBorder="1" applyAlignment="1">
      <alignment horizontal="center"/>
    </xf>
    <xf numFmtId="2" fontId="2" fillId="0" borderId="0" xfId="3" applyNumberFormat="1" applyFont="1" applyFill="1" applyBorder="1" applyAlignment="1">
      <alignment horizontal="center" vertical="center"/>
    </xf>
    <xf numFmtId="165" fontId="2" fillId="0" borderId="0" xfId="3" applyNumberFormat="1" applyFont="1" applyBorder="1" applyAlignment="1">
      <alignment vertical="center"/>
    </xf>
    <xf numFmtId="0" fontId="2" fillId="0" borderId="1" xfId="3" applyFont="1" applyFill="1" applyBorder="1" applyAlignment="1">
      <alignment horizontal="center" vertical="center"/>
    </xf>
    <xf numFmtId="2" fontId="2" fillId="0" borderId="1" xfId="3" applyNumberFormat="1" applyFont="1" applyBorder="1" applyAlignment="1">
      <alignment horizontal="center" vertical="center"/>
    </xf>
    <xf numFmtId="2" fontId="2" fillId="4" borderId="1" xfId="3" applyNumberFormat="1" applyFont="1" applyFill="1" applyBorder="1" applyAlignment="1">
      <alignment horizontal="center"/>
    </xf>
    <xf numFmtId="10" fontId="2" fillId="0" borderId="1" xfId="3" applyNumberFormat="1" applyFont="1" applyBorder="1" applyAlignment="1">
      <alignment horizontal="center"/>
    </xf>
    <xf numFmtId="10" fontId="2" fillId="4" borderId="1" xfId="3" applyNumberFormat="1" applyFont="1" applyFill="1" applyBorder="1" applyAlignment="1">
      <alignment horizontal="center"/>
    </xf>
    <xf numFmtId="2" fontId="2" fillId="0" borderId="1" xfId="3" applyNumberFormat="1" applyFont="1" applyBorder="1" applyAlignment="1">
      <alignment horizontal="center"/>
    </xf>
    <xf numFmtId="0" fontId="2" fillId="0" borderId="0" xfId="3" applyFont="1" applyAlignment="1">
      <alignment horizontal="left"/>
    </xf>
    <xf numFmtId="165" fontId="2" fillId="0" borderId="10" xfId="3" applyNumberFormat="1" applyFont="1" applyFill="1" applyBorder="1" applyAlignment="1">
      <alignment horizontal="center" vertical="center"/>
    </xf>
    <xf numFmtId="0" fontId="11" fillId="0" borderId="0" xfId="3" applyFont="1" applyFill="1" applyBorder="1" applyAlignment="1">
      <alignment horizontal="center" vertical="center"/>
    </xf>
    <xf numFmtId="2" fontId="11" fillId="0" borderId="0" xfId="3" applyNumberFormat="1" applyFont="1" applyFill="1" applyBorder="1" applyAlignment="1">
      <alignment horizontal="center" vertical="center"/>
    </xf>
    <xf numFmtId="165" fontId="2" fillId="6" borderId="1" xfId="3" applyNumberFormat="1" applyFont="1" applyFill="1" applyBorder="1" applyAlignment="1">
      <alignment horizontal="center"/>
    </xf>
    <xf numFmtId="165" fontId="2" fillId="0" borderId="0" xfId="3" applyNumberFormat="1" applyFont="1" applyFill="1" applyBorder="1" applyAlignment="1">
      <alignment horizontal="left"/>
    </xf>
    <xf numFmtId="0" fontId="2" fillId="5" borderId="0" xfId="3" applyFont="1" applyFill="1" applyBorder="1"/>
    <xf numFmtId="0" fontId="5" fillId="5" borderId="0" xfId="3" applyFont="1" applyFill="1"/>
    <xf numFmtId="0" fontId="2" fillId="5" borderId="0" xfId="3" applyFont="1" applyFill="1"/>
    <xf numFmtId="0" fontId="5" fillId="5" borderId="0" xfId="3" applyFont="1" applyFill="1" applyBorder="1"/>
    <xf numFmtId="2" fontId="2" fillId="0" borderId="0" xfId="3" applyNumberFormat="1" applyFont="1" applyAlignment="1">
      <alignment horizontal="center"/>
    </xf>
    <xf numFmtId="0" fontId="11" fillId="0" borderId="0" xfId="3" applyFont="1"/>
    <xf numFmtId="11" fontId="2" fillId="0" borderId="0" xfId="3" applyNumberFormat="1" applyFont="1" applyAlignment="1">
      <alignment horizontal="center"/>
    </xf>
    <xf numFmtId="0" fontId="2" fillId="22" borderId="1" xfId="3" applyFont="1" applyFill="1" applyBorder="1" applyAlignment="1">
      <alignment horizontal="center"/>
    </xf>
    <xf numFmtId="0" fontId="2" fillId="2" borderId="1" xfId="3" applyFont="1" applyFill="1" applyBorder="1" applyAlignment="1">
      <alignment horizontal="center"/>
    </xf>
    <xf numFmtId="0" fontId="2" fillId="13" borderId="1" xfId="3" applyFont="1" applyFill="1" applyBorder="1" applyAlignment="1">
      <alignment horizontal="center"/>
    </xf>
    <xf numFmtId="0" fontId="2" fillId="15" borderId="1" xfId="3" applyFont="1" applyFill="1" applyBorder="1" applyAlignment="1">
      <alignment horizontal="center"/>
    </xf>
    <xf numFmtId="0" fontId="2" fillId="3" borderId="1" xfId="3" applyFont="1" applyFill="1" applyBorder="1" applyAlignment="1">
      <alignment horizontal="center"/>
    </xf>
    <xf numFmtId="0" fontId="2" fillId="23" borderId="1" xfId="3" applyFont="1" applyFill="1" applyBorder="1" applyAlignment="1">
      <alignment horizontal="center"/>
    </xf>
    <xf numFmtId="0" fontId="11" fillId="0" borderId="0" xfId="3" applyFont="1" applyBorder="1"/>
    <xf numFmtId="2" fontId="11" fillId="0" borderId="0" xfId="3" applyNumberFormat="1" applyFont="1" applyBorder="1" applyAlignment="1">
      <alignment horizontal="center"/>
    </xf>
    <xf numFmtId="2" fontId="2" fillId="2" borderId="1" xfId="3" applyNumberFormat="1" applyFont="1" applyFill="1" applyBorder="1" applyAlignment="1">
      <alignment horizontal="center"/>
    </xf>
    <xf numFmtId="0" fontId="5" fillId="2" borderId="10" xfId="3" applyFont="1" applyFill="1" applyBorder="1" applyAlignment="1">
      <alignment horizontal="center" vertical="center"/>
    </xf>
    <xf numFmtId="165" fontId="2" fillId="2" borderId="1" xfId="3" applyNumberFormat="1" applyFont="1" applyFill="1" applyBorder="1" applyAlignment="1">
      <alignment horizontal="center"/>
    </xf>
    <xf numFmtId="0" fontId="2" fillId="2" borderId="1" xfId="3" applyFont="1" applyFill="1" applyBorder="1" applyAlignment="1">
      <alignment horizontal="center" vertical="center"/>
    </xf>
    <xf numFmtId="0" fontId="11" fillId="6" borderId="0" xfId="3" applyFont="1" applyFill="1" applyBorder="1"/>
    <xf numFmtId="0" fontId="2" fillId="6" borderId="0" xfId="3" applyFont="1" applyFill="1"/>
    <xf numFmtId="0" fontId="11" fillId="6" borderId="0" xfId="3" applyFont="1" applyFill="1"/>
    <xf numFmtId="1" fontId="11" fillId="6" borderId="0" xfId="3" applyNumberFormat="1" applyFont="1" applyFill="1" applyBorder="1" applyAlignment="1">
      <alignment horizontal="center"/>
    </xf>
    <xf numFmtId="2" fontId="11" fillId="6" borderId="0" xfId="3" applyNumberFormat="1" applyFont="1" applyFill="1" applyBorder="1" applyAlignment="1">
      <alignment horizontal="center" vertical="center"/>
    </xf>
    <xf numFmtId="2" fontId="11" fillId="6" borderId="0" xfId="3" applyNumberFormat="1" applyFont="1" applyFill="1" applyBorder="1" applyAlignment="1">
      <alignment horizontal="center"/>
    </xf>
    <xf numFmtId="9" fontId="11" fillId="6" borderId="0" xfId="3" applyNumberFormat="1" applyFont="1" applyFill="1" applyBorder="1" applyAlignment="1">
      <alignment horizontal="center"/>
    </xf>
    <xf numFmtId="11" fontId="11" fillId="6" borderId="0" xfId="3" applyNumberFormat="1" applyFont="1" applyFill="1" applyBorder="1" applyAlignment="1">
      <alignment horizontal="center"/>
    </xf>
    <xf numFmtId="2" fontId="11" fillId="6" borderId="0" xfId="3" applyNumberFormat="1" applyFont="1" applyFill="1" applyBorder="1"/>
    <xf numFmtId="11" fontId="11" fillId="6" borderId="0" xfId="3" applyNumberFormat="1" applyFont="1" applyFill="1" applyBorder="1"/>
    <xf numFmtId="165" fontId="11" fillId="6" borderId="0" xfId="3" applyNumberFormat="1" applyFont="1" applyFill="1" applyBorder="1"/>
    <xf numFmtId="166" fontId="2" fillId="4" borderId="1" xfId="3" applyNumberFormat="1" applyFont="1" applyFill="1" applyBorder="1" applyAlignment="1">
      <alignment horizontal="center"/>
    </xf>
    <xf numFmtId="0" fontId="5" fillId="0" borderId="0" xfId="3" applyFont="1" applyAlignment="1">
      <alignment horizontal="center" vertical="center"/>
    </xf>
    <xf numFmtId="0" fontId="5" fillId="0" borderId="0" xfId="3" applyFont="1" applyAlignment="1">
      <alignment horizontal="center"/>
    </xf>
    <xf numFmtId="165" fontId="11" fillId="6" borderId="0" xfId="3" applyNumberFormat="1" applyFont="1" applyFill="1" applyBorder="1" applyAlignment="1">
      <alignment horizontal="center"/>
    </xf>
    <xf numFmtId="0" fontId="11" fillId="0" borderId="0" xfId="8" applyFont="1" applyFill="1" applyBorder="1"/>
    <xf numFmtId="0" fontId="11" fillId="0" borderId="0" xfId="8" applyFont="1" applyFill="1" applyBorder="1" applyAlignment="1">
      <alignment horizontal="center"/>
    </xf>
    <xf numFmtId="2" fontId="11" fillId="0" borderId="0" xfId="8" applyNumberFormat="1" applyFont="1" applyFill="1" applyBorder="1" applyAlignment="1">
      <alignment horizontal="center"/>
    </xf>
    <xf numFmtId="0" fontId="2" fillId="2" borderId="0" xfId="9" applyFont="1" applyFill="1"/>
    <xf numFmtId="0" fontId="5" fillId="2" borderId="0" xfId="0" applyFont="1" applyFill="1"/>
    <xf numFmtId="0" fontId="2" fillId="2" borderId="0" xfId="0" applyFont="1" applyFill="1"/>
    <xf numFmtId="0" fontId="2" fillId="15" borderId="1" xfId="0" applyFont="1" applyFill="1" applyBorder="1" applyAlignment="1">
      <alignment horizontal="center"/>
    </xf>
    <xf numFmtId="2" fontId="2" fillId="4" borderId="1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165" fontId="2" fillId="0" borderId="0" xfId="0" applyNumberFormat="1" applyFont="1"/>
    <xf numFmtId="2" fontId="2" fillId="0" borderId="0" xfId="0" applyNumberFormat="1" applyFont="1" applyFill="1"/>
    <xf numFmtId="0" fontId="2" fillId="2" borderId="1" xfId="0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2" fillId="2" borderId="0" xfId="0" applyFont="1" applyFill="1" applyBorder="1" applyAlignment="1">
      <alignment horizontal="left"/>
    </xf>
    <xf numFmtId="2" fontId="2" fillId="0" borderId="1" xfId="0" applyNumberFormat="1" applyFont="1" applyBorder="1" applyAlignment="1">
      <alignment horizontal="center"/>
    </xf>
    <xf numFmtId="2" fontId="2" fillId="0" borderId="0" xfId="0" applyNumberFormat="1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2" fontId="2" fillId="0" borderId="1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66" fontId="11" fillId="0" borderId="0" xfId="0" applyNumberFormat="1" applyFont="1"/>
    <xf numFmtId="165" fontId="11" fillId="0" borderId="0" xfId="0" applyNumberFormat="1" applyFont="1"/>
    <xf numFmtId="2" fontId="11" fillId="0" borderId="0" xfId="0" applyNumberFormat="1" applyFont="1" applyFill="1"/>
    <xf numFmtId="0" fontId="11" fillId="6" borderId="0" xfId="0" applyFont="1" applyFill="1" applyBorder="1" applyAlignment="1">
      <alignment horizontal="center"/>
    </xf>
    <xf numFmtId="2" fontId="11" fillId="6" borderId="0" xfId="0" applyNumberFormat="1" applyFont="1" applyFill="1" applyBorder="1" applyAlignment="1">
      <alignment horizontal="center"/>
    </xf>
    <xf numFmtId="166" fontId="11" fillId="6" borderId="0" xfId="0" applyNumberFormat="1" applyFont="1" applyFill="1" applyBorder="1" applyAlignment="1">
      <alignment horizontal="center"/>
    </xf>
    <xf numFmtId="164" fontId="11" fillId="6" borderId="0" xfId="0" applyNumberFormat="1" applyFont="1" applyFill="1" applyBorder="1" applyAlignment="1">
      <alignment horizontal="center"/>
    </xf>
    <xf numFmtId="10" fontId="11" fillId="6" borderId="0" xfId="0" applyNumberFormat="1" applyFont="1" applyFill="1" applyBorder="1"/>
    <xf numFmtId="0" fontId="2" fillId="2" borderId="1" xfId="0" applyFont="1" applyFill="1" applyBorder="1" applyAlignment="1">
      <alignment horizontal="center"/>
    </xf>
    <xf numFmtId="0" fontId="11" fillId="6" borderId="0" xfId="3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18" fillId="6" borderId="0" xfId="0" applyFont="1" applyFill="1" applyBorder="1"/>
    <xf numFmtId="0" fontId="18" fillId="0" borderId="0" xfId="1" applyFont="1"/>
    <xf numFmtId="0" fontId="18" fillId="0" borderId="0" xfId="1" applyFont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/>
    </xf>
    <xf numFmtId="10" fontId="2" fillId="6" borderId="1" xfId="0" applyNumberFormat="1" applyFont="1" applyFill="1" applyBorder="1" applyAlignment="1">
      <alignment horizontal="center"/>
    </xf>
    <xf numFmtId="10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2" fontId="2" fillId="4" borderId="18" xfId="0" applyNumberFormat="1" applyFont="1" applyFill="1" applyBorder="1" applyAlignment="1">
      <alignment horizontal="center"/>
    </xf>
    <xf numFmtId="166" fontId="11" fillId="0" borderId="0" xfId="0" applyNumberFormat="1" applyFont="1" applyFill="1" applyBorder="1" applyAlignment="1">
      <alignment horizontal="center"/>
    </xf>
    <xf numFmtId="0" fontId="2" fillId="0" borderId="0" xfId="1" applyAlignment="1">
      <alignment horizontal="left"/>
    </xf>
    <xf numFmtId="0" fontId="26" fillId="0" borderId="0" xfId="1" applyFont="1" applyBorder="1" applyAlignment="1">
      <alignment horizontal="left" vertical="center"/>
    </xf>
    <xf numFmtId="0" fontId="11" fillId="6" borderId="1" xfId="7" applyFont="1" applyFill="1" applyBorder="1" applyAlignment="1">
      <alignment horizontal="center"/>
    </xf>
    <xf numFmtId="0" fontId="2" fillId="4" borderId="1" xfId="7" applyFont="1" applyFill="1" applyBorder="1" applyAlignment="1">
      <alignment horizontal="center"/>
    </xf>
    <xf numFmtId="0" fontId="11" fillId="24" borderId="1" xfId="7" applyFont="1" applyFill="1" applyBorder="1" applyAlignment="1">
      <alignment horizontal="center"/>
    </xf>
    <xf numFmtId="0" fontId="12" fillId="24" borderId="1" xfId="7" applyFont="1" applyFill="1" applyBorder="1" applyAlignment="1">
      <alignment horizontal="center"/>
    </xf>
    <xf numFmtId="0" fontId="2" fillId="24" borderId="1" xfId="7" applyFont="1" applyFill="1" applyBorder="1" applyAlignment="1">
      <alignment horizontal="center"/>
    </xf>
    <xf numFmtId="0" fontId="2" fillId="24" borderId="1" xfId="7" applyFont="1" applyFill="1" applyBorder="1"/>
    <xf numFmtId="0" fontId="2" fillId="0" borderId="2" xfId="7" applyFont="1" applyBorder="1" applyAlignment="1">
      <alignment horizontal="center"/>
    </xf>
    <xf numFmtId="9" fontId="2" fillId="0" borderId="0" xfId="7" applyNumberFormat="1" applyFont="1" applyAlignment="1">
      <alignment horizontal="center"/>
    </xf>
    <xf numFmtId="0" fontId="2" fillId="0" borderId="0" xfId="7" applyFont="1" applyAlignment="1">
      <alignment horizontal="right"/>
    </xf>
    <xf numFmtId="0" fontId="28" fillId="24" borderId="1" xfId="7" applyFont="1" applyFill="1" applyBorder="1" applyAlignment="1">
      <alignment horizontal="center"/>
    </xf>
    <xf numFmtId="0" fontId="2" fillId="0" borderId="0" xfId="7" applyNumberFormat="1" applyFont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0" fillId="5" borderId="0" xfId="7" applyFont="1" applyFill="1" applyBorder="1" applyAlignment="1">
      <alignment horizontal="left" vertical="center"/>
    </xf>
    <xf numFmtId="0" fontId="2" fillId="0" borderId="1" xfId="9" applyFont="1" applyFill="1" applyBorder="1" applyAlignment="1">
      <alignment horizontal="center"/>
    </xf>
    <xf numFmtId="2" fontId="11" fillId="0" borderId="0" xfId="0" applyNumberFormat="1" applyFont="1" applyBorder="1" applyAlignment="1">
      <alignment horizontal="center"/>
    </xf>
    <xf numFmtId="0" fontId="5" fillId="0" borderId="0" xfId="0" applyFont="1"/>
    <xf numFmtId="0" fontId="2" fillId="0" borderId="1" xfId="0" applyFont="1" applyBorder="1" applyAlignment="1">
      <alignment horizontal="center" vertical="center"/>
    </xf>
    <xf numFmtId="2" fontId="11" fillId="0" borderId="0" xfId="0" applyNumberFormat="1" applyFont="1" applyFill="1" applyBorder="1"/>
    <xf numFmtId="0" fontId="2" fillId="5" borderId="0" xfId="7" applyFont="1" applyFill="1"/>
    <xf numFmtId="0" fontId="11" fillId="5" borderId="0" xfId="7" applyFont="1" applyFill="1" applyBorder="1" applyAlignment="1">
      <alignment horizontal="center"/>
    </xf>
    <xf numFmtId="2" fontId="2" fillId="5" borderId="0" xfId="7" applyNumberFormat="1" applyFont="1" applyFill="1" applyBorder="1" applyAlignment="1">
      <alignment horizontal="center"/>
    </xf>
    <xf numFmtId="0" fontId="2" fillId="18" borderId="47" xfId="9" applyFont="1" applyFill="1" applyBorder="1" applyAlignment="1">
      <alignment horizontal="center"/>
    </xf>
    <xf numFmtId="0" fontId="2" fillId="0" borderId="55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166" fontId="2" fillId="0" borderId="54" xfId="0" applyNumberFormat="1" applyFont="1" applyBorder="1" applyAlignment="1">
      <alignment horizontal="center" vertical="center"/>
    </xf>
    <xf numFmtId="166" fontId="2" fillId="0" borderId="0" xfId="0" applyNumberFormat="1" applyFont="1" applyBorder="1" applyAlignment="1">
      <alignment horizontal="center" vertical="center"/>
    </xf>
    <xf numFmtId="166" fontId="2" fillId="0" borderId="57" xfId="0" applyNumberFormat="1" applyFont="1" applyBorder="1" applyAlignment="1">
      <alignment horizontal="center" vertical="center"/>
    </xf>
    <xf numFmtId="166" fontId="2" fillId="0" borderId="58" xfId="0" applyNumberFormat="1" applyFont="1" applyBorder="1" applyAlignment="1">
      <alignment horizontal="center" vertical="center"/>
    </xf>
    <xf numFmtId="166" fontId="2" fillId="0" borderId="59" xfId="0" applyNumberFormat="1" applyFont="1" applyBorder="1" applyAlignment="1">
      <alignment horizontal="center" vertical="center"/>
    </xf>
    <xf numFmtId="166" fontId="2" fillId="0" borderId="32" xfId="0" applyNumberFormat="1" applyFont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11" fillId="0" borderId="0" xfId="1" applyFont="1"/>
    <xf numFmtId="0" fontId="11" fillId="0" borderId="0" xfId="1" applyFont="1" applyBorder="1"/>
    <xf numFmtId="0" fontId="1" fillId="6" borderId="0" xfId="0" applyFont="1" applyFill="1" applyBorder="1" applyAlignment="1">
      <alignment horizontal="center"/>
    </xf>
    <xf numFmtId="0" fontId="11" fillId="6" borderId="0" xfId="1" applyFont="1" applyFill="1" applyBorder="1" applyAlignment="1">
      <alignment horizontal="center"/>
    </xf>
    <xf numFmtId="2" fontId="1" fillId="6" borderId="0" xfId="0" applyNumberFormat="1" applyFont="1" applyFill="1" applyBorder="1" applyAlignment="1">
      <alignment horizontal="center"/>
    </xf>
    <xf numFmtId="2" fontId="1" fillId="6" borderId="0" xfId="0" applyNumberFormat="1" applyFont="1" applyFill="1" applyBorder="1" applyAlignment="1">
      <alignment horizontal="center" vertical="center"/>
    </xf>
    <xf numFmtId="164" fontId="1" fillId="6" borderId="0" xfId="1" applyNumberFormat="1" applyFont="1" applyFill="1" applyBorder="1" applyAlignment="1">
      <alignment horizontal="center"/>
    </xf>
    <xf numFmtId="9" fontId="11" fillId="0" borderId="0" xfId="1" applyNumberFormat="1" applyFont="1" applyBorder="1" applyAlignment="1">
      <alignment horizontal="center"/>
    </xf>
    <xf numFmtId="0" fontId="1" fillId="6" borderId="0" xfId="0" applyFont="1" applyFill="1" applyBorder="1" applyAlignment="1"/>
    <xf numFmtId="2" fontId="1" fillId="6" borderId="0" xfId="0" applyNumberFormat="1" applyFont="1" applyFill="1" applyBorder="1"/>
    <xf numFmtId="0" fontId="11" fillId="0" borderId="0" xfId="1" applyFont="1" applyBorder="1" applyAlignment="1">
      <alignment horizontal="center"/>
    </xf>
    <xf numFmtId="10" fontId="11" fillId="0" borderId="0" xfId="1" applyNumberFormat="1" applyFont="1" applyBorder="1" applyAlignment="1">
      <alignment horizontal="center" vertical="center" wrapText="1"/>
    </xf>
    <xf numFmtId="2" fontId="1" fillId="6" borderId="0" xfId="0" applyNumberFormat="1" applyFont="1" applyFill="1" applyBorder="1" applyAlignment="1">
      <alignment horizontal="left"/>
    </xf>
    <xf numFmtId="10" fontId="11" fillId="0" borderId="0" xfId="1" applyNumberFormat="1" applyFont="1" applyBorder="1" applyAlignment="1">
      <alignment horizontal="center"/>
    </xf>
    <xf numFmtId="2" fontId="1" fillId="6" borderId="0" xfId="0" applyNumberFormat="1" applyFont="1" applyFill="1" applyBorder="1" applyAlignment="1"/>
    <xf numFmtId="10" fontId="1" fillId="6" borderId="0" xfId="0" applyNumberFormat="1" applyFont="1" applyFill="1" applyBorder="1" applyAlignment="1">
      <alignment horizontal="center"/>
    </xf>
    <xf numFmtId="0" fontId="2" fillId="0" borderId="10" xfId="7" applyFont="1" applyBorder="1" applyAlignment="1">
      <alignment horizontal="center" vertical="center"/>
    </xf>
    <xf numFmtId="165" fontId="2" fillId="0" borderId="1" xfId="3" applyNumberFormat="1" applyFont="1" applyFill="1" applyBorder="1" applyAlignment="1">
      <alignment horizontal="center" vertical="center"/>
    </xf>
    <xf numFmtId="167" fontId="2" fillId="4" borderId="1" xfId="7" applyNumberFormat="1" applyFont="1" applyFill="1" applyBorder="1" applyAlignment="1">
      <alignment horizontal="center"/>
    </xf>
    <xf numFmtId="167" fontId="2" fillId="0" borderId="1" xfId="0" applyNumberFormat="1" applyFont="1" applyBorder="1" applyAlignment="1">
      <alignment horizontal="center"/>
    </xf>
    <xf numFmtId="0" fontId="2" fillId="18" borderId="1" xfId="0" applyFont="1" applyFill="1" applyBorder="1" applyAlignment="1">
      <alignment horizontal="center"/>
    </xf>
    <xf numFmtId="2" fontId="2" fillId="21" borderId="1" xfId="1" applyNumberFormat="1" applyFill="1" applyBorder="1" applyAlignment="1">
      <alignment horizontal="center"/>
    </xf>
    <xf numFmtId="0" fontId="19" fillId="0" borderId="0" xfId="7" applyFont="1" applyFill="1" applyBorder="1" applyAlignment="1">
      <alignment horizontal="center"/>
    </xf>
    <xf numFmtId="0" fontId="11" fillId="0" borderId="0" xfId="7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2" fillId="6" borderId="1" xfId="7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9" fillId="0" borderId="0" xfId="7" applyFont="1" applyFill="1" applyBorder="1" applyAlignment="1">
      <alignment vertical="center"/>
    </xf>
    <xf numFmtId="0" fontId="11" fillId="6" borderId="25" xfId="0" applyFont="1" applyFill="1" applyBorder="1" applyAlignment="1">
      <alignment horizontal="center"/>
    </xf>
    <xf numFmtId="0" fontId="11" fillId="6" borderId="25" xfId="7" applyFont="1" applyFill="1" applyBorder="1" applyAlignment="1">
      <alignment horizontal="center"/>
    </xf>
    <xf numFmtId="0" fontId="19" fillId="0" borderId="0" xfId="7" applyFont="1" applyFill="1" applyBorder="1" applyAlignment="1">
      <alignment horizontal="center"/>
    </xf>
    <xf numFmtId="0" fontId="11" fillId="0" borderId="0" xfId="7" applyFont="1" applyFill="1" applyBorder="1" applyAlignment="1">
      <alignment horizontal="center"/>
    </xf>
    <xf numFmtId="0" fontId="9" fillId="0" borderId="22" xfId="7" applyFont="1" applyBorder="1" applyAlignment="1">
      <alignment horizontal="center" vertical="center"/>
    </xf>
    <xf numFmtId="0" fontId="9" fillId="0" borderId="23" xfId="7" applyFont="1" applyBorder="1" applyAlignment="1">
      <alignment horizontal="center" vertical="center"/>
    </xf>
    <xf numFmtId="0" fontId="9" fillId="0" borderId="24" xfId="7" applyFont="1" applyBorder="1" applyAlignment="1">
      <alignment horizontal="center" vertical="center"/>
    </xf>
    <xf numFmtId="0" fontId="11" fillId="0" borderId="0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2" fillId="11" borderId="2" xfId="7" applyFont="1" applyFill="1" applyBorder="1" applyAlignment="1">
      <alignment horizontal="center"/>
    </xf>
    <xf numFmtId="0" fontId="2" fillId="11" borderId="3" xfId="7" applyFont="1" applyFill="1" applyBorder="1" applyAlignment="1">
      <alignment horizontal="center"/>
    </xf>
    <xf numFmtId="0" fontId="2" fillId="11" borderId="2" xfId="0" applyFont="1" applyFill="1" applyBorder="1" applyAlignment="1">
      <alignment horizontal="center"/>
    </xf>
    <xf numFmtId="0" fontId="2" fillId="11" borderId="3" xfId="0" applyFont="1" applyFill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2" fillId="21" borderId="2" xfId="0" applyFont="1" applyFill="1" applyBorder="1" applyAlignment="1">
      <alignment horizontal="center"/>
    </xf>
    <xf numFmtId="0" fontId="2" fillId="21" borderId="3" xfId="0" applyFont="1" applyFill="1" applyBorder="1" applyAlignment="1">
      <alignment horizontal="center"/>
    </xf>
    <xf numFmtId="0" fontId="2" fillId="21" borderId="1" xfId="0" applyFont="1" applyFill="1" applyBorder="1" applyAlignment="1">
      <alignment horizontal="center"/>
    </xf>
    <xf numFmtId="0" fontId="10" fillId="5" borderId="0" xfId="7" applyFont="1" applyFill="1" applyBorder="1" applyAlignment="1">
      <alignment horizontal="left" vertical="center"/>
    </xf>
    <xf numFmtId="0" fontId="5" fillId="9" borderId="1" xfId="7" applyFont="1" applyFill="1" applyBorder="1" applyAlignment="1">
      <alignment horizontal="center"/>
    </xf>
    <xf numFmtId="0" fontId="2" fillId="15" borderId="1" xfId="7" applyFont="1" applyFill="1" applyBorder="1" applyAlignment="1">
      <alignment horizontal="center"/>
    </xf>
    <xf numFmtId="0" fontId="2" fillId="12" borderId="1" xfId="7" applyFont="1" applyFill="1" applyBorder="1" applyAlignment="1">
      <alignment horizontal="center" vertical="center"/>
    </xf>
    <xf numFmtId="0" fontId="2" fillId="6" borderId="2" xfId="7" applyFont="1" applyFill="1" applyBorder="1" applyAlignment="1">
      <alignment horizontal="center"/>
    </xf>
    <xf numFmtId="0" fontId="2" fillId="6" borderId="3" xfId="7" applyFont="1" applyFill="1" applyBorder="1" applyAlignment="1">
      <alignment horizontal="center"/>
    </xf>
    <xf numFmtId="0" fontId="29" fillId="6" borderId="1" xfId="7" applyFont="1" applyFill="1" applyBorder="1" applyAlignment="1">
      <alignment horizontal="center"/>
    </xf>
    <xf numFmtId="0" fontId="2" fillId="0" borderId="1" xfId="7" applyFont="1" applyBorder="1" applyAlignment="1">
      <alignment horizontal="center"/>
    </xf>
    <xf numFmtId="0" fontId="2" fillId="6" borderId="4" xfId="7" applyFont="1" applyFill="1" applyBorder="1" applyAlignment="1">
      <alignment horizontal="center"/>
    </xf>
    <xf numFmtId="0" fontId="2" fillId="6" borderId="1" xfId="7" applyFont="1" applyFill="1" applyBorder="1" applyAlignment="1">
      <alignment horizontal="center"/>
    </xf>
    <xf numFmtId="0" fontId="2" fillId="6" borderId="10" xfId="7" applyFont="1" applyFill="1" applyBorder="1" applyAlignment="1">
      <alignment horizontal="center" wrapText="1"/>
    </xf>
    <xf numFmtId="0" fontId="2" fillId="6" borderId="18" xfId="7" applyFont="1" applyFill="1" applyBorder="1" applyAlignment="1">
      <alignment horizontal="center" wrapText="1"/>
    </xf>
    <xf numFmtId="0" fontId="28" fillId="24" borderId="10" xfId="7" applyFont="1" applyFill="1" applyBorder="1" applyAlignment="1">
      <alignment horizontal="center"/>
    </xf>
    <xf numFmtId="0" fontId="28" fillId="24" borderId="18" xfId="7" applyFont="1" applyFill="1" applyBorder="1" applyAlignment="1">
      <alignment horizontal="center"/>
    </xf>
    <xf numFmtId="0" fontId="2" fillId="0" borderId="2" xfId="7" applyFont="1" applyBorder="1" applyAlignment="1">
      <alignment horizontal="center"/>
    </xf>
    <xf numFmtId="0" fontId="2" fillId="0" borderId="3" xfId="7" applyFont="1" applyBorder="1" applyAlignment="1">
      <alignment horizontal="center"/>
    </xf>
    <xf numFmtId="2" fontId="2" fillId="18" borderId="35" xfId="9" applyNumberFormat="1" applyFont="1" applyFill="1" applyBorder="1" applyAlignment="1">
      <alignment horizontal="center" vertical="center" wrapText="1"/>
    </xf>
    <xf numFmtId="2" fontId="2" fillId="18" borderId="38" xfId="9" applyNumberFormat="1" applyFont="1" applyFill="1" applyBorder="1" applyAlignment="1">
      <alignment horizontal="center" vertical="center" wrapText="1"/>
    </xf>
    <xf numFmtId="2" fontId="2" fillId="18" borderId="39" xfId="9" applyNumberFormat="1" applyFont="1" applyFill="1" applyBorder="1" applyAlignment="1">
      <alignment horizontal="center" vertical="center" wrapText="1"/>
    </xf>
    <xf numFmtId="167" fontId="2" fillId="0" borderId="2" xfId="9" applyNumberFormat="1" applyFont="1" applyBorder="1" applyAlignment="1">
      <alignment horizontal="center"/>
    </xf>
    <xf numFmtId="167" fontId="2" fillId="0" borderId="37" xfId="9" applyNumberFormat="1" applyFont="1" applyBorder="1" applyAlignment="1">
      <alignment horizontal="center"/>
    </xf>
    <xf numFmtId="0" fontId="15" fillId="0" borderId="22" xfId="9" applyFont="1" applyBorder="1" applyAlignment="1">
      <alignment horizontal="center"/>
    </xf>
    <xf numFmtId="0" fontId="15" fillId="0" borderId="24" xfId="9" applyFont="1" applyBorder="1" applyAlignment="1">
      <alignment horizontal="center"/>
    </xf>
    <xf numFmtId="0" fontId="5" fillId="0" borderId="1" xfId="9" applyFont="1" applyFill="1" applyBorder="1" applyAlignment="1">
      <alignment horizontal="center"/>
    </xf>
    <xf numFmtId="0" fontId="15" fillId="16" borderId="22" xfId="9" applyFont="1" applyFill="1" applyBorder="1" applyAlignment="1">
      <alignment horizontal="center"/>
    </xf>
    <xf numFmtId="0" fontId="15" fillId="16" borderId="23" xfId="9" applyFont="1" applyFill="1" applyBorder="1" applyAlignment="1">
      <alignment horizontal="center"/>
    </xf>
    <xf numFmtId="0" fontId="15" fillId="16" borderId="24" xfId="9" applyFont="1" applyFill="1" applyBorder="1" applyAlignment="1">
      <alignment horizontal="center"/>
    </xf>
    <xf numFmtId="0" fontId="15" fillId="17" borderId="22" xfId="9" applyFont="1" applyFill="1" applyBorder="1" applyAlignment="1">
      <alignment horizontal="center"/>
    </xf>
    <xf numFmtId="0" fontId="15" fillId="17" borderId="23" xfId="9" applyFont="1" applyFill="1" applyBorder="1" applyAlignment="1">
      <alignment horizontal="center"/>
    </xf>
    <xf numFmtId="0" fontId="15" fillId="17" borderId="24" xfId="9" applyFont="1" applyFill="1" applyBorder="1" applyAlignment="1">
      <alignment horizontal="center"/>
    </xf>
    <xf numFmtId="2" fontId="2" fillId="0" borderId="2" xfId="11" applyNumberFormat="1" applyFont="1" applyFill="1" applyBorder="1" applyAlignment="1">
      <alignment horizontal="center"/>
    </xf>
    <xf numFmtId="2" fontId="2" fillId="0" borderId="37" xfId="11" applyNumberFormat="1" applyFont="1" applyFill="1" applyBorder="1" applyAlignment="1">
      <alignment horizontal="center"/>
    </xf>
    <xf numFmtId="0" fontId="15" fillId="0" borderId="40" xfId="9" applyFont="1" applyFill="1" applyBorder="1" applyAlignment="1">
      <alignment horizontal="center"/>
    </xf>
    <xf numFmtId="0" fontId="15" fillId="0" borderId="41" xfId="9" applyFont="1" applyFill="1" applyBorder="1" applyAlignment="1">
      <alignment horizontal="center"/>
    </xf>
    <xf numFmtId="2" fontId="2" fillId="0" borderId="42" xfId="9" applyNumberFormat="1" applyFont="1" applyFill="1" applyBorder="1" applyAlignment="1">
      <alignment horizontal="center"/>
    </xf>
    <xf numFmtId="0" fontId="2" fillId="0" borderId="30" xfId="9" applyNumberFormat="1" applyFont="1" applyFill="1" applyBorder="1" applyAlignment="1">
      <alignment horizontal="center"/>
    </xf>
    <xf numFmtId="0" fontId="6" fillId="0" borderId="43" xfId="9" applyFont="1" applyFill="1" applyBorder="1" applyAlignment="1">
      <alignment horizontal="center"/>
    </xf>
    <xf numFmtId="0" fontId="6" fillId="0" borderId="44" xfId="9" applyFont="1" applyFill="1" applyBorder="1" applyAlignment="1">
      <alignment horizontal="center"/>
    </xf>
    <xf numFmtId="0" fontId="6" fillId="0" borderId="45" xfId="9" applyFont="1" applyFill="1" applyBorder="1" applyAlignment="1">
      <alignment horizontal="center"/>
    </xf>
    <xf numFmtId="2" fontId="2" fillId="18" borderId="21" xfId="9" applyNumberFormat="1" applyFont="1" applyFill="1" applyBorder="1" applyAlignment="1">
      <alignment horizontal="center" vertical="center" wrapText="1"/>
    </xf>
    <xf numFmtId="0" fontId="6" fillId="0" borderId="22" xfId="9" applyFont="1" applyFill="1" applyBorder="1" applyAlignment="1">
      <alignment horizontal="center"/>
    </xf>
    <xf numFmtId="0" fontId="6" fillId="0" borderId="23" xfId="9" applyFont="1" applyFill="1" applyBorder="1" applyAlignment="1">
      <alignment horizontal="center"/>
    </xf>
    <xf numFmtId="0" fontId="6" fillId="0" borderId="24" xfId="9" applyFont="1" applyFill="1" applyBorder="1" applyAlignment="1">
      <alignment horizontal="center"/>
    </xf>
    <xf numFmtId="0" fontId="2" fillId="0" borderId="22" xfId="9" applyFont="1" applyBorder="1" applyAlignment="1">
      <alignment horizontal="center"/>
    </xf>
    <xf numFmtId="0" fontId="2" fillId="0" borderId="23" xfId="9" applyFont="1" applyBorder="1" applyAlignment="1">
      <alignment horizontal="center"/>
    </xf>
    <xf numFmtId="0" fontId="2" fillId="0" borderId="24" xfId="9" applyFont="1" applyBorder="1" applyAlignment="1">
      <alignment horizontal="center"/>
    </xf>
    <xf numFmtId="2" fontId="2" fillId="0" borderId="46" xfId="9" applyNumberFormat="1" applyFont="1" applyFill="1" applyBorder="1" applyAlignment="1">
      <alignment horizontal="center"/>
    </xf>
    <xf numFmtId="2" fontId="2" fillId="0" borderId="45" xfId="9" applyNumberFormat="1" applyFont="1" applyFill="1" applyBorder="1" applyAlignment="1">
      <alignment horizontal="center"/>
    </xf>
    <xf numFmtId="164" fontId="2" fillId="3" borderId="2" xfId="9" applyNumberFormat="1" applyFont="1" applyFill="1" applyBorder="1" applyAlignment="1">
      <alignment horizontal="center"/>
    </xf>
    <xf numFmtId="164" fontId="2" fillId="3" borderId="37" xfId="9" applyNumberFormat="1" applyFont="1" applyFill="1" applyBorder="1" applyAlignment="1">
      <alignment horizontal="center"/>
    </xf>
    <xf numFmtId="2" fontId="2" fillId="0" borderId="1" xfId="9" applyNumberFormat="1" applyFont="1" applyFill="1" applyBorder="1" applyAlignment="1">
      <alignment horizontal="center"/>
    </xf>
    <xf numFmtId="2" fontId="2" fillId="0" borderId="37" xfId="9" applyNumberFormat="1" applyFont="1" applyFill="1" applyBorder="1" applyAlignment="1">
      <alignment horizontal="center"/>
    </xf>
    <xf numFmtId="10" fontId="2" fillId="6" borderId="46" xfId="11" applyNumberFormat="1" applyFont="1" applyFill="1" applyBorder="1" applyAlignment="1">
      <alignment horizontal="center"/>
    </xf>
    <xf numFmtId="10" fontId="2" fillId="6" borderId="45" xfId="11" applyNumberFormat="1" applyFont="1" applyFill="1" applyBorder="1" applyAlignment="1">
      <alignment horizontal="center"/>
    </xf>
    <xf numFmtId="10" fontId="2" fillId="6" borderId="40" xfId="11" applyNumberFormat="1" applyFont="1" applyFill="1" applyBorder="1" applyAlignment="1">
      <alignment horizontal="center"/>
    </xf>
    <xf numFmtId="10" fontId="2" fillId="6" borderId="41" xfId="11" applyNumberFormat="1" applyFont="1" applyFill="1" applyBorder="1" applyAlignment="1">
      <alignment horizontal="center"/>
    </xf>
    <xf numFmtId="2" fontId="2" fillId="0" borderId="10" xfId="9" applyNumberFormat="1" applyFont="1" applyFill="1" applyBorder="1" applyAlignment="1">
      <alignment horizontal="center"/>
    </xf>
    <xf numFmtId="2" fontId="2" fillId="0" borderId="35" xfId="9" applyNumberFormat="1" applyFont="1" applyFill="1" applyBorder="1" applyAlignment="1">
      <alignment horizontal="center"/>
    </xf>
    <xf numFmtId="164" fontId="2" fillId="6" borderId="16" xfId="11" applyNumberFormat="1" applyFont="1" applyFill="1" applyBorder="1" applyAlignment="1">
      <alignment horizontal="center"/>
    </xf>
    <xf numFmtId="164" fontId="2" fillId="6" borderId="8" xfId="11" applyNumberFormat="1" applyFont="1" applyFill="1" applyBorder="1" applyAlignment="1">
      <alignment horizontal="center"/>
    </xf>
    <xf numFmtId="164" fontId="2" fillId="6" borderId="12" xfId="11" applyNumberFormat="1" applyFont="1" applyFill="1" applyBorder="1" applyAlignment="1">
      <alignment horizontal="center"/>
    </xf>
    <xf numFmtId="164" fontId="2" fillId="6" borderId="13" xfId="11" applyNumberFormat="1" applyFont="1" applyFill="1" applyBorder="1" applyAlignment="1">
      <alignment horizontal="center"/>
    </xf>
    <xf numFmtId="0" fontId="5" fillId="0" borderId="1" xfId="9" applyFont="1" applyBorder="1" applyAlignment="1">
      <alignment horizontal="center"/>
    </xf>
    <xf numFmtId="0" fontId="2" fillId="0" borderId="1" xfId="9" applyFont="1" applyFill="1" applyBorder="1" applyAlignment="1">
      <alignment horizontal="center" vertical="center"/>
    </xf>
    <xf numFmtId="0" fontId="2" fillId="0" borderId="1" xfId="9" applyFont="1" applyFill="1" applyBorder="1" applyAlignment="1">
      <alignment horizontal="center"/>
    </xf>
    <xf numFmtId="0" fontId="2" fillId="0" borderId="2" xfId="9" applyFont="1" applyBorder="1" applyAlignment="1">
      <alignment horizontal="center"/>
    </xf>
    <xf numFmtId="0" fontId="2" fillId="0" borderId="4" xfId="9" applyFont="1" applyBorder="1" applyAlignment="1">
      <alignment horizontal="center"/>
    </xf>
    <xf numFmtId="0" fontId="2" fillId="0" borderId="3" xfId="9" applyFont="1" applyBorder="1" applyAlignment="1">
      <alignment horizontal="center"/>
    </xf>
    <xf numFmtId="0" fontId="2" fillId="0" borderId="1" xfId="9" applyFont="1" applyBorder="1" applyAlignment="1">
      <alignment horizontal="center"/>
    </xf>
    <xf numFmtId="0" fontId="11" fillId="6" borderId="0" xfId="3" applyFont="1" applyFill="1" applyBorder="1" applyAlignment="1">
      <alignment horizontal="center"/>
    </xf>
    <xf numFmtId="9" fontId="2" fillId="2" borderId="2" xfId="3" applyNumberFormat="1" applyFont="1" applyFill="1" applyBorder="1" applyAlignment="1">
      <alignment horizontal="center"/>
    </xf>
    <xf numFmtId="9" fontId="2" fillId="2" borderId="3" xfId="3" applyNumberFormat="1" applyFont="1" applyFill="1" applyBorder="1" applyAlignment="1">
      <alignment horizontal="center"/>
    </xf>
    <xf numFmtId="0" fontId="27" fillId="12" borderId="10" xfId="3" applyFont="1" applyFill="1" applyBorder="1" applyAlignment="1">
      <alignment horizontal="center" vertical="center" textRotation="90"/>
    </xf>
    <xf numFmtId="0" fontId="27" fillId="12" borderId="53" xfId="3" applyFont="1" applyFill="1" applyBorder="1" applyAlignment="1">
      <alignment horizontal="center" vertical="center" textRotation="90"/>
    </xf>
    <xf numFmtId="0" fontId="27" fillId="12" borderId="18" xfId="3" applyFont="1" applyFill="1" applyBorder="1" applyAlignment="1">
      <alignment horizontal="center" vertical="center" textRotation="90"/>
    </xf>
    <xf numFmtId="0" fontId="27" fillId="12" borderId="1" xfId="3" applyFont="1" applyFill="1" applyBorder="1" applyAlignment="1">
      <alignment horizontal="center"/>
    </xf>
    <xf numFmtId="0" fontId="5" fillId="0" borderId="17" xfId="3" applyFont="1" applyBorder="1" applyAlignment="1">
      <alignment horizontal="center" vertical="center"/>
    </xf>
    <xf numFmtId="0" fontId="5" fillId="0" borderId="20" xfId="3" applyFont="1" applyBorder="1" applyAlignment="1">
      <alignment horizontal="center" vertical="center"/>
    </xf>
    <xf numFmtId="0" fontId="5" fillId="0" borderId="52" xfId="3" applyFont="1" applyBorder="1" applyAlignment="1">
      <alignment horizontal="center" vertical="center"/>
    </xf>
    <xf numFmtId="0" fontId="5" fillId="0" borderId="19" xfId="3" applyFont="1" applyBorder="1" applyAlignment="1">
      <alignment horizontal="center" vertical="center"/>
    </xf>
    <xf numFmtId="0" fontId="5" fillId="0" borderId="14" xfId="3" applyFont="1" applyBorder="1" applyAlignment="1">
      <alignment horizontal="center" vertical="center"/>
    </xf>
    <xf numFmtId="0" fontId="5" fillId="0" borderId="30" xfId="3" applyFont="1" applyBorder="1" applyAlignment="1">
      <alignment horizontal="center" vertical="center"/>
    </xf>
    <xf numFmtId="0" fontId="5" fillId="2" borderId="2" xfId="3" applyFont="1" applyFill="1" applyBorder="1" applyAlignment="1">
      <alignment horizontal="center" vertical="center"/>
    </xf>
    <xf numFmtId="0" fontId="5" fillId="2" borderId="4" xfId="3" applyFont="1" applyFill="1" applyBorder="1" applyAlignment="1">
      <alignment horizontal="center" vertical="center"/>
    </xf>
    <xf numFmtId="0" fontId="5" fillId="2" borderId="3" xfId="3" applyFont="1" applyFill="1" applyBorder="1" applyAlignment="1">
      <alignment horizontal="center" vertical="center"/>
    </xf>
    <xf numFmtId="0" fontId="2" fillId="2" borderId="2" xfId="3" applyFont="1" applyFill="1" applyBorder="1" applyAlignment="1">
      <alignment horizontal="center"/>
    </xf>
    <xf numFmtId="0" fontId="2" fillId="2" borderId="3" xfId="3" applyFont="1" applyFill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15" borderId="2" xfId="0" applyFont="1" applyFill="1" applyBorder="1" applyAlignment="1">
      <alignment horizontal="center"/>
    </xf>
    <xf numFmtId="0" fontId="2" fillId="15" borderId="4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11" fillId="6" borderId="0" xfId="0" applyFont="1" applyFill="1" applyBorder="1" applyAlignment="1">
      <alignment horizontal="center" vertical="center" textRotation="90"/>
    </xf>
    <xf numFmtId="0" fontId="11" fillId="6" borderId="0" xfId="0" applyFont="1" applyFill="1" applyBorder="1" applyAlignment="1">
      <alignment horizontal="center" textRotation="90"/>
    </xf>
    <xf numFmtId="0" fontId="2" fillId="15" borderId="1" xfId="0" applyFont="1" applyFill="1" applyBorder="1" applyAlignment="1">
      <alignment horizontal="center" vertical="center"/>
    </xf>
    <xf numFmtId="0" fontId="11" fillId="6" borderId="0" xfId="1" applyFont="1" applyFill="1" applyBorder="1" applyAlignment="1">
      <alignment horizontal="center" vertical="center" textRotation="90" wrapText="1"/>
    </xf>
    <xf numFmtId="0" fontId="2" fillId="0" borderId="1" xfId="1" applyBorder="1" applyAlignment="1">
      <alignment horizontal="center"/>
    </xf>
    <xf numFmtId="0" fontId="2" fillId="0" borderId="2" xfId="1" applyBorder="1" applyAlignment="1">
      <alignment horizontal="center"/>
    </xf>
    <xf numFmtId="0" fontId="2" fillId="0" borderId="4" xfId="1" applyBorder="1" applyAlignment="1">
      <alignment horizontal="center"/>
    </xf>
    <xf numFmtId="0" fontId="2" fillId="0" borderId="3" xfId="1" applyBorder="1" applyAlignment="1">
      <alignment horizontal="center"/>
    </xf>
    <xf numFmtId="0" fontId="1" fillId="6" borderId="0" xfId="0" applyFont="1" applyFill="1" applyBorder="1" applyAlignment="1">
      <alignment horizontal="center"/>
    </xf>
    <xf numFmtId="0" fontId="5" fillId="0" borderId="10" xfId="1" applyFont="1" applyBorder="1" applyAlignment="1">
      <alignment horizontal="center" vertical="top" wrapText="1"/>
    </xf>
    <xf numFmtId="0" fontId="5" fillId="0" borderId="18" xfId="1" applyFont="1" applyBorder="1" applyAlignment="1">
      <alignment horizontal="center" vertical="top" wrapText="1"/>
    </xf>
    <xf numFmtId="0" fontId="2" fillId="0" borderId="10" xfId="1" applyFont="1" applyBorder="1" applyAlignment="1">
      <alignment horizontal="center" vertical="center" textRotation="90" wrapText="1"/>
    </xf>
    <xf numFmtId="0" fontId="2" fillId="0" borderId="53" xfId="1" applyBorder="1" applyAlignment="1">
      <alignment horizontal="center" vertical="center" textRotation="90" wrapText="1"/>
    </xf>
    <xf numFmtId="0" fontId="2" fillId="0" borderId="18" xfId="1" applyBorder="1" applyAlignment="1">
      <alignment horizontal="center" vertical="center" textRotation="90" wrapText="1"/>
    </xf>
    <xf numFmtId="0" fontId="12" fillId="0" borderId="0" xfId="1" applyFont="1" applyFill="1" applyBorder="1" applyAlignment="1">
      <alignment horizontal="center"/>
    </xf>
    <xf numFmtId="0" fontId="12" fillId="6" borderId="0" xfId="1" applyFont="1" applyFill="1" applyBorder="1" applyAlignment="1">
      <alignment horizontal="center"/>
    </xf>
    <xf numFmtId="0" fontId="2" fillId="2" borderId="1" xfId="1" applyFill="1" applyBorder="1" applyAlignment="1">
      <alignment horizontal="center" vertical="center" wrapText="1"/>
    </xf>
    <xf numFmtId="0" fontId="2" fillId="6" borderId="1" xfId="1" applyFill="1" applyBorder="1" applyAlignment="1">
      <alignment horizontal="center" vertical="center" wrapText="1"/>
    </xf>
    <xf numFmtId="0" fontId="2" fillId="0" borderId="0" xfId="10"/>
    <xf numFmtId="0" fontId="11" fillId="0" borderId="0" xfId="10" applyFont="1"/>
    <xf numFmtId="0" fontId="9" fillId="0" borderId="22" xfId="10" applyFont="1" applyBorder="1" applyAlignment="1">
      <alignment horizontal="center" vertical="center"/>
    </xf>
    <xf numFmtId="0" fontId="9" fillId="0" borderId="23" xfId="10" applyFont="1" applyBorder="1" applyAlignment="1">
      <alignment horizontal="center" vertical="center"/>
    </xf>
    <xf numFmtId="0" fontId="9" fillId="0" borderId="24" xfId="10" applyFont="1" applyBorder="1" applyAlignment="1">
      <alignment horizontal="center" vertical="center"/>
    </xf>
    <xf numFmtId="0" fontId="20" fillId="0" borderId="0" xfId="10" applyFont="1" applyAlignment="1">
      <alignment horizontal="center"/>
    </xf>
    <xf numFmtId="0" fontId="2" fillId="0" borderId="17" xfId="10" applyBorder="1" applyAlignment="1">
      <alignment horizontal="left" vertical="center"/>
    </xf>
    <xf numFmtId="0" fontId="9" fillId="0" borderId="0" xfId="10" applyFont="1" applyAlignment="1">
      <alignment horizontal="center" vertical="center"/>
    </xf>
    <xf numFmtId="0" fontId="5" fillId="0" borderId="1" xfId="10" applyFont="1" applyBorder="1" applyAlignment="1">
      <alignment horizontal="center"/>
    </xf>
    <xf numFmtId="0" fontId="5" fillId="0" borderId="6" xfId="10" applyFont="1" applyBorder="1" applyAlignment="1">
      <alignment horizontal="center"/>
    </xf>
    <xf numFmtId="0" fontId="20" fillId="0" borderId="0" xfId="10" applyFont="1" applyAlignment="1">
      <alignment horizontal="center"/>
    </xf>
    <xf numFmtId="0" fontId="2" fillId="0" borderId="5" xfId="10" applyBorder="1"/>
    <xf numFmtId="0" fontId="5" fillId="0" borderId="0" xfId="10" applyFont="1"/>
    <xf numFmtId="0" fontId="5" fillId="0" borderId="0" xfId="10" applyFont="1" applyAlignment="1">
      <alignment horizontal="center"/>
    </xf>
    <xf numFmtId="17" fontId="2" fillId="0" borderId="1" xfId="10" applyNumberFormat="1" applyBorder="1" applyAlignment="1">
      <alignment horizontal="center"/>
    </xf>
    <xf numFmtId="0" fontId="2" fillId="4" borderId="6" xfId="10" applyFill="1" applyBorder="1" applyAlignment="1">
      <alignment horizontal="center"/>
    </xf>
    <xf numFmtId="0" fontId="12" fillId="0" borderId="0" xfId="10" applyFont="1" applyAlignment="1">
      <alignment horizontal="center"/>
    </xf>
    <xf numFmtId="0" fontId="11" fillId="0" borderId="0" xfId="10" applyFont="1" applyAlignment="1">
      <alignment horizontal="center"/>
    </xf>
    <xf numFmtId="0" fontId="11" fillId="6" borderId="0" xfId="10" applyFont="1" applyFill="1" applyAlignment="1">
      <alignment horizontal="center"/>
    </xf>
    <xf numFmtId="0" fontId="11" fillId="6" borderId="0" xfId="10" applyFont="1" applyFill="1"/>
    <xf numFmtId="0" fontId="5" fillId="0" borderId="5" xfId="10" applyFont="1" applyBorder="1" applyAlignment="1">
      <alignment horizontal="right"/>
    </xf>
    <xf numFmtId="0" fontId="2" fillId="0" borderId="60" xfId="10" applyBorder="1"/>
    <xf numFmtId="1" fontId="11" fillId="0" borderId="0" xfId="10" applyNumberFormat="1" applyFont="1" applyAlignment="1">
      <alignment horizontal="center"/>
    </xf>
    <xf numFmtId="165" fontId="11" fillId="0" borderId="0" xfId="10" applyNumberFormat="1" applyFont="1" applyAlignment="1">
      <alignment horizontal="center"/>
    </xf>
    <xf numFmtId="165" fontId="11" fillId="6" borderId="0" xfId="10" applyNumberFormat="1" applyFont="1" applyFill="1" applyAlignment="1">
      <alignment horizontal="center"/>
    </xf>
    <xf numFmtId="0" fontId="12" fillId="0" borderId="0" xfId="10" applyFont="1" applyAlignment="1">
      <alignment horizontal="right"/>
    </xf>
    <xf numFmtId="2" fontId="11" fillId="0" borderId="0" xfId="10" applyNumberFormat="1" applyFont="1" applyAlignment="1">
      <alignment horizontal="center"/>
    </xf>
    <xf numFmtId="0" fontId="19" fillId="0" borderId="0" xfId="10" applyFont="1"/>
    <xf numFmtId="0" fontId="30" fillId="0" borderId="0" xfId="10" applyFont="1"/>
    <xf numFmtId="2" fontId="2" fillId="4" borderId="1" xfId="10" applyNumberFormat="1" applyFill="1" applyBorder="1" applyAlignment="1">
      <alignment horizontal="center"/>
    </xf>
    <xf numFmtId="0" fontId="2" fillId="0" borderId="0" xfId="10" applyAlignment="1">
      <alignment horizontal="center"/>
    </xf>
    <xf numFmtId="0" fontId="2" fillId="0" borderId="25" xfId="10" applyBorder="1"/>
    <xf numFmtId="0" fontId="19" fillId="0" borderId="0" xfId="10" applyFont="1" applyAlignment="1">
      <alignment horizontal="center"/>
    </xf>
    <xf numFmtId="165" fontId="5" fillId="0" borderId="0" xfId="10" applyNumberFormat="1" applyFont="1" applyAlignment="1">
      <alignment horizontal="center"/>
    </xf>
    <xf numFmtId="0" fontId="19" fillId="5" borderId="0" xfId="10" applyFont="1" applyFill="1" applyAlignment="1">
      <alignment horizontal="center"/>
    </xf>
    <xf numFmtId="0" fontId="19" fillId="5" borderId="0" xfId="10" applyFont="1" applyFill="1" applyAlignment="1">
      <alignment horizontal="center"/>
    </xf>
    <xf numFmtId="0" fontId="30" fillId="0" borderId="0" xfId="10" applyFont="1" applyAlignment="1">
      <alignment horizontal="left"/>
    </xf>
    <xf numFmtId="0" fontId="2" fillId="0" borderId="0" xfId="10" applyAlignment="1">
      <alignment horizontal="left"/>
    </xf>
    <xf numFmtId="0" fontId="19" fillId="0" borderId="0" xfId="10" applyFont="1" applyAlignment="1">
      <alignment horizontal="center"/>
    </xf>
    <xf numFmtId="2" fontId="19" fillId="0" borderId="0" xfId="10" applyNumberFormat="1" applyFont="1" applyAlignment="1">
      <alignment horizontal="center"/>
    </xf>
    <xf numFmtId="9" fontId="19" fillId="0" borderId="0" xfId="10" applyNumberFormat="1" applyFont="1" applyAlignment="1">
      <alignment horizontal="center"/>
    </xf>
    <xf numFmtId="164" fontId="30" fillId="0" borderId="0" xfId="10" applyNumberFormat="1" applyFont="1" applyAlignment="1">
      <alignment horizontal="center"/>
    </xf>
    <xf numFmtId="0" fontId="5" fillId="7" borderId="26" xfId="10" applyFont="1" applyFill="1" applyBorder="1"/>
    <xf numFmtId="0" fontId="2" fillId="7" borderId="26" xfId="10" applyFill="1" applyBorder="1"/>
    <xf numFmtId="0" fontId="2" fillId="7" borderId="27" xfId="10" applyFill="1" applyBorder="1" applyAlignment="1">
      <alignment horizontal="center"/>
    </xf>
    <xf numFmtId="0" fontId="2" fillId="5" borderId="1" xfId="10" applyFill="1" applyBorder="1" applyAlignment="1">
      <alignment horizontal="center"/>
    </xf>
    <xf numFmtId="0" fontId="2" fillId="12" borderId="1" xfId="10" applyFill="1" applyBorder="1" applyAlignment="1">
      <alignment horizontal="center"/>
    </xf>
    <xf numFmtId="0" fontId="2" fillId="0" borderId="25" xfId="10" applyBorder="1" applyAlignment="1">
      <alignment horizontal="center"/>
    </xf>
    <xf numFmtId="9" fontId="2" fillId="0" borderId="1" xfId="10" applyNumberFormat="1" applyBorder="1" applyAlignment="1">
      <alignment horizontal="center"/>
    </xf>
    <xf numFmtId="0" fontId="2" fillId="0" borderId="1" xfId="10" applyBorder="1" applyAlignment="1">
      <alignment horizontal="center"/>
    </xf>
    <xf numFmtId="165" fontId="2" fillId="21" borderId="1" xfId="10" applyNumberFormat="1" applyFill="1" applyBorder="1" applyAlignment="1">
      <alignment horizontal="center" vertical="center"/>
    </xf>
    <xf numFmtId="165" fontId="2" fillId="0" borderId="1" xfId="10" applyNumberFormat="1" applyBorder="1" applyAlignment="1">
      <alignment horizontal="center"/>
    </xf>
    <xf numFmtId="0" fontId="11" fillId="6" borderId="0" xfId="10" applyFont="1" applyFill="1" applyAlignment="1">
      <alignment horizontal="left"/>
    </xf>
    <xf numFmtId="0" fontId="2" fillId="0" borderId="28" xfId="10" applyBorder="1"/>
    <xf numFmtId="0" fontId="2" fillId="0" borderId="29" xfId="10" applyBorder="1"/>
    <xf numFmtId="0" fontId="2" fillId="7" borderId="27" xfId="10" applyFill="1" applyBorder="1"/>
    <xf numFmtId="0" fontId="2" fillId="5" borderId="2" xfId="10" applyFill="1" applyBorder="1" applyAlignment="1">
      <alignment horizontal="center"/>
    </xf>
    <xf numFmtId="0" fontId="2" fillId="5" borderId="3" xfId="10" applyFill="1" applyBorder="1" applyAlignment="1">
      <alignment horizontal="center"/>
    </xf>
    <xf numFmtId="9" fontId="2" fillId="5" borderId="1" xfId="10" applyNumberFormat="1" applyFill="1" applyBorder="1" applyAlignment="1">
      <alignment horizontal="center"/>
    </xf>
    <xf numFmtId="0" fontId="11" fillId="0" borderId="0" xfId="10" applyFont="1" applyAlignment="1">
      <alignment horizontal="center"/>
    </xf>
    <xf numFmtId="2" fontId="2" fillId="0" borderId="1" xfId="10" applyNumberFormat="1" applyBorder="1" applyAlignment="1">
      <alignment horizontal="center"/>
    </xf>
    <xf numFmtId="165" fontId="2" fillId="21" borderId="1" xfId="10" applyNumberFormat="1" applyFill="1" applyBorder="1" applyAlignment="1">
      <alignment horizontal="center"/>
    </xf>
    <xf numFmtId="165" fontId="2" fillId="0" borderId="10" xfId="10" applyNumberFormat="1" applyBorder="1" applyAlignment="1">
      <alignment horizontal="center" vertical="center"/>
    </xf>
    <xf numFmtId="165" fontId="2" fillId="0" borderId="18" xfId="10" applyNumberFormat="1" applyBorder="1" applyAlignment="1">
      <alignment horizontal="center" vertical="center"/>
    </xf>
    <xf numFmtId="0" fontId="19" fillId="0" borderId="0" xfId="0" applyFont="1"/>
    <xf numFmtId="0" fontId="30" fillId="0" borderId="0" xfId="0" applyFont="1"/>
    <xf numFmtId="0" fontId="19" fillId="0" borderId="0" xfId="0" applyFont="1" applyAlignment="1">
      <alignment horizontal="center"/>
    </xf>
    <xf numFmtId="2" fontId="19" fillId="0" borderId="0" xfId="0" applyNumberFormat="1" applyFont="1" applyAlignment="1">
      <alignment horizontal="center"/>
    </xf>
    <xf numFmtId="0" fontId="5" fillId="7" borderId="0" xfId="10" applyFont="1" applyFill="1"/>
    <xf numFmtId="0" fontId="2" fillId="7" borderId="0" xfId="10" applyFill="1"/>
    <xf numFmtId="0" fontId="2" fillId="7" borderId="28" xfId="10" applyFill="1" applyBorder="1"/>
    <xf numFmtId="0" fontId="2" fillId="7" borderId="25" xfId="10" applyFill="1" applyBorder="1"/>
    <xf numFmtId="0" fontId="30" fillId="0" borderId="0" xfId="0" applyFont="1" applyAlignment="1">
      <alignment horizontal="center"/>
    </xf>
    <xf numFmtId="0" fontId="2" fillId="5" borderId="1" xfId="10" applyFill="1" applyBorder="1" applyAlignment="1">
      <alignment horizontal="center"/>
    </xf>
    <xf numFmtId="0" fontId="2" fillId="5" borderId="2" xfId="10" applyFill="1" applyBorder="1" applyAlignment="1">
      <alignment horizontal="center"/>
    </xf>
    <xf numFmtId="0" fontId="2" fillId="5" borderId="6" xfId="10" applyFill="1" applyBorder="1" applyAlignment="1">
      <alignment horizontal="center"/>
    </xf>
    <xf numFmtId="165" fontId="2" fillId="4" borderId="10" xfId="10" applyNumberFormat="1" applyFill="1" applyBorder="1" applyAlignment="1">
      <alignment horizontal="center" vertical="center"/>
    </xf>
    <xf numFmtId="0" fontId="2" fillId="4" borderId="10" xfId="10" applyFill="1" applyBorder="1" applyAlignment="1">
      <alignment horizontal="center" vertical="center"/>
    </xf>
    <xf numFmtId="0" fontId="2" fillId="0" borderId="6" xfId="10" applyBorder="1" applyAlignment="1">
      <alignment horizontal="center"/>
    </xf>
    <xf numFmtId="165" fontId="2" fillId="4" borderId="18" xfId="10" applyNumberFormat="1" applyFill="1" applyBorder="1" applyAlignment="1">
      <alignment horizontal="center" vertical="center"/>
    </xf>
    <xf numFmtId="0" fontId="2" fillId="4" borderId="18" xfId="10" applyFill="1" applyBorder="1" applyAlignment="1">
      <alignment horizontal="center" vertical="center"/>
    </xf>
    <xf numFmtId="0" fontId="2" fillId="0" borderId="28" xfId="10" applyBorder="1" applyAlignment="1">
      <alignment horizontal="left"/>
    </xf>
    <xf numFmtId="0" fontId="2" fillId="0" borderId="28" xfId="10" applyBorder="1" applyAlignment="1">
      <alignment horizontal="center"/>
    </xf>
    <xf numFmtId="166" fontId="2" fillId="0" borderId="0" xfId="10" applyNumberFormat="1"/>
    <xf numFmtId="0" fontId="5" fillId="7" borderId="61" xfId="10" applyFont="1" applyFill="1" applyBorder="1" applyAlignment="1">
      <alignment horizontal="center"/>
    </xf>
    <xf numFmtId="0" fontId="5" fillId="7" borderId="26" xfId="10" applyFont="1" applyFill="1" applyBorder="1" applyAlignment="1">
      <alignment horizontal="center"/>
    </xf>
    <xf numFmtId="0" fontId="5" fillId="7" borderId="27" xfId="10" applyFont="1" applyFill="1" applyBorder="1" applyAlignment="1">
      <alignment horizontal="center"/>
    </xf>
    <xf numFmtId="0" fontId="2" fillId="4" borderId="1" xfId="10" applyFill="1" applyBorder="1" applyAlignment="1">
      <alignment horizontal="center"/>
    </xf>
    <xf numFmtId="0" fontId="2" fillId="0" borderId="10" xfId="10" applyBorder="1" applyAlignment="1">
      <alignment horizontal="center" vertical="center"/>
    </xf>
    <xf numFmtId="0" fontId="2" fillId="0" borderId="18" xfId="10" applyBorder="1" applyAlignment="1">
      <alignment horizontal="center" vertical="center"/>
    </xf>
    <xf numFmtId="166" fontId="2" fillId="0" borderId="0" xfId="10" applyNumberFormat="1" applyAlignment="1">
      <alignment horizontal="center"/>
    </xf>
    <xf numFmtId="165" fontId="2" fillId="0" borderId="0" xfId="10" applyNumberFormat="1" applyAlignment="1">
      <alignment horizontal="center"/>
    </xf>
    <xf numFmtId="165" fontId="2" fillId="0" borderId="0" xfId="10" applyNumberFormat="1"/>
    <xf numFmtId="168" fontId="2" fillId="0" borderId="0" xfId="10" applyNumberFormat="1" applyAlignment="1">
      <alignment horizontal="center"/>
    </xf>
    <xf numFmtId="0" fontId="2" fillId="6" borderId="0" xfId="10" applyFill="1" applyAlignment="1">
      <alignment horizontal="center"/>
    </xf>
    <xf numFmtId="165" fontId="2" fillId="6" borderId="0" xfId="10" applyNumberFormat="1" applyFill="1" applyAlignment="1">
      <alignment horizontal="center"/>
    </xf>
    <xf numFmtId="0" fontId="2" fillId="6" borderId="0" xfId="10" applyFill="1"/>
    <xf numFmtId="167" fontId="2" fillId="4" borderId="1" xfId="10" applyNumberFormat="1" applyFill="1" applyBorder="1" applyAlignment="1">
      <alignment horizontal="center"/>
    </xf>
    <xf numFmtId="2" fontId="5" fillId="0" borderId="1" xfId="10" applyNumberFormat="1" applyFont="1" applyBorder="1" applyAlignment="1">
      <alignment horizontal="center"/>
    </xf>
    <xf numFmtId="2" fontId="2" fillId="0" borderId="0" xfId="10" applyNumberFormat="1" applyAlignment="1">
      <alignment horizontal="center"/>
    </xf>
    <xf numFmtId="0" fontId="5" fillId="0" borderId="19" xfId="10" applyFont="1" applyBorder="1" applyAlignment="1">
      <alignment horizontal="right"/>
    </xf>
    <xf numFmtId="2" fontId="5" fillId="0" borderId="12" xfId="10" applyNumberFormat="1" applyFont="1" applyBorder="1" applyAlignment="1">
      <alignment horizontal="center"/>
    </xf>
    <xf numFmtId="2" fontId="2" fillId="0" borderId="14" xfId="10" applyNumberFormat="1" applyBorder="1" applyAlignment="1">
      <alignment horizontal="center"/>
    </xf>
    <xf numFmtId="165" fontId="2" fillId="0" borderId="14" xfId="10" applyNumberFormat="1" applyBorder="1" applyAlignment="1">
      <alignment horizontal="center"/>
    </xf>
    <xf numFmtId="0" fontId="2" fillId="0" borderId="14" xfId="10" applyBorder="1" applyAlignment="1">
      <alignment horizontal="center"/>
    </xf>
    <xf numFmtId="0" fontId="2" fillId="0" borderId="30" xfId="10" applyBorder="1" applyAlignment="1">
      <alignment horizontal="center"/>
    </xf>
    <xf numFmtId="1" fontId="11" fillId="0" borderId="0" xfId="10" applyNumberFormat="1" applyFont="1"/>
  </cellXfs>
  <cellStyles count="12">
    <cellStyle name="Euro" xfId="2" xr:uid="{00000000-0005-0000-0000-000000000000}"/>
    <cellStyle name="Normal" xfId="0" builtinId="0"/>
    <cellStyle name="Normal 2" xfId="1" xr:uid="{00000000-0005-0000-0000-000002000000}"/>
    <cellStyle name="Normal 2 2" xfId="3" xr:uid="{00000000-0005-0000-0000-000003000000}"/>
    <cellStyle name="Normal 2 3" xfId="4" xr:uid="{00000000-0005-0000-0000-000004000000}"/>
    <cellStyle name="Normal 2 3 2" xfId="5" xr:uid="{00000000-0005-0000-0000-000005000000}"/>
    <cellStyle name="Normal 3" xfId="6" xr:uid="{00000000-0005-0000-0000-000006000000}"/>
    <cellStyle name="Normal 4" xfId="7" xr:uid="{00000000-0005-0000-0000-000007000000}"/>
    <cellStyle name="Normal 4 2" xfId="10" xr:uid="{00000000-0005-0000-0000-000008000000}"/>
    <cellStyle name="Normal 5" xfId="8" xr:uid="{00000000-0005-0000-0000-000009000000}"/>
    <cellStyle name="Normal 6" xfId="9" xr:uid="{00000000-0005-0000-0000-00000A000000}"/>
    <cellStyle name="Pourcentage 2" xfId="11" xr:uid="{00000000-0005-0000-0000-00000B000000}"/>
  </cellStyles>
  <dxfs count="41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1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1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1"/>
      </font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600"/>
              <a:t>Histogramm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'N°1 Shapiro-Wilk'!$W$70:$W$76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'N°1 Shapiro-Wilk'!$AA$70:$AA$76</c:f>
              <c:numCache>
                <c:formatCode>0%</c:formatCode>
                <c:ptCount val="7"/>
                <c:pt idx="0">
                  <c:v>0.25</c:v>
                </c:pt>
                <c:pt idx="1">
                  <c:v>0.25</c:v>
                </c:pt>
                <c:pt idx="2">
                  <c:v>0.10714285714285714</c:v>
                </c:pt>
                <c:pt idx="3">
                  <c:v>0.17857142857142858</c:v>
                </c:pt>
                <c:pt idx="4">
                  <c:v>7.1428571428571425E-2</c:v>
                </c:pt>
                <c:pt idx="5">
                  <c:v>0.14285714285714285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BD-4FD9-B657-95D4AEFEC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615825280"/>
        <c:axId val="1615826368"/>
      </c:barChart>
      <c:lineChart>
        <c:grouping val="standard"/>
        <c:varyColors val="0"/>
        <c:ser>
          <c:idx val="1"/>
          <c:order val="1"/>
          <c:marker>
            <c:symbol val="none"/>
          </c:marker>
          <c:val>
            <c:numRef>
              <c:f>'N°1 Shapiro-Wilk'!$AD$70:$AD$76</c:f>
              <c:numCache>
                <c:formatCode>0%</c:formatCode>
                <c:ptCount val="7"/>
                <c:pt idx="0">
                  <c:v>0.25</c:v>
                </c:pt>
                <c:pt idx="1">
                  <c:v>0.5</c:v>
                </c:pt>
                <c:pt idx="2">
                  <c:v>0.6071428571428571</c:v>
                </c:pt>
                <c:pt idx="3">
                  <c:v>0.7857142857142857</c:v>
                </c:pt>
                <c:pt idx="4">
                  <c:v>0.8571428571428571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BD-4FD9-B657-95D4AEFEC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5825280"/>
        <c:axId val="1615826368"/>
      </c:lineChart>
      <c:catAx>
        <c:axId val="1615825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615826368"/>
        <c:crosses val="autoZero"/>
        <c:auto val="1"/>
        <c:lblAlgn val="ctr"/>
        <c:lblOffset val="100"/>
        <c:noMultiLvlLbl val="0"/>
      </c:catAx>
      <c:valAx>
        <c:axId val="1615826368"/>
        <c:scaling>
          <c:orientation val="minMax"/>
        </c:scaling>
        <c:delete val="0"/>
        <c:axPos val="l"/>
        <c:majorGridlines/>
        <c:numFmt formatCode="0%" sourceLinked="1"/>
        <c:majorTickMark val="none"/>
        <c:minorTickMark val="none"/>
        <c:tickLblPos val="nextTo"/>
        <c:crossAx val="161582528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Henry plot</a:t>
            </a:r>
          </a:p>
        </c:rich>
      </c:tx>
      <c:layout>
        <c:manualLayout>
          <c:xMode val="edge"/>
          <c:yMode val="edge"/>
          <c:x val="0.4133793888971426"/>
          <c:y val="3.2345109403697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2864504771005952"/>
          <c:y val="0.15321215000455352"/>
          <c:w val="0.80348692914639719"/>
          <c:h val="0.72194465206831848"/>
        </c:manualLayout>
      </c:layout>
      <c:scatterChart>
        <c:scatterStyle val="lineMarker"/>
        <c:varyColors val="0"/>
        <c:ser>
          <c:idx val="0"/>
          <c:order val="0"/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'N°2 Kolmogarov - Capabilité'!$D$9:$D$107</c:f>
              <c:numCache>
                <c:formatCode>0.00</c:formatCode>
                <c:ptCount val="99"/>
                <c:pt idx="0">
                  <c:v>368.2</c:v>
                </c:pt>
                <c:pt idx="1">
                  <c:v>287.85000000000002</c:v>
                </c:pt>
                <c:pt idx="2">
                  <c:v>274.2</c:v>
                </c:pt>
                <c:pt idx="3">
                  <c:v>265.05</c:v>
                </c:pt>
                <c:pt idx="4">
                  <c:v>324.55</c:v>
                </c:pt>
                <c:pt idx="5">
                  <c:v>305.8</c:v>
                </c:pt>
                <c:pt idx="6">
                  <c:v>402.7</c:v>
                </c:pt>
                <c:pt idx="7">
                  <c:v>299.35000000000002</c:v>
                </c:pt>
                <c:pt idx="8">
                  <c:v>267.35000000000002</c:v>
                </c:pt>
                <c:pt idx="9">
                  <c:v>256.95</c:v>
                </c:pt>
                <c:pt idx="10">
                  <c:v>399.65</c:v>
                </c:pt>
                <c:pt idx="11">
                  <c:v>302.05</c:v>
                </c:pt>
                <c:pt idx="12">
                  <c:v>297.55</c:v>
                </c:pt>
                <c:pt idx="13">
                  <c:v>299.45</c:v>
                </c:pt>
                <c:pt idx="14">
                  <c:v>337.05</c:v>
                </c:pt>
                <c:pt idx="15">
                  <c:v>371.3</c:v>
                </c:pt>
                <c:pt idx="16">
                  <c:v>309.45</c:v>
                </c:pt>
                <c:pt idx="17">
                  <c:v>327.39999999999998</c:v>
                </c:pt>
                <c:pt idx="18">
                  <c:v>333.25</c:v>
                </c:pt>
                <c:pt idx="19">
                  <c:v>360.7</c:v>
                </c:pt>
                <c:pt idx="20">
                  <c:v>340.6</c:v>
                </c:pt>
                <c:pt idx="21">
                  <c:v>351.8</c:v>
                </c:pt>
                <c:pt idx="22">
                  <c:v>334.95</c:v>
                </c:pt>
                <c:pt idx="23">
                  <c:v>287.10000000000002</c:v>
                </c:pt>
                <c:pt idx="24">
                  <c:v>334.5</c:v>
                </c:pt>
                <c:pt idx="25">
                  <c:v>294.8</c:v>
                </c:pt>
                <c:pt idx="26">
                  <c:v>307.89999999999998</c:v>
                </c:pt>
                <c:pt idx="27">
                  <c:v>324.05</c:v>
                </c:pt>
                <c:pt idx="28">
                  <c:v>350.05</c:v>
                </c:pt>
                <c:pt idx="29">
                  <c:v>313.05</c:v>
                </c:pt>
                <c:pt idx="30">
                  <c:v>284.75</c:v>
                </c:pt>
                <c:pt idx="31">
                  <c:v>407.65</c:v>
                </c:pt>
                <c:pt idx="32">
                  <c:v>338.55</c:v>
                </c:pt>
                <c:pt idx="33">
                  <c:v>310.05</c:v>
                </c:pt>
                <c:pt idx="34">
                  <c:v>275.64999999999998</c:v>
                </c:pt>
                <c:pt idx="35">
                  <c:v>288.95</c:v>
                </c:pt>
                <c:pt idx="36">
                  <c:v>319.2</c:v>
                </c:pt>
                <c:pt idx="37">
                  <c:v>342.15</c:v>
                </c:pt>
                <c:pt idx="38">
                  <c:v>310.14999999999998</c:v>
                </c:pt>
                <c:pt idx="39">
                  <c:v>186.7</c:v>
                </c:pt>
              </c:numCache>
            </c:numRef>
          </c:xVal>
          <c:yVal>
            <c:numRef>
              <c:f>'N°2 Kolmogarov - Capabilité'!$S$8:$S$106</c:f>
              <c:numCache>
                <c:formatCode>0.000</c:formatCode>
                <c:ptCount val="99"/>
                <c:pt idx="0">
                  <c:v>1.1652879896966826</c:v>
                </c:pt>
                <c:pt idx="1">
                  <c:v>-0.77384173233725317</c:v>
                </c:pt>
                <c:pt idx="2">
                  <c:v>-1.1652879896966826</c:v>
                </c:pt>
                <c:pt idx="3">
                  <c:v>-1.4525761808120043</c:v>
                </c:pt>
                <c:pt idx="4">
                  <c:v>0.21564010401258171</c:v>
                </c:pt>
                <c:pt idx="5">
                  <c:v>-0.27868339741721943</c:v>
                </c:pt>
                <c:pt idx="6">
                  <c:v>1.6567947658159803</c:v>
                </c:pt>
                <c:pt idx="7">
                  <c:v>-0.47589899043667888</c:v>
                </c:pt>
                <c:pt idx="8">
                  <c:v>-1.2955749870976874</c:v>
                </c:pt>
                <c:pt idx="9">
                  <c:v>-1.6567947658159807</c:v>
                </c:pt>
                <c:pt idx="10">
                  <c:v>1.4525761808120046</c:v>
                </c:pt>
                <c:pt idx="11">
                  <c:v>-0.34285530539032705</c:v>
                </c:pt>
                <c:pt idx="12">
                  <c:v>-0.54556374182259537</c:v>
                </c:pt>
                <c:pt idx="13">
                  <c:v>-0.40847248197412372</c:v>
                </c:pt>
                <c:pt idx="14">
                  <c:v>0.54556374182259537</c:v>
                </c:pt>
                <c:pt idx="15">
                  <c:v>1.2955749870976874</c:v>
                </c:pt>
                <c:pt idx="16">
                  <c:v>-0.15344319882333432</c:v>
                </c:pt>
                <c:pt idx="17">
                  <c:v>0.27868339741721943</c:v>
                </c:pt>
                <c:pt idx="18">
                  <c:v>0.34285530539032705</c:v>
                </c:pt>
                <c:pt idx="19">
                  <c:v>1.0522542255562288</c:v>
                </c:pt>
                <c:pt idx="20">
                  <c:v>0.69380440773636831</c:v>
                </c:pt>
                <c:pt idx="21">
                  <c:v>0.95127771872909239</c:v>
                </c:pt>
                <c:pt idx="22">
                  <c:v>0.47589899043667905</c:v>
                </c:pt>
                <c:pt idx="23">
                  <c:v>-0.85917512959584974</c:v>
                </c:pt>
                <c:pt idx="24">
                  <c:v>0.40847248197412389</c:v>
                </c:pt>
                <c:pt idx="25">
                  <c:v>-0.6179847884685038</c:v>
                </c:pt>
                <c:pt idx="26">
                  <c:v>-0.21564010401258188</c:v>
                </c:pt>
                <c:pt idx="27">
                  <c:v>0.15344319882333449</c:v>
                </c:pt>
                <c:pt idx="28">
                  <c:v>0.85917512959585085</c:v>
                </c:pt>
                <c:pt idx="29">
                  <c:v>3.0573399820906299E-2</c:v>
                </c:pt>
                <c:pt idx="30">
                  <c:v>-0.95127771872909239</c:v>
                </c:pt>
                <c:pt idx="31">
                  <c:v>1.9705053031703283</c:v>
                </c:pt>
                <c:pt idx="32">
                  <c:v>0.6179847884685038</c:v>
                </c:pt>
                <c:pt idx="33">
                  <c:v>-9.1834832954222234E-2</c:v>
                </c:pt>
                <c:pt idx="34">
                  <c:v>-1.0522542255562288</c:v>
                </c:pt>
                <c:pt idx="35">
                  <c:v>-0.69380440773636831</c:v>
                </c:pt>
                <c:pt idx="36">
                  <c:v>9.1834832954222387E-2</c:v>
                </c:pt>
                <c:pt idx="37">
                  <c:v>0.77384173233725317</c:v>
                </c:pt>
                <c:pt idx="38">
                  <c:v>-3.0573399820906299E-2</c:v>
                </c:pt>
                <c:pt idx="39">
                  <c:v>-1.9705053031703286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78-4089-9834-CE16E37F86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7359440"/>
        <c:axId val="1807346384"/>
      </c:scatterChart>
      <c:valAx>
        <c:axId val="1807359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</a:t>
                </a:r>
              </a:p>
            </c:rich>
          </c:tx>
          <c:layout>
            <c:manualLayout>
              <c:xMode val="edge"/>
              <c:yMode val="edge"/>
              <c:x val="0.4418226886946614"/>
              <c:y val="0.895065853767471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07346384"/>
        <c:crosses val="autoZero"/>
        <c:crossBetween val="midCat"/>
      </c:valAx>
      <c:valAx>
        <c:axId val="180734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Normit</a:t>
                </a:r>
              </a:p>
            </c:rich>
          </c:tx>
          <c:layout>
            <c:manualLayout>
              <c:xMode val="edge"/>
              <c:yMode val="edge"/>
              <c:x val="2.9159609765760413E-2"/>
              <c:y val="0.4177898101720335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07359440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 alignWithMargins="0"/>
    <c:pageMargins b="0.98425196899999978" l="0.78740157499999996" r="0.78740157499999996" t="0.98425196899999978" header="0.49212598450000011" footer="0.4921259845000001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histrogramm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9018741545071773E-2"/>
          <c:y val="0.13069639880190478"/>
          <c:w val="0.83772672806601933"/>
          <c:h val="0.61682489226473225"/>
        </c:manualLayout>
      </c:layout>
      <c:barChart>
        <c:barDir val="col"/>
        <c:grouping val="clustered"/>
        <c:varyColors val="0"/>
        <c:ser>
          <c:idx val="0"/>
          <c:order val="0"/>
          <c:tx>
            <c:v>frequency</c:v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'N°2 Kolmogarov - Capabilité'!$AN$11:$AO$17</c:f>
              <c:multiLvlStrCache>
                <c:ptCount val="7"/>
                <c:lvl>
                  <c:pt idx="0">
                    <c:v>223,53</c:v>
                  </c:pt>
                  <c:pt idx="1">
                    <c:v>260,35</c:v>
                  </c:pt>
                  <c:pt idx="2">
                    <c:v>297,18</c:v>
                  </c:pt>
                  <c:pt idx="3">
                    <c:v>334,00</c:v>
                  </c:pt>
                  <c:pt idx="4">
                    <c:v>370,83</c:v>
                  </c:pt>
                  <c:pt idx="5">
                    <c:v>407,65</c:v>
                  </c:pt>
                  <c:pt idx="6">
                    <c:v>444,48</c:v>
                  </c:pt>
                </c:lvl>
                <c:lvl>
                  <c:pt idx="0">
                    <c:v>186,70</c:v>
                  </c:pt>
                  <c:pt idx="1">
                    <c:v>223,53</c:v>
                  </c:pt>
                  <c:pt idx="2">
                    <c:v>260,35</c:v>
                  </c:pt>
                  <c:pt idx="3">
                    <c:v>297,18</c:v>
                  </c:pt>
                  <c:pt idx="4">
                    <c:v>334,00</c:v>
                  </c:pt>
                  <c:pt idx="5">
                    <c:v>370,83</c:v>
                  </c:pt>
                  <c:pt idx="6">
                    <c:v>407,65</c:v>
                  </c:pt>
                </c:lvl>
              </c:multiLvlStrCache>
            </c:multiLvlStrRef>
          </c:cat>
          <c:val>
            <c:numRef>
              <c:f>'N°2 Kolmogarov - Capabilité'!$AQ$11:$AQ$17</c:f>
              <c:numCache>
                <c:formatCode>0%</c:formatCode>
                <c:ptCount val="7"/>
                <c:pt idx="0">
                  <c:v>2.5000000000000001E-2</c:v>
                </c:pt>
                <c:pt idx="1">
                  <c:v>2.5000000000000001E-2</c:v>
                </c:pt>
                <c:pt idx="2">
                  <c:v>0.22500000000000001</c:v>
                </c:pt>
                <c:pt idx="3">
                  <c:v>0.375</c:v>
                </c:pt>
                <c:pt idx="4">
                  <c:v>0.25</c:v>
                </c:pt>
                <c:pt idx="5">
                  <c:v>0.1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9E-4B07-B21B-DB0897392C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807350736"/>
        <c:axId val="1807349648"/>
      </c:barChart>
      <c:scatterChart>
        <c:scatterStyle val="lineMarker"/>
        <c:varyColors val="0"/>
        <c:ser>
          <c:idx val="1"/>
          <c:order val="1"/>
          <c:tx>
            <c:v>cumulative frequency</c:v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'N°2 Kolmogarov - Capabilité'!$AT$11:$AT$17</c:f>
              <c:numCache>
                <c:formatCode>0.0%</c:formatCode>
                <c:ptCount val="7"/>
                <c:pt idx="0">
                  <c:v>2.5000000000000001E-2</c:v>
                </c:pt>
                <c:pt idx="1">
                  <c:v>0.05</c:v>
                </c:pt>
                <c:pt idx="2">
                  <c:v>0.27500000000000002</c:v>
                </c:pt>
                <c:pt idx="3">
                  <c:v>0.65</c:v>
                </c:pt>
                <c:pt idx="4">
                  <c:v>0.9</c:v>
                </c:pt>
                <c:pt idx="5">
                  <c:v>1</c:v>
                </c:pt>
                <c:pt idx="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9E-4B07-B21B-DB0897392C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7350736"/>
        <c:axId val="1807349648"/>
      </c:scatterChart>
      <c:catAx>
        <c:axId val="1807350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07349648"/>
        <c:crosses val="autoZero"/>
        <c:auto val="1"/>
        <c:lblAlgn val="ctr"/>
        <c:lblOffset val="10"/>
        <c:noMultiLvlLbl val="0"/>
      </c:catAx>
      <c:valAx>
        <c:axId val="180734964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07350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74421827777018"/>
          <c:y val="8.5613517060367447E-2"/>
          <c:w val="0.81418399302382094"/>
          <c:h val="0.8301352435112278"/>
        </c:manualLayout>
      </c:layout>
      <c:scatterChart>
        <c:scatterStyle val="smoothMarker"/>
        <c:varyColors val="0"/>
        <c:ser>
          <c:idx val="0"/>
          <c:order val="0"/>
          <c:tx>
            <c:v>dispersion</c:v>
          </c:tx>
          <c:spPr>
            <a:ln w="6350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'N°2 Kolmogarov - Capabilité'!$N$8:$N$68</c:f>
              <c:numCache>
                <c:formatCode>0</c:formatCode>
                <c:ptCount val="61"/>
                <c:pt idx="0">
                  <c:v>189.94987066106597</c:v>
                </c:pt>
                <c:pt idx="1">
                  <c:v>194.19524997236377</c:v>
                </c:pt>
                <c:pt idx="2">
                  <c:v>198.44062928366156</c:v>
                </c:pt>
                <c:pt idx="3">
                  <c:v>202.68600859495933</c:v>
                </c:pt>
                <c:pt idx="4">
                  <c:v>206.93138790625716</c:v>
                </c:pt>
                <c:pt idx="5">
                  <c:v>211.17676721755495</c:v>
                </c:pt>
                <c:pt idx="6">
                  <c:v>215.42214652885275</c:v>
                </c:pt>
                <c:pt idx="7">
                  <c:v>219.66752584015057</c:v>
                </c:pt>
                <c:pt idx="8">
                  <c:v>223.91290515144834</c:v>
                </c:pt>
                <c:pt idx="9">
                  <c:v>228.15828446274617</c:v>
                </c:pt>
                <c:pt idx="10">
                  <c:v>232.40366377404393</c:v>
                </c:pt>
                <c:pt idx="11">
                  <c:v>236.64904308534176</c:v>
                </c:pt>
                <c:pt idx="12">
                  <c:v>240.89442239663953</c:v>
                </c:pt>
                <c:pt idx="13">
                  <c:v>245.13980170793735</c:v>
                </c:pt>
                <c:pt idx="14">
                  <c:v>249.38518101923512</c:v>
                </c:pt>
                <c:pt idx="15">
                  <c:v>253.63056033053294</c:v>
                </c:pt>
                <c:pt idx="16">
                  <c:v>257.87593964183077</c:v>
                </c:pt>
                <c:pt idx="17">
                  <c:v>262.12131895312854</c:v>
                </c:pt>
                <c:pt idx="18">
                  <c:v>266.36669826442636</c:v>
                </c:pt>
                <c:pt idx="19">
                  <c:v>270.61207757572413</c:v>
                </c:pt>
                <c:pt idx="20">
                  <c:v>274.85745688702195</c:v>
                </c:pt>
                <c:pt idx="21">
                  <c:v>279.10283619831972</c:v>
                </c:pt>
                <c:pt idx="22">
                  <c:v>283.34821550961755</c:v>
                </c:pt>
                <c:pt idx="23">
                  <c:v>287.59359482091531</c:v>
                </c:pt>
                <c:pt idx="24">
                  <c:v>291.83897413221314</c:v>
                </c:pt>
                <c:pt idx="25">
                  <c:v>296.08435344351091</c:v>
                </c:pt>
                <c:pt idx="26">
                  <c:v>300.32973275480873</c:v>
                </c:pt>
                <c:pt idx="27">
                  <c:v>304.5751120661065</c:v>
                </c:pt>
                <c:pt idx="28">
                  <c:v>308.82049137740432</c:v>
                </c:pt>
                <c:pt idx="29">
                  <c:v>313.06587068870209</c:v>
                </c:pt>
                <c:pt idx="30">
                  <c:v>317.31124999999992</c:v>
                </c:pt>
                <c:pt idx="31">
                  <c:v>321.55662931129774</c:v>
                </c:pt>
                <c:pt idx="32">
                  <c:v>325.80200862259551</c:v>
                </c:pt>
                <c:pt idx="33">
                  <c:v>330.04738793389333</c:v>
                </c:pt>
                <c:pt idx="34">
                  <c:v>334.2927672451911</c:v>
                </c:pt>
                <c:pt idx="35">
                  <c:v>338.53814655648893</c:v>
                </c:pt>
                <c:pt idx="36">
                  <c:v>342.78352586778669</c:v>
                </c:pt>
                <c:pt idx="37">
                  <c:v>347.02890517908452</c:v>
                </c:pt>
                <c:pt idx="38">
                  <c:v>351.27428449038229</c:v>
                </c:pt>
                <c:pt idx="39">
                  <c:v>355.51966380168011</c:v>
                </c:pt>
                <c:pt idx="40">
                  <c:v>359.76504311297788</c:v>
                </c:pt>
                <c:pt idx="41">
                  <c:v>364.0104224242757</c:v>
                </c:pt>
                <c:pt idx="42">
                  <c:v>368.25580173557347</c:v>
                </c:pt>
                <c:pt idx="43">
                  <c:v>372.5011810468713</c:v>
                </c:pt>
                <c:pt idx="44">
                  <c:v>376.74656035816906</c:v>
                </c:pt>
                <c:pt idx="45">
                  <c:v>380.99193966946689</c:v>
                </c:pt>
                <c:pt idx="46">
                  <c:v>385.23731898076471</c:v>
                </c:pt>
                <c:pt idx="47">
                  <c:v>389.48269829206248</c:v>
                </c:pt>
                <c:pt idx="48">
                  <c:v>393.7280776033603</c:v>
                </c:pt>
                <c:pt idx="49">
                  <c:v>397.97345691465807</c:v>
                </c:pt>
                <c:pt idx="50">
                  <c:v>402.2188362259559</c:v>
                </c:pt>
                <c:pt idx="51">
                  <c:v>406.46421553725366</c:v>
                </c:pt>
                <c:pt idx="52">
                  <c:v>410.70959484855149</c:v>
                </c:pt>
                <c:pt idx="53">
                  <c:v>414.95497415984926</c:v>
                </c:pt>
                <c:pt idx="54">
                  <c:v>419.20035347114708</c:v>
                </c:pt>
                <c:pt idx="55">
                  <c:v>423.44573278244491</c:v>
                </c:pt>
                <c:pt idx="56">
                  <c:v>427.69111209374267</c:v>
                </c:pt>
                <c:pt idx="57">
                  <c:v>431.9364914050405</c:v>
                </c:pt>
                <c:pt idx="58">
                  <c:v>436.18187071633827</c:v>
                </c:pt>
                <c:pt idx="59">
                  <c:v>440.42725002763609</c:v>
                </c:pt>
                <c:pt idx="60">
                  <c:v>444.67262933893386</c:v>
                </c:pt>
              </c:numCache>
            </c:numRef>
          </c:xVal>
          <c:yVal>
            <c:numRef>
              <c:f>'N°2 Kolmogarov - Capabilité'!$O$8:$O$68</c:f>
              <c:numCache>
                <c:formatCode>0.000</c:formatCode>
                <c:ptCount val="61"/>
                <c:pt idx="0">
                  <c:v>1.0439228363279524E-4</c:v>
                </c:pt>
                <c:pt idx="1">
                  <c:v>1.4021202779066128E-4</c:v>
                </c:pt>
                <c:pt idx="2">
                  <c:v>1.8644863044193431E-4</c:v>
                </c:pt>
                <c:pt idx="3">
                  <c:v>2.4546534126386298E-4</c:v>
                </c:pt>
                <c:pt idx="4">
                  <c:v>3.199471292833277E-4</c:v>
                </c:pt>
                <c:pt idx="5">
                  <c:v>4.1287949104859128E-4</c:v>
                </c:pt>
                <c:pt idx="6">
                  <c:v>5.2750363754886594E-4</c:v>
                </c:pt>
                <c:pt idx="7">
                  <c:v>6.6724397667405899E-4</c:v>
                </c:pt>
                <c:pt idx="8">
                  <c:v>8.356047892311173E-4</c:v>
                </c:pt>
                <c:pt idx="9">
                  <c:v>1.0360345390900206E-3</c:v>
                </c:pt>
                <c:pt idx="10">
                  <c:v>1.2717583649005711E-3</c:v>
                </c:pt>
                <c:pt idx="11">
                  <c:v>1.5455819130238823E-3</c:v>
                </c:pt>
                <c:pt idx="12">
                  <c:v>1.8596726584781723E-3</c:v>
                </c:pt>
                <c:pt idx="13">
                  <c:v>2.2153280185495715E-3</c:v>
                </c:pt>
                <c:pt idx="14">
                  <c:v>2.6127426207659009E-3</c:v>
                </c:pt>
                <c:pt idx="15">
                  <c:v>3.0507897214559761E-3</c:v>
                </c:pt>
                <c:pt idx="16">
                  <c:v>3.5268336385700675E-3</c:v>
                </c:pt>
                <c:pt idx="17">
                  <c:v>4.0365908316310267E-3</c:v>
                </c:pt>
                <c:pt idx="18">
                  <c:v>4.5740566565264365E-3</c:v>
                </c:pt>
                <c:pt idx="19">
                  <c:v>5.1315126649061149E-3</c:v>
                </c:pt>
                <c:pt idx="20">
                  <c:v>5.6996255640859063E-3</c:v>
                </c:pt>
                <c:pt idx="21">
                  <c:v>6.2676437224501716E-3</c:v>
                </c:pt>
                <c:pt idx="22">
                  <c:v>6.8236906886165877E-3</c:v>
                </c:pt>
                <c:pt idx="23">
                  <c:v>7.3551480437988532E-3</c:v>
                </c:pt>
                <c:pt idx="24">
                  <c:v>7.8491126106216905E-3</c:v>
                </c:pt>
                <c:pt idx="25">
                  <c:v>8.2929062622834095E-3</c:v>
                </c:pt>
                <c:pt idx="26">
                  <c:v>8.6746109899599154E-3</c:v>
                </c:pt>
                <c:pt idx="27">
                  <c:v>8.9835981073722974E-3</c:v>
                </c:pt>
                <c:pt idx="28">
                  <c:v>9.2110189762034597E-3</c:v>
                </c:pt>
                <c:pt idx="29">
                  <c:v>9.3502257011674333E-3</c:v>
                </c:pt>
                <c:pt idx="30">
                  <c:v>9.3970939025346447E-3</c:v>
                </c:pt>
                <c:pt idx="31">
                  <c:v>9.3502257011674333E-3</c:v>
                </c:pt>
                <c:pt idx="32">
                  <c:v>9.2110189762034597E-3</c:v>
                </c:pt>
                <c:pt idx="33">
                  <c:v>8.9835981073722974E-3</c:v>
                </c:pt>
                <c:pt idx="34">
                  <c:v>8.6746109899599154E-3</c:v>
                </c:pt>
                <c:pt idx="35">
                  <c:v>8.2929062622834095E-3</c:v>
                </c:pt>
                <c:pt idx="36">
                  <c:v>7.8491126106216905E-3</c:v>
                </c:pt>
                <c:pt idx="37">
                  <c:v>7.3551480437988532E-3</c:v>
                </c:pt>
                <c:pt idx="38">
                  <c:v>6.8236906886165877E-3</c:v>
                </c:pt>
                <c:pt idx="39">
                  <c:v>6.2676437224501716E-3</c:v>
                </c:pt>
                <c:pt idx="40">
                  <c:v>5.6996255640859063E-3</c:v>
                </c:pt>
                <c:pt idx="41">
                  <c:v>5.1315126649061149E-3</c:v>
                </c:pt>
                <c:pt idx="42">
                  <c:v>4.5740566565264365E-3</c:v>
                </c:pt>
                <c:pt idx="43">
                  <c:v>4.0365908316310267E-3</c:v>
                </c:pt>
                <c:pt idx="44">
                  <c:v>3.5268336385700675E-3</c:v>
                </c:pt>
                <c:pt idx="45">
                  <c:v>3.0507897214559761E-3</c:v>
                </c:pt>
                <c:pt idx="46">
                  <c:v>2.6127426207659009E-3</c:v>
                </c:pt>
                <c:pt idx="47">
                  <c:v>2.2153280185495715E-3</c:v>
                </c:pt>
                <c:pt idx="48">
                  <c:v>1.8596726584781723E-3</c:v>
                </c:pt>
                <c:pt idx="49">
                  <c:v>1.5455819130238823E-3</c:v>
                </c:pt>
                <c:pt idx="50">
                  <c:v>1.2717583649005711E-3</c:v>
                </c:pt>
                <c:pt idx="51">
                  <c:v>1.0360345390900206E-3</c:v>
                </c:pt>
                <c:pt idx="52">
                  <c:v>8.356047892311173E-4</c:v>
                </c:pt>
                <c:pt idx="53">
                  <c:v>6.6724397667405899E-4</c:v>
                </c:pt>
                <c:pt idx="54">
                  <c:v>5.2750363754886594E-4</c:v>
                </c:pt>
                <c:pt idx="55">
                  <c:v>4.1287949104859041E-4</c:v>
                </c:pt>
                <c:pt idx="56">
                  <c:v>3.199471292833277E-4</c:v>
                </c:pt>
                <c:pt idx="57">
                  <c:v>2.4546534126386298E-4</c:v>
                </c:pt>
                <c:pt idx="58">
                  <c:v>1.8644863044193431E-4</c:v>
                </c:pt>
                <c:pt idx="59">
                  <c:v>1.4021202779066115E-4</c:v>
                </c:pt>
                <c:pt idx="60">
                  <c:v>1.0439228363279524E-4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D67-4F32-8040-10F729DE5FBE}"/>
            </c:ext>
          </c:extLst>
        </c:ser>
        <c:ser>
          <c:idx val="1"/>
          <c:order val="1"/>
          <c:tx>
            <c:v>T-</c:v>
          </c:tx>
          <c:spPr>
            <a:ln w="38100" cap="rnd">
              <a:solidFill>
                <a:srgbClr val="FF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'N°2 Kolmogarov - Capabilité'!$N$71:$N$72</c:f>
              <c:numCache>
                <c:formatCode>0.00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xVal>
          <c:yVal>
            <c:numRef>
              <c:f>'N°2 Kolmogarov - Capabilité'!$O$71:$O$72</c:f>
              <c:numCache>
                <c:formatCode>0.000</c:formatCode>
                <c:ptCount val="2"/>
                <c:pt idx="0" formatCode="General">
                  <c:v>0</c:v>
                </c:pt>
                <c:pt idx="1">
                  <c:v>9.3970939025346447E-3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D67-4F32-8040-10F729DE5FBE}"/>
            </c:ext>
          </c:extLst>
        </c:ser>
        <c:ser>
          <c:idx val="2"/>
          <c:order val="2"/>
          <c:tx>
            <c:v>T+</c:v>
          </c:tx>
          <c:spPr>
            <a:ln w="38100" cap="rnd">
              <a:solidFill>
                <a:srgbClr val="FF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'N°2 Kolmogarov - Capabilité'!$N$74:$N$75</c:f>
              <c:numCache>
                <c:formatCode>0.00</c:formatCode>
                <c:ptCount val="2"/>
                <c:pt idx="0">
                  <c:v>700</c:v>
                </c:pt>
                <c:pt idx="1">
                  <c:v>700</c:v>
                </c:pt>
              </c:numCache>
            </c:numRef>
          </c:xVal>
          <c:yVal>
            <c:numRef>
              <c:f>'N°2 Kolmogarov - Capabilité'!$O$74:$O$75</c:f>
              <c:numCache>
                <c:formatCode>0.000</c:formatCode>
                <c:ptCount val="2"/>
                <c:pt idx="0" formatCode="General">
                  <c:v>0</c:v>
                </c:pt>
                <c:pt idx="1">
                  <c:v>9.3970939025346447E-3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D67-4F32-8040-10F729DE5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9284680"/>
        <c:axId val="449288616"/>
      </c:scatterChart>
      <c:valAx>
        <c:axId val="449284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49288616"/>
        <c:crosses val="autoZero"/>
        <c:crossBetween val="midCat"/>
      </c:valAx>
      <c:valAx>
        <c:axId val="449288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49284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pop1</c:v>
          </c:tx>
          <c:spPr>
            <a:ln w="28575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'N°7 ANOVA 1factor'!$Q$6:$Q$67</c:f>
              <c:numCache>
                <c:formatCode>0.00</c:formatCode>
                <c:ptCount val="62"/>
                <c:pt idx="0">
                  <c:v>-0.45984443238832989</c:v>
                </c:pt>
                <c:pt idx="2">
                  <c:v>-0.42839483724195554</c:v>
                </c:pt>
                <c:pt idx="3">
                  <c:v>-0.39694524209558119</c:v>
                </c:pt>
                <c:pt idx="4">
                  <c:v>-0.36549564694920705</c:v>
                </c:pt>
                <c:pt idx="5">
                  <c:v>-0.3340460518028327</c:v>
                </c:pt>
                <c:pt idx="6">
                  <c:v>-0.30259645665645835</c:v>
                </c:pt>
                <c:pt idx="7">
                  <c:v>-0.2711468615100841</c:v>
                </c:pt>
                <c:pt idx="8">
                  <c:v>-0.23969726636370975</c:v>
                </c:pt>
                <c:pt idx="9">
                  <c:v>-0.20824767121733551</c:v>
                </c:pt>
                <c:pt idx="10">
                  <c:v>-0.17679807607096126</c:v>
                </c:pt>
                <c:pt idx="11">
                  <c:v>-0.14534848092458691</c:v>
                </c:pt>
                <c:pt idx="12">
                  <c:v>-0.11389888577821256</c:v>
                </c:pt>
                <c:pt idx="13">
                  <c:v>-8.2449290631838312E-2</c:v>
                </c:pt>
                <c:pt idx="14">
                  <c:v>-5.0999695485464069E-2</c:v>
                </c:pt>
                <c:pt idx="15">
                  <c:v>-1.9550100339089715E-2</c:v>
                </c:pt>
                <c:pt idx="16">
                  <c:v>1.1899494807284527E-2</c:v>
                </c:pt>
                <c:pt idx="17">
                  <c:v>4.3349089953658881E-2</c:v>
                </c:pt>
                <c:pt idx="18">
                  <c:v>7.4798685100033124E-2</c:v>
                </c:pt>
                <c:pt idx="19">
                  <c:v>0.10624828024640742</c:v>
                </c:pt>
                <c:pt idx="20">
                  <c:v>0.13769787539278172</c:v>
                </c:pt>
                <c:pt idx="21">
                  <c:v>0.16914747053915602</c:v>
                </c:pt>
                <c:pt idx="22">
                  <c:v>0.20059706568553032</c:v>
                </c:pt>
                <c:pt idx="23">
                  <c:v>0.23204666083190462</c:v>
                </c:pt>
                <c:pt idx="24">
                  <c:v>0.26349625597827891</c:v>
                </c:pt>
                <c:pt idx="25">
                  <c:v>0.29494585112465321</c:v>
                </c:pt>
                <c:pt idx="26">
                  <c:v>0.32639544627102746</c:v>
                </c:pt>
                <c:pt idx="27">
                  <c:v>0.35784504141740181</c:v>
                </c:pt>
                <c:pt idx="28">
                  <c:v>0.38929463656377605</c:v>
                </c:pt>
                <c:pt idx="29">
                  <c:v>0.42074423171015035</c:v>
                </c:pt>
                <c:pt idx="30">
                  <c:v>0.45219382685652465</c:v>
                </c:pt>
                <c:pt idx="31">
                  <c:v>0.48364342200289895</c:v>
                </c:pt>
                <c:pt idx="32">
                  <c:v>0.51509301714927325</c:v>
                </c:pt>
                <c:pt idx="33">
                  <c:v>0.54654261229564749</c:v>
                </c:pt>
                <c:pt idx="34">
                  <c:v>0.57799220744202184</c:v>
                </c:pt>
                <c:pt idx="35">
                  <c:v>0.60944180258839609</c:v>
                </c:pt>
                <c:pt idx="36">
                  <c:v>0.64089139773477044</c:v>
                </c:pt>
                <c:pt idx="37">
                  <c:v>0.67234099288114468</c:v>
                </c:pt>
                <c:pt idx="38">
                  <c:v>0.70379058802751904</c:v>
                </c:pt>
                <c:pt idx="39">
                  <c:v>0.73524018317389328</c:v>
                </c:pt>
                <c:pt idx="40">
                  <c:v>0.76668977832026752</c:v>
                </c:pt>
                <c:pt idx="41">
                  <c:v>0.79813937346664188</c:v>
                </c:pt>
                <c:pt idx="42">
                  <c:v>0.82958896861301623</c:v>
                </c:pt>
                <c:pt idx="43">
                  <c:v>0.86103856375939047</c:v>
                </c:pt>
                <c:pt idx="44">
                  <c:v>0.89248815890576472</c:v>
                </c:pt>
                <c:pt idx="45">
                  <c:v>0.92393775405213896</c:v>
                </c:pt>
                <c:pt idx="46">
                  <c:v>0.95538734919851342</c:v>
                </c:pt>
                <c:pt idx="47">
                  <c:v>0.98683694434488767</c:v>
                </c:pt>
                <c:pt idx="48">
                  <c:v>1.0182865394912619</c:v>
                </c:pt>
                <c:pt idx="49">
                  <c:v>1.0497361346376362</c:v>
                </c:pt>
                <c:pt idx="50">
                  <c:v>1.0811857297840104</c:v>
                </c:pt>
                <c:pt idx="51">
                  <c:v>1.1126353249303849</c:v>
                </c:pt>
                <c:pt idx="52">
                  <c:v>1.1440849200767591</c:v>
                </c:pt>
                <c:pt idx="53">
                  <c:v>1.1755345152231333</c:v>
                </c:pt>
                <c:pt idx="54">
                  <c:v>1.2069841103695076</c:v>
                </c:pt>
                <c:pt idx="55">
                  <c:v>1.2384337055158821</c:v>
                </c:pt>
                <c:pt idx="56">
                  <c:v>1.2698833006622594</c:v>
                </c:pt>
                <c:pt idx="57">
                  <c:v>1.3013328958086305</c:v>
                </c:pt>
                <c:pt idx="58">
                  <c:v>1.332782490955005</c:v>
                </c:pt>
                <c:pt idx="59">
                  <c:v>1.3642320861013824</c:v>
                </c:pt>
                <c:pt idx="60">
                  <c:v>1.3956816812477566</c:v>
                </c:pt>
                <c:pt idx="61">
                  <c:v>1.4271312763941308</c:v>
                </c:pt>
              </c:numCache>
            </c:numRef>
          </c:xVal>
          <c:yVal>
            <c:numRef>
              <c:f>'N°7 ANOVA 1factor'!$R$6:$R$67</c:f>
              <c:numCache>
                <c:formatCode>0.00E+00</c:formatCode>
                <c:ptCount val="62"/>
                <c:pt idx="0">
                  <c:v>1.4091909264049586E-2</c:v>
                </c:pt>
                <c:pt idx="2">
                  <c:v>1.8927214776760327E-2</c:v>
                </c:pt>
                <c:pt idx="3">
                  <c:v>2.5168691508235554E-2</c:v>
                </c:pt>
                <c:pt idx="4">
                  <c:v>3.3135354416872299E-2</c:v>
                </c:pt>
                <c:pt idx="5">
                  <c:v>4.318964734034595E-2</c:v>
                </c:pt>
                <c:pt idx="6">
                  <c:v>5.5734582311751359E-2</c:v>
                </c:pt>
                <c:pt idx="7">
                  <c:v>7.1207690244065619E-2</c:v>
                </c:pt>
                <c:pt idx="8">
                  <c:v>9.0071231790934209E-2</c:v>
                </c:pt>
                <c:pt idx="9">
                  <c:v>0.11279824964716965</c:v>
                </c:pt>
                <c:pt idx="10">
                  <c:v>0.13985425178199121</c:v>
                </c:pt>
                <c:pt idx="11">
                  <c:v>0.17167459950406541</c:v>
                </c:pt>
                <c:pt idx="12">
                  <c:v>0.20863802687851518</c:v>
                </c:pt>
                <c:pt idx="13">
                  <c:v>0.25103712125208716</c:v>
                </c:pt>
                <c:pt idx="14">
                  <c:v>0.29904702092080659</c:v>
                </c:pt>
                <c:pt idx="15">
                  <c:v>0.35269399864514073</c:v>
                </c:pt>
                <c:pt idx="16">
                  <c:v>0.41182595535199873</c:v>
                </c:pt>
                <c:pt idx="17">
                  <c:v>0.47608710045034208</c:v>
                </c:pt>
                <c:pt idx="18">
                  <c:v>0.5448991990205756</c:v>
                </c:pt>
                <c:pt idx="19">
                  <c:v>0.61745168444751808</c:v>
                </c:pt>
                <c:pt idx="20">
                  <c:v>0.69270264376572088</c:v>
                </c:pt>
                <c:pt idx="21">
                  <c:v>0.76939217625203449</c:v>
                </c:pt>
                <c:pt idx="22">
                  <c:v>0.84606891968029296</c:v>
                </c:pt>
                <c:pt idx="23">
                  <c:v>0.92112967245901167</c:v>
                </c:pt>
                <c:pt idx="24">
                  <c:v>0.99287107485312054</c:v>
                </c:pt>
                <c:pt idx="25">
                  <c:v>1.059551327579541</c:v>
                </c:pt>
                <c:pt idx="26">
                  <c:v>1.119459010921124</c:v>
                </c:pt>
                <c:pt idx="27">
                  <c:v>1.1709853134493524</c:v>
                </c:pt>
                <c:pt idx="28">
                  <c:v>1.2126954693230538</c:v>
                </c:pt>
                <c:pt idx="29">
                  <c:v>1.2433950012883959</c:v>
                </c:pt>
                <c:pt idx="30">
                  <c:v>1.2621865102857293</c:v>
                </c:pt>
                <c:pt idx="31">
                  <c:v>1.268513246496991</c:v>
                </c:pt>
                <c:pt idx="32">
                  <c:v>1.2621865102857293</c:v>
                </c:pt>
                <c:pt idx="33">
                  <c:v>1.2433950012883959</c:v>
                </c:pt>
                <c:pt idx="34">
                  <c:v>1.2126954693230538</c:v>
                </c:pt>
                <c:pt idx="35">
                  <c:v>1.1709853134493524</c:v>
                </c:pt>
                <c:pt idx="36">
                  <c:v>1.119459010921124</c:v>
                </c:pt>
                <c:pt idx="37">
                  <c:v>1.059551327579541</c:v>
                </c:pt>
                <c:pt idx="38">
                  <c:v>0.99287107485312032</c:v>
                </c:pt>
                <c:pt idx="39">
                  <c:v>0.92112967245901167</c:v>
                </c:pt>
                <c:pt idx="40">
                  <c:v>0.84606891968029296</c:v>
                </c:pt>
                <c:pt idx="41">
                  <c:v>0.76939217625203449</c:v>
                </c:pt>
                <c:pt idx="42">
                  <c:v>0.69270264376572088</c:v>
                </c:pt>
                <c:pt idx="43">
                  <c:v>0.61745168444751808</c:v>
                </c:pt>
                <c:pt idx="44">
                  <c:v>0.54489919902057582</c:v>
                </c:pt>
                <c:pt idx="45">
                  <c:v>0.47608710045034225</c:v>
                </c:pt>
                <c:pt idx="46">
                  <c:v>0.41182595535199845</c:v>
                </c:pt>
                <c:pt idx="47">
                  <c:v>0.35269399864514051</c:v>
                </c:pt>
                <c:pt idx="48">
                  <c:v>0.29904702092080659</c:v>
                </c:pt>
                <c:pt idx="49">
                  <c:v>0.25103712125208716</c:v>
                </c:pt>
                <c:pt idx="50">
                  <c:v>0.20863802687851518</c:v>
                </c:pt>
                <c:pt idx="51">
                  <c:v>0.17167459950406525</c:v>
                </c:pt>
                <c:pt idx="52">
                  <c:v>0.13985425178199121</c:v>
                </c:pt>
                <c:pt idx="53">
                  <c:v>0.11279824964716965</c:v>
                </c:pt>
                <c:pt idx="54">
                  <c:v>9.0071231790934209E-2</c:v>
                </c:pt>
                <c:pt idx="55">
                  <c:v>7.120769024406555E-2</c:v>
                </c:pt>
                <c:pt idx="56">
                  <c:v>5.5734582311749908E-2</c:v>
                </c:pt>
                <c:pt idx="57">
                  <c:v>4.318964734034595E-2</c:v>
                </c:pt>
                <c:pt idx="58">
                  <c:v>3.3135354416872258E-2</c:v>
                </c:pt>
                <c:pt idx="59">
                  <c:v>2.5168691508234801E-2</c:v>
                </c:pt>
                <c:pt idx="60">
                  <c:v>1.8927214776759772E-2</c:v>
                </c:pt>
                <c:pt idx="61">
                  <c:v>1.4091909264049159E-2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93-4B39-A790-A16CB0F8D0FC}"/>
            </c:ext>
          </c:extLst>
        </c:ser>
        <c:ser>
          <c:idx val="1"/>
          <c:order val="1"/>
          <c:tx>
            <c:v>pop2</c:v>
          </c:tx>
          <c:spPr>
            <a:ln w="28575"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'N°7 ANOVA 1factor'!$S$6:$S$67</c:f>
              <c:numCache>
                <c:formatCode>0.00</c:formatCode>
                <c:ptCount val="62"/>
                <c:pt idx="0">
                  <c:v>-0.14536184028308485</c:v>
                </c:pt>
                <c:pt idx="2">
                  <c:v>-0.12100060590510786</c:v>
                </c:pt>
                <c:pt idx="3">
                  <c:v>-9.6639371527130757E-2</c:v>
                </c:pt>
                <c:pt idx="4">
                  <c:v>-7.2278137149153765E-2</c:v>
                </c:pt>
                <c:pt idx="5">
                  <c:v>-4.7916902771176662E-2</c:v>
                </c:pt>
                <c:pt idx="6">
                  <c:v>-2.3555668393199669E-2</c:v>
                </c:pt>
                <c:pt idx="7">
                  <c:v>8.0556598477743435E-4</c:v>
                </c:pt>
                <c:pt idx="8">
                  <c:v>2.5166800362754538E-2</c:v>
                </c:pt>
                <c:pt idx="9">
                  <c:v>4.952803474073153E-2</c:v>
                </c:pt>
                <c:pt idx="10">
                  <c:v>7.3889269118708523E-2</c:v>
                </c:pt>
                <c:pt idx="11">
                  <c:v>9.8250503496685626E-2</c:v>
                </c:pt>
                <c:pt idx="12">
                  <c:v>0.12261173787466267</c:v>
                </c:pt>
                <c:pt idx="13">
                  <c:v>0.14697297225263972</c:v>
                </c:pt>
                <c:pt idx="14">
                  <c:v>0.17133420663061677</c:v>
                </c:pt>
                <c:pt idx="15">
                  <c:v>0.19569544100859382</c:v>
                </c:pt>
                <c:pt idx="16">
                  <c:v>0.22005667538657092</c:v>
                </c:pt>
                <c:pt idx="17">
                  <c:v>0.24441790976454797</c:v>
                </c:pt>
                <c:pt idx="18">
                  <c:v>0.26877914414252502</c:v>
                </c:pt>
                <c:pt idx="19">
                  <c:v>0.29314037852050207</c:v>
                </c:pt>
                <c:pt idx="20">
                  <c:v>0.31750161289847911</c:v>
                </c:pt>
                <c:pt idx="21">
                  <c:v>0.34186284727645616</c:v>
                </c:pt>
                <c:pt idx="22">
                  <c:v>0.36622408165443321</c:v>
                </c:pt>
                <c:pt idx="23">
                  <c:v>0.39058531603241026</c:v>
                </c:pt>
                <c:pt idx="24">
                  <c:v>0.4149465504103873</c:v>
                </c:pt>
                <c:pt idx="25">
                  <c:v>0.43930778478836441</c:v>
                </c:pt>
                <c:pt idx="26">
                  <c:v>0.4636690191663414</c:v>
                </c:pt>
                <c:pt idx="27">
                  <c:v>0.4880302535443185</c:v>
                </c:pt>
                <c:pt idx="28">
                  <c:v>0.5123914879222955</c:v>
                </c:pt>
                <c:pt idx="29">
                  <c:v>0.5367527223002726</c:v>
                </c:pt>
                <c:pt idx="30">
                  <c:v>0.56111395667824959</c:v>
                </c:pt>
                <c:pt idx="31">
                  <c:v>0.5854751910562267</c:v>
                </c:pt>
                <c:pt idx="32">
                  <c:v>0.6098364254342038</c:v>
                </c:pt>
                <c:pt idx="33">
                  <c:v>0.63419765981218079</c:v>
                </c:pt>
                <c:pt idx="34">
                  <c:v>0.6585588941901579</c:v>
                </c:pt>
                <c:pt idx="35">
                  <c:v>0.68292012856813489</c:v>
                </c:pt>
                <c:pt idx="36">
                  <c:v>0.70728136294611199</c:v>
                </c:pt>
                <c:pt idx="37">
                  <c:v>0.73164259732408898</c:v>
                </c:pt>
                <c:pt idx="38">
                  <c:v>0.75600383170206609</c:v>
                </c:pt>
                <c:pt idx="39">
                  <c:v>0.78036506608004319</c:v>
                </c:pt>
                <c:pt idx="40">
                  <c:v>0.80472630045802018</c:v>
                </c:pt>
                <c:pt idx="41">
                  <c:v>0.82908753483599718</c:v>
                </c:pt>
                <c:pt idx="42">
                  <c:v>0.85344876921397428</c:v>
                </c:pt>
                <c:pt idx="43">
                  <c:v>0.87781000359195138</c:v>
                </c:pt>
                <c:pt idx="44">
                  <c:v>0.90217123796992837</c:v>
                </c:pt>
                <c:pt idx="45">
                  <c:v>0.92653247234790537</c:v>
                </c:pt>
                <c:pt idx="46">
                  <c:v>0.95089370672588247</c:v>
                </c:pt>
                <c:pt idx="47">
                  <c:v>0.97525494110385957</c:v>
                </c:pt>
                <c:pt idx="48">
                  <c:v>0.99961617548183668</c:v>
                </c:pt>
                <c:pt idx="49">
                  <c:v>1.0239774098598136</c:v>
                </c:pt>
                <c:pt idx="50">
                  <c:v>1.0483386442377907</c:v>
                </c:pt>
                <c:pt idx="51">
                  <c:v>1.0726998786157678</c:v>
                </c:pt>
                <c:pt idx="52">
                  <c:v>1.0970611129937449</c:v>
                </c:pt>
                <c:pt idx="53">
                  <c:v>1.121422347371722</c:v>
                </c:pt>
                <c:pt idx="54">
                  <c:v>1.1457835817496989</c:v>
                </c:pt>
                <c:pt idx="55">
                  <c:v>1.170144816127676</c:v>
                </c:pt>
                <c:pt idx="56">
                  <c:v>1.1945060505056555</c:v>
                </c:pt>
                <c:pt idx="57">
                  <c:v>1.2188672848836299</c:v>
                </c:pt>
                <c:pt idx="58">
                  <c:v>1.2432285192616073</c:v>
                </c:pt>
                <c:pt idx="59">
                  <c:v>1.2675897536395866</c:v>
                </c:pt>
                <c:pt idx="60">
                  <c:v>1.2919509880175637</c:v>
                </c:pt>
                <c:pt idx="61">
                  <c:v>1.3163122223955408</c:v>
                </c:pt>
              </c:numCache>
            </c:numRef>
          </c:xVal>
          <c:yVal>
            <c:numRef>
              <c:f>'N°7 ANOVA 1factor'!$T$6:$T$67</c:f>
              <c:numCache>
                <c:formatCode>0.00E+00</c:formatCode>
                <c:ptCount val="62"/>
                <c:pt idx="0">
                  <c:v>1.8192216138047904E-2</c:v>
                </c:pt>
                <c:pt idx="2">
                  <c:v>2.4434445017929955E-2</c:v>
                </c:pt>
                <c:pt idx="3">
                  <c:v>3.2491997163065202E-2</c:v>
                </c:pt>
                <c:pt idx="4">
                  <c:v>4.2776710952887029E-2</c:v>
                </c:pt>
                <c:pt idx="5">
                  <c:v>5.5756490097910866E-2</c:v>
                </c:pt>
                <c:pt idx="6">
                  <c:v>7.1951610585933218E-2</c:v>
                </c:pt>
                <c:pt idx="7">
                  <c:v>9.1926911204006617E-2</c:v>
                </c:pt>
                <c:pt idx="8">
                  <c:v>0.11627915606447795</c:v>
                </c:pt>
                <c:pt idx="9">
                  <c:v>0.1456190285591647</c:v>
                </c:pt>
                <c:pt idx="10">
                  <c:v>0.18054748498372097</c:v>
                </c:pt>
                <c:pt idx="11">
                  <c:v>0.22162656323358049</c:v>
                </c:pt>
                <c:pt idx="12">
                  <c:v>0.2693451971957313</c:v>
                </c:pt>
                <c:pt idx="13">
                  <c:v>0.32408110802573437</c:v>
                </c:pt>
                <c:pt idx="14">
                  <c:v>0.38606039381119694</c:v>
                </c:pt>
                <c:pt idx="15">
                  <c:v>0.45531697186793524</c:v>
                </c:pt>
                <c:pt idx="16">
                  <c:v>0.5316544870278731</c:v>
                </c:pt>
                <c:pt idx="17">
                  <c:v>0.61461362471476777</c:v>
                </c:pt>
                <c:pt idx="18">
                  <c:v>0.70344790164954596</c:v>
                </c:pt>
                <c:pt idx="19">
                  <c:v>0.79711090156728792</c:v>
                </c:pt>
                <c:pt idx="20">
                  <c:v>0.89425754726736029</c:v>
                </c:pt>
                <c:pt idx="21">
                  <c:v>0.99326134614052553</c:v>
                </c:pt>
                <c:pt idx="22">
                  <c:v>1.0922486347379021</c:v>
                </c:pt>
                <c:pt idx="23">
                  <c:v>1.1891497297171794</c:v>
                </c:pt>
                <c:pt idx="24">
                  <c:v>1.2817656466908911</c:v>
                </c:pt>
                <c:pt idx="25">
                  <c:v>1.3678477770118254</c:v>
                </c:pt>
                <c:pt idx="26">
                  <c:v>1.445186731106582</c:v>
                </c:pt>
                <c:pt idx="27">
                  <c:v>1.5117055835078927</c:v>
                </c:pt>
                <c:pt idx="28">
                  <c:v>1.5655520961832081</c:v>
                </c:pt>
                <c:pt idx="29">
                  <c:v>1.6051842361853583</c:v>
                </c:pt>
                <c:pt idx="30">
                  <c:v>1.6294434892669614</c:v>
                </c:pt>
                <c:pt idx="31">
                  <c:v>1.6376111087461271</c:v>
                </c:pt>
                <c:pt idx="32">
                  <c:v>1.6294434892669614</c:v>
                </c:pt>
                <c:pt idx="33">
                  <c:v>1.6051842361853583</c:v>
                </c:pt>
                <c:pt idx="34">
                  <c:v>1.5655520961832081</c:v>
                </c:pt>
                <c:pt idx="35">
                  <c:v>1.5117055835078927</c:v>
                </c:pt>
                <c:pt idx="36">
                  <c:v>1.445186731106582</c:v>
                </c:pt>
                <c:pt idx="37">
                  <c:v>1.3678477770118254</c:v>
                </c:pt>
                <c:pt idx="38">
                  <c:v>1.2817656466908911</c:v>
                </c:pt>
                <c:pt idx="39">
                  <c:v>1.1891497297171794</c:v>
                </c:pt>
                <c:pt idx="40">
                  <c:v>1.0922486347379021</c:v>
                </c:pt>
                <c:pt idx="41">
                  <c:v>0.99326134614052564</c:v>
                </c:pt>
                <c:pt idx="42">
                  <c:v>0.89425754726736029</c:v>
                </c:pt>
                <c:pt idx="43">
                  <c:v>0.7971109015672877</c:v>
                </c:pt>
                <c:pt idx="44">
                  <c:v>0.70344790164954596</c:v>
                </c:pt>
                <c:pt idx="45">
                  <c:v>0.61461362471476799</c:v>
                </c:pt>
                <c:pt idx="46">
                  <c:v>0.5316544870278731</c:v>
                </c:pt>
                <c:pt idx="47">
                  <c:v>0.45531697186793524</c:v>
                </c:pt>
                <c:pt idx="48">
                  <c:v>0.38606039381119672</c:v>
                </c:pt>
                <c:pt idx="49">
                  <c:v>0.32408110802573459</c:v>
                </c:pt>
                <c:pt idx="50">
                  <c:v>0.26934519719573152</c:v>
                </c:pt>
                <c:pt idx="51">
                  <c:v>0.22162656323358049</c:v>
                </c:pt>
                <c:pt idx="52">
                  <c:v>0.18054748498372097</c:v>
                </c:pt>
                <c:pt idx="53">
                  <c:v>0.14561902855916445</c:v>
                </c:pt>
                <c:pt idx="54">
                  <c:v>0.11627915606447795</c:v>
                </c:pt>
                <c:pt idx="55">
                  <c:v>9.1926911204006617E-2</c:v>
                </c:pt>
                <c:pt idx="56">
                  <c:v>7.1951610585931358E-2</c:v>
                </c:pt>
                <c:pt idx="57">
                  <c:v>5.5756490097910907E-2</c:v>
                </c:pt>
                <c:pt idx="58">
                  <c:v>4.2776710952886973E-2</c:v>
                </c:pt>
                <c:pt idx="59">
                  <c:v>3.2491997163064272E-2</c:v>
                </c:pt>
                <c:pt idx="60">
                  <c:v>2.4434445017929241E-2</c:v>
                </c:pt>
                <c:pt idx="61">
                  <c:v>1.8192216138047321E-2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93-4B39-A790-A16CB0F8D0FC}"/>
            </c:ext>
          </c:extLst>
        </c:ser>
        <c:ser>
          <c:idx val="2"/>
          <c:order val="2"/>
          <c:tx>
            <c:v>pop3</c:v>
          </c:tx>
          <c:marker>
            <c:symbol val="none"/>
          </c:marker>
          <c:xVal>
            <c:numRef>
              <c:f>'N°7 ANOVA 1factor'!$U$6:$U$67</c:f>
              <c:numCache>
                <c:formatCode>0.00</c:formatCode>
                <c:ptCount val="62"/>
                <c:pt idx="0">
                  <c:v>-0.35197393231166979</c:v>
                </c:pt>
                <c:pt idx="2">
                  <c:v>-0.32612436307864917</c:v>
                </c:pt>
                <c:pt idx="3">
                  <c:v>-0.30027479384562855</c:v>
                </c:pt>
                <c:pt idx="4">
                  <c:v>-0.27442522461260815</c:v>
                </c:pt>
                <c:pt idx="5">
                  <c:v>-0.24857565537958753</c:v>
                </c:pt>
                <c:pt idx="6">
                  <c:v>-0.22272608614656692</c:v>
                </c:pt>
                <c:pt idx="7">
                  <c:v>-0.19687651691354641</c:v>
                </c:pt>
                <c:pt idx="8">
                  <c:v>-0.17102694768052579</c:v>
                </c:pt>
                <c:pt idx="9">
                  <c:v>-0.14517737844750528</c:v>
                </c:pt>
                <c:pt idx="10">
                  <c:v>-0.11932780921448477</c:v>
                </c:pt>
                <c:pt idx="11">
                  <c:v>-9.3478239981464151E-2</c:v>
                </c:pt>
                <c:pt idx="12">
                  <c:v>-6.7628670748443587E-2</c:v>
                </c:pt>
                <c:pt idx="13">
                  <c:v>-4.1779101515423023E-2</c:v>
                </c:pt>
                <c:pt idx="14">
                  <c:v>-1.5929532282402459E-2</c:v>
                </c:pt>
                <c:pt idx="15">
                  <c:v>9.9200369506180497E-3</c:v>
                </c:pt>
                <c:pt idx="16">
                  <c:v>3.5769606183638614E-2</c:v>
                </c:pt>
                <c:pt idx="17">
                  <c:v>6.1619175416659233E-2</c:v>
                </c:pt>
                <c:pt idx="18">
                  <c:v>8.7468744649679742E-2</c:v>
                </c:pt>
                <c:pt idx="19">
                  <c:v>0.11331831388270031</c:v>
                </c:pt>
                <c:pt idx="20">
                  <c:v>0.13916788311572087</c:v>
                </c:pt>
                <c:pt idx="21">
                  <c:v>0.16501745234874143</c:v>
                </c:pt>
                <c:pt idx="22">
                  <c:v>0.190867021581762</c:v>
                </c:pt>
                <c:pt idx="23">
                  <c:v>0.21671659081478253</c:v>
                </c:pt>
                <c:pt idx="24">
                  <c:v>0.24256616004780313</c:v>
                </c:pt>
                <c:pt idx="25">
                  <c:v>0.26841572928082369</c:v>
                </c:pt>
                <c:pt idx="26">
                  <c:v>0.2942652985138442</c:v>
                </c:pt>
                <c:pt idx="27">
                  <c:v>0.32011486774686476</c:v>
                </c:pt>
                <c:pt idx="28">
                  <c:v>0.34596443697988533</c:v>
                </c:pt>
                <c:pt idx="29">
                  <c:v>0.37181400621290589</c:v>
                </c:pt>
                <c:pt idx="30">
                  <c:v>0.39766357544592645</c:v>
                </c:pt>
                <c:pt idx="31">
                  <c:v>0.42351314467894702</c:v>
                </c:pt>
                <c:pt idx="32">
                  <c:v>0.44936271391196758</c:v>
                </c:pt>
                <c:pt idx="33">
                  <c:v>0.47521228314498815</c:v>
                </c:pt>
                <c:pt idx="34">
                  <c:v>0.50106185237800871</c:v>
                </c:pt>
                <c:pt idx="35">
                  <c:v>0.52691142161102922</c:v>
                </c:pt>
                <c:pt idx="36">
                  <c:v>0.55276099084404984</c:v>
                </c:pt>
                <c:pt idx="37">
                  <c:v>0.57861056007707035</c:v>
                </c:pt>
                <c:pt idx="38">
                  <c:v>0.60446012931009085</c:v>
                </c:pt>
                <c:pt idx="39">
                  <c:v>0.63030969854311147</c:v>
                </c:pt>
                <c:pt idx="40">
                  <c:v>0.65615926777613209</c:v>
                </c:pt>
                <c:pt idx="41">
                  <c:v>0.6820088370091526</c:v>
                </c:pt>
                <c:pt idx="42">
                  <c:v>0.70785840624217311</c:v>
                </c:pt>
                <c:pt idx="43">
                  <c:v>0.73370797547519373</c:v>
                </c:pt>
                <c:pt idx="44">
                  <c:v>0.75955754470821435</c:v>
                </c:pt>
                <c:pt idx="45">
                  <c:v>0.78540711394123486</c:v>
                </c:pt>
                <c:pt idx="46">
                  <c:v>0.81125668317425537</c:v>
                </c:pt>
                <c:pt idx="47">
                  <c:v>0.83710625240727599</c:v>
                </c:pt>
                <c:pt idx="48">
                  <c:v>0.86295582164029649</c:v>
                </c:pt>
                <c:pt idx="49">
                  <c:v>0.88880539087331711</c:v>
                </c:pt>
                <c:pt idx="50">
                  <c:v>0.91465496010633762</c:v>
                </c:pt>
                <c:pt idx="51">
                  <c:v>0.94050452933935813</c:v>
                </c:pt>
                <c:pt idx="52">
                  <c:v>0.96635409857237886</c:v>
                </c:pt>
                <c:pt idx="53">
                  <c:v>0.99220366780539937</c:v>
                </c:pt>
                <c:pt idx="54">
                  <c:v>1.0180532370384199</c:v>
                </c:pt>
                <c:pt idx="55">
                  <c:v>1.0439028062714404</c:v>
                </c:pt>
                <c:pt idx="56">
                  <c:v>1.0697523755044636</c:v>
                </c:pt>
                <c:pt idx="57">
                  <c:v>1.0956019447374816</c:v>
                </c:pt>
                <c:pt idx="58">
                  <c:v>1.1214515139705021</c:v>
                </c:pt>
                <c:pt idx="59">
                  <c:v>1.1473010832035253</c:v>
                </c:pt>
                <c:pt idx="60">
                  <c:v>1.1731506524365458</c:v>
                </c:pt>
                <c:pt idx="61">
                  <c:v>1.1990002216695663</c:v>
                </c:pt>
              </c:numCache>
            </c:numRef>
          </c:xVal>
          <c:yVal>
            <c:numRef>
              <c:f>'N°7 ANOVA 1factor'!$V$6:$V$67</c:f>
              <c:numCache>
                <c:formatCode>0.00E+00</c:formatCode>
                <c:ptCount val="62"/>
                <c:pt idx="0">
                  <c:v>1.7144766986200717E-2</c:v>
                </c:pt>
                <c:pt idx="2">
                  <c:v>2.3027588452700462E-2</c:v>
                </c:pt>
                <c:pt idx="3">
                  <c:v>3.0621212723609615E-2</c:v>
                </c:pt>
                <c:pt idx="4">
                  <c:v>4.0313765852278728E-2</c:v>
                </c:pt>
                <c:pt idx="5">
                  <c:v>5.2546211162136355E-2</c:v>
                </c:pt>
                <c:pt idx="6">
                  <c:v>6.7808868827019655E-2</c:v>
                </c:pt>
                <c:pt idx="7">
                  <c:v>8.6634056037714735E-2</c:v>
                </c:pt>
                <c:pt idx="8">
                  <c:v>0.10958417715300214</c:v>
                </c:pt>
                <c:pt idx="9">
                  <c:v>0.13723475438389798</c:v>
                </c:pt>
                <c:pt idx="10">
                  <c:v>0.17015214290009137</c:v>
                </c:pt>
                <c:pt idx="11">
                  <c:v>0.20886602026705858</c:v>
                </c:pt>
                <c:pt idx="12">
                  <c:v>0.25383716913494303</c:v>
                </c:pt>
                <c:pt idx="13">
                  <c:v>0.3054215626929761</c:v>
                </c:pt>
                <c:pt idx="14">
                  <c:v>0.36383228102984205</c:v>
                </c:pt>
                <c:pt idx="15">
                  <c:v>0.42910128861166441</c:v>
                </c:pt>
                <c:pt idx="16">
                  <c:v>0.50104353576787797</c:v>
                </c:pt>
                <c:pt idx="17">
                  <c:v>0.5792261537746678</c:v>
                </c:pt>
                <c:pt idx="18">
                  <c:v>0.6629456394534381</c:v>
                </c:pt>
                <c:pt idx="19">
                  <c:v>0.75121582581406154</c:v>
                </c:pt>
                <c:pt idx="20">
                  <c:v>0.84276908086446367</c:v>
                </c:pt>
                <c:pt idx="21">
                  <c:v>0.93607256019588503</c:v>
                </c:pt>
                <c:pt idx="22">
                  <c:v>1.0293604798599671</c:v>
                </c:pt>
                <c:pt idx="23">
                  <c:v>1.1206823222083995</c:v>
                </c:pt>
                <c:pt idx="24">
                  <c:v>1.2079657132850177</c:v>
                </c:pt>
                <c:pt idx="25">
                  <c:v>1.2890915120787949</c:v>
                </c:pt>
                <c:pt idx="26">
                  <c:v>1.3619775385446922</c:v>
                </c:pt>
                <c:pt idx="27">
                  <c:v>1.4246664498876465</c:v>
                </c:pt>
                <c:pt idx="28">
                  <c:v>1.4754126539692374</c:v>
                </c:pt>
                <c:pt idx="29">
                  <c:v>1.5127629031277363</c:v>
                </c:pt>
                <c:pt idx="30">
                  <c:v>1.5356253866309684</c:v>
                </c:pt>
                <c:pt idx="31">
                  <c:v>1.543322740913682</c:v>
                </c:pt>
                <c:pt idx="32">
                  <c:v>1.5356253866309684</c:v>
                </c:pt>
                <c:pt idx="33">
                  <c:v>1.5127629031277363</c:v>
                </c:pt>
                <c:pt idx="34">
                  <c:v>1.4754126539692374</c:v>
                </c:pt>
                <c:pt idx="35">
                  <c:v>1.4246664498876467</c:v>
                </c:pt>
                <c:pt idx="36">
                  <c:v>1.3619775385446922</c:v>
                </c:pt>
                <c:pt idx="37">
                  <c:v>1.2890915120787949</c:v>
                </c:pt>
                <c:pt idx="38">
                  <c:v>1.2079657132850181</c:v>
                </c:pt>
                <c:pt idx="39">
                  <c:v>1.1206823222083995</c:v>
                </c:pt>
                <c:pt idx="40">
                  <c:v>1.0293604798599669</c:v>
                </c:pt>
                <c:pt idx="41">
                  <c:v>0.93607256019588503</c:v>
                </c:pt>
                <c:pt idx="42">
                  <c:v>0.84276908086446378</c:v>
                </c:pt>
                <c:pt idx="43">
                  <c:v>0.75121582581406154</c:v>
                </c:pt>
                <c:pt idx="44">
                  <c:v>0.6629456394534381</c:v>
                </c:pt>
                <c:pt idx="45">
                  <c:v>0.57922615377466757</c:v>
                </c:pt>
                <c:pt idx="46">
                  <c:v>0.50104353576787797</c:v>
                </c:pt>
                <c:pt idx="47">
                  <c:v>0.42910128861166441</c:v>
                </c:pt>
                <c:pt idx="48">
                  <c:v>0.36383228102984205</c:v>
                </c:pt>
                <c:pt idx="49">
                  <c:v>0.30542156269297599</c:v>
                </c:pt>
                <c:pt idx="50">
                  <c:v>0.25383716913494303</c:v>
                </c:pt>
                <c:pt idx="51">
                  <c:v>0.20886602026705875</c:v>
                </c:pt>
                <c:pt idx="52">
                  <c:v>0.17015214290009137</c:v>
                </c:pt>
                <c:pt idx="53">
                  <c:v>0.13723475438389798</c:v>
                </c:pt>
                <c:pt idx="54">
                  <c:v>0.10958417715300214</c:v>
                </c:pt>
                <c:pt idx="55">
                  <c:v>8.663405603771486E-2</c:v>
                </c:pt>
                <c:pt idx="56">
                  <c:v>6.780886882701799E-2</c:v>
                </c:pt>
                <c:pt idx="57">
                  <c:v>5.2546211162136355E-2</c:v>
                </c:pt>
                <c:pt idx="58">
                  <c:v>4.0313765852278784E-2</c:v>
                </c:pt>
                <c:pt idx="59">
                  <c:v>3.0621212723608748E-2</c:v>
                </c:pt>
                <c:pt idx="60">
                  <c:v>2.302758845269981E-2</c:v>
                </c:pt>
                <c:pt idx="61">
                  <c:v>1.7144766986200221E-2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293-4B39-A790-A16CB0F8D0FC}"/>
            </c:ext>
          </c:extLst>
        </c:ser>
        <c:ser>
          <c:idx val="3"/>
          <c:order val="3"/>
          <c:tx>
            <c:v>pop4</c:v>
          </c:tx>
          <c:marker>
            <c:symbol val="none"/>
          </c:marker>
          <c:xVal>
            <c:numRef>
              <c:f>'N°7 ANOVA 1factor'!$W$6:$W$67</c:f>
              <c:numCache>
                <c:formatCode>0.00</c:formatCode>
                <c:ptCount val="62"/>
                <c:pt idx="0">
                  <c:v>-0.54649546794795911</c:v>
                </c:pt>
                <c:pt idx="2">
                  <c:v>-0.50928286331784223</c:v>
                </c:pt>
                <c:pt idx="3">
                  <c:v>-0.47207025868772512</c:v>
                </c:pt>
                <c:pt idx="4">
                  <c:v>-0.43485765405760846</c:v>
                </c:pt>
                <c:pt idx="5">
                  <c:v>-0.39764504942749157</c:v>
                </c:pt>
                <c:pt idx="6">
                  <c:v>-0.36043244479737457</c:v>
                </c:pt>
                <c:pt idx="7">
                  <c:v>-0.32321984016725769</c:v>
                </c:pt>
                <c:pt idx="8">
                  <c:v>-0.2860072355371408</c:v>
                </c:pt>
                <c:pt idx="9">
                  <c:v>-0.24879463090702403</c:v>
                </c:pt>
                <c:pt idx="10">
                  <c:v>-0.21158202627690703</c:v>
                </c:pt>
                <c:pt idx="11">
                  <c:v>-0.17436942164679015</c:v>
                </c:pt>
                <c:pt idx="12">
                  <c:v>-0.13715681701667326</c:v>
                </c:pt>
                <c:pt idx="13">
                  <c:v>-9.9944212386556375E-2</c:v>
                </c:pt>
                <c:pt idx="14">
                  <c:v>-6.2731607756439489E-2</c:v>
                </c:pt>
                <c:pt idx="15">
                  <c:v>-2.5519003126322604E-2</c:v>
                </c:pt>
                <c:pt idx="16">
                  <c:v>1.1693601503794282E-2</c:v>
                </c:pt>
                <c:pt idx="17">
                  <c:v>4.8906206133911279E-2</c:v>
                </c:pt>
                <c:pt idx="18">
                  <c:v>8.6118810764028053E-2</c:v>
                </c:pt>
                <c:pt idx="19">
                  <c:v>0.12333141539414499</c:v>
                </c:pt>
                <c:pt idx="20">
                  <c:v>0.16054402002426182</c:v>
                </c:pt>
                <c:pt idx="21">
                  <c:v>0.19775662465437877</c:v>
                </c:pt>
                <c:pt idx="22">
                  <c:v>0.23496922928449565</c:v>
                </c:pt>
                <c:pt idx="23">
                  <c:v>0.27218183391461254</c:v>
                </c:pt>
                <c:pt idx="24">
                  <c:v>0.30939443854472948</c:v>
                </c:pt>
                <c:pt idx="25">
                  <c:v>0.34660704317484636</c:v>
                </c:pt>
                <c:pt idx="26">
                  <c:v>0.38381964780496325</c:v>
                </c:pt>
                <c:pt idx="27">
                  <c:v>0.42103225243508013</c:v>
                </c:pt>
                <c:pt idx="28">
                  <c:v>0.45824485706519702</c:v>
                </c:pt>
                <c:pt idx="29">
                  <c:v>0.49545746169531391</c:v>
                </c:pt>
                <c:pt idx="30">
                  <c:v>0.53267006632543079</c:v>
                </c:pt>
                <c:pt idx="31">
                  <c:v>0.56988267095554768</c:v>
                </c:pt>
                <c:pt idx="32">
                  <c:v>0.60709527558566456</c:v>
                </c:pt>
                <c:pt idx="33">
                  <c:v>0.64430788021578145</c:v>
                </c:pt>
                <c:pt idx="34">
                  <c:v>0.68152048484589833</c:v>
                </c:pt>
                <c:pt idx="35">
                  <c:v>0.71873308947601522</c:v>
                </c:pt>
                <c:pt idx="36">
                  <c:v>0.7559456941061321</c:v>
                </c:pt>
                <c:pt idx="37">
                  <c:v>0.79315829873624899</c:v>
                </c:pt>
                <c:pt idx="38">
                  <c:v>0.83037090336636588</c:v>
                </c:pt>
                <c:pt idx="39">
                  <c:v>0.86758350799648287</c:v>
                </c:pt>
                <c:pt idx="40">
                  <c:v>0.90479611262659976</c:v>
                </c:pt>
                <c:pt idx="41">
                  <c:v>0.94200871725671664</c:v>
                </c:pt>
                <c:pt idx="42">
                  <c:v>0.97922132188683353</c:v>
                </c:pt>
                <c:pt idx="43">
                  <c:v>1.0164339265169504</c:v>
                </c:pt>
                <c:pt idx="44">
                  <c:v>1.0536465311470673</c:v>
                </c:pt>
                <c:pt idx="45">
                  <c:v>1.0908591357771842</c:v>
                </c:pt>
                <c:pt idx="46">
                  <c:v>1.1280717404073011</c:v>
                </c:pt>
                <c:pt idx="47">
                  <c:v>1.165284345037418</c:v>
                </c:pt>
                <c:pt idx="48">
                  <c:v>1.2024969496675348</c:v>
                </c:pt>
                <c:pt idx="49">
                  <c:v>1.2397095542976517</c:v>
                </c:pt>
                <c:pt idx="50">
                  <c:v>1.2769221589277686</c:v>
                </c:pt>
                <c:pt idx="51">
                  <c:v>1.3141347635578855</c:v>
                </c:pt>
                <c:pt idx="52">
                  <c:v>1.3513473681880024</c:v>
                </c:pt>
                <c:pt idx="53">
                  <c:v>1.3885599728181193</c:v>
                </c:pt>
                <c:pt idx="54">
                  <c:v>1.4257725774482362</c:v>
                </c:pt>
                <c:pt idx="55">
                  <c:v>1.462985182078353</c:v>
                </c:pt>
                <c:pt idx="56">
                  <c:v>1.5001977867084737</c:v>
                </c:pt>
                <c:pt idx="57">
                  <c:v>1.5374103913385868</c:v>
                </c:pt>
                <c:pt idx="58">
                  <c:v>1.5746229959687037</c:v>
                </c:pt>
                <c:pt idx="59">
                  <c:v>1.6118356005988246</c:v>
                </c:pt>
                <c:pt idx="60">
                  <c:v>1.6490482052289415</c:v>
                </c:pt>
                <c:pt idx="61">
                  <c:v>1.6862608098590584</c:v>
                </c:pt>
              </c:numCache>
            </c:numRef>
          </c:xVal>
          <c:yVal>
            <c:numRef>
              <c:f>'N°7 ANOVA 1factor'!$X$6:$X$67</c:f>
              <c:numCache>
                <c:formatCode>0.00E+00</c:formatCode>
                <c:ptCount val="62"/>
                <c:pt idx="0">
                  <c:v>1.1909535642531255E-2</c:v>
                </c:pt>
                <c:pt idx="2">
                  <c:v>1.5996011241197417E-2</c:v>
                </c:pt>
                <c:pt idx="3">
                  <c:v>2.1270888349948627E-2</c:v>
                </c:pt>
                <c:pt idx="4">
                  <c:v>2.8003776994391636E-2</c:v>
                </c:pt>
                <c:pt idx="5">
                  <c:v>3.6500990373279731E-2</c:v>
                </c:pt>
                <c:pt idx="6">
                  <c:v>4.7103127200568334E-2</c:v>
                </c:pt>
                <c:pt idx="7">
                  <c:v>6.0179959230046924E-2</c:v>
                </c:pt>
                <c:pt idx="8">
                  <c:v>7.6122158132074319E-2</c:v>
                </c:pt>
                <c:pt idx="9">
                  <c:v>9.5329507834345836E-2</c:v>
                </c:pt>
                <c:pt idx="10">
                  <c:v>0.11819542442033311</c:v>
                </c:pt>
                <c:pt idx="11">
                  <c:v>0.14508784603991978</c:v>
                </c:pt>
                <c:pt idx="12">
                  <c:v>0.17632685329844511</c:v>
                </c:pt>
                <c:pt idx="13">
                  <c:v>0.21215972137838007</c:v>
                </c:pt>
                <c:pt idx="14">
                  <c:v>0.25273446540952732</c:v>
                </c:pt>
                <c:pt idx="15">
                  <c:v>0.29807328936519845</c:v>
                </c:pt>
                <c:pt idx="16">
                  <c:v>0.34804764932006566</c:v>
                </c:pt>
                <c:pt idx="17">
                  <c:v>0.40235685495276391</c:v>
                </c:pt>
                <c:pt idx="18">
                  <c:v>0.46051222092934435</c:v>
                </c:pt>
                <c:pt idx="19">
                  <c:v>0.52182871076445525</c:v>
                </c:pt>
                <c:pt idx="20">
                  <c:v>0.58542576956905212</c:v>
                </c:pt>
                <c:pt idx="21">
                  <c:v>0.65023861383600035</c:v>
                </c:pt>
                <c:pt idx="22">
                  <c:v>0.71504064964968028</c:v>
                </c:pt>
                <c:pt idx="23">
                  <c:v>0.77847695865671729</c:v>
                </c:pt>
                <c:pt idx="24">
                  <c:v>0.83910797556494632</c:v>
                </c:pt>
                <c:pt idx="25">
                  <c:v>0.89546164855688315</c:v>
                </c:pt>
                <c:pt idx="26">
                  <c:v>0.9460916005846205</c:v>
                </c:pt>
                <c:pt idx="27">
                  <c:v>0.98963817223714323</c:v>
                </c:pt>
                <c:pt idx="28">
                  <c:v>1.0248887957492216</c:v>
                </c:pt>
                <c:pt idx="29">
                  <c:v>1.0508339791377499</c:v>
                </c:pt>
                <c:pt idx="30">
                  <c:v>1.066715300964852</c:v>
                </c:pt>
                <c:pt idx="31">
                  <c:v>1.0720622336619805</c:v>
                </c:pt>
                <c:pt idx="32">
                  <c:v>1.066715300964852</c:v>
                </c:pt>
                <c:pt idx="33">
                  <c:v>1.0508339791377499</c:v>
                </c:pt>
                <c:pt idx="34">
                  <c:v>1.0248887957492216</c:v>
                </c:pt>
                <c:pt idx="35">
                  <c:v>0.98963817223714323</c:v>
                </c:pt>
                <c:pt idx="36">
                  <c:v>0.9460916005846205</c:v>
                </c:pt>
                <c:pt idx="37">
                  <c:v>0.89546164855688315</c:v>
                </c:pt>
                <c:pt idx="38">
                  <c:v>0.83910797556494632</c:v>
                </c:pt>
                <c:pt idx="39">
                  <c:v>0.77847695865671729</c:v>
                </c:pt>
                <c:pt idx="40">
                  <c:v>0.71504064964968017</c:v>
                </c:pt>
                <c:pt idx="41">
                  <c:v>0.65023861383600023</c:v>
                </c:pt>
                <c:pt idx="42">
                  <c:v>0.58542576956905212</c:v>
                </c:pt>
                <c:pt idx="43">
                  <c:v>0.52182871076445514</c:v>
                </c:pt>
                <c:pt idx="44">
                  <c:v>0.46051222092934435</c:v>
                </c:pt>
                <c:pt idx="45">
                  <c:v>0.40235685495276363</c:v>
                </c:pt>
                <c:pt idx="46">
                  <c:v>0.34804764932006566</c:v>
                </c:pt>
                <c:pt idx="47">
                  <c:v>0.29807328936519845</c:v>
                </c:pt>
                <c:pt idx="48">
                  <c:v>0.25273446540952732</c:v>
                </c:pt>
                <c:pt idx="49">
                  <c:v>0.21215972137838007</c:v>
                </c:pt>
                <c:pt idx="50">
                  <c:v>0.17632685329844511</c:v>
                </c:pt>
                <c:pt idx="51">
                  <c:v>0.14508784603991978</c:v>
                </c:pt>
                <c:pt idx="52">
                  <c:v>0.11819542442033311</c:v>
                </c:pt>
                <c:pt idx="53">
                  <c:v>9.5329507834345836E-2</c:v>
                </c:pt>
                <c:pt idx="54">
                  <c:v>7.6122158132074319E-2</c:v>
                </c:pt>
                <c:pt idx="55">
                  <c:v>6.0179959230046924E-2</c:v>
                </c:pt>
                <c:pt idx="56">
                  <c:v>4.7103127200567113E-2</c:v>
                </c:pt>
                <c:pt idx="57">
                  <c:v>3.6500990373279731E-2</c:v>
                </c:pt>
                <c:pt idx="58">
                  <c:v>2.8003776994391674E-2</c:v>
                </c:pt>
                <c:pt idx="59">
                  <c:v>2.1270888349947968E-2</c:v>
                </c:pt>
                <c:pt idx="60">
                  <c:v>1.5996011241196963E-2</c:v>
                </c:pt>
                <c:pt idx="61">
                  <c:v>1.1909535642530895E-2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293-4B39-A790-A16CB0F8D0FC}"/>
            </c:ext>
          </c:extLst>
        </c:ser>
        <c:ser>
          <c:idx val="4"/>
          <c:order val="4"/>
          <c:tx>
            <c:v>pop5</c:v>
          </c:tx>
          <c:marker>
            <c:symbol val="none"/>
          </c:marker>
          <c:xVal>
            <c:numRef>
              <c:f>'N°7 ANOVA 1factor'!$Y$6:$Y$67</c:f>
              <c:numCache>
                <c:formatCode>0.00</c:formatCode>
                <c:ptCount val="62"/>
                <c:pt idx="0">
                  <c:v>-0.31121104439377673</c:v>
                </c:pt>
                <c:pt idx="2">
                  <c:v>-0.28558728978796794</c:v>
                </c:pt>
                <c:pt idx="3">
                  <c:v>-0.25996353518215903</c:v>
                </c:pt>
                <c:pt idx="4">
                  <c:v>-0.23433978057635035</c:v>
                </c:pt>
                <c:pt idx="5">
                  <c:v>-0.20871602597054145</c:v>
                </c:pt>
                <c:pt idx="6">
                  <c:v>-0.18309227136473266</c:v>
                </c:pt>
                <c:pt idx="7">
                  <c:v>-0.15746851675892387</c:v>
                </c:pt>
                <c:pt idx="8">
                  <c:v>-0.13184476215311497</c:v>
                </c:pt>
                <c:pt idx="9">
                  <c:v>-0.10622100754730629</c:v>
                </c:pt>
                <c:pt idx="10">
                  <c:v>-8.0597252941497388E-2</c:v>
                </c:pt>
                <c:pt idx="11">
                  <c:v>-5.4973498335688598E-2</c:v>
                </c:pt>
                <c:pt idx="12">
                  <c:v>-2.9349743729879751E-2</c:v>
                </c:pt>
                <c:pt idx="13">
                  <c:v>-3.7259891240709608E-3</c:v>
                </c:pt>
                <c:pt idx="14">
                  <c:v>2.189776548173783E-2</c:v>
                </c:pt>
                <c:pt idx="15">
                  <c:v>4.752152008754662E-2</c:v>
                </c:pt>
                <c:pt idx="16">
                  <c:v>7.3145274693355466E-2</c:v>
                </c:pt>
                <c:pt idx="17">
                  <c:v>9.8769029299164313E-2</c:v>
                </c:pt>
                <c:pt idx="18">
                  <c:v>0.1243927839049731</c:v>
                </c:pt>
                <c:pt idx="19">
                  <c:v>0.15001653851078189</c:v>
                </c:pt>
                <c:pt idx="20">
                  <c:v>0.17564029311659068</c:v>
                </c:pt>
                <c:pt idx="21">
                  <c:v>0.20126404772239953</c:v>
                </c:pt>
                <c:pt idx="22">
                  <c:v>0.22688780232820835</c:v>
                </c:pt>
                <c:pt idx="23">
                  <c:v>0.25251155693401717</c:v>
                </c:pt>
                <c:pt idx="24">
                  <c:v>0.27813531153982596</c:v>
                </c:pt>
                <c:pt idx="25">
                  <c:v>0.30375906614563475</c:v>
                </c:pt>
                <c:pt idx="26">
                  <c:v>0.32938282075144359</c:v>
                </c:pt>
                <c:pt idx="27">
                  <c:v>0.35500657535725239</c:v>
                </c:pt>
                <c:pt idx="28">
                  <c:v>0.38063032996306123</c:v>
                </c:pt>
                <c:pt idx="29">
                  <c:v>0.40625408456887002</c:v>
                </c:pt>
                <c:pt idx="30">
                  <c:v>0.43187783917467887</c:v>
                </c:pt>
                <c:pt idx="31">
                  <c:v>0.45750159378048766</c:v>
                </c:pt>
                <c:pt idx="32">
                  <c:v>0.48312534838629645</c:v>
                </c:pt>
                <c:pt idx="33">
                  <c:v>0.5087491029921053</c:v>
                </c:pt>
                <c:pt idx="34">
                  <c:v>0.53437285759791409</c:v>
                </c:pt>
                <c:pt idx="35">
                  <c:v>0.55999661220372288</c:v>
                </c:pt>
                <c:pt idx="36">
                  <c:v>0.58562036680953167</c:v>
                </c:pt>
                <c:pt idx="37">
                  <c:v>0.61124412141534057</c:v>
                </c:pt>
                <c:pt idx="38">
                  <c:v>0.63686787602114936</c:v>
                </c:pt>
                <c:pt idx="39">
                  <c:v>0.66249163062695815</c:v>
                </c:pt>
                <c:pt idx="40">
                  <c:v>0.68811538523276694</c:v>
                </c:pt>
                <c:pt idx="41">
                  <c:v>0.71373913983857573</c:v>
                </c:pt>
                <c:pt idx="42">
                  <c:v>0.73936289444438463</c:v>
                </c:pt>
                <c:pt idx="43">
                  <c:v>0.76498664905019342</c:v>
                </c:pt>
                <c:pt idx="44">
                  <c:v>0.79061040365600221</c:v>
                </c:pt>
                <c:pt idx="45">
                  <c:v>0.816234158261811</c:v>
                </c:pt>
                <c:pt idx="46">
                  <c:v>0.8418579128676198</c:v>
                </c:pt>
                <c:pt idx="47">
                  <c:v>0.8674816674734287</c:v>
                </c:pt>
                <c:pt idx="48">
                  <c:v>0.89310542207923749</c:v>
                </c:pt>
                <c:pt idx="49">
                  <c:v>0.91872917668504628</c:v>
                </c:pt>
                <c:pt idx="50">
                  <c:v>0.94435293129085507</c:v>
                </c:pt>
                <c:pt idx="51">
                  <c:v>0.96997668589666386</c:v>
                </c:pt>
                <c:pt idx="52">
                  <c:v>0.99560044050247276</c:v>
                </c:pt>
                <c:pt idx="53">
                  <c:v>1.0212241951082817</c:v>
                </c:pt>
                <c:pt idx="54">
                  <c:v>1.0468479497140903</c:v>
                </c:pt>
                <c:pt idx="55">
                  <c:v>1.0724717043198992</c:v>
                </c:pt>
                <c:pt idx="56">
                  <c:v>1.0980954589257106</c:v>
                </c:pt>
                <c:pt idx="57">
                  <c:v>1.1237192135315168</c:v>
                </c:pt>
                <c:pt idx="58">
                  <c:v>1.1493429681373257</c:v>
                </c:pt>
                <c:pt idx="59">
                  <c:v>1.1749667227431371</c:v>
                </c:pt>
                <c:pt idx="60">
                  <c:v>1.2005904773489458</c:v>
                </c:pt>
                <c:pt idx="61">
                  <c:v>1.2262142319547547</c:v>
                </c:pt>
              </c:numCache>
            </c:numRef>
          </c:xVal>
          <c:yVal>
            <c:numRef>
              <c:f>'N°7 ANOVA 1factor'!$Z$6:$Z$67</c:f>
              <c:numCache>
                <c:formatCode>0.00E+00</c:formatCode>
                <c:ptCount val="62"/>
                <c:pt idx="0">
                  <c:v>1.729585878461903E-2</c:v>
                </c:pt>
                <c:pt idx="2">
                  <c:v>2.323052382973741E-2</c:v>
                </c:pt>
                <c:pt idx="3">
                  <c:v>3.0891068482155868E-2</c:v>
                </c:pt>
                <c:pt idx="4">
                  <c:v>4.066903923619454E-2</c:v>
                </c:pt>
                <c:pt idx="5">
                  <c:v>5.300928549560182E-2</c:v>
                </c:pt>
                <c:pt idx="6">
                  <c:v>6.8406448481968113E-2</c:v>
                </c:pt>
                <c:pt idx="7">
                  <c:v>8.7397536541214543E-2</c:v>
                </c:pt>
                <c:pt idx="8">
                  <c:v>0.11054991033663564</c:v>
                </c:pt>
                <c:pt idx="9">
                  <c:v>0.1384441639875425</c:v>
                </c:pt>
                <c:pt idx="10">
                  <c:v>0.17165164378547504</c:v>
                </c:pt>
                <c:pt idx="11">
                  <c:v>0.2107066951888015</c:v>
                </c:pt>
                <c:pt idx="12">
                  <c:v>0.25607416158989338</c:v>
                </c:pt>
                <c:pt idx="13">
                  <c:v>0.30811315326519884</c:v>
                </c:pt>
                <c:pt idx="14">
                  <c:v>0.36703862811567184</c:v>
                </c:pt>
                <c:pt idx="15">
                  <c:v>0.43288283230089236</c:v>
                </c:pt>
                <c:pt idx="16">
                  <c:v>0.50545908536187178</c:v>
                </c:pt>
                <c:pt idx="17">
                  <c:v>0.58433070382980568</c:v>
                </c:pt>
                <c:pt idx="18">
                  <c:v>0.66878798475910595</c:v>
                </c:pt>
                <c:pt idx="19">
                  <c:v>0.75783607035946121</c:v>
                </c:pt>
                <c:pt idx="20">
                  <c:v>0.85019615737017795</c:v>
                </c:pt>
                <c:pt idx="21">
                  <c:v>0.9443218928747058</c:v>
                </c:pt>
                <c:pt idx="22">
                  <c:v>1.0384319315891133</c:v>
                </c:pt>
                <c:pt idx="23">
                  <c:v>1.1305585665256517</c:v>
                </c:pt>
                <c:pt idx="24">
                  <c:v>1.2186111605048482</c:v>
                </c:pt>
                <c:pt idx="25">
                  <c:v>1.3004518971480428</c:v>
                </c:pt>
                <c:pt idx="26">
                  <c:v>1.3739802467687057</c:v>
                </c:pt>
                <c:pt idx="27">
                  <c:v>1.4372216170843199</c:v>
                </c:pt>
                <c:pt idx="28">
                  <c:v>1.4884150325653873</c:v>
                </c:pt>
                <c:pt idx="29">
                  <c:v>1.5260944385051514</c:v>
                </c:pt>
                <c:pt idx="30">
                  <c:v>1.5491584023639693</c:v>
                </c:pt>
                <c:pt idx="31">
                  <c:v>1.5569235911703352</c:v>
                </c:pt>
                <c:pt idx="32">
                  <c:v>1.5491584023639693</c:v>
                </c:pt>
                <c:pt idx="33">
                  <c:v>1.5260944385051514</c:v>
                </c:pt>
                <c:pt idx="34">
                  <c:v>1.4884150325653873</c:v>
                </c:pt>
                <c:pt idx="35">
                  <c:v>1.4372216170843199</c:v>
                </c:pt>
                <c:pt idx="36">
                  <c:v>1.3739802467687057</c:v>
                </c:pt>
                <c:pt idx="37">
                  <c:v>1.3004518971480428</c:v>
                </c:pt>
                <c:pt idx="38">
                  <c:v>1.2186111605048482</c:v>
                </c:pt>
                <c:pt idx="39">
                  <c:v>1.1305585665256517</c:v>
                </c:pt>
                <c:pt idx="40">
                  <c:v>1.0384319315891133</c:v>
                </c:pt>
                <c:pt idx="41">
                  <c:v>0.94432189287470591</c:v>
                </c:pt>
                <c:pt idx="42">
                  <c:v>0.85019615737017795</c:v>
                </c:pt>
                <c:pt idx="43">
                  <c:v>0.75783607035946121</c:v>
                </c:pt>
                <c:pt idx="44">
                  <c:v>0.66878798475910595</c:v>
                </c:pt>
                <c:pt idx="45">
                  <c:v>0.58433070382980568</c:v>
                </c:pt>
                <c:pt idx="46">
                  <c:v>0.50545908536187201</c:v>
                </c:pt>
                <c:pt idx="47">
                  <c:v>0.43288283230089236</c:v>
                </c:pt>
                <c:pt idx="48">
                  <c:v>0.36703862811567184</c:v>
                </c:pt>
                <c:pt idx="49">
                  <c:v>0.30811315326519884</c:v>
                </c:pt>
                <c:pt idx="50">
                  <c:v>0.25607416158989338</c:v>
                </c:pt>
                <c:pt idx="51">
                  <c:v>0.2107066951888015</c:v>
                </c:pt>
                <c:pt idx="52">
                  <c:v>0.17165164378547487</c:v>
                </c:pt>
                <c:pt idx="53">
                  <c:v>0.13844416398754236</c:v>
                </c:pt>
                <c:pt idx="54">
                  <c:v>0.11054991033663553</c:v>
                </c:pt>
                <c:pt idx="55">
                  <c:v>8.739753654121446E-2</c:v>
                </c:pt>
                <c:pt idx="56">
                  <c:v>6.840644848196635E-2</c:v>
                </c:pt>
                <c:pt idx="57">
                  <c:v>5.3009285495601778E-2</c:v>
                </c:pt>
                <c:pt idx="58">
                  <c:v>4.0669039236194485E-2</c:v>
                </c:pt>
                <c:pt idx="59">
                  <c:v>3.0891068482154942E-2</c:v>
                </c:pt>
                <c:pt idx="60">
                  <c:v>2.3230523829736734E-2</c:v>
                </c:pt>
                <c:pt idx="61">
                  <c:v>1.729585878461851E-2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293-4B39-A790-A16CB0F8D0FC}"/>
            </c:ext>
          </c:extLst>
        </c:ser>
        <c:ser>
          <c:idx val="5"/>
          <c:order val="5"/>
          <c:tx>
            <c:v>pop6</c:v>
          </c:tx>
          <c:marker>
            <c:symbol val="none"/>
          </c:marker>
          <c:xVal>
            <c:numRef>
              <c:f>'N°7 ANOVA 1factor'!$AA$6:$AA$67</c:f>
              <c:numCache>
                <c:formatCode>0.00</c:formatCode>
                <c:ptCount val="62"/>
                <c:pt idx="0">
                  <c:v>0.52263765368707837</c:v>
                </c:pt>
                <c:pt idx="2">
                  <c:v>0.55206748709814057</c:v>
                </c:pt>
                <c:pt idx="3">
                  <c:v>0.58149732050920266</c:v>
                </c:pt>
                <c:pt idx="4">
                  <c:v>0.61092715392026464</c:v>
                </c:pt>
                <c:pt idx="5">
                  <c:v>0.64035698733132684</c:v>
                </c:pt>
                <c:pt idx="6">
                  <c:v>0.66978682074238893</c:v>
                </c:pt>
                <c:pt idx="7">
                  <c:v>0.69921665415345113</c:v>
                </c:pt>
                <c:pt idx="8">
                  <c:v>0.72864648756451333</c:v>
                </c:pt>
                <c:pt idx="9">
                  <c:v>0.75807632097557531</c:v>
                </c:pt>
                <c:pt idx="10">
                  <c:v>0.7875061543866374</c:v>
                </c:pt>
                <c:pt idx="11">
                  <c:v>0.8169359877976996</c:v>
                </c:pt>
                <c:pt idx="12">
                  <c:v>0.8463658212087618</c:v>
                </c:pt>
                <c:pt idx="13">
                  <c:v>0.87579565461982378</c:v>
                </c:pt>
                <c:pt idx="14">
                  <c:v>0.90522548803088598</c:v>
                </c:pt>
                <c:pt idx="15">
                  <c:v>0.93465532144194807</c:v>
                </c:pt>
                <c:pt idx="16">
                  <c:v>0.96408515485301027</c:v>
                </c:pt>
                <c:pt idx="17">
                  <c:v>0.99351498826407236</c:v>
                </c:pt>
                <c:pt idx="18">
                  <c:v>1.0229448216751345</c:v>
                </c:pt>
                <c:pt idx="19">
                  <c:v>1.0523746550861965</c:v>
                </c:pt>
                <c:pt idx="20">
                  <c:v>1.0818044884972586</c:v>
                </c:pt>
                <c:pt idx="21">
                  <c:v>1.1112343219083209</c:v>
                </c:pt>
                <c:pt idx="22">
                  <c:v>1.1406641553193828</c:v>
                </c:pt>
                <c:pt idx="23">
                  <c:v>1.1700939887304451</c:v>
                </c:pt>
                <c:pt idx="24">
                  <c:v>1.1995238221415072</c:v>
                </c:pt>
                <c:pt idx="25">
                  <c:v>1.2289536555525693</c:v>
                </c:pt>
                <c:pt idx="26">
                  <c:v>1.2583834889636314</c:v>
                </c:pt>
                <c:pt idx="27">
                  <c:v>1.2878133223746935</c:v>
                </c:pt>
                <c:pt idx="28">
                  <c:v>1.3172431557857558</c:v>
                </c:pt>
                <c:pt idx="29">
                  <c:v>1.3466729891968179</c:v>
                </c:pt>
                <c:pt idx="30">
                  <c:v>1.37610282260788</c:v>
                </c:pt>
                <c:pt idx="31">
                  <c:v>1.4055326560189421</c:v>
                </c:pt>
                <c:pt idx="32">
                  <c:v>1.4349624894300042</c:v>
                </c:pt>
                <c:pt idx="33">
                  <c:v>1.4643923228410662</c:v>
                </c:pt>
                <c:pt idx="34">
                  <c:v>1.4938221562521283</c:v>
                </c:pt>
                <c:pt idx="35">
                  <c:v>1.5232519896631906</c:v>
                </c:pt>
                <c:pt idx="36">
                  <c:v>1.5526818230742527</c:v>
                </c:pt>
                <c:pt idx="37">
                  <c:v>1.5821116564853148</c:v>
                </c:pt>
                <c:pt idx="38">
                  <c:v>1.6115414898963769</c:v>
                </c:pt>
                <c:pt idx="39">
                  <c:v>1.640971323307439</c:v>
                </c:pt>
                <c:pt idx="40">
                  <c:v>1.6704011567185013</c:v>
                </c:pt>
                <c:pt idx="41">
                  <c:v>1.6998309901295632</c:v>
                </c:pt>
                <c:pt idx="42">
                  <c:v>1.7292608235406255</c:v>
                </c:pt>
                <c:pt idx="43">
                  <c:v>1.7586906569516876</c:v>
                </c:pt>
                <c:pt idx="44">
                  <c:v>1.7881204903627497</c:v>
                </c:pt>
                <c:pt idx="45">
                  <c:v>1.8175503237738118</c:v>
                </c:pt>
                <c:pt idx="46">
                  <c:v>1.8469801571848738</c:v>
                </c:pt>
                <c:pt idx="47">
                  <c:v>1.8764099905959362</c:v>
                </c:pt>
                <c:pt idx="48">
                  <c:v>1.905839824006998</c:v>
                </c:pt>
                <c:pt idx="49">
                  <c:v>1.9352696574180603</c:v>
                </c:pt>
                <c:pt idx="50">
                  <c:v>1.9646994908291222</c:v>
                </c:pt>
                <c:pt idx="51">
                  <c:v>1.9941293242401845</c:v>
                </c:pt>
                <c:pt idx="52">
                  <c:v>2.0235591576512468</c:v>
                </c:pt>
                <c:pt idx="53">
                  <c:v>2.0529889910623087</c:v>
                </c:pt>
                <c:pt idx="54">
                  <c:v>2.082418824473371</c:v>
                </c:pt>
                <c:pt idx="55">
                  <c:v>2.1118486578844329</c:v>
                </c:pt>
                <c:pt idx="56">
                  <c:v>2.1412784912954983</c:v>
                </c:pt>
                <c:pt idx="57">
                  <c:v>2.1707083247065571</c:v>
                </c:pt>
                <c:pt idx="58">
                  <c:v>2.2001381581176194</c:v>
                </c:pt>
                <c:pt idx="59">
                  <c:v>2.2295679915286843</c:v>
                </c:pt>
                <c:pt idx="60">
                  <c:v>2.2589978249397467</c:v>
                </c:pt>
                <c:pt idx="61">
                  <c:v>2.288427658350809</c:v>
                </c:pt>
              </c:numCache>
            </c:numRef>
          </c:xVal>
          <c:yVal>
            <c:numRef>
              <c:f>'N°7 ANOVA 1factor'!$AB$6:$AB$67</c:f>
              <c:numCache>
                <c:formatCode>0.00E+00</c:formatCode>
                <c:ptCount val="62"/>
                <c:pt idx="0">
                  <c:v>1.5059033294670838E-2</c:v>
                </c:pt>
                <c:pt idx="2">
                  <c:v>2.0226184554406647E-2</c:v>
                </c:pt>
                <c:pt idx="3">
                  <c:v>2.6896012194227024E-2</c:v>
                </c:pt>
                <c:pt idx="4">
                  <c:v>3.5409425085313452E-2</c:v>
                </c:pt>
                <c:pt idx="5">
                  <c:v>4.6153741490701165E-2</c:v>
                </c:pt>
                <c:pt idx="6">
                  <c:v>5.9559632053438609E-2</c:v>
                </c:pt>
                <c:pt idx="7">
                  <c:v>7.6094655318114088E-2</c:v>
                </c:pt>
                <c:pt idx="8">
                  <c:v>9.625279676558951E-2</c:v>
                </c:pt>
                <c:pt idx="9">
                  <c:v>0.12053956388654646</c:v>
                </c:pt>
                <c:pt idx="10">
                  <c:v>0.14945241233983533</c:v>
                </c:pt>
                <c:pt idx="11">
                  <c:v>0.18345658216636002</c:v>
                </c:pt>
                <c:pt idx="12">
                  <c:v>0.22295679985063344</c:v>
                </c:pt>
                <c:pt idx="13">
                  <c:v>0.26826573293214168</c:v>
                </c:pt>
                <c:pt idx="14">
                  <c:v>0.3195705394021553</c:v>
                </c:pt>
                <c:pt idx="15">
                  <c:v>0.37689929511378911</c:v>
                </c:pt>
                <c:pt idx="16">
                  <c:v>0.44008946247452607</c:v>
                </c:pt>
                <c:pt idx="17">
                  <c:v>0.50876083307853559</c:v>
                </c:pt>
                <c:pt idx="18">
                  <c:v>0.58229548789560293</c:v>
                </c:pt>
                <c:pt idx="19">
                  <c:v>0.6598272313366953</c:v>
                </c:pt>
                <c:pt idx="20">
                  <c:v>0.74024264422327291</c:v>
                </c:pt>
                <c:pt idx="21">
                  <c:v>0.82219535917655306</c:v>
                </c:pt>
                <c:pt idx="22">
                  <c:v>0.90413440736208261</c:v>
                </c:pt>
                <c:pt idx="23">
                  <c:v>0.98434655988434239</c:v>
                </c:pt>
                <c:pt idx="24">
                  <c:v>1.0610115558771422</c:v>
                </c:pt>
                <c:pt idx="25">
                  <c:v>1.1322680568302055</c:v>
                </c:pt>
                <c:pt idx="26">
                  <c:v>1.1962871887408126</c:v>
                </c:pt>
                <c:pt idx="27">
                  <c:v>1.2513497278747674</c:v>
                </c:pt>
                <c:pt idx="28">
                  <c:v>1.2959224407881547</c:v>
                </c:pt>
                <c:pt idx="29">
                  <c:v>1.3287288735670189</c:v>
                </c:pt>
                <c:pt idx="30">
                  <c:v>1.3488100388900086</c:v>
                </c:pt>
                <c:pt idx="31">
                  <c:v>1.3555709773453144</c:v>
                </c:pt>
                <c:pt idx="32">
                  <c:v>1.3488100388900086</c:v>
                </c:pt>
                <c:pt idx="33">
                  <c:v>1.3287288735670189</c:v>
                </c:pt>
                <c:pt idx="34">
                  <c:v>1.2959224407881547</c:v>
                </c:pt>
                <c:pt idx="35">
                  <c:v>1.2513497278747674</c:v>
                </c:pt>
                <c:pt idx="36">
                  <c:v>1.1962871887408126</c:v>
                </c:pt>
                <c:pt idx="37">
                  <c:v>1.1322680568302055</c:v>
                </c:pt>
                <c:pt idx="38">
                  <c:v>1.0610115558771422</c:v>
                </c:pt>
                <c:pt idx="39">
                  <c:v>0.98434655988434239</c:v>
                </c:pt>
                <c:pt idx="40">
                  <c:v>0.90413440736208261</c:v>
                </c:pt>
                <c:pt idx="41">
                  <c:v>0.82219535917655306</c:v>
                </c:pt>
                <c:pt idx="42">
                  <c:v>0.74024264422327291</c:v>
                </c:pt>
                <c:pt idx="43">
                  <c:v>0.6598272313366953</c:v>
                </c:pt>
                <c:pt idx="44">
                  <c:v>0.58229548789560293</c:v>
                </c:pt>
                <c:pt idx="45">
                  <c:v>0.50876083307853559</c:v>
                </c:pt>
                <c:pt idx="46">
                  <c:v>0.44008946247452607</c:v>
                </c:pt>
                <c:pt idx="47">
                  <c:v>0.37689929511378883</c:v>
                </c:pt>
                <c:pt idx="48">
                  <c:v>0.31957053940215546</c:v>
                </c:pt>
                <c:pt idx="49">
                  <c:v>0.26826573293214168</c:v>
                </c:pt>
                <c:pt idx="50">
                  <c:v>0.22295679985063357</c:v>
                </c:pt>
                <c:pt idx="51">
                  <c:v>0.18345658216636002</c:v>
                </c:pt>
                <c:pt idx="52">
                  <c:v>0.14945241233983522</c:v>
                </c:pt>
                <c:pt idx="53">
                  <c:v>0.12053956388654657</c:v>
                </c:pt>
                <c:pt idx="54">
                  <c:v>9.6252796765589427E-2</c:v>
                </c:pt>
                <c:pt idx="55">
                  <c:v>7.6094655318114199E-2</c:v>
                </c:pt>
                <c:pt idx="56">
                  <c:v>5.9559632053437013E-2</c:v>
                </c:pt>
                <c:pt idx="57">
                  <c:v>4.6153741490701269E-2</c:v>
                </c:pt>
                <c:pt idx="58">
                  <c:v>3.5409425085313452E-2</c:v>
                </c:pt>
                <c:pt idx="59">
                  <c:v>2.6896012194226285E-2</c:v>
                </c:pt>
                <c:pt idx="60">
                  <c:v>2.0226184554406054E-2</c:v>
                </c:pt>
                <c:pt idx="61">
                  <c:v>1.5059033294670328E-2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293-4B39-A790-A16CB0F8D0FC}"/>
            </c:ext>
          </c:extLst>
        </c:ser>
        <c:ser>
          <c:idx val="6"/>
          <c:order val="6"/>
          <c:tx>
            <c:v>target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'N°7 ANOVA 1factor'!$Q$70:$Q$71</c:f>
              <c:numCache>
                <c:formatCode>0.00</c:formatCode>
                <c:ptCount val="2"/>
                <c:pt idx="0">
                  <c:v>0.80068708637643893</c:v>
                </c:pt>
                <c:pt idx="1">
                  <c:v>0.80068708637643893</c:v>
                </c:pt>
              </c:numCache>
            </c:numRef>
          </c:xVal>
          <c:yVal>
            <c:numRef>
              <c:f>'N°7 ANOVA 1factor'!$R$70:$R$71</c:f>
              <c:numCache>
                <c:formatCode>0.00E+00</c:formatCode>
                <c:ptCount val="2"/>
                <c:pt idx="0" formatCode="General">
                  <c:v>0</c:v>
                </c:pt>
                <c:pt idx="1">
                  <c:v>1.6376111087461271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293-4B39-A790-A16CB0F8D0FC}"/>
            </c:ext>
          </c:extLst>
        </c:ser>
        <c:ser>
          <c:idx val="7"/>
          <c:order val="7"/>
          <c:tx>
            <c:v>mean</c:v>
          </c:tx>
          <c:marker>
            <c:symbol val="none"/>
          </c:marker>
          <c:dPt>
            <c:idx val="1"/>
            <c:bubble3D val="0"/>
            <c:spPr>
              <a:ln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8-5293-4B39-A790-A16CB0F8D0FC}"/>
              </c:ext>
            </c:extLst>
          </c:dPt>
          <c:xVal>
            <c:numRef>
              <c:f>'N°7 ANOVA 1factor'!$Q$72:$Q$73</c:f>
              <c:numCache>
                <c:formatCode>0.00</c:formatCode>
                <c:ptCount val="2"/>
                <c:pt idx="0">
                  <c:v>0.65425811308217507</c:v>
                </c:pt>
                <c:pt idx="1">
                  <c:v>0.65425811308217507</c:v>
                </c:pt>
              </c:numCache>
            </c:numRef>
          </c:xVal>
          <c:yVal>
            <c:numRef>
              <c:f>'N°7 ANOVA 1factor'!$R$72:$R$73</c:f>
              <c:numCache>
                <c:formatCode>0.00E+00</c:formatCode>
                <c:ptCount val="2"/>
                <c:pt idx="0" formatCode="General">
                  <c:v>0</c:v>
                </c:pt>
                <c:pt idx="1">
                  <c:v>1.6376111087461271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293-4B39-A790-A16CB0F8D0FC}"/>
            </c:ext>
          </c:extLst>
        </c:ser>
        <c:ser>
          <c:idx val="8"/>
          <c:order val="8"/>
          <c:tx>
            <c:v>T-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'N°7 ANOVA 1factor'!$Q$74:$Q$75</c:f>
              <c:numCache>
                <c:formatCode>0.000</c:formatCode>
                <c:ptCount val="2"/>
                <c:pt idx="0">
                  <c:v>-0.69931291362356107</c:v>
                </c:pt>
                <c:pt idx="1">
                  <c:v>-0.69931291362356107</c:v>
                </c:pt>
              </c:numCache>
            </c:numRef>
          </c:xVal>
          <c:yVal>
            <c:numRef>
              <c:f>'N°7 ANOVA 1factor'!$R$74:$R$75</c:f>
              <c:numCache>
                <c:formatCode>0.00E+00</c:formatCode>
                <c:ptCount val="2"/>
                <c:pt idx="0" formatCode="General">
                  <c:v>0</c:v>
                </c:pt>
                <c:pt idx="1">
                  <c:v>1.6376111087461271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293-4B39-A790-A16CB0F8D0FC}"/>
            </c:ext>
          </c:extLst>
        </c:ser>
        <c:ser>
          <c:idx val="9"/>
          <c:order val="9"/>
          <c:tx>
            <c:v>T+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'N°7 ANOVA 1factor'!$Q$76:$Q$77</c:f>
              <c:numCache>
                <c:formatCode>General</c:formatCode>
                <c:ptCount val="2"/>
                <c:pt idx="0">
                  <c:v>2.3006870863764388</c:v>
                </c:pt>
                <c:pt idx="1">
                  <c:v>2.3006870863764388</c:v>
                </c:pt>
              </c:numCache>
            </c:numRef>
          </c:xVal>
          <c:yVal>
            <c:numRef>
              <c:f>'N°7 ANOVA 1factor'!$R$76:$R$77</c:f>
              <c:numCache>
                <c:formatCode>0.00E+00</c:formatCode>
                <c:ptCount val="2"/>
                <c:pt idx="0" formatCode="General">
                  <c:v>0</c:v>
                </c:pt>
                <c:pt idx="1">
                  <c:v>1.6376111087461271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293-4B39-A790-A16CB0F8D0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7355632"/>
        <c:axId val="1807351824"/>
      </c:scatterChart>
      <c:valAx>
        <c:axId val="1807355632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crossAx val="1807351824"/>
        <c:crosses val="autoZero"/>
        <c:crossBetween val="midCat"/>
      </c:valAx>
      <c:valAx>
        <c:axId val="1807351824"/>
        <c:scaling>
          <c:orientation val="minMax"/>
        </c:scaling>
        <c:delete val="1"/>
        <c:axPos val="l"/>
        <c:majorGridlines>
          <c:spPr>
            <a:ln>
              <a:noFill/>
            </a:ln>
          </c:spPr>
        </c:majorGridlines>
        <c:numFmt formatCode="General" sourceLinked="0"/>
        <c:majorTickMark val="none"/>
        <c:minorTickMark val="none"/>
        <c:tickLblPos val="nextTo"/>
        <c:crossAx val="180735563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contribution % in dispersion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'N°8 ANOVA 3 factors'!$B$64:$B$71</c:f>
              <c:strCache>
                <c:ptCount val="8"/>
                <c:pt idx="0">
                  <c:v>residual</c:v>
                </c:pt>
                <c:pt idx="1">
                  <c:v>A</c:v>
                </c:pt>
                <c:pt idx="2">
                  <c:v>B</c:v>
                </c:pt>
                <c:pt idx="3">
                  <c:v>C</c:v>
                </c:pt>
                <c:pt idx="4">
                  <c:v>AB</c:v>
                </c:pt>
                <c:pt idx="5">
                  <c:v>AC</c:v>
                </c:pt>
                <c:pt idx="6">
                  <c:v>BC</c:v>
                </c:pt>
                <c:pt idx="7">
                  <c:v>ABC</c:v>
                </c:pt>
              </c:strCache>
            </c:strRef>
          </c:cat>
          <c:val>
            <c:numRef>
              <c:f>'N°8 ANOVA 3 factors'!$K$64:$K$71</c:f>
              <c:numCache>
                <c:formatCode>0.0%</c:formatCode>
                <c:ptCount val="8"/>
                <c:pt idx="0">
                  <c:v>0.22323794052440188</c:v>
                </c:pt>
                <c:pt idx="1">
                  <c:v>2.0062288566981293E-2</c:v>
                </c:pt>
                <c:pt idx="2">
                  <c:v>0.25786243065172521</c:v>
                </c:pt>
                <c:pt idx="3">
                  <c:v>7.1565967311864025E-3</c:v>
                </c:pt>
                <c:pt idx="4">
                  <c:v>0.12779613464576911</c:v>
                </c:pt>
                <c:pt idx="5">
                  <c:v>7.9387878548109025E-2</c:v>
                </c:pt>
                <c:pt idx="6">
                  <c:v>4.5588371018128127E-2</c:v>
                </c:pt>
                <c:pt idx="7">
                  <c:v>0.23890835931369897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41-4459-A2AA-3D2042E04543}"/>
            </c:ext>
          </c:extLst>
        </c:ser>
        <c:ser>
          <c:idx val="0"/>
          <c:order val="1"/>
          <c:spPr>
            <a:noFill/>
            <a:ln>
              <a:noFill/>
            </a:ln>
          </c:spPr>
          <c:invertIfNegative val="0"/>
          <c:trendline>
            <c:spPr>
              <a:ln>
                <a:solidFill>
                  <a:srgbClr val="FF0000"/>
                </a:solidFill>
              </a:ln>
            </c:spPr>
            <c:trendlineType val="linear"/>
            <c:dispRSqr val="0"/>
            <c:dispEq val="0"/>
          </c:trendline>
          <c:val>
            <c:numRef>
              <c:f>'N°8 ANOVA 3 factors'!$M$64:$M$71</c:f>
              <c:numCache>
                <c:formatCode>0.00%</c:formatCode>
                <c:ptCount val="8"/>
                <c:pt idx="1">
                  <c:v>9.4132456119213267E-3</c:v>
                </c:pt>
                <c:pt idx="2">
                  <c:v>9.4132456119213267E-3</c:v>
                </c:pt>
                <c:pt idx="3">
                  <c:v>9.4132456119213267E-3</c:v>
                </c:pt>
                <c:pt idx="4">
                  <c:v>7.5279106042651167E-3</c:v>
                </c:pt>
                <c:pt idx="5">
                  <c:v>7.5279106042651167E-3</c:v>
                </c:pt>
                <c:pt idx="6">
                  <c:v>7.5279106042651167E-3</c:v>
                </c:pt>
                <c:pt idx="7">
                  <c:v>6.233125862542795E-3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41-4459-A2AA-3D2042E04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07344208"/>
        <c:axId val="1807352368"/>
      </c:barChart>
      <c:catAx>
        <c:axId val="18073442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807352368"/>
        <c:crosses val="autoZero"/>
        <c:auto val="1"/>
        <c:lblAlgn val="ctr"/>
        <c:lblOffset val="100"/>
        <c:noMultiLvlLbl val="0"/>
      </c:catAx>
      <c:valAx>
        <c:axId val="1807352368"/>
        <c:scaling>
          <c:orientation val="minMax"/>
        </c:scaling>
        <c:delete val="0"/>
        <c:axPos val="l"/>
        <c:majorGridlines/>
        <c:numFmt formatCode="0.0%" sourceLinked="1"/>
        <c:majorTickMark val="none"/>
        <c:minorTickMark val="none"/>
        <c:tickLblPos val="nextTo"/>
        <c:crossAx val="180734420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400" b="1" i="0" baseline="0"/>
              <a:t>Effect (0 to +1)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0545606577938819E-2"/>
          <c:y val="0.20261160903274186"/>
          <c:w val="0.83855566626372813"/>
          <c:h val="0.59781317657873412"/>
        </c:manualLayout>
      </c:layout>
      <c:barChart>
        <c:barDir val="bar"/>
        <c:grouping val="clustered"/>
        <c:varyColors val="0"/>
        <c:ser>
          <c:idx val="0"/>
          <c:order val="0"/>
          <c:tx>
            <c:v>écarts absolus</c:v>
          </c:tx>
          <c:invertIfNegative val="0"/>
          <c:cat>
            <c:strRef>
              <c:f>'N°9 Robustness'!$E$19:$K$19</c:f>
              <c:strCache>
                <c:ptCount val="7"/>
                <c:pt idx="0">
                  <c:v>operateur</c:v>
                </c:pt>
                <c:pt idx="1">
                  <c:v>temps</c:v>
                </c:pt>
                <c:pt idx="2">
                  <c:v>methode</c:v>
                </c:pt>
                <c:pt idx="3">
                  <c:v>position</c:v>
                </c:pt>
                <c:pt idx="4">
                  <c:v>dimension</c:v>
                </c:pt>
                <c:pt idx="5">
                  <c:v>taille piece</c:v>
                </c:pt>
                <c:pt idx="6">
                  <c:v>0</c:v>
                </c:pt>
              </c:strCache>
            </c:strRef>
          </c:cat>
          <c:val>
            <c:numRef>
              <c:f>'N°9 Robustness'!$E$31:$K$31</c:f>
              <c:numCache>
                <c:formatCode>0.00</c:formatCode>
                <c:ptCount val="7"/>
                <c:pt idx="0">
                  <c:v>-2.25</c:v>
                </c:pt>
                <c:pt idx="1">
                  <c:v>-13.25</c:v>
                </c:pt>
                <c:pt idx="2">
                  <c:v>12.5</c:v>
                </c:pt>
                <c:pt idx="3">
                  <c:v>-1</c:v>
                </c:pt>
                <c:pt idx="4">
                  <c:v>-9</c:v>
                </c:pt>
                <c:pt idx="5">
                  <c:v>3.25</c:v>
                </c:pt>
                <c:pt idx="6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F2-4022-BDA6-21D74DD059E6}"/>
            </c:ext>
          </c:extLst>
        </c:ser>
        <c:ser>
          <c:idx val="1"/>
          <c:order val="1"/>
          <c:tx>
            <c:v>IC+</c:v>
          </c:tx>
          <c:spPr>
            <a:noFill/>
            <a:ln>
              <a:noFill/>
            </a:ln>
          </c:spPr>
          <c:invertIfNegative val="0"/>
          <c:trendline>
            <c:spPr>
              <a:ln w="25400">
                <a:solidFill>
                  <a:sysClr val="windowText" lastClr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'N°9 Robustness'!$E$19:$K$19</c:f>
              <c:strCache>
                <c:ptCount val="7"/>
                <c:pt idx="0">
                  <c:v>operateur</c:v>
                </c:pt>
                <c:pt idx="1">
                  <c:v>temps</c:v>
                </c:pt>
                <c:pt idx="2">
                  <c:v>methode</c:v>
                </c:pt>
                <c:pt idx="3">
                  <c:v>position</c:v>
                </c:pt>
                <c:pt idx="4">
                  <c:v>dimension</c:v>
                </c:pt>
                <c:pt idx="5">
                  <c:v>taille piece</c:v>
                </c:pt>
                <c:pt idx="6">
                  <c:v>0</c:v>
                </c:pt>
              </c:strCache>
            </c:strRef>
          </c:cat>
          <c:val>
            <c:numRef>
              <c:f>'N°9 Robustness'!$C$49:$C$55</c:f>
              <c:numCache>
                <c:formatCode>0.00</c:formatCode>
                <c:ptCount val="7"/>
                <c:pt idx="0">
                  <c:v>-11.815985839849391</c:v>
                </c:pt>
                <c:pt idx="1">
                  <c:v>-11.815985839849391</c:v>
                </c:pt>
                <c:pt idx="2">
                  <c:v>-11.815985839849391</c:v>
                </c:pt>
                <c:pt idx="3">
                  <c:v>-11.815985839849391</c:v>
                </c:pt>
                <c:pt idx="4">
                  <c:v>-11.815985839849391</c:v>
                </c:pt>
                <c:pt idx="5">
                  <c:v>-11.815985839849391</c:v>
                </c:pt>
                <c:pt idx="6">
                  <c:v>-11.815985839849391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F2-4022-BDA6-21D74DD059E6}"/>
            </c:ext>
          </c:extLst>
        </c:ser>
        <c:ser>
          <c:idx val="2"/>
          <c:order val="2"/>
          <c:tx>
            <c:v>IC-</c:v>
          </c:tx>
          <c:spPr>
            <a:noFill/>
            <a:ln>
              <a:noFill/>
            </a:ln>
          </c:spPr>
          <c:invertIfNegative val="0"/>
          <c:trendline>
            <c:spPr>
              <a:ln w="25400">
                <a:solidFill>
                  <a:schemeClr val="tx1"/>
                </a:solidFill>
              </a:ln>
            </c:spPr>
            <c:trendlineType val="linear"/>
            <c:dispRSqr val="0"/>
            <c:dispEq val="0"/>
          </c:trendline>
          <c:cat>
            <c:strRef>
              <c:f>'N°9 Robustness'!$E$19:$K$19</c:f>
              <c:strCache>
                <c:ptCount val="7"/>
                <c:pt idx="0">
                  <c:v>operateur</c:v>
                </c:pt>
                <c:pt idx="1">
                  <c:v>temps</c:v>
                </c:pt>
                <c:pt idx="2">
                  <c:v>methode</c:v>
                </c:pt>
                <c:pt idx="3">
                  <c:v>position</c:v>
                </c:pt>
                <c:pt idx="4">
                  <c:v>dimension</c:v>
                </c:pt>
                <c:pt idx="5">
                  <c:v>taille piece</c:v>
                </c:pt>
                <c:pt idx="6">
                  <c:v>0</c:v>
                </c:pt>
              </c:strCache>
            </c:strRef>
          </c:cat>
          <c:val>
            <c:numRef>
              <c:f>'N°9 Robustness'!$D$49:$D$55</c:f>
              <c:numCache>
                <c:formatCode>0.00</c:formatCode>
                <c:ptCount val="7"/>
                <c:pt idx="0">
                  <c:v>11.815985839849391</c:v>
                </c:pt>
                <c:pt idx="1">
                  <c:v>11.815985839849391</c:v>
                </c:pt>
                <c:pt idx="2">
                  <c:v>11.815985839849391</c:v>
                </c:pt>
                <c:pt idx="3">
                  <c:v>11.815985839849391</c:v>
                </c:pt>
                <c:pt idx="4">
                  <c:v>11.815985839849391</c:v>
                </c:pt>
                <c:pt idx="5">
                  <c:v>11.815985839849391</c:v>
                </c:pt>
                <c:pt idx="6">
                  <c:v>11.815985839849391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F2-4022-BDA6-21D74DD059E6}"/>
            </c:ext>
          </c:extLst>
        </c:ser>
        <c:ser>
          <c:idx val="3"/>
          <c:order val="3"/>
          <c:tx>
            <c:v>IC++</c:v>
          </c:tx>
          <c:spPr>
            <a:noFill/>
            <a:ln>
              <a:noFill/>
            </a:ln>
          </c:spPr>
          <c:invertIfNegative val="0"/>
          <c:trendline>
            <c:spPr>
              <a:ln w="25400">
                <a:solidFill>
                  <a:srgbClr val="FF0000"/>
                </a:solidFill>
              </a:ln>
            </c:spPr>
            <c:trendlineType val="linear"/>
            <c:dispRSqr val="0"/>
            <c:dispEq val="0"/>
          </c:trendline>
          <c:cat>
            <c:strRef>
              <c:f>'N°9 Robustness'!$E$19:$K$19</c:f>
              <c:strCache>
                <c:ptCount val="7"/>
                <c:pt idx="0">
                  <c:v>operateur</c:v>
                </c:pt>
                <c:pt idx="1">
                  <c:v>temps</c:v>
                </c:pt>
                <c:pt idx="2">
                  <c:v>methode</c:v>
                </c:pt>
                <c:pt idx="3">
                  <c:v>position</c:v>
                </c:pt>
                <c:pt idx="4">
                  <c:v>dimension</c:v>
                </c:pt>
                <c:pt idx="5">
                  <c:v>taille piece</c:v>
                </c:pt>
                <c:pt idx="6">
                  <c:v>0</c:v>
                </c:pt>
              </c:strCache>
            </c:strRef>
          </c:cat>
          <c:val>
            <c:numRef>
              <c:f>'N°9 Robustness'!$E$49:$E$55</c:f>
              <c:numCache>
                <c:formatCode>0.00</c:formatCode>
                <c:ptCount val="7"/>
                <c:pt idx="0">
                  <c:v>27.255698772511579</c:v>
                </c:pt>
                <c:pt idx="1">
                  <c:v>27.255698772511579</c:v>
                </c:pt>
                <c:pt idx="2">
                  <c:v>27.255698772511579</c:v>
                </c:pt>
                <c:pt idx="3">
                  <c:v>27.255698772511579</c:v>
                </c:pt>
                <c:pt idx="4">
                  <c:v>27.255698772511579</c:v>
                </c:pt>
                <c:pt idx="5">
                  <c:v>27.255698772511579</c:v>
                </c:pt>
                <c:pt idx="6">
                  <c:v>27.255698772511579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F2-4022-BDA6-21D74DD059E6}"/>
            </c:ext>
          </c:extLst>
        </c:ser>
        <c:ser>
          <c:idx val="4"/>
          <c:order val="4"/>
          <c:tx>
            <c:v>IC--</c:v>
          </c:tx>
          <c:spPr>
            <a:noFill/>
            <a:ln>
              <a:noFill/>
            </a:ln>
          </c:spPr>
          <c:invertIfNegative val="0"/>
          <c:trendline>
            <c:spPr>
              <a:ln w="25400">
                <a:solidFill>
                  <a:srgbClr val="FF0000"/>
                </a:solidFill>
              </a:ln>
            </c:spPr>
            <c:trendlineType val="linear"/>
            <c:dispRSqr val="0"/>
            <c:dispEq val="0"/>
          </c:trendline>
          <c:cat>
            <c:strRef>
              <c:f>'N°9 Robustness'!$E$19:$K$19</c:f>
              <c:strCache>
                <c:ptCount val="7"/>
                <c:pt idx="0">
                  <c:v>operateur</c:v>
                </c:pt>
                <c:pt idx="1">
                  <c:v>temps</c:v>
                </c:pt>
                <c:pt idx="2">
                  <c:v>methode</c:v>
                </c:pt>
                <c:pt idx="3">
                  <c:v>position</c:v>
                </c:pt>
                <c:pt idx="4">
                  <c:v>dimension</c:v>
                </c:pt>
                <c:pt idx="5">
                  <c:v>taille piece</c:v>
                </c:pt>
                <c:pt idx="6">
                  <c:v>0</c:v>
                </c:pt>
              </c:strCache>
            </c:strRef>
          </c:cat>
          <c:val>
            <c:numRef>
              <c:f>'N°9 Robustness'!$B$49:$B$55</c:f>
              <c:numCache>
                <c:formatCode>0.00</c:formatCode>
                <c:ptCount val="7"/>
                <c:pt idx="0">
                  <c:v>-27.255698772511579</c:v>
                </c:pt>
                <c:pt idx="1">
                  <c:v>-27.255698772511579</c:v>
                </c:pt>
                <c:pt idx="2">
                  <c:v>-27.255698772511579</c:v>
                </c:pt>
                <c:pt idx="3">
                  <c:v>-27.255698772511579</c:v>
                </c:pt>
                <c:pt idx="4">
                  <c:v>-27.255698772511579</c:v>
                </c:pt>
                <c:pt idx="5">
                  <c:v>-27.255698772511579</c:v>
                </c:pt>
                <c:pt idx="6">
                  <c:v>-27.255698772511579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4F2-4022-BDA6-21D74DD059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07353456"/>
        <c:axId val="1807358896"/>
      </c:barChart>
      <c:catAx>
        <c:axId val="1807353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807358896"/>
        <c:crosses val="autoZero"/>
        <c:auto val="1"/>
        <c:lblAlgn val="ctr"/>
        <c:lblOffset val="100"/>
        <c:noMultiLvlLbl val="0"/>
      </c:catAx>
      <c:valAx>
        <c:axId val="1807358896"/>
        <c:scaling>
          <c:orientation val="minMax"/>
        </c:scaling>
        <c:delete val="0"/>
        <c:axPos val="b"/>
        <c:majorGridlines/>
        <c:numFmt formatCode="0.0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807353456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000000000000311" l="0.70000000000000062" r="0.70000000000000062" t="0.75000000000000311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9842500380891541E-2"/>
          <c:y val="0.1603449459543988"/>
          <c:w val="0.87314706899125227"/>
          <c:h val="0.63936976039910609"/>
        </c:manualLayout>
      </c:layout>
      <c:barChart>
        <c:barDir val="col"/>
        <c:grouping val="clustered"/>
        <c:varyColors val="0"/>
        <c:ser>
          <c:idx val="0"/>
          <c:order val="0"/>
          <c:tx>
            <c:v>parameter</c:v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'N°9 Robustness'!$C$81:$C$88</c:f>
              <c:strCache>
                <c:ptCount val="8"/>
                <c:pt idx="0">
                  <c:v>residual</c:v>
                </c:pt>
                <c:pt idx="1">
                  <c:v>operateur</c:v>
                </c:pt>
                <c:pt idx="2">
                  <c:v>temps</c:v>
                </c:pt>
                <c:pt idx="3">
                  <c:v>methode</c:v>
                </c:pt>
                <c:pt idx="4">
                  <c:v>position</c:v>
                </c:pt>
                <c:pt idx="5">
                  <c:v>dimension</c:v>
                </c:pt>
                <c:pt idx="6">
                  <c:v>taille piece</c:v>
                </c:pt>
                <c:pt idx="7">
                  <c:v>0</c:v>
                </c:pt>
              </c:strCache>
            </c:strRef>
          </c:cat>
          <c:val>
            <c:numRef>
              <c:f>'N°9 Robustness'!$K$81:$K$88</c:f>
              <c:numCache>
                <c:formatCode>0.0%</c:formatCode>
                <c:ptCount val="8"/>
                <c:pt idx="0">
                  <c:v>2.8400661873787907E-2</c:v>
                </c:pt>
                <c:pt idx="1">
                  <c:v>9.5322663471413896E-3</c:v>
                </c:pt>
                <c:pt idx="2">
                  <c:v>0.33056958233481681</c:v>
                </c:pt>
                <c:pt idx="3">
                  <c:v>0.29420575145498118</c:v>
                </c:pt>
                <c:pt idx="4">
                  <c:v>1.8829168093118793E-3</c:v>
                </c:pt>
                <c:pt idx="5">
                  <c:v>0.15251626155426223</c:v>
                </c:pt>
                <c:pt idx="6">
                  <c:v>1.9888308798356725E-2</c:v>
                </c:pt>
                <c:pt idx="7">
                  <c:v>4.2365628209517286E-3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11-41B1-9EAC-30BF74496054}"/>
            </c:ext>
          </c:extLst>
        </c:ser>
        <c:ser>
          <c:idx val="1"/>
          <c:order val="1"/>
          <c:tx>
            <c:v>limit</c:v>
          </c:tx>
          <c:spPr>
            <a:noFill/>
            <a:ln>
              <a:noFill/>
            </a:ln>
          </c:spPr>
          <c:invertIfNegative val="0"/>
          <c:trendline>
            <c:spPr>
              <a:ln w="31750">
                <a:solidFill>
                  <a:srgbClr val="FF0000"/>
                </a:solidFill>
              </a:ln>
            </c:spPr>
            <c:trendlineType val="linear"/>
            <c:dispRSqr val="0"/>
            <c:dispEq val="0"/>
          </c:trendline>
          <c:cat>
            <c:strRef>
              <c:f>'N°9 Robustness'!$C$81:$C$88</c:f>
              <c:strCache>
                <c:ptCount val="8"/>
                <c:pt idx="0">
                  <c:v>residual</c:v>
                </c:pt>
                <c:pt idx="1">
                  <c:v>operateur</c:v>
                </c:pt>
                <c:pt idx="2">
                  <c:v>temps</c:v>
                </c:pt>
                <c:pt idx="3">
                  <c:v>methode</c:v>
                </c:pt>
                <c:pt idx="4">
                  <c:v>position</c:v>
                </c:pt>
                <c:pt idx="5">
                  <c:v>dimension</c:v>
                </c:pt>
                <c:pt idx="6">
                  <c:v>taille piece</c:v>
                </c:pt>
                <c:pt idx="7">
                  <c:v>0</c:v>
                </c:pt>
              </c:strCache>
            </c:strRef>
          </c:cat>
          <c:val>
            <c:numRef>
              <c:f>'N°9 Robustness'!$P$81:$P$88</c:f>
              <c:numCache>
                <c:formatCode>0.00%</c:formatCode>
                <c:ptCount val="8"/>
                <c:pt idx="0">
                  <c:v>9.58802982790046E-2</c:v>
                </c:pt>
                <c:pt idx="1">
                  <c:v>9.58802982790046E-2</c:v>
                </c:pt>
                <c:pt idx="2">
                  <c:v>9.58802982790046E-2</c:v>
                </c:pt>
                <c:pt idx="3">
                  <c:v>9.58802982790046E-2</c:v>
                </c:pt>
                <c:pt idx="4">
                  <c:v>9.58802982790046E-2</c:v>
                </c:pt>
                <c:pt idx="5">
                  <c:v>9.58802982790046E-2</c:v>
                </c:pt>
                <c:pt idx="6">
                  <c:v>9.58802982790046E-2</c:v>
                </c:pt>
                <c:pt idx="7">
                  <c:v>9.58802982790046E-2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11-41B1-9EAC-30BF744960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2"/>
        <c:overlap val="-100"/>
        <c:axId val="1807344752"/>
        <c:axId val="1807357808"/>
      </c:barChart>
      <c:catAx>
        <c:axId val="18073447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2100000" vert="horz"/>
          <a:lstStyle/>
          <a:p>
            <a:pPr>
              <a:defRPr/>
            </a:pPr>
            <a:endParaRPr lang="fr-FR"/>
          </a:p>
        </c:txPr>
        <c:crossAx val="1807357808"/>
        <c:crosses val="autoZero"/>
        <c:auto val="1"/>
        <c:lblAlgn val="ctr"/>
        <c:lblOffset val="100"/>
        <c:noMultiLvlLbl val="0"/>
      </c:catAx>
      <c:valAx>
        <c:axId val="1807357808"/>
        <c:scaling>
          <c:orientation val="minMax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180734475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311" l="0.70000000000000062" r="0.70000000000000062" t="0.75000000000000311" header="0.30000000000000032" footer="0.3000000000000003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cid:part1.B046DFEB.44162BDD@univ-grenoble-alpes.fr" TargetMode="Externa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95354</xdr:colOff>
      <xdr:row>22</xdr:row>
      <xdr:rowOff>112301</xdr:rowOff>
    </xdr:from>
    <xdr:to>
      <xdr:col>9</xdr:col>
      <xdr:colOff>691801</xdr:colOff>
      <xdr:row>39</xdr:row>
      <xdr:rowOff>79644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69404</xdr:colOff>
      <xdr:row>49</xdr:row>
      <xdr:rowOff>154215</xdr:rowOff>
    </xdr:from>
    <xdr:to>
      <xdr:col>11</xdr:col>
      <xdr:colOff>879830</xdr:colOff>
      <xdr:row>64</xdr:row>
      <xdr:rowOff>127000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2310901A-DD6E-47B1-9451-E566736E88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77840</xdr:colOff>
      <xdr:row>28</xdr:row>
      <xdr:rowOff>101408</xdr:rowOff>
    </xdr:from>
    <xdr:to>
      <xdr:col>11</xdr:col>
      <xdr:colOff>888346</xdr:colOff>
      <xdr:row>46</xdr:row>
      <xdr:rowOff>92364</xdr:rowOff>
    </xdr:to>
    <xdr:graphicFrame macro="">
      <xdr:nvGraphicFramePr>
        <xdr:cNvPr id="3" name="Graphique 1">
          <a:extLst>
            <a:ext uri="{FF2B5EF4-FFF2-40B4-BE49-F238E27FC236}">
              <a16:creationId xmlns:a16="http://schemas.microsoft.com/office/drawing/2014/main" id="{50CBC7F8-C8F0-435B-A0B2-FE5DEAEB66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95252</xdr:colOff>
      <xdr:row>84</xdr:row>
      <xdr:rowOff>154215</xdr:rowOff>
    </xdr:from>
    <xdr:to>
      <xdr:col>11</xdr:col>
      <xdr:colOff>857250</xdr:colOff>
      <xdr:row>108</xdr:row>
      <xdr:rowOff>108858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7FC51221-4913-45E1-9754-A274F7887B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734785</xdr:colOff>
      <xdr:row>6</xdr:row>
      <xdr:rowOff>27213</xdr:rowOff>
    </xdr:from>
    <xdr:to>
      <xdr:col>20</xdr:col>
      <xdr:colOff>689429</xdr:colOff>
      <xdr:row>32</xdr:row>
      <xdr:rowOff>63499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96C86F4C-DA43-4D7C-B467-9B519927886D}"/>
            </a:ext>
          </a:extLst>
        </xdr:cNvPr>
        <xdr:cNvPicPr/>
      </xdr:nvPicPr>
      <xdr:blipFill rotWithShape="1"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19" r="-1"/>
        <a:stretch>
          <a:fillRect/>
        </a:stretch>
      </xdr:blipFill>
      <xdr:spPr bwMode="auto">
        <a:xfrm>
          <a:off x="10240735" y="1160688"/>
          <a:ext cx="7288894" cy="425586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13</xdr:col>
      <xdr:colOff>394607</xdr:colOff>
      <xdr:row>12</xdr:row>
      <xdr:rowOff>2</xdr:rowOff>
    </xdr:from>
    <xdr:to>
      <xdr:col>14</xdr:col>
      <xdr:colOff>870857</xdr:colOff>
      <xdr:row>34</xdr:row>
      <xdr:rowOff>9073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68C6317-4502-469E-9D2F-B1A99BEE7111}"/>
            </a:ext>
          </a:extLst>
        </xdr:cNvPr>
        <xdr:cNvSpPr/>
      </xdr:nvSpPr>
      <xdr:spPr>
        <a:xfrm>
          <a:off x="10891157" y="2105027"/>
          <a:ext cx="1466850" cy="358094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17</xdr:col>
      <xdr:colOff>84364</xdr:colOff>
      <xdr:row>11</xdr:row>
      <xdr:rowOff>147864</xdr:rowOff>
    </xdr:from>
    <xdr:to>
      <xdr:col>18</xdr:col>
      <xdr:colOff>728435</xdr:colOff>
      <xdr:row>31</xdr:row>
      <xdr:rowOff>149678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81DC617B-C055-4F0D-AD3E-FBEEFB542524}"/>
            </a:ext>
          </a:extLst>
        </xdr:cNvPr>
        <xdr:cNvSpPr/>
      </xdr:nvSpPr>
      <xdr:spPr>
        <a:xfrm>
          <a:off x="14314714" y="2090964"/>
          <a:ext cx="1472746" cy="3249839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40822</xdr:colOff>
      <xdr:row>7</xdr:row>
      <xdr:rowOff>7048</xdr:rowOff>
    </xdr:from>
    <xdr:to>
      <xdr:col>15</xdr:col>
      <xdr:colOff>13608</xdr:colOff>
      <xdr:row>30</xdr:row>
      <xdr:rowOff>9525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392206</xdr:colOff>
      <xdr:row>28</xdr:row>
      <xdr:rowOff>115019</xdr:rowOff>
    </xdr:from>
    <xdr:to>
      <xdr:col>10</xdr:col>
      <xdr:colOff>392206</xdr:colOff>
      <xdr:row>41</xdr:row>
      <xdr:rowOff>164886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72277</xdr:colOff>
      <xdr:row>40</xdr:row>
      <xdr:rowOff>59952</xdr:rowOff>
    </xdr:from>
    <xdr:to>
      <xdr:col>11</xdr:col>
      <xdr:colOff>714375</xdr:colOff>
      <xdr:row>55</xdr:row>
      <xdr:rowOff>67235</xdr:rowOff>
    </xdr:to>
    <xdr:graphicFrame macro="">
      <xdr:nvGraphicFramePr>
        <xdr:cNvPr id="2" name="Graphique 2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95249</xdr:colOff>
      <xdr:row>57</xdr:row>
      <xdr:rowOff>45140</xdr:rowOff>
    </xdr:from>
    <xdr:to>
      <xdr:col>11</xdr:col>
      <xdr:colOff>695325</xdr:colOff>
      <xdr:row>72</xdr:row>
      <xdr:rowOff>89647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rgan/Desktop/Excel/Excel/SFBC-%20laboratoir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ssier%20personnel-confidentiel-priv&#233;\Excel\SFBC-%20laboratoir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ssier%20personnel-confidentiel-priv&#233;\Excel\MAQUETTE%20validation%20biologie%20m&#233;dicale%20V3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organ%20gc\Desktop\EmVisage\Morgan\Statistique\Excel\Excel%20pro\Capabilit&#233;.xlsx" TargetMode="External"/><Relationship Id="rId1" Type="http://schemas.openxmlformats.org/officeDocument/2006/relationships/externalLinkPath" Target="Capabilit&#233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organ\Desktop\Excel\Excel\SFBC-%20laboratoir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portée flexible"/>
      <sheetName val="données 1"/>
      <sheetName val="Rapport de Validation"/>
      <sheetName val="Justesse et fidélité"/>
      <sheetName val="étalonnage X"/>
      <sheetName val="correlation équipement"/>
      <sheetName val="correlation réactif"/>
      <sheetName val="Carte de contrôle"/>
      <sheetName val="Plan emboité"/>
    </sheetNames>
    <sheetDataSet>
      <sheetData sheetId="0"/>
      <sheetData sheetId="1"/>
      <sheetData sheetId="2">
        <row r="6">
          <cell r="T6" t="str">
            <v>SUBSTRATS</v>
          </cell>
        </row>
        <row r="7">
          <cell r="T7" t="str">
            <v>Acide urique</v>
          </cell>
        </row>
        <row r="8">
          <cell r="T8" t="str">
            <v>Ammonium</v>
          </cell>
        </row>
        <row r="9">
          <cell r="T9" t="str">
            <v>CO2</v>
          </cell>
        </row>
        <row r="10">
          <cell r="T10" t="str">
            <v>Bilirubine Totale</v>
          </cell>
        </row>
        <row r="11">
          <cell r="T11" t="str">
            <v>Calcium ionisé</v>
          </cell>
        </row>
        <row r="12">
          <cell r="T12" t="str">
            <v>Calcium total</v>
          </cell>
        </row>
        <row r="13">
          <cell r="T13" t="str">
            <v>Chlore</v>
          </cell>
        </row>
        <row r="14">
          <cell r="T14" t="str">
            <v>Cholesterol</v>
          </cell>
        </row>
        <row r="15">
          <cell r="T15" t="str">
            <v>HDL</v>
          </cell>
        </row>
        <row r="16">
          <cell r="T16" t="str">
            <v>Creatinine</v>
          </cell>
        </row>
        <row r="17">
          <cell r="T17" t="str">
            <v>Fer</v>
          </cell>
        </row>
        <row r="18">
          <cell r="T18" t="str">
            <v>Ferritine</v>
          </cell>
        </row>
        <row r="20">
          <cell r="T20" t="str">
            <v>Folates</v>
          </cell>
        </row>
        <row r="21">
          <cell r="T21" t="str">
            <v>Fructosamine</v>
          </cell>
        </row>
        <row r="22">
          <cell r="T22" t="str">
            <v>Glucose</v>
          </cell>
        </row>
        <row r="23">
          <cell r="T23" t="str">
            <v>HbA1c</v>
          </cell>
        </row>
        <row r="25">
          <cell r="T25" t="str">
            <v>Lactate</v>
          </cell>
        </row>
        <row r="26">
          <cell r="T26" t="str">
            <v>Magnesium</v>
          </cell>
        </row>
        <row r="27">
          <cell r="T27" t="str">
            <v>Phosphate</v>
          </cell>
        </row>
        <row r="28">
          <cell r="T28" t="str">
            <v>Potassium</v>
          </cell>
        </row>
        <row r="30">
          <cell r="T30" t="str">
            <v>Protéines totales</v>
          </cell>
        </row>
        <row r="31">
          <cell r="T31" t="str">
            <v>Sodium</v>
          </cell>
        </row>
        <row r="32">
          <cell r="T32" t="str">
            <v>Triglycérides</v>
          </cell>
        </row>
        <row r="33">
          <cell r="T33" t="str">
            <v>Urée</v>
          </cell>
        </row>
        <row r="35">
          <cell r="T35" t="str">
            <v>SUBSTRATS URINAIRES</v>
          </cell>
        </row>
        <row r="36">
          <cell r="T36" t="str">
            <v>Acide urique U</v>
          </cell>
        </row>
        <row r="37">
          <cell r="T37" t="str">
            <v>Calcium U</v>
          </cell>
        </row>
        <row r="38">
          <cell r="T38" t="str">
            <v>Chlore U</v>
          </cell>
        </row>
        <row r="39">
          <cell r="T39" t="str">
            <v>Créatinine U</v>
          </cell>
        </row>
        <row r="40">
          <cell r="T40" t="str">
            <v>Glucose U</v>
          </cell>
        </row>
        <row r="41">
          <cell r="T41" t="str">
            <v>Magnesium U</v>
          </cell>
        </row>
        <row r="42">
          <cell r="T42" t="str">
            <v>MicroAlb U</v>
          </cell>
        </row>
        <row r="43">
          <cell r="T43" t="str">
            <v>Phosphate U</v>
          </cell>
        </row>
        <row r="44">
          <cell r="T44" t="str">
            <v>Potassium U</v>
          </cell>
        </row>
        <row r="45">
          <cell r="T45" t="str">
            <v>Protéines U</v>
          </cell>
        </row>
        <row r="46">
          <cell r="T46" t="str">
            <v>Sodium U</v>
          </cell>
        </row>
        <row r="47">
          <cell r="T47" t="str">
            <v>Urée U</v>
          </cell>
        </row>
        <row r="49">
          <cell r="T49" t="str">
            <v>ENZYMES</v>
          </cell>
        </row>
        <row r="50">
          <cell r="T50" t="str">
            <v>5'Nu</v>
          </cell>
        </row>
        <row r="51">
          <cell r="T51" t="str">
            <v>a-Amylase</v>
          </cell>
        </row>
        <row r="52">
          <cell r="T52" t="str">
            <v>ALAT</v>
          </cell>
        </row>
        <row r="53">
          <cell r="T53" t="str">
            <v>ASAT</v>
          </cell>
        </row>
        <row r="54">
          <cell r="T54" t="str">
            <v>CK</v>
          </cell>
        </row>
        <row r="55">
          <cell r="T55" t="str">
            <v>GGT</v>
          </cell>
        </row>
        <row r="56">
          <cell r="T56" t="str">
            <v>LDH</v>
          </cell>
        </row>
        <row r="57">
          <cell r="T57" t="str">
            <v>Lipase</v>
          </cell>
        </row>
        <row r="58">
          <cell r="T58" t="str">
            <v>PAL</v>
          </cell>
        </row>
        <row r="60">
          <cell r="T60" t="str">
            <v>PROTEINES SPECIFIQUES</v>
          </cell>
        </row>
        <row r="61">
          <cell r="T61" t="str">
            <v>a1AT</v>
          </cell>
        </row>
        <row r="62">
          <cell r="T62" t="str">
            <v>a2-Macroglobuline</v>
          </cell>
        </row>
        <row r="63">
          <cell r="T63" t="str">
            <v>Albumine</v>
          </cell>
        </row>
        <row r="64">
          <cell r="T64" t="str">
            <v>ApoA1</v>
          </cell>
        </row>
        <row r="65">
          <cell r="T65" t="str">
            <v>ApoB</v>
          </cell>
        </row>
        <row r="66">
          <cell r="T66" t="str">
            <v>b2-Microglobuline</v>
          </cell>
        </row>
        <row r="67">
          <cell r="T67" t="str">
            <v>Céruléoplasmine</v>
          </cell>
        </row>
        <row r="68">
          <cell r="T68" t="str">
            <v>C3</v>
          </cell>
        </row>
        <row r="69">
          <cell r="T69" t="str">
            <v>C4</v>
          </cell>
        </row>
        <row r="70">
          <cell r="T70" t="str">
            <v>CRP</v>
          </cell>
        </row>
        <row r="71">
          <cell r="T71" t="str">
            <v>Haptoglobine</v>
          </cell>
        </row>
        <row r="72">
          <cell r="T72" t="str">
            <v>IgA</v>
          </cell>
        </row>
        <row r="73">
          <cell r="T73" t="str">
            <v>IgE</v>
          </cell>
        </row>
        <row r="74">
          <cell r="T74" t="str">
            <v>IgG</v>
          </cell>
        </row>
        <row r="75">
          <cell r="T75" t="str">
            <v>IgM</v>
          </cell>
        </row>
        <row r="76">
          <cell r="T76" t="str">
            <v>Oroso</v>
          </cell>
        </row>
        <row r="77">
          <cell r="T77" t="str">
            <v>PréAlb</v>
          </cell>
        </row>
        <row r="78">
          <cell r="T78" t="str">
            <v>Transférrine</v>
          </cell>
        </row>
        <row r="80">
          <cell r="T80" t="str">
            <v>GAZ DU SANG</v>
          </cell>
        </row>
        <row r="81">
          <cell r="T81" t="str">
            <v>HbCO</v>
          </cell>
        </row>
        <row r="82">
          <cell r="T82" t="str">
            <v>HbO2</v>
          </cell>
        </row>
        <row r="83">
          <cell r="T83" t="str">
            <v>metHb</v>
          </cell>
        </row>
        <row r="86">
          <cell r="T86" t="str">
            <v>pCO2</v>
          </cell>
        </row>
        <row r="87">
          <cell r="T87" t="str">
            <v>pH (unité)</v>
          </cell>
        </row>
        <row r="88">
          <cell r="T88" t="str">
            <v>pH (nmol/l)</v>
          </cell>
        </row>
        <row r="89">
          <cell r="T89" t="str">
            <v>p02</v>
          </cell>
        </row>
        <row r="106">
          <cell r="T106" t="str">
            <v>MEDICAMENTS</v>
          </cell>
        </row>
        <row r="107">
          <cell r="T107" t="str">
            <v>Acide Valproïque</v>
          </cell>
        </row>
        <row r="108">
          <cell r="T108" t="str">
            <v>Amikacine</v>
          </cell>
        </row>
        <row r="109">
          <cell r="T109" t="str">
            <v>Carbamazépine</v>
          </cell>
        </row>
        <row r="110">
          <cell r="T110" t="str">
            <v>Digoxine</v>
          </cell>
        </row>
        <row r="111">
          <cell r="T111" t="str">
            <v>Gentamicine</v>
          </cell>
        </row>
        <row r="112">
          <cell r="T112" t="str">
            <v>Lithium</v>
          </cell>
        </row>
        <row r="113">
          <cell r="T113" t="str">
            <v>Méthotrexate</v>
          </cell>
        </row>
        <row r="114">
          <cell r="T114" t="str">
            <v>Paracétamol</v>
          </cell>
        </row>
        <row r="115">
          <cell r="T115" t="str">
            <v>Phénobarbital</v>
          </cell>
        </row>
        <row r="116">
          <cell r="T116" t="str">
            <v>Phénytoïne</v>
          </cell>
        </row>
        <row r="117">
          <cell r="T117" t="str">
            <v>Salycilates</v>
          </cell>
        </row>
        <row r="118">
          <cell r="T118" t="str">
            <v>Théophiline</v>
          </cell>
        </row>
        <row r="119">
          <cell r="T119" t="str">
            <v>Vancomycine</v>
          </cell>
        </row>
        <row r="121">
          <cell r="T121" t="str">
            <v>MARQUEURS TUMORAUX</v>
          </cell>
        </row>
        <row r="122">
          <cell r="T122" t="str">
            <v>ACE</v>
          </cell>
        </row>
        <row r="123">
          <cell r="T123" t="str">
            <v>AFP</v>
          </cell>
        </row>
        <row r="124">
          <cell r="T124" t="str">
            <v>CA125</v>
          </cell>
        </row>
        <row r="125">
          <cell r="T125" t="str">
            <v>CA15-3</v>
          </cell>
        </row>
        <row r="126">
          <cell r="T126" t="str">
            <v>CA19-9</v>
          </cell>
        </row>
        <row r="127">
          <cell r="T127" t="str">
            <v>PSA</v>
          </cell>
        </row>
        <row r="129">
          <cell r="T129" t="str">
            <v>HORMONES</v>
          </cell>
        </row>
        <row r="130">
          <cell r="T130" t="str">
            <v>Cortisol</v>
          </cell>
        </row>
        <row r="131">
          <cell r="T131" t="str">
            <v>E2</v>
          </cell>
        </row>
        <row r="132">
          <cell r="T132" t="str">
            <v>FSH</v>
          </cell>
        </row>
        <row r="133">
          <cell r="T133" t="str">
            <v>GH</v>
          </cell>
        </row>
        <row r="134">
          <cell r="T134" t="str">
            <v>HCG B</v>
          </cell>
        </row>
        <row r="135">
          <cell r="T135" t="str">
            <v>Insuline</v>
          </cell>
        </row>
        <row r="136">
          <cell r="T136" t="str">
            <v>LH</v>
          </cell>
        </row>
        <row r="137">
          <cell r="T137" t="str">
            <v>PTH</v>
          </cell>
        </row>
        <row r="138">
          <cell r="T138" t="str">
            <v>Peptide C</v>
          </cell>
        </row>
        <row r="139">
          <cell r="T139" t="str">
            <v>Progesterone</v>
          </cell>
        </row>
        <row r="140">
          <cell r="T140" t="str">
            <v>Prolactine</v>
          </cell>
        </row>
        <row r="141">
          <cell r="T141" t="str">
            <v>FT3</v>
          </cell>
        </row>
        <row r="142">
          <cell r="T142" t="str">
            <v>FT4</v>
          </cell>
        </row>
        <row r="143">
          <cell r="T143" t="str">
            <v>Testosterone</v>
          </cell>
        </row>
        <row r="144">
          <cell r="T144" t="str">
            <v>TSH</v>
          </cell>
        </row>
        <row r="146">
          <cell r="T146" t="str">
            <v>RICOS</v>
          </cell>
        </row>
        <row r="148">
          <cell r="T148" t="str">
            <v xml:space="preserve">Sang-plasma </v>
          </cell>
        </row>
        <row r="149">
          <cell r="T149" t="str">
            <v>11-Desoxycortisol S</v>
          </cell>
        </row>
        <row r="150">
          <cell r="T150" t="str">
            <v>17-Hydroxyprogesterone</v>
          </cell>
        </row>
        <row r="151">
          <cell r="T151" t="str">
            <v>5' Nucleotidase</v>
          </cell>
        </row>
        <row r="152">
          <cell r="T152" t="str">
            <v>a1-Acid Glycoprotein</v>
          </cell>
        </row>
        <row r="153">
          <cell r="T153" t="str">
            <v>a1-Antichymotrypsin</v>
          </cell>
        </row>
        <row r="154">
          <cell r="T154" t="str">
            <v>a1-Antitrypsin</v>
          </cell>
        </row>
        <row r="155">
          <cell r="T155" t="str">
            <v>a1-Globulin</v>
          </cell>
        </row>
        <row r="156">
          <cell r="T156" t="str">
            <v>a2-Antiplasmin</v>
          </cell>
        </row>
        <row r="157">
          <cell r="T157" t="str">
            <v>a2-Globulins</v>
          </cell>
        </row>
        <row r="158">
          <cell r="T158" t="str">
            <v>a2-Macroglobulin</v>
          </cell>
        </row>
        <row r="159">
          <cell r="T159" t="str">
            <v>a-Amylase (ricos)</v>
          </cell>
        </row>
        <row r="160">
          <cell r="T160" t="str">
            <v>a-Amylase (pancreatic)</v>
          </cell>
        </row>
        <row r="161">
          <cell r="T161" t="str">
            <v>a-Carotene</v>
          </cell>
        </row>
        <row r="162">
          <cell r="T162" t="str">
            <v>a-Fetoprotein(non hepatic carcinoma)</v>
          </cell>
        </row>
        <row r="163">
          <cell r="T163" t="str">
            <v>a-Tocopherol</v>
          </cell>
        </row>
        <row r="164">
          <cell r="T164" t="str">
            <v>Acid phosphatase</v>
          </cell>
        </row>
        <row r="165">
          <cell r="T165" t="str">
            <v>Acid phosphatase tartrate-resistant (TR-ACP)</v>
          </cell>
        </row>
        <row r="166">
          <cell r="T166" t="str">
            <v>Acid phosphatase prostatic activity (PAP)</v>
          </cell>
        </row>
        <row r="167">
          <cell r="T167" t="str">
            <v>Activated partial thromboplastine time</v>
          </cell>
        </row>
        <row r="168">
          <cell r="T168" t="str">
            <v>Acyl/free carnitine</v>
          </cell>
        </row>
        <row r="169">
          <cell r="T169" t="str">
            <v>Adiponectin</v>
          </cell>
        </row>
        <row r="170">
          <cell r="T170" t="str">
            <v>Adenosine deaminase (ADA)</v>
          </cell>
        </row>
        <row r="171">
          <cell r="T171" t="str">
            <v>Alanine aminopeptidase</v>
          </cell>
        </row>
        <row r="172">
          <cell r="T172" t="str">
            <v>Alanine aminotransferase</v>
          </cell>
        </row>
        <row r="173">
          <cell r="T173" t="str">
            <v>Albumin</v>
          </cell>
        </row>
        <row r="174">
          <cell r="T174" t="str">
            <v>Aldosterone</v>
          </cell>
        </row>
        <row r="175">
          <cell r="T175" t="str">
            <v>Alkaline phosphatase</v>
          </cell>
        </row>
        <row r="176">
          <cell r="T176" t="str">
            <v>Alkaline phosphatase, bone</v>
          </cell>
        </row>
        <row r="177">
          <cell r="T177" t="str">
            <v>Alkaline phosphatase, liver</v>
          </cell>
        </row>
        <row r="178">
          <cell r="T178" t="str">
            <v>Alkaline phosphatase, placental</v>
          </cell>
        </row>
        <row r="179">
          <cell r="T179" t="str">
            <v>Amyloid A</v>
          </cell>
        </row>
        <row r="180">
          <cell r="T180" t="str">
            <v>Androstendione</v>
          </cell>
        </row>
        <row r="181">
          <cell r="T181" t="str">
            <v>Androstenedione</v>
          </cell>
        </row>
        <row r="182">
          <cell r="T182" t="str">
            <v>Angiotensin converting enzyme</v>
          </cell>
        </row>
        <row r="183">
          <cell r="T183" t="str">
            <v>Antithrombin III</v>
          </cell>
        </row>
        <row r="184">
          <cell r="T184" t="str">
            <v>Apolipoprotein A1</v>
          </cell>
        </row>
        <row r="185">
          <cell r="T185" t="str">
            <v>Apolipoprotein B</v>
          </cell>
        </row>
        <row r="186">
          <cell r="T186" t="str">
            <v>Ascorbic Acid</v>
          </cell>
        </row>
        <row r="187">
          <cell r="T187" t="str">
            <v>Aspartate aminotransferase</v>
          </cell>
        </row>
        <row r="188">
          <cell r="T188" t="str">
            <v>b-2-Microglobulin</v>
          </cell>
        </row>
        <row r="189">
          <cell r="T189" t="str">
            <v>Basophile, count</v>
          </cell>
        </row>
        <row r="190">
          <cell r="T190" t="str">
            <v>b-Carotene</v>
          </cell>
        </row>
        <row r="191">
          <cell r="T191" t="str">
            <v>b-Cryptoxantin</v>
          </cell>
        </row>
        <row r="192">
          <cell r="T192" t="str">
            <v>b-Globulins</v>
          </cell>
        </row>
        <row r="193">
          <cell r="T193" t="str">
            <v>Bilirubin total</v>
          </cell>
        </row>
        <row r="194">
          <cell r="T194" t="str">
            <v>Bilirubin conjugated</v>
          </cell>
        </row>
        <row r="195">
          <cell r="T195" t="str">
            <v>CA 125 antigen</v>
          </cell>
        </row>
        <row r="196">
          <cell r="T196" t="str">
            <v>CA 15,3 antigen</v>
          </cell>
        </row>
        <row r="197">
          <cell r="T197" t="str">
            <v>CA 19,9 antigen</v>
          </cell>
        </row>
        <row r="198">
          <cell r="T198" t="str">
            <v>CA 549 antigen</v>
          </cell>
        </row>
        <row r="199">
          <cell r="T199" t="str">
            <v>Calcium</v>
          </cell>
        </row>
        <row r="200">
          <cell r="T200" t="str">
            <v>Carbohydrate deficient transferrin</v>
          </cell>
        </row>
        <row r="201">
          <cell r="T201" t="str">
            <v>Carcinoembryonic antigen (CEA)</v>
          </cell>
        </row>
        <row r="202">
          <cell r="T202" t="str">
            <v>CD4 lymphocyte count</v>
          </cell>
        </row>
        <row r="203">
          <cell r="T203" t="str">
            <v>Ceruloplasmin</v>
          </cell>
        </row>
        <row r="204">
          <cell r="T204" t="str">
            <v>Chloride</v>
          </cell>
        </row>
        <row r="205">
          <cell r="T205" t="str">
            <v>Cholesterol (ricos)</v>
          </cell>
        </row>
        <row r="206">
          <cell r="T206" t="str">
            <v>Cholinesterase</v>
          </cell>
        </row>
        <row r="207">
          <cell r="T207" t="str">
            <v>Cholinesterase, activity</v>
          </cell>
        </row>
        <row r="208">
          <cell r="T208" t="str">
            <v>Cholinesterase, immunoreactive</v>
          </cell>
        </row>
        <row r="209">
          <cell r="T209" t="str">
            <v>C3 complement</v>
          </cell>
        </row>
        <row r="210">
          <cell r="T210" t="str">
            <v>C4 complement</v>
          </cell>
        </row>
        <row r="211">
          <cell r="T211" t="str">
            <v>Chromogranin A</v>
          </cell>
        </row>
        <row r="212">
          <cell r="T212" t="str">
            <v>Copper</v>
          </cell>
        </row>
        <row r="213">
          <cell r="T213" t="str">
            <v>Copper</v>
          </cell>
        </row>
        <row r="214">
          <cell r="T214" t="str">
            <v>Cortisol (ricos)</v>
          </cell>
        </row>
        <row r="215">
          <cell r="T215" t="str">
            <v>C Peptide</v>
          </cell>
        </row>
        <row r="216">
          <cell r="T216" t="str">
            <v>C-Propeptide type I procollagen</v>
          </cell>
        </row>
        <row r="217">
          <cell r="T217" t="str">
            <v>C-Reactive protein</v>
          </cell>
        </row>
        <row r="218">
          <cell r="T218" t="str">
            <v>Creatine kinase (CK)</v>
          </cell>
        </row>
        <row r="219">
          <cell r="T219" t="str">
            <v>Creatine kinase MB, %</v>
          </cell>
        </row>
        <row r="220">
          <cell r="T220" t="str">
            <v>Creatine kinase MB, activity</v>
          </cell>
        </row>
        <row r="221">
          <cell r="T221" t="str">
            <v>Creatine kinase MB, mass</v>
          </cell>
        </row>
        <row r="222">
          <cell r="T222" t="str">
            <v>Creatinine (ricos)</v>
          </cell>
        </row>
        <row r="223">
          <cell r="T223" t="str">
            <v>Creatinine clearance</v>
          </cell>
        </row>
        <row r="224">
          <cell r="T224" t="str">
            <v>Cyfra 21,1</v>
          </cell>
        </row>
        <row r="225">
          <cell r="T225" t="str">
            <v>Cystastin C</v>
          </cell>
        </row>
        <row r="226">
          <cell r="T226" t="str">
            <v>Cysteine</v>
          </cell>
        </row>
        <row r="227">
          <cell r="T227" t="str">
            <v>Dehydroepiandrosterone sulfate</v>
          </cell>
        </row>
        <row r="228">
          <cell r="T228" t="str">
            <v>Dipeptidyl-peptidase IV (ACE)</v>
          </cell>
        </row>
        <row r="229">
          <cell r="T229" t="str">
            <v>Dipeptidyl-peptidase IV (ACE)</v>
          </cell>
        </row>
        <row r="230">
          <cell r="T230" t="str">
            <v>Elastase</v>
          </cell>
        </row>
        <row r="231">
          <cell r="T231" t="str">
            <v>Endotelial growth factor</v>
          </cell>
        </row>
        <row r="232">
          <cell r="T232" t="str">
            <v>Eosinophils, count</v>
          </cell>
        </row>
        <row r="233">
          <cell r="T233" t="str">
            <v>Epinephrine</v>
          </cell>
        </row>
        <row r="234">
          <cell r="T234" t="str">
            <v>Epinephrine</v>
          </cell>
        </row>
        <row r="235">
          <cell r="T235" t="str">
            <v>Erythrocytes, count</v>
          </cell>
        </row>
        <row r="236">
          <cell r="T236" t="str">
            <v>Erythrocyte distribution wide</v>
          </cell>
        </row>
        <row r="237">
          <cell r="T237" t="str">
            <v>Estradiol</v>
          </cell>
        </row>
        <row r="238">
          <cell r="T238" t="str">
            <v>Factor V coagulation</v>
          </cell>
        </row>
        <row r="239">
          <cell r="T239" t="str">
            <v>Factor VII coagulation</v>
          </cell>
        </row>
        <row r="240">
          <cell r="T240" t="str">
            <v>Factor VIII coagulation</v>
          </cell>
        </row>
        <row r="241">
          <cell r="T241" t="str">
            <v>Factor X coagulation</v>
          </cell>
        </row>
        <row r="242">
          <cell r="T242" t="str">
            <v>Ferritin</v>
          </cell>
        </row>
        <row r="243">
          <cell r="T243" t="str">
            <v>Fibrinogen</v>
          </cell>
        </row>
        <row r="244">
          <cell r="T244" t="str">
            <v>Folate (ricos 1)</v>
          </cell>
        </row>
        <row r="245">
          <cell r="T245" t="str">
            <v>Folate (ricos 2)</v>
          </cell>
        </row>
        <row r="246">
          <cell r="T246" t="str">
            <v>Follicle stimulating hormone (males)</v>
          </cell>
        </row>
        <row r="247">
          <cell r="T247" t="str">
            <v>Free carnitine</v>
          </cell>
        </row>
        <row r="248">
          <cell r="T248" t="str">
            <v>Free estradiol</v>
          </cell>
        </row>
        <row r="249">
          <cell r="T249" t="str">
            <v>Free testosterone</v>
          </cell>
        </row>
        <row r="250">
          <cell r="T250" t="str">
            <v>Free thyroxine (FT4)</v>
          </cell>
        </row>
        <row r="251">
          <cell r="T251" t="str">
            <v>Free Triiodothyronine (FT3)</v>
          </cell>
        </row>
        <row r="252">
          <cell r="T252" t="str">
            <v>Fructosamine (ricos)</v>
          </cell>
        </row>
        <row r="253">
          <cell r="T253" t="str">
            <v>Galactosyl hydroxylisine</v>
          </cell>
        </row>
        <row r="254">
          <cell r="T254" t="str">
            <v>g-Globulins</v>
          </cell>
        </row>
        <row r="255">
          <cell r="T255" t="str">
            <v>g-glutamyltransferase</v>
          </cell>
        </row>
        <row r="256">
          <cell r="T256" t="str">
            <v>Globulins, total</v>
          </cell>
        </row>
        <row r="257">
          <cell r="T257" t="str">
            <v>Glucose (ricos)</v>
          </cell>
        </row>
        <row r="258">
          <cell r="T258" t="str">
            <v>Glucose-6-phosphate-1-dehydrogenase (G6PDH)</v>
          </cell>
        </row>
        <row r="259">
          <cell r="T259" t="str">
            <v>Glucose-6-phosphate-1-dehydrogenase (G6PDH)</v>
          </cell>
        </row>
        <row r="260">
          <cell r="T260" t="str">
            <v>Glutathion peroxidase</v>
          </cell>
        </row>
        <row r="261">
          <cell r="T261" t="str">
            <v>Glycated albumin</v>
          </cell>
        </row>
        <row r="262">
          <cell r="T262" t="str">
            <v>Glycated total protein</v>
          </cell>
        </row>
        <row r="263">
          <cell r="T263" t="str">
            <v>Haptoglobin</v>
          </cell>
        </row>
        <row r="264">
          <cell r="T264" t="str">
            <v>Hematocrit</v>
          </cell>
        </row>
        <row r="265">
          <cell r="T265" t="str">
            <v>Hemoglobin</v>
          </cell>
        </row>
        <row r="266">
          <cell r="T266" t="str">
            <v>Hemoglobin A1 C</v>
          </cell>
        </row>
        <row r="267">
          <cell r="T267" t="str">
            <v>HDL cholesterol</v>
          </cell>
        </row>
        <row r="268">
          <cell r="T268" t="str">
            <v>HDL 1 cholesterol</v>
          </cell>
        </row>
        <row r="269">
          <cell r="T269" t="str">
            <v>HDL 2 cholesterol</v>
          </cell>
        </row>
        <row r="270">
          <cell r="T270" t="str">
            <v>HDL 3 cholesterol</v>
          </cell>
        </row>
        <row r="271">
          <cell r="T271" t="str">
            <v>Homocysteine</v>
          </cell>
        </row>
        <row r="272">
          <cell r="T272" t="str">
            <v>Hydroxyproline/creatinine</v>
          </cell>
        </row>
        <row r="273">
          <cell r="T273" t="str">
            <v>Hydroxybutyrate dehydrogenase</v>
          </cell>
        </row>
        <row r="274">
          <cell r="T274" t="str">
            <v>Immunoglobulin A</v>
          </cell>
        </row>
        <row r="275">
          <cell r="T275" t="str">
            <v>Immunoglobulin G</v>
          </cell>
        </row>
        <row r="276">
          <cell r="T276" t="str">
            <v>Immunoglobulin M</v>
          </cell>
        </row>
        <row r="277">
          <cell r="T277" t="str">
            <v>Immunoglobulins K chains</v>
          </cell>
        </row>
        <row r="278">
          <cell r="T278" t="str">
            <v>Immunoglobulins l chains</v>
          </cell>
        </row>
        <row r="279">
          <cell r="T279" t="str">
            <v>Insulin</v>
          </cell>
        </row>
        <row r="280">
          <cell r="T280" t="str">
            <v>Insulin-like growth factor (IGF-1)</v>
          </cell>
        </row>
        <row r="281">
          <cell r="T281" t="str">
            <v>Intercellular adhesion molecule-1</v>
          </cell>
        </row>
        <row r="282">
          <cell r="T282" t="str">
            <v>Interferon receptor</v>
          </cell>
        </row>
        <row r="283">
          <cell r="T283" t="str">
            <v>Interleukin-1B</v>
          </cell>
        </row>
        <row r="284">
          <cell r="T284" t="str">
            <v>Interleukin-8</v>
          </cell>
        </row>
        <row r="285">
          <cell r="T285" t="str">
            <v>Iron</v>
          </cell>
        </row>
        <row r="286">
          <cell r="T286" t="str">
            <v>Lactate (ricos)</v>
          </cell>
        </row>
        <row r="287">
          <cell r="T287" t="str">
            <v>Lactate dehydrogenase (LDH)</v>
          </cell>
        </row>
        <row r="288">
          <cell r="T288" t="str">
            <v>Lactate dehydrogenase 1 isoform (LDH1)</v>
          </cell>
        </row>
        <row r="289">
          <cell r="T289" t="str">
            <v>Lactate dehydrogenase 2 isoform (LDH2)</v>
          </cell>
        </row>
        <row r="290">
          <cell r="T290" t="str">
            <v>Lactate dehydrogenase 3 isoform (LDH3)</v>
          </cell>
        </row>
        <row r="291">
          <cell r="T291" t="str">
            <v>Lactate dehydrogenase 4 isoform (LDH4)</v>
          </cell>
        </row>
        <row r="292">
          <cell r="T292" t="str">
            <v>Lactate dehydrogenase 5 isoform (LDH5)</v>
          </cell>
        </row>
        <row r="293">
          <cell r="T293" t="str">
            <v>Lactoferrin</v>
          </cell>
        </row>
        <row r="294">
          <cell r="T294" t="str">
            <v>Leukocytes, count</v>
          </cell>
        </row>
        <row r="295">
          <cell r="T295" t="str">
            <v>LDL Cholesterol</v>
          </cell>
        </row>
        <row r="296">
          <cell r="T296" t="str">
            <v>LDL Cholesterol (direct)</v>
          </cell>
        </row>
        <row r="297">
          <cell r="T297" t="str">
            <v>LDL Cholesterol (oxidized)</v>
          </cell>
        </row>
        <row r="298">
          <cell r="T298" t="str">
            <v>LDL receptor mRNA</v>
          </cell>
        </row>
        <row r="299">
          <cell r="T299" t="str">
            <v>Leukocytes count</v>
          </cell>
        </row>
        <row r="300">
          <cell r="T300" t="str">
            <v>Lipase (ricos)</v>
          </cell>
        </row>
        <row r="301">
          <cell r="T301" t="str">
            <v>Lipoprotein (a)</v>
          </cell>
        </row>
        <row r="302">
          <cell r="T302" t="str">
            <v>Lutein</v>
          </cell>
        </row>
        <row r="303">
          <cell r="T303" t="str">
            <v>Luteinizing hormone</v>
          </cell>
        </row>
        <row r="304">
          <cell r="T304" t="str">
            <v>Lycopenene</v>
          </cell>
        </row>
        <row r="305">
          <cell r="T305" t="str">
            <v>Lymphocytes, count</v>
          </cell>
        </row>
        <row r="306">
          <cell r="T306" t="str">
            <v>Lymphocytes CD4</v>
          </cell>
        </row>
        <row r="307">
          <cell r="T307" t="str">
            <v>Magnesium (ricos)</v>
          </cell>
        </row>
        <row r="308">
          <cell r="T308" t="str">
            <v>Magnesium (ricos2)</v>
          </cell>
        </row>
        <row r="309">
          <cell r="T309" t="str">
            <v>Magnesium (ricos3)</v>
          </cell>
        </row>
        <row r="310">
          <cell r="T310" t="str">
            <v>Magnesium, concentration, 24h</v>
          </cell>
        </row>
        <row r="311">
          <cell r="T311" t="str">
            <v>Magnesium, ionized</v>
          </cell>
        </row>
        <row r="312">
          <cell r="T312" t="str">
            <v>Magnesium, output, 24h</v>
          </cell>
        </row>
        <row r="313">
          <cell r="T313" t="str">
            <v>Mean corpuscular hemoglobin (HCM)</v>
          </cell>
        </row>
        <row r="314">
          <cell r="T314" t="str">
            <v>Mean corpuscular hemoglobin concentration (MCHC)</v>
          </cell>
        </row>
        <row r="315">
          <cell r="T315" t="str">
            <v>Mean corpuscular volume (MCV)</v>
          </cell>
        </row>
        <row r="316">
          <cell r="T316" t="str">
            <v>Mean platelet volume (MPV)</v>
          </cell>
        </row>
        <row r="317">
          <cell r="T317" t="str">
            <v>Monocytes, count</v>
          </cell>
        </row>
        <row r="318">
          <cell r="T318" t="str">
            <v>Mucinous carcinoma-associated antigen (MCA)</v>
          </cell>
        </row>
        <row r="319">
          <cell r="T319" t="str">
            <v>Myeloperoxidase</v>
          </cell>
        </row>
        <row r="320">
          <cell r="T320" t="str">
            <v>Myoglobin</v>
          </cell>
        </row>
        <row r="321">
          <cell r="T321" t="str">
            <v>N-Acetyl Glucosaminidase, concentration, overnight</v>
          </cell>
        </row>
        <row r="322">
          <cell r="T322" t="str">
            <v>Neutrophyles, count</v>
          </cell>
        </row>
        <row r="323">
          <cell r="T323" t="str">
            <v>Non-inhibited arilestearase activity</v>
          </cell>
        </row>
        <row r="324">
          <cell r="T324" t="str">
            <v>Norepinephrine</v>
          </cell>
        </row>
        <row r="325">
          <cell r="T325" t="str">
            <v>Norepinephrine</v>
          </cell>
        </row>
        <row r="326">
          <cell r="T326" t="str">
            <v>N-terminal (NT)-proBNP</v>
          </cell>
        </row>
        <row r="327">
          <cell r="T327" t="str">
            <v>Osmolality</v>
          </cell>
        </row>
        <row r="328">
          <cell r="T328" t="str">
            <v>Osteocalcin</v>
          </cell>
        </row>
        <row r="329">
          <cell r="T329" t="str">
            <v>Osteocalcin (+1 trab)</v>
          </cell>
        </row>
        <row r="330">
          <cell r="T330" t="str">
            <v>Oxalate, concentration, 24h</v>
          </cell>
        </row>
        <row r="331">
          <cell r="T331" t="str">
            <v>Oxalate, output, 24h</v>
          </cell>
        </row>
        <row r="332">
          <cell r="T332" t="str">
            <v>pCO2 (ricos)</v>
          </cell>
        </row>
        <row r="333">
          <cell r="T333" t="str">
            <v>pH [H+]</v>
          </cell>
        </row>
        <row r="334">
          <cell r="T334" t="str">
            <v>pH (pH units)</v>
          </cell>
        </row>
        <row r="335">
          <cell r="T335" t="str">
            <v>Paraoxon</v>
          </cell>
        </row>
        <row r="336">
          <cell r="T336" t="str">
            <v>Paraoxonase 1 substrate inhibition (PON 4SI)</v>
          </cell>
        </row>
        <row r="337">
          <cell r="T337" t="str">
            <v>Paraoxonase activity (salt estimulated)</v>
          </cell>
        </row>
        <row r="338">
          <cell r="T338" t="str">
            <v>Parathyroid hormone (PTH)</v>
          </cell>
        </row>
        <row r="339">
          <cell r="T339" t="str">
            <v>Phenylacetate</v>
          </cell>
        </row>
        <row r="340">
          <cell r="T340" t="str">
            <v>Phosphate (ricos)</v>
          </cell>
        </row>
        <row r="341">
          <cell r="T341" t="str">
            <v>Phosphate tubular reabsorption</v>
          </cell>
        </row>
        <row r="342">
          <cell r="T342" t="str">
            <v>Phospholipids</v>
          </cell>
        </row>
        <row r="343">
          <cell r="T343" t="str">
            <v>Plasminogen</v>
          </cell>
        </row>
        <row r="344">
          <cell r="T344" t="str">
            <v>Platelets, count</v>
          </cell>
        </row>
        <row r="345">
          <cell r="T345" t="str">
            <v>Platelet distribution wide</v>
          </cell>
        </row>
        <row r="346">
          <cell r="T346" t="str">
            <v>Plateletcrit</v>
          </cell>
        </row>
        <row r="347">
          <cell r="T347" t="str">
            <v>Potassium (ricos)</v>
          </cell>
        </row>
        <row r="348">
          <cell r="T348" t="str">
            <v>Potassium (ricos2)</v>
          </cell>
        </row>
        <row r="349">
          <cell r="T349" t="str">
            <v>Prealbumin</v>
          </cell>
        </row>
        <row r="350">
          <cell r="T350" t="str">
            <v>Procollagen type 1 C-terminal</v>
          </cell>
        </row>
        <row r="351">
          <cell r="T351" t="str">
            <v>Procollagen type 1 N-terminal</v>
          </cell>
        </row>
        <row r="352">
          <cell r="T352" t="str">
            <v>Prolactin (men)</v>
          </cell>
        </row>
        <row r="353">
          <cell r="T353" t="str">
            <v>Prolyl endopeptidase</v>
          </cell>
        </row>
        <row r="354">
          <cell r="T354" t="str">
            <v>Properdin factor B</v>
          </cell>
        </row>
        <row r="355">
          <cell r="T355" t="str">
            <v>Prostatic specific antigen (PSA)</v>
          </cell>
        </row>
        <row r="356">
          <cell r="T356" t="str">
            <v>Protein C</v>
          </cell>
        </row>
        <row r="357">
          <cell r="T357" t="str">
            <v>Protein S</v>
          </cell>
        </row>
        <row r="358">
          <cell r="T358" t="str">
            <v>Protein, total</v>
          </cell>
        </row>
        <row r="359">
          <cell r="T359" t="str">
            <v>Prothrombin time</v>
          </cell>
        </row>
        <row r="360">
          <cell r="T360" t="str">
            <v>Pyruvate</v>
          </cell>
        </row>
        <row r="361">
          <cell r="T361" t="str">
            <v>Red cell distribution wide (RDW)</v>
          </cell>
        </row>
        <row r="362">
          <cell r="T362" t="str">
            <v>Reticulocyte highly fluorescent, count</v>
          </cell>
        </row>
        <row r="363">
          <cell r="T363" t="str">
            <v>Reticulocyte low fluorescent, count</v>
          </cell>
        </row>
        <row r="364">
          <cell r="T364" t="str">
            <v>Reticulocyte medium fluorescent, count</v>
          </cell>
        </row>
        <row r="365">
          <cell r="T365" t="str">
            <v>Reticulocyte, count</v>
          </cell>
        </row>
        <row r="366">
          <cell r="T366" t="str">
            <v>Retinol</v>
          </cell>
        </row>
        <row r="367">
          <cell r="T367" t="str">
            <v>Retinol</v>
          </cell>
        </row>
        <row r="368">
          <cell r="T368" t="str">
            <v>Rheumatoid factor</v>
          </cell>
        </row>
        <row r="369">
          <cell r="T369" t="str">
            <v>SCC antigen</v>
          </cell>
        </row>
        <row r="370">
          <cell r="T370" t="str">
            <v>Selenium</v>
          </cell>
        </row>
        <row r="371">
          <cell r="T371" t="str">
            <v>Selenium</v>
          </cell>
        </row>
        <row r="372">
          <cell r="T372" t="str">
            <v>Semen, concentration</v>
          </cell>
        </row>
        <row r="373">
          <cell r="T373" t="str">
            <v>Semen, morphology</v>
          </cell>
        </row>
        <row r="374">
          <cell r="T374" t="str">
            <v>Semen, progressive motility</v>
          </cell>
        </row>
        <row r="375">
          <cell r="T375" t="str">
            <v>Semen, progressive rapid motility</v>
          </cell>
        </row>
        <row r="376">
          <cell r="T376" t="str">
            <v>Semen, total motility</v>
          </cell>
        </row>
        <row r="377">
          <cell r="T377" t="str">
            <v>Semen, vitality</v>
          </cell>
        </row>
        <row r="378">
          <cell r="T378" t="str">
            <v>Sex hormone binding globulin (SHBG)</v>
          </cell>
        </row>
        <row r="379">
          <cell r="T379" t="str">
            <v>Sodium (ricos)</v>
          </cell>
        </row>
        <row r="380">
          <cell r="T380" t="str">
            <v>Sodium (ricos2)</v>
          </cell>
        </row>
        <row r="381">
          <cell r="T381" t="str">
            <v>Sodium (ricos3)</v>
          </cell>
        </row>
        <row r="382">
          <cell r="T382" t="str">
            <v>Sodium Bicarbonate</v>
          </cell>
        </row>
        <row r="383">
          <cell r="T383" t="str">
            <v>Sodium Chloride</v>
          </cell>
        </row>
        <row r="384">
          <cell r="T384" t="str">
            <v>Soluble CD163</v>
          </cell>
        </row>
        <row r="385">
          <cell r="T385" t="str">
            <v>Soluble CD163</v>
          </cell>
        </row>
        <row r="386">
          <cell r="T386" t="str">
            <v>Superoxide dismutase</v>
          </cell>
        </row>
        <row r="387">
          <cell r="T387" t="str">
            <v>Superoxide dismutase</v>
          </cell>
        </row>
        <row r="388">
          <cell r="T388" t="str">
            <v>Testosterone (ricos)</v>
          </cell>
        </row>
        <row r="389">
          <cell r="T389" t="str">
            <v>Testosterone (ricos2)</v>
          </cell>
        </row>
        <row r="390">
          <cell r="T390" t="str">
            <v>Testosterone (ricos3)</v>
          </cell>
        </row>
        <row r="391">
          <cell r="T391" t="str">
            <v>Thyroglobulin</v>
          </cell>
        </row>
        <row r="392">
          <cell r="T392" t="str">
            <v>Thyroglobulin antibody</v>
          </cell>
        </row>
        <row r="393">
          <cell r="T393" t="str">
            <v>Thyroid peroxidase antibody</v>
          </cell>
        </row>
        <row r="394">
          <cell r="T394" t="str">
            <v>Thyroid stimulating hormone (TSH)</v>
          </cell>
        </row>
        <row r="395">
          <cell r="T395" t="str">
            <v>Thyrotropin receptor antibody</v>
          </cell>
        </row>
        <row r="396">
          <cell r="T396" t="str">
            <v>Thyroxine binding globulin (TBG)</v>
          </cell>
        </row>
        <row r="397">
          <cell r="T397" t="str">
            <v>Thyroxine (T4)</v>
          </cell>
        </row>
        <row r="398">
          <cell r="T398" t="str">
            <v>Tissue polypeptide antigen (TPA)</v>
          </cell>
        </row>
        <row r="399">
          <cell r="T399" t="str">
            <v>Tissue polypeptide specific antigen (TPS)</v>
          </cell>
        </row>
        <row r="400">
          <cell r="T400" t="str">
            <v>Total carnitine</v>
          </cell>
        </row>
        <row r="401">
          <cell r="T401" t="str">
            <v>Transferrin</v>
          </cell>
        </row>
        <row r="402">
          <cell r="T402" t="str">
            <v>Triglyceride</v>
          </cell>
        </row>
        <row r="403">
          <cell r="T403" t="str">
            <v>Triiodothyronine (T3)</v>
          </cell>
        </row>
        <row r="404">
          <cell r="T404" t="str">
            <v>Troponin I</v>
          </cell>
        </row>
        <row r="405">
          <cell r="T405" t="str">
            <v>Tumor Necrosis Factor-a</v>
          </cell>
        </row>
        <row r="406">
          <cell r="T406" t="str">
            <v>Urate</v>
          </cell>
        </row>
        <row r="407">
          <cell r="T407" t="str">
            <v>Urea</v>
          </cell>
        </row>
        <row r="408">
          <cell r="T408" t="str">
            <v>Vascular cell adhesion molecule-1</v>
          </cell>
        </row>
        <row r="409">
          <cell r="T409" t="str">
            <v>Vascular endotelial growth factor</v>
          </cell>
        </row>
        <row r="410">
          <cell r="T410" t="str">
            <v>Vitamin B1</v>
          </cell>
        </row>
        <row r="411">
          <cell r="T411" t="str">
            <v>Vitamin B2 (Riboflavin)</v>
          </cell>
        </row>
        <row r="412">
          <cell r="T412" t="str">
            <v>Vitamin B2 (Riboflavin)</v>
          </cell>
        </row>
        <row r="413">
          <cell r="T413" t="str">
            <v>Vitamin B2 status (gluthation reductase activation)</v>
          </cell>
        </row>
        <row r="414">
          <cell r="T414" t="str">
            <v>Vitamin B12</v>
          </cell>
        </row>
        <row r="415">
          <cell r="T415" t="str">
            <v>Vitamin B6</v>
          </cell>
        </row>
        <row r="416">
          <cell r="T416" t="str">
            <v>Vitamin B6</v>
          </cell>
        </row>
        <row r="417">
          <cell r="T417" t="str">
            <v>Vitamin B6 status (AST activation)</v>
          </cell>
        </row>
        <row r="418">
          <cell r="T418" t="str">
            <v>Vitamin E (a-Tocopherol)</v>
          </cell>
        </row>
        <row r="419">
          <cell r="T419" t="str">
            <v>Vitamin K (Phylloquinone)</v>
          </cell>
        </row>
        <row r="420">
          <cell r="T420" t="str">
            <v>VLDL Cholesterol</v>
          </cell>
        </row>
        <row r="421">
          <cell r="T421" t="str">
            <v>Von Willebrand factor</v>
          </cell>
        </row>
        <row r="422">
          <cell r="T422" t="str">
            <v>Von Willebrand factor antigen</v>
          </cell>
        </row>
        <row r="423">
          <cell r="T423" t="str">
            <v>Water</v>
          </cell>
        </row>
        <row r="424">
          <cell r="T424" t="str">
            <v>Zeaxanthine</v>
          </cell>
        </row>
        <row r="425">
          <cell r="T425" t="str">
            <v>Zinc (ricos 1)</v>
          </cell>
        </row>
        <row r="426">
          <cell r="T426" t="str">
            <v>Zinc (ricos 2)</v>
          </cell>
        </row>
        <row r="428">
          <cell r="T428" t="str">
            <v>URINE</v>
          </cell>
        </row>
        <row r="429">
          <cell r="T429" t="str">
            <v>4 OH-3 methoxi-Vanil mandelic acid (VMA)</v>
          </cell>
        </row>
        <row r="430">
          <cell r="T430" t="str">
            <v>5'-Hydroxyindolacetate, concentration</v>
          </cell>
        </row>
        <row r="431">
          <cell r="T431" t="str">
            <v>a1-Microglobulin, concentration, first morning</v>
          </cell>
        </row>
        <row r="432">
          <cell r="T432" t="str">
            <v>a2-Microglobulin output, first morning</v>
          </cell>
        </row>
        <row r="433">
          <cell r="T433" t="str">
            <v>a-Amylase concentration, random</v>
          </cell>
        </row>
        <row r="434">
          <cell r="T434" t="str">
            <v>Albumin, concentration, first morning</v>
          </cell>
        </row>
        <row r="435">
          <cell r="T435" t="str">
            <v>Aldosterone, concentration</v>
          </cell>
        </row>
        <row r="436">
          <cell r="T436" t="str">
            <v>Ammonia, output, 24h</v>
          </cell>
        </row>
        <row r="437">
          <cell r="T437" t="str">
            <v>Calcium, concentration, 24h</v>
          </cell>
        </row>
        <row r="438">
          <cell r="T438" t="str">
            <v>Calcium, ionized</v>
          </cell>
        </row>
        <row r="439">
          <cell r="T439" t="str">
            <v>Calcium, output, 24h</v>
          </cell>
        </row>
        <row r="440">
          <cell r="T440" t="str">
            <v>C-Terminal cross-linking telopeptide  type I collagen (s-CTx)</v>
          </cell>
        </row>
        <row r="441">
          <cell r="T441" t="str">
            <v>C-Telopeptide of type I collagen/creatinine, 1st morning</v>
          </cell>
        </row>
        <row r="442">
          <cell r="T442" t="str">
            <v>C-Telopeptide type I collagen/creatinine, 2nd morning</v>
          </cell>
        </row>
        <row r="443">
          <cell r="T443" t="str">
            <v>Creatinine, concentration, 24h</v>
          </cell>
        </row>
        <row r="444">
          <cell r="T444" t="str">
            <v>Creatinine, output, 24h</v>
          </cell>
        </row>
        <row r="445">
          <cell r="T445" t="str">
            <v>?-aminolevulinic acid</v>
          </cell>
        </row>
        <row r="446">
          <cell r="T446" t="str">
            <v>Deoxypyridinoline/creatinine, 24h (Delmas CC 2001)</v>
          </cell>
        </row>
        <row r="447">
          <cell r="T447" t="str">
            <v>Deoxypyridinoline/creatinine, first morning</v>
          </cell>
        </row>
        <row r="448">
          <cell r="T448" t="str">
            <v>Deoxipyridinoline/minute</v>
          </cell>
        </row>
        <row r="449">
          <cell r="T449" t="str">
            <v>Estradiol</v>
          </cell>
        </row>
        <row r="450">
          <cell r="T450" t="str">
            <v>Free estradiol</v>
          </cell>
        </row>
        <row r="451">
          <cell r="T451" t="str">
            <v>Free testosterone</v>
          </cell>
        </row>
        <row r="452">
          <cell r="T452" t="str">
            <v>Hydroxyproline/minute, night urine</v>
          </cell>
        </row>
        <row r="453">
          <cell r="T453" t="str">
            <v>Magnesium, concentration, 24h</v>
          </cell>
        </row>
        <row r="454">
          <cell r="T454" t="str">
            <v>Magnesium, ionized</v>
          </cell>
        </row>
        <row r="455">
          <cell r="T455" t="str">
            <v>Magnesium, output, 24h</v>
          </cell>
        </row>
        <row r="456">
          <cell r="T456" t="str">
            <v>N-Acetyl Glucosaminidase, concentration, overnight</v>
          </cell>
        </row>
        <row r="457">
          <cell r="T457" t="str">
            <v>Nitrogen, output</v>
          </cell>
        </row>
        <row r="458">
          <cell r="T458" t="str">
            <v>N- Telopeptide of type I collagen /creatinine, first urine</v>
          </cell>
        </row>
        <row r="459">
          <cell r="T459" t="str">
            <v>Oxalate, concentration, 24h</v>
          </cell>
        </row>
        <row r="460">
          <cell r="T460" t="str">
            <v>Oxalate, output, 24h</v>
          </cell>
        </row>
        <row r="461">
          <cell r="T461" t="str">
            <v>Phosphate, concentration, 24h</v>
          </cell>
        </row>
        <row r="462">
          <cell r="T462" t="str">
            <v>Phosphate, output, 24h</v>
          </cell>
        </row>
        <row r="463">
          <cell r="T463" t="str">
            <v>Porphobilinogen</v>
          </cell>
        </row>
        <row r="464">
          <cell r="T464" t="str">
            <v>Porphyrins</v>
          </cell>
        </row>
        <row r="465">
          <cell r="T465" t="str">
            <v>Potassium, concentration, 24h</v>
          </cell>
        </row>
        <row r="466">
          <cell r="T466" t="str">
            <v>Potassium, output</v>
          </cell>
        </row>
        <row r="467">
          <cell r="T467" t="str">
            <v>Protein, concentration, 24h</v>
          </cell>
        </row>
        <row r="468">
          <cell r="T468" t="str">
            <v>Protein, output, 24h</v>
          </cell>
        </row>
        <row r="469">
          <cell r="T469" t="str">
            <v>Pyridinoline/creatinine, morning spot</v>
          </cell>
        </row>
        <row r="470">
          <cell r="T470" t="str">
            <v>Sodium, concentration, 24 h,</v>
          </cell>
        </row>
        <row r="471">
          <cell r="T471" t="str">
            <v>Sodium output, 24 h,</v>
          </cell>
        </row>
        <row r="472">
          <cell r="T472" t="str">
            <v>Testosterone</v>
          </cell>
        </row>
        <row r="473">
          <cell r="T473" t="str">
            <v>Total catecolamines, concentration, 24h</v>
          </cell>
        </row>
        <row r="474">
          <cell r="T474" t="str">
            <v>Total porphyrins</v>
          </cell>
        </row>
        <row r="475">
          <cell r="T475" t="str">
            <v>Urate, concentration, 24h</v>
          </cell>
        </row>
        <row r="476">
          <cell r="T476" t="str">
            <v>Urate, output, 24h</v>
          </cell>
        </row>
        <row r="477">
          <cell r="T477" t="str">
            <v>Urea, concentration, 24h</v>
          </cell>
        </row>
        <row r="478">
          <cell r="T478" t="str">
            <v>Urea, output, 24h</v>
          </cell>
        </row>
        <row r="479">
          <cell r="T479" t="str">
            <v>Vanilmandelic Acid concentration, 24h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portée flexible"/>
      <sheetName val="données 1"/>
      <sheetName val="Rapport de Validation"/>
      <sheetName val="Justesse et fidélité"/>
      <sheetName val="étalonnage X"/>
      <sheetName val="correlation équipement"/>
      <sheetName val="correlation réactif"/>
      <sheetName val="Carte de contrôle"/>
      <sheetName val="Plan emboité"/>
    </sheetNames>
    <sheetDataSet>
      <sheetData sheetId="0"/>
      <sheetData sheetId="1"/>
      <sheetData sheetId="2">
        <row r="6">
          <cell r="T6" t="str">
            <v>SUBSTRATS</v>
          </cell>
        </row>
        <row r="7">
          <cell r="T7" t="str">
            <v>Acide urique</v>
          </cell>
        </row>
        <row r="8">
          <cell r="T8" t="str">
            <v>Ammonium</v>
          </cell>
        </row>
        <row r="9">
          <cell r="T9" t="str">
            <v>CO2</v>
          </cell>
        </row>
        <row r="10">
          <cell r="T10" t="str">
            <v>Bilirubine Totale</v>
          </cell>
        </row>
        <row r="11">
          <cell r="T11" t="str">
            <v>Calcium ionisé</v>
          </cell>
        </row>
        <row r="12">
          <cell r="T12" t="str">
            <v>Calcium total</v>
          </cell>
        </row>
        <row r="13">
          <cell r="T13" t="str">
            <v>Chlore</v>
          </cell>
        </row>
        <row r="14">
          <cell r="T14" t="str">
            <v>Cholesterol</v>
          </cell>
        </row>
        <row r="15">
          <cell r="T15" t="str">
            <v>HDL</v>
          </cell>
        </row>
        <row r="16">
          <cell r="T16" t="str">
            <v>Creatinine</v>
          </cell>
        </row>
        <row r="17">
          <cell r="T17" t="str">
            <v>Fer</v>
          </cell>
        </row>
        <row r="18">
          <cell r="T18" t="str">
            <v>Ferritine</v>
          </cell>
        </row>
        <row r="20">
          <cell r="T20" t="str">
            <v>Folates</v>
          </cell>
        </row>
        <row r="21">
          <cell r="T21" t="str">
            <v>Fructosamine</v>
          </cell>
        </row>
        <row r="22">
          <cell r="T22" t="str">
            <v>Glucose</v>
          </cell>
        </row>
        <row r="23">
          <cell r="T23" t="str">
            <v>HbA1c</v>
          </cell>
        </row>
        <row r="25">
          <cell r="T25" t="str">
            <v>Lactate</v>
          </cell>
        </row>
        <row r="26">
          <cell r="T26" t="str">
            <v>Magnesium</v>
          </cell>
        </row>
        <row r="27">
          <cell r="T27" t="str">
            <v>Phosphate</v>
          </cell>
        </row>
        <row r="28">
          <cell r="T28" t="str">
            <v>Potassium</v>
          </cell>
        </row>
        <row r="30">
          <cell r="T30" t="str">
            <v>Protéines totales</v>
          </cell>
        </row>
        <row r="31">
          <cell r="T31" t="str">
            <v>Sodium</v>
          </cell>
        </row>
        <row r="32">
          <cell r="T32" t="str">
            <v>Triglycérides</v>
          </cell>
        </row>
        <row r="33">
          <cell r="T33" t="str">
            <v>Urée</v>
          </cell>
        </row>
        <row r="35">
          <cell r="T35" t="str">
            <v>SUBSTRATS URINAIRES</v>
          </cell>
        </row>
        <row r="36">
          <cell r="T36" t="str">
            <v>Acide urique U</v>
          </cell>
        </row>
        <row r="37">
          <cell r="T37" t="str">
            <v>Calcium U</v>
          </cell>
        </row>
        <row r="38">
          <cell r="T38" t="str">
            <v>Chlore U</v>
          </cell>
        </row>
        <row r="39">
          <cell r="T39" t="str">
            <v>Créatinine U</v>
          </cell>
        </row>
        <row r="40">
          <cell r="T40" t="str">
            <v>Glucose U</v>
          </cell>
        </row>
        <row r="41">
          <cell r="T41" t="str">
            <v>Magnesium U</v>
          </cell>
        </row>
        <row r="42">
          <cell r="T42" t="str">
            <v>MicroAlb U</v>
          </cell>
        </row>
        <row r="43">
          <cell r="T43" t="str">
            <v>Phosphate U</v>
          </cell>
        </row>
        <row r="44">
          <cell r="T44" t="str">
            <v>Potassium U</v>
          </cell>
        </row>
        <row r="45">
          <cell r="T45" t="str">
            <v>Protéines U</v>
          </cell>
        </row>
        <row r="46">
          <cell r="T46" t="str">
            <v>Sodium U</v>
          </cell>
        </row>
        <row r="47">
          <cell r="T47" t="str">
            <v>Urée U</v>
          </cell>
        </row>
        <row r="49">
          <cell r="T49" t="str">
            <v>ENZYMES</v>
          </cell>
        </row>
        <row r="50">
          <cell r="T50" t="str">
            <v>5'Nu</v>
          </cell>
        </row>
        <row r="51">
          <cell r="T51" t="str">
            <v>a-Amylase</v>
          </cell>
        </row>
        <row r="52">
          <cell r="T52" t="str">
            <v>ALAT</v>
          </cell>
        </row>
        <row r="53">
          <cell r="T53" t="str">
            <v>ASAT</v>
          </cell>
        </row>
        <row r="54">
          <cell r="T54" t="str">
            <v>CK</v>
          </cell>
        </row>
        <row r="55">
          <cell r="T55" t="str">
            <v>GGT</v>
          </cell>
        </row>
        <row r="56">
          <cell r="T56" t="str">
            <v>LDH</v>
          </cell>
        </row>
        <row r="57">
          <cell r="T57" t="str">
            <v>Lipase</v>
          </cell>
        </row>
        <row r="58">
          <cell r="T58" t="str">
            <v>PAL</v>
          </cell>
        </row>
        <row r="60">
          <cell r="T60" t="str">
            <v>PROTEINES SPECIFIQUES</v>
          </cell>
        </row>
        <row r="61">
          <cell r="T61" t="str">
            <v>a1AT</v>
          </cell>
        </row>
        <row r="62">
          <cell r="T62" t="str">
            <v>a2-Macroglobuline</v>
          </cell>
        </row>
        <row r="63">
          <cell r="T63" t="str">
            <v>Albumine</v>
          </cell>
        </row>
        <row r="64">
          <cell r="T64" t="str">
            <v>ApoA1</v>
          </cell>
        </row>
        <row r="65">
          <cell r="T65" t="str">
            <v>ApoB</v>
          </cell>
        </row>
        <row r="66">
          <cell r="T66" t="str">
            <v>b2-Microglobuline</v>
          </cell>
        </row>
        <row r="67">
          <cell r="T67" t="str">
            <v>Céruléoplasmine</v>
          </cell>
        </row>
        <row r="68">
          <cell r="T68" t="str">
            <v>C3</v>
          </cell>
        </row>
        <row r="69">
          <cell r="T69" t="str">
            <v>C4</v>
          </cell>
        </row>
        <row r="70">
          <cell r="T70" t="str">
            <v>CRP</v>
          </cell>
        </row>
        <row r="71">
          <cell r="T71" t="str">
            <v>Haptoglobine</v>
          </cell>
        </row>
        <row r="72">
          <cell r="T72" t="str">
            <v>IgA</v>
          </cell>
        </row>
        <row r="73">
          <cell r="T73" t="str">
            <v>IgE</v>
          </cell>
        </row>
        <row r="74">
          <cell r="T74" t="str">
            <v>IgG</v>
          </cell>
        </row>
        <row r="75">
          <cell r="T75" t="str">
            <v>IgM</v>
          </cell>
        </row>
        <row r="76">
          <cell r="T76" t="str">
            <v>Oroso</v>
          </cell>
        </row>
        <row r="77">
          <cell r="T77" t="str">
            <v>PréAlb</v>
          </cell>
        </row>
        <row r="78">
          <cell r="T78" t="str">
            <v>Transférrine</v>
          </cell>
        </row>
        <row r="80">
          <cell r="T80" t="str">
            <v>GAZ DU SANG</v>
          </cell>
        </row>
        <row r="81">
          <cell r="T81" t="str">
            <v>HbCO</v>
          </cell>
        </row>
        <row r="82">
          <cell r="T82" t="str">
            <v>HbO2</v>
          </cell>
        </row>
        <row r="83">
          <cell r="T83" t="str">
            <v>metHb</v>
          </cell>
        </row>
        <row r="86">
          <cell r="T86" t="str">
            <v>pCO2</v>
          </cell>
        </row>
        <row r="87">
          <cell r="T87" t="str">
            <v>pH (unité)</v>
          </cell>
        </row>
        <row r="88">
          <cell r="T88" t="str">
            <v>pH (nmol/l)</v>
          </cell>
        </row>
        <row r="89">
          <cell r="T89" t="str">
            <v>p02</v>
          </cell>
        </row>
        <row r="106">
          <cell r="T106" t="str">
            <v>MEDICAMENTS</v>
          </cell>
        </row>
        <row r="107">
          <cell r="T107" t="str">
            <v>Acide Valproïque</v>
          </cell>
        </row>
        <row r="108">
          <cell r="T108" t="str">
            <v>Amikacine</v>
          </cell>
        </row>
        <row r="109">
          <cell r="T109" t="str">
            <v>Carbamazépine</v>
          </cell>
        </row>
        <row r="110">
          <cell r="T110" t="str">
            <v>Digoxine</v>
          </cell>
        </row>
        <row r="111">
          <cell r="T111" t="str">
            <v>Gentamicine</v>
          </cell>
        </row>
        <row r="112">
          <cell r="T112" t="str">
            <v>Lithium</v>
          </cell>
        </row>
        <row r="113">
          <cell r="T113" t="str">
            <v>Méthotrexate</v>
          </cell>
        </row>
        <row r="114">
          <cell r="T114" t="str">
            <v>Paracétamol</v>
          </cell>
        </row>
        <row r="115">
          <cell r="T115" t="str">
            <v>Phénobarbital</v>
          </cell>
        </row>
        <row r="116">
          <cell r="T116" t="str">
            <v>Phénytoïne</v>
          </cell>
        </row>
        <row r="117">
          <cell r="T117" t="str">
            <v>Salycilates</v>
          </cell>
        </row>
        <row r="118">
          <cell r="T118" t="str">
            <v>Théophiline</v>
          </cell>
        </row>
        <row r="119">
          <cell r="T119" t="str">
            <v>Vancomycine</v>
          </cell>
        </row>
        <row r="121">
          <cell r="T121" t="str">
            <v>MARQUEURS TUMORAUX</v>
          </cell>
        </row>
        <row r="122">
          <cell r="T122" t="str">
            <v>ACE</v>
          </cell>
        </row>
        <row r="123">
          <cell r="T123" t="str">
            <v>AFP</v>
          </cell>
        </row>
        <row r="124">
          <cell r="T124" t="str">
            <v>CA125</v>
          </cell>
        </row>
        <row r="125">
          <cell r="T125" t="str">
            <v>CA15-3</v>
          </cell>
        </row>
        <row r="126">
          <cell r="T126" t="str">
            <v>CA19-9</v>
          </cell>
        </row>
        <row r="127">
          <cell r="T127" t="str">
            <v>PSA</v>
          </cell>
        </row>
        <row r="129">
          <cell r="T129" t="str">
            <v>HORMONES</v>
          </cell>
        </row>
        <row r="130">
          <cell r="T130" t="str">
            <v>Cortisol</v>
          </cell>
        </row>
        <row r="131">
          <cell r="T131" t="str">
            <v>E2</v>
          </cell>
        </row>
        <row r="132">
          <cell r="T132" t="str">
            <v>FSH</v>
          </cell>
        </row>
        <row r="133">
          <cell r="T133" t="str">
            <v>GH</v>
          </cell>
        </row>
        <row r="134">
          <cell r="T134" t="str">
            <v>HCG B</v>
          </cell>
        </row>
        <row r="135">
          <cell r="T135" t="str">
            <v>Insuline</v>
          </cell>
        </row>
        <row r="136">
          <cell r="T136" t="str">
            <v>LH</v>
          </cell>
        </row>
        <row r="137">
          <cell r="T137" t="str">
            <v>PTH</v>
          </cell>
        </row>
        <row r="138">
          <cell r="T138" t="str">
            <v>Peptide C</v>
          </cell>
        </row>
        <row r="139">
          <cell r="T139" t="str">
            <v>Progesterone</v>
          </cell>
        </row>
        <row r="140">
          <cell r="T140" t="str">
            <v>Prolactine</v>
          </cell>
        </row>
        <row r="141">
          <cell r="T141" t="str">
            <v>FT3</v>
          </cell>
        </row>
        <row r="142">
          <cell r="T142" t="str">
            <v>FT4</v>
          </cell>
        </row>
        <row r="143">
          <cell r="T143" t="str">
            <v>Testosterone</v>
          </cell>
        </row>
        <row r="144">
          <cell r="T144" t="str">
            <v>TSH</v>
          </cell>
        </row>
        <row r="146">
          <cell r="T146" t="str">
            <v>RICOS</v>
          </cell>
        </row>
        <row r="148">
          <cell r="T148" t="str">
            <v xml:space="preserve">Sang-plasma </v>
          </cell>
        </row>
        <row r="149">
          <cell r="T149" t="str">
            <v>11-Desoxycortisol S</v>
          </cell>
        </row>
        <row r="150">
          <cell r="T150" t="str">
            <v>17-Hydroxyprogesterone</v>
          </cell>
        </row>
        <row r="151">
          <cell r="T151" t="str">
            <v>5' Nucleotidase</v>
          </cell>
        </row>
        <row r="152">
          <cell r="T152" t="str">
            <v>a1-Acid Glycoprotein</v>
          </cell>
        </row>
        <row r="153">
          <cell r="T153" t="str">
            <v>a1-Antichymotrypsin</v>
          </cell>
        </row>
        <row r="154">
          <cell r="T154" t="str">
            <v>a1-Antitrypsin</v>
          </cell>
        </row>
        <row r="155">
          <cell r="T155" t="str">
            <v>a1-Globulin</v>
          </cell>
        </row>
        <row r="156">
          <cell r="T156" t="str">
            <v>a2-Antiplasmin</v>
          </cell>
        </row>
        <row r="157">
          <cell r="T157" t="str">
            <v>a2-Globulins</v>
          </cell>
        </row>
        <row r="158">
          <cell r="T158" t="str">
            <v>a2-Macroglobulin</v>
          </cell>
        </row>
        <row r="159">
          <cell r="T159" t="str">
            <v>a-Amylase (ricos)</v>
          </cell>
        </row>
        <row r="160">
          <cell r="T160" t="str">
            <v>a-Amylase (pancreatic)</v>
          </cell>
        </row>
        <row r="161">
          <cell r="T161" t="str">
            <v>a-Carotene</v>
          </cell>
        </row>
        <row r="162">
          <cell r="T162" t="str">
            <v>a-Fetoprotein(non hepatic carcinoma)</v>
          </cell>
        </row>
        <row r="163">
          <cell r="T163" t="str">
            <v>a-Tocopherol</v>
          </cell>
        </row>
        <row r="164">
          <cell r="T164" t="str">
            <v>Acid phosphatase</v>
          </cell>
        </row>
        <row r="165">
          <cell r="T165" t="str">
            <v>Acid phosphatase tartrate-resistant (TR-ACP)</v>
          </cell>
        </row>
        <row r="166">
          <cell r="T166" t="str">
            <v>Acid phosphatase prostatic activity (PAP)</v>
          </cell>
        </row>
        <row r="167">
          <cell r="T167" t="str">
            <v>Activated partial thromboplastine time</v>
          </cell>
        </row>
        <row r="168">
          <cell r="T168" t="str">
            <v>Acyl/free carnitine</v>
          </cell>
        </row>
        <row r="169">
          <cell r="T169" t="str">
            <v>Adiponectin</v>
          </cell>
        </row>
        <row r="170">
          <cell r="T170" t="str">
            <v>Adenosine deaminase (ADA)</v>
          </cell>
        </row>
        <row r="171">
          <cell r="T171" t="str">
            <v>Alanine aminopeptidase</v>
          </cell>
        </row>
        <row r="172">
          <cell r="T172" t="str">
            <v>Alanine aminotransferase</v>
          </cell>
        </row>
        <row r="173">
          <cell r="T173" t="str">
            <v>Albumin</v>
          </cell>
        </row>
        <row r="174">
          <cell r="T174" t="str">
            <v>Aldosterone</v>
          </cell>
        </row>
        <row r="175">
          <cell r="T175" t="str">
            <v>Alkaline phosphatase</v>
          </cell>
        </row>
        <row r="176">
          <cell r="T176" t="str">
            <v>Alkaline phosphatase, bone</v>
          </cell>
        </row>
        <row r="177">
          <cell r="T177" t="str">
            <v>Alkaline phosphatase, liver</v>
          </cell>
        </row>
        <row r="178">
          <cell r="T178" t="str">
            <v>Alkaline phosphatase, placental</v>
          </cell>
        </row>
        <row r="179">
          <cell r="T179" t="str">
            <v>Amyloid A</v>
          </cell>
        </row>
        <row r="180">
          <cell r="T180" t="str">
            <v>Androstendione</v>
          </cell>
        </row>
        <row r="181">
          <cell r="T181" t="str">
            <v>Androstenedione</v>
          </cell>
        </row>
        <row r="182">
          <cell r="T182" t="str">
            <v>Angiotensin converting enzyme</v>
          </cell>
        </row>
        <row r="183">
          <cell r="T183" t="str">
            <v>Antithrombin III</v>
          </cell>
        </row>
        <row r="184">
          <cell r="T184" t="str">
            <v>Apolipoprotein A1</v>
          </cell>
        </row>
        <row r="185">
          <cell r="T185" t="str">
            <v>Apolipoprotein B</v>
          </cell>
        </row>
        <row r="186">
          <cell r="T186" t="str">
            <v>Ascorbic Acid</v>
          </cell>
        </row>
        <row r="187">
          <cell r="T187" t="str">
            <v>Aspartate aminotransferase</v>
          </cell>
        </row>
        <row r="188">
          <cell r="T188" t="str">
            <v>b-2-Microglobulin</v>
          </cell>
        </row>
        <row r="189">
          <cell r="T189" t="str">
            <v>Basophile, count</v>
          </cell>
        </row>
        <row r="190">
          <cell r="T190" t="str">
            <v>b-Carotene</v>
          </cell>
        </row>
        <row r="191">
          <cell r="T191" t="str">
            <v>b-Cryptoxantin</v>
          </cell>
        </row>
        <row r="192">
          <cell r="T192" t="str">
            <v>b-Globulins</v>
          </cell>
        </row>
        <row r="193">
          <cell r="T193" t="str">
            <v>Bilirubin total</v>
          </cell>
        </row>
        <row r="194">
          <cell r="T194" t="str">
            <v>Bilirubin conjugated</v>
          </cell>
        </row>
        <row r="195">
          <cell r="T195" t="str">
            <v>CA 125 antigen</v>
          </cell>
        </row>
        <row r="196">
          <cell r="T196" t="str">
            <v>CA 15,3 antigen</v>
          </cell>
        </row>
        <row r="197">
          <cell r="T197" t="str">
            <v>CA 19,9 antigen</v>
          </cell>
        </row>
        <row r="198">
          <cell r="T198" t="str">
            <v>CA 549 antigen</v>
          </cell>
        </row>
        <row r="199">
          <cell r="T199" t="str">
            <v>Calcium</v>
          </cell>
        </row>
        <row r="200">
          <cell r="T200" t="str">
            <v>Carbohydrate deficient transferrin</v>
          </cell>
        </row>
        <row r="201">
          <cell r="T201" t="str">
            <v>Carcinoembryonic antigen (CEA)</v>
          </cell>
        </row>
        <row r="202">
          <cell r="T202" t="str">
            <v>CD4 lymphocyte count</v>
          </cell>
        </row>
        <row r="203">
          <cell r="T203" t="str">
            <v>Ceruloplasmin</v>
          </cell>
        </row>
        <row r="204">
          <cell r="T204" t="str">
            <v>Chloride</v>
          </cell>
        </row>
        <row r="205">
          <cell r="T205" t="str">
            <v>Cholesterol (ricos)</v>
          </cell>
        </row>
        <row r="206">
          <cell r="T206" t="str">
            <v>Cholinesterase</v>
          </cell>
        </row>
        <row r="207">
          <cell r="T207" t="str">
            <v>Cholinesterase, activity</v>
          </cell>
        </row>
        <row r="208">
          <cell r="T208" t="str">
            <v>Cholinesterase, immunoreactive</v>
          </cell>
        </row>
        <row r="209">
          <cell r="T209" t="str">
            <v>C3 complement</v>
          </cell>
        </row>
        <row r="210">
          <cell r="T210" t="str">
            <v>C4 complement</v>
          </cell>
        </row>
        <row r="211">
          <cell r="T211" t="str">
            <v>Chromogranin A</v>
          </cell>
        </row>
        <row r="212">
          <cell r="T212" t="str">
            <v>Copper</v>
          </cell>
        </row>
        <row r="213">
          <cell r="T213" t="str">
            <v>Copper</v>
          </cell>
        </row>
        <row r="214">
          <cell r="T214" t="str">
            <v>Cortisol (ricos)</v>
          </cell>
        </row>
        <row r="215">
          <cell r="T215" t="str">
            <v>C Peptide</v>
          </cell>
        </row>
        <row r="216">
          <cell r="T216" t="str">
            <v>C-Propeptide type I procollagen</v>
          </cell>
        </row>
        <row r="217">
          <cell r="T217" t="str">
            <v>C-Reactive protein</v>
          </cell>
        </row>
        <row r="218">
          <cell r="T218" t="str">
            <v>Creatine kinase (CK)</v>
          </cell>
        </row>
        <row r="219">
          <cell r="T219" t="str">
            <v>Creatine kinase MB, %</v>
          </cell>
        </row>
        <row r="220">
          <cell r="T220" t="str">
            <v>Creatine kinase MB, activity</v>
          </cell>
        </row>
        <row r="221">
          <cell r="T221" t="str">
            <v>Creatine kinase MB, mass</v>
          </cell>
        </row>
        <row r="222">
          <cell r="T222" t="str">
            <v>Creatinine (ricos)</v>
          </cell>
        </row>
        <row r="223">
          <cell r="T223" t="str">
            <v>Creatinine clearance</v>
          </cell>
        </row>
        <row r="224">
          <cell r="T224" t="str">
            <v>Cyfra 21,1</v>
          </cell>
        </row>
        <row r="225">
          <cell r="T225" t="str">
            <v>Cystastin C</v>
          </cell>
        </row>
        <row r="226">
          <cell r="T226" t="str">
            <v>Cysteine</v>
          </cell>
        </row>
        <row r="227">
          <cell r="T227" t="str">
            <v>Dehydroepiandrosterone sulfate</v>
          </cell>
        </row>
        <row r="228">
          <cell r="T228" t="str">
            <v>Dipeptidyl-peptidase IV (ACE)</v>
          </cell>
        </row>
        <row r="229">
          <cell r="T229" t="str">
            <v>Dipeptidyl-peptidase IV (ACE)</v>
          </cell>
        </row>
        <row r="230">
          <cell r="T230" t="str">
            <v>Elastase</v>
          </cell>
        </row>
        <row r="231">
          <cell r="T231" t="str">
            <v>Endotelial growth factor</v>
          </cell>
        </row>
        <row r="232">
          <cell r="T232" t="str">
            <v>Eosinophils, count</v>
          </cell>
        </row>
        <row r="233">
          <cell r="T233" t="str">
            <v>Epinephrine</v>
          </cell>
        </row>
        <row r="234">
          <cell r="T234" t="str">
            <v>Epinephrine</v>
          </cell>
        </row>
        <row r="235">
          <cell r="T235" t="str">
            <v>Erythrocytes, count</v>
          </cell>
        </row>
        <row r="236">
          <cell r="T236" t="str">
            <v>Erythrocyte distribution wide</v>
          </cell>
        </row>
        <row r="237">
          <cell r="T237" t="str">
            <v>Estradiol</v>
          </cell>
        </row>
        <row r="238">
          <cell r="T238" t="str">
            <v>Factor V coagulation</v>
          </cell>
        </row>
        <row r="239">
          <cell r="T239" t="str">
            <v>Factor VII coagulation</v>
          </cell>
        </row>
        <row r="240">
          <cell r="T240" t="str">
            <v>Factor VIII coagulation</v>
          </cell>
        </row>
        <row r="241">
          <cell r="T241" t="str">
            <v>Factor X coagulation</v>
          </cell>
        </row>
        <row r="242">
          <cell r="T242" t="str">
            <v>Ferritin</v>
          </cell>
        </row>
        <row r="243">
          <cell r="T243" t="str">
            <v>Fibrinogen</v>
          </cell>
        </row>
        <row r="244">
          <cell r="T244" t="str">
            <v>Folate (ricos 1)</v>
          </cell>
        </row>
        <row r="245">
          <cell r="T245" t="str">
            <v>Folate (ricos 2)</v>
          </cell>
        </row>
        <row r="246">
          <cell r="T246" t="str">
            <v>Follicle stimulating hormone (males)</v>
          </cell>
        </row>
        <row r="247">
          <cell r="T247" t="str">
            <v>Free carnitine</v>
          </cell>
        </row>
        <row r="248">
          <cell r="T248" t="str">
            <v>Free estradiol</v>
          </cell>
        </row>
        <row r="249">
          <cell r="T249" t="str">
            <v>Free testosterone</v>
          </cell>
        </row>
        <row r="250">
          <cell r="T250" t="str">
            <v>Free thyroxine (FT4)</v>
          </cell>
        </row>
        <row r="251">
          <cell r="T251" t="str">
            <v>Free Triiodothyronine (FT3)</v>
          </cell>
        </row>
        <row r="252">
          <cell r="T252" t="str">
            <v>Fructosamine (ricos)</v>
          </cell>
        </row>
        <row r="253">
          <cell r="T253" t="str">
            <v>Galactosyl hydroxylisine</v>
          </cell>
        </row>
        <row r="254">
          <cell r="T254" t="str">
            <v>g-Globulins</v>
          </cell>
        </row>
        <row r="255">
          <cell r="T255" t="str">
            <v>g-glutamyltransferase</v>
          </cell>
        </row>
        <row r="256">
          <cell r="T256" t="str">
            <v>Globulins, total</v>
          </cell>
        </row>
        <row r="257">
          <cell r="T257" t="str">
            <v>Glucose (ricos)</v>
          </cell>
        </row>
        <row r="258">
          <cell r="T258" t="str">
            <v>Glucose-6-phosphate-1-dehydrogenase (G6PDH)</v>
          </cell>
        </row>
        <row r="259">
          <cell r="T259" t="str">
            <v>Glucose-6-phosphate-1-dehydrogenase (G6PDH)</v>
          </cell>
        </row>
        <row r="260">
          <cell r="T260" t="str">
            <v>Glutathion peroxidase</v>
          </cell>
        </row>
        <row r="261">
          <cell r="T261" t="str">
            <v>Glycated albumin</v>
          </cell>
        </row>
        <row r="262">
          <cell r="T262" t="str">
            <v>Glycated total protein</v>
          </cell>
        </row>
        <row r="263">
          <cell r="T263" t="str">
            <v>Haptoglobin</v>
          </cell>
        </row>
        <row r="264">
          <cell r="T264" t="str">
            <v>Hematocrit</v>
          </cell>
        </row>
        <row r="265">
          <cell r="T265" t="str">
            <v>Hemoglobin</v>
          </cell>
        </row>
        <row r="266">
          <cell r="T266" t="str">
            <v>Hemoglobin A1 C</v>
          </cell>
        </row>
        <row r="267">
          <cell r="T267" t="str">
            <v>HDL cholesterol</v>
          </cell>
        </row>
        <row r="268">
          <cell r="T268" t="str">
            <v>HDL 1 cholesterol</v>
          </cell>
        </row>
        <row r="269">
          <cell r="T269" t="str">
            <v>HDL 2 cholesterol</v>
          </cell>
        </row>
        <row r="270">
          <cell r="T270" t="str">
            <v>HDL 3 cholesterol</v>
          </cell>
        </row>
        <row r="271">
          <cell r="T271" t="str">
            <v>Homocysteine</v>
          </cell>
        </row>
        <row r="272">
          <cell r="T272" t="str">
            <v>Hydroxyproline/creatinine</v>
          </cell>
        </row>
        <row r="273">
          <cell r="T273" t="str">
            <v>Hydroxybutyrate dehydrogenase</v>
          </cell>
        </row>
        <row r="274">
          <cell r="T274" t="str">
            <v>Immunoglobulin A</v>
          </cell>
        </row>
        <row r="275">
          <cell r="T275" t="str">
            <v>Immunoglobulin G</v>
          </cell>
        </row>
        <row r="276">
          <cell r="T276" t="str">
            <v>Immunoglobulin M</v>
          </cell>
        </row>
        <row r="277">
          <cell r="T277" t="str">
            <v>Immunoglobulins K chains</v>
          </cell>
        </row>
        <row r="278">
          <cell r="T278" t="str">
            <v>Immunoglobulins l chains</v>
          </cell>
        </row>
        <row r="279">
          <cell r="T279" t="str">
            <v>Insulin</v>
          </cell>
        </row>
        <row r="280">
          <cell r="T280" t="str">
            <v>Insulin-like growth factor (IGF-1)</v>
          </cell>
        </row>
        <row r="281">
          <cell r="T281" t="str">
            <v>Intercellular adhesion molecule-1</v>
          </cell>
        </row>
        <row r="282">
          <cell r="T282" t="str">
            <v>Interferon receptor</v>
          </cell>
        </row>
        <row r="283">
          <cell r="T283" t="str">
            <v>Interleukin-1B</v>
          </cell>
        </row>
        <row r="284">
          <cell r="T284" t="str">
            <v>Interleukin-8</v>
          </cell>
        </row>
        <row r="285">
          <cell r="T285" t="str">
            <v>Iron</v>
          </cell>
        </row>
        <row r="286">
          <cell r="T286" t="str">
            <v>Lactate (ricos)</v>
          </cell>
        </row>
        <row r="287">
          <cell r="T287" t="str">
            <v>Lactate dehydrogenase (LDH)</v>
          </cell>
        </row>
        <row r="288">
          <cell r="T288" t="str">
            <v>Lactate dehydrogenase 1 isoform (LDH1)</v>
          </cell>
        </row>
        <row r="289">
          <cell r="T289" t="str">
            <v>Lactate dehydrogenase 2 isoform (LDH2)</v>
          </cell>
        </row>
        <row r="290">
          <cell r="T290" t="str">
            <v>Lactate dehydrogenase 3 isoform (LDH3)</v>
          </cell>
        </row>
        <row r="291">
          <cell r="T291" t="str">
            <v>Lactate dehydrogenase 4 isoform (LDH4)</v>
          </cell>
        </row>
        <row r="292">
          <cell r="T292" t="str">
            <v>Lactate dehydrogenase 5 isoform (LDH5)</v>
          </cell>
        </row>
        <row r="293">
          <cell r="T293" t="str">
            <v>Lactoferrin</v>
          </cell>
        </row>
        <row r="294">
          <cell r="T294" t="str">
            <v>Leukocytes, count</v>
          </cell>
        </row>
        <row r="295">
          <cell r="T295" t="str">
            <v>LDL Cholesterol</v>
          </cell>
        </row>
        <row r="296">
          <cell r="T296" t="str">
            <v>LDL Cholesterol (direct)</v>
          </cell>
        </row>
        <row r="297">
          <cell r="T297" t="str">
            <v>LDL Cholesterol (oxidized)</v>
          </cell>
        </row>
        <row r="298">
          <cell r="T298" t="str">
            <v>LDL receptor mRNA</v>
          </cell>
        </row>
        <row r="299">
          <cell r="T299" t="str">
            <v>Leukocytes count</v>
          </cell>
        </row>
        <row r="300">
          <cell r="T300" t="str">
            <v>Lipase (ricos)</v>
          </cell>
        </row>
        <row r="301">
          <cell r="T301" t="str">
            <v>Lipoprotein (a)</v>
          </cell>
        </row>
        <row r="302">
          <cell r="T302" t="str">
            <v>Lutein</v>
          </cell>
        </row>
        <row r="303">
          <cell r="T303" t="str">
            <v>Luteinizing hormone</v>
          </cell>
        </row>
        <row r="304">
          <cell r="T304" t="str">
            <v>Lycopenene</v>
          </cell>
        </row>
        <row r="305">
          <cell r="T305" t="str">
            <v>Lymphocytes, count</v>
          </cell>
        </row>
        <row r="306">
          <cell r="T306" t="str">
            <v>Lymphocytes CD4</v>
          </cell>
        </row>
        <row r="307">
          <cell r="T307" t="str">
            <v>Magnesium (ricos)</v>
          </cell>
        </row>
        <row r="308">
          <cell r="T308" t="str">
            <v>Magnesium (ricos2)</v>
          </cell>
        </row>
        <row r="309">
          <cell r="T309" t="str">
            <v>Magnesium (ricos3)</v>
          </cell>
        </row>
        <row r="310">
          <cell r="T310" t="str">
            <v>Magnesium, concentration, 24h</v>
          </cell>
        </row>
        <row r="311">
          <cell r="T311" t="str">
            <v>Magnesium, ionized</v>
          </cell>
        </row>
        <row r="312">
          <cell r="T312" t="str">
            <v>Magnesium, output, 24h</v>
          </cell>
        </row>
        <row r="313">
          <cell r="T313" t="str">
            <v>Mean corpuscular hemoglobin (HCM)</v>
          </cell>
        </row>
        <row r="314">
          <cell r="T314" t="str">
            <v>Mean corpuscular hemoglobin concentration (MCHC)</v>
          </cell>
        </row>
        <row r="315">
          <cell r="T315" t="str">
            <v>Mean corpuscular volume (MCV)</v>
          </cell>
        </row>
        <row r="316">
          <cell r="T316" t="str">
            <v>Mean platelet volume (MPV)</v>
          </cell>
        </row>
        <row r="317">
          <cell r="T317" t="str">
            <v>Monocytes, count</v>
          </cell>
        </row>
        <row r="318">
          <cell r="T318" t="str">
            <v>Mucinous carcinoma-associated antigen (MCA)</v>
          </cell>
        </row>
        <row r="319">
          <cell r="T319" t="str">
            <v>Myeloperoxidase</v>
          </cell>
        </row>
        <row r="320">
          <cell r="T320" t="str">
            <v>Myoglobin</v>
          </cell>
        </row>
        <row r="321">
          <cell r="T321" t="str">
            <v>N-Acetyl Glucosaminidase, concentration, overnight</v>
          </cell>
        </row>
        <row r="322">
          <cell r="T322" t="str">
            <v>Neutrophyles, count</v>
          </cell>
        </row>
        <row r="323">
          <cell r="T323" t="str">
            <v>Non-inhibited arilestearase activity</v>
          </cell>
        </row>
        <row r="324">
          <cell r="T324" t="str">
            <v>Norepinephrine</v>
          </cell>
        </row>
        <row r="325">
          <cell r="T325" t="str">
            <v>Norepinephrine</v>
          </cell>
        </row>
        <row r="326">
          <cell r="T326" t="str">
            <v>N-terminal (NT)-proBNP</v>
          </cell>
        </row>
        <row r="327">
          <cell r="T327" t="str">
            <v>Osmolality</v>
          </cell>
        </row>
        <row r="328">
          <cell r="T328" t="str">
            <v>Osteocalcin</v>
          </cell>
        </row>
        <row r="329">
          <cell r="T329" t="str">
            <v>Osteocalcin (+1 trab)</v>
          </cell>
        </row>
        <row r="330">
          <cell r="T330" t="str">
            <v>Oxalate, concentration, 24h</v>
          </cell>
        </row>
        <row r="331">
          <cell r="T331" t="str">
            <v>Oxalate, output, 24h</v>
          </cell>
        </row>
        <row r="332">
          <cell r="T332" t="str">
            <v>pCO2 (ricos)</v>
          </cell>
        </row>
        <row r="333">
          <cell r="T333" t="str">
            <v>pH [H+]</v>
          </cell>
        </row>
        <row r="334">
          <cell r="T334" t="str">
            <v>pH (pH units)</v>
          </cell>
        </row>
        <row r="335">
          <cell r="T335" t="str">
            <v>Paraoxon</v>
          </cell>
        </row>
        <row r="336">
          <cell r="T336" t="str">
            <v>Paraoxonase 1 substrate inhibition (PON 4SI)</v>
          </cell>
        </row>
        <row r="337">
          <cell r="T337" t="str">
            <v>Paraoxonase activity (salt estimulated)</v>
          </cell>
        </row>
        <row r="338">
          <cell r="T338" t="str">
            <v>Parathyroid hormone (PTH)</v>
          </cell>
        </row>
        <row r="339">
          <cell r="T339" t="str">
            <v>Phenylacetate</v>
          </cell>
        </row>
        <row r="340">
          <cell r="T340" t="str">
            <v>Phosphate (ricos)</v>
          </cell>
        </row>
        <row r="341">
          <cell r="T341" t="str">
            <v>Phosphate tubular reabsorption</v>
          </cell>
        </row>
        <row r="342">
          <cell r="T342" t="str">
            <v>Phospholipids</v>
          </cell>
        </row>
        <row r="343">
          <cell r="T343" t="str">
            <v>Plasminogen</v>
          </cell>
        </row>
        <row r="344">
          <cell r="T344" t="str">
            <v>Platelets, count</v>
          </cell>
        </row>
        <row r="345">
          <cell r="T345" t="str">
            <v>Platelet distribution wide</v>
          </cell>
        </row>
        <row r="346">
          <cell r="T346" t="str">
            <v>Plateletcrit</v>
          </cell>
        </row>
        <row r="347">
          <cell r="T347" t="str">
            <v>Potassium (ricos)</v>
          </cell>
        </row>
        <row r="348">
          <cell r="T348" t="str">
            <v>Potassium (ricos2)</v>
          </cell>
        </row>
        <row r="349">
          <cell r="T349" t="str">
            <v>Prealbumin</v>
          </cell>
        </row>
        <row r="350">
          <cell r="T350" t="str">
            <v>Procollagen type 1 C-terminal</v>
          </cell>
        </row>
        <row r="351">
          <cell r="T351" t="str">
            <v>Procollagen type 1 N-terminal</v>
          </cell>
        </row>
        <row r="352">
          <cell r="T352" t="str">
            <v>Prolactin (men)</v>
          </cell>
        </row>
        <row r="353">
          <cell r="T353" t="str">
            <v>Prolyl endopeptidase</v>
          </cell>
        </row>
        <row r="354">
          <cell r="T354" t="str">
            <v>Properdin factor B</v>
          </cell>
        </row>
        <row r="355">
          <cell r="T355" t="str">
            <v>Prostatic specific antigen (PSA)</v>
          </cell>
        </row>
        <row r="356">
          <cell r="T356" t="str">
            <v>Protein C</v>
          </cell>
        </row>
        <row r="357">
          <cell r="T357" t="str">
            <v>Protein S</v>
          </cell>
        </row>
        <row r="358">
          <cell r="T358" t="str">
            <v>Protein, total</v>
          </cell>
        </row>
        <row r="359">
          <cell r="T359" t="str">
            <v>Prothrombin time</v>
          </cell>
        </row>
        <row r="360">
          <cell r="T360" t="str">
            <v>Pyruvate</v>
          </cell>
        </row>
        <row r="361">
          <cell r="T361" t="str">
            <v>Red cell distribution wide (RDW)</v>
          </cell>
        </row>
        <row r="362">
          <cell r="T362" t="str">
            <v>Reticulocyte highly fluorescent, count</v>
          </cell>
        </row>
        <row r="363">
          <cell r="T363" t="str">
            <v>Reticulocyte low fluorescent, count</v>
          </cell>
        </row>
        <row r="364">
          <cell r="T364" t="str">
            <v>Reticulocyte medium fluorescent, count</v>
          </cell>
        </row>
        <row r="365">
          <cell r="T365" t="str">
            <v>Reticulocyte, count</v>
          </cell>
        </row>
        <row r="366">
          <cell r="T366" t="str">
            <v>Retinol</v>
          </cell>
        </row>
        <row r="367">
          <cell r="T367" t="str">
            <v>Retinol</v>
          </cell>
        </row>
        <row r="368">
          <cell r="T368" t="str">
            <v>Rheumatoid factor</v>
          </cell>
        </row>
        <row r="369">
          <cell r="T369" t="str">
            <v>SCC antigen</v>
          </cell>
        </row>
        <row r="370">
          <cell r="T370" t="str">
            <v>Selenium</v>
          </cell>
        </row>
        <row r="371">
          <cell r="T371" t="str">
            <v>Selenium</v>
          </cell>
        </row>
        <row r="372">
          <cell r="T372" t="str">
            <v>Semen, concentration</v>
          </cell>
        </row>
        <row r="373">
          <cell r="T373" t="str">
            <v>Semen, morphology</v>
          </cell>
        </row>
        <row r="374">
          <cell r="T374" t="str">
            <v>Semen, progressive motility</v>
          </cell>
        </row>
        <row r="375">
          <cell r="T375" t="str">
            <v>Semen, progressive rapid motility</v>
          </cell>
        </row>
        <row r="376">
          <cell r="T376" t="str">
            <v>Semen, total motility</v>
          </cell>
        </row>
        <row r="377">
          <cell r="T377" t="str">
            <v>Semen, vitality</v>
          </cell>
        </row>
        <row r="378">
          <cell r="T378" t="str">
            <v>Sex hormone binding globulin (SHBG)</v>
          </cell>
        </row>
        <row r="379">
          <cell r="T379" t="str">
            <v>Sodium (ricos)</v>
          </cell>
        </row>
        <row r="380">
          <cell r="T380" t="str">
            <v>Sodium (ricos2)</v>
          </cell>
        </row>
        <row r="381">
          <cell r="T381" t="str">
            <v>Sodium (ricos3)</v>
          </cell>
        </row>
        <row r="382">
          <cell r="T382" t="str">
            <v>Sodium Bicarbonate</v>
          </cell>
        </row>
        <row r="383">
          <cell r="T383" t="str">
            <v>Sodium Chloride</v>
          </cell>
        </row>
        <row r="384">
          <cell r="T384" t="str">
            <v>Soluble CD163</v>
          </cell>
        </row>
        <row r="385">
          <cell r="T385" t="str">
            <v>Soluble CD163</v>
          </cell>
        </row>
        <row r="386">
          <cell r="T386" t="str">
            <v>Superoxide dismutase</v>
          </cell>
        </row>
        <row r="387">
          <cell r="T387" t="str">
            <v>Superoxide dismutase</v>
          </cell>
        </row>
        <row r="388">
          <cell r="T388" t="str">
            <v>Testosterone (ricos)</v>
          </cell>
        </row>
        <row r="389">
          <cell r="T389" t="str">
            <v>Testosterone (ricos2)</v>
          </cell>
        </row>
        <row r="390">
          <cell r="T390" t="str">
            <v>Testosterone (ricos3)</v>
          </cell>
        </row>
        <row r="391">
          <cell r="T391" t="str">
            <v>Thyroglobulin</v>
          </cell>
        </row>
        <row r="392">
          <cell r="T392" t="str">
            <v>Thyroglobulin antibody</v>
          </cell>
        </row>
        <row r="393">
          <cell r="T393" t="str">
            <v>Thyroid peroxidase antibody</v>
          </cell>
        </row>
        <row r="394">
          <cell r="T394" t="str">
            <v>Thyroid stimulating hormone (TSH)</v>
          </cell>
        </row>
        <row r="395">
          <cell r="T395" t="str">
            <v>Thyrotropin receptor antibody</v>
          </cell>
        </row>
        <row r="396">
          <cell r="T396" t="str">
            <v>Thyroxine binding globulin (TBG)</v>
          </cell>
        </row>
        <row r="397">
          <cell r="T397" t="str">
            <v>Thyroxine (T4)</v>
          </cell>
        </row>
        <row r="398">
          <cell r="T398" t="str">
            <v>Tissue polypeptide antigen (TPA)</v>
          </cell>
        </row>
        <row r="399">
          <cell r="T399" t="str">
            <v>Tissue polypeptide specific antigen (TPS)</v>
          </cell>
        </row>
        <row r="400">
          <cell r="T400" t="str">
            <v>Total carnitine</v>
          </cell>
        </row>
        <row r="401">
          <cell r="T401" t="str">
            <v>Transferrin</v>
          </cell>
        </row>
        <row r="402">
          <cell r="T402" t="str">
            <v>Triglyceride</v>
          </cell>
        </row>
        <row r="403">
          <cell r="T403" t="str">
            <v>Triiodothyronine (T3)</v>
          </cell>
        </row>
        <row r="404">
          <cell r="T404" t="str">
            <v>Troponin I</v>
          </cell>
        </row>
        <row r="405">
          <cell r="T405" t="str">
            <v>Tumor Necrosis Factor-a</v>
          </cell>
        </row>
        <row r="406">
          <cell r="T406" t="str">
            <v>Urate</v>
          </cell>
        </row>
        <row r="407">
          <cell r="T407" t="str">
            <v>Urea</v>
          </cell>
        </row>
        <row r="408">
          <cell r="T408" t="str">
            <v>Vascular cell adhesion molecule-1</v>
          </cell>
        </row>
        <row r="409">
          <cell r="T409" t="str">
            <v>Vascular endotelial growth factor</v>
          </cell>
        </row>
        <row r="410">
          <cell r="T410" t="str">
            <v>Vitamin B1</v>
          </cell>
        </row>
        <row r="411">
          <cell r="T411" t="str">
            <v>Vitamin B2 (Riboflavin)</v>
          </cell>
        </row>
        <row r="412">
          <cell r="T412" t="str">
            <v>Vitamin B2 (Riboflavin)</v>
          </cell>
        </row>
        <row r="413">
          <cell r="T413" t="str">
            <v>Vitamin B2 status (gluthation reductase activation)</v>
          </cell>
        </row>
        <row r="414">
          <cell r="T414" t="str">
            <v>Vitamin B12</v>
          </cell>
        </row>
        <row r="415">
          <cell r="T415" t="str">
            <v>Vitamin B6</v>
          </cell>
        </row>
        <row r="416">
          <cell r="T416" t="str">
            <v>Vitamin B6</v>
          </cell>
        </row>
        <row r="417">
          <cell r="T417" t="str">
            <v>Vitamin B6 status (AST activation)</v>
          </cell>
        </row>
        <row r="418">
          <cell r="T418" t="str">
            <v>Vitamin E (a-Tocopherol)</v>
          </cell>
        </row>
        <row r="419">
          <cell r="T419" t="str">
            <v>Vitamin K (Phylloquinone)</v>
          </cell>
        </row>
        <row r="420">
          <cell r="T420" t="str">
            <v>VLDL Cholesterol</v>
          </cell>
        </row>
        <row r="421">
          <cell r="T421" t="str">
            <v>Von Willebrand factor</v>
          </cell>
        </row>
        <row r="422">
          <cell r="T422" t="str">
            <v>Von Willebrand factor antigen</v>
          </cell>
        </row>
        <row r="423">
          <cell r="T423" t="str">
            <v>Water</v>
          </cell>
        </row>
        <row r="424">
          <cell r="T424" t="str">
            <v>Zeaxanthine</v>
          </cell>
        </row>
        <row r="425">
          <cell r="T425" t="str">
            <v>Zinc (ricos 1)</v>
          </cell>
        </row>
        <row r="426">
          <cell r="T426" t="str">
            <v>Zinc (ricos 2)</v>
          </cell>
        </row>
        <row r="428">
          <cell r="T428" t="str">
            <v>URINE</v>
          </cell>
        </row>
        <row r="429">
          <cell r="T429" t="str">
            <v>4 OH-3 methoxi-Vanil mandelic acid (VMA)</v>
          </cell>
        </row>
        <row r="430">
          <cell r="T430" t="str">
            <v>5'-Hydroxyindolacetate, concentration</v>
          </cell>
        </row>
        <row r="431">
          <cell r="T431" t="str">
            <v>a1-Microglobulin, concentration, first morning</v>
          </cell>
        </row>
        <row r="432">
          <cell r="T432" t="str">
            <v>a2-Microglobulin output, first morning</v>
          </cell>
        </row>
        <row r="433">
          <cell r="T433" t="str">
            <v>a-Amylase concentration, random</v>
          </cell>
        </row>
        <row r="434">
          <cell r="T434" t="str">
            <v>Albumin, concentration, first morning</v>
          </cell>
        </row>
        <row r="435">
          <cell r="T435" t="str">
            <v>Aldosterone, concentration</v>
          </cell>
        </row>
        <row r="436">
          <cell r="T436" t="str">
            <v>Ammonia, output, 24h</v>
          </cell>
        </row>
        <row r="437">
          <cell r="T437" t="str">
            <v>Calcium, concentration, 24h</v>
          </cell>
        </row>
        <row r="438">
          <cell r="T438" t="str">
            <v>Calcium, ionized</v>
          </cell>
        </row>
        <row r="439">
          <cell r="T439" t="str">
            <v>Calcium, output, 24h</v>
          </cell>
        </row>
        <row r="440">
          <cell r="T440" t="str">
            <v>C-Terminal cross-linking telopeptide  type I collagen (s-CTx)</v>
          </cell>
        </row>
        <row r="441">
          <cell r="T441" t="str">
            <v>C-Telopeptide of type I collagen/creatinine, 1st morning</v>
          </cell>
        </row>
        <row r="442">
          <cell r="T442" t="str">
            <v>C-Telopeptide type I collagen/creatinine, 2nd morning</v>
          </cell>
        </row>
        <row r="443">
          <cell r="T443" t="str">
            <v>Creatinine, concentration, 24h</v>
          </cell>
        </row>
        <row r="444">
          <cell r="T444" t="str">
            <v>Creatinine, output, 24h</v>
          </cell>
        </row>
        <row r="445">
          <cell r="T445" t="str">
            <v>?-aminolevulinic acid</v>
          </cell>
        </row>
        <row r="446">
          <cell r="T446" t="str">
            <v>Deoxypyridinoline/creatinine, 24h (Delmas CC 2001)</v>
          </cell>
        </row>
        <row r="447">
          <cell r="T447" t="str">
            <v>Deoxypyridinoline/creatinine, first morning</v>
          </cell>
        </row>
        <row r="448">
          <cell r="T448" t="str">
            <v>Deoxipyridinoline/minute</v>
          </cell>
        </row>
        <row r="449">
          <cell r="T449" t="str">
            <v>Estradiol</v>
          </cell>
        </row>
        <row r="450">
          <cell r="T450" t="str">
            <v>Free estradiol</v>
          </cell>
        </row>
        <row r="451">
          <cell r="T451" t="str">
            <v>Free testosterone</v>
          </cell>
        </row>
        <row r="452">
          <cell r="T452" t="str">
            <v>Hydroxyproline/minute, night urine</v>
          </cell>
        </row>
        <row r="453">
          <cell r="T453" t="str">
            <v>Magnesium, concentration, 24h</v>
          </cell>
        </row>
        <row r="454">
          <cell r="T454" t="str">
            <v>Magnesium, ionized</v>
          </cell>
        </row>
        <row r="455">
          <cell r="T455" t="str">
            <v>Magnesium, output, 24h</v>
          </cell>
        </row>
        <row r="456">
          <cell r="T456" t="str">
            <v>N-Acetyl Glucosaminidase, concentration, overnight</v>
          </cell>
        </row>
        <row r="457">
          <cell r="T457" t="str">
            <v>Nitrogen, output</v>
          </cell>
        </row>
        <row r="458">
          <cell r="T458" t="str">
            <v>N- Telopeptide of type I collagen /creatinine, first urine</v>
          </cell>
        </row>
        <row r="459">
          <cell r="T459" t="str">
            <v>Oxalate, concentration, 24h</v>
          </cell>
        </row>
        <row r="460">
          <cell r="T460" t="str">
            <v>Oxalate, output, 24h</v>
          </cell>
        </row>
        <row r="461">
          <cell r="T461" t="str">
            <v>Phosphate, concentration, 24h</v>
          </cell>
        </row>
        <row r="462">
          <cell r="T462" t="str">
            <v>Phosphate, output, 24h</v>
          </cell>
        </row>
        <row r="463">
          <cell r="T463" t="str">
            <v>Porphobilinogen</v>
          </cell>
        </row>
        <row r="464">
          <cell r="T464" t="str">
            <v>Porphyrins</v>
          </cell>
        </row>
        <row r="465">
          <cell r="T465" t="str">
            <v>Potassium, concentration, 24h</v>
          </cell>
        </row>
        <row r="466">
          <cell r="T466" t="str">
            <v>Potassium, output</v>
          </cell>
        </row>
        <row r="467">
          <cell r="T467" t="str">
            <v>Protein, concentration, 24h</v>
          </cell>
        </row>
        <row r="468">
          <cell r="T468" t="str">
            <v>Protein, output, 24h</v>
          </cell>
        </row>
        <row r="469">
          <cell r="T469" t="str">
            <v>Pyridinoline/creatinine, morning spot</v>
          </cell>
        </row>
        <row r="470">
          <cell r="T470" t="str">
            <v>Sodium, concentration, 24 h,</v>
          </cell>
        </row>
        <row r="471">
          <cell r="T471" t="str">
            <v>Sodium output, 24 h,</v>
          </cell>
        </row>
        <row r="472">
          <cell r="T472" t="str">
            <v>Testosterone</v>
          </cell>
        </row>
        <row r="473">
          <cell r="T473" t="str">
            <v>Total catecolamines, concentration, 24h</v>
          </cell>
        </row>
        <row r="474">
          <cell r="T474" t="str">
            <v>Total porphyrins</v>
          </cell>
        </row>
        <row r="475">
          <cell r="T475" t="str">
            <v>Urate, concentration, 24h</v>
          </cell>
        </row>
        <row r="476">
          <cell r="T476" t="str">
            <v>Urate, output, 24h</v>
          </cell>
        </row>
        <row r="477">
          <cell r="T477" t="str">
            <v>Urea, concentration, 24h</v>
          </cell>
        </row>
        <row r="478">
          <cell r="T478" t="str">
            <v>Urea, output, 24h</v>
          </cell>
        </row>
        <row r="479">
          <cell r="T479" t="str">
            <v>Vanilmandelic Acid concentration, 24h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portée flexible"/>
      <sheetName val="validation de méthode"/>
      <sheetName val="Justesse et fidélité"/>
      <sheetName val="correlation XY"/>
      <sheetName val="étalonnage X"/>
    </sheetNames>
    <sheetDataSet>
      <sheetData sheetId="0" refreshError="1"/>
      <sheetData sheetId="1" refreshError="1"/>
      <sheetData sheetId="2">
        <row r="6">
          <cell r="AD6" t="str">
            <v>SUBSTRATS</v>
          </cell>
        </row>
        <row r="7">
          <cell r="AD7" t="str">
            <v>Acide urique</v>
          </cell>
        </row>
        <row r="8">
          <cell r="AD8" t="str">
            <v>Ammonium</v>
          </cell>
        </row>
        <row r="9">
          <cell r="AD9" t="str">
            <v>CO2</v>
          </cell>
        </row>
        <row r="10">
          <cell r="AD10" t="str">
            <v>Bilirubine Totale</v>
          </cell>
        </row>
        <row r="11">
          <cell r="AD11" t="str">
            <v>Calcium ionisé</v>
          </cell>
        </row>
        <row r="12">
          <cell r="AD12" t="str">
            <v>Calcium total</v>
          </cell>
        </row>
        <row r="13">
          <cell r="AD13" t="str">
            <v>Chlore</v>
          </cell>
        </row>
        <row r="14">
          <cell r="AD14" t="str">
            <v>Cholesterol</v>
          </cell>
        </row>
        <row r="15">
          <cell r="AD15" t="str">
            <v>HDL</v>
          </cell>
        </row>
        <row r="16">
          <cell r="AD16" t="str">
            <v>Creatinine</v>
          </cell>
        </row>
        <row r="17">
          <cell r="AD17" t="str">
            <v>Fer</v>
          </cell>
        </row>
        <row r="18">
          <cell r="AD18" t="str">
            <v>Ferritine</v>
          </cell>
        </row>
        <row r="19">
          <cell r="AD19" t="str">
            <v>Folates</v>
          </cell>
        </row>
        <row r="20">
          <cell r="AD20" t="str">
            <v>Fructosamine</v>
          </cell>
        </row>
        <row r="21">
          <cell r="AD21" t="str">
            <v>Glucose</v>
          </cell>
        </row>
        <row r="22">
          <cell r="AD22" t="str">
            <v>HbA1c</v>
          </cell>
        </row>
        <row r="23">
          <cell r="AD23" t="str">
            <v>Lactate</v>
          </cell>
        </row>
        <row r="24">
          <cell r="AD24" t="str">
            <v>Magnesium</v>
          </cell>
        </row>
        <row r="25">
          <cell r="AD25" t="str">
            <v>Phosphate</v>
          </cell>
        </row>
        <row r="26">
          <cell r="AD26" t="str">
            <v>Potassium</v>
          </cell>
        </row>
        <row r="27">
          <cell r="AD27" t="str">
            <v>Protéines totales</v>
          </cell>
        </row>
        <row r="28">
          <cell r="AD28" t="str">
            <v>Sodium</v>
          </cell>
        </row>
        <row r="29">
          <cell r="AD29" t="str">
            <v>Triglycérides</v>
          </cell>
        </row>
        <row r="30">
          <cell r="AD30" t="str">
            <v>Urée</v>
          </cell>
        </row>
        <row r="32">
          <cell r="AD32" t="str">
            <v>SUBSTRATS URINAIRES</v>
          </cell>
        </row>
        <row r="33">
          <cell r="AD33" t="str">
            <v>Acide urique U</v>
          </cell>
        </row>
        <row r="34">
          <cell r="AD34" t="str">
            <v>Calcium U</v>
          </cell>
        </row>
        <row r="35">
          <cell r="AD35" t="str">
            <v>Chlore U</v>
          </cell>
        </row>
        <row r="36">
          <cell r="AD36" t="str">
            <v>Créatinine U</v>
          </cell>
        </row>
        <row r="37">
          <cell r="AD37" t="str">
            <v>Glucose U</v>
          </cell>
        </row>
        <row r="38">
          <cell r="AD38" t="str">
            <v>Magnesium U</v>
          </cell>
        </row>
        <row r="39">
          <cell r="AD39" t="str">
            <v>MicroAlb U</v>
          </cell>
        </row>
        <row r="40">
          <cell r="AD40" t="str">
            <v>Phosphate U</v>
          </cell>
        </row>
        <row r="41">
          <cell r="AD41" t="str">
            <v>Potassium U</v>
          </cell>
        </row>
        <row r="42">
          <cell r="AD42" t="str">
            <v>Protéines U</v>
          </cell>
        </row>
        <row r="43">
          <cell r="AD43" t="str">
            <v>Sodium U</v>
          </cell>
        </row>
        <row r="44">
          <cell r="AD44" t="str">
            <v>Urée U</v>
          </cell>
        </row>
        <row r="46">
          <cell r="AD46" t="str">
            <v>ENZYMES</v>
          </cell>
        </row>
        <row r="47">
          <cell r="AD47" t="str">
            <v>5'Nu</v>
          </cell>
        </row>
        <row r="48">
          <cell r="AD48" t="str">
            <v>a-Amylase</v>
          </cell>
        </row>
        <row r="49">
          <cell r="AD49" t="str">
            <v>ALAT</v>
          </cell>
        </row>
        <row r="50">
          <cell r="AD50" t="str">
            <v>ASAT</v>
          </cell>
        </row>
        <row r="51">
          <cell r="AD51" t="str">
            <v>CK</v>
          </cell>
        </row>
        <row r="52">
          <cell r="AD52" t="str">
            <v>GGT</v>
          </cell>
        </row>
        <row r="53">
          <cell r="AD53" t="str">
            <v>LDH</v>
          </cell>
        </row>
        <row r="54">
          <cell r="AD54" t="str">
            <v>Lipase</v>
          </cell>
        </row>
        <row r="55">
          <cell r="AD55" t="str">
            <v>PAL</v>
          </cell>
        </row>
        <row r="57">
          <cell r="AD57" t="str">
            <v>PROTEINES SPECIFIQUES</v>
          </cell>
        </row>
        <row r="58">
          <cell r="AD58" t="str">
            <v>a1AT</v>
          </cell>
        </row>
        <row r="59">
          <cell r="AD59" t="str">
            <v>a2-Macroglobuline</v>
          </cell>
        </row>
        <row r="60">
          <cell r="AD60" t="str">
            <v>Albumine</v>
          </cell>
        </row>
        <row r="61">
          <cell r="AD61" t="str">
            <v>ApoA1</v>
          </cell>
        </row>
        <row r="62">
          <cell r="AD62" t="str">
            <v>ApoB</v>
          </cell>
        </row>
        <row r="63">
          <cell r="AD63" t="str">
            <v>b2-Microglobuline</v>
          </cell>
        </row>
        <row r="64">
          <cell r="AD64" t="str">
            <v>Céruléoplasmine</v>
          </cell>
        </row>
        <row r="65">
          <cell r="AD65" t="str">
            <v>C3</v>
          </cell>
        </row>
        <row r="66">
          <cell r="AD66" t="str">
            <v>C4</v>
          </cell>
        </row>
        <row r="67">
          <cell r="AD67" t="str">
            <v>CRP</v>
          </cell>
        </row>
        <row r="68">
          <cell r="AD68" t="str">
            <v>Haptoglobine</v>
          </cell>
        </row>
        <row r="69">
          <cell r="AD69" t="str">
            <v>IgA</v>
          </cell>
        </row>
        <row r="70">
          <cell r="AD70" t="str">
            <v>IgE</v>
          </cell>
        </row>
        <row r="71">
          <cell r="AD71" t="str">
            <v>IgG</v>
          </cell>
        </row>
        <row r="72">
          <cell r="AD72" t="str">
            <v>IgM</v>
          </cell>
        </row>
        <row r="73">
          <cell r="AD73" t="str">
            <v>Oroso</v>
          </cell>
        </row>
        <row r="74">
          <cell r="AD74" t="str">
            <v>PréAlb</v>
          </cell>
        </row>
        <row r="75">
          <cell r="AD75" t="str">
            <v>Transférrine</v>
          </cell>
        </row>
        <row r="77">
          <cell r="AD77" t="str">
            <v>GAZ DU SANG</v>
          </cell>
        </row>
        <row r="78">
          <cell r="AD78" t="str">
            <v>HbCO</v>
          </cell>
        </row>
        <row r="79">
          <cell r="AD79" t="str">
            <v>HbO2</v>
          </cell>
        </row>
        <row r="80">
          <cell r="AD80" t="str">
            <v>metHb</v>
          </cell>
        </row>
        <row r="82">
          <cell r="AD82" t="str">
            <v>pCO2</v>
          </cell>
        </row>
        <row r="83">
          <cell r="AD83" t="str">
            <v>pH (unité)</v>
          </cell>
        </row>
        <row r="84">
          <cell r="AD84" t="str">
            <v>pH (nmol/l)</v>
          </cell>
        </row>
        <row r="85">
          <cell r="AD85" t="str">
            <v>p02</v>
          </cell>
        </row>
        <row r="88">
          <cell r="AD88" t="str">
            <v>MEDICAMENTS</v>
          </cell>
        </row>
        <row r="89">
          <cell r="AD89" t="str">
            <v>Acide Valproïque</v>
          </cell>
        </row>
        <row r="90">
          <cell r="AD90" t="str">
            <v>Amikacine</v>
          </cell>
        </row>
        <row r="91">
          <cell r="AD91" t="str">
            <v>Carbamazépine</v>
          </cell>
        </row>
        <row r="92">
          <cell r="AD92" t="str">
            <v>Digoxine</v>
          </cell>
        </row>
        <row r="93">
          <cell r="AD93" t="str">
            <v>Gentamicine</v>
          </cell>
        </row>
        <row r="94">
          <cell r="AD94" t="str">
            <v>Lithium</v>
          </cell>
        </row>
        <row r="95">
          <cell r="AD95" t="str">
            <v>Méthotrexate</v>
          </cell>
        </row>
        <row r="96">
          <cell r="AD96" t="str">
            <v>Paracétamol</v>
          </cell>
        </row>
        <row r="97">
          <cell r="AD97" t="str">
            <v>Phénobarbital</v>
          </cell>
        </row>
        <row r="98">
          <cell r="AD98" t="str">
            <v>Phénytoïne</v>
          </cell>
        </row>
        <row r="99">
          <cell r="AD99" t="str">
            <v>Salycilates</v>
          </cell>
        </row>
        <row r="100">
          <cell r="AD100" t="str">
            <v>Théophiline</v>
          </cell>
        </row>
        <row r="101">
          <cell r="AD101" t="str">
            <v>Vancomycine</v>
          </cell>
        </row>
        <row r="103">
          <cell r="AD103" t="str">
            <v>MARQUEURS TUMORAUX</v>
          </cell>
        </row>
        <row r="104">
          <cell r="AD104" t="str">
            <v>ACE</v>
          </cell>
        </row>
        <row r="105">
          <cell r="AD105" t="str">
            <v>MEDICAMENTS</v>
          </cell>
        </row>
        <row r="106">
          <cell r="AD106" t="str">
            <v>Acide Valproïque</v>
          </cell>
        </row>
        <row r="107">
          <cell r="AD107" t="str">
            <v>Amikacine</v>
          </cell>
        </row>
        <row r="108">
          <cell r="AD108" t="str">
            <v>Carbamazépine</v>
          </cell>
        </row>
        <row r="109">
          <cell r="AD109" t="str">
            <v>Digoxine</v>
          </cell>
        </row>
        <row r="110">
          <cell r="AD110" t="str">
            <v>Gentamicine</v>
          </cell>
        </row>
        <row r="111">
          <cell r="AD111" t="str">
            <v>Lithium</v>
          </cell>
        </row>
        <row r="112">
          <cell r="AD112" t="str">
            <v>Méthotrexate</v>
          </cell>
        </row>
        <row r="113">
          <cell r="AD113" t="str">
            <v>Paracétamol</v>
          </cell>
        </row>
        <row r="114">
          <cell r="AD114" t="str">
            <v>Phénobarbital</v>
          </cell>
        </row>
        <row r="115">
          <cell r="AD115" t="str">
            <v>Phénytoïne</v>
          </cell>
        </row>
        <row r="116">
          <cell r="AD116" t="str">
            <v>Salycilates</v>
          </cell>
        </row>
        <row r="117">
          <cell r="AD117" t="str">
            <v>Théophiline</v>
          </cell>
        </row>
        <row r="118">
          <cell r="AD118" t="str">
            <v>Vancomycine</v>
          </cell>
        </row>
        <row r="119">
          <cell r="AD119" t="str">
            <v>PTH</v>
          </cell>
        </row>
        <row r="120">
          <cell r="AD120" t="str">
            <v>MARQUEURS TUMORAUX</v>
          </cell>
        </row>
        <row r="121">
          <cell r="AD121" t="str">
            <v>ACE</v>
          </cell>
        </row>
        <row r="122">
          <cell r="AD122" t="str">
            <v>AFP</v>
          </cell>
        </row>
        <row r="123">
          <cell r="AD123" t="str">
            <v>CA125</v>
          </cell>
        </row>
        <row r="124">
          <cell r="AD124" t="str">
            <v>CA15-3</v>
          </cell>
        </row>
        <row r="125">
          <cell r="AD125" t="str">
            <v>CA19-9</v>
          </cell>
        </row>
        <row r="126">
          <cell r="AD126" t="str">
            <v>PSA</v>
          </cell>
        </row>
        <row r="128">
          <cell r="AD128" t="str">
            <v>HORMONES</v>
          </cell>
        </row>
        <row r="129">
          <cell r="AD129" t="str">
            <v>Cortisol</v>
          </cell>
        </row>
        <row r="130">
          <cell r="AD130" t="str">
            <v>E2</v>
          </cell>
        </row>
        <row r="131">
          <cell r="AD131" t="str">
            <v>FSH</v>
          </cell>
        </row>
        <row r="132">
          <cell r="AD132" t="str">
            <v>GH</v>
          </cell>
        </row>
        <row r="133">
          <cell r="AD133" t="str">
            <v>HCG B</v>
          </cell>
        </row>
        <row r="134">
          <cell r="AD134" t="str">
            <v>Insuline</v>
          </cell>
        </row>
        <row r="135">
          <cell r="AD135" t="str">
            <v>LH</v>
          </cell>
        </row>
        <row r="136">
          <cell r="AD136" t="str">
            <v>PTH</v>
          </cell>
        </row>
        <row r="137">
          <cell r="AD137" t="str">
            <v>Peptide C</v>
          </cell>
        </row>
        <row r="138">
          <cell r="AD138" t="str">
            <v>Progesterone</v>
          </cell>
        </row>
        <row r="139">
          <cell r="AD139" t="str">
            <v>Prolactine</v>
          </cell>
        </row>
        <row r="140">
          <cell r="AD140" t="str">
            <v>FT3</v>
          </cell>
        </row>
        <row r="141">
          <cell r="AD141" t="str">
            <v>FT4</v>
          </cell>
        </row>
        <row r="142">
          <cell r="AD142" t="str">
            <v>Testosterone</v>
          </cell>
        </row>
        <row r="143">
          <cell r="AD143" t="str">
            <v>TSH</v>
          </cell>
        </row>
        <row r="144">
          <cell r="AD144" t="str">
            <v>a-Fetoprotein(non hepatic carcinoma)</v>
          </cell>
        </row>
        <row r="145">
          <cell r="AD145" t="str">
            <v>RICOS</v>
          </cell>
        </row>
        <row r="146">
          <cell r="AD146" t="str">
            <v>Acid phosphatase</v>
          </cell>
        </row>
        <row r="147">
          <cell r="AD147" t="str">
            <v xml:space="preserve">Sang-plasma </v>
          </cell>
        </row>
        <row r="148">
          <cell r="AD148" t="str">
            <v>11-Desoxycortisol S</v>
          </cell>
        </row>
        <row r="149">
          <cell r="AD149" t="str">
            <v>17-Hydroxyprogesterone</v>
          </cell>
        </row>
        <row r="150">
          <cell r="AD150" t="str">
            <v>5' Nucleotidase</v>
          </cell>
        </row>
        <row r="151">
          <cell r="AD151" t="str">
            <v>a1-Acid Glycoprotein</v>
          </cell>
        </row>
        <row r="152">
          <cell r="AD152" t="str">
            <v>a1-Antichymotrypsin</v>
          </cell>
        </row>
        <row r="153">
          <cell r="AD153" t="str">
            <v>a1-Antitrypsin</v>
          </cell>
        </row>
        <row r="154">
          <cell r="AD154" t="str">
            <v>a1-Globulin</v>
          </cell>
        </row>
        <row r="155">
          <cell r="AD155" t="str">
            <v>a2-Antiplasmin</v>
          </cell>
        </row>
        <row r="156">
          <cell r="AD156" t="str">
            <v>a2-Globulins</v>
          </cell>
        </row>
        <row r="157">
          <cell r="AD157" t="str">
            <v>a2-Macroglobulin</v>
          </cell>
        </row>
        <row r="158">
          <cell r="AD158" t="str">
            <v>a-Amylase (ricos)</v>
          </cell>
        </row>
        <row r="159">
          <cell r="AD159" t="str">
            <v>a-Amylase (pancreatic)</v>
          </cell>
        </row>
        <row r="160">
          <cell r="AD160" t="str">
            <v>a-Carotene</v>
          </cell>
        </row>
        <row r="161">
          <cell r="AD161" t="str">
            <v>a-Fetoprotein(non hepatic carcinoma)</v>
          </cell>
        </row>
        <row r="162">
          <cell r="AD162" t="str">
            <v>a-Tocopherol</v>
          </cell>
        </row>
        <row r="163">
          <cell r="AD163" t="str">
            <v>Acid phosphatase</v>
          </cell>
        </row>
        <row r="164">
          <cell r="AD164" t="str">
            <v>Acid phosphatase tartrate-resistant (TR-ACP)</v>
          </cell>
        </row>
        <row r="165">
          <cell r="AD165" t="str">
            <v>Acid phosphatase prostatic activity (PAP)</v>
          </cell>
        </row>
        <row r="166">
          <cell r="AD166" t="str">
            <v>Activated partial thromboplastine time</v>
          </cell>
        </row>
        <row r="167">
          <cell r="AD167" t="str">
            <v>Acyl/free carnitine</v>
          </cell>
        </row>
        <row r="168">
          <cell r="AD168" t="str">
            <v>Adiponectin</v>
          </cell>
        </row>
        <row r="169">
          <cell r="AD169" t="str">
            <v>Adenosine deaminase (ADA)</v>
          </cell>
        </row>
        <row r="170">
          <cell r="AD170" t="str">
            <v>Alanine aminopeptidase</v>
          </cell>
        </row>
        <row r="171">
          <cell r="AD171" t="str">
            <v>Alanine aminotransferase</v>
          </cell>
        </row>
        <row r="172">
          <cell r="AD172" t="str">
            <v>Albumin</v>
          </cell>
        </row>
        <row r="173">
          <cell r="AD173" t="str">
            <v>Aldosterone</v>
          </cell>
        </row>
        <row r="174">
          <cell r="AD174" t="str">
            <v>Alkaline phosphatase</v>
          </cell>
        </row>
        <row r="175">
          <cell r="AD175" t="str">
            <v>Alkaline phosphatase, bone</v>
          </cell>
        </row>
        <row r="176">
          <cell r="AD176" t="str">
            <v>Alkaline phosphatase, liver</v>
          </cell>
        </row>
        <row r="177">
          <cell r="AD177" t="str">
            <v>Alkaline phosphatase, placental</v>
          </cell>
        </row>
        <row r="178">
          <cell r="AD178" t="str">
            <v>Amyloid A</v>
          </cell>
        </row>
        <row r="179">
          <cell r="AD179" t="str">
            <v>Androstendione</v>
          </cell>
        </row>
        <row r="180">
          <cell r="AD180" t="str">
            <v>Androstenedione</v>
          </cell>
        </row>
        <row r="181">
          <cell r="AD181" t="str">
            <v>Angiotensin converting enzyme</v>
          </cell>
        </row>
        <row r="182">
          <cell r="AD182" t="str">
            <v>Antithrombin III</v>
          </cell>
        </row>
        <row r="183">
          <cell r="AD183" t="str">
            <v>Apolipoprotein A1</v>
          </cell>
        </row>
        <row r="184">
          <cell r="AD184" t="str">
            <v>Apolipoprotein B</v>
          </cell>
        </row>
        <row r="185">
          <cell r="AD185" t="str">
            <v>Ascorbic Acid</v>
          </cell>
        </row>
        <row r="186">
          <cell r="AD186" t="str">
            <v>Aspartate aminotransferase</v>
          </cell>
        </row>
        <row r="187">
          <cell r="AD187" t="str">
            <v>b-2-Microglobulin</v>
          </cell>
        </row>
        <row r="188">
          <cell r="AD188" t="str">
            <v>Basophile, count</v>
          </cell>
        </row>
        <row r="189">
          <cell r="AD189" t="str">
            <v>b-Carotene</v>
          </cell>
        </row>
        <row r="190">
          <cell r="AD190" t="str">
            <v>b-Cryptoxantin</v>
          </cell>
        </row>
        <row r="191">
          <cell r="AD191" t="str">
            <v>b-Globulins</v>
          </cell>
        </row>
        <row r="192">
          <cell r="AD192" t="str">
            <v>Bilirubin total</v>
          </cell>
        </row>
        <row r="193">
          <cell r="AD193" t="str">
            <v>Bilirubin conjugated</v>
          </cell>
        </row>
        <row r="194">
          <cell r="AD194" t="str">
            <v>CA 125 antigen</v>
          </cell>
        </row>
        <row r="195">
          <cell r="AD195" t="str">
            <v>CA 15,3 antigen</v>
          </cell>
        </row>
        <row r="196">
          <cell r="AD196" t="str">
            <v>CA 19,9 antigen</v>
          </cell>
        </row>
        <row r="197">
          <cell r="AD197" t="str">
            <v>CA 549 antigen</v>
          </cell>
        </row>
        <row r="198">
          <cell r="AD198" t="str">
            <v>Calcium</v>
          </cell>
        </row>
        <row r="199">
          <cell r="AD199" t="str">
            <v>Carbohydrate deficient transferrin</v>
          </cell>
        </row>
        <row r="200">
          <cell r="AD200" t="str">
            <v>Carcinoembryonic antigen (CEA)</v>
          </cell>
        </row>
        <row r="201">
          <cell r="AD201" t="str">
            <v>CD4 lymphocyte count</v>
          </cell>
        </row>
        <row r="202">
          <cell r="AD202" t="str">
            <v>Ceruloplasmin</v>
          </cell>
        </row>
        <row r="203">
          <cell r="AD203" t="str">
            <v>Chloride</v>
          </cell>
        </row>
        <row r="204">
          <cell r="AD204" t="str">
            <v>Cholesterol (ricos)</v>
          </cell>
        </row>
        <row r="205">
          <cell r="AD205" t="str">
            <v>Cholinesterase</v>
          </cell>
        </row>
        <row r="206">
          <cell r="AD206" t="str">
            <v>Cholinesterase, activity</v>
          </cell>
        </row>
        <row r="207">
          <cell r="AD207" t="str">
            <v>Cholinesterase, immunoreactive</v>
          </cell>
        </row>
        <row r="208">
          <cell r="AD208" t="str">
            <v>C3 complement</v>
          </cell>
        </row>
        <row r="209">
          <cell r="AD209" t="str">
            <v>C4 complement</v>
          </cell>
        </row>
        <row r="210">
          <cell r="AD210" t="str">
            <v>Chromogranin A</v>
          </cell>
        </row>
        <row r="211">
          <cell r="AD211" t="str">
            <v>Copper</v>
          </cell>
        </row>
        <row r="212">
          <cell r="AD212" t="str">
            <v>Copper</v>
          </cell>
        </row>
        <row r="213">
          <cell r="AD213" t="str">
            <v>Cortisol (ricos)</v>
          </cell>
        </row>
        <row r="214">
          <cell r="AD214" t="str">
            <v>C Peptide</v>
          </cell>
        </row>
        <row r="215">
          <cell r="AD215" t="str">
            <v>C-Propeptide type I procollagen</v>
          </cell>
        </row>
        <row r="216">
          <cell r="AD216" t="str">
            <v>C-Reactive protein</v>
          </cell>
        </row>
        <row r="217">
          <cell r="AD217" t="str">
            <v>Creatine kinase (CK)</v>
          </cell>
        </row>
        <row r="218">
          <cell r="AD218" t="str">
            <v>Creatine kinase MB, %</v>
          </cell>
        </row>
        <row r="219">
          <cell r="AD219" t="str">
            <v>Creatine kinase MB, activity</v>
          </cell>
        </row>
        <row r="220">
          <cell r="AD220" t="str">
            <v>Creatine kinase MB, mass</v>
          </cell>
        </row>
        <row r="221">
          <cell r="AD221" t="str">
            <v>Creatinine (ricos)</v>
          </cell>
        </row>
        <row r="222">
          <cell r="AD222" t="str">
            <v>Creatinine clearance</v>
          </cell>
        </row>
        <row r="223">
          <cell r="AD223" t="str">
            <v>Cyfra 21,1</v>
          </cell>
        </row>
        <row r="224">
          <cell r="AD224" t="str">
            <v>Cystastin C</v>
          </cell>
        </row>
        <row r="225">
          <cell r="AD225" t="str">
            <v>Cysteine</v>
          </cell>
        </row>
        <row r="226">
          <cell r="AD226" t="str">
            <v>Dehydroepiandrosterone sulfate</v>
          </cell>
        </row>
        <row r="227">
          <cell r="AD227" t="str">
            <v>Dipeptidyl-peptidase IV (ACE)</v>
          </cell>
        </row>
        <row r="228">
          <cell r="AD228" t="str">
            <v>Dipeptidyl-peptidase IV (ACE)</v>
          </cell>
        </row>
        <row r="229">
          <cell r="AD229" t="str">
            <v>Elastase</v>
          </cell>
        </row>
        <row r="230">
          <cell r="AD230" t="str">
            <v>Endotelial growth factor</v>
          </cell>
        </row>
        <row r="231">
          <cell r="AD231" t="str">
            <v>Eosinophils, count</v>
          </cell>
        </row>
        <row r="232">
          <cell r="AD232" t="str">
            <v>Epinephrine</v>
          </cell>
        </row>
        <row r="233">
          <cell r="AD233" t="str">
            <v>Epinephrine</v>
          </cell>
        </row>
        <row r="234">
          <cell r="AD234" t="str">
            <v>Erythrocytes, count</v>
          </cell>
        </row>
        <row r="235">
          <cell r="AD235" t="str">
            <v>Erythrocyte distribution wide</v>
          </cell>
        </row>
        <row r="236">
          <cell r="AD236" t="str">
            <v>Estradiol</v>
          </cell>
        </row>
        <row r="237">
          <cell r="AD237" t="str">
            <v>Factor V coagulation</v>
          </cell>
        </row>
        <row r="238">
          <cell r="AD238" t="str">
            <v>Factor VII coagulation</v>
          </cell>
        </row>
        <row r="239">
          <cell r="AD239" t="str">
            <v>Factor VIII coagulation</v>
          </cell>
        </row>
        <row r="240">
          <cell r="AD240" t="str">
            <v>Factor X coagulation</v>
          </cell>
        </row>
        <row r="241">
          <cell r="AD241" t="str">
            <v>Ferritin</v>
          </cell>
        </row>
        <row r="242">
          <cell r="AD242" t="str">
            <v>Fibrinogen</v>
          </cell>
        </row>
        <row r="243">
          <cell r="AD243" t="str">
            <v>Folate (ricos 1)</v>
          </cell>
        </row>
        <row r="244">
          <cell r="AD244" t="str">
            <v>Folate (ricos 2)</v>
          </cell>
        </row>
        <row r="245">
          <cell r="AD245" t="str">
            <v>Follicle stimulating hormone (males)</v>
          </cell>
        </row>
        <row r="246">
          <cell r="AD246" t="str">
            <v>Free carnitine</v>
          </cell>
        </row>
        <row r="247">
          <cell r="AD247" t="str">
            <v>Free estradiol</v>
          </cell>
        </row>
        <row r="248">
          <cell r="AD248" t="str">
            <v>Free testosterone</v>
          </cell>
        </row>
        <row r="249">
          <cell r="AD249" t="str">
            <v>Free thyroxine (FT4)</v>
          </cell>
        </row>
        <row r="250">
          <cell r="AD250" t="str">
            <v>Free Triiodothyronine (FT3)</v>
          </cell>
        </row>
        <row r="251">
          <cell r="AD251" t="str">
            <v>Fructosamine (ricos)</v>
          </cell>
        </row>
        <row r="252">
          <cell r="AD252" t="str">
            <v>Galactosyl hydroxylisine</v>
          </cell>
        </row>
        <row r="253">
          <cell r="AD253" t="str">
            <v>g-Globulins</v>
          </cell>
        </row>
        <row r="254">
          <cell r="AD254" t="str">
            <v>g-glutamyltransferase</v>
          </cell>
        </row>
        <row r="255">
          <cell r="AD255" t="str">
            <v>Globulins, total</v>
          </cell>
        </row>
        <row r="256">
          <cell r="AD256" t="str">
            <v>Glucose (ricos)</v>
          </cell>
        </row>
        <row r="257">
          <cell r="AD257" t="str">
            <v>Glucose-6-phosphate-1-dehydrogenase (G6PDH)</v>
          </cell>
        </row>
        <row r="258">
          <cell r="AD258" t="str">
            <v>Glucose-6-phosphate-1-dehydrogenase (G6PDH)</v>
          </cell>
        </row>
        <row r="259">
          <cell r="AD259" t="str">
            <v>Glutathion peroxidase</v>
          </cell>
        </row>
        <row r="260">
          <cell r="AD260" t="str">
            <v>Glycated albumin</v>
          </cell>
        </row>
        <row r="261">
          <cell r="AD261" t="str">
            <v>Glycated total protein</v>
          </cell>
        </row>
        <row r="262">
          <cell r="AD262" t="str">
            <v>Haptoglobin</v>
          </cell>
        </row>
        <row r="263">
          <cell r="AD263" t="str">
            <v>Hematocrit</v>
          </cell>
        </row>
        <row r="264">
          <cell r="AD264" t="str">
            <v>Hemoglobin</v>
          </cell>
        </row>
        <row r="265">
          <cell r="AD265" t="str">
            <v>Hemoglobin A1 C</v>
          </cell>
        </row>
        <row r="266">
          <cell r="AD266" t="str">
            <v>HDL cholesterol</v>
          </cell>
        </row>
        <row r="267">
          <cell r="AD267" t="str">
            <v>HDL 1 cholesterol</v>
          </cell>
        </row>
        <row r="268">
          <cell r="AD268" t="str">
            <v>HDL 2 cholesterol</v>
          </cell>
        </row>
        <row r="269">
          <cell r="AD269" t="str">
            <v>HDL 3 cholesterol</v>
          </cell>
        </row>
        <row r="270">
          <cell r="AD270" t="str">
            <v>Homocysteine</v>
          </cell>
        </row>
        <row r="271">
          <cell r="AD271" t="str">
            <v>Hydroxyproline/creatinine</v>
          </cell>
        </row>
        <row r="272">
          <cell r="AD272" t="str">
            <v>Hydroxybutyrate dehydrogenase</v>
          </cell>
        </row>
        <row r="273">
          <cell r="AD273" t="str">
            <v>Immunoglobulin A</v>
          </cell>
        </row>
        <row r="274">
          <cell r="AD274" t="str">
            <v>Immunoglobulin G</v>
          </cell>
        </row>
        <row r="275">
          <cell r="AD275" t="str">
            <v>Immunoglobulin M</v>
          </cell>
        </row>
        <row r="276">
          <cell r="AD276" t="str">
            <v>Immunoglobulins K chains</v>
          </cell>
        </row>
        <row r="277">
          <cell r="AD277" t="str">
            <v>Immunoglobulins l chains</v>
          </cell>
        </row>
        <row r="278">
          <cell r="AD278" t="str">
            <v>Insulin</v>
          </cell>
        </row>
        <row r="279">
          <cell r="AD279" t="str">
            <v>Insulin-like growth factor (IGF-1)</v>
          </cell>
        </row>
        <row r="280">
          <cell r="AD280" t="str">
            <v>Intercellular adhesion molecule-1</v>
          </cell>
        </row>
        <row r="281">
          <cell r="AD281" t="str">
            <v>Interferon receptor</v>
          </cell>
        </row>
        <row r="282">
          <cell r="AD282" t="str">
            <v>Interleukin-1B</v>
          </cell>
        </row>
        <row r="283">
          <cell r="AD283" t="str">
            <v>Interleukin-8</v>
          </cell>
        </row>
        <row r="284">
          <cell r="AD284" t="str">
            <v>Iron</v>
          </cell>
        </row>
        <row r="285">
          <cell r="AD285" t="str">
            <v>Lactate (ricos)</v>
          </cell>
        </row>
        <row r="286">
          <cell r="AD286" t="str">
            <v>Lactate dehydrogenase (LDH)</v>
          </cell>
        </row>
        <row r="287">
          <cell r="AD287" t="str">
            <v>Lactate dehydrogenase 1 isoform (LDH1)</v>
          </cell>
        </row>
        <row r="288">
          <cell r="AD288" t="str">
            <v>Lactate dehydrogenase 2 isoform (LDH2)</v>
          </cell>
        </row>
        <row r="289">
          <cell r="AD289" t="str">
            <v>Lactate dehydrogenase 3 isoform (LDH3)</v>
          </cell>
        </row>
        <row r="290">
          <cell r="AD290" t="str">
            <v>Lactate dehydrogenase 4 isoform (LDH4)</v>
          </cell>
        </row>
        <row r="291">
          <cell r="AD291" t="str">
            <v>Lactate dehydrogenase 5 isoform (LDH5)</v>
          </cell>
        </row>
        <row r="292">
          <cell r="AD292" t="str">
            <v>Lactoferrin</v>
          </cell>
        </row>
        <row r="293">
          <cell r="AD293" t="str">
            <v>Leukocytes, count</v>
          </cell>
        </row>
        <row r="294">
          <cell r="AD294" t="str">
            <v>LDL Cholesterol</v>
          </cell>
        </row>
        <row r="295">
          <cell r="AD295" t="str">
            <v>LDL Cholesterol (direct)</v>
          </cell>
        </row>
        <row r="296">
          <cell r="AD296" t="str">
            <v>LDL Cholesterol (oxidized)</v>
          </cell>
        </row>
        <row r="297">
          <cell r="AD297" t="str">
            <v>LDL receptor mRNA</v>
          </cell>
        </row>
        <row r="298">
          <cell r="AD298" t="str">
            <v>Leukocytes count</v>
          </cell>
        </row>
        <row r="299">
          <cell r="AD299" t="str">
            <v>Lipase (ricos)</v>
          </cell>
        </row>
        <row r="300">
          <cell r="AD300" t="str">
            <v>Lipoprotein (a)</v>
          </cell>
        </row>
        <row r="301">
          <cell r="AD301" t="str">
            <v>Lutein</v>
          </cell>
        </row>
        <row r="302">
          <cell r="AD302" t="str">
            <v>Luteinizing hormone</v>
          </cell>
        </row>
        <row r="303">
          <cell r="AD303" t="str">
            <v>Lycopenene</v>
          </cell>
        </row>
        <row r="304">
          <cell r="AD304" t="str">
            <v>Lymphocytes, count</v>
          </cell>
        </row>
        <row r="305">
          <cell r="AD305" t="str">
            <v>Lymphocytes CD4</v>
          </cell>
        </row>
        <row r="306">
          <cell r="AD306" t="str">
            <v>Magnesium (ricos)</v>
          </cell>
        </row>
        <row r="307">
          <cell r="AD307" t="str">
            <v>Magnesium (ricos2)</v>
          </cell>
        </row>
        <row r="308">
          <cell r="AD308" t="str">
            <v>Magnesium (ricos3)</v>
          </cell>
        </row>
        <row r="309">
          <cell r="AD309" t="str">
            <v>Magnesium, concentration, 24h</v>
          </cell>
        </row>
        <row r="310">
          <cell r="AD310" t="str">
            <v>Magnesium, ionized</v>
          </cell>
        </row>
        <row r="311">
          <cell r="AD311" t="str">
            <v>Magnesium, output, 24h</v>
          </cell>
        </row>
        <row r="312">
          <cell r="AD312" t="str">
            <v>Mean corpuscular hemoglobin (HCM)</v>
          </cell>
        </row>
        <row r="313">
          <cell r="AD313" t="str">
            <v>Mean corpuscular hemoglobin concentration (MCHC)</v>
          </cell>
        </row>
        <row r="314">
          <cell r="AD314" t="str">
            <v>Mean corpuscular volume (MCV)</v>
          </cell>
        </row>
        <row r="315">
          <cell r="AD315" t="str">
            <v>Mean platelet volume (MPV)</v>
          </cell>
        </row>
        <row r="316">
          <cell r="AD316" t="str">
            <v>Monocytes, count</v>
          </cell>
        </row>
        <row r="317">
          <cell r="AD317" t="str">
            <v>Mucinous carcinoma-associated antigen (MCA)</v>
          </cell>
        </row>
        <row r="318">
          <cell r="AD318" t="str">
            <v>Myeloperoxidase</v>
          </cell>
        </row>
        <row r="319">
          <cell r="AD319" t="str">
            <v>Myoglobin</v>
          </cell>
        </row>
        <row r="320">
          <cell r="AD320" t="str">
            <v>N-Acetyl Glucosaminidase, concentration, overnight</v>
          </cell>
        </row>
        <row r="321">
          <cell r="AD321" t="str">
            <v>Neutrophyles, count</v>
          </cell>
        </row>
        <row r="322">
          <cell r="AD322" t="str">
            <v>Non-inhibited arilestearase activity</v>
          </cell>
        </row>
        <row r="323">
          <cell r="AD323" t="str">
            <v>Norepinephrine</v>
          </cell>
        </row>
        <row r="324">
          <cell r="AD324" t="str">
            <v>Norepinephrine</v>
          </cell>
        </row>
        <row r="325">
          <cell r="AD325" t="str">
            <v>N-terminal (NT)-proBNP</v>
          </cell>
        </row>
        <row r="326">
          <cell r="AD326" t="str">
            <v>Osmolality</v>
          </cell>
        </row>
        <row r="327">
          <cell r="AD327" t="str">
            <v>Osteocalcin</v>
          </cell>
        </row>
        <row r="328">
          <cell r="AD328" t="str">
            <v>Osteocalcin (+1 trab)</v>
          </cell>
        </row>
        <row r="329">
          <cell r="AD329" t="str">
            <v>Oxalate, concentration, 24h</v>
          </cell>
        </row>
        <row r="330">
          <cell r="AD330" t="str">
            <v>Oxalate, output, 24h</v>
          </cell>
        </row>
        <row r="331">
          <cell r="AD331" t="str">
            <v>pCO2 (ricos)</v>
          </cell>
        </row>
        <row r="332">
          <cell r="AD332" t="str">
            <v>pH [H+]</v>
          </cell>
        </row>
        <row r="333">
          <cell r="AD333" t="str">
            <v>pH (pH units)</v>
          </cell>
        </row>
        <row r="334">
          <cell r="AD334" t="str">
            <v>Paraoxon</v>
          </cell>
        </row>
        <row r="335">
          <cell r="AD335" t="str">
            <v>Paraoxonase 1 substrate inhibition (PON 4SI)</v>
          </cell>
        </row>
        <row r="336">
          <cell r="AD336" t="str">
            <v>Paraoxonase activity (salt estimulated)</v>
          </cell>
        </row>
        <row r="337">
          <cell r="AD337" t="str">
            <v>Parathyroid hormone (PTH)</v>
          </cell>
        </row>
        <row r="338">
          <cell r="AD338" t="str">
            <v>Phenylacetate</v>
          </cell>
        </row>
        <row r="339">
          <cell r="AD339" t="str">
            <v>Phosphate (ricos)</v>
          </cell>
        </row>
        <row r="340">
          <cell r="AD340" t="str">
            <v>Phosphate tubular reabsorption</v>
          </cell>
        </row>
        <row r="341">
          <cell r="AD341" t="str">
            <v>Phospholipids</v>
          </cell>
        </row>
        <row r="342">
          <cell r="AD342" t="str">
            <v>Plasminogen</v>
          </cell>
        </row>
        <row r="343">
          <cell r="AD343" t="str">
            <v>Platelets, count</v>
          </cell>
        </row>
        <row r="344">
          <cell r="AD344" t="str">
            <v>Platelet distribution wide</v>
          </cell>
        </row>
        <row r="345">
          <cell r="AD345" t="str">
            <v>Plateletcrit</v>
          </cell>
        </row>
        <row r="346">
          <cell r="AD346" t="str">
            <v>Potassium (ricos)</v>
          </cell>
        </row>
        <row r="347">
          <cell r="AD347" t="str">
            <v>Potassium (ricos2)</v>
          </cell>
        </row>
        <row r="348">
          <cell r="AD348" t="str">
            <v>Prealbumin</v>
          </cell>
        </row>
        <row r="349">
          <cell r="AD349" t="str">
            <v>Procollagen type 1 C-terminal</v>
          </cell>
        </row>
        <row r="350">
          <cell r="AD350" t="str">
            <v>Procollagen type 1 N-terminal</v>
          </cell>
        </row>
        <row r="351">
          <cell r="AD351" t="str">
            <v>Prolactin (men)</v>
          </cell>
        </row>
        <row r="352">
          <cell r="AD352" t="str">
            <v>Prolyl endopeptidase</v>
          </cell>
        </row>
        <row r="353">
          <cell r="AD353" t="str">
            <v>Properdin factor B</v>
          </cell>
        </row>
        <row r="354">
          <cell r="AD354" t="str">
            <v>Prostatic specific antigen (PSA)</v>
          </cell>
        </row>
        <row r="355">
          <cell r="AD355" t="str">
            <v>Protein C</v>
          </cell>
        </row>
        <row r="356">
          <cell r="AD356" t="str">
            <v>Protein S</v>
          </cell>
        </row>
        <row r="357">
          <cell r="AD357" t="str">
            <v>Protein, total</v>
          </cell>
        </row>
        <row r="358">
          <cell r="AD358" t="str">
            <v>Prothrombin time</v>
          </cell>
        </row>
        <row r="359">
          <cell r="AD359" t="str">
            <v>Pyruvate</v>
          </cell>
        </row>
        <row r="360">
          <cell r="AD360" t="str">
            <v>Red cell distribution wide (RDW)</v>
          </cell>
        </row>
        <row r="361">
          <cell r="AD361" t="str">
            <v>Reticulocyte highly fluorescent, count</v>
          </cell>
        </row>
        <row r="362">
          <cell r="AD362" t="str">
            <v>Reticulocyte low fluorescent, count</v>
          </cell>
        </row>
        <row r="363">
          <cell r="AD363" t="str">
            <v>Reticulocyte medium fluorescent, count</v>
          </cell>
        </row>
        <row r="364">
          <cell r="AD364" t="str">
            <v>Reticulocyte, count</v>
          </cell>
        </row>
        <row r="365">
          <cell r="AD365" t="str">
            <v>Retinol</v>
          </cell>
        </row>
        <row r="366">
          <cell r="AD366" t="str">
            <v>Retinol</v>
          </cell>
        </row>
        <row r="367">
          <cell r="AD367" t="str">
            <v>Rheumatoid factor</v>
          </cell>
        </row>
        <row r="368">
          <cell r="AD368" t="str">
            <v>SCC antigen</v>
          </cell>
        </row>
        <row r="369">
          <cell r="AD369" t="str">
            <v>Selenium</v>
          </cell>
        </row>
        <row r="370">
          <cell r="AD370" t="str">
            <v>Selenium</v>
          </cell>
        </row>
        <row r="371">
          <cell r="AD371" t="str">
            <v>Semen, concentration</v>
          </cell>
        </row>
        <row r="372">
          <cell r="AD372" t="str">
            <v>Semen, morphology</v>
          </cell>
        </row>
        <row r="373">
          <cell r="AD373" t="str">
            <v>Semen, progressive motility</v>
          </cell>
        </row>
        <row r="374">
          <cell r="AD374" t="str">
            <v>Semen, progressive rapid motility</v>
          </cell>
        </row>
        <row r="375">
          <cell r="AD375" t="str">
            <v>Semen, total motility</v>
          </cell>
        </row>
        <row r="376">
          <cell r="AD376" t="str">
            <v>Semen, vitality</v>
          </cell>
        </row>
        <row r="377">
          <cell r="AD377" t="str">
            <v>Sex hormone binding globulin (SHBG)</v>
          </cell>
        </row>
        <row r="378">
          <cell r="AD378" t="str">
            <v>Sodium (ricos)</v>
          </cell>
        </row>
        <row r="379">
          <cell r="AD379" t="str">
            <v>Sodium (ricos2)</v>
          </cell>
        </row>
        <row r="380">
          <cell r="AD380" t="str">
            <v>Sodium (ricos3)</v>
          </cell>
        </row>
        <row r="381">
          <cell r="AD381" t="str">
            <v>Sodium Bicarbonate</v>
          </cell>
        </row>
        <row r="382">
          <cell r="AD382" t="str">
            <v>Sodium Chloride</v>
          </cell>
        </row>
        <row r="383">
          <cell r="AD383" t="str">
            <v>Soluble CD163</v>
          </cell>
        </row>
        <row r="384">
          <cell r="AD384" t="str">
            <v>Soluble CD163</v>
          </cell>
        </row>
        <row r="385">
          <cell r="AD385" t="str">
            <v>Superoxide dismutase</v>
          </cell>
        </row>
        <row r="386">
          <cell r="AD386" t="str">
            <v>Superoxide dismutase</v>
          </cell>
        </row>
        <row r="387">
          <cell r="AD387" t="str">
            <v>Testosterone (ricos)</v>
          </cell>
        </row>
        <row r="388">
          <cell r="AD388" t="str">
            <v>Testosterone (ricos2)</v>
          </cell>
        </row>
        <row r="389">
          <cell r="AD389" t="str">
            <v>Testosterone (ricos3)</v>
          </cell>
        </row>
        <row r="390">
          <cell r="AD390" t="str">
            <v>Thyroglobulin</v>
          </cell>
        </row>
        <row r="391">
          <cell r="AD391" t="str">
            <v>Thyroglobulin antibody</v>
          </cell>
        </row>
        <row r="392">
          <cell r="AD392" t="str">
            <v>Thyroid peroxidase antibody</v>
          </cell>
        </row>
        <row r="393">
          <cell r="AD393" t="str">
            <v>Thyroid stimulating hormone (TSH)</v>
          </cell>
        </row>
        <row r="394">
          <cell r="AD394" t="str">
            <v>Thyrotropin receptor antibody</v>
          </cell>
        </row>
        <row r="395">
          <cell r="AD395" t="str">
            <v>Thyroxine binding globulin (TBG)</v>
          </cell>
        </row>
        <row r="396">
          <cell r="AD396" t="str">
            <v>Thyroxine (T4)</v>
          </cell>
        </row>
        <row r="397">
          <cell r="AD397" t="str">
            <v>Tissue polypeptide antigen (TPA)</v>
          </cell>
        </row>
        <row r="398">
          <cell r="AD398" t="str">
            <v>Tissue polypeptide specific antigen (TPS)</v>
          </cell>
        </row>
        <row r="399">
          <cell r="AD399" t="str">
            <v>Total carnitine</v>
          </cell>
        </row>
        <row r="400">
          <cell r="AD400" t="str">
            <v>Transferrin</v>
          </cell>
        </row>
        <row r="401">
          <cell r="AD401" t="str">
            <v>Triglyceride</v>
          </cell>
        </row>
        <row r="402">
          <cell r="AD402" t="str">
            <v>Triiodothyronine (T3)</v>
          </cell>
        </row>
        <row r="403">
          <cell r="AD403" t="str">
            <v>Troponin I</v>
          </cell>
        </row>
        <row r="404">
          <cell r="AD404" t="str">
            <v>Tumor Necrosis Factor-a</v>
          </cell>
        </row>
        <row r="405">
          <cell r="AD405" t="str">
            <v>Urate</v>
          </cell>
        </row>
        <row r="406">
          <cell r="AD406" t="str">
            <v>Urea</v>
          </cell>
        </row>
        <row r="407">
          <cell r="AD407" t="str">
            <v>Vascular cell adhesion molecule-1</v>
          </cell>
        </row>
        <row r="408">
          <cell r="AD408" t="str">
            <v>Vascular endotelial growth factor</v>
          </cell>
        </row>
        <row r="409">
          <cell r="AD409" t="str">
            <v>Vitamin B1</v>
          </cell>
        </row>
        <row r="410">
          <cell r="AD410" t="str">
            <v>Vitamin B2 (Riboflavin)</v>
          </cell>
        </row>
        <row r="411">
          <cell r="AD411" t="str">
            <v>Vitamin B2 (Riboflavin)</v>
          </cell>
        </row>
        <row r="412">
          <cell r="AD412" t="str">
            <v>Vitamin B2 status (gluthation reductase activation)</v>
          </cell>
        </row>
        <row r="413">
          <cell r="AD413" t="str">
            <v>Vitamin B12</v>
          </cell>
        </row>
        <row r="414">
          <cell r="AD414" t="str">
            <v>Vitamin B6</v>
          </cell>
        </row>
        <row r="415">
          <cell r="AD415" t="str">
            <v>Vitamin B6</v>
          </cell>
        </row>
        <row r="416">
          <cell r="AD416" t="str">
            <v>Vitamin B6 status (AST activation)</v>
          </cell>
        </row>
        <row r="417">
          <cell r="AD417" t="str">
            <v>Vitamin E (a-Tocopherol)</v>
          </cell>
        </row>
        <row r="418">
          <cell r="AD418" t="str">
            <v>Vitamin K (Phylloquinone)</v>
          </cell>
        </row>
        <row r="419">
          <cell r="AD419" t="str">
            <v>VLDL Cholesterol</v>
          </cell>
        </row>
        <row r="420">
          <cell r="AD420" t="str">
            <v>Von Willebrand factor</v>
          </cell>
        </row>
        <row r="421">
          <cell r="AD421" t="str">
            <v>Von Willebrand factor antigen</v>
          </cell>
        </row>
        <row r="422">
          <cell r="AD422" t="str">
            <v>Water</v>
          </cell>
        </row>
        <row r="423">
          <cell r="AD423" t="str">
            <v>Zeaxanthine</v>
          </cell>
        </row>
        <row r="424">
          <cell r="AD424" t="str">
            <v>Zinc (ricos 1)</v>
          </cell>
        </row>
        <row r="425">
          <cell r="AD425" t="str">
            <v>Zinc (ricos 2)</v>
          </cell>
        </row>
        <row r="426">
          <cell r="AD426" t="str">
            <v>Creatinine, output, 24h</v>
          </cell>
        </row>
        <row r="427">
          <cell r="AD427" t="str">
            <v>URINE</v>
          </cell>
        </row>
        <row r="428">
          <cell r="AD428" t="str">
            <v>4 OH-3 methoxi-Vanil mandelic acid (VMA)</v>
          </cell>
        </row>
        <row r="429">
          <cell r="AD429" t="str">
            <v>5'-Hydroxyindolacetate, concentration</v>
          </cell>
        </row>
        <row r="430">
          <cell r="AD430" t="str">
            <v>a1-Microglobulin, concentration, first morning</v>
          </cell>
        </row>
        <row r="431">
          <cell r="AD431" t="str">
            <v>a2-Microglobulin output, first morning</v>
          </cell>
        </row>
        <row r="432">
          <cell r="AD432" t="str">
            <v>a-Amylase concentration, random</v>
          </cell>
        </row>
        <row r="433">
          <cell r="AD433" t="str">
            <v>Albumin, concentration, first morning</v>
          </cell>
        </row>
        <row r="434">
          <cell r="AD434" t="str">
            <v>Aldosterone, concentration</v>
          </cell>
        </row>
        <row r="435">
          <cell r="AD435" t="str">
            <v>Ammonia, output, 24h</v>
          </cell>
        </row>
        <row r="436">
          <cell r="AD436" t="str">
            <v>Calcium, concentration, 24h</v>
          </cell>
        </row>
        <row r="437">
          <cell r="AD437" t="str">
            <v>Calcium, ionized</v>
          </cell>
        </row>
        <row r="438">
          <cell r="AD438" t="str">
            <v>Calcium, output, 24h</v>
          </cell>
        </row>
        <row r="439">
          <cell r="AD439" t="str">
            <v>C-Terminal cross-linking telopeptide  type I collagen (s-CTx)</v>
          </cell>
        </row>
        <row r="440">
          <cell r="AD440" t="str">
            <v>C-Telopeptide of type I collagen/creatinine, 1st morning</v>
          </cell>
        </row>
        <row r="441">
          <cell r="AD441" t="str">
            <v>C-Telopeptide type I collagen/creatinine, 2nd morning</v>
          </cell>
        </row>
        <row r="442">
          <cell r="AD442" t="str">
            <v>Creatinine, concentration, 24h</v>
          </cell>
        </row>
        <row r="443">
          <cell r="AD443" t="str">
            <v>Creatinine, output, 24h</v>
          </cell>
        </row>
        <row r="444">
          <cell r="AD444" t="str">
            <v>?-aminolevulinic acid</v>
          </cell>
        </row>
        <row r="445">
          <cell r="AD445" t="str">
            <v>Deoxypyridinoline/creatinine, 24h (Delmas CC 2001)</v>
          </cell>
        </row>
        <row r="446">
          <cell r="AD446" t="str">
            <v>Deoxypyridinoline/creatinine, first morning</v>
          </cell>
        </row>
        <row r="447">
          <cell r="AD447" t="str">
            <v>Deoxipyridinoline/minute</v>
          </cell>
        </row>
        <row r="448">
          <cell r="AD448" t="str">
            <v>Estradiol</v>
          </cell>
        </row>
        <row r="449">
          <cell r="AD449" t="str">
            <v>Free estradiol</v>
          </cell>
        </row>
        <row r="450">
          <cell r="AD450" t="str">
            <v>Free testosterone</v>
          </cell>
        </row>
        <row r="451">
          <cell r="AD451" t="str">
            <v>Hydroxyproline/minute, night urine</v>
          </cell>
        </row>
        <row r="452">
          <cell r="AD452" t="str">
            <v>Magnesium, concentration, 24h</v>
          </cell>
        </row>
        <row r="453">
          <cell r="AD453" t="str">
            <v>Magnesium, ionized</v>
          </cell>
        </row>
        <row r="454">
          <cell r="AD454" t="str">
            <v>Magnesium, output, 24h</v>
          </cell>
        </row>
        <row r="455">
          <cell r="AD455" t="str">
            <v>N-Acetyl Glucosaminidase, concentration, overnight</v>
          </cell>
        </row>
        <row r="456">
          <cell r="AD456" t="str">
            <v>Nitrogen, output</v>
          </cell>
        </row>
        <row r="457">
          <cell r="AD457" t="str">
            <v>N- Telopeptide of type I collagen /creatinine, first urine</v>
          </cell>
        </row>
        <row r="458">
          <cell r="AD458" t="str">
            <v>Oxalate, concentration, 24h</v>
          </cell>
        </row>
        <row r="459">
          <cell r="AD459" t="str">
            <v>Oxalate, output, 24h</v>
          </cell>
        </row>
        <row r="460">
          <cell r="AD460" t="str">
            <v>Phosphate, concentration, 24h</v>
          </cell>
        </row>
        <row r="461">
          <cell r="AD461" t="str">
            <v>Phosphate, output, 24h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pabilité"/>
      <sheetName val="vérification"/>
    </sheetNames>
    <sheetDataSet>
      <sheetData sheetId="0">
        <row r="8">
          <cell r="N8">
            <v>189.94987066106597</v>
          </cell>
          <cell r="O8">
            <v>1.0439228363279524E-4</v>
          </cell>
          <cell r="S8">
            <v>1.1652879896966826</v>
          </cell>
        </row>
        <row r="9">
          <cell r="D9">
            <v>368.2</v>
          </cell>
          <cell r="N9">
            <v>194.19524997236377</v>
          </cell>
          <cell r="O9">
            <v>1.4021202779066128E-4</v>
          </cell>
          <cell r="S9">
            <v>-0.77384173233725317</v>
          </cell>
        </row>
        <row r="10">
          <cell r="D10">
            <v>287.85000000000002</v>
          </cell>
          <cell r="N10">
            <v>198.44062928366156</v>
          </cell>
          <cell r="O10">
            <v>1.8644863044193431E-4</v>
          </cell>
          <cell r="S10">
            <v>-1.1652879896966826</v>
          </cell>
        </row>
        <row r="11">
          <cell r="D11">
            <v>274.2</v>
          </cell>
          <cell r="N11">
            <v>202.68600859495933</v>
          </cell>
          <cell r="O11">
            <v>2.4546534126386298E-4</v>
          </cell>
          <cell r="S11">
            <v>-1.4525761808120043</v>
          </cell>
          <cell r="AN11">
            <v>186.7</v>
          </cell>
          <cell r="AO11">
            <v>223.52499999999998</v>
          </cell>
          <cell r="AQ11">
            <v>2.5000000000000001E-2</v>
          </cell>
          <cell r="AT11">
            <v>2.5000000000000001E-2</v>
          </cell>
        </row>
        <row r="12">
          <cell r="D12">
            <v>265.05</v>
          </cell>
          <cell r="N12">
            <v>206.93138790625716</v>
          </cell>
          <cell r="O12">
            <v>3.199471292833277E-4</v>
          </cell>
          <cell r="S12">
            <v>0.21564010401258171</v>
          </cell>
          <cell r="AN12">
            <v>223.52499999999998</v>
          </cell>
          <cell r="AO12">
            <v>260.34999999999997</v>
          </cell>
          <cell r="AQ12">
            <v>2.5000000000000001E-2</v>
          </cell>
          <cell r="AT12">
            <v>0.05</v>
          </cell>
        </row>
        <row r="13">
          <cell r="D13">
            <v>324.55</v>
          </cell>
          <cell r="N13">
            <v>211.17676721755495</v>
          </cell>
          <cell r="O13">
            <v>4.1287949104859128E-4</v>
          </cell>
          <cell r="S13">
            <v>-0.27868339741721943</v>
          </cell>
          <cell r="AN13">
            <v>260.34999999999997</v>
          </cell>
          <cell r="AO13">
            <v>297.17499999999995</v>
          </cell>
          <cell r="AQ13">
            <v>0.22500000000000001</v>
          </cell>
          <cell r="AT13">
            <v>0.27500000000000002</v>
          </cell>
        </row>
        <row r="14">
          <cell r="D14">
            <v>305.8</v>
          </cell>
          <cell r="N14">
            <v>215.42214652885275</v>
          </cell>
          <cell r="O14">
            <v>5.2750363754886594E-4</v>
          </cell>
          <cell r="S14">
            <v>1.6567947658159803</v>
          </cell>
          <cell r="AN14">
            <v>297.17499999999995</v>
          </cell>
          <cell r="AO14">
            <v>333.99999999999994</v>
          </cell>
          <cell r="AQ14">
            <v>0.375</v>
          </cell>
          <cell r="AT14">
            <v>0.65</v>
          </cell>
        </row>
        <row r="15">
          <cell r="D15">
            <v>402.7</v>
          </cell>
          <cell r="N15">
            <v>219.66752584015057</v>
          </cell>
          <cell r="O15">
            <v>6.6724397667405899E-4</v>
          </cell>
          <cell r="S15">
            <v>-0.47589899043667888</v>
          </cell>
          <cell r="AN15">
            <v>333.99999999999994</v>
          </cell>
          <cell r="AO15">
            <v>370.82499999999993</v>
          </cell>
          <cell r="AQ15">
            <v>0.25</v>
          </cell>
          <cell r="AT15">
            <v>0.9</v>
          </cell>
        </row>
        <row r="16">
          <cell r="D16">
            <v>299.35000000000002</v>
          </cell>
          <cell r="N16">
            <v>223.91290515144834</v>
          </cell>
          <cell r="O16">
            <v>8.356047892311173E-4</v>
          </cell>
          <cell r="S16">
            <v>-1.2955749870976874</v>
          </cell>
          <cell r="AN16">
            <v>370.82499999999993</v>
          </cell>
          <cell r="AO16">
            <v>407.64999999999992</v>
          </cell>
          <cell r="AQ16">
            <v>0.1</v>
          </cell>
          <cell r="AT16">
            <v>1</v>
          </cell>
        </row>
        <row r="17">
          <cell r="D17">
            <v>267.35000000000002</v>
          </cell>
          <cell r="N17">
            <v>228.15828446274617</v>
          </cell>
          <cell r="O17">
            <v>1.0360345390900206E-3</v>
          </cell>
          <cell r="S17">
            <v>-1.6567947658159807</v>
          </cell>
          <cell r="AN17">
            <v>407.64999999999992</v>
          </cell>
          <cell r="AO17">
            <v>444.47499999999991</v>
          </cell>
          <cell r="AQ17">
            <v>0</v>
          </cell>
          <cell r="AT17">
            <v>1</v>
          </cell>
        </row>
        <row r="18">
          <cell r="D18">
            <v>256.95</v>
          </cell>
          <cell r="N18">
            <v>232.40366377404393</v>
          </cell>
          <cell r="O18">
            <v>1.2717583649005711E-3</v>
          </cell>
          <cell r="S18">
            <v>1.4525761808120046</v>
          </cell>
        </row>
        <row r="19">
          <cell r="D19">
            <v>399.65</v>
          </cell>
          <cell r="N19">
            <v>236.64904308534176</v>
          </cell>
          <cell r="O19">
            <v>1.5455819130238823E-3</v>
          </cell>
          <cell r="S19">
            <v>-0.34285530539032705</v>
          </cell>
        </row>
        <row r="20">
          <cell r="D20">
            <v>302.05</v>
          </cell>
          <cell r="N20">
            <v>240.89442239663953</v>
          </cell>
          <cell r="O20">
            <v>1.8596726584781723E-3</v>
          </cell>
          <cell r="S20">
            <v>-0.54556374182259537</v>
          </cell>
        </row>
        <row r="21">
          <cell r="D21">
            <v>297.55</v>
          </cell>
          <cell r="N21">
            <v>245.13980170793735</v>
          </cell>
          <cell r="O21">
            <v>2.2153280185495715E-3</v>
          </cell>
          <cell r="S21">
            <v>-0.40847248197412372</v>
          </cell>
        </row>
        <row r="22">
          <cell r="D22">
            <v>299.45</v>
          </cell>
          <cell r="N22">
            <v>249.38518101923512</v>
          </cell>
          <cell r="O22">
            <v>2.6127426207659009E-3</v>
          </cell>
          <cell r="S22">
            <v>0.54556374182259537</v>
          </cell>
        </row>
        <row r="23">
          <cell r="D23">
            <v>337.05</v>
          </cell>
          <cell r="N23">
            <v>253.63056033053294</v>
          </cell>
          <cell r="O23">
            <v>3.0507897214559761E-3</v>
          </cell>
          <cell r="S23">
            <v>1.2955749870976874</v>
          </cell>
        </row>
        <row r="24">
          <cell r="D24">
            <v>371.3</v>
          </cell>
          <cell r="N24">
            <v>257.87593964183077</v>
          </cell>
          <cell r="O24">
            <v>3.5268336385700675E-3</v>
          </cell>
          <cell r="S24">
            <v>-0.15344319882333432</v>
          </cell>
        </row>
        <row r="25">
          <cell r="D25">
            <v>309.45</v>
          </cell>
          <cell r="N25">
            <v>262.12131895312854</v>
          </cell>
          <cell r="O25">
            <v>4.0365908316310267E-3</v>
          </cell>
          <cell r="S25">
            <v>0.27868339741721943</v>
          </cell>
        </row>
        <row r="26">
          <cell r="D26">
            <v>327.39999999999998</v>
          </cell>
          <cell r="N26">
            <v>266.36669826442636</v>
          </cell>
          <cell r="O26">
            <v>4.5740566565264365E-3</v>
          </cell>
          <cell r="S26">
            <v>0.34285530539032705</v>
          </cell>
        </row>
        <row r="27">
          <cell r="D27">
            <v>333.25</v>
          </cell>
          <cell r="N27">
            <v>270.61207757572413</v>
          </cell>
          <cell r="O27">
            <v>5.1315126649061149E-3</v>
          </cell>
          <cell r="S27">
            <v>1.0522542255562288</v>
          </cell>
        </row>
        <row r="28">
          <cell r="D28">
            <v>360.7</v>
          </cell>
          <cell r="N28">
            <v>274.85745688702195</v>
          </cell>
          <cell r="O28">
            <v>5.6996255640859063E-3</v>
          </cell>
          <cell r="S28">
            <v>0.69380440773636831</v>
          </cell>
        </row>
        <row r="29">
          <cell r="D29">
            <v>340.6</v>
          </cell>
          <cell r="N29">
            <v>279.10283619831972</v>
          </cell>
          <cell r="O29">
            <v>6.2676437224501716E-3</v>
          </cell>
          <cell r="S29">
            <v>0.95127771872909239</v>
          </cell>
        </row>
        <row r="30">
          <cell r="D30">
            <v>351.8</v>
          </cell>
          <cell r="N30">
            <v>283.34821550961755</v>
          </cell>
          <cell r="O30">
            <v>6.8236906886165877E-3</v>
          </cell>
          <cell r="S30">
            <v>0.47589899043667905</v>
          </cell>
        </row>
        <row r="31">
          <cell r="D31">
            <v>334.95</v>
          </cell>
          <cell r="N31">
            <v>287.59359482091531</v>
          </cell>
          <cell r="O31">
            <v>7.3551480437988532E-3</v>
          </cell>
          <cell r="S31">
            <v>-0.85917512959584974</v>
          </cell>
        </row>
        <row r="32">
          <cell r="D32">
            <v>287.10000000000002</v>
          </cell>
          <cell r="N32">
            <v>291.83897413221314</v>
          </cell>
          <cell r="O32">
            <v>7.8491126106216905E-3</v>
          </cell>
          <cell r="S32">
            <v>0.40847248197412389</v>
          </cell>
        </row>
        <row r="33">
          <cell r="D33">
            <v>334.5</v>
          </cell>
          <cell r="N33">
            <v>296.08435344351091</v>
          </cell>
          <cell r="O33">
            <v>8.2929062622834095E-3</v>
          </cell>
          <cell r="S33">
            <v>-0.6179847884685038</v>
          </cell>
        </row>
        <row r="34">
          <cell r="D34">
            <v>294.8</v>
          </cell>
          <cell r="N34">
            <v>300.32973275480873</v>
          </cell>
          <cell r="O34">
            <v>8.6746109899599154E-3</v>
          </cell>
          <cell r="S34">
            <v>-0.21564010401258188</v>
          </cell>
        </row>
        <row r="35">
          <cell r="D35">
            <v>307.89999999999998</v>
          </cell>
          <cell r="N35">
            <v>304.5751120661065</v>
          </cell>
          <cell r="O35">
            <v>8.9835981073722974E-3</v>
          </cell>
          <cell r="S35">
            <v>0.15344319882333449</v>
          </cell>
        </row>
        <row r="36">
          <cell r="D36">
            <v>324.05</v>
          </cell>
          <cell r="N36">
            <v>308.82049137740432</v>
          </cell>
          <cell r="O36">
            <v>9.2110189762034597E-3</v>
          </cell>
          <cell r="S36">
            <v>0.85917512959585085</v>
          </cell>
        </row>
        <row r="37">
          <cell r="D37">
            <v>350.05</v>
          </cell>
          <cell r="N37">
            <v>313.06587068870209</v>
          </cell>
          <cell r="O37">
            <v>9.3502257011674333E-3</v>
          </cell>
          <cell r="S37">
            <v>3.0573399820906299E-2</v>
          </cell>
        </row>
        <row r="38">
          <cell r="D38">
            <v>313.05</v>
          </cell>
          <cell r="N38">
            <v>317.31124999999992</v>
          </cell>
          <cell r="O38">
            <v>9.3970939025346447E-3</v>
          </cell>
          <cell r="S38">
            <v>-0.95127771872909239</v>
          </cell>
        </row>
        <row r="39">
          <cell r="D39">
            <v>284.75</v>
          </cell>
          <cell r="N39">
            <v>321.55662931129774</v>
          </cell>
          <cell r="O39">
            <v>9.3502257011674333E-3</v>
          </cell>
          <cell r="S39">
            <v>1.9705053031703283</v>
          </cell>
        </row>
        <row r="40">
          <cell r="D40">
            <v>407.65</v>
          </cell>
          <cell r="N40">
            <v>325.80200862259551</v>
          </cell>
          <cell r="O40">
            <v>9.2110189762034597E-3</v>
          </cell>
          <cell r="S40">
            <v>0.6179847884685038</v>
          </cell>
        </row>
        <row r="41">
          <cell r="D41">
            <v>338.55</v>
          </cell>
          <cell r="N41">
            <v>330.04738793389333</v>
          </cell>
          <cell r="O41">
            <v>8.9835981073722974E-3</v>
          </cell>
          <cell r="S41">
            <v>-9.1834832954222234E-2</v>
          </cell>
        </row>
        <row r="42">
          <cell r="D42">
            <v>310.05</v>
          </cell>
          <cell r="N42">
            <v>334.2927672451911</v>
          </cell>
          <cell r="O42">
            <v>8.6746109899599154E-3</v>
          </cell>
          <cell r="S42">
            <v>-1.0522542255562288</v>
          </cell>
        </row>
        <row r="43">
          <cell r="D43">
            <v>275.64999999999998</v>
          </cell>
          <cell r="N43">
            <v>338.53814655648893</v>
          </cell>
          <cell r="O43">
            <v>8.2929062622834095E-3</v>
          </cell>
          <cell r="S43">
            <v>-0.69380440773636831</v>
          </cell>
        </row>
        <row r="44">
          <cell r="D44">
            <v>288.95</v>
          </cell>
          <cell r="N44">
            <v>342.78352586778669</v>
          </cell>
          <cell r="O44">
            <v>7.8491126106216905E-3</v>
          </cell>
          <cell r="S44">
            <v>9.1834832954222387E-2</v>
          </cell>
        </row>
        <row r="45">
          <cell r="D45">
            <v>319.2</v>
          </cell>
          <cell r="N45">
            <v>347.02890517908452</v>
          </cell>
          <cell r="O45">
            <v>7.3551480437988532E-3</v>
          </cell>
          <cell r="S45">
            <v>0.77384173233725317</v>
          </cell>
        </row>
        <row r="46">
          <cell r="D46">
            <v>342.15</v>
          </cell>
          <cell r="N46">
            <v>351.27428449038229</v>
          </cell>
          <cell r="O46">
            <v>6.8236906886165877E-3</v>
          </cell>
          <cell r="S46">
            <v>-3.0573399820906299E-2</v>
          </cell>
        </row>
        <row r="47">
          <cell r="D47">
            <v>310.14999999999998</v>
          </cell>
          <cell r="N47">
            <v>355.51966380168011</v>
          </cell>
          <cell r="O47">
            <v>6.2676437224501716E-3</v>
          </cell>
          <cell r="S47">
            <v>-1.9705053031703286</v>
          </cell>
        </row>
        <row r="48">
          <cell r="D48">
            <v>186.7</v>
          </cell>
          <cell r="N48">
            <v>359.76504311297788</v>
          </cell>
          <cell r="O48">
            <v>5.6996255640859063E-3</v>
          </cell>
          <cell r="S48" t="str">
            <v/>
          </cell>
        </row>
        <row r="49">
          <cell r="N49">
            <v>364.0104224242757</v>
          </cell>
          <cell r="O49">
            <v>5.1315126649061149E-3</v>
          </cell>
          <cell r="S49" t="str">
            <v/>
          </cell>
        </row>
        <row r="50">
          <cell r="N50">
            <v>368.25580173557347</v>
          </cell>
          <cell r="O50">
            <v>4.5740566565264365E-3</v>
          </cell>
          <cell r="S50" t="str">
            <v/>
          </cell>
        </row>
        <row r="51">
          <cell r="N51">
            <v>372.5011810468713</v>
          </cell>
          <cell r="O51">
            <v>4.0365908316310267E-3</v>
          </cell>
          <cell r="S51" t="str">
            <v/>
          </cell>
        </row>
        <row r="52">
          <cell r="N52">
            <v>376.74656035816906</v>
          </cell>
          <cell r="O52">
            <v>3.5268336385700675E-3</v>
          </cell>
          <cell r="S52" t="str">
            <v/>
          </cell>
        </row>
        <row r="53">
          <cell r="N53">
            <v>380.99193966946689</v>
          </cell>
          <cell r="O53">
            <v>3.0507897214559761E-3</v>
          </cell>
          <cell r="S53" t="str">
            <v/>
          </cell>
        </row>
        <row r="54">
          <cell r="N54">
            <v>385.23731898076471</v>
          </cell>
          <cell r="O54">
            <v>2.6127426207659009E-3</v>
          </cell>
          <cell r="S54" t="str">
            <v/>
          </cell>
        </row>
        <row r="55">
          <cell r="N55">
            <v>389.48269829206248</v>
          </cell>
          <cell r="O55">
            <v>2.2153280185495715E-3</v>
          </cell>
          <cell r="S55" t="str">
            <v/>
          </cell>
        </row>
        <row r="56">
          <cell r="N56">
            <v>393.7280776033603</v>
          </cell>
          <cell r="O56">
            <v>1.8596726584781723E-3</v>
          </cell>
          <cell r="S56" t="str">
            <v/>
          </cell>
        </row>
        <row r="57">
          <cell r="N57">
            <v>397.97345691465807</v>
          </cell>
          <cell r="O57">
            <v>1.5455819130238823E-3</v>
          </cell>
          <cell r="S57" t="str">
            <v/>
          </cell>
        </row>
        <row r="58">
          <cell r="N58">
            <v>402.2188362259559</v>
          </cell>
          <cell r="O58">
            <v>1.2717583649005711E-3</v>
          </cell>
          <cell r="S58" t="str">
            <v/>
          </cell>
        </row>
        <row r="59">
          <cell r="N59">
            <v>406.46421553725366</v>
          </cell>
          <cell r="O59">
            <v>1.0360345390900206E-3</v>
          </cell>
          <cell r="S59" t="str">
            <v/>
          </cell>
        </row>
        <row r="60">
          <cell r="N60">
            <v>410.70959484855149</v>
          </cell>
          <cell r="O60">
            <v>8.356047892311173E-4</v>
          </cell>
          <cell r="S60" t="str">
            <v/>
          </cell>
        </row>
        <row r="61">
          <cell r="N61">
            <v>414.95497415984926</v>
          </cell>
          <cell r="O61">
            <v>6.6724397667405899E-4</v>
          </cell>
          <cell r="S61" t="str">
            <v/>
          </cell>
        </row>
        <row r="62">
          <cell r="N62">
            <v>419.20035347114708</v>
          </cell>
          <cell r="O62">
            <v>5.2750363754886594E-4</v>
          </cell>
          <cell r="S62" t="str">
            <v/>
          </cell>
        </row>
        <row r="63">
          <cell r="N63">
            <v>423.44573278244491</v>
          </cell>
          <cell r="O63">
            <v>4.1287949104859041E-4</v>
          </cell>
          <cell r="S63" t="str">
            <v/>
          </cell>
        </row>
        <row r="64">
          <cell r="N64">
            <v>427.69111209374267</v>
          </cell>
          <cell r="O64">
            <v>3.199471292833277E-4</v>
          </cell>
          <cell r="S64" t="str">
            <v/>
          </cell>
        </row>
        <row r="65">
          <cell r="N65">
            <v>431.9364914050405</v>
          </cell>
          <cell r="O65">
            <v>2.4546534126386298E-4</v>
          </cell>
          <cell r="S65" t="str">
            <v/>
          </cell>
        </row>
        <row r="66">
          <cell r="N66">
            <v>436.18187071633827</v>
          </cell>
          <cell r="O66">
            <v>1.8644863044193431E-4</v>
          </cell>
          <cell r="S66" t="str">
            <v/>
          </cell>
        </row>
        <row r="67">
          <cell r="N67">
            <v>440.42725002763609</v>
          </cell>
          <cell r="O67">
            <v>1.4021202779066115E-4</v>
          </cell>
          <cell r="S67" t="str">
            <v/>
          </cell>
        </row>
        <row r="68">
          <cell r="N68">
            <v>444.67262933893386</v>
          </cell>
          <cell r="O68">
            <v>1.0439228363279524E-4</v>
          </cell>
          <cell r="S68" t="str">
            <v/>
          </cell>
        </row>
        <row r="69">
          <cell r="S69" t="str">
            <v/>
          </cell>
        </row>
        <row r="70">
          <cell r="S70" t="str">
            <v/>
          </cell>
        </row>
        <row r="71">
          <cell r="N71">
            <v>100</v>
          </cell>
          <cell r="O71">
            <v>0</v>
          </cell>
          <cell r="S71" t="str">
            <v/>
          </cell>
        </row>
        <row r="72">
          <cell r="N72">
            <v>100</v>
          </cell>
          <cell r="O72">
            <v>9.3970939025346447E-3</v>
          </cell>
          <cell r="S72" t="str">
            <v/>
          </cell>
        </row>
        <row r="73">
          <cell r="S73" t="str">
            <v/>
          </cell>
        </row>
        <row r="74">
          <cell r="N74">
            <v>700</v>
          </cell>
          <cell r="O74">
            <v>0</v>
          </cell>
          <cell r="S74" t="str">
            <v/>
          </cell>
        </row>
        <row r="75">
          <cell r="N75">
            <v>700</v>
          </cell>
          <cell r="O75">
            <v>9.3970939025346447E-3</v>
          </cell>
          <cell r="S75" t="str">
            <v/>
          </cell>
        </row>
        <row r="76">
          <cell r="S76" t="str">
            <v/>
          </cell>
        </row>
        <row r="77">
          <cell r="S77" t="str">
            <v/>
          </cell>
        </row>
        <row r="78">
          <cell r="S78" t="str">
            <v/>
          </cell>
        </row>
        <row r="79">
          <cell r="S79" t="str">
            <v/>
          </cell>
        </row>
        <row r="80">
          <cell r="S80" t="str">
            <v/>
          </cell>
        </row>
        <row r="81">
          <cell r="S81" t="str">
            <v/>
          </cell>
        </row>
        <row r="82">
          <cell r="S82" t="str">
            <v/>
          </cell>
        </row>
        <row r="83">
          <cell r="S83" t="str">
            <v/>
          </cell>
        </row>
        <row r="84">
          <cell r="S84" t="str">
            <v/>
          </cell>
        </row>
        <row r="85">
          <cell r="S85" t="str">
            <v/>
          </cell>
        </row>
        <row r="86">
          <cell r="S86" t="str">
            <v/>
          </cell>
        </row>
        <row r="87">
          <cell r="S87" t="str">
            <v/>
          </cell>
        </row>
        <row r="88">
          <cell r="S88" t="str">
            <v/>
          </cell>
        </row>
        <row r="89">
          <cell r="S89" t="str">
            <v/>
          </cell>
        </row>
        <row r="90">
          <cell r="S90" t="str">
            <v/>
          </cell>
        </row>
        <row r="91">
          <cell r="S91" t="str">
            <v/>
          </cell>
        </row>
        <row r="92">
          <cell r="S92" t="str">
            <v/>
          </cell>
        </row>
        <row r="93">
          <cell r="S93" t="str">
            <v/>
          </cell>
        </row>
        <row r="94">
          <cell r="S94" t="str">
            <v/>
          </cell>
        </row>
        <row r="95">
          <cell r="S95" t="str">
            <v/>
          </cell>
        </row>
        <row r="96">
          <cell r="S96" t="str">
            <v/>
          </cell>
        </row>
        <row r="97">
          <cell r="S97" t="str">
            <v/>
          </cell>
        </row>
        <row r="98">
          <cell r="S98" t="str">
            <v/>
          </cell>
        </row>
        <row r="99">
          <cell r="S99" t="str">
            <v/>
          </cell>
        </row>
        <row r="100">
          <cell r="S100" t="str">
            <v/>
          </cell>
        </row>
        <row r="101">
          <cell r="S101" t="str">
            <v/>
          </cell>
        </row>
        <row r="102">
          <cell r="S102" t="str">
            <v/>
          </cell>
        </row>
        <row r="103">
          <cell r="S103" t="str">
            <v/>
          </cell>
        </row>
        <row r="104">
          <cell r="S104" t="str">
            <v/>
          </cell>
        </row>
        <row r="105">
          <cell r="S105" t="str">
            <v/>
          </cell>
        </row>
        <row r="106">
          <cell r="S106" t="str">
            <v/>
          </cell>
        </row>
      </sheetData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portée flexible"/>
      <sheetName val="données 1"/>
      <sheetName val="Rapport de Validation"/>
      <sheetName val="Justesse et fidélité"/>
      <sheetName val="étalonnage X"/>
      <sheetName val="correlation équipement"/>
      <sheetName val="correlation réactif"/>
      <sheetName val="Carte de contrôle"/>
      <sheetName val="Plan emboité"/>
    </sheetNames>
    <sheetDataSet>
      <sheetData sheetId="0"/>
      <sheetData sheetId="1"/>
      <sheetData sheetId="2">
        <row r="6">
          <cell r="T6" t="str">
            <v>SUBSTRATS</v>
          </cell>
        </row>
        <row r="7">
          <cell r="T7" t="str">
            <v>Acide urique</v>
          </cell>
        </row>
        <row r="8">
          <cell r="T8" t="str">
            <v>Ammonium</v>
          </cell>
        </row>
        <row r="9">
          <cell r="T9" t="str">
            <v>CO2</v>
          </cell>
        </row>
        <row r="10">
          <cell r="T10" t="str">
            <v>Bilirubine Totale</v>
          </cell>
        </row>
        <row r="11">
          <cell r="T11" t="str">
            <v>Calcium ionisé</v>
          </cell>
        </row>
        <row r="12">
          <cell r="T12" t="str">
            <v>Calcium total</v>
          </cell>
        </row>
        <row r="13">
          <cell r="T13" t="str">
            <v>Chlore</v>
          </cell>
        </row>
        <row r="14">
          <cell r="T14" t="str">
            <v>Cholesterol</v>
          </cell>
        </row>
        <row r="15">
          <cell r="T15" t="str">
            <v>HDL</v>
          </cell>
        </row>
        <row r="16">
          <cell r="T16" t="str">
            <v>Creatinine</v>
          </cell>
        </row>
        <row r="17">
          <cell r="T17" t="str">
            <v>Fer</v>
          </cell>
        </row>
        <row r="18">
          <cell r="T18" t="str">
            <v>Ferritine</v>
          </cell>
        </row>
        <row r="20">
          <cell r="T20" t="str">
            <v>Folates</v>
          </cell>
        </row>
        <row r="21">
          <cell r="T21" t="str">
            <v>Fructosamine</v>
          </cell>
        </row>
        <row r="22">
          <cell r="T22" t="str">
            <v>Glucose</v>
          </cell>
        </row>
        <row r="23">
          <cell r="T23" t="str">
            <v>HbA1c</v>
          </cell>
        </row>
        <row r="25">
          <cell r="T25" t="str">
            <v>Lactate</v>
          </cell>
        </row>
        <row r="26">
          <cell r="T26" t="str">
            <v>Magnesium</v>
          </cell>
        </row>
        <row r="27">
          <cell r="T27" t="str">
            <v>Phosphate</v>
          </cell>
        </row>
        <row r="28">
          <cell r="T28" t="str">
            <v>Potassium</v>
          </cell>
        </row>
        <row r="30">
          <cell r="T30" t="str">
            <v>Protéines totales</v>
          </cell>
        </row>
        <row r="31">
          <cell r="T31" t="str">
            <v>Sodium</v>
          </cell>
        </row>
        <row r="32">
          <cell r="T32" t="str">
            <v>Triglycérides</v>
          </cell>
        </row>
        <row r="33">
          <cell r="T33" t="str">
            <v>Urée</v>
          </cell>
        </row>
        <row r="35">
          <cell r="T35" t="str">
            <v>SUBSTRATS URINAIRES</v>
          </cell>
        </row>
        <row r="36">
          <cell r="T36" t="str">
            <v>Acide urique U</v>
          </cell>
        </row>
        <row r="37">
          <cell r="T37" t="str">
            <v>Calcium U</v>
          </cell>
        </row>
        <row r="38">
          <cell r="T38" t="str">
            <v>Chlore U</v>
          </cell>
        </row>
        <row r="39">
          <cell r="T39" t="str">
            <v>Créatinine U</v>
          </cell>
        </row>
        <row r="40">
          <cell r="T40" t="str">
            <v>Glucose U</v>
          </cell>
        </row>
        <row r="41">
          <cell r="T41" t="str">
            <v>Magnesium U</v>
          </cell>
        </row>
        <row r="42">
          <cell r="T42" t="str">
            <v>MicroAlb U</v>
          </cell>
        </row>
        <row r="43">
          <cell r="T43" t="str">
            <v>Phosphate U</v>
          </cell>
        </row>
        <row r="44">
          <cell r="T44" t="str">
            <v>Potassium U</v>
          </cell>
        </row>
        <row r="45">
          <cell r="T45" t="str">
            <v>Protéines U</v>
          </cell>
        </row>
        <row r="46">
          <cell r="T46" t="str">
            <v>Sodium U</v>
          </cell>
        </row>
        <row r="47">
          <cell r="T47" t="str">
            <v>Urée U</v>
          </cell>
        </row>
        <row r="49">
          <cell r="T49" t="str">
            <v>ENZYMES</v>
          </cell>
        </row>
        <row r="50">
          <cell r="T50" t="str">
            <v>5'Nu</v>
          </cell>
        </row>
        <row r="51">
          <cell r="T51" t="str">
            <v>a-Amylase</v>
          </cell>
        </row>
        <row r="52">
          <cell r="T52" t="str">
            <v>ALAT</v>
          </cell>
        </row>
        <row r="53">
          <cell r="T53" t="str">
            <v>ASAT</v>
          </cell>
        </row>
        <row r="54">
          <cell r="T54" t="str">
            <v>CK</v>
          </cell>
        </row>
        <row r="55">
          <cell r="T55" t="str">
            <v>GGT</v>
          </cell>
        </row>
        <row r="56">
          <cell r="T56" t="str">
            <v>LDH</v>
          </cell>
        </row>
        <row r="57">
          <cell r="T57" t="str">
            <v>Lipase</v>
          </cell>
        </row>
        <row r="58">
          <cell r="T58" t="str">
            <v>PAL</v>
          </cell>
        </row>
        <row r="60">
          <cell r="T60" t="str">
            <v>PROTEINES SPECIFIQUES</v>
          </cell>
        </row>
        <row r="61">
          <cell r="T61" t="str">
            <v>a1AT</v>
          </cell>
        </row>
        <row r="62">
          <cell r="T62" t="str">
            <v>a2-Macroglobuline</v>
          </cell>
        </row>
        <row r="63">
          <cell r="T63" t="str">
            <v>Albumine</v>
          </cell>
        </row>
        <row r="64">
          <cell r="T64" t="str">
            <v>ApoA1</v>
          </cell>
        </row>
        <row r="65">
          <cell r="T65" t="str">
            <v>ApoB</v>
          </cell>
        </row>
        <row r="66">
          <cell r="T66" t="str">
            <v>b2-Microglobuline</v>
          </cell>
        </row>
        <row r="67">
          <cell r="T67" t="str">
            <v>Céruléoplasmine</v>
          </cell>
        </row>
        <row r="68">
          <cell r="T68" t="str">
            <v>C3</v>
          </cell>
        </row>
        <row r="69">
          <cell r="T69" t="str">
            <v>C4</v>
          </cell>
        </row>
        <row r="70">
          <cell r="T70" t="str">
            <v>CRP</v>
          </cell>
        </row>
        <row r="71">
          <cell r="T71" t="str">
            <v>Haptoglobine</v>
          </cell>
        </row>
        <row r="72">
          <cell r="T72" t="str">
            <v>IgA</v>
          </cell>
        </row>
        <row r="73">
          <cell r="T73" t="str">
            <v>IgE</v>
          </cell>
        </row>
        <row r="74">
          <cell r="T74" t="str">
            <v>IgG</v>
          </cell>
        </row>
        <row r="75">
          <cell r="T75" t="str">
            <v>IgM</v>
          </cell>
        </row>
        <row r="76">
          <cell r="T76" t="str">
            <v>Oroso</v>
          </cell>
        </row>
        <row r="77">
          <cell r="T77" t="str">
            <v>PréAlb</v>
          </cell>
        </row>
        <row r="78">
          <cell r="T78" t="str">
            <v>Transférrine</v>
          </cell>
        </row>
        <row r="80">
          <cell r="T80" t="str">
            <v>GAZ DU SANG</v>
          </cell>
        </row>
        <row r="81">
          <cell r="T81" t="str">
            <v>HbCO</v>
          </cell>
        </row>
        <row r="82">
          <cell r="T82" t="str">
            <v>HbO2</v>
          </cell>
        </row>
        <row r="83">
          <cell r="T83" t="str">
            <v>metHb</v>
          </cell>
        </row>
        <row r="86">
          <cell r="T86" t="str">
            <v>pCO2</v>
          </cell>
        </row>
        <row r="87">
          <cell r="T87" t="str">
            <v>pH (unité)</v>
          </cell>
        </row>
        <row r="88">
          <cell r="T88" t="str">
            <v>pH (nmol/l)</v>
          </cell>
        </row>
        <row r="89">
          <cell r="T89" t="str">
            <v>p02</v>
          </cell>
        </row>
        <row r="106">
          <cell r="T106" t="str">
            <v>MEDICAMENTS</v>
          </cell>
        </row>
        <row r="107">
          <cell r="T107" t="str">
            <v>Acide Valproïque</v>
          </cell>
        </row>
        <row r="108">
          <cell r="T108" t="str">
            <v>Amikacine</v>
          </cell>
        </row>
        <row r="109">
          <cell r="T109" t="str">
            <v>Carbamazépine</v>
          </cell>
        </row>
        <row r="110">
          <cell r="T110" t="str">
            <v>Digoxine</v>
          </cell>
        </row>
        <row r="111">
          <cell r="T111" t="str">
            <v>Gentamicine</v>
          </cell>
        </row>
        <row r="112">
          <cell r="T112" t="str">
            <v>Lithium</v>
          </cell>
        </row>
        <row r="113">
          <cell r="T113" t="str">
            <v>Méthotrexate</v>
          </cell>
        </row>
        <row r="114">
          <cell r="T114" t="str">
            <v>Paracétamol</v>
          </cell>
        </row>
        <row r="115">
          <cell r="T115" t="str">
            <v>Phénobarbital</v>
          </cell>
        </row>
        <row r="116">
          <cell r="T116" t="str">
            <v>Phénytoïne</v>
          </cell>
        </row>
        <row r="117">
          <cell r="T117" t="str">
            <v>Salycilates</v>
          </cell>
        </row>
        <row r="118">
          <cell r="T118" t="str">
            <v>Théophiline</v>
          </cell>
        </row>
        <row r="119">
          <cell r="T119" t="str">
            <v>Vancomycine</v>
          </cell>
        </row>
        <row r="121">
          <cell r="T121" t="str">
            <v>MARQUEURS TUMORAUX</v>
          </cell>
        </row>
        <row r="122">
          <cell r="T122" t="str">
            <v>ACE</v>
          </cell>
        </row>
        <row r="123">
          <cell r="T123" t="str">
            <v>AFP</v>
          </cell>
        </row>
        <row r="124">
          <cell r="T124" t="str">
            <v>CA125</v>
          </cell>
        </row>
        <row r="125">
          <cell r="T125" t="str">
            <v>CA15-3</v>
          </cell>
        </row>
        <row r="126">
          <cell r="T126" t="str">
            <v>CA19-9</v>
          </cell>
        </row>
        <row r="127">
          <cell r="T127" t="str">
            <v>PSA</v>
          </cell>
        </row>
        <row r="129">
          <cell r="T129" t="str">
            <v>HORMONES</v>
          </cell>
        </row>
        <row r="130">
          <cell r="T130" t="str">
            <v>Cortisol</v>
          </cell>
        </row>
        <row r="131">
          <cell r="T131" t="str">
            <v>E2</v>
          </cell>
        </row>
        <row r="132">
          <cell r="T132" t="str">
            <v>FSH</v>
          </cell>
        </row>
        <row r="133">
          <cell r="T133" t="str">
            <v>GH</v>
          </cell>
        </row>
        <row r="134">
          <cell r="T134" t="str">
            <v>HCG B</v>
          </cell>
        </row>
        <row r="135">
          <cell r="T135" t="str">
            <v>Insuline</v>
          </cell>
        </row>
        <row r="136">
          <cell r="T136" t="str">
            <v>LH</v>
          </cell>
        </row>
        <row r="137">
          <cell r="T137" t="str">
            <v>PTH</v>
          </cell>
        </row>
        <row r="138">
          <cell r="T138" t="str">
            <v>Peptide C</v>
          </cell>
        </row>
        <row r="139">
          <cell r="T139" t="str">
            <v>Progesterone</v>
          </cell>
        </row>
        <row r="140">
          <cell r="T140" t="str">
            <v>Prolactine</v>
          </cell>
        </row>
        <row r="141">
          <cell r="T141" t="str">
            <v>FT3</v>
          </cell>
        </row>
        <row r="142">
          <cell r="T142" t="str">
            <v>FT4</v>
          </cell>
        </row>
        <row r="143">
          <cell r="T143" t="str">
            <v>Testosterone</v>
          </cell>
        </row>
        <row r="144">
          <cell r="T144" t="str">
            <v>TSH</v>
          </cell>
        </row>
        <row r="146">
          <cell r="T146" t="str">
            <v>RICOS</v>
          </cell>
        </row>
        <row r="148">
          <cell r="T148" t="str">
            <v xml:space="preserve">Sang-plasma </v>
          </cell>
        </row>
        <row r="149">
          <cell r="T149" t="str">
            <v>11-Desoxycortisol S</v>
          </cell>
        </row>
        <row r="150">
          <cell r="T150" t="str">
            <v>17-Hydroxyprogesterone</v>
          </cell>
        </row>
        <row r="151">
          <cell r="T151" t="str">
            <v>5' Nucleotidase</v>
          </cell>
        </row>
        <row r="152">
          <cell r="T152" t="str">
            <v>a1-Acid Glycoprotein</v>
          </cell>
        </row>
        <row r="153">
          <cell r="T153" t="str">
            <v>a1-Antichymotrypsin</v>
          </cell>
        </row>
        <row r="154">
          <cell r="T154" t="str">
            <v>a1-Antitrypsin</v>
          </cell>
        </row>
        <row r="155">
          <cell r="T155" t="str">
            <v>a1-Globulin</v>
          </cell>
        </row>
        <row r="156">
          <cell r="T156" t="str">
            <v>a2-Antiplasmin</v>
          </cell>
        </row>
        <row r="157">
          <cell r="T157" t="str">
            <v>a2-Globulins</v>
          </cell>
        </row>
        <row r="158">
          <cell r="T158" t="str">
            <v>a2-Macroglobulin</v>
          </cell>
        </row>
        <row r="159">
          <cell r="T159" t="str">
            <v>a-Amylase (ricos)</v>
          </cell>
        </row>
        <row r="160">
          <cell r="T160" t="str">
            <v>a-Amylase (pancreatic)</v>
          </cell>
        </row>
        <row r="161">
          <cell r="T161" t="str">
            <v>a-Carotene</v>
          </cell>
        </row>
        <row r="162">
          <cell r="T162" t="str">
            <v>a-Fetoprotein(non hepatic carcinoma)</v>
          </cell>
        </row>
        <row r="163">
          <cell r="T163" t="str">
            <v>a-Tocopherol</v>
          </cell>
        </row>
        <row r="164">
          <cell r="T164" t="str">
            <v>Acid phosphatase</v>
          </cell>
        </row>
        <row r="165">
          <cell r="T165" t="str">
            <v>Acid phosphatase tartrate-resistant (TR-ACP)</v>
          </cell>
        </row>
        <row r="166">
          <cell r="T166" t="str">
            <v>Acid phosphatase prostatic activity (PAP)</v>
          </cell>
        </row>
        <row r="167">
          <cell r="T167" t="str">
            <v>Activated partial thromboplastine time</v>
          </cell>
        </row>
        <row r="168">
          <cell r="T168" t="str">
            <v>Acyl/free carnitine</v>
          </cell>
        </row>
        <row r="169">
          <cell r="T169" t="str">
            <v>Adiponectin</v>
          </cell>
        </row>
        <row r="170">
          <cell r="T170" t="str">
            <v>Adenosine deaminase (ADA)</v>
          </cell>
        </row>
        <row r="171">
          <cell r="T171" t="str">
            <v>Alanine aminopeptidase</v>
          </cell>
        </row>
        <row r="172">
          <cell r="T172" t="str">
            <v>Alanine aminotransferase</v>
          </cell>
        </row>
        <row r="173">
          <cell r="T173" t="str">
            <v>Albumin</v>
          </cell>
        </row>
        <row r="174">
          <cell r="T174" t="str">
            <v>Aldosterone</v>
          </cell>
        </row>
        <row r="175">
          <cell r="T175" t="str">
            <v>Alkaline phosphatase</v>
          </cell>
        </row>
        <row r="176">
          <cell r="T176" t="str">
            <v>Alkaline phosphatase, bone</v>
          </cell>
        </row>
        <row r="177">
          <cell r="T177" t="str">
            <v>Alkaline phosphatase, liver</v>
          </cell>
        </row>
        <row r="178">
          <cell r="T178" t="str">
            <v>Alkaline phosphatase, placental</v>
          </cell>
        </row>
        <row r="179">
          <cell r="T179" t="str">
            <v>Amyloid A</v>
          </cell>
        </row>
        <row r="180">
          <cell r="T180" t="str">
            <v>Androstendione</v>
          </cell>
        </row>
        <row r="181">
          <cell r="T181" t="str">
            <v>Androstenedione</v>
          </cell>
        </row>
        <row r="182">
          <cell r="T182" t="str">
            <v>Angiotensin converting enzyme</v>
          </cell>
        </row>
        <row r="183">
          <cell r="T183" t="str">
            <v>Antithrombin III</v>
          </cell>
        </row>
        <row r="184">
          <cell r="T184" t="str">
            <v>Apolipoprotein A1</v>
          </cell>
        </row>
        <row r="185">
          <cell r="T185" t="str">
            <v>Apolipoprotein B</v>
          </cell>
        </row>
        <row r="186">
          <cell r="T186" t="str">
            <v>Ascorbic Acid</v>
          </cell>
        </row>
        <row r="187">
          <cell r="T187" t="str">
            <v>Aspartate aminotransferase</v>
          </cell>
        </row>
        <row r="188">
          <cell r="T188" t="str">
            <v>b-2-Microglobulin</v>
          </cell>
        </row>
        <row r="189">
          <cell r="T189" t="str">
            <v>Basophile, count</v>
          </cell>
        </row>
        <row r="190">
          <cell r="T190" t="str">
            <v>b-Carotene</v>
          </cell>
        </row>
        <row r="191">
          <cell r="T191" t="str">
            <v>b-Cryptoxantin</v>
          </cell>
        </row>
        <row r="192">
          <cell r="T192" t="str">
            <v>b-Globulins</v>
          </cell>
        </row>
        <row r="193">
          <cell r="T193" t="str">
            <v>Bilirubin total</v>
          </cell>
        </row>
        <row r="194">
          <cell r="T194" t="str">
            <v>Bilirubin conjugated</v>
          </cell>
        </row>
        <row r="195">
          <cell r="T195" t="str">
            <v>CA 125 antigen</v>
          </cell>
        </row>
        <row r="196">
          <cell r="T196" t="str">
            <v>CA 15,3 antigen</v>
          </cell>
        </row>
        <row r="197">
          <cell r="T197" t="str">
            <v>CA 19,9 antigen</v>
          </cell>
        </row>
        <row r="198">
          <cell r="T198" t="str">
            <v>CA 549 antigen</v>
          </cell>
        </row>
        <row r="199">
          <cell r="T199" t="str">
            <v>Calcium</v>
          </cell>
        </row>
        <row r="200">
          <cell r="T200" t="str">
            <v>Carbohydrate deficient transferrin</v>
          </cell>
        </row>
        <row r="201">
          <cell r="T201" t="str">
            <v>Carcinoembryonic antigen (CEA)</v>
          </cell>
        </row>
        <row r="202">
          <cell r="T202" t="str">
            <v>CD4 lymphocyte count</v>
          </cell>
        </row>
        <row r="203">
          <cell r="T203" t="str">
            <v>Ceruloplasmin</v>
          </cell>
        </row>
        <row r="204">
          <cell r="T204" t="str">
            <v>Chloride</v>
          </cell>
        </row>
        <row r="205">
          <cell r="T205" t="str">
            <v>Cholesterol (ricos)</v>
          </cell>
        </row>
        <row r="206">
          <cell r="T206" t="str">
            <v>Cholinesterase</v>
          </cell>
        </row>
        <row r="207">
          <cell r="T207" t="str">
            <v>Cholinesterase, activity</v>
          </cell>
        </row>
        <row r="208">
          <cell r="T208" t="str">
            <v>Cholinesterase, immunoreactive</v>
          </cell>
        </row>
        <row r="209">
          <cell r="T209" t="str">
            <v>C3 complement</v>
          </cell>
        </row>
        <row r="210">
          <cell r="T210" t="str">
            <v>C4 complement</v>
          </cell>
        </row>
        <row r="211">
          <cell r="T211" t="str">
            <v>Chromogranin A</v>
          </cell>
        </row>
        <row r="212">
          <cell r="T212" t="str">
            <v>Copper</v>
          </cell>
        </row>
        <row r="213">
          <cell r="T213" t="str">
            <v>Copper</v>
          </cell>
        </row>
        <row r="214">
          <cell r="T214" t="str">
            <v>Cortisol (ricos)</v>
          </cell>
        </row>
        <row r="215">
          <cell r="T215" t="str">
            <v>C Peptide</v>
          </cell>
        </row>
        <row r="216">
          <cell r="T216" t="str">
            <v>C-Propeptide type I procollagen</v>
          </cell>
        </row>
        <row r="217">
          <cell r="T217" t="str">
            <v>C-Reactive protein</v>
          </cell>
        </row>
        <row r="218">
          <cell r="T218" t="str">
            <v>Creatine kinase (CK)</v>
          </cell>
        </row>
        <row r="219">
          <cell r="T219" t="str">
            <v>Creatine kinase MB, %</v>
          </cell>
        </row>
        <row r="220">
          <cell r="T220" t="str">
            <v>Creatine kinase MB, activity</v>
          </cell>
        </row>
        <row r="221">
          <cell r="T221" t="str">
            <v>Creatine kinase MB, mass</v>
          </cell>
        </row>
        <row r="222">
          <cell r="T222" t="str">
            <v>Creatinine (ricos)</v>
          </cell>
        </row>
        <row r="223">
          <cell r="T223" t="str">
            <v>Creatinine clearance</v>
          </cell>
        </row>
        <row r="224">
          <cell r="T224" t="str">
            <v>Cyfra 21,1</v>
          </cell>
        </row>
        <row r="225">
          <cell r="T225" t="str">
            <v>Cystastin C</v>
          </cell>
        </row>
        <row r="226">
          <cell r="T226" t="str">
            <v>Cysteine</v>
          </cell>
        </row>
        <row r="227">
          <cell r="T227" t="str">
            <v>Dehydroepiandrosterone sulfate</v>
          </cell>
        </row>
        <row r="228">
          <cell r="T228" t="str">
            <v>Dipeptidyl-peptidase IV (ACE)</v>
          </cell>
        </row>
        <row r="229">
          <cell r="T229" t="str">
            <v>Dipeptidyl-peptidase IV (ACE)</v>
          </cell>
        </row>
        <row r="230">
          <cell r="T230" t="str">
            <v>Elastase</v>
          </cell>
        </row>
        <row r="231">
          <cell r="T231" t="str">
            <v>Endotelial growth factor</v>
          </cell>
        </row>
        <row r="232">
          <cell r="T232" t="str">
            <v>Eosinophils, count</v>
          </cell>
        </row>
        <row r="233">
          <cell r="T233" t="str">
            <v>Epinephrine</v>
          </cell>
        </row>
        <row r="234">
          <cell r="T234" t="str">
            <v>Epinephrine</v>
          </cell>
        </row>
        <row r="235">
          <cell r="T235" t="str">
            <v>Erythrocytes, count</v>
          </cell>
        </row>
        <row r="236">
          <cell r="T236" t="str">
            <v>Erythrocyte distribution wide</v>
          </cell>
        </row>
        <row r="237">
          <cell r="T237" t="str">
            <v>Estradiol</v>
          </cell>
        </row>
        <row r="238">
          <cell r="T238" t="str">
            <v>Factor V coagulation</v>
          </cell>
        </row>
        <row r="239">
          <cell r="T239" t="str">
            <v>Factor VII coagulation</v>
          </cell>
        </row>
        <row r="240">
          <cell r="T240" t="str">
            <v>Factor VIII coagulation</v>
          </cell>
        </row>
        <row r="241">
          <cell r="T241" t="str">
            <v>Factor X coagulation</v>
          </cell>
        </row>
        <row r="242">
          <cell r="T242" t="str">
            <v>Ferritin</v>
          </cell>
        </row>
        <row r="243">
          <cell r="T243" t="str">
            <v>Fibrinogen</v>
          </cell>
        </row>
        <row r="244">
          <cell r="T244" t="str">
            <v>Folate (ricos 1)</v>
          </cell>
        </row>
        <row r="245">
          <cell r="T245" t="str">
            <v>Folate (ricos 2)</v>
          </cell>
        </row>
        <row r="246">
          <cell r="T246" t="str">
            <v>Follicle stimulating hormone (males)</v>
          </cell>
        </row>
        <row r="247">
          <cell r="T247" t="str">
            <v>Free carnitine</v>
          </cell>
        </row>
        <row r="248">
          <cell r="T248" t="str">
            <v>Free estradiol</v>
          </cell>
        </row>
        <row r="249">
          <cell r="T249" t="str">
            <v>Free testosterone</v>
          </cell>
        </row>
        <row r="250">
          <cell r="T250" t="str">
            <v>Free thyroxine (FT4)</v>
          </cell>
        </row>
        <row r="251">
          <cell r="T251" t="str">
            <v>Free Triiodothyronine (FT3)</v>
          </cell>
        </row>
        <row r="252">
          <cell r="T252" t="str">
            <v>Fructosamine (ricos)</v>
          </cell>
        </row>
        <row r="253">
          <cell r="T253" t="str">
            <v>Galactosyl hydroxylisine</v>
          </cell>
        </row>
        <row r="254">
          <cell r="T254" t="str">
            <v>g-Globulins</v>
          </cell>
        </row>
        <row r="255">
          <cell r="T255" t="str">
            <v>g-glutamyltransferase</v>
          </cell>
        </row>
        <row r="256">
          <cell r="T256" t="str">
            <v>Globulins, total</v>
          </cell>
        </row>
        <row r="257">
          <cell r="T257" t="str">
            <v>Glucose (ricos)</v>
          </cell>
        </row>
        <row r="258">
          <cell r="T258" t="str">
            <v>Glucose-6-phosphate-1-dehydrogenase (G6PDH)</v>
          </cell>
        </row>
        <row r="259">
          <cell r="T259" t="str">
            <v>Glucose-6-phosphate-1-dehydrogenase (G6PDH)</v>
          </cell>
        </row>
        <row r="260">
          <cell r="T260" t="str">
            <v>Glutathion peroxidase</v>
          </cell>
        </row>
        <row r="261">
          <cell r="T261" t="str">
            <v>Glycated albumin</v>
          </cell>
        </row>
        <row r="262">
          <cell r="T262" t="str">
            <v>Glycated total protein</v>
          </cell>
        </row>
        <row r="263">
          <cell r="T263" t="str">
            <v>Haptoglobin</v>
          </cell>
        </row>
        <row r="264">
          <cell r="T264" t="str">
            <v>Hematocrit</v>
          </cell>
        </row>
        <row r="265">
          <cell r="T265" t="str">
            <v>Hemoglobin</v>
          </cell>
        </row>
        <row r="266">
          <cell r="T266" t="str">
            <v>Hemoglobin A1 C</v>
          </cell>
        </row>
        <row r="267">
          <cell r="T267" t="str">
            <v>HDL cholesterol</v>
          </cell>
        </row>
        <row r="268">
          <cell r="T268" t="str">
            <v>HDL 1 cholesterol</v>
          </cell>
        </row>
        <row r="269">
          <cell r="T269" t="str">
            <v>HDL 2 cholesterol</v>
          </cell>
        </row>
        <row r="270">
          <cell r="T270" t="str">
            <v>HDL 3 cholesterol</v>
          </cell>
        </row>
        <row r="271">
          <cell r="T271" t="str">
            <v>Homocysteine</v>
          </cell>
        </row>
        <row r="272">
          <cell r="T272" t="str">
            <v>Hydroxyproline/creatinine</v>
          </cell>
        </row>
        <row r="273">
          <cell r="T273" t="str">
            <v>Hydroxybutyrate dehydrogenase</v>
          </cell>
        </row>
        <row r="274">
          <cell r="T274" t="str">
            <v>Immunoglobulin A</v>
          </cell>
        </row>
        <row r="275">
          <cell r="T275" t="str">
            <v>Immunoglobulin G</v>
          </cell>
        </row>
        <row r="276">
          <cell r="T276" t="str">
            <v>Immunoglobulin M</v>
          </cell>
        </row>
        <row r="277">
          <cell r="T277" t="str">
            <v>Immunoglobulins K chains</v>
          </cell>
        </row>
        <row r="278">
          <cell r="T278" t="str">
            <v>Immunoglobulins l chains</v>
          </cell>
        </row>
        <row r="279">
          <cell r="T279" t="str">
            <v>Insulin</v>
          </cell>
        </row>
        <row r="280">
          <cell r="T280" t="str">
            <v>Insulin-like growth factor (IGF-1)</v>
          </cell>
        </row>
        <row r="281">
          <cell r="T281" t="str">
            <v>Intercellular adhesion molecule-1</v>
          </cell>
        </row>
        <row r="282">
          <cell r="T282" t="str">
            <v>Interferon receptor</v>
          </cell>
        </row>
        <row r="283">
          <cell r="T283" t="str">
            <v>Interleukin-1B</v>
          </cell>
        </row>
        <row r="284">
          <cell r="T284" t="str">
            <v>Interleukin-8</v>
          </cell>
        </row>
        <row r="285">
          <cell r="T285" t="str">
            <v>Iron</v>
          </cell>
        </row>
        <row r="286">
          <cell r="T286" t="str">
            <v>Lactate (ricos)</v>
          </cell>
        </row>
        <row r="287">
          <cell r="T287" t="str">
            <v>Lactate dehydrogenase (LDH)</v>
          </cell>
        </row>
        <row r="288">
          <cell r="T288" t="str">
            <v>Lactate dehydrogenase 1 isoform (LDH1)</v>
          </cell>
        </row>
        <row r="289">
          <cell r="T289" t="str">
            <v>Lactate dehydrogenase 2 isoform (LDH2)</v>
          </cell>
        </row>
        <row r="290">
          <cell r="T290" t="str">
            <v>Lactate dehydrogenase 3 isoform (LDH3)</v>
          </cell>
        </row>
        <row r="291">
          <cell r="T291" t="str">
            <v>Lactate dehydrogenase 4 isoform (LDH4)</v>
          </cell>
        </row>
        <row r="292">
          <cell r="T292" t="str">
            <v>Lactate dehydrogenase 5 isoform (LDH5)</v>
          </cell>
        </row>
        <row r="293">
          <cell r="T293" t="str">
            <v>Lactoferrin</v>
          </cell>
        </row>
        <row r="294">
          <cell r="T294" t="str">
            <v>Leukocytes, count</v>
          </cell>
        </row>
        <row r="295">
          <cell r="T295" t="str">
            <v>LDL Cholesterol</v>
          </cell>
        </row>
        <row r="296">
          <cell r="T296" t="str">
            <v>LDL Cholesterol (direct)</v>
          </cell>
        </row>
        <row r="297">
          <cell r="T297" t="str">
            <v>LDL Cholesterol (oxidized)</v>
          </cell>
        </row>
        <row r="298">
          <cell r="T298" t="str">
            <v>LDL receptor mRNA</v>
          </cell>
        </row>
        <row r="299">
          <cell r="T299" t="str">
            <v>Leukocytes count</v>
          </cell>
        </row>
        <row r="300">
          <cell r="T300" t="str">
            <v>Lipase (ricos)</v>
          </cell>
        </row>
        <row r="301">
          <cell r="T301" t="str">
            <v>Lipoprotein (a)</v>
          </cell>
        </row>
        <row r="302">
          <cell r="T302" t="str">
            <v>Lutein</v>
          </cell>
        </row>
        <row r="303">
          <cell r="T303" t="str">
            <v>Luteinizing hormone</v>
          </cell>
        </row>
        <row r="304">
          <cell r="T304" t="str">
            <v>Lycopenene</v>
          </cell>
        </row>
        <row r="305">
          <cell r="T305" t="str">
            <v>Lymphocytes, count</v>
          </cell>
        </row>
        <row r="306">
          <cell r="T306" t="str">
            <v>Lymphocytes CD4</v>
          </cell>
        </row>
        <row r="307">
          <cell r="T307" t="str">
            <v>Magnesium (ricos)</v>
          </cell>
        </row>
        <row r="308">
          <cell r="T308" t="str">
            <v>Magnesium (ricos2)</v>
          </cell>
        </row>
        <row r="309">
          <cell r="T309" t="str">
            <v>Magnesium (ricos3)</v>
          </cell>
        </row>
        <row r="310">
          <cell r="T310" t="str">
            <v>Magnesium, concentration, 24h</v>
          </cell>
        </row>
        <row r="311">
          <cell r="T311" t="str">
            <v>Magnesium, ionized</v>
          </cell>
        </row>
        <row r="312">
          <cell r="T312" t="str">
            <v>Magnesium, output, 24h</v>
          </cell>
        </row>
        <row r="313">
          <cell r="T313" t="str">
            <v>Mean corpuscular hemoglobin (HCM)</v>
          </cell>
        </row>
        <row r="314">
          <cell r="T314" t="str">
            <v>Mean corpuscular hemoglobin concentration (MCHC)</v>
          </cell>
        </row>
        <row r="315">
          <cell r="T315" t="str">
            <v>Mean corpuscular volume (MCV)</v>
          </cell>
        </row>
        <row r="316">
          <cell r="T316" t="str">
            <v>Mean platelet volume (MPV)</v>
          </cell>
        </row>
        <row r="317">
          <cell r="T317" t="str">
            <v>Monocytes, count</v>
          </cell>
        </row>
        <row r="318">
          <cell r="T318" t="str">
            <v>Mucinous carcinoma-associated antigen (MCA)</v>
          </cell>
        </row>
        <row r="319">
          <cell r="T319" t="str">
            <v>Myeloperoxidase</v>
          </cell>
        </row>
        <row r="320">
          <cell r="T320" t="str">
            <v>Myoglobin</v>
          </cell>
        </row>
        <row r="321">
          <cell r="T321" t="str">
            <v>N-Acetyl Glucosaminidase, concentration, overnight</v>
          </cell>
        </row>
        <row r="322">
          <cell r="T322" t="str">
            <v>Neutrophyles, count</v>
          </cell>
        </row>
        <row r="323">
          <cell r="T323" t="str">
            <v>Non-inhibited arilestearase activity</v>
          </cell>
        </row>
        <row r="324">
          <cell r="T324" t="str">
            <v>Norepinephrine</v>
          </cell>
        </row>
        <row r="325">
          <cell r="T325" t="str">
            <v>Norepinephrine</v>
          </cell>
        </row>
        <row r="326">
          <cell r="T326" t="str">
            <v>N-terminal (NT)-proBNP</v>
          </cell>
        </row>
        <row r="327">
          <cell r="T327" t="str">
            <v>Osmolality</v>
          </cell>
        </row>
        <row r="328">
          <cell r="T328" t="str">
            <v>Osteocalcin</v>
          </cell>
        </row>
        <row r="329">
          <cell r="T329" t="str">
            <v>Osteocalcin (+1 trab)</v>
          </cell>
        </row>
        <row r="330">
          <cell r="T330" t="str">
            <v>Oxalate, concentration, 24h</v>
          </cell>
        </row>
        <row r="331">
          <cell r="T331" t="str">
            <v>Oxalate, output, 24h</v>
          </cell>
        </row>
        <row r="332">
          <cell r="T332" t="str">
            <v>pCO2 (ricos)</v>
          </cell>
        </row>
        <row r="333">
          <cell r="T333" t="str">
            <v>pH [H+]</v>
          </cell>
        </row>
        <row r="334">
          <cell r="T334" t="str">
            <v>pH (pH units)</v>
          </cell>
        </row>
        <row r="335">
          <cell r="T335" t="str">
            <v>Paraoxon</v>
          </cell>
        </row>
        <row r="336">
          <cell r="T336" t="str">
            <v>Paraoxonase 1 substrate inhibition (PON 4SI)</v>
          </cell>
        </row>
        <row r="337">
          <cell r="T337" t="str">
            <v>Paraoxonase activity (salt estimulated)</v>
          </cell>
        </row>
        <row r="338">
          <cell r="T338" t="str">
            <v>Parathyroid hormone (PTH)</v>
          </cell>
        </row>
        <row r="339">
          <cell r="T339" t="str">
            <v>Phenylacetate</v>
          </cell>
        </row>
        <row r="340">
          <cell r="T340" t="str">
            <v>Phosphate (ricos)</v>
          </cell>
        </row>
        <row r="341">
          <cell r="T341" t="str">
            <v>Phosphate tubular reabsorption</v>
          </cell>
        </row>
        <row r="342">
          <cell r="T342" t="str">
            <v>Phospholipids</v>
          </cell>
        </row>
        <row r="343">
          <cell r="T343" t="str">
            <v>Plasminogen</v>
          </cell>
        </row>
        <row r="344">
          <cell r="T344" t="str">
            <v>Platelets, count</v>
          </cell>
        </row>
        <row r="345">
          <cell r="T345" t="str">
            <v>Platelet distribution wide</v>
          </cell>
        </row>
        <row r="346">
          <cell r="T346" t="str">
            <v>Plateletcrit</v>
          </cell>
        </row>
        <row r="347">
          <cell r="T347" t="str">
            <v>Potassium (ricos)</v>
          </cell>
        </row>
        <row r="348">
          <cell r="T348" t="str">
            <v>Potassium (ricos2)</v>
          </cell>
        </row>
        <row r="349">
          <cell r="T349" t="str">
            <v>Prealbumin</v>
          </cell>
        </row>
        <row r="350">
          <cell r="T350" t="str">
            <v>Procollagen type 1 C-terminal</v>
          </cell>
        </row>
        <row r="351">
          <cell r="T351" t="str">
            <v>Procollagen type 1 N-terminal</v>
          </cell>
        </row>
        <row r="352">
          <cell r="T352" t="str">
            <v>Prolactin (men)</v>
          </cell>
        </row>
        <row r="353">
          <cell r="T353" t="str">
            <v>Prolyl endopeptidase</v>
          </cell>
        </row>
        <row r="354">
          <cell r="T354" t="str">
            <v>Properdin factor B</v>
          </cell>
        </row>
        <row r="355">
          <cell r="T355" t="str">
            <v>Prostatic specific antigen (PSA)</v>
          </cell>
        </row>
        <row r="356">
          <cell r="T356" t="str">
            <v>Protein C</v>
          </cell>
        </row>
        <row r="357">
          <cell r="T357" t="str">
            <v>Protein S</v>
          </cell>
        </row>
        <row r="358">
          <cell r="T358" t="str">
            <v>Protein, total</v>
          </cell>
        </row>
        <row r="359">
          <cell r="T359" t="str">
            <v>Prothrombin time</v>
          </cell>
        </row>
        <row r="360">
          <cell r="T360" t="str">
            <v>Pyruvate</v>
          </cell>
        </row>
        <row r="361">
          <cell r="T361" t="str">
            <v>Red cell distribution wide (RDW)</v>
          </cell>
        </row>
        <row r="362">
          <cell r="T362" t="str">
            <v>Reticulocyte highly fluorescent, count</v>
          </cell>
        </row>
        <row r="363">
          <cell r="T363" t="str">
            <v>Reticulocyte low fluorescent, count</v>
          </cell>
        </row>
        <row r="364">
          <cell r="T364" t="str">
            <v>Reticulocyte medium fluorescent, count</v>
          </cell>
        </row>
        <row r="365">
          <cell r="T365" t="str">
            <v>Reticulocyte, count</v>
          </cell>
        </row>
        <row r="366">
          <cell r="T366" t="str">
            <v>Retinol</v>
          </cell>
        </row>
        <row r="367">
          <cell r="T367" t="str">
            <v>Retinol</v>
          </cell>
        </row>
        <row r="368">
          <cell r="T368" t="str">
            <v>Rheumatoid factor</v>
          </cell>
        </row>
        <row r="369">
          <cell r="T369" t="str">
            <v>SCC antigen</v>
          </cell>
        </row>
        <row r="370">
          <cell r="T370" t="str">
            <v>Selenium</v>
          </cell>
        </row>
        <row r="371">
          <cell r="T371" t="str">
            <v>Selenium</v>
          </cell>
        </row>
        <row r="372">
          <cell r="T372" t="str">
            <v>Semen, concentration</v>
          </cell>
        </row>
        <row r="373">
          <cell r="T373" t="str">
            <v>Semen, morphology</v>
          </cell>
        </row>
        <row r="374">
          <cell r="T374" t="str">
            <v>Semen, progressive motility</v>
          </cell>
        </row>
        <row r="375">
          <cell r="T375" t="str">
            <v>Semen, progressive rapid motility</v>
          </cell>
        </row>
        <row r="376">
          <cell r="T376" t="str">
            <v>Semen, total motility</v>
          </cell>
        </row>
        <row r="377">
          <cell r="T377" t="str">
            <v>Semen, vitality</v>
          </cell>
        </row>
        <row r="378">
          <cell r="T378" t="str">
            <v>Sex hormone binding globulin (SHBG)</v>
          </cell>
        </row>
        <row r="379">
          <cell r="T379" t="str">
            <v>Sodium (ricos)</v>
          </cell>
        </row>
        <row r="380">
          <cell r="T380" t="str">
            <v>Sodium (ricos2)</v>
          </cell>
        </row>
        <row r="381">
          <cell r="T381" t="str">
            <v>Sodium (ricos3)</v>
          </cell>
        </row>
        <row r="382">
          <cell r="T382" t="str">
            <v>Sodium Bicarbonate</v>
          </cell>
        </row>
        <row r="383">
          <cell r="T383" t="str">
            <v>Sodium Chloride</v>
          </cell>
        </row>
        <row r="384">
          <cell r="T384" t="str">
            <v>Soluble CD163</v>
          </cell>
        </row>
        <row r="385">
          <cell r="T385" t="str">
            <v>Soluble CD163</v>
          </cell>
        </row>
        <row r="386">
          <cell r="T386" t="str">
            <v>Superoxide dismutase</v>
          </cell>
        </row>
        <row r="387">
          <cell r="T387" t="str">
            <v>Superoxide dismutase</v>
          </cell>
        </row>
        <row r="388">
          <cell r="T388" t="str">
            <v>Testosterone (ricos)</v>
          </cell>
        </row>
        <row r="389">
          <cell r="T389" t="str">
            <v>Testosterone (ricos2)</v>
          </cell>
        </row>
        <row r="390">
          <cell r="T390" t="str">
            <v>Testosterone (ricos3)</v>
          </cell>
        </row>
        <row r="391">
          <cell r="T391" t="str">
            <v>Thyroglobulin</v>
          </cell>
        </row>
        <row r="392">
          <cell r="T392" t="str">
            <v>Thyroglobulin antibody</v>
          </cell>
        </row>
        <row r="393">
          <cell r="T393" t="str">
            <v>Thyroid peroxidase antibody</v>
          </cell>
        </row>
        <row r="394">
          <cell r="T394" t="str">
            <v>Thyroid stimulating hormone (TSH)</v>
          </cell>
        </row>
        <row r="395">
          <cell r="T395" t="str">
            <v>Thyrotropin receptor antibody</v>
          </cell>
        </row>
        <row r="396">
          <cell r="T396" t="str">
            <v>Thyroxine binding globulin (TBG)</v>
          </cell>
        </row>
        <row r="397">
          <cell r="T397" t="str">
            <v>Thyroxine (T4)</v>
          </cell>
        </row>
        <row r="398">
          <cell r="T398" t="str">
            <v>Tissue polypeptide antigen (TPA)</v>
          </cell>
        </row>
        <row r="399">
          <cell r="T399" t="str">
            <v>Tissue polypeptide specific antigen (TPS)</v>
          </cell>
        </row>
        <row r="400">
          <cell r="T400" t="str">
            <v>Total carnitine</v>
          </cell>
        </row>
        <row r="401">
          <cell r="T401" t="str">
            <v>Transferrin</v>
          </cell>
        </row>
        <row r="402">
          <cell r="T402" t="str">
            <v>Triglyceride</v>
          </cell>
        </row>
        <row r="403">
          <cell r="T403" t="str">
            <v>Triiodothyronine (T3)</v>
          </cell>
        </row>
        <row r="404">
          <cell r="T404" t="str">
            <v>Troponin I</v>
          </cell>
        </row>
        <row r="405">
          <cell r="T405" t="str">
            <v>Tumor Necrosis Factor-a</v>
          </cell>
        </row>
        <row r="406">
          <cell r="T406" t="str">
            <v>Urate</v>
          </cell>
        </row>
        <row r="407">
          <cell r="T407" t="str">
            <v>Urea</v>
          </cell>
        </row>
        <row r="408">
          <cell r="T408" t="str">
            <v>Vascular cell adhesion molecule-1</v>
          </cell>
        </row>
        <row r="409">
          <cell r="T409" t="str">
            <v>Vascular endotelial growth factor</v>
          </cell>
        </row>
        <row r="410">
          <cell r="T410" t="str">
            <v>Vitamin B1</v>
          </cell>
        </row>
        <row r="411">
          <cell r="T411" t="str">
            <v>Vitamin B2 (Riboflavin)</v>
          </cell>
        </row>
        <row r="412">
          <cell r="T412" t="str">
            <v>Vitamin B2 (Riboflavin)</v>
          </cell>
        </row>
        <row r="413">
          <cell r="T413" t="str">
            <v>Vitamin B2 status (gluthation reductase activation)</v>
          </cell>
        </row>
        <row r="414">
          <cell r="T414" t="str">
            <v>Vitamin B12</v>
          </cell>
        </row>
        <row r="415">
          <cell r="T415" t="str">
            <v>Vitamin B6</v>
          </cell>
        </row>
        <row r="416">
          <cell r="T416" t="str">
            <v>Vitamin B6</v>
          </cell>
        </row>
        <row r="417">
          <cell r="T417" t="str">
            <v>Vitamin B6 status (AST activation)</v>
          </cell>
        </row>
        <row r="418">
          <cell r="T418" t="str">
            <v>Vitamin E (a-Tocopherol)</v>
          </cell>
        </row>
        <row r="419">
          <cell r="T419" t="str">
            <v>Vitamin K (Phylloquinone)</v>
          </cell>
        </row>
        <row r="420">
          <cell r="T420" t="str">
            <v>VLDL Cholesterol</v>
          </cell>
        </row>
        <row r="421">
          <cell r="T421" t="str">
            <v>Von Willebrand factor</v>
          </cell>
        </row>
        <row r="422">
          <cell r="T422" t="str">
            <v>Von Willebrand factor antigen</v>
          </cell>
        </row>
        <row r="423">
          <cell r="T423" t="str">
            <v>Water</v>
          </cell>
        </row>
        <row r="424">
          <cell r="T424" t="str">
            <v>Zeaxanthine</v>
          </cell>
        </row>
        <row r="425">
          <cell r="T425" t="str">
            <v>Zinc (ricos 1)</v>
          </cell>
        </row>
        <row r="426">
          <cell r="T426" t="str">
            <v>Zinc (ricos 2)</v>
          </cell>
        </row>
        <row r="428">
          <cell r="T428" t="str">
            <v>URINE</v>
          </cell>
        </row>
        <row r="429">
          <cell r="T429" t="str">
            <v>4 OH-3 methoxi-Vanil mandelic acid (VMA)</v>
          </cell>
        </row>
        <row r="430">
          <cell r="T430" t="str">
            <v>5'-Hydroxyindolacetate, concentration</v>
          </cell>
        </row>
        <row r="431">
          <cell r="T431" t="str">
            <v>a1-Microglobulin, concentration, first morning</v>
          </cell>
        </row>
        <row r="432">
          <cell r="T432" t="str">
            <v>a2-Microglobulin output, first morning</v>
          </cell>
        </row>
        <row r="433">
          <cell r="T433" t="str">
            <v>a-Amylase concentration, random</v>
          </cell>
        </row>
        <row r="434">
          <cell r="T434" t="str">
            <v>Albumin, concentration, first morning</v>
          </cell>
        </row>
        <row r="435">
          <cell r="T435" t="str">
            <v>Aldosterone, concentration</v>
          </cell>
        </row>
        <row r="436">
          <cell r="T436" t="str">
            <v>Ammonia, output, 24h</v>
          </cell>
        </row>
        <row r="437">
          <cell r="T437" t="str">
            <v>Calcium, concentration, 24h</v>
          </cell>
        </row>
        <row r="438">
          <cell r="T438" t="str">
            <v>Calcium, ionized</v>
          </cell>
        </row>
        <row r="439">
          <cell r="T439" t="str">
            <v>Calcium, output, 24h</v>
          </cell>
        </row>
        <row r="440">
          <cell r="T440" t="str">
            <v>C-Terminal cross-linking telopeptide  type I collagen (s-CTx)</v>
          </cell>
        </row>
        <row r="441">
          <cell r="T441" t="str">
            <v>C-Telopeptide of type I collagen/creatinine, 1st morning</v>
          </cell>
        </row>
        <row r="442">
          <cell r="T442" t="str">
            <v>C-Telopeptide type I collagen/creatinine, 2nd morning</v>
          </cell>
        </row>
        <row r="443">
          <cell r="T443" t="str">
            <v>Creatinine, concentration, 24h</v>
          </cell>
        </row>
        <row r="444">
          <cell r="T444" t="str">
            <v>Creatinine, output, 24h</v>
          </cell>
        </row>
        <row r="445">
          <cell r="T445" t="str">
            <v>?-aminolevulinic acid</v>
          </cell>
        </row>
        <row r="446">
          <cell r="T446" t="str">
            <v>Deoxypyridinoline/creatinine, 24h (Delmas CC 2001)</v>
          </cell>
        </row>
        <row r="447">
          <cell r="T447" t="str">
            <v>Deoxypyridinoline/creatinine, first morning</v>
          </cell>
        </row>
        <row r="448">
          <cell r="T448" t="str">
            <v>Deoxipyridinoline/minute</v>
          </cell>
        </row>
        <row r="449">
          <cell r="T449" t="str">
            <v>Estradiol</v>
          </cell>
        </row>
        <row r="450">
          <cell r="T450" t="str">
            <v>Free estradiol</v>
          </cell>
        </row>
        <row r="451">
          <cell r="T451" t="str">
            <v>Free testosterone</v>
          </cell>
        </row>
        <row r="452">
          <cell r="T452" t="str">
            <v>Hydroxyproline/minute, night urine</v>
          </cell>
        </row>
        <row r="453">
          <cell r="T453" t="str">
            <v>Magnesium, concentration, 24h</v>
          </cell>
        </row>
        <row r="454">
          <cell r="T454" t="str">
            <v>Magnesium, ionized</v>
          </cell>
        </row>
        <row r="455">
          <cell r="T455" t="str">
            <v>Magnesium, output, 24h</v>
          </cell>
        </row>
        <row r="456">
          <cell r="T456" t="str">
            <v>N-Acetyl Glucosaminidase, concentration, overnight</v>
          </cell>
        </row>
        <row r="457">
          <cell r="T457" t="str">
            <v>Nitrogen, output</v>
          </cell>
        </row>
        <row r="458">
          <cell r="T458" t="str">
            <v>N- Telopeptide of type I collagen /creatinine, first urine</v>
          </cell>
        </row>
        <row r="459">
          <cell r="T459" t="str">
            <v>Oxalate, concentration, 24h</v>
          </cell>
        </row>
        <row r="460">
          <cell r="T460" t="str">
            <v>Oxalate, output, 24h</v>
          </cell>
        </row>
        <row r="461">
          <cell r="T461" t="str">
            <v>Phosphate, concentration, 24h</v>
          </cell>
        </row>
        <row r="462">
          <cell r="T462" t="str">
            <v>Phosphate, output, 24h</v>
          </cell>
        </row>
        <row r="463">
          <cell r="T463" t="str">
            <v>Porphobilinogen</v>
          </cell>
        </row>
        <row r="464">
          <cell r="T464" t="str">
            <v>Porphyrins</v>
          </cell>
        </row>
        <row r="465">
          <cell r="T465" t="str">
            <v>Potassium, concentration, 24h</v>
          </cell>
        </row>
        <row r="466">
          <cell r="T466" t="str">
            <v>Potassium, output</v>
          </cell>
        </row>
        <row r="467">
          <cell r="T467" t="str">
            <v>Protein, concentration, 24h</v>
          </cell>
        </row>
        <row r="468">
          <cell r="T468" t="str">
            <v>Protein, output, 24h</v>
          </cell>
        </row>
        <row r="469">
          <cell r="T469" t="str">
            <v>Pyridinoline/creatinine, morning spot</v>
          </cell>
        </row>
        <row r="470">
          <cell r="T470" t="str">
            <v>Sodium, concentration, 24 h,</v>
          </cell>
        </row>
        <row r="471">
          <cell r="T471" t="str">
            <v>Sodium output, 24 h,</v>
          </cell>
        </row>
        <row r="472">
          <cell r="T472" t="str">
            <v>Testosterone</v>
          </cell>
        </row>
        <row r="473">
          <cell r="T473" t="str">
            <v>Total catecolamines, concentration, 24h</v>
          </cell>
        </row>
        <row r="474">
          <cell r="T474" t="str">
            <v>Total porphyrins</v>
          </cell>
        </row>
        <row r="475">
          <cell r="T475" t="str">
            <v>Urate, concentration, 24h</v>
          </cell>
        </row>
        <row r="476">
          <cell r="T476" t="str">
            <v>Urate, output, 24h</v>
          </cell>
        </row>
        <row r="477">
          <cell r="T477" t="str">
            <v>Urea, concentration, 24h</v>
          </cell>
        </row>
        <row r="478">
          <cell r="T478" t="str">
            <v>Urea, output, 24h</v>
          </cell>
        </row>
        <row r="479">
          <cell r="T479" t="str">
            <v>Vanilmandelic Acid concentration, 24h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133"/>
  <sheetViews>
    <sheetView showGridLines="0" zoomScale="70" zoomScaleNormal="70" workbookViewId="0">
      <selection activeCell="J17" sqref="J17"/>
    </sheetView>
  </sheetViews>
  <sheetFormatPr baseColWidth="10" defaultColWidth="11.42578125" defaultRowHeight="12.75" x14ac:dyDescent="0.2"/>
  <cols>
    <col min="1" max="9" width="11.42578125" style="181"/>
    <col min="10" max="11" width="11.42578125" style="181" customWidth="1"/>
    <col min="12" max="12" width="3.85546875" style="181" customWidth="1"/>
    <col min="13" max="13" width="8.5703125" style="181" customWidth="1"/>
    <col min="14" max="25" width="7" style="181" customWidth="1"/>
    <col min="26" max="26" width="6" style="181" customWidth="1"/>
    <col min="27" max="34" width="7" style="181" customWidth="1"/>
    <col min="35" max="35" width="6.28515625" style="181" customWidth="1"/>
    <col min="36" max="41" width="7" style="181" customWidth="1"/>
    <col min="42" max="51" width="7.140625" style="181" bestFit="1" customWidth="1"/>
    <col min="52" max="16384" width="11.42578125" style="181"/>
  </cols>
  <sheetData>
    <row r="1" spans="2:77" ht="13.5" thickBot="1" x14ac:dyDescent="0.25"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  <c r="BK1" s="71"/>
      <c r="BL1" s="71"/>
      <c r="BM1" s="71"/>
      <c r="BN1" s="71"/>
      <c r="BO1" s="71"/>
      <c r="BP1" s="71"/>
      <c r="BQ1" s="71"/>
      <c r="BR1" s="71"/>
      <c r="BS1" s="71"/>
      <c r="BT1" s="71"/>
      <c r="BU1" s="71"/>
      <c r="BV1" s="71"/>
      <c r="BW1" s="71"/>
      <c r="BX1" s="71"/>
      <c r="BY1" s="71"/>
    </row>
    <row r="2" spans="2:77" ht="21" thickBot="1" x14ac:dyDescent="0.25">
      <c r="B2" s="421" t="s">
        <v>129</v>
      </c>
      <c r="C2" s="422"/>
      <c r="D2" s="422"/>
      <c r="E2" s="422"/>
      <c r="F2" s="422"/>
      <c r="G2" s="422"/>
      <c r="H2" s="422"/>
      <c r="I2" s="422"/>
      <c r="J2" s="423"/>
      <c r="K2" s="231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0"/>
      <c r="AS2" s="70"/>
      <c r="AT2" s="70"/>
      <c r="AU2" s="70"/>
      <c r="AV2" s="70"/>
      <c r="AW2" s="70"/>
      <c r="AX2" s="70"/>
      <c r="AY2" s="70"/>
      <c r="AZ2" s="70"/>
      <c r="BA2" s="70"/>
      <c r="BB2" s="70"/>
      <c r="BC2" s="70"/>
      <c r="BD2" s="70"/>
      <c r="BE2" s="70"/>
      <c r="BF2" s="70"/>
      <c r="BG2" s="70"/>
      <c r="BH2" s="70"/>
      <c r="BI2" s="70"/>
      <c r="BJ2" s="70"/>
      <c r="BK2" s="70"/>
      <c r="BL2" s="70"/>
      <c r="BM2" s="70"/>
      <c r="BN2" s="70"/>
      <c r="BO2" s="70"/>
      <c r="BP2" s="70"/>
      <c r="BQ2" s="70"/>
      <c r="BR2" s="70"/>
      <c r="BS2" s="70"/>
      <c r="BT2" s="70"/>
      <c r="BU2" s="70"/>
      <c r="BV2" s="70"/>
      <c r="BW2" s="70"/>
      <c r="BX2" s="70"/>
      <c r="BY2" s="71"/>
    </row>
    <row r="3" spans="2:77" ht="12.75" customHeight="1" x14ac:dyDescent="0.2">
      <c r="B3" s="97" t="s">
        <v>266</v>
      </c>
      <c r="C3" s="95"/>
      <c r="D3" s="95"/>
      <c r="E3" s="95"/>
      <c r="F3" s="95"/>
      <c r="G3" s="95"/>
      <c r="H3" s="95"/>
      <c r="I3" s="95"/>
      <c r="J3" s="96"/>
      <c r="K3" s="416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  <c r="Z3" s="188"/>
      <c r="AA3" s="188"/>
      <c r="AB3" s="188"/>
      <c r="AC3" s="188"/>
      <c r="AD3" s="188"/>
      <c r="AE3" s="188"/>
      <c r="AF3" s="188"/>
      <c r="AG3" s="188"/>
      <c r="AH3" s="188"/>
      <c r="AI3" s="188"/>
      <c r="AJ3" s="188"/>
      <c r="AK3" s="188"/>
      <c r="AL3" s="188"/>
      <c r="AM3" s="188"/>
      <c r="AN3" s="188"/>
      <c r="AO3" s="188"/>
      <c r="AP3" s="188"/>
      <c r="AQ3" s="188"/>
      <c r="AR3" s="188"/>
      <c r="AS3" s="188"/>
      <c r="AT3" s="188"/>
      <c r="AU3" s="188"/>
      <c r="AV3" s="188"/>
      <c r="AW3" s="188"/>
      <c r="AX3" s="188"/>
      <c r="AY3" s="188"/>
      <c r="AZ3" s="188"/>
      <c r="BA3" s="188"/>
      <c r="BB3" s="188"/>
      <c r="BC3" s="188"/>
      <c r="BD3" s="188"/>
      <c r="BE3" s="188"/>
      <c r="BF3" s="188"/>
      <c r="BG3" s="188"/>
      <c r="BH3" s="188"/>
      <c r="BI3" s="188"/>
      <c r="BJ3" s="188"/>
      <c r="BK3" s="188"/>
      <c r="BL3" s="188"/>
      <c r="BM3" s="188"/>
      <c r="BN3" s="70"/>
      <c r="BO3" s="70"/>
      <c r="BP3" s="70"/>
      <c r="BQ3" s="70"/>
      <c r="BR3" s="70"/>
      <c r="BS3" s="70"/>
      <c r="BT3" s="70"/>
      <c r="BU3" s="70"/>
      <c r="BV3" s="70"/>
      <c r="BW3" s="70"/>
      <c r="BX3" s="70"/>
      <c r="BY3" s="71"/>
    </row>
    <row r="4" spans="2:77" x14ac:dyDescent="0.2">
      <c r="B4" s="191"/>
      <c r="C4" s="192"/>
      <c r="D4" s="192"/>
      <c r="E4" s="192"/>
      <c r="F4" s="192"/>
      <c r="G4" s="192"/>
      <c r="H4" s="192"/>
      <c r="I4" s="192"/>
      <c r="J4" s="193"/>
      <c r="K4" s="239"/>
      <c r="L4" s="188"/>
      <c r="M4" s="188" t="s">
        <v>59</v>
      </c>
      <c r="N4" s="188"/>
      <c r="O4" s="188"/>
      <c r="P4" s="188"/>
      <c r="Q4" s="188"/>
      <c r="R4" s="188"/>
      <c r="S4" s="188"/>
      <c r="T4" s="188"/>
      <c r="U4" s="188"/>
      <c r="V4" s="188"/>
      <c r="W4" s="188"/>
      <c r="X4" s="188"/>
      <c r="Y4" s="188"/>
      <c r="Z4" s="188"/>
      <c r="AA4" s="188"/>
      <c r="AB4" s="188"/>
      <c r="AC4" s="188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8"/>
      <c r="BF4" s="188"/>
      <c r="BG4" s="188"/>
      <c r="BH4" s="188"/>
      <c r="BI4" s="188"/>
      <c r="BJ4" s="188"/>
      <c r="BK4" s="188"/>
      <c r="BL4" s="188"/>
      <c r="BM4" s="188"/>
      <c r="BN4" s="70"/>
      <c r="BO4" s="70"/>
      <c r="BP4" s="70"/>
      <c r="BQ4" s="70"/>
      <c r="BR4" s="70"/>
      <c r="BS4" s="70"/>
      <c r="BT4" s="70"/>
      <c r="BU4" s="70"/>
      <c r="BV4" s="70"/>
      <c r="BW4" s="70"/>
      <c r="BX4" s="70"/>
      <c r="BY4" s="71"/>
    </row>
    <row r="5" spans="2:77" x14ac:dyDescent="0.2">
      <c r="B5" s="92" t="s">
        <v>59</v>
      </c>
      <c r="C5" s="229" t="s">
        <v>128</v>
      </c>
      <c r="D5" s="192"/>
      <c r="E5" s="426" t="s">
        <v>313</v>
      </c>
      <c r="F5" s="427"/>
      <c r="G5" s="192"/>
      <c r="H5" s="192"/>
      <c r="I5" s="336" t="s">
        <v>253</v>
      </c>
      <c r="J5" s="417">
        <f ca="1">COUNT(C6:C45)</f>
        <v>28</v>
      </c>
      <c r="K5" s="239"/>
      <c r="L5" s="188" t="s">
        <v>49</v>
      </c>
      <c r="M5" s="188">
        <v>2</v>
      </c>
      <c r="N5" s="188">
        <v>3</v>
      </c>
      <c r="O5" s="188">
        <v>4</v>
      </c>
      <c r="P5" s="188">
        <v>5</v>
      </c>
      <c r="Q5" s="188">
        <v>6</v>
      </c>
      <c r="R5" s="188">
        <v>7</v>
      </c>
      <c r="S5" s="188">
        <v>8</v>
      </c>
      <c r="T5" s="188">
        <v>9</v>
      </c>
      <c r="U5" s="188">
        <v>10</v>
      </c>
      <c r="V5" s="188">
        <v>11</v>
      </c>
      <c r="W5" s="188">
        <v>12</v>
      </c>
      <c r="X5" s="188">
        <v>13</v>
      </c>
      <c r="Y5" s="188">
        <v>14</v>
      </c>
      <c r="Z5" s="188">
        <v>15</v>
      </c>
      <c r="AA5" s="188">
        <v>16</v>
      </c>
      <c r="AB5" s="188">
        <v>17</v>
      </c>
      <c r="AC5" s="188">
        <v>18</v>
      </c>
      <c r="AD5" s="188">
        <v>19</v>
      </c>
      <c r="AE5" s="188">
        <v>20</v>
      </c>
      <c r="AF5" s="188">
        <v>21</v>
      </c>
      <c r="AG5" s="188">
        <v>22</v>
      </c>
      <c r="AH5" s="188">
        <v>23</v>
      </c>
      <c r="AI5" s="188">
        <v>24</v>
      </c>
      <c r="AJ5" s="188">
        <v>25</v>
      </c>
      <c r="AK5" s="188">
        <v>26</v>
      </c>
      <c r="AL5" s="188">
        <v>27</v>
      </c>
      <c r="AM5" s="188">
        <v>28</v>
      </c>
      <c r="AN5" s="188">
        <v>29</v>
      </c>
      <c r="AO5" s="188">
        <v>30</v>
      </c>
      <c r="AP5" s="188">
        <v>31</v>
      </c>
      <c r="AQ5" s="188">
        <v>32</v>
      </c>
      <c r="AR5" s="188">
        <v>33</v>
      </c>
      <c r="AS5" s="188">
        <v>34</v>
      </c>
      <c r="AT5" s="188">
        <v>35</v>
      </c>
      <c r="AU5" s="188">
        <v>36</v>
      </c>
      <c r="AV5" s="188">
        <v>37</v>
      </c>
      <c r="AW5" s="188">
        <v>38</v>
      </c>
      <c r="AX5" s="188">
        <v>39</v>
      </c>
      <c r="AY5" s="188">
        <v>40</v>
      </c>
      <c r="AZ5" s="188">
        <v>41</v>
      </c>
      <c r="BA5" s="188">
        <v>42</v>
      </c>
      <c r="BB5" s="188">
        <v>43</v>
      </c>
      <c r="BC5" s="188">
        <v>44</v>
      </c>
      <c r="BD5" s="188">
        <v>45</v>
      </c>
      <c r="BE5" s="188">
        <v>46</v>
      </c>
      <c r="BF5" s="188">
        <v>47</v>
      </c>
      <c r="BG5" s="188">
        <v>48</v>
      </c>
      <c r="BH5" s="188">
        <v>49</v>
      </c>
      <c r="BI5" s="188">
        <v>50</v>
      </c>
      <c r="BJ5" s="188"/>
      <c r="BK5" s="188"/>
      <c r="BL5" s="188"/>
      <c r="BM5" s="188"/>
      <c r="BN5" s="70"/>
      <c r="BO5" s="70"/>
      <c r="BP5" s="70"/>
      <c r="BQ5" s="70"/>
      <c r="BR5" s="70"/>
      <c r="BS5" s="70"/>
      <c r="BT5" s="70"/>
      <c r="BU5" s="70"/>
      <c r="BV5" s="70"/>
      <c r="BW5" s="70"/>
      <c r="BX5" s="70"/>
      <c r="BY5" s="71"/>
    </row>
    <row r="6" spans="2:77" x14ac:dyDescent="0.2">
      <c r="B6" s="92">
        <v>1</v>
      </c>
      <c r="C6" s="407">
        <f ca="1">10+RAND()-RAND()</f>
        <v>9.9762433702790396</v>
      </c>
      <c r="D6" s="192"/>
      <c r="E6" s="229" t="s">
        <v>99</v>
      </c>
      <c r="F6" s="236">
        <f ca="1">SUM(G56:G75)</f>
        <v>2.3309503332679307</v>
      </c>
      <c r="G6" s="192"/>
      <c r="H6" s="192"/>
      <c r="I6" s="336" t="s">
        <v>49</v>
      </c>
      <c r="J6" s="418">
        <f ca="1">ROUNDDOWN(COUNT(C6:C45)/2,0)</f>
        <v>14</v>
      </c>
      <c r="K6" s="239"/>
      <c r="L6" s="188">
        <v>1</v>
      </c>
      <c r="M6" s="188">
        <v>0.70709999999999995</v>
      </c>
      <c r="N6" s="188">
        <v>0.70709999999999995</v>
      </c>
      <c r="O6" s="188">
        <v>0.68720000000000003</v>
      </c>
      <c r="P6" s="188">
        <v>0.66459999999999997</v>
      </c>
      <c r="Q6" s="188">
        <v>0.6431</v>
      </c>
      <c r="R6" s="188">
        <v>0.62329999999999997</v>
      </c>
      <c r="S6" s="188">
        <v>0.60519999999999996</v>
      </c>
      <c r="T6" s="188">
        <v>0.58879999999999999</v>
      </c>
      <c r="U6" s="188">
        <v>0.57389999999999997</v>
      </c>
      <c r="V6" s="188">
        <v>0.56010000000000004</v>
      </c>
      <c r="W6" s="188">
        <v>0.54749999999999999</v>
      </c>
      <c r="X6" s="188">
        <v>0.53590000000000004</v>
      </c>
      <c r="Y6" s="188">
        <v>0.52510000000000001</v>
      </c>
      <c r="Z6" s="188">
        <v>0.51500000000000001</v>
      </c>
      <c r="AA6" s="188">
        <v>0.50560000000000005</v>
      </c>
      <c r="AB6" s="188">
        <v>0.49630000000000002</v>
      </c>
      <c r="AC6" s="188">
        <v>0.48859999999999998</v>
      </c>
      <c r="AD6" s="188">
        <v>0.48080000000000001</v>
      </c>
      <c r="AE6" s="188">
        <v>0.47339999999999999</v>
      </c>
      <c r="AF6" s="188">
        <v>0.46429999999999999</v>
      </c>
      <c r="AG6" s="188">
        <v>0.45900000000000002</v>
      </c>
      <c r="AH6" s="188">
        <v>0.45419999999999999</v>
      </c>
      <c r="AI6" s="188">
        <v>0.45929999999999999</v>
      </c>
      <c r="AJ6" s="188">
        <v>0.44500000000000001</v>
      </c>
      <c r="AK6" s="188">
        <v>0.44069999999999998</v>
      </c>
      <c r="AL6" s="188">
        <v>0.43659999999999999</v>
      </c>
      <c r="AM6" s="188">
        <v>0.43280000000000002</v>
      </c>
      <c r="AN6" s="188">
        <v>0.42909999999999998</v>
      </c>
      <c r="AO6" s="188">
        <v>0.4254</v>
      </c>
      <c r="AP6" s="188">
        <v>0.42199999999999999</v>
      </c>
      <c r="AQ6" s="188">
        <v>0.41880000000000001</v>
      </c>
      <c r="AR6" s="188">
        <v>0.41560000000000002</v>
      </c>
      <c r="AS6" s="188">
        <v>0.41270000000000001</v>
      </c>
      <c r="AT6" s="188">
        <v>0.40960000000000002</v>
      </c>
      <c r="AU6" s="188">
        <v>0.40679999999999999</v>
      </c>
      <c r="AV6" s="188">
        <v>0.40400000000000003</v>
      </c>
      <c r="AW6" s="188">
        <v>0.40150000000000002</v>
      </c>
      <c r="AX6" s="188">
        <v>0.39889999999999998</v>
      </c>
      <c r="AY6" s="188">
        <v>0.39639999999999997</v>
      </c>
      <c r="AZ6" s="188"/>
      <c r="BA6" s="188"/>
      <c r="BB6" s="188"/>
      <c r="BC6" s="188"/>
      <c r="BD6" s="188"/>
      <c r="BE6" s="188"/>
      <c r="BF6" s="188"/>
      <c r="BG6" s="188"/>
      <c r="BH6" s="188"/>
      <c r="BI6" s="188"/>
      <c r="BJ6" s="188"/>
      <c r="BK6" s="424" t="s">
        <v>250</v>
      </c>
      <c r="BL6" s="424"/>
      <c r="BM6" s="201"/>
      <c r="BN6" s="70"/>
      <c r="BO6" s="70"/>
      <c r="BP6" s="70"/>
      <c r="BQ6" s="70"/>
      <c r="BR6" s="70"/>
      <c r="BS6" s="70"/>
      <c r="BT6" s="70"/>
      <c r="BU6" s="70"/>
      <c r="BV6" s="70"/>
      <c r="BW6" s="70"/>
      <c r="BX6" s="70"/>
      <c r="BY6" s="71"/>
    </row>
    <row r="7" spans="2:77" x14ac:dyDescent="0.2">
      <c r="B7" s="92">
        <v>2</v>
      </c>
      <c r="C7" s="407">
        <f t="shared" ref="C7:C33" ca="1" si="0">10+RAND()-RAND()</f>
        <v>10.21769234965787</v>
      </c>
      <c r="D7" s="192"/>
      <c r="E7" s="229" t="s">
        <v>255</v>
      </c>
      <c r="F7" s="236">
        <f ca="1">DEVSQ(C6:C45)</f>
        <v>5.8116126743037295</v>
      </c>
      <c r="G7" s="192"/>
      <c r="H7" s="192"/>
      <c r="I7" s="192"/>
      <c r="J7" s="193"/>
      <c r="K7" s="239"/>
      <c r="L7" s="188">
        <v>2</v>
      </c>
      <c r="M7" s="188"/>
      <c r="N7" s="188"/>
      <c r="O7" s="188">
        <v>0.16769999999999999</v>
      </c>
      <c r="P7" s="188">
        <v>0.24129999999999999</v>
      </c>
      <c r="Q7" s="188">
        <v>0.28060000000000002</v>
      </c>
      <c r="R7" s="188">
        <v>0.30309999999999998</v>
      </c>
      <c r="S7" s="188">
        <v>0.31640000000000001</v>
      </c>
      <c r="T7" s="188">
        <v>0.32440000000000002</v>
      </c>
      <c r="U7" s="188">
        <v>0.3291</v>
      </c>
      <c r="V7" s="188">
        <v>0.33150000000000002</v>
      </c>
      <c r="W7" s="188">
        <v>0.33250000000000002</v>
      </c>
      <c r="X7" s="188">
        <v>0.33250000000000002</v>
      </c>
      <c r="Y7" s="188">
        <v>0.33179999999999998</v>
      </c>
      <c r="Z7" s="188">
        <v>0.3306</v>
      </c>
      <c r="AA7" s="188">
        <v>0.32900000000000001</v>
      </c>
      <c r="AB7" s="188">
        <v>0.32729999999999998</v>
      </c>
      <c r="AC7" s="188">
        <v>0.32529999999999998</v>
      </c>
      <c r="AD7" s="188">
        <v>0.32319999999999999</v>
      </c>
      <c r="AE7" s="188">
        <v>0.3211</v>
      </c>
      <c r="AF7" s="188">
        <v>0.31850000000000001</v>
      </c>
      <c r="AG7" s="188">
        <v>0.31559999999999999</v>
      </c>
      <c r="AH7" s="188">
        <v>0.31259999999999999</v>
      </c>
      <c r="AI7" s="188">
        <v>0.30980000000000002</v>
      </c>
      <c r="AJ7" s="188">
        <v>0.30690000000000001</v>
      </c>
      <c r="AK7" s="188">
        <v>0.30430000000000001</v>
      </c>
      <c r="AL7" s="188">
        <v>0.30180000000000001</v>
      </c>
      <c r="AM7" s="188">
        <v>0.29920000000000002</v>
      </c>
      <c r="AN7" s="188">
        <v>0.29680000000000001</v>
      </c>
      <c r="AO7" s="188">
        <v>0.2944</v>
      </c>
      <c r="AP7" s="188">
        <v>0.29210000000000003</v>
      </c>
      <c r="AQ7" s="188">
        <v>0.2898</v>
      </c>
      <c r="AR7" s="188">
        <v>0.28760000000000002</v>
      </c>
      <c r="AS7" s="188">
        <v>0.28539999999999999</v>
      </c>
      <c r="AT7" s="188">
        <v>0.28339999999999999</v>
      </c>
      <c r="AU7" s="188">
        <v>0.28129999999999999</v>
      </c>
      <c r="AV7" s="188">
        <v>0.27939999999999998</v>
      </c>
      <c r="AW7" s="188">
        <v>0.27739999999999998</v>
      </c>
      <c r="AX7" s="188">
        <v>0.27550000000000002</v>
      </c>
      <c r="AY7" s="188">
        <v>0.2737</v>
      </c>
      <c r="AZ7" s="188"/>
      <c r="BA7" s="188"/>
      <c r="BB7" s="188"/>
      <c r="BC7" s="188"/>
      <c r="BD7" s="188"/>
      <c r="BE7" s="188"/>
      <c r="BF7" s="188"/>
      <c r="BG7" s="188"/>
      <c r="BH7" s="188"/>
      <c r="BI7" s="188"/>
      <c r="BJ7" s="188"/>
      <c r="BK7" s="228">
        <v>3</v>
      </c>
      <c r="BL7" s="228">
        <v>0.76700000000000002</v>
      </c>
      <c r="BM7" s="201" t="str">
        <f t="shared" ref="BM7:BM44" ca="1" si="1">IF(BK7=$J$5,BL7,"")</f>
        <v/>
      </c>
      <c r="BN7" s="70"/>
      <c r="BO7" s="70"/>
      <c r="BP7" s="70"/>
      <c r="BQ7" s="70"/>
      <c r="BR7" s="70"/>
      <c r="BS7" s="70"/>
      <c r="BT7" s="70"/>
      <c r="BU7" s="70"/>
      <c r="BV7" s="70"/>
      <c r="BW7" s="70"/>
      <c r="BX7" s="70"/>
      <c r="BY7" s="71"/>
    </row>
    <row r="8" spans="2:77" x14ac:dyDescent="0.2">
      <c r="B8" s="92">
        <v>3</v>
      </c>
      <c r="C8" s="407">
        <f t="shared" ca="1" si="0"/>
        <v>10.61039285343354</v>
      </c>
      <c r="D8" s="192"/>
      <c r="E8" s="237" t="s">
        <v>256</v>
      </c>
      <c r="F8" s="236">
        <f ca="1">F6^2/F7</f>
        <v>0.93490907957193248</v>
      </c>
      <c r="G8" s="192"/>
      <c r="H8" s="192"/>
      <c r="I8" s="192"/>
      <c r="J8" s="193"/>
      <c r="K8" s="239"/>
      <c r="L8" s="188">
        <v>3</v>
      </c>
      <c r="M8" s="188"/>
      <c r="N8" s="188"/>
      <c r="O8" s="188"/>
      <c r="P8" s="188"/>
      <c r="Q8" s="188">
        <v>8.7499999999999994E-2</v>
      </c>
      <c r="R8" s="188">
        <v>0.1401</v>
      </c>
      <c r="S8" s="188">
        <v>0.17430000000000001</v>
      </c>
      <c r="T8" s="188">
        <v>0.1976</v>
      </c>
      <c r="U8" s="188">
        <v>0.21410000000000001</v>
      </c>
      <c r="V8" s="188">
        <v>0.22600000000000001</v>
      </c>
      <c r="W8" s="188">
        <v>0.23480000000000001</v>
      </c>
      <c r="X8" s="188">
        <v>0.2412</v>
      </c>
      <c r="Y8" s="188">
        <v>0.246</v>
      </c>
      <c r="Z8" s="188">
        <v>0.2495</v>
      </c>
      <c r="AA8" s="188">
        <v>0.25209999999999999</v>
      </c>
      <c r="AB8" s="188">
        <v>0.254</v>
      </c>
      <c r="AC8" s="188">
        <v>0.25530000000000003</v>
      </c>
      <c r="AD8" s="188">
        <v>0.25609999999999999</v>
      </c>
      <c r="AE8" s="188">
        <v>0.25650000000000001</v>
      </c>
      <c r="AF8" s="188">
        <v>0.25779999999999997</v>
      </c>
      <c r="AG8" s="188">
        <v>0.2571</v>
      </c>
      <c r="AH8" s="188">
        <v>0.25629999999999997</v>
      </c>
      <c r="AI8" s="188">
        <v>0.25540000000000002</v>
      </c>
      <c r="AJ8" s="188">
        <v>0.25430000000000003</v>
      </c>
      <c r="AK8" s="188">
        <v>0.25330000000000003</v>
      </c>
      <c r="AL8" s="188">
        <v>0.25219999999999998</v>
      </c>
      <c r="AM8" s="188">
        <v>0.251</v>
      </c>
      <c r="AN8" s="188">
        <v>0.24990000000000001</v>
      </c>
      <c r="AO8" s="188">
        <v>0.2487</v>
      </c>
      <c r="AP8" s="188">
        <v>0.2475</v>
      </c>
      <c r="AQ8" s="188">
        <v>0.24629999999999999</v>
      </c>
      <c r="AR8" s="188">
        <v>0.24510000000000001</v>
      </c>
      <c r="AS8" s="188">
        <v>0.24390000000000001</v>
      </c>
      <c r="AT8" s="188">
        <v>0.2427</v>
      </c>
      <c r="AU8" s="188">
        <v>0.24149999999999999</v>
      </c>
      <c r="AV8" s="188">
        <v>0.24030000000000001</v>
      </c>
      <c r="AW8" s="188">
        <v>0.23910000000000001</v>
      </c>
      <c r="AX8" s="188">
        <v>0.23799999999999999</v>
      </c>
      <c r="AY8" s="188">
        <v>0.23680000000000001</v>
      </c>
      <c r="AZ8" s="188"/>
      <c r="BA8" s="188"/>
      <c r="BB8" s="188"/>
      <c r="BC8" s="188"/>
      <c r="BD8" s="188"/>
      <c r="BE8" s="188"/>
      <c r="BF8" s="188"/>
      <c r="BG8" s="188"/>
      <c r="BH8" s="188"/>
      <c r="BI8" s="188"/>
      <c r="BJ8" s="188"/>
      <c r="BK8" s="228">
        <v>4</v>
      </c>
      <c r="BL8" s="228">
        <v>0.748</v>
      </c>
      <c r="BM8" s="201" t="str">
        <f t="shared" ca="1" si="1"/>
        <v/>
      </c>
      <c r="BN8" s="70"/>
      <c r="BO8" s="70"/>
      <c r="BP8" s="70"/>
      <c r="BQ8" s="70"/>
      <c r="BR8" s="70"/>
      <c r="BS8" s="70"/>
      <c r="BT8" s="70"/>
      <c r="BU8" s="70"/>
      <c r="BV8" s="70"/>
      <c r="BW8" s="70"/>
      <c r="BX8" s="70"/>
      <c r="BY8" s="71"/>
    </row>
    <row r="9" spans="2:77" x14ac:dyDescent="0.2">
      <c r="B9" s="92">
        <v>4</v>
      </c>
      <c r="C9" s="407">
        <f t="shared" ca="1" si="0"/>
        <v>9.8029468250873339</v>
      </c>
      <c r="D9" s="192"/>
      <c r="E9" s="238" t="s">
        <v>250</v>
      </c>
      <c r="F9" s="236">
        <f ca="1">BM45</f>
        <v>0.92400000000000004</v>
      </c>
      <c r="G9" s="409" t="s">
        <v>440</v>
      </c>
      <c r="H9" s="192"/>
      <c r="I9" s="192"/>
      <c r="J9" s="193"/>
      <c r="K9" s="239"/>
      <c r="L9" s="188">
        <v>4</v>
      </c>
      <c r="M9" s="188"/>
      <c r="N9" s="188"/>
      <c r="O9" s="188"/>
      <c r="P9" s="188"/>
      <c r="Q9" s="188"/>
      <c r="R9" s="188"/>
      <c r="S9" s="188">
        <v>5.6099999999999997E-2</v>
      </c>
      <c r="T9" s="188">
        <v>9.4700000000000006E-2</v>
      </c>
      <c r="U9" s="188">
        <v>0.12239999999999999</v>
      </c>
      <c r="V9" s="188">
        <v>0.1429</v>
      </c>
      <c r="W9" s="188">
        <v>0.15859999999999999</v>
      </c>
      <c r="X9" s="188">
        <v>0.17069999999999999</v>
      </c>
      <c r="Y9" s="188">
        <v>0.1802</v>
      </c>
      <c r="Z9" s="188">
        <v>0.18779999999999999</v>
      </c>
      <c r="AA9" s="188">
        <v>0.19389999999999999</v>
      </c>
      <c r="AB9" s="188">
        <v>0.1988</v>
      </c>
      <c r="AC9" s="188">
        <v>0.20269999999999999</v>
      </c>
      <c r="AD9" s="188">
        <v>0.2059</v>
      </c>
      <c r="AE9" s="188">
        <v>0.20849999999999999</v>
      </c>
      <c r="AF9" s="188">
        <v>0.21190000000000001</v>
      </c>
      <c r="AG9" s="188">
        <v>0.21310000000000001</v>
      </c>
      <c r="AH9" s="188">
        <v>0.21390000000000001</v>
      </c>
      <c r="AI9" s="188">
        <v>0.2145</v>
      </c>
      <c r="AJ9" s="188">
        <v>0.21479999999999999</v>
      </c>
      <c r="AK9" s="188">
        <v>0.21510000000000001</v>
      </c>
      <c r="AL9" s="188">
        <v>0.2152</v>
      </c>
      <c r="AM9" s="188">
        <v>0.21510000000000001</v>
      </c>
      <c r="AN9" s="188">
        <v>0.215</v>
      </c>
      <c r="AO9" s="188">
        <v>0.21479999999999999</v>
      </c>
      <c r="AP9" s="188">
        <v>0.2145</v>
      </c>
      <c r="AQ9" s="188">
        <v>0.21410000000000001</v>
      </c>
      <c r="AR9" s="188">
        <v>0.2137</v>
      </c>
      <c r="AS9" s="188">
        <v>0.2132</v>
      </c>
      <c r="AT9" s="188">
        <v>0.2127</v>
      </c>
      <c r="AU9" s="188">
        <v>0.21210000000000001</v>
      </c>
      <c r="AV9" s="188">
        <v>0.21160000000000001</v>
      </c>
      <c r="AW9" s="188">
        <v>0.21099999999999999</v>
      </c>
      <c r="AX9" s="188">
        <v>0.2104</v>
      </c>
      <c r="AY9" s="188">
        <v>0.20979999999999999</v>
      </c>
      <c r="AZ9" s="188"/>
      <c r="BA9" s="188"/>
      <c r="BB9" s="188"/>
      <c r="BC9" s="188"/>
      <c r="BD9" s="188"/>
      <c r="BE9" s="188"/>
      <c r="BF9" s="188"/>
      <c r="BG9" s="188"/>
      <c r="BH9" s="188"/>
      <c r="BI9" s="188"/>
      <c r="BJ9" s="188"/>
      <c r="BK9" s="228">
        <v>5</v>
      </c>
      <c r="BL9" s="228">
        <v>0.76200000000000001</v>
      </c>
      <c r="BM9" s="201" t="str">
        <f t="shared" ca="1" si="1"/>
        <v/>
      </c>
      <c r="BN9" s="70"/>
      <c r="BO9" s="70"/>
      <c r="BP9" s="70"/>
      <c r="BQ9" s="70"/>
      <c r="BR9" s="70"/>
      <c r="BS9" s="70"/>
      <c r="BT9" s="70"/>
      <c r="BU9" s="70"/>
      <c r="BV9" s="70"/>
      <c r="BW9" s="70"/>
      <c r="BX9" s="70"/>
      <c r="BY9" s="71"/>
    </row>
    <row r="10" spans="2:77" x14ac:dyDescent="0.2">
      <c r="B10" s="92">
        <v>5</v>
      </c>
      <c r="C10" s="407">
        <f t="shared" ca="1" si="0"/>
        <v>10.276717486673871</v>
      </c>
      <c r="D10" s="192"/>
      <c r="E10" s="90" t="s">
        <v>265</v>
      </c>
      <c r="F10" s="194" t="str">
        <f ca="1">IF(F8&lt;F9,"yes","no")</f>
        <v>no</v>
      </c>
      <c r="G10" s="408">
        <f ca="1">STDEV(C6:C43)</f>
        <v>0.46394494701753258</v>
      </c>
      <c r="H10" s="192"/>
      <c r="I10" s="192"/>
      <c r="J10" s="193"/>
      <c r="K10" s="239"/>
      <c r="L10" s="188">
        <v>5</v>
      </c>
      <c r="M10" s="188"/>
      <c r="N10" s="188"/>
      <c r="O10" s="188"/>
      <c r="P10" s="188"/>
      <c r="Q10" s="188"/>
      <c r="R10" s="188"/>
      <c r="S10" s="188"/>
      <c r="T10" s="188"/>
      <c r="U10" s="188">
        <v>3.9899999999999998E-2</v>
      </c>
      <c r="V10" s="188">
        <v>6.9500000000000006E-2</v>
      </c>
      <c r="W10" s="188">
        <v>9.2200000000000004E-2</v>
      </c>
      <c r="X10" s="188">
        <v>0.1099</v>
      </c>
      <c r="Y10" s="188">
        <v>0.124</v>
      </c>
      <c r="Z10" s="188">
        <v>0.1353</v>
      </c>
      <c r="AA10" s="188">
        <v>0.1447</v>
      </c>
      <c r="AB10" s="188">
        <v>0.15240000000000001</v>
      </c>
      <c r="AC10" s="188">
        <v>0.15870000000000001</v>
      </c>
      <c r="AD10" s="188">
        <v>0.1641</v>
      </c>
      <c r="AE10" s="188">
        <v>0.1686</v>
      </c>
      <c r="AF10" s="188">
        <v>0.1736</v>
      </c>
      <c r="AG10" s="188">
        <v>0.1764</v>
      </c>
      <c r="AH10" s="188">
        <v>0.1787</v>
      </c>
      <c r="AI10" s="188">
        <v>0.1807</v>
      </c>
      <c r="AJ10" s="188">
        <v>0.1822</v>
      </c>
      <c r="AK10" s="188">
        <v>0.18360000000000001</v>
      </c>
      <c r="AL10" s="188">
        <v>0.18479999999999999</v>
      </c>
      <c r="AM10" s="188">
        <v>0.1857</v>
      </c>
      <c r="AN10" s="188">
        <v>0.18640000000000001</v>
      </c>
      <c r="AO10" s="188">
        <v>0.187</v>
      </c>
      <c r="AP10" s="188">
        <v>0.18740000000000001</v>
      </c>
      <c r="AQ10" s="188">
        <v>0.18779999999999999</v>
      </c>
      <c r="AR10" s="188">
        <v>0.188</v>
      </c>
      <c r="AS10" s="188">
        <v>0.18820000000000001</v>
      </c>
      <c r="AT10" s="188">
        <v>0.1883</v>
      </c>
      <c r="AU10" s="188">
        <v>0.1883</v>
      </c>
      <c r="AV10" s="188">
        <v>0.1883</v>
      </c>
      <c r="AW10" s="188">
        <v>0.18809999999999999</v>
      </c>
      <c r="AX10" s="188">
        <v>0.188</v>
      </c>
      <c r="AY10" s="188">
        <v>0.18779999999999999</v>
      </c>
      <c r="AZ10" s="188"/>
      <c r="BA10" s="188"/>
      <c r="BB10" s="188"/>
      <c r="BC10" s="188"/>
      <c r="BD10" s="188"/>
      <c r="BE10" s="188"/>
      <c r="BF10" s="188"/>
      <c r="BG10" s="188"/>
      <c r="BH10" s="188"/>
      <c r="BI10" s="188"/>
      <c r="BJ10" s="188"/>
      <c r="BK10" s="228">
        <v>6</v>
      </c>
      <c r="BL10" s="228">
        <v>0.78800000000000003</v>
      </c>
      <c r="BM10" s="201" t="str">
        <f t="shared" ca="1" si="1"/>
        <v/>
      </c>
      <c r="BN10" s="70"/>
      <c r="BO10" s="70"/>
      <c r="BP10" s="70"/>
      <c r="BQ10" s="70"/>
      <c r="BR10" s="70"/>
      <c r="BS10" s="70"/>
      <c r="BT10" s="70"/>
      <c r="BU10" s="70"/>
      <c r="BV10" s="70"/>
      <c r="BW10" s="70"/>
      <c r="BX10" s="70"/>
      <c r="BY10" s="71"/>
    </row>
    <row r="11" spans="2:77" x14ac:dyDescent="0.2">
      <c r="B11" s="92">
        <v>6</v>
      </c>
      <c r="C11" s="407">
        <f t="shared" ca="1" si="0"/>
        <v>10.408394794590182</v>
      </c>
      <c r="D11" s="192"/>
      <c r="E11" s="415" t="s">
        <v>260</v>
      </c>
      <c r="F11" s="194" t="str">
        <f ca="1">IF(AB88&lt;AB89,"yes","no")</f>
        <v>yes</v>
      </c>
      <c r="G11" s="408">
        <f ca="1">(MAX(C6:C45)-MIN(C6:C45))/(2*SQRT(3))</f>
        <v>0.45344932098409596</v>
      </c>
      <c r="H11" s="192"/>
      <c r="I11" s="192"/>
      <c r="J11" s="193"/>
      <c r="K11" s="239"/>
      <c r="L11" s="188">
        <v>6</v>
      </c>
      <c r="M11" s="188"/>
      <c r="N11" s="188"/>
      <c r="O11" s="188"/>
      <c r="P11" s="188"/>
      <c r="Q11" s="188"/>
      <c r="R11" s="188"/>
      <c r="S11" s="188"/>
      <c r="T11" s="188"/>
      <c r="U11" s="188"/>
      <c r="V11" s="188"/>
      <c r="W11" s="188">
        <v>3.0300000000000001E-2</v>
      </c>
      <c r="X11" s="188">
        <v>5.3900000000000003E-2</v>
      </c>
      <c r="Y11" s="188">
        <v>7.2700000000000001E-2</v>
      </c>
      <c r="Z11" s="188">
        <v>8.7999999999999995E-2</v>
      </c>
      <c r="AA11" s="188">
        <v>0.10050000000000001</v>
      </c>
      <c r="AB11" s="188">
        <v>0.1109</v>
      </c>
      <c r="AC11" s="188">
        <v>0.1197</v>
      </c>
      <c r="AD11" s="188">
        <v>0.12709999999999999</v>
      </c>
      <c r="AE11" s="188">
        <v>0.13339999999999999</v>
      </c>
      <c r="AF11" s="188">
        <v>0.1399</v>
      </c>
      <c r="AG11" s="188">
        <v>0.14430000000000001</v>
      </c>
      <c r="AH11" s="188">
        <v>0.14799999999999999</v>
      </c>
      <c r="AI11" s="188">
        <v>0.1512</v>
      </c>
      <c r="AJ11" s="188">
        <v>0.15390000000000001</v>
      </c>
      <c r="AK11" s="188">
        <v>0.15629999999999999</v>
      </c>
      <c r="AL11" s="188">
        <v>0.15840000000000001</v>
      </c>
      <c r="AM11" s="188">
        <v>0.16009999999999999</v>
      </c>
      <c r="AN11" s="188">
        <v>0.16159999999999999</v>
      </c>
      <c r="AO11" s="188">
        <v>0.16300000000000001</v>
      </c>
      <c r="AP11" s="188">
        <v>0.1641</v>
      </c>
      <c r="AQ11" s="188">
        <v>0.1651</v>
      </c>
      <c r="AR11" s="188">
        <v>0.16600000000000001</v>
      </c>
      <c r="AS11" s="188">
        <v>0.16669999999999999</v>
      </c>
      <c r="AT11" s="188">
        <v>0.1673</v>
      </c>
      <c r="AU11" s="188">
        <v>0.1678</v>
      </c>
      <c r="AV11" s="188">
        <v>0.16830000000000001</v>
      </c>
      <c r="AW11" s="188">
        <v>0.1686</v>
      </c>
      <c r="AX11" s="188">
        <v>0.16889999999999999</v>
      </c>
      <c r="AY11" s="188">
        <v>0.1691</v>
      </c>
      <c r="AZ11" s="188"/>
      <c r="BA11" s="188"/>
      <c r="BB11" s="188"/>
      <c r="BC11" s="188"/>
      <c r="BD11" s="188"/>
      <c r="BE11" s="188"/>
      <c r="BF11" s="188"/>
      <c r="BG11" s="188"/>
      <c r="BH11" s="188"/>
      <c r="BI11" s="188"/>
      <c r="BJ11" s="188"/>
      <c r="BK11" s="228">
        <v>7</v>
      </c>
      <c r="BL11" s="228">
        <v>0.80300000000000005</v>
      </c>
      <c r="BM11" s="201" t="str">
        <f t="shared" ca="1" si="1"/>
        <v/>
      </c>
      <c r="BN11" s="70"/>
      <c r="BO11" s="70"/>
      <c r="BP11" s="70"/>
      <c r="BQ11" s="70"/>
      <c r="BR11" s="70"/>
      <c r="BS11" s="70"/>
      <c r="BT11" s="70"/>
      <c r="BU11" s="70"/>
      <c r="BV11" s="70"/>
      <c r="BW11" s="70"/>
      <c r="BX11" s="70"/>
      <c r="BY11" s="71"/>
    </row>
    <row r="12" spans="2:77" x14ac:dyDescent="0.2">
      <c r="B12" s="92">
        <v>7</v>
      </c>
      <c r="C12" s="407">
        <f t="shared" ca="1" si="0"/>
        <v>9.8124477329252571</v>
      </c>
      <c r="D12" s="192"/>
      <c r="E12" s="232" t="str">
        <f>IF(ISNUMBER(C35),IF(D85-C85&lt;=0,"",D85-C85),"")</f>
        <v/>
      </c>
      <c r="F12" s="192"/>
      <c r="G12" s="192"/>
      <c r="H12" s="192"/>
      <c r="I12" s="192"/>
      <c r="J12" s="193"/>
      <c r="K12" s="239"/>
      <c r="L12" s="188">
        <v>7</v>
      </c>
      <c r="M12" s="188"/>
      <c r="N12" s="188"/>
      <c r="O12" s="188"/>
      <c r="P12" s="188"/>
      <c r="Q12" s="188"/>
      <c r="R12" s="188"/>
      <c r="S12" s="188"/>
      <c r="T12" s="188"/>
      <c r="U12" s="188"/>
      <c r="V12" s="188"/>
      <c r="W12" s="188"/>
      <c r="X12" s="188"/>
      <c r="Y12" s="188">
        <v>2.4E-2</v>
      </c>
      <c r="Z12" s="188">
        <v>4.3299999999999998E-2</v>
      </c>
      <c r="AA12" s="188">
        <v>9.2999999999999999E-2</v>
      </c>
      <c r="AB12" s="188">
        <v>7.2499999999999995E-2</v>
      </c>
      <c r="AC12" s="188">
        <v>8.3699999999999997E-2</v>
      </c>
      <c r="AD12" s="188">
        <v>9.3200000000000005E-2</v>
      </c>
      <c r="AE12" s="188">
        <v>0.1013</v>
      </c>
      <c r="AF12" s="188">
        <v>0.10920000000000001</v>
      </c>
      <c r="AG12" s="188">
        <v>0.115</v>
      </c>
      <c r="AH12" s="188">
        <v>0.1201</v>
      </c>
      <c r="AI12" s="188">
        <v>0.1245</v>
      </c>
      <c r="AJ12" s="188">
        <v>0.1283</v>
      </c>
      <c r="AK12" s="188">
        <v>0.13159999999999999</v>
      </c>
      <c r="AL12" s="188">
        <v>0.1346</v>
      </c>
      <c r="AM12" s="188">
        <v>0.13719999999999999</v>
      </c>
      <c r="AN12" s="188">
        <v>0.13950000000000001</v>
      </c>
      <c r="AO12" s="188">
        <v>0.14149999999999999</v>
      </c>
      <c r="AP12" s="188">
        <v>0.14330000000000001</v>
      </c>
      <c r="AQ12" s="188">
        <v>0.1449</v>
      </c>
      <c r="AR12" s="188">
        <v>0.14630000000000001</v>
      </c>
      <c r="AS12" s="188">
        <v>0.14849999999999999</v>
      </c>
      <c r="AT12" s="188">
        <v>0.1487</v>
      </c>
      <c r="AU12" s="188">
        <v>0.14960000000000001</v>
      </c>
      <c r="AV12" s="188">
        <v>0.15049999999999999</v>
      </c>
      <c r="AW12" s="188">
        <v>0.15129999999999999</v>
      </c>
      <c r="AX12" s="188">
        <v>0.152</v>
      </c>
      <c r="AY12" s="188">
        <v>0.15260000000000001</v>
      </c>
      <c r="AZ12" s="188"/>
      <c r="BA12" s="188"/>
      <c r="BB12" s="188"/>
      <c r="BC12" s="188"/>
      <c r="BD12" s="188"/>
      <c r="BE12" s="188"/>
      <c r="BF12" s="188"/>
      <c r="BG12" s="188"/>
      <c r="BH12" s="188"/>
      <c r="BI12" s="188"/>
      <c r="BJ12" s="188"/>
      <c r="BK12" s="228">
        <v>8</v>
      </c>
      <c r="BL12" s="228">
        <v>0.81799999999999995</v>
      </c>
      <c r="BM12" s="201" t="str">
        <f t="shared" ca="1" si="1"/>
        <v/>
      </c>
      <c r="BN12" s="70"/>
      <c r="BO12" s="70"/>
      <c r="BP12" s="70"/>
      <c r="BQ12" s="70"/>
      <c r="BR12" s="70"/>
      <c r="BS12" s="70"/>
      <c r="BT12" s="70"/>
      <c r="BU12" s="70"/>
      <c r="BV12" s="70"/>
      <c r="BW12" s="70"/>
      <c r="BX12" s="70"/>
      <c r="BY12" s="71"/>
    </row>
    <row r="13" spans="2:77" x14ac:dyDescent="0.2">
      <c r="B13" s="92">
        <v>8</v>
      </c>
      <c r="C13" s="407">
        <f t="shared" ca="1" si="0"/>
        <v>9.6224202763760349</v>
      </c>
      <c r="D13" s="192"/>
      <c r="E13" s="428" t="s">
        <v>315</v>
      </c>
      <c r="F13" s="429"/>
      <c r="G13" s="415" t="s">
        <v>312</v>
      </c>
      <c r="H13" s="192"/>
      <c r="I13" s="192"/>
      <c r="J13" s="193"/>
      <c r="K13" s="239"/>
      <c r="L13" s="188">
        <v>8</v>
      </c>
      <c r="M13" s="188"/>
      <c r="N13" s="188"/>
      <c r="O13" s="188"/>
      <c r="P13" s="188"/>
      <c r="Q13" s="188"/>
      <c r="R13" s="188"/>
      <c r="S13" s="188"/>
      <c r="T13" s="188"/>
      <c r="U13" s="188"/>
      <c r="V13" s="188"/>
      <c r="W13" s="188"/>
      <c r="X13" s="188"/>
      <c r="Y13" s="188"/>
      <c r="Z13" s="188"/>
      <c r="AA13" s="188">
        <v>1.9599999999999999E-2</v>
      </c>
      <c r="AB13" s="188">
        <v>3.5900000000000001E-2</v>
      </c>
      <c r="AC13" s="188">
        <v>4.9599999999999998E-2</v>
      </c>
      <c r="AD13" s="188">
        <v>6.1199999999999997E-2</v>
      </c>
      <c r="AE13" s="188">
        <v>7.1099999999999997E-2</v>
      </c>
      <c r="AF13" s="188">
        <v>8.0399999999999999E-2</v>
      </c>
      <c r="AG13" s="188">
        <v>8.7800000000000003E-2</v>
      </c>
      <c r="AH13" s="188">
        <v>9.4100000000000003E-2</v>
      </c>
      <c r="AI13" s="188">
        <v>9.9699999999999997E-2</v>
      </c>
      <c r="AJ13" s="188">
        <v>0.1046</v>
      </c>
      <c r="AK13" s="188">
        <v>0.1089</v>
      </c>
      <c r="AL13" s="188">
        <v>0.1128</v>
      </c>
      <c r="AM13" s="188">
        <v>0.1162</v>
      </c>
      <c r="AN13" s="188">
        <v>0.1192</v>
      </c>
      <c r="AO13" s="188">
        <v>0.12189999999999999</v>
      </c>
      <c r="AP13" s="188">
        <v>0.12429999999999999</v>
      </c>
      <c r="AQ13" s="188">
        <v>0.1265</v>
      </c>
      <c r="AR13" s="188">
        <v>0.12839999999999999</v>
      </c>
      <c r="AS13" s="188">
        <v>0.13009999999999999</v>
      </c>
      <c r="AT13" s="188">
        <v>0.13170000000000001</v>
      </c>
      <c r="AU13" s="188">
        <v>0.1331</v>
      </c>
      <c r="AV13" s="188">
        <v>0.13439999999999999</v>
      </c>
      <c r="AW13" s="188">
        <v>0.1356</v>
      </c>
      <c r="AX13" s="188">
        <v>0.1366</v>
      </c>
      <c r="AY13" s="188">
        <v>0.1376</v>
      </c>
      <c r="AZ13" s="188"/>
      <c r="BA13" s="188"/>
      <c r="BB13" s="188"/>
      <c r="BC13" s="188"/>
      <c r="BD13" s="188"/>
      <c r="BE13" s="188"/>
      <c r="BF13" s="188"/>
      <c r="BG13" s="188"/>
      <c r="BH13" s="188"/>
      <c r="BI13" s="188"/>
      <c r="BJ13" s="188"/>
      <c r="BK13" s="228">
        <v>9</v>
      </c>
      <c r="BL13" s="228">
        <v>0.82899999999999996</v>
      </c>
      <c r="BM13" s="201" t="str">
        <f t="shared" ca="1" si="1"/>
        <v/>
      </c>
      <c r="BN13" s="70"/>
      <c r="BO13" s="70"/>
      <c r="BP13" s="70"/>
      <c r="BQ13" s="70"/>
      <c r="BR13" s="70"/>
      <c r="BS13" s="70"/>
      <c r="BT13" s="70"/>
      <c r="BU13" s="70"/>
      <c r="BV13" s="70"/>
      <c r="BW13" s="70"/>
      <c r="BX13" s="70"/>
      <c r="BY13" s="71"/>
    </row>
    <row r="14" spans="2:77" x14ac:dyDescent="0.2">
      <c r="B14" s="92">
        <v>9</v>
      </c>
      <c r="C14" s="407">
        <f t="shared" ca="1" si="0"/>
        <v>9.759076468796108</v>
      </c>
      <c r="D14" s="192"/>
      <c r="E14" s="415" t="s">
        <v>309</v>
      </c>
      <c r="F14" s="230">
        <f ca="1">AVERAGE(C6:C45)</f>
        <v>9.8865472351357138</v>
      </c>
      <c r="G14" s="194">
        <f ca="1">IF(F14&lt;Y70,W70,IF(F14&lt;Y71,W71,IF(F14&lt;Y72,W72,IF(F14&lt;Y73,W73,IF(F14&lt;Y74,W74,IF(F14&lt;Y75,W75,IF(F14&lt;Y76,W76,"")))))))</f>
        <v>3</v>
      </c>
      <c r="H14" s="192"/>
      <c r="I14" s="192"/>
      <c r="J14" s="193"/>
      <c r="K14" s="239"/>
      <c r="L14" s="188">
        <v>9</v>
      </c>
      <c r="M14" s="188"/>
      <c r="N14" s="188"/>
      <c r="O14" s="188"/>
      <c r="P14" s="188"/>
      <c r="Q14" s="188"/>
      <c r="R14" s="188"/>
      <c r="S14" s="188"/>
      <c r="T14" s="188"/>
      <c r="U14" s="188"/>
      <c r="V14" s="188"/>
      <c r="W14" s="188"/>
      <c r="X14" s="188"/>
      <c r="Y14" s="188"/>
      <c r="Z14" s="188"/>
      <c r="AA14" s="188"/>
      <c r="AB14" s="188"/>
      <c r="AC14" s="188">
        <v>1.6299999999999999E-2</v>
      </c>
      <c r="AD14" s="188">
        <v>3.0300000000000001E-2</v>
      </c>
      <c r="AE14" s="188">
        <v>4.2200000000000001E-2</v>
      </c>
      <c r="AF14" s="188">
        <v>5.2999999999999999E-2</v>
      </c>
      <c r="AG14" s="188">
        <v>6.1800000000000001E-2</v>
      </c>
      <c r="AH14" s="188">
        <v>6.9599999999999995E-2</v>
      </c>
      <c r="AI14" s="188">
        <v>7.6399999999999996E-2</v>
      </c>
      <c r="AJ14" s="188">
        <v>8.2299999999999998E-2</v>
      </c>
      <c r="AK14" s="188">
        <v>8.7599999999999997E-2</v>
      </c>
      <c r="AL14" s="188">
        <v>9.2299999999999993E-2</v>
      </c>
      <c r="AM14" s="188">
        <v>9.6500000000000002E-2</v>
      </c>
      <c r="AN14" s="188">
        <v>0.1002</v>
      </c>
      <c r="AO14" s="188">
        <v>0.1036</v>
      </c>
      <c r="AP14" s="188">
        <v>0.1066</v>
      </c>
      <c r="AQ14" s="188">
        <v>0.10929999999999999</v>
      </c>
      <c r="AR14" s="188">
        <v>0.1118</v>
      </c>
      <c r="AS14" s="188">
        <v>0.114</v>
      </c>
      <c r="AT14" s="188">
        <v>0.11600000000000001</v>
      </c>
      <c r="AU14" s="188">
        <v>0.1179</v>
      </c>
      <c r="AV14" s="188">
        <v>0.1196</v>
      </c>
      <c r="AW14" s="188">
        <v>0.1211</v>
      </c>
      <c r="AX14" s="188">
        <v>0.1225</v>
      </c>
      <c r="AY14" s="188">
        <v>0.1237</v>
      </c>
      <c r="AZ14" s="188"/>
      <c r="BA14" s="188"/>
      <c r="BB14" s="188"/>
      <c r="BC14" s="188"/>
      <c r="BD14" s="188"/>
      <c r="BE14" s="188"/>
      <c r="BF14" s="188"/>
      <c r="BG14" s="188"/>
      <c r="BH14" s="188"/>
      <c r="BI14" s="188"/>
      <c r="BJ14" s="188"/>
      <c r="BK14" s="228">
        <v>10</v>
      </c>
      <c r="BL14" s="228">
        <v>0.84199999999999997</v>
      </c>
      <c r="BM14" s="201" t="str">
        <f t="shared" ca="1" si="1"/>
        <v/>
      </c>
      <c r="BN14" s="70"/>
      <c r="BO14" s="70"/>
      <c r="BP14" s="70"/>
      <c r="BQ14" s="70"/>
      <c r="BR14" s="70"/>
      <c r="BS14" s="70"/>
      <c r="BT14" s="70"/>
      <c r="BU14" s="70"/>
      <c r="BV14" s="70"/>
      <c r="BW14" s="70"/>
      <c r="BX14" s="70"/>
      <c r="BY14" s="71"/>
    </row>
    <row r="15" spans="2:77" x14ac:dyDescent="0.2">
      <c r="B15" s="92">
        <v>10</v>
      </c>
      <c r="C15" s="407">
        <f t="shared" ca="1" si="0"/>
        <v>10.676624143801162</v>
      </c>
      <c r="D15" s="192"/>
      <c r="E15" s="415" t="s">
        <v>310</v>
      </c>
      <c r="F15" s="230">
        <f ca="1">MEDIAN(C6:C45)</f>
        <v>9.781011646941721</v>
      </c>
      <c r="G15" s="194">
        <f ca="1">IF(F15&lt;Y70,W70,IF(F15&lt;Y71,W71,IF(F15&lt;Y72,W72,IF(F15&lt;Y73,W73,IF(F15&lt;Y74,W74,IF(F15&lt;Y75,W75,W76))))))</f>
        <v>3</v>
      </c>
      <c r="H15" s="192"/>
      <c r="I15" s="192"/>
      <c r="J15" s="193"/>
      <c r="K15" s="239"/>
      <c r="L15" s="188">
        <v>10</v>
      </c>
      <c r="M15" s="188"/>
      <c r="N15" s="188"/>
      <c r="O15" s="188"/>
      <c r="P15" s="188"/>
      <c r="Q15" s="188"/>
      <c r="R15" s="188"/>
      <c r="S15" s="188"/>
      <c r="T15" s="188"/>
      <c r="U15" s="188"/>
      <c r="V15" s="188"/>
      <c r="W15" s="188"/>
      <c r="X15" s="188"/>
      <c r="Y15" s="188"/>
      <c r="Z15" s="188"/>
      <c r="AA15" s="188"/>
      <c r="AB15" s="188"/>
      <c r="AC15" s="188"/>
      <c r="AD15" s="188"/>
      <c r="AE15" s="188">
        <v>1.4E-2</v>
      </c>
      <c r="AF15" s="188">
        <v>2.63E-2</v>
      </c>
      <c r="AG15" s="188">
        <v>3.6799999999999999E-2</v>
      </c>
      <c r="AH15" s="188">
        <v>4.5900000000000003E-2</v>
      </c>
      <c r="AI15" s="188">
        <v>5.3900000000000003E-2</v>
      </c>
      <c r="AJ15" s="188">
        <v>6.0999999999999999E-2</v>
      </c>
      <c r="AK15" s="188">
        <v>6.7199999999999996E-2</v>
      </c>
      <c r="AL15" s="188">
        <v>7.2800000000000004E-2</v>
      </c>
      <c r="AM15" s="188">
        <v>7.7799999999999994E-2</v>
      </c>
      <c r="AN15" s="188">
        <v>8.2199999999999995E-2</v>
      </c>
      <c r="AO15" s="188">
        <v>8.6199999999999999E-2</v>
      </c>
      <c r="AP15" s="188">
        <v>8.9899999999999994E-2</v>
      </c>
      <c r="AQ15" s="188">
        <v>9.3100000000000002E-2</v>
      </c>
      <c r="AR15" s="188">
        <v>9.6100000000000005E-2</v>
      </c>
      <c r="AS15" s="188">
        <v>9.8799999999999999E-2</v>
      </c>
      <c r="AT15" s="188">
        <v>0.1013</v>
      </c>
      <c r="AU15" s="188">
        <v>0.1036</v>
      </c>
      <c r="AV15" s="188">
        <v>0.1056</v>
      </c>
      <c r="AW15" s="188">
        <v>0.1075</v>
      </c>
      <c r="AX15" s="188">
        <v>0.10920000000000001</v>
      </c>
      <c r="AY15" s="188">
        <v>0.1108</v>
      </c>
      <c r="AZ15" s="188"/>
      <c r="BA15" s="188"/>
      <c r="BB15" s="188"/>
      <c r="BC15" s="188"/>
      <c r="BD15" s="188"/>
      <c r="BE15" s="188"/>
      <c r="BF15" s="188"/>
      <c r="BG15" s="188"/>
      <c r="BH15" s="188"/>
      <c r="BI15" s="188"/>
      <c r="BJ15" s="188"/>
      <c r="BK15" s="228">
        <v>11</v>
      </c>
      <c r="BL15" s="228">
        <v>0.85</v>
      </c>
      <c r="BM15" s="201" t="str">
        <f t="shared" ca="1" si="1"/>
        <v/>
      </c>
      <c r="BN15" s="70"/>
      <c r="BO15" s="70"/>
      <c r="BP15" s="70"/>
      <c r="BQ15" s="70"/>
      <c r="BR15" s="70"/>
      <c r="BS15" s="70"/>
      <c r="BT15" s="70"/>
      <c r="BU15" s="70"/>
      <c r="BV15" s="70"/>
      <c r="BW15" s="70"/>
      <c r="BX15" s="70"/>
      <c r="BY15" s="71"/>
    </row>
    <row r="16" spans="2:77" x14ac:dyDescent="0.2">
      <c r="B16" s="92">
        <v>11</v>
      </c>
      <c r="C16" s="407">
        <f t="shared" ca="1" si="0"/>
        <v>9.6172462213949785</v>
      </c>
      <c r="D16" s="192"/>
      <c r="E16" s="415" t="s">
        <v>311</v>
      </c>
      <c r="F16" s="230">
        <f ca="1">IF(Z70=MAX(Z70:Z76),AB70,IF(Z71=MAX(Z70:Z76),AB71,IF(Z72=MAX(Z70:Z76),AB72,IF(Z73=MAX(Z70:Z76),AB73,IF(Z74=MAX(Z70:Z76),AB74,IF(Z75=MAX(Z70:Z76),AB75,AB76))))))</f>
        <v>9.3739950398523284</v>
      </c>
      <c r="G16" s="194">
        <f ca="1">IF(F16&lt;Y70,W70,IF(F16&lt;Y71,W71,IF(F16&lt;Y72,W72,IF(F16&lt;Y73,W73,IF(F16&lt;Y74,W74,IF(F16&lt;Y75,W75,W76))))))</f>
        <v>1</v>
      </c>
      <c r="H16" s="192"/>
      <c r="I16" s="192"/>
      <c r="J16" s="193"/>
      <c r="K16" s="239"/>
      <c r="L16" s="188">
        <v>11</v>
      </c>
      <c r="M16" s="188"/>
      <c r="N16" s="188"/>
      <c r="O16" s="188"/>
      <c r="P16" s="188"/>
      <c r="Q16" s="188"/>
      <c r="R16" s="188"/>
      <c r="S16" s="188"/>
      <c r="T16" s="188"/>
      <c r="U16" s="188"/>
      <c r="V16" s="188"/>
      <c r="W16" s="188"/>
      <c r="X16" s="188"/>
      <c r="Y16" s="188"/>
      <c r="Z16" s="188"/>
      <c r="AA16" s="188"/>
      <c r="AB16" s="188"/>
      <c r="AC16" s="188"/>
      <c r="AD16" s="188"/>
      <c r="AE16" s="188"/>
      <c r="AF16" s="188"/>
      <c r="AG16" s="188">
        <v>1.2200000000000001E-2</v>
      </c>
      <c r="AH16" s="188">
        <v>2.2800000000000001E-2</v>
      </c>
      <c r="AI16" s="188">
        <v>3.2099999999999997E-2</v>
      </c>
      <c r="AJ16" s="188">
        <v>4.0300000000000002E-2</v>
      </c>
      <c r="AK16" s="188">
        <v>4.7600000000000003E-2</v>
      </c>
      <c r="AL16" s="188">
        <v>5.3999999999999999E-2</v>
      </c>
      <c r="AM16" s="188">
        <v>5.9799999999999999E-2</v>
      </c>
      <c r="AN16" s="188">
        <v>6.5000000000000002E-2</v>
      </c>
      <c r="AO16" s="188">
        <v>6.9699999999999998E-2</v>
      </c>
      <c r="AP16" s="188">
        <v>7.3899999999999993E-2</v>
      </c>
      <c r="AQ16" s="188">
        <v>7.7700000000000005E-2</v>
      </c>
      <c r="AR16" s="188">
        <v>8.1199999999999994E-2</v>
      </c>
      <c r="AS16" s="188">
        <v>8.4400000000000003E-2</v>
      </c>
      <c r="AT16" s="188">
        <v>8.7300000000000003E-2</v>
      </c>
      <c r="AU16" s="188">
        <v>0.09</v>
      </c>
      <c r="AV16" s="188">
        <v>9.2399999999999996E-2</v>
      </c>
      <c r="AW16" s="188">
        <v>9.4700000000000006E-2</v>
      </c>
      <c r="AX16" s="188">
        <v>9.6699999999999994E-2</v>
      </c>
      <c r="AY16" s="188">
        <v>9.8599999999999993E-2</v>
      </c>
      <c r="AZ16" s="188"/>
      <c r="BA16" s="188"/>
      <c r="BB16" s="188"/>
      <c r="BC16" s="188"/>
      <c r="BD16" s="188"/>
      <c r="BE16" s="188"/>
      <c r="BF16" s="188"/>
      <c r="BG16" s="188"/>
      <c r="BH16" s="188"/>
      <c r="BI16" s="188"/>
      <c r="BJ16" s="188"/>
      <c r="BK16" s="228">
        <v>12</v>
      </c>
      <c r="BL16" s="228">
        <v>0.85899999999999999</v>
      </c>
      <c r="BM16" s="201" t="str">
        <f t="shared" ca="1" si="1"/>
        <v/>
      </c>
      <c r="BN16" s="70"/>
      <c r="BO16" s="70"/>
      <c r="BP16" s="70"/>
      <c r="BQ16" s="70"/>
      <c r="BR16" s="70"/>
      <c r="BS16" s="70"/>
      <c r="BT16" s="70"/>
      <c r="BU16" s="70"/>
      <c r="BV16" s="70"/>
      <c r="BW16" s="70"/>
      <c r="BX16" s="70"/>
      <c r="BY16" s="71"/>
    </row>
    <row r="17" spans="2:77" x14ac:dyDescent="0.2">
      <c r="B17" s="92">
        <v>12</v>
      </c>
      <c r="C17" s="407">
        <f t="shared" ca="1" si="0"/>
        <v>10.153422501644261</v>
      </c>
      <c r="D17" s="192"/>
      <c r="E17" s="192"/>
      <c r="F17" s="192"/>
      <c r="G17" s="192"/>
      <c r="H17" s="192"/>
      <c r="I17" s="192"/>
      <c r="J17" s="193"/>
      <c r="K17" s="239"/>
      <c r="L17" s="188">
        <v>12</v>
      </c>
      <c r="M17" s="188"/>
      <c r="N17" s="188"/>
      <c r="O17" s="188"/>
      <c r="P17" s="188"/>
      <c r="Q17" s="188"/>
      <c r="R17" s="188"/>
      <c r="S17" s="188"/>
      <c r="T17" s="188"/>
      <c r="U17" s="188"/>
      <c r="V17" s="188"/>
      <c r="W17" s="188"/>
      <c r="X17" s="188"/>
      <c r="Y17" s="188"/>
      <c r="Z17" s="188"/>
      <c r="AA17" s="188"/>
      <c r="AB17" s="188"/>
      <c r="AC17" s="188"/>
      <c r="AD17" s="188"/>
      <c r="AE17" s="188"/>
      <c r="AF17" s="188"/>
      <c r="AG17" s="188"/>
      <c r="AH17" s="188"/>
      <c r="AI17" s="188">
        <v>1.0699999999999999E-2</v>
      </c>
      <c r="AJ17" s="188">
        <v>0.02</v>
      </c>
      <c r="AK17" s="188">
        <v>2.8400000000000002E-2</v>
      </c>
      <c r="AL17" s="188">
        <v>3.5799999999999998E-2</v>
      </c>
      <c r="AM17" s="188">
        <v>4.24E-2</v>
      </c>
      <c r="AN17" s="188">
        <v>4.8300000000000003E-2</v>
      </c>
      <c r="AO17" s="188">
        <v>5.3699999999999998E-2</v>
      </c>
      <c r="AP17" s="188">
        <v>5.8500000000000003E-2</v>
      </c>
      <c r="AQ17" s="188">
        <v>6.2899999999999998E-2</v>
      </c>
      <c r="AR17" s="188">
        <v>6.6900000000000001E-2</v>
      </c>
      <c r="AS17" s="188">
        <v>7.0599999999999996E-2</v>
      </c>
      <c r="AT17" s="188">
        <v>7.3899999999999993E-2</v>
      </c>
      <c r="AU17" s="188">
        <v>7.6999999999999999E-2</v>
      </c>
      <c r="AV17" s="188">
        <v>7.9799999999999996E-2</v>
      </c>
      <c r="AW17" s="188">
        <v>8.2400000000000001E-2</v>
      </c>
      <c r="AX17" s="188">
        <v>8.48E-2</v>
      </c>
      <c r="AY17" s="188">
        <v>8.6999999999999994E-2</v>
      </c>
      <c r="AZ17" s="188"/>
      <c r="BA17" s="188"/>
      <c r="BB17" s="188"/>
      <c r="BC17" s="188"/>
      <c r="BD17" s="188"/>
      <c r="BE17" s="188"/>
      <c r="BF17" s="188"/>
      <c r="BG17" s="188"/>
      <c r="BH17" s="188"/>
      <c r="BI17" s="188"/>
      <c r="BJ17" s="188"/>
      <c r="BK17" s="228">
        <v>13</v>
      </c>
      <c r="BL17" s="228">
        <v>0.85599999999999998</v>
      </c>
      <c r="BM17" s="201" t="str">
        <f t="shared" ca="1" si="1"/>
        <v/>
      </c>
      <c r="BN17" s="70"/>
      <c r="BO17" s="70"/>
      <c r="BP17" s="70"/>
      <c r="BQ17" s="70"/>
      <c r="BR17" s="70"/>
      <c r="BS17" s="70"/>
      <c r="BT17" s="70"/>
      <c r="BU17" s="70"/>
      <c r="BV17" s="70"/>
      <c r="BW17" s="70"/>
      <c r="BX17" s="70"/>
      <c r="BY17" s="71"/>
    </row>
    <row r="18" spans="2:77" x14ac:dyDescent="0.2">
      <c r="B18" s="92">
        <v>13</v>
      </c>
      <c r="C18" s="407">
        <f t="shared" ca="1" si="0"/>
        <v>10.332043675001495</v>
      </c>
      <c r="D18" s="192"/>
      <c r="E18" s="425" t="s">
        <v>314</v>
      </c>
      <c r="F18" s="425"/>
      <c r="G18" s="192"/>
      <c r="H18" s="192"/>
      <c r="I18" s="192"/>
      <c r="J18" s="193"/>
      <c r="K18" s="239"/>
      <c r="L18" s="188">
        <v>13</v>
      </c>
      <c r="M18" s="188"/>
      <c r="N18" s="188"/>
      <c r="O18" s="188"/>
      <c r="P18" s="188"/>
      <c r="Q18" s="188"/>
      <c r="R18" s="188"/>
      <c r="S18" s="188"/>
      <c r="T18" s="188"/>
      <c r="U18" s="188"/>
      <c r="V18" s="188"/>
      <c r="W18" s="188"/>
      <c r="X18" s="188"/>
      <c r="Y18" s="188"/>
      <c r="Z18" s="188"/>
      <c r="AA18" s="188"/>
      <c r="AB18" s="188"/>
      <c r="AC18" s="188"/>
      <c r="AD18" s="188"/>
      <c r="AE18" s="188"/>
      <c r="AF18" s="188"/>
      <c r="AG18" s="188"/>
      <c r="AH18" s="188"/>
      <c r="AI18" s="188"/>
      <c r="AJ18" s="188"/>
      <c r="AK18" s="188">
        <v>9.4000000000000004E-3</v>
      </c>
      <c r="AL18" s="188">
        <v>1.78E-2</v>
      </c>
      <c r="AM18" s="188">
        <v>2.53E-2</v>
      </c>
      <c r="AN18" s="188">
        <v>3.2000000000000001E-2</v>
      </c>
      <c r="AO18" s="188">
        <v>3.8100000000000002E-2</v>
      </c>
      <c r="AP18" s="188">
        <v>4.3499999999999997E-2</v>
      </c>
      <c r="AQ18" s="188">
        <v>4.8500000000000001E-2</v>
      </c>
      <c r="AR18" s="188">
        <v>5.2999999999999999E-2</v>
      </c>
      <c r="AS18" s="188">
        <v>5.7200000000000001E-2</v>
      </c>
      <c r="AT18" s="188">
        <v>6.0999999999999999E-2</v>
      </c>
      <c r="AU18" s="188">
        <v>6.4500000000000002E-2</v>
      </c>
      <c r="AV18" s="188">
        <v>6.7699999999999996E-2</v>
      </c>
      <c r="AW18" s="188">
        <v>7.0599999999999996E-2</v>
      </c>
      <c r="AX18" s="188">
        <v>7.3300000000000004E-2</v>
      </c>
      <c r="AY18" s="188">
        <v>7.5899999999999995E-2</v>
      </c>
      <c r="AZ18" s="188"/>
      <c r="BA18" s="188"/>
      <c r="BB18" s="188"/>
      <c r="BC18" s="188"/>
      <c r="BD18" s="188"/>
      <c r="BE18" s="188"/>
      <c r="BF18" s="188"/>
      <c r="BG18" s="188"/>
      <c r="BH18" s="188"/>
      <c r="BI18" s="188"/>
      <c r="BJ18" s="188"/>
      <c r="BK18" s="228">
        <v>14</v>
      </c>
      <c r="BL18" s="228">
        <v>0.874</v>
      </c>
      <c r="BM18" s="201" t="str">
        <f t="shared" ca="1" si="1"/>
        <v/>
      </c>
      <c r="BN18" s="70"/>
      <c r="BO18" s="70"/>
      <c r="BP18" s="70"/>
      <c r="BQ18" s="70"/>
      <c r="BR18" s="70"/>
      <c r="BS18" s="70"/>
      <c r="BT18" s="70"/>
      <c r="BU18" s="70"/>
      <c r="BV18" s="70"/>
      <c r="BW18" s="70"/>
      <c r="BX18" s="70"/>
      <c r="BY18" s="71"/>
    </row>
    <row r="19" spans="2:77" x14ac:dyDescent="0.2">
      <c r="B19" s="92">
        <v>14</v>
      </c>
      <c r="C19" s="407">
        <f t="shared" ca="1" si="0"/>
        <v>9.5214856637710561</v>
      </c>
      <c r="D19" s="192"/>
      <c r="E19" s="415" t="s">
        <v>264</v>
      </c>
      <c r="F19" s="414">
        <f ca="1">IF(J5=12,2.285,IF(J5=13,2.331,IF(J5=14,2.409,IF(J5=15,2.409,IF(J5&lt;21,2.557,IF(J5&lt;26,2.663,IF(J5&lt;31,2.745,IF(J5&lt;36,2.811,IF(COUNT(C6:C45)=41,2.866,"")))))))))</f>
        <v>2.7450000000000001</v>
      </c>
      <c r="G19" s="192"/>
      <c r="H19" s="192"/>
      <c r="I19" s="192"/>
      <c r="J19" s="193"/>
      <c r="K19" s="239"/>
      <c r="L19" s="188">
        <v>14</v>
      </c>
      <c r="M19" s="188"/>
      <c r="N19" s="188"/>
      <c r="O19" s="188"/>
      <c r="P19" s="188"/>
      <c r="Q19" s="188"/>
      <c r="R19" s="188"/>
      <c r="S19" s="188"/>
      <c r="T19" s="188"/>
      <c r="U19" s="188"/>
      <c r="V19" s="188"/>
      <c r="W19" s="188"/>
      <c r="X19" s="188"/>
      <c r="Y19" s="188"/>
      <c r="Z19" s="188"/>
      <c r="AA19" s="188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>
        <v>8.3999999999999995E-3</v>
      </c>
      <c r="AN19" s="188">
        <v>1.5900000000000001E-2</v>
      </c>
      <c r="AO19" s="188">
        <v>2.2700000000000001E-2</v>
      </c>
      <c r="AP19" s="188">
        <v>2.8899999999999999E-2</v>
      </c>
      <c r="AQ19" s="188">
        <v>3.44E-2</v>
      </c>
      <c r="AR19" s="188">
        <v>3.95E-2</v>
      </c>
      <c r="AS19" s="188">
        <v>4.41E-2</v>
      </c>
      <c r="AT19" s="188">
        <v>4.8399999999999999E-2</v>
      </c>
      <c r="AU19" s="188">
        <v>5.2299999999999999E-2</v>
      </c>
      <c r="AV19" s="188">
        <v>5.5899999999999998E-2</v>
      </c>
      <c r="AW19" s="188">
        <v>5.9200000000000003E-2</v>
      </c>
      <c r="AX19" s="188">
        <v>6.2199999999999998E-2</v>
      </c>
      <c r="AY19" s="188">
        <v>6.5100000000000005E-2</v>
      </c>
      <c r="AZ19" s="188"/>
      <c r="BA19" s="188"/>
      <c r="BB19" s="188"/>
      <c r="BC19" s="188"/>
      <c r="BD19" s="188"/>
      <c r="BE19" s="188"/>
      <c r="BF19" s="188"/>
      <c r="BG19" s="188"/>
      <c r="BH19" s="188"/>
      <c r="BI19" s="188"/>
      <c r="BJ19" s="188"/>
      <c r="BK19" s="228">
        <v>15</v>
      </c>
      <c r="BL19" s="228">
        <v>0.88100000000000001</v>
      </c>
      <c r="BM19" s="201" t="str">
        <f t="shared" ca="1" si="1"/>
        <v/>
      </c>
      <c r="BN19" s="70"/>
      <c r="BO19" s="70"/>
      <c r="BP19" s="70"/>
      <c r="BQ19" s="70"/>
      <c r="BR19" s="70"/>
      <c r="BS19" s="70"/>
      <c r="BT19" s="70"/>
      <c r="BU19" s="70"/>
      <c r="BV19" s="70"/>
      <c r="BW19" s="70"/>
      <c r="BX19" s="70"/>
      <c r="BY19" s="71"/>
    </row>
    <row r="20" spans="2:77" x14ac:dyDescent="0.2">
      <c r="B20" s="92">
        <v>15</v>
      </c>
      <c r="C20" s="407">
        <f t="shared" ca="1" si="0"/>
        <v>9.4720913732105174</v>
      </c>
      <c r="D20" s="192"/>
      <c r="E20" s="415" t="s">
        <v>262</v>
      </c>
      <c r="F20" s="196">
        <f ca="1">(AVERAGE(C6:C45)-C56)/STDEV(C6:C45)</f>
        <v>1.3869139931080632</v>
      </c>
      <c r="G20" s="192"/>
      <c r="H20" s="192"/>
      <c r="I20" s="192"/>
      <c r="J20" s="193"/>
      <c r="K20" s="239"/>
      <c r="L20" s="188">
        <v>15</v>
      </c>
      <c r="M20" s="188"/>
      <c r="N20" s="188"/>
      <c r="O20" s="188"/>
      <c r="P20" s="188"/>
      <c r="Q20" s="188"/>
      <c r="R20" s="188"/>
      <c r="S20" s="188"/>
      <c r="T20" s="188"/>
      <c r="U20" s="188"/>
      <c r="V20" s="188"/>
      <c r="W20" s="188"/>
      <c r="X20" s="188"/>
      <c r="Y20" s="188"/>
      <c r="Z20" s="188"/>
      <c r="AA20" s="188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188">
        <v>7.6E-3</v>
      </c>
      <c r="AP20" s="188">
        <v>1.44E-2</v>
      </c>
      <c r="AQ20" s="188">
        <v>2.06E-2</v>
      </c>
      <c r="AR20" s="188">
        <v>2.6200000000000001E-2</v>
      </c>
      <c r="AS20" s="188">
        <v>3.1399999999999997E-2</v>
      </c>
      <c r="AT20" s="188">
        <v>3.61E-2</v>
      </c>
      <c r="AU20" s="188">
        <v>4.0399999999999998E-2</v>
      </c>
      <c r="AV20" s="188">
        <v>4.4400000000000002E-2</v>
      </c>
      <c r="AW20" s="188">
        <v>4.8099999999999997E-2</v>
      </c>
      <c r="AX20" s="188">
        <v>5.1499999999999997E-2</v>
      </c>
      <c r="AY20" s="188">
        <v>5.4600000000000003E-2</v>
      </c>
      <c r="AZ20" s="188"/>
      <c r="BA20" s="188"/>
      <c r="BB20" s="188"/>
      <c r="BC20" s="188"/>
      <c r="BD20" s="188"/>
      <c r="BE20" s="188"/>
      <c r="BF20" s="188"/>
      <c r="BG20" s="188"/>
      <c r="BH20" s="188"/>
      <c r="BI20" s="188"/>
      <c r="BJ20" s="188"/>
      <c r="BK20" s="228">
        <v>16</v>
      </c>
      <c r="BL20" s="228">
        <v>0.83699999999999997</v>
      </c>
      <c r="BM20" s="201" t="str">
        <f t="shared" ca="1" si="1"/>
        <v/>
      </c>
      <c r="BN20" s="70"/>
      <c r="BO20" s="70"/>
      <c r="BP20" s="70"/>
      <c r="BQ20" s="70"/>
      <c r="BR20" s="70"/>
      <c r="BS20" s="70"/>
      <c r="BT20" s="70"/>
      <c r="BU20" s="70"/>
      <c r="BV20" s="70"/>
      <c r="BW20" s="70"/>
      <c r="BX20" s="70"/>
      <c r="BY20" s="71"/>
    </row>
    <row r="21" spans="2:77" x14ac:dyDescent="0.2">
      <c r="B21" s="92">
        <v>16</v>
      </c>
      <c r="C21" s="407">
        <f t="shared" ca="1" si="0"/>
        <v>9.4245242660735347</v>
      </c>
      <c r="D21" s="192"/>
      <c r="E21" s="415" t="s">
        <v>263</v>
      </c>
      <c r="F21" s="196">
        <f ca="1">(D56-AVERAGE(C6:C45))/STDEV(C6:C45)</f>
        <v>1.9988207482701295</v>
      </c>
      <c r="G21" s="192"/>
      <c r="H21" s="192"/>
      <c r="I21" s="192"/>
      <c r="J21" s="193"/>
      <c r="K21" s="239"/>
      <c r="L21" s="188">
        <v>16</v>
      </c>
      <c r="M21" s="188"/>
      <c r="N21" s="188"/>
      <c r="O21" s="188"/>
      <c r="P21" s="188"/>
      <c r="Q21" s="188"/>
      <c r="R21" s="188"/>
      <c r="S21" s="188"/>
      <c r="T21" s="188"/>
      <c r="U21" s="188"/>
      <c r="V21" s="188"/>
      <c r="W21" s="188"/>
      <c r="X21" s="188"/>
      <c r="Y21" s="188"/>
      <c r="Z21" s="188"/>
      <c r="AA21" s="188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188"/>
      <c r="AP21" s="188"/>
      <c r="AQ21" s="188">
        <v>6.7999999999999996E-3</v>
      </c>
      <c r="AR21" s="188">
        <v>1.3100000000000001E-2</v>
      </c>
      <c r="AS21" s="188">
        <v>1.8700000000000001E-2</v>
      </c>
      <c r="AT21" s="188">
        <v>2.3900000000000001E-2</v>
      </c>
      <c r="AU21" s="188">
        <v>2.87E-2</v>
      </c>
      <c r="AV21" s="188">
        <v>3.3099999999999997E-2</v>
      </c>
      <c r="AW21" s="188">
        <v>3.7199999999999997E-2</v>
      </c>
      <c r="AX21" s="188">
        <v>4.0899999999999999E-2</v>
      </c>
      <c r="AY21" s="188">
        <v>4.4400000000000002E-2</v>
      </c>
      <c r="AZ21" s="188"/>
      <c r="BA21" s="188"/>
      <c r="BB21" s="188"/>
      <c r="BC21" s="188"/>
      <c r="BD21" s="188"/>
      <c r="BE21" s="188"/>
      <c r="BF21" s="188"/>
      <c r="BG21" s="188"/>
      <c r="BH21" s="188"/>
      <c r="BI21" s="188"/>
      <c r="BJ21" s="188"/>
      <c r="BK21" s="228">
        <v>17</v>
      </c>
      <c r="BL21" s="228">
        <v>0.89200000000000002</v>
      </c>
      <c r="BM21" s="201" t="str">
        <f t="shared" ca="1" si="1"/>
        <v/>
      </c>
      <c r="BN21" s="70"/>
      <c r="BO21" s="70"/>
      <c r="BP21" s="70"/>
      <c r="BQ21" s="70"/>
      <c r="BR21" s="70"/>
      <c r="BS21" s="70"/>
      <c r="BT21" s="70"/>
      <c r="BU21" s="70"/>
      <c r="BV21" s="70"/>
      <c r="BW21" s="70"/>
      <c r="BX21" s="70"/>
      <c r="BY21" s="71"/>
    </row>
    <row r="22" spans="2:77" x14ac:dyDescent="0.2">
      <c r="B22" s="92">
        <v>17</v>
      </c>
      <c r="C22" s="407">
        <f t="shared" ca="1" si="0"/>
        <v>10.096045651094164</v>
      </c>
      <c r="D22" s="192"/>
      <c r="E22" s="415" t="s">
        <v>136</v>
      </c>
      <c r="F22" s="194" t="str">
        <f ca="1">IF(F21&lt;F19,"OK","NOK")</f>
        <v>OK</v>
      </c>
      <c r="G22" s="192"/>
      <c r="H22" s="192"/>
      <c r="I22" s="192"/>
      <c r="J22" s="193"/>
      <c r="K22" s="239"/>
      <c r="L22" s="188">
        <v>17</v>
      </c>
      <c r="M22" s="188"/>
      <c r="N22" s="188"/>
      <c r="O22" s="188"/>
      <c r="P22" s="188"/>
      <c r="Q22" s="188"/>
      <c r="R22" s="188"/>
      <c r="S22" s="188"/>
      <c r="T22" s="188"/>
      <c r="U22" s="188"/>
      <c r="V22" s="188"/>
      <c r="W22" s="188"/>
      <c r="X22" s="188"/>
      <c r="Y22" s="188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188"/>
      <c r="AP22" s="188"/>
      <c r="AQ22" s="188"/>
      <c r="AR22" s="188"/>
      <c r="AS22" s="188">
        <v>6.1999999999999998E-3</v>
      </c>
      <c r="AT22" s="188">
        <v>1.1900000000000001E-2</v>
      </c>
      <c r="AU22" s="188">
        <v>1.72E-2</v>
      </c>
      <c r="AV22" s="188">
        <v>2.1999999999999999E-2</v>
      </c>
      <c r="AW22" s="188">
        <v>2.64E-2</v>
      </c>
      <c r="AX22" s="188">
        <v>3.0499999999999999E-2</v>
      </c>
      <c r="AY22" s="188">
        <v>3.4299999999999997E-2</v>
      </c>
      <c r="AZ22" s="188"/>
      <c r="BA22" s="188"/>
      <c r="BB22" s="188"/>
      <c r="BC22" s="188"/>
      <c r="BD22" s="188"/>
      <c r="BE22" s="188"/>
      <c r="BF22" s="188"/>
      <c r="BG22" s="188"/>
      <c r="BH22" s="188"/>
      <c r="BI22" s="188"/>
      <c r="BJ22" s="188"/>
      <c r="BK22" s="228">
        <v>18</v>
      </c>
      <c r="BL22" s="228">
        <v>0.89700000000000002</v>
      </c>
      <c r="BM22" s="201" t="str">
        <f t="shared" ca="1" si="1"/>
        <v/>
      </c>
      <c r="BN22" s="70"/>
      <c r="BO22" s="70"/>
      <c r="BP22" s="70"/>
      <c r="BQ22" s="70"/>
      <c r="BR22" s="70"/>
      <c r="BS22" s="70"/>
      <c r="BT22" s="70"/>
      <c r="BU22" s="70"/>
      <c r="BV22" s="70"/>
      <c r="BW22" s="70"/>
      <c r="BX22" s="70"/>
      <c r="BY22" s="71"/>
    </row>
    <row r="23" spans="2:77" x14ac:dyDescent="0.2">
      <c r="B23" s="92">
        <v>18</v>
      </c>
      <c r="C23" s="407">
        <f t="shared" ca="1" si="0"/>
        <v>9.2430954960853189</v>
      </c>
      <c r="D23" s="192"/>
      <c r="E23" s="192"/>
      <c r="F23" s="192"/>
      <c r="G23" s="192"/>
      <c r="H23" s="192"/>
      <c r="I23" s="192"/>
      <c r="J23" s="193"/>
      <c r="K23" s="239"/>
      <c r="L23" s="188">
        <v>18</v>
      </c>
      <c r="M23" s="188"/>
      <c r="N23" s="188"/>
      <c r="O23" s="188"/>
      <c r="P23" s="188"/>
      <c r="Q23" s="188"/>
      <c r="R23" s="188"/>
      <c r="S23" s="188"/>
      <c r="T23" s="188"/>
      <c r="U23" s="188"/>
      <c r="V23" s="188"/>
      <c r="W23" s="188"/>
      <c r="X23" s="188"/>
      <c r="Y23" s="188"/>
      <c r="Z23" s="188"/>
      <c r="AA23" s="188"/>
      <c r="AB23" s="188"/>
      <c r="AC23" s="188"/>
      <c r="AD23" s="188"/>
      <c r="AE23" s="188"/>
      <c r="AF23" s="188"/>
      <c r="AG23" s="188"/>
      <c r="AH23" s="188"/>
      <c r="AI23" s="188"/>
      <c r="AJ23" s="188"/>
      <c r="AK23" s="188"/>
      <c r="AL23" s="188"/>
      <c r="AM23" s="188"/>
      <c r="AN23" s="188"/>
      <c r="AO23" s="188"/>
      <c r="AP23" s="188"/>
      <c r="AQ23" s="188"/>
      <c r="AR23" s="188"/>
      <c r="AS23" s="188"/>
      <c r="AT23" s="188"/>
      <c r="AU23" s="188">
        <v>5.7000000000000002E-3</v>
      </c>
      <c r="AV23" s="188">
        <v>1.0999999999999999E-2</v>
      </c>
      <c r="AW23" s="188">
        <v>1.5800000000000002E-2</v>
      </c>
      <c r="AX23" s="188">
        <v>2.0299999999999999E-2</v>
      </c>
      <c r="AY23" s="188">
        <v>2.4400000000000002E-2</v>
      </c>
      <c r="AZ23" s="188"/>
      <c r="BA23" s="188"/>
      <c r="BB23" s="188"/>
      <c r="BC23" s="188"/>
      <c r="BD23" s="188"/>
      <c r="BE23" s="188"/>
      <c r="BF23" s="188"/>
      <c r="BG23" s="188"/>
      <c r="BH23" s="188"/>
      <c r="BI23" s="188"/>
      <c r="BJ23" s="188"/>
      <c r="BK23" s="228">
        <v>19</v>
      </c>
      <c r="BL23" s="228">
        <v>0.90100000000000002</v>
      </c>
      <c r="BM23" s="201" t="str">
        <f t="shared" ca="1" si="1"/>
        <v/>
      </c>
      <c r="BN23" s="70"/>
      <c r="BO23" s="70"/>
      <c r="BP23" s="70"/>
      <c r="BQ23" s="70"/>
      <c r="BR23" s="70"/>
      <c r="BS23" s="70"/>
      <c r="BT23" s="70"/>
      <c r="BU23" s="70"/>
      <c r="BV23" s="70"/>
      <c r="BW23" s="70"/>
      <c r="BX23" s="70"/>
      <c r="BY23" s="71"/>
    </row>
    <row r="24" spans="2:77" x14ac:dyDescent="0.2">
      <c r="B24" s="92">
        <v>19</v>
      </c>
      <c r="C24" s="407">
        <f t="shared" ca="1" si="0"/>
        <v>9.6647437446079927</v>
      </c>
      <c r="D24" s="192"/>
      <c r="E24" s="192"/>
      <c r="F24" s="192"/>
      <c r="G24" s="192"/>
      <c r="H24" s="192"/>
      <c r="I24" s="192"/>
      <c r="J24" s="193"/>
      <c r="K24" s="239"/>
      <c r="L24" s="188">
        <v>19</v>
      </c>
      <c r="M24" s="188"/>
      <c r="N24" s="188"/>
      <c r="O24" s="188"/>
      <c r="P24" s="188"/>
      <c r="Q24" s="188"/>
      <c r="R24" s="188"/>
      <c r="S24" s="188"/>
      <c r="T24" s="188"/>
      <c r="U24" s="188"/>
      <c r="V24" s="188"/>
      <c r="W24" s="188"/>
      <c r="X24" s="188"/>
      <c r="Y24" s="188"/>
      <c r="Z24" s="188"/>
      <c r="AA24" s="188"/>
      <c r="AB24" s="188"/>
      <c r="AC24" s="188"/>
      <c r="AD24" s="188"/>
      <c r="AE24" s="188"/>
      <c r="AF24" s="188"/>
      <c r="AG24" s="188"/>
      <c r="AH24" s="188"/>
      <c r="AI24" s="188"/>
      <c r="AJ24" s="188"/>
      <c r="AK24" s="188"/>
      <c r="AL24" s="188"/>
      <c r="AM24" s="188"/>
      <c r="AN24" s="188"/>
      <c r="AO24" s="188"/>
      <c r="AP24" s="188"/>
      <c r="AQ24" s="188"/>
      <c r="AR24" s="188"/>
      <c r="AS24" s="188"/>
      <c r="AT24" s="188"/>
      <c r="AU24" s="188"/>
      <c r="AV24" s="188"/>
      <c r="AW24" s="188">
        <v>5.3E-3</v>
      </c>
      <c r="AX24" s="188">
        <v>1.01E-2</v>
      </c>
      <c r="AY24" s="188">
        <v>1.46E-2</v>
      </c>
      <c r="AZ24" s="188"/>
      <c r="BA24" s="188"/>
      <c r="BB24" s="188"/>
      <c r="BC24" s="188"/>
      <c r="BD24" s="188"/>
      <c r="BE24" s="188"/>
      <c r="BF24" s="188"/>
      <c r="BG24" s="188"/>
      <c r="BH24" s="188"/>
      <c r="BI24" s="188"/>
      <c r="BJ24" s="188"/>
      <c r="BK24" s="228">
        <v>20</v>
      </c>
      <c r="BL24" s="228">
        <v>0.90500000000000003</v>
      </c>
      <c r="BM24" s="201" t="str">
        <f t="shared" ca="1" si="1"/>
        <v/>
      </c>
      <c r="BN24" s="70"/>
      <c r="BO24" s="70"/>
      <c r="BP24" s="70"/>
      <c r="BQ24" s="70"/>
      <c r="BR24" s="70"/>
      <c r="BS24" s="70"/>
      <c r="BT24" s="70"/>
      <c r="BU24" s="70"/>
      <c r="BV24" s="70"/>
      <c r="BW24" s="70"/>
      <c r="BX24" s="70"/>
      <c r="BY24" s="71"/>
    </row>
    <row r="25" spans="2:77" x14ac:dyDescent="0.2">
      <c r="B25" s="92">
        <v>20</v>
      </c>
      <c r="C25" s="407">
        <f t="shared" ca="1" si="0"/>
        <v>9.329933726668914</v>
      </c>
      <c r="D25" s="192"/>
      <c r="E25" s="192"/>
      <c r="F25" s="192"/>
      <c r="G25" s="192"/>
      <c r="H25" s="192"/>
      <c r="I25" s="192"/>
      <c r="J25" s="193"/>
      <c r="K25" s="239"/>
      <c r="L25" s="188">
        <v>20</v>
      </c>
      <c r="M25" s="188"/>
      <c r="N25" s="188"/>
      <c r="O25" s="188"/>
      <c r="P25" s="188"/>
      <c r="Q25" s="188"/>
      <c r="R25" s="188"/>
      <c r="S25" s="188"/>
      <c r="T25" s="188"/>
      <c r="U25" s="188"/>
      <c r="V25" s="188"/>
      <c r="W25" s="188"/>
      <c r="X25" s="188"/>
      <c r="Y25" s="188"/>
      <c r="Z25" s="188"/>
      <c r="AA25" s="188"/>
      <c r="AB25" s="188"/>
      <c r="AC25" s="188"/>
      <c r="AD25" s="188"/>
      <c r="AE25" s="188"/>
      <c r="AF25" s="188"/>
      <c r="AG25" s="188"/>
      <c r="AH25" s="188"/>
      <c r="AI25" s="188"/>
      <c r="AJ25" s="188"/>
      <c r="AK25" s="188"/>
      <c r="AL25" s="188"/>
      <c r="AM25" s="188"/>
      <c r="AN25" s="188"/>
      <c r="AO25" s="188"/>
      <c r="AP25" s="188"/>
      <c r="AQ25" s="188"/>
      <c r="AR25" s="188"/>
      <c r="AS25" s="188"/>
      <c r="AT25" s="188"/>
      <c r="AU25" s="188"/>
      <c r="AV25" s="188"/>
      <c r="AW25" s="188"/>
      <c r="AX25" s="188"/>
      <c r="AY25" s="188">
        <v>4.8999999999999998E-3</v>
      </c>
      <c r="AZ25" s="188"/>
      <c r="BA25" s="188"/>
      <c r="BB25" s="188"/>
      <c r="BC25" s="188"/>
      <c r="BD25" s="188"/>
      <c r="BE25" s="188"/>
      <c r="BF25" s="188"/>
      <c r="BG25" s="188"/>
      <c r="BH25" s="188"/>
      <c r="BI25" s="188"/>
      <c r="BJ25" s="188"/>
      <c r="BK25" s="228">
        <v>21</v>
      </c>
      <c r="BL25" s="228">
        <v>0.90800000000000003</v>
      </c>
      <c r="BM25" s="201" t="str">
        <f t="shared" ca="1" si="1"/>
        <v/>
      </c>
      <c r="BN25" s="70"/>
      <c r="BO25" s="70"/>
      <c r="BP25" s="70"/>
      <c r="BQ25" s="70"/>
      <c r="BR25" s="70"/>
      <c r="BS25" s="70"/>
      <c r="BT25" s="70"/>
      <c r="BU25" s="70"/>
      <c r="BV25" s="70"/>
      <c r="BW25" s="70"/>
      <c r="BX25" s="70"/>
      <c r="BY25" s="71"/>
    </row>
    <row r="26" spans="2:77" x14ac:dyDescent="0.2">
      <c r="B26" s="92">
        <v>21</v>
      </c>
      <c r="C26" s="407">
        <f t="shared" ca="1" si="0"/>
        <v>10.567004279282488</v>
      </c>
      <c r="D26" s="192"/>
      <c r="E26" s="192"/>
      <c r="F26" s="192"/>
      <c r="G26" s="192"/>
      <c r="H26" s="192"/>
      <c r="I26" s="192"/>
      <c r="J26" s="193"/>
      <c r="K26" s="239"/>
      <c r="L26" s="188">
        <v>21</v>
      </c>
      <c r="M26" s="188"/>
      <c r="N26" s="188"/>
      <c r="O26" s="188"/>
      <c r="P26" s="188"/>
      <c r="Q26" s="188"/>
      <c r="R26" s="188"/>
      <c r="S26" s="188"/>
      <c r="T26" s="188"/>
      <c r="U26" s="188"/>
      <c r="V26" s="188"/>
      <c r="W26" s="188"/>
      <c r="X26" s="188"/>
      <c r="Y26" s="188"/>
      <c r="Z26" s="188"/>
      <c r="AA26" s="188"/>
      <c r="AB26" s="188"/>
      <c r="AC26" s="188"/>
      <c r="AD26" s="188"/>
      <c r="AE26" s="188"/>
      <c r="AF26" s="188"/>
      <c r="AG26" s="188"/>
      <c r="AH26" s="188"/>
      <c r="AI26" s="188"/>
      <c r="AJ26" s="188"/>
      <c r="AK26" s="188"/>
      <c r="AL26" s="188"/>
      <c r="AM26" s="188"/>
      <c r="AN26" s="188"/>
      <c r="AO26" s="188"/>
      <c r="AP26" s="188"/>
      <c r="AQ26" s="188"/>
      <c r="AR26" s="188"/>
      <c r="AS26" s="188"/>
      <c r="AT26" s="188"/>
      <c r="AU26" s="188"/>
      <c r="AV26" s="188"/>
      <c r="AW26" s="188"/>
      <c r="AX26" s="188"/>
      <c r="AY26" s="188"/>
      <c r="AZ26" s="188"/>
      <c r="BA26" s="188"/>
      <c r="BB26" s="188"/>
      <c r="BC26" s="188"/>
      <c r="BD26" s="188"/>
      <c r="BE26" s="188"/>
      <c r="BF26" s="188"/>
      <c r="BG26" s="188"/>
      <c r="BH26" s="188"/>
      <c r="BI26" s="188"/>
      <c r="BJ26" s="188"/>
      <c r="BK26" s="228">
        <v>22</v>
      </c>
      <c r="BL26" s="228">
        <v>0.91100000000000003</v>
      </c>
      <c r="BM26" s="201" t="str">
        <f t="shared" ca="1" si="1"/>
        <v/>
      </c>
      <c r="BN26" s="70"/>
      <c r="BO26" s="70"/>
      <c r="BP26" s="70"/>
      <c r="BQ26" s="70"/>
      <c r="BR26" s="70"/>
      <c r="BS26" s="70"/>
      <c r="BT26" s="70"/>
      <c r="BU26" s="70"/>
      <c r="BV26" s="70"/>
      <c r="BW26" s="70"/>
      <c r="BX26" s="70"/>
      <c r="BY26" s="71"/>
    </row>
    <row r="27" spans="2:77" x14ac:dyDescent="0.2">
      <c r="B27" s="92">
        <v>22</v>
      </c>
      <c r="C27" s="407">
        <f t="shared" ca="1" si="0"/>
        <v>10.813890021289444</v>
      </c>
      <c r="D27" s="192"/>
      <c r="E27" s="192"/>
      <c r="F27" s="192"/>
      <c r="G27" s="192"/>
      <c r="H27" s="192"/>
      <c r="I27" s="192"/>
      <c r="J27" s="193"/>
      <c r="K27" s="239"/>
      <c r="L27" s="188">
        <v>22</v>
      </c>
      <c r="M27" s="188"/>
      <c r="N27" s="188"/>
      <c r="O27" s="188"/>
      <c r="P27" s="188"/>
      <c r="Q27" s="188"/>
      <c r="R27" s="188"/>
      <c r="S27" s="188"/>
      <c r="T27" s="188"/>
      <c r="U27" s="188"/>
      <c r="V27" s="188"/>
      <c r="W27" s="188"/>
      <c r="X27" s="188"/>
      <c r="Y27" s="188"/>
      <c r="Z27" s="188"/>
      <c r="AA27" s="188"/>
      <c r="AB27" s="188"/>
      <c r="AC27" s="188"/>
      <c r="AD27" s="188"/>
      <c r="AE27" s="188"/>
      <c r="AF27" s="188"/>
      <c r="AG27" s="188"/>
      <c r="AH27" s="188"/>
      <c r="AI27" s="188"/>
      <c r="AJ27" s="188"/>
      <c r="AK27" s="188"/>
      <c r="AL27" s="188"/>
      <c r="AM27" s="188"/>
      <c r="AN27" s="188"/>
      <c r="AO27" s="188"/>
      <c r="AP27" s="188"/>
      <c r="AQ27" s="188"/>
      <c r="AR27" s="188"/>
      <c r="AS27" s="188"/>
      <c r="AT27" s="188"/>
      <c r="AU27" s="188"/>
      <c r="AV27" s="188"/>
      <c r="AW27" s="188"/>
      <c r="AX27" s="188"/>
      <c r="AY27" s="188"/>
      <c r="AZ27" s="188"/>
      <c r="BA27" s="188"/>
      <c r="BB27" s="188"/>
      <c r="BC27" s="188"/>
      <c r="BD27" s="188"/>
      <c r="BE27" s="188"/>
      <c r="BF27" s="188"/>
      <c r="BG27" s="188"/>
      <c r="BH27" s="188"/>
      <c r="BI27" s="188"/>
      <c r="BJ27" s="188"/>
      <c r="BK27" s="228">
        <v>23</v>
      </c>
      <c r="BL27" s="228">
        <v>0.91400000000000003</v>
      </c>
      <c r="BM27" s="201" t="str">
        <f t="shared" ca="1" si="1"/>
        <v/>
      </c>
      <c r="BN27" s="70"/>
      <c r="BO27" s="70"/>
      <c r="BP27" s="70"/>
      <c r="BQ27" s="70"/>
      <c r="BR27" s="70"/>
      <c r="BS27" s="70"/>
      <c r="BT27" s="70"/>
      <c r="BU27" s="70"/>
      <c r="BV27" s="70"/>
      <c r="BW27" s="70"/>
      <c r="BX27" s="70"/>
      <c r="BY27" s="71"/>
    </row>
    <row r="28" spans="2:77" x14ac:dyDescent="0.2">
      <c r="B28" s="92">
        <v>23</v>
      </c>
      <c r="C28" s="407">
        <f t="shared" ca="1" si="0"/>
        <v>9.4486708710314176</v>
      </c>
      <c r="D28" s="192"/>
      <c r="E28" s="192"/>
      <c r="F28" s="192"/>
      <c r="G28" s="192"/>
      <c r="H28" s="192"/>
      <c r="I28" s="192"/>
      <c r="J28" s="193"/>
      <c r="K28" s="239"/>
      <c r="L28" s="188">
        <v>23</v>
      </c>
      <c r="M28" s="188"/>
      <c r="N28" s="188"/>
      <c r="O28" s="188"/>
      <c r="P28" s="188"/>
      <c r="Q28" s="188"/>
      <c r="R28" s="188"/>
      <c r="S28" s="188"/>
      <c r="T28" s="188"/>
      <c r="U28" s="188"/>
      <c r="V28" s="188"/>
      <c r="W28" s="188"/>
      <c r="X28" s="188"/>
      <c r="Y28" s="188"/>
      <c r="Z28" s="188"/>
      <c r="AA28" s="188"/>
      <c r="AB28" s="188"/>
      <c r="AC28" s="188"/>
      <c r="AD28" s="188"/>
      <c r="AE28" s="188"/>
      <c r="AF28" s="188"/>
      <c r="AG28" s="188"/>
      <c r="AH28" s="188"/>
      <c r="AI28" s="188"/>
      <c r="AJ28" s="188"/>
      <c r="AK28" s="188"/>
      <c r="AL28" s="188"/>
      <c r="AM28" s="188"/>
      <c r="AN28" s="188"/>
      <c r="AO28" s="188"/>
      <c r="AP28" s="188"/>
      <c r="AQ28" s="188"/>
      <c r="AR28" s="188"/>
      <c r="AS28" s="188"/>
      <c r="AT28" s="188"/>
      <c r="AU28" s="188"/>
      <c r="AV28" s="188"/>
      <c r="AW28" s="188"/>
      <c r="AX28" s="188"/>
      <c r="AY28" s="188"/>
      <c r="AZ28" s="188"/>
      <c r="BA28" s="188"/>
      <c r="BB28" s="188"/>
      <c r="BC28" s="188"/>
      <c r="BD28" s="188"/>
      <c r="BE28" s="188"/>
      <c r="BF28" s="188"/>
      <c r="BG28" s="188"/>
      <c r="BH28" s="188"/>
      <c r="BI28" s="188"/>
      <c r="BJ28" s="188"/>
      <c r="BK28" s="228">
        <v>24</v>
      </c>
      <c r="BL28" s="228">
        <v>0.91600000000000004</v>
      </c>
      <c r="BM28" s="201" t="str">
        <f t="shared" ca="1" si="1"/>
        <v/>
      </c>
      <c r="BN28" s="70"/>
      <c r="BO28" s="70"/>
      <c r="BP28" s="70"/>
      <c r="BQ28" s="70"/>
      <c r="BR28" s="70"/>
      <c r="BS28" s="70"/>
      <c r="BT28" s="70"/>
      <c r="BU28" s="70"/>
      <c r="BV28" s="70"/>
      <c r="BW28" s="70"/>
      <c r="BX28" s="70"/>
      <c r="BY28" s="71"/>
    </row>
    <row r="29" spans="2:77" x14ac:dyDescent="0.2">
      <c r="B29" s="92">
        <v>24</v>
      </c>
      <c r="C29" s="407">
        <f t="shared" ca="1" si="0"/>
        <v>10.082109305630071</v>
      </c>
      <c r="D29" s="192"/>
      <c r="E29" s="192"/>
      <c r="F29" s="192"/>
      <c r="G29" s="192"/>
      <c r="H29" s="192"/>
      <c r="I29" s="192"/>
      <c r="J29" s="193"/>
      <c r="K29" s="239"/>
      <c r="L29" s="188">
        <v>24</v>
      </c>
      <c r="M29" s="188"/>
      <c r="N29" s="188"/>
      <c r="O29" s="188"/>
      <c r="P29" s="188"/>
      <c r="Q29" s="188"/>
      <c r="R29" s="188"/>
      <c r="S29" s="188"/>
      <c r="T29" s="188"/>
      <c r="U29" s="188"/>
      <c r="V29" s="188"/>
      <c r="W29" s="188"/>
      <c r="X29" s="188"/>
      <c r="Y29" s="188"/>
      <c r="Z29" s="188"/>
      <c r="AA29" s="188"/>
      <c r="AB29" s="188"/>
      <c r="AC29" s="188"/>
      <c r="AD29" s="188"/>
      <c r="AE29" s="188"/>
      <c r="AF29" s="188"/>
      <c r="AG29" s="188"/>
      <c r="AH29" s="188"/>
      <c r="AI29" s="188"/>
      <c r="AJ29" s="188"/>
      <c r="AK29" s="188"/>
      <c r="AL29" s="188"/>
      <c r="AM29" s="188"/>
      <c r="AN29" s="188"/>
      <c r="AO29" s="188"/>
      <c r="AP29" s="188"/>
      <c r="AQ29" s="188"/>
      <c r="AR29" s="188"/>
      <c r="AS29" s="188"/>
      <c r="AT29" s="188"/>
      <c r="AU29" s="188"/>
      <c r="AV29" s="188"/>
      <c r="AW29" s="188"/>
      <c r="AX29" s="188"/>
      <c r="AY29" s="188"/>
      <c r="AZ29" s="188"/>
      <c r="BA29" s="188"/>
      <c r="BB29" s="188"/>
      <c r="BC29" s="188"/>
      <c r="BD29" s="188"/>
      <c r="BE29" s="188"/>
      <c r="BF29" s="188"/>
      <c r="BG29" s="188"/>
      <c r="BH29" s="188"/>
      <c r="BI29" s="188"/>
      <c r="BJ29" s="188"/>
      <c r="BK29" s="228">
        <v>25</v>
      </c>
      <c r="BL29" s="228">
        <v>0.91800000000000004</v>
      </c>
      <c r="BM29" s="201" t="str">
        <f t="shared" ca="1" si="1"/>
        <v/>
      </c>
      <c r="BN29" s="70"/>
      <c r="BO29" s="70"/>
      <c r="BP29" s="70"/>
      <c r="BQ29" s="70"/>
      <c r="BR29" s="70"/>
      <c r="BS29" s="70"/>
      <c r="BT29" s="70"/>
      <c r="BU29" s="70"/>
      <c r="BV29" s="70"/>
      <c r="BW29" s="70"/>
      <c r="BX29" s="70"/>
      <c r="BY29" s="71"/>
    </row>
    <row r="30" spans="2:77" x14ac:dyDescent="0.2">
      <c r="B30" s="92">
        <v>25</v>
      </c>
      <c r="C30" s="407">
        <f t="shared" ca="1" si="0"/>
        <v>9.3160772716545104</v>
      </c>
      <c r="D30" s="192"/>
      <c r="E30" s="192"/>
      <c r="F30" s="192"/>
      <c r="G30" s="192"/>
      <c r="H30" s="192"/>
      <c r="I30" s="192"/>
      <c r="J30" s="193"/>
      <c r="K30" s="239"/>
      <c r="L30" s="188">
        <v>25</v>
      </c>
      <c r="M30" s="188"/>
      <c r="N30" s="188"/>
      <c r="O30" s="188"/>
      <c r="P30" s="188"/>
      <c r="Q30" s="188"/>
      <c r="R30" s="188"/>
      <c r="S30" s="188"/>
      <c r="T30" s="188"/>
      <c r="U30" s="188"/>
      <c r="V30" s="188"/>
      <c r="W30" s="188"/>
      <c r="X30" s="188"/>
      <c r="Y30" s="188"/>
      <c r="Z30" s="188"/>
      <c r="AA30" s="188"/>
      <c r="AB30" s="188"/>
      <c r="AC30" s="188"/>
      <c r="AD30" s="188"/>
      <c r="AE30" s="188"/>
      <c r="AF30" s="188"/>
      <c r="AG30" s="188"/>
      <c r="AH30" s="188"/>
      <c r="AI30" s="188"/>
      <c r="AJ30" s="188"/>
      <c r="AK30" s="188"/>
      <c r="AL30" s="188"/>
      <c r="AM30" s="188"/>
      <c r="AN30" s="188"/>
      <c r="AO30" s="188"/>
      <c r="AP30" s="188"/>
      <c r="AQ30" s="188"/>
      <c r="AR30" s="188"/>
      <c r="AS30" s="188"/>
      <c r="AT30" s="188"/>
      <c r="AU30" s="188"/>
      <c r="AV30" s="188"/>
      <c r="AW30" s="188"/>
      <c r="AX30" s="188"/>
      <c r="AY30" s="188"/>
      <c r="AZ30" s="188"/>
      <c r="BA30" s="188"/>
      <c r="BB30" s="188"/>
      <c r="BC30" s="188"/>
      <c r="BD30" s="188"/>
      <c r="BE30" s="188"/>
      <c r="BF30" s="188"/>
      <c r="BG30" s="188"/>
      <c r="BH30" s="188"/>
      <c r="BI30" s="188"/>
      <c r="BJ30" s="188"/>
      <c r="BK30" s="228">
        <v>26</v>
      </c>
      <c r="BL30" s="228">
        <v>0.92</v>
      </c>
      <c r="BM30" s="201" t="str">
        <f t="shared" ca="1" si="1"/>
        <v/>
      </c>
      <c r="BN30" s="70"/>
      <c r="BO30" s="70"/>
      <c r="BP30" s="70"/>
      <c r="BQ30" s="70"/>
      <c r="BR30" s="70"/>
      <c r="BS30" s="70"/>
      <c r="BT30" s="70"/>
      <c r="BU30" s="70"/>
      <c r="BV30" s="70"/>
      <c r="BW30" s="70"/>
      <c r="BX30" s="70"/>
      <c r="BY30" s="71"/>
    </row>
    <row r="31" spans="2:77" x14ac:dyDescent="0.2">
      <c r="B31" s="92">
        <v>26</v>
      </c>
      <c r="C31" s="407">
        <f t="shared" ca="1" si="0"/>
        <v>9.5269740513495229</v>
      </c>
      <c r="D31" s="192"/>
      <c r="E31" s="192"/>
      <c r="F31" s="192"/>
      <c r="G31" s="192"/>
      <c r="H31" s="192"/>
      <c r="I31" s="192"/>
      <c r="J31" s="193"/>
      <c r="K31" s="239"/>
      <c r="L31" s="188"/>
      <c r="M31" s="188"/>
      <c r="N31" s="188"/>
      <c r="O31" s="188"/>
      <c r="P31" s="188"/>
      <c r="Q31" s="188"/>
      <c r="R31" s="188"/>
      <c r="S31" s="188"/>
      <c r="T31" s="188"/>
      <c r="U31" s="188"/>
      <c r="V31" s="188"/>
      <c r="W31" s="188"/>
      <c r="X31" s="188"/>
      <c r="Y31" s="188"/>
      <c r="Z31" s="188"/>
      <c r="AA31" s="188"/>
      <c r="AB31" s="188"/>
      <c r="AC31" s="188"/>
      <c r="AD31" s="188"/>
      <c r="AE31" s="188"/>
      <c r="AF31" s="188"/>
      <c r="AG31" s="188"/>
      <c r="AH31" s="188"/>
      <c r="AI31" s="188"/>
      <c r="AJ31" s="188"/>
      <c r="AK31" s="188"/>
      <c r="AL31" s="188"/>
      <c r="AM31" s="188"/>
      <c r="AN31" s="188"/>
      <c r="AO31" s="188"/>
      <c r="AP31" s="188"/>
      <c r="AQ31" s="188"/>
      <c r="AR31" s="188"/>
      <c r="AS31" s="188"/>
      <c r="AT31" s="188"/>
      <c r="AU31" s="188"/>
      <c r="AV31" s="188"/>
      <c r="AW31" s="188"/>
      <c r="AX31" s="188"/>
      <c r="AY31" s="188"/>
      <c r="AZ31" s="188"/>
      <c r="BA31" s="188"/>
      <c r="BB31" s="188"/>
      <c r="BC31" s="188"/>
      <c r="BD31" s="188"/>
      <c r="BE31" s="188"/>
      <c r="BF31" s="188"/>
      <c r="BG31" s="188"/>
      <c r="BH31" s="188"/>
      <c r="BI31" s="188"/>
      <c r="BJ31" s="188"/>
      <c r="BK31" s="228">
        <v>27</v>
      </c>
      <c r="BL31" s="228">
        <v>0.92300000000000004</v>
      </c>
      <c r="BM31" s="201" t="str">
        <f t="shared" ca="1" si="1"/>
        <v/>
      </c>
      <c r="BN31" s="70"/>
      <c r="BO31" s="70"/>
      <c r="BP31" s="70"/>
      <c r="BQ31" s="70"/>
      <c r="BR31" s="70"/>
      <c r="BS31" s="70"/>
      <c r="BT31" s="70"/>
      <c r="BU31" s="70"/>
      <c r="BV31" s="70"/>
      <c r="BW31" s="70"/>
      <c r="BX31" s="70"/>
      <c r="BY31" s="71"/>
    </row>
    <row r="32" spans="2:77" x14ac:dyDescent="0.2">
      <c r="B32" s="92">
        <v>27</v>
      </c>
      <c r="C32" s="407">
        <f t="shared" ca="1" si="0"/>
        <v>9.7212469861235586</v>
      </c>
      <c r="D32" s="192"/>
      <c r="E32" s="192"/>
      <c r="F32" s="192"/>
      <c r="G32" s="192"/>
      <c r="H32" s="192"/>
      <c r="I32" s="192"/>
      <c r="J32" s="193"/>
      <c r="K32" s="239"/>
      <c r="L32" s="188"/>
      <c r="M32" s="188" t="s">
        <v>59</v>
      </c>
      <c r="N32" s="188"/>
      <c r="O32" s="188"/>
      <c r="P32" s="188"/>
      <c r="Q32" s="188"/>
      <c r="R32" s="188"/>
      <c r="S32" s="188"/>
      <c r="T32" s="188"/>
      <c r="U32" s="188"/>
      <c r="V32" s="188"/>
      <c r="W32" s="188"/>
      <c r="X32" s="188"/>
      <c r="Y32" s="188"/>
      <c r="Z32" s="188"/>
      <c r="AA32" s="188"/>
      <c r="AB32" s="188"/>
      <c r="AC32" s="188"/>
      <c r="AD32" s="188"/>
      <c r="AE32" s="188"/>
      <c r="AF32" s="188"/>
      <c r="AG32" s="188"/>
      <c r="AH32" s="188"/>
      <c r="AI32" s="188"/>
      <c r="AJ32" s="188"/>
      <c r="AK32" s="188"/>
      <c r="AL32" s="188"/>
      <c r="AM32" s="188"/>
      <c r="AN32" s="188"/>
      <c r="AO32" s="188"/>
      <c r="AP32" s="188"/>
      <c r="AQ32" s="188"/>
      <c r="AR32" s="188"/>
      <c r="AS32" s="188"/>
      <c r="AT32" s="188"/>
      <c r="AU32" s="188"/>
      <c r="AV32" s="188"/>
      <c r="AW32" s="188"/>
      <c r="AX32" s="188"/>
      <c r="AY32" s="188"/>
      <c r="AZ32" s="188"/>
      <c r="BA32" s="188"/>
      <c r="BB32" s="188"/>
      <c r="BC32" s="188"/>
      <c r="BD32" s="188"/>
      <c r="BE32" s="188"/>
      <c r="BF32" s="188"/>
      <c r="BG32" s="188"/>
      <c r="BH32" s="188"/>
      <c r="BI32" s="188"/>
      <c r="BJ32" s="188"/>
      <c r="BK32" s="228">
        <v>28</v>
      </c>
      <c r="BL32" s="228">
        <v>0.92400000000000004</v>
      </c>
      <c r="BM32" s="201">
        <f t="shared" ca="1" si="1"/>
        <v>0.92400000000000004</v>
      </c>
      <c r="BN32" s="70"/>
      <c r="BO32" s="70"/>
      <c r="BP32" s="70"/>
      <c r="BQ32" s="70"/>
      <c r="BR32" s="70"/>
      <c r="BS32" s="70"/>
      <c r="BT32" s="70"/>
      <c r="BU32" s="70"/>
      <c r="BV32" s="70"/>
      <c r="BW32" s="70"/>
      <c r="BX32" s="70"/>
      <c r="BY32" s="71"/>
    </row>
    <row r="33" spans="2:77" x14ac:dyDescent="0.2">
      <c r="B33" s="92">
        <v>28</v>
      </c>
      <c r="C33" s="407">
        <f t="shared" ca="1" si="0"/>
        <v>9.3297611762664268</v>
      </c>
      <c r="D33" s="192"/>
      <c r="E33" s="192"/>
      <c r="F33" s="192"/>
      <c r="G33" s="192"/>
      <c r="H33" s="192"/>
      <c r="I33" s="192"/>
      <c r="J33" s="193"/>
      <c r="K33" s="239"/>
      <c r="L33" s="188" t="s">
        <v>49</v>
      </c>
      <c r="M33" s="188">
        <v>2</v>
      </c>
      <c r="N33" s="188">
        <v>3</v>
      </c>
      <c r="O33" s="188">
        <v>4</v>
      </c>
      <c r="P33" s="188">
        <v>5</v>
      </c>
      <c r="Q33" s="188">
        <v>6</v>
      </c>
      <c r="R33" s="188">
        <v>7</v>
      </c>
      <c r="S33" s="188">
        <v>8</v>
      </c>
      <c r="T33" s="188">
        <v>9</v>
      </c>
      <c r="U33" s="188">
        <v>10</v>
      </c>
      <c r="V33" s="188">
        <v>11</v>
      </c>
      <c r="W33" s="188">
        <v>12</v>
      </c>
      <c r="X33" s="188">
        <v>13</v>
      </c>
      <c r="Y33" s="188">
        <v>14</v>
      </c>
      <c r="Z33" s="188">
        <v>15</v>
      </c>
      <c r="AA33" s="188">
        <v>16</v>
      </c>
      <c r="AB33" s="188">
        <v>17</v>
      </c>
      <c r="AC33" s="188">
        <v>18</v>
      </c>
      <c r="AD33" s="188">
        <v>19</v>
      </c>
      <c r="AE33" s="188">
        <v>20</v>
      </c>
      <c r="AF33" s="188">
        <v>21</v>
      </c>
      <c r="AG33" s="188">
        <v>22</v>
      </c>
      <c r="AH33" s="188">
        <v>23</v>
      </c>
      <c r="AI33" s="188">
        <v>24</v>
      </c>
      <c r="AJ33" s="188">
        <v>25</v>
      </c>
      <c r="AK33" s="188">
        <v>26</v>
      </c>
      <c r="AL33" s="188">
        <v>27</v>
      </c>
      <c r="AM33" s="188">
        <v>28</v>
      </c>
      <c r="AN33" s="188">
        <v>29</v>
      </c>
      <c r="AO33" s="188">
        <v>30</v>
      </c>
      <c r="AP33" s="188">
        <v>31</v>
      </c>
      <c r="AQ33" s="188">
        <v>32</v>
      </c>
      <c r="AR33" s="188">
        <v>33</v>
      </c>
      <c r="AS33" s="188">
        <v>34</v>
      </c>
      <c r="AT33" s="188">
        <v>35</v>
      </c>
      <c r="AU33" s="188">
        <v>36</v>
      </c>
      <c r="AV33" s="188">
        <v>37</v>
      </c>
      <c r="AW33" s="188">
        <v>38</v>
      </c>
      <c r="AX33" s="188">
        <v>39</v>
      </c>
      <c r="AY33" s="188">
        <v>40</v>
      </c>
      <c r="AZ33" s="413" t="s">
        <v>163</v>
      </c>
      <c r="BA33" s="188"/>
      <c r="BB33" s="188"/>
      <c r="BC33" s="188"/>
      <c r="BD33" s="188"/>
      <c r="BE33" s="188"/>
      <c r="BF33" s="188"/>
      <c r="BG33" s="188"/>
      <c r="BH33" s="188"/>
      <c r="BI33" s="188"/>
      <c r="BJ33" s="188"/>
      <c r="BK33" s="228">
        <v>29</v>
      </c>
      <c r="BL33" s="228">
        <v>0.92600000000000005</v>
      </c>
      <c r="BM33" s="201" t="str">
        <f t="shared" ca="1" si="1"/>
        <v/>
      </c>
      <c r="BN33" s="70"/>
      <c r="BO33" s="70"/>
      <c r="BP33" s="70"/>
      <c r="BQ33" s="70"/>
      <c r="BR33" s="70"/>
      <c r="BS33" s="70"/>
      <c r="BT33" s="70"/>
      <c r="BU33" s="70"/>
      <c r="BV33" s="70"/>
      <c r="BW33" s="70"/>
      <c r="BX33" s="70"/>
      <c r="BY33" s="71"/>
    </row>
    <row r="34" spans="2:77" x14ac:dyDescent="0.2">
      <c r="B34" s="92">
        <v>29</v>
      </c>
      <c r="C34" s="107"/>
      <c r="D34" s="192"/>
      <c r="E34" s="192"/>
      <c r="F34" s="192"/>
      <c r="G34" s="192"/>
      <c r="H34" s="192"/>
      <c r="I34" s="192"/>
      <c r="J34" s="193"/>
      <c r="K34" s="239"/>
      <c r="L34" s="188">
        <v>1</v>
      </c>
      <c r="M34" s="188" t="str">
        <f t="shared" ref="M34:AY34" ca="1" si="2">IF(M$33=$J$5,M6,"")</f>
        <v/>
      </c>
      <c r="N34" s="188" t="str">
        <f t="shared" ca="1" si="2"/>
        <v/>
      </c>
      <c r="O34" s="188" t="str">
        <f t="shared" ca="1" si="2"/>
        <v/>
      </c>
      <c r="P34" s="188" t="str">
        <f t="shared" ca="1" si="2"/>
        <v/>
      </c>
      <c r="Q34" s="188" t="str">
        <f t="shared" ca="1" si="2"/>
        <v/>
      </c>
      <c r="R34" s="188" t="str">
        <f t="shared" ca="1" si="2"/>
        <v/>
      </c>
      <c r="S34" s="188" t="str">
        <f t="shared" ca="1" si="2"/>
        <v/>
      </c>
      <c r="T34" s="188" t="str">
        <f t="shared" ca="1" si="2"/>
        <v/>
      </c>
      <c r="U34" s="188" t="str">
        <f t="shared" ca="1" si="2"/>
        <v/>
      </c>
      <c r="V34" s="188" t="str">
        <f t="shared" ca="1" si="2"/>
        <v/>
      </c>
      <c r="W34" s="188" t="str">
        <f t="shared" ca="1" si="2"/>
        <v/>
      </c>
      <c r="X34" s="188" t="str">
        <f t="shared" ca="1" si="2"/>
        <v/>
      </c>
      <c r="Y34" s="188" t="str">
        <f t="shared" ca="1" si="2"/>
        <v/>
      </c>
      <c r="Z34" s="188" t="str">
        <f t="shared" ca="1" si="2"/>
        <v/>
      </c>
      <c r="AA34" s="188" t="str">
        <f t="shared" ca="1" si="2"/>
        <v/>
      </c>
      <c r="AB34" s="188" t="str">
        <f t="shared" ca="1" si="2"/>
        <v/>
      </c>
      <c r="AC34" s="188" t="str">
        <f t="shared" ca="1" si="2"/>
        <v/>
      </c>
      <c r="AD34" s="188" t="str">
        <f t="shared" ca="1" si="2"/>
        <v/>
      </c>
      <c r="AE34" s="188" t="str">
        <f t="shared" ca="1" si="2"/>
        <v/>
      </c>
      <c r="AF34" s="188" t="str">
        <f t="shared" ca="1" si="2"/>
        <v/>
      </c>
      <c r="AG34" s="188" t="str">
        <f t="shared" ca="1" si="2"/>
        <v/>
      </c>
      <c r="AH34" s="188" t="str">
        <f t="shared" ca="1" si="2"/>
        <v/>
      </c>
      <c r="AI34" s="188" t="str">
        <f t="shared" ca="1" si="2"/>
        <v/>
      </c>
      <c r="AJ34" s="188" t="str">
        <f t="shared" ca="1" si="2"/>
        <v/>
      </c>
      <c r="AK34" s="188" t="str">
        <f t="shared" ca="1" si="2"/>
        <v/>
      </c>
      <c r="AL34" s="188" t="str">
        <f t="shared" ca="1" si="2"/>
        <v/>
      </c>
      <c r="AM34" s="188">
        <f t="shared" ca="1" si="2"/>
        <v>0.43280000000000002</v>
      </c>
      <c r="AN34" s="188" t="str">
        <f t="shared" ca="1" si="2"/>
        <v/>
      </c>
      <c r="AO34" s="188" t="str">
        <f t="shared" ca="1" si="2"/>
        <v/>
      </c>
      <c r="AP34" s="188" t="str">
        <f t="shared" ca="1" si="2"/>
        <v/>
      </c>
      <c r="AQ34" s="188" t="str">
        <f t="shared" ca="1" si="2"/>
        <v/>
      </c>
      <c r="AR34" s="188" t="str">
        <f t="shared" ca="1" si="2"/>
        <v/>
      </c>
      <c r="AS34" s="188" t="str">
        <f t="shared" ca="1" si="2"/>
        <v/>
      </c>
      <c r="AT34" s="188" t="str">
        <f t="shared" ca="1" si="2"/>
        <v/>
      </c>
      <c r="AU34" s="188" t="str">
        <f t="shared" ca="1" si="2"/>
        <v/>
      </c>
      <c r="AV34" s="188" t="str">
        <f t="shared" ca="1" si="2"/>
        <v/>
      </c>
      <c r="AW34" s="188" t="str">
        <f t="shared" ca="1" si="2"/>
        <v/>
      </c>
      <c r="AX34" s="188" t="str">
        <f t="shared" ca="1" si="2"/>
        <v/>
      </c>
      <c r="AY34" s="188" t="str">
        <f t="shared" ca="1" si="2"/>
        <v/>
      </c>
      <c r="AZ34" s="189">
        <f ca="1">SUM(M34:AY34)</f>
        <v>0.43280000000000002</v>
      </c>
      <c r="BA34" s="188"/>
      <c r="BB34" s="188"/>
      <c r="BC34" s="188"/>
      <c r="BD34" s="188"/>
      <c r="BE34" s="188"/>
      <c r="BF34" s="188"/>
      <c r="BG34" s="188"/>
      <c r="BH34" s="188"/>
      <c r="BI34" s="188"/>
      <c r="BJ34" s="188"/>
      <c r="BK34" s="228">
        <v>30</v>
      </c>
      <c r="BL34" s="228">
        <v>0.92700000000000005</v>
      </c>
      <c r="BM34" s="201" t="str">
        <f t="shared" ca="1" si="1"/>
        <v/>
      </c>
      <c r="BN34" s="70"/>
      <c r="BO34" s="70"/>
      <c r="BP34" s="70"/>
      <c r="BQ34" s="70"/>
      <c r="BR34" s="70"/>
      <c r="BS34" s="70"/>
      <c r="BT34" s="70"/>
      <c r="BU34" s="70"/>
      <c r="BV34" s="70"/>
      <c r="BW34" s="70"/>
      <c r="BX34" s="70"/>
      <c r="BY34" s="71"/>
    </row>
    <row r="35" spans="2:77" x14ac:dyDescent="0.2">
      <c r="B35" s="92">
        <v>30</v>
      </c>
      <c r="C35" s="107"/>
      <c r="D35" s="192"/>
      <c r="E35" s="192"/>
      <c r="F35" s="192"/>
      <c r="G35" s="192"/>
      <c r="H35" s="192"/>
      <c r="I35" s="192"/>
      <c r="J35" s="193"/>
      <c r="K35" s="239"/>
      <c r="L35" s="188">
        <v>2</v>
      </c>
      <c r="M35" s="188"/>
      <c r="N35" s="188"/>
      <c r="O35" s="188" t="str">
        <f t="shared" ref="O35:AY35" ca="1" si="3">IF(O$33=$J$5,O7,"")</f>
        <v/>
      </c>
      <c r="P35" s="188" t="str">
        <f t="shared" ca="1" si="3"/>
        <v/>
      </c>
      <c r="Q35" s="188" t="str">
        <f t="shared" ca="1" si="3"/>
        <v/>
      </c>
      <c r="R35" s="188" t="str">
        <f t="shared" ca="1" si="3"/>
        <v/>
      </c>
      <c r="S35" s="188" t="str">
        <f t="shared" ca="1" si="3"/>
        <v/>
      </c>
      <c r="T35" s="188" t="str">
        <f t="shared" ca="1" si="3"/>
        <v/>
      </c>
      <c r="U35" s="188" t="str">
        <f t="shared" ca="1" si="3"/>
        <v/>
      </c>
      <c r="V35" s="188" t="str">
        <f t="shared" ca="1" si="3"/>
        <v/>
      </c>
      <c r="W35" s="188" t="str">
        <f t="shared" ca="1" si="3"/>
        <v/>
      </c>
      <c r="X35" s="188" t="str">
        <f t="shared" ca="1" si="3"/>
        <v/>
      </c>
      <c r="Y35" s="188" t="str">
        <f t="shared" ca="1" si="3"/>
        <v/>
      </c>
      <c r="Z35" s="188" t="str">
        <f t="shared" ca="1" si="3"/>
        <v/>
      </c>
      <c r="AA35" s="188" t="str">
        <f t="shared" ca="1" si="3"/>
        <v/>
      </c>
      <c r="AB35" s="188" t="str">
        <f t="shared" ca="1" si="3"/>
        <v/>
      </c>
      <c r="AC35" s="188" t="str">
        <f t="shared" ca="1" si="3"/>
        <v/>
      </c>
      <c r="AD35" s="188" t="str">
        <f t="shared" ca="1" si="3"/>
        <v/>
      </c>
      <c r="AE35" s="188" t="str">
        <f t="shared" ca="1" si="3"/>
        <v/>
      </c>
      <c r="AF35" s="188" t="str">
        <f t="shared" ca="1" si="3"/>
        <v/>
      </c>
      <c r="AG35" s="188" t="str">
        <f t="shared" ca="1" si="3"/>
        <v/>
      </c>
      <c r="AH35" s="188" t="str">
        <f t="shared" ca="1" si="3"/>
        <v/>
      </c>
      <c r="AI35" s="188" t="str">
        <f t="shared" ca="1" si="3"/>
        <v/>
      </c>
      <c r="AJ35" s="188" t="str">
        <f t="shared" ca="1" si="3"/>
        <v/>
      </c>
      <c r="AK35" s="188" t="str">
        <f t="shared" ca="1" si="3"/>
        <v/>
      </c>
      <c r="AL35" s="188" t="str">
        <f t="shared" ca="1" si="3"/>
        <v/>
      </c>
      <c r="AM35" s="188">
        <f t="shared" ca="1" si="3"/>
        <v>0.29920000000000002</v>
      </c>
      <c r="AN35" s="188" t="str">
        <f t="shared" ca="1" si="3"/>
        <v/>
      </c>
      <c r="AO35" s="188" t="str">
        <f t="shared" ca="1" si="3"/>
        <v/>
      </c>
      <c r="AP35" s="188" t="str">
        <f t="shared" ca="1" si="3"/>
        <v/>
      </c>
      <c r="AQ35" s="188" t="str">
        <f t="shared" ca="1" si="3"/>
        <v/>
      </c>
      <c r="AR35" s="188" t="str">
        <f t="shared" ca="1" si="3"/>
        <v/>
      </c>
      <c r="AS35" s="188" t="str">
        <f t="shared" ca="1" si="3"/>
        <v/>
      </c>
      <c r="AT35" s="188" t="str">
        <f t="shared" ca="1" si="3"/>
        <v/>
      </c>
      <c r="AU35" s="188" t="str">
        <f t="shared" ca="1" si="3"/>
        <v/>
      </c>
      <c r="AV35" s="188" t="str">
        <f t="shared" ca="1" si="3"/>
        <v/>
      </c>
      <c r="AW35" s="188" t="str">
        <f t="shared" ca="1" si="3"/>
        <v/>
      </c>
      <c r="AX35" s="188" t="str">
        <f t="shared" ca="1" si="3"/>
        <v/>
      </c>
      <c r="AY35" s="188" t="str">
        <f t="shared" ca="1" si="3"/>
        <v/>
      </c>
      <c r="AZ35" s="189">
        <f t="shared" ref="AZ35:AZ58" ca="1" si="4">SUM(M35:AY35)</f>
        <v>0.29920000000000002</v>
      </c>
      <c r="BA35" s="188"/>
      <c r="BB35" s="188"/>
      <c r="BC35" s="188"/>
      <c r="BD35" s="188"/>
      <c r="BE35" s="188"/>
      <c r="BF35" s="188"/>
      <c r="BG35" s="188"/>
      <c r="BH35" s="188"/>
      <c r="BI35" s="188"/>
      <c r="BJ35" s="188"/>
      <c r="BK35" s="228">
        <v>31</v>
      </c>
      <c r="BL35" s="228">
        <v>0.92900000000000005</v>
      </c>
      <c r="BM35" s="188" t="str">
        <f t="shared" ca="1" si="1"/>
        <v/>
      </c>
      <c r="BN35" s="70"/>
      <c r="BO35" s="70"/>
      <c r="BP35" s="70"/>
      <c r="BQ35" s="70"/>
      <c r="BR35" s="70"/>
      <c r="BS35" s="70"/>
      <c r="BT35" s="70"/>
      <c r="BU35" s="70"/>
      <c r="BV35" s="70"/>
      <c r="BW35" s="70"/>
      <c r="BX35" s="70"/>
      <c r="BY35" s="71"/>
    </row>
    <row r="36" spans="2:77" x14ac:dyDescent="0.2">
      <c r="B36" s="92">
        <v>31</v>
      </c>
      <c r="C36" s="107"/>
      <c r="D36" s="192"/>
      <c r="E36" s="192"/>
      <c r="F36" s="192"/>
      <c r="G36" s="192"/>
      <c r="H36" s="192"/>
      <c r="I36" s="192"/>
      <c r="J36" s="193"/>
      <c r="K36" s="239"/>
      <c r="L36" s="188">
        <v>3</v>
      </c>
      <c r="M36" s="188"/>
      <c r="N36" s="188"/>
      <c r="O36" s="188"/>
      <c r="P36" s="188"/>
      <c r="Q36" s="188" t="str">
        <f t="shared" ref="Q36:AY36" ca="1" si="5">IF(Q$33=$J$5,Q8,"")</f>
        <v/>
      </c>
      <c r="R36" s="188" t="str">
        <f t="shared" ca="1" si="5"/>
        <v/>
      </c>
      <c r="S36" s="188" t="str">
        <f t="shared" ca="1" si="5"/>
        <v/>
      </c>
      <c r="T36" s="188" t="str">
        <f t="shared" ca="1" si="5"/>
        <v/>
      </c>
      <c r="U36" s="188" t="str">
        <f t="shared" ca="1" si="5"/>
        <v/>
      </c>
      <c r="V36" s="188" t="str">
        <f t="shared" ca="1" si="5"/>
        <v/>
      </c>
      <c r="W36" s="188" t="str">
        <f t="shared" ca="1" si="5"/>
        <v/>
      </c>
      <c r="X36" s="188" t="str">
        <f t="shared" ca="1" si="5"/>
        <v/>
      </c>
      <c r="Y36" s="188" t="str">
        <f t="shared" ca="1" si="5"/>
        <v/>
      </c>
      <c r="Z36" s="188" t="str">
        <f t="shared" ca="1" si="5"/>
        <v/>
      </c>
      <c r="AA36" s="188" t="str">
        <f t="shared" ca="1" si="5"/>
        <v/>
      </c>
      <c r="AB36" s="188" t="str">
        <f t="shared" ca="1" si="5"/>
        <v/>
      </c>
      <c r="AC36" s="188" t="str">
        <f t="shared" ca="1" si="5"/>
        <v/>
      </c>
      <c r="AD36" s="188" t="str">
        <f t="shared" ca="1" si="5"/>
        <v/>
      </c>
      <c r="AE36" s="188" t="str">
        <f t="shared" ca="1" si="5"/>
        <v/>
      </c>
      <c r="AF36" s="188" t="str">
        <f t="shared" ca="1" si="5"/>
        <v/>
      </c>
      <c r="AG36" s="188" t="str">
        <f t="shared" ca="1" si="5"/>
        <v/>
      </c>
      <c r="AH36" s="188" t="str">
        <f t="shared" ca="1" si="5"/>
        <v/>
      </c>
      <c r="AI36" s="188" t="str">
        <f t="shared" ca="1" si="5"/>
        <v/>
      </c>
      <c r="AJ36" s="188" t="str">
        <f t="shared" ca="1" si="5"/>
        <v/>
      </c>
      <c r="AK36" s="188" t="str">
        <f t="shared" ca="1" si="5"/>
        <v/>
      </c>
      <c r="AL36" s="188" t="str">
        <f t="shared" ca="1" si="5"/>
        <v/>
      </c>
      <c r="AM36" s="188">
        <f t="shared" ca="1" si="5"/>
        <v>0.251</v>
      </c>
      <c r="AN36" s="188" t="str">
        <f t="shared" ca="1" si="5"/>
        <v/>
      </c>
      <c r="AO36" s="188" t="str">
        <f t="shared" ca="1" si="5"/>
        <v/>
      </c>
      <c r="AP36" s="188" t="str">
        <f t="shared" ca="1" si="5"/>
        <v/>
      </c>
      <c r="AQ36" s="188" t="str">
        <f t="shared" ca="1" si="5"/>
        <v/>
      </c>
      <c r="AR36" s="188" t="str">
        <f t="shared" ca="1" si="5"/>
        <v/>
      </c>
      <c r="AS36" s="188" t="str">
        <f t="shared" ca="1" si="5"/>
        <v/>
      </c>
      <c r="AT36" s="188" t="str">
        <f t="shared" ca="1" si="5"/>
        <v/>
      </c>
      <c r="AU36" s="188" t="str">
        <f t="shared" ca="1" si="5"/>
        <v/>
      </c>
      <c r="AV36" s="188" t="str">
        <f t="shared" ca="1" si="5"/>
        <v/>
      </c>
      <c r="AW36" s="188" t="str">
        <f t="shared" ca="1" si="5"/>
        <v/>
      </c>
      <c r="AX36" s="188" t="str">
        <f t="shared" ca="1" si="5"/>
        <v/>
      </c>
      <c r="AY36" s="188" t="str">
        <f t="shared" ca="1" si="5"/>
        <v/>
      </c>
      <c r="AZ36" s="189">
        <f t="shared" ca="1" si="4"/>
        <v>0.251</v>
      </c>
      <c r="BA36" s="188"/>
      <c r="BB36" s="188"/>
      <c r="BC36" s="188"/>
      <c r="BD36" s="188"/>
      <c r="BE36" s="188"/>
      <c r="BF36" s="188"/>
      <c r="BG36" s="188"/>
      <c r="BH36" s="188"/>
      <c r="BI36" s="188"/>
      <c r="BJ36" s="188"/>
      <c r="BK36" s="228">
        <v>32</v>
      </c>
      <c r="BL36" s="228">
        <v>0.93</v>
      </c>
      <c r="BM36" s="188" t="str">
        <f t="shared" ca="1" si="1"/>
        <v/>
      </c>
      <c r="BN36" s="70"/>
      <c r="BO36" s="70"/>
      <c r="BP36" s="70"/>
      <c r="BQ36" s="70"/>
      <c r="BR36" s="70"/>
      <c r="BS36" s="70"/>
      <c r="BT36" s="70"/>
      <c r="BU36" s="70"/>
      <c r="BV36" s="70"/>
      <c r="BW36" s="70"/>
      <c r="BX36" s="70"/>
      <c r="BY36" s="71"/>
    </row>
    <row r="37" spans="2:77" x14ac:dyDescent="0.2">
      <c r="B37" s="92">
        <v>32</v>
      </c>
      <c r="C37" s="107"/>
      <c r="D37" s="192"/>
      <c r="E37" s="192"/>
      <c r="F37" s="192"/>
      <c r="G37" s="192"/>
      <c r="H37" s="192"/>
      <c r="I37" s="192"/>
      <c r="J37" s="193"/>
      <c r="K37" s="239"/>
      <c r="L37" s="188">
        <v>4</v>
      </c>
      <c r="M37" s="188"/>
      <c r="N37" s="188"/>
      <c r="O37" s="188"/>
      <c r="P37" s="188"/>
      <c r="Q37" s="188"/>
      <c r="R37" s="188"/>
      <c r="S37" s="188" t="str">
        <f t="shared" ref="S37:AY37" ca="1" si="6">IF(S$33=$J$5,S9,"")</f>
        <v/>
      </c>
      <c r="T37" s="188" t="str">
        <f t="shared" ca="1" si="6"/>
        <v/>
      </c>
      <c r="U37" s="188" t="str">
        <f t="shared" ca="1" si="6"/>
        <v/>
      </c>
      <c r="V37" s="188" t="str">
        <f t="shared" ca="1" si="6"/>
        <v/>
      </c>
      <c r="W37" s="188" t="str">
        <f t="shared" ca="1" si="6"/>
        <v/>
      </c>
      <c r="X37" s="188" t="str">
        <f t="shared" ca="1" si="6"/>
        <v/>
      </c>
      <c r="Y37" s="188" t="str">
        <f t="shared" ca="1" si="6"/>
        <v/>
      </c>
      <c r="Z37" s="188" t="str">
        <f t="shared" ca="1" si="6"/>
        <v/>
      </c>
      <c r="AA37" s="188" t="str">
        <f t="shared" ca="1" si="6"/>
        <v/>
      </c>
      <c r="AB37" s="188" t="str">
        <f t="shared" ca="1" si="6"/>
        <v/>
      </c>
      <c r="AC37" s="188" t="str">
        <f t="shared" ca="1" si="6"/>
        <v/>
      </c>
      <c r="AD37" s="188" t="str">
        <f t="shared" ca="1" si="6"/>
        <v/>
      </c>
      <c r="AE37" s="188" t="str">
        <f t="shared" ca="1" si="6"/>
        <v/>
      </c>
      <c r="AF37" s="188" t="str">
        <f t="shared" ca="1" si="6"/>
        <v/>
      </c>
      <c r="AG37" s="188" t="str">
        <f t="shared" ca="1" si="6"/>
        <v/>
      </c>
      <c r="AH37" s="188" t="str">
        <f t="shared" ca="1" si="6"/>
        <v/>
      </c>
      <c r="AI37" s="188" t="str">
        <f t="shared" ca="1" si="6"/>
        <v/>
      </c>
      <c r="AJ37" s="188" t="str">
        <f t="shared" ca="1" si="6"/>
        <v/>
      </c>
      <c r="AK37" s="188" t="str">
        <f t="shared" ca="1" si="6"/>
        <v/>
      </c>
      <c r="AL37" s="188" t="str">
        <f t="shared" ca="1" si="6"/>
        <v/>
      </c>
      <c r="AM37" s="188">
        <f t="shared" ca="1" si="6"/>
        <v>0.21510000000000001</v>
      </c>
      <c r="AN37" s="188" t="str">
        <f t="shared" ca="1" si="6"/>
        <v/>
      </c>
      <c r="AO37" s="188" t="str">
        <f t="shared" ca="1" si="6"/>
        <v/>
      </c>
      <c r="AP37" s="188" t="str">
        <f t="shared" ca="1" si="6"/>
        <v/>
      </c>
      <c r="AQ37" s="188" t="str">
        <f t="shared" ca="1" si="6"/>
        <v/>
      </c>
      <c r="AR37" s="188" t="str">
        <f t="shared" ca="1" si="6"/>
        <v/>
      </c>
      <c r="AS37" s="188" t="str">
        <f t="shared" ca="1" si="6"/>
        <v/>
      </c>
      <c r="AT37" s="188" t="str">
        <f t="shared" ca="1" si="6"/>
        <v/>
      </c>
      <c r="AU37" s="188" t="str">
        <f t="shared" ca="1" si="6"/>
        <v/>
      </c>
      <c r="AV37" s="188" t="str">
        <f t="shared" ca="1" si="6"/>
        <v/>
      </c>
      <c r="AW37" s="188" t="str">
        <f t="shared" ca="1" si="6"/>
        <v/>
      </c>
      <c r="AX37" s="188" t="str">
        <f t="shared" ca="1" si="6"/>
        <v/>
      </c>
      <c r="AY37" s="188" t="str">
        <f t="shared" ca="1" si="6"/>
        <v/>
      </c>
      <c r="AZ37" s="189">
        <f t="shared" ca="1" si="4"/>
        <v>0.21510000000000001</v>
      </c>
      <c r="BA37" s="188"/>
      <c r="BB37" s="188"/>
      <c r="BC37" s="188"/>
      <c r="BD37" s="188"/>
      <c r="BE37" s="188"/>
      <c r="BF37" s="188"/>
      <c r="BG37" s="188"/>
      <c r="BH37" s="188"/>
      <c r="BI37" s="188"/>
      <c r="BJ37" s="188"/>
      <c r="BK37" s="228">
        <v>33</v>
      </c>
      <c r="BL37" s="228">
        <v>0.93100000000000005</v>
      </c>
      <c r="BM37" s="188" t="str">
        <f t="shared" ca="1" si="1"/>
        <v/>
      </c>
      <c r="BN37" s="70"/>
      <c r="BO37" s="70"/>
      <c r="BP37" s="70"/>
      <c r="BQ37" s="70"/>
      <c r="BR37" s="70"/>
      <c r="BS37" s="70"/>
      <c r="BT37" s="70"/>
      <c r="BU37" s="70"/>
      <c r="BV37" s="70"/>
      <c r="BW37" s="70"/>
      <c r="BX37" s="70"/>
      <c r="BY37" s="71"/>
    </row>
    <row r="38" spans="2:77" x14ac:dyDescent="0.2">
      <c r="B38" s="92">
        <v>33</v>
      </c>
      <c r="C38" s="107"/>
      <c r="D38" s="192"/>
      <c r="E38" s="192"/>
      <c r="F38" s="192"/>
      <c r="G38" s="192"/>
      <c r="H38" s="192"/>
      <c r="I38" s="192"/>
      <c r="J38" s="193"/>
      <c r="K38" s="239"/>
      <c r="L38" s="188">
        <v>5</v>
      </c>
      <c r="M38" s="188"/>
      <c r="N38" s="188"/>
      <c r="O38" s="188"/>
      <c r="P38" s="188"/>
      <c r="Q38" s="188"/>
      <c r="R38" s="188"/>
      <c r="S38" s="188"/>
      <c r="T38" s="188"/>
      <c r="U38" s="188" t="str">
        <f t="shared" ref="U38:AY38" ca="1" si="7">IF(U$33=$J$5,U10,"")</f>
        <v/>
      </c>
      <c r="V38" s="188" t="str">
        <f t="shared" ca="1" si="7"/>
        <v/>
      </c>
      <c r="W38" s="188" t="str">
        <f t="shared" ca="1" si="7"/>
        <v/>
      </c>
      <c r="X38" s="188" t="str">
        <f t="shared" ca="1" si="7"/>
        <v/>
      </c>
      <c r="Y38" s="188" t="str">
        <f t="shared" ca="1" si="7"/>
        <v/>
      </c>
      <c r="Z38" s="188" t="str">
        <f t="shared" ca="1" si="7"/>
        <v/>
      </c>
      <c r="AA38" s="188" t="str">
        <f t="shared" ca="1" si="7"/>
        <v/>
      </c>
      <c r="AB38" s="188" t="str">
        <f t="shared" ca="1" si="7"/>
        <v/>
      </c>
      <c r="AC38" s="188" t="str">
        <f t="shared" ca="1" si="7"/>
        <v/>
      </c>
      <c r="AD38" s="188" t="str">
        <f t="shared" ca="1" si="7"/>
        <v/>
      </c>
      <c r="AE38" s="188" t="str">
        <f t="shared" ca="1" si="7"/>
        <v/>
      </c>
      <c r="AF38" s="188" t="str">
        <f t="shared" ca="1" si="7"/>
        <v/>
      </c>
      <c r="AG38" s="188" t="str">
        <f t="shared" ca="1" si="7"/>
        <v/>
      </c>
      <c r="AH38" s="188" t="str">
        <f t="shared" ca="1" si="7"/>
        <v/>
      </c>
      <c r="AI38" s="188" t="str">
        <f t="shared" ca="1" si="7"/>
        <v/>
      </c>
      <c r="AJ38" s="188" t="str">
        <f t="shared" ca="1" si="7"/>
        <v/>
      </c>
      <c r="AK38" s="188" t="str">
        <f t="shared" ca="1" si="7"/>
        <v/>
      </c>
      <c r="AL38" s="188" t="str">
        <f t="shared" ca="1" si="7"/>
        <v/>
      </c>
      <c r="AM38" s="188">
        <f t="shared" ca="1" si="7"/>
        <v>0.1857</v>
      </c>
      <c r="AN38" s="188" t="str">
        <f t="shared" ca="1" si="7"/>
        <v/>
      </c>
      <c r="AO38" s="188" t="str">
        <f t="shared" ca="1" si="7"/>
        <v/>
      </c>
      <c r="AP38" s="188" t="str">
        <f t="shared" ca="1" si="7"/>
        <v/>
      </c>
      <c r="AQ38" s="188" t="str">
        <f t="shared" ca="1" si="7"/>
        <v/>
      </c>
      <c r="AR38" s="188" t="str">
        <f t="shared" ca="1" si="7"/>
        <v/>
      </c>
      <c r="AS38" s="188" t="str">
        <f t="shared" ca="1" si="7"/>
        <v/>
      </c>
      <c r="AT38" s="188" t="str">
        <f t="shared" ca="1" si="7"/>
        <v/>
      </c>
      <c r="AU38" s="188" t="str">
        <f t="shared" ca="1" si="7"/>
        <v/>
      </c>
      <c r="AV38" s="188" t="str">
        <f t="shared" ca="1" si="7"/>
        <v/>
      </c>
      <c r="AW38" s="188" t="str">
        <f t="shared" ca="1" si="7"/>
        <v/>
      </c>
      <c r="AX38" s="188" t="str">
        <f t="shared" ca="1" si="7"/>
        <v/>
      </c>
      <c r="AY38" s="188" t="str">
        <f t="shared" ca="1" si="7"/>
        <v/>
      </c>
      <c r="AZ38" s="189">
        <f t="shared" ca="1" si="4"/>
        <v>0.1857</v>
      </c>
      <c r="BA38" s="188"/>
      <c r="BB38" s="188"/>
      <c r="BC38" s="188"/>
      <c r="BD38" s="188"/>
      <c r="BE38" s="188"/>
      <c r="BF38" s="188"/>
      <c r="BG38" s="188"/>
      <c r="BH38" s="188"/>
      <c r="BI38" s="188"/>
      <c r="BJ38" s="188"/>
      <c r="BK38" s="228">
        <v>34</v>
      </c>
      <c r="BL38" s="228">
        <v>0.93300000000000005</v>
      </c>
      <c r="BM38" s="188" t="str">
        <f t="shared" ca="1" si="1"/>
        <v/>
      </c>
      <c r="BN38" s="70"/>
      <c r="BO38" s="70"/>
      <c r="BP38" s="70"/>
      <c r="BQ38" s="70"/>
      <c r="BR38" s="70"/>
      <c r="BS38" s="70"/>
      <c r="BT38" s="70"/>
      <c r="BU38" s="70"/>
      <c r="BV38" s="70"/>
      <c r="BW38" s="70"/>
      <c r="BX38" s="70"/>
      <c r="BY38" s="71"/>
    </row>
    <row r="39" spans="2:77" x14ac:dyDescent="0.2">
      <c r="B39" s="92">
        <v>34</v>
      </c>
      <c r="C39" s="107"/>
      <c r="D39" s="192"/>
      <c r="E39" s="192"/>
      <c r="F39" s="192"/>
      <c r="G39" s="192"/>
      <c r="H39" s="192"/>
      <c r="I39" s="192"/>
      <c r="J39" s="193"/>
      <c r="K39" s="239"/>
      <c r="L39" s="188">
        <v>6</v>
      </c>
      <c r="M39" s="188"/>
      <c r="N39" s="188"/>
      <c r="O39" s="188"/>
      <c r="P39" s="188"/>
      <c r="Q39" s="188"/>
      <c r="R39" s="188"/>
      <c r="S39" s="188"/>
      <c r="T39" s="188"/>
      <c r="U39" s="188"/>
      <c r="V39" s="188"/>
      <c r="W39" s="188" t="str">
        <f t="shared" ref="W39:AY39" ca="1" si="8">IF(W$33=$J$5,W11,"")</f>
        <v/>
      </c>
      <c r="X39" s="188" t="str">
        <f t="shared" ca="1" si="8"/>
        <v/>
      </c>
      <c r="Y39" s="188" t="str">
        <f t="shared" ca="1" si="8"/>
        <v/>
      </c>
      <c r="Z39" s="188" t="str">
        <f t="shared" ca="1" si="8"/>
        <v/>
      </c>
      <c r="AA39" s="188" t="str">
        <f t="shared" ca="1" si="8"/>
        <v/>
      </c>
      <c r="AB39" s="188" t="str">
        <f t="shared" ca="1" si="8"/>
        <v/>
      </c>
      <c r="AC39" s="188" t="str">
        <f t="shared" ca="1" si="8"/>
        <v/>
      </c>
      <c r="AD39" s="188" t="str">
        <f t="shared" ca="1" si="8"/>
        <v/>
      </c>
      <c r="AE39" s="188" t="str">
        <f t="shared" ca="1" si="8"/>
        <v/>
      </c>
      <c r="AF39" s="188" t="str">
        <f t="shared" ca="1" si="8"/>
        <v/>
      </c>
      <c r="AG39" s="188" t="str">
        <f t="shared" ca="1" si="8"/>
        <v/>
      </c>
      <c r="AH39" s="188" t="str">
        <f t="shared" ca="1" si="8"/>
        <v/>
      </c>
      <c r="AI39" s="188" t="str">
        <f t="shared" ca="1" si="8"/>
        <v/>
      </c>
      <c r="AJ39" s="188" t="str">
        <f t="shared" ca="1" si="8"/>
        <v/>
      </c>
      <c r="AK39" s="188" t="str">
        <f t="shared" ca="1" si="8"/>
        <v/>
      </c>
      <c r="AL39" s="188" t="str">
        <f t="shared" ca="1" si="8"/>
        <v/>
      </c>
      <c r="AM39" s="188">
        <f t="shared" ca="1" si="8"/>
        <v>0.16009999999999999</v>
      </c>
      <c r="AN39" s="188" t="str">
        <f t="shared" ca="1" si="8"/>
        <v/>
      </c>
      <c r="AO39" s="188" t="str">
        <f t="shared" ca="1" si="8"/>
        <v/>
      </c>
      <c r="AP39" s="188" t="str">
        <f t="shared" ca="1" si="8"/>
        <v/>
      </c>
      <c r="AQ39" s="188" t="str">
        <f t="shared" ca="1" si="8"/>
        <v/>
      </c>
      <c r="AR39" s="188" t="str">
        <f t="shared" ca="1" si="8"/>
        <v/>
      </c>
      <c r="AS39" s="188" t="str">
        <f t="shared" ca="1" si="8"/>
        <v/>
      </c>
      <c r="AT39" s="188" t="str">
        <f t="shared" ca="1" si="8"/>
        <v/>
      </c>
      <c r="AU39" s="188" t="str">
        <f t="shared" ca="1" si="8"/>
        <v/>
      </c>
      <c r="AV39" s="188" t="str">
        <f t="shared" ca="1" si="8"/>
        <v/>
      </c>
      <c r="AW39" s="188" t="str">
        <f t="shared" ca="1" si="8"/>
        <v/>
      </c>
      <c r="AX39" s="188" t="str">
        <f t="shared" ca="1" si="8"/>
        <v/>
      </c>
      <c r="AY39" s="188" t="str">
        <f t="shared" ca="1" si="8"/>
        <v/>
      </c>
      <c r="AZ39" s="189">
        <f t="shared" ca="1" si="4"/>
        <v>0.16009999999999999</v>
      </c>
      <c r="BA39" s="188"/>
      <c r="BB39" s="188"/>
      <c r="BC39" s="188"/>
      <c r="BD39" s="188"/>
      <c r="BE39" s="188"/>
      <c r="BF39" s="188"/>
      <c r="BG39" s="188"/>
      <c r="BH39" s="188"/>
      <c r="BI39" s="188"/>
      <c r="BJ39" s="188"/>
      <c r="BK39" s="228">
        <v>35</v>
      </c>
      <c r="BL39" s="228">
        <v>0.93400000000000005</v>
      </c>
      <c r="BM39" s="188" t="str">
        <f t="shared" ca="1" si="1"/>
        <v/>
      </c>
      <c r="BN39" s="70"/>
      <c r="BO39" s="70"/>
      <c r="BP39" s="70"/>
      <c r="BQ39" s="70"/>
      <c r="BR39" s="70"/>
      <c r="BS39" s="70"/>
      <c r="BT39" s="70"/>
      <c r="BU39" s="70"/>
      <c r="BV39" s="70"/>
      <c r="BW39" s="70"/>
      <c r="BX39" s="70"/>
      <c r="BY39" s="71"/>
    </row>
    <row r="40" spans="2:77" x14ac:dyDescent="0.2">
      <c r="B40" s="92">
        <v>35</v>
      </c>
      <c r="C40" s="107"/>
      <c r="D40" s="192"/>
      <c r="E40" s="192"/>
      <c r="F40" s="192"/>
      <c r="G40" s="192"/>
      <c r="H40" s="192"/>
      <c r="I40" s="192"/>
      <c r="J40" s="193"/>
      <c r="K40" s="239"/>
      <c r="L40" s="188">
        <v>7</v>
      </c>
      <c r="M40" s="188"/>
      <c r="N40" s="188"/>
      <c r="O40" s="188"/>
      <c r="P40" s="188"/>
      <c r="Q40" s="188"/>
      <c r="R40" s="188"/>
      <c r="S40" s="188"/>
      <c r="T40" s="188"/>
      <c r="U40" s="188"/>
      <c r="V40" s="188"/>
      <c r="W40" s="188"/>
      <c r="X40" s="188"/>
      <c r="Y40" s="188" t="str">
        <f t="shared" ref="Y40:AY40" ca="1" si="9">IF(Y$33=$J$5,Y12,"")</f>
        <v/>
      </c>
      <c r="Z40" s="188" t="str">
        <f t="shared" ca="1" si="9"/>
        <v/>
      </c>
      <c r="AA40" s="188" t="str">
        <f t="shared" ca="1" si="9"/>
        <v/>
      </c>
      <c r="AB40" s="188" t="str">
        <f t="shared" ca="1" si="9"/>
        <v/>
      </c>
      <c r="AC40" s="188" t="str">
        <f t="shared" ca="1" si="9"/>
        <v/>
      </c>
      <c r="AD40" s="188" t="str">
        <f t="shared" ca="1" si="9"/>
        <v/>
      </c>
      <c r="AE40" s="188" t="str">
        <f t="shared" ca="1" si="9"/>
        <v/>
      </c>
      <c r="AF40" s="188" t="str">
        <f t="shared" ca="1" si="9"/>
        <v/>
      </c>
      <c r="AG40" s="188" t="str">
        <f t="shared" ca="1" si="9"/>
        <v/>
      </c>
      <c r="AH40" s="188" t="str">
        <f t="shared" ca="1" si="9"/>
        <v/>
      </c>
      <c r="AI40" s="188" t="str">
        <f t="shared" ca="1" si="9"/>
        <v/>
      </c>
      <c r="AJ40" s="188" t="str">
        <f t="shared" ca="1" si="9"/>
        <v/>
      </c>
      <c r="AK40" s="188" t="str">
        <f t="shared" ca="1" si="9"/>
        <v/>
      </c>
      <c r="AL40" s="188" t="str">
        <f t="shared" ca="1" si="9"/>
        <v/>
      </c>
      <c r="AM40" s="188">
        <f t="shared" ca="1" si="9"/>
        <v>0.13719999999999999</v>
      </c>
      <c r="AN40" s="188" t="str">
        <f t="shared" ca="1" si="9"/>
        <v/>
      </c>
      <c r="AO40" s="188" t="str">
        <f t="shared" ca="1" si="9"/>
        <v/>
      </c>
      <c r="AP40" s="188" t="str">
        <f t="shared" ca="1" si="9"/>
        <v/>
      </c>
      <c r="AQ40" s="188" t="str">
        <f t="shared" ca="1" si="9"/>
        <v/>
      </c>
      <c r="AR40" s="188" t="str">
        <f t="shared" ca="1" si="9"/>
        <v/>
      </c>
      <c r="AS40" s="188" t="str">
        <f t="shared" ca="1" si="9"/>
        <v/>
      </c>
      <c r="AT40" s="188" t="str">
        <f t="shared" ca="1" si="9"/>
        <v/>
      </c>
      <c r="AU40" s="188" t="str">
        <f t="shared" ca="1" si="9"/>
        <v/>
      </c>
      <c r="AV40" s="188" t="str">
        <f t="shared" ca="1" si="9"/>
        <v/>
      </c>
      <c r="AW40" s="188" t="str">
        <f t="shared" ca="1" si="9"/>
        <v/>
      </c>
      <c r="AX40" s="188" t="str">
        <f t="shared" ca="1" si="9"/>
        <v/>
      </c>
      <c r="AY40" s="188" t="str">
        <f t="shared" ca="1" si="9"/>
        <v/>
      </c>
      <c r="AZ40" s="189">
        <f t="shared" ca="1" si="4"/>
        <v>0.13719999999999999</v>
      </c>
      <c r="BA40" s="188"/>
      <c r="BB40" s="188"/>
      <c r="BC40" s="188"/>
      <c r="BD40" s="188"/>
      <c r="BE40" s="188"/>
      <c r="BF40" s="188"/>
      <c r="BG40" s="188"/>
      <c r="BH40" s="188"/>
      <c r="BI40" s="188"/>
      <c r="BJ40" s="188"/>
      <c r="BK40" s="228">
        <v>36</v>
      </c>
      <c r="BL40" s="228">
        <v>0.93500000000000005</v>
      </c>
      <c r="BM40" s="188" t="str">
        <f t="shared" ca="1" si="1"/>
        <v/>
      </c>
      <c r="BN40" s="70"/>
      <c r="BO40" s="70"/>
      <c r="BP40" s="70"/>
      <c r="BQ40" s="70"/>
      <c r="BR40" s="70"/>
      <c r="BS40" s="70"/>
      <c r="BT40" s="70"/>
      <c r="BU40" s="70"/>
      <c r="BV40" s="70"/>
      <c r="BW40" s="70"/>
      <c r="BX40" s="70"/>
      <c r="BY40" s="71"/>
    </row>
    <row r="41" spans="2:77" x14ac:dyDescent="0.2">
      <c r="B41" s="92">
        <v>36</v>
      </c>
      <c r="C41" s="107"/>
      <c r="D41" s="192"/>
      <c r="E41" s="192"/>
      <c r="F41" s="192"/>
      <c r="G41" s="192"/>
      <c r="H41" s="192"/>
      <c r="I41" s="192"/>
      <c r="J41" s="193"/>
      <c r="K41" s="239"/>
      <c r="L41" s="188">
        <v>8</v>
      </c>
      <c r="M41" s="188"/>
      <c r="N41" s="188"/>
      <c r="O41" s="188"/>
      <c r="P41" s="188"/>
      <c r="Q41" s="188"/>
      <c r="R41" s="188"/>
      <c r="S41" s="188"/>
      <c r="T41" s="188"/>
      <c r="U41" s="188"/>
      <c r="V41" s="188"/>
      <c r="W41" s="188"/>
      <c r="X41" s="188"/>
      <c r="Y41" s="188"/>
      <c r="Z41" s="188"/>
      <c r="AA41" s="188" t="str">
        <f t="shared" ref="AA41:AY41" ca="1" si="10">IF(AA$33=$J$5,AA13,"")</f>
        <v/>
      </c>
      <c r="AB41" s="188" t="str">
        <f t="shared" ca="1" si="10"/>
        <v/>
      </c>
      <c r="AC41" s="188" t="str">
        <f t="shared" ca="1" si="10"/>
        <v/>
      </c>
      <c r="AD41" s="188" t="str">
        <f t="shared" ca="1" si="10"/>
        <v/>
      </c>
      <c r="AE41" s="188" t="str">
        <f t="shared" ca="1" si="10"/>
        <v/>
      </c>
      <c r="AF41" s="188" t="str">
        <f t="shared" ca="1" si="10"/>
        <v/>
      </c>
      <c r="AG41" s="188" t="str">
        <f t="shared" ca="1" si="10"/>
        <v/>
      </c>
      <c r="AH41" s="188" t="str">
        <f t="shared" ca="1" si="10"/>
        <v/>
      </c>
      <c r="AI41" s="188" t="str">
        <f t="shared" ca="1" si="10"/>
        <v/>
      </c>
      <c r="AJ41" s="188" t="str">
        <f t="shared" ca="1" si="10"/>
        <v/>
      </c>
      <c r="AK41" s="188" t="str">
        <f t="shared" ca="1" si="10"/>
        <v/>
      </c>
      <c r="AL41" s="188" t="str">
        <f t="shared" ca="1" si="10"/>
        <v/>
      </c>
      <c r="AM41" s="188">
        <f t="shared" ca="1" si="10"/>
        <v>0.1162</v>
      </c>
      <c r="AN41" s="188" t="str">
        <f t="shared" ca="1" si="10"/>
        <v/>
      </c>
      <c r="AO41" s="188" t="str">
        <f t="shared" ca="1" si="10"/>
        <v/>
      </c>
      <c r="AP41" s="188" t="str">
        <f t="shared" ca="1" si="10"/>
        <v/>
      </c>
      <c r="AQ41" s="188" t="str">
        <f t="shared" ca="1" si="10"/>
        <v/>
      </c>
      <c r="AR41" s="188" t="str">
        <f t="shared" ca="1" si="10"/>
        <v/>
      </c>
      <c r="AS41" s="188" t="str">
        <f t="shared" ca="1" si="10"/>
        <v/>
      </c>
      <c r="AT41" s="188" t="str">
        <f t="shared" ca="1" si="10"/>
        <v/>
      </c>
      <c r="AU41" s="188" t="str">
        <f t="shared" ca="1" si="10"/>
        <v/>
      </c>
      <c r="AV41" s="188" t="str">
        <f t="shared" ca="1" si="10"/>
        <v/>
      </c>
      <c r="AW41" s="188" t="str">
        <f t="shared" ca="1" si="10"/>
        <v/>
      </c>
      <c r="AX41" s="188" t="str">
        <f t="shared" ca="1" si="10"/>
        <v/>
      </c>
      <c r="AY41" s="188" t="str">
        <f t="shared" ca="1" si="10"/>
        <v/>
      </c>
      <c r="AZ41" s="189">
        <f t="shared" ca="1" si="4"/>
        <v>0.1162</v>
      </c>
      <c r="BA41" s="188"/>
      <c r="BB41" s="188"/>
      <c r="BC41" s="188"/>
      <c r="BD41" s="188"/>
      <c r="BE41" s="188"/>
      <c r="BF41" s="188"/>
      <c r="BG41" s="188"/>
      <c r="BH41" s="188"/>
      <c r="BI41" s="188"/>
      <c r="BJ41" s="188"/>
      <c r="BK41" s="228">
        <v>37</v>
      </c>
      <c r="BL41" s="228">
        <v>0.93600000000000005</v>
      </c>
      <c r="BM41" s="188" t="str">
        <f t="shared" ca="1" si="1"/>
        <v/>
      </c>
      <c r="BN41" s="70"/>
      <c r="BO41" s="70"/>
      <c r="BP41" s="70"/>
      <c r="BQ41" s="70"/>
      <c r="BR41" s="70"/>
      <c r="BS41" s="70"/>
      <c r="BT41" s="70"/>
      <c r="BU41" s="70"/>
      <c r="BV41" s="70"/>
      <c r="BW41" s="70"/>
      <c r="BX41" s="70"/>
      <c r="BY41" s="71"/>
    </row>
    <row r="42" spans="2:77" x14ac:dyDescent="0.2">
      <c r="B42" s="92">
        <v>37</v>
      </c>
      <c r="C42" s="107"/>
      <c r="D42" s="192"/>
      <c r="E42" s="192"/>
      <c r="F42" s="192"/>
      <c r="G42" s="192"/>
      <c r="H42" s="192"/>
      <c r="I42" s="192"/>
      <c r="J42" s="193"/>
      <c r="K42" s="239"/>
      <c r="L42" s="188">
        <v>9</v>
      </c>
      <c r="M42" s="188"/>
      <c r="N42" s="188"/>
      <c r="O42" s="188"/>
      <c r="P42" s="188"/>
      <c r="Q42" s="188"/>
      <c r="R42" s="188"/>
      <c r="S42" s="188"/>
      <c r="T42" s="188"/>
      <c r="U42" s="188"/>
      <c r="V42" s="188"/>
      <c r="W42" s="188"/>
      <c r="X42" s="188"/>
      <c r="Y42" s="188"/>
      <c r="Z42" s="188"/>
      <c r="AA42" s="188"/>
      <c r="AB42" s="188"/>
      <c r="AC42" s="188" t="str">
        <f t="shared" ref="AC42:AY42" ca="1" si="11">IF(AC$33=$J$5,AC14,"")</f>
        <v/>
      </c>
      <c r="AD42" s="188" t="str">
        <f t="shared" ca="1" si="11"/>
        <v/>
      </c>
      <c r="AE42" s="188" t="str">
        <f t="shared" ca="1" si="11"/>
        <v/>
      </c>
      <c r="AF42" s="188" t="str">
        <f t="shared" ca="1" si="11"/>
        <v/>
      </c>
      <c r="AG42" s="188" t="str">
        <f t="shared" ca="1" si="11"/>
        <v/>
      </c>
      <c r="AH42" s="188" t="str">
        <f t="shared" ca="1" si="11"/>
        <v/>
      </c>
      <c r="AI42" s="188" t="str">
        <f t="shared" ca="1" si="11"/>
        <v/>
      </c>
      <c r="AJ42" s="188" t="str">
        <f t="shared" ca="1" si="11"/>
        <v/>
      </c>
      <c r="AK42" s="188" t="str">
        <f t="shared" ca="1" si="11"/>
        <v/>
      </c>
      <c r="AL42" s="188" t="str">
        <f t="shared" ca="1" si="11"/>
        <v/>
      </c>
      <c r="AM42" s="188">
        <f t="shared" ca="1" si="11"/>
        <v>9.6500000000000002E-2</v>
      </c>
      <c r="AN42" s="188" t="str">
        <f t="shared" ca="1" si="11"/>
        <v/>
      </c>
      <c r="AO42" s="188" t="str">
        <f t="shared" ca="1" si="11"/>
        <v/>
      </c>
      <c r="AP42" s="188" t="str">
        <f t="shared" ca="1" si="11"/>
        <v/>
      </c>
      <c r="AQ42" s="188" t="str">
        <f t="shared" ca="1" si="11"/>
        <v/>
      </c>
      <c r="AR42" s="188" t="str">
        <f t="shared" ca="1" si="11"/>
        <v/>
      </c>
      <c r="AS42" s="188" t="str">
        <f t="shared" ca="1" si="11"/>
        <v/>
      </c>
      <c r="AT42" s="188" t="str">
        <f t="shared" ca="1" si="11"/>
        <v/>
      </c>
      <c r="AU42" s="188" t="str">
        <f t="shared" ca="1" si="11"/>
        <v/>
      </c>
      <c r="AV42" s="188" t="str">
        <f t="shared" ca="1" si="11"/>
        <v/>
      </c>
      <c r="AW42" s="188" t="str">
        <f t="shared" ca="1" si="11"/>
        <v/>
      </c>
      <c r="AX42" s="188" t="str">
        <f t="shared" ca="1" si="11"/>
        <v/>
      </c>
      <c r="AY42" s="188" t="str">
        <f t="shared" ca="1" si="11"/>
        <v/>
      </c>
      <c r="AZ42" s="189">
        <f t="shared" ca="1" si="4"/>
        <v>9.6500000000000002E-2</v>
      </c>
      <c r="BA42" s="188"/>
      <c r="BB42" s="188"/>
      <c r="BC42" s="188"/>
      <c r="BD42" s="188"/>
      <c r="BE42" s="188"/>
      <c r="BF42" s="188"/>
      <c r="BG42" s="188"/>
      <c r="BH42" s="188"/>
      <c r="BI42" s="188"/>
      <c r="BJ42" s="188"/>
      <c r="BK42" s="228">
        <v>38</v>
      </c>
      <c r="BL42" s="228">
        <v>0.93799999999999994</v>
      </c>
      <c r="BM42" s="188" t="str">
        <f t="shared" ca="1" si="1"/>
        <v/>
      </c>
      <c r="BN42" s="70"/>
      <c r="BO42" s="70"/>
      <c r="BP42" s="70"/>
      <c r="BQ42" s="70"/>
      <c r="BR42" s="70"/>
      <c r="BS42" s="70"/>
      <c r="BT42" s="70"/>
      <c r="BU42" s="70"/>
      <c r="BV42" s="70"/>
      <c r="BW42" s="70"/>
      <c r="BX42" s="70"/>
      <c r="BY42" s="71"/>
    </row>
    <row r="43" spans="2:77" x14ac:dyDescent="0.2">
      <c r="B43" s="92">
        <v>38</v>
      </c>
      <c r="C43" s="107"/>
      <c r="D43" s="192"/>
      <c r="E43" s="192"/>
      <c r="F43" s="192"/>
      <c r="G43" s="192"/>
      <c r="H43" s="192"/>
      <c r="I43" s="192"/>
      <c r="J43" s="193"/>
      <c r="K43" s="239"/>
      <c r="L43" s="188">
        <v>10</v>
      </c>
      <c r="M43" s="188"/>
      <c r="N43" s="188"/>
      <c r="O43" s="188"/>
      <c r="P43" s="188"/>
      <c r="Q43" s="188"/>
      <c r="R43" s="188"/>
      <c r="S43" s="188"/>
      <c r="T43" s="188"/>
      <c r="U43" s="188"/>
      <c r="V43" s="188"/>
      <c r="W43" s="188"/>
      <c r="X43" s="188"/>
      <c r="Y43" s="188"/>
      <c r="Z43" s="188"/>
      <c r="AA43" s="188"/>
      <c r="AB43" s="188"/>
      <c r="AC43" s="188"/>
      <c r="AD43" s="188"/>
      <c r="AE43" s="188" t="str">
        <f t="shared" ref="AE43:AY43" ca="1" si="12">IF(AE$33=$J$5,AE15,"")</f>
        <v/>
      </c>
      <c r="AF43" s="188" t="str">
        <f t="shared" ca="1" si="12"/>
        <v/>
      </c>
      <c r="AG43" s="188" t="str">
        <f t="shared" ca="1" si="12"/>
        <v/>
      </c>
      <c r="AH43" s="188" t="str">
        <f t="shared" ca="1" si="12"/>
        <v/>
      </c>
      <c r="AI43" s="188" t="str">
        <f t="shared" ca="1" si="12"/>
        <v/>
      </c>
      <c r="AJ43" s="188" t="str">
        <f t="shared" ca="1" si="12"/>
        <v/>
      </c>
      <c r="AK43" s="188" t="str">
        <f t="shared" ca="1" si="12"/>
        <v/>
      </c>
      <c r="AL43" s="188" t="str">
        <f t="shared" ca="1" si="12"/>
        <v/>
      </c>
      <c r="AM43" s="188">
        <f t="shared" ca="1" si="12"/>
        <v>7.7799999999999994E-2</v>
      </c>
      <c r="AN43" s="188" t="str">
        <f t="shared" ca="1" si="12"/>
        <v/>
      </c>
      <c r="AO43" s="188" t="str">
        <f t="shared" ca="1" si="12"/>
        <v/>
      </c>
      <c r="AP43" s="188" t="str">
        <f t="shared" ca="1" si="12"/>
        <v/>
      </c>
      <c r="AQ43" s="188" t="str">
        <f t="shared" ca="1" si="12"/>
        <v/>
      </c>
      <c r="AR43" s="188" t="str">
        <f t="shared" ca="1" si="12"/>
        <v/>
      </c>
      <c r="AS43" s="188" t="str">
        <f t="shared" ca="1" si="12"/>
        <v/>
      </c>
      <c r="AT43" s="188" t="str">
        <f t="shared" ca="1" si="12"/>
        <v/>
      </c>
      <c r="AU43" s="188" t="str">
        <f t="shared" ca="1" si="12"/>
        <v/>
      </c>
      <c r="AV43" s="188" t="str">
        <f t="shared" ca="1" si="12"/>
        <v/>
      </c>
      <c r="AW43" s="188" t="str">
        <f t="shared" ca="1" si="12"/>
        <v/>
      </c>
      <c r="AX43" s="188" t="str">
        <f t="shared" ca="1" si="12"/>
        <v/>
      </c>
      <c r="AY43" s="188" t="str">
        <f t="shared" ca="1" si="12"/>
        <v/>
      </c>
      <c r="AZ43" s="189">
        <f t="shared" ca="1" si="4"/>
        <v>7.7799999999999994E-2</v>
      </c>
      <c r="BA43" s="188"/>
      <c r="BB43" s="188"/>
      <c r="BC43" s="188"/>
      <c r="BD43" s="188"/>
      <c r="BE43" s="188"/>
      <c r="BF43" s="188"/>
      <c r="BG43" s="188"/>
      <c r="BH43" s="188"/>
      <c r="BI43" s="188"/>
      <c r="BJ43" s="188"/>
      <c r="BK43" s="228">
        <v>39</v>
      </c>
      <c r="BL43" s="228">
        <v>0.93899999999999995</v>
      </c>
      <c r="BM43" s="188" t="str">
        <f t="shared" ca="1" si="1"/>
        <v/>
      </c>
      <c r="BN43" s="70"/>
      <c r="BO43" s="70"/>
      <c r="BP43" s="70"/>
      <c r="BQ43" s="70"/>
      <c r="BR43" s="70"/>
      <c r="BS43" s="70"/>
      <c r="BT43" s="70"/>
      <c r="BU43" s="70"/>
      <c r="BV43" s="70"/>
      <c r="BW43" s="70"/>
      <c r="BX43" s="70"/>
      <c r="BY43" s="71"/>
    </row>
    <row r="44" spans="2:77" x14ac:dyDescent="0.2">
      <c r="B44" s="92">
        <v>39</v>
      </c>
      <c r="C44" s="107"/>
      <c r="D44" s="192"/>
      <c r="E44" s="192"/>
      <c r="F44" s="192"/>
      <c r="G44" s="192"/>
      <c r="H44" s="192"/>
      <c r="I44" s="192"/>
      <c r="J44" s="193"/>
      <c r="K44" s="239"/>
      <c r="L44" s="188">
        <v>11</v>
      </c>
      <c r="M44" s="188"/>
      <c r="N44" s="188"/>
      <c r="O44" s="188"/>
      <c r="P44" s="188"/>
      <c r="Q44" s="188"/>
      <c r="R44" s="188"/>
      <c r="S44" s="188"/>
      <c r="T44" s="188"/>
      <c r="U44" s="188"/>
      <c r="V44" s="188"/>
      <c r="W44" s="188"/>
      <c r="X44" s="188"/>
      <c r="Y44" s="188"/>
      <c r="Z44" s="188"/>
      <c r="AA44" s="188"/>
      <c r="AB44" s="188"/>
      <c r="AC44" s="188"/>
      <c r="AD44" s="188"/>
      <c r="AE44" s="188"/>
      <c r="AF44" s="188"/>
      <c r="AG44" s="188" t="str">
        <f t="shared" ref="AG44:AY44" ca="1" si="13">IF(AG$33=$J$5,AG16,"")</f>
        <v/>
      </c>
      <c r="AH44" s="188" t="str">
        <f t="shared" ca="1" si="13"/>
        <v/>
      </c>
      <c r="AI44" s="188" t="str">
        <f t="shared" ca="1" si="13"/>
        <v/>
      </c>
      <c r="AJ44" s="188" t="str">
        <f t="shared" ca="1" si="13"/>
        <v/>
      </c>
      <c r="AK44" s="188" t="str">
        <f t="shared" ca="1" si="13"/>
        <v/>
      </c>
      <c r="AL44" s="188" t="str">
        <f t="shared" ca="1" si="13"/>
        <v/>
      </c>
      <c r="AM44" s="188">
        <f t="shared" ca="1" si="13"/>
        <v>5.9799999999999999E-2</v>
      </c>
      <c r="AN44" s="188" t="str">
        <f t="shared" ca="1" si="13"/>
        <v/>
      </c>
      <c r="AO44" s="188" t="str">
        <f t="shared" ca="1" si="13"/>
        <v/>
      </c>
      <c r="AP44" s="188" t="str">
        <f t="shared" ca="1" si="13"/>
        <v/>
      </c>
      <c r="AQ44" s="188" t="str">
        <f t="shared" ca="1" si="13"/>
        <v/>
      </c>
      <c r="AR44" s="188" t="str">
        <f t="shared" ca="1" si="13"/>
        <v/>
      </c>
      <c r="AS44" s="188" t="str">
        <f t="shared" ca="1" si="13"/>
        <v/>
      </c>
      <c r="AT44" s="188" t="str">
        <f t="shared" ca="1" si="13"/>
        <v/>
      </c>
      <c r="AU44" s="188" t="str">
        <f t="shared" ca="1" si="13"/>
        <v/>
      </c>
      <c r="AV44" s="188" t="str">
        <f t="shared" ca="1" si="13"/>
        <v/>
      </c>
      <c r="AW44" s="188" t="str">
        <f t="shared" ca="1" si="13"/>
        <v/>
      </c>
      <c r="AX44" s="188" t="str">
        <f t="shared" ca="1" si="13"/>
        <v/>
      </c>
      <c r="AY44" s="188" t="str">
        <f t="shared" ca="1" si="13"/>
        <v/>
      </c>
      <c r="AZ44" s="189">
        <f t="shared" ca="1" si="4"/>
        <v>5.9799999999999999E-2</v>
      </c>
      <c r="BA44" s="188"/>
      <c r="BB44" s="188"/>
      <c r="BC44" s="188"/>
      <c r="BD44" s="188"/>
      <c r="BE44" s="188"/>
      <c r="BF44" s="188"/>
      <c r="BG44" s="188"/>
      <c r="BH44" s="188"/>
      <c r="BI44" s="188"/>
      <c r="BJ44" s="188"/>
      <c r="BK44" s="228">
        <v>40</v>
      </c>
      <c r="BL44" s="228">
        <v>0.94</v>
      </c>
      <c r="BM44" s="188" t="str">
        <f t="shared" ca="1" si="1"/>
        <v/>
      </c>
      <c r="BN44" s="70"/>
      <c r="BO44" s="70"/>
      <c r="BP44" s="70"/>
      <c r="BQ44" s="70"/>
      <c r="BR44" s="70"/>
      <c r="BS44" s="70"/>
      <c r="BT44" s="70"/>
      <c r="BU44" s="70"/>
      <c r="BV44" s="70"/>
      <c r="BW44" s="70"/>
      <c r="BX44" s="70"/>
      <c r="BY44" s="71"/>
    </row>
    <row r="45" spans="2:77" x14ac:dyDescent="0.2">
      <c r="B45" s="92">
        <v>40</v>
      </c>
      <c r="C45" s="107"/>
      <c r="D45" s="192"/>
      <c r="E45" s="192"/>
      <c r="F45" s="192"/>
      <c r="G45" s="192"/>
      <c r="H45" s="192"/>
      <c r="I45" s="192"/>
      <c r="J45" s="193"/>
      <c r="K45" s="239"/>
      <c r="L45" s="188">
        <v>12</v>
      </c>
      <c r="M45" s="188"/>
      <c r="N45" s="188"/>
      <c r="O45" s="188"/>
      <c r="P45" s="188"/>
      <c r="Q45" s="188"/>
      <c r="R45" s="188"/>
      <c r="S45" s="188"/>
      <c r="T45" s="188"/>
      <c r="U45" s="188"/>
      <c r="V45" s="188"/>
      <c r="W45" s="188"/>
      <c r="X45" s="188"/>
      <c r="Y45" s="188"/>
      <c r="Z45" s="188"/>
      <c r="AA45" s="188"/>
      <c r="AB45" s="188"/>
      <c r="AC45" s="188"/>
      <c r="AD45" s="188"/>
      <c r="AE45" s="188"/>
      <c r="AF45" s="188"/>
      <c r="AG45" s="188"/>
      <c r="AH45" s="188"/>
      <c r="AI45" s="188" t="str">
        <f t="shared" ref="AI45:AY45" ca="1" si="14">IF(AI$33=$J$5,AI17,"")</f>
        <v/>
      </c>
      <c r="AJ45" s="188" t="str">
        <f t="shared" ca="1" si="14"/>
        <v/>
      </c>
      <c r="AK45" s="188" t="str">
        <f t="shared" ca="1" si="14"/>
        <v/>
      </c>
      <c r="AL45" s="188" t="str">
        <f t="shared" ca="1" si="14"/>
        <v/>
      </c>
      <c r="AM45" s="188">
        <f t="shared" ca="1" si="14"/>
        <v>4.24E-2</v>
      </c>
      <c r="AN45" s="188" t="str">
        <f t="shared" ca="1" si="14"/>
        <v/>
      </c>
      <c r="AO45" s="188" t="str">
        <f t="shared" ca="1" si="14"/>
        <v/>
      </c>
      <c r="AP45" s="188" t="str">
        <f t="shared" ca="1" si="14"/>
        <v/>
      </c>
      <c r="AQ45" s="188" t="str">
        <f t="shared" ca="1" si="14"/>
        <v/>
      </c>
      <c r="AR45" s="188" t="str">
        <f t="shared" ca="1" si="14"/>
        <v/>
      </c>
      <c r="AS45" s="188" t="str">
        <f t="shared" ca="1" si="14"/>
        <v/>
      </c>
      <c r="AT45" s="188" t="str">
        <f t="shared" ca="1" si="14"/>
        <v/>
      </c>
      <c r="AU45" s="188" t="str">
        <f t="shared" ca="1" si="14"/>
        <v/>
      </c>
      <c r="AV45" s="188" t="str">
        <f t="shared" ca="1" si="14"/>
        <v/>
      </c>
      <c r="AW45" s="188" t="str">
        <f t="shared" ca="1" si="14"/>
        <v/>
      </c>
      <c r="AX45" s="188" t="str">
        <f t="shared" ca="1" si="14"/>
        <v/>
      </c>
      <c r="AY45" s="188" t="str">
        <f t="shared" ca="1" si="14"/>
        <v/>
      </c>
      <c r="AZ45" s="189">
        <f t="shared" ca="1" si="4"/>
        <v>4.24E-2</v>
      </c>
      <c r="BA45" s="188"/>
      <c r="BB45" s="188"/>
      <c r="BC45" s="188"/>
      <c r="BD45" s="188"/>
      <c r="BE45" s="188"/>
      <c r="BF45" s="188"/>
      <c r="BG45" s="188"/>
      <c r="BH45" s="188"/>
      <c r="BI45" s="188"/>
      <c r="BJ45" s="188"/>
      <c r="BK45" s="188"/>
      <c r="BL45" s="188" t="s">
        <v>163</v>
      </c>
      <c r="BM45" s="209">
        <f ca="1">SUM(BM7:BM44)</f>
        <v>0.92400000000000004</v>
      </c>
      <c r="BN45" s="70"/>
      <c r="BO45" s="70"/>
      <c r="BP45" s="70"/>
      <c r="BQ45" s="70"/>
      <c r="BR45" s="70"/>
      <c r="BS45" s="70"/>
      <c r="BT45" s="70"/>
      <c r="BU45" s="70"/>
      <c r="BV45" s="70"/>
      <c r="BW45" s="70"/>
      <c r="BX45" s="70"/>
      <c r="BY45" s="71"/>
    </row>
    <row r="46" spans="2:77" x14ac:dyDescent="0.2">
      <c r="B46" s="191"/>
      <c r="C46" s="192"/>
      <c r="D46" s="192"/>
      <c r="E46" s="192"/>
      <c r="F46" s="192"/>
      <c r="G46" s="192"/>
      <c r="H46" s="192"/>
      <c r="I46" s="192"/>
      <c r="J46" s="193"/>
      <c r="K46" s="239"/>
      <c r="L46" s="188">
        <v>13</v>
      </c>
      <c r="M46" s="188"/>
      <c r="N46" s="188"/>
      <c r="O46" s="188"/>
      <c r="P46" s="188"/>
      <c r="Q46" s="188"/>
      <c r="R46" s="188"/>
      <c r="S46" s="188"/>
      <c r="T46" s="188"/>
      <c r="U46" s="188"/>
      <c r="V46" s="188"/>
      <c r="W46" s="188"/>
      <c r="X46" s="188"/>
      <c r="Y46" s="188"/>
      <c r="Z46" s="188"/>
      <c r="AA46" s="188"/>
      <c r="AB46" s="188"/>
      <c r="AC46" s="188"/>
      <c r="AD46" s="188"/>
      <c r="AE46" s="188"/>
      <c r="AF46" s="188"/>
      <c r="AG46" s="188"/>
      <c r="AH46" s="188"/>
      <c r="AI46" s="188"/>
      <c r="AJ46" s="188"/>
      <c r="AK46" s="188" t="str">
        <f t="shared" ref="AK46:AY46" ca="1" si="15">IF(AK$33=$J$5,AK18,"")</f>
        <v/>
      </c>
      <c r="AL46" s="188" t="str">
        <f t="shared" ca="1" si="15"/>
        <v/>
      </c>
      <c r="AM46" s="188">
        <f t="shared" ca="1" si="15"/>
        <v>2.53E-2</v>
      </c>
      <c r="AN46" s="188" t="str">
        <f t="shared" ca="1" si="15"/>
        <v/>
      </c>
      <c r="AO46" s="188" t="str">
        <f t="shared" ca="1" si="15"/>
        <v/>
      </c>
      <c r="AP46" s="188" t="str">
        <f t="shared" ca="1" si="15"/>
        <v/>
      </c>
      <c r="AQ46" s="188" t="str">
        <f t="shared" ca="1" si="15"/>
        <v/>
      </c>
      <c r="AR46" s="188" t="str">
        <f t="shared" ca="1" si="15"/>
        <v/>
      </c>
      <c r="AS46" s="188" t="str">
        <f t="shared" ca="1" si="15"/>
        <v/>
      </c>
      <c r="AT46" s="188" t="str">
        <f t="shared" ca="1" si="15"/>
        <v/>
      </c>
      <c r="AU46" s="188" t="str">
        <f t="shared" ca="1" si="15"/>
        <v/>
      </c>
      <c r="AV46" s="188" t="str">
        <f t="shared" ca="1" si="15"/>
        <v/>
      </c>
      <c r="AW46" s="188" t="str">
        <f t="shared" ca="1" si="15"/>
        <v/>
      </c>
      <c r="AX46" s="188" t="str">
        <f t="shared" ca="1" si="15"/>
        <v/>
      </c>
      <c r="AY46" s="188" t="str">
        <f t="shared" ca="1" si="15"/>
        <v/>
      </c>
      <c r="AZ46" s="189">
        <f t="shared" ca="1" si="4"/>
        <v>2.53E-2</v>
      </c>
      <c r="BA46" s="188"/>
      <c r="BB46" s="188"/>
      <c r="BC46" s="188"/>
      <c r="BD46" s="188"/>
      <c r="BE46" s="188"/>
      <c r="BF46" s="188"/>
      <c r="BG46" s="188"/>
      <c r="BH46" s="188"/>
      <c r="BI46" s="188"/>
      <c r="BJ46" s="188"/>
      <c r="BK46" s="188"/>
      <c r="BL46" s="188"/>
      <c r="BM46" s="188"/>
      <c r="BN46" s="70"/>
      <c r="BO46" s="70"/>
      <c r="BP46" s="70"/>
      <c r="BQ46" s="70"/>
      <c r="BR46" s="70"/>
      <c r="BS46" s="70"/>
      <c r="BT46" s="70"/>
      <c r="BU46" s="70"/>
      <c r="BV46" s="70"/>
      <c r="BW46" s="70"/>
      <c r="BX46" s="70"/>
      <c r="BY46" s="71"/>
    </row>
    <row r="47" spans="2:77" x14ac:dyDescent="0.2">
      <c r="B47" s="191"/>
      <c r="C47" s="192"/>
      <c r="D47" s="192"/>
      <c r="E47" s="192"/>
      <c r="F47" s="192"/>
      <c r="G47" s="192"/>
      <c r="H47" s="192"/>
      <c r="I47" s="192"/>
      <c r="J47" s="193"/>
      <c r="K47" s="239"/>
      <c r="L47" s="188">
        <v>14</v>
      </c>
      <c r="M47" s="188"/>
      <c r="N47" s="188"/>
      <c r="O47" s="188"/>
      <c r="P47" s="188"/>
      <c r="Q47" s="188"/>
      <c r="R47" s="188"/>
      <c r="S47" s="188"/>
      <c r="T47" s="188"/>
      <c r="U47" s="188"/>
      <c r="V47" s="188"/>
      <c r="W47" s="188"/>
      <c r="X47" s="188"/>
      <c r="Y47" s="188"/>
      <c r="Z47" s="188"/>
      <c r="AA47" s="188"/>
      <c r="AB47" s="188"/>
      <c r="AC47" s="188"/>
      <c r="AD47" s="188"/>
      <c r="AE47" s="188"/>
      <c r="AF47" s="188"/>
      <c r="AG47" s="188"/>
      <c r="AH47" s="188"/>
      <c r="AI47" s="188"/>
      <c r="AJ47" s="188"/>
      <c r="AK47" s="188"/>
      <c r="AL47" s="188"/>
      <c r="AM47" s="188">
        <f t="shared" ref="AM47:AY47" ca="1" si="16">IF(AM$33=$J$5,AM19,"")</f>
        <v>8.3999999999999995E-3</v>
      </c>
      <c r="AN47" s="188" t="str">
        <f t="shared" ca="1" si="16"/>
        <v/>
      </c>
      <c r="AO47" s="188" t="str">
        <f t="shared" ca="1" si="16"/>
        <v/>
      </c>
      <c r="AP47" s="188" t="str">
        <f t="shared" ca="1" si="16"/>
        <v/>
      </c>
      <c r="AQ47" s="188" t="str">
        <f t="shared" ca="1" si="16"/>
        <v/>
      </c>
      <c r="AR47" s="188" t="str">
        <f t="shared" ca="1" si="16"/>
        <v/>
      </c>
      <c r="AS47" s="188" t="str">
        <f t="shared" ca="1" si="16"/>
        <v/>
      </c>
      <c r="AT47" s="188" t="str">
        <f t="shared" ca="1" si="16"/>
        <v/>
      </c>
      <c r="AU47" s="188" t="str">
        <f t="shared" ca="1" si="16"/>
        <v/>
      </c>
      <c r="AV47" s="188" t="str">
        <f t="shared" ca="1" si="16"/>
        <v/>
      </c>
      <c r="AW47" s="188" t="str">
        <f t="shared" ca="1" si="16"/>
        <v/>
      </c>
      <c r="AX47" s="188" t="str">
        <f t="shared" ca="1" si="16"/>
        <v/>
      </c>
      <c r="AY47" s="188" t="str">
        <f t="shared" ca="1" si="16"/>
        <v/>
      </c>
      <c r="AZ47" s="189">
        <f t="shared" ca="1" si="4"/>
        <v>8.3999999999999995E-3</v>
      </c>
      <c r="BA47" s="188"/>
      <c r="BB47" s="188"/>
      <c r="BC47" s="188"/>
      <c r="BD47" s="188"/>
      <c r="BE47" s="188"/>
      <c r="BF47" s="188"/>
      <c r="BG47" s="188"/>
      <c r="BH47" s="188"/>
      <c r="BI47" s="188"/>
      <c r="BJ47" s="188"/>
      <c r="BK47" s="188"/>
      <c r="BL47" s="188"/>
      <c r="BM47" s="188"/>
      <c r="BN47" s="70"/>
      <c r="BO47" s="70"/>
      <c r="BP47" s="70"/>
      <c r="BQ47" s="70"/>
      <c r="BR47" s="70"/>
      <c r="BS47" s="70"/>
      <c r="BT47" s="70"/>
      <c r="BU47" s="70"/>
      <c r="BV47" s="70"/>
      <c r="BW47" s="70"/>
      <c r="BX47" s="70"/>
      <c r="BY47" s="71"/>
    </row>
    <row r="48" spans="2:77" ht="13.5" thickBot="1" x14ac:dyDescent="0.25">
      <c r="B48" s="197"/>
      <c r="C48" s="198"/>
      <c r="D48" s="198"/>
      <c r="E48" s="198"/>
      <c r="F48" s="198"/>
      <c r="G48" s="198"/>
      <c r="H48" s="200"/>
      <c r="I48" s="198"/>
      <c r="J48" s="199"/>
      <c r="K48" s="239"/>
      <c r="L48" s="188">
        <v>15</v>
      </c>
      <c r="M48" s="188"/>
      <c r="N48" s="188"/>
      <c r="O48" s="188"/>
      <c r="P48" s="188"/>
      <c r="Q48" s="188"/>
      <c r="R48" s="188"/>
      <c r="S48" s="188"/>
      <c r="T48" s="188"/>
      <c r="U48" s="188"/>
      <c r="V48" s="188"/>
      <c r="W48" s="188"/>
      <c r="X48" s="188"/>
      <c r="Y48" s="188"/>
      <c r="Z48" s="188"/>
      <c r="AA48" s="188"/>
      <c r="AB48" s="188"/>
      <c r="AC48" s="188"/>
      <c r="AD48" s="188"/>
      <c r="AE48" s="188"/>
      <c r="AF48" s="188"/>
      <c r="AG48" s="188"/>
      <c r="AH48" s="188"/>
      <c r="AI48" s="188"/>
      <c r="AJ48" s="188"/>
      <c r="AK48" s="188"/>
      <c r="AL48" s="188"/>
      <c r="AM48" s="188"/>
      <c r="AN48" s="188"/>
      <c r="AO48" s="188" t="str">
        <f t="shared" ref="AO48:AY48" ca="1" si="17">IF(AO$33=$J$5,AO20,"")</f>
        <v/>
      </c>
      <c r="AP48" s="188" t="str">
        <f t="shared" ca="1" si="17"/>
        <v/>
      </c>
      <c r="AQ48" s="188" t="str">
        <f t="shared" ca="1" si="17"/>
        <v/>
      </c>
      <c r="AR48" s="188" t="str">
        <f t="shared" ca="1" si="17"/>
        <v/>
      </c>
      <c r="AS48" s="188" t="str">
        <f t="shared" ca="1" si="17"/>
        <v/>
      </c>
      <c r="AT48" s="188" t="str">
        <f t="shared" ca="1" si="17"/>
        <v/>
      </c>
      <c r="AU48" s="188" t="str">
        <f t="shared" ca="1" si="17"/>
        <v/>
      </c>
      <c r="AV48" s="188" t="str">
        <f t="shared" ca="1" si="17"/>
        <v/>
      </c>
      <c r="AW48" s="188" t="str">
        <f t="shared" ca="1" si="17"/>
        <v/>
      </c>
      <c r="AX48" s="188" t="str">
        <f t="shared" ca="1" si="17"/>
        <v/>
      </c>
      <c r="AY48" s="188" t="str">
        <f t="shared" ca="1" si="17"/>
        <v/>
      </c>
      <c r="AZ48" s="189">
        <f t="shared" ca="1" si="4"/>
        <v>0</v>
      </c>
      <c r="BA48" s="188"/>
      <c r="BB48" s="188"/>
      <c r="BC48" s="188"/>
      <c r="BD48" s="188"/>
      <c r="BE48" s="188"/>
      <c r="BF48" s="188"/>
      <c r="BG48" s="188"/>
      <c r="BH48" s="188"/>
      <c r="BI48" s="188"/>
      <c r="BJ48" s="188"/>
      <c r="BK48" s="188"/>
      <c r="BL48" s="188"/>
      <c r="BM48" s="188"/>
      <c r="BN48" s="70"/>
      <c r="BO48" s="70"/>
      <c r="BP48" s="70"/>
      <c r="BQ48" s="70"/>
      <c r="BR48" s="70"/>
      <c r="BS48" s="70"/>
      <c r="BT48" s="70"/>
      <c r="BU48" s="70"/>
      <c r="BV48" s="70"/>
      <c r="BW48" s="70"/>
      <c r="BX48" s="70"/>
      <c r="BY48" s="71"/>
    </row>
    <row r="49" spans="1:77" x14ac:dyDescent="0.2">
      <c r="A49" s="192"/>
      <c r="B49" s="192"/>
      <c r="C49" s="192"/>
      <c r="D49" s="192"/>
      <c r="E49" s="192"/>
      <c r="F49" s="192"/>
      <c r="G49" s="192"/>
      <c r="H49" s="44"/>
      <c r="I49" s="192"/>
      <c r="J49" s="192"/>
      <c r="K49" s="239"/>
      <c r="L49" s="188">
        <v>16</v>
      </c>
      <c r="M49" s="188"/>
      <c r="N49" s="188"/>
      <c r="O49" s="188"/>
      <c r="P49" s="188"/>
      <c r="Q49" s="188"/>
      <c r="R49" s="188"/>
      <c r="S49" s="188"/>
      <c r="T49" s="188"/>
      <c r="U49" s="188"/>
      <c r="V49" s="188"/>
      <c r="W49" s="188"/>
      <c r="X49" s="188"/>
      <c r="Y49" s="188"/>
      <c r="Z49" s="188"/>
      <c r="AA49" s="188"/>
      <c r="AB49" s="188"/>
      <c r="AC49" s="188"/>
      <c r="AD49" s="188"/>
      <c r="AE49" s="188"/>
      <c r="AF49" s="188"/>
      <c r="AG49" s="188"/>
      <c r="AH49" s="188"/>
      <c r="AI49" s="188"/>
      <c r="AJ49" s="188"/>
      <c r="AK49" s="188"/>
      <c r="AL49" s="188"/>
      <c r="AM49" s="188"/>
      <c r="AN49" s="188"/>
      <c r="AO49" s="188"/>
      <c r="AP49" s="188"/>
      <c r="AQ49" s="188" t="str">
        <f t="shared" ref="AQ49:AY49" ca="1" si="18">IF(AQ$33=$J$5,AQ21,"")</f>
        <v/>
      </c>
      <c r="AR49" s="188" t="str">
        <f t="shared" ca="1" si="18"/>
        <v/>
      </c>
      <c r="AS49" s="188" t="str">
        <f t="shared" ca="1" si="18"/>
        <v/>
      </c>
      <c r="AT49" s="188" t="str">
        <f t="shared" ca="1" si="18"/>
        <v/>
      </c>
      <c r="AU49" s="188" t="str">
        <f t="shared" ca="1" si="18"/>
        <v/>
      </c>
      <c r="AV49" s="188" t="str">
        <f t="shared" ca="1" si="18"/>
        <v/>
      </c>
      <c r="AW49" s="188" t="str">
        <f t="shared" ca="1" si="18"/>
        <v/>
      </c>
      <c r="AX49" s="188" t="str">
        <f t="shared" ca="1" si="18"/>
        <v/>
      </c>
      <c r="AY49" s="188" t="str">
        <f t="shared" ca="1" si="18"/>
        <v/>
      </c>
      <c r="AZ49" s="189">
        <f t="shared" ca="1" si="4"/>
        <v>0</v>
      </c>
      <c r="BA49" s="188"/>
      <c r="BB49" s="188"/>
      <c r="BC49" s="188"/>
      <c r="BD49" s="188"/>
      <c r="BE49" s="188"/>
      <c r="BF49" s="188"/>
      <c r="BG49" s="188"/>
      <c r="BH49" s="188"/>
      <c r="BI49" s="188"/>
      <c r="BJ49" s="188"/>
      <c r="BK49" s="188"/>
      <c r="BL49" s="188"/>
      <c r="BM49" s="188"/>
      <c r="BN49" s="70"/>
      <c r="BO49" s="70"/>
      <c r="BP49" s="70"/>
      <c r="BQ49" s="70"/>
      <c r="BR49" s="70"/>
      <c r="BS49" s="70"/>
      <c r="BT49" s="70"/>
      <c r="BU49" s="70"/>
      <c r="BV49" s="70"/>
      <c r="BW49" s="70"/>
      <c r="BX49" s="70"/>
      <c r="BY49" s="71"/>
    </row>
    <row r="50" spans="1:77" x14ac:dyDescent="0.2">
      <c r="A50" s="192"/>
      <c r="B50" s="192"/>
      <c r="C50" s="192"/>
      <c r="D50" s="192"/>
      <c r="E50" s="192"/>
      <c r="J50" s="192"/>
      <c r="K50" s="239"/>
      <c r="L50" s="188">
        <v>17</v>
      </c>
      <c r="M50" s="188"/>
      <c r="N50" s="188"/>
      <c r="O50" s="188"/>
      <c r="P50" s="188"/>
      <c r="Q50" s="188"/>
      <c r="R50" s="188"/>
      <c r="S50" s="188"/>
      <c r="T50" s="188"/>
      <c r="U50" s="188"/>
      <c r="V50" s="188"/>
      <c r="W50" s="188"/>
      <c r="X50" s="188"/>
      <c r="Y50" s="188"/>
      <c r="Z50" s="188"/>
      <c r="AA50" s="188"/>
      <c r="AB50" s="188"/>
      <c r="AC50" s="188"/>
      <c r="AD50" s="188"/>
      <c r="AE50" s="188"/>
      <c r="AF50" s="188"/>
      <c r="AG50" s="188"/>
      <c r="AH50" s="188"/>
      <c r="AI50" s="188"/>
      <c r="AJ50" s="188"/>
      <c r="AK50" s="188"/>
      <c r="AL50" s="188"/>
      <c r="AM50" s="188"/>
      <c r="AN50" s="188"/>
      <c r="AO50" s="188"/>
      <c r="AP50" s="188"/>
      <c r="AQ50" s="188"/>
      <c r="AR50" s="188"/>
      <c r="AS50" s="188" t="str">
        <f t="shared" ref="AS50:AY50" ca="1" si="19">IF(AS$33=$J$5,AS22,"")</f>
        <v/>
      </c>
      <c r="AT50" s="188" t="str">
        <f t="shared" ca="1" si="19"/>
        <v/>
      </c>
      <c r="AU50" s="188" t="str">
        <f t="shared" ca="1" si="19"/>
        <v/>
      </c>
      <c r="AV50" s="188" t="str">
        <f t="shared" ca="1" si="19"/>
        <v/>
      </c>
      <c r="AW50" s="188" t="str">
        <f t="shared" ca="1" si="19"/>
        <v/>
      </c>
      <c r="AX50" s="188" t="str">
        <f t="shared" ca="1" si="19"/>
        <v/>
      </c>
      <c r="AY50" s="188" t="str">
        <f t="shared" ca="1" si="19"/>
        <v/>
      </c>
      <c r="AZ50" s="189">
        <f t="shared" ca="1" si="4"/>
        <v>0</v>
      </c>
      <c r="BA50" s="188"/>
      <c r="BB50" s="188"/>
      <c r="BC50" s="188"/>
      <c r="BD50" s="188"/>
      <c r="BE50" s="188"/>
      <c r="BF50" s="188"/>
      <c r="BG50" s="188"/>
      <c r="BH50" s="188"/>
      <c r="BI50" s="188"/>
      <c r="BJ50" s="188"/>
      <c r="BK50" s="188"/>
      <c r="BL50" s="188"/>
      <c r="BM50" s="188"/>
      <c r="BN50" s="70"/>
      <c r="BO50" s="70"/>
      <c r="BP50" s="70"/>
      <c r="BQ50" s="70"/>
      <c r="BR50" s="70"/>
      <c r="BS50" s="70"/>
      <c r="BT50" s="70"/>
      <c r="BU50" s="70"/>
      <c r="BV50" s="70"/>
      <c r="BW50" s="70"/>
      <c r="BX50" s="70"/>
      <c r="BY50" s="71"/>
    </row>
    <row r="51" spans="1:77" x14ac:dyDescent="0.2">
      <c r="A51" s="192"/>
      <c r="B51" s="71"/>
      <c r="C51" s="71"/>
      <c r="D51" s="71"/>
      <c r="E51" s="71"/>
      <c r="F51" s="71"/>
      <c r="G51" s="71"/>
      <c r="H51" s="71"/>
      <c r="J51" s="192"/>
      <c r="K51" s="239"/>
      <c r="L51" s="188">
        <v>18</v>
      </c>
      <c r="M51" s="188"/>
      <c r="N51" s="188"/>
      <c r="O51" s="188"/>
      <c r="P51" s="188"/>
      <c r="Q51" s="188"/>
      <c r="R51" s="188"/>
      <c r="S51" s="188"/>
      <c r="T51" s="188"/>
      <c r="U51" s="188"/>
      <c r="V51" s="188"/>
      <c r="W51" s="188"/>
      <c r="X51" s="188"/>
      <c r="Y51" s="188"/>
      <c r="Z51" s="188"/>
      <c r="AA51" s="188"/>
      <c r="AB51" s="188"/>
      <c r="AC51" s="188"/>
      <c r="AD51" s="188"/>
      <c r="AE51" s="188"/>
      <c r="AF51" s="188"/>
      <c r="AG51" s="188"/>
      <c r="AH51" s="188"/>
      <c r="AI51" s="188"/>
      <c r="AJ51" s="188"/>
      <c r="AK51" s="188"/>
      <c r="AL51" s="188"/>
      <c r="AM51" s="188"/>
      <c r="AN51" s="188"/>
      <c r="AO51" s="188"/>
      <c r="AP51" s="188"/>
      <c r="AQ51" s="188"/>
      <c r="AR51" s="188"/>
      <c r="AS51" s="188"/>
      <c r="AT51" s="188"/>
      <c r="AU51" s="188" t="str">
        <f ca="1">IF(AU$33=$J$5,AU23,"")</f>
        <v/>
      </c>
      <c r="AV51" s="188" t="str">
        <f ca="1">IF(AV$33=$J$5,AV23,"")</f>
        <v/>
      </c>
      <c r="AW51" s="188" t="str">
        <f ca="1">IF(AW$33=$J$5,AW23,"")</f>
        <v/>
      </c>
      <c r="AX51" s="188" t="str">
        <f ca="1">IF(AX$33=$J$5,AX23,"")</f>
        <v/>
      </c>
      <c r="AY51" s="188" t="str">
        <f ca="1">IF(AY$33=$J$5,AY23,"")</f>
        <v/>
      </c>
      <c r="AZ51" s="189">
        <f t="shared" ca="1" si="4"/>
        <v>0</v>
      </c>
      <c r="BA51" s="188"/>
      <c r="BB51" s="188"/>
      <c r="BC51" s="188"/>
      <c r="BD51" s="188"/>
      <c r="BE51" s="188"/>
      <c r="BF51" s="188"/>
      <c r="BG51" s="188"/>
      <c r="BH51" s="188"/>
      <c r="BI51" s="188"/>
      <c r="BJ51" s="188"/>
      <c r="BK51" s="188"/>
      <c r="BL51" s="188"/>
      <c r="BM51" s="188"/>
      <c r="BN51" s="70"/>
      <c r="BO51" s="70"/>
      <c r="BP51" s="70"/>
      <c r="BQ51" s="70"/>
      <c r="BR51" s="70"/>
      <c r="BS51" s="70"/>
      <c r="BT51" s="70"/>
      <c r="BU51" s="70"/>
      <c r="BV51" s="70"/>
      <c r="BW51" s="70"/>
      <c r="BX51" s="70"/>
      <c r="BY51" s="71"/>
    </row>
    <row r="52" spans="1:77" x14ac:dyDescent="0.2">
      <c r="A52" s="192"/>
      <c r="B52" s="71"/>
      <c r="C52" s="71"/>
      <c r="D52" s="71"/>
      <c r="E52" s="71"/>
      <c r="F52" s="71"/>
      <c r="G52" s="71"/>
      <c r="H52" s="71"/>
      <c r="J52" s="192"/>
      <c r="K52" s="239"/>
      <c r="L52" s="188">
        <v>19</v>
      </c>
      <c r="M52" s="188"/>
      <c r="N52" s="188"/>
      <c r="O52" s="188"/>
      <c r="P52" s="188"/>
      <c r="Q52" s="188"/>
      <c r="R52" s="188"/>
      <c r="S52" s="188"/>
      <c r="T52" s="188"/>
      <c r="U52" s="188"/>
      <c r="V52" s="188"/>
      <c r="W52" s="188"/>
      <c r="X52" s="188"/>
      <c r="Y52" s="188"/>
      <c r="Z52" s="188"/>
      <c r="AA52" s="188"/>
      <c r="AB52" s="188"/>
      <c r="AC52" s="188"/>
      <c r="AD52" s="188"/>
      <c r="AE52" s="188"/>
      <c r="AF52" s="188"/>
      <c r="AG52" s="188"/>
      <c r="AH52" s="188"/>
      <c r="AI52" s="188"/>
      <c r="AJ52" s="188"/>
      <c r="AK52" s="188"/>
      <c r="AL52" s="188"/>
      <c r="AM52" s="188"/>
      <c r="AN52" s="188"/>
      <c r="AO52" s="188"/>
      <c r="AP52" s="188"/>
      <c r="AQ52" s="188"/>
      <c r="AR52" s="188"/>
      <c r="AS52" s="188"/>
      <c r="AT52" s="188"/>
      <c r="AU52" s="188"/>
      <c r="AV52" s="188"/>
      <c r="AW52" s="188" t="str">
        <f ca="1">IF(AW$33=$J$5,AW24,"")</f>
        <v/>
      </c>
      <c r="AX52" s="188" t="str">
        <f ca="1">IF(AX$33=$J$5,AX24,"")</f>
        <v/>
      </c>
      <c r="AY52" s="188" t="str">
        <f ca="1">IF(AY$33=$J$5,AY24,"")</f>
        <v/>
      </c>
      <c r="AZ52" s="189">
        <f t="shared" ca="1" si="4"/>
        <v>0</v>
      </c>
      <c r="BA52" s="188"/>
      <c r="BB52" s="188"/>
      <c r="BC52" s="188"/>
      <c r="BD52" s="188"/>
      <c r="BE52" s="188"/>
      <c r="BF52" s="188"/>
      <c r="BG52" s="188"/>
      <c r="BH52" s="188"/>
      <c r="BI52" s="188"/>
      <c r="BJ52" s="188"/>
      <c r="BK52" s="188"/>
      <c r="BL52" s="188"/>
      <c r="BM52" s="188"/>
      <c r="BN52" s="70"/>
      <c r="BO52" s="70"/>
      <c r="BP52" s="70"/>
      <c r="BQ52" s="70"/>
      <c r="BR52" s="70"/>
      <c r="BS52" s="70"/>
      <c r="BT52" s="70"/>
      <c r="BU52" s="70"/>
      <c r="BV52" s="70"/>
      <c r="BW52" s="70"/>
      <c r="BX52" s="70"/>
      <c r="BY52" s="71"/>
    </row>
    <row r="53" spans="1:77" x14ac:dyDescent="0.2">
      <c r="A53" s="192"/>
      <c r="B53" s="71"/>
      <c r="C53" s="71"/>
      <c r="D53" s="71"/>
      <c r="E53" s="71"/>
      <c r="F53" s="71"/>
      <c r="G53" s="71"/>
      <c r="H53" s="71"/>
      <c r="J53" s="192"/>
      <c r="K53" s="239"/>
      <c r="L53" s="188">
        <v>20</v>
      </c>
      <c r="M53" s="188"/>
      <c r="N53" s="188"/>
      <c r="O53" s="188"/>
      <c r="P53" s="188"/>
      <c r="Q53" s="188"/>
      <c r="R53" s="188"/>
      <c r="S53" s="188"/>
      <c r="T53" s="188"/>
      <c r="U53" s="188"/>
      <c r="V53" s="188"/>
      <c r="W53" s="188"/>
      <c r="X53" s="188"/>
      <c r="Y53" s="188"/>
      <c r="Z53" s="188"/>
      <c r="AA53" s="188"/>
      <c r="AB53" s="188"/>
      <c r="AC53" s="188"/>
      <c r="AD53" s="188"/>
      <c r="AE53" s="188"/>
      <c r="AF53" s="188"/>
      <c r="AG53" s="188"/>
      <c r="AH53" s="188"/>
      <c r="AI53" s="188"/>
      <c r="AJ53" s="188"/>
      <c r="AK53" s="188"/>
      <c r="AL53" s="188"/>
      <c r="AM53" s="188"/>
      <c r="AN53" s="188"/>
      <c r="AO53" s="188"/>
      <c r="AP53" s="188"/>
      <c r="AQ53" s="188"/>
      <c r="AR53" s="188"/>
      <c r="AS53" s="188"/>
      <c r="AT53" s="188"/>
      <c r="AU53" s="188"/>
      <c r="AV53" s="188"/>
      <c r="AW53" s="188"/>
      <c r="AX53" s="188"/>
      <c r="AY53" s="188" t="str">
        <f ca="1">IF(AY$33=$J$5,AY25,"")</f>
        <v/>
      </c>
      <c r="AZ53" s="189">
        <f t="shared" ca="1" si="4"/>
        <v>0</v>
      </c>
      <c r="BA53" s="188"/>
      <c r="BB53" s="188"/>
      <c r="BC53" s="188"/>
      <c r="BD53" s="188"/>
      <c r="BE53" s="188"/>
      <c r="BF53" s="188"/>
      <c r="BG53" s="188"/>
      <c r="BH53" s="188"/>
      <c r="BI53" s="188"/>
      <c r="BJ53" s="188"/>
      <c r="BK53" s="188"/>
      <c r="BL53" s="188"/>
      <c r="BM53" s="188"/>
      <c r="BN53" s="70"/>
      <c r="BO53" s="70"/>
      <c r="BP53" s="70"/>
      <c r="BQ53" s="70"/>
      <c r="BR53" s="70"/>
      <c r="BS53" s="70"/>
      <c r="BT53" s="70"/>
      <c r="BU53" s="70"/>
      <c r="BV53" s="70"/>
      <c r="BW53" s="70"/>
      <c r="BX53" s="70"/>
      <c r="BY53" s="71"/>
    </row>
    <row r="54" spans="1:77" x14ac:dyDescent="0.2">
      <c r="A54" s="192"/>
      <c r="B54" s="71"/>
      <c r="C54" s="71"/>
      <c r="D54" s="71"/>
      <c r="E54" s="71"/>
      <c r="F54" s="71"/>
      <c r="G54" s="71"/>
      <c r="H54" s="71"/>
      <c r="J54" s="192"/>
      <c r="K54" s="239"/>
      <c r="L54" s="188">
        <v>21</v>
      </c>
      <c r="M54" s="188"/>
      <c r="N54" s="188"/>
      <c r="O54" s="188"/>
      <c r="P54" s="188"/>
      <c r="Q54" s="188"/>
      <c r="R54" s="188"/>
      <c r="S54" s="188"/>
      <c r="T54" s="188"/>
      <c r="U54" s="188"/>
      <c r="V54" s="188"/>
      <c r="W54" s="188"/>
      <c r="X54" s="188"/>
      <c r="Y54" s="188"/>
      <c r="Z54" s="188"/>
      <c r="AA54" s="188"/>
      <c r="AB54" s="188"/>
      <c r="AC54" s="188"/>
      <c r="AD54" s="188"/>
      <c r="AE54" s="188"/>
      <c r="AF54" s="188"/>
      <c r="AG54" s="188"/>
      <c r="AH54" s="188"/>
      <c r="AI54" s="188"/>
      <c r="AJ54" s="188"/>
      <c r="AK54" s="188"/>
      <c r="AL54" s="188"/>
      <c r="AM54" s="188"/>
      <c r="AN54" s="188"/>
      <c r="AO54" s="188"/>
      <c r="AP54" s="188"/>
      <c r="AQ54" s="188"/>
      <c r="AR54" s="188"/>
      <c r="AS54" s="188"/>
      <c r="AT54" s="188"/>
      <c r="AU54" s="188"/>
      <c r="AV54" s="188"/>
      <c r="AW54" s="188"/>
      <c r="AX54" s="188"/>
      <c r="AY54" s="188"/>
      <c r="AZ54" s="189">
        <f t="shared" si="4"/>
        <v>0</v>
      </c>
      <c r="BA54" s="188"/>
      <c r="BB54" s="188"/>
      <c r="BC54" s="188"/>
      <c r="BD54" s="188"/>
      <c r="BE54" s="188"/>
      <c r="BF54" s="188"/>
      <c r="BG54" s="188"/>
      <c r="BH54" s="188"/>
      <c r="BI54" s="188"/>
      <c r="BJ54" s="188"/>
      <c r="BK54" s="188"/>
      <c r="BL54" s="188"/>
      <c r="BM54" s="188"/>
      <c r="BN54" s="70"/>
      <c r="BO54" s="70"/>
      <c r="BP54" s="70"/>
      <c r="BQ54" s="70"/>
      <c r="BR54" s="70"/>
      <c r="BS54" s="70"/>
      <c r="BT54" s="70"/>
      <c r="BU54" s="70"/>
      <c r="BV54" s="70"/>
      <c r="BW54" s="70"/>
      <c r="BX54" s="70"/>
      <c r="BY54" s="71"/>
    </row>
    <row r="55" spans="1:77" x14ac:dyDescent="0.2">
      <c r="A55" s="192"/>
      <c r="B55" s="186" t="s">
        <v>49</v>
      </c>
      <c r="C55" s="413" t="s">
        <v>251</v>
      </c>
      <c r="D55" s="412" t="s">
        <v>252</v>
      </c>
      <c r="E55" s="412" t="s">
        <v>258</v>
      </c>
      <c r="F55" s="413" t="s">
        <v>257</v>
      </c>
      <c r="G55" s="413" t="s">
        <v>254</v>
      </c>
      <c r="H55" s="71"/>
      <c r="I55" s="192"/>
      <c r="J55" s="192"/>
      <c r="K55" s="239"/>
      <c r="L55" s="188">
        <v>22</v>
      </c>
      <c r="M55" s="188"/>
      <c r="N55" s="188"/>
      <c r="O55" s="188"/>
      <c r="P55" s="188"/>
      <c r="Q55" s="188"/>
      <c r="R55" s="188"/>
      <c r="S55" s="188"/>
      <c r="T55" s="188"/>
      <c r="U55" s="188"/>
      <c r="V55" s="188"/>
      <c r="W55" s="188"/>
      <c r="X55" s="188"/>
      <c r="Y55" s="188"/>
      <c r="Z55" s="188"/>
      <c r="AA55" s="188"/>
      <c r="AB55" s="188"/>
      <c r="AC55" s="188"/>
      <c r="AD55" s="188"/>
      <c r="AE55" s="188"/>
      <c r="AF55" s="188"/>
      <c r="AG55" s="188"/>
      <c r="AH55" s="188"/>
      <c r="AI55" s="188"/>
      <c r="AJ55" s="188"/>
      <c r="AK55" s="188"/>
      <c r="AL55" s="188"/>
      <c r="AM55" s="188"/>
      <c r="AN55" s="188"/>
      <c r="AO55" s="188"/>
      <c r="AP55" s="188"/>
      <c r="AQ55" s="188"/>
      <c r="AR55" s="188"/>
      <c r="AS55" s="188"/>
      <c r="AT55" s="188"/>
      <c r="AU55" s="188"/>
      <c r="AV55" s="188"/>
      <c r="AW55" s="188"/>
      <c r="AX55" s="188"/>
      <c r="AY55" s="188"/>
      <c r="AZ55" s="189">
        <f t="shared" si="4"/>
        <v>0</v>
      </c>
      <c r="BA55" s="188"/>
      <c r="BB55" s="188"/>
      <c r="BC55" s="188"/>
      <c r="BD55" s="188"/>
      <c r="BE55" s="188"/>
      <c r="BF55" s="188"/>
      <c r="BG55" s="188"/>
      <c r="BH55" s="188"/>
      <c r="BI55" s="188"/>
      <c r="BJ55" s="188"/>
      <c r="BK55" s="188"/>
      <c r="BL55" s="188"/>
      <c r="BM55" s="188"/>
      <c r="BN55" s="70"/>
      <c r="BO55" s="70"/>
      <c r="BP55" s="70"/>
      <c r="BQ55" s="70"/>
      <c r="BR55" s="70"/>
      <c r="BS55" s="70"/>
      <c r="BT55" s="70"/>
      <c r="BU55" s="70"/>
      <c r="BV55" s="70"/>
      <c r="BW55" s="70"/>
      <c r="BX55" s="70"/>
      <c r="BY55" s="71"/>
    </row>
    <row r="56" spans="1:77" x14ac:dyDescent="0.2">
      <c r="A56" s="192"/>
      <c r="B56" s="188">
        <v>1</v>
      </c>
      <c r="C56" s="185">
        <f t="shared" ref="C56:C95" ca="1" si="20">IF(ISNUMBER(C6),SMALL(C$6:C$45,B6),"")</f>
        <v>9.2430954960853189</v>
      </c>
      <c r="D56" s="185">
        <f t="shared" ref="D56:D95" ca="1" si="21">IF(ISNUMBER(C6),LARGE(C$6:C$45,B6),"")</f>
        <v>10.813890021289444</v>
      </c>
      <c r="E56" s="185">
        <f t="shared" ref="E56:E77" ca="1" si="22">IF(ISNUMBER(C6),IF(D56-C56&lt;=0,"",D56-C56),"")</f>
        <v>1.5707945252041249</v>
      </c>
      <c r="F56" s="413">
        <f t="shared" ref="F56:F75" ca="1" si="23">IF(ISNUMBER(E56),AZ34,"")</f>
        <v>0.43280000000000002</v>
      </c>
      <c r="G56" s="189">
        <f t="shared" ref="G56:G63" ca="1" si="24">IF(ISNUMBER(F56),E56*F56,"")</f>
        <v>0.67983987050834527</v>
      </c>
      <c r="H56" s="71"/>
      <c r="I56" s="192"/>
      <c r="J56" s="192"/>
      <c r="K56" s="239"/>
      <c r="L56" s="188">
        <v>23</v>
      </c>
      <c r="M56" s="188"/>
      <c r="N56" s="188"/>
      <c r="O56" s="188"/>
      <c r="P56" s="188"/>
      <c r="Q56" s="188"/>
      <c r="R56" s="188"/>
      <c r="S56" s="188"/>
      <c r="T56" s="188"/>
      <c r="U56" s="188"/>
      <c r="V56" s="188"/>
      <c r="W56" s="188"/>
      <c r="X56" s="188"/>
      <c r="Y56" s="188"/>
      <c r="Z56" s="188"/>
      <c r="AA56" s="188"/>
      <c r="AB56" s="188"/>
      <c r="AC56" s="188"/>
      <c r="AD56" s="188"/>
      <c r="AE56" s="188"/>
      <c r="AF56" s="188"/>
      <c r="AG56" s="188"/>
      <c r="AH56" s="188"/>
      <c r="AI56" s="188"/>
      <c r="AJ56" s="188"/>
      <c r="AK56" s="188"/>
      <c r="AL56" s="188"/>
      <c r="AM56" s="188"/>
      <c r="AN56" s="188"/>
      <c r="AO56" s="188"/>
      <c r="AP56" s="188"/>
      <c r="AQ56" s="188"/>
      <c r="AR56" s="188"/>
      <c r="AS56" s="188"/>
      <c r="AT56" s="188"/>
      <c r="AU56" s="188"/>
      <c r="AV56" s="188"/>
      <c r="AW56" s="188"/>
      <c r="AX56" s="188"/>
      <c r="AY56" s="188"/>
      <c r="AZ56" s="189">
        <f t="shared" si="4"/>
        <v>0</v>
      </c>
      <c r="BA56" s="188"/>
      <c r="BB56" s="188"/>
      <c r="BC56" s="188"/>
      <c r="BD56" s="188"/>
      <c r="BE56" s="188"/>
      <c r="BF56" s="188"/>
      <c r="BG56" s="188"/>
      <c r="BH56" s="188"/>
      <c r="BI56" s="188"/>
      <c r="BJ56" s="188"/>
      <c r="BK56" s="188"/>
      <c r="BL56" s="188"/>
      <c r="BM56" s="188"/>
      <c r="BN56" s="70"/>
      <c r="BO56" s="70"/>
      <c r="BP56" s="70"/>
      <c r="BQ56" s="70"/>
      <c r="BR56" s="70"/>
      <c r="BS56" s="70"/>
      <c r="BT56" s="70"/>
      <c r="BU56" s="70"/>
      <c r="BV56" s="70"/>
      <c r="BW56" s="70"/>
      <c r="BX56" s="70"/>
      <c r="BY56" s="71"/>
    </row>
    <row r="57" spans="1:77" x14ac:dyDescent="0.2">
      <c r="A57" s="192"/>
      <c r="B57" s="188">
        <v>2</v>
      </c>
      <c r="C57" s="185">
        <f t="shared" ca="1" si="20"/>
        <v>9.3160772716545104</v>
      </c>
      <c r="D57" s="185">
        <f t="shared" ca="1" si="21"/>
        <v>10.676624143801162</v>
      </c>
      <c r="E57" s="185">
        <f t="shared" ca="1" si="22"/>
        <v>1.3605468721466512</v>
      </c>
      <c r="F57" s="413">
        <f t="shared" ca="1" si="23"/>
        <v>0.29920000000000002</v>
      </c>
      <c r="G57" s="189">
        <f t="shared" ca="1" si="24"/>
        <v>0.40707562414627807</v>
      </c>
      <c r="H57" s="71"/>
      <c r="I57" s="192"/>
      <c r="J57" s="192"/>
      <c r="K57" s="239"/>
      <c r="L57" s="188">
        <v>24</v>
      </c>
      <c r="M57" s="188"/>
      <c r="N57" s="188"/>
      <c r="O57" s="188"/>
      <c r="P57" s="188"/>
      <c r="Q57" s="188"/>
      <c r="R57" s="188"/>
      <c r="S57" s="188"/>
      <c r="T57" s="188"/>
      <c r="U57" s="188"/>
      <c r="V57" s="188"/>
      <c r="W57" s="188"/>
      <c r="X57" s="188"/>
      <c r="Y57" s="188"/>
      <c r="Z57" s="188"/>
      <c r="AA57" s="188"/>
      <c r="AB57" s="188"/>
      <c r="AC57" s="188"/>
      <c r="AD57" s="188"/>
      <c r="AE57" s="188"/>
      <c r="AF57" s="188"/>
      <c r="AG57" s="188"/>
      <c r="AH57" s="188"/>
      <c r="AI57" s="188"/>
      <c r="AJ57" s="188"/>
      <c r="AK57" s="188"/>
      <c r="AL57" s="188"/>
      <c r="AM57" s="188"/>
      <c r="AN57" s="188"/>
      <c r="AO57" s="188"/>
      <c r="AP57" s="188"/>
      <c r="AQ57" s="188"/>
      <c r="AR57" s="188"/>
      <c r="AS57" s="188"/>
      <c r="AT57" s="188"/>
      <c r="AU57" s="188"/>
      <c r="AV57" s="188"/>
      <c r="AW57" s="188"/>
      <c r="AX57" s="188"/>
      <c r="AY57" s="188"/>
      <c r="AZ57" s="189">
        <f t="shared" si="4"/>
        <v>0</v>
      </c>
      <c r="BA57" s="188"/>
      <c r="BB57" s="188"/>
      <c r="BC57" s="188"/>
      <c r="BD57" s="188"/>
      <c r="BE57" s="188"/>
      <c r="BF57" s="188"/>
      <c r="BG57" s="188"/>
      <c r="BH57" s="188"/>
      <c r="BI57" s="188"/>
      <c r="BJ57" s="188"/>
      <c r="BK57" s="188"/>
      <c r="BL57" s="188"/>
      <c r="BM57" s="188"/>
      <c r="BN57" s="70"/>
      <c r="BO57" s="70"/>
      <c r="BP57" s="70"/>
      <c r="BQ57" s="70"/>
      <c r="BR57" s="70"/>
      <c r="BS57" s="70"/>
      <c r="BT57" s="70"/>
      <c r="BU57" s="70"/>
      <c r="BV57" s="70"/>
      <c r="BW57" s="70"/>
      <c r="BX57" s="70"/>
      <c r="BY57" s="71"/>
    </row>
    <row r="58" spans="1:77" x14ac:dyDescent="0.2">
      <c r="A58" s="192"/>
      <c r="B58" s="188">
        <v>3</v>
      </c>
      <c r="C58" s="185">
        <f t="shared" ca="1" si="20"/>
        <v>9.3297611762664268</v>
      </c>
      <c r="D58" s="185">
        <f t="shared" ca="1" si="21"/>
        <v>10.61039285343354</v>
      </c>
      <c r="E58" s="185">
        <f t="shared" ca="1" si="22"/>
        <v>1.2806316771671131</v>
      </c>
      <c r="F58" s="413">
        <f t="shared" ca="1" si="23"/>
        <v>0.251</v>
      </c>
      <c r="G58" s="189">
        <f t="shared" ca="1" si="24"/>
        <v>0.32143855096894541</v>
      </c>
      <c r="H58" s="71"/>
      <c r="I58" s="192"/>
      <c r="J58" s="192"/>
      <c r="K58" s="239"/>
      <c r="L58" s="188">
        <v>25</v>
      </c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88"/>
      <c r="Z58" s="188"/>
      <c r="AA58" s="188"/>
      <c r="AB58" s="188"/>
      <c r="AC58" s="188"/>
      <c r="AD58" s="188"/>
      <c r="AE58" s="188"/>
      <c r="AF58" s="188"/>
      <c r="AG58" s="188"/>
      <c r="AH58" s="188"/>
      <c r="AI58" s="188"/>
      <c r="AJ58" s="188"/>
      <c r="AK58" s="188"/>
      <c r="AL58" s="188"/>
      <c r="AM58" s="188"/>
      <c r="AN58" s="188"/>
      <c r="AO58" s="188"/>
      <c r="AP58" s="188"/>
      <c r="AQ58" s="188"/>
      <c r="AR58" s="188"/>
      <c r="AS58" s="188"/>
      <c r="AT58" s="188"/>
      <c r="AU58" s="188"/>
      <c r="AV58" s="188"/>
      <c r="AW58" s="188"/>
      <c r="AX58" s="188"/>
      <c r="AY58" s="188"/>
      <c r="AZ58" s="189">
        <f t="shared" si="4"/>
        <v>0</v>
      </c>
      <c r="BA58" s="188"/>
      <c r="BB58" s="188"/>
      <c r="BC58" s="188"/>
      <c r="BD58" s="188"/>
      <c r="BE58" s="188"/>
      <c r="BF58" s="188"/>
      <c r="BG58" s="188"/>
      <c r="BH58" s="188"/>
      <c r="BI58" s="188"/>
      <c r="BJ58" s="188"/>
      <c r="BK58" s="188"/>
      <c r="BL58" s="188"/>
      <c r="BM58" s="188"/>
      <c r="BN58" s="70"/>
      <c r="BO58" s="70"/>
      <c r="BP58" s="70"/>
      <c r="BQ58" s="70"/>
      <c r="BR58" s="70"/>
      <c r="BS58" s="70"/>
      <c r="BT58" s="70"/>
      <c r="BU58" s="70"/>
      <c r="BV58" s="70"/>
      <c r="BW58" s="70"/>
      <c r="BX58" s="70"/>
      <c r="BY58" s="71"/>
    </row>
    <row r="59" spans="1:77" x14ac:dyDescent="0.2">
      <c r="A59" s="192"/>
      <c r="B59" s="188">
        <v>4</v>
      </c>
      <c r="C59" s="185">
        <f t="shared" ca="1" si="20"/>
        <v>9.329933726668914</v>
      </c>
      <c r="D59" s="185">
        <f t="shared" ca="1" si="21"/>
        <v>10.567004279282488</v>
      </c>
      <c r="E59" s="185">
        <f t="shared" ca="1" si="22"/>
        <v>1.2370705526135737</v>
      </c>
      <c r="F59" s="413">
        <f t="shared" ca="1" si="23"/>
        <v>0.21510000000000001</v>
      </c>
      <c r="G59" s="189">
        <f t="shared" ca="1" si="24"/>
        <v>0.2660938758671797</v>
      </c>
      <c r="H59" s="71"/>
      <c r="I59" s="192"/>
      <c r="J59" s="192"/>
      <c r="K59" s="239"/>
      <c r="L59" s="188"/>
      <c r="M59" s="188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88"/>
      <c r="Z59" s="188"/>
      <c r="AA59" s="188"/>
      <c r="AB59" s="188"/>
      <c r="AC59" s="188"/>
      <c r="AD59" s="188"/>
      <c r="AE59" s="188"/>
      <c r="AF59" s="188"/>
      <c r="AG59" s="188"/>
      <c r="AH59" s="188"/>
      <c r="AI59" s="188"/>
      <c r="AJ59" s="188"/>
      <c r="AK59" s="188"/>
      <c r="AL59" s="188"/>
      <c r="AM59" s="188"/>
      <c r="AN59" s="188"/>
      <c r="AO59" s="188"/>
      <c r="AP59" s="188"/>
      <c r="AQ59" s="188"/>
      <c r="AR59" s="188"/>
      <c r="AS59" s="188"/>
      <c r="AT59" s="188"/>
      <c r="AU59" s="188"/>
      <c r="AV59" s="188"/>
      <c r="AW59" s="188"/>
      <c r="AX59" s="188"/>
      <c r="AY59" s="188"/>
      <c r="AZ59" s="188"/>
      <c r="BA59" s="188"/>
      <c r="BB59" s="188"/>
      <c r="BC59" s="188"/>
      <c r="BD59" s="188"/>
      <c r="BE59" s="188"/>
      <c r="BF59" s="188"/>
      <c r="BG59" s="188"/>
      <c r="BH59" s="188"/>
      <c r="BI59" s="188"/>
      <c r="BJ59" s="188"/>
      <c r="BK59" s="188"/>
      <c r="BL59" s="188"/>
      <c r="BM59" s="188"/>
      <c r="BN59" s="70"/>
      <c r="BO59" s="70"/>
      <c r="BP59" s="70"/>
      <c r="BQ59" s="70"/>
      <c r="BR59" s="70"/>
      <c r="BS59" s="70"/>
      <c r="BT59" s="70"/>
      <c r="BU59" s="70"/>
      <c r="BV59" s="70"/>
      <c r="BW59" s="70"/>
      <c r="BX59" s="70"/>
      <c r="BY59" s="71"/>
    </row>
    <row r="60" spans="1:77" x14ac:dyDescent="0.2">
      <c r="A60" s="192"/>
      <c r="B60" s="188">
        <v>5</v>
      </c>
      <c r="C60" s="185">
        <f t="shared" ca="1" si="20"/>
        <v>9.4245242660735347</v>
      </c>
      <c r="D60" s="185">
        <f t="shared" ca="1" si="21"/>
        <v>10.408394794590182</v>
      </c>
      <c r="E60" s="185">
        <f t="shared" ca="1" si="22"/>
        <v>0.98387052851664691</v>
      </c>
      <c r="F60" s="413">
        <f t="shared" ca="1" si="23"/>
        <v>0.1857</v>
      </c>
      <c r="G60" s="189">
        <f t="shared" ca="1" si="24"/>
        <v>0.18270475714554132</v>
      </c>
      <c r="H60" s="71"/>
      <c r="I60" s="192"/>
      <c r="J60" s="192"/>
      <c r="K60" s="239"/>
      <c r="L60" s="188"/>
      <c r="M60" s="188"/>
      <c r="N60" s="188"/>
      <c r="O60" s="188"/>
      <c r="P60" s="188"/>
      <c r="Q60" s="188"/>
      <c r="R60" s="188"/>
      <c r="S60" s="188"/>
      <c r="T60" s="188"/>
      <c r="U60" s="188"/>
      <c r="V60" s="188"/>
      <c r="W60" s="188"/>
      <c r="X60" s="188"/>
      <c r="Y60" s="188"/>
      <c r="Z60" s="188"/>
      <c r="AA60" s="188"/>
      <c r="AB60" s="188"/>
      <c r="AC60" s="188"/>
      <c r="AD60" s="188"/>
      <c r="AE60" s="188"/>
      <c r="AF60" s="188"/>
      <c r="AG60" s="188"/>
      <c r="AH60" s="188"/>
      <c r="AI60" s="188"/>
      <c r="AJ60" s="188"/>
      <c r="AK60" s="188"/>
      <c r="AL60" s="188"/>
      <c r="AM60" s="188"/>
      <c r="AN60" s="188"/>
      <c r="AO60" s="188"/>
      <c r="AP60" s="188"/>
      <c r="AQ60" s="188"/>
      <c r="AR60" s="188"/>
      <c r="AS60" s="188"/>
      <c r="AT60" s="188"/>
      <c r="AU60" s="188"/>
      <c r="AV60" s="188"/>
      <c r="AW60" s="188"/>
      <c r="AX60" s="188"/>
      <c r="AY60" s="188"/>
      <c r="AZ60" s="188"/>
      <c r="BA60" s="188"/>
      <c r="BB60" s="188"/>
      <c r="BC60" s="188"/>
      <c r="BD60" s="188"/>
      <c r="BE60" s="188"/>
      <c r="BF60" s="188"/>
      <c r="BG60" s="188"/>
      <c r="BH60" s="188"/>
      <c r="BI60" s="188"/>
      <c r="BJ60" s="188"/>
      <c r="BK60" s="188"/>
      <c r="BL60" s="188"/>
      <c r="BM60" s="188"/>
      <c r="BN60" s="70"/>
      <c r="BO60" s="70"/>
      <c r="BP60" s="70"/>
      <c r="BQ60" s="70"/>
      <c r="BR60" s="70"/>
      <c r="BS60" s="70"/>
      <c r="BT60" s="70"/>
      <c r="BU60" s="70"/>
      <c r="BV60" s="70"/>
      <c r="BW60" s="70"/>
      <c r="BX60" s="70"/>
      <c r="BY60" s="71"/>
    </row>
    <row r="61" spans="1:77" x14ac:dyDescent="0.2">
      <c r="A61" s="192"/>
      <c r="B61" s="188">
        <v>6</v>
      </c>
      <c r="C61" s="185">
        <f t="shared" ca="1" si="20"/>
        <v>9.4486708710314176</v>
      </c>
      <c r="D61" s="185">
        <f t="shared" ca="1" si="21"/>
        <v>10.332043675001495</v>
      </c>
      <c r="E61" s="185">
        <f t="shared" ca="1" si="22"/>
        <v>0.88337280397007767</v>
      </c>
      <c r="F61" s="413">
        <f t="shared" ca="1" si="23"/>
        <v>0.16009999999999999</v>
      </c>
      <c r="G61" s="189">
        <f t="shared" ca="1" si="24"/>
        <v>0.14142798591560943</v>
      </c>
      <c r="H61" s="71"/>
      <c r="I61" s="192"/>
      <c r="J61" s="192"/>
      <c r="K61" s="239"/>
      <c r="L61" s="188"/>
      <c r="M61" s="188"/>
      <c r="N61" s="420" t="s">
        <v>127</v>
      </c>
      <c r="O61" s="420"/>
      <c r="P61" s="420"/>
      <c r="Q61" s="420"/>
      <c r="R61" s="420"/>
      <c r="S61" s="420"/>
      <c r="T61" s="420"/>
      <c r="U61" s="420"/>
      <c r="V61" s="188"/>
      <c r="W61" s="412" t="s">
        <v>75</v>
      </c>
      <c r="X61" s="412">
        <f ca="1">J5</f>
        <v>28</v>
      </c>
      <c r="Y61" s="188"/>
      <c r="Z61" s="188"/>
      <c r="AA61" s="188"/>
      <c r="AB61" s="188"/>
      <c r="AC61" s="188"/>
      <c r="AD61" s="188"/>
      <c r="AE61" s="188"/>
      <c r="AF61" s="188"/>
      <c r="AG61" s="188"/>
      <c r="AH61" s="188"/>
      <c r="AI61" s="188"/>
      <c r="AJ61" s="188"/>
      <c r="AK61" s="188"/>
      <c r="AL61" s="188"/>
      <c r="AM61" s="188"/>
      <c r="AN61" s="188"/>
      <c r="AO61" s="188"/>
      <c r="AP61" s="188"/>
      <c r="AQ61" s="188"/>
      <c r="AR61" s="188"/>
      <c r="AS61" s="188"/>
      <c r="AT61" s="188"/>
      <c r="AU61" s="188"/>
      <c r="AV61" s="188"/>
      <c r="AW61" s="188"/>
      <c r="AX61" s="188"/>
      <c r="AY61" s="188"/>
      <c r="AZ61" s="188"/>
      <c r="BA61" s="188"/>
      <c r="BB61" s="188"/>
      <c r="BC61" s="188"/>
      <c r="BD61" s="188"/>
      <c r="BE61" s="188"/>
      <c r="BF61" s="188"/>
      <c r="BG61" s="188"/>
      <c r="BH61" s="188"/>
      <c r="BI61" s="188"/>
      <c r="BJ61" s="188"/>
      <c r="BK61" s="188"/>
      <c r="BL61" s="188"/>
      <c r="BM61" s="188"/>
      <c r="BN61" s="70"/>
      <c r="BO61" s="70"/>
      <c r="BP61" s="70"/>
      <c r="BQ61" s="70"/>
      <c r="BR61" s="70"/>
      <c r="BS61" s="70"/>
      <c r="BT61" s="70"/>
      <c r="BU61" s="70"/>
      <c r="BV61" s="70"/>
      <c r="BW61" s="70"/>
      <c r="BX61" s="70"/>
      <c r="BY61" s="71"/>
    </row>
    <row r="62" spans="1:77" x14ac:dyDescent="0.2">
      <c r="A62" s="192"/>
      <c r="B62" s="188">
        <v>7</v>
      </c>
      <c r="C62" s="185">
        <f t="shared" ca="1" si="20"/>
        <v>9.4720913732105174</v>
      </c>
      <c r="D62" s="185">
        <f t="shared" ca="1" si="21"/>
        <v>10.276717486673871</v>
      </c>
      <c r="E62" s="185">
        <f t="shared" ca="1" si="22"/>
        <v>0.80462611346335322</v>
      </c>
      <c r="F62" s="413">
        <f t="shared" ca="1" si="23"/>
        <v>0.13719999999999999</v>
      </c>
      <c r="G62" s="189">
        <f t="shared" ca="1" si="24"/>
        <v>0.11039470276717206</v>
      </c>
      <c r="H62" s="71"/>
      <c r="I62" s="192"/>
      <c r="J62" s="192"/>
      <c r="K62" s="239"/>
      <c r="L62" s="188"/>
      <c r="M62" s="111"/>
      <c r="N62" s="412" t="s">
        <v>259</v>
      </c>
      <c r="O62" s="111">
        <v>1</v>
      </c>
      <c r="P62" s="111">
        <v>2</v>
      </c>
      <c r="Q62" s="111">
        <v>3</v>
      </c>
      <c r="R62" s="111">
        <v>4</v>
      </c>
      <c r="S62" s="111">
        <v>5</v>
      </c>
      <c r="T62" s="111">
        <v>6</v>
      </c>
      <c r="U62" s="111">
        <v>7</v>
      </c>
      <c r="V62" s="188"/>
      <c r="W62" s="412" t="s">
        <v>73</v>
      </c>
      <c r="X62" s="185">
        <f ca="1">C56</f>
        <v>9.2430954960853189</v>
      </c>
      <c r="Y62" s="188"/>
      <c r="Z62" s="188"/>
      <c r="AA62" s="188"/>
      <c r="AB62" s="188"/>
      <c r="AC62" s="188"/>
      <c r="AD62" s="188"/>
      <c r="AE62" s="188"/>
      <c r="AF62" s="188"/>
      <c r="AG62" s="188"/>
      <c r="AH62" s="188"/>
      <c r="AI62" s="188"/>
      <c r="AJ62" s="188"/>
      <c r="AK62" s="188"/>
      <c r="AL62" s="188"/>
      <c r="AM62" s="188"/>
      <c r="AN62" s="188"/>
      <c r="AO62" s="188"/>
      <c r="AP62" s="188"/>
      <c r="AQ62" s="188"/>
      <c r="AR62" s="188"/>
      <c r="AS62" s="188"/>
      <c r="AT62" s="188"/>
      <c r="AU62" s="188"/>
      <c r="AV62" s="188"/>
      <c r="AW62" s="188"/>
      <c r="AX62" s="188"/>
      <c r="AY62" s="188"/>
      <c r="AZ62" s="188"/>
      <c r="BA62" s="188"/>
      <c r="BB62" s="188"/>
      <c r="BC62" s="188"/>
      <c r="BD62" s="188"/>
      <c r="BE62" s="188"/>
      <c r="BF62" s="188"/>
      <c r="BG62" s="188"/>
      <c r="BH62" s="188"/>
      <c r="BI62" s="188"/>
      <c r="BJ62" s="188"/>
      <c r="BK62" s="188"/>
      <c r="BL62" s="188"/>
      <c r="BM62" s="188"/>
      <c r="BN62" s="70"/>
      <c r="BO62" s="70"/>
      <c r="BP62" s="70"/>
      <c r="BQ62" s="70"/>
      <c r="BR62" s="70"/>
      <c r="BS62" s="70"/>
      <c r="BT62" s="70"/>
      <c r="BU62" s="70"/>
      <c r="BV62" s="70"/>
      <c r="BW62" s="70"/>
      <c r="BX62" s="70"/>
      <c r="BY62" s="71"/>
    </row>
    <row r="63" spans="1:77" x14ac:dyDescent="0.2">
      <c r="A63" s="192"/>
      <c r="B63" s="188">
        <v>8</v>
      </c>
      <c r="C63" s="185">
        <f t="shared" ca="1" si="20"/>
        <v>9.5214856637710561</v>
      </c>
      <c r="D63" s="185">
        <f t="shared" ca="1" si="21"/>
        <v>10.21769234965787</v>
      </c>
      <c r="E63" s="185">
        <f t="shared" ca="1" si="22"/>
        <v>0.69620668588681411</v>
      </c>
      <c r="F63" s="413">
        <f t="shared" ca="1" si="23"/>
        <v>0.1162</v>
      </c>
      <c r="G63" s="189">
        <f t="shared" ca="1" si="24"/>
        <v>8.0899216900047796E-2</v>
      </c>
      <c r="H63" s="71"/>
      <c r="I63" s="192"/>
      <c r="J63" s="192"/>
      <c r="K63" s="239"/>
      <c r="L63" s="188"/>
      <c r="M63" s="202">
        <v>1</v>
      </c>
      <c r="N63" s="185">
        <f t="shared" ref="N63:N102" ca="1" si="25">C56</f>
        <v>9.2430954960853189</v>
      </c>
      <c r="O63" s="111">
        <f t="shared" ref="O63:O102" ca="1" si="26">IF(N63&lt;=Y$70,1,"")</f>
        <v>1</v>
      </c>
      <c r="P63" s="111" t="str">
        <f t="shared" ref="P63:P102" ca="1" si="27">IF(N63&lt;=Y$71,IF(N63&gt;X$71,1,""),"")</f>
        <v/>
      </c>
      <c r="Q63" s="111" t="str">
        <f t="shared" ref="Q63:Q102" ca="1" si="28">IF(N63&lt;=Y$72,IF(N63&gt;X$72,1,""),"")</f>
        <v/>
      </c>
      <c r="R63" s="111" t="str">
        <f t="shared" ref="R63:R102" ca="1" si="29">IF(N63&lt;=Y$73,IF(N63&gt;X$73,1,""),"")</f>
        <v/>
      </c>
      <c r="S63" s="111" t="str">
        <f t="shared" ref="S63:S102" ca="1" si="30">IF(N63&lt;=Y$74,IF(N63&gt;X$74,1,""),"")</f>
        <v/>
      </c>
      <c r="T63" s="111" t="str">
        <f t="shared" ref="T63:T102" ca="1" si="31">IF(N63&lt;=Y$75,IF(N63&gt;X$75,1,""),"")</f>
        <v/>
      </c>
      <c r="U63" s="111" t="str">
        <f t="shared" ref="U63:U102" ca="1" si="32">IF(N63&lt;=Y$76,IF(N63&gt;X$76,1,""),"")</f>
        <v/>
      </c>
      <c r="V63" s="188"/>
      <c r="W63" s="412" t="s">
        <v>71</v>
      </c>
      <c r="X63" s="185">
        <f ca="1">D56</f>
        <v>10.813890021289444</v>
      </c>
      <c r="Y63" s="188"/>
      <c r="Z63" s="188"/>
      <c r="AA63" s="188"/>
      <c r="AB63" s="188"/>
      <c r="AC63" s="188"/>
      <c r="AD63" s="188"/>
      <c r="AE63" s="188"/>
      <c r="AF63" s="188"/>
      <c r="AG63" s="188"/>
      <c r="AH63" s="188"/>
      <c r="AI63" s="188"/>
      <c r="AJ63" s="188"/>
      <c r="AK63" s="188"/>
      <c r="AL63" s="188"/>
      <c r="AM63" s="188"/>
      <c r="AN63" s="188"/>
      <c r="AO63" s="188"/>
      <c r="AP63" s="188"/>
      <c r="AQ63" s="188"/>
      <c r="AR63" s="188"/>
      <c r="AS63" s="188"/>
      <c r="AT63" s="188"/>
      <c r="AU63" s="188"/>
      <c r="AV63" s="188"/>
      <c r="AW63" s="188"/>
      <c r="AX63" s="188"/>
      <c r="AY63" s="188"/>
      <c r="AZ63" s="188"/>
      <c r="BA63" s="188"/>
      <c r="BB63" s="188"/>
      <c r="BC63" s="188"/>
      <c r="BD63" s="188"/>
      <c r="BE63" s="188"/>
      <c r="BF63" s="188"/>
      <c r="BG63" s="188"/>
      <c r="BH63" s="188"/>
      <c r="BI63" s="188"/>
      <c r="BJ63" s="70"/>
      <c r="BK63" s="70"/>
      <c r="BL63" s="70"/>
      <c r="BM63" s="70"/>
      <c r="BN63" s="70"/>
      <c r="BO63" s="70"/>
      <c r="BP63" s="70"/>
      <c r="BQ63" s="70"/>
      <c r="BR63" s="70"/>
      <c r="BS63" s="70"/>
      <c r="BT63" s="70"/>
      <c r="BU63" s="70"/>
      <c r="BV63" s="70"/>
      <c r="BW63" s="70"/>
      <c r="BX63" s="70"/>
      <c r="BY63" s="71"/>
    </row>
    <row r="64" spans="1:77" x14ac:dyDescent="0.2">
      <c r="A64" s="192"/>
      <c r="B64" s="188">
        <v>9</v>
      </c>
      <c r="C64" s="185">
        <f t="shared" ca="1" si="20"/>
        <v>9.5269740513495229</v>
      </c>
      <c r="D64" s="185">
        <f t="shared" ca="1" si="21"/>
        <v>10.153422501644261</v>
      </c>
      <c r="E64" s="185">
        <f t="shared" ca="1" si="22"/>
        <v>0.62644845029473828</v>
      </c>
      <c r="F64" s="413">
        <f t="shared" ca="1" si="23"/>
        <v>9.6500000000000002E-2</v>
      </c>
      <c r="G64" s="189">
        <f ca="1">IF(ISNUMBER(F64),E64*F64,"")</f>
        <v>6.0452275453442249E-2</v>
      </c>
      <c r="H64" s="71"/>
      <c r="I64" s="192"/>
      <c r="J64" s="192"/>
      <c r="K64" s="239"/>
      <c r="L64" s="188"/>
      <c r="M64" s="202">
        <v>2</v>
      </c>
      <c r="N64" s="185">
        <f t="shared" ca="1" si="25"/>
        <v>9.3160772716545104</v>
      </c>
      <c r="O64" s="111">
        <f t="shared" ca="1" si="26"/>
        <v>1</v>
      </c>
      <c r="P64" s="111" t="str">
        <f t="shared" ca="1" si="27"/>
        <v/>
      </c>
      <c r="Q64" s="111" t="str">
        <f t="shared" ca="1" si="28"/>
        <v/>
      </c>
      <c r="R64" s="111" t="str">
        <f t="shared" ca="1" si="29"/>
        <v/>
      </c>
      <c r="S64" s="111" t="str">
        <f t="shared" ca="1" si="30"/>
        <v/>
      </c>
      <c r="T64" s="111" t="str">
        <f t="shared" ca="1" si="31"/>
        <v/>
      </c>
      <c r="U64" s="111" t="str">
        <f t="shared" ca="1" si="32"/>
        <v/>
      </c>
      <c r="V64" s="188"/>
      <c r="W64" s="412" t="s">
        <v>76</v>
      </c>
      <c r="X64" s="185">
        <f ca="1">X63-X62</f>
        <v>1.5707945252041249</v>
      </c>
      <c r="Y64" s="188"/>
      <c r="Z64" s="188"/>
      <c r="AA64" s="188"/>
      <c r="AB64" s="188"/>
      <c r="AC64" s="188"/>
      <c r="AD64" s="188"/>
      <c r="AE64" s="188"/>
      <c r="AF64" s="188"/>
      <c r="AG64" s="188"/>
      <c r="AH64" s="188"/>
      <c r="AI64" s="188"/>
      <c r="AJ64" s="188"/>
      <c r="AK64" s="188"/>
      <c r="AL64" s="188"/>
      <c r="AM64" s="188"/>
      <c r="AN64" s="188"/>
      <c r="AO64" s="188"/>
      <c r="AP64" s="188"/>
      <c r="AQ64" s="188"/>
      <c r="AR64" s="188"/>
      <c r="AS64" s="188"/>
      <c r="AT64" s="188"/>
      <c r="AU64" s="188"/>
      <c r="AV64" s="188"/>
      <c r="AW64" s="188"/>
      <c r="AX64" s="188"/>
      <c r="AY64" s="188"/>
      <c r="AZ64" s="188"/>
      <c r="BA64" s="188"/>
      <c r="BB64" s="188"/>
      <c r="BC64" s="188"/>
      <c r="BD64" s="188"/>
      <c r="BE64" s="188"/>
      <c r="BF64" s="188"/>
      <c r="BG64" s="188"/>
      <c r="BH64" s="188"/>
      <c r="BI64" s="188"/>
      <c r="BJ64" s="70"/>
      <c r="BK64" s="70"/>
      <c r="BL64" s="70"/>
      <c r="BM64" s="70"/>
      <c r="BN64" s="70"/>
      <c r="BO64" s="70"/>
      <c r="BP64" s="70"/>
      <c r="BQ64" s="70"/>
      <c r="BR64" s="70"/>
      <c r="BS64" s="70"/>
      <c r="BT64" s="70"/>
      <c r="BU64" s="70"/>
      <c r="BV64" s="70"/>
      <c r="BW64" s="70"/>
      <c r="BX64" s="70"/>
      <c r="BY64" s="71"/>
    </row>
    <row r="65" spans="1:77" x14ac:dyDescent="0.2">
      <c r="A65" s="192"/>
      <c r="B65" s="188">
        <v>10</v>
      </c>
      <c r="C65" s="185">
        <f t="shared" ca="1" si="20"/>
        <v>9.6172462213949785</v>
      </c>
      <c r="D65" s="185">
        <f t="shared" ca="1" si="21"/>
        <v>10.096045651094164</v>
      </c>
      <c r="E65" s="185">
        <f t="shared" ca="1" si="22"/>
        <v>0.4787994296991851</v>
      </c>
      <c r="F65" s="413">
        <f t="shared" ca="1" si="23"/>
        <v>7.7799999999999994E-2</v>
      </c>
      <c r="G65" s="189">
        <f t="shared" ref="G65:G70" ca="1" si="33">IF(ISNUMBER(F65),E65*F65,"")</f>
        <v>3.72505956305966E-2</v>
      </c>
      <c r="H65" s="71"/>
      <c r="I65" s="192"/>
      <c r="J65" s="192"/>
      <c r="K65" s="231"/>
      <c r="L65" s="188"/>
      <c r="M65" s="202">
        <v>3</v>
      </c>
      <c r="N65" s="185">
        <f t="shared" ca="1" si="25"/>
        <v>9.3297611762664268</v>
      </c>
      <c r="O65" s="111">
        <f t="shared" ca="1" si="26"/>
        <v>1</v>
      </c>
      <c r="P65" s="111" t="str">
        <f t="shared" ca="1" si="27"/>
        <v/>
      </c>
      <c r="Q65" s="111" t="str">
        <f t="shared" ca="1" si="28"/>
        <v/>
      </c>
      <c r="R65" s="111" t="str">
        <f t="shared" ca="1" si="29"/>
        <v/>
      </c>
      <c r="S65" s="111" t="str">
        <f t="shared" ca="1" si="30"/>
        <v/>
      </c>
      <c r="T65" s="111" t="str">
        <f t="shared" ca="1" si="31"/>
        <v/>
      </c>
      <c r="U65" s="111" t="str">
        <f t="shared" ca="1" si="32"/>
        <v/>
      </c>
      <c r="V65" s="188"/>
      <c r="W65" s="412" t="s">
        <v>77</v>
      </c>
      <c r="X65" s="412">
        <f ca="1">INT((1+3.3*LOG10(X61)+0.5))</f>
        <v>6</v>
      </c>
      <c r="Y65" s="188"/>
      <c r="Z65" s="188"/>
      <c r="AA65" s="188"/>
      <c r="AB65" s="188"/>
      <c r="AC65" s="188"/>
      <c r="AD65" s="188"/>
      <c r="AE65" s="188"/>
      <c r="AF65" s="188"/>
      <c r="AG65" s="188"/>
      <c r="AH65" s="188"/>
      <c r="AI65" s="188"/>
      <c r="AJ65" s="188"/>
      <c r="AK65" s="188"/>
      <c r="AL65" s="188"/>
      <c r="AM65" s="188"/>
      <c r="AN65" s="188"/>
      <c r="AO65" s="188"/>
      <c r="AP65" s="188"/>
      <c r="AQ65" s="188"/>
      <c r="AR65" s="188"/>
      <c r="AS65" s="188"/>
      <c r="AT65" s="188"/>
      <c r="AU65" s="188"/>
      <c r="AV65" s="188"/>
      <c r="AW65" s="188"/>
      <c r="AX65" s="188"/>
      <c r="AY65" s="188"/>
      <c r="AZ65" s="188"/>
      <c r="BA65" s="188"/>
      <c r="BB65" s="188"/>
      <c r="BC65" s="188"/>
      <c r="BD65" s="188"/>
      <c r="BE65" s="188"/>
      <c r="BF65" s="188"/>
      <c r="BG65" s="188"/>
      <c r="BH65" s="188"/>
      <c r="BI65" s="188"/>
      <c r="BJ65" s="70"/>
      <c r="BK65" s="70"/>
      <c r="BL65" s="70"/>
      <c r="BM65" s="70"/>
      <c r="BN65" s="70"/>
      <c r="BO65" s="70"/>
      <c r="BP65" s="70"/>
      <c r="BQ65" s="70"/>
      <c r="BR65" s="70"/>
      <c r="BS65" s="70"/>
      <c r="BT65" s="70"/>
      <c r="BU65" s="70"/>
      <c r="BV65" s="70"/>
      <c r="BW65" s="70"/>
      <c r="BX65" s="70"/>
      <c r="BY65" s="71"/>
    </row>
    <row r="66" spans="1:77" x14ac:dyDescent="0.2">
      <c r="A66" s="192"/>
      <c r="B66" s="188">
        <v>11</v>
      </c>
      <c r="C66" s="185">
        <f t="shared" ca="1" si="20"/>
        <v>9.6224202763760349</v>
      </c>
      <c r="D66" s="185">
        <f t="shared" ca="1" si="21"/>
        <v>10.082109305630071</v>
      </c>
      <c r="E66" s="185">
        <f t="shared" ca="1" si="22"/>
        <v>0.45968902925403654</v>
      </c>
      <c r="F66" s="413">
        <f t="shared" ca="1" si="23"/>
        <v>5.9799999999999999E-2</v>
      </c>
      <c r="G66" s="189">
        <f t="shared" ca="1" si="33"/>
        <v>2.7489403949391384E-2</v>
      </c>
      <c r="H66" s="71"/>
      <c r="I66" s="192"/>
      <c r="J66" s="192"/>
      <c r="K66" s="231"/>
      <c r="L66" s="188"/>
      <c r="M66" s="202">
        <v>4</v>
      </c>
      <c r="N66" s="185">
        <f t="shared" ca="1" si="25"/>
        <v>9.329933726668914</v>
      </c>
      <c r="O66" s="111">
        <f t="shared" ca="1" si="26"/>
        <v>1</v>
      </c>
      <c r="P66" s="111" t="str">
        <f t="shared" ca="1" si="27"/>
        <v/>
      </c>
      <c r="Q66" s="111" t="str">
        <f t="shared" ca="1" si="28"/>
        <v/>
      </c>
      <c r="R66" s="111" t="str">
        <f t="shared" ca="1" si="29"/>
        <v/>
      </c>
      <c r="S66" s="111" t="str">
        <f t="shared" ca="1" si="30"/>
        <v/>
      </c>
      <c r="T66" s="111" t="str">
        <f t="shared" ca="1" si="31"/>
        <v/>
      </c>
      <c r="U66" s="111" t="str">
        <f t="shared" ca="1" si="32"/>
        <v/>
      </c>
      <c r="V66" s="188"/>
      <c r="W66" s="412" t="s">
        <v>78</v>
      </c>
      <c r="X66" s="203">
        <f ca="1">X64/X65</f>
        <v>0.26179908753402081</v>
      </c>
      <c r="Y66" s="188"/>
      <c r="Z66" s="188"/>
      <c r="AA66" s="188"/>
      <c r="AB66" s="188"/>
      <c r="AC66" s="188"/>
      <c r="AD66" s="188"/>
      <c r="AE66" s="188"/>
      <c r="AF66" s="188"/>
      <c r="AG66" s="188"/>
      <c r="AH66" s="188"/>
      <c r="AI66" s="188"/>
      <c r="AJ66" s="188"/>
      <c r="AK66" s="188"/>
      <c r="AL66" s="188"/>
      <c r="AM66" s="188"/>
      <c r="AN66" s="188"/>
      <c r="AO66" s="188"/>
      <c r="AP66" s="188"/>
      <c r="AQ66" s="188"/>
      <c r="AR66" s="188"/>
      <c r="AS66" s="188"/>
      <c r="AT66" s="188"/>
      <c r="AU66" s="188"/>
      <c r="AV66" s="188"/>
      <c r="AW66" s="188"/>
      <c r="AX66" s="188"/>
      <c r="AY66" s="188"/>
      <c r="AZ66" s="188"/>
      <c r="BA66" s="188"/>
      <c r="BB66" s="188"/>
      <c r="BC66" s="188"/>
      <c r="BD66" s="188"/>
      <c r="BE66" s="188"/>
      <c r="BF66" s="188"/>
      <c r="BG66" s="188"/>
      <c r="BH66" s="188"/>
      <c r="BI66" s="188"/>
      <c r="BJ66" s="70"/>
      <c r="BK66" s="70"/>
      <c r="BL66" s="70"/>
      <c r="BM66" s="70"/>
      <c r="BN66" s="70"/>
      <c r="BO66" s="70"/>
      <c r="BP66" s="70"/>
      <c r="BQ66" s="70"/>
      <c r="BR66" s="70"/>
      <c r="BS66" s="70"/>
      <c r="BT66" s="70"/>
      <c r="BU66" s="70"/>
      <c r="BV66" s="70"/>
      <c r="BW66" s="70"/>
      <c r="BX66" s="70"/>
      <c r="BY66" s="71"/>
    </row>
    <row r="67" spans="1:77" x14ac:dyDescent="0.2">
      <c r="A67" s="192"/>
      <c r="B67" s="188">
        <v>12</v>
      </c>
      <c r="C67" s="185">
        <f t="shared" ca="1" si="20"/>
        <v>9.6647437446079927</v>
      </c>
      <c r="D67" s="185">
        <f t="shared" ca="1" si="21"/>
        <v>9.9762433702790396</v>
      </c>
      <c r="E67" s="185">
        <f t="shared" ca="1" si="22"/>
        <v>0.31149962567104694</v>
      </c>
      <c r="F67" s="413">
        <f t="shared" ca="1" si="23"/>
        <v>4.24E-2</v>
      </c>
      <c r="G67" s="189">
        <f t="shared" ca="1" si="33"/>
        <v>1.3207584128452391E-2</v>
      </c>
      <c r="H67" s="71"/>
      <c r="I67" s="192"/>
      <c r="J67" s="192"/>
      <c r="K67" s="231"/>
      <c r="L67" s="188"/>
      <c r="M67" s="202">
        <v>5</v>
      </c>
      <c r="N67" s="185">
        <f t="shared" ca="1" si="25"/>
        <v>9.4245242660735347</v>
      </c>
      <c r="O67" s="111">
        <f t="shared" ca="1" si="26"/>
        <v>1</v>
      </c>
      <c r="P67" s="111" t="str">
        <f t="shared" ca="1" si="27"/>
        <v/>
      </c>
      <c r="Q67" s="111" t="str">
        <f t="shared" ca="1" si="28"/>
        <v/>
      </c>
      <c r="R67" s="111" t="str">
        <f t="shared" ca="1" si="29"/>
        <v/>
      </c>
      <c r="S67" s="111" t="str">
        <f t="shared" ca="1" si="30"/>
        <v/>
      </c>
      <c r="T67" s="111" t="str">
        <f t="shared" ca="1" si="31"/>
        <v/>
      </c>
      <c r="U67" s="111" t="str">
        <f t="shared" ca="1" si="32"/>
        <v/>
      </c>
      <c r="V67" s="188"/>
      <c r="W67" s="188"/>
      <c r="X67" s="188"/>
      <c r="Y67" s="188"/>
      <c r="Z67" s="188"/>
      <c r="AA67" s="111"/>
      <c r="AB67" s="188"/>
      <c r="AC67" s="188"/>
      <c r="AD67" s="111"/>
      <c r="AE67" s="111"/>
      <c r="AF67" s="111"/>
      <c r="AG67" s="111"/>
      <c r="AH67" s="111"/>
      <c r="AI67" s="111"/>
      <c r="AJ67" s="111"/>
      <c r="AK67" s="188"/>
      <c r="AL67" s="188"/>
      <c r="AM67" s="188"/>
      <c r="AN67" s="188"/>
      <c r="AO67" s="188"/>
      <c r="AP67" s="188"/>
      <c r="AQ67" s="188"/>
      <c r="AR67" s="188"/>
      <c r="AS67" s="188"/>
      <c r="AT67" s="188"/>
      <c r="AU67" s="188"/>
      <c r="AV67" s="188"/>
      <c r="AW67" s="188"/>
      <c r="AX67" s="188"/>
      <c r="AY67" s="188"/>
      <c r="AZ67" s="188"/>
      <c r="BA67" s="188"/>
      <c r="BB67" s="188"/>
      <c r="BC67" s="188"/>
      <c r="BD67" s="188"/>
      <c r="BE67" s="188"/>
      <c r="BF67" s="188"/>
      <c r="BG67" s="188"/>
      <c r="BH67" s="188"/>
      <c r="BI67" s="188"/>
      <c r="BJ67" s="70"/>
      <c r="BK67" s="70"/>
      <c r="BL67" s="70"/>
      <c r="BM67" s="70"/>
      <c r="BN67" s="70"/>
      <c r="BO67" s="70"/>
      <c r="BP67" s="70"/>
      <c r="BQ67" s="70"/>
      <c r="BR67" s="70"/>
      <c r="BS67" s="70"/>
      <c r="BT67" s="70"/>
      <c r="BU67" s="70"/>
      <c r="BV67" s="70"/>
      <c r="BW67" s="70"/>
      <c r="BX67" s="70"/>
      <c r="BY67" s="71"/>
    </row>
    <row r="68" spans="1:77" x14ac:dyDescent="0.2">
      <c r="B68" s="188">
        <v>13</v>
      </c>
      <c r="C68" s="185">
        <f t="shared" ca="1" si="20"/>
        <v>9.7212469861235586</v>
      </c>
      <c r="D68" s="185">
        <f t="shared" ca="1" si="21"/>
        <v>9.8124477329252571</v>
      </c>
      <c r="E68" s="185">
        <f t="shared" ca="1" si="22"/>
        <v>9.1200746801698429E-2</v>
      </c>
      <c r="F68" s="413">
        <f t="shared" ca="1" si="23"/>
        <v>2.53E-2</v>
      </c>
      <c r="G68" s="189">
        <f t="shared" ca="1" si="33"/>
        <v>2.3073788940829701E-3</v>
      </c>
      <c r="H68" s="71"/>
      <c r="K68" s="231"/>
      <c r="L68" s="188"/>
      <c r="M68" s="202">
        <v>6</v>
      </c>
      <c r="N68" s="185">
        <f t="shared" ca="1" si="25"/>
        <v>9.4486708710314176</v>
      </c>
      <c r="O68" s="111">
        <f t="shared" ca="1" si="26"/>
        <v>1</v>
      </c>
      <c r="P68" s="111" t="str">
        <f t="shared" ca="1" si="27"/>
        <v/>
      </c>
      <c r="Q68" s="111" t="str">
        <f t="shared" ca="1" si="28"/>
        <v/>
      </c>
      <c r="R68" s="111" t="str">
        <f t="shared" ca="1" si="29"/>
        <v/>
      </c>
      <c r="S68" s="111" t="str">
        <f t="shared" ca="1" si="30"/>
        <v/>
      </c>
      <c r="T68" s="111" t="str">
        <f t="shared" ca="1" si="31"/>
        <v/>
      </c>
      <c r="U68" s="111" t="str">
        <f t="shared" ca="1" si="32"/>
        <v/>
      </c>
      <c r="V68" s="188"/>
      <c r="W68" s="419" t="s">
        <v>79</v>
      </c>
      <c r="X68" s="419"/>
      <c r="Y68" s="419"/>
      <c r="Z68" s="419"/>
      <c r="AA68" s="419"/>
      <c r="AB68" s="419" t="s">
        <v>80</v>
      </c>
      <c r="AC68" s="419"/>
      <c r="AD68" s="204"/>
      <c r="AE68" s="111"/>
      <c r="AF68" s="111"/>
      <c r="AG68" s="111"/>
      <c r="AH68" s="111"/>
      <c r="AI68" s="111"/>
      <c r="AJ68" s="111"/>
      <c r="AK68" s="188"/>
      <c r="AL68" s="188"/>
      <c r="AM68" s="188"/>
      <c r="AN68" s="188"/>
      <c r="AO68" s="188"/>
      <c r="AP68" s="188"/>
      <c r="AQ68" s="188"/>
      <c r="AR68" s="188"/>
      <c r="AS68" s="188"/>
      <c r="AT68" s="188"/>
      <c r="AU68" s="188"/>
      <c r="AV68" s="188"/>
      <c r="AW68" s="188"/>
      <c r="AX68" s="188"/>
      <c r="AY68" s="188"/>
      <c r="AZ68" s="188"/>
      <c r="BA68" s="188"/>
      <c r="BB68" s="188"/>
      <c r="BC68" s="188"/>
      <c r="BD68" s="188"/>
      <c r="BE68" s="188"/>
      <c r="BF68" s="188"/>
      <c r="BG68" s="188"/>
      <c r="BH68" s="188"/>
      <c r="BI68" s="188"/>
      <c r="BJ68" s="70"/>
      <c r="BK68" s="70"/>
      <c r="BL68" s="70"/>
      <c r="BM68" s="70"/>
      <c r="BN68" s="70"/>
      <c r="BO68" s="70"/>
      <c r="BP68" s="70"/>
      <c r="BQ68" s="70"/>
      <c r="BR68" s="70"/>
      <c r="BS68" s="70"/>
      <c r="BT68" s="70"/>
      <c r="BU68" s="70"/>
      <c r="BV68" s="70"/>
      <c r="BW68" s="70"/>
      <c r="BX68" s="70"/>
      <c r="BY68" s="71"/>
    </row>
    <row r="69" spans="1:77" x14ac:dyDescent="0.2">
      <c r="B69" s="188">
        <v>14</v>
      </c>
      <c r="C69" s="185">
        <f t="shared" ca="1" si="20"/>
        <v>9.759076468796108</v>
      </c>
      <c r="D69" s="185">
        <f t="shared" ca="1" si="21"/>
        <v>9.8029468250873339</v>
      </c>
      <c r="E69" s="185">
        <f t="shared" ca="1" si="22"/>
        <v>4.3870356291225931E-2</v>
      </c>
      <c r="F69" s="413">
        <f t="shared" ca="1" si="23"/>
        <v>8.3999999999999995E-3</v>
      </c>
      <c r="G69" s="189">
        <f t="shared" ca="1" si="33"/>
        <v>3.685109928462978E-4</v>
      </c>
      <c r="H69" s="71"/>
      <c r="K69" s="231"/>
      <c r="L69" s="188"/>
      <c r="M69" s="202">
        <v>7</v>
      </c>
      <c r="N69" s="185">
        <f t="shared" ca="1" si="25"/>
        <v>9.4720913732105174</v>
      </c>
      <c r="O69" s="111">
        <f t="shared" ca="1" si="26"/>
        <v>1</v>
      </c>
      <c r="P69" s="111" t="str">
        <f t="shared" ca="1" si="27"/>
        <v/>
      </c>
      <c r="Q69" s="111" t="str">
        <f t="shared" ca="1" si="28"/>
        <v/>
      </c>
      <c r="R69" s="111" t="str">
        <f t="shared" ca="1" si="29"/>
        <v/>
      </c>
      <c r="S69" s="111" t="str">
        <f t="shared" ca="1" si="30"/>
        <v/>
      </c>
      <c r="T69" s="111" t="str">
        <f t="shared" ca="1" si="31"/>
        <v/>
      </c>
      <c r="U69" s="111" t="str">
        <f t="shared" ca="1" si="32"/>
        <v/>
      </c>
      <c r="V69" s="188"/>
      <c r="W69" s="411" t="s">
        <v>81</v>
      </c>
      <c r="X69" s="419" t="s">
        <v>82</v>
      </c>
      <c r="Y69" s="419"/>
      <c r="Z69" s="411" t="s">
        <v>59</v>
      </c>
      <c r="AA69" s="411" t="s">
        <v>83</v>
      </c>
      <c r="AB69" s="411" t="s">
        <v>84</v>
      </c>
      <c r="AC69" s="411" t="s">
        <v>85</v>
      </c>
      <c r="AD69" s="205" t="s">
        <v>86</v>
      </c>
      <c r="AE69" s="204"/>
      <c r="AF69" s="204"/>
      <c r="AG69" s="204"/>
      <c r="AH69" s="204"/>
      <c r="AI69" s="204"/>
      <c r="AJ69" s="204"/>
      <c r="AK69" s="188"/>
      <c r="AL69" s="188"/>
      <c r="AM69" s="188"/>
      <c r="AN69" s="188"/>
      <c r="AO69" s="188"/>
      <c r="AP69" s="188"/>
      <c r="AQ69" s="188"/>
      <c r="AR69" s="188"/>
      <c r="AS69" s="188"/>
      <c r="AT69" s="188"/>
      <c r="AU69" s="188"/>
      <c r="AV69" s="188"/>
      <c r="AW69" s="188"/>
      <c r="AX69" s="188"/>
      <c r="AY69" s="188"/>
      <c r="AZ69" s="188"/>
      <c r="BA69" s="188"/>
      <c r="BB69" s="188"/>
      <c r="BC69" s="188"/>
      <c r="BD69" s="188"/>
      <c r="BE69" s="188"/>
      <c r="BF69" s="188"/>
      <c r="BG69" s="188"/>
      <c r="BH69" s="188"/>
      <c r="BI69" s="188"/>
      <c r="BJ69" s="70"/>
      <c r="BK69" s="70"/>
      <c r="BL69" s="70"/>
      <c r="BM69" s="70"/>
      <c r="BN69" s="70"/>
      <c r="BO69" s="70"/>
      <c r="BP69" s="70"/>
      <c r="BQ69" s="70"/>
      <c r="BR69" s="70"/>
      <c r="BS69" s="70"/>
      <c r="BT69" s="70"/>
      <c r="BU69" s="70"/>
      <c r="BV69" s="70"/>
      <c r="BW69" s="70"/>
      <c r="BX69" s="70"/>
      <c r="BY69" s="71"/>
    </row>
    <row r="70" spans="1:77" x14ac:dyDescent="0.2">
      <c r="B70" s="188">
        <v>15</v>
      </c>
      <c r="C70" s="185">
        <f t="shared" ca="1" si="20"/>
        <v>9.8029468250873339</v>
      </c>
      <c r="D70" s="185">
        <f t="shared" ca="1" si="21"/>
        <v>9.759076468796108</v>
      </c>
      <c r="E70" s="185" t="str">
        <f t="shared" ca="1" si="22"/>
        <v/>
      </c>
      <c r="F70" s="413" t="str">
        <f t="shared" ca="1" si="23"/>
        <v/>
      </c>
      <c r="G70" s="189" t="str">
        <f t="shared" ca="1" si="33"/>
        <v/>
      </c>
      <c r="H70" s="71"/>
      <c r="K70" s="231"/>
      <c r="L70" s="188"/>
      <c r="M70" s="202">
        <v>8</v>
      </c>
      <c r="N70" s="185">
        <f t="shared" ca="1" si="25"/>
        <v>9.5214856637710561</v>
      </c>
      <c r="O70" s="111" t="str">
        <f t="shared" ca="1" si="26"/>
        <v/>
      </c>
      <c r="P70" s="111">
        <f t="shared" ca="1" si="27"/>
        <v>1</v>
      </c>
      <c r="Q70" s="111" t="str">
        <f t="shared" ca="1" si="28"/>
        <v/>
      </c>
      <c r="R70" s="111" t="str">
        <f t="shared" ca="1" si="29"/>
        <v/>
      </c>
      <c r="S70" s="111" t="str">
        <f t="shared" ca="1" si="30"/>
        <v/>
      </c>
      <c r="T70" s="111" t="str">
        <f t="shared" ca="1" si="31"/>
        <v/>
      </c>
      <c r="U70" s="111" t="str">
        <f t="shared" ca="1" si="32"/>
        <v/>
      </c>
      <c r="V70" s="188"/>
      <c r="W70" s="411">
        <v>1</v>
      </c>
      <c r="X70" s="98">
        <f ca="1">X62</f>
        <v>9.2430954960853189</v>
      </c>
      <c r="Y70" s="98">
        <f t="shared" ref="Y70:Y76" ca="1" si="34">X70+$X$66</f>
        <v>9.5048945836193397</v>
      </c>
      <c r="Z70" s="411">
        <f ca="1">SUM(O63:O102)</f>
        <v>7</v>
      </c>
      <c r="AA70" s="206">
        <f t="shared" ref="AA70:AA76" ca="1" si="35">Z70/Z$77</f>
        <v>0.25</v>
      </c>
      <c r="AB70" s="98">
        <f t="shared" ref="AB70:AB76" ca="1" si="36">AVERAGE(X70:Y70)</f>
        <v>9.3739950398523284</v>
      </c>
      <c r="AC70" s="98">
        <f t="shared" ref="AC70:AC76" ca="1" si="37">AB70*Z70</f>
        <v>65.617965278966295</v>
      </c>
      <c r="AD70" s="206">
        <f ca="1">AA70</f>
        <v>0.25</v>
      </c>
      <c r="AE70" s="188"/>
      <c r="AF70" s="188"/>
      <c r="AG70" s="188"/>
      <c r="AH70" s="188"/>
      <c r="AI70" s="188"/>
      <c r="AJ70" s="204"/>
      <c r="AK70" s="188"/>
      <c r="AL70" s="188"/>
      <c r="AM70" s="188"/>
      <c r="AN70" s="188"/>
      <c r="AO70" s="188"/>
      <c r="AP70" s="188"/>
      <c r="AQ70" s="188"/>
      <c r="AR70" s="188"/>
      <c r="AS70" s="188"/>
      <c r="AT70" s="188"/>
      <c r="AU70" s="188"/>
      <c r="AV70" s="188"/>
      <c r="AW70" s="188"/>
      <c r="AX70" s="188"/>
      <c r="AY70" s="188"/>
      <c r="AZ70" s="188"/>
      <c r="BA70" s="188"/>
      <c r="BB70" s="188"/>
      <c r="BC70" s="188"/>
      <c r="BD70" s="188"/>
      <c r="BE70" s="188"/>
      <c r="BF70" s="188"/>
      <c r="BG70" s="188"/>
      <c r="BH70" s="188"/>
      <c r="BI70" s="188"/>
      <c r="BJ70" s="70"/>
      <c r="BK70" s="70"/>
      <c r="BL70" s="70"/>
      <c r="BM70" s="70"/>
      <c r="BN70" s="70"/>
      <c r="BO70" s="70"/>
      <c r="BP70" s="70"/>
      <c r="BQ70" s="70"/>
      <c r="BR70" s="70"/>
      <c r="BS70" s="70"/>
      <c r="BT70" s="70"/>
      <c r="BU70" s="70"/>
      <c r="BV70" s="70"/>
      <c r="BW70" s="70"/>
      <c r="BX70" s="70"/>
      <c r="BY70" s="71"/>
    </row>
    <row r="71" spans="1:77" x14ac:dyDescent="0.2">
      <c r="B71" s="188">
        <v>16</v>
      </c>
      <c r="C71" s="185">
        <f t="shared" ca="1" si="20"/>
        <v>9.8124477329252571</v>
      </c>
      <c r="D71" s="185">
        <f t="shared" ca="1" si="21"/>
        <v>9.7212469861235586</v>
      </c>
      <c r="E71" s="185" t="str">
        <f t="shared" ca="1" si="22"/>
        <v/>
      </c>
      <c r="F71" s="413" t="str">
        <f t="shared" ca="1" si="23"/>
        <v/>
      </c>
      <c r="G71" s="189" t="str">
        <f t="shared" ref="G71:G75" ca="1" si="38">IF(ISNUMBER(F71),E71*F71,"")</f>
        <v/>
      </c>
      <c r="H71" s="71"/>
      <c r="K71" s="231"/>
      <c r="L71" s="188"/>
      <c r="M71" s="202">
        <v>9</v>
      </c>
      <c r="N71" s="185">
        <f t="shared" ca="1" si="25"/>
        <v>9.5269740513495229</v>
      </c>
      <c r="O71" s="111" t="str">
        <f t="shared" ca="1" si="26"/>
        <v/>
      </c>
      <c r="P71" s="111">
        <f t="shared" ca="1" si="27"/>
        <v>1</v>
      </c>
      <c r="Q71" s="111" t="str">
        <f t="shared" ca="1" si="28"/>
        <v/>
      </c>
      <c r="R71" s="111" t="str">
        <f t="shared" ca="1" si="29"/>
        <v/>
      </c>
      <c r="S71" s="111" t="str">
        <f t="shared" ca="1" si="30"/>
        <v/>
      </c>
      <c r="T71" s="111" t="str">
        <f t="shared" ca="1" si="31"/>
        <v/>
      </c>
      <c r="U71" s="111" t="str">
        <f t="shared" ca="1" si="32"/>
        <v/>
      </c>
      <c r="V71" s="188"/>
      <c r="W71" s="411">
        <v>2</v>
      </c>
      <c r="X71" s="98">
        <f ca="1">Y70</f>
        <v>9.5048945836193397</v>
      </c>
      <c r="Y71" s="98">
        <f t="shared" ca="1" si="34"/>
        <v>9.7666936711533605</v>
      </c>
      <c r="Z71" s="411">
        <f ca="1">SUM(P63:P102)</f>
        <v>7</v>
      </c>
      <c r="AA71" s="206">
        <f t="shared" ca="1" si="35"/>
        <v>0.25</v>
      </c>
      <c r="AB71" s="98">
        <f t="shared" ca="1" si="36"/>
        <v>9.635794127386351</v>
      </c>
      <c r="AC71" s="98">
        <f t="shared" ca="1" si="37"/>
        <v>67.450558891704461</v>
      </c>
      <c r="AD71" s="206">
        <f t="shared" ref="AD71:AD76" ca="1" si="39">AD70+AA71</f>
        <v>0.5</v>
      </c>
      <c r="AE71" s="188"/>
      <c r="AF71" s="188"/>
      <c r="AG71" s="188"/>
      <c r="AH71" s="188"/>
      <c r="AI71" s="188"/>
      <c r="AJ71" s="204"/>
      <c r="AK71" s="188"/>
      <c r="AL71" s="188"/>
      <c r="AM71" s="188"/>
      <c r="AN71" s="188"/>
      <c r="AO71" s="188"/>
      <c r="AP71" s="188"/>
      <c r="AQ71" s="188"/>
      <c r="AR71" s="188"/>
      <c r="AS71" s="188"/>
      <c r="AT71" s="188"/>
      <c r="AU71" s="188"/>
      <c r="AV71" s="188"/>
      <c r="AW71" s="188"/>
      <c r="AX71" s="188"/>
      <c r="AY71" s="188"/>
      <c r="AZ71" s="188"/>
      <c r="BA71" s="188"/>
      <c r="BB71" s="188"/>
      <c r="BC71" s="188"/>
      <c r="BD71" s="188"/>
      <c r="BE71" s="188"/>
      <c r="BF71" s="188"/>
      <c r="BG71" s="188"/>
      <c r="BH71" s="188"/>
      <c r="BI71" s="188"/>
      <c r="BJ71" s="70"/>
      <c r="BK71" s="70"/>
      <c r="BL71" s="70"/>
      <c r="BM71" s="70"/>
      <c r="BN71" s="70"/>
      <c r="BO71" s="70"/>
      <c r="BP71" s="70"/>
      <c r="BQ71" s="70"/>
      <c r="BR71" s="70"/>
      <c r="BS71" s="70"/>
      <c r="BT71" s="70"/>
      <c r="BU71" s="70"/>
      <c r="BV71" s="70"/>
      <c r="BW71" s="70"/>
      <c r="BX71" s="70"/>
      <c r="BY71" s="71"/>
    </row>
    <row r="72" spans="1:77" x14ac:dyDescent="0.2">
      <c r="B72" s="188">
        <v>17</v>
      </c>
      <c r="C72" s="185">
        <f t="shared" ca="1" si="20"/>
        <v>9.9762433702790396</v>
      </c>
      <c r="D72" s="185">
        <f t="shared" ca="1" si="21"/>
        <v>9.6647437446079927</v>
      </c>
      <c r="E72" s="185" t="str">
        <f t="shared" ca="1" si="22"/>
        <v/>
      </c>
      <c r="F72" s="413" t="str">
        <f t="shared" ca="1" si="23"/>
        <v/>
      </c>
      <c r="G72" s="189" t="str">
        <f t="shared" ca="1" si="38"/>
        <v/>
      </c>
      <c r="H72" s="71"/>
      <c r="K72" s="231"/>
      <c r="L72" s="188"/>
      <c r="M72" s="202">
        <v>10</v>
      </c>
      <c r="N72" s="185">
        <f t="shared" ca="1" si="25"/>
        <v>9.6172462213949785</v>
      </c>
      <c r="O72" s="111" t="str">
        <f t="shared" ca="1" si="26"/>
        <v/>
      </c>
      <c r="P72" s="111">
        <f t="shared" ca="1" si="27"/>
        <v>1</v>
      </c>
      <c r="Q72" s="111" t="str">
        <f t="shared" ca="1" si="28"/>
        <v/>
      </c>
      <c r="R72" s="111" t="str">
        <f t="shared" ca="1" si="29"/>
        <v/>
      </c>
      <c r="S72" s="111" t="str">
        <f t="shared" ca="1" si="30"/>
        <v/>
      </c>
      <c r="T72" s="111" t="str">
        <f t="shared" ca="1" si="31"/>
        <v/>
      </c>
      <c r="U72" s="111" t="str">
        <f t="shared" ca="1" si="32"/>
        <v/>
      </c>
      <c r="V72" s="188"/>
      <c r="W72" s="411">
        <v>3</v>
      </c>
      <c r="X72" s="98">
        <f ca="1">Y71</f>
        <v>9.7666936711533605</v>
      </c>
      <c r="Y72" s="98">
        <f t="shared" ca="1" si="34"/>
        <v>10.028492758687381</v>
      </c>
      <c r="Z72" s="411">
        <f ca="1">SUM(Q63:Q102)</f>
        <v>3</v>
      </c>
      <c r="AA72" s="206">
        <f t="shared" ca="1" si="35"/>
        <v>0.10714285714285714</v>
      </c>
      <c r="AB72" s="98">
        <f t="shared" ca="1" si="36"/>
        <v>9.89759321492037</v>
      </c>
      <c r="AC72" s="98">
        <f t="shared" ca="1" si="37"/>
        <v>29.69277964476111</v>
      </c>
      <c r="AD72" s="206">
        <f t="shared" ca="1" si="39"/>
        <v>0.6071428571428571</v>
      </c>
      <c r="AE72" s="188"/>
      <c r="AF72" s="188"/>
      <c r="AG72" s="188"/>
      <c r="AH72" s="188"/>
      <c r="AI72" s="188"/>
      <c r="AJ72" s="204"/>
      <c r="AK72" s="188"/>
      <c r="AL72" s="188"/>
      <c r="AM72" s="188"/>
      <c r="AN72" s="188"/>
      <c r="AO72" s="188"/>
      <c r="AP72" s="188"/>
      <c r="AQ72" s="188"/>
      <c r="AR72" s="188"/>
      <c r="AS72" s="188"/>
      <c r="AT72" s="188"/>
      <c r="AU72" s="188"/>
      <c r="AV72" s="188"/>
      <c r="AW72" s="188"/>
      <c r="AX72" s="188"/>
      <c r="AY72" s="188"/>
      <c r="AZ72" s="188"/>
      <c r="BA72" s="188"/>
      <c r="BB72" s="188"/>
      <c r="BC72" s="188"/>
      <c r="BD72" s="188"/>
      <c r="BE72" s="188"/>
      <c r="BF72" s="188"/>
      <c r="BG72" s="188"/>
      <c r="BH72" s="188"/>
      <c r="BI72" s="188"/>
      <c r="BJ72" s="70"/>
      <c r="BK72" s="70"/>
      <c r="BL72" s="70"/>
      <c r="BM72" s="70"/>
      <c r="BN72" s="70"/>
      <c r="BO72" s="70"/>
      <c r="BP72" s="70"/>
      <c r="BQ72" s="70"/>
      <c r="BR72" s="70"/>
      <c r="BS72" s="70"/>
      <c r="BT72" s="70"/>
      <c r="BU72" s="70"/>
      <c r="BV72" s="70"/>
      <c r="BW72" s="70"/>
      <c r="BX72" s="70"/>
      <c r="BY72" s="71"/>
    </row>
    <row r="73" spans="1:77" x14ac:dyDescent="0.2">
      <c r="B73" s="188">
        <v>18</v>
      </c>
      <c r="C73" s="185">
        <f t="shared" ca="1" si="20"/>
        <v>10.082109305630071</v>
      </c>
      <c r="D73" s="185">
        <f t="shared" ca="1" si="21"/>
        <v>9.6224202763760349</v>
      </c>
      <c r="E73" s="185" t="str">
        <f t="shared" ca="1" si="22"/>
        <v/>
      </c>
      <c r="F73" s="413" t="str">
        <f t="shared" ca="1" si="23"/>
        <v/>
      </c>
      <c r="G73" s="189" t="str">
        <f t="shared" ca="1" si="38"/>
        <v/>
      </c>
      <c r="H73" s="71"/>
      <c r="K73" s="231"/>
      <c r="L73" s="188"/>
      <c r="M73" s="202">
        <v>11</v>
      </c>
      <c r="N73" s="185">
        <f t="shared" ca="1" si="25"/>
        <v>9.6224202763760349</v>
      </c>
      <c r="O73" s="111" t="str">
        <f t="shared" ca="1" si="26"/>
        <v/>
      </c>
      <c r="P73" s="111">
        <f t="shared" ca="1" si="27"/>
        <v>1</v>
      </c>
      <c r="Q73" s="111" t="str">
        <f t="shared" ca="1" si="28"/>
        <v/>
      </c>
      <c r="R73" s="111" t="str">
        <f t="shared" ca="1" si="29"/>
        <v/>
      </c>
      <c r="S73" s="111" t="str">
        <f t="shared" ca="1" si="30"/>
        <v/>
      </c>
      <c r="T73" s="111" t="str">
        <f t="shared" ca="1" si="31"/>
        <v/>
      </c>
      <c r="U73" s="111" t="str">
        <f t="shared" ca="1" si="32"/>
        <v/>
      </c>
      <c r="V73" s="188"/>
      <c r="W73" s="411">
        <v>4</v>
      </c>
      <c r="X73" s="98">
        <f t="shared" ref="X73:X76" ca="1" si="40">Y72</f>
        <v>10.028492758687381</v>
      </c>
      <c r="Y73" s="98">
        <f t="shared" ca="1" si="34"/>
        <v>10.290291846221402</v>
      </c>
      <c r="Z73" s="411">
        <f ca="1">SUM(R63:R102)</f>
        <v>5</v>
      </c>
      <c r="AA73" s="206">
        <f t="shared" ca="1" si="35"/>
        <v>0.17857142857142858</v>
      </c>
      <c r="AB73" s="98">
        <f t="shared" ca="1" si="36"/>
        <v>10.159392302454393</v>
      </c>
      <c r="AC73" s="98">
        <f t="shared" ca="1" si="37"/>
        <v>50.796961512271963</v>
      </c>
      <c r="AD73" s="206">
        <f t="shared" ca="1" si="39"/>
        <v>0.7857142857142857</v>
      </c>
      <c r="AE73" s="188"/>
      <c r="AF73" s="188"/>
      <c r="AG73" s="188"/>
      <c r="AH73" s="188"/>
      <c r="AI73" s="188"/>
      <c r="AJ73" s="204"/>
      <c r="AK73" s="188"/>
      <c r="AL73" s="188"/>
      <c r="AM73" s="188"/>
      <c r="AN73" s="188"/>
      <c r="AO73" s="188"/>
      <c r="AP73" s="188"/>
      <c r="AQ73" s="188"/>
      <c r="AR73" s="188"/>
      <c r="AS73" s="188"/>
      <c r="AT73" s="188"/>
      <c r="AU73" s="188"/>
      <c r="AV73" s="188"/>
      <c r="AW73" s="188"/>
      <c r="AX73" s="188"/>
      <c r="AY73" s="188"/>
      <c r="AZ73" s="188"/>
      <c r="BA73" s="188"/>
      <c r="BB73" s="188"/>
      <c r="BC73" s="188"/>
      <c r="BD73" s="188"/>
      <c r="BE73" s="188"/>
      <c r="BF73" s="188"/>
      <c r="BG73" s="188"/>
      <c r="BH73" s="188"/>
      <c r="BI73" s="188"/>
      <c r="BJ73" s="70"/>
      <c r="BK73" s="70"/>
      <c r="BL73" s="70"/>
      <c r="BM73" s="70"/>
      <c r="BN73" s="70"/>
      <c r="BO73" s="70"/>
      <c r="BP73" s="70"/>
      <c r="BQ73" s="70"/>
      <c r="BR73" s="70"/>
      <c r="BS73" s="70"/>
      <c r="BT73" s="70"/>
      <c r="BU73" s="70"/>
      <c r="BV73" s="70"/>
      <c r="BW73" s="70"/>
      <c r="BX73" s="70"/>
      <c r="BY73" s="71"/>
    </row>
    <row r="74" spans="1:77" x14ac:dyDescent="0.2">
      <c r="B74" s="188">
        <v>19</v>
      </c>
      <c r="C74" s="185">
        <f t="shared" ca="1" si="20"/>
        <v>10.096045651094164</v>
      </c>
      <c r="D74" s="185">
        <f t="shared" ca="1" si="21"/>
        <v>9.6172462213949785</v>
      </c>
      <c r="E74" s="185" t="str">
        <f t="shared" ca="1" si="22"/>
        <v/>
      </c>
      <c r="F74" s="413" t="str">
        <f t="shared" ca="1" si="23"/>
        <v/>
      </c>
      <c r="G74" s="189" t="str">
        <f t="shared" ca="1" si="38"/>
        <v/>
      </c>
      <c r="H74" s="71"/>
      <c r="K74" s="231"/>
      <c r="L74" s="188"/>
      <c r="M74" s="202">
        <v>12</v>
      </c>
      <c r="N74" s="185">
        <f t="shared" ca="1" si="25"/>
        <v>9.6647437446079927</v>
      </c>
      <c r="O74" s="111" t="str">
        <f t="shared" ca="1" si="26"/>
        <v/>
      </c>
      <c r="P74" s="111">
        <f t="shared" ca="1" si="27"/>
        <v>1</v>
      </c>
      <c r="Q74" s="111" t="str">
        <f t="shared" ca="1" si="28"/>
        <v/>
      </c>
      <c r="R74" s="111" t="str">
        <f t="shared" ca="1" si="29"/>
        <v/>
      </c>
      <c r="S74" s="111" t="str">
        <f t="shared" ca="1" si="30"/>
        <v/>
      </c>
      <c r="T74" s="111" t="str">
        <f t="shared" ca="1" si="31"/>
        <v/>
      </c>
      <c r="U74" s="111" t="str">
        <f t="shared" ca="1" si="32"/>
        <v/>
      </c>
      <c r="V74" s="188"/>
      <c r="W74" s="411">
        <v>5</v>
      </c>
      <c r="X74" s="98">
        <f t="shared" ca="1" si="40"/>
        <v>10.290291846221402</v>
      </c>
      <c r="Y74" s="98">
        <f t="shared" ca="1" si="34"/>
        <v>10.552090933755423</v>
      </c>
      <c r="Z74" s="411">
        <f ca="1">SUM(S63:S102)</f>
        <v>2</v>
      </c>
      <c r="AA74" s="206">
        <f t="shared" ca="1" si="35"/>
        <v>7.1428571428571425E-2</v>
      </c>
      <c r="AB74" s="98">
        <f t="shared" ca="1" si="36"/>
        <v>10.421191389988412</v>
      </c>
      <c r="AC74" s="98">
        <f t="shared" ca="1" si="37"/>
        <v>20.842382779976823</v>
      </c>
      <c r="AD74" s="206">
        <f t="shared" ca="1" si="39"/>
        <v>0.8571428571428571</v>
      </c>
      <c r="AE74" s="188"/>
      <c r="AF74" s="188"/>
      <c r="AG74" s="188"/>
      <c r="AH74" s="188"/>
      <c r="AI74" s="188"/>
      <c r="AJ74" s="204"/>
      <c r="AK74" s="188"/>
      <c r="AL74" s="188"/>
      <c r="AM74" s="188"/>
      <c r="AN74" s="188"/>
      <c r="AO74" s="188"/>
      <c r="AP74" s="188"/>
      <c r="AQ74" s="188"/>
      <c r="AR74" s="188"/>
      <c r="AS74" s="188"/>
      <c r="AT74" s="188"/>
      <c r="AU74" s="188"/>
      <c r="AV74" s="188"/>
      <c r="AW74" s="188"/>
      <c r="AX74" s="188"/>
      <c r="AY74" s="188"/>
      <c r="AZ74" s="188"/>
      <c r="BA74" s="188"/>
      <c r="BB74" s="188"/>
      <c r="BC74" s="188"/>
      <c r="BD74" s="188"/>
      <c r="BE74" s="188"/>
      <c r="BF74" s="188"/>
      <c r="BG74" s="188"/>
      <c r="BH74" s="188"/>
      <c r="BI74" s="188"/>
      <c r="BJ74" s="70"/>
      <c r="BK74" s="70"/>
      <c r="BL74" s="70"/>
      <c r="BM74" s="70"/>
      <c r="BN74" s="70"/>
      <c r="BO74" s="70"/>
      <c r="BP74" s="70"/>
      <c r="BQ74" s="70"/>
      <c r="BR74" s="70"/>
      <c r="BS74" s="70"/>
      <c r="BT74" s="70"/>
      <c r="BU74" s="70"/>
      <c r="BV74" s="70"/>
      <c r="BW74" s="70"/>
      <c r="BX74" s="70"/>
      <c r="BY74" s="71"/>
    </row>
    <row r="75" spans="1:77" x14ac:dyDescent="0.2">
      <c r="B75" s="188">
        <v>20</v>
      </c>
      <c r="C75" s="185">
        <f t="shared" ca="1" si="20"/>
        <v>10.153422501644261</v>
      </c>
      <c r="D75" s="185">
        <f t="shared" ca="1" si="21"/>
        <v>9.5269740513495229</v>
      </c>
      <c r="E75" s="185" t="str">
        <f t="shared" ca="1" si="22"/>
        <v/>
      </c>
      <c r="F75" s="413" t="str">
        <f t="shared" ca="1" si="23"/>
        <v/>
      </c>
      <c r="G75" s="189" t="str">
        <f t="shared" ca="1" si="38"/>
        <v/>
      </c>
      <c r="H75" s="71"/>
      <c r="K75" s="231"/>
      <c r="L75" s="188"/>
      <c r="M75" s="202">
        <v>13</v>
      </c>
      <c r="N75" s="185">
        <f t="shared" ca="1" si="25"/>
        <v>9.7212469861235586</v>
      </c>
      <c r="O75" s="111" t="str">
        <f t="shared" ca="1" si="26"/>
        <v/>
      </c>
      <c r="P75" s="111">
        <f t="shared" ca="1" si="27"/>
        <v>1</v>
      </c>
      <c r="Q75" s="111" t="str">
        <f t="shared" ca="1" si="28"/>
        <v/>
      </c>
      <c r="R75" s="111" t="str">
        <f t="shared" ca="1" si="29"/>
        <v/>
      </c>
      <c r="S75" s="111" t="str">
        <f t="shared" ca="1" si="30"/>
        <v/>
      </c>
      <c r="T75" s="111" t="str">
        <f t="shared" ca="1" si="31"/>
        <v/>
      </c>
      <c r="U75" s="111" t="str">
        <f t="shared" ca="1" si="32"/>
        <v/>
      </c>
      <c r="V75" s="188"/>
      <c r="W75" s="411">
        <v>6</v>
      </c>
      <c r="X75" s="98">
        <f t="shared" ca="1" si="40"/>
        <v>10.552090933755423</v>
      </c>
      <c r="Y75" s="98">
        <f t="shared" ca="1" si="34"/>
        <v>10.813890021289444</v>
      </c>
      <c r="Z75" s="411">
        <f ca="1">SUM(T63:T102)</f>
        <v>4</v>
      </c>
      <c r="AA75" s="206">
        <f t="shared" ca="1" si="35"/>
        <v>0.14285714285714285</v>
      </c>
      <c r="AB75" s="98">
        <f t="shared" ca="1" si="36"/>
        <v>10.682990477522434</v>
      </c>
      <c r="AC75" s="98">
        <f t="shared" ca="1" si="37"/>
        <v>42.731961910089737</v>
      </c>
      <c r="AD75" s="206">
        <f t="shared" ca="1" si="39"/>
        <v>1</v>
      </c>
      <c r="AE75" s="188"/>
      <c r="AF75" s="188"/>
      <c r="AG75" s="188"/>
      <c r="AH75" s="188"/>
      <c r="AI75" s="188"/>
      <c r="AJ75" s="204"/>
      <c r="AK75" s="188"/>
      <c r="AL75" s="188"/>
      <c r="AM75" s="188"/>
      <c r="AN75" s="188"/>
      <c r="AO75" s="188"/>
      <c r="AP75" s="188"/>
      <c r="AQ75" s="188"/>
      <c r="AR75" s="188"/>
      <c r="AS75" s="188"/>
      <c r="AT75" s="188"/>
      <c r="AU75" s="188"/>
      <c r="AV75" s="188"/>
      <c r="AW75" s="188"/>
      <c r="AX75" s="188"/>
      <c r="AY75" s="188"/>
      <c r="AZ75" s="188"/>
      <c r="BA75" s="188"/>
      <c r="BB75" s="188"/>
      <c r="BC75" s="188"/>
      <c r="BD75" s="188"/>
      <c r="BE75" s="188"/>
      <c r="BF75" s="188"/>
      <c r="BG75" s="188"/>
      <c r="BH75" s="188"/>
      <c r="BI75" s="188"/>
      <c r="BJ75" s="70"/>
      <c r="BK75" s="70"/>
      <c r="BL75" s="70"/>
      <c r="BM75" s="70"/>
      <c r="BN75" s="70"/>
      <c r="BO75" s="70"/>
      <c r="BP75" s="70"/>
      <c r="BQ75" s="70"/>
      <c r="BR75" s="70"/>
      <c r="BS75" s="70"/>
      <c r="BT75" s="70"/>
      <c r="BU75" s="70"/>
      <c r="BV75" s="70"/>
      <c r="BW75" s="70"/>
      <c r="BX75" s="70"/>
      <c r="BY75" s="71"/>
    </row>
    <row r="76" spans="1:77" x14ac:dyDescent="0.2">
      <c r="B76" s="188">
        <v>21</v>
      </c>
      <c r="C76" s="185">
        <f t="shared" ca="1" si="20"/>
        <v>10.21769234965787</v>
      </c>
      <c r="D76" s="185">
        <f t="shared" ca="1" si="21"/>
        <v>9.5214856637710561</v>
      </c>
      <c r="E76" s="201" t="str">
        <f t="shared" ca="1" si="22"/>
        <v/>
      </c>
      <c r="F76" s="188"/>
      <c r="G76" s="188"/>
      <c r="H76" s="71"/>
      <c r="K76" s="231"/>
      <c r="L76" s="188"/>
      <c r="M76" s="202">
        <v>14</v>
      </c>
      <c r="N76" s="185">
        <f t="shared" ca="1" si="25"/>
        <v>9.759076468796108</v>
      </c>
      <c r="O76" s="111" t="str">
        <f t="shared" ca="1" si="26"/>
        <v/>
      </c>
      <c r="P76" s="111">
        <f t="shared" ca="1" si="27"/>
        <v>1</v>
      </c>
      <c r="Q76" s="111" t="str">
        <f t="shared" ca="1" si="28"/>
        <v/>
      </c>
      <c r="R76" s="111" t="str">
        <f t="shared" ca="1" si="29"/>
        <v/>
      </c>
      <c r="S76" s="111" t="str">
        <f t="shared" ca="1" si="30"/>
        <v/>
      </c>
      <c r="T76" s="111" t="str">
        <f t="shared" ca="1" si="31"/>
        <v/>
      </c>
      <c r="U76" s="111" t="str">
        <f t="shared" ca="1" si="32"/>
        <v/>
      </c>
      <c r="V76" s="188"/>
      <c r="W76" s="411">
        <v>7</v>
      </c>
      <c r="X76" s="98">
        <f t="shared" ca="1" si="40"/>
        <v>10.813890021289444</v>
      </c>
      <c r="Y76" s="98">
        <f t="shared" ca="1" si="34"/>
        <v>11.075689108823465</v>
      </c>
      <c r="Z76" s="411">
        <f ca="1">SUM(U63:U102)</f>
        <v>0</v>
      </c>
      <c r="AA76" s="206">
        <f t="shared" ca="1" si="35"/>
        <v>0</v>
      </c>
      <c r="AB76" s="98">
        <f t="shared" ca="1" si="36"/>
        <v>10.944789565056453</v>
      </c>
      <c r="AC76" s="98">
        <f t="shared" ca="1" si="37"/>
        <v>0</v>
      </c>
      <c r="AD76" s="206">
        <f t="shared" ca="1" si="39"/>
        <v>1</v>
      </c>
      <c r="AE76" s="188"/>
      <c r="AF76" s="188"/>
      <c r="AG76" s="188"/>
      <c r="AH76" s="188"/>
      <c r="AI76" s="188"/>
      <c r="AJ76" s="204"/>
      <c r="AK76" s="188"/>
      <c r="AL76" s="188"/>
      <c r="AM76" s="188"/>
      <c r="AN76" s="188"/>
      <c r="AO76" s="188"/>
      <c r="AP76" s="188"/>
      <c r="AQ76" s="188"/>
      <c r="AR76" s="188"/>
      <c r="AS76" s="188"/>
      <c r="AT76" s="188"/>
      <c r="AU76" s="188"/>
      <c r="AV76" s="188"/>
      <c r="AW76" s="188"/>
      <c r="AX76" s="188"/>
      <c r="AY76" s="188"/>
      <c r="AZ76" s="188"/>
      <c r="BA76" s="188"/>
      <c r="BB76" s="188"/>
      <c r="BC76" s="188"/>
      <c r="BD76" s="188"/>
      <c r="BE76" s="188"/>
      <c r="BF76" s="188"/>
      <c r="BG76" s="188"/>
      <c r="BH76" s="188"/>
      <c r="BI76" s="188"/>
      <c r="BJ76" s="70"/>
      <c r="BK76" s="70"/>
      <c r="BL76" s="70"/>
      <c r="BM76" s="70"/>
      <c r="BN76" s="70"/>
      <c r="BO76" s="70"/>
      <c r="BP76" s="70"/>
      <c r="BQ76" s="70"/>
      <c r="BR76" s="70"/>
      <c r="BS76" s="70"/>
      <c r="BT76" s="70"/>
      <c r="BU76" s="70"/>
      <c r="BV76" s="70"/>
      <c r="BW76" s="70"/>
      <c r="BX76" s="70"/>
      <c r="BY76" s="71"/>
    </row>
    <row r="77" spans="1:77" x14ac:dyDescent="0.2">
      <c r="B77" s="188">
        <v>22</v>
      </c>
      <c r="C77" s="185">
        <f t="shared" ca="1" si="20"/>
        <v>10.276717486673871</v>
      </c>
      <c r="D77" s="185">
        <f t="shared" ca="1" si="21"/>
        <v>9.4720913732105174</v>
      </c>
      <c r="E77" s="201" t="str">
        <f t="shared" ca="1" si="22"/>
        <v/>
      </c>
      <c r="F77" s="188"/>
      <c r="G77" s="188"/>
      <c r="H77" s="71"/>
      <c r="K77" s="231"/>
      <c r="L77" s="188"/>
      <c r="M77" s="202">
        <v>15</v>
      </c>
      <c r="N77" s="185">
        <f t="shared" ca="1" si="25"/>
        <v>9.8029468250873339</v>
      </c>
      <c r="O77" s="111" t="str">
        <f t="shared" ca="1" si="26"/>
        <v/>
      </c>
      <c r="P77" s="111" t="str">
        <f t="shared" ca="1" si="27"/>
        <v/>
      </c>
      <c r="Q77" s="111">
        <f t="shared" ca="1" si="28"/>
        <v>1</v>
      </c>
      <c r="R77" s="111" t="str">
        <f t="shared" ca="1" si="29"/>
        <v/>
      </c>
      <c r="S77" s="111" t="str">
        <f t="shared" ca="1" si="30"/>
        <v/>
      </c>
      <c r="T77" s="111" t="str">
        <f t="shared" ca="1" si="31"/>
        <v/>
      </c>
      <c r="U77" s="111" t="str">
        <f t="shared" ca="1" si="32"/>
        <v/>
      </c>
      <c r="V77" s="188"/>
      <c r="W77" s="204"/>
      <c r="X77" s="204"/>
      <c r="Y77" s="411" t="s">
        <v>75</v>
      </c>
      <c r="Z77" s="411">
        <f ca="1">SUM(Z70:Z76)</f>
        <v>28</v>
      </c>
      <c r="AA77" s="204"/>
      <c r="AB77" s="411" t="s">
        <v>87</v>
      </c>
      <c r="AC77" s="98">
        <f ca="1">SUM(AC70:AC76)/SUM(Z70:Z76)</f>
        <v>9.8975932149203718</v>
      </c>
      <c r="AD77" s="204"/>
      <c r="AE77" s="188"/>
      <c r="AF77" s="188"/>
      <c r="AG77" s="188"/>
      <c r="AH77" s="188"/>
      <c r="AI77" s="188"/>
      <c r="AJ77" s="204"/>
      <c r="AK77" s="188"/>
      <c r="AL77" s="188"/>
      <c r="AM77" s="188"/>
      <c r="AN77" s="188"/>
      <c r="AO77" s="188"/>
      <c r="AP77" s="188"/>
      <c r="AQ77" s="188"/>
      <c r="AR77" s="188"/>
      <c r="AS77" s="188"/>
      <c r="AT77" s="188"/>
      <c r="AU77" s="188"/>
      <c r="AV77" s="188"/>
      <c r="AW77" s="188"/>
      <c r="AX77" s="188"/>
      <c r="AY77" s="188"/>
      <c r="AZ77" s="188"/>
      <c r="BA77" s="188"/>
      <c r="BB77" s="188"/>
      <c r="BC77" s="188"/>
      <c r="BD77" s="188"/>
      <c r="BE77" s="188"/>
      <c r="BF77" s="188"/>
      <c r="BG77" s="188"/>
      <c r="BH77" s="188"/>
      <c r="BI77" s="188"/>
      <c r="BJ77" s="70"/>
      <c r="BK77" s="70"/>
      <c r="BL77" s="70"/>
      <c r="BM77" s="70"/>
      <c r="BN77" s="70"/>
      <c r="BO77" s="70"/>
      <c r="BP77" s="70"/>
      <c r="BQ77" s="70"/>
      <c r="BR77" s="70"/>
      <c r="BS77" s="70"/>
      <c r="BT77" s="70"/>
      <c r="BU77" s="70"/>
      <c r="BV77" s="70"/>
      <c r="BW77" s="70"/>
      <c r="BX77" s="70"/>
      <c r="BY77" s="71"/>
    </row>
    <row r="78" spans="1:77" x14ac:dyDescent="0.2">
      <c r="B78" s="188">
        <v>23</v>
      </c>
      <c r="C78" s="185">
        <f t="shared" ca="1" si="20"/>
        <v>10.332043675001495</v>
      </c>
      <c r="D78" s="185">
        <f t="shared" ca="1" si="21"/>
        <v>9.4486708710314176</v>
      </c>
      <c r="E78" s="71"/>
      <c r="F78" s="71"/>
      <c r="G78" s="71"/>
      <c r="H78" s="71"/>
      <c r="K78" s="231"/>
      <c r="L78" s="188"/>
      <c r="M78" s="202">
        <v>16</v>
      </c>
      <c r="N78" s="185">
        <f t="shared" ca="1" si="25"/>
        <v>9.8124477329252571</v>
      </c>
      <c r="O78" s="111" t="str">
        <f t="shared" ca="1" si="26"/>
        <v/>
      </c>
      <c r="P78" s="111" t="str">
        <f t="shared" ca="1" si="27"/>
        <v/>
      </c>
      <c r="Q78" s="111">
        <f t="shared" ca="1" si="28"/>
        <v>1</v>
      </c>
      <c r="R78" s="111" t="str">
        <f t="shared" ca="1" si="29"/>
        <v/>
      </c>
      <c r="S78" s="111" t="str">
        <f t="shared" ca="1" si="30"/>
        <v/>
      </c>
      <c r="T78" s="111" t="str">
        <f t="shared" ca="1" si="31"/>
        <v/>
      </c>
      <c r="U78" s="111" t="str">
        <f t="shared" ca="1" si="32"/>
        <v/>
      </c>
      <c r="V78" s="188"/>
      <c r="W78" s="204"/>
      <c r="X78" s="204"/>
      <c r="Y78" s="204"/>
      <c r="Z78" s="204"/>
      <c r="AA78" s="204"/>
      <c r="AB78" s="204"/>
      <c r="AC78" s="204"/>
      <c r="AD78" s="204"/>
      <c r="AE78" s="188"/>
      <c r="AF78" s="188"/>
      <c r="AG78" s="188"/>
      <c r="AH78" s="188"/>
      <c r="AI78" s="188"/>
      <c r="AJ78" s="204"/>
      <c r="AK78" s="188"/>
      <c r="AL78" s="188"/>
      <c r="AM78" s="188"/>
      <c r="AN78" s="188"/>
      <c r="AO78" s="188"/>
      <c r="AP78" s="188"/>
      <c r="AQ78" s="188"/>
      <c r="AR78" s="188"/>
      <c r="AS78" s="188"/>
      <c r="AT78" s="188"/>
      <c r="AU78" s="188"/>
      <c r="AV78" s="188"/>
      <c r="AW78" s="188"/>
      <c r="AX78" s="188"/>
      <c r="AY78" s="188"/>
      <c r="AZ78" s="188"/>
      <c r="BA78" s="188"/>
      <c r="BB78" s="188"/>
      <c r="BC78" s="188"/>
      <c r="BD78" s="188"/>
      <c r="BE78" s="188"/>
      <c r="BF78" s="188"/>
      <c r="BG78" s="188"/>
      <c r="BH78" s="188"/>
      <c r="BI78" s="188"/>
      <c r="BJ78" s="70"/>
      <c r="BK78" s="70"/>
      <c r="BL78" s="70"/>
      <c r="BM78" s="70"/>
      <c r="BN78" s="70"/>
      <c r="BO78" s="70"/>
      <c r="BP78" s="70"/>
      <c r="BQ78" s="70"/>
      <c r="BR78" s="70"/>
      <c r="BS78" s="70"/>
      <c r="BT78" s="70"/>
      <c r="BU78" s="70"/>
      <c r="BV78" s="70"/>
      <c r="BW78" s="70"/>
      <c r="BX78" s="70"/>
      <c r="BY78" s="71"/>
    </row>
    <row r="79" spans="1:77" x14ac:dyDescent="0.2">
      <c r="B79" s="188">
        <v>24</v>
      </c>
      <c r="C79" s="185">
        <f t="shared" ca="1" si="20"/>
        <v>10.408394794590182</v>
      </c>
      <c r="D79" s="185">
        <f t="shared" ca="1" si="21"/>
        <v>9.4245242660735347</v>
      </c>
      <c r="E79" s="71"/>
      <c r="F79" s="71"/>
      <c r="G79" s="71"/>
      <c r="H79" s="71"/>
      <c r="K79" s="231"/>
      <c r="L79" s="188"/>
      <c r="M79" s="202">
        <v>17</v>
      </c>
      <c r="N79" s="185">
        <f t="shared" ca="1" si="25"/>
        <v>9.9762433702790396</v>
      </c>
      <c r="O79" s="111" t="str">
        <f t="shared" ca="1" si="26"/>
        <v/>
      </c>
      <c r="P79" s="111" t="str">
        <f t="shared" ca="1" si="27"/>
        <v/>
      </c>
      <c r="Q79" s="111">
        <f t="shared" ca="1" si="28"/>
        <v>1</v>
      </c>
      <c r="R79" s="111" t="str">
        <f t="shared" ca="1" si="29"/>
        <v/>
      </c>
      <c r="S79" s="111" t="str">
        <f t="shared" ca="1" si="30"/>
        <v/>
      </c>
      <c r="T79" s="111" t="str">
        <f t="shared" ca="1" si="31"/>
        <v/>
      </c>
      <c r="U79" s="111" t="str">
        <f t="shared" ca="1" si="32"/>
        <v/>
      </c>
      <c r="V79" s="188"/>
      <c r="W79" s="207" t="s">
        <v>261</v>
      </c>
      <c r="X79" s="188"/>
      <c r="Y79" s="188"/>
      <c r="Z79" s="188"/>
      <c r="AA79" s="188"/>
      <c r="AB79" s="188"/>
      <c r="AC79" s="188"/>
      <c r="AD79" s="188"/>
      <c r="AE79" s="188"/>
      <c r="AF79" s="188"/>
      <c r="AG79" s="188"/>
      <c r="AH79" s="188"/>
      <c r="AI79" s="188"/>
      <c r="AJ79" s="204"/>
      <c r="AK79" s="188"/>
      <c r="AL79" s="188"/>
      <c r="AM79" s="188"/>
      <c r="AN79" s="188"/>
      <c r="AO79" s="188"/>
      <c r="AP79" s="188"/>
      <c r="AQ79" s="188"/>
      <c r="AR79" s="188"/>
      <c r="AS79" s="188"/>
      <c r="AT79" s="188"/>
      <c r="AU79" s="188"/>
      <c r="AV79" s="188"/>
      <c r="AW79" s="188"/>
      <c r="AX79" s="188"/>
      <c r="AY79" s="188"/>
      <c r="AZ79" s="188"/>
      <c r="BA79" s="188"/>
      <c r="BB79" s="188"/>
      <c r="BC79" s="188"/>
      <c r="BD79" s="188"/>
      <c r="BE79" s="188"/>
      <c r="BF79" s="188"/>
      <c r="BG79" s="188"/>
      <c r="BH79" s="188"/>
      <c r="BI79" s="188"/>
      <c r="BJ79" s="70"/>
      <c r="BK79" s="70"/>
      <c r="BL79" s="70"/>
      <c r="BM79" s="70"/>
      <c r="BN79" s="70"/>
      <c r="BO79" s="70"/>
      <c r="BP79" s="70"/>
      <c r="BQ79" s="70"/>
      <c r="BR79" s="70"/>
      <c r="BS79" s="70"/>
      <c r="BT79" s="70"/>
      <c r="BU79" s="70"/>
      <c r="BV79" s="70"/>
      <c r="BW79" s="70"/>
      <c r="BX79" s="70"/>
      <c r="BY79" s="71"/>
    </row>
    <row r="80" spans="1:77" x14ac:dyDescent="0.2">
      <c r="B80" s="188">
        <v>25</v>
      </c>
      <c r="C80" s="185">
        <f t="shared" ca="1" si="20"/>
        <v>10.567004279282488</v>
      </c>
      <c r="D80" s="185">
        <f t="shared" ca="1" si="21"/>
        <v>9.329933726668914</v>
      </c>
      <c r="E80" s="71"/>
      <c r="F80" s="71"/>
      <c r="G80" s="71"/>
      <c r="H80" s="71"/>
      <c r="K80" s="231"/>
      <c r="L80" s="188"/>
      <c r="M80" s="202">
        <v>18</v>
      </c>
      <c r="N80" s="185">
        <f t="shared" ca="1" si="25"/>
        <v>10.082109305630071</v>
      </c>
      <c r="O80" s="111" t="str">
        <f t="shared" ca="1" si="26"/>
        <v/>
      </c>
      <c r="P80" s="111" t="str">
        <f t="shared" ca="1" si="27"/>
        <v/>
      </c>
      <c r="Q80" s="111" t="str">
        <f t="shared" ca="1" si="28"/>
        <v/>
      </c>
      <c r="R80" s="111">
        <f t="shared" ca="1" si="29"/>
        <v>1</v>
      </c>
      <c r="S80" s="111" t="str">
        <f t="shared" ca="1" si="30"/>
        <v/>
      </c>
      <c r="T80" s="111" t="str">
        <f t="shared" ca="1" si="31"/>
        <v/>
      </c>
      <c r="U80" s="111" t="str">
        <f t="shared" ca="1" si="32"/>
        <v/>
      </c>
      <c r="V80" s="188"/>
      <c r="W80" s="99" t="s">
        <v>121</v>
      </c>
      <c r="X80" s="99" t="s">
        <v>124</v>
      </c>
      <c r="Y80" s="208" t="s">
        <v>122</v>
      </c>
      <c r="Z80" s="99" t="s">
        <v>123</v>
      </c>
      <c r="AA80" s="99" t="s">
        <v>109</v>
      </c>
      <c r="AB80" s="99" t="s">
        <v>110</v>
      </c>
      <c r="AC80" s="207"/>
      <c r="AD80" s="188"/>
      <c r="AE80" s="188"/>
      <c r="AF80" s="188"/>
      <c r="AG80" s="188"/>
      <c r="AH80" s="188"/>
      <c r="AI80" s="188"/>
      <c r="AJ80" s="204"/>
      <c r="AK80" s="188"/>
      <c r="AL80" s="188"/>
      <c r="AM80" s="188"/>
      <c r="AN80" s="188"/>
      <c r="AO80" s="188"/>
      <c r="AP80" s="188"/>
      <c r="AQ80" s="188"/>
      <c r="AR80" s="188"/>
      <c r="AS80" s="188"/>
      <c r="AT80" s="188"/>
      <c r="AU80" s="188"/>
      <c r="AV80" s="188"/>
      <c r="AW80" s="188"/>
      <c r="AX80" s="188"/>
      <c r="AY80" s="188"/>
      <c r="AZ80" s="188"/>
      <c r="BA80" s="188"/>
      <c r="BB80" s="188"/>
      <c r="BC80" s="188"/>
      <c r="BD80" s="188"/>
      <c r="BE80" s="188"/>
      <c r="BF80" s="188"/>
      <c r="BG80" s="188"/>
      <c r="BH80" s="188"/>
      <c r="BI80" s="188"/>
      <c r="BJ80" s="70"/>
      <c r="BK80" s="70"/>
      <c r="BL80" s="70"/>
      <c r="BM80" s="70"/>
      <c r="BN80" s="70"/>
      <c r="BO80" s="70"/>
      <c r="BP80" s="70"/>
      <c r="BQ80" s="70"/>
      <c r="BR80" s="70"/>
      <c r="BS80" s="70"/>
      <c r="BT80" s="70"/>
      <c r="BU80" s="70"/>
      <c r="BV80" s="70"/>
      <c r="BW80" s="70"/>
      <c r="BX80" s="70"/>
      <c r="BY80" s="71"/>
    </row>
    <row r="81" spans="2:77" x14ac:dyDescent="0.2">
      <c r="B81" s="188">
        <v>26</v>
      </c>
      <c r="C81" s="185">
        <f t="shared" ca="1" si="20"/>
        <v>10.61039285343354</v>
      </c>
      <c r="D81" s="185">
        <f t="shared" ca="1" si="21"/>
        <v>9.3297611762664268</v>
      </c>
      <c r="E81" s="71"/>
      <c r="F81" s="71"/>
      <c r="G81" s="71"/>
      <c r="H81" s="71"/>
      <c r="K81" s="231"/>
      <c r="L81" s="188"/>
      <c r="M81" s="202">
        <v>19</v>
      </c>
      <c r="N81" s="185">
        <f t="shared" ca="1" si="25"/>
        <v>10.096045651094164</v>
      </c>
      <c r="O81" s="111" t="str">
        <f t="shared" ca="1" si="26"/>
        <v/>
      </c>
      <c r="P81" s="111" t="str">
        <f t="shared" ca="1" si="27"/>
        <v/>
      </c>
      <c r="Q81" s="111" t="str">
        <f t="shared" ca="1" si="28"/>
        <v/>
      </c>
      <c r="R81" s="111">
        <f t="shared" ca="1" si="29"/>
        <v>1</v>
      </c>
      <c r="S81" s="111" t="str">
        <f t="shared" ca="1" si="30"/>
        <v/>
      </c>
      <c r="T81" s="111" t="str">
        <f t="shared" ca="1" si="31"/>
        <v/>
      </c>
      <c r="U81" s="111" t="str">
        <f t="shared" ca="1" si="32"/>
        <v/>
      </c>
      <c r="V81" s="188"/>
      <c r="W81" s="99">
        <f t="shared" ref="W81:W87" si="41">W70</f>
        <v>1</v>
      </c>
      <c r="X81" s="99">
        <f t="shared" ref="X81:X87" ca="1" si="42">Z70</f>
        <v>7</v>
      </c>
      <c r="Y81" s="208">
        <f ca="1">Y88/COUNT(X81:X87)</f>
        <v>4</v>
      </c>
      <c r="Z81" s="208">
        <f ca="1">X81-Y81</f>
        <v>3</v>
      </c>
      <c r="AA81" s="208">
        <f ca="1">Z81^2</f>
        <v>9</v>
      </c>
      <c r="AB81" s="208">
        <f ca="1">AA81/Y81</f>
        <v>2.25</v>
      </c>
      <c r="AC81" s="207"/>
      <c r="AD81" s="188"/>
      <c r="AE81" s="188"/>
      <c r="AF81" s="188"/>
      <c r="AG81" s="188"/>
      <c r="AH81" s="188"/>
      <c r="AI81" s="188"/>
      <c r="AJ81" s="207"/>
      <c r="AK81" s="188"/>
      <c r="AL81" s="188"/>
      <c r="AM81" s="188"/>
      <c r="AN81" s="188"/>
      <c r="AO81" s="188"/>
      <c r="AP81" s="188"/>
      <c r="AQ81" s="188"/>
      <c r="AR81" s="188"/>
      <c r="AS81" s="188"/>
      <c r="AT81" s="188"/>
      <c r="AU81" s="188"/>
      <c r="AV81" s="188"/>
      <c r="AW81" s="188"/>
      <c r="AX81" s="188"/>
      <c r="AY81" s="188"/>
      <c r="AZ81" s="188"/>
      <c r="BA81" s="188"/>
      <c r="BB81" s="188"/>
      <c r="BC81" s="188"/>
      <c r="BD81" s="188"/>
      <c r="BE81" s="188"/>
      <c r="BF81" s="188"/>
      <c r="BG81" s="188"/>
      <c r="BH81" s="188"/>
      <c r="BI81" s="188"/>
      <c r="BJ81" s="70"/>
      <c r="BK81" s="70"/>
      <c r="BL81" s="70"/>
      <c r="BM81" s="70"/>
      <c r="BN81" s="70"/>
      <c r="BO81" s="70"/>
      <c r="BP81" s="70"/>
      <c r="BQ81" s="70"/>
      <c r="BR81" s="70"/>
      <c r="BS81" s="70"/>
      <c r="BT81" s="70"/>
      <c r="BU81" s="70"/>
      <c r="BV81" s="70"/>
      <c r="BW81" s="70"/>
      <c r="BX81" s="70"/>
      <c r="BY81" s="71"/>
    </row>
    <row r="82" spans="2:77" x14ac:dyDescent="0.2">
      <c r="B82" s="188">
        <v>27</v>
      </c>
      <c r="C82" s="185">
        <f t="shared" ca="1" si="20"/>
        <v>10.676624143801162</v>
      </c>
      <c r="D82" s="185">
        <f t="shared" ca="1" si="21"/>
        <v>9.3160772716545104</v>
      </c>
      <c r="E82" s="71"/>
      <c r="F82" s="71"/>
      <c r="G82" s="71"/>
      <c r="H82" s="71"/>
      <c r="K82" s="231"/>
      <c r="L82" s="188"/>
      <c r="M82" s="202">
        <v>20</v>
      </c>
      <c r="N82" s="185">
        <f t="shared" ca="1" si="25"/>
        <v>10.153422501644261</v>
      </c>
      <c r="O82" s="111" t="str">
        <f t="shared" ca="1" si="26"/>
        <v/>
      </c>
      <c r="P82" s="111" t="str">
        <f t="shared" ca="1" si="27"/>
        <v/>
      </c>
      <c r="Q82" s="111" t="str">
        <f t="shared" ca="1" si="28"/>
        <v/>
      </c>
      <c r="R82" s="111">
        <f t="shared" ca="1" si="29"/>
        <v>1</v>
      </c>
      <c r="S82" s="111" t="str">
        <f t="shared" ca="1" si="30"/>
        <v/>
      </c>
      <c r="T82" s="111" t="str">
        <f t="shared" ca="1" si="31"/>
        <v/>
      </c>
      <c r="U82" s="111" t="str">
        <f t="shared" ca="1" si="32"/>
        <v/>
      </c>
      <c r="V82" s="188"/>
      <c r="W82" s="99">
        <f t="shared" si="41"/>
        <v>2</v>
      </c>
      <c r="X82" s="99">
        <f t="shared" ca="1" si="42"/>
        <v>7</v>
      </c>
      <c r="Y82" s="208">
        <f ca="1">Y81</f>
        <v>4</v>
      </c>
      <c r="Z82" s="208">
        <f ca="1">X82-Y82</f>
        <v>3</v>
      </c>
      <c r="AA82" s="208">
        <f ca="1">Z82^2</f>
        <v>9</v>
      </c>
      <c r="AB82" s="208">
        <f ca="1">AA82/Y82</f>
        <v>2.25</v>
      </c>
      <c r="AC82" s="207"/>
      <c r="AD82" s="188"/>
      <c r="AE82" s="188"/>
      <c r="AF82" s="188"/>
      <c r="AG82" s="188"/>
      <c r="AH82" s="188"/>
      <c r="AI82" s="188"/>
      <c r="AJ82" s="207"/>
      <c r="AK82" s="188"/>
      <c r="AL82" s="188"/>
      <c r="AM82" s="188"/>
      <c r="AN82" s="188"/>
      <c r="AO82" s="188"/>
      <c r="AP82" s="188"/>
      <c r="AQ82" s="188"/>
      <c r="AR82" s="188"/>
      <c r="AS82" s="188"/>
      <c r="AT82" s="188"/>
      <c r="AU82" s="188"/>
      <c r="AV82" s="188"/>
      <c r="AW82" s="188"/>
      <c r="AX82" s="188"/>
      <c r="AY82" s="188"/>
      <c r="AZ82" s="188"/>
      <c r="BA82" s="188"/>
      <c r="BB82" s="188"/>
      <c r="BC82" s="188"/>
      <c r="BD82" s="188"/>
      <c r="BE82" s="188"/>
      <c r="BF82" s="188"/>
      <c r="BG82" s="188"/>
      <c r="BH82" s="188"/>
      <c r="BI82" s="188"/>
      <c r="BJ82" s="70"/>
      <c r="BK82" s="70"/>
      <c r="BL82" s="70"/>
      <c r="BM82" s="70"/>
      <c r="BN82" s="70"/>
      <c r="BO82" s="70"/>
      <c r="BP82" s="70"/>
      <c r="BQ82" s="70"/>
      <c r="BR82" s="70"/>
      <c r="BS82" s="70"/>
      <c r="BT82" s="70"/>
      <c r="BU82" s="70"/>
      <c r="BV82" s="70"/>
      <c r="BW82" s="70"/>
      <c r="BX82" s="70"/>
      <c r="BY82" s="71"/>
    </row>
    <row r="83" spans="2:77" x14ac:dyDescent="0.2">
      <c r="B83" s="188">
        <v>28</v>
      </c>
      <c r="C83" s="185">
        <f t="shared" ca="1" si="20"/>
        <v>10.813890021289444</v>
      </c>
      <c r="D83" s="185">
        <f t="shared" ca="1" si="21"/>
        <v>9.2430954960853189</v>
      </c>
      <c r="E83" s="71"/>
      <c r="F83" s="71"/>
      <c r="G83" s="71"/>
      <c r="H83" s="71"/>
      <c r="K83" s="231"/>
      <c r="L83" s="188"/>
      <c r="M83" s="202">
        <v>21</v>
      </c>
      <c r="N83" s="185">
        <f t="shared" ca="1" si="25"/>
        <v>10.21769234965787</v>
      </c>
      <c r="O83" s="111" t="str">
        <f t="shared" ca="1" si="26"/>
        <v/>
      </c>
      <c r="P83" s="111" t="str">
        <f t="shared" ca="1" si="27"/>
        <v/>
      </c>
      <c r="Q83" s="111" t="str">
        <f t="shared" ca="1" si="28"/>
        <v/>
      </c>
      <c r="R83" s="111">
        <f t="shared" ca="1" si="29"/>
        <v>1</v>
      </c>
      <c r="S83" s="111" t="str">
        <f t="shared" ca="1" si="30"/>
        <v/>
      </c>
      <c r="T83" s="111" t="str">
        <f t="shared" ca="1" si="31"/>
        <v/>
      </c>
      <c r="U83" s="111" t="str">
        <f t="shared" ca="1" si="32"/>
        <v/>
      </c>
      <c r="V83" s="188"/>
      <c r="W83" s="99">
        <f t="shared" si="41"/>
        <v>3</v>
      </c>
      <c r="X83" s="99">
        <f t="shared" ca="1" si="42"/>
        <v>3</v>
      </c>
      <c r="Y83" s="208">
        <f ca="1">Y82</f>
        <v>4</v>
      </c>
      <c r="Z83" s="208">
        <f t="shared" ref="Z83:Z87" ca="1" si="43">X83-Y83</f>
        <v>-1</v>
      </c>
      <c r="AA83" s="208">
        <f ca="1">Z83^2</f>
        <v>1</v>
      </c>
      <c r="AB83" s="208">
        <f ca="1">AA83/Y83</f>
        <v>0.25</v>
      </c>
      <c r="AC83" s="207"/>
      <c r="AD83" s="188"/>
      <c r="AE83" s="188"/>
      <c r="AF83" s="188"/>
      <c r="AG83" s="188"/>
      <c r="AH83" s="188"/>
      <c r="AI83" s="188"/>
      <c r="AJ83" s="207"/>
      <c r="AK83" s="188"/>
      <c r="AL83" s="188"/>
      <c r="AM83" s="188"/>
      <c r="AN83" s="188"/>
      <c r="AO83" s="188"/>
      <c r="AP83" s="188"/>
      <c r="AQ83" s="188"/>
      <c r="AR83" s="188"/>
      <c r="AS83" s="188"/>
      <c r="AT83" s="188"/>
      <c r="AU83" s="188"/>
      <c r="AV83" s="188"/>
      <c r="AW83" s="188"/>
      <c r="AX83" s="188"/>
      <c r="AY83" s="188"/>
      <c r="AZ83" s="188"/>
      <c r="BA83" s="188"/>
      <c r="BB83" s="188"/>
      <c r="BC83" s="188"/>
      <c r="BD83" s="188"/>
      <c r="BE83" s="188"/>
      <c r="BF83" s="188"/>
      <c r="BG83" s="188"/>
      <c r="BH83" s="188"/>
      <c r="BI83" s="188"/>
      <c r="BJ83" s="70"/>
      <c r="BK83" s="70"/>
      <c r="BL83" s="70"/>
      <c r="BM83" s="70"/>
      <c r="BN83" s="70"/>
      <c r="BO83" s="70"/>
      <c r="BP83" s="70"/>
      <c r="BQ83" s="70"/>
      <c r="BR83" s="70"/>
      <c r="BS83" s="70"/>
      <c r="BT83" s="70"/>
      <c r="BU83" s="70"/>
      <c r="BV83" s="70"/>
      <c r="BW83" s="70"/>
      <c r="BX83" s="70"/>
      <c r="BY83" s="71"/>
    </row>
    <row r="84" spans="2:77" x14ac:dyDescent="0.2">
      <c r="B84" s="188">
        <v>29</v>
      </c>
      <c r="C84" s="185" t="str">
        <f t="shared" si="20"/>
        <v/>
      </c>
      <c r="D84" s="185" t="str">
        <f t="shared" si="21"/>
        <v/>
      </c>
      <c r="E84" s="71"/>
      <c r="F84" s="71"/>
      <c r="G84" s="71"/>
      <c r="H84" s="71"/>
      <c r="K84" s="231"/>
      <c r="L84" s="188"/>
      <c r="M84" s="202">
        <v>22</v>
      </c>
      <c r="N84" s="185">
        <f t="shared" ca="1" si="25"/>
        <v>10.276717486673871</v>
      </c>
      <c r="O84" s="111" t="str">
        <f t="shared" ca="1" si="26"/>
        <v/>
      </c>
      <c r="P84" s="111" t="str">
        <f t="shared" ca="1" si="27"/>
        <v/>
      </c>
      <c r="Q84" s="111" t="str">
        <f t="shared" ca="1" si="28"/>
        <v/>
      </c>
      <c r="R84" s="111">
        <f t="shared" ca="1" si="29"/>
        <v>1</v>
      </c>
      <c r="S84" s="111" t="str">
        <f t="shared" ca="1" si="30"/>
        <v/>
      </c>
      <c r="T84" s="111" t="str">
        <f t="shared" ca="1" si="31"/>
        <v/>
      </c>
      <c r="U84" s="111" t="str">
        <f t="shared" ca="1" si="32"/>
        <v/>
      </c>
      <c r="V84" s="188"/>
      <c r="W84" s="99">
        <f t="shared" si="41"/>
        <v>4</v>
      </c>
      <c r="X84" s="99">
        <f t="shared" ca="1" si="42"/>
        <v>5</v>
      </c>
      <c r="Y84" s="208">
        <f ca="1">Y83</f>
        <v>4</v>
      </c>
      <c r="Z84" s="208">
        <f t="shared" ca="1" si="43"/>
        <v>1</v>
      </c>
      <c r="AA84" s="208">
        <f t="shared" ref="AA84" ca="1" si="44">Z84^2</f>
        <v>1</v>
      </c>
      <c r="AB84" s="208">
        <f t="shared" ref="AB84" ca="1" si="45">AA84/Y84</f>
        <v>0.25</v>
      </c>
      <c r="AC84" s="207"/>
      <c r="AD84" s="188"/>
      <c r="AE84" s="188"/>
      <c r="AF84" s="188"/>
      <c r="AG84" s="188"/>
      <c r="AH84" s="188"/>
      <c r="AI84" s="188"/>
      <c r="AJ84" s="99"/>
      <c r="AK84" s="188"/>
      <c r="AL84" s="188"/>
      <c r="AM84" s="188"/>
      <c r="AN84" s="188"/>
      <c r="AO84" s="188"/>
      <c r="AP84" s="188"/>
      <c r="AQ84" s="188"/>
      <c r="AR84" s="188"/>
      <c r="AS84" s="188"/>
      <c r="AT84" s="188"/>
      <c r="AU84" s="188"/>
      <c r="AV84" s="188"/>
      <c r="AW84" s="188"/>
      <c r="AX84" s="188"/>
      <c r="AY84" s="188"/>
      <c r="AZ84" s="188"/>
      <c r="BA84" s="188"/>
      <c r="BB84" s="188"/>
      <c r="BC84" s="188"/>
      <c r="BD84" s="188"/>
      <c r="BE84" s="188"/>
      <c r="BF84" s="188"/>
      <c r="BG84" s="188"/>
      <c r="BH84" s="188"/>
      <c r="BI84" s="188"/>
      <c r="BJ84" s="70"/>
      <c r="BK84" s="70"/>
      <c r="BL84" s="70"/>
      <c r="BM84" s="70"/>
      <c r="BN84" s="70"/>
      <c r="BO84" s="70"/>
      <c r="BP84" s="70"/>
      <c r="BQ84" s="70"/>
      <c r="BR84" s="70"/>
      <c r="BS84" s="70"/>
      <c r="BT84" s="70"/>
      <c r="BU84" s="70"/>
      <c r="BV84" s="70"/>
      <c r="BW84" s="70"/>
      <c r="BX84" s="70"/>
      <c r="BY84" s="71"/>
    </row>
    <row r="85" spans="2:77" x14ac:dyDescent="0.2">
      <c r="B85" s="188">
        <v>30</v>
      </c>
      <c r="C85" s="185" t="str">
        <f t="shared" si="20"/>
        <v/>
      </c>
      <c r="D85" s="185" t="str">
        <f t="shared" si="21"/>
        <v/>
      </c>
      <c r="E85" s="71"/>
      <c r="F85" s="71"/>
      <c r="G85" s="71"/>
      <c r="H85" s="71"/>
      <c r="K85" s="231"/>
      <c r="L85" s="188"/>
      <c r="M85" s="202">
        <v>23</v>
      </c>
      <c r="N85" s="185">
        <f t="shared" ca="1" si="25"/>
        <v>10.332043675001495</v>
      </c>
      <c r="O85" s="111" t="str">
        <f t="shared" ca="1" si="26"/>
        <v/>
      </c>
      <c r="P85" s="111" t="str">
        <f t="shared" ca="1" si="27"/>
        <v/>
      </c>
      <c r="Q85" s="111" t="str">
        <f t="shared" ca="1" si="28"/>
        <v/>
      </c>
      <c r="R85" s="111" t="str">
        <f t="shared" ca="1" si="29"/>
        <v/>
      </c>
      <c r="S85" s="111">
        <f t="shared" ca="1" si="30"/>
        <v>1</v>
      </c>
      <c r="T85" s="111" t="str">
        <f t="shared" ca="1" si="31"/>
        <v/>
      </c>
      <c r="U85" s="111" t="str">
        <f t="shared" ca="1" si="32"/>
        <v/>
      </c>
      <c r="V85" s="188"/>
      <c r="W85" s="99">
        <f t="shared" si="41"/>
        <v>5</v>
      </c>
      <c r="X85" s="99">
        <f t="shared" ca="1" si="42"/>
        <v>2</v>
      </c>
      <c r="Y85" s="208">
        <f t="shared" ref="Y85:Y87" ca="1" si="46">Y84</f>
        <v>4</v>
      </c>
      <c r="Z85" s="208">
        <f t="shared" ca="1" si="43"/>
        <v>-2</v>
      </c>
      <c r="AA85" s="208">
        <f ca="1">Z85^2</f>
        <v>4</v>
      </c>
      <c r="AB85" s="208">
        <f ca="1">AA85/Y85</f>
        <v>1</v>
      </c>
      <c r="AC85" s="204"/>
      <c r="AD85" s="188"/>
      <c r="AE85" s="188"/>
      <c r="AF85" s="188"/>
      <c r="AG85" s="188"/>
      <c r="AH85" s="188"/>
      <c r="AI85" s="188"/>
      <c r="AJ85" s="207"/>
      <c r="AK85" s="188"/>
      <c r="AL85" s="188"/>
      <c r="AM85" s="188"/>
      <c r="AN85" s="188"/>
      <c r="AO85" s="188"/>
      <c r="AP85" s="188"/>
      <c r="AQ85" s="188"/>
      <c r="AR85" s="188"/>
      <c r="AS85" s="188"/>
      <c r="AT85" s="188"/>
      <c r="AU85" s="188"/>
      <c r="AV85" s="188"/>
      <c r="AW85" s="188"/>
      <c r="AX85" s="188"/>
      <c r="AY85" s="188"/>
      <c r="AZ85" s="188"/>
      <c r="BA85" s="188"/>
      <c r="BB85" s="188"/>
      <c r="BC85" s="188"/>
      <c r="BD85" s="188"/>
      <c r="BE85" s="188"/>
      <c r="BF85" s="188"/>
      <c r="BG85" s="188"/>
      <c r="BH85" s="188"/>
      <c r="BI85" s="188"/>
      <c r="BJ85" s="70"/>
      <c r="BK85" s="70"/>
      <c r="BL85" s="70"/>
      <c r="BM85" s="70"/>
      <c r="BN85" s="70"/>
      <c r="BO85" s="70"/>
      <c r="BP85" s="70"/>
      <c r="BQ85" s="70"/>
      <c r="BR85" s="70"/>
      <c r="BS85" s="70"/>
      <c r="BT85" s="70"/>
      <c r="BU85" s="70"/>
      <c r="BV85" s="70"/>
      <c r="BW85" s="70"/>
      <c r="BX85" s="70"/>
      <c r="BY85" s="71"/>
    </row>
    <row r="86" spans="2:77" x14ac:dyDescent="0.2">
      <c r="B86" s="188">
        <v>31</v>
      </c>
      <c r="C86" s="185" t="str">
        <f t="shared" si="20"/>
        <v/>
      </c>
      <c r="D86" s="185" t="str">
        <f t="shared" si="21"/>
        <v/>
      </c>
      <c r="E86" s="71"/>
      <c r="F86" s="71"/>
      <c r="G86" s="71"/>
      <c r="H86" s="71"/>
      <c r="K86" s="231"/>
      <c r="L86" s="188"/>
      <c r="M86" s="202">
        <v>24</v>
      </c>
      <c r="N86" s="185">
        <f t="shared" ca="1" si="25"/>
        <v>10.408394794590182</v>
      </c>
      <c r="O86" s="111" t="str">
        <f t="shared" ca="1" si="26"/>
        <v/>
      </c>
      <c r="P86" s="111" t="str">
        <f t="shared" ca="1" si="27"/>
        <v/>
      </c>
      <c r="Q86" s="111" t="str">
        <f t="shared" ca="1" si="28"/>
        <v/>
      </c>
      <c r="R86" s="111" t="str">
        <f t="shared" ca="1" si="29"/>
        <v/>
      </c>
      <c r="S86" s="111">
        <f t="shared" ca="1" si="30"/>
        <v>1</v>
      </c>
      <c r="T86" s="111" t="str">
        <f t="shared" ca="1" si="31"/>
        <v/>
      </c>
      <c r="U86" s="111" t="str">
        <f t="shared" ca="1" si="32"/>
        <v/>
      </c>
      <c r="V86" s="188"/>
      <c r="W86" s="99">
        <f t="shared" si="41"/>
        <v>6</v>
      </c>
      <c r="X86" s="99">
        <f t="shared" ca="1" si="42"/>
        <v>4</v>
      </c>
      <c r="Y86" s="208">
        <f t="shared" ca="1" si="46"/>
        <v>4</v>
      </c>
      <c r="Z86" s="208">
        <f t="shared" ca="1" si="43"/>
        <v>0</v>
      </c>
      <c r="AA86" s="208">
        <f t="shared" ref="AA86" ca="1" si="47">Z86^2</f>
        <v>0</v>
      </c>
      <c r="AB86" s="208">
        <f ca="1">AA86/Y86</f>
        <v>0</v>
      </c>
      <c r="AC86" s="204"/>
      <c r="AD86" s="188"/>
      <c r="AE86" s="188"/>
      <c r="AF86" s="188"/>
      <c r="AG86" s="188"/>
      <c r="AH86" s="188"/>
      <c r="AI86" s="188"/>
      <c r="AJ86" s="207"/>
      <c r="AK86" s="188"/>
      <c r="AL86" s="188"/>
      <c r="AM86" s="188"/>
      <c r="AN86" s="188"/>
      <c r="AO86" s="188"/>
      <c r="AP86" s="188"/>
      <c r="AQ86" s="188"/>
      <c r="AR86" s="188"/>
      <c r="AS86" s="188"/>
      <c r="AT86" s="188"/>
      <c r="AU86" s="188"/>
      <c r="AV86" s="188"/>
      <c r="AW86" s="188"/>
      <c r="AX86" s="188"/>
      <c r="AY86" s="188"/>
      <c r="AZ86" s="188"/>
      <c r="BA86" s="188"/>
      <c r="BB86" s="188"/>
      <c r="BC86" s="188"/>
      <c r="BD86" s="188"/>
      <c r="BE86" s="188"/>
      <c r="BF86" s="188"/>
      <c r="BG86" s="188"/>
      <c r="BH86" s="188"/>
      <c r="BI86" s="188"/>
      <c r="BJ86" s="70"/>
      <c r="BK86" s="70"/>
      <c r="BL86" s="70"/>
      <c r="BM86" s="70"/>
      <c r="BN86" s="70"/>
      <c r="BO86" s="70"/>
      <c r="BP86" s="70"/>
      <c r="BQ86" s="70"/>
      <c r="BR86" s="70"/>
      <c r="BS86" s="70"/>
      <c r="BT86" s="70"/>
      <c r="BU86" s="70"/>
      <c r="BV86" s="70"/>
      <c r="BW86" s="70"/>
      <c r="BX86" s="70"/>
      <c r="BY86" s="71"/>
    </row>
    <row r="87" spans="2:77" x14ac:dyDescent="0.2">
      <c r="B87" s="188">
        <v>32</v>
      </c>
      <c r="C87" s="185" t="str">
        <f t="shared" si="20"/>
        <v/>
      </c>
      <c r="D87" s="185" t="str">
        <f t="shared" si="21"/>
        <v/>
      </c>
      <c r="E87" s="71"/>
      <c r="F87" s="71"/>
      <c r="G87" s="71"/>
      <c r="H87" s="71"/>
      <c r="K87" s="231"/>
      <c r="L87" s="188"/>
      <c r="M87" s="202">
        <v>25</v>
      </c>
      <c r="N87" s="185">
        <f t="shared" ca="1" si="25"/>
        <v>10.567004279282488</v>
      </c>
      <c r="O87" s="111" t="str">
        <f t="shared" ca="1" si="26"/>
        <v/>
      </c>
      <c r="P87" s="111" t="str">
        <f t="shared" ca="1" si="27"/>
        <v/>
      </c>
      <c r="Q87" s="111" t="str">
        <f t="shared" ca="1" si="28"/>
        <v/>
      </c>
      <c r="R87" s="111" t="str">
        <f t="shared" ca="1" si="29"/>
        <v/>
      </c>
      <c r="S87" s="111" t="str">
        <f t="shared" ca="1" si="30"/>
        <v/>
      </c>
      <c r="T87" s="111">
        <f t="shared" ca="1" si="31"/>
        <v>1</v>
      </c>
      <c r="U87" s="111" t="str">
        <f t="shared" ca="1" si="32"/>
        <v/>
      </c>
      <c r="V87" s="188"/>
      <c r="W87" s="99">
        <f t="shared" si="41"/>
        <v>7</v>
      </c>
      <c r="X87" s="99">
        <f t="shared" ca="1" si="42"/>
        <v>0</v>
      </c>
      <c r="Y87" s="208">
        <f t="shared" ca="1" si="46"/>
        <v>4</v>
      </c>
      <c r="Z87" s="208">
        <f t="shared" ca="1" si="43"/>
        <v>-4</v>
      </c>
      <c r="AA87" s="208">
        <f ca="1">Z87^2</f>
        <v>16</v>
      </c>
      <c r="AB87" s="208">
        <f ca="1">AA87/Y87</f>
        <v>4</v>
      </c>
      <c r="AC87" s="204"/>
      <c r="AD87" s="188"/>
      <c r="AE87" s="188"/>
      <c r="AF87" s="188"/>
      <c r="AG87" s="188"/>
      <c r="AH87" s="188"/>
      <c r="AI87" s="188"/>
      <c r="AJ87" s="207"/>
      <c r="AK87" s="188"/>
      <c r="AL87" s="188"/>
      <c r="AM87" s="188"/>
      <c r="AN87" s="188"/>
      <c r="AO87" s="188"/>
      <c r="AP87" s="188"/>
      <c r="AQ87" s="188"/>
      <c r="AR87" s="188"/>
      <c r="AS87" s="188"/>
      <c r="AT87" s="188"/>
      <c r="AU87" s="188"/>
      <c r="AV87" s="188"/>
      <c r="AW87" s="188"/>
      <c r="AX87" s="188"/>
      <c r="AY87" s="188"/>
      <c r="AZ87" s="188"/>
      <c r="BA87" s="188"/>
      <c r="BB87" s="188"/>
      <c r="BC87" s="188"/>
      <c r="BD87" s="188"/>
      <c r="BE87" s="188"/>
      <c r="BF87" s="188"/>
      <c r="BG87" s="188"/>
      <c r="BH87" s="188"/>
      <c r="BI87" s="188"/>
      <c r="BJ87" s="70"/>
      <c r="BK87" s="70"/>
      <c r="BL87" s="70"/>
      <c r="BM87" s="70"/>
      <c r="BN87" s="70"/>
      <c r="BO87" s="70"/>
      <c r="BP87" s="70"/>
      <c r="BQ87" s="70"/>
      <c r="BR87" s="70"/>
      <c r="BS87" s="70"/>
      <c r="BT87" s="70"/>
      <c r="BU87" s="70"/>
      <c r="BV87" s="70"/>
      <c r="BW87" s="70"/>
      <c r="BX87" s="70"/>
      <c r="BY87" s="71"/>
    </row>
    <row r="88" spans="2:77" x14ac:dyDescent="0.2">
      <c r="B88" s="188">
        <v>33</v>
      </c>
      <c r="C88" s="185" t="str">
        <f t="shared" si="20"/>
        <v/>
      </c>
      <c r="D88" s="185" t="str">
        <f t="shared" si="21"/>
        <v/>
      </c>
      <c r="E88" s="71"/>
      <c r="F88" s="71"/>
      <c r="G88" s="71"/>
      <c r="H88" s="71"/>
      <c r="K88" s="231"/>
      <c r="L88" s="188"/>
      <c r="M88" s="202">
        <v>26</v>
      </c>
      <c r="N88" s="185">
        <f t="shared" ca="1" si="25"/>
        <v>10.61039285343354</v>
      </c>
      <c r="O88" s="111" t="str">
        <f t="shared" ca="1" si="26"/>
        <v/>
      </c>
      <c r="P88" s="111" t="str">
        <f t="shared" ca="1" si="27"/>
        <v/>
      </c>
      <c r="Q88" s="111" t="str">
        <f t="shared" ca="1" si="28"/>
        <v/>
      </c>
      <c r="R88" s="111" t="str">
        <f t="shared" ca="1" si="29"/>
        <v/>
      </c>
      <c r="S88" s="111" t="str">
        <f t="shared" ca="1" si="30"/>
        <v/>
      </c>
      <c r="T88" s="111">
        <f t="shared" ca="1" si="31"/>
        <v>1</v>
      </c>
      <c r="U88" s="111" t="str">
        <f t="shared" ca="1" si="32"/>
        <v/>
      </c>
      <c r="V88" s="188"/>
      <c r="W88" s="99" t="s">
        <v>111</v>
      </c>
      <c r="X88" s="99">
        <f ca="1">SUM(X81:X87)</f>
        <v>28</v>
      </c>
      <c r="Y88" s="99">
        <f ca="1">X88</f>
        <v>28</v>
      </c>
      <c r="Z88" s="208">
        <f ca="1">SUM(Z81:Z87)</f>
        <v>0</v>
      </c>
      <c r="AA88" s="208">
        <f ca="1">SUM(AA81:AA87)</f>
        <v>40</v>
      </c>
      <c r="AB88" s="208">
        <f ca="1">SUM(AB81:AB87)</f>
        <v>10</v>
      </c>
      <c r="AC88" s="99" t="s">
        <v>112</v>
      </c>
      <c r="AD88" s="188"/>
      <c r="AE88" s="188"/>
      <c r="AF88" s="188"/>
      <c r="AG88" s="188"/>
      <c r="AH88" s="188"/>
      <c r="AI88" s="188"/>
      <c r="AJ88" s="204"/>
      <c r="AK88" s="188"/>
      <c r="AL88" s="188"/>
      <c r="AM88" s="188"/>
      <c r="AN88" s="188"/>
      <c r="AO88" s="188"/>
      <c r="AP88" s="188"/>
      <c r="AQ88" s="188"/>
      <c r="AR88" s="188"/>
      <c r="AS88" s="188"/>
      <c r="AT88" s="188"/>
      <c r="AU88" s="188"/>
      <c r="AV88" s="188"/>
      <c r="AW88" s="188"/>
      <c r="AX88" s="188"/>
      <c r="AY88" s="188"/>
      <c r="AZ88" s="188"/>
      <c r="BA88" s="188"/>
      <c r="BB88" s="188"/>
      <c r="BC88" s="188"/>
      <c r="BD88" s="188"/>
      <c r="BE88" s="188"/>
      <c r="BF88" s="188"/>
      <c r="BG88" s="188"/>
      <c r="BH88" s="188"/>
      <c r="BI88" s="188"/>
      <c r="BJ88" s="70"/>
      <c r="BK88" s="70"/>
      <c r="BL88" s="70"/>
      <c r="BM88" s="70"/>
      <c r="BN88" s="70"/>
      <c r="BO88" s="70"/>
      <c r="BP88" s="70"/>
      <c r="BQ88" s="70"/>
      <c r="BR88" s="70"/>
      <c r="BS88" s="70"/>
      <c r="BT88" s="70"/>
      <c r="BU88" s="70"/>
      <c r="BV88" s="70"/>
      <c r="BW88" s="70"/>
      <c r="BX88" s="70"/>
      <c r="BY88" s="71"/>
    </row>
    <row r="89" spans="2:77" x14ac:dyDescent="0.2">
      <c r="B89" s="188">
        <v>34</v>
      </c>
      <c r="C89" s="185" t="str">
        <f t="shared" si="20"/>
        <v/>
      </c>
      <c r="D89" s="185" t="str">
        <f t="shared" si="21"/>
        <v/>
      </c>
      <c r="E89" s="71"/>
      <c r="F89" s="71"/>
      <c r="G89" s="71"/>
      <c r="H89" s="71"/>
      <c r="K89" s="231"/>
      <c r="L89" s="188"/>
      <c r="M89" s="202">
        <v>27</v>
      </c>
      <c r="N89" s="185">
        <f t="shared" ca="1" si="25"/>
        <v>10.676624143801162</v>
      </c>
      <c r="O89" s="111" t="str">
        <f t="shared" ca="1" si="26"/>
        <v/>
      </c>
      <c r="P89" s="111" t="str">
        <f t="shared" ca="1" si="27"/>
        <v/>
      </c>
      <c r="Q89" s="111" t="str">
        <f t="shared" ca="1" si="28"/>
        <v/>
      </c>
      <c r="R89" s="111" t="str">
        <f t="shared" ca="1" si="29"/>
        <v/>
      </c>
      <c r="S89" s="111" t="str">
        <f t="shared" ca="1" si="30"/>
        <v/>
      </c>
      <c r="T89" s="111">
        <f t="shared" ca="1" si="31"/>
        <v>1</v>
      </c>
      <c r="U89" s="111" t="str">
        <f t="shared" ca="1" si="32"/>
        <v/>
      </c>
      <c r="V89" s="188"/>
      <c r="W89" s="207"/>
      <c r="X89" s="207"/>
      <c r="Y89" s="207"/>
      <c r="Z89" s="207"/>
      <c r="AA89" s="207"/>
      <c r="AB89" s="208">
        <f ca="1">CHIINV(0.05,COUNT(X81:X87)-1)</f>
        <v>12.591587243743978</v>
      </c>
      <c r="AC89" s="99" t="s">
        <v>125</v>
      </c>
      <c r="AD89" s="188"/>
      <c r="AE89" s="188"/>
      <c r="AF89" s="188"/>
      <c r="AG89" s="188"/>
      <c r="AH89" s="188"/>
      <c r="AI89" s="188"/>
      <c r="AJ89" s="204"/>
      <c r="AK89" s="188"/>
      <c r="AL89" s="188"/>
      <c r="AM89" s="188"/>
      <c r="AN89" s="188"/>
      <c r="AO89" s="188"/>
      <c r="AP89" s="188"/>
      <c r="AQ89" s="188"/>
      <c r="AR89" s="188"/>
      <c r="AS89" s="188"/>
      <c r="AT89" s="188"/>
      <c r="AU89" s="188"/>
      <c r="AV89" s="188"/>
      <c r="AW89" s="188"/>
      <c r="AX89" s="188"/>
      <c r="AY89" s="188"/>
      <c r="AZ89" s="188"/>
      <c r="BA89" s="188"/>
      <c r="BB89" s="188"/>
      <c r="BC89" s="188"/>
      <c r="BD89" s="188"/>
      <c r="BE89" s="188"/>
      <c r="BF89" s="188"/>
      <c r="BG89" s="188"/>
      <c r="BH89" s="188"/>
      <c r="BI89" s="188"/>
      <c r="BJ89" s="70"/>
      <c r="BK89" s="70"/>
      <c r="BL89" s="70"/>
      <c r="BM89" s="70"/>
      <c r="BN89" s="70"/>
      <c r="BO89" s="70"/>
      <c r="BP89" s="70"/>
      <c r="BQ89" s="70"/>
      <c r="BR89" s="70"/>
      <c r="BS89" s="70"/>
      <c r="BT89" s="70"/>
      <c r="BU89" s="70"/>
      <c r="BV89" s="70"/>
      <c r="BW89" s="70"/>
      <c r="BX89" s="70"/>
      <c r="BY89" s="71"/>
    </row>
    <row r="90" spans="2:77" x14ac:dyDescent="0.2">
      <c r="B90" s="188">
        <v>35</v>
      </c>
      <c r="C90" s="185" t="str">
        <f t="shared" si="20"/>
        <v/>
      </c>
      <c r="D90" s="185" t="str">
        <f t="shared" si="21"/>
        <v/>
      </c>
      <c r="E90" s="71"/>
      <c r="F90" s="71"/>
      <c r="G90" s="71"/>
      <c r="H90" s="71"/>
      <c r="K90" s="231"/>
      <c r="L90" s="188"/>
      <c r="M90" s="202">
        <v>28</v>
      </c>
      <c r="N90" s="185">
        <f t="shared" ca="1" si="25"/>
        <v>10.813890021289444</v>
      </c>
      <c r="O90" s="111" t="str">
        <f t="shared" ca="1" si="26"/>
        <v/>
      </c>
      <c r="P90" s="111" t="str">
        <f t="shared" ca="1" si="27"/>
        <v/>
      </c>
      <c r="Q90" s="111" t="str">
        <f t="shared" ca="1" si="28"/>
        <v/>
      </c>
      <c r="R90" s="111" t="str">
        <f t="shared" ca="1" si="29"/>
        <v/>
      </c>
      <c r="S90" s="111" t="str">
        <f t="shared" ca="1" si="30"/>
        <v/>
      </c>
      <c r="T90" s="111">
        <f t="shared" ca="1" si="31"/>
        <v>1</v>
      </c>
      <c r="U90" s="111" t="str">
        <f t="shared" ca="1" si="32"/>
        <v/>
      </c>
      <c r="V90" s="188"/>
      <c r="W90" s="204"/>
      <c r="X90" s="204"/>
      <c r="Y90" s="204"/>
      <c r="Z90" s="204"/>
      <c r="AA90" s="204"/>
      <c r="AB90" s="204"/>
      <c r="AC90" s="204"/>
      <c r="AD90" s="204"/>
      <c r="AE90" s="204"/>
      <c r="AF90" s="188"/>
      <c r="AG90" s="188"/>
      <c r="AH90" s="188"/>
      <c r="AI90" s="188"/>
      <c r="AJ90" s="204"/>
      <c r="AK90" s="188"/>
      <c r="AL90" s="188"/>
      <c r="AM90" s="188"/>
      <c r="AN90" s="188"/>
      <c r="AO90" s="188"/>
      <c r="AP90" s="188"/>
      <c r="AQ90" s="188"/>
      <c r="AR90" s="188"/>
      <c r="AS90" s="188"/>
      <c r="AT90" s="188"/>
      <c r="AU90" s="188"/>
      <c r="AV90" s="188"/>
      <c r="AW90" s="188"/>
      <c r="AX90" s="188"/>
      <c r="AY90" s="188"/>
      <c r="AZ90" s="188"/>
      <c r="BA90" s="188"/>
      <c r="BB90" s="188"/>
      <c r="BC90" s="188"/>
      <c r="BD90" s="188"/>
      <c r="BE90" s="188"/>
      <c r="BF90" s="188"/>
      <c r="BG90" s="188"/>
      <c r="BH90" s="188"/>
      <c r="BI90" s="188"/>
      <c r="BJ90" s="70"/>
      <c r="BK90" s="70"/>
      <c r="BL90" s="70"/>
      <c r="BM90" s="70"/>
      <c r="BN90" s="70"/>
      <c r="BO90" s="70"/>
      <c r="BP90" s="70"/>
      <c r="BQ90" s="70"/>
      <c r="BR90" s="70"/>
      <c r="BS90" s="70"/>
      <c r="BT90" s="70"/>
      <c r="BU90" s="70"/>
      <c r="BV90" s="70"/>
      <c r="BW90" s="70"/>
      <c r="BX90" s="70"/>
      <c r="BY90" s="71"/>
    </row>
    <row r="91" spans="2:77" x14ac:dyDescent="0.2">
      <c r="B91" s="188">
        <v>36</v>
      </c>
      <c r="C91" s="185" t="str">
        <f t="shared" si="20"/>
        <v/>
      </c>
      <c r="D91" s="185" t="str">
        <f t="shared" si="21"/>
        <v/>
      </c>
      <c r="E91" s="71"/>
      <c r="F91" s="71"/>
      <c r="G91" s="71"/>
      <c r="H91" s="71"/>
      <c r="K91" s="231"/>
      <c r="L91" s="188"/>
      <c r="M91" s="202">
        <v>29</v>
      </c>
      <c r="N91" s="185" t="str">
        <f t="shared" si="25"/>
        <v/>
      </c>
      <c r="O91" s="111" t="str">
        <f t="shared" ca="1" si="26"/>
        <v/>
      </c>
      <c r="P91" s="111" t="str">
        <f t="shared" ca="1" si="27"/>
        <v/>
      </c>
      <c r="Q91" s="111" t="str">
        <f t="shared" ca="1" si="28"/>
        <v/>
      </c>
      <c r="R91" s="111" t="str">
        <f t="shared" ca="1" si="29"/>
        <v/>
      </c>
      <c r="S91" s="111" t="str">
        <f t="shared" ca="1" si="30"/>
        <v/>
      </c>
      <c r="T91" s="111" t="str">
        <f t="shared" ca="1" si="31"/>
        <v/>
      </c>
      <c r="U91" s="111" t="str">
        <f t="shared" ca="1" si="32"/>
        <v/>
      </c>
      <c r="V91" s="188"/>
      <c r="W91" s="188"/>
      <c r="X91" s="188"/>
      <c r="Y91" s="188"/>
      <c r="Z91" s="188"/>
      <c r="AA91" s="188"/>
      <c r="AB91" s="188"/>
      <c r="AC91" s="188"/>
      <c r="AD91" s="188"/>
      <c r="AE91" s="188"/>
      <c r="AF91" s="188"/>
      <c r="AG91" s="188"/>
      <c r="AH91" s="188"/>
      <c r="AI91" s="188"/>
      <c r="AJ91" s="204"/>
      <c r="AK91" s="188"/>
      <c r="AL91" s="188"/>
      <c r="AM91" s="188"/>
      <c r="AN91" s="188"/>
      <c r="AO91" s="188"/>
      <c r="AP91" s="188"/>
      <c r="AQ91" s="188"/>
      <c r="AR91" s="188"/>
      <c r="AS91" s="188"/>
      <c r="AT91" s="188"/>
      <c r="AU91" s="188"/>
      <c r="AV91" s="188"/>
      <c r="AW91" s="188"/>
      <c r="AX91" s="188"/>
      <c r="AY91" s="188"/>
      <c r="AZ91" s="188"/>
      <c r="BA91" s="188"/>
      <c r="BB91" s="188"/>
      <c r="BC91" s="188"/>
      <c r="BD91" s="188"/>
      <c r="BE91" s="188"/>
      <c r="BF91" s="188"/>
      <c r="BG91" s="188"/>
      <c r="BH91" s="188"/>
      <c r="BI91" s="188"/>
      <c r="BJ91" s="70"/>
      <c r="BK91" s="70"/>
      <c r="BL91" s="70"/>
      <c r="BM91" s="70"/>
      <c r="BN91" s="70"/>
      <c r="BO91" s="70"/>
      <c r="BP91" s="70"/>
      <c r="BQ91" s="70"/>
      <c r="BR91" s="70"/>
      <c r="BS91" s="70"/>
      <c r="BT91" s="70"/>
      <c r="BU91" s="70"/>
      <c r="BV91" s="70"/>
      <c r="BW91" s="70"/>
      <c r="BX91" s="70"/>
      <c r="BY91" s="71"/>
    </row>
    <row r="92" spans="2:77" x14ac:dyDescent="0.2">
      <c r="B92" s="188">
        <v>37</v>
      </c>
      <c r="C92" s="185" t="str">
        <f t="shared" si="20"/>
        <v/>
      </c>
      <c r="D92" s="185" t="str">
        <f t="shared" si="21"/>
        <v/>
      </c>
      <c r="E92" s="71"/>
      <c r="F92" s="71"/>
      <c r="G92" s="71"/>
      <c r="H92" s="71"/>
      <c r="K92" s="231"/>
      <c r="L92" s="188"/>
      <c r="M92" s="202">
        <v>30</v>
      </c>
      <c r="N92" s="185" t="str">
        <f t="shared" si="25"/>
        <v/>
      </c>
      <c r="O92" s="111" t="str">
        <f t="shared" ca="1" si="26"/>
        <v/>
      </c>
      <c r="P92" s="111" t="str">
        <f t="shared" ca="1" si="27"/>
        <v/>
      </c>
      <c r="Q92" s="111" t="str">
        <f t="shared" ca="1" si="28"/>
        <v/>
      </c>
      <c r="R92" s="111" t="str">
        <f t="shared" ca="1" si="29"/>
        <v/>
      </c>
      <c r="S92" s="111" t="str">
        <f t="shared" ca="1" si="30"/>
        <v/>
      </c>
      <c r="T92" s="111" t="str">
        <f t="shared" ca="1" si="31"/>
        <v/>
      </c>
      <c r="U92" s="111" t="str">
        <f t="shared" ca="1" si="32"/>
        <v/>
      </c>
      <c r="V92" s="188"/>
      <c r="W92" s="188"/>
      <c r="X92" s="188"/>
      <c r="Y92" s="188"/>
      <c r="Z92" s="188"/>
      <c r="AA92" s="188"/>
      <c r="AB92" s="188"/>
      <c r="AC92" s="188"/>
      <c r="AD92" s="188"/>
      <c r="AE92" s="188"/>
      <c r="AF92" s="188"/>
      <c r="AG92" s="188"/>
      <c r="AH92" s="188"/>
      <c r="AI92" s="188"/>
      <c r="AJ92" s="111"/>
      <c r="AK92" s="188"/>
      <c r="AL92" s="188"/>
      <c r="AM92" s="188"/>
      <c r="AN92" s="188"/>
      <c r="AO92" s="188"/>
      <c r="AP92" s="188"/>
      <c r="AQ92" s="188"/>
      <c r="AR92" s="188"/>
      <c r="AS92" s="188"/>
      <c r="AT92" s="188"/>
      <c r="AU92" s="188"/>
      <c r="AV92" s="188"/>
      <c r="AW92" s="188"/>
      <c r="AX92" s="188"/>
      <c r="AY92" s="188"/>
      <c r="AZ92" s="188"/>
      <c r="BA92" s="188"/>
      <c r="BB92" s="188"/>
      <c r="BC92" s="188"/>
      <c r="BD92" s="188"/>
      <c r="BE92" s="188"/>
      <c r="BF92" s="188"/>
      <c r="BG92" s="188"/>
      <c r="BH92" s="188"/>
      <c r="BI92" s="188"/>
      <c r="BJ92" s="70"/>
      <c r="BK92" s="70"/>
      <c r="BL92" s="70"/>
      <c r="BM92" s="70"/>
      <c r="BN92" s="70"/>
      <c r="BO92" s="70"/>
      <c r="BP92" s="70"/>
      <c r="BQ92" s="70"/>
      <c r="BR92" s="70"/>
      <c r="BS92" s="70"/>
      <c r="BT92" s="70"/>
      <c r="BU92" s="70"/>
      <c r="BV92" s="70"/>
      <c r="BW92" s="70"/>
      <c r="BX92" s="70"/>
      <c r="BY92" s="71"/>
    </row>
    <row r="93" spans="2:77" x14ac:dyDescent="0.2">
      <c r="B93" s="188">
        <v>38</v>
      </c>
      <c r="C93" s="185" t="str">
        <f t="shared" si="20"/>
        <v/>
      </c>
      <c r="D93" s="185" t="str">
        <f t="shared" si="21"/>
        <v/>
      </c>
      <c r="E93" s="71"/>
      <c r="F93" s="71"/>
      <c r="G93" s="71"/>
      <c r="H93" s="71"/>
      <c r="K93" s="231"/>
      <c r="L93" s="188"/>
      <c r="M93" s="202">
        <v>31</v>
      </c>
      <c r="N93" s="185" t="str">
        <f t="shared" si="25"/>
        <v/>
      </c>
      <c r="O93" s="111" t="str">
        <f t="shared" ca="1" si="26"/>
        <v/>
      </c>
      <c r="P93" s="111" t="str">
        <f t="shared" ca="1" si="27"/>
        <v/>
      </c>
      <c r="Q93" s="111" t="str">
        <f t="shared" ca="1" si="28"/>
        <v/>
      </c>
      <c r="R93" s="111" t="str">
        <f t="shared" ca="1" si="29"/>
        <v/>
      </c>
      <c r="S93" s="111" t="str">
        <f t="shared" ca="1" si="30"/>
        <v/>
      </c>
      <c r="T93" s="111" t="str">
        <f t="shared" ca="1" si="31"/>
        <v/>
      </c>
      <c r="U93" s="111" t="str">
        <f t="shared" ca="1" si="32"/>
        <v/>
      </c>
      <c r="V93" s="188"/>
      <c r="W93" s="188"/>
      <c r="X93" s="188"/>
      <c r="Y93" s="188"/>
      <c r="Z93" s="188"/>
      <c r="AA93" s="188"/>
      <c r="AB93" s="188"/>
      <c r="AC93" s="188"/>
      <c r="AD93" s="111"/>
      <c r="AE93" s="111"/>
      <c r="AF93" s="111"/>
      <c r="AG93" s="111"/>
      <c r="AH93" s="111"/>
      <c r="AI93" s="111"/>
      <c r="AJ93" s="111"/>
      <c r="AK93" s="188"/>
      <c r="AL93" s="188"/>
      <c r="AM93" s="188"/>
      <c r="AN93" s="188"/>
      <c r="AO93" s="188"/>
      <c r="AP93" s="188"/>
      <c r="AQ93" s="188"/>
      <c r="AR93" s="188"/>
      <c r="AS93" s="188"/>
      <c r="AT93" s="188"/>
      <c r="AU93" s="188"/>
      <c r="AV93" s="188"/>
      <c r="AW93" s="188"/>
      <c r="AX93" s="188"/>
      <c r="AY93" s="188"/>
      <c r="AZ93" s="188"/>
      <c r="BA93" s="188"/>
      <c r="BB93" s="188"/>
      <c r="BC93" s="188"/>
      <c r="BD93" s="188"/>
      <c r="BE93" s="188"/>
      <c r="BF93" s="188"/>
      <c r="BG93" s="188"/>
      <c r="BH93" s="188"/>
      <c r="BI93" s="188"/>
      <c r="BJ93" s="70"/>
      <c r="BK93" s="70"/>
      <c r="BL93" s="70"/>
      <c r="BM93" s="70"/>
      <c r="BN93" s="70"/>
      <c r="BO93" s="70"/>
      <c r="BP93" s="70"/>
      <c r="BQ93" s="70"/>
      <c r="BR93" s="70"/>
      <c r="BS93" s="70"/>
      <c r="BT93" s="70"/>
      <c r="BU93" s="70"/>
      <c r="BV93" s="70"/>
      <c r="BW93" s="70"/>
      <c r="BX93" s="70"/>
      <c r="BY93" s="71"/>
    </row>
    <row r="94" spans="2:77" x14ac:dyDescent="0.2">
      <c r="B94" s="188">
        <v>39</v>
      </c>
      <c r="C94" s="185" t="str">
        <f t="shared" si="20"/>
        <v/>
      </c>
      <c r="D94" s="185" t="str">
        <f t="shared" si="21"/>
        <v/>
      </c>
      <c r="E94" s="71"/>
      <c r="F94" s="71"/>
      <c r="G94" s="71"/>
      <c r="H94" s="71"/>
      <c r="K94" s="231"/>
      <c r="L94" s="188"/>
      <c r="M94" s="202">
        <v>32</v>
      </c>
      <c r="N94" s="185" t="str">
        <f t="shared" si="25"/>
        <v/>
      </c>
      <c r="O94" s="111" t="str">
        <f t="shared" ca="1" si="26"/>
        <v/>
      </c>
      <c r="P94" s="111" t="str">
        <f t="shared" ca="1" si="27"/>
        <v/>
      </c>
      <c r="Q94" s="111" t="str">
        <f t="shared" ca="1" si="28"/>
        <v/>
      </c>
      <c r="R94" s="111" t="str">
        <f t="shared" ca="1" si="29"/>
        <v/>
      </c>
      <c r="S94" s="111" t="str">
        <f t="shared" ca="1" si="30"/>
        <v/>
      </c>
      <c r="T94" s="111" t="str">
        <f t="shared" ca="1" si="31"/>
        <v/>
      </c>
      <c r="U94" s="111" t="str">
        <f t="shared" ca="1" si="32"/>
        <v/>
      </c>
      <c r="V94" s="188"/>
      <c r="W94" s="188"/>
      <c r="X94" s="188"/>
      <c r="Y94" s="188"/>
      <c r="Z94" s="188"/>
      <c r="AA94" s="188"/>
      <c r="AB94" s="188"/>
      <c r="AC94" s="188"/>
      <c r="AD94" s="188"/>
      <c r="AE94" s="188"/>
      <c r="AF94" s="188"/>
      <c r="AG94" s="188"/>
      <c r="AH94" s="188"/>
      <c r="AI94" s="188"/>
      <c r="AJ94" s="188"/>
      <c r="AK94" s="188"/>
      <c r="AL94" s="188"/>
      <c r="AM94" s="188"/>
      <c r="AN94" s="188"/>
      <c r="AO94" s="188"/>
      <c r="AP94" s="188"/>
      <c r="AQ94" s="188"/>
      <c r="AR94" s="188"/>
      <c r="AS94" s="188"/>
      <c r="AT94" s="188"/>
      <c r="AU94" s="188"/>
      <c r="AV94" s="188"/>
      <c r="AW94" s="188"/>
      <c r="AX94" s="188"/>
      <c r="AY94" s="188"/>
      <c r="AZ94" s="188"/>
      <c r="BA94" s="188"/>
      <c r="BB94" s="188"/>
      <c r="BC94" s="188"/>
      <c r="BD94" s="188"/>
      <c r="BE94" s="188"/>
      <c r="BF94" s="188"/>
      <c r="BG94" s="188"/>
      <c r="BH94" s="188"/>
      <c r="BI94" s="188"/>
      <c r="BJ94" s="70"/>
      <c r="BK94" s="70"/>
      <c r="BL94" s="70"/>
      <c r="BM94" s="70"/>
      <c r="BN94" s="70"/>
      <c r="BO94" s="70"/>
      <c r="BP94" s="70"/>
      <c r="BQ94" s="70"/>
      <c r="BR94" s="70"/>
      <c r="BS94" s="70"/>
      <c r="BT94" s="70"/>
      <c r="BU94" s="70"/>
      <c r="BV94" s="70"/>
      <c r="BW94" s="70"/>
      <c r="BX94" s="70"/>
      <c r="BY94" s="71"/>
    </row>
    <row r="95" spans="2:77" x14ac:dyDescent="0.2">
      <c r="B95" s="188">
        <v>40</v>
      </c>
      <c r="C95" s="185" t="str">
        <f t="shared" si="20"/>
        <v/>
      </c>
      <c r="D95" s="185" t="str">
        <f t="shared" si="21"/>
        <v/>
      </c>
      <c r="E95" s="71"/>
      <c r="F95" s="71"/>
      <c r="G95" s="71"/>
      <c r="H95" s="71"/>
      <c r="K95" s="231"/>
      <c r="L95" s="188"/>
      <c r="M95" s="202">
        <v>33</v>
      </c>
      <c r="N95" s="185" t="str">
        <f t="shared" si="25"/>
        <v/>
      </c>
      <c r="O95" s="111" t="str">
        <f t="shared" ca="1" si="26"/>
        <v/>
      </c>
      <c r="P95" s="111" t="str">
        <f t="shared" ca="1" si="27"/>
        <v/>
      </c>
      <c r="Q95" s="111" t="str">
        <f t="shared" ca="1" si="28"/>
        <v/>
      </c>
      <c r="R95" s="111" t="str">
        <f t="shared" ca="1" si="29"/>
        <v/>
      </c>
      <c r="S95" s="111" t="str">
        <f t="shared" ca="1" si="30"/>
        <v/>
      </c>
      <c r="T95" s="111" t="str">
        <f t="shared" ca="1" si="31"/>
        <v/>
      </c>
      <c r="U95" s="111" t="str">
        <f t="shared" ca="1" si="32"/>
        <v/>
      </c>
      <c r="V95" s="188"/>
      <c r="W95" s="188"/>
      <c r="X95" s="188"/>
      <c r="Y95" s="188"/>
      <c r="Z95" s="188"/>
      <c r="AA95" s="188"/>
      <c r="AB95" s="188"/>
      <c r="AC95" s="188"/>
      <c r="AD95" s="188"/>
      <c r="AE95" s="188"/>
      <c r="AF95" s="188"/>
      <c r="AG95" s="188"/>
      <c r="AH95" s="188"/>
      <c r="AI95" s="188"/>
      <c r="AJ95" s="188"/>
      <c r="AK95" s="188"/>
      <c r="AL95" s="188"/>
      <c r="AM95" s="188"/>
      <c r="AN95" s="188"/>
      <c r="AO95" s="188"/>
      <c r="AP95" s="188"/>
      <c r="AQ95" s="188"/>
      <c r="AR95" s="188"/>
      <c r="AS95" s="188"/>
      <c r="AT95" s="188"/>
      <c r="AU95" s="188"/>
      <c r="AV95" s="188"/>
      <c r="AW95" s="188"/>
      <c r="AX95" s="188"/>
      <c r="AY95" s="188"/>
      <c r="AZ95" s="188"/>
      <c r="BA95" s="188"/>
      <c r="BB95" s="188"/>
      <c r="BC95" s="188"/>
      <c r="BD95" s="188"/>
      <c r="BE95" s="188"/>
      <c r="BF95" s="188"/>
      <c r="BG95" s="188"/>
      <c r="BH95" s="188"/>
      <c r="BI95" s="188"/>
      <c r="BJ95" s="70"/>
      <c r="BK95" s="70"/>
      <c r="BL95" s="70"/>
      <c r="BM95" s="70"/>
      <c r="BN95" s="70"/>
      <c r="BO95" s="70"/>
      <c r="BP95" s="70"/>
      <c r="BQ95" s="70"/>
      <c r="BR95" s="70"/>
      <c r="BS95" s="70"/>
      <c r="BT95" s="70"/>
      <c r="BU95" s="70"/>
      <c r="BV95" s="70"/>
      <c r="BW95" s="70"/>
      <c r="BX95" s="70"/>
      <c r="BY95" s="71"/>
    </row>
    <row r="96" spans="2:77" x14ac:dyDescent="0.2">
      <c r="B96" s="71"/>
      <c r="C96" s="71"/>
      <c r="D96" s="71"/>
      <c r="E96" s="71"/>
      <c r="F96" s="71"/>
      <c r="G96" s="71"/>
      <c r="H96" s="71"/>
      <c r="K96" s="231"/>
      <c r="L96" s="188"/>
      <c r="M96" s="202">
        <v>34</v>
      </c>
      <c r="N96" s="185" t="str">
        <f t="shared" si="25"/>
        <v/>
      </c>
      <c r="O96" s="111" t="str">
        <f t="shared" ca="1" si="26"/>
        <v/>
      </c>
      <c r="P96" s="111" t="str">
        <f t="shared" ca="1" si="27"/>
        <v/>
      </c>
      <c r="Q96" s="111" t="str">
        <f t="shared" ca="1" si="28"/>
        <v/>
      </c>
      <c r="R96" s="111" t="str">
        <f t="shared" ca="1" si="29"/>
        <v/>
      </c>
      <c r="S96" s="111" t="str">
        <f t="shared" ca="1" si="30"/>
        <v/>
      </c>
      <c r="T96" s="111" t="str">
        <f t="shared" ca="1" si="31"/>
        <v/>
      </c>
      <c r="U96" s="111" t="str">
        <f t="shared" ca="1" si="32"/>
        <v/>
      </c>
      <c r="V96" s="188"/>
      <c r="W96" s="188"/>
      <c r="X96" s="188"/>
      <c r="Y96" s="188"/>
      <c r="Z96" s="188"/>
      <c r="AA96" s="188"/>
      <c r="AB96" s="188"/>
      <c r="AC96" s="188"/>
      <c r="AD96" s="188"/>
      <c r="AE96" s="188"/>
      <c r="AF96" s="188"/>
      <c r="AG96" s="188"/>
      <c r="AH96" s="188"/>
      <c r="AI96" s="188"/>
      <c r="AJ96" s="188"/>
      <c r="AK96" s="188"/>
      <c r="AL96" s="188"/>
      <c r="AM96" s="188"/>
      <c r="AN96" s="188"/>
      <c r="AO96" s="188"/>
      <c r="AP96" s="188"/>
      <c r="AQ96" s="188"/>
      <c r="AR96" s="188"/>
      <c r="AS96" s="188"/>
      <c r="AT96" s="188"/>
      <c r="AU96" s="188"/>
      <c r="AV96" s="188"/>
      <c r="AW96" s="188"/>
      <c r="AX96" s="188"/>
      <c r="AY96" s="188"/>
      <c r="AZ96" s="188"/>
      <c r="BA96" s="188"/>
      <c r="BB96" s="188"/>
      <c r="BC96" s="188"/>
      <c r="BD96" s="188"/>
      <c r="BE96" s="188"/>
      <c r="BF96" s="188"/>
      <c r="BG96" s="188"/>
      <c r="BH96" s="188"/>
      <c r="BI96" s="188"/>
      <c r="BJ96" s="70"/>
      <c r="BK96" s="70"/>
      <c r="BL96" s="70"/>
      <c r="BM96" s="70"/>
      <c r="BN96" s="70"/>
      <c r="BO96" s="70"/>
      <c r="BP96" s="70"/>
      <c r="BQ96" s="70"/>
      <c r="BR96" s="70"/>
      <c r="BS96" s="70"/>
      <c r="BT96" s="70"/>
      <c r="BU96" s="70"/>
      <c r="BV96" s="70"/>
      <c r="BW96" s="70"/>
      <c r="BX96" s="70"/>
      <c r="BY96" s="71"/>
    </row>
    <row r="97" spans="2:77" x14ac:dyDescent="0.2">
      <c r="B97" s="71"/>
      <c r="C97" s="71"/>
      <c r="D97" s="71"/>
      <c r="E97" s="71"/>
      <c r="F97" s="71"/>
      <c r="G97" s="71"/>
      <c r="H97" s="71"/>
      <c r="K97" s="231"/>
      <c r="L97" s="188"/>
      <c r="M97" s="202">
        <v>35</v>
      </c>
      <c r="N97" s="185" t="str">
        <f t="shared" si="25"/>
        <v/>
      </c>
      <c r="O97" s="111" t="str">
        <f t="shared" ca="1" si="26"/>
        <v/>
      </c>
      <c r="P97" s="111" t="str">
        <f t="shared" ca="1" si="27"/>
        <v/>
      </c>
      <c r="Q97" s="111" t="str">
        <f t="shared" ca="1" si="28"/>
        <v/>
      </c>
      <c r="R97" s="111" t="str">
        <f t="shared" ca="1" si="29"/>
        <v/>
      </c>
      <c r="S97" s="111" t="str">
        <f t="shared" ca="1" si="30"/>
        <v/>
      </c>
      <c r="T97" s="111" t="str">
        <f t="shared" ca="1" si="31"/>
        <v/>
      </c>
      <c r="U97" s="111" t="str">
        <f t="shared" ca="1" si="32"/>
        <v/>
      </c>
      <c r="V97" s="188"/>
      <c r="W97" s="188"/>
      <c r="X97" s="188"/>
      <c r="Y97" s="188"/>
      <c r="Z97" s="188"/>
      <c r="AA97" s="188"/>
      <c r="AB97" s="188"/>
      <c r="AC97" s="188"/>
      <c r="AD97" s="188"/>
      <c r="AE97" s="188"/>
      <c r="AF97" s="188"/>
      <c r="AG97" s="188"/>
      <c r="AH97" s="188"/>
      <c r="AI97" s="188"/>
      <c r="AJ97" s="188"/>
      <c r="AK97" s="188"/>
      <c r="AL97" s="188"/>
      <c r="AM97" s="188"/>
      <c r="AN97" s="188"/>
      <c r="AO97" s="188"/>
      <c r="AP97" s="188"/>
      <c r="AQ97" s="188"/>
      <c r="AR97" s="188"/>
      <c r="AS97" s="188"/>
      <c r="AT97" s="188"/>
      <c r="AU97" s="188"/>
      <c r="AV97" s="188"/>
      <c r="AW97" s="188"/>
      <c r="AX97" s="188"/>
      <c r="AY97" s="188"/>
      <c r="AZ97" s="188"/>
      <c r="BA97" s="188"/>
      <c r="BB97" s="188"/>
      <c r="BC97" s="188"/>
      <c r="BD97" s="188"/>
      <c r="BE97" s="188"/>
      <c r="BF97" s="188"/>
      <c r="BG97" s="188"/>
      <c r="BH97" s="188"/>
      <c r="BI97" s="188"/>
      <c r="BJ97" s="70"/>
      <c r="BK97" s="70"/>
      <c r="BL97" s="70"/>
      <c r="BM97" s="70"/>
      <c r="BN97" s="70"/>
      <c r="BO97" s="70"/>
      <c r="BP97" s="70"/>
      <c r="BQ97" s="70"/>
      <c r="BR97" s="70"/>
      <c r="BS97" s="70"/>
      <c r="BT97" s="70"/>
      <c r="BU97" s="70"/>
      <c r="BV97" s="70"/>
      <c r="BW97" s="70"/>
      <c r="BX97" s="70"/>
      <c r="BY97" s="71"/>
    </row>
    <row r="98" spans="2:77" x14ac:dyDescent="0.2">
      <c r="B98" s="71"/>
      <c r="C98" s="71"/>
      <c r="D98" s="71"/>
      <c r="E98" s="71"/>
      <c r="F98" s="71"/>
      <c r="G98" s="71"/>
      <c r="H98" s="71"/>
      <c r="K98" s="231"/>
      <c r="L98" s="188"/>
      <c r="M98" s="202">
        <v>36</v>
      </c>
      <c r="N98" s="185" t="str">
        <f t="shared" si="25"/>
        <v/>
      </c>
      <c r="O98" s="111" t="str">
        <f t="shared" ca="1" si="26"/>
        <v/>
      </c>
      <c r="P98" s="111" t="str">
        <f t="shared" ca="1" si="27"/>
        <v/>
      </c>
      <c r="Q98" s="111" t="str">
        <f t="shared" ca="1" si="28"/>
        <v/>
      </c>
      <c r="R98" s="111" t="str">
        <f t="shared" ca="1" si="29"/>
        <v/>
      </c>
      <c r="S98" s="111" t="str">
        <f t="shared" ca="1" si="30"/>
        <v/>
      </c>
      <c r="T98" s="111" t="str">
        <f t="shared" ca="1" si="31"/>
        <v/>
      </c>
      <c r="U98" s="111" t="str">
        <f t="shared" ca="1" si="32"/>
        <v/>
      </c>
      <c r="V98" s="188"/>
      <c r="W98" s="188"/>
      <c r="X98" s="188"/>
      <c r="Y98" s="188"/>
      <c r="Z98" s="188"/>
      <c r="AA98" s="188"/>
      <c r="AB98" s="188"/>
      <c r="AC98" s="188"/>
      <c r="AD98" s="188"/>
      <c r="AE98" s="188"/>
      <c r="AF98" s="188"/>
      <c r="AG98" s="188"/>
      <c r="AH98" s="188"/>
      <c r="AI98" s="188"/>
      <c r="AJ98" s="188"/>
      <c r="AK98" s="188"/>
      <c r="AL98" s="188"/>
      <c r="AM98" s="188"/>
      <c r="AN98" s="188"/>
      <c r="AO98" s="188"/>
      <c r="AP98" s="188"/>
      <c r="AQ98" s="188"/>
      <c r="AR98" s="188"/>
      <c r="AS98" s="188"/>
      <c r="AT98" s="188"/>
      <c r="AU98" s="188"/>
      <c r="AV98" s="188"/>
      <c r="AW98" s="188"/>
      <c r="AX98" s="188"/>
      <c r="AY98" s="188"/>
      <c r="AZ98" s="188"/>
      <c r="BA98" s="188"/>
      <c r="BB98" s="188"/>
      <c r="BC98" s="188"/>
      <c r="BD98" s="188"/>
      <c r="BE98" s="188"/>
      <c r="BF98" s="188"/>
      <c r="BG98" s="188"/>
      <c r="BH98" s="188"/>
      <c r="BI98" s="188"/>
      <c r="BJ98" s="70"/>
      <c r="BK98" s="70"/>
      <c r="BL98" s="70"/>
      <c r="BM98" s="70"/>
      <c r="BN98" s="70"/>
      <c r="BO98" s="70"/>
      <c r="BP98" s="70"/>
      <c r="BQ98" s="70"/>
      <c r="BR98" s="70"/>
      <c r="BS98" s="70"/>
      <c r="BT98" s="70"/>
      <c r="BU98" s="70"/>
      <c r="BV98" s="70"/>
      <c r="BW98" s="70"/>
      <c r="BX98" s="70"/>
      <c r="BY98" s="71"/>
    </row>
    <row r="99" spans="2:77" x14ac:dyDescent="0.2">
      <c r="B99" s="71"/>
      <c r="C99" s="71"/>
      <c r="D99" s="71"/>
      <c r="E99" s="71"/>
      <c r="F99" s="71"/>
      <c r="G99" s="71"/>
      <c r="H99" s="71"/>
      <c r="K99" s="231"/>
      <c r="L99" s="188"/>
      <c r="M99" s="202">
        <v>37</v>
      </c>
      <c r="N99" s="185" t="str">
        <f t="shared" si="25"/>
        <v/>
      </c>
      <c r="O99" s="111" t="str">
        <f t="shared" ca="1" si="26"/>
        <v/>
      </c>
      <c r="P99" s="111" t="str">
        <f t="shared" ca="1" si="27"/>
        <v/>
      </c>
      <c r="Q99" s="111" t="str">
        <f t="shared" ca="1" si="28"/>
        <v/>
      </c>
      <c r="R99" s="111" t="str">
        <f t="shared" ca="1" si="29"/>
        <v/>
      </c>
      <c r="S99" s="111" t="str">
        <f t="shared" ca="1" si="30"/>
        <v/>
      </c>
      <c r="T99" s="111" t="str">
        <f t="shared" ca="1" si="31"/>
        <v/>
      </c>
      <c r="U99" s="111" t="str">
        <f t="shared" ca="1" si="32"/>
        <v/>
      </c>
      <c r="V99" s="188"/>
      <c r="W99" s="188"/>
      <c r="X99" s="188"/>
      <c r="Y99" s="188"/>
      <c r="Z99" s="188"/>
      <c r="AA99" s="188"/>
      <c r="AB99" s="188"/>
      <c r="AC99" s="188"/>
      <c r="AD99" s="188"/>
      <c r="AE99" s="188"/>
      <c r="AF99" s="188"/>
      <c r="AG99" s="188"/>
      <c r="AH99" s="188"/>
      <c r="AI99" s="188"/>
      <c r="AJ99" s="188"/>
      <c r="AK99" s="188"/>
      <c r="AL99" s="188"/>
      <c r="AM99" s="188"/>
      <c r="AN99" s="188"/>
      <c r="AO99" s="188"/>
      <c r="AP99" s="188"/>
      <c r="AQ99" s="188"/>
      <c r="AR99" s="188"/>
      <c r="AS99" s="188"/>
      <c r="AT99" s="188"/>
      <c r="AU99" s="188"/>
      <c r="AV99" s="188"/>
      <c r="AW99" s="188"/>
      <c r="AX99" s="188"/>
      <c r="AY99" s="188"/>
      <c r="AZ99" s="188"/>
      <c r="BA99" s="188"/>
      <c r="BB99" s="188"/>
      <c r="BC99" s="188"/>
      <c r="BD99" s="188"/>
      <c r="BE99" s="188"/>
      <c r="BF99" s="188"/>
      <c r="BG99" s="188"/>
      <c r="BH99" s="188"/>
      <c r="BI99" s="188"/>
      <c r="BJ99" s="70"/>
      <c r="BK99" s="70"/>
      <c r="BL99" s="70"/>
      <c r="BM99" s="70"/>
      <c r="BN99" s="70"/>
      <c r="BO99" s="70"/>
      <c r="BP99" s="70"/>
      <c r="BQ99" s="70"/>
      <c r="BR99" s="70"/>
      <c r="BS99" s="70"/>
      <c r="BT99" s="70"/>
      <c r="BU99" s="70"/>
      <c r="BV99" s="70"/>
      <c r="BW99" s="70"/>
      <c r="BX99" s="70"/>
      <c r="BY99" s="71"/>
    </row>
    <row r="100" spans="2:77" x14ac:dyDescent="0.2">
      <c r="B100" s="71"/>
      <c r="C100" s="71"/>
      <c r="D100" s="71"/>
      <c r="E100" s="71"/>
      <c r="F100" s="71"/>
      <c r="G100" s="71"/>
      <c r="H100" s="71"/>
      <c r="K100" s="231"/>
      <c r="L100" s="188"/>
      <c r="M100" s="202">
        <v>38</v>
      </c>
      <c r="N100" s="185" t="str">
        <f t="shared" si="25"/>
        <v/>
      </c>
      <c r="O100" s="111" t="str">
        <f t="shared" ca="1" si="26"/>
        <v/>
      </c>
      <c r="P100" s="111" t="str">
        <f t="shared" ca="1" si="27"/>
        <v/>
      </c>
      <c r="Q100" s="111" t="str">
        <f t="shared" ca="1" si="28"/>
        <v/>
      </c>
      <c r="R100" s="111" t="str">
        <f t="shared" ca="1" si="29"/>
        <v/>
      </c>
      <c r="S100" s="111" t="str">
        <f t="shared" ca="1" si="30"/>
        <v/>
      </c>
      <c r="T100" s="111" t="str">
        <f t="shared" ca="1" si="31"/>
        <v/>
      </c>
      <c r="U100" s="111" t="str">
        <f t="shared" ca="1" si="32"/>
        <v/>
      </c>
      <c r="V100" s="188"/>
      <c r="W100" s="188"/>
      <c r="X100" s="188"/>
      <c r="Y100" s="188"/>
      <c r="Z100" s="188"/>
      <c r="AA100" s="188"/>
      <c r="AB100" s="188"/>
      <c r="AC100" s="188"/>
      <c r="AD100" s="188"/>
      <c r="AE100" s="188"/>
      <c r="AF100" s="188"/>
      <c r="AG100" s="188"/>
      <c r="AH100" s="188"/>
      <c r="AI100" s="188"/>
      <c r="AJ100" s="188"/>
      <c r="AK100" s="188"/>
      <c r="AL100" s="188"/>
      <c r="AM100" s="188"/>
      <c r="AN100" s="188"/>
      <c r="AO100" s="188"/>
      <c r="AP100" s="188"/>
      <c r="AQ100" s="188"/>
      <c r="AR100" s="188"/>
      <c r="AS100" s="188"/>
      <c r="AT100" s="188"/>
      <c r="AU100" s="188"/>
      <c r="AV100" s="188"/>
      <c r="AW100" s="188"/>
      <c r="AX100" s="188"/>
      <c r="AY100" s="188"/>
      <c r="AZ100" s="188"/>
      <c r="BA100" s="188"/>
      <c r="BB100" s="188"/>
      <c r="BC100" s="188"/>
      <c r="BD100" s="188"/>
      <c r="BE100" s="188"/>
      <c r="BF100" s="188"/>
      <c r="BG100" s="188"/>
      <c r="BH100" s="188"/>
      <c r="BI100" s="188"/>
      <c r="BJ100" s="70"/>
      <c r="BK100" s="70"/>
      <c r="BL100" s="70"/>
      <c r="BM100" s="70"/>
      <c r="BN100" s="70"/>
      <c r="BO100" s="70"/>
      <c r="BP100" s="70"/>
      <c r="BQ100" s="70"/>
      <c r="BR100" s="70"/>
      <c r="BS100" s="70"/>
      <c r="BT100" s="70"/>
      <c r="BU100" s="70"/>
      <c r="BV100" s="70"/>
      <c r="BW100" s="70"/>
      <c r="BX100" s="70"/>
      <c r="BY100" s="71"/>
    </row>
    <row r="101" spans="2:77" x14ac:dyDescent="0.2">
      <c r="B101" s="71"/>
      <c r="C101" s="71"/>
      <c r="D101" s="71"/>
      <c r="E101" s="71"/>
      <c r="F101" s="71"/>
      <c r="G101" s="71"/>
      <c r="H101" s="71"/>
      <c r="K101" s="231"/>
      <c r="L101" s="188"/>
      <c r="M101" s="202">
        <v>39</v>
      </c>
      <c r="N101" s="185" t="str">
        <f t="shared" si="25"/>
        <v/>
      </c>
      <c r="O101" s="111" t="str">
        <f t="shared" ca="1" si="26"/>
        <v/>
      </c>
      <c r="P101" s="111" t="str">
        <f t="shared" ca="1" si="27"/>
        <v/>
      </c>
      <c r="Q101" s="111" t="str">
        <f t="shared" ca="1" si="28"/>
        <v/>
      </c>
      <c r="R101" s="111" t="str">
        <f t="shared" ca="1" si="29"/>
        <v/>
      </c>
      <c r="S101" s="111" t="str">
        <f t="shared" ca="1" si="30"/>
        <v/>
      </c>
      <c r="T101" s="111" t="str">
        <f t="shared" ca="1" si="31"/>
        <v/>
      </c>
      <c r="U101" s="111" t="str">
        <f t="shared" ca="1" si="32"/>
        <v/>
      </c>
      <c r="V101" s="188"/>
      <c r="W101" s="188"/>
      <c r="X101" s="188"/>
      <c r="Y101" s="188"/>
      <c r="Z101" s="188"/>
      <c r="AA101" s="111"/>
      <c r="AB101" s="111"/>
      <c r="AC101" s="188"/>
      <c r="AD101" s="188"/>
      <c r="AE101" s="188"/>
      <c r="AF101" s="188"/>
      <c r="AG101" s="188"/>
      <c r="AH101" s="188"/>
      <c r="AI101" s="188"/>
      <c r="AJ101" s="188"/>
      <c r="AK101" s="188"/>
      <c r="AL101" s="188"/>
      <c r="AM101" s="188"/>
      <c r="AN101" s="188"/>
      <c r="AO101" s="188"/>
      <c r="AP101" s="188"/>
      <c r="AQ101" s="188"/>
      <c r="AR101" s="188"/>
      <c r="AS101" s="188"/>
      <c r="AT101" s="188"/>
      <c r="AU101" s="188"/>
      <c r="AV101" s="188"/>
      <c r="AW101" s="188"/>
      <c r="AX101" s="188"/>
      <c r="AY101" s="188"/>
      <c r="AZ101" s="188"/>
      <c r="BA101" s="188"/>
      <c r="BB101" s="188"/>
      <c r="BC101" s="188"/>
      <c r="BD101" s="188"/>
      <c r="BE101" s="188"/>
      <c r="BF101" s="188"/>
      <c r="BG101" s="188"/>
      <c r="BH101" s="188"/>
      <c r="BI101" s="188"/>
      <c r="BJ101" s="70"/>
      <c r="BK101" s="70"/>
      <c r="BL101" s="70"/>
      <c r="BM101" s="70"/>
      <c r="BN101" s="70"/>
      <c r="BO101" s="70"/>
      <c r="BP101" s="70"/>
      <c r="BQ101" s="70"/>
      <c r="BR101" s="70"/>
      <c r="BS101" s="70"/>
      <c r="BT101" s="70"/>
      <c r="BU101" s="70"/>
      <c r="BV101" s="70"/>
      <c r="BW101" s="70"/>
      <c r="BX101" s="70"/>
      <c r="BY101" s="71"/>
    </row>
    <row r="102" spans="2:77" x14ac:dyDescent="0.2">
      <c r="K102" s="231"/>
      <c r="L102" s="188"/>
      <c r="M102" s="202">
        <v>40</v>
      </c>
      <c r="N102" s="185" t="str">
        <f t="shared" si="25"/>
        <v/>
      </c>
      <c r="O102" s="111" t="str">
        <f t="shared" ca="1" si="26"/>
        <v/>
      </c>
      <c r="P102" s="111" t="str">
        <f t="shared" ca="1" si="27"/>
        <v/>
      </c>
      <c r="Q102" s="111" t="str">
        <f t="shared" ca="1" si="28"/>
        <v/>
      </c>
      <c r="R102" s="111" t="str">
        <f t="shared" ca="1" si="29"/>
        <v/>
      </c>
      <c r="S102" s="111" t="str">
        <f t="shared" ca="1" si="30"/>
        <v/>
      </c>
      <c r="T102" s="111" t="str">
        <f t="shared" ca="1" si="31"/>
        <v/>
      </c>
      <c r="U102" s="111" t="str">
        <f t="shared" ca="1" si="32"/>
        <v/>
      </c>
      <c r="V102" s="188"/>
      <c r="W102" s="188"/>
      <c r="X102" s="188"/>
      <c r="Y102" s="188"/>
      <c r="Z102" s="188"/>
      <c r="AA102" s="111"/>
      <c r="AB102" s="111"/>
      <c r="AC102" s="188"/>
      <c r="AD102" s="188"/>
      <c r="AE102" s="188"/>
      <c r="AF102" s="188"/>
      <c r="AG102" s="188"/>
      <c r="AH102" s="188"/>
      <c r="AI102" s="188"/>
      <c r="AJ102" s="188"/>
      <c r="AK102" s="188"/>
      <c r="AL102" s="188"/>
      <c r="AM102" s="188"/>
      <c r="AN102" s="188"/>
      <c r="AO102" s="188"/>
      <c r="AP102" s="188"/>
      <c r="AQ102" s="188"/>
      <c r="AR102" s="188"/>
      <c r="AS102" s="188"/>
      <c r="AT102" s="188"/>
      <c r="AU102" s="188"/>
      <c r="AV102" s="188"/>
      <c r="AW102" s="188"/>
      <c r="AX102" s="188"/>
      <c r="AY102" s="188"/>
      <c r="AZ102" s="188"/>
      <c r="BA102" s="188"/>
      <c r="BB102" s="188"/>
      <c r="BC102" s="188"/>
      <c r="BD102" s="188"/>
      <c r="BE102" s="188"/>
      <c r="BF102" s="188"/>
      <c r="BG102" s="188"/>
      <c r="BH102" s="188"/>
      <c r="BI102" s="188"/>
      <c r="BJ102" s="70"/>
      <c r="BK102" s="70"/>
      <c r="BL102" s="70"/>
      <c r="BM102" s="70"/>
      <c r="BN102" s="70"/>
      <c r="BO102" s="70"/>
      <c r="BP102" s="70"/>
      <c r="BQ102" s="70"/>
      <c r="BR102" s="70"/>
      <c r="BS102" s="70"/>
      <c r="BT102" s="70"/>
      <c r="BU102" s="70"/>
      <c r="BV102" s="70"/>
      <c r="BW102" s="70"/>
      <c r="BX102" s="70"/>
      <c r="BY102" s="71"/>
    </row>
    <row r="103" spans="2:77" x14ac:dyDescent="0.2">
      <c r="K103" s="231"/>
      <c r="L103" s="188"/>
      <c r="M103" s="188"/>
      <c r="N103" s="188"/>
      <c r="O103" s="188"/>
      <c r="P103" s="188"/>
      <c r="Q103" s="188"/>
      <c r="R103" s="188"/>
      <c r="S103" s="188"/>
      <c r="T103" s="188"/>
      <c r="U103" s="188"/>
      <c r="V103" s="188"/>
      <c r="W103" s="188"/>
      <c r="X103" s="188"/>
      <c r="Y103" s="188"/>
      <c r="Z103" s="188"/>
      <c r="AA103" s="111"/>
      <c r="AB103" s="111"/>
      <c r="AC103" s="188"/>
      <c r="AD103" s="188"/>
      <c r="AE103" s="188"/>
      <c r="AF103" s="188"/>
      <c r="AG103" s="188"/>
      <c r="AH103" s="188"/>
      <c r="AI103" s="188"/>
      <c r="AJ103" s="188"/>
      <c r="AK103" s="188"/>
      <c r="AL103" s="188"/>
      <c r="AM103" s="188"/>
      <c r="AN103" s="188"/>
      <c r="AO103" s="188"/>
      <c r="AP103" s="188"/>
      <c r="AQ103" s="188"/>
      <c r="AR103" s="188"/>
      <c r="AS103" s="188"/>
      <c r="AT103" s="188"/>
      <c r="AU103" s="188"/>
      <c r="AV103" s="188"/>
      <c r="AW103" s="188"/>
      <c r="AX103" s="188"/>
      <c r="AY103" s="188"/>
      <c r="AZ103" s="188"/>
      <c r="BA103" s="188"/>
      <c r="BB103" s="188"/>
      <c r="BC103" s="188"/>
      <c r="BD103" s="188"/>
      <c r="BE103" s="188"/>
      <c r="BF103" s="188"/>
      <c r="BG103" s="188"/>
      <c r="BH103" s="188"/>
      <c r="BI103" s="188"/>
      <c r="BJ103" s="70"/>
      <c r="BK103" s="70"/>
      <c r="BL103" s="70"/>
      <c r="BM103" s="70"/>
      <c r="BN103" s="70"/>
      <c r="BO103" s="70"/>
      <c r="BP103" s="70"/>
      <c r="BQ103" s="70"/>
      <c r="BR103" s="70"/>
      <c r="BS103" s="70"/>
      <c r="BT103" s="70"/>
      <c r="BU103" s="70"/>
      <c r="BV103" s="70"/>
      <c r="BW103" s="70"/>
      <c r="BX103" s="70"/>
      <c r="BY103" s="71"/>
    </row>
    <row r="104" spans="2:77" x14ac:dyDescent="0.2">
      <c r="K104" s="231"/>
      <c r="L104" s="188"/>
      <c r="M104" s="188"/>
      <c r="N104" s="188"/>
      <c r="O104" s="188"/>
      <c r="P104" s="188"/>
      <c r="Q104" s="188"/>
      <c r="R104" s="188"/>
      <c r="S104" s="188"/>
      <c r="T104" s="188"/>
      <c r="U104" s="188"/>
      <c r="V104" s="188"/>
      <c r="W104" s="188"/>
      <c r="X104" s="188"/>
      <c r="Y104" s="188"/>
      <c r="Z104" s="188"/>
      <c r="AA104" s="111"/>
      <c r="AB104" s="111"/>
      <c r="AC104" s="188"/>
      <c r="AD104" s="188"/>
      <c r="AE104" s="188"/>
      <c r="AF104" s="188"/>
      <c r="AG104" s="188"/>
      <c r="AH104" s="188"/>
      <c r="AI104" s="188"/>
      <c r="AJ104" s="188"/>
      <c r="AK104" s="188"/>
      <c r="AL104" s="188"/>
      <c r="AM104" s="188"/>
      <c r="AN104" s="188"/>
      <c r="AO104" s="188"/>
      <c r="AP104" s="188"/>
      <c r="AQ104" s="188"/>
      <c r="AR104" s="188"/>
      <c r="AS104" s="188"/>
      <c r="AT104" s="188"/>
      <c r="AU104" s="188"/>
      <c r="AV104" s="188"/>
      <c r="AW104" s="188"/>
      <c r="AX104" s="188"/>
      <c r="AY104" s="188"/>
      <c r="AZ104" s="188"/>
      <c r="BA104" s="188"/>
      <c r="BB104" s="188"/>
      <c r="BC104" s="188"/>
      <c r="BD104" s="188"/>
      <c r="BE104" s="188"/>
      <c r="BF104" s="188"/>
      <c r="BG104" s="188"/>
      <c r="BH104" s="188"/>
      <c r="BI104" s="188"/>
      <c r="BJ104" s="70"/>
      <c r="BK104" s="70"/>
      <c r="BL104" s="70"/>
      <c r="BM104" s="70"/>
      <c r="BN104" s="70"/>
      <c r="BO104" s="70"/>
      <c r="BP104" s="70"/>
      <c r="BQ104" s="70"/>
      <c r="BR104" s="70"/>
      <c r="BS104" s="70"/>
      <c r="BT104" s="70"/>
      <c r="BU104" s="70"/>
      <c r="BV104" s="70"/>
      <c r="BW104" s="70"/>
      <c r="BX104" s="70"/>
      <c r="BY104" s="71"/>
    </row>
    <row r="105" spans="2:77" x14ac:dyDescent="0.2">
      <c r="K105" s="231"/>
      <c r="L105" s="188"/>
      <c r="M105" s="188"/>
      <c r="N105" s="188"/>
      <c r="O105" s="188"/>
      <c r="P105" s="188"/>
      <c r="Q105" s="188"/>
      <c r="R105" s="188"/>
      <c r="S105" s="188"/>
      <c r="T105" s="188"/>
      <c r="U105" s="188"/>
      <c r="V105" s="188"/>
      <c r="W105" s="188"/>
      <c r="X105" s="188"/>
      <c r="Y105" s="188"/>
      <c r="Z105" s="188"/>
      <c r="AA105" s="111"/>
      <c r="AB105" s="111"/>
      <c r="AC105" s="188"/>
      <c r="AD105" s="188"/>
      <c r="AE105" s="188"/>
      <c r="AF105" s="188"/>
      <c r="AG105" s="188"/>
      <c r="AH105" s="188"/>
      <c r="AI105" s="188"/>
      <c r="AJ105" s="188"/>
      <c r="AK105" s="188"/>
      <c r="AL105" s="188"/>
      <c r="AM105" s="188"/>
      <c r="AN105" s="188"/>
      <c r="AO105" s="188"/>
      <c r="AP105" s="188"/>
      <c r="AQ105" s="188"/>
      <c r="AR105" s="188"/>
      <c r="AS105" s="188"/>
      <c r="AT105" s="188"/>
      <c r="AU105" s="188"/>
      <c r="AV105" s="188"/>
      <c r="AW105" s="188"/>
      <c r="AX105" s="188"/>
      <c r="AY105" s="188"/>
      <c r="AZ105" s="188"/>
      <c r="BA105" s="188"/>
      <c r="BB105" s="188"/>
      <c r="BC105" s="188"/>
      <c r="BD105" s="188"/>
      <c r="BE105" s="188"/>
      <c r="BF105" s="188"/>
      <c r="BG105" s="188"/>
      <c r="BH105" s="188"/>
      <c r="BI105" s="188"/>
      <c r="BJ105" s="70"/>
      <c r="BK105" s="70"/>
      <c r="BL105" s="70"/>
      <c r="BM105" s="70"/>
      <c r="BN105" s="70"/>
      <c r="BO105" s="70"/>
      <c r="BP105" s="70"/>
      <c r="BQ105" s="70"/>
      <c r="BR105" s="70"/>
      <c r="BS105" s="70"/>
      <c r="BT105" s="70"/>
      <c r="BU105" s="70"/>
      <c r="BV105" s="70"/>
      <c r="BW105" s="70"/>
      <c r="BX105" s="70"/>
      <c r="BY105" s="71"/>
    </row>
    <row r="106" spans="2:77" x14ac:dyDescent="0.2">
      <c r="K106" s="231"/>
      <c r="L106" s="188"/>
      <c r="M106" s="188"/>
      <c r="N106" s="188"/>
      <c r="O106" s="188"/>
      <c r="P106" s="188"/>
      <c r="Q106" s="188"/>
      <c r="R106" s="188"/>
      <c r="S106" s="188"/>
      <c r="T106" s="188"/>
      <c r="U106" s="188"/>
      <c r="V106" s="188"/>
      <c r="W106" s="188"/>
      <c r="X106" s="188"/>
      <c r="Y106" s="188"/>
      <c r="Z106" s="188"/>
      <c r="AA106" s="111"/>
      <c r="AB106" s="111"/>
      <c r="AC106" s="188"/>
      <c r="AD106" s="188"/>
      <c r="AE106" s="188"/>
      <c r="AF106" s="188"/>
      <c r="AG106" s="188"/>
      <c r="AH106" s="188"/>
      <c r="AI106" s="188"/>
      <c r="AJ106" s="188"/>
      <c r="AK106" s="188"/>
      <c r="AL106" s="188"/>
      <c r="AM106" s="188"/>
      <c r="AN106" s="188"/>
      <c r="AO106" s="188"/>
      <c r="AP106" s="188"/>
      <c r="AQ106" s="188"/>
      <c r="AR106" s="188"/>
      <c r="AS106" s="188"/>
      <c r="AT106" s="188"/>
      <c r="AU106" s="188"/>
      <c r="AV106" s="188"/>
      <c r="AW106" s="188"/>
      <c r="AX106" s="188"/>
      <c r="AY106" s="188"/>
      <c r="AZ106" s="188"/>
      <c r="BA106" s="188"/>
      <c r="BB106" s="188"/>
      <c r="BC106" s="188"/>
      <c r="BD106" s="188"/>
      <c r="BE106" s="188"/>
      <c r="BF106" s="188"/>
      <c r="BG106" s="188"/>
      <c r="BH106" s="188"/>
      <c r="BI106" s="188"/>
      <c r="BJ106" s="70"/>
      <c r="BK106" s="70"/>
      <c r="BL106" s="70"/>
      <c r="BM106" s="70"/>
      <c r="BN106" s="70"/>
      <c r="BO106" s="70"/>
      <c r="BP106" s="70"/>
      <c r="BQ106" s="70"/>
      <c r="BR106" s="70"/>
      <c r="BS106" s="70"/>
      <c r="BT106" s="70"/>
      <c r="BU106" s="70"/>
      <c r="BV106" s="70"/>
      <c r="BW106" s="70"/>
      <c r="BX106" s="70"/>
      <c r="BY106" s="71"/>
    </row>
    <row r="107" spans="2:77" x14ac:dyDescent="0.2">
      <c r="K107" s="231"/>
      <c r="L107" s="188"/>
      <c r="M107" s="188"/>
      <c r="N107" s="188"/>
      <c r="O107" s="188"/>
      <c r="P107" s="188"/>
      <c r="Q107" s="188"/>
      <c r="R107" s="188"/>
      <c r="S107" s="188"/>
      <c r="T107" s="188"/>
      <c r="U107" s="188"/>
      <c r="V107" s="188"/>
      <c r="W107" s="188"/>
      <c r="X107" s="188"/>
      <c r="Y107" s="188"/>
      <c r="Z107" s="188"/>
      <c r="AA107" s="111"/>
      <c r="AB107" s="111"/>
      <c r="AC107" s="188"/>
      <c r="AD107" s="188"/>
      <c r="AE107" s="188"/>
      <c r="AF107" s="188"/>
      <c r="AG107" s="188"/>
      <c r="AH107" s="188"/>
      <c r="AI107" s="188"/>
      <c r="AJ107" s="188"/>
      <c r="AK107" s="188"/>
      <c r="AL107" s="188"/>
      <c r="AM107" s="188"/>
      <c r="AN107" s="188"/>
      <c r="AO107" s="188"/>
      <c r="AP107" s="188"/>
      <c r="AQ107" s="188"/>
      <c r="AR107" s="188"/>
      <c r="AS107" s="188"/>
      <c r="AT107" s="188"/>
      <c r="AU107" s="188"/>
      <c r="AV107" s="188"/>
      <c r="AW107" s="188"/>
      <c r="AX107" s="188"/>
      <c r="AY107" s="188"/>
      <c r="AZ107" s="188"/>
      <c r="BA107" s="188"/>
      <c r="BB107" s="188"/>
      <c r="BC107" s="188"/>
      <c r="BD107" s="188"/>
      <c r="BE107" s="188"/>
      <c r="BF107" s="188"/>
      <c r="BG107" s="188"/>
      <c r="BH107" s="188"/>
      <c r="BI107" s="188"/>
      <c r="BJ107" s="70"/>
      <c r="BK107" s="70"/>
      <c r="BL107" s="70"/>
      <c r="BM107" s="70"/>
      <c r="BN107" s="70"/>
      <c r="BO107" s="70"/>
      <c r="BP107" s="70"/>
      <c r="BQ107" s="70"/>
      <c r="BR107" s="70"/>
      <c r="BS107" s="70"/>
      <c r="BT107" s="70"/>
      <c r="BU107" s="70"/>
      <c r="BV107" s="70"/>
      <c r="BW107" s="70"/>
      <c r="BX107" s="70"/>
      <c r="BY107" s="71"/>
    </row>
    <row r="108" spans="2:77" x14ac:dyDescent="0.2">
      <c r="K108" s="231"/>
      <c r="L108" s="188"/>
      <c r="M108" s="188"/>
      <c r="N108" s="188"/>
      <c r="O108" s="188"/>
      <c r="P108" s="188"/>
      <c r="Q108" s="188"/>
      <c r="R108" s="188"/>
      <c r="S108" s="188"/>
      <c r="T108" s="188"/>
      <c r="U108" s="188"/>
      <c r="V108" s="188"/>
      <c r="W108" s="188"/>
      <c r="X108" s="188"/>
      <c r="Y108" s="188"/>
      <c r="Z108" s="188"/>
      <c r="AA108" s="111"/>
      <c r="AB108" s="111"/>
      <c r="AC108" s="188"/>
      <c r="AD108" s="188"/>
      <c r="AE108" s="188"/>
      <c r="AF108" s="188"/>
      <c r="AG108" s="188"/>
      <c r="AH108" s="188"/>
      <c r="AI108" s="188"/>
      <c r="AJ108" s="188"/>
      <c r="AK108" s="188"/>
      <c r="AL108" s="188"/>
      <c r="AM108" s="188"/>
      <c r="AN108" s="188"/>
      <c r="AO108" s="188"/>
      <c r="AP108" s="188"/>
      <c r="AQ108" s="188"/>
      <c r="AR108" s="188"/>
      <c r="AS108" s="188"/>
      <c r="AT108" s="188"/>
      <c r="AU108" s="188"/>
      <c r="AV108" s="188"/>
      <c r="AW108" s="188"/>
      <c r="AX108" s="188"/>
      <c r="AY108" s="188"/>
      <c r="AZ108" s="188"/>
      <c r="BA108" s="188"/>
      <c r="BB108" s="188"/>
      <c r="BC108" s="188"/>
      <c r="BD108" s="188"/>
      <c r="BE108" s="188"/>
      <c r="BF108" s="188"/>
      <c r="BG108" s="188"/>
      <c r="BH108" s="188"/>
      <c r="BI108" s="188"/>
      <c r="BJ108" s="70"/>
      <c r="BK108" s="70"/>
      <c r="BL108" s="70"/>
      <c r="BM108" s="70"/>
      <c r="BN108" s="70"/>
      <c r="BO108" s="70"/>
      <c r="BP108" s="70"/>
      <c r="BQ108" s="70"/>
      <c r="BR108" s="70"/>
      <c r="BS108" s="70"/>
      <c r="BT108" s="70"/>
      <c r="BU108" s="70"/>
      <c r="BV108" s="70"/>
      <c r="BW108" s="70"/>
      <c r="BX108" s="70"/>
      <c r="BY108" s="71"/>
    </row>
    <row r="109" spans="2:77" x14ac:dyDescent="0.2">
      <c r="K109" s="231"/>
      <c r="L109" s="188"/>
      <c r="M109" s="188"/>
      <c r="N109" s="188"/>
      <c r="O109" s="188"/>
      <c r="P109" s="188"/>
      <c r="Q109" s="202"/>
      <c r="R109" s="185" t="str">
        <f>IF(ISNUMBER(#REF!),SMALL($C$6:$C$50,#REF!),"")</f>
        <v/>
      </c>
      <c r="S109" s="185" t="str">
        <f t="shared" ref="S109:S118" si="48">IF(ISNUMBER(R109),LARGE(R$5:R$54,Q109),"")</f>
        <v/>
      </c>
      <c r="T109" s="111" t="str">
        <f t="shared" ref="T109:T118" si="49">IF(R109&lt;=AD$8,1,"")</f>
        <v/>
      </c>
      <c r="U109" s="111" t="str">
        <f t="shared" ref="U109:U118" si="50">IF(R109&lt;=AD$9,IF(R109&gt;AC$9,1,""),"")</f>
        <v/>
      </c>
      <c r="V109" s="111" t="str">
        <f t="shared" ref="V109:V118" si="51">IF(R109&lt;=AD$10,IF(R109&gt;AC$10,1,""),"")</f>
        <v/>
      </c>
      <c r="W109" s="111" t="str">
        <f t="shared" ref="W109:W118" si="52">IF(R109&lt;=AD$11,IF(R109&gt;AC$11,1,""),"")</f>
        <v/>
      </c>
      <c r="X109" s="111" t="str">
        <f t="shared" ref="X109:X118" si="53">IF(R109&lt;=AD$12,IF(R109&gt;AC$12,1,""),"")</f>
        <v/>
      </c>
      <c r="Y109" s="111" t="str">
        <f t="shared" ref="Y109:Y118" si="54">IF(R109&lt;=AD$13,IF(R109&gt;AC$13,1,""),"")</f>
        <v/>
      </c>
      <c r="Z109" s="111" t="str">
        <f t="shared" ref="Z109:Z118" si="55">IF(R109&lt;=AD$14,IF(R109&gt;AC$14,1,""),"")</f>
        <v/>
      </c>
      <c r="AA109" s="111"/>
      <c r="AB109" s="111"/>
      <c r="AC109" s="188"/>
      <c r="AD109" s="188"/>
      <c r="AE109" s="188"/>
      <c r="AF109" s="188"/>
      <c r="AG109" s="188"/>
      <c r="AH109" s="188"/>
      <c r="AI109" s="188"/>
      <c r="AJ109" s="188"/>
      <c r="AK109" s="188"/>
      <c r="AL109" s="188"/>
      <c r="AM109" s="188"/>
      <c r="AN109" s="188"/>
      <c r="AO109" s="188"/>
      <c r="AP109" s="188"/>
      <c r="AQ109" s="188"/>
      <c r="AR109" s="188"/>
      <c r="AS109" s="188"/>
      <c r="AT109" s="188"/>
      <c r="AU109" s="188"/>
      <c r="AV109" s="188"/>
      <c r="AW109" s="188"/>
      <c r="AX109" s="188"/>
      <c r="AY109" s="188"/>
      <c r="AZ109" s="188"/>
      <c r="BA109" s="188"/>
      <c r="BB109" s="188"/>
      <c r="BC109" s="188"/>
      <c r="BD109" s="188"/>
      <c r="BE109" s="188"/>
      <c r="BF109" s="188"/>
      <c r="BG109" s="188"/>
      <c r="BH109" s="188"/>
      <c r="BI109" s="188"/>
      <c r="BJ109" s="70"/>
      <c r="BK109" s="70"/>
      <c r="BL109" s="70"/>
      <c r="BM109" s="70"/>
      <c r="BN109" s="70"/>
      <c r="BO109" s="70"/>
      <c r="BP109" s="70"/>
      <c r="BQ109" s="70"/>
      <c r="BR109" s="70"/>
      <c r="BS109" s="70"/>
      <c r="BT109" s="70"/>
      <c r="BU109" s="70"/>
      <c r="BV109" s="70"/>
      <c r="BW109" s="70"/>
      <c r="BX109" s="70"/>
      <c r="BY109" s="71"/>
    </row>
    <row r="110" spans="2:77" x14ac:dyDescent="0.2">
      <c r="K110" s="231"/>
      <c r="L110" s="188"/>
      <c r="M110" s="188"/>
      <c r="N110" s="188"/>
      <c r="O110" s="188"/>
      <c r="P110" s="188"/>
      <c r="Q110" s="202"/>
      <c r="R110" s="185" t="str">
        <f>IF(ISNUMBER(#REF!),SMALL($C$6:$C$50,#REF!),"")</f>
        <v/>
      </c>
      <c r="S110" s="185" t="str">
        <f t="shared" si="48"/>
        <v/>
      </c>
      <c r="T110" s="111" t="str">
        <f t="shared" si="49"/>
        <v/>
      </c>
      <c r="U110" s="111" t="str">
        <f t="shared" si="50"/>
        <v/>
      </c>
      <c r="V110" s="111" t="str">
        <f t="shared" si="51"/>
        <v/>
      </c>
      <c r="W110" s="111" t="str">
        <f t="shared" si="52"/>
        <v/>
      </c>
      <c r="X110" s="111" t="str">
        <f t="shared" si="53"/>
        <v/>
      </c>
      <c r="Y110" s="111" t="str">
        <f t="shared" si="54"/>
        <v/>
      </c>
      <c r="Z110" s="111" t="str">
        <f t="shared" si="55"/>
        <v/>
      </c>
      <c r="AA110" s="111"/>
      <c r="AB110" s="111"/>
      <c r="AC110" s="188"/>
      <c r="AD110" s="188"/>
      <c r="AE110" s="188"/>
      <c r="AF110" s="188"/>
      <c r="AG110" s="188"/>
      <c r="AH110" s="188"/>
      <c r="AI110" s="188"/>
      <c r="AJ110" s="188"/>
      <c r="AK110" s="188"/>
      <c r="AL110" s="188"/>
      <c r="AM110" s="188"/>
      <c r="AN110" s="188"/>
      <c r="AO110" s="188"/>
      <c r="AP110" s="188"/>
      <c r="AQ110" s="188"/>
      <c r="AR110" s="188"/>
      <c r="AS110" s="188"/>
      <c r="AT110" s="188"/>
      <c r="AU110" s="188"/>
      <c r="AV110" s="188"/>
      <c r="AW110" s="188"/>
      <c r="AX110" s="188"/>
      <c r="AY110" s="188"/>
      <c r="AZ110" s="188"/>
      <c r="BA110" s="188"/>
      <c r="BB110" s="188"/>
      <c r="BC110" s="188"/>
      <c r="BD110" s="188"/>
      <c r="BE110" s="188"/>
      <c r="BF110" s="188"/>
      <c r="BG110" s="188"/>
      <c r="BH110" s="188"/>
      <c r="BI110" s="188"/>
      <c r="BJ110" s="70"/>
      <c r="BK110" s="70"/>
      <c r="BL110" s="70"/>
      <c r="BM110" s="70"/>
      <c r="BN110" s="70"/>
      <c r="BO110" s="70"/>
      <c r="BP110" s="70"/>
      <c r="BQ110" s="70"/>
      <c r="BR110" s="70"/>
      <c r="BS110" s="70"/>
      <c r="BT110" s="70"/>
      <c r="BU110" s="70"/>
      <c r="BV110" s="70"/>
      <c r="BW110" s="70"/>
      <c r="BX110" s="70"/>
      <c r="BY110" s="71"/>
    </row>
    <row r="111" spans="2:77" x14ac:dyDescent="0.2">
      <c r="K111" s="231"/>
      <c r="L111" s="188"/>
      <c r="M111" s="188"/>
      <c r="N111" s="188"/>
      <c r="O111" s="188"/>
      <c r="P111" s="188"/>
      <c r="Q111" s="202"/>
      <c r="R111" s="185" t="str">
        <f>IF(ISNUMBER(#REF!),SMALL($C$6:$C$50,#REF!),"")</f>
        <v/>
      </c>
      <c r="S111" s="185" t="str">
        <f t="shared" si="48"/>
        <v/>
      </c>
      <c r="T111" s="111" t="str">
        <f t="shared" si="49"/>
        <v/>
      </c>
      <c r="U111" s="111" t="str">
        <f t="shared" si="50"/>
        <v/>
      </c>
      <c r="V111" s="111" t="str">
        <f t="shared" si="51"/>
        <v/>
      </c>
      <c r="W111" s="111" t="str">
        <f t="shared" si="52"/>
        <v/>
      </c>
      <c r="X111" s="111" t="str">
        <f t="shared" si="53"/>
        <v/>
      </c>
      <c r="Y111" s="111" t="str">
        <f t="shared" si="54"/>
        <v/>
      </c>
      <c r="Z111" s="111" t="str">
        <f t="shared" si="55"/>
        <v/>
      </c>
      <c r="AA111" s="111"/>
      <c r="AB111" s="111"/>
      <c r="AC111" s="188"/>
      <c r="AD111" s="188"/>
      <c r="AE111" s="188"/>
      <c r="AF111" s="188"/>
      <c r="AG111" s="188"/>
      <c r="AH111" s="188"/>
      <c r="AI111" s="188"/>
      <c r="AJ111" s="188"/>
      <c r="AK111" s="188"/>
      <c r="AL111" s="188"/>
      <c r="AM111" s="188"/>
      <c r="AN111" s="188"/>
      <c r="AO111" s="188"/>
      <c r="AP111" s="188"/>
      <c r="AQ111" s="188"/>
      <c r="AR111" s="188"/>
      <c r="AS111" s="188"/>
      <c r="AT111" s="188"/>
      <c r="AU111" s="188"/>
      <c r="AV111" s="188"/>
      <c r="AW111" s="188"/>
      <c r="AX111" s="188"/>
      <c r="AY111" s="188"/>
      <c r="AZ111" s="188"/>
      <c r="BA111" s="188"/>
      <c r="BB111" s="188"/>
      <c r="BC111" s="188"/>
      <c r="BD111" s="188"/>
      <c r="BE111" s="188"/>
      <c r="BF111" s="188"/>
      <c r="BG111" s="188"/>
      <c r="BH111" s="188"/>
      <c r="BI111" s="188"/>
      <c r="BJ111" s="70"/>
      <c r="BK111" s="70"/>
      <c r="BL111" s="70"/>
      <c r="BM111" s="70"/>
      <c r="BN111" s="70"/>
      <c r="BO111" s="70"/>
      <c r="BP111" s="70"/>
      <c r="BQ111" s="70"/>
      <c r="BR111" s="70"/>
      <c r="BS111" s="70"/>
      <c r="BT111" s="70"/>
      <c r="BU111" s="70"/>
      <c r="BV111" s="70"/>
      <c r="BW111" s="70"/>
      <c r="BX111" s="70"/>
      <c r="BY111" s="71"/>
    </row>
    <row r="112" spans="2:77" x14ac:dyDescent="0.2">
      <c r="K112" s="231"/>
      <c r="L112" s="188"/>
      <c r="M112" s="188"/>
      <c r="N112" s="188"/>
      <c r="O112" s="188"/>
      <c r="P112" s="188"/>
      <c r="Q112" s="202"/>
      <c r="R112" s="185" t="str">
        <f>IF(ISNUMBER(#REF!),SMALL($C$6:$C$50,#REF!),"")</f>
        <v/>
      </c>
      <c r="S112" s="185" t="str">
        <f t="shared" si="48"/>
        <v/>
      </c>
      <c r="T112" s="111" t="str">
        <f t="shared" si="49"/>
        <v/>
      </c>
      <c r="U112" s="111" t="str">
        <f t="shared" si="50"/>
        <v/>
      </c>
      <c r="V112" s="111" t="str">
        <f t="shared" si="51"/>
        <v/>
      </c>
      <c r="W112" s="111" t="str">
        <f t="shared" si="52"/>
        <v/>
      </c>
      <c r="X112" s="111" t="str">
        <f t="shared" si="53"/>
        <v/>
      </c>
      <c r="Y112" s="111" t="str">
        <f t="shared" si="54"/>
        <v/>
      </c>
      <c r="Z112" s="111" t="str">
        <f t="shared" si="55"/>
        <v/>
      </c>
      <c r="AA112" s="111"/>
      <c r="AB112" s="111"/>
      <c r="AC112" s="188"/>
      <c r="AD112" s="188"/>
      <c r="AE112" s="188"/>
      <c r="AF112" s="188"/>
      <c r="AG112" s="188"/>
      <c r="AH112" s="188"/>
      <c r="AI112" s="188"/>
      <c r="AJ112" s="188"/>
      <c r="AK112" s="188"/>
      <c r="AL112" s="188"/>
      <c r="AM112" s="188"/>
      <c r="AN112" s="188"/>
      <c r="AO112" s="188"/>
      <c r="AP112" s="188"/>
      <c r="AQ112" s="188"/>
      <c r="AR112" s="188"/>
      <c r="AS112" s="188"/>
      <c r="AT112" s="188"/>
      <c r="AU112" s="188"/>
      <c r="AV112" s="188"/>
      <c r="AW112" s="188"/>
      <c r="AX112" s="188"/>
      <c r="AY112" s="188"/>
      <c r="AZ112" s="188"/>
      <c r="BA112" s="188"/>
      <c r="BB112" s="188"/>
      <c r="BC112" s="188"/>
      <c r="BD112" s="188"/>
      <c r="BE112" s="188"/>
      <c r="BF112" s="188"/>
      <c r="BG112" s="188"/>
      <c r="BH112" s="188"/>
      <c r="BI112" s="188"/>
      <c r="BJ112" s="70"/>
      <c r="BK112" s="70"/>
      <c r="BL112" s="70"/>
      <c r="BM112" s="70"/>
      <c r="BN112" s="70"/>
      <c r="BO112" s="70"/>
      <c r="BP112" s="70"/>
      <c r="BQ112" s="70"/>
      <c r="BR112" s="70"/>
      <c r="BS112" s="70"/>
      <c r="BT112" s="70"/>
      <c r="BU112" s="70"/>
      <c r="BV112" s="70"/>
      <c r="BW112" s="70"/>
      <c r="BX112" s="70"/>
      <c r="BY112" s="71"/>
    </row>
    <row r="113" spans="11:77" x14ac:dyDescent="0.2">
      <c r="K113" s="231"/>
      <c r="L113" s="188"/>
      <c r="M113" s="188"/>
      <c r="N113" s="188"/>
      <c r="O113" s="188"/>
      <c r="P113" s="188"/>
      <c r="Q113" s="202"/>
      <c r="R113" s="185" t="str">
        <f>IF(ISNUMBER(#REF!),SMALL($C$6:$C$50,#REF!),"")</f>
        <v/>
      </c>
      <c r="S113" s="185" t="str">
        <f t="shared" si="48"/>
        <v/>
      </c>
      <c r="T113" s="111" t="str">
        <f t="shared" si="49"/>
        <v/>
      </c>
      <c r="U113" s="111" t="str">
        <f t="shared" si="50"/>
        <v/>
      </c>
      <c r="V113" s="111" t="str">
        <f t="shared" si="51"/>
        <v/>
      </c>
      <c r="W113" s="111" t="str">
        <f t="shared" si="52"/>
        <v/>
      </c>
      <c r="X113" s="111" t="str">
        <f t="shared" si="53"/>
        <v/>
      </c>
      <c r="Y113" s="111" t="str">
        <f t="shared" si="54"/>
        <v/>
      </c>
      <c r="Z113" s="111" t="str">
        <f t="shared" si="55"/>
        <v/>
      </c>
      <c r="AA113" s="111"/>
      <c r="AB113" s="111"/>
      <c r="AC113" s="188"/>
      <c r="AD113" s="188"/>
      <c r="AE113" s="188"/>
      <c r="AF113" s="188"/>
      <c r="AG113" s="188"/>
      <c r="AH113" s="188"/>
      <c r="AI113" s="188"/>
      <c r="AJ113" s="188"/>
      <c r="AK113" s="188"/>
      <c r="AL113" s="188"/>
      <c r="AM113" s="188"/>
      <c r="AN113" s="188"/>
      <c r="AO113" s="188"/>
      <c r="AP113" s="188"/>
      <c r="AQ113" s="188"/>
      <c r="AR113" s="188"/>
      <c r="AS113" s="188"/>
      <c r="AT113" s="188"/>
      <c r="AU113" s="188"/>
      <c r="AV113" s="188"/>
      <c r="AW113" s="188"/>
      <c r="AX113" s="188"/>
      <c r="AY113" s="188"/>
      <c r="AZ113" s="188"/>
      <c r="BA113" s="188"/>
      <c r="BB113" s="188"/>
      <c r="BC113" s="188"/>
      <c r="BD113" s="188"/>
      <c r="BE113" s="188"/>
      <c r="BF113" s="188"/>
      <c r="BG113" s="188"/>
      <c r="BH113" s="188"/>
      <c r="BI113" s="188"/>
      <c r="BJ113" s="70"/>
      <c r="BK113" s="70"/>
      <c r="BL113" s="70"/>
      <c r="BM113" s="70"/>
      <c r="BN113" s="70"/>
      <c r="BO113" s="70"/>
      <c r="BP113" s="70"/>
      <c r="BQ113" s="70"/>
      <c r="BR113" s="70"/>
      <c r="BS113" s="70"/>
      <c r="BT113" s="70"/>
      <c r="BU113" s="70"/>
      <c r="BV113" s="70"/>
      <c r="BW113" s="70"/>
      <c r="BX113" s="70"/>
      <c r="BY113" s="71"/>
    </row>
    <row r="114" spans="11:77" x14ac:dyDescent="0.2">
      <c r="K114" s="231"/>
      <c r="L114" s="188"/>
      <c r="M114" s="188"/>
      <c r="N114" s="188"/>
      <c r="O114" s="188"/>
      <c r="P114" s="188"/>
      <c r="Q114" s="202"/>
      <c r="R114" s="185" t="str">
        <f>IF(ISNUMBER(#REF!),SMALL($C$6:$C$50,#REF!),"")</f>
        <v/>
      </c>
      <c r="S114" s="185" t="str">
        <f t="shared" si="48"/>
        <v/>
      </c>
      <c r="T114" s="111" t="str">
        <f t="shared" si="49"/>
        <v/>
      </c>
      <c r="U114" s="111" t="str">
        <f t="shared" si="50"/>
        <v/>
      </c>
      <c r="V114" s="111" t="str">
        <f t="shared" si="51"/>
        <v/>
      </c>
      <c r="W114" s="111" t="str">
        <f t="shared" si="52"/>
        <v/>
      </c>
      <c r="X114" s="111" t="str">
        <f t="shared" si="53"/>
        <v/>
      </c>
      <c r="Y114" s="111" t="str">
        <f t="shared" si="54"/>
        <v/>
      </c>
      <c r="Z114" s="111" t="str">
        <f t="shared" si="55"/>
        <v/>
      </c>
      <c r="AA114" s="111"/>
      <c r="AB114" s="111"/>
      <c r="AC114" s="188"/>
      <c r="AD114" s="188"/>
      <c r="AE114" s="188"/>
      <c r="AF114" s="188"/>
      <c r="AG114" s="188"/>
      <c r="AH114" s="188"/>
      <c r="AI114" s="188"/>
      <c r="AJ114" s="188"/>
      <c r="AK114" s="188"/>
      <c r="AL114" s="188"/>
      <c r="AM114" s="188"/>
      <c r="AN114" s="188"/>
      <c r="AO114" s="188"/>
      <c r="AP114" s="188"/>
      <c r="AQ114" s="188"/>
      <c r="AR114" s="188"/>
      <c r="AS114" s="188"/>
      <c r="AT114" s="188"/>
      <c r="AU114" s="188"/>
      <c r="AV114" s="188"/>
      <c r="AW114" s="188"/>
      <c r="AX114" s="188"/>
      <c r="AY114" s="188"/>
      <c r="AZ114" s="188"/>
      <c r="BA114" s="188"/>
      <c r="BB114" s="188"/>
      <c r="BC114" s="188"/>
      <c r="BD114" s="188"/>
      <c r="BE114" s="188"/>
      <c r="BF114" s="188"/>
      <c r="BG114" s="188"/>
      <c r="BH114" s="188"/>
      <c r="BI114" s="188"/>
      <c r="BJ114" s="70"/>
      <c r="BK114" s="70"/>
      <c r="BL114" s="70"/>
      <c r="BM114" s="70"/>
      <c r="BN114" s="70"/>
      <c r="BO114" s="70"/>
      <c r="BP114" s="70"/>
      <c r="BQ114" s="70"/>
      <c r="BR114" s="70"/>
      <c r="BS114" s="70"/>
      <c r="BT114" s="70"/>
      <c r="BU114" s="70"/>
      <c r="BV114" s="70"/>
      <c r="BW114" s="70"/>
      <c r="BX114" s="70"/>
      <c r="BY114" s="71"/>
    </row>
    <row r="115" spans="11:77" x14ac:dyDescent="0.2">
      <c r="K115" s="231"/>
      <c r="L115" s="188"/>
      <c r="M115" s="188"/>
      <c r="N115" s="188"/>
      <c r="O115" s="188"/>
      <c r="P115" s="188"/>
      <c r="Q115" s="202"/>
      <c r="R115" s="185" t="str">
        <f>IF(ISNUMBER(#REF!),SMALL($C$6:$C$50,#REF!),"")</f>
        <v/>
      </c>
      <c r="S115" s="185" t="str">
        <f t="shared" si="48"/>
        <v/>
      </c>
      <c r="T115" s="111" t="str">
        <f t="shared" si="49"/>
        <v/>
      </c>
      <c r="U115" s="111" t="str">
        <f t="shared" si="50"/>
        <v/>
      </c>
      <c r="V115" s="111" t="str">
        <f t="shared" si="51"/>
        <v/>
      </c>
      <c r="W115" s="111" t="str">
        <f t="shared" si="52"/>
        <v/>
      </c>
      <c r="X115" s="111" t="str">
        <f t="shared" si="53"/>
        <v/>
      </c>
      <c r="Y115" s="111" t="str">
        <f t="shared" si="54"/>
        <v/>
      </c>
      <c r="Z115" s="111" t="str">
        <f t="shared" si="55"/>
        <v/>
      </c>
      <c r="AA115" s="111"/>
      <c r="AB115" s="111"/>
      <c r="AC115" s="188"/>
      <c r="AD115" s="188"/>
      <c r="AE115" s="188"/>
      <c r="AF115" s="188"/>
      <c r="AG115" s="188"/>
      <c r="AH115" s="188"/>
      <c r="AI115" s="188"/>
      <c r="AJ115" s="188"/>
      <c r="AK115" s="188"/>
      <c r="AL115" s="188"/>
      <c r="AM115" s="188"/>
      <c r="AN115" s="188"/>
      <c r="AO115" s="188"/>
      <c r="AP115" s="188"/>
      <c r="AQ115" s="188"/>
      <c r="AR115" s="188"/>
      <c r="AS115" s="188"/>
      <c r="AT115" s="188"/>
      <c r="AU115" s="188"/>
      <c r="AV115" s="188"/>
      <c r="AW115" s="188"/>
      <c r="AX115" s="188"/>
      <c r="AY115" s="188"/>
      <c r="AZ115" s="188"/>
      <c r="BA115" s="188"/>
      <c r="BB115" s="188"/>
      <c r="BC115" s="188"/>
      <c r="BD115" s="188"/>
      <c r="BE115" s="188"/>
      <c r="BF115" s="188"/>
      <c r="BG115" s="188"/>
      <c r="BH115" s="188"/>
      <c r="BI115" s="188"/>
      <c r="BJ115" s="70"/>
      <c r="BK115" s="70"/>
      <c r="BL115" s="70"/>
      <c r="BM115" s="70"/>
      <c r="BN115" s="70"/>
      <c r="BO115" s="70"/>
      <c r="BP115" s="70"/>
      <c r="BQ115" s="70"/>
      <c r="BR115" s="70"/>
      <c r="BS115" s="70"/>
      <c r="BT115" s="70"/>
      <c r="BU115" s="70"/>
      <c r="BV115" s="70"/>
      <c r="BW115" s="70"/>
      <c r="BX115" s="70"/>
      <c r="BY115" s="71"/>
    </row>
    <row r="116" spans="11:77" x14ac:dyDescent="0.2">
      <c r="K116" s="231"/>
      <c r="L116" s="188"/>
      <c r="M116" s="188"/>
      <c r="N116" s="188"/>
      <c r="O116" s="188"/>
      <c r="P116" s="188"/>
      <c r="Q116" s="202"/>
      <c r="R116" s="185" t="str">
        <f>IF(ISNUMBER(#REF!),SMALL($C$6:$C$50,#REF!),"")</f>
        <v/>
      </c>
      <c r="S116" s="185" t="str">
        <f t="shared" si="48"/>
        <v/>
      </c>
      <c r="T116" s="111" t="str">
        <f t="shared" si="49"/>
        <v/>
      </c>
      <c r="U116" s="111" t="str">
        <f t="shared" si="50"/>
        <v/>
      </c>
      <c r="V116" s="111" t="str">
        <f t="shared" si="51"/>
        <v/>
      </c>
      <c r="W116" s="111" t="str">
        <f t="shared" si="52"/>
        <v/>
      </c>
      <c r="X116" s="111" t="str">
        <f t="shared" si="53"/>
        <v/>
      </c>
      <c r="Y116" s="111" t="str">
        <f t="shared" si="54"/>
        <v/>
      </c>
      <c r="Z116" s="111" t="str">
        <f t="shared" si="55"/>
        <v/>
      </c>
      <c r="AA116" s="111"/>
      <c r="AB116" s="111"/>
      <c r="AC116" s="188"/>
      <c r="AD116" s="188"/>
      <c r="AE116" s="188"/>
      <c r="AF116" s="188"/>
      <c r="AG116" s="188"/>
      <c r="AH116" s="188"/>
      <c r="AI116" s="188"/>
      <c r="AJ116" s="188"/>
      <c r="AK116" s="188"/>
      <c r="AL116" s="188"/>
      <c r="AM116" s="188"/>
      <c r="AN116" s="188"/>
      <c r="AO116" s="188"/>
      <c r="AP116" s="188"/>
      <c r="AQ116" s="188"/>
      <c r="AR116" s="188"/>
      <c r="AS116" s="188"/>
      <c r="AT116" s="188"/>
      <c r="AU116" s="188"/>
      <c r="AV116" s="188"/>
      <c r="AW116" s="188"/>
      <c r="AX116" s="188"/>
      <c r="AY116" s="188"/>
      <c r="AZ116" s="188"/>
      <c r="BA116" s="188"/>
      <c r="BB116" s="188"/>
      <c r="BC116" s="188"/>
      <c r="BD116" s="188"/>
      <c r="BE116" s="188"/>
      <c r="BF116" s="188"/>
      <c r="BG116" s="188"/>
      <c r="BH116" s="188"/>
      <c r="BI116" s="188"/>
      <c r="BJ116" s="70"/>
      <c r="BK116" s="70"/>
      <c r="BL116" s="70"/>
      <c r="BM116" s="70"/>
      <c r="BN116" s="70"/>
      <c r="BO116" s="70"/>
      <c r="BP116" s="70"/>
      <c r="BQ116" s="70"/>
      <c r="BR116" s="70"/>
      <c r="BS116" s="70"/>
      <c r="BT116" s="70"/>
      <c r="BU116" s="70"/>
      <c r="BV116" s="70"/>
      <c r="BW116" s="70"/>
      <c r="BX116" s="70"/>
      <c r="BY116" s="71"/>
    </row>
    <row r="117" spans="11:77" x14ac:dyDescent="0.2">
      <c r="K117" s="231"/>
      <c r="L117" s="188"/>
      <c r="M117" s="188"/>
      <c r="N117" s="188"/>
      <c r="O117" s="188"/>
      <c r="P117" s="188"/>
      <c r="Q117" s="202"/>
      <c r="R117" s="185" t="str">
        <f>IF(ISNUMBER(#REF!),SMALL($C$6:$C$50,#REF!),"")</f>
        <v/>
      </c>
      <c r="S117" s="185" t="str">
        <f t="shared" si="48"/>
        <v/>
      </c>
      <c r="T117" s="111" t="str">
        <f t="shared" si="49"/>
        <v/>
      </c>
      <c r="U117" s="111" t="str">
        <f t="shared" si="50"/>
        <v/>
      </c>
      <c r="V117" s="111" t="str">
        <f t="shared" si="51"/>
        <v/>
      </c>
      <c r="W117" s="111" t="str">
        <f t="shared" si="52"/>
        <v/>
      </c>
      <c r="X117" s="111" t="str">
        <f t="shared" si="53"/>
        <v/>
      </c>
      <c r="Y117" s="111" t="str">
        <f t="shared" si="54"/>
        <v/>
      </c>
      <c r="Z117" s="111" t="str">
        <f t="shared" si="55"/>
        <v/>
      </c>
      <c r="AA117" s="111"/>
      <c r="AB117" s="111"/>
      <c r="AC117" s="111"/>
      <c r="AD117" s="111"/>
      <c r="AE117" s="111"/>
      <c r="AF117" s="111"/>
      <c r="AG117" s="111"/>
      <c r="AH117" s="111"/>
      <c r="AI117" s="111"/>
      <c r="AJ117" s="111"/>
      <c r="AK117" s="188"/>
      <c r="AL117" s="188"/>
      <c r="AM117" s="188"/>
      <c r="AN117" s="188"/>
      <c r="AO117" s="188"/>
      <c r="AP117" s="188"/>
      <c r="AQ117" s="188"/>
      <c r="AR117" s="188"/>
      <c r="AS117" s="188"/>
      <c r="AT117" s="188"/>
      <c r="AU117" s="188"/>
      <c r="AV117" s="188"/>
      <c r="AW117" s="188"/>
      <c r="AX117" s="188"/>
      <c r="AY117" s="188"/>
      <c r="AZ117" s="188"/>
      <c r="BA117" s="188"/>
      <c r="BB117" s="188"/>
      <c r="BC117" s="188"/>
      <c r="BD117" s="188"/>
      <c r="BE117" s="188"/>
      <c r="BF117" s="188"/>
      <c r="BG117" s="188"/>
      <c r="BH117" s="188"/>
      <c r="BI117" s="188"/>
      <c r="BJ117" s="70"/>
      <c r="BK117" s="70"/>
      <c r="BL117" s="70"/>
      <c r="BM117" s="70"/>
      <c r="BN117" s="70"/>
      <c r="BO117" s="70"/>
      <c r="BP117" s="70"/>
      <c r="BQ117" s="70"/>
      <c r="BR117" s="70"/>
      <c r="BS117" s="70"/>
      <c r="BT117" s="70"/>
      <c r="BU117" s="70"/>
      <c r="BV117" s="70"/>
      <c r="BW117" s="70"/>
      <c r="BX117" s="70"/>
      <c r="BY117" s="71"/>
    </row>
    <row r="118" spans="11:77" x14ac:dyDescent="0.2">
      <c r="K118" s="240"/>
      <c r="L118" s="233"/>
      <c r="M118" s="233"/>
      <c r="N118" s="233"/>
      <c r="O118" s="233"/>
      <c r="P118" s="233"/>
      <c r="Q118" s="234"/>
      <c r="R118" s="235" t="str">
        <f>IF(ISNUMBER(#REF!),SMALL($C$6:$C$50,#REF!),"")</f>
        <v/>
      </c>
      <c r="S118" s="235" t="str">
        <f t="shared" si="48"/>
        <v/>
      </c>
      <c r="T118" s="101" t="str">
        <f t="shared" si="49"/>
        <v/>
      </c>
      <c r="U118" s="101" t="str">
        <f t="shared" si="50"/>
        <v/>
      </c>
      <c r="V118" s="101" t="str">
        <f t="shared" si="51"/>
        <v/>
      </c>
      <c r="W118" s="101" t="str">
        <f t="shared" si="52"/>
        <v/>
      </c>
      <c r="X118" s="101" t="str">
        <f t="shared" si="53"/>
        <v/>
      </c>
      <c r="Y118" s="101" t="str">
        <f t="shared" si="54"/>
        <v/>
      </c>
      <c r="Z118" s="101" t="str">
        <f t="shared" si="55"/>
        <v/>
      </c>
      <c r="AA118" s="101"/>
      <c r="AB118" s="101"/>
      <c r="AC118" s="101"/>
      <c r="AD118" s="101"/>
      <c r="AE118" s="101"/>
      <c r="AF118" s="101"/>
      <c r="AG118" s="101"/>
      <c r="AH118" s="101"/>
      <c r="AI118" s="101"/>
      <c r="AJ118" s="101"/>
      <c r="AK118" s="233"/>
      <c r="AL118" s="233"/>
      <c r="AM118" s="233"/>
      <c r="AN118" s="233"/>
      <c r="AO118" s="233"/>
      <c r="AP118" s="233"/>
      <c r="AQ118" s="233"/>
      <c r="AR118" s="233"/>
      <c r="AS118" s="233"/>
      <c r="AT118" s="233"/>
      <c r="AU118" s="233"/>
      <c r="AV118" s="233"/>
      <c r="AW118" s="233"/>
      <c r="AX118" s="233"/>
      <c r="AY118" s="233"/>
      <c r="AZ118" s="233"/>
      <c r="BA118" s="233"/>
      <c r="BB118" s="233"/>
      <c r="BC118" s="233"/>
      <c r="BD118" s="233"/>
      <c r="BE118" s="233"/>
      <c r="BF118" s="233"/>
      <c r="BG118" s="233"/>
      <c r="BH118" s="233"/>
      <c r="BI118" s="233"/>
      <c r="BJ118" s="100"/>
      <c r="BK118" s="100"/>
      <c r="BL118" s="100"/>
      <c r="BM118" s="71"/>
      <c r="BN118" s="71"/>
      <c r="BO118" s="71"/>
      <c r="BP118" s="71"/>
      <c r="BQ118" s="71"/>
      <c r="BR118" s="71"/>
      <c r="BS118" s="71"/>
      <c r="BT118" s="71"/>
      <c r="BU118" s="71"/>
      <c r="BV118" s="71"/>
      <c r="BW118" s="71"/>
      <c r="BX118" s="71"/>
      <c r="BY118" s="71"/>
    </row>
    <row r="119" spans="11:77" x14ac:dyDescent="0.2"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  <c r="AI119" s="71"/>
      <c r="AJ119" s="71"/>
      <c r="AK119" s="71"/>
      <c r="AL119" s="71"/>
      <c r="AM119" s="71"/>
      <c r="AN119" s="71"/>
      <c r="AO119" s="71"/>
      <c r="AP119" s="71"/>
      <c r="AQ119" s="71"/>
      <c r="AR119" s="71"/>
      <c r="AS119" s="71"/>
      <c r="AT119" s="71"/>
      <c r="AU119" s="71"/>
      <c r="AV119" s="71"/>
      <c r="AW119" s="71"/>
      <c r="AX119" s="71"/>
      <c r="AY119" s="71"/>
      <c r="AZ119" s="71"/>
      <c r="BA119" s="71"/>
      <c r="BB119" s="71"/>
      <c r="BC119" s="71"/>
      <c r="BD119" s="71"/>
      <c r="BE119" s="71"/>
      <c r="BF119" s="71"/>
      <c r="BG119" s="71"/>
      <c r="BH119" s="71"/>
      <c r="BI119" s="71"/>
      <c r="BJ119" s="71"/>
      <c r="BK119" s="71"/>
      <c r="BL119" s="71"/>
      <c r="BM119" s="71"/>
      <c r="BN119" s="71"/>
      <c r="BO119" s="71"/>
      <c r="BP119" s="71"/>
      <c r="BQ119" s="71"/>
      <c r="BR119" s="71"/>
      <c r="BS119" s="71"/>
      <c r="BT119" s="71"/>
      <c r="BU119" s="71"/>
      <c r="BV119" s="71"/>
      <c r="BW119" s="71"/>
      <c r="BX119" s="71"/>
      <c r="BY119" s="71"/>
    </row>
    <row r="120" spans="11:77" x14ac:dyDescent="0.2"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  <c r="AI120" s="71"/>
      <c r="AJ120" s="71"/>
      <c r="AK120" s="71"/>
      <c r="AL120" s="71"/>
      <c r="AM120" s="71"/>
      <c r="AN120" s="71"/>
      <c r="AO120" s="71"/>
      <c r="AP120" s="71"/>
      <c r="AQ120" s="71"/>
      <c r="AR120" s="71"/>
      <c r="AS120" s="71"/>
      <c r="AT120" s="71"/>
      <c r="AU120" s="71"/>
      <c r="AV120" s="71"/>
      <c r="AW120" s="71"/>
      <c r="AX120" s="71"/>
      <c r="AY120" s="71"/>
      <c r="AZ120" s="71"/>
      <c r="BA120" s="71"/>
      <c r="BB120" s="71"/>
      <c r="BC120" s="71"/>
      <c r="BD120" s="71"/>
      <c r="BE120" s="71"/>
      <c r="BF120" s="71"/>
      <c r="BG120" s="71"/>
      <c r="BH120" s="71"/>
      <c r="BI120" s="71"/>
      <c r="BJ120" s="71"/>
      <c r="BK120" s="71"/>
      <c r="BL120" s="71"/>
      <c r="BM120" s="71"/>
      <c r="BN120" s="71"/>
      <c r="BO120" s="71"/>
      <c r="BP120" s="71"/>
      <c r="BQ120" s="71"/>
      <c r="BR120" s="71"/>
      <c r="BS120" s="71"/>
      <c r="BT120" s="71"/>
      <c r="BU120" s="71"/>
      <c r="BV120" s="71"/>
      <c r="BW120" s="71"/>
      <c r="BX120" s="71"/>
      <c r="BY120" s="71"/>
    </row>
    <row r="121" spans="11:77" x14ac:dyDescent="0.2"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  <c r="AI121" s="71"/>
      <c r="AJ121" s="71"/>
      <c r="AK121" s="71"/>
      <c r="AL121" s="71"/>
      <c r="AM121" s="71"/>
      <c r="AN121" s="71"/>
      <c r="AO121" s="71"/>
      <c r="AP121" s="71"/>
      <c r="AQ121" s="71"/>
      <c r="AR121" s="71"/>
      <c r="AS121" s="71"/>
      <c r="AT121" s="71"/>
      <c r="AU121" s="71"/>
      <c r="AV121" s="71"/>
      <c r="AW121" s="71"/>
      <c r="AX121" s="71"/>
      <c r="AY121" s="71"/>
      <c r="AZ121" s="71"/>
      <c r="BA121" s="71"/>
      <c r="BB121" s="71"/>
      <c r="BC121" s="71"/>
      <c r="BD121" s="71"/>
      <c r="BE121" s="71"/>
      <c r="BF121" s="71"/>
      <c r="BG121" s="71"/>
      <c r="BH121" s="71"/>
      <c r="BI121" s="71"/>
      <c r="BJ121" s="71"/>
      <c r="BK121" s="71"/>
      <c r="BL121" s="71"/>
      <c r="BM121" s="71"/>
      <c r="BN121" s="71"/>
      <c r="BO121" s="71"/>
      <c r="BP121" s="71"/>
      <c r="BQ121" s="71"/>
      <c r="BR121" s="71"/>
      <c r="BS121" s="71"/>
      <c r="BT121" s="71"/>
      <c r="BU121" s="71"/>
      <c r="BV121" s="71"/>
      <c r="BW121" s="71"/>
      <c r="BX121" s="71"/>
      <c r="BY121" s="71"/>
    </row>
    <row r="122" spans="11:77" x14ac:dyDescent="0.2"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71"/>
      <c r="AJ122" s="71"/>
      <c r="AK122" s="71"/>
      <c r="AL122" s="71"/>
      <c r="AM122" s="71"/>
      <c r="AN122" s="71"/>
      <c r="AO122" s="71"/>
      <c r="AP122" s="71"/>
      <c r="AQ122" s="71"/>
      <c r="AR122" s="71"/>
      <c r="AS122" s="71"/>
      <c r="AT122" s="71"/>
      <c r="AU122" s="71"/>
      <c r="AV122" s="71"/>
      <c r="AW122" s="71"/>
      <c r="AX122" s="71"/>
      <c r="AY122" s="71"/>
      <c r="AZ122" s="71"/>
      <c r="BA122" s="71"/>
      <c r="BB122" s="71"/>
      <c r="BC122" s="71"/>
      <c r="BD122" s="71"/>
      <c r="BE122" s="71"/>
      <c r="BF122" s="71"/>
      <c r="BG122" s="71"/>
      <c r="BH122" s="71"/>
      <c r="BI122" s="71"/>
      <c r="BJ122" s="71"/>
      <c r="BK122" s="71"/>
      <c r="BL122" s="71"/>
      <c r="BM122" s="71"/>
      <c r="BN122" s="71"/>
      <c r="BO122" s="71"/>
      <c r="BP122" s="71"/>
      <c r="BQ122" s="71"/>
      <c r="BR122" s="71"/>
      <c r="BS122" s="71"/>
      <c r="BT122" s="71"/>
      <c r="BU122" s="71"/>
      <c r="BV122" s="71"/>
      <c r="BW122" s="71"/>
      <c r="BX122" s="71"/>
      <c r="BY122" s="71"/>
    </row>
    <row r="123" spans="11:77" x14ac:dyDescent="0.2"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  <c r="AI123" s="71"/>
      <c r="AJ123" s="71"/>
      <c r="AK123" s="71"/>
      <c r="AL123" s="71"/>
      <c r="AM123" s="71"/>
      <c r="AN123" s="71"/>
      <c r="AO123" s="71"/>
      <c r="AP123" s="71"/>
      <c r="AQ123" s="71"/>
      <c r="AR123" s="71"/>
      <c r="AS123" s="71"/>
      <c r="AT123" s="71"/>
      <c r="AU123" s="71"/>
      <c r="AV123" s="71"/>
      <c r="AW123" s="71"/>
      <c r="AX123" s="71"/>
      <c r="AY123" s="71"/>
      <c r="AZ123" s="71"/>
      <c r="BA123" s="71"/>
      <c r="BB123" s="71"/>
      <c r="BC123" s="71"/>
      <c r="BD123" s="71"/>
      <c r="BE123" s="71"/>
      <c r="BF123" s="71"/>
      <c r="BG123" s="71"/>
      <c r="BH123" s="71"/>
      <c r="BI123" s="71"/>
      <c r="BJ123" s="71"/>
      <c r="BK123" s="71"/>
      <c r="BL123" s="71"/>
      <c r="BM123" s="71"/>
      <c r="BN123" s="71"/>
      <c r="BO123" s="71"/>
      <c r="BP123" s="71"/>
      <c r="BQ123" s="71"/>
      <c r="BR123" s="71"/>
      <c r="BS123" s="71"/>
      <c r="BT123" s="71"/>
      <c r="BU123" s="71"/>
      <c r="BV123" s="71"/>
      <c r="BW123" s="71"/>
      <c r="BX123" s="71"/>
      <c r="BY123" s="71"/>
    </row>
    <row r="124" spans="11:77" x14ac:dyDescent="0.2"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  <c r="AI124" s="71"/>
      <c r="AJ124" s="71"/>
      <c r="AK124" s="71"/>
      <c r="AL124" s="71"/>
      <c r="AM124" s="71"/>
      <c r="AN124" s="71"/>
      <c r="AO124" s="71"/>
      <c r="AP124" s="71"/>
      <c r="AQ124" s="71"/>
      <c r="AR124" s="71"/>
      <c r="AS124" s="71"/>
      <c r="AT124" s="71"/>
      <c r="AU124" s="71"/>
      <c r="AV124" s="71"/>
      <c r="AW124" s="71"/>
      <c r="AX124" s="71"/>
      <c r="AY124" s="71"/>
      <c r="AZ124" s="71"/>
      <c r="BA124" s="71"/>
      <c r="BB124" s="71"/>
      <c r="BC124" s="71"/>
      <c r="BD124" s="71"/>
      <c r="BE124" s="71"/>
      <c r="BF124" s="71"/>
      <c r="BG124" s="71"/>
      <c r="BH124" s="71"/>
      <c r="BI124" s="71"/>
      <c r="BJ124" s="71"/>
      <c r="BK124" s="71"/>
      <c r="BL124" s="71"/>
      <c r="BM124" s="71"/>
      <c r="BN124" s="71"/>
      <c r="BO124" s="71"/>
      <c r="BP124" s="71"/>
      <c r="BQ124" s="71"/>
      <c r="BR124" s="71"/>
      <c r="BS124" s="71"/>
      <c r="BT124" s="71"/>
      <c r="BU124" s="71"/>
      <c r="BV124" s="71"/>
      <c r="BW124" s="71"/>
      <c r="BX124" s="71"/>
      <c r="BY124" s="71"/>
    </row>
    <row r="125" spans="11:77" x14ac:dyDescent="0.2"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  <c r="AI125" s="71"/>
      <c r="AJ125" s="71"/>
      <c r="AK125" s="71"/>
      <c r="AL125" s="71"/>
      <c r="AM125" s="71"/>
      <c r="AN125" s="71"/>
      <c r="AO125" s="71"/>
      <c r="AP125" s="71"/>
      <c r="AQ125" s="71"/>
      <c r="AR125" s="71"/>
      <c r="AS125" s="71"/>
      <c r="AT125" s="71"/>
      <c r="AU125" s="71"/>
      <c r="AV125" s="71"/>
      <c r="AW125" s="71"/>
      <c r="AX125" s="71"/>
      <c r="AY125" s="71"/>
      <c r="AZ125" s="71"/>
      <c r="BA125" s="71"/>
      <c r="BB125" s="71"/>
      <c r="BC125" s="71"/>
      <c r="BD125" s="71"/>
      <c r="BE125" s="71"/>
      <c r="BF125" s="71"/>
      <c r="BG125" s="71"/>
      <c r="BH125" s="71"/>
      <c r="BI125" s="71"/>
      <c r="BJ125" s="71"/>
      <c r="BK125" s="71"/>
      <c r="BL125" s="71"/>
      <c r="BM125" s="71"/>
      <c r="BN125" s="71"/>
      <c r="BO125" s="71"/>
      <c r="BP125" s="71"/>
      <c r="BQ125" s="71"/>
      <c r="BR125" s="71"/>
      <c r="BS125" s="71"/>
      <c r="BT125" s="71"/>
      <c r="BU125" s="71"/>
      <c r="BV125" s="71"/>
      <c r="BW125" s="71"/>
      <c r="BX125" s="71"/>
      <c r="BY125" s="71"/>
    </row>
    <row r="126" spans="11:77" x14ac:dyDescent="0.2"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71"/>
      <c r="AJ126" s="71"/>
      <c r="AK126" s="71"/>
      <c r="AL126" s="71"/>
      <c r="AM126" s="71"/>
      <c r="AN126" s="71"/>
      <c r="AO126" s="71"/>
      <c r="AP126" s="71"/>
      <c r="AQ126" s="71"/>
      <c r="AR126" s="71"/>
      <c r="AS126" s="71"/>
      <c r="AT126" s="71"/>
      <c r="AU126" s="71"/>
      <c r="AV126" s="71"/>
      <c r="AW126" s="71"/>
      <c r="AX126" s="71"/>
      <c r="AY126" s="71"/>
      <c r="AZ126" s="71"/>
      <c r="BA126" s="71"/>
      <c r="BB126" s="71"/>
      <c r="BC126" s="71"/>
      <c r="BD126" s="71"/>
      <c r="BE126" s="71"/>
      <c r="BF126" s="71"/>
      <c r="BG126" s="71"/>
      <c r="BH126" s="71"/>
      <c r="BI126" s="71"/>
      <c r="BJ126" s="71"/>
      <c r="BK126" s="71"/>
      <c r="BL126" s="71"/>
      <c r="BM126" s="71"/>
      <c r="BN126" s="71"/>
      <c r="BO126" s="71"/>
      <c r="BP126" s="71"/>
      <c r="BQ126" s="71"/>
      <c r="BR126" s="71"/>
      <c r="BS126" s="71"/>
      <c r="BT126" s="71"/>
      <c r="BU126" s="71"/>
      <c r="BV126" s="71"/>
      <c r="BW126" s="71"/>
      <c r="BX126" s="71"/>
      <c r="BY126" s="71"/>
    </row>
    <row r="127" spans="11:77" x14ac:dyDescent="0.2"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  <c r="AI127" s="71"/>
      <c r="AJ127" s="71"/>
      <c r="AK127" s="71"/>
      <c r="AL127" s="71"/>
      <c r="AM127" s="71"/>
      <c r="AN127" s="71"/>
      <c r="AO127" s="71"/>
      <c r="AP127" s="71"/>
      <c r="AQ127" s="71"/>
      <c r="AR127" s="71"/>
      <c r="AS127" s="71"/>
      <c r="AT127" s="71"/>
      <c r="AU127" s="71"/>
      <c r="AV127" s="71"/>
      <c r="AW127" s="71"/>
      <c r="AX127" s="71"/>
      <c r="AY127" s="71"/>
      <c r="AZ127" s="71"/>
      <c r="BA127" s="71"/>
      <c r="BB127" s="71"/>
      <c r="BC127" s="71"/>
      <c r="BD127" s="71"/>
      <c r="BE127" s="71"/>
      <c r="BF127" s="71"/>
      <c r="BG127" s="71"/>
      <c r="BH127" s="71"/>
      <c r="BI127" s="71"/>
      <c r="BJ127" s="71"/>
      <c r="BK127" s="71"/>
      <c r="BL127" s="71"/>
      <c r="BM127" s="71"/>
      <c r="BN127" s="71"/>
      <c r="BO127" s="71"/>
      <c r="BP127" s="71"/>
      <c r="BQ127" s="71"/>
      <c r="BR127" s="71"/>
      <c r="BS127" s="71"/>
      <c r="BT127" s="71"/>
      <c r="BU127" s="71"/>
      <c r="BV127" s="71"/>
      <c r="BW127" s="71"/>
      <c r="BX127" s="71"/>
      <c r="BY127" s="71"/>
    </row>
    <row r="128" spans="11:77" x14ac:dyDescent="0.2"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  <c r="AI128" s="71"/>
      <c r="AJ128" s="71"/>
      <c r="AK128" s="71"/>
      <c r="AL128" s="71"/>
      <c r="AM128" s="71"/>
      <c r="AN128" s="71"/>
      <c r="AO128" s="71"/>
      <c r="AP128" s="71"/>
      <c r="AQ128" s="71"/>
      <c r="AR128" s="71"/>
      <c r="AS128" s="71"/>
      <c r="AT128" s="71"/>
      <c r="AU128" s="71"/>
      <c r="AV128" s="71"/>
      <c r="AW128" s="71"/>
      <c r="AX128" s="71"/>
      <c r="AY128" s="71"/>
      <c r="AZ128" s="71"/>
      <c r="BA128" s="71"/>
      <c r="BB128" s="71"/>
      <c r="BC128" s="71"/>
      <c r="BD128" s="71"/>
      <c r="BE128" s="71"/>
      <c r="BF128" s="71"/>
      <c r="BG128" s="71"/>
      <c r="BH128" s="71"/>
      <c r="BI128" s="71"/>
      <c r="BJ128" s="71"/>
      <c r="BK128" s="71"/>
      <c r="BL128" s="71"/>
      <c r="BM128" s="71"/>
      <c r="BN128" s="71"/>
      <c r="BO128" s="71"/>
      <c r="BP128" s="71"/>
      <c r="BQ128" s="71"/>
      <c r="BR128" s="71"/>
      <c r="BS128" s="71"/>
      <c r="BT128" s="71"/>
      <c r="BU128" s="71"/>
      <c r="BV128" s="71"/>
      <c r="BW128" s="71"/>
      <c r="BX128" s="71"/>
      <c r="BY128" s="71"/>
    </row>
    <row r="129" spans="13:77" x14ac:dyDescent="0.2"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  <c r="AI129" s="71"/>
      <c r="AJ129" s="71"/>
      <c r="AK129" s="71"/>
      <c r="AL129" s="71"/>
      <c r="AM129" s="71"/>
      <c r="AN129" s="71"/>
      <c r="AO129" s="71"/>
      <c r="AP129" s="71"/>
      <c r="AQ129" s="71"/>
      <c r="AR129" s="71"/>
      <c r="AS129" s="71"/>
      <c r="AT129" s="71"/>
      <c r="AU129" s="71"/>
      <c r="AV129" s="71"/>
      <c r="AW129" s="71"/>
      <c r="AX129" s="71"/>
      <c r="AY129" s="71"/>
      <c r="AZ129" s="71"/>
      <c r="BA129" s="71"/>
      <c r="BB129" s="71"/>
      <c r="BC129" s="71"/>
      <c r="BD129" s="71"/>
      <c r="BE129" s="71"/>
      <c r="BF129" s="71"/>
      <c r="BG129" s="71"/>
      <c r="BH129" s="71"/>
      <c r="BI129" s="71"/>
      <c r="BJ129" s="71"/>
      <c r="BK129" s="71"/>
      <c r="BL129" s="71"/>
      <c r="BM129" s="71"/>
      <c r="BN129" s="71"/>
      <c r="BO129" s="71"/>
      <c r="BP129" s="71"/>
      <c r="BQ129" s="71"/>
      <c r="BR129" s="71"/>
      <c r="BS129" s="71"/>
      <c r="BT129" s="71"/>
      <c r="BU129" s="71"/>
      <c r="BV129" s="71"/>
      <c r="BW129" s="71"/>
      <c r="BX129" s="71"/>
      <c r="BY129" s="71"/>
    </row>
    <row r="130" spans="13:77" x14ac:dyDescent="0.2"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71"/>
      <c r="AJ130" s="71"/>
      <c r="AK130" s="71"/>
      <c r="AL130" s="71"/>
      <c r="AM130" s="71"/>
      <c r="AN130" s="71"/>
      <c r="AO130" s="71"/>
      <c r="AP130" s="71"/>
      <c r="AQ130" s="71"/>
      <c r="AR130" s="71"/>
      <c r="AS130" s="71"/>
      <c r="AT130" s="71"/>
      <c r="AU130" s="71"/>
      <c r="AV130" s="71"/>
      <c r="AW130" s="71"/>
      <c r="AX130" s="71"/>
      <c r="AY130" s="71"/>
      <c r="AZ130" s="71"/>
      <c r="BA130" s="71"/>
      <c r="BB130" s="71"/>
      <c r="BC130" s="71"/>
      <c r="BD130" s="71"/>
      <c r="BE130" s="71"/>
      <c r="BF130" s="71"/>
      <c r="BG130" s="71"/>
      <c r="BH130" s="71"/>
      <c r="BI130" s="71"/>
      <c r="BJ130" s="71"/>
      <c r="BK130" s="71"/>
      <c r="BL130" s="71"/>
      <c r="BM130" s="71"/>
      <c r="BN130" s="71"/>
      <c r="BO130" s="71"/>
      <c r="BP130" s="71"/>
      <c r="BQ130" s="71"/>
      <c r="BR130" s="71"/>
      <c r="BS130" s="71"/>
      <c r="BT130" s="71"/>
      <c r="BU130" s="71"/>
      <c r="BV130" s="71"/>
      <c r="BW130" s="71"/>
      <c r="BX130" s="71"/>
      <c r="BY130" s="71"/>
    </row>
    <row r="131" spans="13:77" x14ac:dyDescent="0.2"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  <c r="AI131" s="71"/>
      <c r="AJ131" s="71"/>
      <c r="AK131" s="71"/>
      <c r="AL131" s="71"/>
      <c r="AM131" s="71"/>
      <c r="AN131" s="71"/>
      <c r="AO131" s="71"/>
      <c r="AP131" s="71"/>
      <c r="AQ131" s="71"/>
      <c r="AR131" s="71"/>
      <c r="AS131" s="71"/>
      <c r="AT131" s="71"/>
      <c r="AU131" s="71"/>
      <c r="AV131" s="71"/>
      <c r="AW131" s="71"/>
      <c r="AX131" s="71"/>
      <c r="AY131" s="71"/>
      <c r="AZ131" s="71"/>
      <c r="BA131" s="71"/>
      <c r="BB131" s="71"/>
      <c r="BC131" s="71"/>
      <c r="BD131" s="71"/>
      <c r="BE131" s="71"/>
      <c r="BF131" s="71"/>
      <c r="BG131" s="71"/>
      <c r="BH131" s="71"/>
      <c r="BI131" s="71"/>
      <c r="BJ131" s="71"/>
      <c r="BK131" s="71"/>
      <c r="BL131" s="71"/>
      <c r="BM131" s="71"/>
      <c r="BN131" s="71"/>
      <c r="BO131" s="71"/>
      <c r="BP131" s="71"/>
      <c r="BQ131" s="71"/>
      <c r="BR131" s="71"/>
      <c r="BS131" s="71"/>
      <c r="BT131" s="71"/>
      <c r="BU131" s="71"/>
      <c r="BV131" s="71"/>
      <c r="BW131" s="71"/>
      <c r="BX131" s="71"/>
      <c r="BY131" s="71"/>
    </row>
    <row r="132" spans="13:77" x14ac:dyDescent="0.2"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  <c r="AI132" s="71"/>
      <c r="AJ132" s="71"/>
      <c r="AK132" s="71"/>
      <c r="AL132" s="71"/>
      <c r="AM132" s="71"/>
      <c r="AN132" s="71"/>
      <c r="AO132" s="71"/>
      <c r="AP132" s="71"/>
      <c r="AQ132" s="71"/>
      <c r="AR132" s="71"/>
      <c r="AS132" s="71"/>
      <c r="AT132" s="71"/>
      <c r="AU132" s="71"/>
      <c r="AV132" s="71"/>
      <c r="AW132" s="71"/>
      <c r="AX132" s="71"/>
      <c r="AY132" s="71"/>
      <c r="AZ132" s="71"/>
      <c r="BA132" s="71"/>
      <c r="BB132" s="71"/>
      <c r="BC132" s="71"/>
      <c r="BD132" s="71"/>
      <c r="BE132" s="71"/>
      <c r="BF132" s="71"/>
      <c r="BG132" s="71"/>
      <c r="BH132" s="71"/>
      <c r="BI132" s="71"/>
      <c r="BJ132" s="71"/>
      <c r="BK132" s="71"/>
      <c r="BL132" s="71"/>
      <c r="BM132" s="71"/>
      <c r="BN132" s="71"/>
      <c r="BO132" s="71"/>
      <c r="BP132" s="71"/>
      <c r="BQ132" s="71"/>
      <c r="BR132" s="71"/>
      <c r="BS132" s="71"/>
      <c r="BT132" s="71"/>
      <c r="BU132" s="71"/>
      <c r="BV132" s="71"/>
      <c r="BW132" s="71"/>
      <c r="BX132" s="71"/>
      <c r="BY132" s="71"/>
    </row>
    <row r="133" spans="13:77" x14ac:dyDescent="0.2"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  <c r="AI133" s="71"/>
      <c r="AJ133" s="71"/>
      <c r="AK133" s="71"/>
      <c r="AL133" s="71"/>
      <c r="AM133" s="71"/>
      <c r="AN133" s="71"/>
      <c r="AO133" s="71"/>
      <c r="AP133" s="71"/>
      <c r="AQ133" s="71"/>
      <c r="AR133" s="71"/>
      <c r="AS133" s="71"/>
      <c r="AT133" s="71"/>
      <c r="AU133" s="71"/>
      <c r="AV133" s="71"/>
      <c r="AW133" s="71"/>
      <c r="AX133" s="71"/>
      <c r="AY133" s="71"/>
      <c r="AZ133" s="71"/>
      <c r="BA133" s="71"/>
      <c r="BB133" s="71"/>
      <c r="BC133" s="71"/>
      <c r="BD133" s="71"/>
      <c r="BE133" s="71"/>
      <c r="BF133" s="71"/>
      <c r="BG133" s="71"/>
      <c r="BH133" s="71"/>
      <c r="BI133" s="71"/>
      <c r="BJ133" s="71"/>
      <c r="BK133" s="71"/>
      <c r="BL133" s="71"/>
      <c r="BM133" s="71"/>
      <c r="BN133" s="71"/>
      <c r="BO133" s="71"/>
      <c r="BP133" s="71"/>
      <c r="BQ133" s="71"/>
      <c r="BR133" s="71"/>
      <c r="BS133" s="71"/>
      <c r="BT133" s="71"/>
      <c r="BU133" s="71"/>
      <c r="BV133" s="71"/>
      <c r="BW133" s="71"/>
      <c r="BX133" s="71"/>
      <c r="BY133" s="71"/>
    </row>
  </sheetData>
  <protectedRanges>
    <protectedRange sqref="C6:C45" name="Plage3"/>
  </protectedRanges>
  <mergeCells count="9">
    <mergeCell ref="X69:Y69"/>
    <mergeCell ref="N61:U61"/>
    <mergeCell ref="B2:J2"/>
    <mergeCell ref="BK6:BL6"/>
    <mergeCell ref="W68:AA68"/>
    <mergeCell ref="AB68:AC68"/>
    <mergeCell ref="E18:F18"/>
    <mergeCell ref="E5:F5"/>
    <mergeCell ref="E13:F13"/>
  </mergeCells>
  <conditionalFormatting sqref="F10:F11">
    <cfRule type="cellIs" dxfId="40" priority="1" operator="equal">
      <formula>"yes"</formula>
    </cfRule>
    <cfRule type="cellIs" dxfId="39" priority="2" operator="equal">
      <formula>"no"</formula>
    </cfRule>
  </conditionalFormatting>
  <conditionalFormatting sqref="F22">
    <cfRule type="cellIs" dxfId="38" priority="3" operator="equal">
      <formula>"NOK"</formula>
    </cfRule>
    <cfRule type="cellIs" dxfId="37" priority="4" operator="equal">
      <formula>"OK"</formula>
    </cfRule>
  </conditionalFormatting>
  <pageMargins left="0.7" right="0.7" top="0.75" bottom="0.75" header="0.3" footer="0.3"/>
  <pageSetup paperSize="9" orientation="portrait" verticalDpi="0" r:id="rId1"/>
  <ignoredErrors>
    <ignoredError sqref="W51:AZ88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199D8-8D12-482D-B479-916811719DF8}">
  <sheetPr>
    <pageSetUpPr fitToPage="1"/>
  </sheetPr>
  <dimension ref="C3:AU163"/>
  <sheetViews>
    <sheetView showGridLines="0" tabSelected="1" topLeftCell="C1" zoomScale="70" zoomScaleNormal="70" zoomScaleSheetLayoutView="70" workbookViewId="0">
      <selection activeCell="O51" sqref="O51"/>
    </sheetView>
  </sheetViews>
  <sheetFormatPr baseColWidth="10" defaultRowHeight="12.75" x14ac:dyDescent="0.2"/>
  <cols>
    <col min="1" max="2" width="11.42578125" style="548"/>
    <col min="3" max="3" width="7.28515625" style="548" customWidth="1"/>
    <col min="4" max="4" width="13.140625" style="548" customWidth="1"/>
    <col min="5" max="5" width="11.7109375" style="548" customWidth="1"/>
    <col min="6" max="6" width="12.5703125" style="548" customWidth="1"/>
    <col min="7" max="7" width="13.28515625" style="548" bestFit="1" customWidth="1"/>
    <col min="8" max="9" width="11.42578125" style="548" customWidth="1"/>
    <col min="10" max="11" width="12.28515625" style="548" customWidth="1"/>
    <col min="12" max="16" width="14.85546875" style="548" customWidth="1"/>
    <col min="17" max="17" width="11.42578125" style="548" customWidth="1"/>
    <col min="18" max="18" width="12.42578125" style="548" customWidth="1"/>
    <col min="19" max="19" width="15.28515625" style="548" customWidth="1"/>
    <col min="20" max="23" width="11.42578125" style="548" customWidth="1"/>
    <col min="24" max="24" width="13" style="548" customWidth="1"/>
    <col min="25" max="25" width="12.42578125" style="548" customWidth="1"/>
    <col min="26" max="26" width="15.5703125" style="548" customWidth="1"/>
    <col min="27" max="36" width="11.42578125" style="548"/>
    <col min="37" max="37" width="13.85546875" style="548" bestFit="1" customWidth="1"/>
    <col min="38" max="38" width="11.42578125" style="548"/>
    <col min="39" max="39" width="14.7109375" style="548" bestFit="1" customWidth="1"/>
    <col min="40" max="261" width="11.42578125" style="548"/>
    <col min="262" max="262" width="5.28515625" style="548" customWidth="1"/>
    <col min="263" max="263" width="13.85546875" style="548" customWidth="1"/>
    <col min="264" max="264" width="11.7109375" style="548" customWidth="1"/>
    <col min="265" max="265" width="18.5703125" style="548" bestFit="1" customWidth="1"/>
    <col min="266" max="266" width="13.28515625" style="548" bestFit="1" customWidth="1"/>
    <col min="267" max="268" width="11.42578125" style="548" customWidth="1"/>
    <col min="269" max="269" width="12.28515625" style="548" customWidth="1"/>
    <col min="270" max="272" width="14.85546875" style="548" customWidth="1"/>
    <col min="273" max="273" width="11.42578125" style="548" customWidth="1"/>
    <col min="274" max="274" width="12.42578125" style="548" customWidth="1"/>
    <col min="275" max="275" width="15.28515625" style="548" customWidth="1"/>
    <col min="276" max="279" width="11.42578125" style="548" customWidth="1"/>
    <col min="280" max="280" width="13" style="548" customWidth="1"/>
    <col min="281" max="281" width="12.42578125" style="548" customWidth="1"/>
    <col min="282" max="282" width="15.5703125" style="548" customWidth="1"/>
    <col min="283" max="517" width="11.42578125" style="548"/>
    <col min="518" max="518" width="5.28515625" style="548" customWidth="1"/>
    <col min="519" max="519" width="13.85546875" style="548" customWidth="1"/>
    <col min="520" max="520" width="11.7109375" style="548" customWidth="1"/>
    <col min="521" max="521" width="18.5703125" style="548" bestFit="1" customWidth="1"/>
    <col min="522" max="522" width="13.28515625" style="548" bestFit="1" customWidth="1"/>
    <col min="523" max="524" width="11.42578125" style="548" customWidth="1"/>
    <col min="525" max="525" width="12.28515625" style="548" customWidth="1"/>
    <col min="526" max="528" width="14.85546875" style="548" customWidth="1"/>
    <col min="529" max="529" width="11.42578125" style="548" customWidth="1"/>
    <col min="530" max="530" width="12.42578125" style="548" customWidth="1"/>
    <col min="531" max="531" width="15.28515625" style="548" customWidth="1"/>
    <col min="532" max="535" width="11.42578125" style="548" customWidth="1"/>
    <col min="536" max="536" width="13" style="548" customWidth="1"/>
    <col min="537" max="537" width="12.42578125" style="548" customWidth="1"/>
    <col min="538" max="538" width="15.5703125" style="548" customWidth="1"/>
    <col min="539" max="773" width="11.42578125" style="548"/>
    <col min="774" max="774" width="5.28515625" style="548" customWidth="1"/>
    <col min="775" max="775" width="13.85546875" style="548" customWidth="1"/>
    <col min="776" max="776" width="11.7109375" style="548" customWidth="1"/>
    <col min="777" max="777" width="18.5703125" style="548" bestFit="1" customWidth="1"/>
    <col min="778" max="778" width="13.28515625" style="548" bestFit="1" customWidth="1"/>
    <col min="779" max="780" width="11.42578125" style="548" customWidth="1"/>
    <col min="781" max="781" width="12.28515625" style="548" customWidth="1"/>
    <col min="782" max="784" width="14.85546875" style="548" customWidth="1"/>
    <col min="785" max="785" width="11.42578125" style="548" customWidth="1"/>
    <col min="786" max="786" width="12.42578125" style="548" customWidth="1"/>
    <col min="787" max="787" width="15.28515625" style="548" customWidth="1"/>
    <col min="788" max="791" width="11.42578125" style="548" customWidth="1"/>
    <col min="792" max="792" width="13" style="548" customWidth="1"/>
    <col min="793" max="793" width="12.42578125" style="548" customWidth="1"/>
    <col min="794" max="794" width="15.5703125" style="548" customWidth="1"/>
    <col min="795" max="1029" width="11.42578125" style="548"/>
    <col min="1030" max="1030" width="5.28515625" style="548" customWidth="1"/>
    <col min="1031" max="1031" width="13.85546875" style="548" customWidth="1"/>
    <col min="1032" max="1032" width="11.7109375" style="548" customWidth="1"/>
    <col min="1033" max="1033" width="18.5703125" style="548" bestFit="1" customWidth="1"/>
    <col min="1034" max="1034" width="13.28515625" style="548" bestFit="1" customWidth="1"/>
    <col min="1035" max="1036" width="11.42578125" style="548" customWidth="1"/>
    <col min="1037" max="1037" width="12.28515625" style="548" customWidth="1"/>
    <col min="1038" max="1040" width="14.85546875" style="548" customWidth="1"/>
    <col min="1041" max="1041" width="11.42578125" style="548" customWidth="1"/>
    <col min="1042" max="1042" width="12.42578125" style="548" customWidth="1"/>
    <col min="1043" max="1043" width="15.28515625" style="548" customWidth="1"/>
    <col min="1044" max="1047" width="11.42578125" style="548" customWidth="1"/>
    <col min="1048" max="1048" width="13" style="548" customWidth="1"/>
    <col min="1049" max="1049" width="12.42578125" style="548" customWidth="1"/>
    <col min="1050" max="1050" width="15.5703125" style="548" customWidth="1"/>
    <col min="1051" max="1285" width="11.42578125" style="548"/>
    <col min="1286" max="1286" width="5.28515625" style="548" customWidth="1"/>
    <col min="1287" max="1287" width="13.85546875" style="548" customWidth="1"/>
    <col min="1288" max="1288" width="11.7109375" style="548" customWidth="1"/>
    <col min="1289" max="1289" width="18.5703125" style="548" bestFit="1" customWidth="1"/>
    <col min="1290" max="1290" width="13.28515625" style="548" bestFit="1" customWidth="1"/>
    <col min="1291" max="1292" width="11.42578125" style="548" customWidth="1"/>
    <col min="1293" max="1293" width="12.28515625" style="548" customWidth="1"/>
    <col min="1294" max="1296" width="14.85546875" style="548" customWidth="1"/>
    <col min="1297" max="1297" width="11.42578125" style="548" customWidth="1"/>
    <col min="1298" max="1298" width="12.42578125" style="548" customWidth="1"/>
    <col min="1299" max="1299" width="15.28515625" style="548" customWidth="1"/>
    <col min="1300" max="1303" width="11.42578125" style="548" customWidth="1"/>
    <col min="1304" max="1304" width="13" style="548" customWidth="1"/>
    <col min="1305" max="1305" width="12.42578125" style="548" customWidth="1"/>
    <col min="1306" max="1306" width="15.5703125" style="548" customWidth="1"/>
    <col min="1307" max="1541" width="11.42578125" style="548"/>
    <col min="1542" max="1542" width="5.28515625" style="548" customWidth="1"/>
    <col min="1543" max="1543" width="13.85546875" style="548" customWidth="1"/>
    <col min="1544" max="1544" width="11.7109375" style="548" customWidth="1"/>
    <col min="1545" max="1545" width="18.5703125" style="548" bestFit="1" customWidth="1"/>
    <col min="1546" max="1546" width="13.28515625" style="548" bestFit="1" customWidth="1"/>
    <col min="1547" max="1548" width="11.42578125" style="548" customWidth="1"/>
    <col min="1549" max="1549" width="12.28515625" style="548" customWidth="1"/>
    <col min="1550" max="1552" width="14.85546875" style="548" customWidth="1"/>
    <col min="1553" max="1553" width="11.42578125" style="548" customWidth="1"/>
    <col min="1554" max="1554" width="12.42578125" style="548" customWidth="1"/>
    <col min="1555" max="1555" width="15.28515625" style="548" customWidth="1"/>
    <col min="1556" max="1559" width="11.42578125" style="548" customWidth="1"/>
    <col min="1560" max="1560" width="13" style="548" customWidth="1"/>
    <col min="1561" max="1561" width="12.42578125" style="548" customWidth="1"/>
    <col min="1562" max="1562" width="15.5703125" style="548" customWidth="1"/>
    <col min="1563" max="1797" width="11.42578125" style="548"/>
    <col min="1798" max="1798" width="5.28515625" style="548" customWidth="1"/>
    <col min="1799" max="1799" width="13.85546875" style="548" customWidth="1"/>
    <col min="1800" max="1800" width="11.7109375" style="548" customWidth="1"/>
    <col min="1801" max="1801" width="18.5703125" style="548" bestFit="1" customWidth="1"/>
    <col min="1802" max="1802" width="13.28515625" style="548" bestFit="1" customWidth="1"/>
    <col min="1803" max="1804" width="11.42578125" style="548" customWidth="1"/>
    <col min="1805" max="1805" width="12.28515625" style="548" customWidth="1"/>
    <col min="1806" max="1808" width="14.85546875" style="548" customWidth="1"/>
    <col min="1809" max="1809" width="11.42578125" style="548" customWidth="1"/>
    <col min="1810" max="1810" width="12.42578125" style="548" customWidth="1"/>
    <col min="1811" max="1811" width="15.28515625" style="548" customWidth="1"/>
    <col min="1812" max="1815" width="11.42578125" style="548" customWidth="1"/>
    <col min="1816" max="1816" width="13" style="548" customWidth="1"/>
    <col min="1817" max="1817" width="12.42578125" style="548" customWidth="1"/>
    <col min="1818" max="1818" width="15.5703125" style="548" customWidth="1"/>
    <col min="1819" max="2053" width="11.42578125" style="548"/>
    <col min="2054" max="2054" width="5.28515625" style="548" customWidth="1"/>
    <col min="2055" max="2055" width="13.85546875" style="548" customWidth="1"/>
    <col min="2056" max="2056" width="11.7109375" style="548" customWidth="1"/>
    <col min="2057" max="2057" width="18.5703125" style="548" bestFit="1" customWidth="1"/>
    <col min="2058" max="2058" width="13.28515625" style="548" bestFit="1" customWidth="1"/>
    <col min="2059" max="2060" width="11.42578125" style="548" customWidth="1"/>
    <col min="2061" max="2061" width="12.28515625" style="548" customWidth="1"/>
    <col min="2062" max="2064" width="14.85546875" style="548" customWidth="1"/>
    <col min="2065" max="2065" width="11.42578125" style="548" customWidth="1"/>
    <col min="2066" max="2066" width="12.42578125" style="548" customWidth="1"/>
    <col min="2067" max="2067" width="15.28515625" style="548" customWidth="1"/>
    <col min="2068" max="2071" width="11.42578125" style="548" customWidth="1"/>
    <col min="2072" max="2072" width="13" style="548" customWidth="1"/>
    <col min="2073" max="2073" width="12.42578125" style="548" customWidth="1"/>
    <col min="2074" max="2074" width="15.5703125" style="548" customWidth="1"/>
    <col min="2075" max="2309" width="11.42578125" style="548"/>
    <col min="2310" max="2310" width="5.28515625" style="548" customWidth="1"/>
    <col min="2311" max="2311" width="13.85546875" style="548" customWidth="1"/>
    <col min="2312" max="2312" width="11.7109375" style="548" customWidth="1"/>
    <col min="2313" max="2313" width="18.5703125" style="548" bestFit="1" customWidth="1"/>
    <col min="2314" max="2314" width="13.28515625" style="548" bestFit="1" customWidth="1"/>
    <col min="2315" max="2316" width="11.42578125" style="548" customWidth="1"/>
    <col min="2317" max="2317" width="12.28515625" style="548" customWidth="1"/>
    <col min="2318" max="2320" width="14.85546875" style="548" customWidth="1"/>
    <col min="2321" max="2321" width="11.42578125" style="548" customWidth="1"/>
    <col min="2322" max="2322" width="12.42578125" style="548" customWidth="1"/>
    <col min="2323" max="2323" width="15.28515625" style="548" customWidth="1"/>
    <col min="2324" max="2327" width="11.42578125" style="548" customWidth="1"/>
    <col min="2328" max="2328" width="13" style="548" customWidth="1"/>
    <col min="2329" max="2329" width="12.42578125" style="548" customWidth="1"/>
    <col min="2330" max="2330" width="15.5703125" style="548" customWidth="1"/>
    <col min="2331" max="2565" width="11.42578125" style="548"/>
    <col min="2566" max="2566" width="5.28515625" style="548" customWidth="1"/>
    <col min="2567" max="2567" width="13.85546875" style="548" customWidth="1"/>
    <col min="2568" max="2568" width="11.7109375" style="548" customWidth="1"/>
    <col min="2569" max="2569" width="18.5703125" style="548" bestFit="1" customWidth="1"/>
    <col min="2570" max="2570" width="13.28515625" style="548" bestFit="1" customWidth="1"/>
    <col min="2571" max="2572" width="11.42578125" style="548" customWidth="1"/>
    <col min="2573" max="2573" width="12.28515625" style="548" customWidth="1"/>
    <col min="2574" max="2576" width="14.85546875" style="548" customWidth="1"/>
    <col min="2577" max="2577" width="11.42578125" style="548" customWidth="1"/>
    <col min="2578" max="2578" width="12.42578125" style="548" customWidth="1"/>
    <col min="2579" max="2579" width="15.28515625" style="548" customWidth="1"/>
    <col min="2580" max="2583" width="11.42578125" style="548" customWidth="1"/>
    <col min="2584" max="2584" width="13" style="548" customWidth="1"/>
    <col min="2585" max="2585" width="12.42578125" style="548" customWidth="1"/>
    <col min="2586" max="2586" width="15.5703125" style="548" customWidth="1"/>
    <col min="2587" max="2821" width="11.42578125" style="548"/>
    <col min="2822" max="2822" width="5.28515625" style="548" customWidth="1"/>
    <col min="2823" max="2823" width="13.85546875" style="548" customWidth="1"/>
    <col min="2824" max="2824" width="11.7109375" style="548" customWidth="1"/>
    <col min="2825" max="2825" width="18.5703125" style="548" bestFit="1" customWidth="1"/>
    <col min="2826" max="2826" width="13.28515625" style="548" bestFit="1" customWidth="1"/>
    <col min="2827" max="2828" width="11.42578125" style="548" customWidth="1"/>
    <col min="2829" max="2829" width="12.28515625" style="548" customWidth="1"/>
    <col min="2830" max="2832" width="14.85546875" style="548" customWidth="1"/>
    <col min="2833" max="2833" width="11.42578125" style="548" customWidth="1"/>
    <col min="2834" max="2834" width="12.42578125" style="548" customWidth="1"/>
    <col min="2835" max="2835" width="15.28515625" style="548" customWidth="1"/>
    <col min="2836" max="2839" width="11.42578125" style="548" customWidth="1"/>
    <col min="2840" max="2840" width="13" style="548" customWidth="1"/>
    <col min="2841" max="2841" width="12.42578125" style="548" customWidth="1"/>
    <col min="2842" max="2842" width="15.5703125" style="548" customWidth="1"/>
    <col min="2843" max="3077" width="11.42578125" style="548"/>
    <col min="3078" max="3078" width="5.28515625" style="548" customWidth="1"/>
    <col min="3079" max="3079" width="13.85546875" style="548" customWidth="1"/>
    <col min="3080" max="3080" width="11.7109375" style="548" customWidth="1"/>
    <col min="3081" max="3081" width="18.5703125" style="548" bestFit="1" customWidth="1"/>
    <col min="3082" max="3082" width="13.28515625" style="548" bestFit="1" customWidth="1"/>
    <col min="3083" max="3084" width="11.42578125" style="548" customWidth="1"/>
    <col min="3085" max="3085" width="12.28515625" style="548" customWidth="1"/>
    <col min="3086" max="3088" width="14.85546875" style="548" customWidth="1"/>
    <col min="3089" max="3089" width="11.42578125" style="548" customWidth="1"/>
    <col min="3090" max="3090" width="12.42578125" style="548" customWidth="1"/>
    <col min="3091" max="3091" width="15.28515625" style="548" customWidth="1"/>
    <col min="3092" max="3095" width="11.42578125" style="548" customWidth="1"/>
    <col min="3096" max="3096" width="13" style="548" customWidth="1"/>
    <col min="3097" max="3097" width="12.42578125" style="548" customWidth="1"/>
    <col min="3098" max="3098" width="15.5703125" style="548" customWidth="1"/>
    <col min="3099" max="3333" width="11.42578125" style="548"/>
    <col min="3334" max="3334" width="5.28515625" style="548" customWidth="1"/>
    <col min="3335" max="3335" width="13.85546875" style="548" customWidth="1"/>
    <col min="3336" max="3336" width="11.7109375" style="548" customWidth="1"/>
    <col min="3337" max="3337" width="18.5703125" style="548" bestFit="1" customWidth="1"/>
    <col min="3338" max="3338" width="13.28515625" style="548" bestFit="1" customWidth="1"/>
    <col min="3339" max="3340" width="11.42578125" style="548" customWidth="1"/>
    <col min="3341" max="3341" width="12.28515625" style="548" customWidth="1"/>
    <col min="3342" max="3344" width="14.85546875" style="548" customWidth="1"/>
    <col min="3345" max="3345" width="11.42578125" style="548" customWidth="1"/>
    <col min="3346" max="3346" width="12.42578125" style="548" customWidth="1"/>
    <col min="3347" max="3347" width="15.28515625" style="548" customWidth="1"/>
    <col min="3348" max="3351" width="11.42578125" style="548" customWidth="1"/>
    <col min="3352" max="3352" width="13" style="548" customWidth="1"/>
    <col min="3353" max="3353" width="12.42578125" style="548" customWidth="1"/>
    <col min="3354" max="3354" width="15.5703125" style="548" customWidth="1"/>
    <col min="3355" max="3589" width="11.42578125" style="548"/>
    <col min="3590" max="3590" width="5.28515625" style="548" customWidth="1"/>
    <col min="3591" max="3591" width="13.85546875" style="548" customWidth="1"/>
    <col min="3592" max="3592" width="11.7109375" style="548" customWidth="1"/>
    <col min="3593" max="3593" width="18.5703125" style="548" bestFit="1" customWidth="1"/>
    <col min="3594" max="3594" width="13.28515625" style="548" bestFit="1" customWidth="1"/>
    <col min="3595" max="3596" width="11.42578125" style="548" customWidth="1"/>
    <col min="3597" max="3597" width="12.28515625" style="548" customWidth="1"/>
    <col min="3598" max="3600" width="14.85546875" style="548" customWidth="1"/>
    <col min="3601" max="3601" width="11.42578125" style="548" customWidth="1"/>
    <col min="3602" max="3602" width="12.42578125" style="548" customWidth="1"/>
    <col min="3603" max="3603" width="15.28515625" style="548" customWidth="1"/>
    <col min="3604" max="3607" width="11.42578125" style="548" customWidth="1"/>
    <col min="3608" max="3608" width="13" style="548" customWidth="1"/>
    <col min="3609" max="3609" width="12.42578125" style="548" customWidth="1"/>
    <col min="3610" max="3610" width="15.5703125" style="548" customWidth="1"/>
    <col min="3611" max="3845" width="11.42578125" style="548"/>
    <col min="3846" max="3846" width="5.28515625" style="548" customWidth="1"/>
    <col min="3847" max="3847" width="13.85546875" style="548" customWidth="1"/>
    <col min="3848" max="3848" width="11.7109375" style="548" customWidth="1"/>
    <col min="3849" max="3849" width="18.5703125" style="548" bestFit="1" customWidth="1"/>
    <col min="3850" max="3850" width="13.28515625" style="548" bestFit="1" customWidth="1"/>
    <col min="3851" max="3852" width="11.42578125" style="548" customWidth="1"/>
    <col min="3853" max="3853" width="12.28515625" style="548" customWidth="1"/>
    <col min="3854" max="3856" width="14.85546875" style="548" customWidth="1"/>
    <col min="3857" max="3857" width="11.42578125" style="548" customWidth="1"/>
    <col min="3858" max="3858" width="12.42578125" style="548" customWidth="1"/>
    <col min="3859" max="3859" width="15.28515625" style="548" customWidth="1"/>
    <col min="3860" max="3863" width="11.42578125" style="548" customWidth="1"/>
    <col min="3864" max="3864" width="13" style="548" customWidth="1"/>
    <col min="3865" max="3865" width="12.42578125" style="548" customWidth="1"/>
    <col min="3866" max="3866" width="15.5703125" style="548" customWidth="1"/>
    <col min="3867" max="4101" width="11.42578125" style="548"/>
    <col min="4102" max="4102" width="5.28515625" style="548" customWidth="1"/>
    <col min="4103" max="4103" width="13.85546875" style="548" customWidth="1"/>
    <col min="4104" max="4104" width="11.7109375" style="548" customWidth="1"/>
    <col min="4105" max="4105" width="18.5703125" style="548" bestFit="1" customWidth="1"/>
    <col min="4106" max="4106" width="13.28515625" style="548" bestFit="1" customWidth="1"/>
    <col min="4107" max="4108" width="11.42578125" style="548" customWidth="1"/>
    <col min="4109" max="4109" width="12.28515625" style="548" customWidth="1"/>
    <col min="4110" max="4112" width="14.85546875" style="548" customWidth="1"/>
    <col min="4113" max="4113" width="11.42578125" style="548" customWidth="1"/>
    <col min="4114" max="4114" width="12.42578125" style="548" customWidth="1"/>
    <col min="4115" max="4115" width="15.28515625" style="548" customWidth="1"/>
    <col min="4116" max="4119" width="11.42578125" style="548" customWidth="1"/>
    <col min="4120" max="4120" width="13" style="548" customWidth="1"/>
    <col min="4121" max="4121" width="12.42578125" style="548" customWidth="1"/>
    <col min="4122" max="4122" width="15.5703125" style="548" customWidth="1"/>
    <col min="4123" max="4357" width="11.42578125" style="548"/>
    <col min="4358" max="4358" width="5.28515625" style="548" customWidth="1"/>
    <col min="4359" max="4359" width="13.85546875" style="548" customWidth="1"/>
    <col min="4360" max="4360" width="11.7109375" style="548" customWidth="1"/>
    <col min="4361" max="4361" width="18.5703125" style="548" bestFit="1" customWidth="1"/>
    <col min="4362" max="4362" width="13.28515625" style="548" bestFit="1" customWidth="1"/>
    <col min="4363" max="4364" width="11.42578125" style="548" customWidth="1"/>
    <col min="4365" max="4365" width="12.28515625" style="548" customWidth="1"/>
    <col min="4366" max="4368" width="14.85546875" style="548" customWidth="1"/>
    <col min="4369" max="4369" width="11.42578125" style="548" customWidth="1"/>
    <col min="4370" max="4370" width="12.42578125" style="548" customWidth="1"/>
    <col min="4371" max="4371" width="15.28515625" style="548" customWidth="1"/>
    <col min="4372" max="4375" width="11.42578125" style="548" customWidth="1"/>
    <col min="4376" max="4376" width="13" style="548" customWidth="1"/>
    <col min="4377" max="4377" width="12.42578125" style="548" customWidth="1"/>
    <col min="4378" max="4378" width="15.5703125" style="548" customWidth="1"/>
    <col min="4379" max="4613" width="11.42578125" style="548"/>
    <col min="4614" max="4614" width="5.28515625" style="548" customWidth="1"/>
    <col min="4615" max="4615" width="13.85546875" style="548" customWidth="1"/>
    <col min="4616" max="4616" width="11.7109375" style="548" customWidth="1"/>
    <col min="4617" max="4617" width="18.5703125" style="548" bestFit="1" customWidth="1"/>
    <col min="4618" max="4618" width="13.28515625" style="548" bestFit="1" customWidth="1"/>
    <col min="4619" max="4620" width="11.42578125" style="548" customWidth="1"/>
    <col min="4621" max="4621" width="12.28515625" style="548" customWidth="1"/>
    <col min="4622" max="4624" width="14.85546875" style="548" customWidth="1"/>
    <col min="4625" max="4625" width="11.42578125" style="548" customWidth="1"/>
    <col min="4626" max="4626" width="12.42578125" style="548" customWidth="1"/>
    <col min="4627" max="4627" width="15.28515625" style="548" customWidth="1"/>
    <col min="4628" max="4631" width="11.42578125" style="548" customWidth="1"/>
    <col min="4632" max="4632" width="13" style="548" customWidth="1"/>
    <col min="4633" max="4633" width="12.42578125" style="548" customWidth="1"/>
    <col min="4634" max="4634" width="15.5703125" style="548" customWidth="1"/>
    <col min="4635" max="4869" width="11.42578125" style="548"/>
    <col min="4870" max="4870" width="5.28515625" style="548" customWidth="1"/>
    <col min="4871" max="4871" width="13.85546875" style="548" customWidth="1"/>
    <col min="4872" max="4872" width="11.7109375" style="548" customWidth="1"/>
    <col min="4873" max="4873" width="18.5703125" style="548" bestFit="1" customWidth="1"/>
    <col min="4874" max="4874" width="13.28515625" style="548" bestFit="1" customWidth="1"/>
    <col min="4875" max="4876" width="11.42578125" style="548" customWidth="1"/>
    <col min="4877" max="4877" width="12.28515625" style="548" customWidth="1"/>
    <col min="4878" max="4880" width="14.85546875" style="548" customWidth="1"/>
    <col min="4881" max="4881" width="11.42578125" style="548" customWidth="1"/>
    <col min="4882" max="4882" width="12.42578125" style="548" customWidth="1"/>
    <col min="4883" max="4883" width="15.28515625" style="548" customWidth="1"/>
    <col min="4884" max="4887" width="11.42578125" style="548" customWidth="1"/>
    <col min="4888" max="4888" width="13" style="548" customWidth="1"/>
    <col min="4889" max="4889" width="12.42578125" style="548" customWidth="1"/>
    <col min="4890" max="4890" width="15.5703125" style="548" customWidth="1"/>
    <col min="4891" max="5125" width="11.42578125" style="548"/>
    <col min="5126" max="5126" width="5.28515625" style="548" customWidth="1"/>
    <col min="5127" max="5127" width="13.85546875" style="548" customWidth="1"/>
    <col min="5128" max="5128" width="11.7109375" style="548" customWidth="1"/>
    <col min="5129" max="5129" width="18.5703125" style="548" bestFit="1" customWidth="1"/>
    <col min="5130" max="5130" width="13.28515625" style="548" bestFit="1" customWidth="1"/>
    <col min="5131" max="5132" width="11.42578125" style="548" customWidth="1"/>
    <col min="5133" max="5133" width="12.28515625" style="548" customWidth="1"/>
    <col min="5134" max="5136" width="14.85546875" style="548" customWidth="1"/>
    <col min="5137" max="5137" width="11.42578125" style="548" customWidth="1"/>
    <col min="5138" max="5138" width="12.42578125" style="548" customWidth="1"/>
    <col min="5139" max="5139" width="15.28515625" style="548" customWidth="1"/>
    <col min="5140" max="5143" width="11.42578125" style="548" customWidth="1"/>
    <col min="5144" max="5144" width="13" style="548" customWidth="1"/>
    <col min="5145" max="5145" width="12.42578125" style="548" customWidth="1"/>
    <col min="5146" max="5146" width="15.5703125" style="548" customWidth="1"/>
    <col min="5147" max="5381" width="11.42578125" style="548"/>
    <col min="5382" max="5382" width="5.28515625" style="548" customWidth="1"/>
    <col min="5383" max="5383" width="13.85546875" style="548" customWidth="1"/>
    <col min="5384" max="5384" width="11.7109375" style="548" customWidth="1"/>
    <col min="5385" max="5385" width="18.5703125" style="548" bestFit="1" customWidth="1"/>
    <col min="5386" max="5386" width="13.28515625" style="548" bestFit="1" customWidth="1"/>
    <col min="5387" max="5388" width="11.42578125" style="548" customWidth="1"/>
    <col min="5389" max="5389" width="12.28515625" style="548" customWidth="1"/>
    <col min="5390" max="5392" width="14.85546875" style="548" customWidth="1"/>
    <col min="5393" max="5393" width="11.42578125" style="548" customWidth="1"/>
    <col min="5394" max="5394" width="12.42578125" style="548" customWidth="1"/>
    <col min="5395" max="5395" width="15.28515625" style="548" customWidth="1"/>
    <col min="5396" max="5399" width="11.42578125" style="548" customWidth="1"/>
    <col min="5400" max="5400" width="13" style="548" customWidth="1"/>
    <col min="5401" max="5401" width="12.42578125" style="548" customWidth="1"/>
    <col min="5402" max="5402" width="15.5703125" style="548" customWidth="1"/>
    <col min="5403" max="5637" width="11.42578125" style="548"/>
    <col min="5638" max="5638" width="5.28515625" style="548" customWidth="1"/>
    <col min="5639" max="5639" width="13.85546875" style="548" customWidth="1"/>
    <col min="5640" max="5640" width="11.7109375" style="548" customWidth="1"/>
    <col min="5641" max="5641" width="18.5703125" style="548" bestFit="1" customWidth="1"/>
    <col min="5642" max="5642" width="13.28515625" style="548" bestFit="1" customWidth="1"/>
    <col min="5643" max="5644" width="11.42578125" style="548" customWidth="1"/>
    <col min="5645" max="5645" width="12.28515625" style="548" customWidth="1"/>
    <col min="5646" max="5648" width="14.85546875" style="548" customWidth="1"/>
    <col min="5649" max="5649" width="11.42578125" style="548" customWidth="1"/>
    <col min="5650" max="5650" width="12.42578125" style="548" customWidth="1"/>
    <col min="5651" max="5651" width="15.28515625" style="548" customWidth="1"/>
    <col min="5652" max="5655" width="11.42578125" style="548" customWidth="1"/>
    <col min="5656" max="5656" width="13" style="548" customWidth="1"/>
    <col min="5657" max="5657" width="12.42578125" style="548" customWidth="1"/>
    <col min="5658" max="5658" width="15.5703125" style="548" customWidth="1"/>
    <col min="5659" max="5893" width="11.42578125" style="548"/>
    <col min="5894" max="5894" width="5.28515625" style="548" customWidth="1"/>
    <col min="5895" max="5895" width="13.85546875" style="548" customWidth="1"/>
    <col min="5896" max="5896" width="11.7109375" style="548" customWidth="1"/>
    <col min="5897" max="5897" width="18.5703125" style="548" bestFit="1" customWidth="1"/>
    <col min="5898" max="5898" width="13.28515625" style="548" bestFit="1" customWidth="1"/>
    <col min="5899" max="5900" width="11.42578125" style="548" customWidth="1"/>
    <col min="5901" max="5901" width="12.28515625" style="548" customWidth="1"/>
    <col min="5902" max="5904" width="14.85546875" style="548" customWidth="1"/>
    <col min="5905" max="5905" width="11.42578125" style="548" customWidth="1"/>
    <col min="5906" max="5906" width="12.42578125" style="548" customWidth="1"/>
    <col min="5907" max="5907" width="15.28515625" style="548" customWidth="1"/>
    <col min="5908" max="5911" width="11.42578125" style="548" customWidth="1"/>
    <col min="5912" max="5912" width="13" style="548" customWidth="1"/>
    <col min="5913" max="5913" width="12.42578125" style="548" customWidth="1"/>
    <col min="5914" max="5914" width="15.5703125" style="548" customWidth="1"/>
    <col min="5915" max="6149" width="11.42578125" style="548"/>
    <col min="6150" max="6150" width="5.28515625" style="548" customWidth="1"/>
    <col min="6151" max="6151" width="13.85546875" style="548" customWidth="1"/>
    <col min="6152" max="6152" width="11.7109375" style="548" customWidth="1"/>
    <col min="6153" max="6153" width="18.5703125" style="548" bestFit="1" customWidth="1"/>
    <col min="6154" max="6154" width="13.28515625" style="548" bestFit="1" customWidth="1"/>
    <col min="6155" max="6156" width="11.42578125" style="548" customWidth="1"/>
    <col min="6157" max="6157" width="12.28515625" style="548" customWidth="1"/>
    <col min="6158" max="6160" width="14.85546875" style="548" customWidth="1"/>
    <col min="6161" max="6161" width="11.42578125" style="548" customWidth="1"/>
    <col min="6162" max="6162" width="12.42578125" style="548" customWidth="1"/>
    <col min="6163" max="6163" width="15.28515625" style="548" customWidth="1"/>
    <col min="6164" max="6167" width="11.42578125" style="548" customWidth="1"/>
    <col min="6168" max="6168" width="13" style="548" customWidth="1"/>
    <col min="6169" max="6169" width="12.42578125" style="548" customWidth="1"/>
    <col min="6170" max="6170" width="15.5703125" style="548" customWidth="1"/>
    <col min="6171" max="6405" width="11.42578125" style="548"/>
    <col min="6406" max="6406" width="5.28515625" style="548" customWidth="1"/>
    <col min="6407" max="6407" width="13.85546875" style="548" customWidth="1"/>
    <col min="6408" max="6408" width="11.7109375" style="548" customWidth="1"/>
    <col min="6409" max="6409" width="18.5703125" style="548" bestFit="1" customWidth="1"/>
    <col min="6410" max="6410" width="13.28515625" style="548" bestFit="1" customWidth="1"/>
    <col min="6411" max="6412" width="11.42578125" style="548" customWidth="1"/>
    <col min="6413" max="6413" width="12.28515625" style="548" customWidth="1"/>
    <col min="6414" max="6416" width="14.85546875" style="548" customWidth="1"/>
    <col min="6417" max="6417" width="11.42578125" style="548" customWidth="1"/>
    <col min="6418" max="6418" width="12.42578125" style="548" customWidth="1"/>
    <col min="6419" max="6419" width="15.28515625" style="548" customWidth="1"/>
    <col min="6420" max="6423" width="11.42578125" style="548" customWidth="1"/>
    <col min="6424" max="6424" width="13" style="548" customWidth="1"/>
    <col min="6425" max="6425" width="12.42578125" style="548" customWidth="1"/>
    <col min="6426" max="6426" width="15.5703125" style="548" customWidth="1"/>
    <col min="6427" max="6661" width="11.42578125" style="548"/>
    <col min="6662" max="6662" width="5.28515625" style="548" customWidth="1"/>
    <col min="6663" max="6663" width="13.85546875" style="548" customWidth="1"/>
    <col min="6664" max="6664" width="11.7109375" style="548" customWidth="1"/>
    <col min="6665" max="6665" width="18.5703125" style="548" bestFit="1" customWidth="1"/>
    <col min="6666" max="6666" width="13.28515625" style="548" bestFit="1" customWidth="1"/>
    <col min="6667" max="6668" width="11.42578125" style="548" customWidth="1"/>
    <col min="6669" max="6669" width="12.28515625" style="548" customWidth="1"/>
    <col min="6670" max="6672" width="14.85546875" style="548" customWidth="1"/>
    <col min="6673" max="6673" width="11.42578125" style="548" customWidth="1"/>
    <col min="6674" max="6674" width="12.42578125" style="548" customWidth="1"/>
    <col min="6675" max="6675" width="15.28515625" style="548" customWidth="1"/>
    <col min="6676" max="6679" width="11.42578125" style="548" customWidth="1"/>
    <col min="6680" max="6680" width="13" style="548" customWidth="1"/>
    <col min="6681" max="6681" width="12.42578125" style="548" customWidth="1"/>
    <col min="6682" max="6682" width="15.5703125" style="548" customWidth="1"/>
    <col min="6683" max="6917" width="11.42578125" style="548"/>
    <col min="6918" max="6918" width="5.28515625" style="548" customWidth="1"/>
    <col min="6919" max="6919" width="13.85546875" style="548" customWidth="1"/>
    <col min="6920" max="6920" width="11.7109375" style="548" customWidth="1"/>
    <col min="6921" max="6921" width="18.5703125" style="548" bestFit="1" customWidth="1"/>
    <col min="6922" max="6922" width="13.28515625" style="548" bestFit="1" customWidth="1"/>
    <col min="6923" max="6924" width="11.42578125" style="548" customWidth="1"/>
    <col min="6925" max="6925" width="12.28515625" style="548" customWidth="1"/>
    <col min="6926" max="6928" width="14.85546875" style="548" customWidth="1"/>
    <col min="6929" max="6929" width="11.42578125" style="548" customWidth="1"/>
    <col min="6930" max="6930" width="12.42578125" style="548" customWidth="1"/>
    <col min="6931" max="6931" width="15.28515625" style="548" customWidth="1"/>
    <col min="6932" max="6935" width="11.42578125" style="548" customWidth="1"/>
    <col min="6936" max="6936" width="13" style="548" customWidth="1"/>
    <col min="6937" max="6937" width="12.42578125" style="548" customWidth="1"/>
    <col min="6938" max="6938" width="15.5703125" style="548" customWidth="1"/>
    <col min="6939" max="7173" width="11.42578125" style="548"/>
    <col min="7174" max="7174" width="5.28515625" style="548" customWidth="1"/>
    <col min="7175" max="7175" width="13.85546875" style="548" customWidth="1"/>
    <col min="7176" max="7176" width="11.7109375" style="548" customWidth="1"/>
    <col min="7177" max="7177" width="18.5703125" style="548" bestFit="1" customWidth="1"/>
    <col min="7178" max="7178" width="13.28515625" style="548" bestFit="1" customWidth="1"/>
    <col min="7179" max="7180" width="11.42578125" style="548" customWidth="1"/>
    <col min="7181" max="7181" width="12.28515625" style="548" customWidth="1"/>
    <col min="7182" max="7184" width="14.85546875" style="548" customWidth="1"/>
    <col min="7185" max="7185" width="11.42578125" style="548" customWidth="1"/>
    <col min="7186" max="7186" width="12.42578125" style="548" customWidth="1"/>
    <col min="7187" max="7187" width="15.28515625" style="548" customWidth="1"/>
    <col min="7188" max="7191" width="11.42578125" style="548" customWidth="1"/>
    <col min="7192" max="7192" width="13" style="548" customWidth="1"/>
    <col min="7193" max="7193" width="12.42578125" style="548" customWidth="1"/>
    <col min="7194" max="7194" width="15.5703125" style="548" customWidth="1"/>
    <col min="7195" max="7429" width="11.42578125" style="548"/>
    <col min="7430" max="7430" width="5.28515625" style="548" customWidth="1"/>
    <col min="7431" max="7431" width="13.85546875" style="548" customWidth="1"/>
    <col min="7432" max="7432" width="11.7109375" style="548" customWidth="1"/>
    <col min="7433" max="7433" width="18.5703125" style="548" bestFit="1" customWidth="1"/>
    <col min="7434" max="7434" width="13.28515625" style="548" bestFit="1" customWidth="1"/>
    <col min="7435" max="7436" width="11.42578125" style="548" customWidth="1"/>
    <col min="7437" max="7437" width="12.28515625" style="548" customWidth="1"/>
    <col min="7438" max="7440" width="14.85546875" style="548" customWidth="1"/>
    <col min="7441" max="7441" width="11.42578125" style="548" customWidth="1"/>
    <col min="7442" max="7442" width="12.42578125" style="548" customWidth="1"/>
    <col min="7443" max="7443" width="15.28515625" style="548" customWidth="1"/>
    <col min="7444" max="7447" width="11.42578125" style="548" customWidth="1"/>
    <col min="7448" max="7448" width="13" style="548" customWidth="1"/>
    <col min="7449" max="7449" width="12.42578125" style="548" customWidth="1"/>
    <col min="7450" max="7450" width="15.5703125" style="548" customWidth="1"/>
    <col min="7451" max="7685" width="11.42578125" style="548"/>
    <col min="7686" max="7686" width="5.28515625" style="548" customWidth="1"/>
    <col min="7687" max="7687" width="13.85546875" style="548" customWidth="1"/>
    <col min="7688" max="7688" width="11.7109375" style="548" customWidth="1"/>
    <col min="7689" max="7689" width="18.5703125" style="548" bestFit="1" customWidth="1"/>
    <col min="7690" max="7690" width="13.28515625" style="548" bestFit="1" customWidth="1"/>
    <col min="7691" max="7692" width="11.42578125" style="548" customWidth="1"/>
    <col min="7693" max="7693" width="12.28515625" style="548" customWidth="1"/>
    <col min="7694" max="7696" width="14.85546875" style="548" customWidth="1"/>
    <col min="7697" max="7697" width="11.42578125" style="548" customWidth="1"/>
    <col min="7698" max="7698" width="12.42578125" style="548" customWidth="1"/>
    <col min="7699" max="7699" width="15.28515625" style="548" customWidth="1"/>
    <col min="7700" max="7703" width="11.42578125" style="548" customWidth="1"/>
    <col min="7704" max="7704" width="13" style="548" customWidth="1"/>
    <col min="7705" max="7705" width="12.42578125" style="548" customWidth="1"/>
    <col min="7706" max="7706" width="15.5703125" style="548" customWidth="1"/>
    <col min="7707" max="7941" width="11.42578125" style="548"/>
    <col min="7942" max="7942" width="5.28515625" style="548" customWidth="1"/>
    <col min="7943" max="7943" width="13.85546875" style="548" customWidth="1"/>
    <col min="7944" max="7944" width="11.7109375" style="548" customWidth="1"/>
    <col min="7945" max="7945" width="18.5703125" style="548" bestFit="1" customWidth="1"/>
    <col min="7946" max="7946" width="13.28515625" style="548" bestFit="1" customWidth="1"/>
    <col min="7947" max="7948" width="11.42578125" style="548" customWidth="1"/>
    <col min="7949" max="7949" width="12.28515625" style="548" customWidth="1"/>
    <col min="7950" max="7952" width="14.85546875" style="548" customWidth="1"/>
    <col min="7953" max="7953" width="11.42578125" style="548" customWidth="1"/>
    <col min="7954" max="7954" width="12.42578125" style="548" customWidth="1"/>
    <col min="7955" max="7955" width="15.28515625" style="548" customWidth="1"/>
    <col min="7956" max="7959" width="11.42578125" style="548" customWidth="1"/>
    <col min="7960" max="7960" width="13" style="548" customWidth="1"/>
    <col min="7961" max="7961" width="12.42578125" style="548" customWidth="1"/>
    <col min="7962" max="7962" width="15.5703125" style="548" customWidth="1"/>
    <col min="7963" max="8197" width="11.42578125" style="548"/>
    <col min="8198" max="8198" width="5.28515625" style="548" customWidth="1"/>
    <col min="8199" max="8199" width="13.85546875" style="548" customWidth="1"/>
    <col min="8200" max="8200" width="11.7109375" style="548" customWidth="1"/>
    <col min="8201" max="8201" width="18.5703125" style="548" bestFit="1" customWidth="1"/>
    <col min="8202" max="8202" width="13.28515625" style="548" bestFit="1" customWidth="1"/>
    <col min="8203" max="8204" width="11.42578125" style="548" customWidth="1"/>
    <col min="8205" max="8205" width="12.28515625" style="548" customWidth="1"/>
    <col min="8206" max="8208" width="14.85546875" style="548" customWidth="1"/>
    <col min="8209" max="8209" width="11.42578125" style="548" customWidth="1"/>
    <col min="8210" max="8210" width="12.42578125" style="548" customWidth="1"/>
    <col min="8211" max="8211" width="15.28515625" style="548" customWidth="1"/>
    <col min="8212" max="8215" width="11.42578125" style="548" customWidth="1"/>
    <col min="8216" max="8216" width="13" style="548" customWidth="1"/>
    <col min="8217" max="8217" width="12.42578125" style="548" customWidth="1"/>
    <col min="8218" max="8218" width="15.5703125" style="548" customWidth="1"/>
    <col min="8219" max="8453" width="11.42578125" style="548"/>
    <col min="8454" max="8454" width="5.28515625" style="548" customWidth="1"/>
    <col min="8455" max="8455" width="13.85546875" style="548" customWidth="1"/>
    <col min="8456" max="8456" width="11.7109375" style="548" customWidth="1"/>
    <col min="8457" max="8457" width="18.5703125" style="548" bestFit="1" customWidth="1"/>
    <col min="8458" max="8458" width="13.28515625" style="548" bestFit="1" customWidth="1"/>
    <col min="8459" max="8460" width="11.42578125" style="548" customWidth="1"/>
    <col min="8461" max="8461" width="12.28515625" style="548" customWidth="1"/>
    <col min="8462" max="8464" width="14.85546875" style="548" customWidth="1"/>
    <col min="8465" max="8465" width="11.42578125" style="548" customWidth="1"/>
    <col min="8466" max="8466" width="12.42578125" style="548" customWidth="1"/>
    <col min="8467" max="8467" width="15.28515625" style="548" customWidth="1"/>
    <col min="8468" max="8471" width="11.42578125" style="548" customWidth="1"/>
    <col min="8472" max="8472" width="13" style="548" customWidth="1"/>
    <col min="8473" max="8473" width="12.42578125" style="548" customWidth="1"/>
    <col min="8474" max="8474" width="15.5703125" style="548" customWidth="1"/>
    <col min="8475" max="8709" width="11.42578125" style="548"/>
    <col min="8710" max="8710" width="5.28515625" style="548" customWidth="1"/>
    <col min="8711" max="8711" width="13.85546875" style="548" customWidth="1"/>
    <col min="8712" max="8712" width="11.7109375" style="548" customWidth="1"/>
    <col min="8713" max="8713" width="18.5703125" style="548" bestFit="1" customWidth="1"/>
    <col min="8714" max="8714" width="13.28515625" style="548" bestFit="1" customWidth="1"/>
    <col min="8715" max="8716" width="11.42578125" style="548" customWidth="1"/>
    <col min="8717" max="8717" width="12.28515625" style="548" customWidth="1"/>
    <col min="8718" max="8720" width="14.85546875" style="548" customWidth="1"/>
    <col min="8721" max="8721" width="11.42578125" style="548" customWidth="1"/>
    <col min="8722" max="8722" width="12.42578125" style="548" customWidth="1"/>
    <col min="8723" max="8723" width="15.28515625" style="548" customWidth="1"/>
    <col min="8724" max="8727" width="11.42578125" style="548" customWidth="1"/>
    <col min="8728" max="8728" width="13" style="548" customWidth="1"/>
    <col min="8729" max="8729" width="12.42578125" style="548" customWidth="1"/>
    <col min="8730" max="8730" width="15.5703125" style="548" customWidth="1"/>
    <col min="8731" max="8965" width="11.42578125" style="548"/>
    <col min="8966" max="8966" width="5.28515625" style="548" customWidth="1"/>
    <col min="8967" max="8967" width="13.85546875" style="548" customWidth="1"/>
    <col min="8968" max="8968" width="11.7109375" style="548" customWidth="1"/>
    <col min="8969" max="8969" width="18.5703125" style="548" bestFit="1" customWidth="1"/>
    <col min="8970" max="8970" width="13.28515625" style="548" bestFit="1" customWidth="1"/>
    <col min="8971" max="8972" width="11.42578125" style="548" customWidth="1"/>
    <col min="8973" max="8973" width="12.28515625" style="548" customWidth="1"/>
    <col min="8974" max="8976" width="14.85546875" style="548" customWidth="1"/>
    <col min="8977" max="8977" width="11.42578125" style="548" customWidth="1"/>
    <col min="8978" max="8978" width="12.42578125" style="548" customWidth="1"/>
    <col min="8979" max="8979" width="15.28515625" style="548" customWidth="1"/>
    <col min="8980" max="8983" width="11.42578125" style="548" customWidth="1"/>
    <col min="8984" max="8984" width="13" style="548" customWidth="1"/>
    <col min="8985" max="8985" width="12.42578125" style="548" customWidth="1"/>
    <col min="8986" max="8986" width="15.5703125" style="548" customWidth="1"/>
    <col min="8987" max="9221" width="11.42578125" style="548"/>
    <col min="9222" max="9222" width="5.28515625" style="548" customWidth="1"/>
    <col min="9223" max="9223" width="13.85546875" style="548" customWidth="1"/>
    <col min="9224" max="9224" width="11.7109375" style="548" customWidth="1"/>
    <col min="9225" max="9225" width="18.5703125" style="548" bestFit="1" customWidth="1"/>
    <col min="9226" max="9226" width="13.28515625" style="548" bestFit="1" customWidth="1"/>
    <col min="9227" max="9228" width="11.42578125" style="548" customWidth="1"/>
    <col min="9229" max="9229" width="12.28515625" style="548" customWidth="1"/>
    <col min="9230" max="9232" width="14.85546875" style="548" customWidth="1"/>
    <col min="9233" max="9233" width="11.42578125" style="548" customWidth="1"/>
    <col min="9234" max="9234" width="12.42578125" style="548" customWidth="1"/>
    <col min="9235" max="9235" width="15.28515625" style="548" customWidth="1"/>
    <col min="9236" max="9239" width="11.42578125" style="548" customWidth="1"/>
    <col min="9240" max="9240" width="13" style="548" customWidth="1"/>
    <col min="9241" max="9241" width="12.42578125" style="548" customWidth="1"/>
    <col min="9242" max="9242" width="15.5703125" style="548" customWidth="1"/>
    <col min="9243" max="9477" width="11.42578125" style="548"/>
    <col min="9478" max="9478" width="5.28515625" style="548" customWidth="1"/>
    <col min="9479" max="9479" width="13.85546875" style="548" customWidth="1"/>
    <col min="9480" max="9480" width="11.7109375" style="548" customWidth="1"/>
    <col min="9481" max="9481" width="18.5703125" style="548" bestFit="1" customWidth="1"/>
    <col min="9482" max="9482" width="13.28515625" style="548" bestFit="1" customWidth="1"/>
    <col min="9483" max="9484" width="11.42578125" style="548" customWidth="1"/>
    <col min="9485" max="9485" width="12.28515625" style="548" customWidth="1"/>
    <col min="9486" max="9488" width="14.85546875" style="548" customWidth="1"/>
    <col min="9489" max="9489" width="11.42578125" style="548" customWidth="1"/>
    <col min="9490" max="9490" width="12.42578125" style="548" customWidth="1"/>
    <col min="9491" max="9491" width="15.28515625" style="548" customWidth="1"/>
    <col min="9492" max="9495" width="11.42578125" style="548" customWidth="1"/>
    <col min="9496" max="9496" width="13" style="548" customWidth="1"/>
    <col min="9497" max="9497" width="12.42578125" style="548" customWidth="1"/>
    <col min="9498" max="9498" width="15.5703125" style="548" customWidth="1"/>
    <col min="9499" max="9733" width="11.42578125" style="548"/>
    <col min="9734" max="9734" width="5.28515625" style="548" customWidth="1"/>
    <col min="9735" max="9735" width="13.85546875" style="548" customWidth="1"/>
    <col min="9736" max="9736" width="11.7109375" style="548" customWidth="1"/>
    <col min="9737" max="9737" width="18.5703125" style="548" bestFit="1" customWidth="1"/>
    <col min="9738" max="9738" width="13.28515625" style="548" bestFit="1" customWidth="1"/>
    <col min="9739" max="9740" width="11.42578125" style="548" customWidth="1"/>
    <col min="9741" max="9741" width="12.28515625" style="548" customWidth="1"/>
    <col min="9742" max="9744" width="14.85546875" style="548" customWidth="1"/>
    <col min="9745" max="9745" width="11.42578125" style="548" customWidth="1"/>
    <col min="9746" max="9746" width="12.42578125" style="548" customWidth="1"/>
    <col min="9747" max="9747" width="15.28515625" style="548" customWidth="1"/>
    <col min="9748" max="9751" width="11.42578125" style="548" customWidth="1"/>
    <col min="9752" max="9752" width="13" style="548" customWidth="1"/>
    <col min="9753" max="9753" width="12.42578125" style="548" customWidth="1"/>
    <col min="9754" max="9754" width="15.5703125" style="548" customWidth="1"/>
    <col min="9755" max="9989" width="11.42578125" style="548"/>
    <col min="9990" max="9990" width="5.28515625" style="548" customWidth="1"/>
    <col min="9991" max="9991" width="13.85546875" style="548" customWidth="1"/>
    <col min="9992" max="9992" width="11.7109375" style="548" customWidth="1"/>
    <col min="9993" max="9993" width="18.5703125" style="548" bestFit="1" customWidth="1"/>
    <col min="9994" max="9994" width="13.28515625" style="548" bestFit="1" customWidth="1"/>
    <col min="9995" max="9996" width="11.42578125" style="548" customWidth="1"/>
    <col min="9997" max="9997" width="12.28515625" style="548" customWidth="1"/>
    <col min="9998" max="10000" width="14.85546875" style="548" customWidth="1"/>
    <col min="10001" max="10001" width="11.42578125" style="548" customWidth="1"/>
    <col min="10002" max="10002" width="12.42578125" style="548" customWidth="1"/>
    <col min="10003" max="10003" width="15.28515625" style="548" customWidth="1"/>
    <col min="10004" max="10007" width="11.42578125" style="548" customWidth="1"/>
    <col min="10008" max="10008" width="13" style="548" customWidth="1"/>
    <col min="10009" max="10009" width="12.42578125" style="548" customWidth="1"/>
    <col min="10010" max="10010" width="15.5703125" style="548" customWidth="1"/>
    <col min="10011" max="10245" width="11.42578125" style="548"/>
    <col min="10246" max="10246" width="5.28515625" style="548" customWidth="1"/>
    <col min="10247" max="10247" width="13.85546875" style="548" customWidth="1"/>
    <col min="10248" max="10248" width="11.7109375" style="548" customWidth="1"/>
    <col min="10249" max="10249" width="18.5703125" style="548" bestFit="1" customWidth="1"/>
    <col min="10250" max="10250" width="13.28515625" style="548" bestFit="1" customWidth="1"/>
    <col min="10251" max="10252" width="11.42578125" style="548" customWidth="1"/>
    <col min="10253" max="10253" width="12.28515625" style="548" customWidth="1"/>
    <col min="10254" max="10256" width="14.85546875" style="548" customWidth="1"/>
    <col min="10257" max="10257" width="11.42578125" style="548" customWidth="1"/>
    <col min="10258" max="10258" width="12.42578125" style="548" customWidth="1"/>
    <col min="10259" max="10259" width="15.28515625" style="548" customWidth="1"/>
    <col min="10260" max="10263" width="11.42578125" style="548" customWidth="1"/>
    <col min="10264" max="10264" width="13" style="548" customWidth="1"/>
    <col min="10265" max="10265" width="12.42578125" style="548" customWidth="1"/>
    <col min="10266" max="10266" width="15.5703125" style="548" customWidth="1"/>
    <col min="10267" max="10501" width="11.42578125" style="548"/>
    <col min="10502" max="10502" width="5.28515625" style="548" customWidth="1"/>
    <col min="10503" max="10503" width="13.85546875" style="548" customWidth="1"/>
    <col min="10504" max="10504" width="11.7109375" style="548" customWidth="1"/>
    <col min="10505" max="10505" width="18.5703125" style="548" bestFit="1" customWidth="1"/>
    <col min="10506" max="10506" width="13.28515625" style="548" bestFit="1" customWidth="1"/>
    <col min="10507" max="10508" width="11.42578125" style="548" customWidth="1"/>
    <col min="10509" max="10509" width="12.28515625" style="548" customWidth="1"/>
    <col min="10510" max="10512" width="14.85546875" style="548" customWidth="1"/>
    <col min="10513" max="10513" width="11.42578125" style="548" customWidth="1"/>
    <col min="10514" max="10514" width="12.42578125" style="548" customWidth="1"/>
    <col min="10515" max="10515" width="15.28515625" style="548" customWidth="1"/>
    <col min="10516" max="10519" width="11.42578125" style="548" customWidth="1"/>
    <col min="10520" max="10520" width="13" style="548" customWidth="1"/>
    <col min="10521" max="10521" width="12.42578125" style="548" customWidth="1"/>
    <col min="10522" max="10522" width="15.5703125" style="548" customWidth="1"/>
    <col min="10523" max="10757" width="11.42578125" style="548"/>
    <col min="10758" max="10758" width="5.28515625" style="548" customWidth="1"/>
    <col min="10759" max="10759" width="13.85546875" style="548" customWidth="1"/>
    <col min="10760" max="10760" width="11.7109375" style="548" customWidth="1"/>
    <col min="10761" max="10761" width="18.5703125" style="548" bestFit="1" customWidth="1"/>
    <col min="10762" max="10762" width="13.28515625" style="548" bestFit="1" customWidth="1"/>
    <col min="10763" max="10764" width="11.42578125" style="548" customWidth="1"/>
    <col min="10765" max="10765" width="12.28515625" style="548" customWidth="1"/>
    <col min="10766" max="10768" width="14.85546875" style="548" customWidth="1"/>
    <col min="10769" max="10769" width="11.42578125" style="548" customWidth="1"/>
    <col min="10770" max="10770" width="12.42578125" style="548" customWidth="1"/>
    <col min="10771" max="10771" width="15.28515625" style="548" customWidth="1"/>
    <col min="10772" max="10775" width="11.42578125" style="548" customWidth="1"/>
    <col min="10776" max="10776" width="13" style="548" customWidth="1"/>
    <col min="10777" max="10777" width="12.42578125" style="548" customWidth="1"/>
    <col min="10778" max="10778" width="15.5703125" style="548" customWidth="1"/>
    <col min="10779" max="11013" width="11.42578125" style="548"/>
    <col min="11014" max="11014" width="5.28515625" style="548" customWidth="1"/>
    <col min="11015" max="11015" width="13.85546875" style="548" customWidth="1"/>
    <col min="11016" max="11016" width="11.7109375" style="548" customWidth="1"/>
    <col min="11017" max="11017" width="18.5703125" style="548" bestFit="1" customWidth="1"/>
    <col min="11018" max="11018" width="13.28515625" style="548" bestFit="1" customWidth="1"/>
    <col min="11019" max="11020" width="11.42578125" style="548" customWidth="1"/>
    <col min="11021" max="11021" width="12.28515625" style="548" customWidth="1"/>
    <col min="11022" max="11024" width="14.85546875" style="548" customWidth="1"/>
    <col min="11025" max="11025" width="11.42578125" style="548" customWidth="1"/>
    <col min="11026" max="11026" width="12.42578125" style="548" customWidth="1"/>
    <col min="11027" max="11027" width="15.28515625" style="548" customWidth="1"/>
    <col min="11028" max="11031" width="11.42578125" style="548" customWidth="1"/>
    <col min="11032" max="11032" width="13" style="548" customWidth="1"/>
    <col min="11033" max="11033" width="12.42578125" style="548" customWidth="1"/>
    <col min="11034" max="11034" width="15.5703125" style="548" customWidth="1"/>
    <col min="11035" max="11269" width="11.42578125" style="548"/>
    <col min="11270" max="11270" width="5.28515625" style="548" customWidth="1"/>
    <col min="11271" max="11271" width="13.85546875" style="548" customWidth="1"/>
    <col min="11272" max="11272" width="11.7109375" style="548" customWidth="1"/>
    <col min="11273" max="11273" width="18.5703125" style="548" bestFit="1" customWidth="1"/>
    <col min="11274" max="11274" width="13.28515625" style="548" bestFit="1" customWidth="1"/>
    <col min="11275" max="11276" width="11.42578125" style="548" customWidth="1"/>
    <col min="11277" max="11277" width="12.28515625" style="548" customWidth="1"/>
    <col min="11278" max="11280" width="14.85546875" style="548" customWidth="1"/>
    <col min="11281" max="11281" width="11.42578125" style="548" customWidth="1"/>
    <col min="11282" max="11282" width="12.42578125" style="548" customWidth="1"/>
    <col min="11283" max="11283" width="15.28515625" style="548" customWidth="1"/>
    <col min="11284" max="11287" width="11.42578125" style="548" customWidth="1"/>
    <col min="11288" max="11288" width="13" style="548" customWidth="1"/>
    <col min="11289" max="11289" width="12.42578125" style="548" customWidth="1"/>
    <col min="11290" max="11290" width="15.5703125" style="548" customWidth="1"/>
    <col min="11291" max="11525" width="11.42578125" style="548"/>
    <col min="11526" max="11526" width="5.28515625" style="548" customWidth="1"/>
    <col min="11527" max="11527" width="13.85546875" style="548" customWidth="1"/>
    <col min="11528" max="11528" width="11.7109375" style="548" customWidth="1"/>
    <col min="11529" max="11529" width="18.5703125" style="548" bestFit="1" customWidth="1"/>
    <col min="11530" max="11530" width="13.28515625" style="548" bestFit="1" customWidth="1"/>
    <col min="11531" max="11532" width="11.42578125" style="548" customWidth="1"/>
    <col min="11533" max="11533" width="12.28515625" style="548" customWidth="1"/>
    <col min="11534" max="11536" width="14.85546875" style="548" customWidth="1"/>
    <col min="11537" max="11537" width="11.42578125" style="548" customWidth="1"/>
    <col min="11538" max="11538" width="12.42578125" style="548" customWidth="1"/>
    <col min="11539" max="11539" width="15.28515625" style="548" customWidth="1"/>
    <col min="11540" max="11543" width="11.42578125" style="548" customWidth="1"/>
    <col min="11544" max="11544" width="13" style="548" customWidth="1"/>
    <col min="11545" max="11545" width="12.42578125" style="548" customWidth="1"/>
    <col min="11546" max="11546" width="15.5703125" style="548" customWidth="1"/>
    <col min="11547" max="11781" width="11.42578125" style="548"/>
    <col min="11782" max="11782" width="5.28515625" style="548" customWidth="1"/>
    <col min="11783" max="11783" width="13.85546875" style="548" customWidth="1"/>
    <col min="11784" max="11784" width="11.7109375" style="548" customWidth="1"/>
    <col min="11785" max="11785" width="18.5703125" style="548" bestFit="1" customWidth="1"/>
    <col min="11786" max="11786" width="13.28515625" style="548" bestFit="1" customWidth="1"/>
    <col min="11787" max="11788" width="11.42578125" style="548" customWidth="1"/>
    <col min="11789" max="11789" width="12.28515625" style="548" customWidth="1"/>
    <col min="11790" max="11792" width="14.85546875" style="548" customWidth="1"/>
    <col min="11793" max="11793" width="11.42578125" style="548" customWidth="1"/>
    <col min="11794" max="11794" width="12.42578125" style="548" customWidth="1"/>
    <col min="11795" max="11795" width="15.28515625" style="548" customWidth="1"/>
    <col min="11796" max="11799" width="11.42578125" style="548" customWidth="1"/>
    <col min="11800" max="11800" width="13" style="548" customWidth="1"/>
    <col min="11801" max="11801" width="12.42578125" style="548" customWidth="1"/>
    <col min="11802" max="11802" width="15.5703125" style="548" customWidth="1"/>
    <col min="11803" max="12037" width="11.42578125" style="548"/>
    <col min="12038" max="12038" width="5.28515625" style="548" customWidth="1"/>
    <col min="12039" max="12039" width="13.85546875" style="548" customWidth="1"/>
    <col min="12040" max="12040" width="11.7109375" style="548" customWidth="1"/>
    <col min="12041" max="12041" width="18.5703125" style="548" bestFit="1" customWidth="1"/>
    <col min="12042" max="12042" width="13.28515625" style="548" bestFit="1" customWidth="1"/>
    <col min="12043" max="12044" width="11.42578125" style="548" customWidth="1"/>
    <col min="12045" max="12045" width="12.28515625" style="548" customWidth="1"/>
    <col min="12046" max="12048" width="14.85546875" style="548" customWidth="1"/>
    <col min="12049" max="12049" width="11.42578125" style="548" customWidth="1"/>
    <col min="12050" max="12050" width="12.42578125" style="548" customWidth="1"/>
    <col min="12051" max="12051" width="15.28515625" style="548" customWidth="1"/>
    <col min="12052" max="12055" width="11.42578125" style="548" customWidth="1"/>
    <col min="12056" max="12056" width="13" style="548" customWidth="1"/>
    <col min="12057" max="12057" width="12.42578125" style="548" customWidth="1"/>
    <col min="12058" max="12058" width="15.5703125" style="548" customWidth="1"/>
    <col min="12059" max="12293" width="11.42578125" style="548"/>
    <col min="12294" max="12294" width="5.28515625" style="548" customWidth="1"/>
    <col min="12295" max="12295" width="13.85546875" style="548" customWidth="1"/>
    <col min="12296" max="12296" width="11.7109375" style="548" customWidth="1"/>
    <col min="12297" max="12297" width="18.5703125" style="548" bestFit="1" customWidth="1"/>
    <col min="12298" max="12298" width="13.28515625" style="548" bestFit="1" customWidth="1"/>
    <col min="12299" max="12300" width="11.42578125" style="548" customWidth="1"/>
    <col min="12301" max="12301" width="12.28515625" style="548" customWidth="1"/>
    <col min="12302" max="12304" width="14.85546875" style="548" customWidth="1"/>
    <col min="12305" max="12305" width="11.42578125" style="548" customWidth="1"/>
    <col min="12306" max="12306" width="12.42578125" style="548" customWidth="1"/>
    <col min="12307" max="12307" width="15.28515625" style="548" customWidth="1"/>
    <col min="12308" max="12311" width="11.42578125" style="548" customWidth="1"/>
    <col min="12312" max="12312" width="13" style="548" customWidth="1"/>
    <col min="12313" max="12313" width="12.42578125" style="548" customWidth="1"/>
    <col min="12314" max="12314" width="15.5703125" style="548" customWidth="1"/>
    <col min="12315" max="12549" width="11.42578125" style="548"/>
    <col min="12550" max="12550" width="5.28515625" style="548" customWidth="1"/>
    <col min="12551" max="12551" width="13.85546875" style="548" customWidth="1"/>
    <col min="12552" max="12552" width="11.7109375" style="548" customWidth="1"/>
    <col min="12553" max="12553" width="18.5703125" style="548" bestFit="1" customWidth="1"/>
    <col min="12554" max="12554" width="13.28515625" style="548" bestFit="1" customWidth="1"/>
    <col min="12555" max="12556" width="11.42578125" style="548" customWidth="1"/>
    <col min="12557" max="12557" width="12.28515625" style="548" customWidth="1"/>
    <col min="12558" max="12560" width="14.85546875" style="548" customWidth="1"/>
    <col min="12561" max="12561" width="11.42578125" style="548" customWidth="1"/>
    <col min="12562" max="12562" width="12.42578125" style="548" customWidth="1"/>
    <col min="12563" max="12563" width="15.28515625" style="548" customWidth="1"/>
    <col min="12564" max="12567" width="11.42578125" style="548" customWidth="1"/>
    <col min="12568" max="12568" width="13" style="548" customWidth="1"/>
    <col min="12569" max="12569" width="12.42578125" style="548" customWidth="1"/>
    <col min="12570" max="12570" width="15.5703125" style="548" customWidth="1"/>
    <col min="12571" max="12805" width="11.42578125" style="548"/>
    <col min="12806" max="12806" width="5.28515625" style="548" customWidth="1"/>
    <col min="12807" max="12807" width="13.85546875" style="548" customWidth="1"/>
    <col min="12808" max="12808" width="11.7109375" style="548" customWidth="1"/>
    <col min="12809" max="12809" width="18.5703125" style="548" bestFit="1" customWidth="1"/>
    <col min="12810" max="12810" width="13.28515625" style="548" bestFit="1" customWidth="1"/>
    <col min="12811" max="12812" width="11.42578125" style="548" customWidth="1"/>
    <col min="12813" max="12813" width="12.28515625" style="548" customWidth="1"/>
    <col min="12814" max="12816" width="14.85546875" style="548" customWidth="1"/>
    <col min="12817" max="12817" width="11.42578125" style="548" customWidth="1"/>
    <col min="12818" max="12818" width="12.42578125" style="548" customWidth="1"/>
    <col min="12819" max="12819" width="15.28515625" style="548" customWidth="1"/>
    <col min="12820" max="12823" width="11.42578125" style="548" customWidth="1"/>
    <col min="12824" max="12824" width="13" style="548" customWidth="1"/>
    <col min="12825" max="12825" width="12.42578125" style="548" customWidth="1"/>
    <col min="12826" max="12826" width="15.5703125" style="548" customWidth="1"/>
    <col min="12827" max="13061" width="11.42578125" style="548"/>
    <col min="13062" max="13062" width="5.28515625" style="548" customWidth="1"/>
    <col min="13063" max="13063" width="13.85546875" style="548" customWidth="1"/>
    <col min="13064" max="13064" width="11.7109375" style="548" customWidth="1"/>
    <col min="13065" max="13065" width="18.5703125" style="548" bestFit="1" customWidth="1"/>
    <col min="13066" max="13066" width="13.28515625" style="548" bestFit="1" customWidth="1"/>
    <col min="13067" max="13068" width="11.42578125" style="548" customWidth="1"/>
    <col min="13069" max="13069" width="12.28515625" style="548" customWidth="1"/>
    <col min="13070" max="13072" width="14.85546875" style="548" customWidth="1"/>
    <col min="13073" max="13073" width="11.42578125" style="548" customWidth="1"/>
    <col min="13074" max="13074" width="12.42578125" style="548" customWidth="1"/>
    <col min="13075" max="13075" width="15.28515625" style="548" customWidth="1"/>
    <col min="13076" max="13079" width="11.42578125" style="548" customWidth="1"/>
    <col min="13080" max="13080" width="13" style="548" customWidth="1"/>
    <col min="13081" max="13081" width="12.42578125" style="548" customWidth="1"/>
    <col min="13082" max="13082" width="15.5703125" style="548" customWidth="1"/>
    <col min="13083" max="13317" width="11.42578125" style="548"/>
    <col min="13318" max="13318" width="5.28515625" style="548" customWidth="1"/>
    <col min="13319" max="13319" width="13.85546875" style="548" customWidth="1"/>
    <col min="13320" max="13320" width="11.7109375" style="548" customWidth="1"/>
    <col min="13321" max="13321" width="18.5703125" style="548" bestFit="1" customWidth="1"/>
    <col min="13322" max="13322" width="13.28515625" style="548" bestFit="1" customWidth="1"/>
    <col min="13323" max="13324" width="11.42578125" style="548" customWidth="1"/>
    <col min="13325" max="13325" width="12.28515625" style="548" customWidth="1"/>
    <col min="13326" max="13328" width="14.85546875" style="548" customWidth="1"/>
    <col min="13329" max="13329" width="11.42578125" style="548" customWidth="1"/>
    <col min="13330" max="13330" width="12.42578125" style="548" customWidth="1"/>
    <col min="13331" max="13331" width="15.28515625" style="548" customWidth="1"/>
    <col min="13332" max="13335" width="11.42578125" style="548" customWidth="1"/>
    <col min="13336" max="13336" width="13" style="548" customWidth="1"/>
    <col min="13337" max="13337" width="12.42578125" style="548" customWidth="1"/>
    <col min="13338" max="13338" width="15.5703125" style="548" customWidth="1"/>
    <col min="13339" max="13573" width="11.42578125" style="548"/>
    <col min="13574" max="13574" width="5.28515625" style="548" customWidth="1"/>
    <col min="13575" max="13575" width="13.85546875" style="548" customWidth="1"/>
    <col min="13576" max="13576" width="11.7109375" style="548" customWidth="1"/>
    <col min="13577" max="13577" width="18.5703125" style="548" bestFit="1" customWidth="1"/>
    <col min="13578" max="13578" width="13.28515625" style="548" bestFit="1" customWidth="1"/>
    <col min="13579" max="13580" width="11.42578125" style="548" customWidth="1"/>
    <col min="13581" max="13581" width="12.28515625" style="548" customWidth="1"/>
    <col min="13582" max="13584" width="14.85546875" style="548" customWidth="1"/>
    <col min="13585" max="13585" width="11.42578125" style="548" customWidth="1"/>
    <col min="13586" max="13586" width="12.42578125" style="548" customWidth="1"/>
    <col min="13587" max="13587" width="15.28515625" style="548" customWidth="1"/>
    <col min="13588" max="13591" width="11.42578125" style="548" customWidth="1"/>
    <col min="13592" max="13592" width="13" style="548" customWidth="1"/>
    <col min="13593" max="13593" width="12.42578125" style="548" customWidth="1"/>
    <col min="13594" max="13594" width="15.5703125" style="548" customWidth="1"/>
    <col min="13595" max="13829" width="11.42578125" style="548"/>
    <col min="13830" max="13830" width="5.28515625" style="548" customWidth="1"/>
    <col min="13831" max="13831" width="13.85546875" style="548" customWidth="1"/>
    <col min="13832" max="13832" width="11.7109375" style="548" customWidth="1"/>
    <col min="13833" max="13833" width="18.5703125" style="548" bestFit="1" customWidth="1"/>
    <col min="13834" max="13834" width="13.28515625" style="548" bestFit="1" customWidth="1"/>
    <col min="13835" max="13836" width="11.42578125" style="548" customWidth="1"/>
    <col min="13837" max="13837" width="12.28515625" style="548" customWidth="1"/>
    <col min="13838" max="13840" width="14.85546875" style="548" customWidth="1"/>
    <col min="13841" max="13841" width="11.42578125" style="548" customWidth="1"/>
    <col min="13842" max="13842" width="12.42578125" style="548" customWidth="1"/>
    <col min="13843" max="13843" width="15.28515625" style="548" customWidth="1"/>
    <col min="13844" max="13847" width="11.42578125" style="548" customWidth="1"/>
    <col min="13848" max="13848" width="13" style="548" customWidth="1"/>
    <col min="13849" max="13849" width="12.42578125" style="548" customWidth="1"/>
    <col min="13850" max="13850" width="15.5703125" style="548" customWidth="1"/>
    <col min="13851" max="14085" width="11.42578125" style="548"/>
    <col min="14086" max="14086" width="5.28515625" style="548" customWidth="1"/>
    <col min="14087" max="14087" width="13.85546875" style="548" customWidth="1"/>
    <col min="14088" max="14088" width="11.7109375" style="548" customWidth="1"/>
    <col min="14089" max="14089" width="18.5703125" style="548" bestFit="1" customWidth="1"/>
    <col min="14090" max="14090" width="13.28515625" style="548" bestFit="1" customWidth="1"/>
    <col min="14091" max="14092" width="11.42578125" style="548" customWidth="1"/>
    <col min="14093" max="14093" width="12.28515625" style="548" customWidth="1"/>
    <col min="14094" max="14096" width="14.85546875" style="548" customWidth="1"/>
    <col min="14097" max="14097" width="11.42578125" style="548" customWidth="1"/>
    <col min="14098" max="14098" width="12.42578125" style="548" customWidth="1"/>
    <col min="14099" max="14099" width="15.28515625" style="548" customWidth="1"/>
    <col min="14100" max="14103" width="11.42578125" style="548" customWidth="1"/>
    <col min="14104" max="14104" width="13" style="548" customWidth="1"/>
    <col min="14105" max="14105" width="12.42578125" style="548" customWidth="1"/>
    <col min="14106" max="14106" width="15.5703125" style="548" customWidth="1"/>
    <col min="14107" max="14341" width="11.42578125" style="548"/>
    <col min="14342" max="14342" width="5.28515625" style="548" customWidth="1"/>
    <col min="14343" max="14343" width="13.85546875" style="548" customWidth="1"/>
    <col min="14344" max="14344" width="11.7109375" style="548" customWidth="1"/>
    <col min="14345" max="14345" width="18.5703125" style="548" bestFit="1" customWidth="1"/>
    <col min="14346" max="14346" width="13.28515625" style="548" bestFit="1" customWidth="1"/>
    <col min="14347" max="14348" width="11.42578125" style="548" customWidth="1"/>
    <col min="14349" max="14349" width="12.28515625" style="548" customWidth="1"/>
    <col min="14350" max="14352" width="14.85546875" style="548" customWidth="1"/>
    <col min="14353" max="14353" width="11.42578125" style="548" customWidth="1"/>
    <col min="14354" max="14354" width="12.42578125" style="548" customWidth="1"/>
    <col min="14355" max="14355" width="15.28515625" style="548" customWidth="1"/>
    <col min="14356" max="14359" width="11.42578125" style="548" customWidth="1"/>
    <col min="14360" max="14360" width="13" style="548" customWidth="1"/>
    <col min="14361" max="14361" width="12.42578125" style="548" customWidth="1"/>
    <col min="14362" max="14362" width="15.5703125" style="548" customWidth="1"/>
    <col min="14363" max="14597" width="11.42578125" style="548"/>
    <col min="14598" max="14598" width="5.28515625" style="548" customWidth="1"/>
    <col min="14599" max="14599" width="13.85546875" style="548" customWidth="1"/>
    <col min="14600" max="14600" width="11.7109375" style="548" customWidth="1"/>
    <col min="14601" max="14601" width="18.5703125" style="548" bestFit="1" customWidth="1"/>
    <col min="14602" max="14602" width="13.28515625" style="548" bestFit="1" customWidth="1"/>
    <col min="14603" max="14604" width="11.42578125" style="548" customWidth="1"/>
    <col min="14605" max="14605" width="12.28515625" style="548" customWidth="1"/>
    <col min="14606" max="14608" width="14.85546875" style="548" customWidth="1"/>
    <col min="14609" max="14609" width="11.42578125" style="548" customWidth="1"/>
    <col min="14610" max="14610" width="12.42578125" style="548" customWidth="1"/>
    <col min="14611" max="14611" width="15.28515625" style="548" customWidth="1"/>
    <col min="14612" max="14615" width="11.42578125" style="548" customWidth="1"/>
    <col min="14616" max="14616" width="13" style="548" customWidth="1"/>
    <col min="14617" max="14617" width="12.42578125" style="548" customWidth="1"/>
    <col min="14618" max="14618" width="15.5703125" style="548" customWidth="1"/>
    <col min="14619" max="14853" width="11.42578125" style="548"/>
    <col min="14854" max="14854" width="5.28515625" style="548" customWidth="1"/>
    <col min="14855" max="14855" width="13.85546875" style="548" customWidth="1"/>
    <col min="14856" max="14856" width="11.7109375" style="548" customWidth="1"/>
    <col min="14857" max="14857" width="18.5703125" style="548" bestFit="1" customWidth="1"/>
    <col min="14858" max="14858" width="13.28515625" style="548" bestFit="1" customWidth="1"/>
    <col min="14859" max="14860" width="11.42578125" style="548" customWidth="1"/>
    <col min="14861" max="14861" width="12.28515625" style="548" customWidth="1"/>
    <col min="14862" max="14864" width="14.85546875" style="548" customWidth="1"/>
    <col min="14865" max="14865" width="11.42578125" style="548" customWidth="1"/>
    <col min="14866" max="14866" width="12.42578125" style="548" customWidth="1"/>
    <col min="14867" max="14867" width="15.28515625" style="548" customWidth="1"/>
    <col min="14868" max="14871" width="11.42578125" style="548" customWidth="1"/>
    <col min="14872" max="14872" width="13" style="548" customWidth="1"/>
    <col min="14873" max="14873" width="12.42578125" style="548" customWidth="1"/>
    <col min="14874" max="14874" width="15.5703125" style="548" customWidth="1"/>
    <col min="14875" max="15109" width="11.42578125" style="548"/>
    <col min="15110" max="15110" width="5.28515625" style="548" customWidth="1"/>
    <col min="15111" max="15111" width="13.85546875" style="548" customWidth="1"/>
    <col min="15112" max="15112" width="11.7109375" style="548" customWidth="1"/>
    <col min="15113" max="15113" width="18.5703125" style="548" bestFit="1" customWidth="1"/>
    <col min="15114" max="15114" width="13.28515625" style="548" bestFit="1" customWidth="1"/>
    <col min="15115" max="15116" width="11.42578125" style="548" customWidth="1"/>
    <col min="15117" max="15117" width="12.28515625" style="548" customWidth="1"/>
    <col min="15118" max="15120" width="14.85546875" style="548" customWidth="1"/>
    <col min="15121" max="15121" width="11.42578125" style="548" customWidth="1"/>
    <col min="15122" max="15122" width="12.42578125" style="548" customWidth="1"/>
    <col min="15123" max="15123" width="15.28515625" style="548" customWidth="1"/>
    <col min="15124" max="15127" width="11.42578125" style="548" customWidth="1"/>
    <col min="15128" max="15128" width="13" style="548" customWidth="1"/>
    <col min="15129" max="15129" width="12.42578125" style="548" customWidth="1"/>
    <col min="15130" max="15130" width="15.5703125" style="548" customWidth="1"/>
    <col min="15131" max="15365" width="11.42578125" style="548"/>
    <col min="15366" max="15366" width="5.28515625" style="548" customWidth="1"/>
    <col min="15367" max="15367" width="13.85546875" style="548" customWidth="1"/>
    <col min="15368" max="15368" width="11.7109375" style="548" customWidth="1"/>
    <col min="15369" max="15369" width="18.5703125" style="548" bestFit="1" customWidth="1"/>
    <col min="15370" max="15370" width="13.28515625" style="548" bestFit="1" customWidth="1"/>
    <col min="15371" max="15372" width="11.42578125" style="548" customWidth="1"/>
    <col min="15373" max="15373" width="12.28515625" style="548" customWidth="1"/>
    <col min="15374" max="15376" width="14.85546875" style="548" customWidth="1"/>
    <col min="15377" max="15377" width="11.42578125" style="548" customWidth="1"/>
    <col min="15378" max="15378" width="12.42578125" style="548" customWidth="1"/>
    <col min="15379" max="15379" width="15.28515625" style="548" customWidth="1"/>
    <col min="15380" max="15383" width="11.42578125" style="548" customWidth="1"/>
    <col min="15384" max="15384" width="13" style="548" customWidth="1"/>
    <col min="15385" max="15385" width="12.42578125" style="548" customWidth="1"/>
    <col min="15386" max="15386" width="15.5703125" style="548" customWidth="1"/>
    <col min="15387" max="15621" width="11.42578125" style="548"/>
    <col min="15622" max="15622" width="5.28515625" style="548" customWidth="1"/>
    <col min="15623" max="15623" width="13.85546875" style="548" customWidth="1"/>
    <col min="15624" max="15624" width="11.7109375" style="548" customWidth="1"/>
    <col min="15625" max="15625" width="18.5703125" style="548" bestFit="1" customWidth="1"/>
    <col min="15626" max="15626" width="13.28515625" style="548" bestFit="1" customWidth="1"/>
    <col min="15627" max="15628" width="11.42578125" style="548" customWidth="1"/>
    <col min="15629" max="15629" width="12.28515625" style="548" customWidth="1"/>
    <col min="15630" max="15632" width="14.85546875" style="548" customWidth="1"/>
    <col min="15633" max="15633" width="11.42578125" style="548" customWidth="1"/>
    <col min="15634" max="15634" width="12.42578125" style="548" customWidth="1"/>
    <col min="15635" max="15635" width="15.28515625" style="548" customWidth="1"/>
    <col min="15636" max="15639" width="11.42578125" style="548" customWidth="1"/>
    <col min="15640" max="15640" width="13" style="548" customWidth="1"/>
    <col min="15641" max="15641" width="12.42578125" style="548" customWidth="1"/>
    <col min="15642" max="15642" width="15.5703125" style="548" customWidth="1"/>
    <col min="15643" max="15877" width="11.42578125" style="548"/>
    <col min="15878" max="15878" width="5.28515625" style="548" customWidth="1"/>
    <col min="15879" max="15879" width="13.85546875" style="548" customWidth="1"/>
    <col min="15880" max="15880" width="11.7109375" style="548" customWidth="1"/>
    <col min="15881" max="15881" width="18.5703125" style="548" bestFit="1" customWidth="1"/>
    <col min="15882" max="15882" width="13.28515625" style="548" bestFit="1" customWidth="1"/>
    <col min="15883" max="15884" width="11.42578125" style="548" customWidth="1"/>
    <col min="15885" max="15885" width="12.28515625" style="548" customWidth="1"/>
    <col min="15886" max="15888" width="14.85546875" style="548" customWidth="1"/>
    <col min="15889" max="15889" width="11.42578125" style="548" customWidth="1"/>
    <col min="15890" max="15890" width="12.42578125" style="548" customWidth="1"/>
    <col min="15891" max="15891" width="15.28515625" style="548" customWidth="1"/>
    <col min="15892" max="15895" width="11.42578125" style="548" customWidth="1"/>
    <col min="15896" max="15896" width="13" style="548" customWidth="1"/>
    <col min="15897" max="15897" width="12.42578125" style="548" customWidth="1"/>
    <col min="15898" max="15898" width="15.5703125" style="548" customWidth="1"/>
    <col min="15899" max="16133" width="11.42578125" style="548"/>
    <col min="16134" max="16134" width="5.28515625" style="548" customWidth="1"/>
    <col min="16135" max="16135" width="13.85546875" style="548" customWidth="1"/>
    <col min="16136" max="16136" width="11.7109375" style="548" customWidth="1"/>
    <col min="16137" max="16137" width="18.5703125" style="548" bestFit="1" customWidth="1"/>
    <col min="16138" max="16138" width="13.28515625" style="548" bestFit="1" customWidth="1"/>
    <col min="16139" max="16140" width="11.42578125" style="548" customWidth="1"/>
    <col min="16141" max="16141" width="12.28515625" style="548" customWidth="1"/>
    <col min="16142" max="16144" width="14.85546875" style="548" customWidth="1"/>
    <col min="16145" max="16145" width="11.42578125" style="548" customWidth="1"/>
    <col min="16146" max="16146" width="12.42578125" style="548" customWidth="1"/>
    <col min="16147" max="16147" width="15.28515625" style="548" customWidth="1"/>
    <col min="16148" max="16151" width="11.42578125" style="548" customWidth="1"/>
    <col min="16152" max="16152" width="13" style="548" customWidth="1"/>
    <col min="16153" max="16153" width="12.42578125" style="548" customWidth="1"/>
    <col min="16154" max="16154" width="15.5703125" style="548" customWidth="1"/>
    <col min="16155" max="16384" width="11.42578125" style="548"/>
  </cols>
  <sheetData>
    <row r="3" spans="3:47" x14ac:dyDescent="0.2">
      <c r="M3" s="549"/>
      <c r="N3" s="549"/>
      <c r="O3" s="549"/>
      <c r="P3" s="549"/>
      <c r="Q3" s="549"/>
      <c r="R3" s="549"/>
      <c r="S3" s="549"/>
      <c r="T3" s="549"/>
      <c r="U3" s="549"/>
      <c r="V3" s="549"/>
      <c r="W3" s="549"/>
      <c r="X3" s="549"/>
      <c r="Y3" s="549"/>
      <c r="Z3" s="549"/>
      <c r="AA3" s="549"/>
      <c r="AB3" s="549"/>
      <c r="AC3" s="549"/>
      <c r="AD3" s="549"/>
      <c r="AE3" s="549"/>
      <c r="AF3" s="549"/>
      <c r="AG3" s="549"/>
      <c r="AH3" s="549"/>
      <c r="AI3" s="549"/>
      <c r="AJ3" s="549"/>
      <c r="AK3" s="549"/>
      <c r="AL3" s="549"/>
      <c r="AM3" s="549"/>
      <c r="AN3" s="549"/>
      <c r="AO3" s="549"/>
      <c r="AP3" s="549"/>
      <c r="AQ3" s="549"/>
      <c r="AR3" s="549"/>
      <c r="AS3" s="549"/>
    </row>
    <row r="4" spans="3:47" ht="13.5" thickBot="1" x14ac:dyDescent="0.25">
      <c r="M4" s="549"/>
      <c r="N4" s="549"/>
      <c r="O4" s="549"/>
      <c r="P4" s="549"/>
      <c r="Q4" s="549"/>
      <c r="R4" s="549"/>
      <c r="S4" s="549"/>
      <c r="T4" s="549"/>
      <c r="U4" s="549"/>
      <c r="V4" s="549"/>
      <c r="W4" s="549"/>
      <c r="X4" s="549"/>
      <c r="Y4" s="549"/>
      <c r="Z4" s="549"/>
      <c r="AA4" s="549"/>
      <c r="AB4" s="549"/>
      <c r="AC4" s="549"/>
      <c r="AD4" s="549"/>
      <c r="AE4" s="549"/>
      <c r="AF4" s="549"/>
      <c r="AG4" s="549"/>
      <c r="AH4" s="549"/>
      <c r="AI4" s="549"/>
      <c r="AJ4" s="549"/>
      <c r="AK4" s="549"/>
      <c r="AL4" s="549"/>
      <c r="AM4" s="549"/>
      <c r="AN4" s="549"/>
      <c r="AO4" s="549"/>
      <c r="AP4" s="549"/>
      <c r="AQ4" s="549"/>
      <c r="AR4" s="549"/>
      <c r="AS4" s="549"/>
    </row>
    <row r="5" spans="3:47" ht="24.75" customHeight="1" thickBot="1" x14ac:dyDescent="0.35">
      <c r="C5" s="550" t="s">
        <v>460</v>
      </c>
      <c r="D5" s="551"/>
      <c r="E5" s="551"/>
      <c r="F5" s="551"/>
      <c r="G5" s="551"/>
      <c r="H5" s="551"/>
      <c r="I5" s="551"/>
      <c r="J5" s="551"/>
      <c r="K5" s="551"/>
      <c r="L5" s="552"/>
      <c r="N5" s="549"/>
      <c r="O5" s="549"/>
      <c r="P5" s="553" t="s">
        <v>47</v>
      </c>
      <c r="Q5" s="553"/>
      <c r="R5" s="553"/>
      <c r="S5" s="553"/>
      <c r="T5" s="553"/>
      <c r="U5" s="553"/>
      <c r="V5" s="553"/>
      <c r="W5" s="553"/>
      <c r="X5" s="553"/>
      <c r="Y5" s="553"/>
      <c r="Z5" s="553"/>
      <c r="AA5" s="549"/>
      <c r="AB5" s="549"/>
      <c r="AC5" s="553" t="s">
        <v>127</v>
      </c>
      <c r="AD5" s="553"/>
      <c r="AE5" s="553"/>
      <c r="AF5" s="553"/>
      <c r="AG5" s="553"/>
      <c r="AH5" s="553"/>
      <c r="AI5" s="553"/>
      <c r="AJ5" s="553"/>
      <c r="AK5" s="553"/>
      <c r="AL5" s="549"/>
      <c r="AM5" s="549"/>
      <c r="AN5" s="549"/>
      <c r="AO5" s="549"/>
      <c r="AP5" s="549"/>
      <c r="AQ5" s="549"/>
      <c r="AR5" s="549"/>
      <c r="AS5" s="549"/>
    </row>
    <row r="6" spans="3:47" ht="12.75" customHeight="1" x14ac:dyDescent="0.3">
      <c r="C6" s="554"/>
      <c r="D6" s="555"/>
      <c r="E6" s="555"/>
      <c r="F6" s="555"/>
      <c r="G6" s="555"/>
      <c r="H6" s="555"/>
      <c r="I6" s="555"/>
      <c r="J6" s="555"/>
      <c r="K6" s="556" t="s">
        <v>113</v>
      </c>
      <c r="L6" s="557" t="s">
        <v>461</v>
      </c>
      <c r="N6" s="549"/>
      <c r="O6" s="549"/>
      <c r="P6" s="558"/>
      <c r="Q6" s="558"/>
      <c r="R6" s="558"/>
      <c r="S6" s="558"/>
      <c r="T6" s="558"/>
      <c r="U6" s="558"/>
      <c r="V6" s="558"/>
      <c r="W6" s="558"/>
      <c r="X6" s="558"/>
      <c r="Y6" s="558"/>
      <c r="Z6" s="558"/>
      <c r="AA6" s="549"/>
      <c r="AB6" s="549"/>
      <c r="AC6" s="558"/>
      <c r="AD6" s="558"/>
      <c r="AE6" s="558"/>
      <c r="AF6" s="558"/>
      <c r="AG6" s="558"/>
      <c r="AH6" s="558"/>
      <c r="AI6" s="558"/>
      <c r="AJ6" s="558"/>
      <c r="AK6" s="558"/>
      <c r="AL6" s="549"/>
      <c r="AM6" s="549"/>
      <c r="AN6" s="549"/>
      <c r="AO6" s="549"/>
      <c r="AP6" s="549"/>
      <c r="AQ6" s="549"/>
      <c r="AR6" s="549"/>
      <c r="AS6" s="549"/>
    </row>
    <row r="7" spans="3:47" x14ac:dyDescent="0.2">
      <c r="C7" s="559"/>
      <c r="D7" s="560"/>
      <c r="E7" s="560"/>
      <c r="F7" s="560"/>
      <c r="G7" s="560"/>
      <c r="H7" s="561"/>
      <c r="K7" s="562">
        <v>44317</v>
      </c>
      <c r="L7" s="563"/>
      <c r="N7" s="564"/>
      <c r="O7" s="564"/>
      <c r="P7" s="565" t="s">
        <v>48</v>
      </c>
      <c r="Q7" s="566" t="s">
        <v>49</v>
      </c>
      <c r="R7" s="566" t="s">
        <v>50</v>
      </c>
      <c r="S7" s="566" t="s">
        <v>51</v>
      </c>
      <c r="T7" s="566" t="s">
        <v>52</v>
      </c>
      <c r="U7" s="566" t="s">
        <v>53</v>
      </c>
      <c r="V7" s="566" t="s">
        <v>54</v>
      </c>
      <c r="W7" s="566" t="s">
        <v>55</v>
      </c>
      <c r="X7" s="566" t="s">
        <v>56</v>
      </c>
      <c r="Y7" s="566" t="s">
        <v>57</v>
      </c>
      <c r="Z7" s="566" t="s">
        <v>58</v>
      </c>
      <c r="AA7" s="567"/>
      <c r="AB7" s="549"/>
      <c r="AC7" s="565" t="s">
        <v>74</v>
      </c>
      <c r="AD7" s="565" t="s">
        <v>116</v>
      </c>
      <c r="AE7" s="565">
        <v>1</v>
      </c>
      <c r="AF7" s="565">
        <v>2</v>
      </c>
      <c r="AG7" s="565">
        <v>3</v>
      </c>
      <c r="AH7" s="565">
        <v>4</v>
      </c>
      <c r="AI7" s="565">
        <v>5</v>
      </c>
      <c r="AJ7" s="565">
        <v>6</v>
      </c>
      <c r="AK7" s="565">
        <v>7</v>
      </c>
      <c r="AL7" s="565">
        <v>8</v>
      </c>
      <c r="AM7" s="549"/>
      <c r="AN7" s="549"/>
      <c r="AO7" s="549"/>
      <c r="AP7" s="549"/>
      <c r="AQ7" s="549"/>
      <c r="AR7" s="549"/>
      <c r="AS7" s="549"/>
    </row>
    <row r="8" spans="3:47" x14ac:dyDescent="0.2">
      <c r="C8" s="568" t="s">
        <v>59</v>
      </c>
      <c r="D8" s="556" t="s">
        <v>462</v>
      </c>
      <c r="E8" s="548" t="s">
        <v>463</v>
      </c>
      <c r="L8" s="569"/>
      <c r="M8" s="548">
        <v>-3</v>
      </c>
      <c r="N8" s="570">
        <f t="shared" ref="N8:N67" si="0">$G$72+M8*$G$73</f>
        <v>189.94987066106597</v>
      </c>
      <c r="O8" s="571">
        <f t="shared" ref="O8:O68" si="1">NORMDIST(N8,$G$72,$G$73,0)</f>
        <v>1.0439228363279524E-4</v>
      </c>
      <c r="P8" s="571">
        <f>IF(ISNUMBER(D9),NORMDIST(D9,$D$108,$D$109,0),"")</f>
        <v>4.5812730206689399E-3</v>
      </c>
      <c r="Q8" s="566">
        <f>IF(ISNUMBER(D9),RANK(D9,D$9:D$107,1),"")</f>
        <v>36</v>
      </c>
      <c r="R8" s="572">
        <f>IF(ISNUMBER(D9),Q8/(MAX($Q$8:$Q$106)+1),"")</f>
        <v>0.87804878048780488</v>
      </c>
      <c r="S8" s="572">
        <f t="shared" ref="S8:S71" si="2">IF(ISNUMBER(D9),NORMSINV(R8),"")</f>
        <v>1.1652879896966826</v>
      </c>
      <c r="T8" s="572">
        <f>IF(ISNUMBER(D9),((D9-AVERAGE($D$9:$D$107))/STDEV($D$9:$D$107)),"")</f>
        <v>1.1986855889313586</v>
      </c>
      <c r="U8" s="572">
        <f t="shared" ref="U8:U71" si="3">IF(ISNUMBER(D9),NORMSDIST(T8),"")</f>
        <v>0.88467488815154793</v>
      </c>
      <c r="V8" s="572">
        <f>IF(ISNUMBER(D9),Q8/COUNT($D$9:$D$107)-U8,"")</f>
        <v>1.5325111848452089E-2</v>
      </c>
      <c r="W8" s="572">
        <f>IF(ISNUMBER(D9),U8-(Q8-1)/COUNT($D$9:$D$107),"")</f>
        <v>9.6748881515479335E-3</v>
      </c>
      <c r="X8" s="572">
        <f>MAX(V8:V106)</f>
        <v>7.9247875902622056E-2</v>
      </c>
      <c r="Y8" s="572">
        <f>MAX(W8:W106)</f>
        <v>7.1546424987826734E-2</v>
      </c>
      <c r="Z8" s="572">
        <f>MAX(X8:Y8)</f>
        <v>7.9247875902622056E-2</v>
      </c>
      <c r="AA8" s="567"/>
      <c r="AB8" s="573">
        <v>1</v>
      </c>
      <c r="AC8" s="574">
        <f>IF(ISNUMBER(D9),SMALL($D$9:$D$107,C9),"")</f>
        <v>186.7</v>
      </c>
      <c r="AD8" s="574">
        <f>IF(ISNUMBER(AC8),LARGE(AC$8:AC$106,AB8),"")</f>
        <v>407.65</v>
      </c>
      <c r="AE8" s="565">
        <f>IF(AC8&lt;=AO$11,1,"")</f>
        <v>1</v>
      </c>
      <c r="AF8" s="565" t="str">
        <f t="shared" ref="AF8:AF69" si="4">IF(AC8&lt;=AO$12,IF(AC8&gt;AN$12,1,""),"")</f>
        <v/>
      </c>
      <c r="AG8" s="565" t="str">
        <f t="shared" ref="AG8:AG69" si="5">IF(AC8&lt;=AO$13,IF(AC8&gt;AN$13,1,""),"")</f>
        <v/>
      </c>
      <c r="AH8" s="565" t="str">
        <f t="shared" ref="AH8:AH69" si="6">IF(AC8&lt;=AO$14,IF(AC8&gt;AN$14,1,""),"")</f>
        <v/>
      </c>
      <c r="AI8" s="565" t="str">
        <f t="shared" ref="AI8:AI69" si="7">IF(AC8&lt;=AO$15,IF(AC8&gt;AN$15,1,""),"")</f>
        <v/>
      </c>
      <c r="AJ8" s="565" t="str">
        <f t="shared" ref="AJ8:AJ71" si="8">IF(AC8&lt;=AO$16,IF(AC8&gt;AN$16,1,""),"")</f>
        <v/>
      </c>
      <c r="AK8" s="565" t="str">
        <f>IF(AC8&lt;=AO$17,IF(AC8&gt;AN$17,1,""),"")</f>
        <v/>
      </c>
      <c r="AL8" s="549" t="str">
        <f>IF(AC8&lt;=AO$18,IF(AC8&gt;AN$18,1,""),"")</f>
        <v/>
      </c>
      <c r="AM8" s="575"/>
      <c r="AN8" s="575"/>
      <c r="AO8" s="575"/>
      <c r="AP8" s="575"/>
      <c r="AQ8" s="575"/>
      <c r="AR8" s="575"/>
      <c r="AS8" s="575"/>
      <c r="AT8" s="576"/>
      <c r="AU8" s="576"/>
    </row>
    <row r="9" spans="3:47" x14ac:dyDescent="0.2">
      <c r="C9" s="568">
        <v>1</v>
      </c>
      <c r="D9" s="577">
        <v>368.2</v>
      </c>
      <c r="E9" s="548" t="s">
        <v>464</v>
      </c>
      <c r="H9" s="578"/>
      <c r="I9" s="578"/>
      <c r="L9" s="579"/>
      <c r="M9" s="548">
        <v>-2.9</v>
      </c>
      <c r="N9" s="570">
        <f t="shared" si="0"/>
        <v>194.19524997236377</v>
      </c>
      <c r="O9" s="571">
        <f t="shared" si="1"/>
        <v>1.4021202779066128E-4</v>
      </c>
      <c r="P9" s="571">
        <f t="shared" ref="P9:P72" si="9">IF(ISNUMBER(D10),NORMDIST(D10,$D$108,$D$109,0),"")</f>
        <v>7.3861748123890455E-3</v>
      </c>
      <c r="Q9" s="566">
        <f t="shared" ref="Q9:Q72" si="10">IF(ISNUMBER(D10),RANK(D10,D$9:D$107,1),"")</f>
        <v>9</v>
      </c>
      <c r="R9" s="572">
        <f t="shared" ref="R9:R72" si="11">IF(ISNUMBER(D10),Q9/(MAX($Q$8:$Q$106)+1),"")</f>
        <v>0.21951219512195122</v>
      </c>
      <c r="S9" s="572">
        <f t="shared" si="2"/>
        <v>-0.77384173233725317</v>
      </c>
      <c r="T9" s="572">
        <f t="shared" ref="T9:T72" si="12">IF(ISNUMBER(D10),((D10-AVERAGE($D$9:$D$107))/STDEV($D$9:$D$107)),"")</f>
        <v>-0.69396037055152293</v>
      </c>
      <c r="U9" s="572">
        <f t="shared" si="3"/>
        <v>0.24385353094058865</v>
      </c>
      <c r="V9" s="572">
        <f t="shared" ref="V9:V72" si="13">IF(ISNUMBER(D10),Q9/COUNT($D$9:$D$107)-U9,"")</f>
        <v>-1.8853530940588642E-2</v>
      </c>
      <c r="W9" s="572">
        <f t="shared" ref="W9:W72" si="14">IF(ISNUMBER(D10),U9-(Q9-1)/COUNT($D$9:$D$107),"")</f>
        <v>4.3853530940588636E-2</v>
      </c>
      <c r="X9" s="549"/>
      <c r="Y9" s="549"/>
      <c r="Z9" s="549"/>
      <c r="AA9" s="567"/>
      <c r="AB9" s="573">
        <v>2</v>
      </c>
      <c r="AC9" s="574">
        <f t="shared" ref="AC9:AC72" si="15">IF(ISNUMBER(D10),SMALL($D$9:$D$107,C10),"")</f>
        <v>256.95</v>
      </c>
      <c r="AD9" s="574">
        <f t="shared" ref="AD9:AD72" si="16">IF(ISNUMBER(AC9),LARGE(AC$8:AC$106,AB9),"")</f>
        <v>402.7</v>
      </c>
      <c r="AE9" s="565" t="str">
        <f t="shared" ref="AE9:AE72" si="17">IF(AC9&lt;=AO$11,1,"")</f>
        <v/>
      </c>
      <c r="AF9" s="565">
        <f t="shared" si="4"/>
        <v>1</v>
      </c>
      <c r="AG9" s="565" t="str">
        <f t="shared" si="5"/>
        <v/>
      </c>
      <c r="AH9" s="565" t="str">
        <f t="shared" si="6"/>
        <v/>
      </c>
      <c r="AI9" s="565" t="str">
        <f t="shared" si="7"/>
        <v/>
      </c>
      <c r="AJ9" s="565" t="str">
        <f t="shared" si="8"/>
        <v/>
      </c>
      <c r="AK9" s="565" t="str">
        <f t="shared" ref="AK9:AK72" si="18">IF(AC9&lt;=AO$17,IF(AC9&gt;AN$17,1,""),"")</f>
        <v/>
      </c>
      <c r="AL9" s="549" t="str">
        <f t="shared" ref="AL9:AL72" si="19">IF(AC9&lt;=AO$18,IF(AC9&gt;AN$18,1,""),"")</f>
        <v/>
      </c>
      <c r="AM9" s="580" t="s">
        <v>79</v>
      </c>
      <c r="AN9" s="580"/>
      <c r="AO9" s="580"/>
      <c r="AP9" s="580"/>
      <c r="AQ9" s="580"/>
      <c r="AR9" s="580" t="s">
        <v>80</v>
      </c>
      <c r="AS9" s="580"/>
      <c r="AT9" s="576"/>
      <c r="AU9" s="576"/>
    </row>
    <row r="10" spans="3:47" x14ac:dyDescent="0.2">
      <c r="C10" s="568">
        <v>2</v>
      </c>
      <c r="D10" s="577">
        <v>287.85000000000002</v>
      </c>
      <c r="E10" s="548" t="s">
        <v>465</v>
      </c>
      <c r="H10" s="581"/>
      <c r="I10" s="578"/>
      <c r="L10" s="579"/>
      <c r="M10" s="548">
        <v>-2.8</v>
      </c>
      <c r="N10" s="570">
        <f t="shared" si="0"/>
        <v>198.44062928366156</v>
      </c>
      <c r="O10" s="571">
        <f t="shared" si="1"/>
        <v>1.8644863044193431E-4</v>
      </c>
      <c r="P10" s="571">
        <f t="shared" si="9"/>
        <v>5.6113658490085849E-3</v>
      </c>
      <c r="Q10" s="566">
        <f t="shared" si="10"/>
        <v>5</v>
      </c>
      <c r="R10" s="572">
        <f t="shared" si="11"/>
        <v>0.12195121951219512</v>
      </c>
      <c r="S10" s="572">
        <f t="shared" si="2"/>
        <v>-1.1652879896966826</v>
      </c>
      <c r="T10" s="572">
        <f t="shared" si="12"/>
        <v>-1.0154864109614969</v>
      </c>
      <c r="U10" s="572">
        <f t="shared" si="3"/>
        <v>0.15493701048402517</v>
      </c>
      <c r="V10" s="572">
        <f t="shared" si="13"/>
        <v>-2.9937010484025167E-2</v>
      </c>
      <c r="W10" s="572">
        <f t="shared" si="14"/>
        <v>5.4937010484025162E-2</v>
      </c>
      <c r="X10" s="549"/>
      <c r="Y10" s="549"/>
      <c r="Z10" s="549"/>
      <c r="AA10" s="567"/>
      <c r="AB10" s="573">
        <v>3</v>
      </c>
      <c r="AC10" s="574">
        <f t="shared" si="15"/>
        <v>265.05</v>
      </c>
      <c r="AD10" s="574">
        <f t="shared" si="16"/>
        <v>399.65</v>
      </c>
      <c r="AE10" s="565" t="str">
        <f>IF(AC10&lt;=AO$11,1,"")</f>
        <v/>
      </c>
      <c r="AF10" s="565" t="str">
        <f t="shared" si="4"/>
        <v/>
      </c>
      <c r="AG10" s="565">
        <f t="shared" si="5"/>
        <v>1</v>
      </c>
      <c r="AH10" s="565" t="str">
        <f t="shared" si="6"/>
        <v/>
      </c>
      <c r="AI10" s="565" t="str">
        <f t="shared" si="7"/>
        <v/>
      </c>
      <c r="AJ10" s="565" t="str">
        <f t="shared" si="8"/>
        <v/>
      </c>
      <c r="AK10" s="565" t="str">
        <f t="shared" si="18"/>
        <v/>
      </c>
      <c r="AL10" s="549" t="str">
        <f t="shared" si="19"/>
        <v/>
      </c>
      <c r="AM10" s="582" t="s">
        <v>81</v>
      </c>
      <c r="AN10" s="583" t="s">
        <v>82</v>
      </c>
      <c r="AO10" s="583"/>
      <c r="AP10" s="582" t="s">
        <v>59</v>
      </c>
      <c r="AQ10" s="582" t="s">
        <v>83</v>
      </c>
      <c r="AR10" s="582" t="s">
        <v>84</v>
      </c>
      <c r="AS10" s="582" t="s">
        <v>85</v>
      </c>
      <c r="AT10" s="584" t="s">
        <v>86</v>
      </c>
      <c r="AU10" s="576"/>
    </row>
    <row r="11" spans="3:47" x14ac:dyDescent="0.2">
      <c r="C11" s="568">
        <v>3</v>
      </c>
      <c r="D11" s="577">
        <v>274.2</v>
      </c>
      <c r="E11" s="585" t="s">
        <v>466</v>
      </c>
      <c r="F11" s="578"/>
      <c r="G11" s="578"/>
      <c r="H11" s="578"/>
      <c r="I11" s="578"/>
      <c r="L11" s="579"/>
      <c r="M11" s="548">
        <v>-2.7</v>
      </c>
      <c r="N11" s="570">
        <f t="shared" si="0"/>
        <v>202.68600859495933</v>
      </c>
      <c r="O11" s="571">
        <f t="shared" si="1"/>
        <v>2.4546534126386298E-4</v>
      </c>
      <c r="P11" s="571">
        <f t="shared" si="9"/>
        <v>4.4048301261692541E-3</v>
      </c>
      <c r="Q11" s="566">
        <f t="shared" si="10"/>
        <v>3</v>
      </c>
      <c r="R11" s="572">
        <f t="shared" si="11"/>
        <v>7.3170731707317069E-2</v>
      </c>
      <c r="S11" s="572">
        <f t="shared" si="2"/>
        <v>-1.4525761808120043</v>
      </c>
      <c r="T11" s="572">
        <f t="shared" si="12"/>
        <v>-1.231014855631918</v>
      </c>
      <c r="U11" s="572">
        <f t="shared" si="3"/>
        <v>0.10915865408676231</v>
      </c>
      <c r="V11" s="572">
        <f t="shared" si="13"/>
        <v>-3.4158654086762316E-2</v>
      </c>
      <c r="W11" s="572">
        <f t="shared" si="14"/>
        <v>5.9158654086762311E-2</v>
      </c>
      <c r="X11" s="549"/>
      <c r="Y11" s="549"/>
      <c r="Z11" s="549"/>
      <c r="AA11" s="567"/>
      <c r="AB11" s="573">
        <v>4</v>
      </c>
      <c r="AC11" s="574">
        <f t="shared" si="15"/>
        <v>267.35000000000002</v>
      </c>
      <c r="AD11" s="574">
        <f t="shared" si="16"/>
        <v>371.3</v>
      </c>
      <c r="AE11" s="565" t="str">
        <f t="shared" si="17"/>
        <v/>
      </c>
      <c r="AF11" s="565" t="str">
        <f t="shared" si="4"/>
        <v/>
      </c>
      <c r="AG11" s="565">
        <f t="shared" si="5"/>
        <v>1</v>
      </c>
      <c r="AH11" s="565" t="str">
        <f t="shared" si="6"/>
        <v/>
      </c>
      <c r="AI11" s="565" t="str">
        <f t="shared" si="7"/>
        <v/>
      </c>
      <c r="AJ11" s="565" t="str">
        <f t="shared" si="8"/>
        <v/>
      </c>
      <c r="AK11" s="565" t="str">
        <f t="shared" si="18"/>
        <v/>
      </c>
      <c r="AL11" s="549" t="str">
        <f t="shared" si="19"/>
        <v/>
      </c>
      <c r="AM11" s="586">
        <v>1</v>
      </c>
      <c r="AN11" s="587">
        <f>AD114</f>
        <v>186.7</v>
      </c>
      <c r="AO11" s="587">
        <f t="shared" ref="AO11:AO18" si="20">AN11+$AD$118</f>
        <v>223.52499999999998</v>
      </c>
      <c r="AP11" s="586">
        <f>SUM(AE8:AE106)</f>
        <v>1</v>
      </c>
      <c r="AQ11" s="588">
        <f t="shared" ref="AQ11:AQ18" si="21">AP11/$AP$19</f>
        <v>2.5000000000000001E-2</v>
      </c>
      <c r="AR11" s="587">
        <f t="shared" ref="AR11:AR17" si="22">AVERAGE(AN11:AO11)</f>
        <v>205.11249999999998</v>
      </c>
      <c r="AS11" s="587">
        <f t="shared" ref="AS11:AS16" si="23">AR11*AP11</f>
        <v>205.11249999999998</v>
      </c>
      <c r="AT11" s="589">
        <f>AQ11</f>
        <v>2.5000000000000001E-2</v>
      </c>
      <c r="AU11" s="576"/>
    </row>
    <row r="12" spans="3:47" x14ac:dyDescent="0.2">
      <c r="C12" s="568">
        <v>4</v>
      </c>
      <c r="D12" s="577">
        <v>265.05</v>
      </c>
      <c r="E12" s="590" t="s">
        <v>467</v>
      </c>
      <c r="F12" s="591"/>
      <c r="G12" s="591"/>
      <c r="H12" s="591"/>
      <c r="I12" s="591"/>
      <c r="J12" s="591" t="s">
        <v>130</v>
      </c>
      <c r="K12" s="591"/>
      <c r="L12" s="592"/>
      <c r="M12" s="548">
        <v>-2.6</v>
      </c>
      <c r="N12" s="570">
        <f t="shared" si="0"/>
        <v>206.93138790625716</v>
      </c>
      <c r="O12" s="571">
        <f t="shared" si="1"/>
        <v>3.199471292833277E-4</v>
      </c>
      <c r="P12" s="571">
        <f t="shared" si="9"/>
        <v>9.2614797669071207E-3</v>
      </c>
      <c r="Q12" s="566">
        <f t="shared" si="10"/>
        <v>24</v>
      </c>
      <c r="R12" s="572">
        <f t="shared" si="11"/>
        <v>0.58536585365853655</v>
      </c>
      <c r="S12" s="572">
        <f t="shared" si="2"/>
        <v>0.21564010401258171</v>
      </c>
      <c r="T12" s="572">
        <f t="shared" si="12"/>
        <v>0.17050891025770873</v>
      </c>
      <c r="U12" s="572">
        <f t="shared" si="3"/>
        <v>0.56769503620035167</v>
      </c>
      <c r="V12" s="572">
        <f t="shared" si="13"/>
        <v>3.2304963799648312E-2</v>
      </c>
      <c r="W12" s="572">
        <f t="shared" si="14"/>
        <v>-7.3049637996482897E-3</v>
      </c>
      <c r="X12" s="549"/>
      <c r="Y12" s="549"/>
      <c r="Z12" s="549"/>
      <c r="AA12" s="567"/>
      <c r="AB12" s="573">
        <v>5</v>
      </c>
      <c r="AC12" s="574">
        <f t="shared" si="15"/>
        <v>274.2</v>
      </c>
      <c r="AD12" s="574">
        <f t="shared" si="16"/>
        <v>368.2</v>
      </c>
      <c r="AE12" s="565" t="str">
        <f t="shared" si="17"/>
        <v/>
      </c>
      <c r="AF12" s="565" t="str">
        <f t="shared" si="4"/>
        <v/>
      </c>
      <c r="AG12" s="565">
        <f t="shared" si="5"/>
        <v>1</v>
      </c>
      <c r="AH12" s="565" t="str">
        <f t="shared" si="6"/>
        <v/>
      </c>
      <c r="AI12" s="565" t="str">
        <f t="shared" si="7"/>
        <v/>
      </c>
      <c r="AJ12" s="565" t="str">
        <f t="shared" si="8"/>
        <v/>
      </c>
      <c r="AK12" s="565" t="str">
        <f t="shared" si="18"/>
        <v/>
      </c>
      <c r="AL12" s="549" t="str">
        <f t="shared" si="19"/>
        <v/>
      </c>
      <c r="AM12" s="586">
        <v>2</v>
      </c>
      <c r="AN12" s="587">
        <f>AO11</f>
        <v>223.52499999999998</v>
      </c>
      <c r="AO12" s="587">
        <f t="shared" si="20"/>
        <v>260.34999999999997</v>
      </c>
      <c r="AP12" s="586">
        <f>SUM(AF8:AF106)</f>
        <v>1</v>
      </c>
      <c r="AQ12" s="588">
        <f t="shared" si="21"/>
        <v>2.5000000000000001E-2</v>
      </c>
      <c r="AR12" s="587">
        <f t="shared" si="22"/>
        <v>241.93749999999997</v>
      </c>
      <c r="AS12" s="587">
        <f t="shared" si="23"/>
        <v>241.93749999999997</v>
      </c>
      <c r="AT12" s="589">
        <f t="shared" ref="AT12:AT18" si="24">AT11+AQ12</f>
        <v>0.05</v>
      </c>
      <c r="AU12" s="576"/>
    </row>
    <row r="13" spans="3:47" x14ac:dyDescent="0.2">
      <c r="C13" s="568">
        <v>5</v>
      </c>
      <c r="D13" s="577">
        <v>324.55</v>
      </c>
      <c r="F13" s="593" t="s">
        <v>114</v>
      </c>
      <c r="G13" s="593" t="s">
        <v>67</v>
      </c>
      <c r="H13" s="593" t="s">
        <v>66</v>
      </c>
      <c r="I13" s="593" t="s">
        <v>68</v>
      </c>
      <c r="K13" s="594" t="s">
        <v>468</v>
      </c>
      <c r="L13" s="595"/>
      <c r="M13" s="548">
        <v>-2.5</v>
      </c>
      <c r="N13" s="570">
        <f t="shared" si="0"/>
        <v>211.17676721755495</v>
      </c>
      <c r="O13" s="571">
        <f t="shared" si="1"/>
        <v>4.1287949104859128E-4</v>
      </c>
      <c r="P13" s="571">
        <f t="shared" si="9"/>
        <v>9.0579238130122468E-3</v>
      </c>
      <c r="Q13" s="566">
        <f t="shared" si="10"/>
        <v>16</v>
      </c>
      <c r="R13" s="572">
        <f t="shared" si="11"/>
        <v>0.3902439024390244</v>
      </c>
      <c r="S13" s="572">
        <f t="shared" si="2"/>
        <v>-0.27868339741721943</v>
      </c>
      <c r="T13" s="572">
        <f t="shared" si="12"/>
        <v>-0.27114773865708958</v>
      </c>
      <c r="U13" s="572">
        <f t="shared" si="3"/>
        <v>0.39313870309237642</v>
      </c>
      <c r="V13" s="572">
        <f t="shared" si="13"/>
        <v>6.8612969076236041E-3</v>
      </c>
      <c r="W13" s="572">
        <f t="shared" si="14"/>
        <v>1.8138703092376418E-2</v>
      </c>
      <c r="X13" s="566" t="s">
        <v>60</v>
      </c>
      <c r="Y13" s="566" t="s">
        <v>61</v>
      </c>
      <c r="Z13" s="566" t="s">
        <v>62</v>
      </c>
      <c r="AA13" s="567"/>
      <c r="AB13" s="573">
        <v>6</v>
      </c>
      <c r="AC13" s="574">
        <f t="shared" si="15"/>
        <v>275.64999999999998</v>
      </c>
      <c r="AD13" s="574">
        <f t="shared" si="16"/>
        <v>360.7</v>
      </c>
      <c r="AE13" s="565" t="str">
        <f t="shared" si="17"/>
        <v/>
      </c>
      <c r="AF13" s="565" t="str">
        <f t="shared" si="4"/>
        <v/>
      </c>
      <c r="AG13" s="565">
        <f t="shared" si="5"/>
        <v>1</v>
      </c>
      <c r="AH13" s="565" t="str">
        <f t="shared" si="6"/>
        <v/>
      </c>
      <c r="AI13" s="565" t="str">
        <f t="shared" si="7"/>
        <v/>
      </c>
      <c r="AJ13" s="565" t="str">
        <f t="shared" si="8"/>
        <v/>
      </c>
      <c r="AK13" s="565" t="str">
        <f t="shared" si="18"/>
        <v/>
      </c>
      <c r="AL13" s="549" t="str">
        <f t="shared" si="19"/>
        <v/>
      </c>
      <c r="AM13" s="586">
        <v>3</v>
      </c>
      <c r="AN13" s="587">
        <f>AO12</f>
        <v>260.34999999999997</v>
      </c>
      <c r="AO13" s="587">
        <f t="shared" si="20"/>
        <v>297.17499999999995</v>
      </c>
      <c r="AP13" s="586">
        <f>SUM(AG8:AG106)</f>
        <v>9</v>
      </c>
      <c r="AQ13" s="588">
        <f t="shared" si="21"/>
        <v>0.22500000000000001</v>
      </c>
      <c r="AR13" s="587">
        <f t="shared" si="22"/>
        <v>278.76249999999993</v>
      </c>
      <c r="AS13" s="587">
        <f t="shared" si="23"/>
        <v>2508.8624999999993</v>
      </c>
      <c r="AT13" s="589">
        <f t="shared" si="24"/>
        <v>0.27500000000000002</v>
      </c>
      <c r="AU13" s="576"/>
    </row>
    <row r="14" spans="3:47" x14ac:dyDescent="0.2">
      <c r="C14" s="568">
        <v>6</v>
      </c>
      <c r="D14" s="577">
        <v>305.8</v>
      </c>
      <c r="F14" s="596">
        <v>0.05</v>
      </c>
      <c r="G14" s="597">
        <v>0.89500000000000002</v>
      </c>
      <c r="H14" s="598">
        <f>Z8*(SQRT(COUNT(D9:D107))-0.01+0.85/SQRT(COUNT(D9:D107)))</f>
        <v>0.51106575737855231</v>
      </c>
      <c r="I14" s="597" t="str">
        <f>IF(H14&lt;=G14,"yes","no")</f>
        <v>yes</v>
      </c>
      <c r="K14" s="599">
        <f>Z8</f>
        <v>7.9247875902622056E-2</v>
      </c>
      <c r="L14" s="595"/>
      <c r="M14" s="548">
        <v>-2.4</v>
      </c>
      <c r="N14" s="570">
        <f t="shared" si="0"/>
        <v>215.42214652885275</v>
      </c>
      <c r="O14" s="571">
        <f t="shared" si="1"/>
        <v>5.2750363754886594E-4</v>
      </c>
      <c r="P14" s="571">
        <f t="shared" si="9"/>
        <v>1.243175021752171E-3</v>
      </c>
      <c r="Q14" s="566">
        <f t="shared" si="10"/>
        <v>39</v>
      </c>
      <c r="R14" s="572">
        <f t="shared" si="11"/>
        <v>0.95121951219512191</v>
      </c>
      <c r="S14" s="572">
        <f t="shared" si="2"/>
        <v>1.6567947658159803</v>
      </c>
      <c r="T14" s="572">
        <f t="shared" si="12"/>
        <v>2.0113338229345876</v>
      </c>
      <c r="U14" s="572">
        <f t="shared" si="3"/>
        <v>0.97785489589532404</v>
      </c>
      <c r="V14" s="572">
        <f t="shared" si="13"/>
        <v>-2.8548958953240611E-3</v>
      </c>
      <c r="W14" s="572">
        <f t="shared" si="14"/>
        <v>2.7854895895324083E-2</v>
      </c>
      <c r="X14" s="566" t="str">
        <f>IF(COUNT(D9:D107)=5,1.672,IF(COUNT(D9:D107)=6,1.822,IF(COUNT(D9:D107)=7,1.938,IF(COUNT(D9:D107)=8,2.032,IF(COUNT(D9:D107)=9,2.11,IF(COUNT(D9:D107)=10,2.178,IF(COUNT(D9:D107)=11,2.285,"")))))))</f>
        <v/>
      </c>
      <c r="Y14" s="566" t="str">
        <f>IF(COUNT(D9:D107)=5,"1.749",IF(COUNT(D9:D107)=6,"1.94",IF(COUNT(D9:D107)=7,"2.097",IF(COUNT(D9:D107)=8,"2.221",IF(COUNT(D9:D107)=9,"2.323",IF(COUNT(D9:D107)=10,"2.41",IF(COUNT(D9:D107)=11,"2.55","")))))))</f>
        <v/>
      </c>
      <c r="Z14" s="600" t="s">
        <v>63</v>
      </c>
      <c r="AA14" s="567"/>
      <c r="AB14" s="573">
        <v>7</v>
      </c>
      <c r="AC14" s="574">
        <f t="shared" si="15"/>
        <v>284.75</v>
      </c>
      <c r="AD14" s="574">
        <f t="shared" si="16"/>
        <v>351.8</v>
      </c>
      <c r="AE14" s="565" t="str">
        <f t="shared" si="17"/>
        <v/>
      </c>
      <c r="AF14" s="565" t="str">
        <f t="shared" si="4"/>
        <v/>
      </c>
      <c r="AG14" s="565">
        <f t="shared" si="5"/>
        <v>1</v>
      </c>
      <c r="AH14" s="565" t="str">
        <f t="shared" si="6"/>
        <v/>
      </c>
      <c r="AI14" s="565" t="str">
        <f t="shared" si="7"/>
        <v/>
      </c>
      <c r="AJ14" s="565" t="str">
        <f t="shared" si="8"/>
        <v/>
      </c>
      <c r="AK14" s="565" t="str">
        <f t="shared" si="18"/>
        <v/>
      </c>
      <c r="AL14" s="549" t="str">
        <f t="shared" si="19"/>
        <v/>
      </c>
      <c r="AM14" s="586">
        <v>4</v>
      </c>
      <c r="AN14" s="587">
        <f t="shared" ref="AN14:AN17" si="25">AO13</f>
        <v>297.17499999999995</v>
      </c>
      <c r="AO14" s="587">
        <f t="shared" si="20"/>
        <v>333.99999999999994</v>
      </c>
      <c r="AP14" s="586">
        <f>SUM(AH8:AH106)</f>
        <v>15</v>
      </c>
      <c r="AQ14" s="588">
        <f t="shared" si="21"/>
        <v>0.375</v>
      </c>
      <c r="AR14" s="587">
        <f t="shared" si="22"/>
        <v>315.58749999999998</v>
      </c>
      <c r="AS14" s="587">
        <f t="shared" si="23"/>
        <v>4733.8125</v>
      </c>
      <c r="AT14" s="589">
        <f t="shared" si="24"/>
        <v>0.65</v>
      </c>
      <c r="AU14" s="576"/>
    </row>
    <row r="15" spans="3:47" x14ac:dyDescent="0.2">
      <c r="C15" s="568">
        <v>7</v>
      </c>
      <c r="D15" s="577">
        <v>402.7</v>
      </c>
      <c r="F15" s="596">
        <v>0.01</v>
      </c>
      <c r="G15" s="597">
        <v>1.0349999999999999</v>
      </c>
      <c r="H15" s="598"/>
      <c r="I15" s="597" t="str">
        <f>IF(H14&lt;=G15,"yes","no")</f>
        <v>yes</v>
      </c>
      <c r="L15" s="595"/>
      <c r="M15" s="548">
        <v>-2.2999999999999998</v>
      </c>
      <c r="N15" s="570">
        <f t="shared" si="0"/>
        <v>219.66752584015057</v>
      </c>
      <c r="O15" s="571">
        <f t="shared" si="1"/>
        <v>6.6724397667405899E-4</v>
      </c>
      <c r="P15" s="571">
        <f t="shared" si="9"/>
        <v>8.5926152577149896E-3</v>
      </c>
      <c r="Q15" s="566">
        <f t="shared" si="10"/>
        <v>13</v>
      </c>
      <c r="R15" s="572">
        <f t="shared" si="11"/>
        <v>0.31707317073170732</v>
      </c>
      <c r="S15" s="572">
        <f t="shared" si="2"/>
        <v>-0.47589899043667888</v>
      </c>
      <c r="T15" s="572">
        <f t="shared" si="12"/>
        <v>-0.42307762588377995</v>
      </c>
      <c r="U15" s="572">
        <f t="shared" si="3"/>
        <v>0.33611931298704717</v>
      </c>
      <c r="V15" s="572">
        <f t="shared" si="13"/>
        <v>-1.1119312987047159E-2</v>
      </c>
      <c r="W15" s="572">
        <f t="shared" si="14"/>
        <v>3.6119312987047181E-2</v>
      </c>
      <c r="X15" s="566" t="str">
        <f>IF(COUNT(D9:D107)=12,2.285,IF(COUNT(D9:D107)=13,2.331,IF(COUNT(D9:D107)=14,2.409,IF(COUNT(D9:D107)=15,2.409,IF(COUNT(D9:D107)&lt;21,2.557,IF(COUNT(D9:D107)&lt;26,2.663,IF(COUNT(D9:D107)&lt;31,2.745,"")))))))</f>
        <v/>
      </c>
      <c r="Y15" s="566" t="str">
        <f>IF(COUNT(D9:D107)=12,2.55,IF(COUNT(D9:D107)=13,2.607,IF(COUNT(D9:D107)=14,2.705,IF(COUNT(D9:D107)=15,2.705,IF(COUNT(D9:D107)&lt;21,2.884,IF(COUNT(D9:D107)&lt;26,3.009,IF(COUNT(D9:D107)&lt;31,3.103,"")))))))</f>
        <v/>
      </c>
      <c r="Z15" s="600" t="s">
        <v>64</v>
      </c>
      <c r="AA15" s="567"/>
      <c r="AB15" s="573">
        <v>8</v>
      </c>
      <c r="AC15" s="574">
        <f t="shared" si="15"/>
        <v>287.10000000000002</v>
      </c>
      <c r="AD15" s="574">
        <f t="shared" si="16"/>
        <v>350.05</v>
      </c>
      <c r="AE15" s="565" t="str">
        <f t="shared" si="17"/>
        <v/>
      </c>
      <c r="AF15" s="565" t="str">
        <f t="shared" si="4"/>
        <v/>
      </c>
      <c r="AG15" s="565">
        <f t="shared" si="5"/>
        <v>1</v>
      </c>
      <c r="AH15" s="565" t="str">
        <f t="shared" si="6"/>
        <v/>
      </c>
      <c r="AI15" s="565" t="str">
        <f t="shared" si="7"/>
        <v/>
      </c>
      <c r="AJ15" s="565" t="str">
        <f t="shared" si="8"/>
        <v/>
      </c>
      <c r="AK15" s="565" t="str">
        <f t="shared" si="18"/>
        <v/>
      </c>
      <c r="AL15" s="549" t="str">
        <f t="shared" si="19"/>
        <v/>
      </c>
      <c r="AM15" s="586">
        <v>5</v>
      </c>
      <c r="AN15" s="587">
        <f t="shared" si="25"/>
        <v>333.99999999999994</v>
      </c>
      <c r="AO15" s="587">
        <f t="shared" si="20"/>
        <v>370.82499999999993</v>
      </c>
      <c r="AP15" s="586">
        <f>SUM(AI8:AI106)</f>
        <v>10</v>
      </c>
      <c r="AQ15" s="588">
        <f t="shared" si="21"/>
        <v>0.25</v>
      </c>
      <c r="AR15" s="587">
        <f t="shared" si="22"/>
        <v>352.41249999999991</v>
      </c>
      <c r="AS15" s="587">
        <f t="shared" si="23"/>
        <v>3524.1249999999991</v>
      </c>
      <c r="AT15" s="589">
        <f t="shared" si="24"/>
        <v>0.9</v>
      </c>
      <c r="AU15" s="576"/>
    </row>
    <row r="16" spans="3:47" x14ac:dyDescent="0.2">
      <c r="C16" s="568">
        <v>8</v>
      </c>
      <c r="D16" s="577">
        <v>299.35000000000002</v>
      </c>
      <c r="E16" s="601"/>
      <c r="F16" s="601"/>
      <c r="G16" s="601"/>
      <c r="H16" s="601"/>
      <c r="I16" s="601"/>
      <c r="J16" s="601"/>
      <c r="K16" s="601"/>
      <c r="L16" s="602"/>
      <c r="M16" s="548">
        <v>-2.2000000000000002</v>
      </c>
      <c r="N16" s="570">
        <f t="shared" si="0"/>
        <v>223.91290515144834</v>
      </c>
      <c r="O16" s="571">
        <f t="shared" si="1"/>
        <v>8.356047892311173E-4</v>
      </c>
      <c r="P16" s="571">
        <f t="shared" si="9"/>
        <v>4.7017100459919485E-3</v>
      </c>
      <c r="Q16" s="566">
        <f t="shared" si="10"/>
        <v>4</v>
      </c>
      <c r="R16" s="572">
        <f t="shared" si="11"/>
        <v>9.7560975609756101E-2</v>
      </c>
      <c r="S16" s="572">
        <f t="shared" si="2"/>
        <v>-1.2955749870976874</v>
      </c>
      <c r="T16" s="572">
        <f t="shared" si="12"/>
        <v>-1.176838306698369</v>
      </c>
      <c r="U16" s="572">
        <f t="shared" si="3"/>
        <v>0.11963002491600128</v>
      </c>
      <c r="V16" s="572">
        <f t="shared" si="13"/>
        <v>-1.9630024916001271E-2</v>
      </c>
      <c r="W16" s="572">
        <f t="shared" si="14"/>
        <v>4.4630024916001279E-2</v>
      </c>
      <c r="X16" s="566">
        <f>IF(COUNT(D9:D107)&lt;36,2.811,IF(COUNT(D9:D107)=41,2.866,IF(COUNT(D9:D107)&lt;51,2.956,IF(COUNT(D9:D107)&lt;61,3.025,""))))</f>
        <v>2.956</v>
      </c>
      <c r="Y16" s="566">
        <f>IF(COUNT(D9:D107)&lt;36,3.178,IF(COUNT(D9:D107)=41,3.24,IF(COUNT(D9:D107)&lt;51,3.336,IF(COUNT(D9:D107)&lt;61,3.411,""))))</f>
        <v>3.3359999999999999</v>
      </c>
      <c r="Z16" s="600" t="s">
        <v>65</v>
      </c>
      <c r="AA16" s="567"/>
      <c r="AB16" s="573">
        <v>9</v>
      </c>
      <c r="AC16" s="574">
        <f t="shared" si="15"/>
        <v>287.85000000000002</v>
      </c>
      <c r="AD16" s="574">
        <f t="shared" si="16"/>
        <v>342.15</v>
      </c>
      <c r="AE16" s="565" t="str">
        <f t="shared" si="17"/>
        <v/>
      </c>
      <c r="AF16" s="565" t="str">
        <f t="shared" si="4"/>
        <v/>
      </c>
      <c r="AG16" s="565">
        <f t="shared" si="5"/>
        <v>1</v>
      </c>
      <c r="AH16" s="565" t="str">
        <f t="shared" si="6"/>
        <v/>
      </c>
      <c r="AI16" s="565" t="str">
        <f t="shared" si="7"/>
        <v/>
      </c>
      <c r="AJ16" s="565" t="str">
        <f t="shared" si="8"/>
        <v/>
      </c>
      <c r="AK16" s="565" t="str">
        <f t="shared" si="18"/>
        <v/>
      </c>
      <c r="AL16" s="549" t="str">
        <f t="shared" si="19"/>
        <v/>
      </c>
      <c r="AM16" s="586">
        <v>6</v>
      </c>
      <c r="AN16" s="587">
        <f>AO15</f>
        <v>370.82499999999993</v>
      </c>
      <c r="AO16" s="587">
        <f t="shared" si="20"/>
        <v>407.64999999999992</v>
      </c>
      <c r="AP16" s="586">
        <f>SUM(AJ8:AJ106)</f>
        <v>4</v>
      </c>
      <c r="AQ16" s="588">
        <f t="shared" si="21"/>
        <v>0.1</v>
      </c>
      <c r="AR16" s="587">
        <f t="shared" si="22"/>
        <v>389.23749999999995</v>
      </c>
      <c r="AS16" s="587">
        <f t="shared" si="23"/>
        <v>1556.9499999999998</v>
      </c>
      <c r="AT16" s="589">
        <f t="shared" si="24"/>
        <v>1</v>
      </c>
      <c r="AU16" s="576"/>
    </row>
    <row r="17" spans="3:47" x14ac:dyDescent="0.2">
      <c r="C17" s="568">
        <v>9</v>
      </c>
      <c r="D17" s="577">
        <v>267.35000000000002</v>
      </c>
      <c r="E17" s="590" t="s">
        <v>469</v>
      </c>
      <c r="F17" s="591"/>
      <c r="G17" s="591"/>
      <c r="H17" s="591"/>
      <c r="I17" s="591"/>
      <c r="J17" s="591" t="s">
        <v>131</v>
      </c>
      <c r="K17" s="591"/>
      <c r="L17" s="603"/>
      <c r="M17" s="548">
        <v>-2.1</v>
      </c>
      <c r="N17" s="570">
        <f t="shared" si="0"/>
        <v>228.15828446274617</v>
      </c>
      <c r="O17" s="571">
        <f t="shared" si="1"/>
        <v>1.0360345390900206E-3</v>
      </c>
      <c r="P17" s="571">
        <f t="shared" si="9"/>
        <v>3.4199567112260802E-3</v>
      </c>
      <c r="Q17" s="566">
        <f t="shared" si="10"/>
        <v>2</v>
      </c>
      <c r="R17" s="572">
        <f t="shared" si="11"/>
        <v>4.878048780487805E-2</v>
      </c>
      <c r="S17" s="572">
        <f t="shared" si="2"/>
        <v>-1.6567947658159807</v>
      </c>
      <c r="T17" s="572">
        <f t="shared" si="12"/>
        <v>-1.4218105279631112</v>
      </c>
      <c r="U17" s="572">
        <f t="shared" si="3"/>
        <v>7.7540631236484026E-2</v>
      </c>
      <c r="V17" s="572">
        <f t="shared" si="13"/>
        <v>-2.7540631236484023E-2</v>
      </c>
      <c r="W17" s="572">
        <f t="shared" si="14"/>
        <v>5.2540631236484024E-2</v>
      </c>
      <c r="X17" s="567"/>
      <c r="Y17" s="567"/>
      <c r="Z17" s="567"/>
      <c r="AA17" s="567"/>
      <c r="AB17" s="573">
        <v>10</v>
      </c>
      <c r="AC17" s="574">
        <f t="shared" si="15"/>
        <v>288.95</v>
      </c>
      <c r="AD17" s="574">
        <f t="shared" si="16"/>
        <v>340.6</v>
      </c>
      <c r="AE17" s="565" t="str">
        <f t="shared" si="17"/>
        <v/>
      </c>
      <c r="AF17" s="565" t="str">
        <f t="shared" si="4"/>
        <v/>
      </c>
      <c r="AG17" s="565">
        <f t="shared" si="5"/>
        <v>1</v>
      </c>
      <c r="AH17" s="565" t="str">
        <f t="shared" si="6"/>
        <v/>
      </c>
      <c r="AI17" s="565" t="str">
        <f t="shared" si="7"/>
        <v/>
      </c>
      <c r="AJ17" s="565" t="str">
        <f t="shared" si="8"/>
        <v/>
      </c>
      <c r="AK17" s="565" t="str">
        <f t="shared" si="18"/>
        <v/>
      </c>
      <c r="AL17" s="549" t="str">
        <f t="shared" si="19"/>
        <v/>
      </c>
      <c r="AM17" s="586">
        <v>7</v>
      </c>
      <c r="AN17" s="587">
        <f t="shared" si="25"/>
        <v>407.64999999999992</v>
      </c>
      <c r="AO17" s="587">
        <f t="shared" si="20"/>
        <v>444.47499999999991</v>
      </c>
      <c r="AP17" s="586">
        <f>SUM(AK8:AK106)</f>
        <v>0</v>
      </c>
      <c r="AQ17" s="588">
        <f t="shared" si="21"/>
        <v>0</v>
      </c>
      <c r="AR17" s="587">
        <f t="shared" si="22"/>
        <v>426.06249999999989</v>
      </c>
      <c r="AS17" s="587">
        <f>AR17*AP17</f>
        <v>0</v>
      </c>
      <c r="AT17" s="589">
        <f t="shared" si="24"/>
        <v>1</v>
      </c>
      <c r="AU17" s="576"/>
    </row>
    <row r="18" spans="3:47" x14ac:dyDescent="0.2">
      <c r="C18" s="568">
        <v>10</v>
      </c>
      <c r="D18" s="577">
        <v>256.95</v>
      </c>
      <c r="F18" s="604" t="s">
        <v>462</v>
      </c>
      <c r="G18" s="605"/>
      <c r="H18" s="593" t="s">
        <v>115</v>
      </c>
      <c r="I18" s="606">
        <v>0.05</v>
      </c>
      <c r="J18" s="606">
        <v>0.01</v>
      </c>
      <c r="K18" s="593" t="s">
        <v>470</v>
      </c>
      <c r="L18" s="579"/>
      <c r="M18" s="549">
        <v>-2</v>
      </c>
      <c r="N18" s="570">
        <f t="shared" si="0"/>
        <v>232.40366377404393</v>
      </c>
      <c r="O18" s="571">
        <f t="shared" si="1"/>
        <v>1.2717583649005711E-3</v>
      </c>
      <c r="P18" s="571">
        <f t="shared" si="9"/>
        <v>1.4327387136698045E-3</v>
      </c>
      <c r="Q18" s="566">
        <f t="shared" si="10"/>
        <v>38</v>
      </c>
      <c r="R18" s="572">
        <f t="shared" si="11"/>
        <v>0.92682926829268297</v>
      </c>
      <c r="S18" s="572">
        <f t="shared" si="2"/>
        <v>1.4525761808120046</v>
      </c>
      <c r="T18" s="572">
        <f t="shared" si="12"/>
        <v>1.9394910080444467</v>
      </c>
      <c r="U18" s="572">
        <f t="shared" si="3"/>
        <v>0.97377921080335561</v>
      </c>
      <c r="V18" s="572">
        <f t="shared" si="13"/>
        <v>-2.3779210803355655E-2</v>
      </c>
      <c r="W18" s="572">
        <f t="shared" si="14"/>
        <v>4.8779210803355566E-2</v>
      </c>
      <c r="X18" s="607" t="s">
        <v>70</v>
      </c>
      <c r="Y18" s="607"/>
      <c r="Z18" s="567"/>
      <c r="AA18" s="567"/>
      <c r="AB18" s="573">
        <v>11</v>
      </c>
      <c r="AC18" s="574">
        <f t="shared" si="15"/>
        <v>294.8</v>
      </c>
      <c r="AD18" s="574">
        <f t="shared" si="16"/>
        <v>338.55</v>
      </c>
      <c r="AE18" s="565" t="str">
        <f t="shared" si="17"/>
        <v/>
      </c>
      <c r="AF18" s="565" t="str">
        <f t="shared" si="4"/>
        <v/>
      </c>
      <c r="AG18" s="565">
        <f t="shared" si="5"/>
        <v>1</v>
      </c>
      <c r="AH18" s="565" t="str">
        <f t="shared" si="6"/>
        <v/>
      </c>
      <c r="AI18" s="565" t="str">
        <f t="shared" si="7"/>
        <v/>
      </c>
      <c r="AJ18" s="565" t="str">
        <f t="shared" si="8"/>
        <v/>
      </c>
      <c r="AK18" s="565" t="str">
        <f t="shared" si="18"/>
        <v/>
      </c>
      <c r="AL18" s="549" t="str">
        <f t="shared" si="19"/>
        <v/>
      </c>
      <c r="AM18" s="586">
        <v>8</v>
      </c>
      <c r="AN18" s="587">
        <f>AO17</f>
        <v>444.47499999999991</v>
      </c>
      <c r="AO18" s="565">
        <f t="shared" si="20"/>
        <v>481.2999999999999</v>
      </c>
      <c r="AP18" s="586">
        <f>SUM(AL9:AL107)</f>
        <v>0</v>
      </c>
      <c r="AQ18" s="588">
        <f t="shared" si="21"/>
        <v>0</v>
      </c>
      <c r="AR18" s="574">
        <f>AVERAGE(AN18:AO18)</f>
        <v>462.88749999999993</v>
      </c>
      <c r="AS18" s="587">
        <f>AR18*AP18</f>
        <v>0</v>
      </c>
      <c r="AT18" s="589">
        <f t="shared" si="24"/>
        <v>1</v>
      </c>
      <c r="AU18" s="576"/>
    </row>
    <row r="19" spans="3:47" x14ac:dyDescent="0.2">
      <c r="C19" s="568">
        <v>11</v>
      </c>
      <c r="D19" s="577">
        <v>399.65</v>
      </c>
      <c r="F19" s="597" t="s">
        <v>471</v>
      </c>
      <c r="G19" s="608">
        <f>MAX(D9:D107)</f>
        <v>407.65</v>
      </c>
      <c r="H19" s="609">
        <f>((MAX(D9:D107)-AVERAGE(D9:D107))/STDEV(D9:D107))</f>
        <v>2.1279311782480939</v>
      </c>
      <c r="I19" s="610">
        <f>(G76-1)/SQRT(G76)*SQRT((TINV(2*I18/(G76),G76-2)^2)/(G76-2+(TINV(2*I18/(G76),G76-2)^2)))</f>
        <v>2.8675424870552617</v>
      </c>
      <c r="J19" s="610">
        <f>(G76-1)/SQRT(G76)*SQRT((TINV(2*J18/(G76),G76-2)^2)/(G76-2+(TINV(2*J18/(G76),G76-2)^2)))</f>
        <v>3.239481918929676</v>
      </c>
      <c r="K19" s="597" t="str">
        <f>IF(H19&gt;I19,"yes","no")</f>
        <v>no</v>
      </c>
      <c r="L19" s="579"/>
      <c r="M19" s="549">
        <v>-1.9</v>
      </c>
      <c r="N19" s="570">
        <f t="shared" si="0"/>
        <v>236.64904308534176</v>
      </c>
      <c r="O19" s="571">
        <f t="shared" si="1"/>
        <v>1.5455819130238823E-3</v>
      </c>
      <c r="P19" s="571">
        <f t="shared" si="9"/>
        <v>8.8091229368007905E-3</v>
      </c>
      <c r="Q19" s="566">
        <f t="shared" si="10"/>
        <v>15</v>
      </c>
      <c r="R19" s="572">
        <f t="shared" si="11"/>
        <v>0.36585365853658536</v>
      </c>
      <c r="S19" s="572">
        <f t="shared" si="2"/>
        <v>-0.34285530539032705</v>
      </c>
      <c r="T19" s="572">
        <f t="shared" si="12"/>
        <v>-0.35947906844004929</v>
      </c>
      <c r="U19" s="572">
        <f t="shared" si="3"/>
        <v>0.35961836687351972</v>
      </c>
      <c r="V19" s="572">
        <f t="shared" si="13"/>
        <v>1.5381633126480276E-2</v>
      </c>
      <c r="W19" s="572">
        <f t="shared" si="14"/>
        <v>9.6183668735197458E-3</v>
      </c>
      <c r="X19" s="565" t="s">
        <v>72</v>
      </c>
      <c r="Y19" s="565" t="s">
        <v>61</v>
      </c>
      <c r="Z19" s="567"/>
      <c r="AA19" s="567"/>
      <c r="AB19" s="573">
        <v>12</v>
      </c>
      <c r="AC19" s="574">
        <f t="shared" si="15"/>
        <v>297.55</v>
      </c>
      <c r="AD19" s="574">
        <f t="shared" si="16"/>
        <v>337.05</v>
      </c>
      <c r="AE19" s="565" t="str">
        <f t="shared" si="17"/>
        <v/>
      </c>
      <c r="AF19" s="565" t="str">
        <f t="shared" si="4"/>
        <v/>
      </c>
      <c r="AG19" s="565" t="str">
        <f t="shared" si="5"/>
        <v/>
      </c>
      <c r="AH19" s="565">
        <f t="shared" si="6"/>
        <v>1</v>
      </c>
      <c r="AI19" s="565" t="str">
        <f t="shared" si="7"/>
        <v/>
      </c>
      <c r="AJ19" s="565" t="str">
        <f t="shared" si="8"/>
        <v/>
      </c>
      <c r="AK19" s="565" t="str">
        <f t="shared" si="18"/>
        <v/>
      </c>
      <c r="AL19" s="549" t="str">
        <f t="shared" si="19"/>
        <v/>
      </c>
      <c r="AM19" s="575"/>
      <c r="AN19" s="575"/>
      <c r="AO19" s="586" t="s">
        <v>75</v>
      </c>
      <c r="AP19" s="586">
        <f>SUM(AP11:AP18)</f>
        <v>40</v>
      </c>
      <c r="AQ19" s="575"/>
      <c r="AR19" s="586" t="s">
        <v>87</v>
      </c>
      <c r="AS19" s="587">
        <f>SUM(AS11:AS18)/SUM(AP11:AP18)</f>
        <v>319.27</v>
      </c>
      <c r="AT19" s="576"/>
      <c r="AU19" s="576"/>
    </row>
    <row r="20" spans="3:47" x14ac:dyDescent="0.2">
      <c r="C20" s="568">
        <v>12</v>
      </c>
      <c r="D20" s="577">
        <v>302.05</v>
      </c>
      <c r="F20" s="597" t="s">
        <v>73</v>
      </c>
      <c r="G20" s="608">
        <f>MIN(D9:D107)</f>
        <v>186.7</v>
      </c>
      <c r="H20" s="609">
        <f>(ABS((MIN(D9:D107)-AVERAGE(D9:D107))/STDEV(D9:D107)))</f>
        <v>3.076550772563889</v>
      </c>
      <c r="I20" s="611"/>
      <c r="J20" s="611"/>
      <c r="K20" s="597" t="str">
        <f>IF(H20&gt;I19,"yes","no")</f>
        <v>yes</v>
      </c>
      <c r="L20" s="579"/>
      <c r="M20" s="549">
        <v>-1.8</v>
      </c>
      <c r="N20" s="570">
        <f t="shared" si="0"/>
        <v>240.89442239663953</v>
      </c>
      <c r="O20" s="571">
        <f t="shared" si="1"/>
        <v>1.8596726584781723E-3</v>
      </c>
      <c r="P20" s="571">
        <f t="shared" si="9"/>
        <v>8.4322717502396186E-3</v>
      </c>
      <c r="Q20" s="566">
        <f t="shared" si="10"/>
        <v>12</v>
      </c>
      <c r="R20" s="572">
        <f t="shared" si="11"/>
        <v>0.29268292682926828</v>
      </c>
      <c r="S20" s="572">
        <f t="shared" si="2"/>
        <v>-0.54556374182259537</v>
      </c>
      <c r="T20" s="572">
        <f t="shared" si="12"/>
        <v>-0.46547666417960087</v>
      </c>
      <c r="U20" s="572">
        <f t="shared" si="3"/>
        <v>0.32079507221365611</v>
      </c>
      <c r="V20" s="572">
        <f t="shared" si="13"/>
        <v>-2.0795072213656118E-2</v>
      </c>
      <c r="W20" s="572">
        <f t="shared" si="14"/>
        <v>4.5795072213656085E-2</v>
      </c>
      <c r="X20" s="565">
        <f>IF(COUNT(D9:D107)&lt;12,X14,IF(COUNT(D9:D107)&lt;31,X15,X16))</f>
        <v>2.956</v>
      </c>
      <c r="Y20" s="565">
        <f>IF(COUNT(D9:D107)&lt;12,Y14,IF(COUNT(D9:D107)&lt;31,Y15,Y16))</f>
        <v>3.3359999999999999</v>
      </c>
      <c r="Z20" s="567"/>
      <c r="AA20" s="567"/>
      <c r="AB20" s="573">
        <v>13</v>
      </c>
      <c r="AC20" s="574">
        <f t="shared" si="15"/>
        <v>299.35000000000002</v>
      </c>
      <c r="AD20" s="574">
        <f t="shared" si="16"/>
        <v>334.95</v>
      </c>
      <c r="AE20" s="565" t="str">
        <f t="shared" si="17"/>
        <v/>
      </c>
      <c r="AF20" s="565" t="str">
        <f t="shared" si="4"/>
        <v/>
      </c>
      <c r="AG20" s="565" t="str">
        <f t="shared" si="5"/>
        <v/>
      </c>
      <c r="AH20" s="565">
        <f t="shared" si="6"/>
        <v>1</v>
      </c>
      <c r="AI20" s="565" t="str">
        <f t="shared" si="7"/>
        <v/>
      </c>
      <c r="AJ20" s="565" t="str">
        <f t="shared" si="8"/>
        <v/>
      </c>
      <c r="AK20" s="565" t="str">
        <f t="shared" si="18"/>
        <v/>
      </c>
      <c r="AL20" s="549" t="str">
        <f t="shared" si="19"/>
        <v/>
      </c>
      <c r="AM20" s="612"/>
      <c r="AN20" s="549"/>
      <c r="AO20" s="549"/>
      <c r="AP20" s="549"/>
      <c r="AQ20" s="549"/>
      <c r="AR20" s="549"/>
      <c r="AS20" s="549"/>
      <c r="AU20" s="613"/>
    </row>
    <row r="21" spans="3:47" x14ac:dyDescent="0.2">
      <c r="C21" s="568">
        <v>13</v>
      </c>
      <c r="D21" s="577">
        <v>297.55</v>
      </c>
      <c r="F21" s="548" t="s">
        <v>472</v>
      </c>
      <c r="L21" s="579"/>
      <c r="M21" s="549">
        <v>-1.7</v>
      </c>
      <c r="N21" s="570">
        <f t="shared" si="0"/>
        <v>245.13980170793735</v>
      </c>
      <c r="O21" s="571">
        <f t="shared" si="1"/>
        <v>2.2153280185495715E-3</v>
      </c>
      <c r="P21" s="571">
        <f t="shared" si="9"/>
        <v>8.6011587234001343E-3</v>
      </c>
      <c r="Q21" s="566">
        <f t="shared" si="10"/>
        <v>14</v>
      </c>
      <c r="R21" s="572">
        <f t="shared" si="11"/>
        <v>0.34146341463414637</v>
      </c>
      <c r="S21" s="572">
        <f t="shared" si="2"/>
        <v>-0.40847248197412372</v>
      </c>
      <c r="T21" s="572">
        <f t="shared" si="12"/>
        <v>-0.42072212375623519</v>
      </c>
      <c r="U21" s="572">
        <f t="shared" si="3"/>
        <v>0.33697900201284026</v>
      </c>
      <c r="V21" s="572">
        <f t="shared" si="13"/>
        <v>1.3020997987159721E-2</v>
      </c>
      <c r="W21" s="572">
        <f t="shared" si="14"/>
        <v>1.1979002012840245E-2</v>
      </c>
      <c r="X21" s="567"/>
      <c r="Y21" s="567"/>
      <c r="Z21" s="567"/>
      <c r="AA21" s="567"/>
      <c r="AB21" s="573">
        <v>14</v>
      </c>
      <c r="AC21" s="574">
        <f t="shared" si="15"/>
        <v>299.45</v>
      </c>
      <c r="AD21" s="574">
        <f t="shared" si="16"/>
        <v>334.5</v>
      </c>
      <c r="AE21" s="565" t="str">
        <f t="shared" si="17"/>
        <v/>
      </c>
      <c r="AF21" s="565" t="str">
        <f t="shared" si="4"/>
        <v/>
      </c>
      <c r="AG21" s="565" t="str">
        <f t="shared" si="5"/>
        <v/>
      </c>
      <c r="AH21" s="565">
        <f t="shared" si="6"/>
        <v>1</v>
      </c>
      <c r="AI21" s="565" t="str">
        <f t="shared" si="7"/>
        <v/>
      </c>
      <c r="AJ21" s="565" t="str">
        <f t="shared" si="8"/>
        <v/>
      </c>
      <c r="AK21" s="565" t="str">
        <f t="shared" si="18"/>
        <v/>
      </c>
      <c r="AL21" s="549" t="str">
        <f t="shared" si="19"/>
        <v/>
      </c>
      <c r="AM21" s="612"/>
      <c r="AN21" s="614" t="s">
        <v>121</v>
      </c>
      <c r="AO21" s="614" t="s">
        <v>124</v>
      </c>
      <c r="AP21" s="615" t="s">
        <v>122</v>
      </c>
      <c r="AQ21" s="614" t="s">
        <v>123</v>
      </c>
      <c r="AR21" s="614" t="s">
        <v>109</v>
      </c>
      <c r="AS21" s="614" t="s">
        <v>110</v>
      </c>
      <c r="AT21" s="613"/>
      <c r="AU21" s="613"/>
    </row>
    <row r="22" spans="3:47" x14ac:dyDescent="0.2">
      <c r="C22" s="568">
        <v>14</v>
      </c>
      <c r="D22" s="577">
        <v>299.45</v>
      </c>
      <c r="L22" s="579"/>
      <c r="M22" s="549">
        <v>-1.6</v>
      </c>
      <c r="N22" s="570">
        <f t="shared" si="0"/>
        <v>249.38518101923512</v>
      </c>
      <c r="O22" s="571">
        <f t="shared" si="1"/>
        <v>2.6127426207659009E-3</v>
      </c>
      <c r="P22" s="571">
        <f t="shared" si="9"/>
        <v>8.4343510387520984E-3</v>
      </c>
      <c r="Q22" s="566">
        <f t="shared" si="10"/>
        <v>29</v>
      </c>
      <c r="R22" s="572">
        <f t="shared" si="11"/>
        <v>0.70731707317073167</v>
      </c>
      <c r="S22" s="572">
        <f t="shared" si="2"/>
        <v>0.54556374182259537</v>
      </c>
      <c r="T22" s="572">
        <f t="shared" si="12"/>
        <v>0.46494667620090757</v>
      </c>
      <c r="U22" s="572">
        <f t="shared" si="3"/>
        <v>0.67901517827648905</v>
      </c>
      <c r="V22" s="572">
        <f t="shared" si="13"/>
        <v>4.5984821723510927E-2</v>
      </c>
      <c r="W22" s="572">
        <f t="shared" si="14"/>
        <v>-2.0984821723510905E-2</v>
      </c>
      <c r="X22" s="567"/>
      <c r="Y22" s="567"/>
      <c r="Z22" s="567"/>
      <c r="AA22" s="567"/>
      <c r="AB22" s="573">
        <v>15</v>
      </c>
      <c r="AC22" s="574">
        <f t="shared" si="15"/>
        <v>302.05</v>
      </c>
      <c r="AD22" s="574">
        <f t="shared" si="16"/>
        <v>333.25</v>
      </c>
      <c r="AE22" s="565" t="str">
        <f t="shared" si="17"/>
        <v/>
      </c>
      <c r="AF22" s="565" t="str">
        <f t="shared" si="4"/>
        <v/>
      </c>
      <c r="AG22" s="565" t="str">
        <f t="shared" si="5"/>
        <v/>
      </c>
      <c r="AH22" s="565">
        <f t="shared" si="6"/>
        <v>1</v>
      </c>
      <c r="AI22" s="565" t="str">
        <f t="shared" si="7"/>
        <v/>
      </c>
      <c r="AJ22" s="565" t="str">
        <f t="shared" si="8"/>
        <v/>
      </c>
      <c r="AK22" s="565" t="str">
        <f t="shared" si="18"/>
        <v/>
      </c>
      <c r="AL22" s="549" t="str">
        <f t="shared" si="19"/>
        <v/>
      </c>
      <c r="AM22" s="612"/>
      <c r="AN22" s="614">
        <f t="shared" ref="AN22:AN28" si="26">AM11</f>
        <v>1</v>
      </c>
      <c r="AO22" s="614">
        <f t="shared" ref="AO22:AO29" si="27">AP11</f>
        <v>1</v>
      </c>
      <c r="AP22" s="615">
        <f>AP30/COUNT(AO22:AO28)</f>
        <v>5.7142857142857144</v>
      </c>
      <c r="AQ22" s="615">
        <f>AO22-AP22</f>
        <v>-4.7142857142857144</v>
      </c>
      <c r="AR22" s="615">
        <f>AQ22^2</f>
        <v>22.22448979591837</v>
      </c>
      <c r="AS22" s="615">
        <f>AR22/AP22</f>
        <v>3.8892857142857147</v>
      </c>
      <c r="AT22" s="613"/>
      <c r="AU22" s="613"/>
    </row>
    <row r="23" spans="3:47" ht="13.5" customHeight="1" x14ac:dyDescent="0.2">
      <c r="C23" s="568">
        <v>15</v>
      </c>
      <c r="D23" s="577">
        <v>337.05</v>
      </c>
      <c r="E23" s="616" t="s">
        <v>473</v>
      </c>
      <c r="F23" s="617"/>
      <c r="G23" s="617"/>
      <c r="H23" s="617"/>
      <c r="I23" s="618"/>
      <c r="J23" s="617" t="s">
        <v>132</v>
      </c>
      <c r="K23" s="617"/>
      <c r="L23" s="619"/>
      <c r="M23" s="549">
        <v>-1.5</v>
      </c>
      <c r="N23" s="570">
        <f t="shared" si="0"/>
        <v>253.63056033053294</v>
      </c>
      <c r="O23" s="571">
        <f t="shared" si="1"/>
        <v>3.0507897214559761E-3</v>
      </c>
      <c r="P23" s="571">
        <f t="shared" si="9"/>
        <v>4.1861531516351356E-3</v>
      </c>
      <c r="Q23" s="566">
        <f t="shared" si="10"/>
        <v>37</v>
      </c>
      <c r="R23" s="572">
        <f t="shared" si="11"/>
        <v>0.90243902439024393</v>
      </c>
      <c r="S23" s="572">
        <f t="shared" si="2"/>
        <v>1.2955749870976874</v>
      </c>
      <c r="T23" s="572">
        <f t="shared" si="12"/>
        <v>1.2717061548852726</v>
      </c>
      <c r="U23" s="572">
        <f t="shared" si="3"/>
        <v>0.89826122853251011</v>
      </c>
      <c r="V23" s="572">
        <f t="shared" si="13"/>
        <v>2.673877146748993E-2</v>
      </c>
      <c r="W23" s="572">
        <f t="shared" si="14"/>
        <v>-1.738771467489908E-3</v>
      </c>
      <c r="X23" s="567"/>
      <c r="Y23" s="567"/>
      <c r="Z23" s="567"/>
      <c r="AA23" s="567"/>
      <c r="AB23" s="573">
        <v>16</v>
      </c>
      <c r="AC23" s="574">
        <f t="shared" si="15"/>
        <v>305.8</v>
      </c>
      <c r="AD23" s="574">
        <f t="shared" si="16"/>
        <v>327.39999999999998</v>
      </c>
      <c r="AE23" s="565" t="str">
        <f t="shared" si="17"/>
        <v/>
      </c>
      <c r="AF23" s="565" t="str">
        <f t="shared" si="4"/>
        <v/>
      </c>
      <c r="AG23" s="565" t="str">
        <f t="shared" si="5"/>
        <v/>
      </c>
      <c r="AH23" s="565">
        <f t="shared" si="6"/>
        <v>1</v>
      </c>
      <c r="AI23" s="565" t="str">
        <f t="shared" si="7"/>
        <v/>
      </c>
      <c r="AJ23" s="565" t="str">
        <f t="shared" si="8"/>
        <v/>
      </c>
      <c r="AK23" s="565" t="str">
        <f t="shared" si="18"/>
        <v/>
      </c>
      <c r="AL23" s="549" t="str">
        <f t="shared" si="19"/>
        <v/>
      </c>
      <c r="AM23" s="612"/>
      <c r="AN23" s="614">
        <f t="shared" si="26"/>
        <v>2</v>
      </c>
      <c r="AO23" s="614">
        <f t="shared" si="27"/>
        <v>1</v>
      </c>
      <c r="AP23" s="615">
        <f>AP22</f>
        <v>5.7142857142857144</v>
      </c>
      <c r="AQ23" s="615">
        <f>AO23-AP23</f>
        <v>-4.7142857142857144</v>
      </c>
      <c r="AR23" s="615">
        <f>AQ23^2</f>
        <v>22.22448979591837</v>
      </c>
      <c r="AS23" s="615">
        <f>AR23/AP23</f>
        <v>3.8892857142857147</v>
      </c>
      <c r="AT23" s="613"/>
      <c r="AU23" s="620"/>
    </row>
    <row r="24" spans="3:47" x14ac:dyDescent="0.2">
      <c r="C24" s="568">
        <v>16</v>
      </c>
      <c r="D24" s="577">
        <v>371.3</v>
      </c>
      <c r="E24" s="585"/>
      <c r="F24" s="621" t="s">
        <v>474</v>
      </c>
      <c r="G24" s="621"/>
      <c r="H24" s="621"/>
      <c r="I24" s="622" t="s">
        <v>115</v>
      </c>
      <c r="J24" s="606">
        <v>0.05</v>
      </c>
      <c r="K24" s="606">
        <v>0.01</v>
      </c>
      <c r="L24" s="623" t="s">
        <v>470</v>
      </c>
      <c r="M24" s="549">
        <v>-1.4</v>
      </c>
      <c r="N24" s="570">
        <f t="shared" si="0"/>
        <v>257.87593964183077</v>
      </c>
      <c r="O24" s="571">
        <f t="shared" si="1"/>
        <v>3.5268336385700675E-3</v>
      </c>
      <c r="P24" s="571">
        <f t="shared" si="9"/>
        <v>9.2373603077496851E-3</v>
      </c>
      <c r="Q24" s="566">
        <f t="shared" si="10"/>
        <v>18</v>
      </c>
      <c r="R24" s="572">
        <f t="shared" si="11"/>
        <v>0.43902439024390244</v>
      </c>
      <c r="S24" s="572">
        <f t="shared" si="2"/>
        <v>-0.15344319882333432</v>
      </c>
      <c r="T24" s="572">
        <f t="shared" si="12"/>
        <v>-0.18517191100167607</v>
      </c>
      <c r="U24" s="572">
        <f t="shared" si="3"/>
        <v>0.42654709992642681</v>
      </c>
      <c r="V24" s="572">
        <f t="shared" si="13"/>
        <v>2.3452900073573202E-2</v>
      </c>
      <c r="W24" s="572">
        <f t="shared" si="14"/>
        <v>1.5470999264268204E-3</v>
      </c>
      <c r="X24" s="567"/>
      <c r="Y24" s="567"/>
      <c r="Z24" s="567"/>
      <c r="AA24" s="567"/>
      <c r="AB24" s="573">
        <v>17</v>
      </c>
      <c r="AC24" s="574">
        <f t="shared" si="15"/>
        <v>307.89999999999998</v>
      </c>
      <c r="AD24" s="574">
        <f t="shared" si="16"/>
        <v>324.55</v>
      </c>
      <c r="AE24" s="565" t="str">
        <f t="shared" si="17"/>
        <v/>
      </c>
      <c r="AF24" s="565" t="str">
        <f t="shared" si="4"/>
        <v/>
      </c>
      <c r="AG24" s="565" t="str">
        <f t="shared" si="5"/>
        <v/>
      </c>
      <c r="AH24" s="565">
        <f t="shared" si="6"/>
        <v>1</v>
      </c>
      <c r="AI24" s="565" t="str">
        <f t="shared" si="7"/>
        <v/>
      </c>
      <c r="AJ24" s="565" t="str">
        <f t="shared" si="8"/>
        <v/>
      </c>
      <c r="AK24" s="565" t="str">
        <f t="shared" si="18"/>
        <v/>
      </c>
      <c r="AL24" s="549" t="str">
        <f t="shared" si="19"/>
        <v/>
      </c>
      <c r="AM24" s="612"/>
      <c r="AN24" s="614">
        <f t="shared" si="26"/>
        <v>3</v>
      </c>
      <c r="AO24" s="614">
        <f t="shared" si="27"/>
        <v>9</v>
      </c>
      <c r="AP24" s="615">
        <f>AP23</f>
        <v>5.7142857142857144</v>
      </c>
      <c r="AQ24" s="615">
        <f t="shared" ref="AQ24:AQ27" si="28">AO24-AP24</f>
        <v>3.2857142857142856</v>
      </c>
      <c r="AR24" s="615">
        <f>AQ24^2</f>
        <v>10.795918367346937</v>
      </c>
      <c r="AS24" s="615">
        <f>AR24/AP24</f>
        <v>1.889285714285714</v>
      </c>
      <c r="AT24" s="613"/>
      <c r="AU24" s="613"/>
    </row>
    <row r="25" spans="3:47" x14ac:dyDescent="0.2">
      <c r="C25" s="568">
        <v>17</v>
      </c>
      <c r="D25" s="577">
        <v>309.45</v>
      </c>
      <c r="F25" s="597" t="s">
        <v>73</v>
      </c>
      <c r="G25" s="608">
        <f>AC8</f>
        <v>186.7</v>
      </c>
      <c r="H25" s="608">
        <f>AC9</f>
        <v>256.95</v>
      </c>
      <c r="I25" s="609">
        <f>AD111</f>
        <v>0.69181496081881211</v>
      </c>
      <c r="J25" s="624">
        <v>0.64449999999999996</v>
      </c>
      <c r="K25" s="625">
        <v>0.58620000000000005</v>
      </c>
      <c r="L25" s="626" t="str">
        <f>IF(I25&lt;=J25,"yes","no")</f>
        <v>no</v>
      </c>
      <c r="M25" s="549">
        <v>-1.3</v>
      </c>
      <c r="N25" s="570">
        <f t="shared" si="0"/>
        <v>262.12131895312854</v>
      </c>
      <c r="O25" s="571">
        <f t="shared" si="1"/>
        <v>4.0365908316310267E-3</v>
      </c>
      <c r="P25" s="571">
        <f t="shared" si="9"/>
        <v>9.135463487203753E-3</v>
      </c>
      <c r="Q25" s="566">
        <f t="shared" si="10"/>
        <v>25</v>
      </c>
      <c r="R25" s="572">
        <f t="shared" si="11"/>
        <v>0.6097560975609756</v>
      </c>
      <c r="S25" s="572">
        <f t="shared" si="2"/>
        <v>0.27868339741721943</v>
      </c>
      <c r="T25" s="572">
        <f t="shared" si="12"/>
        <v>0.23764072089275726</v>
      </c>
      <c r="U25" s="572">
        <f t="shared" si="3"/>
        <v>0.59392011780987986</v>
      </c>
      <c r="V25" s="572">
        <f t="shared" si="13"/>
        <v>3.1079882190120145E-2</v>
      </c>
      <c r="W25" s="572">
        <f t="shared" si="14"/>
        <v>-6.0798821901201228E-3</v>
      </c>
      <c r="X25" s="567"/>
      <c r="Y25" s="567"/>
      <c r="Z25" s="567"/>
      <c r="AA25" s="567"/>
      <c r="AB25" s="573">
        <v>18</v>
      </c>
      <c r="AC25" s="574">
        <f t="shared" si="15"/>
        <v>309.45</v>
      </c>
      <c r="AD25" s="574">
        <f t="shared" si="16"/>
        <v>324.05</v>
      </c>
      <c r="AE25" s="565" t="str">
        <f t="shared" si="17"/>
        <v/>
      </c>
      <c r="AF25" s="565" t="str">
        <f t="shared" si="4"/>
        <v/>
      </c>
      <c r="AG25" s="565" t="str">
        <f t="shared" si="5"/>
        <v/>
      </c>
      <c r="AH25" s="565">
        <f t="shared" si="6"/>
        <v>1</v>
      </c>
      <c r="AI25" s="565" t="str">
        <f t="shared" si="7"/>
        <v/>
      </c>
      <c r="AJ25" s="565" t="str">
        <f t="shared" si="8"/>
        <v/>
      </c>
      <c r="AK25" s="565" t="str">
        <f t="shared" si="18"/>
        <v/>
      </c>
      <c r="AL25" s="549" t="str">
        <f t="shared" si="19"/>
        <v/>
      </c>
      <c r="AM25" s="612"/>
      <c r="AN25" s="614">
        <f t="shared" si="26"/>
        <v>4</v>
      </c>
      <c r="AO25" s="614">
        <f t="shared" si="27"/>
        <v>15</v>
      </c>
      <c r="AP25" s="615">
        <f>AP24</f>
        <v>5.7142857142857144</v>
      </c>
      <c r="AQ25" s="615">
        <f t="shared" si="28"/>
        <v>9.2857142857142847</v>
      </c>
      <c r="AR25" s="615">
        <f t="shared" ref="AR25" si="29">AQ25^2</f>
        <v>86.224489795918345</v>
      </c>
      <c r="AS25" s="615">
        <f t="shared" ref="AS25" si="30">AR25/AP25</f>
        <v>15.08928571428571</v>
      </c>
      <c r="AT25" s="613"/>
      <c r="AU25" s="613"/>
    </row>
    <row r="26" spans="3:47" x14ac:dyDescent="0.2">
      <c r="C26" s="568">
        <v>18</v>
      </c>
      <c r="D26" s="577">
        <v>327.39999999999998</v>
      </c>
      <c r="F26" s="597" t="s">
        <v>71</v>
      </c>
      <c r="G26" s="608">
        <f>AD8</f>
        <v>407.65</v>
      </c>
      <c r="H26" s="608">
        <f>AD9</f>
        <v>402.7</v>
      </c>
      <c r="I26" s="609">
        <f>AE111</f>
        <v>0.7686041842629</v>
      </c>
      <c r="J26" s="627"/>
      <c r="K26" s="628"/>
      <c r="L26" s="626" t="str">
        <f>IF(I26&lt;=J25,"yes","no")</f>
        <v>no</v>
      </c>
      <c r="M26" s="549">
        <v>-1.2</v>
      </c>
      <c r="N26" s="570">
        <f t="shared" si="0"/>
        <v>266.36669826442636</v>
      </c>
      <c r="O26" s="571">
        <f t="shared" si="1"/>
        <v>4.5740566565264365E-3</v>
      </c>
      <c r="P26" s="571">
        <f t="shared" si="9"/>
        <v>8.7576165813111027E-3</v>
      </c>
      <c r="Q26" s="566">
        <f t="shared" si="10"/>
        <v>26</v>
      </c>
      <c r="R26" s="572">
        <f t="shared" si="11"/>
        <v>0.63414634146341464</v>
      </c>
      <c r="S26" s="572">
        <f t="shared" si="2"/>
        <v>0.34285530539032705</v>
      </c>
      <c r="T26" s="572">
        <f t="shared" si="12"/>
        <v>0.37543759535417487</v>
      </c>
      <c r="U26" s="572">
        <f t="shared" si="3"/>
        <v>0.64633247537856175</v>
      </c>
      <c r="V26" s="572">
        <f t="shared" si="13"/>
        <v>3.6675246214382673E-3</v>
      </c>
      <c r="W26" s="572">
        <f t="shared" si="14"/>
        <v>2.1332475378561755E-2</v>
      </c>
      <c r="X26" s="567"/>
      <c r="Y26" s="567"/>
      <c r="Z26" s="567"/>
      <c r="AA26" s="567"/>
      <c r="AB26" s="573">
        <v>19</v>
      </c>
      <c r="AC26" s="574">
        <f t="shared" si="15"/>
        <v>310.05</v>
      </c>
      <c r="AD26" s="574">
        <f t="shared" si="16"/>
        <v>319.2</v>
      </c>
      <c r="AE26" s="565" t="str">
        <f t="shared" si="17"/>
        <v/>
      </c>
      <c r="AF26" s="565" t="str">
        <f t="shared" si="4"/>
        <v/>
      </c>
      <c r="AG26" s="565" t="str">
        <f t="shared" si="5"/>
        <v/>
      </c>
      <c r="AH26" s="565">
        <f t="shared" si="6"/>
        <v>1</v>
      </c>
      <c r="AI26" s="565" t="str">
        <f t="shared" si="7"/>
        <v/>
      </c>
      <c r="AJ26" s="565" t="str">
        <f t="shared" si="8"/>
        <v/>
      </c>
      <c r="AK26" s="565" t="str">
        <f t="shared" si="18"/>
        <v/>
      </c>
      <c r="AL26" s="549" t="str">
        <f t="shared" si="19"/>
        <v/>
      </c>
      <c r="AM26" s="612"/>
      <c r="AN26" s="614">
        <f t="shared" si="26"/>
        <v>5</v>
      </c>
      <c r="AO26" s="614">
        <f t="shared" si="27"/>
        <v>10</v>
      </c>
      <c r="AP26" s="615">
        <f t="shared" ref="AP26:AP29" si="31">AP25</f>
        <v>5.7142857142857144</v>
      </c>
      <c r="AQ26" s="615">
        <f t="shared" si="28"/>
        <v>4.2857142857142856</v>
      </c>
      <c r="AR26" s="615">
        <f>AQ26^2</f>
        <v>18.367346938775508</v>
      </c>
      <c r="AS26" s="615">
        <f>AR26/AP26</f>
        <v>3.214285714285714</v>
      </c>
      <c r="AT26" s="576"/>
      <c r="AU26" s="613"/>
    </row>
    <row r="27" spans="3:47" x14ac:dyDescent="0.2">
      <c r="C27" s="568">
        <v>19</v>
      </c>
      <c r="D27" s="577">
        <v>333.25</v>
      </c>
      <c r="F27" s="548" t="s">
        <v>475</v>
      </c>
      <c r="L27" s="569"/>
      <c r="M27" s="549">
        <v>-1.1000000000000001</v>
      </c>
      <c r="N27" s="570">
        <f t="shared" si="0"/>
        <v>270.61207757572413</v>
      </c>
      <c r="O27" s="571">
        <f t="shared" si="1"/>
        <v>5.1315126649061149E-3</v>
      </c>
      <c r="P27" s="571">
        <f t="shared" si="9"/>
        <v>5.5741232928781899E-3</v>
      </c>
      <c r="Q27" s="566">
        <f t="shared" si="10"/>
        <v>35</v>
      </c>
      <c r="R27" s="572">
        <f t="shared" si="11"/>
        <v>0.85365853658536583</v>
      </c>
      <c r="S27" s="572">
        <f t="shared" si="2"/>
        <v>1.0522542255562288</v>
      </c>
      <c r="T27" s="572">
        <f t="shared" si="12"/>
        <v>1.0220229293654393</v>
      </c>
      <c r="U27" s="572">
        <f t="shared" si="3"/>
        <v>0.84661497592521018</v>
      </c>
      <c r="V27" s="572">
        <f t="shared" si="13"/>
        <v>2.8385024074789822E-2</v>
      </c>
      <c r="W27" s="572">
        <f t="shared" si="14"/>
        <v>-3.3850240747897997E-3</v>
      </c>
      <c r="X27" s="567"/>
      <c r="Y27" s="567"/>
      <c r="Z27" s="567"/>
      <c r="AA27" s="567"/>
      <c r="AB27" s="573">
        <v>20</v>
      </c>
      <c r="AC27" s="574">
        <f t="shared" si="15"/>
        <v>310.14999999999998</v>
      </c>
      <c r="AD27" s="574">
        <f t="shared" si="16"/>
        <v>313.05</v>
      </c>
      <c r="AE27" s="565" t="str">
        <f t="shared" si="17"/>
        <v/>
      </c>
      <c r="AF27" s="565" t="str">
        <f t="shared" si="4"/>
        <v/>
      </c>
      <c r="AG27" s="565" t="str">
        <f t="shared" si="5"/>
        <v/>
      </c>
      <c r="AH27" s="565">
        <f t="shared" si="6"/>
        <v>1</v>
      </c>
      <c r="AI27" s="565" t="str">
        <f t="shared" si="7"/>
        <v/>
      </c>
      <c r="AJ27" s="565" t="str">
        <f t="shared" si="8"/>
        <v/>
      </c>
      <c r="AK27" s="565" t="str">
        <f t="shared" si="18"/>
        <v/>
      </c>
      <c r="AL27" s="549" t="str">
        <f t="shared" si="19"/>
        <v/>
      </c>
      <c r="AM27" s="575"/>
      <c r="AN27" s="614">
        <f t="shared" si="26"/>
        <v>6</v>
      </c>
      <c r="AO27" s="614">
        <f t="shared" si="27"/>
        <v>4</v>
      </c>
      <c r="AP27" s="615">
        <f t="shared" si="31"/>
        <v>5.7142857142857144</v>
      </c>
      <c r="AQ27" s="615">
        <f t="shared" si="28"/>
        <v>-1.7142857142857144</v>
      </c>
      <c r="AR27" s="615">
        <f t="shared" ref="AR27" si="32">AQ27^2</f>
        <v>2.9387755102040822</v>
      </c>
      <c r="AS27" s="615">
        <f>AR27/AP27</f>
        <v>0.51428571428571435</v>
      </c>
      <c r="AT27" s="576"/>
      <c r="AU27" s="576"/>
    </row>
    <row r="28" spans="3:47" x14ac:dyDescent="0.2">
      <c r="C28" s="568">
        <v>20</v>
      </c>
      <c r="D28" s="577">
        <v>360.7</v>
      </c>
      <c r="E28" s="629"/>
      <c r="F28" s="630"/>
      <c r="G28" s="630"/>
      <c r="H28" s="601"/>
      <c r="I28" s="601"/>
      <c r="J28" s="601"/>
      <c r="K28" s="601"/>
      <c r="L28" s="602"/>
      <c r="M28" s="549">
        <v>-1</v>
      </c>
      <c r="N28" s="570">
        <f t="shared" si="0"/>
        <v>274.85745688702195</v>
      </c>
      <c r="O28" s="571">
        <f t="shared" si="1"/>
        <v>5.6996255640859063E-3</v>
      </c>
      <c r="P28" s="571">
        <f t="shared" si="9"/>
        <v>8.0844107175464391E-3</v>
      </c>
      <c r="Q28" s="566">
        <f t="shared" si="10"/>
        <v>31</v>
      </c>
      <c r="R28" s="572">
        <f t="shared" si="11"/>
        <v>0.75609756097560976</v>
      </c>
      <c r="S28" s="572">
        <f t="shared" si="2"/>
        <v>0.69380440773636831</v>
      </c>
      <c r="T28" s="572">
        <f t="shared" si="12"/>
        <v>0.54856700172877637</v>
      </c>
      <c r="U28" s="572">
        <f t="shared" si="3"/>
        <v>0.70834868171451126</v>
      </c>
      <c r="V28" s="572">
        <f t="shared" si="13"/>
        <v>6.6651318285488759E-2</v>
      </c>
      <c r="W28" s="572">
        <f t="shared" si="14"/>
        <v>-4.1651318285488736E-2</v>
      </c>
      <c r="X28" s="567"/>
      <c r="Y28" s="567"/>
      <c r="Z28" s="567"/>
      <c r="AA28" s="567"/>
      <c r="AB28" s="573">
        <v>21</v>
      </c>
      <c r="AC28" s="574">
        <f t="shared" si="15"/>
        <v>313.05</v>
      </c>
      <c r="AD28" s="574">
        <f t="shared" si="16"/>
        <v>310.14999999999998</v>
      </c>
      <c r="AE28" s="565" t="str">
        <f t="shared" si="17"/>
        <v/>
      </c>
      <c r="AF28" s="565" t="str">
        <f t="shared" si="4"/>
        <v/>
      </c>
      <c r="AG28" s="565" t="str">
        <f t="shared" si="5"/>
        <v/>
      </c>
      <c r="AH28" s="565">
        <f t="shared" si="6"/>
        <v>1</v>
      </c>
      <c r="AI28" s="565" t="str">
        <f t="shared" si="7"/>
        <v/>
      </c>
      <c r="AJ28" s="565" t="str">
        <f t="shared" si="8"/>
        <v/>
      </c>
      <c r="AK28" s="565" t="str">
        <f t="shared" si="18"/>
        <v/>
      </c>
      <c r="AL28" s="549" t="str">
        <f t="shared" si="19"/>
        <v/>
      </c>
      <c r="AM28" s="575"/>
      <c r="AN28" s="614">
        <f t="shared" si="26"/>
        <v>7</v>
      </c>
      <c r="AO28" s="614">
        <f t="shared" si="27"/>
        <v>0</v>
      </c>
      <c r="AP28" s="615">
        <f>AP27</f>
        <v>5.7142857142857144</v>
      </c>
      <c r="AQ28" s="615">
        <f>AO28-AP28</f>
        <v>-5.7142857142857144</v>
      </c>
      <c r="AR28" s="615">
        <f>AQ28^2</f>
        <v>32.653061224489797</v>
      </c>
      <c r="AS28" s="615">
        <f>AR28/AP28</f>
        <v>5.7142857142857144</v>
      </c>
      <c r="AT28" s="576"/>
      <c r="AU28" s="576"/>
    </row>
    <row r="29" spans="3:47" x14ac:dyDescent="0.2">
      <c r="C29" s="568">
        <v>21</v>
      </c>
      <c r="D29" s="577">
        <v>340.6</v>
      </c>
      <c r="E29" s="585"/>
      <c r="F29" s="578"/>
      <c r="G29" s="578"/>
      <c r="L29" s="579"/>
      <c r="M29" s="549">
        <v>-0.9</v>
      </c>
      <c r="N29" s="570">
        <f t="shared" si="0"/>
        <v>279.10283619831972</v>
      </c>
      <c r="O29" s="571">
        <f t="shared" si="1"/>
        <v>6.2676437224501716E-3</v>
      </c>
      <c r="P29" s="571">
        <f t="shared" si="9"/>
        <v>6.7559068955182081E-3</v>
      </c>
      <c r="Q29" s="566">
        <f t="shared" si="10"/>
        <v>34</v>
      </c>
      <c r="R29" s="572">
        <f t="shared" si="11"/>
        <v>0.82926829268292679</v>
      </c>
      <c r="S29" s="572">
        <f t="shared" si="2"/>
        <v>0.95127771872909239</v>
      </c>
      <c r="T29" s="572">
        <f t="shared" si="12"/>
        <v>0.81238324001388229</v>
      </c>
      <c r="U29" s="572">
        <f t="shared" si="3"/>
        <v>0.79171411991626428</v>
      </c>
      <c r="V29" s="572">
        <f t="shared" si="13"/>
        <v>5.8285880083735697E-2</v>
      </c>
      <c r="W29" s="572">
        <f t="shared" si="14"/>
        <v>-3.3285880083735675E-2</v>
      </c>
      <c r="X29" s="567"/>
      <c r="Y29" s="567"/>
      <c r="Z29" s="567"/>
      <c r="AA29" s="567"/>
      <c r="AB29" s="573">
        <v>22</v>
      </c>
      <c r="AC29" s="574">
        <f t="shared" si="15"/>
        <v>319.2</v>
      </c>
      <c r="AD29" s="574">
        <f t="shared" si="16"/>
        <v>310.05</v>
      </c>
      <c r="AE29" s="565" t="str">
        <f t="shared" si="17"/>
        <v/>
      </c>
      <c r="AF29" s="565" t="str">
        <f t="shared" si="4"/>
        <v/>
      </c>
      <c r="AG29" s="565" t="str">
        <f t="shared" si="5"/>
        <v/>
      </c>
      <c r="AH29" s="565">
        <f t="shared" si="6"/>
        <v>1</v>
      </c>
      <c r="AI29" s="565" t="str">
        <f t="shared" si="7"/>
        <v/>
      </c>
      <c r="AJ29" s="565" t="str">
        <f t="shared" si="8"/>
        <v/>
      </c>
      <c r="AK29" s="565" t="str">
        <f t="shared" si="18"/>
        <v/>
      </c>
      <c r="AL29" s="549" t="str">
        <f t="shared" si="19"/>
        <v/>
      </c>
      <c r="AM29" s="575"/>
      <c r="AN29" s="565">
        <v>8</v>
      </c>
      <c r="AO29" s="614">
        <f t="shared" si="27"/>
        <v>0</v>
      </c>
      <c r="AP29" s="615">
        <f t="shared" si="31"/>
        <v>5.7142857142857144</v>
      </c>
      <c r="AQ29" s="615">
        <f>AO29-AP29</f>
        <v>-5.7142857142857144</v>
      </c>
      <c r="AR29" s="615">
        <f>AQ29^2</f>
        <v>32.653061224489797</v>
      </c>
      <c r="AS29" s="615">
        <f>AR29/AP29</f>
        <v>5.7142857142857144</v>
      </c>
      <c r="AU29" s="576"/>
    </row>
    <row r="30" spans="3:47" x14ac:dyDescent="0.2">
      <c r="C30" s="568">
        <v>22</v>
      </c>
      <c r="D30" s="577">
        <v>351.8</v>
      </c>
      <c r="E30" s="585"/>
      <c r="F30" s="578"/>
      <c r="G30" s="578"/>
      <c r="L30" s="579"/>
      <c r="M30" s="549">
        <v>-0.8</v>
      </c>
      <c r="N30" s="570">
        <f t="shared" si="0"/>
        <v>283.34821550961755</v>
      </c>
      <c r="O30" s="571">
        <f t="shared" si="1"/>
        <v>6.8236906886165877E-3</v>
      </c>
      <c r="P30" s="571">
        <f t="shared" si="9"/>
        <v>8.6200268269501969E-3</v>
      </c>
      <c r="Q30" s="566">
        <f t="shared" si="10"/>
        <v>28</v>
      </c>
      <c r="R30" s="572">
        <f t="shared" si="11"/>
        <v>0.68292682926829273</v>
      </c>
      <c r="S30" s="572">
        <f t="shared" si="2"/>
        <v>0.47589899043667905</v>
      </c>
      <c r="T30" s="572">
        <f t="shared" si="12"/>
        <v>0.41548113152244964</v>
      </c>
      <c r="U30" s="572">
        <f t="shared" si="3"/>
        <v>0.6611051374758905</v>
      </c>
      <c r="V30" s="572">
        <f t="shared" si="13"/>
        <v>3.8894862524109453E-2</v>
      </c>
      <c r="W30" s="572">
        <f t="shared" si="14"/>
        <v>-1.3894862524109541E-2</v>
      </c>
      <c r="X30" s="567"/>
      <c r="Y30" s="567"/>
      <c r="Z30" s="567"/>
      <c r="AA30" s="567"/>
      <c r="AB30" s="573">
        <v>23</v>
      </c>
      <c r="AC30" s="574">
        <f t="shared" si="15"/>
        <v>324.05</v>
      </c>
      <c r="AD30" s="574">
        <f t="shared" si="16"/>
        <v>309.45</v>
      </c>
      <c r="AE30" s="565" t="str">
        <f t="shared" si="17"/>
        <v/>
      </c>
      <c r="AF30" s="565" t="str">
        <f t="shared" si="4"/>
        <v/>
      </c>
      <c r="AG30" s="565" t="str">
        <f t="shared" si="5"/>
        <v/>
      </c>
      <c r="AH30" s="565">
        <f t="shared" si="6"/>
        <v>1</v>
      </c>
      <c r="AI30" s="565" t="str">
        <f t="shared" si="7"/>
        <v/>
      </c>
      <c r="AJ30" s="565" t="str">
        <f t="shared" si="8"/>
        <v/>
      </c>
      <c r="AK30" s="565" t="str">
        <f t="shared" si="18"/>
        <v/>
      </c>
      <c r="AL30" s="549" t="str">
        <f t="shared" si="19"/>
        <v/>
      </c>
      <c r="AM30" s="575"/>
      <c r="AN30" s="614" t="s">
        <v>111</v>
      </c>
      <c r="AO30" s="614">
        <f>SUM(AO22:AO29)</f>
        <v>40</v>
      </c>
      <c r="AP30" s="615">
        <f>AO30</f>
        <v>40</v>
      </c>
      <c r="AQ30" s="615">
        <f>SUM(AQ22:AQ29)</f>
        <v>-5.7142857142857162</v>
      </c>
      <c r="AR30" s="615">
        <f>SUM(AR22:AR29)</f>
        <v>228.08163265306121</v>
      </c>
      <c r="AS30" s="615">
        <f>SUM(AS22:AS29)</f>
        <v>39.914285714285711</v>
      </c>
      <c r="AT30" s="620" t="s">
        <v>112</v>
      </c>
      <c r="AU30" s="576"/>
    </row>
    <row r="31" spans="3:47" x14ac:dyDescent="0.2">
      <c r="C31" s="568">
        <v>23</v>
      </c>
      <c r="D31" s="577">
        <v>334.95</v>
      </c>
      <c r="E31" s="585"/>
      <c r="F31" s="578"/>
      <c r="G31" s="578"/>
      <c r="L31" s="579"/>
      <c r="M31" s="549">
        <v>-0.7</v>
      </c>
      <c r="N31" s="570">
        <f t="shared" si="0"/>
        <v>287.59359482091531</v>
      </c>
      <c r="O31" s="571">
        <f t="shared" si="1"/>
        <v>7.3551480437988532E-3</v>
      </c>
      <c r="P31" s="571">
        <f t="shared" si="9"/>
        <v>7.295036951478007E-3</v>
      </c>
      <c r="Q31" s="566">
        <f t="shared" si="10"/>
        <v>8</v>
      </c>
      <c r="R31" s="572">
        <f t="shared" si="11"/>
        <v>0.1951219512195122</v>
      </c>
      <c r="S31" s="572">
        <f t="shared" si="2"/>
        <v>-0.85917512959584974</v>
      </c>
      <c r="T31" s="572">
        <f t="shared" si="12"/>
        <v>-0.71162663650811486</v>
      </c>
      <c r="U31" s="572">
        <f t="shared" si="3"/>
        <v>0.23834800406411591</v>
      </c>
      <c r="V31" s="572">
        <f t="shared" si="13"/>
        <v>-3.8348004064115898E-2</v>
      </c>
      <c r="W31" s="572">
        <f t="shared" si="14"/>
        <v>6.334800406411592E-2</v>
      </c>
      <c r="X31" s="567"/>
      <c r="Y31" s="567"/>
      <c r="Z31" s="567"/>
      <c r="AA31" s="567"/>
      <c r="AB31" s="573">
        <v>24</v>
      </c>
      <c r="AC31" s="574">
        <f t="shared" si="15"/>
        <v>324.55</v>
      </c>
      <c r="AD31" s="574">
        <f t="shared" si="16"/>
        <v>307.89999999999998</v>
      </c>
      <c r="AE31" s="565" t="str">
        <f t="shared" si="17"/>
        <v/>
      </c>
      <c r="AF31" s="565" t="str">
        <f t="shared" si="4"/>
        <v/>
      </c>
      <c r="AG31" s="565" t="str">
        <f t="shared" si="5"/>
        <v/>
      </c>
      <c r="AH31" s="565">
        <f t="shared" si="6"/>
        <v>1</v>
      </c>
      <c r="AI31" s="565" t="str">
        <f t="shared" si="7"/>
        <v/>
      </c>
      <c r="AJ31" s="565" t="str">
        <f t="shared" si="8"/>
        <v/>
      </c>
      <c r="AK31" s="565" t="str">
        <f t="shared" si="18"/>
        <v/>
      </c>
      <c r="AL31" s="549" t="str">
        <f t="shared" si="19"/>
        <v/>
      </c>
      <c r="AM31" s="549"/>
      <c r="AN31" s="612"/>
      <c r="AO31" s="612"/>
      <c r="AP31" s="612"/>
      <c r="AQ31" s="612"/>
      <c r="AR31" s="612"/>
      <c r="AS31" s="615">
        <f>CHIINV(0.05,COUNT(AO22:AO29)-1)</f>
        <v>14.067140449340167</v>
      </c>
      <c r="AT31" s="620" t="s">
        <v>125</v>
      </c>
    </row>
    <row r="32" spans="3:47" x14ac:dyDescent="0.2">
      <c r="C32" s="568">
        <v>24</v>
      </c>
      <c r="D32" s="577">
        <v>287.10000000000002</v>
      </c>
      <c r="E32" s="585"/>
      <c r="F32" s="578"/>
      <c r="G32" s="578"/>
      <c r="L32" s="579"/>
      <c r="M32" s="549">
        <v>-0.6</v>
      </c>
      <c r="N32" s="570">
        <f t="shared" si="0"/>
        <v>291.83897413221314</v>
      </c>
      <c r="O32" s="571">
        <f t="shared" si="1"/>
        <v>7.8491126106216905E-3</v>
      </c>
      <c r="P32" s="571">
        <f t="shared" si="9"/>
        <v>8.6575867676456329E-3</v>
      </c>
      <c r="Q32" s="566">
        <f t="shared" si="10"/>
        <v>27</v>
      </c>
      <c r="R32" s="572">
        <f t="shared" si="11"/>
        <v>0.65853658536585369</v>
      </c>
      <c r="S32" s="572">
        <f t="shared" si="2"/>
        <v>0.40847248197412389</v>
      </c>
      <c r="T32" s="572">
        <f t="shared" si="12"/>
        <v>0.40488137194849477</v>
      </c>
      <c r="U32" s="572">
        <f t="shared" si="3"/>
        <v>0.65721764414290618</v>
      </c>
      <c r="V32" s="572">
        <f t="shared" si="13"/>
        <v>1.7782355857093868E-2</v>
      </c>
      <c r="W32" s="572">
        <f t="shared" si="14"/>
        <v>7.2176441429061544E-3</v>
      </c>
      <c r="X32" s="567"/>
      <c r="Y32" s="567"/>
      <c r="Z32" s="567"/>
      <c r="AA32" s="567"/>
      <c r="AB32" s="573">
        <v>25</v>
      </c>
      <c r="AC32" s="574">
        <f t="shared" si="15"/>
        <v>327.39999999999998</v>
      </c>
      <c r="AD32" s="574">
        <f t="shared" si="16"/>
        <v>305.8</v>
      </c>
      <c r="AE32" s="565" t="str">
        <f t="shared" si="17"/>
        <v/>
      </c>
      <c r="AF32" s="565" t="str">
        <f t="shared" si="4"/>
        <v/>
      </c>
      <c r="AG32" s="565" t="str">
        <f t="shared" si="5"/>
        <v/>
      </c>
      <c r="AH32" s="565">
        <f t="shared" si="6"/>
        <v>1</v>
      </c>
      <c r="AI32" s="565" t="str">
        <f t="shared" si="7"/>
        <v/>
      </c>
      <c r="AJ32" s="565" t="str">
        <f t="shared" si="8"/>
        <v/>
      </c>
      <c r="AK32" s="565" t="str">
        <f t="shared" si="18"/>
        <v/>
      </c>
      <c r="AL32" s="549" t="str">
        <f t="shared" si="19"/>
        <v/>
      </c>
      <c r="AM32" s="549"/>
      <c r="AN32" s="575"/>
      <c r="AO32" s="575"/>
      <c r="AP32" s="575"/>
      <c r="AQ32" s="575"/>
      <c r="AR32" s="575"/>
      <c r="AS32" s="615">
        <f>CHIINV(0.01,COUNT(AO22:AO29)-1)</f>
        <v>18.475306906582361</v>
      </c>
      <c r="AT32" s="620" t="s">
        <v>126</v>
      </c>
    </row>
    <row r="33" spans="3:45" x14ac:dyDescent="0.2">
      <c r="C33" s="568">
        <v>25</v>
      </c>
      <c r="D33" s="577">
        <v>334.5</v>
      </c>
      <c r="E33" s="585"/>
      <c r="F33" s="578"/>
      <c r="G33" s="578"/>
      <c r="L33" s="579"/>
      <c r="M33" s="549">
        <v>-0.5</v>
      </c>
      <c r="N33" s="570">
        <f t="shared" si="0"/>
        <v>296.08435344351091</v>
      </c>
      <c r="O33" s="571">
        <f t="shared" si="1"/>
        <v>8.2929062622834095E-3</v>
      </c>
      <c r="P33" s="571">
        <f t="shared" si="9"/>
        <v>8.1646705344236917E-3</v>
      </c>
      <c r="Q33" s="566">
        <f t="shared" si="10"/>
        <v>11</v>
      </c>
      <c r="R33" s="572">
        <f t="shared" si="11"/>
        <v>0.26829268292682928</v>
      </c>
      <c r="S33" s="572">
        <f t="shared" si="2"/>
        <v>-0.6179847884685038</v>
      </c>
      <c r="T33" s="572">
        <f t="shared" si="12"/>
        <v>-0.53025297268710458</v>
      </c>
      <c r="U33" s="572">
        <f t="shared" si="3"/>
        <v>0.29796827380959201</v>
      </c>
      <c r="V33" s="572">
        <f t="shared" si="13"/>
        <v>-2.2968273809591988E-2</v>
      </c>
      <c r="W33" s="572">
        <f t="shared" si="14"/>
        <v>4.796827380959201E-2</v>
      </c>
      <c r="X33" s="567"/>
      <c r="Y33" s="567"/>
      <c r="Z33" s="567"/>
      <c r="AA33" s="567"/>
      <c r="AB33" s="573">
        <v>26</v>
      </c>
      <c r="AC33" s="574">
        <f t="shared" si="15"/>
        <v>333.25</v>
      </c>
      <c r="AD33" s="574">
        <f t="shared" si="16"/>
        <v>302.05</v>
      </c>
      <c r="AE33" s="565" t="str">
        <f t="shared" si="17"/>
        <v/>
      </c>
      <c r="AF33" s="565" t="str">
        <f t="shared" si="4"/>
        <v/>
      </c>
      <c r="AG33" s="565" t="str">
        <f t="shared" si="5"/>
        <v/>
      </c>
      <c r="AH33" s="565">
        <f t="shared" si="6"/>
        <v>1</v>
      </c>
      <c r="AI33" s="565" t="str">
        <f t="shared" si="7"/>
        <v/>
      </c>
      <c r="AJ33" s="565" t="str">
        <f t="shared" si="8"/>
        <v/>
      </c>
      <c r="AK33" s="565" t="str">
        <f t="shared" si="18"/>
        <v/>
      </c>
      <c r="AL33" s="549" t="str">
        <f t="shared" si="19"/>
        <v/>
      </c>
      <c r="AM33" s="549"/>
      <c r="AN33" s="549"/>
      <c r="AO33" s="549"/>
      <c r="AP33" s="549"/>
      <c r="AQ33" s="549"/>
      <c r="AR33" s="549"/>
      <c r="AS33" s="549"/>
    </row>
    <row r="34" spans="3:45" x14ac:dyDescent="0.2">
      <c r="C34" s="568">
        <v>26</v>
      </c>
      <c r="D34" s="577">
        <v>294.8</v>
      </c>
      <c r="E34" s="585"/>
      <c r="F34" s="578"/>
      <c r="G34" s="578"/>
      <c r="L34" s="579"/>
      <c r="M34" s="549">
        <v>-0.4</v>
      </c>
      <c r="N34" s="570">
        <f t="shared" si="0"/>
        <v>300.32973275480873</v>
      </c>
      <c r="O34" s="571">
        <f t="shared" si="1"/>
        <v>8.6746109899599154E-3</v>
      </c>
      <c r="P34" s="571">
        <f t="shared" si="9"/>
        <v>9.1690069275506131E-3</v>
      </c>
      <c r="Q34" s="566">
        <f t="shared" si="10"/>
        <v>17</v>
      </c>
      <c r="R34" s="572">
        <f t="shared" si="11"/>
        <v>0.41463414634146339</v>
      </c>
      <c r="S34" s="572">
        <f t="shared" si="2"/>
        <v>-0.21564010401258188</v>
      </c>
      <c r="T34" s="572">
        <f t="shared" si="12"/>
        <v>-0.22168219397863298</v>
      </c>
      <c r="U34" s="572">
        <f t="shared" si="3"/>
        <v>0.41228064619914306</v>
      </c>
      <c r="V34" s="572">
        <f t="shared" si="13"/>
        <v>1.2719353800856925E-2</v>
      </c>
      <c r="W34" s="572">
        <f t="shared" si="14"/>
        <v>1.2280646199143042E-2</v>
      </c>
      <c r="X34" s="567"/>
      <c r="Y34" s="567"/>
      <c r="Z34" s="567"/>
      <c r="AA34" s="567"/>
      <c r="AB34" s="573">
        <v>27</v>
      </c>
      <c r="AC34" s="574">
        <f t="shared" si="15"/>
        <v>334.5</v>
      </c>
      <c r="AD34" s="574">
        <f t="shared" si="16"/>
        <v>299.45</v>
      </c>
      <c r="AE34" s="565" t="str">
        <f t="shared" si="17"/>
        <v/>
      </c>
      <c r="AF34" s="565" t="str">
        <f t="shared" si="4"/>
        <v/>
      </c>
      <c r="AG34" s="565" t="str">
        <f t="shared" si="5"/>
        <v/>
      </c>
      <c r="AH34" s="565" t="str">
        <f t="shared" si="6"/>
        <v/>
      </c>
      <c r="AI34" s="565">
        <f t="shared" si="7"/>
        <v>1</v>
      </c>
      <c r="AJ34" s="565" t="str">
        <f t="shared" si="8"/>
        <v/>
      </c>
      <c r="AK34" s="565" t="str">
        <f t="shared" si="18"/>
        <v/>
      </c>
      <c r="AL34" s="549" t="str">
        <f t="shared" si="19"/>
        <v/>
      </c>
      <c r="AM34" s="549"/>
      <c r="AN34" s="549"/>
      <c r="AO34" s="549"/>
      <c r="AP34" s="549"/>
      <c r="AQ34" s="549"/>
      <c r="AR34" s="549"/>
      <c r="AS34" s="549"/>
    </row>
    <row r="35" spans="3:45" x14ac:dyDescent="0.2">
      <c r="C35" s="568">
        <v>27</v>
      </c>
      <c r="D35" s="577">
        <v>307.89999999999998</v>
      </c>
      <c r="E35" s="585"/>
      <c r="F35" s="578"/>
      <c r="G35" s="578"/>
      <c r="L35" s="579"/>
      <c r="M35" s="549">
        <v>-0.3</v>
      </c>
      <c r="N35" s="570">
        <f t="shared" si="0"/>
        <v>304.5751120661065</v>
      </c>
      <c r="O35" s="571">
        <f t="shared" si="1"/>
        <v>8.9835981073722974E-3</v>
      </c>
      <c r="P35" s="571">
        <f t="shared" si="9"/>
        <v>9.2794534868331155E-3</v>
      </c>
      <c r="Q35" s="566">
        <f t="shared" si="10"/>
        <v>23</v>
      </c>
      <c r="R35" s="572">
        <f t="shared" si="11"/>
        <v>0.56097560975609762</v>
      </c>
      <c r="S35" s="572">
        <f t="shared" si="2"/>
        <v>0.15344319882333449</v>
      </c>
      <c r="T35" s="572">
        <f t="shared" si="12"/>
        <v>0.15873139961998076</v>
      </c>
      <c r="U35" s="572">
        <f t="shared" si="3"/>
        <v>0.56305975075921322</v>
      </c>
      <c r="V35" s="572">
        <f t="shared" si="13"/>
        <v>1.1940249240786738E-2</v>
      </c>
      <c r="W35" s="572">
        <f t="shared" si="14"/>
        <v>1.3059750759213173E-2</v>
      </c>
      <c r="X35" s="567"/>
      <c r="Y35" s="567"/>
      <c r="Z35" s="567"/>
      <c r="AA35" s="567"/>
      <c r="AB35" s="573">
        <v>28</v>
      </c>
      <c r="AC35" s="574">
        <f t="shared" si="15"/>
        <v>334.95</v>
      </c>
      <c r="AD35" s="574">
        <f t="shared" si="16"/>
        <v>299.35000000000002</v>
      </c>
      <c r="AE35" s="565" t="str">
        <f t="shared" si="17"/>
        <v/>
      </c>
      <c r="AF35" s="565" t="str">
        <f t="shared" si="4"/>
        <v/>
      </c>
      <c r="AG35" s="565" t="str">
        <f t="shared" si="5"/>
        <v/>
      </c>
      <c r="AH35" s="565" t="str">
        <f t="shared" si="6"/>
        <v/>
      </c>
      <c r="AI35" s="565">
        <f t="shared" si="7"/>
        <v>1</v>
      </c>
      <c r="AJ35" s="565" t="str">
        <f t="shared" si="8"/>
        <v/>
      </c>
      <c r="AK35" s="565" t="str">
        <f t="shared" si="18"/>
        <v/>
      </c>
      <c r="AL35" s="549" t="str">
        <f t="shared" si="19"/>
        <v/>
      </c>
      <c r="AM35" s="549"/>
      <c r="AN35" s="549"/>
      <c r="AO35" s="549"/>
      <c r="AP35" s="549"/>
      <c r="AQ35" s="549"/>
      <c r="AR35" s="549"/>
      <c r="AS35" s="549"/>
    </row>
    <row r="36" spans="3:45" x14ac:dyDescent="0.2">
      <c r="C36" s="568">
        <v>28</v>
      </c>
      <c r="D36" s="577">
        <v>324.05</v>
      </c>
      <c r="E36" s="585"/>
      <c r="F36" s="578"/>
      <c r="G36" s="578"/>
      <c r="L36" s="579"/>
      <c r="M36" s="549">
        <v>-0.2</v>
      </c>
      <c r="N36" s="570">
        <f t="shared" si="0"/>
        <v>308.82049137740432</v>
      </c>
      <c r="O36" s="571">
        <f t="shared" si="1"/>
        <v>9.2110189762034597E-3</v>
      </c>
      <c r="P36" s="571">
        <f t="shared" si="9"/>
        <v>6.9800431832166294E-3</v>
      </c>
      <c r="Q36" s="566">
        <f t="shared" si="10"/>
        <v>33</v>
      </c>
      <c r="R36" s="572">
        <f t="shared" si="11"/>
        <v>0.80487804878048785</v>
      </c>
      <c r="S36" s="572">
        <f t="shared" si="2"/>
        <v>0.85917512959585085</v>
      </c>
      <c r="T36" s="572">
        <f t="shared" si="12"/>
        <v>0.77116195278183441</v>
      </c>
      <c r="U36" s="572">
        <f t="shared" si="3"/>
        <v>0.77969452855600863</v>
      </c>
      <c r="V36" s="572">
        <f t="shared" si="13"/>
        <v>4.530547144399133E-2</v>
      </c>
      <c r="W36" s="572">
        <f t="shared" si="14"/>
        <v>-2.0305471443991419E-2</v>
      </c>
      <c r="X36" s="567"/>
      <c r="Y36" s="567"/>
      <c r="Z36" s="567"/>
      <c r="AA36" s="567"/>
      <c r="AB36" s="573">
        <v>29</v>
      </c>
      <c r="AC36" s="574">
        <f t="shared" si="15"/>
        <v>337.05</v>
      </c>
      <c r="AD36" s="574">
        <f t="shared" si="16"/>
        <v>297.55</v>
      </c>
      <c r="AE36" s="565" t="str">
        <f t="shared" si="17"/>
        <v/>
      </c>
      <c r="AF36" s="565" t="str">
        <f t="shared" si="4"/>
        <v/>
      </c>
      <c r="AG36" s="565" t="str">
        <f t="shared" si="5"/>
        <v/>
      </c>
      <c r="AH36" s="565" t="str">
        <f t="shared" si="6"/>
        <v/>
      </c>
      <c r="AI36" s="565">
        <f t="shared" si="7"/>
        <v>1</v>
      </c>
      <c r="AJ36" s="565" t="str">
        <f t="shared" si="8"/>
        <v/>
      </c>
      <c r="AK36" s="565" t="str">
        <f t="shared" si="18"/>
        <v/>
      </c>
      <c r="AL36" s="549" t="str">
        <f t="shared" si="19"/>
        <v/>
      </c>
      <c r="AM36" s="549"/>
      <c r="AN36" s="549"/>
      <c r="AO36" s="549"/>
      <c r="AP36" s="549"/>
      <c r="AQ36" s="549"/>
      <c r="AR36" s="549"/>
      <c r="AS36" s="549"/>
    </row>
    <row r="37" spans="3:45" x14ac:dyDescent="0.2">
      <c r="C37" s="568">
        <v>29</v>
      </c>
      <c r="D37" s="577">
        <v>350.05</v>
      </c>
      <c r="E37" s="585"/>
      <c r="F37" s="578"/>
      <c r="G37" s="578"/>
      <c r="L37" s="579"/>
      <c r="M37" s="549">
        <v>-0.1</v>
      </c>
      <c r="N37" s="570">
        <f t="shared" si="0"/>
        <v>313.06587068870209</v>
      </c>
      <c r="O37" s="571">
        <f t="shared" si="1"/>
        <v>9.3502257011674333E-3</v>
      </c>
      <c r="P37" s="571">
        <f t="shared" si="9"/>
        <v>9.3498755107573554E-3</v>
      </c>
      <c r="Q37" s="566">
        <f t="shared" si="10"/>
        <v>21</v>
      </c>
      <c r="R37" s="572">
        <f t="shared" si="11"/>
        <v>0.51219512195121952</v>
      </c>
      <c r="S37" s="572">
        <f t="shared" si="2"/>
        <v>3.0573399820906299E-2</v>
      </c>
      <c r="T37" s="572">
        <f t="shared" si="12"/>
        <v>-0.10037383441003425</v>
      </c>
      <c r="U37" s="572">
        <f t="shared" si="3"/>
        <v>0.46002377097874403</v>
      </c>
      <c r="V37" s="572">
        <f t="shared" si="13"/>
        <v>6.4976229021255993E-2</v>
      </c>
      <c r="W37" s="572">
        <f t="shared" si="14"/>
        <v>-3.9976229021255971E-2</v>
      </c>
      <c r="X37" s="567"/>
      <c r="Y37" s="567"/>
      <c r="Z37" s="567"/>
      <c r="AA37" s="567"/>
      <c r="AB37" s="573">
        <v>30</v>
      </c>
      <c r="AC37" s="574">
        <f t="shared" si="15"/>
        <v>338.55</v>
      </c>
      <c r="AD37" s="574">
        <f t="shared" si="16"/>
        <v>294.8</v>
      </c>
      <c r="AE37" s="565" t="str">
        <f t="shared" si="17"/>
        <v/>
      </c>
      <c r="AF37" s="565" t="str">
        <f t="shared" si="4"/>
        <v/>
      </c>
      <c r="AG37" s="565" t="str">
        <f t="shared" si="5"/>
        <v/>
      </c>
      <c r="AH37" s="565" t="str">
        <f t="shared" si="6"/>
        <v/>
      </c>
      <c r="AI37" s="565">
        <f t="shared" si="7"/>
        <v>1</v>
      </c>
      <c r="AJ37" s="565" t="str">
        <f t="shared" si="8"/>
        <v/>
      </c>
      <c r="AK37" s="565" t="str">
        <f t="shared" si="18"/>
        <v/>
      </c>
      <c r="AL37" s="549" t="str">
        <f t="shared" si="19"/>
        <v/>
      </c>
      <c r="AM37" s="549"/>
      <c r="AN37" s="549"/>
      <c r="AO37" s="549"/>
      <c r="AP37" s="549"/>
      <c r="AQ37" s="549"/>
      <c r="AR37" s="549"/>
      <c r="AS37" s="549"/>
    </row>
    <row r="38" spans="3:45" x14ac:dyDescent="0.2">
      <c r="C38" s="568">
        <v>30</v>
      </c>
      <c r="D38" s="577">
        <v>313.05</v>
      </c>
      <c r="E38" s="585"/>
      <c r="F38" s="578"/>
      <c r="G38" s="578"/>
      <c r="L38" s="579"/>
      <c r="M38" s="549">
        <v>0</v>
      </c>
      <c r="N38" s="570">
        <f t="shared" si="0"/>
        <v>317.31124999999992</v>
      </c>
      <c r="O38" s="571">
        <f t="shared" si="1"/>
        <v>9.3970939025346447E-3</v>
      </c>
      <c r="P38" s="571">
        <f t="shared" si="9"/>
        <v>7.0025236372450086E-3</v>
      </c>
      <c r="Q38" s="566">
        <f t="shared" si="10"/>
        <v>7</v>
      </c>
      <c r="R38" s="572">
        <f t="shared" si="11"/>
        <v>0.17073170731707318</v>
      </c>
      <c r="S38" s="572">
        <f t="shared" si="2"/>
        <v>-0.95127771872909239</v>
      </c>
      <c r="T38" s="572">
        <f t="shared" si="12"/>
        <v>-0.76698093650543675</v>
      </c>
      <c r="U38" s="572">
        <f t="shared" si="3"/>
        <v>0.22154642498782673</v>
      </c>
      <c r="V38" s="572">
        <f t="shared" si="13"/>
        <v>-4.654642498782674E-2</v>
      </c>
      <c r="W38" s="572">
        <f t="shared" si="14"/>
        <v>7.1546424987826734E-2</v>
      </c>
      <c r="X38" s="567"/>
      <c r="Y38" s="567"/>
      <c r="Z38" s="567"/>
      <c r="AA38" s="567"/>
      <c r="AB38" s="573">
        <v>31</v>
      </c>
      <c r="AC38" s="574">
        <f t="shared" si="15"/>
        <v>340.6</v>
      </c>
      <c r="AD38" s="574">
        <f t="shared" si="16"/>
        <v>288.95</v>
      </c>
      <c r="AE38" s="565" t="str">
        <f t="shared" si="17"/>
        <v/>
      </c>
      <c r="AF38" s="565" t="str">
        <f t="shared" si="4"/>
        <v/>
      </c>
      <c r="AG38" s="565" t="str">
        <f t="shared" si="5"/>
        <v/>
      </c>
      <c r="AH38" s="565" t="str">
        <f t="shared" si="6"/>
        <v/>
      </c>
      <c r="AI38" s="565">
        <f t="shared" si="7"/>
        <v>1</v>
      </c>
      <c r="AJ38" s="565" t="str">
        <f t="shared" si="8"/>
        <v/>
      </c>
      <c r="AK38" s="565" t="str">
        <f t="shared" si="18"/>
        <v/>
      </c>
      <c r="AL38" s="549" t="str">
        <f t="shared" si="19"/>
        <v/>
      </c>
      <c r="AM38" s="549"/>
      <c r="AN38" s="549"/>
      <c r="AO38" s="549"/>
      <c r="AP38" s="549"/>
      <c r="AQ38" s="549"/>
      <c r="AR38" s="549"/>
      <c r="AS38" s="549"/>
    </row>
    <row r="39" spans="3:45" x14ac:dyDescent="0.2">
      <c r="C39" s="568">
        <v>31</v>
      </c>
      <c r="D39" s="577">
        <v>284.75</v>
      </c>
      <c r="E39" s="585"/>
      <c r="F39" s="578"/>
      <c r="G39" s="578"/>
      <c r="L39" s="579"/>
      <c r="M39" s="549">
        <v>0.1</v>
      </c>
      <c r="N39" s="570">
        <f t="shared" si="0"/>
        <v>321.55662931129774</v>
      </c>
      <c r="O39" s="571">
        <f t="shared" si="1"/>
        <v>9.3502257011674333E-3</v>
      </c>
      <c r="P39" s="571">
        <f t="shared" si="9"/>
        <v>9.7663228677925948E-4</v>
      </c>
      <c r="Q39" s="566">
        <f t="shared" si="10"/>
        <v>40</v>
      </c>
      <c r="R39" s="572">
        <f t="shared" si="11"/>
        <v>0.97560975609756095</v>
      </c>
      <c r="S39" s="572">
        <f t="shared" si="2"/>
        <v>1.9705053031703283</v>
      </c>
      <c r="T39" s="572">
        <f t="shared" si="12"/>
        <v>2.1279311782480939</v>
      </c>
      <c r="U39" s="572">
        <f t="shared" si="3"/>
        <v>0.98332860494898688</v>
      </c>
      <c r="V39" s="572">
        <f t="shared" si="13"/>
        <v>1.6671395051013116E-2</v>
      </c>
      <c r="W39" s="572">
        <f t="shared" si="14"/>
        <v>8.3286049489869063E-3</v>
      </c>
      <c r="X39" s="567"/>
      <c r="Y39" s="567"/>
      <c r="Z39" s="567"/>
      <c r="AA39" s="567"/>
      <c r="AB39" s="573">
        <v>32</v>
      </c>
      <c r="AC39" s="574">
        <f t="shared" si="15"/>
        <v>342.15</v>
      </c>
      <c r="AD39" s="574">
        <f t="shared" si="16"/>
        <v>287.85000000000002</v>
      </c>
      <c r="AE39" s="565" t="str">
        <f t="shared" si="17"/>
        <v/>
      </c>
      <c r="AF39" s="565" t="str">
        <f t="shared" si="4"/>
        <v/>
      </c>
      <c r="AG39" s="565" t="str">
        <f t="shared" si="5"/>
        <v/>
      </c>
      <c r="AH39" s="565" t="str">
        <f t="shared" si="6"/>
        <v/>
      </c>
      <c r="AI39" s="565">
        <f t="shared" si="7"/>
        <v>1</v>
      </c>
      <c r="AJ39" s="565" t="str">
        <f t="shared" si="8"/>
        <v/>
      </c>
      <c r="AK39" s="565" t="str">
        <f t="shared" si="18"/>
        <v/>
      </c>
      <c r="AL39" s="549" t="str">
        <f t="shared" si="19"/>
        <v/>
      </c>
      <c r="AM39" s="549"/>
      <c r="AN39" s="549"/>
      <c r="AO39" s="549"/>
      <c r="AP39" s="549"/>
      <c r="AQ39" s="549"/>
      <c r="AR39" s="549"/>
      <c r="AS39" s="549"/>
    </row>
    <row r="40" spans="3:45" x14ac:dyDescent="0.2">
      <c r="C40" s="568">
        <v>32</v>
      </c>
      <c r="D40" s="577">
        <v>407.65</v>
      </c>
      <c r="E40" s="585"/>
      <c r="F40" s="578"/>
      <c r="G40" s="578"/>
      <c r="L40" s="579"/>
      <c r="M40" s="549">
        <v>0.2</v>
      </c>
      <c r="N40" s="570">
        <f t="shared" si="0"/>
        <v>325.80200862259551</v>
      </c>
      <c r="O40" s="571">
        <f t="shared" si="1"/>
        <v>9.2110189762034597E-3</v>
      </c>
      <c r="P40" s="571">
        <f t="shared" si="9"/>
        <v>8.2917482965315491E-3</v>
      </c>
      <c r="Q40" s="566">
        <f t="shared" si="10"/>
        <v>30</v>
      </c>
      <c r="R40" s="572">
        <f t="shared" si="11"/>
        <v>0.73170731707317072</v>
      </c>
      <c r="S40" s="572">
        <f t="shared" si="2"/>
        <v>0.6179847884685038</v>
      </c>
      <c r="T40" s="572">
        <f t="shared" si="12"/>
        <v>0.50027920811409143</v>
      </c>
      <c r="U40" s="572">
        <f t="shared" si="3"/>
        <v>0.69156075390747396</v>
      </c>
      <c r="V40" s="572">
        <f t="shared" si="13"/>
        <v>5.8439246092526043E-2</v>
      </c>
      <c r="W40" s="572">
        <f t="shared" si="14"/>
        <v>-3.343924609252602E-2</v>
      </c>
      <c r="X40" s="567"/>
      <c r="Y40" s="567"/>
      <c r="Z40" s="567"/>
      <c r="AA40" s="567"/>
      <c r="AB40" s="573">
        <v>33</v>
      </c>
      <c r="AC40" s="574">
        <f t="shared" si="15"/>
        <v>350.05</v>
      </c>
      <c r="AD40" s="574">
        <f t="shared" si="16"/>
        <v>287.10000000000002</v>
      </c>
      <c r="AE40" s="565" t="str">
        <f t="shared" si="17"/>
        <v/>
      </c>
      <c r="AF40" s="565" t="str">
        <f t="shared" si="4"/>
        <v/>
      </c>
      <c r="AG40" s="565" t="str">
        <f t="shared" si="5"/>
        <v/>
      </c>
      <c r="AH40" s="565" t="str">
        <f t="shared" si="6"/>
        <v/>
      </c>
      <c r="AI40" s="565">
        <f t="shared" si="7"/>
        <v>1</v>
      </c>
      <c r="AJ40" s="565" t="str">
        <f t="shared" si="8"/>
        <v/>
      </c>
      <c r="AK40" s="565" t="str">
        <f t="shared" si="18"/>
        <v/>
      </c>
      <c r="AL40" s="549" t="str">
        <f t="shared" si="19"/>
        <v/>
      </c>
      <c r="AM40" s="549"/>
      <c r="AN40" s="549"/>
      <c r="AO40" s="549"/>
      <c r="AP40" s="549"/>
      <c r="AQ40" s="549"/>
      <c r="AR40" s="549"/>
      <c r="AS40" s="549"/>
    </row>
    <row r="41" spans="3:45" x14ac:dyDescent="0.2">
      <c r="C41" s="568">
        <v>33</v>
      </c>
      <c r="D41" s="577">
        <v>338.55</v>
      </c>
      <c r="E41" s="585"/>
      <c r="F41" s="578"/>
      <c r="G41" s="578"/>
      <c r="L41" s="579"/>
      <c r="M41" s="549">
        <v>0.3</v>
      </c>
      <c r="N41" s="570">
        <f t="shared" si="0"/>
        <v>330.04738793389333</v>
      </c>
      <c r="O41" s="571">
        <f t="shared" si="1"/>
        <v>8.9835981073722974E-3</v>
      </c>
      <c r="P41" s="571">
        <f t="shared" si="9"/>
        <v>9.2606415657516088E-3</v>
      </c>
      <c r="Q41" s="566">
        <f t="shared" si="10"/>
        <v>19</v>
      </c>
      <c r="R41" s="572">
        <f t="shared" si="11"/>
        <v>0.46341463414634149</v>
      </c>
      <c r="S41" s="572">
        <f t="shared" si="2"/>
        <v>-9.1834832954222234E-2</v>
      </c>
      <c r="T41" s="572">
        <f t="shared" si="12"/>
        <v>-0.17103889823640198</v>
      </c>
      <c r="U41" s="572">
        <f t="shared" si="3"/>
        <v>0.4320965899299225</v>
      </c>
      <c r="V41" s="572">
        <f t="shared" si="13"/>
        <v>4.2903410070077475E-2</v>
      </c>
      <c r="W41" s="572">
        <f t="shared" si="14"/>
        <v>-1.7903410070077508E-2</v>
      </c>
      <c r="X41" s="567"/>
      <c r="Y41" s="567"/>
      <c r="Z41" s="567"/>
      <c r="AA41" s="567"/>
      <c r="AB41" s="573">
        <v>34</v>
      </c>
      <c r="AC41" s="574">
        <f t="shared" si="15"/>
        <v>351.8</v>
      </c>
      <c r="AD41" s="574">
        <f t="shared" si="16"/>
        <v>284.75</v>
      </c>
      <c r="AE41" s="565" t="str">
        <f t="shared" si="17"/>
        <v/>
      </c>
      <c r="AF41" s="565" t="str">
        <f t="shared" si="4"/>
        <v/>
      </c>
      <c r="AG41" s="565" t="str">
        <f t="shared" si="5"/>
        <v/>
      </c>
      <c r="AH41" s="565" t="str">
        <f t="shared" si="6"/>
        <v/>
      </c>
      <c r="AI41" s="565">
        <f t="shared" si="7"/>
        <v>1</v>
      </c>
      <c r="AJ41" s="565" t="str">
        <f t="shared" si="8"/>
        <v/>
      </c>
      <c r="AK41" s="565" t="str">
        <f t="shared" si="18"/>
        <v/>
      </c>
      <c r="AL41" s="549" t="str">
        <f t="shared" si="19"/>
        <v/>
      </c>
      <c r="AM41" s="549"/>
      <c r="AN41" s="549"/>
      <c r="AO41" s="549"/>
      <c r="AP41" s="549"/>
      <c r="AQ41" s="549"/>
      <c r="AR41" s="549"/>
      <c r="AS41" s="549"/>
    </row>
    <row r="42" spans="3:45" x14ac:dyDescent="0.2">
      <c r="C42" s="568">
        <v>34</v>
      </c>
      <c r="D42" s="577">
        <v>310.05</v>
      </c>
      <c r="E42" s="585"/>
      <c r="F42" s="578"/>
      <c r="G42" s="578"/>
      <c r="L42" s="579"/>
      <c r="M42" s="549">
        <v>0.4</v>
      </c>
      <c r="N42" s="570">
        <f t="shared" si="0"/>
        <v>334.2927672451911</v>
      </c>
      <c r="O42" s="571">
        <f t="shared" si="1"/>
        <v>8.6746109899599154E-3</v>
      </c>
      <c r="P42" s="571">
        <f t="shared" si="9"/>
        <v>5.8060158645676348E-3</v>
      </c>
      <c r="Q42" s="566">
        <f t="shared" si="10"/>
        <v>6</v>
      </c>
      <c r="R42" s="572">
        <f t="shared" si="11"/>
        <v>0.14634146341463414</v>
      </c>
      <c r="S42" s="572">
        <f t="shared" si="2"/>
        <v>-1.0522542255562288</v>
      </c>
      <c r="T42" s="572">
        <f t="shared" si="12"/>
        <v>-0.98133163011208613</v>
      </c>
      <c r="U42" s="572">
        <f t="shared" si="3"/>
        <v>0.16321461483144184</v>
      </c>
      <c r="V42" s="572">
        <f t="shared" si="13"/>
        <v>-1.3214614831441845E-2</v>
      </c>
      <c r="W42" s="572">
        <f t="shared" si="14"/>
        <v>3.821461483144184E-2</v>
      </c>
      <c r="X42" s="567"/>
      <c r="Y42" s="567"/>
      <c r="Z42" s="567"/>
      <c r="AA42" s="567"/>
      <c r="AB42" s="573">
        <v>35</v>
      </c>
      <c r="AC42" s="574">
        <f t="shared" si="15"/>
        <v>360.7</v>
      </c>
      <c r="AD42" s="574">
        <f t="shared" si="16"/>
        <v>275.64999999999998</v>
      </c>
      <c r="AE42" s="565" t="str">
        <f t="shared" si="17"/>
        <v/>
      </c>
      <c r="AF42" s="565" t="str">
        <f t="shared" si="4"/>
        <v/>
      </c>
      <c r="AG42" s="565" t="str">
        <f t="shared" si="5"/>
        <v/>
      </c>
      <c r="AH42" s="565" t="str">
        <f t="shared" si="6"/>
        <v/>
      </c>
      <c r="AI42" s="565">
        <f t="shared" si="7"/>
        <v>1</v>
      </c>
      <c r="AJ42" s="565" t="str">
        <f t="shared" si="8"/>
        <v/>
      </c>
      <c r="AK42" s="565" t="str">
        <f t="shared" si="18"/>
        <v/>
      </c>
      <c r="AL42" s="549" t="str">
        <f t="shared" si="19"/>
        <v/>
      </c>
      <c r="AM42" s="549"/>
      <c r="AN42" s="549"/>
      <c r="AO42" s="549"/>
      <c r="AP42" s="549"/>
      <c r="AQ42" s="549"/>
      <c r="AR42" s="549"/>
      <c r="AS42" s="549"/>
    </row>
    <row r="43" spans="3:45" x14ac:dyDescent="0.2">
      <c r="C43" s="568">
        <v>35</v>
      </c>
      <c r="D43" s="577">
        <v>275.64999999999998</v>
      </c>
      <c r="E43" s="585"/>
      <c r="F43" s="578"/>
      <c r="G43" s="578"/>
      <c r="L43" s="579"/>
      <c r="M43" s="549">
        <v>0.5</v>
      </c>
      <c r="N43" s="570">
        <f t="shared" si="0"/>
        <v>338.53814655648893</v>
      </c>
      <c r="O43" s="571">
        <f t="shared" si="1"/>
        <v>8.2929062622834095E-3</v>
      </c>
      <c r="P43" s="571">
        <f t="shared" si="9"/>
        <v>7.5176619824709164E-3</v>
      </c>
      <c r="Q43" s="566">
        <f t="shared" si="10"/>
        <v>10</v>
      </c>
      <c r="R43" s="572">
        <f t="shared" si="11"/>
        <v>0.24390243902439024</v>
      </c>
      <c r="S43" s="572">
        <f t="shared" si="2"/>
        <v>-0.69380440773636831</v>
      </c>
      <c r="T43" s="572">
        <f t="shared" si="12"/>
        <v>-0.66804984714852222</v>
      </c>
      <c r="U43" s="572">
        <f t="shared" si="3"/>
        <v>0.25205088710029655</v>
      </c>
      <c r="V43" s="572">
        <f t="shared" si="13"/>
        <v>-2.0508871002965501E-3</v>
      </c>
      <c r="W43" s="572">
        <f t="shared" si="14"/>
        <v>2.7050887100296545E-2</v>
      </c>
      <c r="X43" s="567"/>
      <c r="Y43" s="567"/>
      <c r="Z43" s="567"/>
      <c r="AA43" s="567"/>
      <c r="AB43" s="573">
        <v>36</v>
      </c>
      <c r="AC43" s="574">
        <f t="shared" si="15"/>
        <v>368.2</v>
      </c>
      <c r="AD43" s="574">
        <f t="shared" si="16"/>
        <v>274.2</v>
      </c>
      <c r="AE43" s="565" t="str">
        <f t="shared" si="17"/>
        <v/>
      </c>
      <c r="AF43" s="565" t="str">
        <f t="shared" si="4"/>
        <v/>
      </c>
      <c r="AG43" s="565" t="str">
        <f t="shared" si="5"/>
        <v/>
      </c>
      <c r="AH43" s="565" t="str">
        <f t="shared" si="6"/>
        <v/>
      </c>
      <c r="AI43" s="565">
        <f t="shared" si="7"/>
        <v>1</v>
      </c>
      <c r="AJ43" s="565" t="str">
        <f t="shared" si="8"/>
        <v/>
      </c>
      <c r="AK43" s="565" t="str">
        <f t="shared" si="18"/>
        <v/>
      </c>
      <c r="AL43" s="549" t="str">
        <f t="shared" si="19"/>
        <v/>
      </c>
      <c r="AM43" s="549"/>
      <c r="AN43" s="549"/>
      <c r="AO43" s="549"/>
      <c r="AP43" s="549"/>
      <c r="AQ43" s="549"/>
      <c r="AR43" s="549"/>
      <c r="AS43" s="549"/>
    </row>
    <row r="44" spans="3:45" x14ac:dyDescent="0.2">
      <c r="C44" s="568">
        <v>36</v>
      </c>
      <c r="D44" s="577">
        <v>288.95</v>
      </c>
      <c r="E44" s="585"/>
      <c r="F44" s="578"/>
      <c r="G44" s="578"/>
      <c r="L44" s="579"/>
      <c r="M44" s="549">
        <v>0.6</v>
      </c>
      <c r="N44" s="570">
        <f t="shared" si="0"/>
        <v>342.78352586778669</v>
      </c>
      <c r="O44" s="571">
        <f t="shared" si="1"/>
        <v>7.8491126106216905E-3</v>
      </c>
      <c r="P44" s="571">
        <f t="shared" si="9"/>
        <v>9.3877985761601605E-3</v>
      </c>
      <c r="Q44" s="566">
        <f t="shared" si="10"/>
        <v>22</v>
      </c>
      <c r="R44" s="572">
        <f t="shared" si="11"/>
        <v>0.53658536585365857</v>
      </c>
      <c r="S44" s="572">
        <f t="shared" si="2"/>
        <v>9.1834832954222387E-2</v>
      </c>
      <c r="T44" s="572">
        <f t="shared" si="12"/>
        <v>4.4489546434019062E-2</v>
      </c>
      <c r="U44" s="572">
        <f t="shared" si="3"/>
        <v>0.51774290776748844</v>
      </c>
      <c r="V44" s="572">
        <f t="shared" si="13"/>
        <v>3.2257092232511608E-2</v>
      </c>
      <c r="W44" s="572">
        <f t="shared" si="14"/>
        <v>-7.2570922325115861E-3</v>
      </c>
      <c r="X44" s="567"/>
      <c r="Y44" s="567"/>
      <c r="Z44" s="567"/>
      <c r="AA44" s="567"/>
      <c r="AB44" s="573">
        <v>37</v>
      </c>
      <c r="AC44" s="574">
        <f t="shared" si="15"/>
        <v>371.3</v>
      </c>
      <c r="AD44" s="574">
        <f t="shared" si="16"/>
        <v>267.35000000000002</v>
      </c>
      <c r="AE44" s="565" t="str">
        <f t="shared" si="17"/>
        <v/>
      </c>
      <c r="AF44" s="565" t="str">
        <f t="shared" si="4"/>
        <v/>
      </c>
      <c r="AG44" s="565" t="str">
        <f t="shared" si="5"/>
        <v/>
      </c>
      <c r="AH44" s="565" t="str">
        <f t="shared" si="6"/>
        <v/>
      </c>
      <c r="AI44" s="565" t="str">
        <f t="shared" si="7"/>
        <v/>
      </c>
      <c r="AJ44" s="565">
        <f t="shared" si="8"/>
        <v>1</v>
      </c>
      <c r="AK44" s="565" t="str">
        <f t="shared" si="18"/>
        <v/>
      </c>
      <c r="AL44" s="549" t="str">
        <f t="shared" si="19"/>
        <v/>
      </c>
      <c r="AM44" s="549"/>
      <c r="AN44" s="549"/>
      <c r="AO44" s="549"/>
      <c r="AP44" s="549"/>
      <c r="AQ44" s="549"/>
      <c r="AR44" s="549"/>
      <c r="AS44" s="549"/>
    </row>
    <row r="45" spans="3:45" x14ac:dyDescent="0.2">
      <c r="C45" s="568">
        <v>37</v>
      </c>
      <c r="D45" s="577">
        <v>319.2</v>
      </c>
      <c r="E45" s="585"/>
      <c r="F45" s="578"/>
      <c r="G45" s="578"/>
      <c r="L45" s="579"/>
      <c r="M45" s="549">
        <v>0.7</v>
      </c>
      <c r="N45" s="570">
        <f t="shared" si="0"/>
        <v>347.02890517908452</v>
      </c>
      <c r="O45" s="571">
        <f t="shared" si="1"/>
        <v>7.3551480437988532E-3</v>
      </c>
      <c r="P45" s="571">
        <f t="shared" si="9"/>
        <v>7.9188244567525868E-3</v>
      </c>
      <c r="Q45" s="566">
        <f t="shared" si="10"/>
        <v>32</v>
      </c>
      <c r="R45" s="572">
        <f t="shared" si="11"/>
        <v>0.78048780487804881</v>
      </c>
      <c r="S45" s="572">
        <f t="shared" si="2"/>
        <v>0.77384173233725317</v>
      </c>
      <c r="T45" s="572">
        <f t="shared" si="12"/>
        <v>0.58507728470573195</v>
      </c>
      <c r="U45" s="572">
        <f t="shared" si="3"/>
        <v>0.72075212409737799</v>
      </c>
      <c r="V45" s="572">
        <f t="shared" si="13"/>
        <v>7.9247875902622056E-2</v>
      </c>
      <c r="W45" s="572">
        <f t="shared" si="14"/>
        <v>-5.4247875902622034E-2</v>
      </c>
      <c r="X45" s="567"/>
      <c r="Y45" s="567"/>
      <c r="Z45" s="567"/>
      <c r="AA45" s="567"/>
      <c r="AB45" s="573">
        <v>38</v>
      </c>
      <c r="AC45" s="574">
        <f t="shared" si="15"/>
        <v>399.65</v>
      </c>
      <c r="AD45" s="574">
        <f t="shared" si="16"/>
        <v>265.05</v>
      </c>
      <c r="AE45" s="565" t="str">
        <f t="shared" si="17"/>
        <v/>
      </c>
      <c r="AF45" s="565" t="str">
        <f t="shared" si="4"/>
        <v/>
      </c>
      <c r="AG45" s="565" t="str">
        <f t="shared" si="5"/>
        <v/>
      </c>
      <c r="AH45" s="565" t="str">
        <f t="shared" si="6"/>
        <v/>
      </c>
      <c r="AI45" s="565" t="str">
        <f t="shared" si="7"/>
        <v/>
      </c>
      <c r="AJ45" s="565">
        <f t="shared" si="8"/>
        <v>1</v>
      </c>
      <c r="AK45" s="565" t="str">
        <f t="shared" si="18"/>
        <v/>
      </c>
      <c r="AL45" s="549" t="str">
        <f t="shared" si="19"/>
        <v/>
      </c>
      <c r="AM45" s="549"/>
      <c r="AN45" s="549"/>
      <c r="AO45" s="549"/>
      <c r="AP45" s="549"/>
      <c r="AQ45" s="549"/>
      <c r="AR45" s="549"/>
      <c r="AS45" s="549"/>
    </row>
    <row r="46" spans="3:45" x14ac:dyDescent="0.2">
      <c r="C46" s="568">
        <v>38</v>
      </c>
      <c r="D46" s="577">
        <v>342.15</v>
      </c>
      <c r="E46" s="585"/>
      <c r="F46" s="578"/>
      <c r="G46" s="578"/>
      <c r="L46" s="579"/>
      <c r="M46" s="549">
        <v>0.8</v>
      </c>
      <c r="N46" s="570">
        <f t="shared" si="0"/>
        <v>351.27428449038229</v>
      </c>
      <c r="O46" s="571">
        <f t="shared" si="1"/>
        <v>6.8236906886165877E-3</v>
      </c>
      <c r="P46" s="571">
        <f t="shared" si="9"/>
        <v>9.2643475665970774E-3</v>
      </c>
      <c r="Q46" s="566">
        <f t="shared" si="10"/>
        <v>20</v>
      </c>
      <c r="R46" s="572">
        <f t="shared" si="11"/>
        <v>0.48780487804878048</v>
      </c>
      <c r="S46" s="572">
        <f t="shared" si="2"/>
        <v>-3.0573399820906299E-2</v>
      </c>
      <c r="T46" s="572">
        <f t="shared" si="12"/>
        <v>-0.16868339610885719</v>
      </c>
      <c r="U46" s="572">
        <f t="shared" si="3"/>
        <v>0.43302283980244916</v>
      </c>
      <c r="V46" s="572">
        <f t="shared" si="13"/>
        <v>6.6977160197550845E-2</v>
      </c>
      <c r="W46" s="572">
        <f t="shared" si="14"/>
        <v>-4.1977160197550822E-2</v>
      </c>
      <c r="X46" s="567"/>
      <c r="Y46" s="567"/>
      <c r="Z46" s="567"/>
      <c r="AA46" s="567"/>
      <c r="AB46" s="573">
        <v>39</v>
      </c>
      <c r="AC46" s="574">
        <f t="shared" si="15"/>
        <v>402.7</v>
      </c>
      <c r="AD46" s="574">
        <f t="shared" si="16"/>
        <v>256.95</v>
      </c>
      <c r="AE46" s="565" t="str">
        <f t="shared" si="17"/>
        <v/>
      </c>
      <c r="AF46" s="565" t="str">
        <f t="shared" si="4"/>
        <v/>
      </c>
      <c r="AG46" s="565" t="str">
        <f t="shared" si="5"/>
        <v/>
      </c>
      <c r="AH46" s="565" t="str">
        <f t="shared" si="6"/>
        <v/>
      </c>
      <c r="AI46" s="565" t="str">
        <f t="shared" si="7"/>
        <v/>
      </c>
      <c r="AJ46" s="565">
        <f t="shared" si="8"/>
        <v>1</v>
      </c>
      <c r="AK46" s="565" t="str">
        <f t="shared" si="18"/>
        <v/>
      </c>
      <c r="AL46" s="549" t="str">
        <f t="shared" si="19"/>
        <v/>
      </c>
      <c r="AM46" s="549"/>
      <c r="AN46" s="549"/>
      <c r="AO46" s="549"/>
      <c r="AP46" s="549"/>
      <c r="AQ46" s="549"/>
      <c r="AR46" s="549"/>
      <c r="AS46" s="549"/>
    </row>
    <row r="47" spans="3:45" x14ac:dyDescent="0.2">
      <c r="C47" s="568">
        <v>39</v>
      </c>
      <c r="D47" s="577">
        <v>310.14999999999998</v>
      </c>
      <c r="E47" s="585"/>
      <c r="F47" s="578"/>
      <c r="G47" s="578"/>
      <c r="L47" s="579"/>
      <c r="M47" s="549">
        <v>0.9</v>
      </c>
      <c r="N47" s="570">
        <f t="shared" si="0"/>
        <v>355.51966380168011</v>
      </c>
      <c r="O47" s="571">
        <f t="shared" si="1"/>
        <v>6.2676437224501716E-3</v>
      </c>
      <c r="P47" s="571">
        <f t="shared" si="9"/>
        <v>8.2729267004680518E-5</v>
      </c>
      <c r="Q47" s="566">
        <f t="shared" si="10"/>
        <v>1</v>
      </c>
      <c r="R47" s="572">
        <f t="shared" si="11"/>
        <v>2.4390243902439025E-2</v>
      </c>
      <c r="S47" s="572">
        <f t="shared" si="2"/>
        <v>-1.9705053031703286</v>
      </c>
      <c r="T47" s="572">
        <f t="shared" si="12"/>
        <v>-3.076550772563889</v>
      </c>
      <c r="U47" s="572">
        <f t="shared" si="3"/>
        <v>1.0470531782678361E-3</v>
      </c>
      <c r="V47" s="572">
        <f t="shared" si="13"/>
        <v>2.3952946821732164E-2</v>
      </c>
      <c r="W47" s="572">
        <f t="shared" si="14"/>
        <v>1.0470531782678361E-3</v>
      </c>
      <c r="X47" s="567"/>
      <c r="Y47" s="567"/>
      <c r="Z47" s="567"/>
      <c r="AA47" s="567"/>
      <c r="AB47" s="573">
        <v>40</v>
      </c>
      <c r="AC47" s="574">
        <f t="shared" si="15"/>
        <v>407.65</v>
      </c>
      <c r="AD47" s="574">
        <f t="shared" si="16"/>
        <v>186.7</v>
      </c>
      <c r="AE47" s="565" t="str">
        <f t="shared" si="17"/>
        <v/>
      </c>
      <c r="AF47" s="565" t="str">
        <f t="shared" si="4"/>
        <v/>
      </c>
      <c r="AG47" s="565" t="str">
        <f t="shared" si="5"/>
        <v/>
      </c>
      <c r="AH47" s="565" t="str">
        <f t="shared" si="6"/>
        <v/>
      </c>
      <c r="AI47" s="565" t="str">
        <f t="shared" si="7"/>
        <v/>
      </c>
      <c r="AJ47" s="565">
        <f t="shared" si="8"/>
        <v>1</v>
      </c>
      <c r="AK47" s="565" t="str">
        <f t="shared" si="18"/>
        <v/>
      </c>
      <c r="AL47" s="549" t="str">
        <f t="shared" si="19"/>
        <v/>
      </c>
      <c r="AM47" s="549"/>
      <c r="AN47" s="549"/>
      <c r="AO47" s="549"/>
      <c r="AP47" s="549"/>
      <c r="AQ47" s="549"/>
      <c r="AR47" s="549"/>
      <c r="AS47" s="549"/>
    </row>
    <row r="48" spans="3:45" x14ac:dyDescent="0.2">
      <c r="C48" s="568">
        <v>40</v>
      </c>
      <c r="D48" s="577">
        <v>186.7</v>
      </c>
      <c r="E48" s="585" t="s">
        <v>476</v>
      </c>
      <c r="F48" s="578"/>
      <c r="G48" s="578"/>
      <c r="L48" s="579"/>
      <c r="M48" s="549">
        <v>1</v>
      </c>
      <c r="N48" s="570">
        <f t="shared" si="0"/>
        <v>359.76504311297788</v>
      </c>
      <c r="O48" s="571">
        <f t="shared" si="1"/>
        <v>5.6996255640859063E-3</v>
      </c>
      <c r="P48" s="571" t="str">
        <f t="shared" si="9"/>
        <v/>
      </c>
      <c r="Q48" s="566" t="str">
        <f t="shared" si="10"/>
        <v/>
      </c>
      <c r="R48" s="572" t="str">
        <f t="shared" si="11"/>
        <v/>
      </c>
      <c r="S48" s="572" t="str">
        <f t="shared" si="2"/>
        <v/>
      </c>
      <c r="T48" s="572" t="str">
        <f t="shared" si="12"/>
        <v/>
      </c>
      <c r="U48" s="572" t="str">
        <f t="shared" si="3"/>
        <v/>
      </c>
      <c r="V48" s="572" t="str">
        <f t="shared" si="13"/>
        <v/>
      </c>
      <c r="W48" s="572" t="str">
        <f t="shared" si="14"/>
        <v/>
      </c>
      <c r="X48" s="567"/>
      <c r="Y48" s="567"/>
      <c r="Z48" s="567"/>
      <c r="AA48" s="567"/>
      <c r="AB48" s="573">
        <v>41</v>
      </c>
      <c r="AC48" s="574" t="str">
        <f t="shared" si="15"/>
        <v/>
      </c>
      <c r="AD48" s="574" t="str">
        <f t="shared" si="16"/>
        <v/>
      </c>
      <c r="AE48" s="565" t="str">
        <f t="shared" si="17"/>
        <v/>
      </c>
      <c r="AF48" s="565" t="str">
        <f t="shared" si="4"/>
        <v/>
      </c>
      <c r="AG48" s="565" t="str">
        <f t="shared" si="5"/>
        <v/>
      </c>
      <c r="AH48" s="565" t="str">
        <f t="shared" si="6"/>
        <v/>
      </c>
      <c r="AI48" s="565" t="str">
        <f t="shared" si="7"/>
        <v/>
      </c>
      <c r="AJ48" s="565" t="str">
        <f t="shared" si="8"/>
        <v/>
      </c>
      <c r="AK48" s="565" t="str">
        <f t="shared" si="18"/>
        <v/>
      </c>
      <c r="AL48" s="549" t="str">
        <f t="shared" si="19"/>
        <v/>
      </c>
      <c r="AM48" s="549"/>
      <c r="AN48" s="549"/>
      <c r="AO48" s="549"/>
      <c r="AP48" s="549"/>
      <c r="AQ48" s="549"/>
      <c r="AR48" s="549"/>
      <c r="AS48" s="549"/>
    </row>
    <row r="49" spans="3:45" x14ac:dyDescent="0.2">
      <c r="C49" s="568">
        <v>41</v>
      </c>
      <c r="D49" s="577"/>
      <c r="E49" s="585" t="s">
        <v>477</v>
      </c>
      <c r="F49" s="578"/>
      <c r="G49" s="578"/>
      <c r="L49" s="579"/>
      <c r="M49" s="549">
        <v>1.1000000000000001</v>
      </c>
      <c r="N49" s="570">
        <f t="shared" si="0"/>
        <v>364.0104224242757</v>
      </c>
      <c r="O49" s="571">
        <f t="shared" si="1"/>
        <v>5.1315126649061149E-3</v>
      </c>
      <c r="P49" s="571" t="str">
        <f t="shared" si="9"/>
        <v/>
      </c>
      <c r="Q49" s="566" t="str">
        <f t="shared" si="10"/>
        <v/>
      </c>
      <c r="R49" s="572" t="str">
        <f t="shared" si="11"/>
        <v/>
      </c>
      <c r="S49" s="572" t="str">
        <f t="shared" si="2"/>
        <v/>
      </c>
      <c r="T49" s="572" t="str">
        <f t="shared" si="12"/>
        <v/>
      </c>
      <c r="U49" s="572" t="str">
        <f t="shared" si="3"/>
        <v/>
      </c>
      <c r="V49" s="572" t="str">
        <f t="shared" si="13"/>
        <v/>
      </c>
      <c r="W49" s="572" t="str">
        <f t="shared" si="14"/>
        <v/>
      </c>
      <c r="X49" s="567"/>
      <c r="Y49" s="567"/>
      <c r="Z49" s="567"/>
      <c r="AA49" s="567"/>
      <c r="AB49" s="573">
        <v>42</v>
      </c>
      <c r="AC49" s="574" t="str">
        <f t="shared" si="15"/>
        <v/>
      </c>
      <c r="AD49" s="574" t="str">
        <f t="shared" si="16"/>
        <v/>
      </c>
      <c r="AE49" s="565" t="str">
        <f t="shared" si="17"/>
        <v/>
      </c>
      <c r="AF49" s="565" t="str">
        <f t="shared" si="4"/>
        <v/>
      </c>
      <c r="AG49" s="565" t="str">
        <f t="shared" si="5"/>
        <v/>
      </c>
      <c r="AH49" s="565" t="str">
        <f t="shared" si="6"/>
        <v/>
      </c>
      <c r="AI49" s="565" t="str">
        <f t="shared" si="7"/>
        <v/>
      </c>
      <c r="AJ49" s="565" t="str">
        <f t="shared" si="8"/>
        <v/>
      </c>
      <c r="AK49" s="565" t="str">
        <f t="shared" si="18"/>
        <v/>
      </c>
      <c r="AL49" s="549" t="str">
        <f t="shared" si="19"/>
        <v/>
      </c>
      <c r="AM49" s="549"/>
      <c r="AN49" s="549"/>
      <c r="AO49" s="549"/>
      <c r="AP49" s="549"/>
      <c r="AQ49" s="549"/>
      <c r="AR49" s="549"/>
      <c r="AS49" s="549"/>
    </row>
    <row r="50" spans="3:45" x14ac:dyDescent="0.2">
      <c r="C50" s="568">
        <v>42</v>
      </c>
      <c r="D50" s="577"/>
      <c r="E50" s="585"/>
      <c r="F50" s="578"/>
      <c r="G50" s="578"/>
      <c r="L50" s="579"/>
      <c r="M50" s="549">
        <v>1.2</v>
      </c>
      <c r="N50" s="570">
        <f t="shared" si="0"/>
        <v>368.25580173557347</v>
      </c>
      <c r="O50" s="571">
        <f t="shared" si="1"/>
        <v>4.5740566565264365E-3</v>
      </c>
      <c r="P50" s="571" t="str">
        <f t="shared" si="9"/>
        <v/>
      </c>
      <c r="Q50" s="566" t="str">
        <f t="shared" si="10"/>
        <v/>
      </c>
      <c r="R50" s="572" t="str">
        <f t="shared" si="11"/>
        <v/>
      </c>
      <c r="S50" s="572" t="str">
        <f t="shared" si="2"/>
        <v/>
      </c>
      <c r="T50" s="572" t="str">
        <f t="shared" si="12"/>
        <v/>
      </c>
      <c r="U50" s="572" t="str">
        <f t="shared" si="3"/>
        <v/>
      </c>
      <c r="V50" s="572" t="str">
        <f t="shared" si="13"/>
        <v/>
      </c>
      <c r="W50" s="572" t="str">
        <f t="shared" si="14"/>
        <v/>
      </c>
      <c r="X50" s="567"/>
      <c r="Y50" s="567"/>
      <c r="Z50" s="567"/>
      <c r="AA50" s="567"/>
      <c r="AB50" s="573">
        <v>43</v>
      </c>
      <c r="AC50" s="574" t="str">
        <f t="shared" si="15"/>
        <v/>
      </c>
      <c r="AD50" s="574" t="str">
        <f t="shared" si="16"/>
        <v/>
      </c>
      <c r="AE50" s="565" t="str">
        <f t="shared" si="17"/>
        <v/>
      </c>
      <c r="AF50" s="565" t="str">
        <f t="shared" si="4"/>
        <v/>
      </c>
      <c r="AG50" s="565" t="str">
        <f t="shared" si="5"/>
        <v/>
      </c>
      <c r="AH50" s="565" t="str">
        <f t="shared" si="6"/>
        <v/>
      </c>
      <c r="AI50" s="565" t="str">
        <f t="shared" si="7"/>
        <v/>
      </c>
      <c r="AJ50" s="565" t="str">
        <f t="shared" si="8"/>
        <v/>
      </c>
      <c r="AK50" s="565" t="str">
        <f t="shared" si="18"/>
        <v/>
      </c>
      <c r="AL50" s="549" t="str">
        <f t="shared" si="19"/>
        <v/>
      </c>
      <c r="AM50" s="549"/>
      <c r="AN50" s="549"/>
      <c r="AO50" s="549"/>
      <c r="AP50" s="549"/>
      <c r="AQ50" s="549"/>
      <c r="AR50" s="549"/>
      <c r="AS50" s="549"/>
    </row>
    <row r="51" spans="3:45" x14ac:dyDescent="0.2">
      <c r="C51" s="568">
        <v>43</v>
      </c>
      <c r="D51" s="577"/>
      <c r="E51" s="585"/>
      <c r="F51" s="578"/>
      <c r="G51" s="578"/>
      <c r="L51" s="579"/>
      <c r="M51" s="549">
        <v>1.3</v>
      </c>
      <c r="N51" s="570">
        <f t="shared" si="0"/>
        <v>372.5011810468713</v>
      </c>
      <c r="O51" s="571">
        <f t="shared" si="1"/>
        <v>4.0365908316310267E-3</v>
      </c>
      <c r="P51" s="571" t="str">
        <f t="shared" si="9"/>
        <v/>
      </c>
      <c r="Q51" s="566" t="str">
        <f t="shared" si="10"/>
        <v/>
      </c>
      <c r="R51" s="572" t="str">
        <f t="shared" si="11"/>
        <v/>
      </c>
      <c r="S51" s="572" t="str">
        <f t="shared" si="2"/>
        <v/>
      </c>
      <c r="T51" s="572" t="str">
        <f t="shared" si="12"/>
        <v/>
      </c>
      <c r="U51" s="572" t="str">
        <f t="shared" si="3"/>
        <v/>
      </c>
      <c r="V51" s="572" t="str">
        <f t="shared" si="13"/>
        <v/>
      </c>
      <c r="W51" s="572" t="str">
        <f t="shared" si="14"/>
        <v/>
      </c>
      <c r="X51" s="567"/>
      <c r="Y51" s="567"/>
      <c r="Z51" s="567"/>
      <c r="AA51" s="567"/>
      <c r="AB51" s="573">
        <v>44</v>
      </c>
      <c r="AC51" s="574" t="str">
        <f t="shared" si="15"/>
        <v/>
      </c>
      <c r="AD51" s="574" t="str">
        <f t="shared" si="16"/>
        <v/>
      </c>
      <c r="AE51" s="565" t="str">
        <f t="shared" si="17"/>
        <v/>
      </c>
      <c r="AF51" s="565" t="str">
        <f t="shared" si="4"/>
        <v/>
      </c>
      <c r="AG51" s="565" t="str">
        <f t="shared" si="5"/>
        <v/>
      </c>
      <c r="AH51" s="565" t="str">
        <f t="shared" si="6"/>
        <v/>
      </c>
      <c r="AI51" s="565" t="str">
        <f t="shared" si="7"/>
        <v/>
      </c>
      <c r="AJ51" s="565" t="str">
        <f t="shared" si="8"/>
        <v/>
      </c>
      <c r="AK51" s="565" t="str">
        <f t="shared" si="18"/>
        <v/>
      </c>
      <c r="AL51" s="549" t="str">
        <f t="shared" si="19"/>
        <v/>
      </c>
      <c r="AM51" s="549"/>
      <c r="AN51" s="549"/>
      <c r="AO51" s="549"/>
      <c r="AP51" s="549"/>
      <c r="AQ51" s="549"/>
      <c r="AR51" s="549"/>
      <c r="AS51" s="549"/>
    </row>
    <row r="52" spans="3:45" x14ac:dyDescent="0.2">
      <c r="C52" s="568">
        <v>44</v>
      </c>
      <c r="D52" s="577"/>
      <c r="E52" s="585"/>
      <c r="F52" s="578"/>
      <c r="G52" s="578"/>
      <c r="L52" s="579"/>
      <c r="M52" s="549">
        <v>1.4</v>
      </c>
      <c r="N52" s="570">
        <f t="shared" si="0"/>
        <v>376.74656035816906</v>
      </c>
      <c r="O52" s="571">
        <f t="shared" si="1"/>
        <v>3.5268336385700675E-3</v>
      </c>
      <c r="P52" s="571" t="str">
        <f t="shared" si="9"/>
        <v/>
      </c>
      <c r="Q52" s="566" t="str">
        <f t="shared" si="10"/>
        <v/>
      </c>
      <c r="R52" s="572" t="str">
        <f t="shared" si="11"/>
        <v/>
      </c>
      <c r="S52" s="572" t="str">
        <f t="shared" si="2"/>
        <v/>
      </c>
      <c r="T52" s="572" t="str">
        <f t="shared" si="12"/>
        <v/>
      </c>
      <c r="U52" s="572" t="str">
        <f t="shared" si="3"/>
        <v/>
      </c>
      <c r="V52" s="572" t="str">
        <f t="shared" si="13"/>
        <v/>
      </c>
      <c r="W52" s="572" t="str">
        <f t="shared" si="14"/>
        <v/>
      </c>
      <c r="X52" s="567"/>
      <c r="Y52" s="567"/>
      <c r="Z52" s="567"/>
      <c r="AA52" s="567"/>
      <c r="AB52" s="573">
        <v>45</v>
      </c>
      <c r="AC52" s="574" t="str">
        <f t="shared" si="15"/>
        <v/>
      </c>
      <c r="AD52" s="574" t="str">
        <f t="shared" si="16"/>
        <v/>
      </c>
      <c r="AE52" s="565" t="str">
        <f t="shared" si="17"/>
        <v/>
      </c>
      <c r="AF52" s="565" t="str">
        <f t="shared" si="4"/>
        <v/>
      </c>
      <c r="AG52" s="565" t="str">
        <f t="shared" si="5"/>
        <v/>
      </c>
      <c r="AH52" s="565" t="str">
        <f t="shared" si="6"/>
        <v/>
      </c>
      <c r="AI52" s="565" t="str">
        <f t="shared" si="7"/>
        <v/>
      </c>
      <c r="AJ52" s="565" t="str">
        <f t="shared" si="8"/>
        <v/>
      </c>
      <c r="AK52" s="565" t="str">
        <f t="shared" si="18"/>
        <v/>
      </c>
      <c r="AL52" s="549" t="str">
        <f t="shared" si="19"/>
        <v/>
      </c>
      <c r="AM52" s="549"/>
      <c r="AN52" s="549"/>
      <c r="AO52" s="549"/>
      <c r="AP52" s="549"/>
      <c r="AQ52" s="549"/>
      <c r="AR52" s="549"/>
      <c r="AS52" s="549"/>
    </row>
    <row r="53" spans="3:45" x14ac:dyDescent="0.2">
      <c r="C53" s="568">
        <v>45</v>
      </c>
      <c r="D53" s="577"/>
      <c r="E53" s="585"/>
      <c r="F53" s="578"/>
      <c r="G53" s="578"/>
      <c r="L53" s="579"/>
      <c r="M53" s="549">
        <v>1.5</v>
      </c>
      <c r="N53" s="570">
        <f t="shared" si="0"/>
        <v>380.99193966946689</v>
      </c>
      <c r="O53" s="571">
        <f t="shared" si="1"/>
        <v>3.0507897214559761E-3</v>
      </c>
      <c r="P53" s="571" t="str">
        <f t="shared" si="9"/>
        <v/>
      </c>
      <c r="Q53" s="566" t="str">
        <f t="shared" si="10"/>
        <v/>
      </c>
      <c r="R53" s="572" t="str">
        <f t="shared" si="11"/>
        <v/>
      </c>
      <c r="S53" s="572" t="str">
        <f t="shared" si="2"/>
        <v/>
      </c>
      <c r="T53" s="572" t="str">
        <f t="shared" si="12"/>
        <v/>
      </c>
      <c r="U53" s="572" t="str">
        <f t="shared" si="3"/>
        <v/>
      </c>
      <c r="V53" s="572" t="str">
        <f t="shared" si="13"/>
        <v/>
      </c>
      <c r="W53" s="572" t="str">
        <f t="shared" si="14"/>
        <v/>
      </c>
      <c r="X53" s="567"/>
      <c r="Y53" s="567"/>
      <c r="Z53" s="567"/>
      <c r="AA53" s="567"/>
      <c r="AB53" s="573">
        <v>46</v>
      </c>
      <c r="AC53" s="574" t="str">
        <f t="shared" si="15"/>
        <v/>
      </c>
      <c r="AD53" s="574" t="str">
        <f t="shared" si="16"/>
        <v/>
      </c>
      <c r="AE53" s="565" t="str">
        <f t="shared" si="17"/>
        <v/>
      </c>
      <c r="AF53" s="565" t="str">
        <f t="shared" si="4"/>
        <v/>
      </c>
      <c r="AG53" s="565" t="str">
        <f t="shared" si="5"/>
        <v/>
      </c>
      <c r="AH53" s="565" t="str">
        <f t="shared" si="6"/>
        <v/>
      </c>
      <c r="AI53" s="565" t="str">
        <f t="shared" si="7"/>
        <v/>
      </c>
      <c r="AJ53" s="565" t="str">
        <f t="shared" si="8"/>
        <v/>
      </c>
      <c r="AK53" s="565" t="str">
        <f t="shared" si="18"/>
        <v/>
      </c>
      <c r="AL53" s="549" t="str">
        <f t="shared" si="19"/>
        <v/>
      </c>
      <c r="AM53" s="549"/>
      <c r="AN53" s="549"/>
      <c r="AO53" s="549"/>
      <c r="AP53" s="549"/>
      <c r="AQ53" s="549"/>
      <c r="AR53" s="549"/>
      <c r="AS53" s="549"/>
    </row>
    <row r="54" spans="3:45" x14ac:dyDescent="0.2">
      <c r="C54" s="568">
        <v>46</v>
      </c>
      <c r="D54" s="577"/>
      <c r="L54" s="579"/>
      <c r="M54" s="549">
        <v>1.6</v>
      </c>
      <c r="N54" s="570">
        <f t="shared" si="0"/>
        <v>385.23731898076471</v>
      </c>
      <c r="O54" s="571">
        <f t="shared" si="1"/>
        <v>2.6127426207659009E-3</v>
      </c>
      <c r="P54" s="571" t="str">
        <f t="shared" si="9"/>
        <v/>
      </c>
      <c r="Q54" s="566" t="str">
        <f t="shared" si="10"/>
        <v/>
      </c>
      <c r="R54" s="572" t="str">
        <f t="shared" si="11"/>
        <v/>
      </c>
      <c r="S54" s="572" t="str">
        <f t="shared" si="2"/>
        <v/>
      </c>
      <c r="T54" s="572" t="str">
        <f t="shared" si="12"/>
        <v/>
      </c>
      <c r="U54" s="572" t="str">
        <f t="shared" si="3"/>
        <v/>
      </c>
      <c r="V54" s="572" t="str">
        <f t="shared" si="13"/>
        <v/>
      </c>
      <c r="W54" s="572" t="str">
        <f t="shared" si="14"/>
        <v/>
      </c>
      <c r="X54" s="567"/>
      <c r="Y54" s="567"/>
      <c r="Z54" s="567"/>
      <c r="AA54" s="567"/>
      <c r="AB54" s="573">
        <v>47</v>
      </c>
      <c r="AC54" s="574" t="str">
        <f t="shared" si="15"/>
        <v/>
      </c>
      <c r="AD54" s="574" t="str">
        <f t="shared" si="16"/>
        <v/>
      </c>
      <c r="AE54" s="565" t="str">
        <f t="shared" si="17"/>
        <v/>
      </c>
      <c r="AF54" s="565" t="str">
        <f t="shared" si="4"/>
        <v/>
      </c>
      <c r="AG54" s="565" t="str">
        <f t="shared" si="5"/>
        <v/>
      </c>
      <c r="AH54" s="565" t="str">
        <f t="shared" si="6"/>
        <v/>
      </c>
      <c r="AI54" s="565" t="str">
        <f t="shared" si="7"/>
        <v/>
      </c>
      <c r="AJ54" s="565" t="str">
        <f t="shared" si="8"/>
        <v/>
      </c>
      <c r="AK54" s="565" t="str">
        <f t="shared" si="18"/>
        <v/>
      </c>
      <c r="AL54" s="549" t="str">
        <f t="shared" si="19"/>
        <v/>
      </c>
      <c r="AM54" s="549"/>
      <c r="AN54" s="549"/>
      <c r="AO54" s="549"/>
      <c r="AP54" s="549"/>
      <c r="AQ54" s="549"/>
      <c r="AR54" s="549"/>
      <c r="AS54" s="549"/>
    </row>
    <row r="55" spans="3:45" x14ac:dyDescent="0.2">
      <c r="C55" s="568">
        <v>47</v>
      </c>
      <c r="D55" s="577"/>
      <c r="L55" s="579"/>
      <c r="M55" s="549">
        <v>1.7</v>
      </c>
      <c r="N55" s="570">
        <f t="shared" si="0"/>
        <v>389.48269829206248</v>
      </c>
      <c r="O55" s="571">
        <f t="shared" si="1"/>
        <v>2.2153280185495715E-3</v>
      </c>
      <c r="P55" s="571" t="str">
        <f t="shared" si="9"/>
        <v/>
      </c>
      <c r="Q55" s="566" t="str">
        <f t="shared" si="10"/>
        <v/>
      </c>
      <c r="R55" s="572" t="str">
        <f t="shared" si="11"/>
        <v/>
      </c>
      <c r="S55" s="572" t="str">
        <f t="shared" si="2"/>
        <v/>
      </c>
      <c r="T55" s="572" t="str">
        <f t="shared" si="12"/>
        <v/>
      </c>
      <c r="U55" s="572" t="str">
        <f t="shared" si="3"/>
        <v/>
      </c>
      <c r="V55" s="572" t="str">
        <f t="shared" si="13"/>
        <v/>
      </c>
      <c r="W55" s="572" t="str">
        <f t="shared" si="14"/>
        <v/>
      </c>
      <c r="X55" s="567"/>
      <c r="Y55" s="567"/>
      <c r="Z55" s="567"/>
      <c r="AA55" s="567"/>
      <c r="AB55" s="573">
        <v>48</v>
      </c>
      <c r="AC55" s="574" t="str">
        <f t="shared" si="15"/>
        <v/>
      </c>
      <c r="AD55" s="574" t="str">
        <f t="shared" si="16"/>
        <v/>
      </c>
      <c r="AE55" s="565" t="str">
        <f t="shared" si="17"/>
        <v/>
      </c>
      <c r="AF55" s="565" t="str">
        <f t="shared" si="4"/>
        <v/>
      </c>
      <c r="AG55" s="565" t="str">
        <f t="shared" si="5"/>
        <v/>
      </c>
      <c r="AH55" s="565" t="str">
        <f t="shared" si="6"/>
        <v/>
      </c>
      <c r="AI55" s="565" t="str">
        <f t="shared" si="7"/>
        <v/>
      </c>
      <c r="AJ55" s="565" t="str">
        <f t="shared" si="8"/>
        <v/>
      </c>
      <c r="AK55" s="565" t="str">
        <f t="shared" si="18"/>
        <v/>
      </c>
      <c r="AL55" s="549" t="str">
        <f t="shared" si="19"/>
        <v/>
      </c>
      <c r="AM55" s="549"/>
      <c r="AN55" s="549"/>
      <c r="AO55" s="549"/>
      <c r="AP55" s="549"/>
      <c r="AQ55" s="549"/>
      <c r="AR55" s="549"/>
      <c r="AS55" s="549"/>
    </row>
    <row r="56" spans="3:45" x14ac:dyDescent="0.2">
      <c r="C56" s="568">
        <v>48</v>
      </c>
      <c r="D56" s="577"/>
      <c r="L56" s="579"/>
      <c r="M56" s="549">
        <v>1.8</v>
      </c>
      <c r="N56" s="570">
        <f t="shared" si="0"/>
        <v>393.7280776033603</v>
      </c>
      <c r="O56" s="571">
        <f t="shared" si="1"/>
        <v>1.8596726584781723E-3</v>
      </c>
      <c r="P56" s="571" t="str">
        <f t="shared" si="9"/>
        <v/>
      </c>
      <c r="Q56" s="566" t="str">
        <f t="shared" si="10"/>
        <v/>
      </c>
      <c r="R56" s="572" t="str">
        <f t="shared" si="11"/>
        <v/>
      </c>
      <c r="S56" s="572" t="str">
        <f t="shared" si="2"/>
        <v/>
      </c>
      <c r="T56" s="572" t="str">
        <f t="shared" si="12"/>
        <v/>
      </c>
      <c r="U56" s="572" t="str">
        <f t="shared" si="3"/>
        <v/>
      </c>
      <c r="V56" s="572" t="str">
        <f t="shared" si="13"/>
        <v/>
      </c>
      <c r="W56" s="572" t="str">
        <f t="shared" si="14"/>
        <v/>
      </c>
      <c r="X56" s="567"/>
      <c r="Y56" s="567"/>
      <c r="Z56" s="567"/>
      <c r="AA56" s="567"/>
      <c r="AB56" s="573">
        <v>49</v>
      </c>
      <c r="AC56" s="574" t="str">
        <f t="shared" si="15"/>
        <v/>
      </c>
      <c r="AD56" s="574" t="str">
        <f t="shared" si="16"/>
        <v/>
      </c>
      <c r="AE56" s="565" t="str">
        <f t="shared" si="17"/>
        <v/>
      </c>
      <c r="AF56" s="565" t="str">
        <f t="shared" si="4"/>
        <v/>
      </c>
      <c r="AG56" s="565" t="str">
        <f t="shared" si="5"/>
        <v/>
      </c>
      <c r="AH56" s="565" t="str">
        <f t="shared" si="6"/>
        <v/>
      </c>
      <c r="AI56" s="565" t="str">
        <f t="shared" si="7"/>
        <v/>
      </c>
      <c r="AJ56" s="565" t="str">
        <f t="shared" si="8"/>
        <v/>
      </c>
      <c r="AK56" s="565" t="str">
        <f t="shared" si="18"/>
        <v/>
      </c>
      <c r="AL56" s="549" t="str">
        <f t="shared" si="19"/>
        <v/>
      </c>
      <c r="AM56" s="549"/>
      <c r="AN56" s="549"/>
      <c r="AO56" s="549"/>
      <c r="AP56" s="549"/>
      <c r="AQ56" s="549"/>
      <c r="AR56" s="549"/>
      <c r="AS56" s="549"/>
    </row>
    <row r="57" spans="3:45" x14ac:dyDescent="0.2">
      <c r="C57" s="568">
        <v>49</v>
      </c>
      <c r="D57" s="577"/>
      <c r="L57" s="579"/>
      <c r="M57" s="549">
        <v>1.9</v>
      </c>
      <c r="N57" s="570">
        <f t="shared" si="0"/>
        <v>397.97345691465807</v>
      </c>
      <c r="O57" s="571">
        <f t="shared" si="1"/>
        <v>1.5455819130238823E-3</v>
      </c>
      <c r="P57" s="571" t="str">
        <f t="shared" si="9"/>
        <v/>
      </c>
      <c r="Q57" s="566" t="str">
        <f t="shared" si="10"/>
        <v/>
      </c>
      <c r="R57" s="572" t="str">
        <f t="shared" si="11"/>
        <v/>
      </c>
      <c r="S57" s="572" t="str">
        <f t="shared" si="2"/>
        <v/>
      </c>
      <c r="T57" s="572" t="str">
        <f t="shared" si="12"/>
        <v/>
      </c>
      <c r="U57" s="572" t="str">
        <f t="shared" si="3"/>
        <v/>
      </c>
      <c r="V57" s="572" t="str">
        <f t="shared" si="13"/>
        <v/>
      </c>
      <c r="W57" s="572" t="str">
        <f t="shared" si="14"/>
        <v/>
      </c>
      <c r="X57" s="567"/>
      <c r="Y57" s="567"/>
      <c r="Z57" s="567"/>
      <c r="AA57" s="567"/>
      <c r="AB57" s="573">
        <v>50</v>
      </c>
      <c r="AC57" s="574" t="str">
        <f t="shared" si="15"/>
        <v/>
      </c>
      <c r="AD57" s="574" t="str">
        <f t="shared" si="16"/>
        <v/>
      </c>
      <c r="AE57" s="565" t="str">
        <f t="shared" si="17"/>
        <v/>
      </c>
      <c r="AF57" s="565" t="str">
        <f t="shared" si="4"/>
        <v/>
      </c>
      <c r="AG57" s="565" t="str">
        <f t="shared" si="5"/>
        <v/>
      </c>
      <c r="AH57" s="565" t="str">
        <f t="shared" si="6"/>
        <v/>
      </c>
      <c r="AI57" s="565" t="str">
        <f t="shared" si="7"/>
        <v/>
      </c>
      <c r="AJ57" s="565" t="str">
        <f t="shared" si="8"/>
        <v/>
      </c>
      <c r="AK57" s="565" t="str">
        <f t="shared" si="18"/>
        <v/>
      </c>
      <c r="AL57" s="549" t="str">
        <f t="shared" si="19"/>
        <v/>
      </c>
      <c r="AM57" s="549"/>
      <c r="AN57" s="549"/>
      <c r="AO57" s="549"/>
      <c r="AP57" s="549"/>
      <c r="AQ57" s="549"/>
      <c r="AR57" s="549"/>
      <c r="AS57" s="549"/>
    </row>
    <row r="58" spans="3:45" x14ac:dyDescent="0.2">
      <c r="C58" s="568">
        <v>50</v>
      </c>
      <c r="D58" s="577"/>
      <c r="L58" s="579"/>
      <c r="M58" s="549">
        <v>2</v>
      </c>
      <c r="N58" s="570">
        <f t="shared" si="0"/>
        <v>402.2188362259559</v>
      </c>
      <c r="O58" s="571">
        <f t="shared" si="1"/>
        <v>1.2717583649005711E-3</v>
      </c>
      <c r="P58" s="571" t="str">
        <f t="shared" si="9"/>
        <v/>
      </c>
      <c r="Q58" s="566" t="str">
        <f t="shared" si="10"/>
        <v/>
      </c>
      <c r="R58" s="572" t="str">
        <f t="shared" si="11"/>
        <v/>
      </c>
      <c r="S58" s="572" t="str">
        <f t="shared" si="2"/>
        <v/>
      </c>
      <c r="T58" s="572" t="str">
        <f t="shared" si="12"/>
        <v/>
      </c>
      <c r="U58" s="572" t="str">
        <f t="shared" si="3"/>
        <v/>
      </c>
      <c r="V58" s="572" t="str">
        <f t="shared" si="13"/>
        <v/>
      </c>
      <c r="W58" s="572" t="str">
        <f t="shared" si="14"/>
        <v/>
      </c>
      <c r="X58" s="567"/>
      <c r="Y58" s="567"/>
      <c r="Z58" s="567"/>
      <c r="AA58" s="567"/>
      <c r="AB58" s="573">
        <v>51</v>
      </c>
      <c r="AC58" s="574" t="str">
        <f t="shared" si="15"/>
        <v/>
      </c>
      <c r="AD58" s="574" t="str">
        <f t="shared" si="16"/>
        <v/>
      </c>
      <c r="AE58" s="565" t="str">
        <f t="shared" si="17"/>
        <v/>
      </c>
      <c r="AF58" s="565" t="str">
        <f t="shared" si="4"/>
        <v/>
      </c>
      <c r="AG58" s="565" t="str">
        <f t="shared" si="5"/>
        <v/>
      </c>
      <c r="AH58" s="565" t="str">
        <f t="shared" si="6"/>
        <v/>
      </c>
      <c r="AI58" s="565" t="str">
        <f t="shared" si="7"/>
        <v/>
      </c>
      <c r="AJ58" s="565" t="str">
        <f t="shared" si="8"/>
        <v/>
      </c>
      <c r="AK58" s="565" t="str">
        <f t="shared" si="18"/>
        <v/>
      </c>
      <c r="AL58" s="549" t="str">
        <f t="shared" si="19"/>
        <v/>
      </c>
      <c r="AM58" s="549"/>
      <c r="AN58" s="549"/>
      <c r="AO58" s="549"/>
      <c r="AP58" s="549"/>
      <c r="AQ58" s="549"/>
      <c r="AR58" s="549"/>
      <c r="AS58" s="549"/>
    </row>
    <row r="59" spans="3:45" x14ac:dyDescent="0.2">
      <c r="C59" s="568">
        <v>51</v>
      </c>
      <c r="D59" s="577"/>
      <c r="E59" s="585"/>
      <c r="F59" s="578"/>
      <c r="G59" s="578"/>
      <c r="L59" s="579"/>
      <c r="M59" s="549">
        <v>2.1</v>
      </c>
      <c r="N59" s="570">
        <f t="shared" si="0"/>
        <v>406.46421553725366</v>
      </c>
      <c r="O59" s="571">
        <f t="shared" si="1"/>
        <v>1.0360345390900206E-3</v>
      </c>
      <c r="P59" s="571" t="str">
        <f t="shared" si="9"/>
        <v/>
      </c>
      <c r="Q59" s="566" t="str">
        <f t="shared" si="10"/>
        <v/>
      </c>
      <c r="R59" s="572" t="str">
        <f t="shared" si="11"/>
        <v/>
      </c>
      <c r="S59" s="572" t="str">
        <f t="shared" si="2"/>
        <v/>
      </c>
      <c r="T59" s="572" t="str">
        <f t="shared" si="12"/>
        <v/>
      </c>
      <c r="U59" s="572" t="str">
        <f t="shared" si="3"/>
        <v/>
      </c>
      <c r="V59" s="572" t="str">
        <f t="shared" si="13"/>
        <v/>
      </c>
      <c r="W59" s="572" t="str">
        <f t="shared" si="14"/>
        <v/>
      </c>
      <c r="X59" s="567"/>
      <c r="Y59" s="567"/>
      <c r="Z59" s="567"/>
      <c r="AA59" s="567"/>
      <c r="AB59" s="573">
        <v>52</v>
      </c>
      <c r="AC59" s="574" t="str">
        <f t="shared" si="15"/>
        <v/>
      </c>
      <c r="AD59" s="574" t="str">
        <f t="shared" si="16"/>
        <v/>
      </c>
      <c r="AE59" s="565" t="str">
        <f t="shared" si="17"/>
        <v/>
      </c>
      <c r="AF59" s="565" t="str">
        <f t="shared" si="4"/>
        <v/>
      </c>
      <c r="AG59" s="565" t="str">
        <f t="shared" si="5"/>
        <v/>
      </c>
      <c r="AH59" s="565" t="str">
        <f t="shared" si="6"/>
        <v/>
      </c>
      <c r="AI59" s="565" t="str">
        <f t="shared" si="7"/>
        <v/>
      </c>
      <c r="AJ59" s="565" t="str">
        <f t="shared" si="8"/>
        <v/>
      </c>
      <c r="AK59" s="565" t="str">
        <f t="shared" si="18"/>
        <v/>
      </c>
      <c r="AL59" s="549" t="str">
        <f t="shared" si="19"/>
        <v/>
      </c>
      <c r="AM59" s="549"/>
      <c r="AN59" s="549"/>
      <c r="AO59" s="549"/>
      <c r="AP59" s="549"/>
      <c r="AQ59" s="549"/>
      <c r="AR59" s="549"/>
      <c r="AS59" s="549"/>
    </row>
    <row r="60" spans="3:45" x14ac:dyDescent="0.2">
      <c r="C60" s="568">
        <v>52</v>
      </c>
      <c r="D60" s="577"/>
      <c r="E60" s="585"/>
      <c r="F60" s="578"/>
      <c r="G60" s="578"/>
      <c r="L60" s="579"/>
      <c r="M60" s="549">
        <v>2.2000000000000002</v>
      </c>
      <c r="N60" s="570">
        <f t="shared" si="0"/>
        <v>410.70959484855149</v>
      </c>
      <c r="O60" s="571">
        <f t="shared" si="1"/>
        <v>8.356047892311173E-4</v>
      </c>
      <c r="P60" s="571" t="str">
        <f t="shared" si="9"/>
        <v/>
      </c>
      <c r="Q60" s="566" t="str">
        <f t="shared" si="10"/>
        <v/>
      </c>
      <c r="R60" s="572" t="str">
        <f t="shared" si="11"/>
        <v/>
      </c>
      <c r="S60" s="572" t="str">
        <f t="shared" si="2"/>
        <v/>
      </c>
      <c r="T60" s="572" t="str">
        <f t="shared" si="12"/>
        <v/>
      </c>
      <c r="U60" s="572" t="str">
        <f t="shared" si="3"/>
        <v/>
      </c>
      <c r="V60" s="572" t="str">
        <f t="shared" si="13"/>
        <v/>
      </c>
      <c r="W60" s="572" t="str">
        <f t="shared" si="14"/>
        <v/>
      </c>
      <c r="X60" s="567"/>
      <c r="Y60" s="567"/>
      <c r="Z60" s="567"/>
      <c r="AA60" s="567"/>
      <c r="AB60" s="573">
        <v>53</v>
      </c>
      <c r="AC60" s="574" t="str">
        <f t="shared" si="15"/>
        <v/>
      </c>
      <c r="AD60" s="574" t="str">
        <f t="shared" si="16"/>
        <v/>
      </c>
      <c r="AE60" s="565" t="str">
        <f t="shared" si="17"/>
        <v/>
      </c>
      <c r="AF60" s="565" t="str">
        <f t="shared" si="4"/>
        <v/>
      </c>
      <c r="AG60" s="565" t="str">
        <f t="shared" si="5"/>
        <v/>
      </c>
      <c r="AH60" s="565" t="str">
        <f t="shared" si="6"/>
        <v/>
      </c>
      <c r="AI60" s="565" t="str">
        <f t="shared" si="7"/>
        <v/>
      </c>
      <c r="AJ60" s="565" t="str">
        <f t="shared" si="8"/>
        <v/>
      </c>
      <c r="AK60" s="565" t="str">
        <f t="shared" si="18"/>
        <v/>
      </c>
      <c r="AL60" s="549" t="str">
        <f t="shared" si="19"/>
        <v/>
      </c>
      <c r="AM60" s="549"/>
      <c r="AN60" s="549"/>
      <c r="AO60" s="549"/>
      <c r="AP60" s="549"/>
      <c r="AQ60" s="549"/>
      <c r="AR60" s="549"/>
      <c r="AS60" s="549"/>
    </row>
    <row r="61" spans="3:45" x14ac:dyDescent="0.2">
      <c r="C61" s="568">
        <v>53</v>
      </c>
      <c r="D61" s="577"/>
      <c r="E61" s="585"/>
      <c r="F61" s="578"/>
      <c r="G61" s="578"/>
      <c r="L61" s="579"/>
      <c r="M61" s="549">
        <v>2.2999999999999998</v>
      </c>
      <c r="N61" s="570">
        <f t="shared" si="0"/>
        <v>414.95497415984926</v>
      </c>
      <c r="O61" s="571">
        <f t="shared" si="1"/>
        <v>6.6724397667405899E-4</v>
      </c>
      <c r="P61" s="571" t="str">
        <f t="shared" si="9"/>
        <v/>
      </c>
      <c r="Q61" s="566" t="str">
        <f t="shared" si="10"/>
        <v/>
      </c>
      <c r="R61" s="572" t="str">
        <f t="shared" si="11"/>
        <v/>
      </c>
      <c r="S61" s="572" t="str">
        <f t="shared" si="2"/>
        <v/>
      </c>
      <c r="T61" s="572" t="str">
        <f t="shared" si="12"/>
        <v/>
      </c>
      <c r="U61" s="572" t="str">
        <f t="shared" si="3"/>
        <v/>
      </c>
      <c r="V61" s="572" t="str">
        <f t="shared" si="13"/>
        <v/>
      </c>
      <c r="W61" s="572" t="str">
        <f t="shared" si="14"/>
        <v/>
      </c>
      <c r="X61" s="567"/>
      <c r="Y61" s="567"/>
      <c r="Z61" s="567"/>
      <c r="AA61" s="567"/>
      <c r="AB61" s="573">
        <v>54</v>
      </c>
      <c r="AC61" s="574" t="str">
        <f t="shared" si="15"/>
        <v/>
      </c>
      <c r="AD61" s="574" t="str">
        <f t="shared" si="16"/>
        <v/>
      </c>
      <c r="AE61" s="565" t="str">
        <f t="shared" si="17"/>
        <v/>
      </c>
      <c r="AF61" s="565" t="str">
        <f t="shared" si="4"/>
        <v/>
      </c>
      <c r="AG61" s="565" t="str">
        <f t="shared" si="5"/>
        <v/>
      </c>
      <c r="AH61" s="565" t="str">
        <f t="shared" si="6"/>
        <v/>
      </c>
      <c r="AI61" s="565" t="str">
        <f t="shared" si="7"/>
        <v/>
      </c>
      <c r="AJ61" s="565" t="str">
        <f t="shared" si="8"/>
        <v/>
      </c>
      <c r="AK61" s="565" t="str">
        <f t="shared" si="18"/>
        <v/>
      </c>
      <c r="AL61" s="549" t="str">
        <f t="shared" si="19"/>
        <v/>
      </c>
      <c r="AM61" s="549"/>
      <c r="AN61" s="549"/>
      <c r="AO61" s="549"/>
      <c r="AP61" s="549"/>
      <c r="AQ61" s="549"/>
      <c r="AR61" s="549"/>
      <c r="AS61" s="549"/>
    </row>
    <row r="62" spans="3:45" x14ac:dyDescent="0.2">
      <c r="C62" s="568">
        <v>54</v>
      </c>
      <c r="D62" s="577"/>
      <c r="E62" s="585"/>
      <c r="F62" s="578"/>
      <c r="G62" s="578"/>
      <c r="L62" s="579"/>
      <c r="M62" s="549">
        <v>2.4</v>
      </c>
      <c r="N62" s="570">
        <f t="shared" si="0"/>
        <v>419.20035347114708</v>
      </c>
      <c r="O62" s="571">
        <f t="shared" si="1"/>
        <v>5.2750363754886594E-4</v>
      </c>
      <c r="P62" s="571" t="str">
        <f t="shared" si="9"/>
        <v/>
      </c>
      <c r="Q62" s="566" t="str">
        <f t="shared" si="10"/>
        <v/>
      </c>
      <c r="R62" s="572" t="str">
        <f t="shared" si="11"/>
        <v/>
      </c>
      <c r="S62" s="572" t="str">
        <f t="shared" si="2"/>
        <v/>
      </c>
      <c r="T62" s="572" t="str">
        <f t="shared" si="12"/>
        <v/>
      </c>
      <c r="U62" s="572" t="str">
        <f t="shared" si="3"/>
        <v/>
      </c>
      <c r="V62" s="572" t="str">
        <f t="shared" si="13"/>
        <v/>
      </c>
      <c r="W62" s="572" t="str">
        <f t="shared" si="14"/>
        <v/>
      </c>
      <c r="X62" s="567"/>
      <c r="Y62" s="567"/>
      <c r="Z62" s="567"/>
      <c r="AA62" s="567"/>
      <c r="AB62" s="573">
        <v>55</v>
      </c>
      <c r="AC62" s="574" t="str">
        <f t="shared" si="15"/>
        <v/>
      </c>
      <c r="AD62" s="574" t="str">
        <f t="shared" si="16"/>
        <v/>
      </c>
      <c r="AE62" s="565" t="str">
        <f t="shared" si="17"/>
        <v/>
      </c>
      <c r="AF62" s="565" t="str">
        <f t="shared" si="4"/>
        <v/>
      </c>
      <c r="AG62" s="565" t="str">
        <f t="shared" si="5"/>
        <v/>
      </c>
      <c r="AH62" s="565" t="str">
        <f t="shared" si="6"/>
        <v/>
      </c>
      <c r="AI62" s="565" t="str">
        <f t="shared" si="7"/>
        <v/>
      </c>
      <c r="AJ62" s="565" t="str">
        <f t="shared" si="8"/>
        <v/>
      </c>
      <c r="AK62" s="565" t="str">
        <f t="shared" si="18"/>
        <v/>
      </c>
      <c r="AL62" s="549" t="str">
        <f t="shared" si="19"/>
        <v/>
      </c>
      <c r="AM62" s="549"/>
      <c r="AN62" s="549"/>
      <c r="AO62" s="549"/>
      <c r="AP62" s="549"/>
      <c r="AQ62" s="549"/>
      <c r="AR62" s="549"/>
      <c r="AS62" s="549"/>
    </row>
    <row r="63" spans="3:45" x14ac:dyDescent="0.2">
      <c r="C63" s="568">
        <v>55</v>
      </c>
      <c r="D63" s="577"/>
      <c r="E63" s="585"/>
      <c r="F63" s="578"/>
      <c r="G63" s="578"/>
      <c r="L63" s="579"/>
      <c r="M63" s="549">
        <v>2.5</v>
      </c>
      <c r="N63" s="570">
        <f t="shared" si="0"/>
        <v>423.44573278244491</v>
      </c>
      <c r="O63" s="571">
        <f t="shared" si="1"/>
        <v>4.1287949104859041E-4</v>
      </c>
      <c r="P63" s="571" t="str">
        <f t="shared" si="9"/>
        <v/>
      </c>
      <c r="Q63" s="566" t="str">
        <f t="shared" si="10"/>
        <v/>
      </c>
      <c r="R63" s="572" t="str">
        <f t="shared" si="11"/>
        <v/>
      </c>
      <c r="S63" s="572" t="str">
        <f t="shared" si="2"/>
        <v/>
      </c>
      <c r="T63" s="572" t="str">
        <f t="shared" si="12"/>
        <v/>
      </c>
      <c r="U63" s="572" t="str">
        <f t="shared" si="3"/>
        <v/>
      </c>
      <c r="V63" s="572" t="str">
        <f t="shared" si="13"/>
        <v/>
      </c>
      <c r="W63" s="572" t="str">
        <f t="shared" si="14"/>
        <v/>
      </c>
      <c r="X63" s="567"/>
      <c r="Y63" s="567"/>
      <c r="Z63" s="567"/>
      <c r="AA63" s="567"/>
      <c r="AB63" s="573">
        <v>56</v>
      </c>
      <c r="AC63" s="574" t="str">
        <f t="shared" si="15"/>
        <v/>
      </c>
      <c r="AD63" s="574" t="str">
        <f t="shared" si="16"/>
        <v/>
      </c>
      <c r="AE63" s="565" t="str">
        <f t="shared" si="17"/>
        <v/>
      </c>
      <c r="AF63" s="565" t="str">
        <f t="shared" si="4"/>
        <v/>
      </c>
      <c r="AG63" s="565" t="str">
        <f t="shared" si="5"/>
        <v/>
      </c>
      <c r="AH63" s="565" t="str">
        <f t="shared" si="6"/>
        <v/>
      </c>
      <c r="AI63" s="565" t="str">
        <f t="shared" si="7"/>
        <v/>
      </c>
      <c r="AJ63" s="565" t="str">
        <f t="shared" si="8"/>
        <v/>
      </c>
      <c r="AK63" s="565" t="str">
        <f t="shared" si="18"/>
        <v/>
      </c>
      <c r="AL63" s="549" t="str">
        <f t="shared" si="19"/>
        <v/>
      </c>
      <c r="AM63" s="549"/>
      <c r="AN63" s="549"/>
      <c r="AO63" s="549"/>
      <c r="AP63" s="549"/>
      <c r="AQ63" s="549"/>
      <c r="AR63" s="549"/>
      <c r="AS63" s="549"/>
    </row>
    <row r="64" spans="3:45" x14ac:dyDescent="0.2">
      <c r="C64" s="568">
        <v>56</v>
      </c>
      <c r="D64" s="577"/>
      <c r="E64" s="631"/>
      <c r="F64" s="578"/>
      <c r="G64" s="578"/>
      <c r="H64" s="578"/>
      <c r="I64" s="578"/>
      <c r="J64" s="578"/>
      <c r="K64" s="578"/>
      <c r="L64" s="595"/>
      <c r="M64" s="549">
        <v>2.6</v>
      </c>
      <c r="N64" s="570">
        <f t="shared" si="0"/>
        <v>427.69111209374267</v>
      </c>
      <c r="O64" s="571">
        <f t="shared" si="1"/>
        <v>3.199471292833277E-4</v>
      </c>
      <c r="P64" s="571" t="str">
        <f t="shared" si="9"/>
        <v/>
      </c>
      <c r="Q64" s="566" t="str">
        <f t="shared" si="10"/>
        <v/>
      </c>
      <c r="R64" s="572" t="str">
        <f t="shared" si="11"/>
        <v/>
      </c>
      <c r="S64" s="572" t="str">
        <f t="shared" si="2"/>
        <v/>
      </c>
      <c r="T64" s="572" t="str">
        <f t="shared" si="12"/>
        <v/>
      </c>
      <c r="U64" s="572" t="str">
        <f t="shared" si="3"/>
        <v/>
      </c>
      <c r="V64" s="572" t="str">
        <f t="shared" si="13"/>
        <v/>
      </c>
      <c r="W64" s="572" t="str">
        <f t="shared" si="14"/>
        <v/>
      </c>
      <c r="X64" s="567"/>
      <c r="Y64" s="567"/>
      <c r="Z64" s="567"/>
      <c r="AA64" s="567"/>
      <c r="AB64" s="573">
        <v>57</v>
      </c>
      <c r="AC64" s="574" t="str">
        <f t="shared" si="15"/>
        <v/>
      </c>
      <c r="AD64" s="574" t="str">
        <f t="shared" si="16"/>
        <v/>
      </c>
      <c r="AE64" s="565" t="str">
        <f t="shared" si="17"/>
        <v/>
      </c>
      <c r="AF64" s="565" t="str">
        <f t="shared" si="4"/>
        <v/>
      </c>
      <c r="AG64" s="565" t="str">
        <f t="shared" si="5"/>
        <v/>
      </c>
      <c r="AH64" s="565" t="str">
        <f t="shared" si="6"/>
        <v/>
      </c>
      <c r="AI64" s="565" t="str">
        <f t="shared" si="7"/>
        <v/>
      </c>
      <c r="AJ64" s="565" t="str">
        <f t="shared" si="8"/>
        <v/>
      </c>
      <c r="AK64" s="565" t="str">
        <f t="shared" si="18"/>
        <v/>
      </c>
      <c r="AL64" s="549" t="str">
        <f t="shared" si="19"/>
        <v/>
      </c>
      <c r="AM64" s="549"/>
      <c r="AN64" s="549"/>
      <c r="AO64" s="549"/>
      <c r="AP64" s="549"/>
      <c r="AQ64" s="549"/>
      <c r="AR64" s="549"/>
      <c r="AS64" s="549"/>
    </row>
    <row r="65" spans="3:45" x14ac:dyDescent="0.2">
      <c r="C65" s="568">
        <v>57</v>
      </c>
      <c r="D65" s="577"/>
      <c r="E65" s="631"/>
      <c r="F65" s="578"/>
      <c r="G65" s="578"/>
      <c r="H65" s="578"/>
      <c r="I65" s="578"/>
      <c r="J65" s="578"/>
      <c r="K65" s="578"/>
      <c r="L65" s="595"/>
      <c r="M65" s="549">
        <v>2.7</v>
      </c>
      <c r="N65" s="570">
        <f t="shared" si="0"/>
        <v>431.9364914050405</v>
      </c>
      <c r="O65" s="571">
        <f t="shared" si="1"/>
        <v>2.4546534126386298E-4</v>
      </c>
      <c r="P65" s="571" t="str">
        <f t="shared" si="9"/>
        <v/>
      </c>
      <c r="Q65" s="566" t="str">
        <f t="shared" si="10"/>
        <v/>
      </c>
      <c r="R65" s="572" t="str">
        <f t="shared" si="11"/>
        <v/>
      </c>
      <c r="S65" s="572" t="str">
        <f t="shared" si="2"/>
        <v/>
      </c>
      <c r="T65" s="572" t="str">
        <f t="shared" si="12"/>
        <v/>
      </c>
      <c r="U65" s="572" t="str">
        <f t="shared" si="3"/>
        <v/>
      </c>
      <c r="V65" s="572" t="str">
        <f t="shared" si="13"/>
        <v/>
      </c>
      <c r="W65" s="572" t="str">
        <f t="shared" si="14"/>
        <v/>
      </c>
      <c r="X65" s="567"/>
      <c r="Y65" s="567"/>
      <c r="Z65" s="567"/>
      <c r="AA65" s="567"/>
      <c r="AB65" s="573">
        <v>58</v>
      </c>
      <c r="AC65" s="574" t="str">
        <f t="shared" si="15"/>
        <v/>
      </c>
      <c r="AD65" s="574" t="str">
        <f t="shared" si="16"/>
        <v/>
      </c>
      <c r="AE65" s="565" t="str">
        <f t="shared" si="17"/>
        <v/>
      </c>
      <c r="AF65" s="565" t="str">
        <f t="shared" si="4"/>
        <v/>
      </c>
      <c r="AG65" s="565" t="str">
        <f t="shared" si="5"/>
        <v/>
      </c>
      <c r="AH65" s="565" t="str">
        <f t="shared" si="6"/>
        <v/>
      </c>
      <c r="AI65" s="565" t="str">
        <f t="shared" si="7"/>
        <v/>
      </c>
      <c r="AJ65" s="565" t="str">
        <f t="shared" si="8"/>
        <v/>
      </c>
      <c r="AK65" s="565" t="str">
        <f t="shared" si="18"/>
        <v/>
      </c>
      <c r="AL65" s="549" t="str">
        <f t="shared" si="19"/>
        <v/>
      </c>
      <c r="AM65" s="549"/>
      <c r="AN65" s="549"/>
      <c r="AO65" s="549"/>
      <c r="AP65" s="549"/>
      <c r="AQ65" s="549"/>
      <c r="AR65" s="549"/>
      <c r="AS65" s="549"/>
    </row>
    <row r="66" spans="3:45" x14ac:dyDescent="0.2">
      <c r="C66" s="568">
        <v>58</v>
      </c>
      <c r="D66" s="577"/>
      <c r="E66" s="631" t="s">
        <v>478</v>
      </c>
      <c r="F66" s="578"/>
      <c r="G66" s="578"/>
      <c r="H66" s="578"/>
      <c r="I66" s="578"/>
      <c r="J66" s="578"/>
      <c r="K66" s="578"/>
      <c r="L66" s="595"/>
      <c r="M66" s="549">
        <v>2.8</v>
      </c>
      <c r="N66" s="570">
        <f t="shared" si="0"/>
        <v>436.18187071633827</v>
      </c>
      <c r="O66" s="571">
        <f t="shared" si="1"/>
        <v>1.8644863044193431E-4</v>
      </c>
      <c r="P66" s="571" t="str">
        <f t="shared" si="9"/>
        <v/>
      </c>
      <c r="Q66" s="566" t="str">
        <f t="shared" si="10"/>
        <v/>
      </c>
      <c r="R66" s="572" t="str">
        <f t="shared" si="11"/>
        <v/>
      </c>
      <c r="S66" s="572" t="str">
        <f t="shared" si="2"/>
        <v/>
      </c>
      <c r="T66" s="572" t="str">
        <f t="shared" si="12"/>
        <v/>
      </c>
      <c r="U66" s="572" t="str">
        <f t="shared" si="3"/>
        <v/>
      </c>
      <c r="V66" s="572" t="str">
        <f t="shared" si="13"/>
        <v/>
      </c>
      <c r="W66" s="572" t="str">
        <f t="shared" si="14"/>
        <v/>
      </c>
      <c r="X66" s="567"/>
      <c r="Y66" s="567"/>
      <c r="Z66" s="567"/>
      <c r="AA66" s="567"/>
      <c r="AB66" s="573">
        <v>59</v>
      </c>
      <c r="AC66" s="574" t="str">
        <f t="shared" si="15"/>
        <v/>
      </c>
      <c r="AD66" s="574" t="str">
        <f t="shared" si="16"/>
        <v/>
      </c>
      <c r="AE66" s="565" t="str">
        <f t="shared" si="17"/>
        <v/>
      </c>
      <c r="AF66" s="565" t="str">
        <f t="shared" si="4"/>
        <v/>
      </c>
      <c r="AG66" s="565" t="str">
        <f t="shared" si="5"/>
        <v/>
      </c>
      <c r="AH66" s="565" t="str">
        <f t="shared" si="6"/>
        <v/>
      </c>
      <c r="AI66" s="565" t="str">
        <f t="shared" si="7"/>
        <v/>
      </c>
      <c r="AJ66" s="565" t="str">
        <f t="shared" si="8"/>
        <v/>
      </c>
      <c r="AK66" s="565" t="str">
        <f t="shared" si="18"/>
        <v/>
      </c>
      <c r="AL66" s="549" t="str">
        <f t="shared" si="19"/>
        <v/>
      </c>
      <c r="AM66" s="549"/>
      <c r="AN66" s="549"/>
      <c r="AO66" s="549"/>
      <c r="AP66" s="549"/>
      <c r="AQ66" s="549"/>
      <c r="AR66" s="549"/>
      <c r="AS66" s="549"/>
    </row>
    <row r="67" spans="3:45" x14ac:dyDescent="0.2">
      <c r="C67" s="568">
        <v>59</v>
      </c>
      <c r="D67" s="577"/>
      <c r="E67" s="548" t="s">
        <v>479</v>
      </c>
      <c r="L67" s="595"/>
      <c r="M67" s="549">
        <v>2.9</v>
      </c>
      <c r="N67" s="570">
        <f t="shared" si="0"/>
        <v>440.42725002763609</v>
      </c>
      <c r="O67" s="571">
        <f t="shared" si="1"/>
        <v>1.4021202779066115E-4</v>
      </c>
      <c r="P67" s="571" t="str">
        <f t="shared" si="9"/>
        <v/>
      </c>
      <c r="Q67" s="566" t="str">
        <f t="shared" si="10"/>
        <v/>
      </c>
      <c r="R67" s="572" t="str">
        <f t="shared" si="11"/>
        <v/>
      </c>
      <c r="S67" s="572" t="str">
        <f t="shared" si="2"/>
        <v/>
      </c>
      <c r="T67" s="572" t="str">
        <f t="shared" si="12"/>
        <v/>
      </c>
      <c r="U67" s="572" t="str">
        <f t="shared" si="3"/>
        <v/>
      </c>
      <c r="V67" s="572" t="str">
        <f t="shared" si="13"/>
        <v/>
      </c>
      <c r="W67" s="572" t="str">
        <f t="shared" si="14"/>
        <v/>
      </c>
      <c r="X67" s="567"/>
      <c r="Y67" s="567"/>
      <c r="Z67" s="567"/>
      <c r="AA67" s="567"/>
      <c r="AB67" s="573">
        <v>60</v>
      </c>
      <c r="AC67" s="574" t="str">
        <f t="shared" si="15"/>
        <v/>
      </c>
      <c r="AD67" s="574" t="str">
        <f t="shared" si="16"/>
        <v/>
      </c>
      <c r="AE67" s="565" t="str">
        <f t="shared" si="17"/>
        <v/>
      </c>
      <c r="AF67" s="565" t="str">
        <f t="shared" si="4"/>
        <v/>
      </c>
      <c r="AG67" s="565" t="str">
        <f t="shared" si="5"/>
        <v/>
      </c>
      <c r="AH67" s="565" t="str">
        <f t="shared" si="6"/>
        <v/>
      </c>
      <c r="AI67" s="565" t="str">
        <f t="shared" si="7"/>
        <v/>
      </c>
      <c r="AJ67" s="565" t="str">
        <f t="shared" si="8"/>
        <v/>
      </c>
      <c r="AK67" s="565" t="str">
        <f t="shared" si="18"/>
        <v/>
      </c>
      <c r="AL67" s="549" t="str">
        <f t="shared" si="19"/>
        <v/>
      </c>
      <c r="AM67" s="549"/>
      <c r="AN67" s="549"/>
      <c r="AO67" s="549"/>
      <c r="AP67" s="549"/>
      <c r="AQ67" s="549"/>
      <c r="AR67" s="549"/>
      <c r="AS67" s="549"/>
    </row>
    <row r="68" spans="3:45" x14ac:dyDescent="0.2">
      <c r="C68" s="568">
        <v>60</v>
      </c>
      <c r="D68" s="577"/>
      <c r="L68" s="595"/>
      <c r="M68" s="549">
        <v>3</v>
      </c>
      <c r="N68" s="570">
        <f>$G$72+M68*$G$73</f>
        <v>444.67262933893386</v>
      </c>
      <c r="O68" s="571">
        <f t="shared" si="1"/>
        <v>1.0439228363279524E-4</v>
      </c>
      <c r="P68" s="571" t="str">
        <f t="shared" si="9"/>
        <v/>
      </c>
      <c r="Q68" s="566" t="str">
        <f t="shared" si="10"/>
        <v/>
      </c>
      <c r="R68" s="572" t="str">
        <f t="shared" si="11"/>
        <v/>
      </c>
      <c r="S68" s="572" t="str">
        <f t="shared" si="2"/>
        <v/>
      </c>
      <c r="T68" s="572" t="str">
        <f t="shared" si="12"/>
        <v/>
      </c>
      <c r="U68" s="572" t="str">
        <f t="shared" si="3"/>
        <v/>
      </c>
      <c r="V68" s="572" t="str">
        <f t="shared" si="13"/>
        <v/>
      </c>
      <c r="W68" s="572" t="str">
        <f t="shared" si="14"/>
        <v/>
      </c>
      <c r="X68" s="567"/>
      <c r="Y68" s="567"/>
      <c r="Z68" s="567"/>
      <c r="AA68" s="567"/>
      <c r="AB68" s="573">
        <v>61</v>
      </c>
      <c r="AC68" s="574" t="str">
        <f t="shared" si="15"/>
        <v/>
      </c>
      <c r="AD68" s="574" t="str">
        <f t="shared" si="16"/>
        <v/>
      </c>
      <c r="AE68" s="565" t="str">
        <f t="shared" si="17"/>
        <v/>
      </c>
      <c r="AF68" s="565" t="str">
        <f t="shared" si="4"/>
        <v/>
      </c>
      <c r="AG68" s="565" t="str">
        <f t="shared" si="5"/>
        <v/>
      </c>
      <c r="AH68" s="565" t="str">
        <f t="shared" si="6"/>
        <v/>
      </c>
      <c r="AI68" s="565" t="str">
        <f t="shared" si="7"/>
        <v/>
      </c>
      <c r="AJ68" s="565" t="str">
        <f t="shared" si="8"/>
        <v/>
      </c>
      <c r="AK68" s="565" t="str">
        <f t="shared" si="18"/>
        <v/>
      </c>
      <c r="AL68" s="549" t="str">
        <f t="shared" si="19"/>
        <v/>
      </c>
      <c r="AM68" s="549"/>
      <c r="AN68" s="549"/>
      <c r="AO68" s="549"/>
      <c r="AP68" s="549"/>
      <c r="AQ68" s="549"/>
      <c r="AR68" s="549"/>
      <c r="AS68" s="549"/>
    </row>
    <row r="69" spans="3:45" x14ac:dyDescent="0.2">
      <c r="C69" s="568">
        <v>61</v>
      </c>
      <c r="D69" s="577"/>
      <c r="L69" s="595"/>
      <c r="M69" s="549"/>
      <c r="N69" s="565"/>
      <c r="O69" s="565"/>
      <c r="P69" s="571" t="str">
        <f t="shared" si="9"/>
        <v/>
      </c>
      <c r="Q69" s="566" t="str">
        <f t="shared" si="10"/>
        <v/>
      </c>
      <c r="R69" s="572" t="str">
        <f t="shared" si="11"/>
        <v/>
      </c>
      <c r="S69" s="572" t="str">
        <f t="shared" si="2"/>
        <v/>
      </c>
      <c r="T69" s="572" t="str">
        <f t="shared" si="12"/>
        <v/>
      </c>
      <c r="U69" s="572" t="str">
        <f t="shared" si="3"/>
        <v/>
      </c>
      <c r="V69" s="572" t="str">
        <f t="shared" si="13"/>
        <v/>
      </c>
      <c r="W69" s="572" t="str">
        <f t="shared" si="14"/>
        <v/>
      </c>
      <c r="X69" s="567"/>
      <c r="Y69" s="567"/>
      <c r="Z69" s="567"/>
      <c r="AA69" s="567"/>
      <c r="AB69" s="573">
        <v>62</v>
      </c>
      <c r="AC69" s="574" t="str">
        <f t="shared" si="15"/>
        <v/>
      </c>
      <c r="AD69" s="574" t="str">
        <f t="shared" si="16"/>
        <v/>
      </c>
      <c r="AE69" s="565" t="str">
        <f t="shared" si="17"/>
        <v/>
      </c>
      <c r="AF69" s="565" t="str">
        <f t="shared" si="4"/>
        <v/>
      </c>
      <c r="AG69" s="565" t="str">
        <f t="shared" si="5"/>
        <v/>
      </c>
      <c r="AH69" s="565" t="str">
        <f t="shared" si="6"/>
        <v/>
      </c>
      <c r="AI69" s="565" t="str">
        <f t="shared" si="7"/>
        <v/>
      </c>
      <c r="AJ69" s="565" t="str">
        <f>IF(AC69&lt;=AO$16,IF(AC69&gt;AN$16,1,""),"")</f>
        <v/>
      </c>
      <c r="AK69" s="565" t="str">
        <f t="shared" si="18"/>
        <v/>
      </c>
      <c r="AL69" s="549" t="str">
        <f t="shared" si="19"/>
        <v/>
      </c>
      <c r="AM69" s="549"/>
      <c r="AN69" s="549"/>
      <c r="AO69" s="549"/>
      <c r="AP69" s="549"/>
      <c r="AQ69" s="549"/>
      <c r="AR69" s="549"/>
      <c r="AS69" s="549"/>
    </row>
    <row r="70" spans="3:45" x14ac:dyDescent="0.2">
      <c r="C70" s="568">
        <v>62</v>
      </c>
      <c r="D70" s="577"/>
      <c r="E70" s="632" t="s">
        <v>480</v>
      </c>
      <c r="F70" s="633"/>
      <c r="G70" s="633"/>
      <c r="H70" s="633"/>
      <c r="I70" s="633"/>
      <c r="J70" s="633"/>
      <c r="K70" s="633"/>
      <c r="L70" s="634"/>
      <c r="N70" s="565"/>
      <c r="O70" s="565"/>
      <c r="P70" s="571" t="str">
        <f t="shared" si="9"/>
        <v/>
      </c>
      <c r="Q70" s="566" t="str">
        <f t="shared" si="10"/>
        <v/>
      </c>
      <c r="R70" s="572" t="str">
        <f t="shared" si="11"/>
        <v/>
      </c>
      <c r="S70" s="572" t="str">
        <f t="shared" si="2"/>
        <v/>
      </c>
      <c r="T70" s="572" t="str">
        <f t="shared" si="12"/>
        <v/>
      </c>
      <c r="U70" s="572" t="str">
        <f t="shared" si="3"/>
        <v/>
      </c>
      <c r="V70" s="572" t="str">
        <f t="shared" si="13"/>
        <v/>
      </c>
      <c r="W70" s="572" t="str">
        <f t="shared" si="14"/>
        <v/>
      </c>
      <c r="X70" s="567"/>
      <c r="Y70" s="567"/>
      <c r="Z70" s="567"/>
      <c r="AA70" s="567"/>
      <c r="AB70" s="573">
        <v>63</v>
      </c>
      <c r="AC70" s="574" t="str">
        <f t="shared" si="15"/>
        <v/>
      </c>
      <c r="AD70" s="574" t="str">
        <f t="shared" si="16"/>
        <v/>
      </c>
      <c r="AE70" s="565" t="str">
        <f t="shared" si="17"/>
        <v/>
      </c>
      <c r="AF70" s="565"/>
      <c r="AG70" s="565"/>
      <c r="AH70" s="565"/>
      <c r="AI70" s="565"/>
      <c r="AJ70" s="565" t="str">
        <f t="shared" si="8"/>
        <v/>
      </c>
      <c r="AK70" s="565" t="str">
        <f t="shared" si="18"/>
        <v/>
      </c>
      <c r="AL70" s="549" t="str">
        <f t="shared" si="19"/>
        <v/>
      </c>
      <c r="AM70" s="549"/>
      <c r="AN70" s="549"/>
      <c r="AO70" s="549"/>
      <c r="AP70" s="549"/>
      <c r="AQ70" s="549"/>
      <c r="AR70" s="549"/>
      <c r="AS70" s="549"/>
    </row>
    <row r="71" spans="3:45" x14ac:dyDescent="0.2">
      <c r="C71" s="568">
        <v>63</v>
      </c>
      <c r="D71" s="577"/>
      <c r="E71" s="631"/>
      <c r="F71" s="578"/>
      <c r="G71" s="578"/>
      <c r="H71" s="578"/>
      <c r="I71" s="578"/>
      <c r="J71" s="578"/>
      <c r="K71" s="578"/>
      <c r="L71" s="595"/>
      <c r="N71" s="574">
        <f>G74</f>
        <v>100</v>
      </c>
      <c r="O71" s="565">
        <v>0</v>
      </c>
      <c r="P71" s="571" t="str">
        <f t="shared" si="9"/>
        <v/>
      </c>
      <c r="Q71" s="566" t="str">
        <f t="shared" si="10"/>
        <v/>
      </c>
      <c r="R71" s="572" t="str">
        <f t="shared" si="11"/>
        <v/>
      </c>
      <c r="S71" s="572" t="str">
        <f t="shared" si="2"/>
        <v/>
      </c>
      <c r="T71" s="572" t="str">
        <f t="shared" si="12"/>
        <v/>
      </c>
      <c r="U71" s="572" t="str">
        <f t="shared" si="3"/>
        <v/>
      </c>
      <c r="V71" s="572" t="str">
        <f t="shared" si="13"/>
        <v/>
      </c>
      <c r="W71" s="572" t="str">
        <f t="shared" si="14"/>
        <v/>
      </c>
      <c r="X71" s="567"/>
      <c r="Y71" s="567"/>
      <c r="Z71" s="567"/>
      <c r="AA71" s="567"/>
      <c r="AB71" s="573">
        <v>64</v>
      </c>
      <c r="AC71" s="574" t="str">
        <f t="shared" si="15"/>
        <v/>
      </c>
      <c r="AD71" s="574" t="str">
        <f t="shared" si="16"/>
        <v/>
      </c>
      <c r="AE71" s="565" t="str">
        <f t="shared" si="17"/>
        <v/>
      </c>
      <c r="AF71" s="565"/>
      <c r="AG71" s="565"/>
      <c r="AH71" s="565"/>
      <c r="AI71" s="565"/>
      <c r="AJ71" s="565" t="str">
        <f t="shared" si="8"/>
        <v/>
      </c>
      <c r="AK71" s="565" t="str">
        <f t="shared" si="18"/>
        <v/>
      </c>
      <c r="AL71" s="549" t="str">
        <f t="shared" si="19"/>
        <v/>
      </c>
      <c r="AM71" s="549"/>
      <c r="AN71" s="549"/>
      <c r="AO71" s="549"/>
      <c r="AP71" s="549"/>
      <c r="AQ71" s="549"/>
      <c r="AR71" s="549"/>
      <c r="AS71" s="549"/>
    </row>
    <row r="72" spans="3:45" x14ac:dyDescent="0.2">
      <c r="C72" s="568">
        <v>64</v>
      </c>
      <c r="D72" s="577"/>
      <c r="E72" s="631"/>
      <c r="F72" s="594" t="s">
        <v>481</v>
      </c>
      <c r="G72" s="608">
        <f>D108</f>
        <v>317.31124999999992</v>
      </c>
      <c r="H72" s="578"/>
      <c r="I72" s="594" t="s">
        <v>482</v>
      </c>
      <c r="J72" s="594" t="s">
        <v>42</v>
      </c>
      <c r="K72" s="594" t="s">
        <v>483</v>
      </c>
      <c r="L72" s="595"/>
      <c r="N72" s="574">
        <f>N71</f>
        <v>100</v>
      </c>
      <c r="O72" s="571">
        <f>MAX(O8:O68)</f>
        <v>9.3970939025346447E-3</v>
      </c>
      <c r="P72" s="571" t="str">
        <f t="shared" si="9"/>
        <v/>
      </c>
      <c r="Q72" s="566" t="str">
        <f t="shared" si="10"/>
        <v/>
      </c>
      <c r="R72" s="572" t="str">
        <f t="shared" si="11"/>
        <v/>
      </c>
      <c r="S72" s="572" t="str">
        <f t="shared" ref="S72:S106" si="33">IF(ISNUMBER(D73),NORMSINV(R72),"")</f>
        <v/>
      </c>
      <c r="T72" s="572" t="str">
        <f t="shared" si="12"/>
        <v/>
      </c>
      <c r="U72" s="572" t="str">
        <f t="shared" ref="U72:U106" si="34">IF(ISNUMBER(D73),NORMSDIST(T72),"")</f>
        <v/>
      </c>
      <c r="V72" s="572" t="str">
        <f t="shared" si="13"/>
        <v/>
      </c>
      <c r="W72" s="572" t="str">
        <f t="shared" si="14"/>
        <v/>
      </c>
      <c r="X72" s="567"/>
      <c r="Y72" s="567"/>
      <c r="Z72" s="567"/>
      <c r="AA72" s="567"/>
      <c r="AB72" s="573">
        <v>65</v>
      </c>
      <c r="AC72" s="574" t="str">
        <f t="shared" si="15"/>
        <v/>
      </c>
      <c r="AD72" s="574" t="str">
        <f t="shared" si="16"/>
        <v/>
      </c>
      <c r="AE72" s="565" t="str">
        <f t="shared" si="17"/>
        <v/>
      </c>
      <c r="AF72" s="565"/>
      <c r="AG72" s="565"/>
      <c r="AH72" s="565"/>
      <c r="AI72" s="565"/>
      <c r="AJ72" s="565" t="str">
        <f t="shared" ref="AJ72:AJ106" si="35">IF(AC72&lt;=AO$16,IF(AC72&gt;AN$16,1,""),"")</f>
        <v/>
      </c>
      <c r="AK72" s="565" t="str">
        <f t="shared" si="18"/>
        <v/>
      </c>
      <c r="AL72" s="549" t="str">
        <f t="shared" si="19"/>
        <v/>
      </c>
      <c r="AM72" s="549"/>
      <c r="AN72" s="549"/>
      <c r="AO72" s="549"/>
      <c r="AP72" s="549"/>
      <c r="AQ72" s="549"/>
      <c r="AR72" s="549"/>
      <c r="AS72" s="549"/>
    </row>
    <row r="73" spans="3:45" x14ac:dyDescent="0.2">
      <c r="C73" s="568">
        <v>65</v>
      </c>
      <c r="D73" s="577"/>
      <c r="E73" s="631"/>
      <c r="F73" s="594" t="s">
        <v>484</v>
      </c>
      <c r="G73" s="608">
        <f>D109</f>
        <v>42.453793112977984</v>
      </c>
      <c r="H73" s="578"/>
      <c r="I73" s="608">
        <f>+J73*SQRT(_xlfn.CHISQ.INV(0.025,G76)/G76)</f>
        <v>1.3335312763751399</v>
      </c>
      <c r="J73" s="608">
        <f>MIN((G75-G72)/(3*G73),(G72-G74)/(3*G73))</f>
        <v>1.7062570390486389</v>
      </c>
      <c r="K73" s="608">
        <f>+J73*SQRT(_xlfn.CHISQ.INV(0.975,G76)/G76)</f>
        <v>2.0782341566306424</v>
      </c>
      <c r="L73" s="595"/>
      <c r="N73" s="565"/>
      <c r="O73" s="565"/>
      <c r="P73" s="571" t="str">
        <f t="shared" ref="P73:P106" si="36">IF(ISNUMBER(D74),NORMDIST(D74,$D$108,$D$109,0),"")</f>
        <v/>
      </c>
      <c r="Q73" s="566" t="str">
        <f t="shared" ref="Q73:Q103" si="37">IF(ISNUMBER(D74),RANK(D74,D$9:D$107,1),"")</f>
        <v/>
      </c>
      <c r="R73" s="572" t="str">
        <f t="shared" ref="R73:R103" si="38">IF(ISNUMBER(D74),Q73/(MAX($Q$8:$Q$106)+1),"")</f>
        <v/>
      </c>
      <c r="S73" s="572" t="str">
        <f t="shared" si="33"/>
        <v/>
      </c>
      <c r="T73" s="572" t="str">
        <f t="shared" ref="T73:T103" si="39">IF(ISNUMBER(D74),((D74-AVERAGE($D$9:$D$107))/STDEV($D$9:$D$107)),"")</f>
        <v/>
      </c>
      <c r="U73" s="572" t="str">
        <f t="shared" si="34"/>
        <v/>
      </c>
      <c r="V73" s="572" t="str">
        <f t="shared" ref="V73:V103" si="40">IF(ISNUMBER(D74),Q73/COUNT($D$9:$D$107)-U73,"")</f>
        <v/>
      </c>
      <c r="W73" s="572" t="str">
        <f t="shared" ref="W73:W103" si="41">IF(ISNUMBER(D74),U73-(Q73-1)/COUNT($D$9:$D$107),"")</f>
        <v/>
      </c>
      <c r="X73" s="567"/>
      <c r="Y73" s="567"/>
      <c r="Z73" s="567"/>
      <c r="AA73" s="567"/>
      <c r="AB73" s="573">
        <v>66</v>
      </c>
      <c r="AC73" s="574" t="str">
        <f t="shared" ref="AC73:AC106" si="42">IF(ISNUMBER(D74),SMALL($D$9:$D$107,C74),"")</f>
        <v/>
      </c>
      <c r="AD73" s="574" t="str">
        <f t="shared" ref="AD73:AD106" si="43">IF(ISNUMBER(AC73),LARGE(AC$8:AC$106,AB73),"")</f>
        <v/>
      </c>
      <c r="AE73" s="565" t="str">
        <f t="shared" ref="AE73:AE106" si="44">IF(AC73&lt;=AO$11,1,"")</f>
        <v/>
      </c>
      <c r="AF73" s="565"/>
      <c r="AG73" s="565"/>
      <c r="AH73" s="565"/>
      <c r="AI73" s="565"/>
      <c r="AJ73" s="565" t="str">
        <f t="shared" si="35"/>
        <v/>
      </c>
      <c r="AK73" s="565" t="str">
        <f t="shared" ref="AK73:AK106" si="45">IF(AC73&lt;=AO$17,IF(AC73&gt;AN$17,1,""),"")</f>
        <v/>
      </c>
      <c r="AL73" s="549" t="str">
        <f t="shared" ref="AL73:AL106" si="46">IF(AC73&lt;=AO$18,IF(AC73&gt;AN$18,1,""),"")</f>
        <v/>
      </c>
      <c r="AM73" s="549"/>
      <c r="AN73" s="549"/>
      <c r="AO73" s="549"/>
      <c r="AP73" s="549"/>
      <c r="AQ73" s="549"/>
      <c r="AR73" s="549"/>
      <c r="AS73" s="549"/>
    </row>
    <row r="74" spans="3:45" x14ac:dyDescent="0.2">
      <c r="C74" s="568">
        <v>66</v>
      </c>
      <c r="D74" s="577"/>
      <c r="E74" s="631"/>
      <c r="F74" s="594" t="s">
        <v>485</v>
      </c>
      <c r="G74" s="635">
        <v>100</v>
      </c>
      <c r="H74" s="578"/>
      <c r="I74" s="578"/>
      <c r="J74" s="578"/>
      <c r="K74" s="578"/>
      <c r="L74" s="595"/>
      <c r="N74" s="574">
        <f>G75</f>
        <v>700</v>
      </c>
      <c r="O74" s="565">
        <v>0</v>
      </c>
      <c r="P74" s="571" t="str">
        <f t="shared" si="36"/>
        <v/>
      </c>
      <c r="Q74" s="566" t="str">
        <f t="shared" si="37"/>
        <v/>
      </c>
      <c r="R74" s="572" t="str">
        <f t="shared" si="38"/>
        <v/>
      </c>
      <c r="S74" s="572" t="str">
        <f t="shared" si="33"/>
        <v/>
      </c>
      <c r="T74" s="572" t="str">
        <f t="shared" si="39"/>
        <v/>
      </c>
      <c r="U74" s="572" t="str">
        <f t="shared" si="34"/>
        <v/>
      </c>
      <c r="V74" s="572" t="str">
        <f t="shared" si="40"/>
        <v/>
      </c>
      <c r="W74" s="572" t="str">
        <f t="shared" si="41"/>
        <v/>
      </c>
      <c r="X74" s="567"/>
      <c r="Y74" s="567"/>
      <c r="Z74" s="567"/>
      <c r="AA74" s="567"/>
      <c r="AB74" s="573">
        <v>67</v>
      </c>
      <c r="AC74" s="574" t="str">
        <f t="shared" si="42"/>
        <v/>
      </c>
      <c r="AD74" s="574" t="str">
        <f t="shared" si="43"/>
        <v/>
      </c>
      <c r="AE74" s="565" t="str">
        <f t="shared" si="44"/>
        <v/>
      </c>
      <c r="AF74" s="565"/>
      <c r="AG74" s="565"/>
      <c r="AH74" s="565"/>
      <c r="AI74" s="565"/>
      <c r="AJ74" s="565" t="str">
        <f t="shared" si="35"/>
        <v/>
      </c>
      <c r="AK74" s="565" t="str">
        <f t="shared" si="45"/>
        <v/>
      </c>
      <c r="AL74" s="549" t="str">
        <f t="shared" si="46"/>
        <v/>
      </c>
      <c r="AM74" s="549"/>
      <c r="AN74" s="549"/>
      <c r="AO74" s="549"/>
      <c r="AP74" s="549"/>
      <c r="AQ74" s="549"/>
      <c r="AR74" s="549"/>
      <c r="AS74" s="549"/>
    </row>
    <row r="75" spans="3:45" x14ac:dyDescent="0.2">
      <c r="C75" s="568">
        <v>67</v>
      </c>
      <c r="D75" s="577"/>
      <c r="E75" s="631"/>
      <c r="F75" s="594" t="s">
        <v>486</v>
      </c>
      <c r="G75" s="635">
        <v>700</v>
      </c>
      <c r="H75" s="578"/>
      <c r="I75" s="594" t="s">
        <v>46</v>
      </c>
      <c r="J75" s="636" t="str">
        <f>IF(J73&gt;=1.33,"yes","no")</f>
        <v>yes</v>
      </c>
      <c r="K75" s="578"/>
      <c r="L75" s="595"/>
      <c r="N75" s="574">
        <f>N74</f>
        <v>700</v>
      </c>
      <c r="O75" s="571">
        <f>O72</f>
        <v>9.3970939025346447E-3</v>
      </c>
      <c r="P75" s="571" t="str">
        <f t="shared" si="36"/>
        <v/>
      </c>
      <c r="Q75" s="566" t="str">
        <f t="shared" si="37"/>
        <v/>
      </c>
      <c r="R75" s="572" t="str">
        <f t="shared" si="38"/>
        <v/>
      </c>
      <c r="S75" s="572" t="str">
        <f t="shared" si="33"/>
        <v/>
      </c>
      <c r="T75" s="572" t="str">
        <f t="shared" si="39"/>
        <v/>
      </c>
      <c r="U75" s="572" t="str">
        <f t="shared" si="34"/>
        <v/>
      </c>
      <c r="V75" s="572" t="str">
        <f t="shared" si="40"/>
        <v/>
      </c>
      <c r="W75" s="572" t="str">
        <f t="shared" si="41"/>
        <v/>
      </c>
      <c r="X75" s="567"/>
      <c r="Y75" s="567"/>
      <c r="Z75" s="567"/>
      <c r="AA75" s="567"/>
      <c r="AB75" s="573">
        <v>68</v>
      </c>
      <c r="AC75" s="574" t="str">
        <f t="shared" si="42"/>
        <v/>
      </c>
      <c r="AD75" s="574" t="str">
        <f t="shared" si="43"/>
        <v/>
      </c>
      <c r="AE75" s="565" t="str">
        <f t="shared" si="44"/>
        <v/>
      </c>
      <c r="AF75" s="565"/>
      <c r="AG75" s="565"/>
      <c r="AH75" s="565"/>
      <c r="AI75" s="565"/>
      <c r="AJ75" s="565" t="str">
        <f t="shared" si="35"/>
        <v/>
      </c>
      <c r="AK75" s="565" t="str">
        <f t="shared" si="45"/>
        <v/>
      </c>
      <c r="AL75" s="549" t="str">
        <f t="shared" si="46"/>
        <v/>
      </c>
      <c r="AM75" s="549"/>
      <c r="AN75" s="549"/>
      <c r="AO75" s="549"/>
      <c r="AP75" s="549"/>
      <c r="AQ75" s="549"/>
      <c r="AR75" s="549"/>
      <c r="AS75" s="549"/>
    </row>
    <row r="76" spans="3:45" x14ac:dyDescent="0.2">
      <c r="C76" s="568">
        <v>68</v>
      </c>
      <c r="D76" s="577"/>
      <c r="E76" s="631"/>
      <c r="F76" s="594" t="s">
        <v>75</v>
      </c>
      <c r="G76" s="597">
        <f>COUNT(D9:D107)</f>
        <v>40</v>
      </c>
      <c r="H76" s="578"/>
      <c r="I76" s="594" t="s">
        <v>487</v>
      </c>
      <c r="J76" s="637"/>
      <c r="K76" s="578"/>
      <c r="L76" s="595"/>
      <c r="N76" s="565"/>
      <c r="O76" s="565"/>
      <c r="P76" s="571" t="str">
        <f t="shared" si="36"/>
        <v/>
      </c>
      <c r="Q76" s="566" t="str">
        <f t="shared" si="37"/>
        <v/>
      </c>
      <c r="R76" s="572" t="str">
        <f t="shared" si="38"/>
        <v/>
      </c>
      <c r="S76" s="572" t="str">
        <f t="shared" si="33"/>
        <v/>
      </c>
      <c r="T76" s="572" t="str">
        <f t="shared" si="39"/>
        <v/>
      </c>
      <c r="U76" s="572" t="str">
        <f t="shared" si="34"/>
        <v/>
      </c>
      <c r="V76" s="572" t="str">
        <f t="shared" si="40"/>
        <v/>
      </c>
      <c r="W76" s="572" t="str">
        <f t="shared" si="41"/>
        <v/>
      </c>
      <c r="X76" s="567"/>
      <c r="Y76" s="567"/>
      <c r="Z76" s="567"/>
      <c r="AA76" s="567"/>
      <c r="AB76" s="573">
        <v>69</v>
      </c>
      <c r="AC76" s="574" t="str">
        <f t="shared" si="42"/>
        <v/>
      </c>
      <c r="AD76" s="574" t="str">
        <f t="shared" si="43"/>
        <v/>
      </c>
      <c r="AE76" s="565" t="str">
        <f t="shared" si="44"/>
        <v/>
      </c>
      <c r="AF76" s="565"/>
      <c r="AG76" s="565"/>
      <c r="AH76" s="565"/>
      <c r="AI76" s="565"/>
      <c r="AJ76" s="565" t="str">
        <f t="shared" si="35"/>
        <v/>
      </c>
      <c r="AK76" s="565" t="str">
        <f t="shared" si="45"/>
        <v/>
      </c>
      <c r="AL76" s="549" t="str">
        <f t="shared" si="46"/>
        <v/>
      </c>
      <c r="AM76" s="549"/>
      <c r="AN76" s="549"/>
      <c r="AO76" s="549"/>
      <c r="AP76" s="549"/>
      <c r="AQ76" s="549"/>
      <c r="AR76" s="549"/>
      <c r="AS76" s="549"/>
    </row>
    <row r="77" spans="3:45" x14ac:dyDescent="0.2">
      <c r="C77" s="568">
        <v>69</v>
      </c>
      <c r="D77" s="577"/>
      <c r="E77" s="631"/>
      <c r="F77" s="594" t="s">
        <v>117</v>
      </c>
      <c r="G77" s="608">
        <f>G20</f>
        <v>186.7</v>
      </c>
      <c r="H77" s="578"/>
      <c r="L77" s="595"/>
      <c r="N77" s="565"/>
      <c r="O77" s="565"/>
      <c r="P77" s="571" t="str">
        <f t="shared" si="36"/>
        <v/>
      </c>
      <c r="Q77" s="566" t="str">
        <f t="shared" si="37"/>
        <v/>
      </c>
      <c r="R77" s="572" t="str">
        <f t="shared" si="38"/>
        <v/>
      </c>
      <c r="S77" s="572" t="str">
        <f t="shared" si="33"/>
        <v/>
      </c>
      <c r="T77" s="572" t="str">
        <f t="shared" si="39"/>
        <v/>
      </c>
      <c r="U77" s="572" t="str">
        <f t="shared" si="34"/>
        <v/>
      </c>
      <c r="V77" s="572" t="str">
        <f t="shared" si="40"/>
        <v/>
      </c>
      <c r="W77" s="572" t="str">
        <f t="shared" si="41"/>
        <v/>
      </c>
      <c r="X77" s="567"/>
      <c r="Y77" s="567"/>
      <c r="Z77" s="567"/>
      <c r="AA77" s="567"/>
      <c r="AB77" s="573">
        <v>70</v>
      </c>
      <c r="AC77" s="574" t="str">
        <f t="shared" si="42"/>
        <v/>
      </c>
      <c r="AD77" s="574" t="str">
        <f t="shared" si="43"/>
        <v/>
      </c>
      <c r="AE77" s="565" t="str">
        <f t="shared" si="44"/>
        <v/>
      </c>
      <c r="AF77" s="565"/>
      <c r="AG77" s="565"/>
      <c r="AH77" s="565"/>
      <c r="AI77" s="565"/>
      <c r="AJ77" s="565" t="str">
        <f t="shared" si="35"/>
        <v/>
      </c>
      <c r="AK77" s="565" t="str">
        <f t="shared" si="45"/>
        <v/>
      </c>
      <c r="AL77" s="549" t="str">
        <f t="shared" si="46"/>
        <v/>
      </c>
      <c r="AM77" s="549"/>
      <c r="AN77" s="549"/>
      <c r="AO77" s="549"/>
      <c r="AP77" s="549"/>
      <c r="AQ77" s="549"/>
      <c r="AR77" s="549"/>
      <c r="AS77" s="549"/>
    </row>
    <row r="78" spans="3:45" x14ac:dyDescent="0.2">
      <c r="C78" s="568">
        <v>70</v>
      </c>
      <c r="D78" s="577"/>
      <c r="E78" s="631"/>
      <c r="F78" s="594" t="s">
        <v>118</v>
      </c>
      <c r="G78" s="608">
        <f>G19</f>
        <v>407.65</v>
      </c>
      <c r="H78" s="578"/>
      <c r="L78" s="595"/>
      <c r="N78" s="565"/>
      <c r="O78" s="565"/>
      <c r="P78" s="571" t="str">
        <f t="shared" si="36"/>
        <v/>
      </c>
      <c r="Q78" s="566" t="str">
        <f t="shared" si="37"/>
        <v/>
      </c>
      <c r="R78" s="572" t="str">
        <f t="shared" si="38"/>
        <v/>
      </c>
      <c r="S78" s="572" t="str">
        <f t="shared" si="33"/>
        <v/>
      </c>
      <c r="T78" s="572" t="str">
        <f t="shared" si="39"/>
        <v/>
      </c>
      <c r="U78" s="572" t="str">
        <f t="shared" si="34"/>
        <v/>
      </c>
      <c r="V78" s="572" t="str">
        <f t="shared" si="40"/>
        <v/>
      </c>
      <c r="W78" s="572" t="str">
        <f t="shared" si="41"/>
        <v/>
      </c>
      <c r="X78" s="567"/>
      <c r="Y78" s="567"/>
      <c r="Z78" s="567"/>
      <c r="AA78" s="567"/>
      <c r="AB78" s="573">
        <v>71</v>
      </c>
      <c r="AC78" s="574" t="str">
        <f t="shared" si="42"/>
        <v/>
      </c>
      <c r="AD78" s="574" t="str">
        <f t="shared" si="43"/>
        <v/>
      </c>
      <c r="AE78" s="565" t="str">
        <f t="shared" si="44"/>
        <v/>
      </c>
      <c r="AF78" s="565"/>
      <c r="AG78" s="565"/>
      <c r="AH78" s="565"/>
      <c r="AI78" s="565"/>
      <c r="AJ78" s="565" t="str">
        <f t="shared" si="35"/>
        <v/>
      </c>
      <c r="AK78" s="565" t="str">
        <f t="shared" si="45"/>
        <v/>
      </c>
      <c r="AL78" s="549" t="str">
        <f t="shared" si="46"/>
        <v/>
      </c>
      <c r="AM78" s="549"/>
      <c r="AN78" s="549"/>
      <c r="AO78" s="549"/>
      <c r="AP78" s="549"/>
      <c r="AQ78" s="549"/>
      <c r="AR78" s="549"/>
      <c r="AS78" s="549"/>
    </row>
    <row r="79" spans="3:45" x14ac:dyDescent="0.2">
      <c r="C79" s="568">
        <v>71</v>
      </c>
      <c r="D79" s="577"/>
      <c r="E79" s="631"/>
      <c r="F79" s="578"/>
      <c r="G79" s="578"/>
      <c r="H79" s="578"/>
      <c r="I79" s="578"/>
      <c r="J79" s="578"/>
      <c r="K79" s="578"/>
      <c r="L79" s="595"/>
      <c r="N79" s="565"/>
      <c r="O79" s="565"/>
      <c r="P79" s="571" t="str">
        <f t="shared" si="36"/>
        <v/>
      </c>
      <c r="Q79" s="566" t="str">
        <f t="shared" si="37"/>
        <v/>
      </c>
      <c r="R79" s="572" t="str">
        <f t="shared" si="38"/>
        <v/>
      </c>
      <c r="S79" s="572" t="str">
        <f t="shared" si="33"/>
        <v/>
      </c>
      <c r="T79" s="572" t="str">
        <f t="shared" si="39"/>
        <v/>
      </c>
      <c r="U79" s="572" t="str">
        <f t="shared" si="34"/>
        <v/>
      </c>
      <c r="V79" s="572" t="str">
        <f t="shared" si="40"/>
        <v/>
      </c>
      <c r="W79" s="572" t="str">
        <f t="shared" si="41"/>
        <v/>
      </c>
      <c r="X79" s="567"/>
      <c r="Y79" s="567"/>
      <c r="Z79" s="567"/>
      <c r="AA79" s="567"/>
      <c r="AB79" s="573">
        <v>72</v>
      </c>
      <c r="AC79" s="574" t="str">
        <f t="shared" si="42"/>
        <v/>
      </c>
      <c r="AD79" s="574" t="str">
        <f t="shared" si="43"/>
        <v/>
      </c>
      <c r="AE79" s="565" t="str">
        <f t="shared" si="44"/>
        <v/>
      </c>
      <c r="AF79" s="565"/>
      <c r="AG79" s="565"/>
      <c r="AH79" s="565"/>
      <c r="AI79" s="565"/>
      <c r="AJ79" s="565" t="str">
        <f t="shared" si="35"/>
        <v/>
      </c>
      <c r="AK79" s="565" t="str">
        <f t="shared" si="45"/>
        <v/>
      </c>
      <c r="AL79" s="549" t="str">
        <f t="shared" si="46"/>
        <v/>
      </c>
      <c r="AM79" s="549"/>
      <c r="AN79" s="549"/>
      <c r="AO79" s="549"/>
      <c r="AP79" s="549"/>
      <c r="AQ79" s="549"/>
      <c r="AR79" s="549"/>
      <c r="AS79" s="549"/>
    </row>
    <row r="80" spans="3:45" x14ac:dyDescent="0.2">
      <c r="C80" s="568">
        <v>72</v>
      </c>
      <c r="D80" s="577"/>
      <c r="E80" s="631" t="s">
        <v>488</v>
      </c>
      <c r="F80" s="578"/>
      <c r="G80" s="578"/>
      <c r="H80" s="578"/>
      <c r="I80" s="578"/>
      <c r="J80" s="578"/>
      <c r="K80" s="578"/>
      <c r="L80" s="595"/>
      <c r="N80" s="565"/>
      <c r="O80" s="565"/>
      <c r="P80" s="571" t="str">
        <f t="shared" si="36"/>
        <v/>
      </c>
      <c r="Q80" s="566" t="str">
        <f t="shared" si="37"/>
        <v/>
      </c>
      <c r="R80" s="572" t="str">
        <f t="shared" si="38"/>
        <v/>
      </c>
      <c r="S80" s="572" t="str">
        <f t="shared" si="33"/>
        <v/>
      </c>
      <c r="T80" s="572" t="str">
        <f t="shared" si="39"/>
        <v/>
      </c>
      <c r="U80" s="572" t="str">
        <f t="shared" si="34"/>
        <v/>
      </c>
      <c r="V80" s="572" t="str">
        <f t="shared" si="40"/>
        <v/>
      </c>
      <c r="W80" s="572" t="str">
        <f t="shared" si="41"/>
        <v/>
      </c>
      <c r="X80" s="567"/>
      <c r="Y80" s="567"/>
      <c r="Z80" s="567"/>
      <c r="AA80" s="567"/>
      <c r="AB80" s="573">
        <v>73</v>
      </c>
      <c r="AC80" s="574" t="str">
        <f t="shared" si="42"/>
        <v/>
      </c>
      <c r="AD80" s="574" t="str">
        <f t="shared" si="43"/>
        <v/>
      </c>
      <c r="AE80" s="565" t="str">
        <f t="shared" si="44"/>
        <v/>
      </c>
      <c r="AF80" s="565"/>
      <c r="AG80" s="565"/>
      <c r="AH80" s="565"/>
      <c r="AI80" s="565"/>
      <c r="AJ80" s="565" t="str">
        <f t="shared" si="35"/>
        <v/>
      </c>
      <c r="AK80" s="565" t="str">
        <f t="shared" si="45"/>
        <v/>
      </c>
      <c r="AL80" s="549" t="str">
        <f t="shared" si="46"/>
        <v/>
      </c>
      <c r="AM80" s="549"/>
      <c r="AN80" s="549"/>
      <c r="AO80" s="549"/>
      <c r="AP80" s="549"/>
      <c r="AQ80" s="549"/>
      <c r="AR80" s="549"/>
      <c r="AS80" s="549"/>
    </row>
    <row r="81" spans="3:45" x14ac:dyDescent="0.2">
      <c r="C81" s="568">
        <v>73</v>
      </c>
      <c r="D81" s="577"/>
      <c r="E81" s="631" t="s">
        <v>489</v>
      </c>
      <c r="F81" s="578"/>
      <c r="G81" s="578"/>
      <c r="H81" s="578"/>
      <c r="I81" s="578"/>
      <c r="J81" s="578"/>
      <c r="K81" s="578"/>
      <c r="L81" s="595"/>
      <c r="N81" s="565"/>
      <c r="O81" s="565"/>
      <c r="P81" s="571" t="str">
        <f t="shared" si="36"/>
        <v/>
      </c>
      <c r="Q81" s="566" t="str">
        <f t="shared" si="37"/>
        <v/>
      </c>
      <c r="R81" s="572" t="str">
        <f t="shared" si="38"/>
        <v/>
      </c>
      <c r="S81" s="572" t="str">
        <f t="shared" si="33"/>
        <v/>
      </c>
      <c r="T81" s="572" t="str">
        <f t="shared" si="39"/>
        <v/>
      </c>
      <c r="U81" s="572" t="str">
        <f t="shared" si="34"/>
        <v/>
      </c>
      <c r="V81" s="572" t="str">
        <f t="shared" si="40"/>
        <v/>
      </c>
      <c r="W81" s="572" t="str">
        <f t="shared" si="41"/>
        <v/>
      </c>
      <c r="X81" s="567"/>
      <c r="Y81" s="567"/>
      <c r="Z81" s="567"/>
      <c r="AA81" s="567"/>
      <c r="AB81" s="573">
        <v>74</v>
      </c>
      <c r="AC81" s="574" t="str">
        <f t="shared" si="42"/>
        <v/>
      </c>
      <c r="AD81" s="574" t="str">
        <f t="shared" si="43"/>
        <v/>
      </c>
      <c r="AE81" s="565" t="str">
        <f t="shared" si="44"/>
        <v/>
      </c>
      <c r="AF81" s="565"/>
      <c r="AG81" s="565"/>
      <c r="AH81" s="565"/>
      <c r="AI81" s="565"/>
      <c r="AJ81" s="565" t="str">
        <f t="shared" si="35"/>
        <v/>
      </c>
      <c r="AK81" s="565" t="str">
        <f t="shared" si="45"/>
        <v/>
      </c>
      <c r="AL81" s="549" t="str">
        <f t="shared" si="46"/>
        <v/>
      </c>
      <c r="AM81" s="549"/>
      <c r="AN81" s="549"/>
      <c r="AO81" s="549"/>
      <c r="AP81" s="549"/>
      <c r="AQ81" s="549"/>
      <c r="AR81" s="549"/>
      <c r="AS81" s="549"/>
    </row>
    <row r="82" spans="3:45" x14ac:dyDescent="0.2">
      <c r="C82" s="568">
        <v>74</v>
      </c>
      <c r="D82" s="577"/>
      <c r="E82" s="631" t="s">
        <v>490</v>
      </c>
      <c r="F82" s="578"/>
      <c r="G82" s="578"/>
      <c r="H82" s="578"/>
      <c r="I82" s="578"/>
      <c r="J82" s="578"/>
      <c r="K82" s="578"/>
      <c r="L82" s="595"/>
      <c r="N82" s="565"/>
      <c r="O82" s="565"/>
      <c r="P82" s="571" t="str">
        <f t="shared" si="36"/>
        <v/>
      </c>
      <c r="Q82" s="566" t="str">
        <f t="shared" si="37"/>
        <v/>
      </c>
      <c r="R82" s="572" t="str">
        <f t="shared" si="38"/>
        <v/>
      </c>
      <c r="S82" s="572" t="str">
        <f t="shared" si="33"/>
        <v/>
      </c>
      <c r="T82" s="572" t="str">
        <f t="shared" si="39"/>
        <v/>
      </c>
      <c r="U82" s="572" t="str">
        <f t="shared" si="34"/>
        <v/>
      </c>
      <c r="V82" s="572" t="str">
        <f t="shared" si="40"/>
        <v/>
      </c>
      <c r="W82" s="572" t="str">
        <f t="shared" si="41"/>
        <v/>
      </c>
      <c r="X82" s="567"/>
      <c r="Y82" s="567"/>
      <c r="Z82" s="567"/>
      <c r="AA82" s="567"/>
      <c r="AB82" s="573">
        <v>75</v>
      </c>
      <c r="AC82" s="574" t="str">
        <f t="shared" si="42"/>
        <v/>
      </c>
      <c r="AD82" s="574" t="str">
        <f t="shared" si="43"/>
        <v/>
      </c>
      <c r="AE82" s="565" t="str">
        <f t="shared" si="44"/>
        <v/>
      </c>
      <c r="AF82" s="565"/>
      <c r="AG82" s="565"/>
      <c r="AH82" s="565"/>
      <c r="AI82" s="565"/>
      <c r="AJ82" s="565" t="str">
        <f t="shared" si="35"/>
        <v/>
      </c>
      <c r="AK82" s="565" t="str">
        <f t="shared" si="45"/>
        <v/>
      </c>
      <c r="AL82" s="549" t="str">
        <f t="shared" si="46"/>
        <v/>
      </c>
      <c r="AM82" s="549"/>
      <c r="AN82" s="549"/>
      <c r="AO82" s="549"/>
      <c r="AP82" s="549"/>
      <c r="AQ82" s="549"/>
      <c r="AR82" s="549"/>
      <c r="AS82" s="549"/>
    </row>
    <row r="83" spans="3:45" x14ac:dyDescent="0.2">
      <c r="C83" s="568">
        <v>75</v>
      </c>
      <c r="D83" s="577"/>
      <c r="E83" s="631" t="s">
        <v>491</v>
      </c>
      <c r="F83" s="578"/>
      <c r="G83" s="578"/>
      <c r="H83" s="578"/>
      <c r="I83" s="578"/>
      <c r="J83" s="578"/>
      <c r="K83" s="578"/>
      <c r="L83" s="595"/>
      <c r="N83" s="565"/>
      <c r="O83" s="565"/>
      <c r="P83" s="571" t="str">
        <f t="shared" si="36"/>
        <v/>
      </c>
      <c r="Q83" s="566" t="str">
        <f t="shared" si="37"/>
        <v/>
      </c>
      <c r="R83" s="572" t="str">
        <f t="shared" si="38"/>
        <v/>
      </c>
      <c r="S83" s="572" t="str">
        <f t="shared" si="33"/>
        <v/>
      </c>
      <c r="T83" s="572" t="str">
        <f t="shared" si="39"/>
        <v/>
      </c>
      <c r="U83" s="572" t="str">
        <f t="shared" si="34"/>
        <v/>
      </c>
      <c r="V83" s="572" t="str">
        <f t="shared" si="40"/>
        <v/>
      </c>
      <c r="W83" s="572" t="str">
        <f t="shared" si="41"/>
        <v/>
      </c>
      <c r="X83" s="567"/>
      <c r="Y83" s="567"/>
      <c r="Z83" s="567"/>
      <c r="AA83" s="567"/>
      <c r="AB83" s="573">
        <v>76</v>
      </c>
      <c r="AC83" s="574" t="str">
        <f t="shared" si="42"/>
        <v/>
      </c>
      <c r="AD83" s="574" t="str">
        <f t="shared" si="43"/>
        <v/>
      </c>
      <c r="AE83" s="565" t="str">
        <f t="shared" si="44"/>
        <v/>
      </c>
      <c r="AF83" s="565"/>
      <c r="AG83" s="565"/>
      <c r="AH83" s="565"/>
      <c r="AI83" s="565"/>
      <c r="AJ83" s="565" t="str">
        <f t="shared" si="35"/>
        <v/>
      </c>
      <c r="AK83" s="565" t="str">
        <f t="shared" si="45"/>
        <v/>
      </c>
      <c r="AL83" s="549" t="str">
        <f t="shared" si="46"/>
        <v/>
      </c>
      <c r="AM83" s="549"/>
      <c r="AN83" s="549"/>
      <c r="AO83" s="549"/>
      <c r="AP83" s="549"/>
      <c r="AQ83" s="549"/>
      <c r="AR83" s="549"/>
      <c r="AS83" s="549"/>
    </row>
    <row r="84" spans="3:45" x14ac:dyDescent="0.2">
      <c r="C84" s="568">
        <v>76</v>
      </c>
      <c r="D84" s="577"/>
      <c r="E84" s="631" t="s">
        <v>492</v>
      </c>
      <c r="F84" s="578"/>
      <c r="G84" s="578"/>
      <c r="H84" s="578"/>
      <c r="I84" s="578"/>
      <c r="J84" s="578"/>
      <c r="K84" s="578"/>
      <c r="L84" s="595"/>
      <c r="N84" s="565"/>
      <c r="O84" s="565"/>
      <c r="P84" s="571" t="str">
        <f t="shared" si="36"/>
        <v/>
      </c>
      <c r="Q84" s="566" t="str">
        <f t="shared" si="37"/>
        <v/>
      </c>
      <c r="R84" s="572" t="str">
        <f t="shared" si="38"/>
        <v/>
      </c>
      <c r="S84" s="572" t="str">
        <f t="shared" si="33"/>
        <v/>
      </c>
      <c r="T84" s="572" t="str">
        <f t="shared" si="39"/>
        <v/>
      </c>
      <c r="U84" s="572" t="str">
        <f t="shared" si="34"/>
        <v/>
      </c>
      <c r="V84" s="572" t="str">
        <f t="shared" si="40"/>
        <v/>
      </c>
      <c r="W84" s="572" t="str">
        <f t="shared" si="41"/>
        <v/>
      </c>
      <c r="X84" s="567"/>
      <c r="Y84" s="567"/>
      <c r="Z84" s="567"/>
      <c r="AA84" s="567"/>
      <c r="AB84" s="573">
        <v>77</v>
      </c>
      <c r="AC84" s="574" t="str">
        <f t="shared" si="42"/>
        <v/>
      </c>
      <c r="AD84" s="574" t="str">
        <f t="shared" si="43"/>
        <v/>
      </c>
      <c r="AE84" s="565" t="str">
        <f t="shared" si="44"/>
        <v/>
      </c>
      <c r="AF84" s="565"/>
      <c r="AG84" s="565"/>
      <c r="AH84" s="565"/>
      <c r="AI84" s="565"/>
      <c r="AJ84" s="565" t="str">
        <f t="shared" si="35"/>
        <v/>
      </c>
      <c r="AK84" s="565" t="str">
        <f t="shared" si="45"/>
        <v/>
      </c>
      <c r="AL84" s="549" t="str">
        <f t="shared" si="46"/>
        <v/>
      </c>
      <c r="AM84" s="549"/>
      <c r="AN84" s="549"/>
      <c r="AO84" s="549"/>
      <c r="AP84" s="549"/>
      <c r="AQ84" s="549"/>
      <c r="AR84" s="549"/>
      <c r="AS84" s="549"/>
    </row>
    <row r="85" spans="3:45" x14ac:dyDescent="0.2">
      <c r="C85" s="568">
        <v>77</v>
      </c>
      <c r="D85" s="577"/>
      <c r="E85" s="631" t="s">
        <v>493</v>
      </c>
      <c r="F85" s="578"/>
      <c r="G85" s="578"/>
      <c r="H85" s="578"/>
      <c r="I85" s="578"/>
      <c r="J85" s="578"/>
      <c r="K85" s="578"/>
      <c r="L85" s="595"/>
      <c r="N85" s="565"/>
      <c r="O85" s="565"/>
      <c r="P85" s="571" t="str">
        <f t="shared" si="36"/>
        <v/>
      </c>
      <c r="Q85" s="566" t="str">
        <f t="shared" si="37"/>
        <v/>
      </c>
      <c r="R85" s="572" t="str">
        <f t="shared" si="38"/>
        <v/>
      </c>
      <c r="S85" s="572" t="str">
        <f t="shared" si="33"/>
        <v/>
      </c>
      <c r="T85" s="572" t="str">
        <f t="shared" si="39"/>
        <v/>
      </c>
      <c r="U85" s="572" t="str">
        <f t="shared" si="34"/>
        <v/>
      </c>
      <c r="V85" s="572" t="str">
        <f t="shared" si="40"/>
        <v/>
      </c>
      <c r="W85" s="572" t="str">
        <f t="shared" si="41"/>
        <v/>
      </c>
      <c r="X85" s="567"/>
      <c r="Y85" s="567"/>
      <c r="Z85" s="567"/>
      <c r="AA85" s="567"/>
      <c r="AB85" s="573">
        <v>78</v>
      </c>
      <c r="AC85" s="574" t="str">
        <f t="shared" si="42"/>
        <v/>
      </c>
      <c r="AD85" s="574" t="str">
        <f t="shared" si="43"/>
        <v/>
      </c>
      <c r="AE85" s="565" t="str">
        <f t="shared" si="44"/>
        <v/>
      </c>
      <c r="AF85" s="565"/>
      <c r="AG85" s="565"/>
      <c r="AH85" s="565"/>
      <c r="AI85" s="565"/>
      <c r="AJ85" s="565" t="str">
        <f t="shared" si="35"/>
        <v/>
      </c>
      <c r="AK85" s="565" t="str">
        <f t="shared" si="45"/>
        <v/>
      </c>
      <c r="AL85" s="549" t="str">
        <f t="shared" si="46"/>
        <v/>
      </c>
      <c r="AM85" s="549"/>
      <c r="AN85" s="549"/>
      <c r="AO85" s="549"/>
      <c r="AP85" s="549"/>
      <c r="AQ85" s="549"/>
      <c r="AR85" s="549"/>
      <c r="AS85" s="549"/>
    </row>
    <row r="86" spans="3:45" x14ac:dyDescent="0.2">
      <c r="C86" s="568">
        <v>78</v>
      </c>
      <c r="D86" s="577"/>
      <c r="E86" s="631"/>
      <c r="F86" s="578"/>
      <c r="G86" s="578"/>
      <c r="H86" s="578"/>
      <c r="I86" s="578"/>
      <c r="J86" s="578"/>
      <c r="K86" s="578"/>
      <c r="L86" s="595"/>
      <c r="N86" s="565"/>
      <c r="O86" s="565"/>
      <c r="P86" s="571" t="str">
        <f t="shared" si="36"/>
        <v/>
      </c>
      <c r="Q86" s="566" t="str">
        <f t="shared" si="37"/>
        <v/>
      </c>
      <c r="R86" s="572" t="str">
        <f t="shared" si="38"/>
        <v/>
      </c>
      <c r="S86" s="572" t="str">
        <f t="shared" si="33"/>
        <v/>
      </c>
      <c r="T86" s="572" t="str">
        <f t="shared" si="39"/>
        <v/>
      </c>
      <c r="U86" s="572" t="str">
        <f t="shared" si="34"/>
        <v/>
      </c>
      <c r="V86" s="572" t="str">
        <f t="shared" si="40"/>
        <v/>
      </c>
      <c r="W86" s="572" t="str">
        <f t="shared" si="41"/>
        <v/>
      </c>
      <c r="X86" s="567"/>
      <c r="Y86" s="567"/>
      <c r="Z86" s="567"/>
      <c r="AA86" s="567"/>
      <c r="AB86" s="573">
        <v>79</v>
      </c>
      <c r="AC86" s="574" t="str">
        <f t="shared" si="42"/>
        <v/>
      </c>
      <c r="AD86" s="574" t="str">
        <f t="shared" si="43"/>
        <v/>
      </c>
      <c r="AE86" s="565" t="str">
        <f t="shared" si="44"/>
        <v/>
      </c>
      <c r="AF86" s="565"/>
      <c r="AG86" s="565"/>
      <c r="AH86" s="565"/>
      <c r="AI86" s="565"/>
      <c r="AJ86" s="565" t="str">
        <f t="shared" si="35"/>
        <v/>
      </c>
      <c r="AK86" s="565" t="str">
        <f t="shared" si="45"/>
        <v/>
      </c>
      <c r="AL86" s="549" t="str">
        <f t="shared" si="46"/>
        <v/>
      </c>
      <c r="AM86" s="549"/>
      <c r="AN86" s="549"/>
      <c r="AO86" s="549"/>
      <c r="AP86" s="549"/>
      <c r="AQ86" s="549"/>
      <c r="AR86" s="549"/>
      <c r="AS86" s="549"/>
    </row>
    <row r="87" spans="3:45" x14ac:dyDescent="0.2">
      <c r="C87" s="568">
        <v>79</v>
      </c>
      <c r="D87" s="577"/>
      <c r="E87" s="631"/>
      <c r="F87" s="578"/>
      <c r="G87" s="578"/>
      <c r="H87" s="578"/>
      <c r="I87" s="578"/>
      <c r="J87" s="578"/>
      <c r="K87" s="578"/>
      <c r="L87" s="595"/>
      <c r="N87" s="565"/>
      <c r="O87" s="565"/>
      <c r="P87" s="571" t="str">
        <f t="shared" si="36"/>
        <v/>
      </c>
      <c r="Q87" s="566" t="str">
        <f t="shared" si="37"/>
        <v/>
      </c>
      <c r="R87" s="572" t="str">
        <f t="shared" si="38"/>
        <v/>
      </c>
      <c r="S87" s="572" t="str">
        <f t="shared" si="33"/>
        <v/>
      </c>
      <c r="T87" s="572" t="str">
        <f t="shared" si="39"/>
        <v/>
      </c>
      <c r="U87" s="572" t="str">
        <f t="shared" si="34"/>
        <v/>
      </c>
      <c r="V87" s="572" t="str">
        <f t="shared" si="40"/>
        <v/>
      </c>
      <c r="W87" s="572" t="str">
        <f t="shared" si="41"/>
        <v/>
      </c>
      <c r="X87" s="567"/>
      <c r="Y87" s="567"/>
      <c r="Z87" s="567"/>
      <c r="AA87" s="567"/>
      <c r="AB87" s="573">
        <v>80</v>
      </c>
      <c r="AC87" s="574" t="str">
        <f t="shared" si="42"/>
        <v/>
      </c>
      <c r="AD87" s="574" t="str">
        <f t="shared" si="43"/>
        <v/>
      </c>
      <c r="AE87" s="565" t="str">
        <f t="shared" si="44"/>
        <v/>
      </c>
      <c r="AF87" s="565"/>
      <c r="AG87" s="565"/>
      <c r="AH87" s="565"/>
      <c r="AI87" s="565"/>
      <c r="AJ87" s="565" t="str">
        <f t="shared" si="35"/>
        <v/>
      </c>
      <c r="AK87" s="565" t="str">
        <f t="shared" si="45"/>
        <v/>
      </c>
      <c r="AL87" s="549" t="str">
        <f t="shared" si="46"/>
        <v/>
      </c>
      <c r="AM87" s="549"/>
      <c r="AN87" s="549"/>
      <c r="AO87" s="549"/>
      <c r="AP87" s="549"/>
      <c r="AQ87" s="549"/>
      <c r="AR87" s="549"/>
      <c r="AS87" s="549"/>
    </row>
    <row r="88" spans="3:45" x14ac:dyDescent="0.2">
      <c r="C88" s="568">
        <v>80</v>
      </c>
      <c r="D88" s="577"/>
      <c r="E88" s="631"/>
      <c r="F88" s="578"/>
      <c r="G88" s="578"/>
      <c r="H88" s="578"/>
      <c r="I88" s="578"/>
      <c r="J88" s="578"/>
      <c r="K88" s="578"/>
      <c r="L88" s="595"/>
      <c r="N88" s="565"/>
      <c r="O88" s="565"/>
      <c r="P88" s="571" t="str">
        <f t="shared" si="36"/>
        <v/>
      </c>
      <c r="Q88" s="566" t="str">
        <f t="shared" si="37"/>
        <v/>
      </c>
      <c r="R88" s="572" t="str">
        <f t="shared" si="38"/>
        <v/>
      </c>
      <c r="S88" s="572" t="str">
        <f t="shared" si="33"/>
        <v/>
      </c>
      <c r="T88" s="572" t="str">
        <f t="shared" si="39"/>
        <v/>
      </c>
      <c r="U88" s="572" t="str">
        <f t="shared" si="34"/>
        <v/>
      </c>
      <c r="V88" s="572" t="str">
        <f t="shared" si="40"/>
        <v/>
      </c>
      <c r="W88" s="572" t="str">
        <f t="shared" si="41"/>
        <v/>
      </c>
      <c r="X88" s="567"/>
      <c r="Y88" s="567"/>
      <c r="Z88" s="567"/>
      <c r="AA88" s="567"/>
      <c r="AB88" s="573">
        <v>81</v>
      </c>
      <c r="AC88" s="574" t="str">
        <f t="shared" si="42"/>
        <v/>
      </c>
      <c r="AD88" s="574" t="str">
        <f t="shared" si="43"/>
        <v/>
      </c>
      <c r="AE88" s="565" t="str">
        <f t="shared" si="44"/>
        <v/>
      </c>
      <c r="AF88" s="565"/>
      <c r="AG88" s="565"/>
      <c r="AH88" s="565"/>
      <c r="AI88" s="565"/>
      <c r="AJ88" s="565" t="str">
        <f t="shared" si="35"/>
        <v/>
      </c>
      <c r="AK88" s="565" t="str">
        <f t="shared" si="45"/>
        <v/>
      </c>
      <c r="AL88" s="549" t="str">
        <f t="shared" si="46"/>
        <v/>
      </c>
      <c r="AM88" s="549"/>
      <c r="AN88" s="549"/>
      <c r="AO88" s="549"/>
      <c r="AP88" s="549"/>
      <c r="AQ88" s="549"/>
      <c r="AR88" s="549"/>
      <c r="AS88" s="549"/>
    </row>
    <row r="89" spans="3:45" x14ac:dyDescent="0.2">
      <c r="C89" s="568">
        <v>81</v>
      </c>
      <c r="D89" s="577"/>
      <c r="E89" s="631"/>
      <c r="F89" s="578"/>
      <c r="G89" s="578"/>
      <c r="H89" s="578"/>
      <c r="I89" s="578"/>
      <c r="J89" s="578"/>
      <c r="K89" s="578"/>
      <c r="L89" s="595"/>
      <c r="N89" s="565"/>
      <c r="O89" s="565"/>
      <c r="P89" s="571" t="str">
        <f t="shared" si="36"/>
        <v/>
      </c>
      <c r="Q89" s="566" t="str">
        <f t="shared" si="37"/>
        <v/>
      </c>
      <c r="R89" s="572" t="str">
        <f t="shared" si="38"/>
        <v/>
      </c>
      <c r="S89" s="572" t="str">
        <f t="shared" si="33"/>
        <v/>
      </c>
      <c r="T89" s="572" t="str">
        <f t="shared" si="39"/>
        <v/>
      </c>
      <c r="U89" s="572" t="str">
        <f t="shared" si="34"/>
        <v/>
      </c>
      <c r="V89" s="572" t="str">
        <f t="shared" si="40"/>
        <v/>
      </c>
      <c r="W89" s="572" t="str">
        <f t="shared" si="41"/>
        <v/>
      </c>
      <c r="X89" s="567"/>
      <c r="Y89" s="567"/>
      <c r="Z89" s="567"/>
      <c r="AA89" s="567"/>
      <c r="AB89" s="573">
        <v>82</v>
      </c>
      <c r="AC89" s="574" t="str">
        <f t="shared" si="42"/>
        <v/>
      </c>
      <c r="AD89" s="574" t="str">
        <f t="shared" si="43"/>
        <v/>
      </c>
      <c r="AE89" s="565" t="str">
        <f t="shared" si="44"/>
        <v/>
      </c>
      <c r="AF89" s="565"/>
      <c r="AG89" s="565"/>
      <c r="AH89" s="565"/>
      <c r="AI89" s="565"/>
      <c r="AJ89" s="565" t="str">
        <f t="shared" si="35"/>
        <v/>
      </c>
      <c r="AK89" s="565" t="str">
        <f t="shared" si="45"/>
        <v/>
      </c>
      <c r="AL89" s="549" t="str">
        <f t="shared" si="46"/>
        <v/>
      </c>
      <c r="AM89" s="549"/>
      <c r="AN89" s="549"/>
      <c r="AO89" s="549"/>
      <c r="AP89" s="549"/>
      <c r="AQ89" s="549"/>
      <c r="AR89" s="549"/>
      <c r="AS89" s="549"/>
    </row>
    <row r="90" spans="3:45" x14ac:dyDescent="0.2">
      <c r="C90" s="568">
        <v>82</v>
      </c>
      <c r="D90" s="577"/>
      <c r="E90" s="631"/>
      <c r="F90" s="578"/>
      <c r="G90" s="578"/>
      <c r="H90" s="578"/>
      <c r="I90" s="578"/>
      <c r="J90" s="578"/>
      <c r="K90" s="578"/>
      <c r="L90" s="595"/>
      <c r="N90" s="565"/>
      <c r="O90" s="565"/>
      <c r="P90" s="571" t="str">
        <f t="shared" si="36"/>
        <v/>
      </c>
      <c r="Q90" s="566" t="str">
        <f t="shared" si="37"/>
        <v/>
      </c>
      <c r="R90" s="572" t="str">
        <f t="shared" si="38"/>
        <v/>
      </c>
      <c r="S90" s="572" t="str">
        <f t="shared" si="33"/>
        <v/>
      </c>
      <c r="T90" s="572" t="str">
        <f t="shared" si="39"/>
        <v/>
      </c>
      <c r="U90" s="572" t="str">
        <f t="shared" si="34"/>
        <v/>
      </c>
      <c r="V90" s="572" t="str">
        <f t="shared" si="40"/>
        <v/>
      </c>
      <c r="W90" s="572" t="str">
        <f t="shared" si="41"/>
        <v/>
      </c>
      <c r="X90" s="567"/>
      <c r="Y90" s="567"/>
      <c r="Z90" s="567"/>
      <c r="AA90" s="567"/>
      <c r="AB90" s="573">
        <v>83</v>
      </c>
      <c r="AC90" s="574" t="str">
        <f t="shared" si="42"/>
        <v/>
      </c>
      <c r="AD90" s="574" t="str">
        <f t="shared" si="43"/>
        <v/>
      </c>
      <c r="AE90" s="565" t="str">
        <f t="shared" si="44"/>
        <v/>
      </c>
      <c r="AF90" s="565"/>
      <c r="AG90" s="565"/>
      <c r="AH90" s="565"/>
      <c r="AI90" s="565"/>
      <c r="AJ90" s="565" t="str">
        <f t="shared" si="35"/>
        <v/>
      </c>
      <c r="AK90" s="565" t="str">
        <f t="shared" si="45"/>
        <v/>
      </c>
      <c r="AL90" s="549" t="str">
        <f t="shared" si="46"/>
        <v/>
      </c>
      <c r="AM90" s="549"/>
      <c r="AN90" s="549"/>
      <c r="AO90" s="549"/>
      <c r="AP90" s="549"/>
      <c r="AQ90" s="549"/>
      <c r="AR90" s="549"/>
      <c r="AS90" s="549"/>
    </row>
    <row r="91" spans="3:45" x14ac:dyDescent="0.2">
      <c r="C91" s="568">
        <v>83</v>
      </c>
      <c r="D91" s="577"/>
      <c r="E91" s="631"/>
      <c r="F91" s="578"/>
      <c r="G91" s="578"/>
      <c r="H91" s="578"/>
      <c r="I91" s="578"/>
      <c r="J91" s="578"/>
      <c r="K91" s="578"/>
      <c r="L91" s="595"/>
      <c r="N91" s="565"/>
      <c r="O91" s="565"/>
      <c r="P91" s="571" t="str">
        <f t="shared" si="36"/>
        <v/>
      </c>
      <c r="Q91" s="566" t="str">
        <f t="shared" si="37"/>
        <v/>
      </c>
      <c r="R91" s="572" t="str">
        <f t="shared" si="38"/>
        <v/>
      </c>
      <c r="S91" s="572" t="str">
        <f t="shared" si="33"/>
        <v/>
      </c>
      <c r="T91" s="572" t="str">
        <f t="shared" si="39"/>
        <v/>
      </c>
      <c r="U91" s="572" t="str">
        <f t="shared" si="34"/>
        <v/>
      </c>
      <c r="V91" s="572" t="str">
        <f t="shared" si="40"/>
        <v/>
      </c>
      <c r="W91" s="572" t="str">
        <f t="shared" si="41"/>
        <v/>
      </c>
      <c r="X91" s="567"/>
      <c r="Y91" s="567"/>
      <c r="Z91" s="567"/>
      <c r="AA91" s="567"/>
      <c r="AB91" s="573">
        <v>84</v>
      </c>
      <c r="AC91" s="574" t="str">
        <f t="shared" si="42"/>
        <v/>
      </c>
      <c r="AD91" s="574" t="str">
        <f t="shared" si="43"/>
        <v/>
      </c>
      <c r="AE91" s="565" t="str">
        <f t="shared" si="44"/>
        <v/>
      </c>
      <c r="AF91" s="565"/>
      <c r="AG91" s="565"/>
      <c r="AH91" s="565"/>
      <c r="AI91" s="565"/>
      <c r="AJ91" s="565" t="str">
        <f t="shared" si="35"/>
        <v/>
      </c>
      <c r="AK91" s="565" t="str">
        <f t="shared" si="45"/>
        <v/>
      </c>
      <c r="AL91" s="549" t="str">
        <f t="shared" si="46"/>
        <v/>
      </c>
      <c r="AM91" s="549"/>
      <c r="AN91" s="549"/>
      <c r="AO91" s="549"/>
      <c r="AP91" s="549"/>
      <c r="AQ91" s="549"/>
      <c r="AR91" s="549"/>
      <c r="AS91" s="549"/>
    </row>
    <row r="92" spans="3:45" x14ac:dyDescent="0.2">
      <c r="C92" s="568">
        <v>84</v>
      </c>
      <c r="D92" s="577"/>
      <c r="E92" s="631"/>
      <c r="F92" s="578"/>
      <c r="G92" s="578"/>
      <c r="H92" s="578"/>
      <c r="I92" s="578"/>
      <c r="J92" s="578"/>
      <c r="K92" s="578"/>
      <c r="L92" s="595"/>
      <c r="N92" s="565"/>
      <c r="O92" s="565"/>
      <c r="P92" s="571" t="str">
        <f t="shared" si="36"/>
        <v/>
      </c>
      <c r="Q92" s="566" t="str">
        <f t="shared" si="37"/>
        <v/>
      </c>
      <c r="R92" s="572" t="str">
        <f t="shared" si="38"/>
        <v/>
      </c>
      <c r="S92" s="572" t="str">
        <f t="shared" si="33"/>
        <v/>
      </c>
      <c r="T92" s="572" t="str">
        <f t="shared" si="39"/>
        <v/>
      </c>
      <c r="U92" s="572" t="str">
        <f t="shared" si="34"/>
        <v/>
      </c>
      <c r="V92" s="572" t="str">
        <f t="shared" si="40"/>
        <v/>
      </c>
      <c r="W92" s="572" t="str">
        <f t="shared" si="41"/>
        <v/>
      </c>
      <c r="X92" s="567"/>
      <c r="Y92" s="567"/>
      <c r="Z92" s="567"/>
      <c r="AA92" s="567"/>
      <c r="AB92" s="573">
        <v>85</v>
      </c>
      <c r="AC92" s="574" t="str">
        <f t="shared" si="42"/>
        <v/>
      </c>
      <c r="AD92" s="574" t="str">
        <f t="shared" si="43"/>
        <v/>
      </c>
      <c r="AE92" s="565" t="str">
        <f t="shared" si="44"/>
        <v/>
      </c>
      <c r="AF92" s="565"/>
      <c r="AG92" s="565"/>
      <c r="AH92" s="565"/>
      <c r="AI92" s="565"/>
      <c r="AJ92" s="565" t="str">
        <f t="shared" si="35"/>
        <v/>
      </c>
      <c r="AK92" s="565" t="str">
        <f t="shared" si="45"/>
        <v/>
      </c>
      <c r="AL92" s="549" t="str">
        <f t="shared" si="46"/>
        <v/>
      </c>
      <c r="AM92" s="549"/>
      <c r="AN92" s="549"/>
      <c r="AO92" s="549"/>
      <c r="AP92" s="549"/>
      <c r="AQ92" s="549"/>
      <c r="AR92" s="549"/>
      <c r="AS92" s="549"/>
    </row>
    <row r="93" spans="3:45" x14ac:dyDescent="0.2">
      <c r="C93" s="568">
        <v>85</v>
      </c>
      <c r="D93" s="577"/>
      <c r="E93" s="631"/>
      <c r="F93" s="578"/>
      <c r="G93" s="578"/>
      <c r="H93" s="578"/>
      <c r="I93" s="578"/>
      <c r="J93" s="578"/>
      <c r="K93" s="578"/>
      <c r="L93" s="595"/>
      <c r="N93" s="565"/>
      <c r="O93" s="565"/>
      <c r="P93" s="571" t="str">
        <f t="shared" si="36"/>
        <v/>
      </c>
      <c r="Q93" s="566" t="str">
        <f t="shared" si="37"/>
        <v/>
      </c>
      <c r="R93" s="572" t="str">
        <f t="shared" si="38"/>
        <v/>
      </c>
      <c r="S93" s="572" t="str">
        <f t="shared" si="33"/>
        <v/>
      </c>
      <c r="T93" s="572" t="str">
        <f t="shared" si="39"/>
        <v/>
      </c>
      <c r="U93" s="572" t="str">
        <f t="shared" si="34"/>
        <v/>
      </c>
      <c r="V93" s="572" t="str">
        <f t="shared" si="40"/>
        <v/>
      </c>
      <c r="W93" s="572" t="str">
        <f t="shared" si="41"/>
        <v/>
      </c>
      <c r="X93" s="567"/>
      <c r="Y93" s="567"/>
      <c r="Z93" s="567"/>
      <c r="AA93" s="567"/>
      <c r="AB93" s="573">
        <v>86</v>
      </c>
      <c r="AC93" s="574" t="str">
        <f t="shared" si="42"/>
        <v/>
      </c>
      <c r="AD93" s="574" t="str">
        <f t="shared" si="43"/>
        <v/>
      </c>
      <c r="AE93" s="565" t="str">
        <f t="shared" si="44"/>
        <v/>
      </c>
      <c r="AF93" s="565"/>
      <c r="AG93" s="565"/>
      <c r="AH93" s="565"/>
      <c r="AI93" s="565"/>
      <c r="AJ93" s="565" t="str">
        <f t="shared" si="35"/>
        <v/>
      </c>
      <c r="AK93" s="565" t="str">
        <f t="shared" si="45"/>
        <v/>
      </c>
      <c r="AL93" s="549" t="str">
        <f t="shared" si="46"/>
        <v/>
      </c>
      <c r="AM93" s="549"/>
      <c r="AN93" s="549"/>
      <c r="AO93" s="549"/>
      <c r="AP93" s="549"/>
      <c r="AQ93" s="549"/>
      <c r="AR93" s="549"/>
      <c r="AS93" s="549"/>
    </row>
    <row r="94" spans="3:45" x14ac:dyDescent="0.2">
      <c r="C94" s="568">
        <v>86</v>
      </c>
      <c r="D94" s="577"/>
      <c r="F94" s="638"/>
      <c r="G94" s="578"/>
      <c r="H94" s="578"/>
      <c r="I94" s="578"/>
      <c r="J94" s="578"/>
      <c r="K94" s="578"/>
      <c r="L94" s="595"/>
      <c r="N94" s="565"/>
      <c r="O94" s="565"/>
      <c r="P94" s="571" t="str">
        <f t="shared" si="36"/>
        <v/>
      </c>
      <c r="Q94" s="566" t="str">
        <f t="shared" si="37"/>
        <v/>
      </c>
      <c r="R94" s="572" t="str">
        <f t="shared" si="38"/>
        <v/>
      </c>
      <c r="S94" s="572" t="str">
        <f t="shared" si="33"/>
        <v/>
      </c>
      <c r="T94" s="572" t="str">
        <f t="shared" si="39"/>
        <v/>
      </c>
      <c r="U94" s="572" t="str">
        <f t="shared" si="34"/>
        <v/>
      </c>
      <c r="V94" s="572" t="str">
        <f t="shared" si="40"/>
        <v/>
      </c>
      <c r="W94" s="572" t="str">
        <f t="shared" si="41"/>
        <v/>
      </c>
      <c r="X94" s="567"/>
      <c r="Y94" s="567"/>
      <c r="Z94" s="567"/>
      <c r="AA94" s="567"/>
      <c r="AB94" s="573">
        <v>87</v>
      </c>
      <c r="AC94" s="574" t="str">
        <f t="shared" si="42"/>
        <v/>
      </c>
      <c r="AD94" s="574" t="str">
        <f t="shared" si="43"/>
        <v/>
      </c>
      <c r="AE94" s="565" t="str">
        <f t="shared" si="44"/>
        <v/>
      </c>
      <c r="AF94" s="565" t="str">
        <f t="shared" ref="AF94:AF106" si="47">IF(AC94&lt;=AO$12,IF(AC94&gt;AN$12,1,""),"")</f>
        <v/>
      </c>
      <c r="AG94" s="565" t="str">
        <f t="shared" ref="AG94:AG106" si="48">IF(AC94&lt;=AO$13,IF(AC94&gt;AN$13,1,""),"")</f>
        <v/>
      </c>
      <c r="AH94" s="565" t="str">
        <f t="shared" ref="AH94:AH106" si="49">IF(AC94&lt;=AO$14,IF(AC94&gt;AN$14,1,""),"")</f>
        <v/>
      </c>
      <c r="AI94" s="565" t="str">
        <f t="shared" ref="AI94:AI106" si="50">IF(AC94&lt;=AO$15,IF(AC94&gt;AN$15,1,""),"")</f>
        <v/>
      </c>
      <c r="AJ94" s="565" t="str">
        <f t="shared" si="35"/>
        <v/>
      </c>
      <c r="AK94" s="565" t="str">
        <f t="shared" si="45"/>
        <v/>
      </c>
      <c r="AL94" s="549" t="str">
        <f t="shared" si="46"/>
        <v/>
      </c>
      <c r="AM94" s="549"/>
      <c r="AN94" s="549"/>
      <c r="AO94" s="549"/>
      <c r="AP94" s="549"/>
      <c r="AQ94" s="549"/>
      <c r="AR94" s="549"/>
      <c r="AS94" s="549"/>
    </row>
    <row r="95" spans="3:45" x14ac:dyDescent="0.2">
      <c r="C95" s="568">
        <v>87</v>
      </c>
      <c r="D95" s="577"/>
      <c r="F95" s="578"/>
      <c r="G95" s="639"/>
      <c r="H95" s="578"/>
      <c r="I95" s="578"/>
      <c r="J95" s="578"/>
      <c r="K95" s="578"/>
      <c r="L95" s="595"/>
      <c r="N95" s="565"/>
      <c r="O95" s="565"/>
      <c r="P95" s="571" t="str">
        <f t="shared" si="36"/>
        <v/>
      </c>
      <c r="Q95" s="566" t="str">
        <f t="shared" si="37"/>
        <v/>
      </c>
      <c r="R95" s="572" t="str">
        <f t="shared" si="38"/>
        <v/>
      </c>
      <c r="S95" s="572" t="str">
        <f t="shared" si="33"/>
        <v/>
      </c>
      <c r="T95" s="572" t="str">
        <f t="shared" si="39"/>
        <v/>
      </c>
      <c r="U95" s="572" t="str">
        <f t="shared" si="34"/>
        <v/>
      </c>
      <c r="V95" s="572" t="str">
        <f t="shared" si="40"/>
        <v/>
      </c>
      <c r="W95" s="572" t="str">
        <f t="shared" si="41"/>
        <v/>
      </c>
      <c r="X95" s="567"/>
      <c r="Y95" s="567"/>
      <c r="Z95" s="567"/>
      <c r="AA95" s="567"/>
      <c r="AB95" s="573">
        <v>88</v>
      </c>
      <c r="AC95" s="574" t="str">
        <f t="shared" si="42"/>
        <v/>
      </c>
      <c r="AD95" s="574" t="str">
        <f t="shared" si="43"/>
        <v/>
      </c>
      <c r="AE95" s="565" t="str">
        <f t="shared" si="44"/>
        <v/>
      </c>
      <c r="AF95" s="565" t="str">
        <f t="shared" si="47"/>
        <v/>
      </c>
      <c r="AG95" s="565" t="str">
        <f t="shared" si="48"/>
        <v/>
      </c>
      <c r="AH95" s="565" t="str">
        <f t="shared" si="49"/>
        <v/>
      </c>
      <c r="AI95" s="565" t="str">
        <f t="shared" si="50"/>
        <v/>
      </c>
      <c r="AJ95" s="565" t="str">
        <f t="shared" si="35"/>
        <v/>
      </c>
      <c r="AK95" s="565" t="str">
        <f t="shared" si="45"/>
        <v/>
      </c>
      <c r="AL95" s="549" t="str">
        <f t="shared" si="46"/>
        <v/>
      </c>
      <c r="AM95" s="549"/>
      <c r="AN95" s="549"/>
      <c r="AO95" s="549"/>
      <c r="AP95" s="549"/>
      <c r="AQ95" s="549"/>
      <c r="AR95" s="549"/>
      <c r="AS95" s="549"/>
    </row>
    <row r="96" spans="3:45" x14ac:dyDescent="0.2">
      <c r="C96" s="568">
        <v>88</v>
      </c>
      <c r="D96" s="577"/>
      <c r="F96" s="578"/>
      <c r="G96" s="639"/>
      <c r="H96" s="578"/>
      <c r="I96" s="578"/>
      <c r="J96" s="578"/>
      <c r="K96" s="578"/>
      <c r="L96" s="595"/>
      <c r="N96" s="565"/>
      <c r="O96" s="565"/>
      <c r="P96" s="571" t="str">
        <f t="shared" si="36"/>
        <v/>
      </c>
      <c r="Q96" s="566" t="str">
        <f t="shared" si="37"/>
        <v/>
      </c>
      <c r="R96" s="572" t="str">
        <f t="shared" si="38"/>
        <v/>
      </c>
      <c r="S96" s="572" t="str">
        <f t="shared" si="33"/>
        <v/>
      </c>
      <c r="T96" s="572" t="str">
        <f t="shared" si="39"/>
        <v/>
      </c>
      <c r="U96" s="572" t="str">
        <f t="shared" si="34"/>
        <v/>
      </c>
      <c r="V96" s="572" t="str">
        <f t="shared" si="40"/>
        <v/>
      </c>
      <c r="W96" s="572" t="str">
        <f t="shared" si="41"/>
        <v/>
      </c>
      <c r="X96" s="567"/>
      <c r="Y96" s="567"/>
      <c r="Z96" s="567"/>
      <c r="AA96" s="567"/>
      <c r="AB96" s="573">
        <v>89</v>
      </c>
      <c r="AC96" s="574" t="str">
        <f t="shared" si="42"/>
        <v/>
      </c>
      <c r="AD96" s="574" t="str">
        <f t="shared" si="43"/>
        <v/>
      </c>
      <c r="AE96" s="565" t="str">
        <f t="shared" si="44"/>
        <v/>
      </c>
      <c r="AF96" s="565" t="str">
        <f t="shared" si="47"/>
        <v/>
      </c>
      <c r="AG96" s="565" t="str">
        <f t="shared" si="48"/>
        <v/>
      </c>
      <c r="AH96" s="565" t="str">
        <f t="shared" si="49"/>
        <v/>
      </c>
      <c r="AI96" s="565" t="str">
        <f t="shared" si="50"/>
        <v/>
      </c>
      <c r="AJ96" s="565" t="str">
        <f t="shared" si="35"/>
        <v/>
      </c>
      <c r="AK96" s="565" t="str">
        <f t="shared" si="45"/>
        <v/>
      </c>
      <c r="AL96" s="549" t="str">
        <f t="shared" si="46"/>
        <v/>
      </c>
      <c r="AM96" s="549"/>
      <c r="AN96" s="549"/>
      <c r="AO96" s="549"/>
      <c r="AP96" s="549"/>
      <c r="AQ96" s="549"/>
      <c r="AR96" s="549"/>
      <c r="AS96" s="549"/>
    </row>
    <row r="97" spans="3:45" x14ac:dyDescent="0.2">
      <c r="C97" s="568">
        <v>89</v>
      </c>
      <c r="D97" s="577"/>
      <c r="F97" s="640"/>
      <c r="G97" s="578"/>
      <c r="H97" s="578"/>
      <c r="I97" s="578"/>
      <c r="J97" s="578"/>
      <c r="K97" s="578"/>
      <c r="L97" s="595"/>
      <c r="N97" s="565"/>
      <c r="O97" s="565"/>
      <c r="P97" s="571" t="str">
        <f t="shared" si="36"/>
        <v/>
      </c>
      <c r="Q97" s="566" t="str">
        <f t="shared" si="37"/>
        <v/>
      </c>
      <c r="R97" s="572" t="str">
        <f t="shared" si="38"/>
        <v/>
      </c>
      <c r="S97" s="572" t="str">
        <f t="shared" si="33"/>
        <v/>
      </c>
      <c r="T97" s="572" t="str">
        <f t="shared" si="39"/>
        <v/>
      </c>
      <c r="U97" s="572" t="str">
        <f t="shared" si="34"/>
        <v/>
      </c>
      <c r="V97" s="572" t="str">
        <f t="shared" si="40"/>
        <v/>
      </c>
      <c r="W97" s="572" t="str">
        <f t="shared" si="41"/>
        <v/>
      </c>
      <c r="X97" s="567"/>
      <c r="Y97" s="567"/>
      <c r="Z97" s="567"/>
      <c r="AA97" s="567"/>
      <c r="AB97" s="573">
        <v>90</v>
      </c>
      <c r="AC97" s="574" t="str">
        <f t="shared" si="42"/>
        <v/>
      </c>
      <c r="AD97" s="574" t="str">
        <f t="shared" si="43"/>
        <v/>
      </c>
      <c r="AE97" s="565" t="str">
        <f t="shared" si="44"/>
        <v/>
      </c>
      <c r="AF97" s="565" t="str">
        <f t="shared" si="47"/>
        <v/>
      </c>
      <c r="AG97" s="565" t="str">
        <f t="shared" si="48"/>
        <v/>
      </c>
      <c r="AH97" s="565" t="str">
        <f t="shared" si="49"/>
        <v/>
      </c>
      <c r="AI97" s="565" t="str">
        <f t="shared" si="50"/>
        <v/>
      </c>
      <c r="AJ97" s="565" t="str">
        <f t="shared" si="35"/>
        <v/>
      </c>
      <c r="AK97" s="565" t="str">
        <f t="shared" si="45"/>
        <v/>
      </c>
      <c r="AL97" s="549" t="str">
        <f t="shared" si="46"/>
        <v/>
      </c>
      <c r="AM97" s="549"/>
      <c r="AN97" s="549"/>
      <c r="AO97" s="549"/>
      <c r="AP97" s="549"/>
      <c r="AQ97" s="549"/>
      <c r="AR97" s="549"/>
      <c r="AS97" s="549"/>
    </row>
    <row r="98" spans="3:45" x14ac:dyDescent="0.2">
      <c r="C98" s="568">
        <v>90</v>
      </c>
      <c r="D98" s="577"/>
      <c r="G98" s="578"/>
      <c r="H98" s="578"/>
      <c r="I98" s="578"/>
      <c r="J98" s="578"/>
      <c r="K98" s="578"/>
      <c r="L98" s="595"/>
      <c r="N98" s="565"/>
      <c r="O98" s="565"/>
      <c r="P98" s="571" t="str">
        <f t="shared" si="36"/>
        <v/>
      </c>
      <c r="Q98" s="566" t="str">
        <f t="shared" si="37"/>
        <v/>
      </c>
      <c r="R98" s="572" t="str">
        <f t="shared" si="38"/>
        <v/>
      </c>
      <c r="S98" s="572" t="str">
        <f t="shared" si="33"/>
        <v/>
      </c>
      <c r="T98" s="572" t="str">
        <f t="shared" si="39"/>
        <v/>
      </c>
      <c r="U98" s="572" t="str">
        <f t="shared" si="34"/>
        <v/>
      </c>
      <c r="V98" s="572" t="str">
        <f t="shared" si="40"/>
        <v/>
      </c>
      <c r="W98" s="572" t="str">
        <f t="shared" si="41"/>
        <v/>
      </c>
      <c r="X98" s="567"/>
      <c r="Y98" s="567"/>
      <c r="Z98" s="567"/>
      <c r="AA98" s="567"/>
      <c r="AB98" s="573">
        <v>91</v>
      </c>
      <c r="AC98" s="574" t="str">
        <f t="shared" si="42"/>
        <v/>
      </c>
      <c r="AD98" s="574" t="str">
        <f t="shared" si="43"/>
        <v/>
      </c>
      <c r="AE98" s="565" t="str">
        <f t="shared" si="44"/>
        <v/>
      </c>
      <c r="AF98" s="565" t="str">
        <f t="shared" si="47"/>
        <v/>
      </c>
      <c r="AG98" s="565" t="str">
        <f t="shared" si="48"/>
        <v/>
      </c>
      <c r="AH98" s="565" t="str">
        <f t="shared" si="49"/>
        <v/>
      </c>
      <c r="AI98" s="565" t="str">
        <f t="shared" si="50"/>
        <v/>
      </c>
      <c r="AJ98" s="565" t="str">
        <f t="shared" si="35"/>
        <v/>
      </c>
      <c r="AK98" s="565" t="str">
        <f t="shared" si="45"/>
        <v/>
      </c>
      <c r="AL98" s="549" t="str">
        <f t="shared" si="46"/>
        <v/>
      </c>
      <c r="AM98" s="549"/>
      <c r="AN98" s="549"/>
      <c r="AO98" s="549"/>
      <c r="AP98" s="549"/>
      <c r="AQ98" s="549"/>
      <c r="AR98" s="549"/>
      <c r="AS98" s="549"/>
    </row>
    <row r="99" spans="3:45" x14ac:dyDescent="0.2">
      <c r="C99" s="568">
        <v>91</v>
      </c>
      <c r="D99" s="577"/>
      <c r="G99" s="578"/>
      <c r="H99" s="578"/>
      <c r="I99" s="578"/>
      <c r="J99" s="578"/>
      <c r="K99" s="578"/>
      <c r="L99" s="595"/>
      <c r="N99" s="565"/>
      <c r="O99" s="565"/>
      <c r="P99" s="571" t="str">
        <f t="shared" si="36"/>
        <v/>
      </c>
      <c r="Q99" s="566" t="str">
        <f t="shared" si="37"/>
        <v/>
      </c>
      <c r="R99" s="572" t="str">
        <f t="shared" si="38"/>
        <v/>
      </c>
      <c r="S99" s="572" t="str">
        <f t="shared" si="33"/>
        <v/>
      </c>
      <c r="T99" s="572" t="str">
        <f t="shared" si="39"/>
        <v/>
      </c>
      <c r="U99" s="572" t="str">
        <f t="shared" si="34"/>
        <v/>
      </c>
      <c r="V99" s="572" t="str">
        <f t="shared" si="40"/>
        <v/>
      </c>
      <c r="W99" s="572" t="str">
        <f t="shared" si="41"/>
        <v/>
      </c>
      <c r="X99" s="567"/>
      <c r="Y99" s="567"/>
      <c r="Z99" s="567"/>
      <c r="AA99" s="567"/>
      <c r="AB99" s="573">
        <v>92</v>
      </c>
      <c r="AC99" s="574" t="str">
        <f t="shared" si="42"/>
        <v/>
      </c>
      <c r="AD99" s="574" t="str">
        <f t="shared" si="43"/>
        <v/>
      </c>
      <c r="AE99" s="565" t="str">
        <f t="shared" si="44"/>
        <v/>
      </c>
      <c r="AF99" s="565" t="str">
        <f t="shared" si="47"/>
        <v/>
      </c>
      <c r="AG99" s="565" t="str">
        <f t="shared" si="48"/>
        <v/>
      </c>
      <c r="AH99" s="565" t="str">
        <f t="shared" si="49"/>
        <v/>
      </c>
      <c r="AI99" s="565" t="str">
        <f t="shared" si="50"/>
        <v/>
      </c>
      <c r="AJ99" s="565" t="str">
        <f t="shared" si="35"/>
        <v/>
      </c>
      <c r="AK99" s="565" t="str">
        <f t="shared" si="45"/>
        <v/>
      </c>
      <c r="AL99" s="549" t="str">
        <f t="shared" si="46"/>
        <v/>
      </c>
      <c r="AM99" s="549"/>
      <c r="AN99" s="549"/>
      <c r="AO99" s="549"/>
      <c r="AP99" s="549"/>
      <c r="AQ99" s="549"/>
      <c r="AR99" s="549"/>
      <c r="AS99" s="549"/>
    </row>
    <row r="100" spans="3:45" x14ac:dyDescent="0.2">
      <c r="C100" s="568">
        <v>92</v>
      </c>
      <c r="D100" s="577"/>
      <c r="E100" s="578"/>
      <c r="F100" s="578"/>
      <c r="G100" s="578"/>
      <c r="H100" s="578"/>
      <c r="I100" s="578"/>
      <c r="J100" s="578"/>
      <c r="K100" s="578"/>
      <c r="L100" s="579"/>
      <c r="N100" s="549"/>
      <c r="O100" s="549"/>
      <c r="P100" s="571" t="str">
        <f t="shared" si="36"/>
        <v/>
      </c>
      <c r="Q100" s="566" t="str">
        <f t="shared" si="37"/>
        <v/>
      </c>
      <c r="R100" s="572" t="str">
        <f t="shared" si="38"/>
        <v/>
      </c>
      <c r="S100" s="572" t="str">
        <f t="shared" si="33"/>
        <v/>
      </c>
      <c r="T100" s="572" t="str">
        <f t="shared" si="39"/>
        <v/>
      </c>
      <c r="U100" s="572" t="str">
        <f t="shared" si="34"/>
        <v/>
      </c>
      <c r="V100" s="572" t="str">
        <f t="shared" si="40"/>
        <v/>
      </c>
      <c r="W100" s="572" t="str">
        <f t="shared" si="41"/>
        <v/>
      </c>
      <c r="X100" s="567"/>
      <c r="Y100" s="567"/>
      <c r="Z100" s="567"/>
      <c r="AA100" s="567"/>
      <c r="AB100" s="573">
        <v>93</v>
      </c>
      <c r="AC100" s="574" t="str">
        <f t="shared" si="42"/>
        <v/>
      </c>
      <c r="AD100" s="574" t="str">
        <f t="shared" si="43"/>
        <v/>
      </c>
      <c r="AE100" s="565" t="str">
        <f t="shared" si="44"/>
        <v/>
      </c>
      <c r="AF100" s="565" t="str">
        <f t="shared" si="47"/>
        <v/>
      </c>
      <c r="AG100" s="565" t="str">
        <f t="shared" si="48"/>
        <v/>
      </c>
      <c r="AH100" s="565" t="str">
        <f t="shared" si="49"/>
        <v/>
      </c>
      <c r="AI100" s="565" t="str">
        <f t="shared" si="50"/>
        <v/>
      </c>
      <c r="AJ100" s="565" t="str">
        <f t="shared" si="35"/>
        <v/>
      </c>
      <c r="AK100" s="565" t="str">
        <f t="shared" si="45"/>
        <v/>
      </c>
      <c r="AL100" s="549" t="str">
        <f t="shared" si="46"/>
        <v/>
      </c>
      <c r="AM100" s="549"/>
      <c r="AN100" s="549"/>
      <c r="AO100" s="549"/>
      <c r="AP100" s="549"/>
      <c r="AQ100" s="549"/>
      <c r="AR100" s="549"/>
      <c r="AS100" s="549"/>
    </row>
    <row r="101" spans="3:45" x14ac:dyDescent="0.2">
      <c r="C101" s="568">
        <v>93</v>
      </c>
      <c r="D101" s="577"/>
      <c r="F101" s="641"/>
      <c r="L101" s="579"/>
      <c r="N101" s="549"/>
      <c r="O101" s="549"/>
      <c r="P101" s="571" t="str">
        <f t="shared" si="36"/>
        <v/>
      </c>
      <c r="Q101" s="566" t="str">
        <f t="shared" si="37"/>
        <v/>
      </c>
      <c r="R101" s="572" t="str">
        <f t="shared" si="38"/>
        <v/>
      </c>
      <c r="S101" s="572" t="str">
        <f t="shared" si="33"/>
        <v/>
      </c>
      <c r="T101" s="572" t="str">
        <f t="shared" si="39"/>
        <v/>
      </c>
      <c r="U101" s="572" t="str">
        <f t="shared" si="34"/>
        <v/>
      </c>
      <c r="V101" s="572" t="str">
        <f t="shared" si="40"/>
        <v/>
      </c>
      <c r="W101" s="572" t="str">
        <f t="shared" si="41"/>
        <v/>
      </c>
      <c r="X101" s="567"/>
      <c r="Y101" s="567"/>
      <c r="Z101" s="567"/>
      <c r="AA101" s="567"/>
      <c r="AB101" s="573">
        <v>94</v>
      </c>
      <c r="AC101" s="574" t="str">
        <f t="shared" si="42"/>
        <v/>
      </c>
      <c r="AD101" s="574" t="str">
        <f t="shared" si="43"/>
        <v/>
      </c>
      <c r="AE101" s="565" t="str">
        <f t="shared" si="44"/>
        <v/>
      </c>
      <c r="AF101" s="565" t="str">
        <f t="shared" si="47"/>
        <v/>
      </c>
      <c r="AG101" s="565" t="str">
        <f t="shared" si="48"/>
        <v/>
      </c>
      <c r="AH101" s="565" t="str">
        <f t="shared" si="49"/>
        <v/>
      </c>
      <c r="AI101" s="565" t="str">
        <f t="shared" si="50"/>
        <v/>
      </c>
      <c r="AJ101" s="565" t="str">
        <f t="shared" si="35"/>
        <v/>
      </c>
      <c r="AK101" s="565" t="str">
        <f t="shared" si="45"/>
        <v/>
      </c>
      <c r="AL101" s="549" t="str">
        <f t="shared" si="46"/>
        <v/>
      </c>
      <c r="AM101" s="549"/>
      <c r="AN101" s="549"/>
      <c r="AO101" s="549"/>
      <c r="AP101" s="549"/>
      <c r="AQ101" s="549"/>
      <c r="AR101" s="549"/>
      <c r="AS101" s="549"/>
    </row>
    <row r="102" spans="3:45" x14ac:dyDescent="0.2">
      <c r="C102" s="568">
        <v>94</v>
      </c>
      <c r="D102" s="577"/>
      <c r="E102" s="585"/>
      <c r="F102" s="578"/>
      <c r="G102" s="578"/>
      <c r="H102" s="578"/>
      <c r="L102" s="579"/>
      <c r="N102" s="549"/>
      <c r="O102" s="549"/>
      <c r="P102" s="571" t="str">
        <f t="shared" si="36"/>
        <v/>
      </c>
      <c r="Q102" s="566" t="str">
        <f t="shared" si="37"/>
        <v/>
      </c>
      <c r="R102" s="572" t="str">
        <f t="shared" si="38"/>
        <v/>
      </c>
      <c r="S102" s="572" t="str">
        <f t="shared" si="33"/>
        <v/>
      </c>
      <c r="T102" s="572" t="str">
        <f t="shared" si="39"/>
        <v/>
      </c>
      <c r="U102" s="572" t="str">
        <f t="shared" si="34"/>
        <v/>
      </c>
      <c r="V102" s="572" t="str">
        <f t="shared" si="40"/>
        <v/>
      </c>
      <c r="W102" s="572" t="str">
        <f t="shared" si="41"/>
        <v/>
      </c>
      <c r="X102" s="567"/>
      <c r="Y102" s="567"/>
      <c r="Z102" s="567"/>
      <c r="AA102" s="567"/>
      <c r="AB102" s="573">
        <v>95</v>
      </c>
      <c r="AC102" s="574" t="str">
        <f t="shared" si="42"/>
        <v/>
      </c>
      <c r="AD102" s="574" t="str">
        <f t="shared" si="43"/>
        <v/>
      </c>
      <c r="AE102" s="565" t="str">
        <f t="shared" si="44"/>
        <v/>
      </c>
      <c r="AF102" s="565" t="str">
        <f t="shared" si="47"/>
        <v/>
      </c>
      <c r="AG102" s="565" t="str">
        <f t="shared" si="48"/>
        <v/>
      </c>
      <c r="AH102" s="565" t="str">
        <f t="shared" si="49"/>
        <v/>
      </c>
      <c r="AI102" s="565" t="str">
        <f t="shared" si="50"/>
        <v/>
      </c>
      <c r="AJ102" s="565" t="str">
        <f t="shared" si="35"/>
        <v/>
      </c>
      <c r="AK102" s="565" t="str">
        <f t="shared" si="45"/>
        <v/>
      </c>
      <c r="AL102" s="549" t="str">
        <f t="shared" si="46"/>
        <v/>
      </c>
      <c r="AM102" s="549"/>
      <c r="AN102" s="549"/>
      <c r="AO102" s="549"/>
      <c r="AP102" s="549"/>
      <c r="AQ102" s="549"/>
      <c r="AR102" s="549"/>
      <c r="AS102" s="549"/>
    </row>
    <row r="103" spans="3:45" x14ac:dyDescent="0.2">
      <c r="C103" s="568">
        <v>95</v>
      </c>
      <c r="D103" s="577"/>
      <c r="E103" s="578"/>
      <c r="F103" s="578"/>
      <c r="G103" s="578"/>
      <c r="H103" s="578"/>
      <c r="L103" s="579"/>
      <c r="N103" s="549"/>
      <c r="O103" s="549"/>
      <c r="P103" s="571" t="str">
        <f>IF(ISNUMBER(D104),NORMDIST(D104,$D$108,$D$109,0),"")</f>
        <v/>
      </c>
      <c r="Q103" s="566" t="str">
        <f t="shared" si="37"/>
        <v/>
      </c>
      <c r="R103" s="572" t="str">
        <f t="shared" si="38"/>
        <v/>
      </c>
      <c r="S103" s="572" t="str">
        <f t="shared" si="33"/>
        <v/>
      </c>
      <c r="T103" s="572" t="str">
        <f t="shared" si="39"/>
        <v/>
      </c>
      <c r="U103" s="572" t="str">
        <f t="shared" si="34"/>
        <v/>
      </c>
      <c r="V103" s="572" t="str">
        <f t="shared" si="40"/>
        <v/>
      </c>
      <c r="W103" s="572" t="str">
        <f t="shared" si="41"/>
        <v/>
      </c>
      <c r="X103" s="567"/>
      <c r="Y103" s="567"/>
      <c r="Z103" s="567"/>
      <c r="AA103" s="567"/>
      <c r="AB103" s="573">
        <v>96</v>
      </c>
      <c r="AC103" s="574" t="str">
        <f t="shared" si="42"/>
        <v/>
      </c>
      <c r="AD103" s="574" t="str">
        <f t="shared" si="43"/>
        <v/>
      </c>
      <c r="AE103" s="565" t="str">
        <f t="shared" si="44"/>
        <v/>
      </c>
      <c r="AF103" s="565" t="str">
        <f t="shared" si="47"/>
        <v/>
      </c>
      <c r="AG103" s="565" t="str">
        <f t="shared" si="48"/>
        <v/>
      </c>
      <c r="AH103" s="565" t="str">
        <f t="shared" si="49"/>
        <v/>
      </c>
      <c r="AI103" s="565" t="str">
        <f t="shared" si="50"/>
        <v/>
      </c>
      <c r="AJ103" s="565" t="str">
        <f t="shared" si="35"/>
        <v/>
      </c>
      <c r="AK103" s="565" t="str">
        <f t="shared" si="45"/>
        <v/>
      </c>
      <c r="AL103" s="549" t="str">
        <f t="shared" si="46"/>
        <v/>
      </c>
      <c r="AM103" s="549"/>
      <c r="AN103" s="549"/>
      <c r="AO103" s="549"/>
      <c r="AP103" s="549"/>
      <c r="AQ103" s="549"/>
      <c r="AR103" s="549"/>
      <c r="AS103" s="549"/>
    </row>
    <row r="104" spans="3:45" x14ac:dyDescent="0.2">
      <c r="C104" s="568">
        <v>96</v>
      </c>
      <c r="D104" s="577"/>
      <c r="E104" s="578"/>
      <c r="F104" s="639"/>
      <c r="G104" s="639"/>
      <c r="H104" s="639"/>
      <c r="L104" s="579"/>
      <c r="N104" s="549"/>
      <c r="O104" s="549"/>
      <c r="P104" s="571" t="str">
        <f t="shared" si="36"/>
        <v/>
      </c>
      <c r="Q104" s="566" t="str">
        <f>IF(ISNUMBER(D105),RANK(D105,D$9:D$107,1),"")</f>
        <v/>
      </c>
      <c r="R104" s="572" t="str">
        <f>IF(ISNUMBER(D105),Q104/(MAX($Q$8:$Q$106)+1),"")</f>
        <v/>
      </c>
      <c r="S104" s="572" t="str">
        <f t="shared" si="33"/>
        <v/>
      </c>
      <c r="T104" s="572" t="str">
        <f>IF(ISNUMBER(D105),((D105-AVERAGE($D$9:$D$107))/STDEV($D$9:$D$107)),"")</f>
        <v/>
      </c>
      <c r="U104" s="572" t="str">
        <f t="shared" si="34"/>
        <v/>
      </c>
      <c r="V104" s="572" t="str">
        <f>IF(ISNUMBER(D105),Q104/COUNT($D$9:$D$107)-U104,"")</f>
        <v/>
      </c>
      <c r="W104" s="572" t="str">
        <f>IF(ISNUMBER(D105),U104-(Q104-1)/COUNT($D$9:$D$107),"")</f>
        <v/>
      </c>
      <c r="X104" s="567"/>
      <c r="Y104" s="567"/>
      <c r="Z104" s="567"/>
      <c r="AA104" s="567"/>
      <c r="AB104" s="573">
        <v>97</v>
      </c>
      <c r="AC104" s="574" t="str">
        <f t="shared" si="42"/>
        <v/>
      </c>
      <c r="AD104" s="574" t="str">
        <f t="shared" si="43"/>
        <v/>
      </c>
      <c r="AE104" s="565" t="str">
        <f t="shared" si="44"/>
        <v/>
      </c>
      <c r="AF104" s="565" t="str">
        <f t="shared" si="47"/>
        <v/>
      </c>
      <c r="AG104" s="565" t="str">
        <f t="shared" si="48"/>
        <v/>
      </c>
      <c r="AH104" s="565" t="str">
        <f t="shared" si="49"/>
        <v/>
      </c>
      <c r="AI104" s="565" t="str">
        <f t="shared" si="50"/>
        <v/>
      </c>
      <c r="AJ104" s="565" t="str">
        <f t="shared" si="35"/>
        <v/>
      </c>
      <c r="AK104" s="565" t="str">
        <f t="shared" si="45"/>
        <v/>
      </c>
      <c r="AL104" s="549" t="str">
        <f t="shared" si="46"/>
        <v/>
      </c>
      <c r="AM104" s="549"/>
      <c r="AN104" s="549"/>
      <c r="AO104" s="549"/>
      <c r="AP104" s="549"/>
      <c r="AQ104" s="549"/>
      <c r="AR104" s="549"/>
      <c r="AS104" s="549"/>
    </row>
    <row r="105" spans="3:45" x14ac:dyDescent="0.2">
      <c r="C105" s="568">
        <v>97</v>
      </c>
      <c r="D105" s="577"/>
      <c r="E105" s="578"/>
      <c r="F105" s="639"/>
      <c r="G105" s="639"/>
      <c r="H105" s="639"/>
      <c r="L105" s="579"/>
      <c r="N105" s="549"/>
      <c r="O105" s="549"/>
      <c r="P105" s="571" t="str">
        <f t="shared" si="36"/>
        <v/>
      </c>
      <c r="Q105" s="566" t="str">
        <f>IF(ISNUMBER(D106),RANK(D106,D$9:D$107,1),"")</f>
        <v/>
      </c>
      <c r="R105" s="572" t="str">
        <f>IF(ISNUMBER(D106),Q105/(MAX($Q$8:$Q$106)+1),"")</f>
        <v/>
      </c>
      <c r="S105" s="572" t="str">
        <f t="shared" si="33"/>
        <v/>
      </c>
      <c r="T105" s="572" t="str">
        <f>IF(ISNUMBER(D106),((D106-AVERAGE($D$9:$D$107))/STDEV($D$9:$D$107)),"")</f>
        <v/>
      </c>
      <c r="U105" s="572" t="str">
        <f t="shared" si="34"/>
        <v/>
      </c>
      <c r="V105" s="572" t="str">
        <f>IF(ISNUMBER(D106),Q105/COUNT($D$9:$D$107)-U105,"")</f>
        <v/>
      </c>
      <c r="W105" s="572" t="str">
        <f>IF(ISNUMBER(D106),U105-(Q105-1)/COUNT($D$9:$D$107),"")</f>
        <v/>
      </c>
      <c r="X105" s="567"/>
      <c r="Y105" s="567"/>
      <c r="Z105" s="549"/>
      <c r="AA105" s="567"/>
      <c r="AB105" s="573">
        <v>98</v>
      </c>
      <c r="AC105" s="574" t="str">
        <f t="shared" si="42"/>
        <v/>
      </c>
      <c r="AD105" s="574" t="str">
        <f t="shared" si="43"/>
        <v/>
      </c>
      <c r="AE105" s="565" t="str">
        <f t="shared" si="44"/>
        <v/>
      </c>
      <c r="AF105" s="565" t="str">
        <f t="shared" si="47"/>
        <v/>
      </c>
      <c r="AG105" s="565" t="str">
        <f t="shared" si="48"/>
        <v/>
      </c>
      <c r="AH105" s="565" t="str">
        <f t="shared" si="49"/>
        <v/>
      </c>
      <c r="AI105" s="565" t="str">
        <f t="shared" si="50"/>
        <v/>
      </c>
      <c r="AJ105" s="565" t="str">
        <f t="shared" si="35"/>
        <v/>
      </c>
      <c r="AK105" s="565" t="str">
        <f t="shared" si="45"/>
        <v/>
      </c>
      <c r="AL105" s="549" t="str">
        <f t="shared" si="46"/>
        <v/>
      </c>
      <c r="AM105" s="549"/>
      <c r="AN105" s="549"/>
      <c r="AO105" s="549"/>
      <c r="AP105" s="549"/>
      <c r="AQ105" s="549"/>
      <c r="AR105" s="549"/>
      <c r="AS105" s="549"/>
    </row>
    <row r="106" spans="3:45" x14ac:dyDescent="0.2">
      <c r="C106" s="568">
        <v>98</v>
      </c>
      <c r="D106" s="577"/>
      <c r="E106" s="578"/>
      <c r="F106" s="639"/>
      <c r="G106" s="639"/>
      <c r="H106" s="639"/>
      <c r="L106" s="579"/>
      <c r="P106" s="639" t="str">
        <f t="shared" si="36"/>
        <v/>
      </c>
      <c r="Q106" s="642" t="str">
        <f t="shared" ref="Q106" si="51">IF(ISNUMBER(D107),RANK(D107,D$9:D$107,1),"")</f>
        <v/>
      </c>
      <c r="R106" s="643" t="str">
        <f t="shared" ref="R106" si="52">IF(ISNUMBER(D107),Q106/(MAX($Q$8:$Q$106)+1),"")</f>
        <v/>
      </c>
      <c r="S106" s="643" t="str">
        <f t="shared" si="33"/>
        <v/>
      </c>
      <c r="T106" s="643" t="str">
        <f t="shared" ref="T106" si="53">IF(ISNUMBER(D107),((D107-AVERAGE($D$9:$D$107))/STDEV($D$9:$D$107)),"")</f>
        <v/>
      </c>
      <c r="U106" s="643" t="str">
        <f t="shared" si="34"/>
        <v/>
      </c>
      <c r="V106" s="643" t="str">
        <f t="shared" ref="V106" si="54">IF(ISNUMBER(D107),Q106/COUNT($D$9:$D$107)-U106,"")</f>
        <v/>
      </c>
      <c r="W106" s="643" t="str">
        <f t="shared" ref="W106" si="55">IF(ISNUMBER(D107),U106-(Q106-1)/COUNT($D$9:$D$107),"")</f>
        <v/>
      </c>
      <c r="X106" s="644"/>
      <c r="Y106" s="644"/>
      <c r="AA106" s="567"/>
      <c r="AB106" s="573">
        <v>99</v>
      </c>
      <c r="AC106" s="574" t="str">
        <f t="shared" si="42"/>
        <v/>
      </c>
      <c r="AD106" s="574" t="str">
        <f t="shared" si="43"/>
        <v/>
      </c>
      <c r="AE106" s="565" t="str">
        <f t="shared" si="44"/>
        <v/>
      </c>
      <c r="AF106" s="565" t="str">
        <f t="shared" si="47"/>
        <v/>
      </c>
      <c r="AG106" s="565" t="str">
        <f t="shared" si="48"/>
        <v/>
      </c>
      <c r="AH106" s="565" t="str">
        <f t="shared" si="49"/>
        <v/>
      </c>
      <c r="AI106" s="565" t="str">
        <f t="shared" si="50"/>
        <v/>
      </c>
      <c r="AJ106" s="565" t="str">
        <f t="shared" si="35"/>
        <v/>
      </c>
      <c r="AK106" s="565" t="str">
        <f t="shared" si="45"/>
        <v/>
      </c>
      <c r="AL106" s="549" t="str">
        <f t="shared" si="46"/>
        <v/>
      </c>
      <c r="AM106" s="549"/>
      <c r="AN106" s="549"/>
      <c r="AO106" s="549"/>
      <c r="AP106" s="549"/>
      <c r="AQ106" s="549"/>
      <c r="AR106" s="549"/>
      <c r="AS106" s="549"/>
    </row>
    <row r="107" spans="3:45" x14ac:dyDescent="0.2">
      <c r="C107" s="568">
        <v>99</v>
      </c>
      <c r="D107" s="645"/>
      <c r="E107" s="578"/>
      <c r="F107" s="639"/>
      <c r="G107" s="639"/>
      <c r="H107" s="639"/>
      <c r="L107" s="579"/>
      <c r="P107" s="639"/>
      <c r="Q107" s="642"/>
      <c r="R107" s="643"/>
      <c r="S107" s="643"/>
      <c r="T107" s="643"/>
      <c r="U107" s="643"/>
      <c r="V107" s="643"/>
      <c r="W107" s="643"/>
      <c r="X107" s="644"/>
      <c r="Y107" s="644"/>
      <c r="AA107" s="567"/>
      <c r="AB107" s="549"/>
      <c r="AC107" s="549"/>
      <c r="AD107" s="549"/>
      <c r="AE107" s="549"/>
      <c r="AF107" s="549"/>
      <c r="AG107" s="549"/>
      <c r="AH107" s="549"/>
      <c r="AI107" s="549"/>
      <c r="AJ107" s="549"/>
      <c r="AK107" s="549"/>
      <c r="AL107" s="549"/>
      <c r="AM107" s="549"/>
      <c r="AN107" s="549"/>
      <c r="AO107" s="549"/>
      <c r="AP107" s="549"/>
      <c r="AQ107" s="549"/>
      <c r="AR107" s="549"/>
      <c r="AS107" s="549"/>
    </row>
    <row r="108" spans="3:45" x14ac:dyDescent="0.2">
      <c r="C108" s="568" t="s">
        <v>494</v>
      </c>
      <c r="D108" s="646">
        <f>AVERAGE(D9:D107)</f>
        <v>317.31124999999992</v>
      </c>
      <c r="E108" s="647"/>
      <c r="F108" s="639"/>
      <c r="G108" s="639"/>
      <c r="H108" s="639"/>
      <c r="L108" s="579"/>
      <c r="P108" s="639"/>
      <c r="AA108" s="549"/>
      <c r="AB108" s="549"/>
      <c r="AC108" s="549" t="s">
        <v>120</v>
      </c>
      <c r="AD108" s="549"/>
      <c r="AE108" s="549"/>
      <c r="AF108" s="549"/>
      <c r="AG108" s="549"/>
      <c r="AH108" s="549"/>
      <c r="AI108" s="549"/>
      <c r="AJ108" s="549"/>
      <c r="AK108" s="549"/>
      <c r="AL108" s="549"/>
      <c r="AM108" s="549"/>
      <c r="AN108" s="549"/>
      <c r="AO108" s="549"/>
      <c r="AP108" s="549"/>
      <c r="AQ108" s="549"/>
      <c r="AR108" s="549"/>
      <c r="AS108" s="549"/>
    </row>
    <row r="109" spans="3:45" ht="13.5" thickBot="1" x14ac:dyDescent="0.25">
      <c r="C109" s="648" t="s">
        <v>202</v>
      </c>
      <c r="D109" s="649">
        <f>STDEV(D9:D107)</f>
        <v>42.453793112977984</v>
      </c>
      <c r="E109" s="650"/>
      <c r="F109" s="651"/>
      <c r="G109" s="651"/>
      <c r="H109" s="652"/>
      <c r="I109" s="652"/>
      <c r="J109" s="652"/>
      <c r="K109" s="652"/>
      <c r="L109" s="653"/>
      <c r="M109" s="578"/>
      <c r="N109" s="578"/>
      <c r="O109" s="578"/>
      <c r="P109" s="578"/>
      <c r="T109" s="578"/>
      <c r="U109" s="578"/>
      <c r="V109" s="578"/>
      <c r="W109" s="578"/>
      <c r="X109" s="578"/>
      <c r="Y109" s="578"/>
      <c r="AA109" s="565"/>
      <c r="AB109" s="565"/>
      <c r="AC109" s="549"/>
      <c r="AD109" s="565" t="s">
        <v>117</v>
      </c>
      <c r="AE109" s="565" t="s">
        <v>118</v>
      </c>
      <c r="AF109" s="565" t="s">
        <v>119</v>
      </c>
      <c r="AG109" s="549"/>
      <c r="AH109" s="549"/>
      <c r="AI109" s="549"/>
      <c r="AJ109" s="549"/>
      <c r="AK109" s="549"/>
      <c r="AL109" s="549"/>
      <c r="AM109" s="549"/>
      <c r="AN109" s="549"/>
      <c r="AO109" s="549"/>
      <c r="AP109" s="549"/>
      <c r="AQ109" s="549"/>
      <c r="AR109" s="549"/>
      <c r="AS109" s="549"/>
    </row>
    <row r="110" spans="3:45" x14ac:dyDescent="0.2">
      <c r="D110" s="639"/>
      <c r="E110" s="578"/>
      <c r="F110" s="578"/>
      <c r="G110" s="578"/>
      <c r="H110" s="578"/>
      <c r="I110" s="578"/>
      <c r="J110" s="578"/>
      <c r="K110" s="578"/>
      <c r="L110" s="578"/>
      <c r="M110" s="565"/>
      <c r="N110" s="565"/>
      <c r="O110" s="565"/>
      <c r="P110" s="565"/>
      <c r="Q110" s="549"/>
      <c r="R110" s="549"/>
      <c r="S110" s="549"/>
      <c r="T110" s="549"/>
      <c r="U110" s="549"/>
      <c r="V110" s="549"/>
      <c r="W110" s="549"/>
      <c r="X110" s="549"/>
      <c r="Y110" s="549"/>
      <c r="Z110" s="549"/>
      <c r="AA110" s="549"/>
      <c r="AB110" s="549"/>
      <c r="AC110" s="565" t="s">
        <v>4</v>
      </c>
      <c r="AD110" s="574">
        <f>DEVSQ(AC10:AC106)</f>
        <v>48628.128421052614</v>
      </c>
      <c r="AE110" s="574">
        <f>DEVSQ(AD10:AD106)</f>
        <v>54025.693421052638</v>
      </c>
      <c r="AF110" s="574">
        <f>DEVSQ(AC8:AC106)</f>
        <v>70290.657437500005</v>
      </c>
      <c r="AG110" s="549"/>
      <c r="AH110" s="549"/>
      <c r="AI110" s="549"/>
      <c r="AJ110" s="549"/>
      <c r="AK110" s="549"/>
      <c r="AL110" s="549"/>
      <c r="AM110" s="549"/>
      <c r="AN110" s="549"/>
      <c r="AO110" s="549"/>
      <c r="AP110" s="549"/>
      <c r="AQ110" s="549"/>
      <c r="AR110" s="549"/>
      <c r="AS110" s="549"/>
    </row>
    <row r="111" spans="3:45" x14ac:dyDescent="0.2">
      <c r="M111" s="549"/>
      <c r="N111" s="549"/>
      <c r="O111" s="549"/>
      <c r="P111" s="549"/>
      <c r="Q111" s="549"/>
      <c r="R111" s="549"/>
      <c r="S111" s="549"/>
      <c r="T111" s="549"/>
      <c r="U111" s="549"/>
      <c r="V111" s="549"/>
      <c r="W111" s="549"/>
      <c r="X111" s="549"/>
      <c r="Y111" s="549"/>
      <c r="Z111" s="549"/>
      <c r="AA111" s="549"/>
      <c r="AB111" s="549"/>
      <c r="AC111" s="565" t="s">
        <v>69</v>
      </c>
      <c r="AD111" s="574">
        <f>AD110/AF110</f>
        <v>0.69181496081881211</v>
      </c>
      <c r="AE111" s="574">
        <f>AE110/AF110</f>
        <v>0.7686041842629</v>
      </c>
      <c r="AF111" s="549"/>
      <c r="AG111" s="549"/>
      <c r="AH111" s="549"/>
      <c r="AI111" s="549"/>
      <c r="AJ111" s="549"/>
      <c r="AK111" s="549"/>
      <c r="AL111" s="549"/>
      <c r="AM111" s="549"/>
      <c r="AN111" s="549"/>
      <c r="AO111" s="549"/>
      <c r="AP111" s="549"/>
      <c r="AQ111" s="549"/>
      <c r="AR111" s="549"/>
      <c r="AS111" s="549"/>
    </row>
    <row r="112" spans="3:45" x14ac:dyDescent="0.2">
      <c r="M112" s="549"/>
      <c r="N112" s="549"/>
      <c r="O112" s="549"/>
      <c r="P112" s="549"/>
      <c r="Q112" s="549"/>
      <c r="R112" s="549"/>
      <c r="S112" s="549"/>
      <c r="T112" s="549"/>
      <c r="U112" s="549"/>
      <c r="V112" s="549"/>
      <c r="W112" s="549"/>
      <c r="X112" s="549"/>
      <c r="Y112" s="549"/>
      <c r="Z112" s="549"/>
      <c r="AA112" s="549"/>
      <c r="AB112" s="549"/>
      <c r="AC112" s="549"/>
      <c r="AD112" s="549"/>
      <c r="AE112" s="549"/>
      <c r="AF112" s="549"/>
      <c r="AG112" s="549"/>
      <c r="AH112" s="549"/>
      <c r="AI112" s="549"/>
      <c r="AJ112" s="549"/>
      <c r="AK112" s="549"/>
      <c r="AL112" s="549"/>
      <c r="AM112" s="549"/>
      <c r="AN112" s="549"/>
      <c r="AO112" s="549"/>
      <c r="AP112" s="549"/>
      <c r="AQ112" s="549"/>
      <c r="AR112" s="549"/>
      <c r="AS112" s="549"/>
    </row>
    <row r="113" spans="13:45" x14ac:dyDescent="0.2">
      <c r="M113" s="549"/>
      <c r="N113" s="549"/>
      <c r="O113" s="549"/>
      <c r="P113" s="549"/>
      <c r="Q113" s="549"/>
      <c r="R113" s="549"/>
      <c r="S113" s="549"/>
      <c r="T113" s="549"/>
      <c r="U113" s="549"/>
      <c r="V113" s="549"/>
      <c r="W113" s="549"/>
      <c r="X113" s="549"/>
      <c r="Y113" s="549"/>
      <c r="Z113" s="549"/>
      <c r="AA113" s="549"/>
      <c r="AB113" s="549"/>
      <c r="AC113" s="565" t="s">
        <v>75</v>
      </c>
      <c r="AD113" s="565">
        <f>COUNT(AC8:AC106)</f>
        <v>40</v>
      </c>
      <c r="AE113" s="549"/>
      <c r="AF113" s="549"/>
      <c r="AG113" s="549"/>
      <c r="AH113" s="549"/>
      <c r="AI113" s="549"/>
      <c r="AJ113" s="549"/>
      <c r="AK113" s="549"/>
      <c r="AL113" s="549"/>
      <c r="AM113" s="549"/>
      <c r="AN113" s="549"/>
      <c r="AO113" s="549"/>
      <c r="AP113" s="549"/>
      <c r="AQ113" s="549"/>
      <c r="AR113" s="549"/>
      <c r="AS113" s="549"/>
    </row>
    <row r="114" spans="13:45" x14ac:dyDescent="0.2">
      <c r="M114" s="549"/>
      <c r="N114" s="549"/>
      <c r="O114" s="549"/>
      <c r="P114" s="549"/>
      <c r="Q114" s="549"/>
      <c r="R114" s="549"/>
      <c r="S114" s="549"/>
      <c r="T114" s="549"/>
      <c r="U114" s="549"/>
      <c r="V114" s="549"/>
      <c r="W114" s="549"/>
      <c r="X114" s="549"/>
      <c r="Y114" s="549"/>
      <c r="Z114" s="549"/>
      <c r="AA114" s="549"/>
      <c r="AB114" s="549"/>
      <c r="AC114" s="565" t="s">
        <v>73</v>
      </c>
      <c r="AD114" s="574">
        <f>MIN(AC8:AC106)</f>
        <v>186.7</v>
      </c>
      <c r="AE114" s="549"/>
      <c r="AF114" s="549"/>
      <c r="AG114" s="549"/>
      <c r="AH114" s="549"/>
      <c r="AI114" s="549"/>
      <c r="AJ114" s="549"/>
      <c r="AK114" s="549"/>
      <c r="AL114" s="549"/>
      <c r="AM114" s="549"/>
      <c r="AN114" s="549"/>
      <c r="AO114" s="549"/>
      <c r="AP114" s="549"/>
      <c r="AQ114" s="549"/>
      <c r="AR114" s="549"/>
      <c r="AS114" s="549"/>
    </row>
    <row r="115" spans="13:45" x14ac:dyDescent="0.2">
      <c r="M115" s="549"/>
      <c r="N115" s="549"/>
      <c r="O115" s="549"/>
      <c r="P115" s="549"/>
      <c r="Q115" s="549"/>
      <c r="R115" s="549"/>
      <c r="S115" s="549"/>
      <c r="T115" s="549"/>
      <c r="U115" s="549"/>
      <c r="V115" s="549"/>
      <c r="W115" s="549"/>
      <c r="X115" s="549"/>
      <c r="Y115" s="549"/>
      <c r="Z115" s="549"/>
      <c r="AA115" s="549"/>
      <c r="AB115" s="549"/>
      <c r="AC115" s="565" t="s">
        <v>71</v>
      </c>
      <c r="AD115" s="574">
        <f>MAX(AC8:AC106)</f>
        <v>407.65</v>
      </c>
      <c r="AE115" s="549"/>
      <c r="AF115" s="549"/>
      <c r="AG115" s="549"/>
      <c r="AH115" s="549"/>
      <c r="AI115" s="549"/>
      <c r="AJ115" s="549"/>
      <c r="AK115" s="549"/>
      <c r="AL115" s="549"/>
      <c r="AM115" s="549"/>
      <c r="AN115" s="549"/>
      <c r="AO115" s="549"/>
      <c r="AP115" s="549"/>
      <c r="AQ115" s="549"/>
      <c r="AR115" s="549"/>
      <c r="AS115" s="549"/>
    </row>
    <row r="116" spans="13:45" x14ac:dyDescent="0.2">
      <c r="M116" s="549"/>
      <c r="N116" s="549"/>
      <c r="O116" s="549"/>
      <c r="P116" s="549"/>
      <c r="Q116" s="549"/>
      <c r="R116" s="549"/>
      <c r="S116" s="549"/>
      <c r="T116" s="549"/>
      <c r="U116" s="549"/>
      <c r="V116" s="549"/>
      <c r="W116" s="549"/>
      <c r="X116" s="549"/>
      <c r="Y116" s="549"/>
      <c r="Z116" s="549"/>
      <c r="AA116" s="549"/>
      <c r="AB116" s="549"/>
      <c r="AC116" s="565" t="s">
        <v>76</v>
      </c>
      <c r="AD116" s="574">
        <f>AD115-AD114</f>
        <v>220.95</v>
      </c>
      <c r="AE116" s="549"/>
      <c r="AF116" s="549"/>
      <c r="AG116" s="549"/>
      <c r="AH116" s="549"/>
      <c r="AI116" s="549"/>
      <c r="AJ116" s="549"/>
      <c r="AK116" s="549"/>
      <c r="AL116" s="549"/>
      <c r="AM116" s="549"/>
      <c r="AN116" s="549"/>
      <c r="AO116" s="549"/>
      <c r="AP116" s="549"/>
      <c r="AQ116" s="549"/>
      <c r="AR116" s="549"/>
      <c r="AS116" s="549"/>
    </row>
    <row r="117" spans="13:45" x14ac:dyDescent="0.2">
      <c r="M117" s="549"/>
      <c r="N117" s="549"/>
      <c r="O117" s="549"/>
      <c r="P117" s="549"/>
      <c r="Q117" s="549"/>
      <c r="R117" s="549"/>
      <c r="S117" s="549"/>
      <c r="T117" s="549"/>
      <c r="U117" s="549"/>
      <c r="V117" s="549"/>
      <c r="W117" s="549"/>
      <c r="X117" s="549"/>
      <c r="Y117" s="549"/>
      <c r="Z117" s="549"/>
      <c r="AA117" s="549"/>
      <c r="AB117" s="549"/>
      <c r="AC117" s="565" t="s">
        <v>77</v>
      </c>
      <c r="AD117" s="565">
        <f>INT((1+3.3*LOG10(AD113)+0.5))</f>
        <v>6</v>
      </c>
      <c r="AE117" s="549"/>
      <c r="AF117" s="549"/>
      <c r="AG117" s="549"/>
      <c r="AH117" s="549"/>
      <c r="AI117" s="549"/>
      <c r="AJ117" s="549"/>
      <c r="AK117" s="549"/>
      <c r="AL117" s="549"/>
      <c r="AM117" s="549"/>
      <c r="AN117" s="549"/>
      <c r="AO117" s="549"/>
      <c r="AP117" s="549"/>
      <c r="AQ117" s="549"/>
      <c r="AR117" s="549"/>
      <c r="AS117" s="549"/>
    </row>
    <row r="118" spans="13:45" x14ac:dyDescent="0.2">
      <c r="M118" s="549"/>
      <c r="N118" s="549"/>
      <c r="O118" s="549"/>
      <c r="P118" s="549"/>
      <c r="Q118" s="549"/>
      <c r="R118" s="549"/>
      <c r="S118" s="549"/>
      <c r="T118" s="549"/>
      <c r="U118" s="549"/>
      <c r="V118" s="549"/>
      <c r="W118" s="549"/>
      <c r="X118" s="549"/>
      <c r="Y118" s="549"/>
      <c r="Z118" s="549"/>
      <c r="AA118" s="549"/>
      <c r="AB118" s="549"/>
      <c r="AC118" s="565" t="s">
        <v>78</v>
      </c>
      <c r="AD118" s="570">
        <f>AD116/AD117</f>
        <v>36.824999999999996</v>
      </c>
      <c r="AE118" s="549"/>
      <c r="AF118" s="549"/>
      <c r="AG118" s="549"/>
      <c r="AH118" s="549"/>
      <c r="AI118" s="549"/>
      <c r="AJ118" s="549"/>
      <c r="AK118" s="549"/>
      <c r="AL118" s="549"/>
      <c r="AM118" s="549"/>
      <c r="AN118" s="549"/>
      <c r="AO118" s="549"/>
      <c r="AP118" s="549"/>
      <c r="AQ118" s="549"/>
      <c r="AR118" s="549"/>
      <c r="AS118" s="549"/>
    </row>
    <row r="119" spans="13:45" x14ac:dyDescent="0.2">
      <c r="M119" s="549"/>
      <c r="N119" s="549"/>
      <c r="O119" s="549"/>
      <c r="P119" s="549"/>
      <c r="Q119" s="549"/>
      <c r="R119" s="549"/>
      <c r="S119" s="549"/>
      <c r="T119" s="549"/>
      <c r="U119" s="549"/>
      <c r="V119" s="549"/>
      <c r="W119" s="549"/>
      <c r="X119" s="549"/>
      <c r="Y119" s="549"/>
      <c r="Z119" s="549"/>
      <c r="AA119" s="549"/>
      <c r="AB119" s="549"/>
      <c r="AC119" s="654"/>
      <c r="AD119" s="549"/>
      <c r="AE119" s="549"/>
      <c r="AF119" s="549"/>
      <c r="AG119" s="549"/>
      <c r="AH119" s="549"/>
      <c r="AI119" s="549"/>
      <c r="AJ119" s="549"/>
      <c r="AK119" s="549"/>
      <c r="AL119" s="549"/>
      <c r="AM119" s="549"/>
      <c r="AN119" s="549"/>
      <c r="AO119" s="549"/>
      <c r="AP119" s="549"/>
      <c r="AQ119" s="549"/>
      <c r="AR119" s="549"/>
      <c r="AS119" s="549"/>
    </row>
    <row r="120" spans="13:45" x14ac:dyDescent="0.2">
      <c r="M120" s="549"/>
      <c r="N120" s="549"/>
      <c r="O120" s="549"/>
      <c r="P120" s="549"/>
      <c r="Q120" s="549"/>
      <c r="R120" s="549"/>
      <c r="S120" s="549"/>
      <c r="T120" s="549"/>
      <c r="U120" s="549"/>
      <c r="V120" s="549"/>
      <c r="W120" s="549"/>
      <c r="X120" s="549"/>
      <c r="Y120" s="549"/>
      <c r="Z120" s="549"/>
      <c r="AA120" s="549"/>
      <c r="AB120" s="549"/>
      <c r="AC120" s="549"/>
      <c r="AD120" s="549"/>
      <c r="AE120" s="549"/>
      <c r="AF120" s="549"/>
      <c r="AG120" s="549"/>
      <c r="AH120" s="549"/>
      <c r="AI120" s="549"/>
      <c r="AJ120" s="549"/>
      <c r="AK120" s="549"/>
      <c r="AL120" s="549"/>
      <c r="AM120" s="549"/>
      <c r="AN120" s="549"/>
      <c r="AO120" s="549"/>
      <c r="AP120" s="549"/>
      <c r="AQ120" s="549"/>
      <c r="AR120" s="549"/>
      <c r="AS120" s="549"/>
    </row>
    <row r="121" spans="13:45" x14ac:dyDescent="0.2">
      <c r="M121" s="549"/>
      <c r="N121" s="549"/>
      <c r="O121" s="549"/>
      <c r="P121" s="549"/>
      <c r="Q121" s="549"/>
      <c r="R121" s="549"/>
      <c r="S121" s="549"/>
      <c r="T121" s="549"/>
      <c r="U121" s="549"/>
      <c r="V121" s="549"/>
      <c r="W121" s="549"/>
      <c r="X121" s="549"/>
      <c r="Y121" s="549"/>
      <c r="Z121" s="549"/>
      <c r="AA121" s="549"/>
      <c r="AB121" s="549"/>
      <c r="AC121" s="549"/>
      <c r="AD121" s="549"/>
      <c r="AE121" s="549"/>
      <c r="AF121" s="549"/>
      <c r="AG121" s="549"/>
      <c r="AH121" s="549"/>
      <c r="AI121" s="549"/>
      <c r="AJ121" s="549"/>
      <c r="AK121" s="549"/>
      <c r="AL121" s="549"/>
      <c r="AM121" s="549"/>
      <c r="AN121" s="549"/>
      <c r="AO121" s="549"/>
      <c r="AP121" s="549"/>
      <c r="AQ121" s="549"/>
      <c r="AR121" s="549"/>
      <c r="AS121" s="549"/>
    </row>
    <row r="122" spans="13:45" x14ac:dyDescent="0.2">
      <c r="M122" s="549"/>
      <c r="N122" s="549"/>
      <c r="O122" s="549"/>
      <c r="P122" s="549"/>
      <c r="Q122" s="549"/>
      <c r="R122" s="549"/>
      <c r="S122" s="549"/>
      <c r="T122" s="549"/>
      <c r="U122" s="549"/>
      <c r="V122" s="549"/>
      <c r="W122" s="549"/>
      <c r="X122" s="549"/>
      <c r="Y122" s="549"/>
      <c r="Z122" s="549"/>
      <c r="AA122" s="549"/>
      <c r="AB122" s="549"/>
      <c r="AC122" s="549"/>
      <c r="AD122" s="549"/>
      <c r="AE122" s="549"/>
      <c r="AF122" s="549"/>
      <c r="AG122" s="549"/>
      <c r="AH122" s="549"/>
      <c r="AI122" s="549"/>
      <c r="AJ122" s="549"/>
      <c r="AK122" s="549"/>
      <c r="AL122" s="549"/>
      <c r="AM122" s="549"/>
      <c r="AN122" s="549"/>
      <c r="AO122" s="549"/>
      <c r="AP122" s="549"/>
      <c r="AQ122" s="549"/>
      <c r="AR122" s="549"/>
      <c r="AS122" s="549"/>
    </row>
    <row r="123" spans="13:45" x14ac:dyDescent="0.2">
      <c r="M123" s="549"/>
      <c r="N123" s="549"/>
      <c r="O123" s="549"/>
      <c r="P123" s="549"/>
      <c r="Q123" s="549"/>
      <c r="R123" s="549"/>
      <c r="S123" s="549"/>
      <c r="T123" s="549"/>
      <c r="U123" s="549"/>
      <c r="V123" s="549"/>
      <c r="W123" s="549"/>
      <c r="X123" s="549"/>
      <c r="Y123" s="549"/>
      <c r="Z123" s="549"/>
      <c r="AA123" s="549"/>
      <c r="AB123" s="549"/>
      <c r="AC123" s="549"/>
      <c r="AD123" s="549"/>
      <c r="AE123" s="549"/>
      <c r="AF123" s="549"/>
      <c r="AG123" s="549"/>
      <c r="AH123" s="549"/>
      <c r="AI123" s="549"/>
      <c r="AJ123" s="549"/>
      <c r="AK123" s="549"/>
      <c r="AL123" s="549"/>
      <c r="AM123" s="549"/>
      <c r="AN123" s="549"/>
      <c r="AO123" s="549"/>
      <c r="AP123" s="549"/>
      <c r="AQ123" s="549"/>
      <c r="AR123" s="549"/>
      <c r="AS123" s="549"/>
    </row>
    <row r="124" spans="13:45" x14ac:dyDescent="0.2">
      <c r="M124" s="549"/>
      <c r="N124" s="549"/>
      <c r="O124" s="549"/>
      <c r="P124" s="549"/>
      <c r="Q124" s="549"/>
      <c r="R124" s="549"/>
      <c r="S124" s="549"/>
      <c r="T124" s="549"/>
      <c r="U124" s="549"/>
      <c r="V124" s="549"/>
      <c r="W124" s="549"/>
      <c r="X124" s="549"/>
      <c r="Y124" s="549"/>
      <c r="Z124" s="549"/>
      <c r="AA124" s="549"/>
      <c r="AB124" s="549"/>
      <c r="AC124" s="549"/>
      <c r="AD124" s="549"/>
      <c r="AE124" s="549"/>
      <c r="AF124" s="549"/>
      <c r="AG124" s="549"/>
      <c r="AH124" s="549"/>
      <c r="AI124" s="549"/>
      <c r="AJ124" s="549"/>
      <c r="AK124" s="549"/>
      <c r="AL124" s="549"/>
      <c r="AM124" s="549"/>
      <c r="AN124" s="549"/>
      <c r="AO124" s="549"/>
      <c r="AP124" s="549"/>
      <c r="AQ124" s="549"/>
      <c r="AR124" s="549"/>
      <c r="AS124" s="549"/>
    </row>
    <row r="125" spans="13:45" x14ac:dyDescent="0.2">
      <c r="M125" s="549"/>
      <c r="N125" s="549"/>
      <c r="O125" s="549"/>
      <c r="P125" s="549"/>
      <c r="Q125" s="549"/>
      <c r="R125" s="549"/>
      <c r="S125" s="549"/>
      <c r="T125" s="549"/>
      <c r="U125" s="549"/>
      <c r="V125" s="549"/>
      <c r="W125" s="549"/>
      <c r="X125" s="549"/>
      <c r="Y125" s="549"/>
      <c r="Z125" s="549"/>
      <c r="AA125" s="549"/>
      <c r="AB125" s="549"/>
      <c r="AC125" s="549"/>
      <c r="AD125" s="549"/>
      <c r="AE125" s="549"/>
      <c r="AF125" s="549"/>
      <c r="AG125" s="549"/>
      <c r="AH125" s="549"/>
      <c r="AI125" s="549"/>
      <c r="AJ125" s="549"/>
      <c r="AK125" s="549"/>
      <c r="AL125" s="549"/>
      <c r="AM125" s="549"/>
      <c r="AN125" s="549"/>
      <c r="AO125" s="549"/>
      <c r="AP125" s="549"/>
      <c r="AQ125" s="549"/>
      <c r="AR125" s="549"/>
      <c r="AS125" s="549"/>
    </row>
    <row r="126" spans="13:45" x14ac:dyDescent="0.2">
      <c r="M126" s="549"/>
      <c r="N126" s="549"/>
      <c r="O126" s="549"/>
      <c r="P126" s="549"/>
      <c r="Q126" s="549"/>
      <c r="R126" s="549"/>
      <c r="S126" s="549"/>
      <c r="T126" s="549"/>
      <c r="U126" s="549"/>
      <c r="V126" s="549"/>
      <c r="W126" s="549"/>
      <c r="X126" s="549"/>
      <c r="Y126" s="549"/>
      <c r="Z126" s="549"/>
      <c r="AA126" s="549"/>
      <c r="AB126" s="549"/>
      <c r="AC126" s="549"/>
      <c r="AD126" s="549"/>
      <c r="AE126" s="549"/>
      <c r="AF126" s="549"/>
      <c r="AG126" s="549"/>
      <c r="AH126" s="549"/>
      <c r="AI126" s="549"/>
      <c r="AJ126" s="549"/>
      <c r="AK126" s="549"/>
      <c r="AL126" s="549"/>
      <c r="AM126" s="549"/>
      <c r="AN126" s="549"/>
      <c r="AO126" s="549"/>
      <c r="AP126" s="549"/>
      <c r="AQ126" s="549"/>
      <c r="AR126" s="549"/>
      <c r="AS126" s="549"/>
    </row>
    <row r="127" spans="13:45" x14ac:dyDescent="0.2">
      <c r="M127" s="549"/>
      <c r="N127" s="549"/>
      <c r="O127" s="549"/>
      <c r="P127" s="549"/>
      <c r="Q127" s="549"/>
      <c r="R127" s="549"/>
      <c r="S127" s="549"/>
      <c r="T127" s="549"/>
      <c r="U127" s="549"/>
      <c r="V127" s="549"/>
      <c r="W127" s="549"/>
      <c r="X127" s="549"/>
      <c r="Y127" s="549"/>
      <c r="Z127" s="549"/>
      <c r="AA127" s="549"/>
      <c r="AB127" s="549"/>
      <c r="AC127" s="549"/>
      <c r="AD127" s="549"/>
      <c r="AE127" s="549"/>
      <c r="AF127" s="549"/>
      <c r="AG127" s="549"/>
      <c r="AH127" s="549"/>
      <c r="AI127" s="549"/>
      <c r="AJ127" s="549"/>
      <c r="AK127" s="549"/>
      <c r="AL127" s="549"/>
      <c r="AM127" s="549"/>
      <c r="AN127" s="549"/>
      <c r="AO127" s="549"/>
      <c r="AP127" s="549"/>
      <c r="AQ127" s="549"/>
      <c r="AR127" s="549"/>
      <c r="AS127" s="549"/>
    </row>
    <row r="128" spans="13:45" x14ac:dyDescent="0.2">
      <c r="M128" s="549"/>
      <c r="N128" s="549"/>
      <c r="O128" s="549"/>
      <c r="P128" s="549"/>
      <c r="Q128" s="549"/>
      <c r="R128" s="549"/>
      <c r="S128" s="549"/>
      <c r="T128" s="549"/>
      <c r="U128" s="549"/>
      <c r="V128" s="549"/>
      <c r="W128" s="549"/>
      <c r="X128" s="549"/>
      <c r="Y128" s="549"/>
      <c r="Z128" s="549"/>
      <c r="AA128" s="549"/>
      <c r="AB128" s="549"/>
      <c r="AC128" s="549"/>
      <c r="AD128" s="549"/>
      <c r="AE128" s="549"/>
      <c r="AF128" s="549"/>
      <c r="AG128" s="549"/>
      <c r="AH128" s="549"/>
      <c r="AI128" s="549"/>
      <c r="AJ128" s="549"/>
      <c r="AK128" s="549"/>
      <c r="AL128" s="549"/>
      <c r="AM128" s="549"/>
      <c r="AN128" s="549"/>
      <c r="AO128" s="549"/>
      <c r="AP128" s="549"/>
      <c r="AQ128" s="549"/>
      <c r="AR128" s="549"/>
      <c r="AS128" s="549"/>
    </row>
    <row r="129" spans="13:45" x14ac:dyDescent="0.2">
      <c r="M129" s="549"/>
      <c r="N129" s="549"/>
      <c r="O129" s="549"/>
      <c r="P129" s="549"/>
      <c r="Q129" s="549"/>
      <c r="R129" s="549"/>
      <c r="S129" s="549"/>
      <c r="T129" s="549"/>
      <c r="U129" s="549"/>
      <c r="V129" s="549"/>
      <c r="W129" s="549"/>
      <c r="X129" s="549"/>
      <c r="Y129" s="549"/>
      <c r="Z129" s="549"/>
      <c r="AA129" s="549"/>
      <c r="AB129" s="549"/>
      <c r="AC129" s="549"/>
      <c r="AD129" s="549"/>
      <c r="AE129" s="549"/>
      <c r="AF129" s="549"/>
      <c r="AG129" s="549"/>
      <c r="AH129" s="549"/>
      <c r="AI129" s="549"/>
      <c r="AJ129" s="549"/>
      <c r="AK129" s="549"/>
      <c r="AL129" s="549"/>
      <c r="AM129" s="549"/>
      <c r="AN129" s="549"/>
      <c r="AO129" s="549"/>
      <c r="AP129" s="549"/>
      <c r="AQ129" s="549"/>
      <c r="AR129" s="549"/>
      <c r="AS129" s="549"/>
    </row>
    <row r="130" spans="13:45" x14ac:dyDescent="0.2">
      <c r="M130" s="549"/>
      <c r="N130" s="549"/>
      <c r="O130" s="549"/>
      <c r="P130" s="549"/>
      <c r="Q130" s="549"/>
      <c r="R130" s="549"/>
      <c r="S130" s="549"/>
      <c r="T130" s="549"/>
      <c r="U130" s="549"/>
      <c r="V130" s="549"/>
      <c r="W130" s="549"/>
      <c r="X130" s="549"/>
      <c r="Y130" s="549"/>
      <c r="Z130" s="549"/>
      <c r="AA130" s="549"/>
      <c r="AB130" s="549"/>
      <c r="AC130" s="549"/>
      <c r="AD130" s="549"/>
      <c r="AE130" s="549"/>
      <c r="AF130" s="549"/>
      <c r="AG130" s="549"/>
      <c r="AH130" s="549"/>
      <c r="AI130" s="549"/>
      <c r="AJ130" s="549"/>
      <c r="AK130" s="549"/>
      <c r="AL130" s="549"/>
      <c r="AM130" s="549"/>
      <c r="AN130" s="549"/>
      <c r="AO130" s="549"/>
      <c r="AP130" s="549"/>
      <c r="AQ130" s="549"/>
      <c r="AR130" s="549"/>
      <c r="AS130" s="549"/>
    </row>
    <row r="131" spans="13:45" x14ac:dyDescent="0.2">
      <c r="M131" s="549"/>
      <c r="N131" s="549"/>
      <c r="O131" s="549"/>
      <c r="P131" s="549"/>
      <c r="Q131" s="549"/>
      <c r="R131" s="549"/>
      <c r="S131" s="549"/>
      <c r="T131" s="549"/>
      <c r="U131" s="549"/>
      <c r="V131" s="549"/>
      <c r="W131" s="549"/>
      <c r="X131" s="549"/>
      <c r="Y131" s="549"/>
      <c r="Z131" s="549"/>
      <c r="AA131" s="549"/>
      <c r="AB131" s="549"/>
      <c r="AC131" s="549"/>
      <c r="AD131" s="549"/>
      <c r="AE131" s="549"/>
      <c r="AF131" s="549"/>
      <c r="AG131" s="549"/>
      <c r="AH131" s="549"/>
      <c r="AI131" s="549"/>
      <c r="AJ131" s="549"/>
      <c r="AK131" s="549"/>
      <c r="AL131" s="549"/>
      <c r="AM131" s="549"/>
      <c r="AN131" s="549"/>
      <c r="AO131" s="549"/>
      <c r="AP131" s="549"/>
      <c r="AQ131" s="549"/>
      <c r="AR131" s="549"/>
      <c r="AS131" s="549"/>
    </row>
    <row r="132" spans="13:45" x14ac:dyDescent="0.2">
      <c r="M132" s="549"/>
      <c r="N132" s="549"/>
      <c r="O132" s="549"/>
      <c r="P132" s="549"/>
      <c r="Q132" s="549"/>
      <c r="R132" s="549"/>
      <c r="S132" s="549"/>
      <c r="T132" s="549"/>
      <c r="U132" s="549"/>
      <c r="V132" s="549"/>
      <c r="W132" s="549"/>
      <c r="X132" s="549"/>
      <c r="Y132" s="549"/>
      <c r="Z132" s="549"/>
      <c r="AA132" s="549"/>
      <c r="AB132" s="549"/>
      <c r="AC132" s="549"/>
      <c r="AD132" s="549"/>
      <c r="AE132" s="549"/>
      <c r="AF132" s="549"/>
      <c r="AG132" s="549"/>
      <c r="AH132" s="549"/>
      <c r="AI132" s="549"/>
      <c r="AJ132" s="549"/>
      <c r="AK132" s="549"/>
      <c r="AL132" s="549"/>
      <c r="AM132" s="549"/>
      <c r="AN132" s="549"/>
      <c r="AO132" s="549"/>
      <c r="AP132" s="549"/>
      <c r="AQ132" s="549"/>
      <c r="AR132" s="549"/>
      <c r="AS132" s="549"/>
    </row>
    <row r="133" spans="13:45" x14ac:dyDescent="0.2">
      <c r="M133" s="549"/>
      <c r="N133" s="549"/>
      <c r="O133" s="549"/>
      <c r="P133" s="549"/>
      <c r="Q133" s="549"/>
      <c r="R133" s="549"/>
      <c r="S133" s="549"/>
      <c r="T133" s="549"/>
      <c r="U133" s="549"/>
      <c r="V133" s="549"/>
      <c r="W133" s="549"/>
      <c r="X133" s="549"/>
      <c r="Y133" s="549"/>
      <c r="Z133" s="549"/>
      <c r="AA133" s="549"/>
      <c r="AB133" s="549"/>
      <c r="AC133" s="549"/>
      <c r="AD133" s="549"/>
      <c r="AE133" s="549"/>
      <c r="AF133" s="549"/>
      <c r="AG133" s="549"/>
      <c r="AH133" s="549"/>
      <c r="AI133" s="549"/>
      <c r="AJ133" s="549"/>
      <c r="AK133" s="549"/>
      <c r="AL133" s="549"/>
      <c r="AM133" s="549"/>
      <c r="AN133" s="549"/>
      <c r="AO133" s="549"/>
      <c r="AP133" s="549"/>
      <c r="AQ133" s="549"/>
      <c r="AR133" s="549"/>
      <c r="AS133" s="549"/>
    </row>
    <row r="134" spans="13:45" x14ac:dyDescent="0.2">
      <c r="M134" s="549"/>
      <c r="N134" s="549"/>
      <c r="O134" s="549"/>
      <c r="P134" s="549"/>
      <c r="Q134" s="549"/>
      <c r="R134" s="549"/>
      <c r="S134" s="549"/>
      <c r="T134" s="549"/>
      <c r="U134" s="549"/>
      <c r="V134" s="549"/>
      <c r="W134" s="549"/>
      <c r="X134" s="549"/>
      <c r="Y134" s="549"/>
      <c r="Z134" s="549"/>
      <c r="AA134" s="549"/>
      <c r="AB134" s="549"/>
      <c r="AC134" s="549"/>
      <c r="AD134" s="549"/>
      <c r="AE134" s="549"/>
      <c r="AF134" s="549"/>
      <c r="AG134" s="549"/>
      <c r="AH134" s="549"/>
      <c r="AI134" s="549"/>
      <c r="AJ134" s="549"/>
      <c r="AK134" s="549"/>
      <c r="AL134" s="549"/>
      <c r="AM134" s="549"/>
      <c r="AN134" s="549"/>
      <c r="AO134" s="549"/>
      <c r="AP134" s="549"/>
      <c r="AQ134" s="549"/>
      <c r="AR134" s="549"/>
      <c r="AS134" s="549"/>
    </row>
    <row r="135" spans="13:45" x14ac:dyDescent="0.2">
      <c r="M135" s="549"/>
      <c r="N135" s="549"/>
      <c r="O135" s="549"/>
      <c r="P135" s="549"/>
      <c r="Q135" s="549"/>
      <c r="R135" s="549"/>
      <c r="S135" s="549"/>
      <c r="T135" s="549"/>
      <c r="U135" s="549"/>
      <c r="V135" s="549"/>
      <c r="W135" s="549"/>
      <c r="X135" s="549"/>
      <c r="Y135" s="549"/>
      <c r="Z135" s="549"/>
      <c r="AA135" s="549"/>
      <c r="AB135" s="549"/>
      <c r="AC135" s="549"/>
      <c r="AD135" s="549"/>
      <c r="AE135" s="549"/>
      <c r="AF135" s="549"/>
      <c r="AG135" s="549"/>
      <c r="AH135" s="549"/>
      <c r="AI135" s="549"/>
      <c r="AJ135" s="549"/>
      <c r="AK135" s="549"/>
      <c r="AL135" s="549"/>
      <c r="AM135" s="549"/>
      <c r="AN135" s="549"/>
      <c r="AO135" s="549"/>
      <c r="AP135" s="549"/>
      <c r="AQ135" s="549"/>
      <c r="AR135" s="549"/>
      <c r="AS135" s="549"/>
    </row>
    <row r="136" spans="13:45" x14ac:dyDescent="0.2">
      <c r="M136" s="549"/>
      <c r="N136" s="549"/>
      <c r="O136" s="549"/>
      <c r="P136" s="549"/>
      <c r="Q136" s="549"/>
      <c r="R136" s="549"/>
      <c r="S136" s="549"/>
      <c r="T136" s="549"/>
      <c r="U136" s="549"/>
      <c r="V136" s="549"/>
      <c r="W136" s="549"/>
      <c r="X136" s="549"/>
      <c r="Y136" s="549"/>
      <c r="Z136" s="549"/>
      <c r="AA136" s="549"/>
      <c r="AB136" s="549"/>
      <c r="AC136" s="549"/>
      <c r="AD136" s="549"/>
      <c r="AE136" s="549"/>
      <c r="AF136" s="549"/>
      <c r="AG136" s="549"/>
      <c r="AH136" s="549"/>
      <c r="AI136" s="549"/>
      <c r="AJ136" s="549"/>
      <c r="AK136" s="549"/>
      <c r="AL136" s="549"/>
      <c r="AM136" s="549"/>
      <c r="AN136" s="549"/>
      <c r="AO136" s="549"/>
      <c r="AP136" s="549"/>
      <c r="AQ136" s="549"/>
      <c r="AR136" s="549"/>
      <c r="AS136" s="549"/>
    </row>
    <row r="137" spans="13:45" x14ac:dyDescent="0.2">
      <c r="M137" s="549"/>
      <c r="N137" s="549"/>
      <c r="O137" s="549"/>
      <c r="P137" s="549"/>
      <c r="Q137" s="549"/>
      <c r="R137" s="549"/>
      <c r="S137" s="549"/>
      <c r="T137" s="549"/>
      <c r="U137" s="549"/>
      <c r="V137" s="549"/>
      <c r="W137" s="549"/>
      <c r="X137" s="549"/>
      <c r="Y137" s="549"/>
      <c r="Z137" s="549"/>
      <c r="AA137" s="549"/>
      <c r="AB137" s="549"/>
      <c r="AC137" s="549"/>
      <c r="AD137" s="549"/>
      <c r="AE137" s="549"/>
      <c r="AF137" s="549"/>
      <c r="AG137" s="549"/>
      <c r="AH137" s="549"/>
      <c r="AI137" s="549"/>
      <c r="AJ137" s="549"/>
      <c r="AK137" s="549"/>
      <c r="AL137" s="549"/>
      <c r="AM137" s="549"/>
      <c r="AN137" s="549"/>
      <c r="AO137" s="549"/>
      <c r="AP137" s="549"/>
      <c r="AQ137" s="549"/>
      <c r="AR137" s="549"/>
      <c r="AS137" s="549"/>
    </row>
    <row r="138" spans="13:45" x14ac:dyDescent="0.2">
      <c r="M138" s="549"/>
      <c r="N138" s="549"/>
      <c r="O138" s="549"/>
      <c r="P138" s="549"/>
      <c r="Q138" s="549"/>
      <c r="R138" s="549"/>
      <c r="S138" s="549"/>
      <c r="T138" s="549"/>
      <c r="U138" s="549"/>
      <c r="V138" s="549"/>
      <c r="W138" s="549"/>
      <c r="X138" s="549"/>
      <c r="Y138" s="549"/>
      <c r="Z138" s="549"/>
      <c r="AA138" s="549"/>
      <c r="AB138" s="549"/>
      <c r="AC138" s="549"/>
      <c r="AD138" s="549"/>
      <c r="AE138" s="549"/>
      <c r="AF138" s="549"/>
      <c r="AG138" s="549"/>
      <c r="AH138" s="549"/>
      <c r="AI138" s="549"/>
      <c r="AJ138" s="549"/>
      <c r="AK138" s="549"/>
      <c r="AL138" s="549"/>
      <c r="AM138" s="549"/>
      <c r="AN138" s="549"/>
      <c r="AO138" s="549"/>
      <c r="AP138" s="549"/>
      <c r="AQ138" s="549"/>
      <c r="AR138" s="549"/>
      <c r="AS138" s="549"/>
    </row>
    <row r="139" spans="13:45" x14ac:dyDescent="0.2">
      <c r="M139" s="549"/>
      <c r="N139" s="549"/>
      <c r="O139" s="549"/>
      <c r="P139" s="549"/>
      <c r="Q139" s="549"/>
      <c r="R139" s="549"/>
      <c r="S139" s="549"/>
      <c r="T139" s="549"/>
      <c r="U139" s="549"/>
      <c r="V139" s="549"/>
      <c r="W139" s="549"/>
      <c r="X139" s="549"/>
      <c r="Y139" s="549"/>
      <c r="Z139" s="549"/>
      <c r="AA139" s="549"/>
      <c r="AB139" s="549"/>
      <c r="AC139" s="549"/>
      <c r="AD139" s="549"/>
      <c r="AE139" s="549"/>
      <c r="AF139" s="549"/>
      <c r="AG139" s="549"/>
      <c r="AH139" s="549"/>
      <c r="AI139" s="549"/>
      <c r="AJ139" s="549"/>
      <c r="AK139" s="549"/>
      <c r="AL139" s="549"/>
      <c r="AM139" s="549"/>
      <c r="AN139" s="549"/>
      <c r="AO139" s="549"/>
      <c r="AP139" s="549"/>
      <c r="AQ139" s="549"/>
      <c r="AR139" s="549"/>
      <c r="AS139" s="549"/>
    </row>
    <row r="140" spans="13:45" x14ac:dyDescent="0.2">
      <c r="M140" s="549"/>
      <c r="N140" s="549"/>
      <c r="O140" s="549"/>
      <c r="P140" s="549"/>
      <c r="Q140" s="549"/>
      <c r="R140" s="549"/>
      <c r="S140" s="549"/>
      <c r="T140" s="549"/>
      <c r="U140" s="549"/>
      <c r="V140" s="549"/>
      <c r="W140" s="549"/>
      <c r="X140" s="549"/>
      <c r="Y140" s="549"/>
      <c r="Z140" s="549"/>
      <c r="AA140" s="549"/>
      <c r="AB140" s="549"/>
      <c r="AC140" s="549"/>
      <c r="AD140" s="549"/>
      <c r="AE140" s="549"/>
      <c r="AF140" s="549"/>
      <c r="AG140" s="549"/>
      <c r="AH140" s="549"/>
      <c r="AI140" s="549"/>
      <c r="AJ140" s="549"/>
      <c r="AK140" s="549"/>
      <c r="AL140" s="549"/>
      <c r="AM140" s="549"/>
      <c r="AN140" s="549"/>
      <c r="AO140" s="549"/>
      <c r="AP140" s="549"/>
      <c r="AQ140" s="549"/>
      <c r="AR140" s="549"/>
      <c r="AS140" s="549"/>
    </row>
    <row r="141" spans="13:45" x14ac:dyDescent="0.2">
      <c r="M141" s="549"/>
      <c r="N141" s="549"/>
      <c r="O141" s="549"/>
      <c r="P141" s="549"/>
      <c r="Q141" s="549"/>
      <c r="R141" s="549"/>
      <c r="S141" s="549"/>
      <c r="T141" s="549"/>
      <c r="U141" s="549"/>
      <c r="V141" s="549"/>
      <c r="W141" s="549"/>
      <c r="X141" s="549"/>
      <c r="Y141" s="549"/>
      <c r="Z141" s="549"/>
      <c r="AA141" s="549"/>
      <c r="AB141" s="549"/>
      <c r="AC141" s="549"/>
      <c r="AD141" s="549"/>
      <c r="AE141" s="549"/>
      <c r="AF141" s="549"/>
      <c r="AG141" s="549"/>
      <c r="AH141" s="549"/>
      <c r="AI141" s="549"/>
      <c r="AJ141" s="549"/>
      <c r="AK141" s="549"/>
      <c r="AL141" s="549"/>
      <c r="AM141" s="549"/>
      <c r="AN141" s="549"/>
      <c r="AO141" s="549"/>
      <c r="AP141" s="549"/>
      <c r="AQ141" s="549"/>
      <c r="AR141" s="549"/>
      <c r="AS141" s="549"/>
    </row>
    <row r="142" spans="13:45" x14ac:dyDescent="0.2">
      <c r="M142" s="549"/>
      <c r="N142" s="549"/>
      <c r="O142" s="549"/>
      <c r="P142" s="549"/>
      <c r="Q142" s="549"/>
      <c r="R142" s="549"/>
      <c r="S142" s="549"/>
      <c r="T142" s="549"/>
      <c r="U142" s="549"/>
      <c r="V142" s="549"/>
      <c r="W142" s="549"/>
      <c r="X142" s="549"/>
      <c r="Y142" s="549"/>
      <c r="Z142" s="549"/>
      <c r="AA142" s="549"/>
      <c r="AB142" s="549"/>
      <c r="AC142" s="549"/>
      <c r="AD142" s="549"/>
      <c r="AE142" s="549"/>
      <c r="AF142" s="549"/>
      <c r="AG142" s="549"/>
      <c r="AH142" s="549"/>
      <c r="AI142" s="549"/>
      <c r="AJ142" s="549"/>
      <c r="AK142" s="549"/>
      <c r="AL142" s="549"/>
      <c r="AM142" s="549"/>
      <c r="AN142" s="549"/>
      <c r="AO142" s="549"/>
      <c r="AP142" s="549"/>
      <c r="AQ142" s="549"/>
      <c r="AR142" s="549"/>
      <c r="AS142" s="549"/>
    </row>
    <row r="143" spans="13:45" x14ac:dyDescent="0.2">
      <c r="M143" s="549"/>
      <c r="N143" s="549"/>
      <c r="O143" s="549"/>
      <c r="P143" s="549"/>
      <c r="Q143" s="549"/>
      <c r="R143" s="549"/>
      <c r="S143" s="549"/>
      <c r="T143" s="549"/>
      <c r="U143" s="549"/>
      <c r="V143" s="549"/>
      <c r="W143" s="549"/>
      <c r="X143" s="549"/>
      <c r="Y143" s="549"/>
      <c r="Z143" s="549"/>
      <c r="AA143" s="549"/>
      <c r="AB143" s="549"/>
      <c r="AC143" s="549"/>
      <c r="AD143" s="549"/>
      <c r="AE143" s="549"/>
      <c r="AF143" s="549"/>
      <c r="AG143" s="549"/>
      <c r="AH143" s="549"/>
      <c r="AI143" s="549"/>
      <c r="AJ143" s="549"/>
      <c r="AK143" s="549"/>
      <c r="AL143" s="549"/>
      <c r="AM143" s="549"/>
      <c r="AN143" s="549"/>
      <c r="AO143" s="549"/>
      <c r="AP143" s="549"/>
      <c r="AQ143" s="549"/>
      <c r="AR143" s="549"/>
      <c r="AS143" s="549"/>
    </row>
    <row r="144" spans="13:45" x14ac:dyDescent="0.2">
      <c r="M144" s="549"/>
      <c r="N144" s="549"/>
      <c r="O144" s="549"/>
      <c r="P144" s="549"/>
      <c r="Q144" s="549"/>
      <c r="R144" s="549"/>
      <c r="S144" s="549"/>
      <c r="T144" s="549"/>
      <c r="U144" s="549"/>
      <c r="V144" s="549"/>
      <c r="W144" s="549"/>
      <c r="X144" s="549"/>
      <c r="Y144" s="549"/>
      <c r="Z144" s="549"/>
      <c r="AA144" s="549"/>
      <c r="AB144" s="549"/>
      <c r="AC144" s="549"/>
      <c r="AD144" s="549"/>
      <c r="AE144" s="549"/>
      <c r="AF144" s="549"/>
      <c r="AG144" s="549"/>
      <c r="AH144" s="549"/>
      <c r="AI144" s="549"/>
      <c r="AJ144" s="549"/>
      <c r="AK144" s="549"/>
      <c r="AL144" s="549"/>
      <c r="AM144" s="549"/>
      <c r="AN144" s="549"/>
      <c r="AO144" s="549"/>
      <c r="AP144" s="549"/>
      <c r="AQ144" s="549"/>
      <c r="AR144" s="549"/>
      <c r="AS144" s="549"/>
    </row>
    <row r="163" spans="3:3" x14ac:dyDescent="0.2">
      <c r="C163" s="568"/>
    </row>
  </sheetData>
  <protectedRanges>
    <protectedRange sqref="D9:D107 G74:G75 L6:L7 J25:K26" name="Plage3"/>
  </protectedRanges>
  <mergeCells count="16">
    <mergeCell ref="J25:J26"/>
    <mergeCell ref="K25:K26"/>
    <mergeCell ref="E70:L70"/>
    <mergeCell ref="J75:J76"/>
    <mergeCell ref="H14:H15"/>
    <mergeCell ref="F18:G18"/>
    <mergeCell ref="X18:Y18"/>
    <mergeCell ref="I19:I20"/>
    <mergeCell ref="J19:J20"/>
    <mergeCell ref="F24:H24"/>
    <mergeCell ref="C5:L5"/>
    <mergeCell ref="P5:Z5"/>
    <mergeCell ref="AC5:AK5"/>
    <mergeCell ref="AM9:AQ9"/>
    <mergeCell ref="AR9:AS9"/>
    <mergeCell ref="AN10:AO10"/>
  </mergeCells>
  <conditionalFormatting sqref="I14:I15">
    <cfRule type="cellIs" dxfId="2" priority="3" operator="equal">
      <formula>"oui"</formula>
    </cfRule>
  </conditionalFormatting>
  <conditionalFormatting sqref="K19:K20">
    <cfRule type="cellIs" dxfId="1" priority="2" operator="equal">
      <formula>"non"</formula>
    </cfRule>
  </conditionalFormatting>
  <conditionalFormatting sqref="L25:L26">
    <cfRule type="cellIs" dxfId="0" priority="1" operator="equal">
      <formula>"non"</formula>
    </cfRule>
  </conditionalFormatting>
  <pageMargins left="0.17" right="0.16" top="0.18" bottom="0.17" header="0.4921259845" footer="0.4921259845"/>
  <pageSetup paperSize="9" scale="69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W40"/>
  <sheetViews>
    <sheetView showGridLines="0" zoomScale="70" zoomScaleNormal="70" workbookViewId="0">
      <selection activeCell="E24" sqref="E24"/>
    </sheetView>
  </sheetViews>
  <sheetFormatPr baseColWidth="10" defaultColWidth="11.42578125" defaultRowHeight="12.75" x14ac:dyDescent="0.2"/>
  <cols>
    <col min="1" max="3" width="11.42578125" style="69"/>
    <col min="4" max="4" width="12.42578125" style="69" customWidth="1"/>
    <col min="5" max="6" width="11.42578125" style="69"/>
    <col min="7" max="7" width="11.5703125" style="69" customWidth="1"/>
    <col min="8" max="8" width="10.7109375" style="69" customWidth="1"/>
    <col min="9" max="16384" width="11.42578125" style="69"/>
  </cols>
  <sheetData>
    <row r="2" spans="2:23" x14ac:dyDescent="0.2">
      <c r="B2" s="103" t="s">
        <v>318</v>
      </c>
      <c r="C2" s="104"/>
      <c r="D2" s="104"/>
      <c r="E2" s="104"/>
      <c r="F2" s="104"/>
      <c r="G2" s="104"/>
      <c r="H2" s="104"/>
    </row>
    <row r="3" spans="2:23" x14ac:dyDescent="0.2">
      <c r="B3" s="210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</row>
    <row r="4" spans="2:23" x14ac:dyDescent="0.2">
      <c r="C4" s="69" t="s">
        <v>316</v>
      </c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8"/>
      <c r="U4" s="188"/>
      <c r="V4" s="188"/>
      <c r="W4" s="89"/>
    </row>
    <row r="5" spans="2:23" x14ac:dyDescent="0.2">
      <c r="C5" s="211"/>
      <c r="D5" s="430" t="s">
        <v>133</v>
      </c>
      <c r="E5" s="430"/>
      <c r="F5" s="430"/>
      <c r="G5" s="430"/>
      <c r="H5" s="184"/>
      <c r="J5" s="188" t="s">
        <v>107</v>
      </c>
      <c r="K5" s="188"/>
      <c r="L5" s="188"/>
      <c r="M5" s="188"/>
      <c r="N5" s="188"/>
      <c r="O5" s="188"/>
      <c r="P5" s="188"/>
      <c r="Q5" s="187" t="s">
        <v>108</v>
      </c>
      <c r="R5" s="188"/>
      <c r="S5" s="188"/>
      <c r="T5" s="188"/>
      <c r="U5" s="188"/>
      <c r="V5" s="188"/>
      <c r="W5" s="89"/>
    </row>
    <row r="6" spans="2:23" x14ac:dyDescent="0.2">
      <c r="C6" s="73" t="s">
        <v>141</v>
      </c>
      <c r="D6" s="72" t="s">
        <v>101</v>
      </c>
      <c r="E6" s="72" t="s">
        <v>102</v>
      </c>
      <c r="F6" s="72" t="s">
        <v>103</v>
      </c>
      <c r="G6" s="72" t="s">
        <v>104</v>
      </c>
      <c r="H6" s="213" t="s">
        <v>105</v>
      </c>
      <c r="J6" s="187" t="s">
        <v>100</v>
      </c>
      <c r="K6" s="187" t="s">
        <v>101</v>
      </c>
      <c r="L6" s="187" t="s">
        <v>102</v>
      </c>
      <c r="M6" s="187" t="s">
        <v>103</v>
      </c>
      <c r="N6" s="187" t="s">
        <v>104</v>
      </c>
      <c r="O6" s="187" t="s">
        <v>105</v>
      </c>
      <c r="P6" s="188"/>
      <c r="Q6" s="187" t="s">
        <v>100</v>
      </c>
      <c r="R6" s="187" t="s">
        <v>101</v>
      </c>
      <c r="S6" s="187" t="s">
        <v>102</v>
      </c>
      <c r="T6" s="187" t="s">
        <v>103</v>
      </c>
      <c r="U6" s="187" t="s">
        <v>104</v>
      </c>
      <c r="V6" s="187" t="s">
        <v>105</v>
      </c>
      <c r="W6" s="89"/>
    </row>
    <row r="7" spans="2:23" x14ac:dyDescent="0.2">
      <c r="C7" s="72" t="s">
        <v>134</v>
      </c>
      <c r="D7" s="212">
        <v>40</v>
      </c>
      <c r="E7" s="212">
        <v>32</v>
      </c>
      <c r="F7" s="212">
        <v>35</v>
      </c>
      <c r="G7" s="212">
        <v>25</v>
      </c>
      <c r="H7" s="213">
        <f>SUM(D7:G7)</f>
        <v>132</v>
      </c>
      <c r="J7" s="187" t="str">
        <f>C7</f>
        <v>man</v>
      </c>
      <c r="K7" s="214">
        <f>K$13/$O$13*$O7</f>
        <v>43.247863247863251</v>
      </c>
      <c r="L7" s="214">
        <f t="shared" ref="L7:N7" si="0">L$13/$O$13*$O7</f>
        <v>30.837606837606838</v>
      </c>
      <c r="M7" s="214">
        <f t="shared" si="0"/>
        <v>27.076923076923077</v>
      </c>
      <c r="N7" s="214">
        <f t="shared" si="0"/>
        <v>30.837606837606838</v>
      </c>
      <c r="O7" s="187">
        <f>H7</f>
        <v>132</v>
      </c>
      <c r="P7" s="188"/>
      <c r="Q7" s="187" t="str">
        <f t="shared" ref="Q7:Q12" si="1">J7</f>
        <v>man</v>
      </c>
      <c r="R7" s="214">
        <f t="shared" ref="R7:U12" si="2">IF(ISNUMBER(D7),(D7-K7)^2/K7,"")</f>
        <v>0.24391067869328781</v>
      </c>
      <c r="S7" s="214">
        <f t="shared" si="2"/>
        <v>4.3815263327458408E-2</v>
      </c>
      <c r="T7" s="214">
        <f t="shared" si="2"/>
        <v>2.31840034965035</v>
      </c>
      <c r="U7" s="214">
        <f t="shared" si="2"/>
        <v>1.1050680349460837</v>
      </c>
      <c r="V7" s="214">
        <f>SUM(R7:U7)</f>
        <v>3.7111943266171803</v>
      </c>
      <c r="W7" s="89"/>
    </row>
    <row r="8" spans="2:23" x14ac:dyDescent="0.2">
      <c r="C8" s="72" t="s">
        <v>135</v>
      </c>
      <c r="D8" s="212">
        <v>40</v>
      </c>
      <c r="E8" s="212">
        <v>30</v>
      </c>
      <c r="F8" s="212">
        <v>20</v>
      </c>
      <c r="G8" s="212">
        <v>10</v>
      </c>
      <c r="H8" s="213">
        <f>SUM(D8:G8)</f>
        <v>100</v>
      </c>
      <c r="J8" s="187" t="str">
        <f t="shared" ref="J8:J12" si="3">C8</f>
        <v>woman</v>
      </c>
      <c r="K8" s="214">
        <f t="shared" ref="K8:N12" si="4">K$13/$O$13*$O8</f>
        <v>32.763532763532766</v>
      </c>
      <c r="L8" s="214">
        <f t="shared" si="4"/>
        <v>23.361823361823362</v>
      </c>
      <c r="M8" s="214">
        <f t="shared" si="4"/>
        <v>20.512820512820511</v>
      </c>
      <c r="N8" s="214">
        <f t="shared" si="4"/>
        <v>23.361823361823362</v>
      </c>
      <c r="O8" s="187">
        <f>H8</f>
        <v>100</v>
      </c>
      <c r="P8" s="188"/>
      <c r="Q8" s="187" t="str">
        <f t="shared" si="1"/>
        <v>woman</v>
      </c>
      <c r="R8" s="214">
        <f t="shared" si="2"/>
        <v>1.5983153722284147</v>
      </c>
      <c r="S8" s="214">
        <f t="shared" si="2"/>
        <v>1.886213605725801</v>
      </c>
      <c r="T8" s="214">
        <f t="shared" si="2"/>
        <v>1.282051282051273E-2</v>
      </c>
      <c r="U8" s="214">
        <f t="shared" si="2"/>
        <v>7.6423111667014103</v>
      </c>
      <c r="V8" s="214">
        <f>SUM(R8:U8)</f>
        <v>11.139660657476139</v>
      </c>
      <c r="W8" s="89"/>
    </row>
    <row r="9" spans="2:23" x14ac:dyDescent="0.2">
      <c r="C9" s="72" t="s">
        <v>437</v>
      </c>
      <c r="D9" s="212">
        <v>35</v>
      </c>
      <c r="E9" s="212">
        <v>20</v>
      </c>
      <c r="F9" s="212">
        <v>17</v>
      </c>
      <c r="G9" s="212">
        <v>47</v>
      </c>
      <c r="H9" s="213">
        <f t="shared" ref="H9:H12" si="5">SUM(D9:G9)</f>
        <v>119</v>
      </c>
      <c r="J9" s="187" t="str">
        <f t="shared" si="3"/>
        <v>both</v>
      </c>
      <c r="K9" s="214">
        <f t="shared" si="4"/>
        <v>38.988603988603991</v>
      </c>
      <c r="L9" s="214">
        <f t="shared" si="4"/>
        <v>27.8005698005698</v>
      </c>
      <c r="M9" s="214">
        <f t="shared" si="4"/>
        <v>24.410256410256409</v>
      </c>
      <c r="N9" s="214">
        <f t="shared" si="4"/>
        <v>27.8005698005698</v>
      </c>
      <c r="O9" s="187">
        <f t="shared" ref="O9:O12" si="6">H9</f>
        <v>119</v>
      </c>
      <c r="P9" s="188"/>
      <c r="Q9" s="187" t="str">
        <f t="shared" si="1"/>
        <v>both</v>
      </c>
      <c r="R9" s="214">
        <f t="shared" si="2"/>
        <v>0.40804132875744176</v>
      </c>
      <c r="S9" s="214">
        <f t="shared" si="2"/>
        <v>2.1887641026808886</v>
      </c>
      <c r="T9" s="214">
        <f t="shared" si="2"/>
        <v>2.2495421245421237</v>
      </c>
      <c r="U9" s="214">
        <f t="shared" si="2"/>
        <v>13.259372833978288</v>
      </c>
      <c r="V9" s="214">
        <f t="shared" ref="V9:V12" si="7">SUM(R9:U9)</f>
        <v>18.105720389958741</v>
      </c>
      <c r="W9" s="89"/>
    </row>
    <row r="10" spans="2:23" x14ac:dyDescent="0.2">
      <c r="C10" s="72"/>
      <c r="D10" s="212"/>
      <c r="E10" s="212"/>
      <c r="F10" s="212"/>
      <c r="G10" s="212"/>
      <c r="H10" s="213">
        <f t="shared" si="5"/>
        <v>0</v>
      </c>
      <c r="J10" s="187">
        <f t="shared" si="3"/>
        <v>0</v>
      </c>
      <c r="K10" s="214">
        <f t="shared" si="4"/>
        <v>0</v>
      </c>
      <c r="L10" s="214">
        <f t="shared" si="4"/>
        <v>0</v>
      </c>
      <c r="M10" s="214">
        <f t="shared" si="4"/>
        <v>0</v>
      </c>
      <c r="N10" s="214">
        <f t="shared" si="4"/>
        <v>0</v>
      </c>
      <c r="O10" s="187">
        <f t="shared" si="6"/>
        <v>0</v>
      </c>
      <c r="P10" s="188"/>
      <c r="Q10" s="187">
        <f t="shared" si="1"/>
        <v>0</v>
      </c>
      <c r="R10" s="214" t="str">
        <f t="shared" si="2"/>
        <v/>
      </c>
      <c r="S10" s="214" t="str">
        <f t="shared" si="2"/>
        <v/>
      </c>
      <c r="T10" s="214" t="str">
        <f t="shared" si="2"/>
        <v/>
      </c>
      <c r="U10" s="214" t="str">
        <f t="shared" si="2"/>
        <v/>
      </c>
      <c r="V10" s="214">
        <f t="shared" si="7"/>
        <v>0</v>
      </c>
      <c r="W10" s="89"/>
    </row>
    <row r="11" spans="2:23" x14ac:dyDescent="0.2">
      <c r="C11" s="72"/>
      <c r="D11" s="212"/>
      <c r="E11" s="212"/>
      <c r="F11" s="212"/>
      <c r="G11" s="212"/>
      <c r="H11" s="213">
        <f t="shared" si="5"/>
        <v>0</v>
      </c>
      <c r="J11" s="187">
        <f t="shared" si="3"/>
        <v>0</v>
      </c>
      <c r="K11" s="214">
        <f t="shared" si="4"/>
        <v>0</v>
      </c>
      <c r="L11" s="214">
        <f t="shared" si="4"/>
        <v>0</v>
      </c>
      <c r="M11" s="214">
        <f t="shared" si="4"/>
        <v>0</v>
      </c>
      <c r="N11" s="214">
        <f t="shared" si="4"/>
        <v>0</v>
      </c>
      <c r="O11" s="187">
        <f t="shared" si="6"/>
        <v>0</v>
      </c>
      <c r="P11" s="188"/>
      <c r="Q11" s="187">
        <f t="shared" si="1"/>
        <v>0</v>
      </c>
      <c r="R11" s="214" t="str">
        <f t="shared" si="2"/>
        <v/>
      </c>
      <c r="S11" s="214" t="str">
        <f t="shared" si="2"/>
        <v/>
      </c>
      <c r="T11" s="214" t="str">
        <f t="shared" si="2"/>
        <v/>
      </c>
      <c r="U11" s="214" t="str">
        <f t="shared" si="2"/>
        <v/>
      </c>
      <c r="V11" s="214">
        <f t="shared" si="7"/>
        <v>0</v>
      </c>
      <c r="W11" s="89"/>
    </row>
    <row r="12" spans="2:23" x14ac:dyDescent="0.2">
      <c r="C12" s="72"/>
      <c r="D12" s="212"/>
      <c r="E12" s="212"/>
      <c r="F12" s="212"/>
      <c r="G12" s="212"/>
      <c r="H12" s="213">
        <f t="shared" si="5"/>
        <v>0</v>
      </c>
      <c r="J12" s="187">
        <f t="shared" si="3"/>
        <v>0</v>
      </c>
      <c r="K12" s="214">
        <f t="shared" si="4"/>
        <v>0</v>
      </c>
      <c r="L12" s="214">
        <f t="shared" si="4"/>
        <v>0</v>
      </c>
      <c r="M12" s="214">
        <f t="shared" si="4"/>
        <v>0</v>
      </c>
      <c r="N12" s="214">
        <f t="shared" si="4"/>
        <v>0</v>
      </c>
      <c r="O12" s="187">
        <f t="shared" si="6"/>
        <v>0</v>
      </c>
      <c r="P12" s="188"/>
      <c r="Q12" s="187">
        <f t="shared" si="1"/>
        <v>0</v>
      </c>
      <c r="R12" s="214" t="str">
        <f t="shared" si="2"/>
        <v/>
      </c>
      <c r="S12" s="214" t="str">
        <f t="shared" si="2"/>
        <v/>
      </c>
      <c r="T12" s="214" t="str">
        <f t="shared" si="2"/>
        <v/>
      </c>
      <c r="U12" s="214" t="str">
        <f t="shared" si="2"/>
        <v/>
      </c>
      <c r="V12" s="214">
        <f t="shared" si="7"/>
        <v>0</v>
      </c>
      <c r="W12" s="89"/>
    </row>
    <row r="13" spans="2:23" x14ac:dyDescent="0.2">
      <c r="B13" s="89"/>
      <c r="C13" s="213" t="s">
        <v>105</v>
      </c>
      <c r="D13" s="213">
        <f>SUM(D7:D12)</f>
        <v>115</v>
      </c>
      <c r="E13" s="213">
        <f t="shared" ref="E13:G13" si="8">SUM(E7:E12)</f>
        <v>82</v>
      </c>
      <c r="F13" s="213">
        <f t="shared" si="8"/>
        <v>72</v>
      </c>
      <c r="G13" s="213">
        <f t="shared" si="8"/>
        <v>82</v>
      </c>
      <c r="H13" s="213">
        <f t="shared" ref="H13" si="9">SUM(D13:G13)</f>
        <v>351</v>
      </c>
      <c r="J13" s="187" t="s">
        <v>105</v>
      </c>
      <c r="K13" s="187">
        <f>D13</f>
        <v>115</v>
      </c>
      <c r="L13" s="187">
        <f>E13</f>
        <v>82</v>
      </c>
      <c r="M13" s="187">
        <f>F13</f>
        <v>72</v>
      </c>
      <c r="N13" s="187">
        <f>G13</f>
        <v>82</v>
      </c>
      <c r="O13" s="187">
        <f>H13</f>
        <v>351</v>
      </c>
      <c r="P13" s="188"/>
      <c r="Q13" s="187" t="s">
        <v>105</v>
      </c>
      <c r="R13" s="214">
        <f>SUM(R7:R12)</f>
        <v>2.2502673796791441</v>
      </c>
      <c r="S13" s="214">
        <f t="shared" ref="S13:U13" si="10">SUM(S7:S12)</f>
        <v>4.1187929717341483</v>
      </c>
      <c r="T13" s="214">
        <f t="shared" si="10"/>
        <v>4.5807629870129869</v>
      </c>
      <c r="U13" s="214">
        <f t="shared" si="10"/>
        <v>22.00675203562578</v>
      </c>
      <c r="V13" s="214">
        <f>SUM(V7:V12)</f>
        <v>32.956575374052058</v>
      </c>
      <c r="W13" s="89"/>
    </row>
    <row r="14" spans="2:23" x14ac:dyDescent="0.2">
      <c r="H14" s="184"/>
      <c r="J14" s="187"/>
      <c r="K14" s="187"/>
      <c r="L14" s="187"/>
      <c r="M14" s="187"/>
      <c r="N14" s="187"/>
      <c r="O14" s="188"/>
      <c r="P14" s="188"/>
      <c r="Q14" s="215"/>
      <c r="R14" s="214"/>
      <c r="S14" s="214"/>
      <c r="T14" s="214"/>
      <c r="U14" s="214"/>
      <c r="V14" s="188"/>
      <c r="W14" s="89"/>
    </row>
    <row r="15" spans="2:23" x14ac:dyDescent="0.2">
      <c r="B15" s="184"/>
      <c r="C15" s="213" t="s">
        <v>5</v>
      </c>
      <c r="D15" s="213">
        <f>(COUNT(D7:G7)-1)*(COUNT(D7:D12)-1)</f>
        <v>6</v>
      </c>
      <c r="E15" s="73" t="s">
        <v>136</v>
      </c>
      <c r="F15" s="368" t="str">
        <f>IF(D17&lt;=D16,"equivalence","difference")</f>
        <v>difference</v>
      </c>
      <c r="J15" s="188"/>
      <c r="K15" s="188"/>
      <c r="L15" s="188"/>
      <c r="M15" s="188"/>
      <c r="N15" s="188"/>
      <c r="O15" s="188"/>
      <c r="P15" s="188"/>
      <c r="Q15" s="188"/>
      <c r="R15" s="188"/>
      <c r="S15" s="188"/>
      <c r="T15" s="188"/>
      <c r="U15" s="188"/>
      <c r="V15" s="188"/>
      <c r="W15" s="89"/>
    </row>
    <row r="16" spans="2:23" x14ac:dyDescent="0.2">
      <c r="B16" s="192"/>
      <c r="C16" s="213" t="s">
        <v>106</v>
      </c>
      <c r="D16" s="371">
        <f>_xlfn.CHISQ.INV(0.95,D15)</f>
        <v>12.591587243743977</v>
      </c>
      <c r="E16" s="192"/>
      <c r="F16" s="181"/>
      <c r="G16" s="181"/>
      <c r="H16" s="181"/>
      <c r="I16" s="181"/>
      <c r="J16" s="181"/>
      <c r="K16" s="181"/>
      <c r="L16" s="181"/>
    </row>
    <row r="17" spans="2:15" x14ac:dyDescent="0.2">
      <c r="B17" s="192"/>
      <c r="C17" s="213" t="s">
        <v>169</v>
      </c>
      <c r="D17" s="371">
        <f>V13</f>
        <v>32.956575374052058</v>
      </c>
      <c r="E17" s="192"/>
      <c r="F17" s="181"/>
      <c r="G17" s="181"/>
      <c r="H17" s="181"/>
      <c r="I17" s="181"/>
      <c r="J17" s="181"/>
      <c r="K17" s="181"/>
      <c r="L17" s="181"/>
      <c r="O17" s="190"/>
    </row>
    <row r="18" spans="2:15" x14ac:dyDescent="0.2"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</row>
    <row r="19" spans="2:15" x14ac:dyDescent="0.2">
      <c r="B19" s="181"/>
      <c r="C19" s="181"/>
      <c r="D19" s="181"/>
      <c r="E19" s="181"/>
      <c r="F19" s="181"/>
      <c r="G19" s="181"/>
      <c r="H19" s="181"/>
      <c r="I19" s="181"/>
      <c r="J19" s="181"/>
      <c r="K19" s="181"/>
      <c r="L19" s="181"/>
    </row>
    <row r="20" spans="2:15" x14ac:dyDescent="0.2">
      <c r="B20" s="244" t="s">
        <v>317</v>
      </c>
      <c r="C20" s="245"/>
      <c r="D20" s="245"/>
      <c r="E20" s="245"/>
      <c r="F20" s="245"/>
      <c r="G20" s="245"/>
      <c r="H20" s="245"/>
      <c r="I20" s="181"/>
      <c r="J20" s="181"/>
      <c r="K20" s="181"/>
      <c r="L20" s="181"/>
    </row>
    <row r="21" spans="2:15" x14ac:dyDescent="0.2">
      <c r="B21" s="372"/>
      <c r="C21" s="181" t="s">
        <v>316</v>
      </c>
      <c r="D21" s="181"/>
      <c r="E21" s="181"/>
      <c r="F21" s="181"/>
      <c r="G21" s="181"/>
      <c r="H21" s="181"/>
      <c r="I21" s="181"/>
      <c r="J21" s="181"/>
      <c r="K21" s="181"/>
      <c r="L21" s="181"/>
    </row>
    <row r="22" spans="2:15" x14ac:dyDescent="0.2">
      <c r="B22" s="181"/>
      <c r="C22" s="194" t="s">
        <v>438</v>
      </c>
      <c r="D22" s="194" t="s">
        <v>319</v>
      </c>
      <c r="E22" s="214" t="s">
        <v>140</v>
      </c>
      <c r="F22" s="367" t="s">
        <v>137</v>
      </c>
      <c r="G22" s="367" t="s">
        <v>138</v>
      </c>
      <c r="H22" s="367" t="s">
        <v>139</v>
      </c>
      <c r="I22" s="181"/>
      <c r="J22" s="181"/>
      <c r="K22" s="181"/>
      <c r="L22" s="181"/>
    </row>
    <row r="23" spans="2:15" x14ac:dyDescent="0.2">
      <c r="B23" s="181"/>
      <c r="C23" s="320" t="s">
        <v>267</v>
      </c>
      <c r="D23" s="248">
        <v>56</v>
      </c>
      <c r="E23" s="214">
        <f>IF(ISNUMBER(D23),E27/COUNT(D23:D26),"")</f>
        <v>46.75</v>
      </c>
      <c r="F23" s="214">
        <f>IF(ISNUMBER(D23),D23-E23,"")</f>
        <v>9.25</v>
      </c>
      <c r="G23" s="214">
        <f>IF(ISNUMBER(D23),F23^2,"")</f>
        <v>85.5625</v>
      </c>
      <c r="H23" s="214">
        <f>IF(ISNUMBER(D23),G23/E23,"")</f>
        <v>1.8302139037433156</v>
      </c>
      <c r="I23" s="181"/>
      <c r="J23" s="181"/>
      <c r="K23" s="181"/>
      <c r="L23" s="181"/>
    </row>
    <row r="24" spans="2:15" x14ac:dyDescent="0.2">
      <c r="B24" s="181"/>
      <c r="C24" s="320" t="s">
        <v>268</v>
      </c>
      <c r="D24" s="248">
        <v>33</v>
      </c>
      <c r="E24" s="214">
        <f>IF(ISNUMBER(D24),E27/COUNT(D23:D26),"")</f>
        <v>46.75</v>
      </c>
      <c r="F24" s="214">
        <f t="shared" ref="F24:F26" si="11">IF(ISNUMBER(D24),D24-E24,"")</f>
        <v>-13.75</v>
      </c>
      <c r="G24" s="214">
        <f t="shared" ref="G24:G26" si="12">IF(ISNUMBER(D24),F24^2,"")</f>
        <v>189.0625</v>
      </c>
      <c r="H24" s="214">
        <f>IF(ISNUMBER(D24),G24/E24,"")</f>
        <v>4.0441176470588234</v>
      </c>
      <c r="I24" s="181"/>
      <c r="J24" s="181"/>
      <c r="K24" s="181"/>
      <c r="L24" s="181"/>
    </row>
    <row r="25" spans="2:15" x14ac:dyDescent="0.2">
      <c r="B25" s="181"/>
      <c r="C25" s="320" t="s">
        <v>269</v>
      </c>
      <c r="D25" s="248">
        <v>44</v>
      </c>
      <c r="E25" s="214">
        <f>IF(ISNUMBER(D25),E27/COUNT(D23:D26),"")</f>
        <v>46.75</v>
      </c>
      <c r="F25" s="214">
        <f>IF(ISNUMBER(D25),D25-E25,"")</f>
        <v>-2.75</v>
      </c>
      <c r="G25" s="214">
        <f t="shared" si="12"/>
        <v>7.5625</v>
      </c>
      <c r="H25" s="214">
        <f>IF(ISNUMBER(D25),G25/E25,"")</f>
        <v>0.16176470588235295</v>
      </c>
      <c r="I25" s="181"/>
      <c r="J25" s="332"/>
      <c r="K25" s="181"/>
      <c r="L25" s="181"/>
    </row>
    <row r="26" spans="2:15" x14ac:dyDescent="0.2">
      <c r="B26" s="181"/>
      <c r="C26" s="320" t="s">
        <v>270</v>
      </c>
      <c r="D26" s="248">
        <v>54</v>
      </c>
      <c r="E26" s="214">
        <f>IF(ISNUMBER(D26),E27/COUNT(D23:D26),"")</f>
        <v>46.75</v>
      </c>
      <c r="F26" s="214">
        <f t="shared" si="11"/>
        <v>7.25</v>
      </c>
      <c r="G26" s="214">
        <f t="shared" si="12"/>
        <v>52.5625</v>
      </c>
      <c r="H26" s="214">
        <f>IF(ISNUMBER(D26),G26/E26,"")</f>
        <v>1.124331550802139</v>
      </c>
      <c r="I26" s="181"/>
      <c r="J26" s="181"/>
      <c r="K26" s="181"/>
      <c r="L26" s="181"/>
    </row>
    <row r="27" spans="2:15" x14ac:dyDescent="0.2">
      <c r="B27" s="192"/>
      <c r="C27" s="213" t="s">
        <v>163</v>
      </c>
      <c r="D27" s="213">
        <f>SUM(D23:D26)</f>
        <v>187</v>
      </c>
      <c r="E27" s="214">
        <f>D27</f>
        <v>187</v>
      </c>
      <c r="F27" s="214">
        <f>SUM(F23:F26)</f>
        <v>0</v>
      </c>
      <c r="G27" s="214">
        <f t="shared" ref="G27" si="13">SUM(G23:G26)</f>
        <v>334.75</v>
      </c>
      <c r="H27" s="374"/>
      <c r="I27" s="181"/>
      <c r="J27" s="181"/>
      <c r="K27" s="181"/>
      <c r="L27" s="181"/>
    </row>
    <row r="28" spans="2:15" x14ac:dyDescent="0.2">
      <c r="B28" s="181"/>
      <c r="C28" s="71"/>
      <c r="D28" s="71"/>
      <c r="E28" s="373" t="s">
        <v>136</v>
      </c>
      <c r="F28" s="194" t="str">
        <f>IF(D29&lt;=D30,"equivalence","difference")</f>
        <v>equivalence</v>
      </c>
      <c r="G28" s="181"/>
      <c r="H28" s="181"/>
      <c r="I28" s="181"/>
      <c r="J28" s="181"/>
      <c r="K28" s="181"/>
      <c r="L28" s="181"/>
    </row>
    <row r="29" spans="2:15" x14ac:dyDescent="0.2">
      <c r="B29" s="192"/>
      <c r="C29" s="213" t="s">
        <v>169</v>
      </c>
      <c r="D29" s="371">
        <f>SUM(H23:H26)</f>
        <v>7.1604278074866308</v>
      </c>
      <c r="E29" s="181"/>
      <c r="F29" s="181"/>
      <c r="G29" s="181"/>
      <c r="H29" s="181"/>
      <c r="I29" s="181"/>
      <c r="J29" s="181"/>
      <c r="K29" s="181"/>
      <c r="L29" s="181"/>
    </row>
    <row r="30" spans="2:15" x14ac:dyDescent="0.2">
      <c r="B30" s="192"/>
      <c r="C30" s="213" t="s">
        <v>106</v>
      </c>
      <c r="D30" s="371">
        <f>CHIINV(0.05,COUNT(D23:D26)-1)</f>
        <v>7.8147279032511792</v>
      </c>
      <c r="E30" s="181"/>
      <c r="F30" s="181"/>
      <c r="G30" s="181"/>
      <c r="H30" s="181"/>
      <c r="I30" s="181"/>
      <c r="J30" s="181"/>
      <c r="K30" s="181"/>
      <c r="L30" s="181"/>
    </row>
    <row r="31" spans="2:15" x14ac:dyDescent="0.2">
      <c r="B31" s="181"/>
      <c r="C31" s="181"/>
      <c r="D31" s="181"/>
      <c r="E31" s="181"/>
      <c r="F31" s="181"/>
      <c r="G31" s="181"/>
      <c r="H31" s="181"/>
      <c r="I31" s="181"/>
      <c r="J31" s="181"/>
      <c r="K31" s="181"/>
      <c r="L31" s="181"/>
    </row>
    <row r="32" spans="2:15" x14ac:dyDescent="0.2">
      <c r="B32" s="181"/>
      <c r="C32" s="181"/>
      <c r="D32" s="181"/>
      <c r="E32" s="181"/>
      <c r="F32" s="181"/>
      <c r="G32" s="181"/>
      <c r="H32" s="181"/>
      <c r="I32" s="181"/>
      <c r="J32" s="181"/>
      <c r="K32" s="181"/>
      <c r="L32" s="181"/>
    </row>
    <row r="33" spans="2:12" x14ac:dyDescent="0.2">
      <c r="B33" s="181"/>
      <c r="C33" s="181"/>
      <c r="D33" s="181"/>
      <c r="E33" s="181"/>
      <c r="F33" s="181"/>
      <c r="G33" s="181"/>
      <c r="H33" s="181"/>
      <c r="I33" s="181"/>
      <c r="J33" s="181"/>
      <c r="K33" s="181"/>
      <c r="L33" s="181"/>
    </row>
    <row r="34" spans="2:12" x14ac:dyDescent="0.2">
      <c r="B34" s="181"/>
      <c r="C34" s="181"/>
      <c r="D34" s="181"/>
      <c r="E34" s="181"/>
      <c r="F34" s="181"/>
      <c r="G34" s="181"/>
      <c r="H34" s="181"/>
      <c r="I34" s="181"/>
      <c r="J34" s="181"/>
      <c r="K34" s="181"/>
      <c r="L34" s="181"/>
    </row>
    <row r="35" spans="2:12" x14ac:dyDescent="0.2">
      <c r="B35" s="181"/>
      <c r="C35" s="181"/>
      <c r="D35" s="181"/>
      <c r="E35" s="181"/>
      <c r="F35" s="181"/>
      <c r="G35" s="181"/>
      <c r="H35" s="181"/>
      <c r="I35" s="181"/>
      <c r="J35" s="181"/>
      <c r="K35" s="181"/>
      <c r="L35" s="181"/>
    </row>
    <row r="36" spans="2:12" x14ac:dyDescent="0.2">
      <c r="B36" s="181"/>
      <c r="C36" s="181"/>
      <c r="D36" s="181"/>
      <c r="E36" s="181"/>
      <c r="F36" s="181"/>
      <c r="G36" s="181"/>
      <c r="H36" s="181"/>
      <c r="I36" s="181"/>
      <c r="J36" s="181"/>
      <c r="K36" s="181"/>
      <c r="L36" s="181"/>
    </row>
    <row r="37" spans="2:12" x14ac:dyDescent="0.2">
      <c r="B37" s="181"/>
      <c r="C37" s="181"/>
      <c r="D37" s="181"/>
      <c r="E37" s="181"/>
      <c r="F37" s="181"/>
      <c r="G37" s="181"/>
      <c r="H37" s="181"/>
      <c r="I37" s="181"/>
      <c r="J37" s="181"/>
      <c r="K37" s="181"/>
      <c r="L37" s="181"/>
    </row>
    <row r="38" spans="2:12" x14ac:dyDescent="0.2">
      <c r="B38" s="181"/>
      <c r="C38" s="181"/>
      <c r="D38" s="181"/>
      <c r="E38" s="181"/>
      <c r="F38" s="181"/>
      <c r="G38" s="181"/>
      <c r="H38" s="181"/>
      <c r="I38" s="181"/>
      <c r="J38" s="181"/>
      <c r="K38" s="181"/>
      <c r="L38" s="181"/>
    </row>
    <row r="39" spans="2:12" x14ac:dyDescent="0.2">
      <c r="B39" s="181"/>
      <c r="C39" s="181"/>
      <c r="D39" s="181"/>
      <c r="E39" s="181"/>
      <c r="F39" s="181"/>
      <c r="G39" s="181"/>
      <c r="H39" s="181"/>
      <c r="I39" s="181"/>
      <c r="J39" s="181"/>
      <c r="K39" s="181"/>
      <c r="L39" s="181"/>
    </row>
    <row r="40" spans="2:12" x14ac:dyDescent="0.2">
      <c r="B40" s="181"/>
      <c r="C40" s="181"/>
      <c r="D40" s="181"/>
      <c r="E40" s="181"/>
      <c r="F40" s="181"/>
      <c r="G40" s="181"/>
      <c r="H40" s="181"/>
      <c r="I40" s="181"/>
      <c r="J40" s="181"/>
      <c r="K40" s="181"/>
      <c r="L40" s="181"/>
    </row>
  </sheetData>
  <mergeCells count="1">
    <mergeCell ref="D5:G5"/>
  </mergeCells>
  <conditionalFormatting sqref="F15">
    <cfRule type="cellIs" dxfId="36" priority="2" operator="equal">
      <formula>"difference"</formula>
    </cfRule>
    <cfRule type="cellIs" dxfId="35" priority="4" operator="equal">
      <formula>"equivalence"</formula>
    </cfRule>
  </conditionalFormatting>
  <conditionalFormatting sqref="F28">
    <cfRule type="cellIs" dxfId="34" priority="1" operator="equal">
      <formula>"difference"</formula>
    </cfRule>
    <cfRule type="cellIs" dxfId="33" priority="3" operator="equal">
      <formula>"equivalence"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241"/>
  <sheetViews>
    <sheetView showGridLines="0" topLeftCell="M1" zoomScaleNormal="100" workbookViewId="0">
      <selection activeCell="Q39" sqref="Q39"/>
    </sheetView>
  </sheetViews>
  <sheetFormatPr baseColWidth="10" defaultRowHeight="12.75" x14ac:dyDescent="0.2"/>
  <cols>
    <col min="1" max="1" width="20.85546875" style="55" customWidth="1"/>
    <col min="2" max="2" width="12" style="55" bestFit="1" customWidth="1"/>
    <col min="3" max="3" width="9.140625" style="55" customWidth="1"/>
    <col min="4" max="4" width="11.140625" style="55" hidden="1" customWidth="1"/>
    <col min="5" max="5" width="10.140625" style="55" hidden="1" customWidth="1"/>
    <col min="6" max="6" width="9.140625" style="55" customWidth="1"/>
    <col min="7" max="7" width="9.140625" style="58" customWidth="1"/>
    <col min="8" max="8" width="15.5703125" style="252" hidden="1" customWidth="1"/>
    <col min="9" max="9" width="10.5703125" style="252" hidden="1" customWidth="1"/>
    <col min="10" max="12" width="9.140625" style="252" hidden="1" customWidth="1"/>
    <col min="13" max="13" width="9.140625" style="252" customWidth="1"/>
    <col min="14" max="15" width="9.140625" style="55" customWidth="1"/>
    <col min="16" max="16" width="15.28515625" style="55" customWidth="1"/>
    <col min="17" max="17" width="11.7109375" style="55" customWidth="1"/>
    <col min="18" max="18" width="11.5703125" style="55" customWidth="1"/>
    <col min="19" max="21" width="9.140625" style="55" customWidth="1"/>
    <col min="22" max="22" width="14.42578125" style="55" customWidth="1"/>
    <col min="23" max="23" width="13" style="55" customWidth="1"/>
    <col min="24" max="256" width="9.140625" style="55" customWidth="1"/>
    <col min="257" max="257" width="20.42578125" style="55" customWidth="1"/>
    <col min="258" max="258" width="12" style="55" bestFit="1" customWidth="1"/>
    <col min="259" max="259" width="9.140625" style="55" customWidth="1"/>
    <col min="260" max="260" width="11.140625" style="55" customWidth="1"/>
    <col min="261" max="261" width="10.140625" style="55" customWidth="1"/>
    <col min="262" max="263" width="9.140625" style="55" customWidth="1"/>
    <col min="264" max="264" width="15.5703125" style="55" customWidth="1"/>
    <col min="265" max="265" width="10.5703125" style="55" customWidth="1"/>
    <col min="266" max="512" width="9.140625" style="55" customWidth="1"/>
    <col min="513" max="513" width="20.42578125" style="55" customWidth="1"/>
    <col min="514" max="514" width="12" style="55" bestFit="1" customWidth="1"/>
    <col min="515" max="515" width="9.140625" style="55" customWidth="1"/>
    <col min="516" max="516" width="11.140625" style="55" customWidth="1"/>
    <col min="517" max="517" width="10.140625" style="55" customWidth="1"/>
    <col min="518" max="519" width="9.140625" style="55" customWidth="1"/>
    <col min="520" max="520" width="15.5703125" style="55" customWidth="1"/>
    <col min="521" max="521" width="10.5703125" style="55" customWidth="1"/>
    <col min="522" max="768" width="9.140625" style="55" customWidth="1"/>
    <col min="769" max="769" width="20.42578125" style="55" customWidth="1"/>
    <col min="770" max="770" width="12" style="55" bestFit="1" customWidth="1"/>
    <col min="771" max="771" width="9.140625" style="55" customWidth="1"/>
    <col min="772" max="772" width="11.140625" style="55" customWidth="1"/>
    <col min="773" max="773" width="10.140625" style="55" customWidth="1"/>
    <col min="774" max="775" width="9.140625" style="55" customWidth="1"/>
    <col min="776" max="776" width="15.5703125" style="55" customWidth="1"/>
    <col min="777" max="777" width="10.5703125" style="55" customWidth="1"/>
    <col min="778" max="1024" width="9.140625" style="55" customWidth="1"/>
    <col min="1025" max="1025" width="20.42578125" style="55" customWidth="1"/>
    <col min="1026" max="1026" width="12" style="55" bestFit="1" customWidth="1"/>
    <col min="1027" max="1027" width="9.140625" style="55" customWidth="1"/>
    <col min="1028" max="1028" width="11.140625" style="55" customWidth="1"/>
    <col min="1029" max="1029" width="10.140625" style="55" customWidth="1"/>
    <col min="1030" max="1031" width="9.140625" style="55" customWidth="1"/>
    <col min="1032" max="1032" width="15.5703125" style="55" customWidth="1"/>
    <col min="1033" max="1033" width="10.5703125" style="55" customWidth="1"/>
    <col min="1034" max="1280" width="9.140625" style="55" customWidth="1"/>
    <col min="1281" max="1281" width="20.42578125" style="55" customWidth="1"/>
    <col min="1282" max="1282" width="12" style="55" bestFit="1" customWidth="1"/>
    <col min="1283" max="1283" width="9.140625" style="55" customWidth="1"/>
    <col min="1284" max="1284" width="11.140625" style="55" customWidth="1"/>
    <col min="1285" max="1285" width="10.140625" style="55" customWidth="1"/>
    <col min="1286" max="1287" width="9.140625" style="55" customWidth="1"/>
    <col min="1288" max="1288" width="15.5703125" style="55" customWidth="1"/>
    <col min="1289" max="1289" width="10.5703125" style="55" customWidth="1"/>
    <col min="1290" max="1536" width="9.140625" style="55" customWidth="1"/>
    <col min="1537" max="1537" width="20.42578125" style="55" customWidth="1"/>
    <col min="1538" max="1538" width="12" style="55" bestFit="1" customWidth="1"/>
    <col min="1539" max="1539" width="9.140625" style="55" customWidth="1"/>
    <col min="1540" max="1540" width="11.140625" style="55" customWidth="1"/>
    <col min="1541" max="1541" width="10.140625" style="55" customWidth="1"/>
    <col min="1542" max="1543" width="9.140625" style="55" customWidth="1"/>
    <col min="1544" max="1544" width="15.5703125" style="55" customWidth="1"/>
    <col min="1545" max="1545" width="10.5703125" style="55" customWidth="1"/>
    <col min="1546" max="1792" width="9.140625" style="55" customWidth="1"/>
    <col min="1793" max="1793" width="20.42578125" style="55" customWidth="1"/>
    <col min="1794" max="1794" width="12" style="55" bestFit="1" customWidth="1"/>
    <col min="1795" max="1795" width="9.140625" style="55" customWidth="1"/>
    <col min="1796" max="1796" width="11.140625" style="55" customWidth="1"/>
    <col min="1797" max="1797" width="10.140625" style="55" customWidth="1"/>
    <col min="1798" max="1799" width="9.140625" style="55" customWidth="1"/>
    <col min="1800" max="1800" width="15.5703125" style="55" customWidth="1"/>
    <col min="1801" max="1801" width="10.5703125" style="55" customWidth="1"/>
    <col min="1802" max="2048" width="9.140625" style="55" customWidth="1"/>
    <col min="2049" max="2049" width="20.42578125" style="55" customWidth="1"/>
    <col min="2050" max="2050" width="12" style="55" bestFit="1" customWidth="1"/>
    <col min="2051" max="2051" width="9.140625" style="55" customWidth="1"/>
    <col min="2052" max="2052" width="11.140625" style="55" customWidth="1"/>
    <col min="2053" max="2053" width="10.140625" style="55" customWidth="1"/>
    <col min="2054" max="2055" width="9.140625" style="55" customWidth="1"/>
    <col min="2056" max="2056" width="15.5703125" style="55" customWidth="1"/>
    <col min="2057" max="2057" width="10.5703125" style="55" customWidth="1"/>
    <col min="2058" max="2304" width="9.140625" style="55" customWidth="1"/>
    <col min="2305" max="2305" width="20.42578125" style="55" customWidth="1"/>
    <col min="2306" max="2306" width="12" style="55" bestFit="1" customWidth="1"/>
    <col min="2307" max="2307" width="9.140625" style="55" customWidth="1"/>
    <col min="2308" max="2308" width="11.140625" style="55" customWidth="1"/>
    <col min="2309" max="2309" width="10.140625" style="55" customWidth="1"/>
    <col min="2310" max="2311" width="9.140625" style="55" customWidth="1"/>
    <col min="2312" max="2312" width="15.5703125" style="55" customWidth="1"/>
    <col min="2313" max="2313" width="10.5703125" style="55" customWidth="1"/>
    <col min="2314" max="2560" width="9.140625" style="55" customWidth="1"/>
    <col min="2561" max="2561" width="20.42578125" style="55" customWidth="1"/>
    <col min="2562" max="2562" width="12" style="55" bestFit="1" customWidth="1"/>
    <col min="2563" max="2563" width="9.140625" style="55" customWidth="1"/>
    <col min="2564" max="2564" width="11.140625" style="55" customWidth="1"/>
    <col min="2565" max="2565" width="10.140625" style="55" customWidth="1"/>
    <col min="2566" max="2567" width="9.140625" style="55" customWidth="1"/>
    <col min="2568" max="2568" width="15.5703125" style="55" customWidth="1"/>
    <col min="2569" max="2569" width="10.5703125" style="55" customWidth="1"/>
    <col min="2570" max="2816" width="9.140625" style="55" customWidth="1"/>
    <col min="2817" max="2817" width="20.42578125" style="55" customWidth="1"/>
    <col min="2818" max="2818" width="12" style="55" bestFit="1" customWidth="1"/>
    <col min="2819" max="2819" width="9.140625" style="55" customWidth="1"/>
    <col min="2820" max="2820" width="11.140625" style="55" customWidth="1"/>
    <col min="2821" max="2821" width="10.140625" style="55" customWidth="1"/>
    <col min="2822" max="2823" width="9.140625" style="55" customWidth="1"/>
    <col min="2824" max="2824" width="15.5703125" style="55" customWidth="1"/>
    <col min="2825" max="2825" width="10.5703125" style="55" customWidth="1"/>
    <col min="2826" max="3072" width="9.140625" style="55" customWidth="1"/>
    <col min="3073" max="3073" width="20.42578125" style="55" customWidth="1"/>
    <col min="3074" max="3074" width="12" style="55" bestFit="1" customWidth="1"/>
    <col min="3075" max="3075" width="9.140625" style="55" customWidth="1"/>
    <col min="3076" max="3076" width="11.140625" style="55" customWidth="1"/>
    <col min="3077" max="3077" width="10.140625" style="55" customWidth="1"/>
    <col min="3078" max="3079" width="9.140625" style="55" customWidth="1"/>
    <col min="3080" max="3080" width="15.5703125" style="55" customWidth="1"/>
    <col min="3081" max="3081" width="10.5703125" style="55" customWidth="1"/>
    <col min="3082" max="3328" width="9.140625" style="55" customWidth="1"/>
    <col min="3329" max="3329" width="20.42578125" style="55" customWidth="1"/>
    <col min="3330" max="3330" width="12" style="55" bestFit="1" customWidth="1"/>
    <col min="3331" max="3331" width="9.140625" style="55" customWidth="1"/>
    <col min="3332" max="3332" width="11.140625" style="55" customWidth="1"/>
    <col min="3333" max="3333" width="10.140625" style="55" customWidth="1"/>
    <col min="3334" max="3335" width="9.140625" style="55" customWidth="1"/>
    <col min="3336" max="3336" width="15.5703125" style="55" customWidth="1"/>
    <col min="3337" max="3337" width="10.5703125" style="55" customWidth="1"/>
    <col min="3338" max="3584" width="9.140625" style="55" customWidth="1"/>
    <col min="3585" max="3585" width="20.42578125" style="55" customWidth="1"/>
    <col min="3586" max="3586" width="12" style="55" bestFit="1" customWidth="1"/>
    <col min="3587" max="3587" width="9.140625" style="55" customWidth="1"/>
    <col min="3588" max="3588" width="11.140625" style="55" customWidth="1"/>
    <col min="3589" max="3589" width="10.140625" style="55" customWidth="1"/>
    <col min="3590" max="3591" width="9.140625" style="55" customWidth="1"/>
    <col min="3592" max="3592" width="15.5703125" style="55" customWidth="1"/>
    <col min="3593" max="3593" width="10.5703125" style="55" customWidth="1"/>
    <col min="3594" max="3840" width="9.140625" style="55" customWidth="1"/>
    <col min="3841" max="3841" width="20.42578125" style="55" customWidth="1"/>
    <col min="3842" max="3842" width="12" style="55" bestFit="1" customWidth="1"/>
    <col min="3843" max="3843" width="9.140625" style="55" customWidth="1"/>
    <col min="3844" max="3844" width="11.140625" style="55" customWidth="1"/>
    <col min="3845" max="3845" width="10.140625" style="55" customWidth="1"/>
    <col min="3846" max="3847" width="9.140625" style="55" customWidth="1"/>
    <col min="3848" max="3848" width="15.5703125" style="55" customWidth="1"/>
    <col min="3849" max="3849" width="10.5703125" style="55" customWidth="1"/>
    <col min="3850" max="4096" width="9.140625" style="55" customWidth="1"/>
    <col min="4097" max="4097" width="20.42578125" style="55" customWidth="1"/>
    <col min="4098" max="4098" width="12" style="55" bestFit="1" customWidth="1"/>
    <col min="4099" max="4099" width="9.140625" style="55" customWidth="1"/>
    <col min="4100" max="4100" width="11.140625" style="55" customWidth="1"/>
    <col min="4101" max="4101" width="10.140625" style="55" customWidth="1"/>
    <col min="4102" max="4103" width="9.140625" style="55" customWidth="1"/>
    <col min="4104" max="4104" width="15.5703125" style="55" customWidth="1"/>
    <col min="4105" max="4105" width="10.5703125" style="55" customWidth="1"/>
    <col min="4106" max="4352" width="9.140625" style="55" customWidth="1"/>
    <col min="4353" max="4353" width="20.42578125" style="55" customWidth="1"/>
    <col min="4354" max="4354" width="12" style="55" bestFit="1" customWidth="1"/>
    <col min="4355" max="4355" width="9.140625" style="55" customWidth="1"/>
    <col min="4356" max="4356" width="11.140625" style="55" customWidth="1"/>
    <col min="4357" max="4357" width="10.140625" style="55" customWidth="1"/>
    <col min="4358" max="4359" width="9.140625" style="55" customWidth="1"/>
    <col min="4360" max="4360" width="15.5703125" style="55" customWidth="1"/>
    <col min="4361" max="4361" width="10.5703125" style="55" customWidth="1"/>
    <col min="4362" max="4608" width="9.140625" style="55" customWidth="1"/>
    <col min="4609" max="4609" width="20.42578125" style="55" customWidth="1"/>
    <col min="4610" max="4610" width="12" style="55" bestFit="1" customWidth="1"/>
    <col min="4611" max="4611" width="9.140625" style="55" customWidth="1"/>
    <col min="4612" max="4612" width="11.140625" style="55" customWidth="1"/>
    <col min="4613" max="4613" width="10.140625" style="55" customWidth="1"/>
    <col min="4614" max="4615" width="9.140625" style="55" customWidth="1"/>
    <col min="4616" max="4616" width="15.5703125" style="55" customWidth="1"/>
    <col min="4617" max="4617" width="10.5703125" style="55" customWidth="1"/>
    <col min="4618" max="4864" width="9.140625" style="55" customWidth="1"/>
    <col min="4865" max="4865" width="20.42578125" style="55" customWidth="1"/>
    <col min="4866" max="4866" width="12" style="55" bestFit="1" customWidth="1"/>
    <col min="4867" max="4867" width="9.140625" style="55" customWidth="1"/>
    <col min="4868" max="4868" width="11.140625" style="55" customWidth="1"/>
    <col min="4869" max="4869" width="10.140625" style="55" customWidth="1"/>
    <col min="4870" max="4871" width="9.140625" style="55" customWidth="1"/>
    <col min="4872" max="4872" width="15.5703125" style="55" customWidth="1"/>
    <col min="4873" max="4873" width="10.5703125" style="55" customWidth="1"/>
    <col min="4874" max="5120" width="9.140625" style="55" customWidth="1"/>
    <col min="5121" max="5121" width="20.42578125" style="55" customWidth="1"/>
    <col min="5122" max="5122" width="12" style="55" bestFit="1" customWidth="1"/>
    <col min="5123" max="5123" width="9.140625" style="55" customWidth="1"/>
    <col min="5124" max="5124" width="11.140625" style="55" customWidth="1"/>
    <col min="5125" max="5125" width="10.140625" style="55" customWidth="1"/>
    <col min="5126" max="5127" width="9.140625" style="55" customWidth="1"/>
    <col min="5128" max="5128" width="15.5703125" style="55" customWidth="1"/>
    <col min="5129" max="5129" width="10.5703125" style="55" customWidth="1"/>
    <col min="5130" max="5376" width="9.140625" style="55" customWidth="1"/>
    <col min="5377" max="5377" width="20.42578125" style="55" customWidth="1"/>
    <col min="5378" max="5378" width="12" style="55" bestFit="1" customWidth="1"/>
    <col min="5379" max="5379" width="9.140625" style="55" customWidth="1"/>
    <col min="5380" max="5380" width="11.140625" style="55" customWidth="1"/>
    <col min="5381" max="5381" width="10.140625" style="55" customWidth="1"/>
    <col min="5382" max="5383" width="9.140625" style="55" customWidth="1"/>
    <col min="5384" max="5384" width="15.5703125" style="55" customWidth="1"/>
    <col min="5385" max="5385" width="10.5703125" style="55" customWidth="1"/>
    <col min="5386" max="5632" width="9.140625" style="55" customWidth="1"/>
    <col min="5633" max="5633" width="20.42578125" style="55" customWidth="1"/>
    <col min="5634" max="5634" width="12" style="55" bestFit="1" customWidth="1"/>
    <col min="5635" max="5635" width="9.140625" style="55" customWidth="1"/>
    <col min="5636" max="5636" width="11.140625" style="55" customWidth="1"/>
    <col min="5637" max="5637" width="10.140625" style="55" customWidth="1"/>
    <col min="5638" max="5639" width="9.140625" style="55" customWidth="1"/>
    <col min="5640" max="5640" width="15.5703125" style="55" customWidth="1"/>
    <col min="5641" max="5641" width="10.5703125" style="55" customWidth="1"/>
    <col min="5642" max="5888" width="9.140625" style="55" customWidth="1"/>
    <col min="5889" max="5889" width="20.42578125" style="55" customWidth="1"/>
    <col min="5890" max="5890" width="12" style="55" bestFit="1" customWidth="1"/>
    <col min="5891" max="5891" width="9.140625" style="55" customWidth="1"/>
    <col min="5892" max="5892" width="11.140625" style="55" customWidth="1"/>
    <col min="5893" max="5893" width="10.140625" style="55" customWidth="1"/>
    <col min="5894" max="5895" width="9.140625" style="55" customWidth="1"/>
    <col min="5896" max="5896" width="15.5703125" style="55" customWidth="1"/>
    <col min="5897" max="5897" width="10.5703125" style="55" customWidth="1"/>
    <col min="5898" max="6144" width="9.140625" style="55" customWidth="1"/>
    <col min="6145" max="6145" width="20.42578125" style="55" customWidth="1"/>
    <col min="6146" max="6146" width="12" style="55" bestFit="1" customWidth="1"/>
    <col min="6147" max="6147" width="9.140625" style="55" customWidth="1"/>
    <col min="6148" max="6148" width="11.140625" style="55" customWidth="1"/>
    <col min="6149" max="6149" width="10.140625" style="55" customWidth="1"/>
    <col min="6150" max="6151" width="9.140625" style="55" customWidth="1"/>
    <col min="6152" max="6152" width="15.5703125" style="55" customWidth="1"/>
    <col min="6153" max="6153" width="10.5703125" style="55" customWidth="1"/>
    <col min="6154" max="6400" width="9.140625" style="55" customWidth="1"/>
    <col min="6401" max="6401" width="20.42578125" style="55" customWidth="1"/>
    <col min="6402" max="6402" width="12" style="55" bestFit="1" customWidth="1"/>
    <col min="6403" max="6403" width="9.140625" style="55" customWidth="1"/>
    <col min="6404" max="6404" width="11.140625" style="55" customWidth="1"/>
    <col min="6405" max="6405" width="10.140625" style="55" customWidth="1"/>
    <col min="6406" max="6407" width="9.140625" style="55" customWidth="1"/>
    <col min="6408" max="6408" width="15.5703125" style="55" customWidth="1"/>
    <col min="6409" max="6409" width="10.5703125" style="55" customWidth="1"/>
    <col min="6410" max="6656" width="9.140625" style="55" customWidth="1"/>
    <col min="6657" max="6657" width="20.42578125" style="55" customWidth="1"/>
    <col min="6658" max="6658" width="12" style="55" bestFit="1" customWidth="1"/>
    <col min="6659" max="6659" width="9.140625" style="55" customWidth="1"/>
    <col min="6660" max="6660" width="11.140625" style="55" customWidth="1"/>
    <col min="6661" max="6661" width="10.140625" style="55" customWidth="1"/>
    <col min="6662" max="6663" width="9.140625" style="55" customWidth="1"/>
    <col min="6664" max="6664" width="15.5703125" style="55" customWidth="1"/>
    <col min="6665" max="6665" width="10.5703125" style="55" customWidth="1"/>
    <col min="6666" max="6912" width="9.140625" style="55" customWidth="1"/>
    <col min="6913" max="6913" width="20.42578125" style="55" customWidth="1"/>
    <col min="6914" max="6914" width="12" style="55" bestFit="1" customWidth="1"/>
    <col min="6915" max="6915" width="9.140625" style="55" customWidth="1"/>
    <col min="6916" max="6916" width="11.140625" style="55" customWidth="1"/>
    <col min="6917" max="6917" width="10.140625" style="55" customWidth="1"/>
    <col min="6918" max="6919" width="9.140625" style="55" customWidth="1"/>
    <col min="6920" max="6920" width="15.5703125" style="55" customWidth="1"/>
    <col min="6921" max="6921" width="10.5703125" style="55" customWidth="1"/>
    <col min="6922" max="7168" width="9.140625" style="55" customWidth="1"/>
    <col min="7169" max="7169" width="20.42578125" style="55" customWidth="1"/>
    <col min="7170" max="7170" width="12" style="55" bestFit="1" customWidth="1"/>
    <col min="7171" max="7171" width="9.140625" style="55" customWidth="1"/>
    <col min="7172" max="7172" width="11.140625" style="55" customWidth="1"/>
    <col min="7173" max="7173" width="10.140625" style="55" customWidth="1"/>
    <col min="7174" max="7175" width="9.140625" style="55" customWidth="1"/>
    <col min="7176" max="7176" width="15.5703125" style="55" customWidth="1"/>
    <col min="7177" max="7177" width="10.5703125" style="55" customWidth="1"/>
    <col min="7178" max="7424" width="9.140625" style="55" customWidth="1"/>
    <col min="7425" max="7425" width="20.42578125" style="55" customWidth="1"/>
    <col min="7426" max="7426" width="12" style="55" bestFit="1" customWidth="1"/>
    <col min="7427" max="7427" width="9.140625" style="55" customWidth="1"/>
    <col min="7428" max="7428" width="11.140625" style="55" customWidth="1"/>
    <col min="7429" max="7429" width="10.140625" style="55" customWidth="1"/>
    <col min="7430" max="7431" width="9.140625" style="55" customWidth="1"/>
    <col min="7432" max="7432" width="15.5703125" style="55" customWidth="1"/>
    <col min="7433" max="7433" width="10.5703125" style="55" customWidth="1"/>
    <col min="7434" max="7680" width="9.140625" style="55" customWidth="1"/>
    <col min="7681" max="7681" width="20.42578125" style="55" customWidth="1"/>
    <col min="7682" max="7682" width="12" style="55" bestFit="1" customWidth="1"/>
    <col min="7683" max="7683" width="9.140625" style="55" customWidth="1"/>
    <col min="7684" max="7684" width="11.140625" style="55" customWidth="1"/>
    <col min="7685" max="7685" width="10.140625" style="55" customWidth="1"/>
    <col min="7686" max="7687" width="9.140625" style="55" customWidth="1"/>
    <col min="7688" max="7688" width="15.5703125" style="55" customWidth="1"/>
    <col min="7689" max="7689" width="10.5703125" style="55" customWidth="1"/>
    <col min="7690" max="7936" width="9.140625" style="55" customWidth="1"/>
    <col min="7937" max="7937" width="20.42578125" style="55" customWidth="1"/>
    <col min="7938" max="7938" width="12" style="55" bestFit="1" customWidth="1"/>
    <col min="7939" max="7939" width="9.140625" style="55" customWidth="1"/>
    <col min="7940" max="7940" width="11.140625" style="55" customWidth="1"/>
    <col min="7941" max="7941" width="10.140625" style="55" customWidth="1"/>
    <col min="7942" max="7943" width="9.140625" style="55" customWidth="1"/>
    <col min="7944" max="7944" width="15.5703125" style="55" customWidth="1"/>
    <col min="7945" max="7945" width="10.5703125" style="55" customWidth="1"/>
    <col min="7946" max="8192" width="9.140625" style="55" customWidth="1"/>
    <col min="8193" max="8193" width="20.42578125" style="55" customWidth="1"/>
    <col min="8194" max="8194" width="12" style="55" bestFit="1" customWidth="1"/>
    <col min="8195" max="8195" width="9.140625" style="55" customWidth="1"/>
    <col min="8196" max="8196" width="11.140625" style="55" customWidth="1"/>
    <col min="8197" max="8197" width="10.140625" style="55" customWidth="1"/>
    <col min="8198" max="8199" width="9.140625" style="55" customWidth="1"/>
    <col min="8200" max="8200" width="15.5703125" style="55" customWidth="1"/>
    <col min="8201" max="8201" width="10.5703125" style="55" customWidth="1"/>
    <col min="8202" max="8448" width="9.140625" style="55" customWidth="1"/>
    <col min="8449" max="8449" width="20.42578125" style="55" customWidth="1"/>
    <col min="8450" max="8450" width="12" style="55" bestFit="1" customWidth="1"/>
    <col min="8451" max="8451" width="9.140625" style="55" customWidth="1"/>
    <col min="8452" max="8452" width="11.140625" style="55" customWidth="1"/>
    <col min="8453" max="8453" width="10.140625" style="55" customWidth="1"/>
    <col min="8454" max="8455" width="9.140625" style="55" customWidth="1"/>
    <col min="8456" max="8456" width="15.5703125" style="55" customWidth="1"/>
    <col min="8457" max="8457" width="10.5703125" style="55" customWidth="1"/>
    <col min="8458" max="8704" width="9.140625" style="55" customWidth="1"/>
    <col min="8705" max="8705" width="20.42578125" style="55" customWidth="1"/>
    <col min="8706" max="8706" width="12" style="55" bestFit="1" customWidth="1"/>
    <col min="8707" max="8707" width="9.140625" style="55" customWidth="1"/>
    <col min="8708" max="8708" width="11.140625" style="55" customWidth="1"/>
    <col min="8709" max="8709" width="10.140625" style="55" customWidth="1"/>
    <col min="8710" max="8711" width="9.140625" style="55" customWidth="1"/>
    <col min="8712" max="8712" width="15.5703125" style="55" customWidth="1"/>
    <col min="8713" max="8713" width="10.5703125" style="55" customWidth="1"/>
    <col min="8714" max="8960" width="9.140625" style="55" customWidth="1"/>
    <col min="8961" max="8961" width="20.42578125" style="55" customWidth="1"/>
    <col min="8962" max="8962" width="12" style="55" bestFit="1" customWidth="1"/>
    <col min="8963" max="8963" width="9.140625" style="55" customWidth="1"/>
    <col min="8964" max="8964" width="11.140625" style="55" customWidth="1"/>
    <col min="8965" max="8965" width="10.140625" style="55" customWidth="1"/>
    <col min="8966" max="8967" width="9.140625" style="55" customWidth="1"/>
    <col min="8968" max="8968" width="15.5703125" style="55" customWidth="1"/>
    <col min="8969" max="8969" width="10.5703125" style="55" customWidth="1"/>
    <col min="8970" max="9216" width="9.140625" style="55" customWidth="1"/>
    <col min="9217" max="9217" width="20.42578125" style="55" customWidth="1"/>
    <col min="9218" max="9218" width="12" style="55" bestFit="1" customWidth="1"/>
    <col min="9219" max="9219" width="9.140625" style="55" customWidth="1"/>
    <col min="9220" max="9220" width="11.140625" style="55" customWidth="1"/>
    <col min="9221" max="9221" width="10.140625" style="55" customWidth="1"/>
    <col min="9222" max="9223" width="9.140625" style="55" customWidth="1"/>
    <col min="9224" max="9224" width="15.5703125" style="55" customWidth="1"/>
    <col min="9225" max="9225" width="10.5703125" style="55" customWidth="1"/>
    <col min="9226" max="9472" width="9.140625" style="55" customWidth="1"/>
    <col min="9473" max="9473" width="20.42578125" style="55" customWidth="1"/>
    <col min="9474" max="9474" width="12" style="55" bestFit="1" customWidth="1"/>
    <col min="9475" max="9475" width="9.140625" style="55" customWidth="1"/>
    <col min="9476" max="9476" width="11.140625" style="55" customWidth="1"/>
    <col min="9477" max="9477" width="10.140625" style="55" customWidth="1"/>
    <col min="9478" max="9479" width="9.140625" style="55" customWidth="1"/>
    <col min="9480" max="9480" width="15.5703125" style="55" customWidth="1"/>
    <col min="9481" max="9481" width="10.5703125" style="55" customWidth="1"/>
    <col min="9482" max="9728" width="9.140625" style="55" customWidth="1"/>
    <col min="9729" max="9729" width="20.42578125" style="55" customWidth="1"/>
    <col min="9730" max="9730" width="12" style="55" bestFit="1" customWidth="1"/>
    <col min="9731" max="9731" width="9.140625" style="55" customWidth="1"/>
    <col min="9732" max="9732" width="11.140625" style="55" customWidth="1"/>
    <col min="9733" max="9733" width="10.140625" style="55" customWidth="1"/>
    <col min="9734" max="9735" width="9.140625" style="55" customWidth="1"/>
    <col min="9736" max="9736" width="15.5703125" style="55" customWidth="1"/>
    <col min="9737" max="9737" width="10.5703125" style="55" customWidth="1"/>
    <col min="9738" max="9984" width="9.140625" style="55" customWidth="1"/>
    <col min="9985" max="9985" width="20.42578125" style="55" customWidth="1"/>
    <col min="9986" max="9986" width="12" style="55" bestFit="1" customWidth="1"/>
    <col min="9987" max="9987" width="9.140625" style="55" customWidth="1"/>
    <col min="9988" max="9988" width="11.140625" style="55" customWidth="1"/>
    <col min="9989" max="9989" width="10.140625" style="55" customWidth="1"/>
    <col min="9990" max="9991" width="9.140625" style="55" customWidth="1"/>
    <col min="9992" max="9992" width="15.5703125" style="55" customWidth="1"/>
    <col min="9993" max="9993" width="10.5703125" style="55" customWidth="1"/>
    <col min="9994" max="10240" width="9.140625" style="55" customWidth="1"/>
    <col min="10241" max="10241" width="20.42578125" style="55" customWidth="1"/>
    <col min="10242" max="10242" width="12" style="55" bestFit="1" customWidth="1"/>
    <col min="10243" max="10243" width="9.140625" style="55" customWidth="1"/>
    <col min="10244" max="10244" width="11.140625" style="55" customWidth="1"/>
    <col min="10245" max="10245" width="10.140625" style="55" customWidth="1"/>
    <col min="10246" max="10247" width="9.140625" style="55" customWidth="1"/>
    <col min="10248" max="10248" width="15.5703125" style="55" customWidth="1"/>
    <col min="10249" max="10249" width="10.5703125" style="55" customWidth="1"/>
    <col min="10250" max="10496" width="9.140625" style="55" customWidth="1"/>
    <col min="10497" max="10497" width="20.42578125" style="55" customWidth="1"/>
    <col min="10498" max="10498" width="12" style="55" bestFit="1" customWidth="1"/>
    <col min="10499" max="10499" width="9.140625" style="55" customWidth="1"/>
    <col min="10500" max="10500" width="11.140625" style="55" customWidth="1"/>
    <col min="10501" max="10501" width="10.140625" style="55" customWidth="1"/>
    <col min="10502" max="10503" width="9.140625" style="55" customWidth="1"/>
    <col min="10504" max="10504" width="15.5703125" style="55" customWidth="1"/>
    <col min="10505" max="10505" width="10.5703125" style="55" customWidth="1"/>
    <col min="10506" max="10752" width="9.140625" style="55" customWidth="1"/>
    <col min="10753" max="10753" width="20.42578125" style="55" customWidth="1"/>
    <col min="10754" max="10754" width="12" style="55" bestFit="1" customWidth="1"/>
    <col min="10755" max="10755" width="9.140625" style="55" customWidth="1"/>
    <col min="10756" max="10756" width="11.140625" style="55" customWidth="1"/>
    <col min="10757" max="10757" width="10.140625" style="55" customWidth="1"/>
    <col min="10758" max="10759" width="9.140625" style="55" customWidth="1"/>
    <col min="10760" max="10760" width="15.5703125" style="55" customWidth="1"/>
    <col min="10761" max="10761" width="10.5703125" style="55" customWidth="1"/>
    <col min="10762" max="11008" width="9.140625" style="55" customWidth="1"/>
    <col min="11009" max="11009" width="20.42578125" style="55" customWidth="1"/>
    <col min="11010" max="11010" width="12" style="55" bestFit="1" customWidth="1"/>
    <col min="11011" max="11011" width="9.140625" style="55" customWidth="1"/>
    <col min="11012" max="11012" width="11.140625" style="55" customWidth="1"/>
    <col min="11013" max="11013" width="10.140625" style="55" customWidth="1"/>
    <col min="11014" max="11015" width="9.140625" style="55" customWidth="1"/>
    <col min="11016" max="11016" width="15.5703125" style="55" customWidth="1"/>
    <col min="11017" max="11017" width="10.5703125" style="55" customWidth="1"/>
    <col min="11018" max="11264" width="9.140625" style="55" customWidth="1"/>
    <col min="11265" max="11265" width="20.42578125" style="55" customWidth="1"/>
    <col min="11266" max="11266" width="12" style="55" bestFit="1" customWidth="1"/>
    <col min="11267" max="11267" width="9.140625" style="55" customWidth="1"/>
    <col min="11268" max="11268" width="11.140625" style="55" customWidth="1"/>
    <col min="11269" max="11269" width="10.140625" style="55" customWidth="1"/>
    <col min="11270" max="11271" width="9.140625" style="55" customWidth="1"/>
    <col min="11272" max="11272" width="15.5703125" style="55" customWidth="1"/>
    <col min="11273" max="11273" width="10.5703125" style="55" customWidth="1"/>
    <col min="11274" max="11520" width="9.140625" style="55" customWidth="1"/>
    <col min="11521" max="11521" width="20.42578125" style="55" customWidth="1"/>
    <col min="11522" max="11522" width="12" style="55" bestFit="1" customWidth="1"/>
    <col min="11523" max="11523" width="9.140625" style="55" customWidth="1"/>
    <col min="11524" max="11524" width="11.140625" style="55" customWidth="1"/>
    <col min="11525" max="11525" width="10.140625" style="55" customWidth="1"/>
    <col min="11526" max="11527" width="9.140625" style="55" customWidth="1"/>
    <col min="11528" max="11528" width="15.5703125" style="55" customWidth="1"/>
    <col min="11529" max="11529" width="10.5703125" style="55" customWidth="1"/>
    <col min="11530" max="11776" width="9.140625" style="55" customWidth="1"/>
    <col min="11777" max="11777" width="20.42578125" style="55" customWidth="1"/>
    <col min="11778" max="11778" width="12" style="55" bestFit="1" customWidth="1"/>
    <col min="11779" max="11779" width="9.140625" style="55" customWidth="1"/>
    <col min="11780" max="11780" width="11.140625" style="55" customWidth="1"/>
    <col min="11781" max="11781" width="10.140625" style="55" customWidth="1"/>
    <col min="11782" max="11783" width="9.140625" style="55" customWidth="1"/>
    <col min="11784" max="11784" width="15.5703125" style="55" customWidth="1"/>
    <col min="11785" max="11785" width="10.5703125" style="55" customWidth="1"/>
    <col min="11786" max="12032" width="9.140625" style="55" customWidth="1"/>
    <col min="12033" max="12033" width="20.42578125" style="55" customWidth="1"/>
    <col min="12034" max="12034" width="12" style="55" bestFit="1" customWidth="1"/>
    <col min="12035" max="12035" width="9.140625" style="55" customWidth="1"/>
    <col min="12036" max="12036" width="11.140625" style="55" customWidth="1"/>
    <col min="12037" max="12037" width="10.140625" style="55" customWidth="1"/>
    <col min="12038" max="12039" width="9.140625" style="55" customWidth="1"/>
    <col min="12040" max="12040" width="15.5703125" style="55" customWidth="1"/>
    <col min="12041" max="12041" width="10.5703125" style="55" customWidth="1"/>
    <col min="12042" max="12288" width="9.140625" style="55" customWidth="1"/>
    <col min="12289" max="12289" width="20.42578125" style="55" customWidth="1"/>
    <col min="12290" max="12290" width="12" style="55" bestFit="1" customWidth="1"/>
    <col min="12291" max="12291" width="9.140625" style="55" customWidth="1"/>
    <col min="12292" max="12292" width="11.140625" style="55" customWidth="1"/>
    <col min="12293" max="12293" width="10.140625" style="55" customWidth="1"/>
    <col min="12294" max="12295" width="9.140625" style="55" customWidth="1"/>
    <col min="12296" max="12296" width="15.5703125" style="55" customWidth="1"/>
    <col min="12297" max="12297" width="10.5703125" style="55" customWidth="1"/>
    <col min="12298" max="12544" width="9.140625" style="55" customWidth="1"/>
    <col min="12545" max="12545" width="20.42578125" style="55" customWidth="1"/>
    <col min="12546" max="12546" width="12" style="55" bestFit="1" customWidth="1"/>
    <col min="12547" max="12547" width="9.140625" style="55" customWidth="1"/>
    <col min="12548" max="12548" width="11.140625" style="55" customWidth="1"/>
    <col min="12549" max="12549" width="10.140625" style="55" customWidth="1"/>
    <col min="12550" max="12551" width="9.140625" style="55" customWidth="1"/>
    <col min="12552" max="12552" width="15.5703125" style="55" customWidth="1"/>
    <col min="12553" max="12553" width="10.5703125" style="55" customWidth="1"/>
    <col min="12554" max="12800" width="9.140625" style="55" customWidth="1"/>
    <col min="12801" max="12801" width="20.42578125" style="55" customWidth="1"/>
    <col min="12802" max="12802" width="12" style="55" bestFit="1" customWidth="1"/>
    <col min="12803" max="12803" width="9.140625" style="55" customWidth="1"/>
    <col min="12804" max="12804" width="11.140625" style="55" customWidth="1"/>
    <col min="12805" max="12805" width="10.140625" style="55" customWidth="1"/>
    <col min="12806" max="12807" width="9.140625" style="55" customWidth="1"/>
    <col min="12808" max="12808" width="15.5703125" style="55" customWidth="1"/>
    <col min="12809" max="12809" width="10.5703125" style="55" customWidth="1"/>
    <col min="12810" max="13056" width="9.140625" style="55" customWidth="1"/>
    <col min="13057" max="13057" width="20.42578125" style="55" customWidth="1"/>
    <col min="13058" max="13058" width="12" style="55" bestFit="1" customWidth="1"/>
    <col min="13059" max="13059" width="9.140625" style="55" customWidth="1"/>
    <col min="13060" max="13060" width="11.140625" style="55" customWidth="1"/>
    <col min="13061" max="13061" width="10.140625" style="55" customWidth="1"/>
    <col min="13062" max="13063" width="9.140625" style="55" customWidth="1"/>
    <col min="13064" max="13064" width="15.5703125" style="55" customWidth="1"/>
    <col min="13065" max="13065" width="10.5703125" style="55" customWidth="1"/>
    <col min="13066" max="13312" width="9.140625" style="55" customWidth="1"/>
    <col min="13313" max="13313" width="20.42578125" style="55" customWidth="1"/>
    <col min="13314" max="13314" width="12" style="55" bestFit="1" customWidth="1"/>
    <col min="13315" max="13315" width="9.140625" style="55" customWidth="1"/>
    <col min="13316" max="13316" width="11.140625" style="55" customWidth="1"/>
    <col min="13317" max="13317" width="10.140625" style="55" customWidth="1"/>
    <col min="13318" max="13319" width="9.140625" style="55" customWidth="1"/>
    <col min="13320" max="13320" width="15.5703125" style="55" customWidth="1"/>
    <col min="13321" max="13321" width="10.5703125" style="55" customWidth="1"/>
    <col min="13322" max="13568" width="9.140625" style="55" customWidth="1"/>
    <col min="13569" max="13569" width="20.42578125" style="55" customWidth="1"/>
    <col min="13570" max="13570" width="12" style="55" bestFit="1" customWidth="1"/>
    <col min="13571" max="13571" width="9.140625" style="55" customWidth="1"/>
    <col min="13572" max="13572" width="11.140625" style="55" customWidth="1"/>
    <col min="13573" max="13573" width="10.140625" style="55" customWidth="1"/>
    <col min="13574" max="13575" width="9.140625" style="55" customWidth="1"/>
    <col min="13576" max="13576" width="15.5703125" style="55" customWidth="1"/>
    <col min="13577" max="13577" width="10.5703125" style="55" customWidth="1"/>
    <col min="13578" max="13824" width="9.140625" style="55" customWidth="1"/>
    <col min="13825" max="13825" width="20.42578125" style="55" customWidth="1"/>
    <col min="13826" max="13826" width="12" style="55" bestFit="1" customWidth="1"/>
    <col min="13827" max="13827" width="9.140625" style="55" customWidth="1"/>
    <col min="13828" max="13828" width="11.140625" style="55" customWidth="1"/>
    <col min="13829" max="13829" width="10.140625" style="55" customWidth="1"/>
    <col min="13830" max="13831" width="9.140625" style="55" customWidth="1"/>
    <col min="13832" max="13832" width="15.5703125" style="55" customWidth="1"/>
    <col min="13833" max="13833" width="10.5703125" style="55" customWidth="1"/>
    <col min="13834" max="14080" width="9.140625" style="55" customWidth="1"/>
    <col min="14081" max="14081" width="20.42578125" style="55" customWidth="1"/>
    <col min="14082" max="14082" width="12" style="55" bestFit="1" customWidth="1"/>
    <col min="14083" max="14083" width="9.140625" style="55" customWidth="1"/>
    <col min="14084" max="14084" width="11.140625" style="55" customWidth="1"/>
    <col min="14085" max="14085" width="10.140625" style="55" customWidth="1"/>
    <col min="14086" max="14087" width="9.140625" style="55" customWidth="1"/>
    <col min="14088" max="14088" width="15.5703125" style="55" customWidth="1"/>
    <col min="14089" max="14089" width="10.5703125" style="55" customWidth="1"/>
    <col min="14090" max="14336" width="9.140625" style="55" customWidth="1"/>
    <col min="14337" max="14337" width="20.42578125" style="55" customWidth="1"/>
    <col min="14338" max="14338" width="12" style="55" bestFit="1" customWidth="1"/>
    <col min="14339" max="14339" width="9.140625" style="55" customWidth="1"/>
    <col min="14340" max="14340" width="11.140625" style="55" customWidth="1"/>
    <col min="14341" max="14341" width="10.140625" style="55" customWidth="1"/>
    <col min="14342" max="14343" width="9.140625" style="55" customWidth="1"/>
    <col min="14344" max="14344" width="15.5703125" style="55" customWidth="1"/>
    <col min="14345" max="14345" width="10.5703125" style="55" customWidth="1"/>
    <col min="14346" max="14592" width="9.140625" style="55" customWidth="1"/>
    <col min="14593" max="14593" width="20.42578125" style="55" customWidth="1"/>
    <col min="14594" max="14594" width="12" style="55" bestFit="1" customWidth="1"/>
    <col min="14595" max="14595" width="9.140625" style="55" customWidth="1"/>
    <col min="14596" max="14596" width="11.140625" style="55" customWidth="1"/>
    <col min="14597" max="14597" width="10.140625" style="55" customWidth="1"/>
    <col min="14598" max="14599" width="9.140625" style="55" customWidth="1"/>
    <col min="14600" max="14600" width="15.5703125" style="55" customWidth="1"/>
    <col min="14601" max="14601" width="10.5703125" style="55" customWidth="1"/>
    <col min="14602" max="14848" width="9.140625" style="55" customWidth="1"/>
    <col min="14849" max="14849" width="20.42578125" style="55" customWidth="1"/>
    <col min="14850" max="14850" width="12" style="55" bestFit="1" customWidth="1"/>
    <col min="14851" max="14851" width="9.140625" style="55" customWidth="1"/>
    <col min="14852" max="14852" width="11.140625" style="55" customWidth="1"/>
    <col min="14853" max="14853" width="10.140625" style="55" customWidth="1"/>
    <col min="14854" max="14855" width="9.140625" style="55" customWidth="1"/>
    <col min="14856" max="14856" width="15.5703125" style="55" customWidth="1"/>
    <col min="14857" max="14857" width="10.5703125" style="55" customWidth="1"/>
    <col min="14858" max="15104" width="9.140625" style="55" customWidth="1"/>
    <col min="15105" max="15105" width="20.42578125" style="55" customWidth="1"/>
    <col min="15106" max="15106" width="12" style="55" bestFit="1" customWidth="1"/>
    <col min="15107" max="15107" width="9.140625" style="55" customWidth="1"/>
    <col min="15108" max="15108" width="11.140625" style="55" customWidth="1"/>
    <col min="15109" max="15109" width="10.140625" style="55" customWidth="1"/>
    <col min="15110" max="15111" width="9.140625" style="55" customWidth="1"/>
    <col min="15112" max="15112" width="15.5703125" style="55" customWidth="1"/>
    <col min="15113" max="15113" width="10.5703125" style="55" customWidth="1"/>
    <col min="15114" max="15360" width="9.140625" style="55" customWidth="1"/>
    <col min="15361" max="15361" width="20.42578125" style="55" customWidth="1"/>
    <col min="15362" max="15362" width="12" style="55" bestFit="1" customWidth="1"/>
    <col min="15363" max="15363" width="9.140625" style="55" customWidth="1"/>
    <col min="15364" max="15364" width="11.140625" style="55" customWidth="1"/>
    <col min="15365" max="15365" width="10.140625" style="55" customWidth="1"/>
    <col min="15366" max="15367" width="9.140625" style="55" customWidth="1"/>
    <col min="15368" max="15368" width="15.5703125" style="55" customWidth="1"/>
    <col min="15369" max="15369" width="10.5703125" style="55" customWidth="1"/>
    <col min="15370" max="15616" width="9.140625" style="55" customWidth="1"/>
    <col min="15617" max="15617" width="20.42578125" style="55" customWidth="1"/>
    <col min="15618" max="15618" width="12" style="55" bestFit="1" customWidth="1"/>
    <col min="15619" max="15619" width="9.140625" style="55" customWidth="1"/>
    <col min="15620" max="15620" width="11.140625" style="55" customWidth="1"/>
    <col min="15621" max="15621" width="10.140625" style="55" customWidth="1"/>
    <col min="15622" max="15623" width="9.140625" style="55" customWidth="1"/>
    <col min="15624" max="15624" width="15.5703125" style="55" customWidth="1"/>
    <col min="15625" max="15625" width="10.5703125" style="55" customWidth="1"/>
    <col min="15626" max="15872" width="9.140625" style="55" customWidth="1"/>
    <col min="15873" max="15873" width="20.42578125" style="55" customWidth="1"/>
    <col min="15874" max="15874" width="12" style="55" bestFit="1" customWidth="1"/>
    <col min="15875" max="15875" width="9.140625" style="55" customWidth="1"/>
    <col min="15876" max="15876" width="11.140625" style="55" customWidth="1"/>
    <col min="15877" max="15877" width="10.140625" style="55" customWidth="1"/>
    <col min="15878" max="15879" width="9.140625" style="55" customWidth="1"/>
    <col min="15880" max="15880" width="15.5703125" style="55" customWidth="1"/>
    <col min="15881" max="15881" width="10.5703125" style="55" customWidth="1"/>
    <col min="15882" max="16128" width="9.140625" style="55" customWidth="1"/>
    <col min="16129" max="16129" width="20.42578125" style="55" customWidth="1"/>
    <col min="16130" max="16130" width="12" style="55" bestFit="1" customWidth="1"/>
    <col min="16131" max="16131" width="9.140625" style="55" customWidth="1"/>
    <col min="16132" max="16132" width="11.140625" style="55" customWidth="1"/>
    <col min="16133" max="16133" width="10.140625" style="55" customWidth="1"/>
    <col min="16134" max="16135" width="9.140625" style="55" customWidth="1"/>
    <col min="16136" max="16136" width="15.5703125" style="55" customWidth="1"/>
    <col min="16137" max="16137" width="10.5703125" style="55" customWidth="1"/>
    <col min="16138" max="16384" width="9.140625" style="55" customWidth="1"/>
  </cols>
  <sheetData>
    <row r="1" spans="1:22" x14ac:dyDescent="0.2">
      <c r="G1" s="55"/>
    </row>
    <row r="2" spans="1:22" x14ac:dyDescent="0.2">
      <c r="A2" s="254" t="s">
        <v>320</v>
      </c>
      <c r="B2" s="63"/>
      <c r="C2" s="63"/>
      <c r="D2" s="63"/>
      <c r="E2" s="63"/>
      <c r="F2" s="63"/>
      <c r="G2" s="63"/>
      <c r="N2" s="63"/>
      <c r="P2" s="244" t="s">
        <v>305</v>
      </c>
      <c r="Q2" s="245"/>
      <c r="R2" s="245"/>
      <c r="S2" s="245"/>
      <c r="T2" s="245"/>
      <c r="U2" s="245"/>
      <c r="V2" s="245"/>
    </row>
    <row r="3" spans="1:22" x14ac:dyDescent="0.2">
      <c r="A3" s="55" t="s">
        <v>321</v>
      </c>
      <c r="G3" s="55"/>
      <c r="N3" s="63"/>
      <c r="P3" s="181" t="s">
        <v>455</v>
      </c>
      <c r="Q3" s="181"/>
      <c r="R3" s="181"/>
      <c r="S3" s="181"/>
      <c r="T3" s="181"/>
      <c r="U3" s="181"/>
    </row>
    <row r="4" spans="1:22" ht="15" x14ac:dyDescent="0.25">
      <c r="A4" s="253"/>
      <c r="G4" s="55"/>
      <c r="H4" s="314"/>
      <c r="I4" s="314"/>
      <c r="J4" s="314"/>
      <c r="K4" s="314"/>
      <c r="L4" s="314"/>
      <c r="M4" s="314"/>
      <c r="N4" s="63"/>
      <c r="P4" s="181"/>
      <c r="Q4" s="181"/>
      <c r="R4" s="181"/>
      <c r="S4" s="181"/>
      <c r="T4" s="181"/>
      <c r="U4" s="181"/>
    </row>
    <row r="5" spans="1:22" x14ac:dyDescent="0.2">
      <c r="A5" s="51" t="s">
        <v>271</v>
      </c>
      <c r="B5" s="57">
        <v>4</v>
      </c>
      <c r="F5" s="52" t="s">
        <v>142</v>
      </c>
      <c r="G5" s="52" t="s">
        <v>143</v>
      </c>
      <c r="H5" s="315" t="s">
        <v>144</v>
      </c>
      <c r="I5" s="315" t="s">
        <v>145</v>
      </c>
      <c r="J5" s="315" t="s">
        <v>146</v>
      </c>
      <c r="K5" s="315" t="s">
        <v>147</v>
      </c>
      <c r="L5" s="315" t="s">
        <v>148</v>
      </c>
      <c r="M5" s="315" t="s">
        <v>149</v>
      </c>
      <c r="N5" s="63"/>
      <c r="P5" s="431" t="s">
        <v>324</v>
      </c>
      <c r="Q5" s="432"/>
      <c r="R5" s="181"/>
      <c r="S5" s="181"/>
      <c r="T5" s="181"/>
      <c r="U5" s="181"/>
    </row>
    <row r="6" spans="1:22" x14ac:dyDescent="0.2">
      <c r="F6" s="216">
        <f t="shared" ref="F6:F69" si="0">IF(AND(ROW()&gt;=$D$8,ROW()&lt;=$E$8),1,IF(AND(ROW()&gt;=$D$9,ROW()&lt;=$E$9),2,IF(AND(ROW()&gt;=$D$10,ROW()&lt;=$E$10),3,IF(AND(ROW()&gt;=$D$11,ROW()&lt;=$E$11),4,IF(AND(ROW()&gt;=$D$12,ROW()&lt;=$E$12),5,IF(AND(ROW()&gt;=$D$13,ROW()&lt;=$E$13),6," "))))))</f>
        <v>2</v>
      </c>
      <c r="G6" s="50">
        <v>14</v>
      </c>
      <c r="H6" s="316">
        <f ca="1">IF(F6=1,PERCENTILE(INDIRECT("g"&amp;$D$8):INDIRECT("g"&amp;$E$8),0.5),IF(F6=2,PERCENTILE(INDIRECT("g"&amp;$D$9):INDIRECT("g"&amp;$E$9),0.5),IF(F6=3,PERCENTILE(INDIRECT("g"&amp;$D$10):INDIRECT("g"&amp;$E$10),0.5),IF(F6=4,PERCENTILE(INDIRECT("g"&amp;$D$11):INDIRECT("g"&amp;$E$11),0.5),IF(F6=5,PERCENTILE(INDIRECT("g"&amp;$D$12):INDIRECT("g"&amp;$E$12),0.5),IF(F6=6,PERCENTILE(INDIRECT("g"&amp;$D$13):INDIRECT("g"&amp;$E$13),0.5)," "))))))</f>
        <v>16</v>
      </c>
      <c r="I6" s="316">
        <f t="shared" ref="I6:I69" ca="1" si="1">IF(ROW()&lt;=MAX($E$8:$E$13),ABS(G6-H6)," ")</f>
        <v>2</v>
      </c>
      <c r="J6" s="316">
        <f ca="1">IF(F6=1,AVERAGE(INDIRECT("I"&amp;$D$8):INDIRECT("I"&amp;$E$8)),IF(F6=2,AVERAGE(INDIRECT("I"&amp;$D$9):INDIRECT("I"&amp;$E$9)),IF(F6=3,AVERAGE(INDIRECT("I"&amp;$D$10):INDIRECT("I"&amp;$E$10)),IF(F6=4,AVERAGE(INDIRECT("I"&amp;$D$11):INDIRECT("I"&amp;$E$11)),IF(F6=5,AVERAGE(INDIRECT("I"&amp;$D$12):INDIRECT("I"&amp;$E$12)),IF(F6=6,AVERAGE(INDIRECT("I"&amp;$D$13):INDIRECT("I"&amp;$E$13))," "))))))</f>
        <v>2.4</v>
      </c>
      <c r="K6" s="316">
        <f t="shared" ref="K6:K69" ca="1" si="2">IF(ROW()&lt;=MAX($E$8:$E$13),AVERAGE($I$6:$I$1005)," ")</f>
        <v>2.6666666666666665</v>
      </c>
      <c r="L6" s="316">
        <f t="shared" ref="L6:L69" ca="1" si="3">IF(ROW()&lt;=MAX($E$8:$E$13),(I6-J6)^2," ")</f>
        <v>0.15999999999999992</v>
      </c>
      <c r="M6" s="316">
        <f t="shared" ref="M6:M69" ca="1" si="4">IF(ROW()&lt;=MAX($E$8:$E$13),(J6-K6)^2," ")</f>
        <v>7.1111111111111083E-2</v>
      </c>
      <c r="N6" s="63"/>
      <c r="P6" s="194" t="s">
        <v>322</v>
      </c>
      <c r="Q6" s="246">
        <v>0.05</v>
      </c>
      <c r="R6" s="181"/>
      <c r="S6" s="181"/>
      <c r="T6" s="181"/>
      <c r="U6" s="181"/>
    </row>
    <row r="7" spans="1:22" x14ac:dyDescent="0.2">
      <c r="A7" s="102" t="s">
        <v>150</v>
      </c>
      <c r="B7" s="102" t="s">
        <v>160</v>
      </c>
      <c r="C7" s="255" t="s">
        <v>151</v>
      </c>
      <c r="D7" s="255" t="s">
        <v>152</v>
      </c>
      <c r="E7" s="255" t="s">
        <v>153</v>
      </c>
      <c r="F7" s="216">
        <f t="shared" si="0"/>
        <v>2</v>
      </c>
      <c r="G7" s="50">
        <v>19</v>
      </c>
      <c r="H7" s="316">
        <f ca="1">IF(F7=1,PERCENTILE(INDIRECT("g"&amp;$D$8):INDIRECT("g"&amp;$E$8),0.5),IF(F7=2,PERCENTILE(INDIRECT("g"&amp;$D$9):INDIRECT("g"&amp;$E$9),0.5),IF(F7=3,PERCENTILE(INDIRECT("g"&amp;$D$10):INDIRECT("g"&amp;$E$10),0.5),IF(F7=4,PERCENTILE(INDIRECT("g"&amp;$D$11):INDIRECT("g"&amp;$E$11),0.5),IF(F7=5,PERCENTILE(INDIRECT("g"&amp;$D$12):INDIRECT("g"&amp;$E$12),0.5),IF(F7=6,PERCENTILE(INDIRECT("g"&amp;$D$13):INDIRECT("g"&amp;$E$13),0.5)," "))))))</f>
        <v>16</v>
      </c>
      <c r="I7" s="316">
        <f t="shared" ca="1" si="1"/>
        <v>3</v>
      </c>
      <c r="J7" s="316">
        <f ca="1">IF(F7=1,AVERAGE(INDIRECT("I"&amp;$D$8):INDIRECT("I"&amp;$E$8)),IF(F7=2,AVERAGE(INDIRECT("I"&amp;$D$9):INDIRECT("I"&amp;$E$9)),IF(F7=3,AVERAGE(INDIRECT("I"&amp;$D$10):INDIRECT("I"&amp;$E$10)),IF(F7=4,AVERAGE(INDIRECT("I"&amp;$D$11):INDIRECT("I"&amp;$E$11)),IF(F7=5,AVERAGE(INDIRECT("I"&amp;$D$12):INDIRECT("I"&amp;$E$12)),IF(F7=6,AVERAGE(INDIRECT("I"&amp;$D$13):INDIRECT("I"&amp;$E$13))," "))))))</f>
        <v>2.4</v>
      </c>
      <c r="K7" s="316">
        <f t="shared" ca="1" si="2"/>
        <v>2.6666666666666665</v>
      </c>
      <c r="L7" s="316">
        <f t="shared" ca="1" si="3"/>
        <v>0.3600000000000001</v>
      </c>
      <c r="M7" s="316">
        <f t="shared" ca="1" si="4"/>
        <v>7.1111111111111083E-2</v>
      </c>
      <c r="N7" s="63"/>
      <c r="P7" s="194" t="s">
        <v>174</v>
      </c>
      <c r="Q7" s="247">
        <v>27</v>
      </c>
      <c r="R7" s="181"/>
      <c r="S7" s="181"/>
      <c r="T7" s="181"/>
      <c r="U7" s="181"/>
    </row>
    <row r="8" spans="1:22" x14ac:dyDescent="0.2">
      <c r="A8" s="52">
        <f>IF($B$5&gt;=1,1," ")</f>
        <v>1</v>
      </c>
      <c r="B8" s="57">
        <v>4</v>
      </c>
      <c r="C8" s="255">
        <v>0</v>
      </c>
      <c r="D8" s="255">
        <f>IF($B$5&gt;=A8,2," ")</f>
        <v>2</v>
      </c>
      <c r="E8" s="255">
        <f>IF($B$5&gt;=A8,1+SUM($B$8:B8)," ")</f>
        <v>5</v>
      </c>
      <c r="F8" s="216">
        <f t="shared" si="0"/>
        <v>2</v>
      </c>
      <c r="G8" s="50">
        <v>16</v>
      </c>
      <c r="H8" s="316">
        <f ca="1">IF(F8=1,PERCENTILE(INDIRECT("g"&amp;$D$8):INDIRECT("g"&amp;$E$8),0.5),IF(F8=2,PERCENTILE(INDIRECT("g"&amp;$D$9):INDIRECT("g"&amp;$E$9),0.5),IF(F8=3,PERCENTILE(INDIRECT("g"&amp;$D$10):INDIRECT("g"&amp;$E$10),0.5),IF(F8=4,PERCENTILE(INDIRECT("g"&amp;$D$11):INDIRECT("g"&amp;$E$11),0.5),IF(F8=5,PERCENTILE(INDIRECT("g"&amp;$D$12):INDIRECT("g"&amp;$E$12),0.5),IF(F8=6,PERCENTILE(INDIRECT("g"&amp;$D$13):INDIRECT("g"&amp;$E$13),0.5)," "))))))</f>
        <v>16</v>
      </c>
      <c r="I8" s="316">
        <f t="shared" ca="1" si="1"/>
        <v>0</v>
      </c>
      <c r="J8" s="316">
        <f ca="1">IF(F8=1,AVERAGE(INDIRECT("I"&amp;$D$8):INDIRECT("I"&amp;$E$8)),IF(F8=2,AVERAGE(INDIRECT("I"&amp;$D$9):INDIRECT("I"&amp;$E$9)),IF(F8=3,AVERAGE(INDIRECT("I"&amp;$D$10):INDIRECT("I"&amp;$E$10)),IF(F8=4,AVERAGE(INDIRECT("I"&amp;$D$11):INDIRECT("I"&amp;$E$11)),IF(F8=5,AVERAGE(INDIRECT("I"&amp;$D$12):INDIRECT("I"&amp;$E$12)),IF(F8=6,AVERAGE(INDIRECT("I"&amp;$D$13):INDIRECT("I"&amp;$E$13))," "))))))</f>
        <v>2.4</v>
      </c>
      <c r="K8" s="316">
        <f t="shared" ca="1" si="2"/>
        <v>2.6666666666666665</v>
      </c>
      <c r="L8" s="316">
        <f t="shared" ca="1" si="3"/>
        <v>5.76</v>
      </c>
      <c r="M8" s="316">
        <f t="shared" ca="1" si="4"/>
        <v>7.1111111111111083E-2</v>
      </c>
      <c r="N8" s="63"/>
      <c r="P8" s="194" t="s">
        <v>172</v>
      </c>
      <c r="Q8" s="247">
        <v>3</v>
      </c>
      <c r="R8" s="181"/>
      <c r="S8" s="181"/>
      <c r="T8" s="181"/>
      <c r="U8" s="181"/>
    </row>
    <row r="9" spans="1:22" x14ac:dyDescent="0.2">
      <c r="A9" s="52">
        <f>IF($B$5&gt;=2,2," ")</f>
        <v>2</v>
      </c>
      <c r="B9" s="57">
        <v>5</v>
      </c>
      <c r="C9" s="255">
        <f>IF(A9&lt;=$B$5,SUM($B$8:B9)," ")</f>
        <v>9</v>
      </c>
      <c r="D9" s="255">
        <f>IF($B$5&gt;=A9,1+SUM($B$8:B8)+1," ")</f>
        <v>6</v>
      </c>
      <c r="E9" s="255">
        <f>IF($B$5&gt;=A9,1+SUM($B$8:B9)," ")</f>
        <v>10</v>
      </c>
      <c r="F9" s="216">
        <f t="shared" si="0"/>
        <v>2</v>
      </c>
      <c r="G9" s="50">
        <v>20</v>
      </c>
      <c r="H9" s="316">
        <f ca="1">IF(F9=1,PERCENTILE(INDIRECT("g"&amp;$D$8):INDIRECT("g"&amp;$E$8),0.5),IF(F9=2,PERCENTILE(INDIRECT("g"&amp;$D$9):INDIRECT("g"&amp;$E$9),0.5),IF(F9=3,PERCENTILE(INDIRECT("g"&amp;$D$10):INDIRECT("g"&amp;$E$10),0.5),IF(F9=4,PERCENTILE(INDIRECT("g"&amp;$D$11):INDIRECT("g"&amp;$E$11),0.5),IF(F9=5,PERCENTILE(INDIRECT("g"&amp;$D$12):INDIRECT("g"&amp;$E$12),0.5),IF(F9=6,PERCENTILE(INDIRECT("g"&amp;$D$13):INDIRECT("g"&amp;$E$13),0.5)," "))))))</f>
        <v>16</v>
      </c>
      <c r="I9" s="316">
        <f t="shared" ca="1" si="1"/>
        <v>4</v>
      </c>
      <c r="J9" s="316">
        <f ca="1">IF(F9=1,AVERAGE(INDIRECT("I"&amp;$D$8):INDIRECT("I"&amp;$E$8)),IF(F9=2,AVERAGE(INDIRECT("I"&amp;$D$9):INDIRECT("I"&amp;$E$9)),IF(F9=3,AVERAGE(INDIRECT("I"&amp;$D$10):INDIRECT("I"&amp;$E$10)),IF(F9=4,AVERAGE(INDIRECT("I"&amp;$D$11):INDIRECT("I"&amp;$E$11)),IF(F9=5,AVERAGE(INDIRECT("I"&amp;$D$12):INDIRECT("I"&amp;$E$12)),IF(F9=6,AVERAGE(INDIRECT("I"&amp;$D$13):INDIRECT("I"&amp;$E$13))," "))))))</f>
        <v>2.4</v>
      </c>
      <c r="K9" s="316">
        <f t="shared" ca="1" si="2"/>
        <v>2.6666666666666665</v>
      </c>
      <c r="L9" s="316">
        <f t="shared" ca="1" si="3"/>
        <v>2.5600000000000005</v>
      </c>
      <c r="M9" s="316">
        <f t="shared" ca="1" si="4"/>
        <v>7.1111111111111083E-2</v>
      </c>
      <c r="N9" s="63"/>
      <c r="P9" s="181"/>
      <c r="Q9" s="181"/>
      <c r="R9" s="181"/>
      <c r="S9" s="181"/>
      <c r="T9" s="181"/>
      <c r="U9" s="181"/>
    </row>
    <row r="10" spans="1:22" x14ac:dyDescent="0.2">
      <c r="A10" s="52">
        <f>IF($B$5&gt;=3,3," ")</f>
        <v>3</v>
      </c>
      <c r="B10" s="57">
        <v>6</v>
      </c>
      <c r="C10" s="255">
        <f>IF(A10&lt;=$B$5,SUM($B$8:B10)," ")</f>
        <v>15</v>
      </c>
      <c r="D10" s="255">
        <f>IF($B$5&gt;=A10,1+SUM($B$8:B9)+1," ")</f>
        <v>11</v>
      </c>
      <c r="E10" s="255">
        <f>IF($B$5&gt;=A10,1+SUM($B$8:B10)," ")</f>
        <v>16</v>
      </c>
      <c r="F10" s="216">
        <f t="shared" si="0"/>
        <v>2</v>
      </c>
      <c r="G10" s="50">
        <v>13</v>
      </c>
      <c r="H10" s="316">
        <f ca="1">IF(F10=1,PERCENTILE(INDIRECT("g"&amp;$D$8):INDIRECT("g"&amp;$E$8),0.5),IF(F10=2,PERCENTILE(INDIRECT("g"&amp;$D$9):INDIRECT("g"&amp;$E$9),0.5),IF(F10=3,PERCENTILE(INDIRECT("g"&amp;$D$10):INDIRECT("g"&amp;$E$10),0.5),IF(F10=4,PERCENTILE(INDIRECT("g"&amp;$D$11):INDIRECT("g"&amp;$E$11),0.5),IF(F10=5,PERCENTILE(INDIRECT("g"&amp;$D$12):INDIRECT("g"&amp;$E$12),0.5),IF(F10=6,PERCENTILE(INDIRECT("g"&amp;$D$13):INDIRECT("g"&amp;$E$13),0.5)," "))))))</f>
        <v>16</v>
      </c>
      <c r="I10" s="316">
        <f t="shared" ca="1" si="1"/>
        <v>3</v>
      </c>
      <c r="J10" s="316">
        <f ca="1">IF(F10=1,AVERAGE(INDIRECT("I"&amp;$D$8):INDIRECT("I"&amp;$E$8)),IF(F10=2,AVERAGE(INDIRECT("I"&amp;$D$9):INDIRECT("I"&amp;$E$9)),IF(F10=3,AVERAGE(INDIRECT("I"&amp;$D$10):INDIRECT("I"&amp;$E$10)),IF(F10=4,AVERAGE(INDIRECT("I"&amp;$D$11):INDIRECT("I"&amp;$E$11)),IF(F10=5,AVERAGE(INDIRECT("I"&amp;$D$12):INDIRECT("I"&amp;$E$12)),IF(F10=6,AVERAGE(INDIRECT("I"&amp;$D$13):INDIRECT("I"&amp;$E$13))," "))))))</f>
        <v>2.4</v>
      </c>
      <c r="K10" s="316">
        <f t="shared" ca="1" si="2"/>
        <v>2.6666666666666665</v>
      </c>
      <c r="L10" s="316">
        <f t="shared" ca="1" si="3"/>
        <v>0.3600000000000001</v>
      </c>
      <c r="M10" s="316">
        <f t="shared" ca="1" si="4"/>
        <v>7.1111111111111083E-2</v>
      </c>
      <c r="N10" s="63"/>
      <c r="P10" s="237" t="s">
        <v>175</v>
      </c>
      <c r="Q10" s="248">
        <v>12</v>
      </c>
      <c r="R10" s="181"/>
      <c r="S10" s="181"/>
      <c r="T10" s="181"/>
      <c r="U10" s="181"/>
    </row>
    <row r="11" spans="1:22" x14ac:dyDescent="0.2">
      <c r="A11" s="52">
        <f>IF($B$5&gt;=4,4," ")</f>
        <v>4</v>
      </c>
      <c r="B11" s="57">
        <v>4</v>
      </c>
      <c r="C11" s="255">
        <f>IF(A11&lt;=$B$5,SUM($B$8:B11)," ")</f>
        <v>19</v>
      </c>
      <c r="D11" s="255">
        <f>IF($B$5&gt;=A11,1+SUM($B$8:B10)+1," ")</f>
        <v>17</v>
      </c>
      <c r="E11" s="255">
        <f>IF($B$5&gt;=A11,1+SUM($B$8:B11)," ")</f>
        <v>20</v>
      </c>
      <c r="F11" s="216">
        <f t="shared" si="0"/>
        <v>3</v>
      </c>
      <c r="G11" s="50">
        <v>14</v>
      </c>
      <c r="H11" s="316">
        <f ca="1">IF(F11=1,PERCENTILE(INDIRECT("g"&amp;$D$8):INDIRECT("g"&amp;$E$8),0.5),IF(F11=2,PERCENTILE(INDIRECT("g"&amp;$D$9):INDIRECT("g"&amp;$E$9),0.5),IF(F11=3,PERCENTILE(INDIRECT("g"&amp;$D$10):INDIRECT("g"&amp;$E$10),0.5),IF(F11=4,PERCENTILE(INDIRECT("g"&amp;$D$11):INDIRECT("g"&amp;$E$11),0.5),IF(F11=5,PERCENTILE(INDIRECT("g"&amp;$D$12):INDIRECT("g"&amp;$E$12),0.5),IF(F11=6,PERCENTILE(INDIRECT("g"&amp;$D$13):INDIRECT("g"&amp;$E$13),0.5)," "))))))</f>
        <v>14</v>
      </c>
      <c r="I11" s="316">
        <f t="shared" ca="1" si="1"/>
        <v>0</v>
      </c>
      <c r="J11" s="316">
        <f ca="1">IF(F11=1,AVERAGE(INDIRECT("I"&amp;$D$8):INDIRECT("I"&amp;$E$8)),IF(F11=2,AVERAGE(INDIRECT("I"&amp;$D$9):INDIRECT("I"&amp;$E$9)),IF(F11=3,AVERAGE(INDIRECT("I"&amp;$D$10):INDIRECT("I"&amp;$E$10)),IF(F11=4,AVERAGE(INDIRECT("I"&amp;$D$11):INDIRECT("I"&amp;$E$11)),IF(F11=5,AVERAGE(INDIRECT("I"&amp;$D$12):INDIRECT("I"&amp;$E$12)),IF(F11=6,AVERAGE(INDIRECT("I"&amp;$D$13):INDIRECT("I"&amp;$E$13))," "))))))</f>
        <v>2.6666666666666665</v>
      </c>
      <c r="K11" s="316">
        <f t="shared" ca="1" si="2"/>
        <v>2.6666666666666665</v>
      </c>
      <c r="L11" s="316">
        <f t="shared" ca="1" si="3"/>
        <v>7.1111111111111107</v>
      </c>
      <c r="M11" s="316">
        <f t="shared" ca="1" si="4"/>
        <v>0</v>
      </c>
      <c r="N11" s="63"/>
      <c r="P11" s="237" t="s">
        <v>176</v>
      </c>
      <c r="Q11" s="248">
        <v>89</v>
      </c>
      <c r="R11" s="181"/>
      <c r="S11" s="181"/>
      <c r="T11" s="181"/>
      <c r="U11" s="181"/>
    </row>
    <row r="12" spans="1:22" x14ac:dyDescent="0.2">
      <c r="A12" s="52" t="str">
        <f>IF($B$5&gt;=5,5," ")</f>
        <v xml:space="preserve"> </v>
      </c>
      <c r="B12" s="57"/>
      <c r="C12" s="255"/>
      <c r="D12" s="255" t="str">
        <f>IF($B$5&gt;=A12,1+SUM($B$8:B11)+1," ")</f>
        <v xml:space="preserve"> </v>
      </c>
      <c r="E12" s="255" t="str">
        <f>IF($B$5&gt;=A12,1+SUM($B$8:B12)," ")</f>
        <v xml:space="preserve"> </v>
      </c>
      <c r="F12" s="216">
        <f t="shared" si="0"/>
        <v>3</v>
      </c>
      <c r="G12" s="50">
        <v>19</v>
      </c>
      <c r="H12" s="316">
        <f ca="1">IF(F12=1,PERCENTILE(INDIRECT("g"&amp;$D$8):INDIRECT("g"&amp;$E$8),0.5),IF(F12=2,PERCENTILE(INDIRECT("g"&amp;$D$9):INDIRECT("g"&amp;$E$9),0.5),IF(F12=3,PERCENTILE(INDIRECT("g"&amp;$D$10):INDIRECT("g"&amp;$E$10),0.5),IF(F12=4,PERCENTILE(INDIRECT("g"&amp;$D$11):INDIRECT("g"&amp;$E$11),0.5),IF(F12=5,PERCENTILE(INDIRECT("g"&amp;$D$12):INDIRECT("g"&amp;$E$12),0.5),IF(F12=6,PERCENTILE(INDIRECT("g"&amp;$D$13):INDIRECT("g"&amp;$E$13),0.5)," "))))))</f>
        <v>14</v>
      </c>
      <c r="I12" s="316">
        <f t="shared" ca="1" si="1"/>
        <v>5</v>
      </c>
      <c r="J12" s="316">
        <f ca="1">IF(F12=1,AVERAGE(INDIRECT("I"&amp;$D$8):INDIRECT("I"&amp;$E$8)),IF(F12=2,AVERAGE(INDIRECT("I"&amp;$D$9):INDIRECT("I"&amp;$E$9)),IF(F12=3,AVERAGE(INDIRECT("I"&amp;$D$10):INDIRECT("I"&amp;$E$10)),IF(F12=4,AVERAGE(INDIRECT("I"&amp;$D$11):INDIRECT("I"&amp;$E$11)),IF(F12=5,AVERAGE(INDIRECT("I"&amp;$D$12):INDIRECT("I"&amp;$E$12)),IF(F12=6,AVERAGE(INDIRECT("I"&amp;$D$13):INDIRECT("I"&amp;$E$13))," "))))))</f>
        <v>2.6666666666666665</v>
      </c>
      <c r="K12" s="316">
        <f t="shared" ca="1" si="2"/>
        <v>2.6666666666666665</v>
      </c>
      <c r="L12" s="316">
        <f t="shared" ca="1" si="3"/>
        <v>5.4444444444444455</v>
      </c>
      <c r="M12" s="316">
        <f t="shared" ca="1" si="4"/>
        <v>0</v>
      </c>
      <c r="N12" s="63"/>
      <c r="P12" s="237" t="s">
        <v>177</v>
      </c>
      <c r="Q12" s="196">
        <f>Q10/Q11</f>
        <v>0.1348314606741573</v>
      </c>
      <c r="R12" s="181"/>
      <c r="S12" s="181"/>
      <c r="T12" s="181"/>
      <c r="U12" s="181"/>
    </row>
    <row r="13" spans="1:22" x14ac:dyDescent="0.2">
      <c r="A13" s="52" t="str">
        <f>IF($B$5&gt;=6,6," ")</f>
        <v xml:space="preserve"> </v>
      </c>
      <c r="B13" s="57"/>
      <c r="C13" s="242" t="str">
        <f>IF(A13&lt;=$B$5,SUM($B$8:B13)," ")</f>
        <v xml:space="preserve"> </v>
      </c>
      <c r="D13" s="242" t="str">
        <f>IF($B$5&gt;=A13,1+SUM($B$8:B12)+1," ")</f>
        <v xml:space="preserve"> </v>
      </c>
      <c r="E13" s="242" t="str">
        <f>IF($B$5&gt;=A13,1+SUM($B$8:B13)," ")</f>
        <v xml:space="preserve"> </v>
      </c>
      <c r="F13" s="216">
        <f t="shared" si="0"/>
        <v>3</v>
      </c>
      <c r="G13" s="50">
        <v>14</v>
      </c>
      <c r="H13" s="316">
        <f ca="1">IF(F13=1,PERCENTILE(INDIRECT("g"&amp;$D$8):INDIRECT("g"&amp;$E$8),0.5),IF(F13=2,PERCENTILE(INDIRECT("g"&amp;$D$9):INDIRECT("g"&amp;$E$9),0.5),IF(F13=3,PERCENTILE(INDIRECT("g"&amp;$D$10):INDIRECT("g"&amp;$E$10),0.5),IF(F13=4,PERCENTILE(INDIRECT("g"&amp;$D$11):INDIRECT("g"&amp;$E$11),0.5),IF(F13=5,PERCENTILE(INDIRECT("g"&amp;$D$12):INDIRECT("g"&amp;$E$12),0.5),IF(F13=6,PERCENTILE(INDIRECT("g"&amp;$D$13):INDIRECT("g"&amp;$E$13),0.5)," "))))))</f>
        <v>14</v>
      </c>
      <c r="I13" s="316">
        <f t="shared" ca="1" si="1"/>
        <v>0</v>
      </c>
      <c r="J13" s="316">
        <f ca="1">IF(F13=1,AVERAGE(INDIRECT("I"&amp;$D$8):INDIRECT("I"&amp;$E$8)),IF(F13=2,AVERAGE(INDIRECT("I"&amp;$D$9):INDIRECT("I"&amp;$E$9)),IF(F13=3,AVERAGE(INDIRECT("I"&amp;$D$10):INDIRECT("I"&amp;$E$10)),IF(F13=4,AVERAGE(INDIRECT("I"&amp;$D$11):INDIRECT("I"&amp;$E$11)),IF(F13=5,AVERAGE(INDIRECT("I"&amp;$D$12):INDIRECT("I"&amp;$E$12)),IF(F13=6,AVERAGE(INDIRECT("I"&amp;$D$13):INDIRECT("I"&amp;$E$13))," "))))))</f>
        <v>2.6666666666666665</v>
      </c>
      <c r="K13" s="316">
        <f t="shared" ca="1" si="2"/>
        <v>2.6666666666666665</v>
      </c>
      <c r="L13" s="316">
        <f t="shared" ca="1" si="3"/>
        <v>7.1111111111111107</v>
      </c>
      <c r="M13" s="316">
        <f t="shared" ca="1" si="4"/>
        <v>0</v>
      </c>
      <c r="N13" s="63"/>
      <c r="P13" s="237" t="s">
        <v>15</v>
      </c>
      <c r="Q13" s="236">
        <f>1/((1+(Q7-1)/FINV(Q6/Q7,Q8-1,(Q7-1)*(Q8-1))))</f>
        <v>0.21493081273839829</v>
      </c>
      <c r="R13" s="181"/>
      <c r="S13" s="181"/>
      <c r="T13" s="181"/>
      <c r="U13" s="181"/>
    </row>
    <row r="14" spans="1:22" x14ac:dyDescent="0.2">
      <c r="F14" s="216">
        <f t="shared" si="0"/>
        <v>3</v>
      </c>
      <c r="G14" s="50">
        <v>17</v>
      </c>
      <c r="H14" s="316">
        <f ca="1">IF(F14=1,PERCENTILE(INDIRECT("g"&amp;$D$8):INDIRECT("g"&amp;$E$8),0.5),IF(F14=2,PERCENTILE(INDIRECT("g"&amp;$D$9):INDIRECT("g"&amp;$E$9),0.5),IF(F14=3,PERCENTILE(INDIRECT("g"&amp;$D$10):INDIRECT("g"&amp;$E$10),0.5),IF(F14=4,PERCENTILE(INDIRECT("g"&amp;$D$11):INDIRECT("g"&amp;$E$11),0.5),IF(F14=5,PERCENTILE(INDIRECT("g"&amp;$D$12):INDIRECT("g"&amp;$E$12),0.5),IF(F14=6,PERCENTILE(INDIRECT("g"&amp;$D$13):INDIRECT("g"&amp;$E$13),0.5)," "))))))</f>
        <v>14</v>
      </c>
      <c r="I14" s="316">
        <f t="shared" ca="1" si="1"/>
        <v>3</v>
      </c>
      <c r="J14" s="316">
        <f ca="1">IF(F14=1,AVERAGE(INDIRECT("I"&amp;$D$8):INDIRECT("I"&amp;$E$8)),IF(F14=2,AVERAGE(INDIRECT("I"&amp;$D$9):INDIRECT("I"&amp;$E$9)),IF(F14=3,AVERAGE(INDIRECT("I"&amp;$D$10):INDIRECT("I"&amp;$E$10)),IF(F14=4,AVERAGE(INDIRECT("I"&amp;$D$11):INDIRECT("I"&amp;$E$11)),IF(F14=5,AVERAGE(INDIRECT("I"&amp;$D$12):INDIRECT("I"&amp;$E$12)),IF(F14=6,AVERAGE(INDIRECT("I"&amp;$D$13):INDIRECT("I"&amp;$E$13))," "))))))</f>
        <v>2.6666666666666665</v>
      </c>
      <c r="K14" s="316">
        <f t="shared" ca="1" si="2"/>
        <v>2.6666666666666665</v>
      </c>
      <c r="L14" s="316">
        <f t="shared" ca="1" si="3"/>
        <v>0.11111111111111122</v>
      </c>
      <c r="M14" s="316">
        <f t="shared" ca="1" si="4"/>
        <v>0</v>
      </c>
      <c r="N14" s="63"/>
      <c r="P14" s="194" t="s">
        <v>46</v>
      </c>
      <c r="Q14" s="249" t="str">
        <f>IF(Q12&lt;=Q13,"homogeneity","heterogeneity")</f>
        <v>homogeneity</v>
      </c>
      <c r="R14" s="181"/>
      <c r="S14" s="181"/>
      <c r="T14" s="181"/>
      <c r="U14" s="181"/>
    </row>
    <row r="15" spans="1:22" x14ac:dyDescent="0.2">
      <c r="A15" s="51"/>
      <c r="B15" s="52" t="s">
        <v>154</v>
      </c>
      <c r="C15" s="52" t="s">
        <v>155</v>
      </c>
      <c r="F15" s="216">
        <f t="shared" si="0"/>
        <v>3</v>
      </c>
      <c r="G15" s="50">
        <v>10</v>
      </c>
      <c r="H15" s="316">
        <f ca="1">IF(F15=1,PERCENTILE(INDIRECT("g"&amp;$D$8):INDIRECT("g"&amp;$E$8),0.5),IF(F15=2,PERCENTILE(INDIRECT("g"&amp;$D$9):INDIRECT("g"&amp;$E$9),0.5),IF(F15=3,PERCENTILE(INDIRECT("g"&amp;$D$10):INDIRECT("g"&amp;$E$10),0.5),IF(F15=4,PERCENTILE(INDIRECT("g"&amp;$D$11):INDIRECT("g"&amp;$E$11),0.5),IF(F15=5,PERCENTILE(INDIRECT("g"&amp;$D$12):INDIRECT("g"&amp;$E$12),0.5),IF(F15=6,PERCENTILE(INDIRECT("g"&amp;$D$13):INDIRECT("g"&amp;$E$13),0.5)," "))))))</f>
        <v>14</v>
      </c>
      <c r="I15" s="316">
        <f t="shared" ca="1" si="1"/>
        <v>4</v>
      </c>
      <c r="J15" s="316">
        <f ca="1">IF(F15=1,AVERAGE(INDIRECT("I"&amp;$D$8):INDIRECT("I"&amp;$E$8)),IF(F15=2,AVERAGE(INDIRECT("I"&amp;$D$9):INDIRECT("I"&amp;$E$9)),IF(F15=3,AVERAGE(INDIRECT("I"&amp;$D$10):INDIRECT("I"&amp;$E$10)),IF(F15=4,AVERAGE(INDIRECT("I"&amp;$D$11):INDIRECT("I"&amp;$E$11)),IF(F15=5,AVERAGE(INDIRECT("I"&amp;$D$12):INDIRECT("I"&amp;$E$12)),IF(F15=6,AVERAGE(INDIRECT("I"&amp;$D$13):INDIRECT("I"&amp;$E$13))," "))))))</f>
        <v>2.6666666666666665</v>
      </c>
      <c r="K15" s="316">
        <f t="shared" ca="1" si="2"/>
        <v>2.6666666666666665</v>
      </c>
      <c r="L15" s="316">
        <f t="shared" ca="1" si="3"/>
        <v>1.7777777777777781</v>
      </c>
      <c r="M15" s="316">
        <f t="shared" ca="1" si="4"/>
        <v>0</v>
      </c>
      <c r="N15" s="63"/>
    </row>
    <row r="16" spans="1:22" x14ac:dyDescent="0.2">
      <c r="A16" s="51" t="s">
        <v>156</v>
      </c>
      <c r="B16" s="53">
        <f ca="1">SUM(M6:M1005)</f>
        <v>0.80000000000000027</v>
      </c>
      <c r="C16" s="52">
        <f>B5-1</f>
        <v>3</v>
      </c>
      <c r="F16" s="216">
        <f t="shared" si="0"/>
        <v>3</v>
      </c>
      <c r="G16" s="50">
        <v>10</v>
      </c>
      <c r="H16" s="316">
        <f ca="1">IF(F16=1,PERCENTILE(INDIRECT("g"&amp;$D$8):INDIRECT("g"&amp;$E$8),0.5),IF(F16=2,PERCENTILE(INDIRECT("g"&amp;$D$9):INDIRECT("g"&amp;$E$9),0.5),IF(F16=3,PERCENTILE(INDIRECT("g"&amp;$D$10):INDIRECT("g"&amp;$E$10),0.5),IF(F16=4,PERCENTILE(INDIRECT("g"&amp;$D$11):INDIRECT("g"&amp;$E$11),0.5),IF(F16=5,PERCENTILE(INDIRECT("g"&amp;$D$12):INDIRECT("g"&amp;$E$12),0.5),IF(F16=6,PERCENTILE(INDIRECT("g"&amp;$D$13):INDIRECT("g"&amp;$E$13),0.5)," "))))))</f>
        <v>14</v>
      </c>
      <c r="I16" s="316">
        <f t="shared" ca="1" si="1"/>
        <v>4</v>
      </c>
      <c r="J16" s="316">
        <f ca="1">IF(F16=1,AVERAGE(INDIRECT("I"&amp;$D$8):INDIRECT("I"&amp;$E$8)),IF(F16=2,AVERAGE(INDIRECT("I"&amp;$D$9):INDIRECT("I"&amp;$E$9)),IF(F16=3,AVERAGE(INDIRECT("I"&amp;$D$10):INDIRECT("I"&amp;$E$10)),IF(F16=4,AVERAGE(INDIRECT("I"&amp;$D$11):INDIRECT("I"&amp;$E$11)),IF(F16=5,AVERAGE(INDIRECT("I"&amp;$D$12):INDIRECT("I"&amp;$E$12)),IF(F16=6,AVERAGE(INDIRECT("I"&amp;$D$13):INDIRECT("I"&amp;$E$13))," "))))))</f>
        <v>2.6666666666666665</v>
      </c>
      <c r="K16" s="316">
        <f t="shared" ca="1" si="2"/>
        <v>2.6666666666666665</v>
      </c>
      <c r="L16" s="316">
        <f t="shared" ca="1" si="3"/>
        <v>1.7777777777777781</v>
      </c>
      <c r="M16" s="316">
        <f t="shared" ca="1" si="4"/>
        <v>0</v>
      </c>
      <c r="N16" s="63"/>
      <c r="P16" s="244" t="s">
        <v>171</v>
      </c>
      <c r="Q16" s="245"/>
      <c r="R16" s="245"/>
      <c r="S16" s="245"/>
      <c r="T16" s="245"/>
      <c r="U16" s="245"/>
      <c r="V16" s="245"/>
    </row>
    <row r="17" spans="1:24" x14ac:dyDescent="0.2">
      <c r="A17" s="51" t="s">
        <v>157</v>
      </c>
      <c r="B17" s="53">
        <f ca="1">SUM(L6:L1005)</f>
        <v>48.533333333333331</v>
      </c>
      <c r="C17" s="52">
        <f>SUM(B8:B13)-B5</f>
        <v>15</v>
      </c>
      <c r="F17" s="216">
        <f t="shared" si="0"/>
        <v>4</v>
      </c>
      <c r="G17" s="50">
        <v>20</v>
      </c>
      <c r="H17" s="316">
        <f ca="1">IF(F17=1,PERCENTILE(INDIRECT("g"&amp;$D$8):INDIRECT("g"&amp;$E$8),0.5),IF(F17=2,PERCENTILE(INDIRECT("g"&amp;$D$9):INDIRECT("g"&amp;$E$9),0.5),IF(F17=3,PERCENTILE(INDIRECT("g"&amp;$D$10):INDIRECT("g"&amp;$E$10),0.5),IF(F17=4,PERCENTILE(INDIRECT("g"&amp;$D$11):INDIRECT("g"&amp;$E$11),0.5),IF(F17=5,PERCENTILE(INDIRECT("g"&amp;$D$12):INDIRECT("g"&amp;$E$12),0.5),IF(F17=6,PERCENTILE(INDIRECT("g"&amp;$D$13):INDIRECT("g"&amp;$E$13),0.5)," "))))))</f>
        <v>15</v>
      </c>
      <c r="I17" s="316">
        <f t="shared" ca="1" si="1"/>
        <v>5</v>
      </c>
      <c r="J17" s="316">
        <f ca="1">IF(F17=1,AVERAGE(INDIRECT("I"&amp;$D$8):INDIRECT("I"&amp;$E$8)),IF(F17=2,AVERAGE(INDIRECT("I"&amp;$D$9):INDIRECT("I"&amp;$E$9)),IF(F17=3,AVERAGE(INDIRECT("I"&amp;$D$10):INDIRECT("I"&amp;$E$10)),IF(F17=4,AVERAGE(INDIRECT("I"&amp;$D$11):INDIRECT("I"&amp;$E$11)),IF(F17=5,AVERAGE(INDIRECT("I"&amp;$D$12):INDIRECT("I"&amp;$E$12)),IF(F17=6,AVERAGE(INDIRECT("I"&amp;$D$13):INDIRECT("I"&amp;$E$13))," "))))))</f>
        <v>3</v>
      </c>
      <c r="K17" s="316">
        <f t="shared" ca="1" si="2"/>
        <v>2.6666666666666665</v>
      </c>
      <c r="L17" s="316">
        <f t="shared" ca="1" si="3"/>
        <v>4</v>
      </c>
      <c r="M17" s="316">
        <f t="shared" ca="1" si="4"/>
        <v>0.11111111111111122</v>
      </c>
      <c r="N17" s="63"/>
      <c r="P17" s="181" t="s">
        <v>455</v>
      </c>
      <c r="Q17" s="181"/>
      <c r="R17" s="181"/>
      <c r="S17" s="181"/>
      <c r="T17" s="181"/>
      <c r="U17" s="181"/>
      <c r="V17" s="181"/>
    </row>
    <row r="18" spans="1:24" x14ac:dyDescent="0.2">
      <c r="F18" s="216">
        <f t="shared" si="0"/>
        <v>4</v>
      </c>
      <c r="G18" s="50">
        <v>10</v>
      </c>
      <c r="H18" s="316">
        <f ca="1">IF(F18=1,PERCENTILE(INDIRECT("g"&amp;$D$8):INDIRECT("g"&amp;$E$8),0.5),IF(F18=2,PERCENTILE(INDIRECT("g"&amp;$D$9):INDIRECT("g"&amp;$E$9),0.5),IF(F18=3,PERCENTILE(INDIRECT("g"&amp;$D$10):INDIRECT("g"&amp;$E$10),0.5),IF(F18=4,PERCENTILE(INDIRECT("g"&amp;$D$11):INDIRECT("g"&amp;$E$11),0.5),IF(F18=5,PERCENTILE(INDIRECT("g"&amp;$D$12):INDIRECT("g"&amp;$E$12),0.5),IF(F18=6,PERCENTILE(INDIRECT("g"&amp;$D$13):INDIRECT("g"&amp;$E$13),0.5)," "))))))</f>
        <v>15</v>
      </c>
      <c r="I18" s="316">
        <f t="shared" ca="1" si="1"/>
        <v>5</v>
      </c>
      <c r="J18" s="316">
        <f ca="1">IF(F18=1,AVERAGE(INDIRECT("I"&amp;$D$8):INDIRECT("I"&amp;$E$8)),IF(F18=2,AVERAGE(INDIRECT("I"&amp;$D$9):INDIRECT("I"&amp;$E$9)),IF(F18=3,AVERAGE(INDIRECT("I"&amp;$D$10):INDIRECT("I"&amp;$E$10)),IF(F18=4,AVERAGE(INDIRECT("I"&amp;$D$11):INDIRECT("I"&amp;$E$11)),IF(F18=5,AVERAGE(INDIRECT("I"&amp;$D$12):INDIRECT("I"&amp;$E$12)),IF(F18=6,AVERAGE(INDIRECT("I"&amp;$D$13):INDIRECT("I"&amp;$E$13))," "))))))</f>
        <v>3</v>
      </c>
      <c r="K18" s="316">
        <f t="shared" ca="1" si="2"/>
        <v>2.6666666666666665</v>
      </c>
      <c r="L18" s="316">
        <f t="shared" ca="1" si="3"/>
        <v>4</v>
      </c>
      <c r="M18" s="316">
        <f t="shared" ca="1" si="4"/>
        <v>0.11111111111111122</v>
      </c>
      <c r="N18" s="63"/>
      <c r="P18" s="433" t="s">
        <v>323</v>
      </c>
      <c r="Q18" s="433"/>
      <c r="R18" s="433"/>
      <c r="S18" s="181"/>
      <c r="T18" s="181"/>
      <c r="U18" s="181"/>
      <c r="V18" s="181"/>
    </row>
    <row r="19" spans="1:24" x14ac:dyDescent="0.2">
      <c r="A19" s="51" t="s">
        <v>158</v>
      </c>
      <c r="B19" s="53">
        <f ca="1">(B16/C16)/(B17/C17)</f>
        <v>8.2417582417582458E-2</v>
      </c>
      <c r="F19" s="216">
        <f t="shared" si="0"/>
        <v>4</v>
      </c>
      <c r="G19" s="50">
        <v>16</v>
      </c>
      <c r="H19" s="316">
        <f ca="1">IF(F19=1,PERCENTILE(INDIRECT("g"&amp;$D$8):INDIRECT("g"&amp;$E$8),0.5),IF(F19=2,PERCENTILE(INDIRECT("g"&amp;$D$9):INDIRECT("g"&amp;$E$9),0.5),IF(F19=3,PERCENTILE(INDIRECT("g"&amp;$D$10):INDIRECT("g"&amp;$E$10),0.5),IF(F19=4,PERCENTILE(INDIRECT("g"&amp;$D$11):INDIRECT("g"&amp;$E$11),0.5),IF(F19=5,PERCENTILE(INDIRECT("g"&amp;$D$12):INDIRECT("g"&amp;$E$12),0.5),IF(F19=6,PERCENTILE(INDIRECT("g"&amp;$D$13):INDIRECT("g"&amp;$E$13),0.5)," "))))))</f>
        <v>15</v>
      </c>
      <c r="I19" s="316">
        <f t="shared" ca="1" si="1"/>
        <v>1</v>
      </c>
      <c r="J19" s="316">
        <f ca="1">IF(F19=1,AVERAGE(INDIRECT("I"&amp;$D$8):INDIRECT("I"&amp;$E$8)),IF(F19=2,AVERAGE(INDIRECT("I"&amp;$D$9):INDIRECT("I"&amp;$E$9)),IF(F19=3,AVERAGE(INDIRECT("I"&amp;$D$10):INDIRECT("I"&amp;$E$10)),IF(F19=4,AVERAGE(INDIRECT("I"&amp;$D$11):INDIRECT("I"&amp;$E$11)),IF(F19=5,AVERAGE(INDIRECT("I"&amp;$D$12):INDIRECT("I"&amp;$E$12)),IF(F19=6,AVERAGE(INDIRECT("I"&amp;$D$13):INDIRECT("I"&amp;$E$13))," "))))))</f>
        <v>3</v>
      </c>
      <c r="K19" s="316">
        <f t="shared" ca="1" si="2"/>
        <v>2.6666666666666665</v>
      </c>
      <c r="L19" s="316">
        <f t="shared" ca="1" si="3"/>
        <v>4</v>
      </c>
      <c r="M19" s="316">
        <f t="shared" ca="1" si="4"/>
        <v>0.11111111111111122</v>
      </c>
      <c r="N19" s="63"/>
      <c r="P19" s="195" t="s">
        <v>174</v>
      </c>
      <c r="Q19" s="195" t="s">
        <v>173</v>
      </c>
      <c r="R19" s="195" t="s">
        <v>170</v>
      </c>
      <c r="S19" s="181"/>
      <c r="T19" s="181"/>
      <c r="U19" s="181"/>
      <c r="V19" s="181"/>
    </row>
    <row r="20" spans="1:24" x14ac:dyDescent="0.2">
      <c r="A20" s="51" t="s">
        <v>433</v>
      </c>
      <c r="B20" s="53">
        <f>FINV(0.05,C16,C17)</f>
        <v>3.2873821046365093</v>
      </c>
      <c r="F20" s="216">
        <f t="shared" si="0"/>
        <v>4</v>
      </c>
      <c r="G20" s="50">
        <v>14</v>
      </c>
      <c r="H20" s="316">
        <f ca="1">IF(F20=1,PERCENTILE(INDIRECT("g"&amp;$D$8):INDIRECT("g"&amp;$E$8),0.5),IF(F20=2,PERCENTILE(INDIRECT("g"&amp;$D$9):INDIRECT("g"&amp;$E$9),0.5),IF(F20=3,PERCENTILE(INDIRECT("g"&amp;$D$10):INDIRECT("g"&amp;$E$10),0.5),IF(F20=4,PERCENTILE(INDIRECT("g"&amp;$D$11):INDIRECT("g"&amp;$E$11),0.5),IF(F20=5,PERCENTILE(INDIRECT("g"&amp;$D$12):INDIRECT("g"&amp;$E$12),0.5),IF(F20=6,PERCENTILE(INDIRECT("g"&amp;$D$13):INDIRECT("g"&amp;$E$13),0.5)," "))))))</f>
        <v>15</v>
      </c>
      <c r="I20" s="316">
        <f t="shared" ca="1" si="1"/>
        <v>1</v>
      </c>
      <c r="J20" s="316">
        <f ca="1">IF(F20=1,AVERAGE(INDIRECT("I"&amp;$D$8):INDIRECT("I"&amp;$E$8)),IF(F20=2,AVERAGE(INDIRECT("I"&amp;$D$9):INDIRECT("I"&amp;$E$9)),IF(F20=3,AVERAGE(INDIRECT("I"&amp;$D$10):INDIRECT("I"&amp;$E$10)),IF(F20=4,AVERAGE(INDIRECT("I"&amp;$D$11):INDIRECT("I"&amp;$E$11)),IF(F20=5,AVERAGE(INDIRECT("I"&amp;$D$12):INDIRECT("I"&amp;$E$12)),IF(F20=6,AVERAGE(INDIRECT("I"&amp;$D$13):INDIRECT("I"&amp;$E$13))," "))))))</f>
        <v>3</v>
      </c>
      <c r="K20" s="316">
        <f t="shared" ca="1" si="2"/>
        <v>2.6666666666666665</v>
      </c>
      <c r="L20" s="316">
        <f t="shared" ca="1" si="3"/>
        <v>4</v>
      </c>
      <c r="M20" s="316">
        <f t="shared" ca="1" si="4"/>
        <v>0.11111111111111122</v>
      </c>
      <c r="N20" s="63"/>
      <c r="P20" s="194">
        <v>1</v>
      </c>
      <c r="Q20" s="247">
        <v>4</v>
      </c>
      <c r="R20" s="247">
        <v>6.74</v>
      </c>
      <c r="S20" s="181"/>
      <c r="T20" s="181"/>
      <c r="U20" s="181"/>
      <c r="V20" s="181"/>
    </row>
    <row r="21" spans="1:24" x14ac:dyDescent="0.2">
      <c r="A21" s="51" t="s">
        <v>159</v>
      </c>
      <c r="B21" s="53">
        <f ca="1">FDIST(B19,C16,C17)</f>
        <v>0.96857913345546043</v>
      </c>
      <c r="F21" s="216" t="str">
        <f t="shared" si="0"/>
        <v xml:space="preserve"> </v>
      </c>
      <c r="G21" s="50"/>
      <c r="H21" s="316" t="str">
        <f ca="1">IF(F21=1,PERCENTILE(INDIRECT("g"&amp;$D$8):INDIRECT("g"&amp;$E$8),0.5),IF(F21=2,PERCENTILE(INDIRECT("g"&amp;$D$9):INDIRECT("g"&amp;$E$9),0.5),IF(F21=3,PERCENTILE(INDIRECT("g"&amp;$D$10):INDIRECT("g"&amp;$E$10),0.5),IF(F21=4,PERCENTILE(INDIRECT("g"&amp;$D$11):INDIRECT("g"&amp;$E$11),0.5),IF(F21=5,PERCENTILE(INDIRECT("g"&amp;$D$12):INDIRECT("g"&amp;$E$12),0.5),IF(F21=6,PERCENTILE(INDIRECT("g"&amp;$D$13):INDIRECT("g"&amp;$E$13),0.5)," "))))))</f>
        <v xml:space="preserve"> </v>
      </c>
      <c r="I21" s="316" t="str">
        <f t="shared" si="1"/>
        <v xml:space="preserve"> </v>
      </c>
      <c r="J21" s="316" t="str">
        <f ca="1">IF(F21=1,AVERAGE(INDIRECT("I"&amp;$D$8):INDIRECT("I"&amp;$E$8)),IF(F21=2,AVERAGE(INDIRECT("I"&amp;$D$9):INDIRECT("I"&amp;$E$9)),IF(F21=3,AVERAGE(INDIRECT("I"&amp;$D$10):INDIRECT("I"&amp;$E$10)),IF(F21=4,AVERAGE(INDIRECT("I"&amp;$D$11):INDIRECT("I"&amp;$E$11)),IF(F21=5,AVERAGE(INDIRECT("I"&amp;$D$12):INDIRECT("I"&amp;$E$12)),IF(F21=6,AVERAGE(INDIRECT("I"&amp;$D$13):INDIRECT("I"&amp;$E$13))," "))))))</f>
        <v xml:space="preserve"> </v>
      </c>
      <c r="K21" s="316" t="str">
        <f t="shared" si="2"/>
        <v xml:space="preserve"> </v>
      </c>
      <c r="L21" s="316" t="str">
        <f t="shared" si="3"/>
        <v xml:space="preserve"> </v>
      </c>
      <c r="M21" s="316" t="str">
        <f t="shared" si="4"/>
        <v xml:space="preserve"> </v>
      </c>
      <c r="N21" s="63"/>
      <c r="P21" s="194">
        <v>2</v>
      </c>
      <c r="Q21" s="247">
        <v>12</v>
      </c>
      <c r="R21" s="247">
        <v>53.05</v>
      </c>
      <c r="S21" s="181"/>
      <c r="T21" s="181"/>
      <c r="U21" s="181"/>
      <c r="V21" s="181"/>
    </row>
    <row r="22" spans="1:24" x14ac:dyDescent="0.2">
      <c r="A22" s="56" t="s">
        <v>46</v>
      </c>
      <c r="B22" s="54" t="str">
        <f ca="1">IF(B19&lt;=B20,"homogeneity","heterogeneity")</f>
        <v>homogeneity</v>
      </c>
      <c r="F22" s="216" t="str">
        <f t="shared" si="0"/>
        <v xml:space="preserve"> </v>
      </c>
      <c r="G22" s="50"/>
      <c r="H22" s="243" t="str">
        <f ca="1">IF(F22=1,PERCENTILE(INDIRECT("g"&amp;$D$8):INDIRECT("g"&amp;$E$8),0.5),IF(F22=2,PERCENTILE(INDIRECT("g"&amp;$D$9):INDIRECT("g"&amp;$E$9),0.5),IF(F22=3,PERCENTILE(INDIRECT("g"&amp;$D$10):INDIRECT("g"&amp;$E$10),0.5),IF(F22=4,PERCENTILE(INDIRECT("g"&amp;$D$11):INDIRECT("g"&amp;$E$11),0.5),IF(F22=5,PERCENTILE(INDIRECT("g"&amp;$D$12):INDIRECT("g"&amp;$E$12),0.5),IF(F22=6,PERCENTILE(INDIRECT("g"&amp;$D$13):INDIRECT("g"&amp;$E$13),0.5)," "))))))</f>
        <v xml:space="preserve"> </v>
      </c>
      <c r="I22" s="243" t="str">
        <f t="shared" si="1"/>
        <v xml:space="preserve"> </v>
      </c>
      <c r="J22" s="243" t="str">
        <f ca="1">IF(F22=1,AVERAGE(INDIRECT("I"&amp;$D$8):INDIRECT("I"&amp;$E$8)),IF(F22=2,AVERAGE(INDIRECT("I"&amp;$D$9):INDIRECT("I"&amp;$E$9)),IF(F22=3,AVERAGE(INDIRECT("I"&amp;$D$10):INDIRECT("I"&amp;$E$10)),IF(F22=4,AVERAGE(INDIRECT("I"&amp;$D$11):INDIRECT("I"&amp;$E$11)),IF(F22=5,AVERAGE(INDIRECT("I"&amp;$D$12):INDIRECT("I"&amp;$E$12)),IF(F22=6,AVERAGE(INDIRECT("I"&amp;$D$13):INDIRECT("I"&amp;$E$13))," "))))))</f>
        <v xml:space="preserve"> </v>
      </c>
      <c r="K22" s="243" t="str">
        <f t="shared" si="2"/>
        <v xml:space="preserve"> </v>
      </c>
      <c r="L22" s="243" t="str">
        <f t="shared" si="3"/>
        <v xml:space="preserve"> </v>
      </c>
      <c r="M22" s="243" t="str">
        <f t="shared" si="4"/>
        <v xml:space="preserve"> </v>
      </c>
      <c r="N22" s="63"/>
      <c r="P22" s="194">
        <v>3</v>
      </c>
      <c r="Q22" s="247">
        <v>10</v>
      </c>
      <c r="R22" s="247">
        <v>7.18</v>
      </c>
      <c r="S22" s="181"/>
      <c r="T22" s="181"/>
      <c r="U22" s="181"/>
      <c r="V22" s="181"/>
    </row>
    <row r="23" spans="1:24" x14ac:dyDescent="0.2">
      <c r="F23" s="216" t="str">
        <f t="shared" si="0"/>
        <v xml:space="preserve"> </v>
      </c>
      <c r="G23" s="50"/>
      <c r="H23" s="243" t="str">
        <f ca="1">IF(F23=1,PERCENTILE(INDIRECT("g"&amp;$D$8):INDIRECT("g"&amp;$E$8),0.5),IF(F23=2,PERCENTILE(INDIRECT("g"&amp;$D$9):INDIRECT("g"&amp;$E$9),0.5),IF(F23=3,PERCENTILE(INDIRECT("g"&amp;$D$10):INDIRECT("g"&amp;$E$10),0.5),IF(F23=4,PERCENTILE(INDIRECT("g"&amp;$D$11):INDIRECT("g"&amp;$E$11),0.5),IF(F23=5,PERCENTILE(INDIRECT("g"&amp;$D$12):INDIRECT("g"&amp;$E$12),0.5),IF(F23=6,PERCENTILE(INDIRECT("g"&amp;$D$13):INDIRECT("g"&amp;$E$13),0.5)," "))))))</f>
        <v xml:space="preserve"> </v>
      </c>
      <c r="I23" s="243" t="str">
        <f t="shared" si="1"/>
        <v xml:space="preserve"> </v>
      </c>
      <c r="J23" s="243" t="str">
        <f ca="1">IF(F23=1,AVERAGE(INDIRECT("I"&amp;$D$8):INDIRECT("I"&amp;$E$8)),IF(F23=2,AVERAGE(INDIRECT("I"&amp;$D$9):INDIRECT("I"&amp;$E$9)),IF(F23=3,AVERAGE(INDIRECT("I"&amp;$D$10):INDIRECT("I"&amp;$E$10)),IF(F23=4,AVERAGE(INDIRECT("I"&amp;$D$11):INDIRECT("I"&amp;$E$11)),IF(F23=5,AVERAGE(INDIRECT("I"&amp;$D$12):INDIRECT("I"&amp;$E$12)),IF(F23=6,AVERAGE(INDIRECT("I"&amp;$D$13):INDIRECT("I"&amp;$E$13))," "))))))</f>
        <v xml:space="preserve"> </v>
      </c>
      <c r="K23" s="243" t="str">
        <f t="shared" si="2"/>
        <v xml:space="preserve"> </v>
      </c>
      <c r="L23" s="243" t="str">
        <f t="shared" si="3"/>
        <v xml:space="preserve"> </v>
      </c>
      <c r="M23" s="243" t="str">
        <f t="shared" si="4"/>
        <v xml:space="preserve"> </v>
      </c>
      <c r="N23" s="63"/>
      <c r="P23" s="194">
        <v>4</v>
      </c>
      <c r="Q23" s="247">
        <v>2</v>
      </c>
      <c r="R23" s="247">
        <v>3.93</v>
      </c>
      <c r="S23" s="181"/>
      <c r="T23" s="181"/>
      <c r="U23" s="181"/>
      <c r="V23" s="181"/>
    </row>
    <row r="24" spans="1:24" x14ac:dyDescent="0.2">
      <c r="F24" s="216" t="str">
        <f t="shared" si="0"/>
        <v xml:space="preserve"> </v>
      </c>
      <c r="G24" s="50"/>
      <c r="H24" s="243" t="str">
        <f ca="1">IF(F24=1,PERCENTILE(INDIRECT("g"&amp;$D$8):INDIRECT("g"&amp;$E$8),0.5),IF(F24=2,PERCENTILE(INDIRECT("g"&amp;$D$9):INDIRECT("g"&amp;$E$9),0.5),IF(F24=3,PERCENTILE(INDIRECT("g"&amp;$D$10):INDIRECT("g"&amp;$E$10),0.5),IF(F24=4,PERCENTILE(INDIRECT("g"&amp;$D$11):INDIRECT("g"&amp;$E$11),0.5),IF(F24=5,PERCENTILE(INDIRECT("g"&amp;$D$12):INDIRECT("g"&amp;$E$12),0.5),IF(F24=6,PERCENTILE(INDIRECT("g"&amp;$D$13):INDIRECT("g"&amp;$E$13),0.5)," "))))))</f>
        <v xml:space="preserve"> </v>
      </c>
      <c r="I24" s="243" t="str">
        <f t="shared" si="1"/>
        <v xml:space="preserve"> </v>
      </c>
      <c r="J24" s="243" t="str">
        <f ca="1">IF(F24=1,AVERAGE(INDIRECT("I"&amp;$D$8):INDIRECT("I"&amp;$E$8)),IF(F24=2,AVERAGE(INDIRECT("I"&amp;$D$9):INDIRECT("I"&amp;$E$9)),IF(F24=3,AVERAGE(INDIRECT("I"&amp;$D$10):INDIRECT("I"&amp;$E$10)),IF(F24=4,AVERAGE(INDIRECT("I"&amp;$D$11):INDIRECT("I"&amp;$E$11)),IF(F24=5,AVERAGE(INDIRECT("I"&amp;$D$12):INDIRECT("I"&amp;$E$12)),IF(F24=6,AVERAGE(INDIRECT("I"&amp;$D$13):INDIRECT("I"&amp;$E$13))," "))))))</f>
        <v xml:space="preserve"> </v>
      </c>
      <c r="K24" s="243" t="str">
        <f t="shared" si="2"/>
        <v xml:space="preserve"> </v>
      </c>
      <c r="L24" s="243" t="str">
        <f t="shared" si="3"/>
        <v xml:space="preserve"> </v>
      </c>
      <c r="M24" s="243" t="str">
        <f t="shared" si="4"/>
        <v xml:space="preserve"> </v>
      </c>
      <c r="N24" s="63"/>
      <c r="P24" s="194">
        <v>5</v>
      </c>
      <c r="Q24" s="247">
        <v>2</v>
      </c>
      <c r="R24" s="247">
        <v>3.14</v>
      </c>
      <c r="S24" s="181"/>
      <c r="T24" s="181"/>
      <c r="U24" s="181"/>
      <c r="V24" s="181"/>
    </row>
    <row r="25" spans="1:24" x14ac:dyDescent="0.2">
      <c r="F25" s="216" t="str">
        <f t="shared" si="0"/>
        <v xml:space="preserve"> </v>
      </c>
      <c r="G25" s="50"/>
      <c r="H25" s="242" t="str">
        <f ca="1">IF(F25=1,PERCENTILE(INDIRECT("g"&amp;$D$8):INDIRECT("g"&amp;$E$8),0.5),IF(F25=2,PERCENTILE(INDIRECT("g"&amp;$D$9):INDIRECT("g"&amp;$E$9),0.5),IF(F25=3,PERCENTILE(INDIRECT("g"&amp;$D$10):INDIRECT("g"&amp;$E$10),0.5),IF(F25=4,PERCENTILE(INDIRECT("g"&amp;$D$11):INDIRECT("g"&amp;$E$11),0.5),IF(F25=5,PERCENTILE(INDIRECT("g"&amp;$D$12):INDIRECT("g"&amp;$E$12),0.5),IF(F25=6,PERCENTILE(INDIRECT("g"&amp;$D$13):INDIRECT("g"&amp;$E$13),0.5)," "))))))</f>
        <v xml:space="preserve"> </v>
      </c>
      <c r="I25" s="242" t="str">
        <f t="shared" si="1"/>
        <v xml:space="preserve"> </v>
      </c>
      <c r="J25" s="243" t="str">
        <f ca="1">IF(F25=1,AVERAGE(INDIRECT("I"&amp;$D$8):INDIRECT("I"&amp;$E$8)),IF(F25=2,AVERAGE(INDIRECT("I"&amp;$D$9):INDIRECT("I"&amp;$E$9)),IF(F25=3,AVERAGE(INDIRECT("I"&amp;$D$10):INDIRECT("I"&amp;$E$10)),IF(F25=4,AVERAGE(INDIRECT("I"&amp;$D$11):INDIRECT("I"&amp;$E$11)),IF(F25=5,AVERAGE(INDIRECT("I"&amp;$D$12):INDIRECT("I"&amp;$E$12)),IF(F25=6,AVERAGE(INDIRECT("I"&amp;$D$13):INDIRECT("I"&amp;$E$13))," "))))))</f>
        <v xml:space="preserve"> </v>
      </c>
      <c r="K25" s="243" t="str">
        <f t="shared" si="2"/>
        <v xml:space="preserve"> </v>
      </c>
      <c r="L25" s="243" t="str">
        <f t="shared" si="3"/>
        <v xml:space="preserve"> </v>
      </c>
      <c r="M25" s="243" t="str">
        <f t="shared" si="4"/>
        <v xml:space="preserve"> </v>
      </c>
      <c r="N25" s="63"/>
      <c r="P25" s="194">
        <v>6</v>
      </c>
      <c r="Q25" s="247">
        <v>6</v>
      </c>
      <c r="R25" s="247">
        <v>17.52</v>
      </c>
      <c r="S25" s="181"/>
      <c r="T25" s="181"/>
      <c r="U25" s="181"/>
      <c r="V25" s="181"/>
    </row>
    <row r="26" spans="1:24" x14ac:dyDescent="0.2">
      <c r="F26" s="216" t="str">
        <f t="shared" si="0"/>
        <v xml:space="preserve"> </v>
      </c>
      <c r="G26" s="50"/>
      <c r="H26" s="242" t="str">
        <f ca="1">IF(F26=1,PERCENTILE(INDIRECT("g"&amp;$D$8):INDIRECT("g"&amp;$E$8),0.5),IF(F26=2,PERCENTILE(INDIRECT("g"&amp;$D$9):INDIRECT("g"&amp;$E$9),0.5),IF(F26=3,PERCENTILE(INDIRECT("g"&amp;$D$10):INDIRECT("g"&amp;$E$10),0.5),IF(F26=4,PERCENTILE(INDIRECT("g"&amp;$D$11):INDIRECT("g"&amp;$E$11),0.5),IF(F26=5,PERCENTILE(INDIRECT("g"&amp;$D$12):INDIRECT("g"&amp;$E$12),0.5),IF(F26=6,PERCENTILE(INDIRECT("g"&amp;$D$13):INDIRECT("g"&amp;$E$13),0.5)," "))))))</f>
        <v xml:space="preserve"> </v>
      </c>
      <c r="I26" s="242" t="str">
        <f t="shared" si="1"/>
        <v xml:space="preserve"> </v>
      </c>
      <c r="J26" s="243" t="str">
        <f ca="1">IF(F26=1,AVERAGE(INDIRECT("I"&amp;$D$8):INDIRECT("I"&amp;$E$8)),IF(F26=2,AVERAGE(INDIRECT("I"&amp;$D$9):INDIRECT("I"&amp;$E$9)),IF(F26=3,AVERAGE(INDIRECT("I"&amp;$D$10):INDIRECT("I"&amp;$E$10)),IF(F26=4,AVERAGE(INDIRECT("I"&amp;$D$11):INDIRECT("I"&amp;$E$11)),IF(F26=5,AVERAGE(INDIRECT("I"&amp;$D$12):INDIRECT("I"&amp;$E$12)),IF(F26=6,AVERAGE(INDIRECT("I"&amp;$D$13):INDIRECT("I"&amp;$E$13))," "))))))</f>
        <v xml:space="preserve"> </v>
      </c>
      <c r="K26" s="243" t="str">
        <f t="shared" si="2"/>
        <v xml:space="preserve"> </v>
      </c>
      <c r="L26" s="243" t="str">
        <f t="shared" si="3"/>
        <v xml:space="preserve"> </v>
      </c>
      <c r="M26" s="243" t="str">
        <f t="shared" si="4"/>
        <v xml:space="preserve"> </v>
      </c>
      <c r="N26" s="63"/>
      <c r="P26" s="194">
        <v>7</v>
      </c>
      <c r="Q26" s="247">
        <v>2</v>
      </c>
      <c r="R26" s="247">
        <v>1.1299999999999999</v>
      </c>
      <c r="S26" s="181"/>
      <c r="T26" s="181"/>
      <c r="U26" s="181"/>
      <c r="V26" s="181"/>
    </row>
    <row r="27" spans="1:24" x14ac:dyDescent="0.2">
      <c r="F27" s="216" t="str">
        <f t="shared" si="0"/>
        <v xml:space="preserve"> </v>
      </c>
      <c r="G27" s="50"/>
      <c r="H27" s="242" t="str">
        <f ca="1">IF(F27=1,PERCENTILE(INDIRECT("g"&amp;$D$8):INDIRECT("g"&amp;$E$8),0.5),IF(F27=2,PERCENTILE(INDIRECT("g"&amp;$D$9):INDIRECT("g"&amp;$E$9),0.5),IF(F27=3,PERCENTILE(INDIRECT("g"&amp;$D$10):INDIRECT("g"&amp;$E$10),0.5),IF(F27=4,PERCENTILE(INDIRECT("g"&amp;$D$11):INDIRECT("g"&amp;$E$11),0.5),IF(F27=5,PERCENTILE(INDIRECT("g"&amp;$D$12):INDIRECT("g"&amp;$E$12),0.5),IF(F27=6,PERCENTILE(INDIRECT("g"&amp;$D$13):INDIRECT("g"&amp;$E$13),0.5)," "))))))</f>
        <v xml:space="preserve"> </v>
      </c>
      <c r="I27" s="242" t="str">
        <f t="shared" si="1"/>
        <v xml:space="preserve"> </v>
      </c>
      <c r="J27" s="242" t="str">
        <f ca="1">IF(F27=1,AVERAGE(INDIRECT("I"&amp;$D$8):INDIRECT("I"&amp;$E$8)),IF(F27=2,AVERAGE(INDIRECT("I"&amp;$D$9):INDIRECT("I"&amp;$E$9)),IF(F27=3,AVERAGE(INDIRECT("I"&amp;$D$10):INDIRECT("I"&amp;$E$10)),IF(F27=4,AVERAGE(INDIRECT("I"&amp;$D$11):INDIRECT("I"&amp;$E$11)),IF(F27=5,AVERAGE(INDIRECT("I"&amp;$D$12):INDIRECT("I"&amp;$E$12)),IF(F27=6,AVERAGE(INDIRECT("I"&amp;$D$13):INDIRECT("I"&amp;$E$13))," "))))))</f>
        <v xml:space="preserve"> </v>
      </c>
      <c r="K27" s="242" t="str">
        <f t="shared" si="2"/>
        <v xml:space="preserve"> </v>
      </c>
      <c r="L27" s="242" t="str">
        <f t="shared" si="3"/>
        <v xml:space="preserve"> </v>
      </c>
      <c r="M27" s="242" t="str">
        <f t="shared" si="4"/>
        <v xml:space="preserve"> </v>
      </c>
      <c r="N27" s="63"/>
      <c r="P27" s="240"/>
      <c r="Q27" s="240"/>
      <c r="R27" s="240"/>
      <c r="S27" s="181"/>
      <c r="T27" s="181"/>
      <c r="U27" s="181"/>
      <c r="V27" s="181"/>
    </row>
    <row r="28" spans="1:24" x14ac:dyDescent="0.2">
      <c r="F28" s="216" t="str">
        <f t="shared" si="0"/>
        <v xml:space="preserve"> </v>
      </c>
      <c r="G28" s="50"/>
      <c r="H28" s="242" t="str">
        <f ca="1">IF(F28=1,PERCENTILE(INDIRECT("g"&amp;$D$8):INDIRECT("g"&amp;$E$8),0.5),IF(F28=2,PERCENTILE(INDIRECT("g"&amp;$D$9):INDIRECT("g"&amp;$E$9),0.5),IF(F28=3,PERCENTILE(INDIRECT("g"&amp;$D$10):INDIRECT("g"&amp;$E$10),0.5),IF(F28=4,PERCENTILE(INDIRECT("g"&amp;$D$11):INDIRECT("g"&amp;$E$11),0.5),IF(F28=5,PERCENTILE(INDIRECT("g"&amp;$D$12):INDIRECT("g"&amp;$E$12),0.5),IF(F28=6,PERCENTILE(INDIRECT("g"&amp;$D$13):INDIRECT("g"&amp;$E$13),0.5)," "))))))</f>
        <v xml:space="preserve"> </v>
      </c>
      <c r="I28" s="242" t="str">
        <f t="shared" si="1"/>
        <v xml:space="preserve"> </v>
      </c>
      <c r="J28" s="242" t="str">
        <f ca="1">IF(F28=1,AVERAGE(INDIRECT("I"&amp;$D$8):INDIRECT("I"&amp;$E$8)),IF(F28=2,AVERAGE(INDIRECT("I"&amp;$D$9):INDIRECT("I"&amp;$E$9)),IF(F28=3,AVERAGE(INDIRECT("I"&amp;$D$10):INDIRECT("I"&amp;$E$10)),IF(F28=4,AVERAGE(INDIRECT("I"&amp;$D$11):INDIRECT("I"&amp;$E$11)),IF(F28=5,AVERAGE(INDIRECT("I"&amp;$D$12):INDIRECT("I"&amp;$E$12)),IF(F28=6,AVERAGE(INDIRECT("I"&amp;$D$13):INDIRECT("I"&amp;$E$13))," "))))))</f>
        <v xml:space="preserve"> </v>
      </c>
      <c r="K28" s="242" t="str">
        <f t="shared" si="2"/>
        <v xml:space="preserve"> </v>
      </c>
      <c r="L28" s="242" t="str">
        <f t="shared" si="3"/>
        <v xml:space="preserve"> </v>
      </c>
      <c r="M28" s="242" t="str">
        <f t="shared" si="4"/>
        <v xml:space="preserve"> </v>
      </c>
      <c r="N28" s="63"/>
      <c r="P28" s="250" t="s">
        <v>99</v>
      </c>
      <c r="Q28" s="251">
        <f>(Q33*LN(V34)-S40)/V35</f>
        <v>12.760480875393991</v>
      </c>
      <c r="R28" s="181"/>
      <c r="S28" s="181"/>
      <c r="T28" s="181"/>
      <c r="U28" s="181"/>
      <c r="V28" s="181"/>
    </row>
    <row r="29" spans="1:24" x14ac:dyDescent="0.2">
      <c r="F29" s="216" t="str">
        <f t="shared" si="0"/>
        <v xml:space="preserve"> </v>
      </c>
      <c r="G29" s="50"/>
      <c r="H29" s="242" t="str">
        <f ca="1">IF(F29=1,PERCENTILE(INDIRECT("g"&amp;$D$8):INDIRECT("g"&amp;$E$8),0.5),IF(F29=2,PERCENTILE(INDIRECT("g"&amp;$D$9):INDIRECT("g"&amp;$E$9),0.5),IF(F29=3,PERCENTILE(INDIRECT("g"&amp;$D$10):INDIRECT("g"&amp;$E$10),0.5),IF(F29=4,PERCENTILE(INDIRECT("g"&amp;$D$11):INDIRECT("g"&amp;$E$11),0.5),IF(F29=5,PERCENTILE(INDIRECT("g"&amp;$D$12):INDIRECT("g"&amp;$E$12),0.5),IF(F29=6,PERCENTILE(INDIRECT("g"&amp;$D$13):INDIRECT("g"&amp;$E$13),0.5)," "))))))</f>
        <v xml:space="preserve"> </v>
      </c>
      <c r="I29" s="242" t="str">
        <f t="shared" si="1"/>
        <v xml:space="preserve"> </v>
      </c>
      <c r="J29" s="242" t="str">
        <f ca="1">IF(F29=1,AVERAGE(INDIRECT("I"&amp;$D$8):INDIRECT("I"&amp;$E$8)),IF(F29=2,AVERAGE(INDIRECT("I"&amp;$D$9):INDIRECT("I"&amp;$E$9)),IF(F29=3,AVERAGE(INDIRECT("I"&amp;$D$10):INDIRECT("I"&amp;$E$10)),IF(F29=4,AVERAGE(INDIRECT("I"&amp;$D$11):INDIRECT("I"&amp;$E$11)),IF(F29=5,AVERAGE(INDIRECT("I"&amp;$D$12):INDIRECT("I"&amp;$E$12)),IF(F29=6,AVERAGE(INDIRECT("I"&amp;$D$13):INDIRECT("I"&amp;$E$13))," "))))))</f>
        <v xml:space="preserve"> </v>
      </c>
      <c r="K29" s="242" t="str">
        <f t="shared" si="2"/>
        <v xml:space="preserve"> </v>
      </c>
      <c r="L29" s="242" t="str">
        <f t="shared" si="3"/>
        <v xml:space="preserve"> </v>
      </c>
      <c r="M29" s="242" t="str">
        <f t="shared" si="4"/>
        <v xml:space="preserve"> </v>
      </c>
      <c r="N29" s="63"/>
      <c r="P29" s="250" t="s">
        <v>106</v>
      </c>
      <c r="Q29" s="251">
        <f>CHIINV(0.05,V33-1)</f>
        <v>12.591587243743978</v>
      </c>
      <c r="R29" s="181"/>
      <c r="S29" s="181"/>
      <c r="T29" s="181"/>
      <c r="U29" s="181"/>
      <c r="V29" s="181"/>
    </row>
    <row r="30" spans="1:24" x14ac:dyDescent="0.2">
      <c r="F30" s="216" t="str">
        <f t="shared" si="0"/>
        <v xml:space="preserve"> </v>
      </c>
      <c r="G30" s="50"/>
      <c r="H30" s="242" t="str">
        <f ca="1">IF(F30=1,PERCENTILE(INDIRECT("g"&amp;$D$8):INDIRECT("g"&amp;$E$8),0.5),IF(F30=2,PERCENTILE(INDIRECT("g"&amp;$D$9):INDIRECT("g"&amp;$E$9),0.5),IF(F30=3,PERCENTILE(INDIRECT("g"&amp;$D$10):INDIRECT("g"&amp;$E$10),0.5),IF(F30=4,PERCENTILE(INDIRECT("g"&amp;$D$11):INDIRECT("g"&amp;$E$11),0.5),IF(F30=5,PERCENTILE(INDIRECT("g"&amp;$D$12):INDIRECT("g"&amp;$E$12),0.5),IF(F30=6,PERCENTILE(INDIRECT("g"&amp;$D$13):INDIRECT("g"&amp;$E$13),0.5)," "))))))</f>
        <v xml:space="preserve"> </v>
      </c>
      <c r="I30" s="242" t="str">
        <f t="shared" si="1"/>
        <v xml:space="preserve"> </v>
      </c>
      <c r="J30" s="242" t="str">
        <f ca="1">IF(F30=1,AVERAGE(INDIRECT("I"&amp;$D$8):INDIRECT("I"&amp;$E$8)),IF(F30=2,AVERAGE(INDIRECT("I"&amp;$D$9):INDIRECT("I"&amp;$E$9)),IF(F30=3,AVERAGE(INDIRECT("I"&amp;$D$10):INDIRECT("I"&amp;$E$10)),IF(F30=4,AVERAGE(INDIRECT("I"&amp;$D$11):INDIRECT("I"&amp;$E$11)),IF(F30=5,AVERAGE(INDIRECT("I"&amp;$D$12):INDIRECT("I"&amp;$E$12)),IF(F30=6,AVERAGE(INDIRECT("I"&amp;$D$13):INDIRECT("I"&amp;$E$13))," "))))))</f>
        <v xml:space="preserve"> </v>
      </c>
      <c r="K30" s="242" t="str">
        <f t="shared" si="2"/>
        <v xml:space="preserve"> </v>
      </c>
      <c r="L30" s="242" t="str">
        <f t="shared" si="3"/>
        <v xml:space="preserve"> </v>
      </c>
      <c r="M30" s="242" t="str">
        <f t="shared" si="4"/>
        <v xml:space="preserve"> </v>
      </c>
      <c r="N30" s="63"/>
      <c r="P30" s="194" t="s">
        <v>46</v>
      </c>
      <c r="Q30" s="249" t="str">
        <f>IF(Q28&lt;=Q29,"homogeneity","heterogeneity")</f>
        <v>heterogeneity</v>
      </c>
      <c r="R30" s="181"/>
      <c r="S30" s="181"/>
      <c r="T30" s="181"/>
      <c r="U30" s="181"/>
      <c r="V30" s="181"/>
    </row>
    <row r="31" spans="1:24" x14ac:dyDescent="0.2">
      <c r="F31" s="216" t="str">
        <f t="shared" si="0"/>
        <v xml:space="preserve"> </v>
      </c>
      <c r="G31" s="50"/>
      <c r="H31" s="242" t="str">
        <f ca="1">IF(F31=1,PERCENTILE(INDIRECT("g"&amp;$D$8):INDIRECT("g"&amp;$E$8),0.5),IF(F31=2,PERCENTILE(INDIRECT("g"&amp;$D$9):INDIRECT("g"&amp;$E$9),0.5),IF(F31=3,PERCENTILE(INDIRECT("g"&amp;$D$10):INDIRECT("g"&amp;$E$10),0.5),IF(F31=4,PERCENTILE(INDIRECT("g"&amp;$D$11):INDIRECT("g"&amp;$E$11),0.5),IF(F31=5,PERCENTILE(INDIRECT("g"&amp;$D$12):INDIRECT("g"&amp;$E$12),0.5),IF(F31=6,PERCENTILE(INDIRECT("g"&amp;$D$13):INDIRECT("g"&amp;$E$13),0.5)," "))))))</f>
        <v xml:space="preserve"> </v>
      </c>
      <c r="I31" s="242" t="str">
        <f t="shared" si="1"/>
        <v xml:space="preserve"> </v>
      </c>
      <c r="J31" s="242" t="str">
        <f ca="1">IF(F31=1,AVERAGE(INDIRECT("I"&amp;$D$8):INDIRECT("I"&amp;$E$8)),IF(F31=2,AVERAGE(INDIRECT("I"&amp;$D$9):INDIRECT("I"&amp;$E$9)),IF(F31=3,AVERAGE(INDIRECT("I"&amp;$D$10):INDIRECT("I"&amp;$E$10)),IF(F31=4,AVERAGE(INDIRECT("I"&amp;$D$11):INDIRECT("I"&amp;$E$11)),IF(F31=5,AVERAGE(INDIRECT("I"&amp;$D$12):INDIRECT("I"&amp;$E$12)),IF(F31=6,AVERAGE(INDIRECT("I"&amp;$D$13):INDIRECT("I"&amp;$E$13))," "))))))</f>
        <v xml:space="preserve"> </v>
      </c>
      <c r="K31" s="242" t="str">
        <f t="shared" si="2"/>
        <v xml:space="preserve"> </v>
      </c>
      <c r="L31" s="242" t="str">
        <f t="shared" si="3"/>
        <v xml:space="preserve"> </v>
      </c>
      <c r="M31" s="242" t="str">
        <f t="shared" si="4"/>
        <v xml:space="preserve"> </v>
      </c>
      <c r="P31" s="181"/>
      <c r="Q31" s="181"/>
      <c r="R31" s="181"/>
      <c r="S31" s="181"/>
      <c r="T31" s="181"/>
      <c r="U31" s="181"/>
      <c r="V31" s="181"/>
    </row>
    <row r="32" spans="1:24" x14ac:dyDescent="0.2">
      <c r="F32" s="216" t="str">
        <f t="shared" si="0"/>
        <v xml:space="preserve"> </v>
      </c>
      <c r="G32" s="50"/>
      <c r="H32" s="242" t="str">
        <f ca="1">IF(F32=1,PERCENTILE(INDIRECT("g"&amp;$D$8):INDIRECT("g"&amp;$E$8),0.5),IF(F32=2,PERCENTILE(INDIRECT("g"&amp;$D$9):INDIRECT("g"&amp;$E$9),0.5),IF(F32=3,PERCENTILE(INDIRECT("g"&amp;$D$10):INDIRECT("g"&amp;$E$10),0.5),IF(F32=4,PERCENTILE(INDIRECT("g"&amp;$D$11):INDIRECT("g"&amp;$E$11),0.5),IF(F32=5,PERCENTILE(INDIRECT("g"&amp;$D$12):INDIRECT("g"&amp;$E$12),0.5),IF(F32=6,PERCENTILE(INDIRECT("g"&amp;$D$13):INDIRECT("g"&amp;$E$13),0.5)," "))))))</f>
        <v xml:space="preserve"> </v>
      </c>
      <c r="I32" s="242" t="str">
        <f t="shared" si="1"/>
        <v xml:space="preserve"> </v>
      </c>
      <c r="J32" s="242" t="str">
        <f ca="1">IF(F32=1,AVERAGE(INDIRECT("I"&amp;$D$8):INDIRECT("I"&amp;$E$8)),IF(F32=2,AVERAGE(INDIRECT("I"&amp;$D$9):INDIRECT("I"&amp;$E$9)),IF(F32=3,AVERAGE(INDIRECT("I"&amp;$D$10):INDIRECT("I"&amp;$E$10)),IF(F32=4,AVERAGE(INDIRECT("I"&amp;$D$11):INDIRECT("I"&amp;$E$11)),IF(F32=5,AVERAGE(INDIRECT("I"&amp;$D$12):INDIRECT("I"&amp;$E$12)),IF(F32=6,AVERAGE(INDIRECT("I"&amp;$D$13):INDIRECT("I"&amp;$E$13))," "))))))</f>
        <v xml:space="preserve"> </v>
      </c>
      <c r="K32" s="242" t="str">
        <f t="shared" si="2"/>
        <v xml:space="preserve"> </v>
      </c>
      <c r="L32" s="242" t="str">
        <f t="shared" si="3"/>
        <v xml:space="preserve"> </v>
      </c>
      <c r="M32" s="242" t="str">
        <f t="shared" si="4"/>
        <v xml:space="preserve"> </v>
      </c>
      <c r="P32" s="228" t="s">
        <v>91</v>
      </c>
      <c r="Q32" s="228" t="s">
        <v>92</v>
      </c>
      <c r="R32" s="228" t="s">
        <v>93</v>
      </c>
      <c r="S32" s="228" t="s">
        <v>94</v>
      </c>
      <c r="T32" s="228" t="s">
        <v>95</v>
      </c>
      <c r="U32" s="228" t="s">
        <v>75</v>
      </c>
      <c r="V32" s="228">
        <f>SUM(Q20:Q26)</f>
        <v>38</v>
      </c>
      <c r="W32" s="256"/>
      <c r="X32" s="256"/>
    </row>
    <row r="33" spans="6:24" x14ac:dyDescent="0.2">
      <c r="F33" s="216" t="str">
        <f t="shared" si="0"/>
        <v xml:space="preserve"> </v>
      </c>
      <c r="G33" s="50"/>
      <c r="H33" s="242" t="str">
        <f ca="1">IF(F33=1,PERCENTILE(INDIRECT("g"&amp;$D$8):INDIRECT("g"&amp;$E$8),0.5),IF(F33=2,PERCENTILE(INDIRECT("g"&amp;$D$9):INDIRECT("g"&amp;$E$9),0.5),IF(F33=3,PERCENTILE(INDIRECT("g"&amp;$D$10):INDIRECT("g"&amp;$E$10),0.5),IF(F33=4,PERCENTILE(INDIRECT("g"&amp;$D$11):INDIRECT("g"&amp;$E$11),0.5),IF(F33=5,PERCENTILE(INDIRECT("g"&amp;$D$12):INDIRECT("g"&amp;$E$12),0.5),IF(F33=6,PERCENTILE(INDIRECT("g"&amp;$D$13):INDIRECT("g"&amp;$E$13),0.5)," "))))))</f>
        <v xml:space="preserve"> </v>
      </c>
      <c r="I33" s="242" t="str">
        <f t="shared" si="1"/>
        <v xml:space="preserve"> </v>
      </c>
      <c r="J33" s="242" t="str">
        <f ca="1">IF(F33=1,AVERAGE(INDIRECT("I"&amp;$D$8):INDIRECT("I"&amp;$E$8)),IF(F33=2,AVERAGE(INDIRECT("I"&amp;$D$9):INDIRECT("I"&amp;$E$9)),IF(F33=3,AVERAGE(INDIRECT("I"&amp;$D$10):INDIRECT("I"&amp;$E$10)),IF(F33=4,AVERAGE(INDIRECT("I"&amp;$D$11):INDIRECT("I"&amp;$E$11)),IF(F33=5,AVERAGE(INDIRECT("I"&amp;$D$12):INDIRECT("I"&amp;$E$12)),IF(F33=6,AVERAGE(INDIRECT("I"&amp;$D$13):INDIRECT("I"&amp;$E$13))," "))))))</f>
        <v xml:space="preserve"> </v>
      </c>
      <c r="K33" s="242" t="str">
        <f t="shared" si="2"/>
        <v xml:space="preserve"> </v>
      </c>
      <c r="L33" s="242" t="str">
        <f t="shared" si="3"/>
        <v xml:space="preserve"> </v>
      </c>
      <c r="M33" s="242" t="str">
        <f t="shared" si="4"/>
        <v xml:space="preserve"> </v>
      </c>
      <c r="P33" s="228">
        <f t="shared" ref="P33:P39" si="5">Q20-1</f>
        <v>3</v>
      </c>
      <c r="Q33" s="228">
        <f t="shared" ref="Q33:Q39" si="6">V$32-V$33</f>
        <v>31</v>
      </c>
      <c r="R33" s="189">
        <f>1/P33-1/Q33</f>
        <v>0.30107526881720426</v>
      </c>
      <c r="S33" s="189">
        <f t="shared" ref="S33:S39" si="7">P33*LN(R20)</f>
        <v>5.7241797747726473</v>
      </c>
      <c r="T33" s="228">
        <f t="shared" ref="T33:T39" si="8">R20*P33</f>
        <v>20.22</v>
      </c>
      <c r="U33" s="182" t="s">
        <v>96</v>
      </c>
      <c r="V33" s="228">
        <f>COUNT(Q20:Q26)</f>
        <v>7</v>
      </c>
      <c r="W33" s="256"/>
      <c r="X33" s="256"/>
    </row>
    <row r="34" spans="6:24" x14ac:dyDescent="0.2">
      <c r="F34" s="216" t="str">
        <f t="shared" si="0"/>
        <v xml:space="preserve"> </v>
      </c>
      <c r="G34" s="50"/>
      <c r="H34" s="242" t="str">
        <f ca="1">IF(F34=1,PERCENTILE(INDIRECT("g"&amp;$D$8):INDIRECT("g"&amp;$E$8),0.5),IF(F34=2,PERCENTILE(INDIRECT("g"&amp;$D$9):INDIRECT("g"&amp;$E$9),0.5),IF(F34=3,PERCENTILE(INDIRECT("g"&amp;$D$10):INDIRECT("g"&amp;$E$10),0.5),IF(F34=4,PERCENTILE(INDIRECT("g"&amp;$D$11):INDIRECT("g"&amp;$E$11),0.5),IF(F34=5,PERCENTILE(INDIRECT("g"&amp;$D$12):INDIRECT("g"&amp;$E$12),0.5),IF(F34=6,PERCENTILE(INDIRECT("g"&amp;$D$13):INDIRECT("g"&amp;$E$13),0.5)," "))))))</f>
        <v xml:space="preserve"> </v>
      </c>
      <c r="I34" s="242" t="str">
        <f t="shared" si="1"/>
        <v xml:space="preserve"> </v>
      </c>
      <c r="J34" s="242" t="str">
        <f ca="1">IF(F34=1,AVERAGE(INDIRECT("I"&amp;$D$8):INDIRECT("I"&amp;$E$8)),IF(F34=2,AVERAGE(INDIRECT("I"&amp;$D$9):INDIRECT("I"&amp;$E$9)),IF(F34=3,AVERAGE(INDIRECT("I"&amp;$D$10):INDIRECT("I"&amp;$E$10)),IF(F34=4,AVERAGE(INDIRECT("I"&amp;$D$11):INDIRECT("I"&amp;$E$11)),IF(F34=5,AVERAGE(INDIRECT("I"&amp;$D$12):INDIRECT("I"&amp;$E$12)),IF(F34=6,AVERAGE(INDIRECT("I"&amp;$D$13):INDIRECT("I"&amp;$E$13))," "))))))</f>
        <v xml:space="preserve"> </v>
      </c>
      <c r="K34" s="242" t="str">
        <f t="shared" si="2"/>
        <v xml:space="preserve"> </v>
      </c>
      <c r="L34" s="242" t="str">
        <f t="shared" si="3"/>
        <v xml:space="preserve"> </v>
      </c>
      <c r="M34" s="242" t="str">
        <f t="shared" si="4"/>
        <v xml:space="preserve"> </v>
      </c>
      <c r="P34" s="228">
        <f t="shared" si="5"/>
        <v>11</v>
      </c>
      <c r="Q34" s="228">
        <f t="shared" si="6"/>
        <v>31</v>
      </c>
      <c r="R34" s="189">
        <f>1/P34-1/Q34</f>
        <v>5.865102639296188E-2</v>
      </c>
      <c r="S34" s="189">
        <f t="shared" si="7"/>
        <v>43.683583515659912</v>
      </c>
      <c r="T34" s="228">
        <f t="shared" si="8"/>
        <v>583.54999999999995</v>
      </c>
      <c r="U34" s="228" t="s">
        <v>97</v>
      </c>
      <c r="V34" s="214">
        <f>T40/Q33</f>
        <v>24.651290322580643</v>
      </c>
      <c r="W34" s="256"/>
      <c r="X34" s="256"/>
    </row>
    <row r="35" spans="6:24" x14ac:dyDescent="0.2">
      <c r="F35" s="216" t="str">
        <f t="shared" si="0"/>
        <v xml:space="preserve"> </v>
      </c>
      <c r="G35" s="50"/>
      <c r="H35" s="242" t="str">
        <f ca="1">IF(F35=1,PERCENTILE(INDIRECT("g"&amp;$D$8):INDIRECT("g"&amp;$E$8),0.5),IF(F35=2,PERCENTILE(INDIRECT("g"&amp;$D$9):INDIRECT("g"&amp;$E$9),0.5),IF(F35=3,PERCENTILE(INDIRECT("g"&amp;$D$10):INDIRECT("g"&amp;$E$10),0.5),IF(F35=4,PERCENTILE(INDIRECT("g"&amp;$D$11):INDIRECT("g"&amp;$E$11),0.5),IF(F35=5,PERCENTILE(INDIRECT("g"&amp;$D$12):INDIRECT("g"&amp;$E$12),0.5),IF(F35=6,PERCENTILE(INDIRECT("g"&amp;$D$13):INDIRECT("g"&amp;$E$13),0.5)," "))))))</f>
        <v xml:space="preserve"> </v>
      </c>
      <c r="I35" s="242" t="str">
        <f t="shared" si="1"/>
        <v xml:space="preserve"> </v>
      </c>
      <c r="J35" s="242" t="str">
        <f ca="1">IF(F35=1,AVERAGE(INDIRECT("I"&amp;$D$8):INDIRECT("I"&amp;$E$8)),IF(F35=2,AVERAGE(INDIRECT("I"&amp;$D$9):INDIRECT("I"&amp;$E$9)),IF(F35=3,AVERAGE(INDIRECT("I"&amp;$D$10):INDIRECT("I"&amp;$E$10)),IF(F35=4,AVERAGE(INDIRECT("I"&amp;$D$11):INDIRECT("I"&amp;$E$11)),IF(F35=5,AVERAGE(INDIRECT("I"&amp;$D$12):INDIRECT("I"&amp;$E$12)),IF(F35=6,AVERAGE(INDIRECT("I"&amp;$D$13):INDIRECT("I"&amp;$E$13))," "))))))</f>
        <v xml:space="preserve"> </v>
      </c>
      <c r="K35" s="242" t="str">
        <f t="shared" si="2"/>
        <v xml:space="preserve"> </v>
      </c>
      <c r="L35" s="242" t="str">
        <f t="shared" si="3"/>
        <v xml:space="preserve"> </v>
      </c>
      <c r="M35" s="242" t="str">
        <f t="shared" si="4"/>
        <v xml:space="preserve"> </v>
      </c>
      <c r="P35" s="228">
        <f t="shared" si="5"/>
        <v>9</v>
      </c>
      <c r="Q35" s="228">
        <f t="shared" si="6"/>
        <v>31</v>
      </c>
      <c r="R35" s="189">
        <f t="shared" ref="R35:R39" si="9">1/P35-1/Q35</f>
        <v>7.8853046594982074E-2</v>
      </c>
      <c r="S35" s="189">
        <f t="shared" si="7"/>
        <v>17.741694447541196</v>
      </c>
      <c r="T35" s="228">
        <f t="shared" si="8"/>
        <v>64.62</v>
      </c>
      <c r="U35" s="228" t="s">
        <v>98</v>
      </c>
      <c r="V35" s="214">
        <f>1+1/(3*(V33-1))*R40</f>
        <v>1.1949748379855907</v>
      </c>
      <c r="W35" s="256"/>
      <c r="X35" s="256"/>
    </row>
    <row r="36" spans="6:24" x14ac:dyDescent="0.2">
      <c r="F36" s="216" t="str">
        <f t="shared" si="0"/>
        <v xml:space="preserve"> </v>
      </c>
      <c r="G36" s="50"/>
      <c r="H36" s="242" t="str">
        <f ca="1">IF(F36=1,PERCENTILE(INDIRECT("g"&amp;$D$8):INDIRECT("g"&amp;$E$8),0.5),IF(F36=2,PERCENTILE(INDIRECT("g"&amp;$D$9):INDIRECT("g"&amp;$E$9),0.5),IF(F36=3,PERCENTILE(INDIRECT("g"&amp;$D$10):INDIRECT("g"&amp;$E$10),0.5),IF(F36=4,PERCENTILE(INDIRECT("g"&amp;$D$11):INDIRECT("g"&amp;$E$11),0.5),IF(F36=5,PERCENTILE(INDIRECT("g"&amp;$D$12):INDIRECT("g"&amp;$E$12),0.5),IF(F36=6,PERCENTILE(INDIRECT("g"&amp;$D$13):INDIRECT("g"&amp;$E$13),0.5)," "))))))</f>
        <v xml:space="preserve"> </v>
      </c>
      <c r="I36" s="242" t="str">
        <f t="shared" si="1"/>
        <v xml:space="preserve"> </v>
      </c>
      <c r="J36" s="242" t="str">
        <f ca="1">IF(F36=1,AVERAGE(INDIRECT("I"&amp;$D$8):INDIRECT("I"&amp;$E$8)),IF(F36=2,AVERAGE(INDIRECT("I"&amp;$D$9):INDIRECT("I"&amp;$E$9)),IF(F36=3,AVERAGE(INDIRECT("I"&amp;$D$10):INDIRECT("I"&amp;$E$10)),IF(F36=4,AVERAGE(INDIRECT("I"&amp;$D$11):INDIRECT("I"&amp;$E$11)),IF(F36=5,AVERAGE(INDIRECT("I"&amp;$D$12):INDIRECT("I"&amp;$E$12)),IF(F36=6,AVERAGE(INDIRECT("I"&amp;$D$13):INDIRECT("I"&amp;$E$13))," "))))))</f>
        <v xml:space="preserve"> </v>
      </c>
      <c r="K36" s="242" t="str">
        <f t="shared" si="2"/>
        <v xml:space="preserve"> </v>
      </c>
      <c r="L36" s="242" t="str">
        <f t="shared" si="3"/>
        <v xml:space="preserve"> </v>
      </c>
      <c r="M36" s="242" t="str">
        <f t="shared" si="4"/>
        <v xml:space="preserve"> </v>
      </c>
      <c r="P36" s="228">
        <f t="shared" si="5"/>
        <v>1</v>
      </c>
      <c r="Q36" s="228">
        <f t="shared" si="6"/>
        <v>31</v>
      </c>
      <c r="R36" s="189">
        <f t="shared" si="9"/>
        <v>0.967741935483871</v>
      </c>
      <c r="S36" s="189">
        <f t="shared" si="7"/>
        <v>1.3686394258811698</v>
      </c>
      <c r="T36" s="228">
        <f t="shared" si="8"/>
        <v>3.93</v>
      </c>
      <c r="U36" s="188"/>
      <c r="V36" s="188"/>
      <c r="W36" s="256"/>
      <c r="X36" s="256"/>
    </row>
    <row r="37" spans="6:24" x14ac:dyDescent="0.2">
      <c r="F37" s="216" t="str">
        <f t="shared" si="0"/>
        <v xml:space="preserve"> </v>
      </c>
      <c r="G37" s="50"/>
      <c r="H37" s="242" t="str">
        <f ca="1">IF(F37=1,PERCENTILE(INDIRECT("g"&amp;$D$8):INDIRECT("g"&amp;$E$8),0.5),IF(F37=2,PERCENTILE(INDIRECT("g"&amp;$D$9):INDIRECT("g"&amp;$E$9),0.5),IF(F37=3,PERCENTILE(INDIRECT("g"&amp;$D$10):INDIRECT("g"&amp;$E$10),0.5),IF(F37=4,PERCENTILE(INDIRECT("g"&amp;$D$11):INDIRECT("g"&amp;$E$11),0.5),IF(F37=5,PERCENTILE(INDIRECT("g"&amp;$D$12):INDIRECT("g"&amp;$E$12),0.5),IF(F37=6,PERCENTILE(INDIRECT("g"&amp;$D$13):INDIRECT("g"&amp;$E$13),0.5)," "))))))</f>
        <v xml:space="preserve"> </v>
      </c>
      <c r="I37" s="242" t="str">
        <f t="shared" si="1"/>
        <v xml:space="preserve"> </v>
      </c>
      <c r="J37" s="242" t="str">
        <f ca="1">IF(F37=1,AVERAGE(INDIRECT("I"&amp;$D$8):INDIRECT("I"&amp;$E$8)),IF(F37=2,AVERAGE(INDIRECT("I"&amp;$D$9):INDIRECT("I"&amp;$E$9)),IF(F37=3,AVERAGE(INDIRECT("I"&amp;$D$10):INDIRECT("I"&amp;$E$10)),IF(F37=4,AVERAGE(INDIRECT("I"&amp;$D$11):INDIRECT("I"&amp;$E$11)),IF(F37=5,AVERAGE(INDIRECT("I"&amp;$D$12):INDIRECT("I"&amp;$E$12)),IF(F37=6,AVERAGE(INDIRECT("I"&amp;$D$13):INDIRECT("I"&amp;$E$13))," "))))))</f>
        <v xml:space="preserve"> </v>
      </c>
      <c r="K37" s="242" t="str">
        <f t="shared" si="2"/>
        <v xml:space="preserve"> </v>
      </c>
      <c r="L37" s="242" t="str">
        <f t="shared" si="3"/>
        <v xml:space="preserve"> </v>
      </c>
      <c r="M37" s="242" t="str">
        <f t="shared" si="4"/>
        <v xml:space="preserve"> </v>
      </c>
      <c r="P37" s="228">
        <f t="shared" si="5"/>
        <v>1</v>
      </c>
      <c r="Q37" s="228">
        <f t="shared" si="6"/>
        <v>31</v>
      </c>
      <c r="R37" s="189">
        <f t="shared" si="9"/>
        <v>0.967741935483871</v>
      </c>
      <c r="S37" s="189">
        <f t="shared" si="7"/>
        <v>1.144222799920162</v>
      </c>
      <c r="T37" s="228">
        <f t="shared" si="8"/>
        <v>3.14</v>
      </c>
      <c r="U37" s="188"/>
      <c r="V37" s="188"/>
      <c r="W37" s="256"/>
      <c r="X37" s="256"/>
    </row>
    <row r="38" spans="6:24" x14ac:dyDescent="0.2">
      <c r="F38" s="216" t="str">
        <f t="shared" si="0"/>
        <v xml:space="preserve"> </v>
      </c>
      <c r="G38" s="50"/>
      <c r="H38" s="242" t="str">
        <f ca="1">IF(F38=1,PERCENTILE(INDIRECT("g"&amp;$D$8):INDIRECT("g"&amp;$E$8),0.5),IF(F38=2,PERCENTILE(INDIRECT("g"&amp;$D$9):INDIRECT("g"&amp;$E$9),0.5),IF(F38=3,PERCENTILE(INDIRECT("g"&amp;$D$10):INDIRECT("g"&amp;$E$10),0.5),IF(F38=4,PERCENTILE(INDIRECT("g"&amp;$D$11):INDIRECT("g"&amp;$E$11),0.5),IF(F38=5,PERCENTILE(INDIRECT("g"&amp;$D$12):INDIRECT("g"&amp;$E$12),0.5),IF(F38=6,PERCENTILE(INDIRECT("g"&amp;$D$13):INDIRECT("g"&amp;$E$13),0.5)," "))))))</f>
        <v xml:space="preserve"> </v>
      </c>
      <c r="I38" s="242" t="str">
        <f t="shared" si="1"/>
        <v xml:space="preserve"> </v>
      </c>
      <c r="J38" s="242" t="str">
        <f ca="1">IF(F38=1,AVERAGE(INDIRECT("I"&amp;$D$8):INDIRECT("I"&amp;$E$8)),IF(F38=2,AVERAGE(INDIRECT("I"&amp;$D$9):INDIRECT("I"&amp;$E$9)),IF(F38=3,AVERAGE(INDIRECT("I"&amp;$D$10):INDIRECT("I"&amp;$E$10)),IF(F38=4,AVERAGE(INDIRECT("I"&amp;$D$11):INDIRECT("I"&amp;$E$11)),IF(F38=5,AVERAGE(INDIRECT("I"&amp;$D$12):INDIRECT("I"&amp;$E$12)),IF(F38=6,AVERAGE(INDIRECT("I"&amp;$D$13):INDIRECT("I"&amp;$E$13))," "))))))</f>
        <v xml:space="preserve"> </v>
      </c>
      <c r="K38" s="242" t="str">
        <f t="shared" si="2"/>
        <v xml:space="preserve"> </v>
      </c>
      <c r="L38" s="242" t="str">
        <f t="shared" si="3"/>
        <v xml:space="preserve"> </v>
      </c>
      <c r="M38" s="242" t="str">
        <f t="shared" si="4"/>
        <v xml:space="preserve"> </v>
      </c>
      <c r="P38" s="228">
        <f t="shared" si="5"/>
        <v>5</v>
      </c>
      <c r="Q38" s="228">
        <f t="shared" si="6"/>
        <v>31</v>
      </c>
      <c r="R38" s="189">
        <f t="shared" si="9"/>
        <v>0.16774193548387098</v>
      </c>
      <c r="S38" s="189">
        <f t="shared" si="7"/>
        <v>14.316715427541226</v>
      </c>
      <c r="T38" s="228">
        <f t="shared" si="8"/>
        <v>87.6</v>
      </c>
      <c r="U38" s="188"/>
      <c r="V38" s="188"/>
      <c r="W38" s="256"/>
      <c r="X38" s="256"/>
    </row>
    <row r="39" spans="6:24" x14ac:dyDescent="0.2">
      <c r="F39" s="216" t="str">
        <f t="shared" si="0"/>
        <v xml:space="preserve"> </v>
      </c>
      <c r="G39" s="50"/>
      <c r="H39" s="242" t="str">
        <f ca="1">IF(F39=1,PERCENTILE(INDIRECT("g"&amp;$D$8):INDIRECT("g"&amp;$E$8),0.5),IF(F39=2,PERCENTILE(INDIRECT("g"&amp;$D$9):INDIRECT("g"&amp;$E$9),0.5),IF(F39=3,PERCENTILE(INDIRECT("g"&amp;$D$10):INDIRECT("g"&amp;$E$10),0.5),IF(F39=4,PERCENTILE(INDIRECT("g"&amp;$D$11):INDIRECT("g"&amp;$E$11),0.5),IF(F39=5,PERCENTILE(INDIRECT("g"&amp;$D$12):INDIRECT("g"&amp;$E$12),0.5),IF(F39=6,PERCENTILE(INDIRECT("g"&amp;$D$13):INDIRECT("g"&amp;$E$13),0.5)," "))))))</f>
        <v xml:space="preserve"> </v>
      </c>
      <c r="I39" s="242" t="str">
        <f t="shared" si="1"/>
        <v xml:space="preserve"> </v>
      </c>
      <c r="J39" s="242" t="str">
        <f ca="1">IF(F39=1,AVERAGE(INDIRECT("I"&amp;$D$8):INDIRECT("I"&amp;$E$8)),IF(F39=2,AVERAGE(INDIRECT("I"&amp;$D$9):INDIRECT("I"&amp;$E$9)),IF(F39=3,AVERAGE(INDIRECT("I"&amp;$D$10):INDIRECT("I"&amp;$E$10)),IF(F39=4,AVERAGE(INDIRECT("I"&amp;$D$11):INDIRECT("I"&amp;$E$11)),IF(F39=5,AVERAGE(INDIRECT("I"&amp;$D$12):INDIRECT("I"&amp;$E$12)),IF(F39=6,AVERAGE(INDIRECT("I"&amp;$D$13):INDIRECT("I"&amp;$E$13))," "))))))</f>
        <v xml:space="preserve"> </v>
      </c>
      <c r="K39" s="242" t="str">
        <f t="shared" si="2"/>
        <v xml:space="preserve"> </v>
      </c>
      <c r="L39" s="242" t="str">
        <f t="shared" si="3"/>
        <v xml:space="preserve"> </v>
      </c>
      <c r="M39" s="242" t="str">
        <f t="shared" si="4"/>
        <v xml:space="preserve"> </v>
      </c>
      <c r="P39" s="228">
        <f t="shared" si="5"/>
        <v>1</v>
      </c>
      <c r="Q39" s="228">
        <f t="shared" si="6"/>
        <v>31</v>
      </c>
      <c r="R39" s="189">
        <f t="shared" si="9"/>
        <v>0.967741935483871</v>
      </c>
      <c r="S39" s="189">
        <f t="shared" si="7"/>
        <v>0.12221763272424911</v>
      </c>
      <c r="T39" s="228">
        <f t="shared" si="8"/>
        <v>1.1299999999999999</v>
      </c>
      <c r="U39" s="188"/>
      <c r="V39" s="188"/>
      <c r="W39" s="256"/>
      <c r="X39" s="256"/>
    </row>
    <row r="40" spans="6:24" x14ac:dyDescent="0.2">
      <c r="F40" s="216" t="str">
        <f t="shared" si="0"/>
        <v xml:space="preserve"> </v>
      </c>
      <c r="G40" s="50"/>
      <c r="H40" s="242" t="str">
        <f ca="1">IF(F40=1,PERCENTILE(INDIRECT("g"&amp;$D$8):INDIRECT("g"&amp;$E$8),0.5),IF(F40=2,PERCENTILE(INDIRECT("g"&amp;$D$9):INDIRECT("g"&amp;$E$9),0.5),IF(F40=3,PERCENTILE(INDIRECT("g"&amp;$D$10):INDIRECT("g"&amp;$E$10),0.5),IF(F40=4,PERCENTILE(INDIRECT("g"&amp;$D$11):INDIRECT("g"&amp;$E$11),0.5),IF(F40=5,PERCENTILE(INDIRECT("g"&amp;$D$12):INDIRECT("g"&amp;$E$12),0.5),IF(F40=6,PERCENTILE(INDIRECT("g"&amp;$D$13):INDIRECT("g"&amp;$E$13),0.5)," "))))))</f>
        <v xml:space="preserve"> </v>
      </c>
      <c r="I40" s="242" t="str">
        <f t="shared" si="1"/>
        <v xml:space="preserve"> </v>
      </c>
      <c r="J40" s="242" t="str">
        <f ca="1">IF(F40=1,AVERAGE(INDIRECT("I"&amp;$D$8):INDIRECT("I"&amp;$E$8)),IF(F40=2,AVERAGE(INDIRECT("I"&amp;$D$9):INDIRECT("I"&amp;$E$9)),IF(F40=3,AVERAGE(INDIRECT("I"&amp;$D$10):INDIRECT("I"&amp;$E$10)),IF(F40=4,AVERAGE(INDIRECT("I"&amp;$D$11):INDIRECT("I"&amp;$E$11)),IF(F40=5,AVERAGE(INDIRECT("I"&amp;$D$12):INDIRECT("I"&amp;$E$12)),IF(F40=6,AVERAGE(INDIRECT("I"&amp;$D$13):INDIRECT("I"&amp;$E$13))," "))))))</f>
        <v xml:space="preserve"> </v>
      </c>
      <c r="K40" s="242" t="str">
        <f t="shared" si="2"/>
        <v xml:space="preserve"> </v>
      </c>
      <c r="L40" s="242" t="str">
        <f t="shared" si="3"/>
        <v xml:space="preserve"> </v>
      </c>
      <c r="M40" s="242" t="str">
        <f t="shared" si="4"/>
        <v xml:space="preserve"> </v>
      </c>
      <c r="P40" s="188"/>
      <c r="Q40" s="214" t="s">
        <v>90</v>
      </c>
      <c r="R40" s="214">
        <f>SUM(R33:R39)</f>
        <v>3.5095470837406326</v>
      </c>
      <c r="S40" s="214">
        <f>SUM(S33:S39)</f>
        <v>84.101253024040545</v>
      </c>
      <c r="T40" s="214">
        <f>SUM(T33:T39)</f>
        <v>764.18999999999994</v>
      </c>
      <c r="U40" s="188"/>
      <c r="V40" s="188"/>
      <c r="W40" s="256"/>
      <c r="X40" s="256"/>
    </row>
    <row r="41" spans="6:24" x14ac:dyDescent="0.2">
      <c r="F41" s="216" t="str">
        <f t="shared" si="0"/>
        <v xml:space="preserve"> </v>
      </c>
      <c r="G41" s="50"/>
      <c r="H41" s="242" t="str">
        <f ca="1">IF(F41=1,PERCENTILE(INDIRECT("g"&amp;$D$8):INDIRECT("g"&amp;$E$8),0.5),IF(F41=2,PERCENTILE(INDIRECT("g"&amp;$D$9):INDIRECT("g"&amp;$E$9),0.5),IF(F41=3,PERCENTILE(INDIRECT("g"&amp;$D$10):INDIRECT("g"&amp;$E$10),0.5),IF(F41=4,PERCENTILE(INDIRECT("g"&amp;$D$11):INDIRECT("g"&amp;$E$11),0.5),IF(F41=5,PERCENTILE(INDIRECT("g"&amp;$D$12):INDIRECT("g"&amp;$E$12),0.5),IF(F41=6,PERCENTILE(INDIRECT("g"&amp;$D$13):INDIRECT("g"&amp;$E$13),0.5)," "))))))</f>
        <v xml:space="preserve"> </v>
      </c>
      <c r="I41" s="242" t="str">
        <f t="shared" si="1"/>
        <v xml:space="preserve"> </v>
      </c>
      <c r="J41" s="242" t="str">
        <f ca="1">IF(F41=1,AVERAGE(INDIRECT("I"&amp;$D$8):INDIRECT("I"&amp;$E$8)),IF(F41=2,AVERAGE(INDIRECT("I"&amp;$D$9):INDIRECT("I"&amp;$E$9)),IF(F41=3,AVERAGE(INDIRECT("I"&amp;$D$10):INDIRECT("I"&amp;$E$10)),IF(F41=4,AVERAGE(INDIRECT("I"&amp;$D$11):INDIRECT("I"&amp;$E$11)),IF(F41=5,AVERAGE(INDIRECT("I"&amp;$D$12):INDIRECT("I"&amp;$E$12)),IF(F41=6,AVERAGE(INDIRECT("I"&amp;$D$13):INDIRECT("I"&amp;$E$13))," "))))))</f>
        <v xml:space="preserve"> </v>
      </c>
      <c r="K41" s="242" t="str">
        <f t="shared" si="2"/>
        <v xml:space="preserve"> </v>
      </c>
      <c r="L41" s="242" t="str">
        <f t="shared" si="3"/>
        <v xml:space="preserve"> </v>
      </c>
      <c r="M41" s="242" t="str">
        <f t="shared" si="4"/>
        <v xml:space="preserve"> </v>
      </c>
      <c r="P41" s="256"/>
      <c r="Q41" s="256"/>
      <c r="R41" s="256"/>
      <c r="S41" s="256"/>
      <c r="T41" s="256"/>
      <c r="U41" s="256"/>
      <c r="V41" s="256"/>
      <c r="W41" s="256"/>
      <c r="X41" s="256"/>
    </row>
    <row r="42" spans="6:24" x14ac:dyDescent="0.2">
      <c r="F42" s="216" t="str">
        <f t="shared" si="0"/>
        <v xml:space="preserve"> </v>
      </c>
      <c r="G42" s="50"/>
      <c r="H42" s="242" t="str">
        <f ca="1">IF(F42=1,PERCENTILE(INDIRECT("g"&amp;$D$8):INDIRECT("g"&amp;$E$8),0.5),IF(F42=2,PERCENTILE(INDIRECT("g"&amp;$D$9):INDIRECT("g"&amp;$E$9),0.5),IF(F42=3,PERCENTILE(INDIRECT("g"&amp;$D$10):INDIRECT("g"&amp;$E$10),0.5),IF(F42=4,PERCENTILE(INDIRECT("g"&amp;$D$11):INDIRECT("g"&amp;$E$11),0.5),IF(F42=5,PERCENTILE(INDIRECT("g"&amp;$D$12):INDIRECT("g"&amp;$E$12),0.5),IF(F42=6,PERCENTILE(INDIRECT("g"&amp;$D$13):INDIRECT("g"&amp;$E$13),0.5)," "))))))</f>
        <v xml:space="preserve"> </v>
      </c>
      <c r="I42" s="242" t="str">
        <f t="shared" si="1"/>
        <v xml:space="preserve"> </v>
      </c>
      <c r="J42" s="242" t="str">
        <f ca="1">IF(F42=1,AVERAGE(INDIRECT("I"&amp;$D$8):INDIRECT("I"&amp;$E$8)),IF(F42=2,AVERAGE(INDIRECT("I"&amp;$D$9):INDIRECT("I"&amp;$E$9)),IF(F42=3,AVERAGE(INDIRECT("I"&amp;$D$10):INDIRECT("I"&amp;$E$10)),IF(F42=4,AVERAGE(INDIRECT("I"&amp;$D$11):INDIRECT("I"&amp;$E$11)),IF(F42=5,AVERAGE(INDIRECT("I"&amp;$D$12):INDIRECT("I"&amp;$E$12)),IF(F42=6,AVERAGE(INDIRECT("I"&amp;$D$13):INDIRECT("I"&amp;$E$13))," "))))))</f>
        <v xml:space="preserve"> </v>
      </c>
      <c r="K42" s="242" t="str">
        <f t="shared" si="2"/>
        <v xml:space="preserve"> </v>
      </c>
      <c r="L42" s="242" t="str">
        <f t="shared" si="3"/>
        <v xml:space="preserve"> </v>
      </c>
      <c r="M42" s="242" t="str">
        <f t="shared" si="4"/>
        <v xml:space="preserve"> </v>
      </c>
      <c r="P42" s="256"/>
      <c r="Q42" s="256"/>
      <c r="R42" s="256"/>
      <c r="S42" s="256"/>
      <c r="T42" s="256"/>
      <c r="U42" s="256"/>
      <c r="V42" s="256"/>
      <c r="W42" s="256"/>
      <c r="X42" s="256"/>
    </row>
    <row r="43" spans="6:24" x14ac:dyDescent="0.2">
      <c r="F43" s="216" t="str">
        <f t="shared" si="0"/>
        <v xml:space="preserve"> </v>
      </c>
      <c r="G43" s="50"/>
      <c r="H43" s="242" t="str">
        <f ca="1">IF(F43=1,PERCENTILE(INDIRECT("g"&amp;$D$8):INDIRECT("g"&amp;$E$8),0.5),IF(F43=2,PERCENTILE(INDIRECT("g"&amp;$D$9):INDIRECT("g"&amp;$E$9),0.5),IF(F43=3,PERCENTILE(INDIRECT("g"&amp;$D$10):INDIRECT("g"&amp;$E$10),0.5),IF(F43=4,PERCENTILE(INDIRECT("g"&amp;$D$11):INDIRECT("g"&amp;$E$11),0.5),IF(F43=5,PERCENTILE(INDIRECT("g"&amp;$D$12):INDIRECT("g"&amp;$E$12),0.5),IF(F43=6,PERCENTILE(INDIRECT("g"&amp;$D$13):INDIRECT("g"&amp;$E$13),0.5)," "))))))</f>
        <v xml:space="preserve"> </v>
      </c>
      <c r="I43" s="242" t="str">
        <f t="shared" si="1"/>
        <v xml:space="preserve"> </v>
      </c>
      <c r="J43" s="242" t="str">
        <f ca="1">IF(F43=1,AVERAGE(INDIRECT("I"&amp;$D$8):INDIRECT("I"&amp;$E$8)),IF(F43=2,AVERAGE(INDIRECT("I"&amp;$D$9):INDIRECT("I"&amp;$E$9)),IF(F43=3,AVERAGE(INDIRECT("I"&amp;$D$10):INDIRECT("I"&amp;$E$10)),IF(F43=4,AVERAGE(INDIRECT("I"&amp;$D$11):INDIRECT("I"&amp;$E$11)),IF(F43=5,AVERAGE(INDIRECT("I"&amp;$D$12):INDIRECT("I"&amp;$E$12)),IF(F43=6,AVERAGE(INDIRECT("I"&amp;$D$13):INDIRECT("I"&amp;$E$13))," "))))))</f>
        <v xml:space="preserve"> </v>
      </c>
      <c r="K43" s="242" t="str">
        <f t="shared" si="2"/>
        <v xml:space="preserve"> </v>
      </c>
      <c r="L43" s="242" t="str">
        <f t="shared" si="3"/>
        <v xml:space="preserve"> </v>
      </c>
      <c r="M43" s="242" t="str">
        <f t="shared" si="4"/>
        <v xml:space="preserve"> </v>
      </c>
      <c r="P43" s="256"/>
      <c r="Q43" s="256"/>
      <c r="R43" s="256"/>
      <c r="S43" s="256"/>
      <c r="T43" s="256"/>
      <c r="U43" s="256"/>
      <c r="V43" s="256"/>
      <c r="W43" s="256"/>
      <c r="X43" s="256"/>
    </row>
    <row r="44" spans="6:24" x14ac:dyDescent="0.2">
      <c r="F44" s="216" t="str">
        <f t="shared" si="0"/>
        <v xml:space="preserve"> </v>
      </c>
      <c r="G44" s="50"/>
      <c r="H44" s="242" t="str">
        <f ca="1">IF(F44=1,PERCENTILE(INDIRECT("g"&amp;$D$8):INDIRECT("g"&amp;$E$8),0.5),IF(F44=2,PERCENTILE(INDIRECT("g"&amp;$D$9):INDIRECT("g"&amp;$E$9),0.5),IF(F44=3,PERCENTILE(INDIRECT("g"&amp;$D$10):INDIRECT("g"&amp;$E$10),0.5),IF(F44=4,PERCENTILE(INDIRECT("g"&amp;$D$11):INDIRECT("g"&amp;$E$11),0.5),IF(F44=5,PERCENTILE(INDIRECT("g"&amp;$D$12):INDIRECT("g"&amp;$E$12),0.5),IF(F44=6,PERCENTILE(INDIRECT("g"&amp;$D$13):INDIRECT("g"&amp;$E$13),0.5)," "))))))</f>
        <v xml:space="preserve"> </v>
      </c>
      <c r="I44" s="242" t="str">
        <f t="shared" si="1"/>
        <v xml:space="preserve"> </v>
      </c>
      <c r="J44" s="242" t="str">
        <f ca="1">IF(F44=1,AVERAGE(INDIRECT("I"&amp;$D$8):INDIRECT("I"&amp;$E$8)),IF(F44=2,AVERAGE(INDIRECT("I"&amp;$D$9):INDIRECT("I"&amp;$E$9)),IF(F44=3,AVERAGE(INDIRECT("I"&amp;$D$10):INDIRECT("I"&amp;$E$10)),IF(F44=4,AVERAGE(INDIRECT("I"&amp;$D$11):INDIRECT("I"&amp;$E$11)),IF(F44=5,AVERAGE(INDIRECT("I"&amp;$D$12):INDIRECT("I"&amp;$E$12)),IF(F44=6,AVERAGE(INDIRECT("I"&amp;$D$13):INDIRECT("I"&amp;$E$13))," "))))))</f>
        <v xml:space="preserve"> </v>
      </c>
      <c r="K44" s="242" t="str">
        <f t="shared" si="2"/>
        <v xml:space="preserve"> </v>
      </c>
      <c r="L44" s="242" t="str">
        <f t="shared" si="3"/>
        <v xml:space="preserve"> </v>
      </c>
      <c r="M44" s="242" t="str">
        <f t="shared" si="4"/>
        <v xml:space="preserve"> </v>
      </c>
    </row>
    <row r="45" spans="6:24" x14ac:dyDescent="0.2">
      <c r="F45" s="216" t="str">
        <f t="shared" si="0"/>
        <v xml:space="preserve"> </v>
      </c>
      <c r="G45" s="50"/>
      <c r="H45" s="242" t="str">
        <f ca="1">IF(F45=1,PERCENTILE(INDIRECT("g"&amp;$D$8):INDIRECT("g"&amp;$E$8),0.5),IF(F45=2,PERCENTILE(INDIRECT("g"&amp;$D$9):INDIRECT("g"&amp;$E$9),0.5),IF(F45=3,PERCENTILE(INDIRECT("g"&amp;$D$10):INDIRECT("g"&amp;$E$10),0.5),IF(F45=4,PERCENTILE(INDIRECT("g"&amp;$D$11):INDIRECT("g"&amp;$E$11),0.5),IF(F45=5,PERCENTILE(INDIRECT("g"&amp;$D$12):INDIRECT("g"&amp;$E$12),0.5),IF(F45=6,PERCENTILE(INDIRECT("g"&amp;$D$13):INDIRECT("g"&amp;$E$13),0.5)," "))))))</f>
        <v xml:space="preserve"> </v>
      </c>
      <c r="I45" s="242" t="str">
        <f t="shared" si="1"/>
        <v xml:space="preserve"> </v>
      </c>
      <c r="J45" s="242" t="str">
        <f ca="1">IF(F45=1,AVERAGE(INDIRECT("I"&amp;$D$8):INDIRECT("I"&amp;$E$8)),IF(F45=2,AVERAGE(INDIRECT("I"&amp;$D$9):INDIRECT("I"&amp;$E$9)),IF(F45=3,AVERAGE(INDIRECT("I"&amp;$D$10):INDIRECT("I"&amp;$E$10)),IF(F45=4,AVERAGE(INDIRECT("I"&amp;$D$11):INDIRECT("I"&amp;$E$11)),IF(F45=5,AVERAGE(INDIRECT("I"&amp;$D$12):INDIRECT("I"&amp;$E$12)),IF(F45=6,AVERAGE(INDIRECT("I"&amp;$D$13):INDIRECT("I"&amp;$E$13))," "))))))</f>
        <v xml:space="preserve"> </v>
      </c>
      <c r="K45" s="242" t="str">
        <f t="shared" si="2"/>
        <v xml:space="preserve"> </v>
      </c>
      <c r="L45" s="242" t="str">
        <f t="shared" si="3"/>
        <v xml:space="preserve"> </v>
      </c>
      <c r="M45" s="242" t="str">
        <f t="shared" si="4"/>
        <v xml:space="preserve"> </v>
      </c>
    </row>
    <row r="46" spans="6:24" x14ac:dyDescent="0.2">
      <c r="F46" s="216" t="str">
        <f t="shared" si="0"/>
        <v xml:space="preserve"> </v>
      </c>
      <c r="G46" s="50"/>
      <c r="H46" s="242" t="str">
        <f ca="1">IF(F46=1,PERCENTILE(INDIRECT("g"&amp;$D$8):INDIRECT("g"&amp;$E$8),0.5),IF(F46=2,PERCENTILE(INDIRECT("g"&amp;$D$9):INDIRECT("g"&amp;$E$9),0.5),IF(F46=3,PERCENTILE(INDIRECT("g"&amp;$D$10):INDIRECT("g"&amp;$E$10),0.5),IF(F46=4,PERCENTILE(INDIRECT("g"&amp;$D$11):INDIRECT("g"&amp;$E$11),0.5),IF(F46=5,PERCENTILE(INDIRECT("g"&amp;$D$12):INDIRECT("g"&amp;$E$12),0.5),IF(F46=6,PERCENTILE(INDIRECT("g"&amp;$D$13):INDIRECT("g"&amp;$E$13),0.5)," "))))))</f>
        <v xml:space="preserve"> </v>
      </c>
      <c r="I46" s="242" t="str">
        <f t="shared" si="1"/>
        <v xml:space="preserve"> </v>
      </c>
      <c r="J46" s="242" t="str">
        <f ca="1">IF(F46=1,AVERAGE(INDIRECT("I"&amp;$D$8):INDIRECT("I"&amp;$E$8)),IF(F46=2,AVERAGE(INDIRECT("I"&amp;$D$9):INDIRECT("I"&amp;$E$9)),IF(F46=3,AVERAGE(INDIRECT("I"&amp;$D$10):INDIRECT("I"&amp;$E$10)),IF(F46=4,AVERAGE(INDIRECT("I"&amp;$D$11):INDIRECT("I"&amp;$E$11)),IF(F46=5,AVERAGE(INDIRECT("I"&amp;$D$12):INDIRECT("I"&amp;$E$12)),IF(F46=6,AVERAGE(INDIRECT("I"&amp;$D$13):INDIRECT("I"&amp;$E$13))," "))))))</f>
        <v xml:space="preserve"> </v>
      </c>
      <c r="K46" s="242" t="str">
        <f t="shared" si="2"/>
        <v xml:space="preserve"> </v>
      </c>
      <c r="L46" s="242" t="str">
        <f t="shared" si="3"/>
        <v xml:space="preserve"> </v>
      </c>
      <c r="M46" s="242" t="str">
        <f t="shared" si="4"/>
        <v xml:space="preserve"> </v>
      </c>
    </row>
    <row r="47" spans="6:24" x14ac:dyDescent="0.2">
      <c r="F47" s="216" t="str">
        <f t="shared" si="0"/>
        <v xml:space="preserve"> </v>
      </c>
      <c r="G47" s="50"/>
      <c r="H47" s="242" t="str">
        <f ca="1">IF(F47=1,PERCENTILE(INDIRECT("g"&amp;$D$8):INDIRECT("g"&amp;$E$8),0.5),IF(F47=2,PERCENTILE(INDIRECT("g"&amp;$D$9):INDIRECT("g"&amp;$E$9),0.5),IF(F47=3,PERCENTILE(INDIRECT("g"&amp;$D$10):INDIRECT("g"&amp;$E$10),0.5),IF(F47=4,PERCENTILE(INDIRECT("g"&amp;$D$11):INDIRECT("g"&amp;$E$11),0.5),IF(F47=5,PERCENTILE(INDIRECT("g"&amp;$D$12):INDIRECT("g"&amp;$E$12),0.5),IF(F47=6,PERCENTILE(INDIRECT("g"&amp;$D$13):INDIRECT("g"&amp;$E$13),0.5)," "))))))</f>
        <v xml:space="preserve"> </v>
      </c>
      <c r="I47" s="242" t="str">
        <f t="shared" si="1"/>
        <v xml:space="preserve"> </v>
      </c>
      <c r="J47" s="242" t="str">
        <f ca="1">IF(F47=1,AVERAGE(INDIRECT("I"&amp;$D$8):INDIRECT("I"&amp;$E$8)),IF(F47=2,AVERAGE(INDIRECT("I"&amp;$D$9):INDIRECT("I"&amp;$E$9)),IF(F47=3,AVERAGE(INDIRECT("I"&amp;$D$10):INDIRECT("I"&amp;$E$10)),IF(F47=4,AVERAGE(INDIRECT("I"&amp;$D$11):INDIRECT("I"&amp;$E$11)),IF(F47=5,AVERAGE(INDIRECT("I"&amp;$D$12):INDIRECT("I"&amp;$E$12)),IF(F47=6,AVERAGE(INDIRECT("I"&amp;$D$13):INDIRECT("I"&amp;$E$13))," "))))))</f>
        <v xml:space="preserve"> </v>
      </c>
      <c r="K47" s="242" t="str">
        <f t="shared" si="2"/>
        <v xml:space="preserve"> </v>
      </c>
      <c r="L47" s="242" t="str">
        <f t="shared" si="3"/>
        <v xml:space="preserve"> </v>
      </c>
      <c r="M47" s="242" t="str">
        <f t="shared" si="4"/>
        <v xml:space="preserve"> </v>
      </c>
    </row>
    <row r="48" spans="6:24" x14ac:dyDescent="0.2">
      <c r="F48" s="216" t="str">
        <f t="shared" si="0"/>
        <v xml:space="preserve"> </v>
      </c>
      <c r="G48" s="50"/>
      <c r="H48" s="242" t="str">
        <f ca="1">IF(F48=1,PERCENTILE(INDIRECT("g"&amp;$D$8):INDIRECT("g"&amp;$E$8),0.5),IF(F48=2,PERCENTILE(INDIRECT("g"&amp;$D$9):INDIRECT("g"&amp;$E$9),0.5),IF(F48=3,PERCENTILE(INDIRECT("g"&amp;$D$10):INDIRECT("g"&amp;$E$10),0.5),IF(F48=4,PERCENTILE(INDIRECT("g"&amp;$D$11):INDIRECT("g"&amp;$E$11),0.5),IF(F48=5,PERCENTILE(INDIRECT("g"&amp;$D$12):INDIRECT("g"&amp;$E$12),0.5),IF(F48=6,PERCENTILE(INDIRECT("g"&amp;$D$13):INDIRECT("g"&amp;$E$13),0.5)," "))))))</f>
        <v xml:space="preserve"> </v>
      </c>
      <c r="I48" s="242" t="str">
        <f t="shared" si="1"/>
        <v xml:space="preserve"> </v>
      </c>
      <c r="J48" s="242" t="str">
        <f ca="1">IF(F48=1,AVERAGE(INDIRECT("I"&amp;$D$8):INDIRECT("I"&amp;$E$8)),IF(F48=2,AVERAGE(INDIRECT("I"&amp;$D$9):INDIRECT("I"&amp;$E$9)),IF(F48=3,AVERAGE(INDIRECT("I"&amp;$D$10):INDIRECT("I"&amp;$E$10)),IF(F48=4,AVERAGE(INDIRECT("I"&amp;$D$11):INDIRECT("I"&amp;$E$11)),IF(F48=5,AVERAGE(INDIRECT("I"&amp;$D$12):INDIRECT("I"&amp;$E$12)),IF(F48=6,AVERAGE(INDIRECT("I"&amp;$D$13):INDIRECT("I"&amp;$E$13))," "))))))</f>
        <v xml:space="preserve"> </v>
      </c>
      <c r="K48" s="242" t="str">
        <f t="shared" si="2"/>
        <v xml:space="preserve"> </v>
      </c>
      <c r="L48" s="242" t="str">
        <f t="shared" si="3"/>
        <v xml:space="preserve"> </v>
      </c>
      <c r="M48" s="242" t="str">
        <f t="shared" si="4"/>
        <v xml:space="preserve"> </v>
      </c>
    </row>
    <row r="49" spans="6:13" x14ac:dyDescent="0.2">
      <c r="F49" s="216" t="str">
        <f t="shared" si="0"/>
        <v xml:space="preserve"> </v>
      </c>
      <c r="G49" s="50"/>
      <c r="H49" s="242" t="str">
        <f ca="1">IF(F49=1,PERCENTILE(INDIRECT("g"&amp;$D$8):INDIRECT("g"&amp;$E$8),0.5),IF(F49=2,PERCENTILE(INDIRECT("g"&amp;$D$9):INDIRECT("g"&amp;$E$9),0.5),IF(F49=3,PERCENTILE(INDIRECT("g"&amp;$D$10):INDIRECT("g"&amp;$E$10),0.5),IF(F49=4,PERCENTILE(INDIRECT("g"&amp;$D$11):INDIRECT("g"&amp;$E$11),0.5),IF(F49=5,PERCENTILE(INDIRECT("g"&amp;$D$12):INDIRECT("g"&amp;$E$12),0.5),IF(F49=6,PERCENTILE(INDIRECT("g"&amp;$D$13):INDIRECT("g"&amp;$E$13),0.5)," "))))))</f>
        <v xml:space="preserve"> </v>
      </c>
      <c r="I49" s="242" t="str">
        <f t="shared" si="1"/>
        <v xml:space="preserve"> </v>
      </c>
      <c r="J49" s="242" t="str">
        <f ca="1">IF(F49=1,AVERAGE(INDIRECT("I"&amp;$D$8):INDIRECT("I"&amp;$E$8)),IF(F49=2,AVERAGE(INDIRECT("I"&amp;$D$9):INDIRECT("I"&amp;$E$9)),IF(F49=3,AVERAGE(INDIRECT("I"&amp;$D$10):INDIRECT("I"&amp;$E$10)),IF(F49=4,AVERAGE(INDIRECT("I"&amp;$D$11):INDIRECT("I"&amp;$E$11)),IF(F49=5,AVERAGE(INDIRECT("I"&amp;$D$12):INDIRECT("I"&amp;$E$12)),IF(F49=6,AVERAGE(INDIRECT("I"&amp;$D$13):INDIRECT("I"&amp;$E$13))," "))))))</f>
        <v xml:space="preserve"> </v>
      </c>
      <c r="K49" s="242" t="str">
        <f t="shared" si="2"/>
        <v xml:space="preserve"> </v>
      </c>
      <c r="L49" s="242" t="str">
        <f t="shared" si="3"/>
        <v xml:space="preserve"> </v>
      </c>
      <c r="M49" s="242" t="str">
        <f t="shared" si="4"/>
        <v xml:space="preserve"> </v>
      </c>
    </row>
    <row r="50" spans="6:13" x14ac:dyDescent="0.2">
      <c r="F50" s="216" t="str">
        <f t="shared" si="0"/>
        <v xml:space="preserve"> </v>
      </c>
      <c r="G50" s="50"/>
      <c r="H50" s="242" t="str">
        <f ca="1">IF(F50=1,PERCENTILE(INDIRECT("g"&amp;$D$8):INDIRECT("g"&amp;$E$8),0.5),IF(F50=2,PERCENTILE(INDIRECT("g"&amp;$D$9):INDIRECT("g"&amp;$E$9),0.5),IF(F50=3,PERCENTILE(INDIRECT("g"&amp;$D$10):INDIRECT("g"&amp;$E$10),0.5),IF(F50=4,PERCENTILE(INDIRECT("g"&amp;$D$11):INDIRECT("g"&amp;$E$11),0.5),IF(F50=5,PERCENTILE(INDIRECT("g"&amp;$D$12):INDIRECT("g"&amp;$E$12),0.5),IF(F50=6,PERCENTILE(INDIRECT("g"&amp;$D$13):INDIRECT("g"&amp;$E$13),0.5)," "))))))</f>
        <v xml:space="preserve"> </v>
      </c>
      <c r="I50" s="242" t="str">
        <f t="shared" si="1"/>
        <v xml:space="preserve"> </v>
      </c>
      <c r="J50" s="242" t="str">
        <f ca="1">IF(F50=1,AVERAGE(INDIRECT("I"&amp;$D$8):INDIRECT("I"&amp;$E$8)),IF(F50=2,AVERAGE(INDIRECT("I"&amp;$D$9):INDIRECT("I"&amp;$E$9)),IF(F50=3,AVERAGE(INDIRECT("I"&amp;$D$10):INDIRECT("I"&amp;$E$10)),IF(F50=4,AVERAGE(INDIRECT("I"&amp;$D$11):INDIRECT("I"&amp;$E$11)),IF(F50=5,AVERAGE(INDIRECT("I"&amp;$D$12):INDIRECT("I"&amp;$E$12)),IF(F50=6,AVERAGE(INDIRECT("I"&amp;$D$13):INDIRECT("I"&amp;$E$13))," "))))))</f>
        <v xml:space="preserve"> </v>
      </c>
      <c r="K50" s="242" t="str">
        <f t="shared" si="2"/>
        <v xml:space="preserve"> </v>
      </c>
      <c r="L50" s="242" t="str">
        <f t="shared" si="3"/>
        <v xml:space="preserve"> </v>
      </c>
      <c r="M50" s="242" t="str">
        <f t="shared" si="4"/>
        <v xml:space="preserve"> </v>
      </c>
    </row>
    <row r="51" spans="6:13" x14ac:dyDescent="0.2">
      <c r="F51" s="216" t="str">
        <f t="shared" si="0"/>
        <v xml:space="preserve"> </v>
      </c>
      <c r="G51" s="50"/>
      <c r="H51" s="242" t="str">
        <f ca="1">IF(F51=1,PERCENTILE(INDIRECT("g"&amp;$D$8):INDIRECT("g"&amp;$E$8),0.5),IF(F51=2,PERCENTILE(INDIRECT("g"&amp;$D$9):INDIRECT("g"&amp;$E$9),0.5),IF(F51=3,PERCENTILE(INDIRECT("g"&amp;$D$10):INDIRECT("g"&amp;$E$10),0.5),IF(F51=4,PERCENTILE(INDIRECT("g"&amp;$D$11):INDIRECT("g"&amp;$E$11),0.5),IF(F51=5,PERCENTILE(INDIRECT("g"&amp;$D$12):INDIRECT("g"&amp;$E$12),0.5),IF(F51=6,PERCENTILE(INDIRECT("g"&amp;$D$13):INDIRECT("g"&amp;$E$13),0.5)," "))))))</f>
        <v xml:space="preserve"> </v>
      </c>
      <c r="I51" s="242" t="str">
        <f t="shared" si="1"/>
        <v xml:space="preserve"> </v>
      </c>
      <c r="J51" s="242" t="str">
        <f ca="1">IF(F51=1,AVERAGE(INDIRECT("I"&amp;$D$8):INDIRECT("I"&amp;$E$8)),IF(F51=2,AVERAGE(INDIRECT("I"&amp;$D$9):INDIRECT("I"&amp;$E$9)),IF(F51=3,AVERAGE(INDIRECT("I"&amp;$D$10):INDIRECT("I"&amp;$E$10)),IF(F51=4,AVERAGE(INDIRECT("I"&amp;$D$11):INDIRECT("I"&amp;$E$11)),IF(F51=5,AVERAGE(INDIRECT("I"&amp;$D$12):INDIRECT("I"&amp;$E$12)),IF(F51=6,AVERAGE(INDIRECT("I"&amp;$D$13):INDIRECT("I"&amp;$E$13))," "))))))</f>
        <v xml:space="preserve"> </v>
      </c>
      <c r="K51" s="242" t="str">
        <f t="shared" si="2"/>
        <v xml:space="preserve"> </v>
      </c>
      <c r="L51" s="242" t="str">
        <f t="shared" si="3"/>
        <v xml:space="preserve"> </v>
      </c>
      <c r="M51" s="242" t="str">
        <f t="shared" si="4"/>
        <v xml:space="preserve"> </v>
      </c>
    </row>
    <row r="52" spans="6:13" x14ac:dyDescent="0.2">
      <c r="F52" s="216" t="str">
        <f t="shared" si="0"/>
        <v xml:space="preserve"> </v>
      </c>
      <c r="G52" s="50"/>
      <c r="H52" s="242" t="str">
        <f ca="1">IF(F52=1,PERCENTILE(INDIRECT("g"&amp;$D$8):INDIRECT("g"&amp;$E$8),0.5),IF(F52=2,PERCENTILE(INDIRECT("g"&amp;$D$9):INDIRECT("g"&amp;$E$9),0.5),IF(F52=3,PERCENTILE(INDIRECT("g"&amp;$D$10):INDIRECT("g"&amp;$E$10),0.5),IF(F52=4,PERCENTILE(INDIRECT("g"&amp;$D$11):INDIRECT("g"&amp;$E$11),0.5),IF(F52=5,PERCENTILE(INDIRECT("g"&amp;$D$12):INDIRECT("g"&amp;$E$12),0.5),IF(F52=6,PERCENTILE(INDIRECT("g"&amp;$D$13):INDIRECT("g"&amp;$E$13),0.5)," "))))))</f>
        <v xml:space="preserve"> </v>
      </c>
      <c r="I52" s="242" t="str">
        <f t="shared" si="1"/>
        <v xml:space="preserve"> </v>
      </c>
      <c r="J52" s="242" t="str">
        <f ca="1">IF(F52=1,AVERAGE(INDIRECT("I"&amp;$D$8):INDIRECT("I"&amp;$E$8)),IF(F52=2,AVERAGE(INDIRECT("I"&amp;$D$9):INDIRECT("I"&amp;$E$9)),IF(F52=3,AVERAGE(INDIRECT("I"&amp;$D$10):INDIRECT("I"&amp;$E$10)),IF(F52=4,AVERAGE(INDIRECT("I"&amp;$D$11):INDIRECT("I"&amp;$E$11)),IF(F52=5,AVERAGE(INDIRECT("I"&amp;$D$12):INDIRECT("I"&amp;$E$12)),IF(F52=6,AVERAGE(INDIRECT("I"&amp;$D$13):INDIRECT("I"&amp;$E$13))," "))))))</f>
        <v xml:space="preserve"> </v>
      </c>
      <c r="K52" s="242" t="str">
        <f t="shared" si="2"/>
        <v xml:space="preserve"> </v>
      </c>
      <c r="L52" s="242" t="str">
        <f t="shared" si="3"/>
        <v xml:space="preserve"> </v>
      </c>
      <c r="M52" s="242" t="str">
        <f t="shared" si="4"/>
        <v xml:space="preserve"> </v>
      </c>
    </row>
    <row r="53" spans="6:13" x14ac:dyDescent="0.2">
      <c r="F53" s="216" t="str">
        <f t="shared" si="0"/>
        <v xml:space="preserve"> </v>
      </c>
      <c r="G53" s="50"/>
      <c r="H53" s="242" t="str">
        <f ca="1">IF(F53=1,PERCENTILE(INDIRECT("g"&amp;$D$8):INDIRECT("g"&amp;$E$8),0.5),IF(F53=2,PERCENTILE(INDIRECT("g"&amp;$D$9):INDIRECT("g"&amp;$E$9),0.5),IF(F53=3,PERCENTILE(INDIRECT("g"&amp;$D$10):INDIRECT("g"&amp;$E$10),0.5),IF(F53=4,PERCENTILE(INDIRECT("g"&amp;$D$11):INDIRECT("g"&amp;$E$11),0.5),IF(F53=5,PERCENTILE(INDIRECT("g"&amp;$D$12):INDIRECT("g"&amp;$E$12),0.5),IF(F53=6,PERCENTILE(INDIRECT("g"&amp;$D$13):INDIRECT("g"&amp;$E$13),0.5)," "))))))</f>
        <v xml:space="preserve"> </v>
      </c>
      <c r="I53" s="242" t="str">
        <f t="shared" si="1"/>
        <v xml:space="preserve"> </v>
      </c>
      <c r="J53" s="242" t="str">
        <f ca="1">IF(F53=1,AVERAGE(INDIRECT("I"&amp;$D$8):INDIRECT("I"&amp;$E$8)),IF(F53=2,AVERAGE(INDIRECT("I"&amp;$D$9):INDIRECT("I"&amp;$E$9)),IF(F53=3,AVERAGE(INDIRECT("I"&amp;$D$10):INDIRECT("I"&amp;$E$10)),IF(F53=4,AVERAGE(INDIRECT("I"&amp;$D$11):INDIRECT("I"&amp;$E$11)),IF(F53=5,AVERAGE(INDIRECT("I"&amp;$D$12):INDIRECT("I"&amp;$E$12)),IF(F53=6,AVERAGE(INDIRECT("I"&amp;$D$13):INDIRECT("I"&amp;$E$13))," "))))))</f>
        <v xml:space="preserve"> </v>
      </c>
      <c r="K53" s="242" t="str">
        <f t="shared" si="2"/>
        <v xml:space="preserve"> </v>
      </c>
      <c r="L53" s="242" t="str">
        <f t="shared" si="3"/>
        <v xml:space="preserve"> </v>
      </c>
      <c r="M53" s="242" t="str">
        <f t="shared" si="4"/>
        <v xml:space="preserve"> </v>
      </c>
    </row>
    <row r="54" spans="6:13" x14ac:dyDescent="0.2">
      <c r="F54" s="216" t="str">
        <f t="shared" si="0"/>
        <v xml:space="preserve"> </v>
      </c>
      <c r="G54" s="50"/>
      <c r="H54" s="242" t="str">
        <f ca="1">IF(F54=1,PERCENTILE(INDIRECT("g"&amp;$D$8):INDIRECT("g"&amp;$E$8),0.5),IF(F54=2,PERCENTILE(INDIRECT("g"&amp;$D$9):INDIRECT("g"&amp;$E$9),0.5),IF(F54=3,PERCENTILE(INDIRECT("g"&amp;$D$10):INDIRECT("g"&amp;$E$10),0.5),IF(F54=4,PERCENTILE(INDIRECT("g"&amp;$D$11):INDIRECT("g"&amp;$E$11),0.5),IF(F54=5,PERCENTILE(INDIRECT("g"&amp;$D$12):INDIRECT("g"&amp;$E$12),0.5),IF(F54=6,PERCENTILE(INDIRECT("g"&amp;$D$13):INDIRECT("g"&amp;$E$13),0.5)," "))))))</f>
        <v xml:space="preserve"> </v>
      </c>
      <c r="I54" s="242" t="str">
        <f t="shared" si="1"/>
        <v xml:space="preserve"> </v>
      </c>
      <c r="J54" s="242" t="str">
        <f ca="1">IF(F54=1,AVERAGE(INDIRECT("I"&amp;$D$8):INDIRECT("I"&amp;$E$8)),IF(F54=2,AVERAGE(INDIRECT("I"&amp;$D$9):INDIRECT("I"&amp;$E$9)),IF(F54=3,AVERAGE(INDIRECT("I"&amp;$D$10):INDIRECT("I"&amp;$E$10)),IF(F54=4,AVERAGE(INDIRECT("I"&amp;$D$11):INDIRECT("I"&amp;$E$11)),IF(F54=5,AVERAGE(INDIRECT("I"&amp;$D$12):INDIRECT("I"&amp;$E$12)),IF(F54=6,AVERAGE(INDIRECT("I"&amp;$D$13):INDIRECT("I"&amp;$E$13))," "))))))</f>
        <v xml:space="preserve"> </v>
      </c>
      <c r="K54" s="242" t="str">
        <f t="shared" si="2"/>
        <v xml:space="preserve"> </v>
      </c>
      <c r="L54" s="242" t="str">
        <f t="shared" si="3"/>
        <v xml:space="preserve"> </v>
      </c>
      <c r="M54" s="242" t="str">
        <f t="shared" si="4"/>
        <v xml:space="preserve"> </v>
      </c>
    </row>
    <row r="55" spans="6:13" x14ac:dyDescent="0.2">
      <c r="F55" s="216" t="str">
        <f t="shared" si="0"/>
        <v xml:space="preserve"> </v>
      </c>
      <c r="G55" s="50"/>
      <c r="H55" s="242" t="str">
        <f ca="1">IF(F55=1,PERCENTILE(INDIRECT("g"&amp;$D$8):INDIRECT("g"&amp;$E$8),0.5),IF(F55=2,PERCENTILE(INDIRECT("g"&amp;$D$9):INDIRECT("g"&amp;$E$9),0.5),IF(F55=3,PERCENTILE(INDIRECT("g"&amp;$D$10):INDIRECT("g"&amp;$E$10),0.5),IF(F55=4,PERCENTILE(INDIRECT("g"&amp;$D$11):INDIRECT("g"&amp;$E$11),0.5),IF(F55=5,PERCENTILE(INDIRECT("g"&amp;$D$12):INDIRECT("g"&amp;$E$12),0.5),IF(F55=6,PERCENTILE(INDIRECT("g"&amp;$D$13):INDIRECT("g"&amp;$E$13),0.5)," "))))))</f>
        <v xml:space="preserve"> </v>
      </c>
      <c r="I55" s="242" t="str">
        <f t="shared" si="1"/>
        <v xml:space="preserve"> </v>
      </c>
      <c r="J55" s="242" t="str">
        <f ca="1">IF(F55=1,AVERAGE(INDIRECT("I"&amp;$D$8):INDIRECT("I"&amp;$E$8)),IF(F55=2,AVERAGE(INDIRECT("I"&amp;$D$9):INDIRECT("I"&amp;$E$9)),IF(F55=3,AVERAGE(INDIRECT("I"&amp;$D$10):INDIRECT("I"&amp;$E$10)),IF(F55=4,AVERAGE(INDIRECT("I"&amp;$D$11):INDIRECT("I"&amp;$E$11)),IF(F55=5,AVERAGE(INDIRECT("I"&amp;$D$12):INDIRECT("I"&amp;$E$12)),IF(F55=6,AVERAGE(INDIRECT("I"&amp;$D$13):INDIRECT("I"&amp;$E$13))," "))))))</f>
        <v xml:space="preserve"> </v>
      </c>
      <c r="K55" s="242" t="str">
        <f t="shared" si="2"/>
        <v xml:space="preserve"> </v>
      </c>
      <c r="L55" s="242" t="str">
        <f t="shared" si="3"/>
        <v xml:space="preserve"> </v>
      </c>
      <c r="M55" s="242" t="str">
        <f t="shared" si="4"/>
        <v xml:space="preserve"> </v>
      </c>
    </row>
    <row r="56" spans="6:13" x14ac:dyDescent="0.2">
      <c r="F56" s="216" t="str">
        <f t="shared" si="0"/>
        <v xml:space="preserve"> </v>
      </c>
      <c r="G56" s="50"/>
      <c r="H56" s="242" t="str">
        <f ca="1">IF(F56=1,PERCENTILE(INDIRECT("g"&amp;$D$8):INDIRECT("g"&amp;$E$8),0.5),IF(F56=2,PERCENTILE(INDIRECT("g"&amp;$D$9):INDIRECT("g"&amp;$E$9),0.5),IF(F56=3,PERCENTILE(INDIRECT("g"&amp;$D$10):INDIRECT("g"&amp;$E$10),0.5),IF(F56=4,PERCENTILE(INDIRECT("g"&amp;$D$11):INDIRECT("g"&amp;$E$11),0.5),IF(F56=5,PERCENTILE(INDIRECT("g"&amp;$D$12):INDIRECT("g"&amp;$E$12),0.5),IF(F56=6,PERCENTILE(INDIRECT("g"&amp;$D$13):INDIRECT("g"&amp;$E$13),0.5)," "))))))</f>
        <v xml:space="preserve"> </v>
      </c>
      <c r="I56" s="242" t="str">
        <f t="shared" si="1"/>
        <v xml:space="preserve"> </v>
      </c>
      <c r="J56" s="242" t="str">
        <f ca="1">IF(F56=1,AVERAGE(INDIRECT("I"&amp;$D$8):INDIRECT("I"&amp;$E$8)),IF(F56=2,AVERAGE(INDIRECT("I"&amp;$D$9):INDIRECT("I"&amp;$E$9)),IF(F56=3,AVERAGE(INDIRECT("I"&amp;$D$10):INDIRECT("I"&amp;$E$10)),IF(F56=4,AVERAGE(INDIRECT("I"&amp;$D$11):INDIRECT("I"&amp;$E$11)),IF(F56=5,AVERAGE(INDIRECT("I"&amp;$D$12):INDIRECT("I"&amp;$E$12)),IF(F56=6,AVERAGE(INDIRECT("I"&amp;$D$13):INDIRECT("I"&amp;$E$13))," "))))))</f>
        <v xml:space="preserve"> </v>
      </c>
      <c r="K56" s="242" t="str">
        <f t="shared" si="2"/>
        <v xml:space="preserve"> </v>
      </c>
      <c r="L56" s="242" t="str">
        <f t="shared" si="3"/>
        <v xml:space="preserve"> </v>
      </c>
      <c r="M56" s="242" t="str">
        <f t="shared" si="4"/>
        <v xml:space="preserve"> </v>
      </c>
    </row>
    <row r="57" spans="6:13" x14ac:dyDescent="0.2">
      <c r="F57" s="216" t="str">
        <f t="shared" si="0"/>
        <v xml:space="preserve"> </v>
      </c>
      <c r="G57" s="50"/>
      <c r="H57" s="242" t="str">
        <f ca="1">IF(F57=1,PERCENTILE(INDIRECT("g"&amp;$D$8):INDIRECT("g"&amp;$E$8),0.5),IF(F57=2,PERCENTILE(INDIRECT("g"&amp;$D$9):INDIRECT("g"&amp;$E$9),0.5),IF(F57=3,PERCENTILE(INDIRECT("g"&amp;$D$10):INDIRECT("g"&amp;$E$10),0.5),IF(F57=4,PERCENTILE(INDIRECT("g"&amp;$D$11):INDIRECT("g"&amp;$E$11),0.5),IF(F57=5,PERCENTILE(INDIRECT("g"&amp;$D$12):INDIRECT("g"&amp;$E$12),0.5),IF(F57=6,PERCENTILE(INDIRECT("g"&amp;$D$13):INDIRECT("g"&amp;$E$13),0.5)," "))))))</f>
        <v xml:space="preserve"> </v>
      </c>
      <c r="I57" s="242" t="str">
        <f t="shared" si="1"/>
        <v xml:space="preserve"> </v>
      </c>
      <c r="J57" s="242" t="str">
        <f ca="1">IF(F57=1,AVERAGE(INDIRECT("I"&amp;$D$8):INDIRECT("I"&amp;$E$8)),IF(F57=2,AVERAGE(INDIRECT("I"&amp;$D$9):INDIRECT("I"&amp;$E$9)),IF(F57=3,AVERAGE(INDIRECT("I"&amp;$D$10):INDIRECT("I"&amp;$E$10)),IF(F57=4,AVERAGE(INDIRECT("I"&amp;$D$11):INDIRECT("I"&amp;$E$11)),IF(F57=5,AVERAGE(INDIRECT("I"&amp;$D$12):INDIRECT("I"&amp;$E$12)),IF(F57=6,AVERAGE(INDIRECT("I"&amp;$D$13):INDIRECT("I"&amp;$E$13))," "))))))</f>
        <v xml:space="preserve"> </v>
      </c>
      <c r="K57" s="242" t="str">
        <f t="shared" si="2"/>
        <v xml:space="preserve"> </v>
      </c>
      <c r="L57" s="242" t="str">
        <f t="shared" si="3"/>
        <v xml:space="preserve"> </v>
      </c>
      <c r="M57" s="242" t="str">
        <f t="shared" si="4"/>
        <v xml:space="preserve"> </v>
      </c>
    </row>
    <row r="58" spans="6:13" x14ac:dyDescent="0.2">
      <c r="F58" s="216" t="str">
        <f t="shared" si="0"/>
        <v xml:space="preserve"> </v>
      </c>
      <c r="G58" s="50"/>
      <c r="H58" s="242" t="str">
        <f ca="1">IF(F58=1,PERCENTILE(INDIRECT("g"&amp;$D$8):INDIRECT("g"&amp;$E$8),0.5),IF(F58=2,PERCENTILE(INDIRECT("g"&amp;$D$9):INDIRECT("g"&amp;$E$9),0.5),IF(F58=3,PERCENTILE(INDIRECT("g"&amp;$D$10):INDIRECT("g"&amp;$E$10),0.5),IF(F58=4,PERCENTILE(INDIRECT("g"&amp;$D$11):INDIRECT("g"&amp;$E$11),0.5),IF(F58=5,PERCENTILE(INDIRECT("g"&amp;$D$12):INDIRECT("g"&amp;$E$12),0.5),IF(F58=6,PERCENTILE(INDIRECT("g"&amp;$D$13):INDIRECT("g"&amp;$E$13),0.5)," "))))))</f>
        <v xml:space="preserve"> </v>
      </c>
      <c r="I58" s="242" t="str">
        <f t="shared" si="1"/>
        <v xml:space="preserve"> </v>
      </c>
      <c r="J58" s="242" t="str">
        <f ca="1">IF(F58=1,AVERAGE(INDIRECT("I"&amp;$D$8):INDIRECT("I"&amp;$E$8)),IF(F58=2,AVERAGE(INDIRECT("I"&amp;$D$9):INDIRECT("I"&amp;$E$9)),IF(F58=3,AVERAGE(INDIRECT("I"&amp;$D$10):INDIRECT("I"&amp;$E$10)),IF(F58=4,AVERAGE(INDIRECT("I"&amp;$D$11):INDIRECT("I"&amp;$E$11)),IF(F58=5,AVERAGE(INDIRECT("I"&amp;$D$12):INDIRECT("I"&amp;$E$12)),IF(F58=6,AVERAGE(INDIRECT("I"&amp;$D$13):INDIRECT("I"&amp;$E$13))," "))))))</f>
        <v xml:space="preserve"> </v>
      </c>
      <c r="K58" s="242" t="str">
        <f t="shared" si="2"/>
        <v xml:space="preserve"> </v>
      </c>
      <c r="L58" s="242" t="str">
        <f t="shared" si="3"/>
        <v xml:space="preserve"> </v>
      </c>
      <c r="M58" s="242" t="str">
        <f t="shared" si="4"/>
        <v xml:space="preserve"> </v>
      </c>
    </row>
    <row r="59" spans="6:13" x14ac:dyDescent="0.2">
      <c r="F59" s="216" t="str">
        <f t="shared" si="0"/>
        <v xml:space="preserve"> </v>
      </c>
      <c r="G59" s="50"/>
      <c r="H59" s="242" t="str">
        <f ca="1">IF(F59=1,PERCENTILE(INDIRECT("g"&amp;$D$8):INDIRECT("g"&amp;$E$8),0.5),IF(F59=2,PERCENTILE(INDIRECT("g"&amp;$D$9):INDIRECT("g"&amp;$E$9),0.5),IF(F59=3,PERCENTILE(INDIRECT("g"&amp;$D$10):INDIRECT("g"&amp;$E$10),0.5),IF(F59=4,PERCENTILE(INDIRECT("g"&amp;$D$11):INDIRECT("g"&amp;$E$11),0.5),IF(F59=5,PERCENTILE(INDIRECT("g"&amp;$D$12):INDIRECT("g"&amp;$E$12),0.5),IF(F59=6,PERCENTILE(INDIRECT("g"&amp;$D$13):INDIRECT("g"&amp;$E$13),0.5)," "))))))</f>
        <v xml:space="preserve"> </v>
      </c>
      <c r="I59" s="242" t="str">
        <f t="shared" si="1"/>
        <v xml:space="preserve"> </v>
      </c>
      <c r="J59" s="242" t="str">
        <f ca="1">IF(F59=1,AVERAGE(INDIRECT("I"&amp;$D$8):INDIRECT("I"&amp;$E$8)),IF(F59=2,AVERAGE(INDIRECT("I"&amp;$D$9):INDIRECT("I"&amp;$E$9)),IF(F59=3,AVERAGE(INDIRECT("I"&amp;$D$10):INDIRECT("I"&amp;$E$10)),IF(F59=4,AVERAGE(INDIRECT("I"&amp;$D$11):INDIRECT("I"&amp;$E$11)),IF(F59=5,AVERAGE(INDIRECT("I"&amp;$D$12):INDIRECT("I"&amp;$E$12)),IF(F59=6,AVERAGE(INDIRECT("I"&amp;$D$13):INDIRECT("I"&amp;$E$13))," "))))))</f>
        <v xml:space="preserve"> </v>
      </c>
      <c r="K59" s="242" t="str">
        <f t="shared" si="2"/>
        <v xml:space="preserve"> </v>
      </c>
      <c r="L59" s="242" t="str">
        <f t="shared" si="3"/>
        <v xml:space="preserve"> </v>
      </c>
      <c r="M59" s="242" t="str">
        <f t="shared" si="4"/>
        <v xml:space="preserve"> </v>
      </c>
    </row>
    <row r="60" spans="6:13" x14ac:dyDescent="0.2">
      <c r="F60" s="216" t="str">
        <f t="shared" si="0"/>
        <v xml:space="preserve"> </v>
      </c>
      <c r="G60" s="50"/>
      <c r="H60" s="242" t="str">
        <f ca="1">IF(F60=1,PERCENTILE(INDIRECT("g"&amp;$D$8):INDIRECT("g"&amp;$E$8),0.5),IF(F60=2,PERCENTILE(INDIRECT("g"&amp;$D$9):INDIRECT("g"&amp;$E$9),0.5),IF(F60=3,PERCENTILE(INDIRECT("g"&amp;$D$10):INDIRECT("g"&amp;$E$10),0.5),IF(F60=4,PERCENTILE(INDIRECT("g"&amp;$D$11):INDIRECT("g"&amp;$E$11),0.5),IF(F60=5,PERCENTILE(INDIRECT("g"&amp;$D$12):INDIRECT("g"&amp;$E$12),0.5),IF(F60=6,PERCENTILE(INDIRECT("g"&amp;$D$13):INDIRECT("g"&amp;$E$13),0.5)," "))))))</f>
        <v xml:space="preserve"> </v>
      </c>
      <c r="I60" s="242" t="str">
        <f t="shared" si="1"/>
        <v xml:space="preserve"> </v>
      </c>
      <c r="J60" s="242" t="str">
        <f ca="1">IF(F60=1,AVERAGE(INDIRECT("I"&amp;$D$8):INDIRECT("I"&amp;$E$8)),IF(F60=2,AVERAGE(INDIRECT("I"&amp;$D$9):INDIRECT("I"&amp;$E$9)),IF(F60=3,AVERAGE(INDIRECT("I"&amp;$D$10):INDIRECT("I"&amp;$E$10)),IF(F60=4,AVERAGE(INDIRECT("I"&amp;$D$11):INDIRECT("I"&amp;$E$11)),IF(F60=5,AVERAGE(INDIRECT("I"&amp;$D$12):INDIRECT("I"&amp;$E$12)),IF(F60=6,AVERAGE(INDIRECT("I"&amp;$D$13):INDIRECT("I"&amp;$E$13))," "))))))</f>
        <v xml:space="preserve"> </v>
      </c>
      <c r="K60" s="242" t="str">
        <f t="shared" si="2"/>
        <v xml:space="preserve"> </v>
      </c>
      <c r="L60" s="242" t="str">
        <f t="shared" si="3"/>
        <v xml:space="preserve"> </v>
      </c>
      <c r="M60" s="242" t="str">
        <f t="shared" si="4"/>
        <v xml:space="preserve"> </v>
      </c>
    </row>
    <row r="61" spans="6:13" x14ac:dyDescent="0.2">
      <c r="F61" s="216" t="str">
        <f t="shared" si="0"/>
        <v xml:space="preserve"> </v>
      </c>
      <c r="G61" s="50"/>
      <c r="H61" s="242" t="str">
        <f ca="1">IF(F61=1,PERCENTILE(INDIRECT("g"&amp;$D$8):INDIRECT("g"&amp;$E$8),0.5),IF(F61=2,PERCENTILE(INDIRECT("g"&amp;$D$9):INDIRECT("g"&amp;$E$9),0.5),IF(F61=3,PERCENTILE(INDIRECT("g"&amp;$D$10):INDIRECT("g"&amp;$E$10),0.5),IF(F61=4,PERCENTILE(INDIRECT("g"&amp;$D$11):INDIRECT("g"&amp;$E$11),0.5),IF(F61=5,PERCENTILE(INDIRECT("g"&amp;$D$12):INDIRECT("g"&amp;$E$12),0.5),IF(F61=6,PERCENTILE(INDIRECT("g"&amp;$D$13):INDIRECT("g"&amp;$E$13),0.5)," "))))))</f>
        <v xml:space="preserve"> </v>
      </c>
      <c r="I61" s="242" t="str">
        <f t="shared" si="1"/>
        <v xml:space="preserve"> </v>
      </c>
      <c r="J61" s="242" t="str">
        <f ca="1">IF(F61=1,AVERAGE(INDIRECT("I"&amp;$D$8):INDIRECT("I"&amp;$E$8)),IF(F61=2,AVERAGE(INDIRECT("I"&amp;$D$9):INDIRECT("I"&amp;$E$9)),IF(F61=3,AVERAGE(INDIRECT("I"&amp;$D$10):INDIRECT("I"&amp;$E$10)),IF(F61=4,AVERAGE(INDIRECT("I"&amp;$D$11):INDIRECT("I"&amp;$E$11)),IF(F61=5,AVERAGE(INDIRECT("I"&amp;$D$12):INDIRECT("I"&amp;$E$12)),IF(F61=6,AVERAGE(INDIRECT("I"&amp;$D$13):INDIRECT("I"&amp;$E$13))," "))))))</f>
        <v xml:space="preserve"> </v>
      </c>
      <c r="K61" s="242" t="str">
        <f t="shared" si="2"/>
        <v xml:space="preserve"> </v>
      </c>
      <c r="L61" s="242" t="str">
        <f t="shared" si="3"/>
        <v xml:space="preserve"> </v>
      </c>
      <c r="M61" s="242" t="str">
        <f t="shared" si="4"/>
        <v xml:space="preserve"> </v>
      </c>
    </row>
    <row r="62" spans="6:13" x14ac:dyDescent="0.2">
      <c r="F62" s="216" t="str">
        <f t="shared" si="0"/>
        <v xml:space="preserve"> </v>
      </c>
      <c r="G62" s="50"/>
      <c r="H62" s="242" t="str">
        <f ca="1">IF(F62=1,PERCENTILE(INDIRECT("g"&amp;$D$8):INDIRECT("g"&amp;$E$8),0.5),IF(F62=2,PERCENTILE(INDIRECT("g"&amp;$D$9):INDIRECT("g"&amp;$E$9),0.5),IF(F62=3,PERCENTILE(INDIRECT("g"&amp;$D$10):INDIRECT("g"&amp;$E$10),0.5),IF(F62=4,PERCENTILE(INDIRECT("g"&amp;$D$11):INDIRECT("g"&amp;$E$11),0.5),IF(F62=5,PERCENTILE(INDIRECT("g"&amp;$D$12):INDIRECT("g"&amp;$E$12),0.5),IF(F62=6,PERCENTILE(INDIRECT("g"&amp;$D$13):INDIRECT("g"&amp;$E$13),0.5)," "))))))</f>
        <v xml:space="preserve"> </v>
      </c>
      <c r="I62" s="242" t="str">
        <f t="shared" si="1"/>
        <v xml:space="preserve"> </v>
      </c>
      <c r="J62" s="242" t="str">
        <f ca="1">IF(F62=1,AVERAGE(INDIRECT("I"&amp;$D$8):INDIRECT("I"&amp;$E$8)),IF(F62=2,AVERAGE(INDIRECT("I"&amp;$D$9):INDIRECT("I"&amp;$E$9)),IF(F62=3,AVERAGE(INDIRECT("I"&amp;$D$10):INDIRECT("I"&amp;$E$10)),IF(F62=4,AVERAGE(INDIRECT("I"&amp;$D$11):INDIRECT("I"&amp;$E$11)),IF(F62=5,AVERAGE(INDIRECT("I"&amp;$D$12):INDIRECT("I"&amp;$E$12)),IF(F62=6,AVERAGE(INDIRECT("I"&amp;$D$13):INDIRECT("I"&amp;$E$13))," "))))))</f>
        <v xml:space="preserve"> </v>
      </c>
      <c r="K62" s="242" t="str">
        <f t="shared" si="2"/>
        <v xml:space="preserve"> </v>
      </c>
      <c r="L62" s="242" t="str">
        <f t="shared" si="3"/>
        <v xml:space="preserve"> </v>
      </c>
      <c r="M62" s="242" t="str">
        <f t="shared" si="4"/>
        <v xml:space="preserve"> </v>
      </c>
    </row>
    <row r="63" spans="6:13" x14ac:dyDescent="0.2">
      <c r="F63" s="216" t="str">
        <f t="shared" si="0"/>
        <v xml:space="preserve"> </v>
      </c>
      <c r="G63" s="50"/>
      <c r="H63" s="242" t="str">
        <f ca="1">IF(F63=1,PERCENTILE(INDIRECT("g"&amp;$D$8):INDIRECT("g"&amp;$E$8),0.5),IF(F63=2,PERCENTILE(INDIRECT("g"&amp;$D$9):INDIRECT("g"&amp;$E$9),0.5),IF(F63=3,PERCENTILE(INDIRECT("g"&amp;$D$10):INDIRECT("g"&amp;$E$10),0.5),IF(F63=4,PERCENTILE(INDIRECT("g"&amp;$D$11):INDIRECT("g"&amp;$E$11),0.5),IF(F63=5,PERCENTILE(INDIRECT("g"&amp;$D$12):INDIRECT("g"&amp;$E$12),0.5),IF(F63=6,PERCENTILE(INDIRECT("g"&amp;$D$13):INDIRECT("g"&amp;$E$13),0.5)," "))))))</f>
        <v xml:space="preserve"> </v>
      </c>
      <c r="I63" s="242" t="str">
        <f t="shared" si="1"/>
        <v xml:space="preserve"> </v>
      </c>
      <c r="J63" s="242" t="str">
        <f ca="1">IF(F63=1,AVERAGE(INDIRECT("I"&amp;$D$8):INDIRECT("I"&amp;$E$8)),IF(F63=2,AVERAGE(INDIRECT("I"&amp;$D$9):INDIRECT("I"&amp;$E$9)),IF(F63=3,AVERAGE(INDIRECT("I"&amp;$D$10):INDIRECT("I"&amp;$E$10)),IF(F63=4,AVERAGE(INDIRECT("I"&amp;$D$11):INDIRECT("I"&amp;$E$11)),IF(F63=5,AVERAGE(INDIRECT("I"&amp;$D$12):INDIRECT("I"&amp;$E$12)),IF(F63=6,AVERAGE(INDIRECT("I"&amp;$D$13):INDIRECT("I"&amp;$E$13))," "))))))</f>
        <v xml:space="preserve"> </v>
      </c>
      <c r="K63" s="242" t="str">
        <f t="shared" si="2"/>
        <v xml:space="preserve"> </v>
      </c>
      <c r="L63" s="242" t="str">
        <f t="shared" si="3"/>
        <v xml:space="preserve"> </v>
      </c>
      <c r="M63" s="242" t="str">
        <f t="shared" si="4"/>
        <v xml:space="preserve"> </v>
      </c>
    </row>
    <row r="64" spans="6:13" x14ac:dyDescent="0.2">
      <c r="F64" s="216" t="str">
        <f t="shared" si="0"/>
        <v xml:space="preserve"> </v>
      </c>
      <c r="G64" s="50"/>
      <c r="H64" s="242" t="str">
        <f ca="1">IF(F64=1,PERCENTILE(INDIRECT("g"&amp;$D$8):INDIRECT("g"&amp;$E$8),0.5),IF(F64=2,PERCENTILE(INDIRECT("g"&amp;$D$9):INDIRECT("g"&amp;$E$9),0.5),IF(F64=3,PERCENTILE(INDIRECT("g"&amp;$D$10):INDIRECT("g"&amp;$E$10),0.5),IF(F64=4,PERCENTILE(INDIRECT("g"&amp;$D$11):INDIRECT("g"&amp;$E$11),0.5),IF(F64=5,PERCENTILE(INDIRECT("g"&amp;$D$12):INDIRECT("g"&amp;$E$12),0.5),IF(F64=6,PERCENTILE(INDIRECT("g"&amp;$D$13):INDIRECT("g"&amp;$E$13),0.5)," "))))))</f>
        <v xml:space="preserve"> </v>
      </c>
      <c r="I64" s="242" t="str">
        <f t="shared" si="1"/>
        <v xml:space="preserve"> </v>
      </c>
      <c r="J64" s="242" t="str">
        <f ca="1">IF(F64=1,AVERAGE(INDIRECT("I"&amp;$D$8):INDIRECT("I"&amp;$E$8)),IF(F64=2,AVERAGE(INDIRECT("I"&amp;$D$9):INDIRECT("I"&amp;$E$9)),IF(F64=3,AVERAGE(INDIRECT("I"&amp;$D$10):INDIRECT("I"&amp;$E$10)),IF(F64=4,AVERAGE(INDIRECT("I"&amp;$D$11):INDIRECT("I"&amp;$E$11)),IF(F64=5,AVERAGE(INDIRECT("I"&amp;$D$12):INDIRECT("I"&amp;$E$12)),IF(F64=6,AVERAGE(INDIRECT("I"&amp;$D$13):INDIRECT("I"&amp;$E$13))," "))))))</f>
        <v xml:space="preserve"> </v>
      </c>
      <c r="K64" s="242" t="str">
        <f t="shared" si="2"/>
        <v xml:space="preserve"> </v>
      </c>
      <c r="L64" s="242" t="str">
        <f t="shared" si="3"/>
        <v xml:space="preserve"> </v>
      </c>
      <c r="M64" s="242" t="str">
        <f t="shared" si="4"/>
        <v xml:space="preserve"> </v>
      </c>
    </row>
    <row r="65" spans="1:13" x14ac:dyDescent="0.2">
      <c r="F65" s="216" t="str">
        <f t="shared" si="0"/>
        <v xml:space="preserve"> </v>
      </c>
      <c r="G65" s="50"/>
      <c r="H65" s="242" t="str">
        <f ca="1">IF(F65=1,PERCENTILE(INDIRECT("g"&amp;$D$8):INDIRECT("g"&amp;$E$8),0.5),IF(F65=2,PERCENTILE(INDIRECT("g"&amp;$D$9):INDIRECT("g"&amp;$E$9),0.5),IF(F65=3,PERCENTILE(INDIRECT("g"&amp;$D$10):INDIRECT("g"&amp;$E$10),0.5),IF(F65=4,PERCENTILE(INDIRECT("g"&amp;$D$11):INDIRECT("g"&amp;$E$11),0.5),IF(F65=5,PERCENTILE(INDIRECT("g"&amp;$D$12):INDIRECT("g"&amp;$E$12),0.5),IF(F65=6,PERCENTILE(INDIRECT("g"&amp;$D$13):INDIRECT("g"&amp;$E$13),0.5)," "))))))</f>
        <v xml:space="preserve"> </v>
      </c>
      <c r="I65" s="242" t="str">
        <f t="shared" si="1"/>
        <v xml:space="preserve"> </v>
      </c>
      <c r="J65" s="242" t="str">
        <f ca="1">IF(F65=1,AVERAGE(INDIRECT("I"&amp;$D$8):INDIRECT("I"&amp;$E$8)),IF(F65=2,AVERAGE(INDIRECT("I"&amp;$D$9):INDIRECT("I"&amp;$E$9)),IF(F65=3,AVERAGE(INDIRECT("I"&amp;$D$10):INDIRECT("I"&amp;$E$10)),IF(F65=4,AVERAGE(INDIRECT("I"&amp;$D$11):INDIRECT("I"&amp;$E$11)),IF(F65=5,AVERAGE(INDIRECT("I"&amp;$D$12):INDIRECT("I"&amp;$E$12)),IF(F65=6,AVERAGE(INDIRECT("I"&amp;$D$13):INDIRECT("I"&amp;$E$13))," "))))))</f>
        <v xml:space="preserve"> </v>
      </c>
      <c r="K65" s="242" t="str">
        <f t="shared" si="2"/>
        <v xml:space="preserve"> </v>
      </c>
      <c r="L65" s="242" t="str">
        <f t="shared" si="3"/>
        <v xml:space="preserve"> </v>
      </c>
      <c r="M65" s="242" t="str">
        <f t="shared" si="4"/>
        <v xml:space="preserve"> </v>
      </c>
    </row>
    <row r="66" spans="1:13" x14ac:dyDescent="0.2">
      <c r="F66" s="216" t="str">
        <f t="shared" si="0"/>
        <v xml:space="preserve"> </v>
      </c>
      <c r="G66" s="50"/>
      <c r="H66" s="242" t="str">
        <f ca="1">IF(F66=1,PERCENTILE(INDIRECT("g"&amp;$D$8):INDIRECT("g"&amp;$E$8),0.5),IF(F66=2,PERCENTILE(INDIRECT("g"&amp;$D$9):INDIRECT("g"&amp;$E$9),0.5),IF(F66=3,PERCENTILE(INDIRECT("g"&amp;$D$10):INDIRECT("g"&amp;$E$10),0.5),IF(F66=4,PERCENTILE(INDIRECT("g"&amp;$D$11):INDIRECT("g"&amp;$E$11),0.5),IF(F66=5,PERCENTILE(INDIRECT("g"&amp;$D$12):INDIRECT("g"&amp;$E$12),0.5),IF(F66=6,PERCENTILE(INDIRECT("g"&amp;$D$13):INDIRECT("g"&amp;$E$13),0.5)," "))))))</f>
        <v xml:space="preserve"> </v>
      </c>
      <c r="I66" s="242" t="str">
        <f t="shared" si="1"/>
        <v xml:space="preserve"> </v>
      </c>
      <c r="J66" s="242" t="str">
        <f ca="1">IF(F66=1,AVERAGE(INDIRECT("I"&amp;$D$8):INDIRECT("I"&amp;$E$8)),IF(F66=2,AVERAGE(INDIRECT("I"&amp;$D$9):INDIRECT("I"&amp;$E$9)),IF(F66=3,AVERAGE(INDIRECT("I"&amp;$D$10):INDIRECT("I"&amp;$E$10)),IF(F66=4,AVERAGE(INDIRECT("I"&amp;$D$11):INDIRECT("I"&amp;$E$11)),IF(F66=5,AVERAGE(INDIRECT("I"&amp;$D$12):INDIRECT("I"&amp;$E$12)),IF(F66=6,AVERAGE(INDIRECT("I"&amp;$D$13):INDIRECT("I"&amp;$E$13))," "))))))</f>
        <v xml:space="preserve"> </v>
      </c>
      <c r="K66" s="242" t="str">
        <f t="shared" si="2"/>
        <v xml:space="preserve"> </v>
      </c>
      <c r="L66" s="242" t="str">
        <f t="shared" si="3"/>
        <v xml:space="preserve"> </v>
      </c>
      <c r="M66" s="242" t="str">
        <f t="shared" si="4"/>
        <v xml:space="preserve"> </v>
      </c>
    </row>
    <row r="67" spans="1:13" x14ac:dyDescent="0.2">
      <c r="A67" s="241"/>
      <c r="B67" s="241"/>
      <c r="C67" s="241"/>
      <c r="D67" s="241"/>
      <c r="F67" s="216" t="str">
        <f t="shared" si="0"/>
        <v xml:space="preserve"> </v>
      </c>
      <c r="G67" s="50"/>
      <c r="H67" s="242" t="str">
        <f ca="1">IF(F67=1,PERCENTILE(INDIRECT("g"&amp;$D$8):INDIRECT("g"&amp;$E$8),0.5),IF(F67=2,PERCENTILE(INDIRECT("g"&amp;$D$9):INDIRECT("g"&amp;$E$9),0.5),IF(F67=3,PERCENTILE(INDIRECT("g"&amp;$D$10):INDIRECT("g"&amp;$E$10),0.5),IF(F67=4,PERCENTILE(INDIRECT("g"&amp;$D$11):INDIRECT("g"&amp;$E$11),0.5),IF(F67=5,PERCENTILE(INDIRECT("g"&amp;$D$12):INDIRECT("g"&amp;$E$12),0.5),IF(F67=6,PERCENTILE(INDIRECT("g"&amp;$D$13):INDIRECT("g"&amp;$E$13),0.5)," "))))))</f>
        <v xml:space="preserve"> </v>
      </c>
      <c r="I67" s="242" t="str">
        <f t="shared" si="1"/>
        <v xml:space="preserve"> </v>
      </c>
      <c r="J67" s="242" t="str">
        <f ca="1">IF(F67=1,AVERAGE(INDIRECT("I"&amp;$D$8):INDIRECT("I"&amp;$E$8)),IF(F67=2,AVERAGE(INDIRECT("I"&amp;$D$9):INDIRECT("I"&amp;$E$9)),IF(F67=3,AVERAGE(INDIRECT("I"&amp;$D$10):INDIRECT("I"&amp;$E$10)),IF(F67=4,AVERAGE(INDIRECT("I"&amp;$D$11):INDIRECT("I"&amp;$E$11)),IF(F67=5,AVERAGE(INDIRECT("I"&amp;$D$12):INDIRECT("I"&amp;$E$12)),IF(F67=6,AVERAGE(INDIRECT("I"&amp;$D$13):INDIRECT("I"&amp;$E$13))," "))))))</f>
        <v xml:space="preserve"> </v>
      </c>
      <c r="K67" s="242" t="str">
        <f t="shared" si="2"/>
        <v xml:space="preserve"> </v>
      </c>
      <c r="L67" s="242" t="str">
        <f t="shared" si="3"/>
        <v xml:space="preserve"> </v>
      </c>
      <c r="M67" s="242" t="str">
        <f t="shared" si="4"/>
        <v xml:space="preserve"> </v>
      </c>
    </row>
    <row r="68" spans="1:13" x14ac:dyDescent="0.2">
      <c r="F68" s="216" t="str">
        <f t="shared" si="0"/>
        <v xml:space="preserve"> </v>
      </c>
      <c r="G68" s="50"/>
      <c r="H68" s="242" t="str">
        <f ca="1">IF(F68=1,PERCENTILE(INDIRECT("g"&amp;$D$8):INDIRECT("g"&amp;$E$8),0.5),IF(F68=2,PERCENTILE(INDIRECT("g"&amp;$D$9):INDIRECT("g"&amp;$E$9),0.5),IF(F68=3,PERCENTILE(INDIRECT("g"&amp;$D$10):INDIRECT("g"&amp;$E$10),0.5),IF(F68=4,PERCENTILE(INDIRECT("g"&amp;$D$11):INDIRECT("g"&amp;$E$11),0.5),IF(F68=5,PERCENTILE(INDIRECT("g"&amp;$D$12):INDIRECT("g"&amp;$E$12),0.5),IF(F68=6,PERCENTILE(INDIRECT("g"&amp;$D$13):INDIRECT("g"&amp;$E$13),0.5)," "))))))</f>
        <v xml:space="preserve"> </v>
      </c>
      <c r="I68" s="242" t="str">
        <f t="shared" si="1"/>
        <v xml:space="preserve"> </v>
      </c>
      <c r="J68" s="242" t="str">
        <f ca="1">IF(F68=1,AVERAGE(INDIRECT("I"&amp;$D$8):INDIRECT("I"&amp;$E$8)),IF(F68=2,AVERAGE(INDIRECT("I"&amp;$D$9):INDIRECT("I"&amp;$E$9)),IF(F68=3,AVERAGE(INDIRECT("I"&amp;$D$10):INDIRECT("I"&amp;$E$10)),IF(F68=4,AVERAGE(INDIRECT("I"&amp;$D$11):INDIRECT("I"&amp;$E$11)),IF(F68=5,AVERAGE(INDIRECT("I"&amp;$D$12):INDIRECT("I"&amp;$E$12)),IF(F68=6,AVERAGE(INDIRECT("I"&amp;$D$13):INDIRECT("I"&amp;$E$13))," "))))))</f>
        <v xml:space="preserve"> </v>
      </c>
      <c r="K68" s="242" t="str">
        <f t="shared" si="2"/>
        <v xml:space="preserve"> </v>
      </c>
      <c r="L68" s="242" t="str">
        <f t="shared" si="3"/>
        <v xml:space="preserve"> </v>
      </c>
      <c r="M68" s="242" t="str">
        <f t="shared" si="4"/>
        <v xml:space="preserve"> </v>
      </c>
    </row>
    <row r="69" spans="1:13" x14ac:dyDescent="0.2">
      <c r="F69" s="216" t="str">
        <f t="shared" si="0"/>
        <v xml:space="preserve"> </v>
      </c>
      <c r="G69" s="50"/>
      <c r="H69" s="242" t="str">
        <f ca="1">IF(F69=1,PERCENTILE(INDIRECT("g"&amp;$D$8):INDIRECT("g"&amp;$E$8),0.5),IF(F69=2,PERCENTILE(INDIRECT("g"&amp;$D$9):INDIRECT("g"&amp;$E$9),0.5),IF(F69=3,PERCENTILE(INDIRECT("g"&amp;$D$10):INDIRECT("g"&amp;$E$10),0.5),IF(F69=4,PERCENTILE(INDIRECT("g"&amp;$D$11):INDIRECT("g"&amp;$E$11),0.5),IF(F69=5,PERCENTILE(INDIRECT("g"&amp;$D$12):INDIRECT("g"&amp;$E$12),0.5),IF(F69=6,PERCENTILE(INDIRECT("g"&amp;$D$13):INDIRECT("g"&amp;$E$13),0.5)," "))))))</f>
        <v xml:space="preserve"> </v>
      </c>
      <c r="I69" s="242" t="str">
        <f t="shared" si="1"/>
        <v xml:space="preserve"> </v>
      </c>
      <c r="J69" s="242" t="str">
        <f ca="1">IF(F69=1,AVERAGE(INDIRECT("I"&amp;$D$8):INDIRECT("I"&amp;$E$8)),IF(F69=2,AVERAGE(INDIRECT("I"&amp;$D$9):INDIRECT("I"&amp;$E$9)),IF(F69=3,AVERAGE(INDIRECT("I"&amp;$D$10):INDIRECT("I"&amp;$E$10)),IF(F69=4,AVERAGE(INDIRECT("I"&amp;$D$11):INDIRECT("I"&amp;$E$11)),IF(F69=5,AVERAGE(INDIRECT("I"&amp;$D$12):INDIRECT("I"&amp;$E$12)),IF(F69=6,AVERAGE(INDIRECT("I"&amp;$D$13):INDIRECT("I"&amp;$E$13))," "))))))</f>
        <v xml:space="preserve"> </v>
      </c>
      <c r="K69" s="242" t="str">
        <f t="shared" si="2"/>
        <v xml:space="preserve"> </v>
      </c>
      <c r="L69" s="242" t="str">
        <f t="shared" si="3"/>
        <v xml:space="preserve"> </v>
      </c>
      <c r="M69" s="242" t="str">
        <f t="shared" si="4"/>
        <v xml:space="preserve"> </v>
      </c>
    </row>
    <row r="70" spans="1:13" x14ac:dyDescent="0.2">
      <c r="F70" s="216" t="str">
        <f t="shared" ref="F70:F133" si="10">IF(AND(ROW()&gt;=$D$8,ROW()&lt;=$E$8),1,IF(AND(ROW()&gt;=$D$9,ROW()&lt;=$E$9),2,IF(AND(ROW()&gt;=$D$10,ROW()&lt;=$E$10),3,IF(AND(ROW()&gt;=$D$11,ROW()&lt;=$E$11),4,IF(AND(ROW()&gt;=$D$12,ROW()&lt;=$E$12),5,IF(AND(ROW()&gt;=$D$13,ROW()&lt;=$E$13),6," "))))))</f>
        <v xml:space="preserve"> </v>
      </c>
      <c r="G70" s="50"/>
      <c r="H70" s="242" t="str">
        <f ca="1">IF(F70=1,PERCENTILE(INDIRECT("g"&amp;$D$8):INDIRECT("g"&amp;$E$8),0.5),IF(F70=2,PERCENTILE(INDIRECT("g"&amp;$D$9):INDIRECT("g"&amp;$E$9),0.5),IF(F70=3,PERCENTILE(INDIRECT("g"&amp;$D$10):INDIRECT("g"&amp;$E$10),0.5),IF(F70=4,PERCENTILE(INDIRECT("g"&amp;$D$11):INDIRECT("g"&amp;$E$11),0.5),IF(F70=5,PERCENTILE(INDIRECT("g"&amp;$D$12):INDIRECT("g"&amp;$E$12),0.5),IF(F70=6,PERCENTILE(INDIRECT("g"&amp;$D$13):INDIRECT("g"&amp;$E$13),0.5)," "))))))</f>
        <v xml:space="preserve"> </v>
      </c>
      <c r="I70" s="242" t="str">
        <f t="shared" ref="I70:I133" si="11">IF(ROW()&lt;=MAX($E$8:$E$13),ABS(G70-H70)," ")</f>
        <v xml:space="preserve"> </v>
      </c>
      <c r="J70" s="242" t="str">
        <f ca="1">IF(F70=1,AVERAGE(INDIRECT("I"&amp;$D$8):INDIRECT("I"&amp;$E$8)),IF(F70=2,AVERAGE(INDIRECT("I"&amp;$D$9):INDIRECT("I"&amp;$E$9)),IF(F70=3,AVERAGE(INDIRECT("I"&amp;$D$10):INDIRECT("I"&amp;$E$10)),IF(F70=4,AVERAGE(INDIRECT("I"&amp;$D$11):INDIRECT("I"&amp;$E$11)),IF(F70=5,AVERAGE(INDIRECT("I"&amp;$D$12):INDIRECT("I"&amp;$E$12)),IF(F70=6,AVERAGE(INDIRECT("I"&amp;$D$13):INDIRECT("I"&amp;$E$13))," "))))))</f>
        <v xml:space="preserve"> </v>
      </c>
      <c r="K70" s="242" t="str">
        <f t="shared" ref="K70:K133" si="12">IF(ROW()&lt;=MAX($E$8:$E$13),AVERAGE($I$6:$I$1005)," ")</f>
        <v xml:space="preserve"> </v>
      </c>
      <c r="L70" s="242" t="str">
        <f t="shared" ref="L70:L133" si="13">IF(ROW()&lt;=MAX($E$8:$E$13),(I70-J70)^2," ")</f>
        <v xml:space="preserve"> </v>
      </c>
      <c r="M70" s="242" t="str">
        <f t="shared" ref="M70:M133" si="14">IF(ROW()&lt;=MAX($E$8:$E$13),(J70-K70)^2," ")</f>
        <v xml:space="preserve"> </v>
      </c>
    </row>
    <row r="71" spans="1:13" x14ac:dyDescent="0.2">
      <c r="F71" s="216" t="str">
        <f t="shared" si="10"/>
        <v xml:space="preserve"> </v>
      </c>
      <c r="G71" s="50"/>
      <c r="H71" s="242" t="str">
        <f ca="1">IF(F71=1,PERCENTILE(INDIRECT("g"&amp;$D$8):INDIRECT("g"&amp;$E$8),0.5),IF(F71=2,PERCENTILE(INDIRECT("g"&amp;$D$9):INDIRECT("g"&amp;$E$9),0.5),IF(F71=3,PERCENTILE(INDIRECT("g"&amp;$D$10):INDIRECT("g"&amp;$E$10),0.5),IF(F71=4,PERCENTILE(INDIRECT("g"&amp;$D$11):INDIRECT("g"&amp;$E$11),0.5),IF(F71=5,PERCENTILE(INDIRECT("g"&amp;$D$12):INDIRECT("g"&amp;$E$12),0.5),IF(F71=6,PERCENTILE(INDIRECT("g"&amp;$D$13):INDIRECT("g"&amp;$E$13),0.5)," "))))))</f>
        <v xml:space="preserve"> </v>
      </c>
      <c r="I71" s="242" t="str">
        <f t="shared" si="11"/>
        <v xml:space="preserve"> </v>
      </c>
      <c r="J71" s="242" t="str">
        <f ca="1">IF(F71=1,AVERAGE(INDIRECT("I"&amp;$D$8):INDIRECT("I"&amp;$E$8)),IF(F71=2,AVERAGE(INDIRECT("I"&amp;$D$9):INDIRECT("I"&amp;$E$9)),IF(F71=3,AVERAGE(INDIRECT("I"&amp;$D$10):INDIRECT("I"&amp;$E$10)),IF(F71=4,AVERAGE(INDIRECT("I"&amp;$D$11):INDIRECT("I"&amp;$E$11)),IF(F71=5,AVERAGE(INDIRECT("I"&amp;$D$12):INDIRECT("I"&amp;$E$12)),IF(F71=6,AVERAGE(INDIRECT("I"&amp;$D$13):INDIRECT("I"&amp;$E$13))," "))))))</f>
        <v xml:space="preserve"> </v>
      </c>
      <c r="K71" s="242" t="str">
        <f t="shared" si="12"/>
        <v xml:space="preserve"> </v>
      </c>
      <c r="L71" s="242" t="str">
        <f t="shared" si="13"/>
        <v xml:space="preserve"> </v>
      </c>
      <c r="M71" s="242" t="str">
        <f t="shared" si="14"/>
        <v xml:space="preserve"> </v>
      </c>
    </row>
    <row r="72" spans="1:13" x14ac:dyDescent="0.2">
      <c r="F72" s="216" t="str">
        <f t="shared" si="10"/>
        <v xml:space="preserve"> </v>
      </c>
      <c r="G72" s="50"/>
      <c r="H72" s="242" t="str">
        <f ca="1">IF(F72=1,PERCENTILE(INDIRECT("g"&amp;$D$8):INDIRECT("g"&amp;$E$8),0.5),IF(F72=2,PERCENTILE(INDIRECT("g"&amp;$D$9):INDIRECT("g"&amp;$E$9),0.5),IF(F72=3,PERCENTILE(INDIRECT("g"&amp;$D$10):INDIRECT("g"&amp;$E$10),0.5),IF(F72=4,PERCENTILE(INDIRECT("g"&amp;$D$11):INDIRECT("g"&amp;$E$11),0.5),IF(F72=5,PERCENTILE(INDIRECT("g"&amp;$D$12):INDIRECT("g"&amp;$E$12),0.5),IF(F72=6,PERCENTILE(INDIRECT("g"&amp;$D$13):INDIRECT("g"&amp;$E$13),0.5)," "))))))</f>
        <v xml:space="preserve"> </v>
      </c>
      <c r="I72" s="242" t="str">
        <f t="shared" si="11"/>
        <v xml:space="preserve"> </v>
      </c>
      <c r="J72" s="242" t="str">
        <f ca="1">IF(F72=1,AVERAGE(INDIRECT("I"&amp;$D$8):INDIRECT("I"&amp;$E$8)),IF(F72=2,AVERAGE(INDIRECT("I"&amp;$D$9):INDIRECT("I"&amp;$E$9)),IF(F72=3,AVERAGE(INDIRECT("I"&amp;$D$10):INDIRECT("I"&amp;$E$10)),IF(F72=4,AVERAGE(INDIRECT("I"&amp;$D$11):INDIRECT("I"&amp;$E$11)),IF(F72=5,AVERAGE(INDIRECT("I"&amp;$D$12):INDIRECT("I"&amp;$E$12)),IF(F72=6,AVERAGE(INDIRECT("I"&amp;$D$13):INDIRECT("I"&amp;$E$13))," "))))))</f>
        <v xml:space="preserve"> </v>
      </c>
      <c r="K72" s="242" t="str">
        <f t="shared" si="12"/>
        <v xml:space="preserve"> </v>
      </c>
      <c r="L72" s="242" t="str">
        <f t="shared" si="13"/>
        <v xml:space="preserve"> </v>
      </c>
      <c r="M72" s="242" t="str">
        <f t="shared" si="14"/>
        <v xml:space="preserve"> </v>
      </c>
    </row>
    <row r="73" spans="1:13" x14ac:dyDescent="0.2">
      <c r="F73" s="216" t="str">
        <f t="shared" si="10"/>
        <v xml:space="preserve"> </v>
      </c>
      <c r="G73" s="50"/>
      <c r="H73" s="242" t="str">
        <f ca="1">IF(F73=1,PERCENTILE(INDIRECT("g"&amp;$D$8):INDIRECT("g"&amp;$E$8),0.5),IF(F73=2,PERCENTILE(INDIRECT("g"&amp;$D$9):INDIRECT("g"&amp;$E$9),0.5),IF(F73=3,PERCENTILE(INDIRECT("g"&amp;$D$10):INDIRECT("g"&amp;$E$10),0.5),IF(F73=4,PERCENTILE(INDIRECT("g"&amp;$D$11):INDIRECT("g"&amp;$E$11),0.5),IF(F73=5,PERCENTILE(INDIRECT("g"&amp;$D$12):INDIRECT("g"&amp;$E$12),0.5),IF(F73=6,PERCENTILE(INDIRECT("g"&amp;$D$13):INDIRECT("g"&amp;$E$13),0.5)," "))))))</f>
        <v xml:space="preserve"> </v>
      </c>
      <c r="I73" s="242" t="str">
        <f t="shared" si="11"/>
        <v xml:space="preserve"> </v>
      </c>
      <c r="J73" s="242" t="str">
        <f ca="1">IF(F73=1,AVERAGE(INDIRECT("I"&amp;$D$8):INDIRECT("I"&amp;$E$8)),IF(F73=2,AVERAGE(INDIRECT("I"&amp;$D$9):INDIRECT("I"&amp;$E$9)),IF(F73=3,AVERAGE(INDIRECT("I"&amp;$D$10):INDIRECT("I"&amp;$E$10)),IF(F73=4,AVERAGE(INDIRECT("I"&amp;$D$11):INDIRECT("I"&amp;$E$11)),IF(F73=5,AVERAGE(INDIRECT("I"&amp;$D$12):INDIRECT("I"&amp;$E$12)),IF(F73=6,AVERAGE(INDIRECT("I"&amp;$D$13):INDIRECT("I"&amp;$E$13))," "))))))</f>
        <v xml:space="preserve"> </v>
      </c>
      <c r="K73" s="242" t="str">
        <f t="shared" si="12"/>
        <v xml:space="preserve"> </v>
      </c>
      <c r="L73" s="242" t="str">
        <f t="shared" si="13"/>
        <v xml:space="preserve"> </v>
      </c>
      <c r="M73" s="242" t="str">
        <f t="shared" si="14"/>
        <v xml:space="preserve"> </v>
      </c>
    </row>
    <row r="74" spans="1:13" x14ac:dyDescent="0.2">
      <c r="F74" s="216" t="str">
        <f t="shared" si="10"/>
        <v xml:space="preserve"> </v>
      </c>
      <c r="G74" s="50"/>
      <c r="H74" s="242" t="str">
        <f ca="1">IF(F74=1,PERCENTILE(INDIRECT("g"&amp;$D$8):INDIRECT("g"&amp;$E$8),0.5),IF(F74=2,PERCENTILE(INDIRECT("g"&amp;$D$9):INDIRECT("g"&amp;$E$9),0.5),IF(F74=3,PERCENTILE(INDIRECT("g"&amp;$D$10):INDIRECT("g"&amp;$E$10),0.5),IF(F74=4,PERCENTILE(INDIRECT("g"&amp;$D$11):INDIRECT("g"&amp;$E$11),0.5),IF(F74=5,PERCENTILE(INDIRECT("g"&amp;$D$12):INDIRECT("g"&amp;$E$12),0.5),IF(F74=6,PERCENTILE(INDIRECT("g"&amp;$D$13):INDIRECT("g"&amp;$E$13),0.5)," "))))))</f>
        <v xml:space="preserve"> </v>
      </c>
      <c r="I74" s="242" t="str">
        <f t="shared" si="11"/>
        <v xml:space="preserve"> </v>
      </c>
      <c r="J74" s="242" t="str">
        <f ca="1">IF(F74=1,AVERAGE(INDIRECT("I"&amp;$D$8):INDIRECT("I"&amp;$E$8)),IF(F74=2,AVERAGE(INDIRECT("I"&amp;$D$9):INDIRECT("I"&amp;$E$9)),IF(F74=3,AVERAGE(INDIRECT("I"&amp;$D$10):INDIRECT("I"&amp;$E$10)),IF(F74=4,AVERAGE(INDIRECT("I"&amp;$D$11):INDIRECT("I"&amp;$E$11)),IF(F74=5,AVERAGE(INDIRECT("I"&amp;$D$12):INDIRECT("I"&amp;$E$12)),IF(F74=6,AVERAGE(INDIRECT("I"&amp;$D$13):INDIRECT("I"&amp;$E$13))," "))))))</f>
        <v xml:space="preserve"> </v>
      </c>
      <c r="K74" s="242" t="str">
        <f t="shared" si="12"/>
        <v xml:space="preserve"> </v>
      </c>
      <c r="L74" s="242" t="str">
        <f t="shared" si="13"/>
        <v xml:space="preserve"> </v>
      </c>
      <c r="M74" s="242" t="str">
        <f t="shared" si="14"/>
        <v xml:space="preserve"> </v>
      </c>
    </row>
    <row r="75" spans="1:13" x14ac:dyDescent="0.2">
      <c r="F75" s="216" t="str">
        <f t="shared" si="10"/>
        <v xml:space="preserve"> </v>
      </c>
      <c r="G75" s="50"/>
      <c r="H75" s="242" t="str">
        <f ca="1">IF(F75=1,PERCENTILE(INDIRECT("g"&amp;$D$8):INDIRECT("g"&amp;$E$8),0.5),IF(F75=2,PERCENTILE(INDIRECT("g"&amp;$D$9):INDIRECT("g"&amp;$E$9),0.5),IF(F75=3,PERCENTILE(INDIRECT("g"&amp;$D$10):INDIRECT("g"&amp;$E$10),0.5),IF(F75=4,PERCENTILE(INDIRECT("g"&amp;$D$11):INDIRECT("g"&amp;$E$11),0.5),IF(F75=5,PERCENTILE(INDIRECT("g"&amp;$D$12):INDIRECT("g"&amp;$E$12),0.5),IF(F75=6,PERCENTILE(INDIRECT("g"&amp;$D$13):INDIRECT("g"&amp;$E$13),0.5)," "))))))</f>
        <v xml:space="preserve"> </v>
      </c>
      <c r="I75" s="242" t="str">
        <f t="shared" si="11"/>
        <v xml:space="preserve"> </v>
      </c>
      <c r="J75" s="242" t="str">
        <f ca="1">IF(F75=1,AVERAGE(INDIRECT("I"&amp;$D$8):INDIRECT("I"&amp;$E$8)),IF(F75=2,AVERAGE(INDIRECT("I"&amp;$D$9):INDIRECT("I"&amp;$E$9)),IF(F75=3,AVERAGE(INDIRECT("I"&amp;$D$10):INDIRECT("I"&amp;$E$10)),IF(F75=4,AVERAGE(INDIRECT("I"&amp;$D$11):INDIRECT("I"&amp;$E$11)),IF(F75=5,AVERAGE(INDIRECT("I"&amp;$D$12):INDIRECT("I"&amp;$E$12)),IF(F75=6,AVERAGE(INDIRECT("I"&amp;$D$13):INDIRECT("I"&amp;$E$13))," "))))))</f>
        <v xml:space="preserve"> </v>
      </c>
      <c r="K75" s="242" t="str">
        <f t="shared" si="12"/>
        <v xml:space="preserve"> </v>
      </c>
      <c r="L75" s="242" t="str">
        <f t="shared" si="13"/>
        <v xml:space="preserve"> </v>
      </c>
      <c r="M75" s="242" t="str">
        <f t="shared" si="14"/>
        <v xml:space="preserve"> </v>
      </c>
    </row>
    <row r="76" spans="1:13" x14ac:dyDescent="0.2">
      <c r="F76" s="216" t="str">
        <f t="shared" si="10"/>
        <v xml:space="preserve"> </v>
      </c>
      <c r="G76" s="50"/>
      <c r="H76" s="242" t="str">
        <f ca="1">IF(F76=1,PERCENTILE(INDIRECT("g"&amp;$D$8):INDIRECT("g"&amp;$E$8),0.5),IF(F76=2,PERCENTILE(INDIRECT("g"&amp;$D$9):INDIRECT("g"&amp;$E$9),0.5),IF(F76=3,PERCENTILE(INDIRECT("g"&amp;$D$10):INDIRECT("g"&amp;$E$10),0.5),IF(F76=4,PERCENTILE(INDIRECT("g"&amp;$D$11):INDIRECT("g"&amp;$E$11),0.5),IF(F76=5,PERCENTILE(INDIRECT("g"&amp;$D$12):INDIRECT("g"&amp;$E$12),0.5),IF(F76=6,PERCENTILE(INDIRECT("g"&amp;$D$13):INDIRECT("g"&amp;$E$13),0.5)," "))))))</f>
        <v xml:space="preserve"> </v>
      </c>
      <c r="I76" s="242" t="str">
        <f t="shared" si="11"/>
        <v xml:space="preserve"> </v>
      </c>
      <c r="J76" s="242" t="str">
        <f ca="1">IF(F76=1,AVERAGE(INDIRECT("I"&amp;$D$8):INDIRECT("I"&amp;$E$8)),IF(F76=2,AVERAGE(INDIRECT("I"&amp;$D$9):INDIRECT("I"&amp;$E$9)),IF(F76=3,AVERAGE(INDIRECT("I"&amp;$D$10):INDIRECT("I"&amp;$E$10)),IF(F76=4,AVERAGE(INDIRECT("I"&amp;$D$11):INDIRECT("I"&amp;$E$11)),IF(F76=5,AVERAGE(INDIRECT("I"&amp;$D$12):INDIRECT("I"&amp;$E$12)),IF(F76=6,AVERAGE(INDIRECT("I"&amp;$D$13):INDIRECT("I"&amp;$E$13))," "))))))</f>
        <v xml:space="preserve"> </v>
      </c>
      <c r="K76" s="242" t="str">
        <f t="shared" si="12"/>
        <v xml:space="preserve"> </v>
      </c>
      <c r="L76" s="242" t="str">
        <f t="shared" si="13"/>
        <v xml:space="preserve"> </v>
      </c>
      <c r="M76" s="242" t="str">
        <f t="shared" si="14"/>
        <v xml:space="preserve"> </v>
      </c>
    </row>
    <row r="77" spans="1:13" x14ac:dyDescent="0.2">
      <c r="F77" s="216" t="str">
        <f t="shared" si="10"/>
        <v xml:space="preserve"> </v>
      </c>
      <c r="G77" s="50"/>
      <c r="H77" s="242" t="str">
        <f ca="1">IF(F77=1,PERCENTILE(INDIRECT("g"&amp;$D$8):INDIRECT("g"&amp;$E$8),0.5),IF(F77=2,PERCENTILE(INDIRECT("g"&amp;$D$9):INDIRECT("g"&amp;$E$9),0.5),IF(F77=3,PERCENTILE(INDIRECT("g"&amp;$D$10):INDIRECT("g"&amp;$E$10),0.5),IF(F77=4,PERCENTILE(INDIRECT("g"&amp;$D$11):INDIRECT("g"&amp;$E$11),0.5),IF(F77=5,PERCENTILE(INDIRECT("g"&amp;$D$12):INDIRECT("g"&amp;$E$12),0.5),IF(F77=6,PERCENTILE(INDIRECT("g"&amp;$D$13):INDIRECT("g"&amp;$E$13),0.5)," "))))))</f>
        <v xml:space="preserve"> </v>
      </c>
      <c r="I77" s="242" t="str">
        <f t="shared" si="11"/>
        <v xml:space="preserve"> </v>
      </c>
      <c r="J77" s="242" t="str">
        <f ca="1">IF(F77=1,AVERAGE(INDIRECT("I"&amp;$D$8):INDIRECT("I"&amp;$E$8)),IF(F77=2,AVERAGE(INDIRECT("I"&amp;$D$9):INDIRECT("I"&amp;$E$9)),IF(F77=3,AVERAGE(INDIRECT("I"&amp;$D$10):INDIRECT("I"&amp;$E$10)),IF(F77=4,AVERAGE(INDIRECT("I"&amp;$D$11):INDIRECT("I"&amp;$E$11)),IF(F77=5,AVERAGE(INDIRECT("I"&amp;$D$12):INDIRECT("I"&amp;$E$12)),IF(F77=6,AVERAGE(INDIRECT("I"&amp;$D$13):INDIRECT("I"&amp;$E$13))," "))))))</f>
        <v xml:space="preserve"> </v>
      </c>
      <c r="K77" s="242" t="str">
        <f t="shared" si="12"/>
        <v xml:space="preserve"> </v>
      </c>
      <c r="L77" s="242" t="str">
        <f t="shared" si="13"/>
        <v xml:space="preserve"> </v>
      </c>
      <c r="M77" s="242" t="str">
        <f t="shared" si="14"/>
        <v xml:space="preserve"> </v>
      </c>
    </row>
    <row r="78" spans="1:13" x14ac:dyDescent="0.2">
      <c r="F78" s="216" t="str">
        <f t="shared" si="10"/>
        <v xml:space="preserve"> </v>
      </c>
      <c r="G78" s="50"/>
      <c r="H78" s="242" t="str">
        <f ca="1">IF(F78=1,PERCENTILE(INDIRECT("g"&amp;$D$8):INDIRECT("g"&amp;$E$8),0.5),IF(F78=2,PERCENTILE(INDIRECT("g"&amp;$D$9):INDIRECT("g"&amp;$E$9),0.5),IF(F78=3,PERCENTILE(INDIRECT("g"&amp;$D$10):INDIRECT("g"&amp;$E$10),0.5),IF(F78=4,PERCENTILE(INDIRECT("g"&amp;$D$11):INDIRECT("g"&amp;$E$11),0.5),IF(F78=5,PERCENTILE(INDIRECT("g"&amp;$D$12):INDIRECT("g"&amp;$E$12),0.5),IF(F78=6,PERCENTILE(INDIRECT("g"&amp;$D$13):INDIRECT("g"&amp;$E$13),0.5)," "))))))</f>
        <v xml:space="preserve"> </v>
      </c>
      <c r="I78" s="242" t="str">
        <f t="shared" si="11"/>
        <v xml:space="preserve"> </v>
      </c>
      <c r="J78" s="242" t="str">
        <f ca="1">IF(F78=1,AVERAGE(INDIRECT("I"&amp;$D$8):INDIRECT("I"&amp;$E$8)),IF(F78=2,AVERAGE(INDIRECT("I"&amp;$D$9):INDIRECT("I"&amp;$E$9)),IF(F78=3,AVERAGE(INDIRECT("I"&amp;$D$10):INDIRECT("I"&amp;$E$10)),IF(F78=4,AVERAGE(INDIRECT("I"&amp;$D$11):INDIRECT("I"&amp;$E$11)),IF(F78=5,AVERAGE(INDIRECT("I"&amp;$D$12):INDIRECT("I"&amp;$E$12)),IF(F78=6,AVERAGE(INDIRECT("I"&amp;$D$13):INDIRECT("I"&amp;$E$13))," "))))))</f>
        <v xml:space="preserve"> </v>
      </c>
      <c r="K78" s="242" t="str">
        <f t="shared" si="12"/>
        <v xml:space="preserve"> </v>
      </c>
      <c r="L78" s="242" t="str">
        <f t="shared" si="13"/>
        <v xml:space="preserve"> </v>
      </c>
      <c r="M78" s="242" t="str">
        <f t="shared" si="14"/>
        <v xml:space="preserve"> </v>
      </c>
    </row>
    <row r="79" spans="1:13" x14ac:dyDescent="0.2">
      <c r="F79" s="216" t="str">
        <f t="shared" si="10"/>
        <v xml:space="preserve"> </v>
      </c>
      <c r="G79" s="50"/>
      <c r="H79" s="242" t="str">
        <f ca="1">IF(F79=1,PERCENTILE(INDIRECT("g"&amp;$D$8):INDIRECT("g"&amp;$E$8),0.5),IF(F79=2,PERCENTILE(INDIRECT("g"&amp;$D$9):INDIRECT("g"&amp;$E$9),0.5),IF(F79=3,PERCENTILE(INDIRECT("g"&amp;$D$10):INDIRECT("g"&amp;$E$10),0.5),IF(F79=4,PERCENTILE(INDIRECT("g"&amp;$D$11):INDIRECT("g"&amp;$E$11),0.5),IF(F79=5,PERCENTILE(INDIRECT("g"&amp;$D$12):INDIRECT("g"&amp;$E$12),0.5),IF(F79=6,PERCENTILE(INDIRECT("g"&amp;$D$13):INDIRECT("g"&amp;$E$13),0.5)," "))))))</f>
        <v xml:space="preserve"> </v>
      </c>
      <c r="I79" s="242" t="str">
        <f t="shared" si="11"/>
        <v xml:space="preserve"> </v>
      </c>
      <c r="J79" s="242" t="str">
        <f ca="1">IF(F79=1,AVERAGE(INDIRECT("I"&amp;$D$8):INDIRECT("I"&amp;$E$8)),IF(F79=2,AVERAGE(INDIRECT("I"&amp;$D$9):INDIRECT("I"&amp;$E$9)),IF(F79=3,AVERAGE(INDIRECT("I"&amp;$D$10):INDIRECT("I"&amp;$E$10)),IF(F79=4,AVERAGE(INDIRECT("I"&amp;$D$11):INDIRECT("I"&amp;$E$11)),IF(F79=5,AVERAGE(INDIRECT("I"&amp;$D$12):INDIRECT("I"&amp;$E$12)),IF(F79=6,AVERAGE(INDIRECT("I"&amp;$D$13):INDIRECT("I"&amp;$E$13))," "))))))</f>
        <v xml:space="preserve"> </v>
      </c>
      <c r="K79" s="242" t="str">
        <f t="shared" si="12"/>
        <v xml:space="preserve"> </v>
      </c>
      <c r="L79" s="242" t="str">
        <f t="shared" si="13"/>
        <v xml:space="preserve"> </v>
      </c>
      <c r="M79" s="242" t="str">
        <f t="shared" si="14"/>
        <v xml:space="preserve"> </v>
      </c>
    </row>
    <row r="80" spans="1:13" x14ac:dyDescent="0.2">
      <c r="F80" s="216" t="str">
        <f t="shared" si="10"/>
        <v xml:space="preserve"> </v>
      </c>
      <c r="G80" s="50"/>
      <c r="H80" s="242" t="str">
        <f ca="1">IF(F80=1,PERCENTILE(INDIRECT("g"&amp;$D$8):INDIRECT("g"&amp;$E$8),0.5),IF(F80=2,PERCENTILE(INDIRECT("g"&amp;$D$9):INDIRECT("g"&amp;$E$9),0.5),IF(F80=3,PERCENTILE(INDIRECT("g"&amp;$D$10):INDIRECT("g"&amp;$E$10),0.5),IF(F80=4,PERCENTILE(INDIRECT("g"&amp;$D$11):INDIRECT("g"&amp;$E$11),0.5),IF(F80=5,PERCENTILE(INDIRECT("g"&amp;$D$12):INDIRECT("g"&amp;$E$12),0.5),IF(F80=6,PERCENTILE(INDIRECT("g"&amp;$D$13):INDIRECT("g"&amp;$E$13),0.5)," "))))))</f>
        <v xml:space="preserve"> </v>
      </c>
      <c r="I80" s="242" t="str">
        <f t="shared" si="11"/>
        <v xml:space="preserve"> </v>
      </c>
      <c r="J80" s="242" t="str">
        <f ca="1">IF(F80=1,AVERAGE(INDIRECT("I"&amp;$D$8):INDIRECT("I"&amp;$E$8)),IF(F80=2,AVERAGE(INDIRECT("I"&amp;$D$9):INDIRECT("I"&amp;$E$9)),IF(F80=3,AVERAGE(INDIRECT("I"&amp;$D$10):INDIRECT("I"&amp;$E$10)),IF(F80=4,AVERAGE(INDIRECT("I"&amp;$D$11):INDIRECT("I"&amp;$E$11)),IF(F80=5,AVERAGE(INDIRECT("I"&amp;$D$12):INDIRECT("I"&amp;$E$12)),IF(F80=6,AVERAGE(INDIRECT("I"&amp;$D$13):INDIRECT("I"&amp;$E$13))," "))))))</f>
        <v xml:space="preserve"> </v>
      </c>
      <c r="K80" s="242" t="str">
        <f t="shared" si="12"/>
        <v xml:space="preserve"> </v>
      </c>
      <c r="L80" s="242" t="str">
        <f t="shared" si="13"/>
        <v xml:space="preserve"> </v>
      </c>
      <c r="M80" s="242" t="str">
        <f t="shared" si="14"/>
        <v xml:space="preserve"> </v>
      </c>
    </row>
    <row r="81" spans="6:13" x14ac:dyDescent="0.2">
      <c r="F81" s="216" t="str">
        <f t="shared" si="10"/>
        <v xml:space="preserve"> </v>
      </c>
      <c r="G81" s="50"/>
      <c r="H81" s="242" t="str">
        <f ca="1">IF(F81=1,PERCENTILE(INDIRECT("g"&amp;$D$8):INDIRECT("g"&amp;$E$8),0.5),IF(F81=2,PERCENTILE(INDIRECT("g"&amp;$D$9):INDIRECT("g"&amp;$E$9),0.5),IF(F81=3,PERCENTILE(INDIRECT("g"&amp;$D$10):INDIRECT("g"&amp;$E$10),0.5),IF(F81=4,PERCENTILE(INDIRECT("g"&amp;$D$11):INDIRECT("g"&amp;$E$11),0.5),IF(F81=5,PERCENTILE(INDIRECT("g"&amp;$D$12):INDIRECT("g"&amp;$E$12),0.5),IF(F81=6,PERCENTILE(INDIRECT("g"&amp;$D$13):INDIRECT("g"&amp;$E$13),0.5)," "))))))</f>
        <v xml:space="preserve"> </v>
      </c>
      <c r="I81" s="242" t="str">
        <f t="shared" si="11"/>
        <v xml:space="preserve"> </v>
      </c>
      <c r="J81" s="242" t="str">
        <f ca="1">IF(F81=1,AVERAGE(INDIRECT("I"&amp;$D$8):INDIRECT("I"&amp;$E$8)),IF(F81=2,AVERAGE(INDIRECT("I"&amp;$D$9):INDIRECT("I"&amp;$E$9)),IF(F81=3,AVERAGE(INDIRECT("I"&amp;$D$10):INDIRECT("I"&amp;$E$10)),IF(F81=4,AVERAGE(INDIRECT("I"&amp;$D$11):INDIRECT("I"&amp;$E$11)),IF(F81=5,AVERAGE(INDIRECT("I"&amp;$D$12):INDIRECT("I"&amp;$E$12)),IF(F81=6,AVERAGE(INDIRECT("I"&amp;$D$13):INDIRECT("I"&amp;$E$13))," "))))))</f>
        <v xml:space="preserve"> </v>
      </c>
      <c r="K81" s="242" t="str">
        <f t="shared" si="12"/>
        <v xml:space="preserve"> </v>
      </c>
      <c r="L81" s="242" t="str">
        <f t="shared" si="13"/>
        <v xml:space="preserve"> </v>
      </c>
      <c r="M81" s="242" t="str">
        <f t="shared" si="14"/>
        <v xml:space="preserve"> </v>
      </c>
    </row>
    <row r="82" spans="6:13" x14ac:dyDescent="0.2">
      <c r="F82" s="216" t="str">
        <f t="shared" si="10"/>
        <v xml:space="preserve"> </v>
      </c>
      <c r="G82" s="50"/>
      <c r="H82" s="242" t="str">
        <f ca="1">IF(F82=1,PERCENTILE(INDIRECT("g"&amp;$D$8):INDIRECT("g"&amp;$E$8),0.5),IF(F82=2,PERCENTILE(INDIRECT("g"&amp;$D$9):INDIRECT("g"&amp;$E$9),0.5),IF(F82=3,PERCENTILE(INDIRECT("g"&amp;$D$10):INDIRECT("g"&amp;$E$10),0.5),IF(F82=4,PERCENTILE(INDIRECT("g"&amp;$D$11):INDIRECT("g"&amp;$E$11),0.5),IF(F82=5,PERCENTILE(INDIRECT("g"&amp;$D$12):INDIRECT("g"&amp;$E$12),0.5),IF(F82=6,PERCENTILE(INDIRECT("g"&amp;$D$13):INDIRECT("g"&amp;$E$13),0.5)," "))))))</f>
        <v xml:space="preserve"> </v>
      </c>
      <c r="I82" s="242" t="str">
        <f t="shared" si="11"/>
        <v xml:space="preserve"> </v>
      </c>
      <c r="J82" s="242" t="str">
        <f ca="1">IF(F82=1,AVERAGE(INDIRECT("I"&amp;$D$8):INDIRECT("I"&amp;$E$8)),IF(F82=2,AVERAGE(INDIRECT("I"&amp;$D$9):INDIRECT("I"&amp;$E$9)),IF(F82=3,AVERAGE(INDIRECT("I"&amp;$D$10):INDIRECT("I"&amp;$E$10)),IF(F82=4,AVERAGE(INDIRECT("I"&amp;$D$11):INDIRECT("I"&amp;$E$11)),IF(F82=5,AVERAGE(INDIRECT("I"&amp;$D$12):INDIRECT("I"&amp;$E$12)),IF(F82=6,AVERAGE(INDIRECT("I"&amp;$D$13):INDIRECT("I"&amp;$E$13))," "))))))</f>
        <v xml:space="preserve"> </v>
      </c>
      <c r="K82" s="242" t="str">
        <f t="shared" si="12"/>
        <v xml:space="preserve"> </v>
      </c>
      <c r="L82" s="242" t="str">
        <f t="shared" si="13"/>
        <v xml:space="preserve"> </v>
      </c>
      <c r="M82" s="242" t="str">
        <f t="shared" si="14"/>
        <v xml:space="preserve"> </v>
      </c>
    </row>
    <row r="83" spans="6:13" x14ac:dyDescent="0.2">
      <c r="F83" s="216" t="str">
        <f t="shared" si="10"/>
        <v xml:space="preserve"> </v>
      </c>
      <c r="G83" s="50"/>
      <c r="H83" s="242" t="str">
        <f ca="1">IF(F83=1,PERCENTILE(INDIRECT("g"&amp;$D$8):INDIRECT("g"&amp;$E$8),0.5),IF(F83=2,PERCENTILE(INDIRECT("g"&amp;$D$9):INDIRECT("g"&amp;$E$9),0.5),IF(F83=3,PERCENTILE(INDIRECT("g"&amp;$D$10):INDIRECT("g"&amp;$E$10),0.5),IF(F83=4,PERCENTILE(INDIRECT("g"&amp;$D$11):INDIRECT("g"&amp;$E$11),0.5),IF(F83=5,PERCENTILE(INDIRECT("g"&amp;$D$12):INDIRECT("g"&amp;$E$12),0.5),IF(F83=6,PERCENTILE(INDIRECT("g"&amp;$D$13):INDIRECT("g"&amp;$E$13),0.5)," "))))))</f>
        <v xml:space="preserve"> </v>
      </c>
      <c r="I83" s="242" t="str">
        <f t="shared" si="11"/>
        <v xml:space="preserve"> </v>
      </c>
      <c r="J83" s="242" t="str">
        <f ca="1">IF(F83=1,AVERAGE(INDIRECT("I"&amp;$D$8):INDIRECT("I"&amp;$E$8)),IF(F83=2,AVERAGE(INDIRECT("I"&amp;$D$9):INDIRECT("I"&amp;$E$9)),IF(F83=3,AVERAGE(INDIRECT("I"&amp;$D$10):INDIRECT("I"&amp;$E$10)),IF(F83=4,AVERAGE(INDIRECT("I"&amp;$D$11):INDIRECT("I"&amp;$E$11)),IF(F83=5,AVERAGE(INDIRECT("I"&amp;$D$12):INDIRECT("I"&amp;$E$12)),IF(F83=6,AVERAGE(INDIRECT("I"&amp;$D$13):INDIRECT("I"&amp;$E$13))," "))))))</f>
        <v xml:space="preserve"> </v>
      </c>
      <c r="K83" s="242" t="str">
        <f t="shared" si="12"/>
        <v xml:space="preserve"> </v>
      </c>
      <c r="L83" s="242" t="str">
        <f t="shared" si="13"/>
        <v xml:space="preserve"> </v>
      </c>
      <c r="M83" s="242" t="str">
        <f t="shared" si="14"/>
        <v xml:space="preserve"> </v>
      </c>
    </row>
    <row r="84" spans="6:13" x14ac:dyDescent="0.2">
      <c r="F84" s="216" t="str">
        <f t="shared" si="10"/>
        <v xml:space="preserve"> </v>
      </c>
      <c r="G84" s="50"/>
      <c r="H84" s="242" t="str">
        <f ca="1">IF(F84=1,PERCENTILE(INDIRECT("g"&amp;$D$8):INDIRECT("g"&amp;$E$8),0.5),IF(F84=2,PERCENTILE(INDIRECT("g"&amp;$D$9):INDIRECT("g"&amp;$E$9),0.5),IF(F84=3,PERCENTILE(INDIRECT("g"&amp;$D$10):INDIRECT("g"&amp;$E$10),0.5),IF(F84=4,PERCENTILE(INDIRECT("g"&amp;$D$11):INDIRECT("g"&amp;$E$11),0.5),IF(F84=5,PERCENTILE(INDIRECT("g"&amp;$D$12):INDIRECT("g"&amp;$E$12),0.5),IF(F84=6,PERCENTILE(INDIRECT("g"&amp;$D$13):INDIRECT("g"&amp;$E$13),0.5)," "))))))</f>
        <v xml:space="preserve"> </v>
      </c>
      <c r="I84" s="242" t="str">
        <f t="shared" si="11"/>
        <v xml:space="preserve"> </v>
      </c>
      <c r="J84" s="242" t="str">
        <f ca="1">IF(F84=1,AVERAGE(INDIRECT("I"&amp;$D$8):INDIRECT("I"&amp;$E$8)),IF(F84=2,AVERAGE(INDIRECT("I"&amp;$D$9):INDIRECT("I"&amp;$E$9)),IF(F84=3,AVERAGE(INDIRECT("I"&amp;$D$10):INDIRECT("I"&amp;$E$10)),IF(F84=4,AVERAGE(INDIRECT("I"&amp;$D$11):INDIRECT("I"&amp;$E$11)),IF(F84=5,AVERAGE(INDIRECT("I"&amp;$D$12):INDIRECT("I"&amp;$E$12)),IF(F84=6,AVERAGE(INDIRECT("I"&amp;$D$13):INDIRECT("I"&amp;$E$13))," "))))))</f>
        <v xml:space="preserve"> </v>
      </c>
      <c r="K84" s="242" t="str">
        <f t="shared" si="12"/>
        <v xml:space="preserve"> </v>
      </c>
      <c r="L84" s="242" t="str">
        <f t="shared" si="13"/>
        <v xml:space="preserve"> </v>
      </c>
      <c r="M84" s="242" t="str">
        <f t="shared" si="14"/>
        <v xml:space="preserve"> </v>
      </c>
    </row>
    <row r="85" spans="6:13" x14ac:dyDescent="0.2">
      <c r="F85" s="216" t="str">
        <f t="shared" si="10"/>
        <v xml:space="preserve"> </v>
      </c>
      <c r="G85" s="50"/>
      <c r="H85" s="242" t="str">
        <f ca="1">IF(F85=1,PERCENTILE(INDIRECT("g"&amp;$D$8):INDIRECT("g"&amp;$E$8),0.5),IF(F85=2,PERCENTILE(INDIRECT("g"&amp;$D$9):INDIRECT("g"&amp;$E$9),0.5),IF(F85=3,PERCENTILE(INDIRECT("g"&amp;$D$10):INDIRECT("g"&amp;$E$10),0.5),IF(F85=4,PERCENTILE(INDIRECT("g"&amp;$D$11):INDIRECT("g"&amp;$E$11),0.5),IF(F85=5,PERCENTILE(INDIRECT("g"&amp;$D$12):INDIRECT("g"&amp;$E$12),0.5),IF(F85=6,PERCENTILE(INDIRECT("g"&amp;$D$13):INDIRECT("g"&amp;$E$13),0.5)," "))))))</f>
        <v xml:space="preserve"> </v>
      </c>
      <c r="I85" s="242" t="str">
        <f t="shared" si="11"/>
        <v xml:space="preserve"> </v>
      </c>
      <c r="J85" s="242" t="str">
        <f ca="1">IF(F85=1,AVERAGE(INDIRECT("I"&amp;$D$8):INDIRECT("I"&amp;$E$8)),IF(F85=2,AVERAGE(INDIRECT("I"&amp;$D$9):INDIRECT("I"&amp;$E$9)),IF(F85=3,AVERAGE(INDIRECT("I"&amp;$D$10):INDIRECT("I"&amp;$E$10)),IF(F85=4,AVERAGE(INDIRECT("I"&amp;$D$11):INDIRECT("I"&amp;$E$11)),IF(F85=5,AVERAGE(INDIRECT("I"&amp;$D$12):INDIRECT("I"&amp;$E$12)),IF(F85=6,AVERAGE(INDIRECT("I"&amp;$D$13):INDIRECT("I"&amp;$E$13))," "))))))</f>
        <v xml:space="preserve"> </v>
      </c>
      <c r="K85" s="242" t="str">
        <f t="shared" si="12"/>
        <v xml:space="preserve"> </v>
      </c>
      <c r="L85" s="242" t="str">
        <f t="shared" si="13"/>
        <v xml:space="preserve"> </v>
      </c>
      <c r="M85" s="242" t="str">
        <f t="shared" si="14"/>
        <v xml:space="preserve"> </v>
      </c>
    </row>
    <row r="86" spans="6:13" x14ac:dyDescent="0.2">
      <c r="F86" s="216" t="str">
        <f t="shared" si="10"/>
        <v xml:space="preserve"> </v>
      </c>
      <c r="G86" s="50"/>
      <c r="H86" s="242" t="str">
        <f ca="1">IF(F86=1,PERCENTILE(INDIRECT("g"&amp;$D$8):INDIRECT("g"&amp;$E$8),0.5),IF(F86=2,PERCENTILE(INDIRECT("g"&amp;$D$9):INDIRECT("g"&amp;$E$9),0.5),IF(F86=3,PERCENTILE(INDIRECT("g"&amp;$D$10):INDIRECT("g"&amp;$E$10),0.5),IF(F86=4,PERCENTILE(INDIRECT("g"&amp;$D$11):INDIRECT("g"&amp;$E$11),0.5),IF(F86=5,PERCENTILE(INDIRECT("g"&amp;$D$12):INDIRECT("g"&amp;$E$12),0.5),IF(F86=6,PERCENTILE(INDIRECT("g"&amp;$D$13):INDIRECT("g"&amp;$E$13),0.5)," "))))))</f>
        <v xml:space="preserve"> </v>
      </c>
      <c r="I86" s="242" t="str">
        <f t="shared" si="11"/>
        <v xml:space="preserve"> </v>
      </c>
      <c r="J86" s="242" t="str">
        <f ca="1">IF(F86=1,AVERAGE(INDIRECT("I"&amp;$D$8):INDIRECT("I"&amp;$E$8)),IF(F86=2,AVERAGE(INDIRECT("I"&amp;$D$9):INDIRECT("I"&amp;$E$9)),IF(F86=3,AVERAGE(INDIRECT("I"&amp;$D$10):INDIRECT("I"&amp;$E$10)),IF(F86=4,AVERAGE(INDIRECT("I"&amp;$D$11):INDIRECT("I"&amp;$E$11)),IF(F86=5,AVERAGE(INDIRECT("I"&amp;$D$12):INDIRECT("I"&amp;$E$12)),IF(F86=6,AVERAGE(INDIRECT("I"&amp;$D$13):INDIRECT("I"&amp;$E$13))," "))))))</f>
        <v xml:space="preserve"> </v>
      </c>
      <c r="K86" s="242" t="str">
        <f t="shared" si="12"/>
        <v xml:space="preserve"> </v>
      </c>
      <c r="L86" s="242" t="str">
        <f t="shared" si="13"/>
        <v xml:space="preserve"> </v>
      </c>
      <c r="M86" s="242" t="str">
        <f t="shared" si="14"/>
        <v xml:space="preserve"> </v>
      </c>
    </row>
    <row r="87" spans="6:13" x14ac:dyDescent="0.2">
      <c r="F87" s="216" t="str">
        <f t="shared" si="10"/>
        <v xml:space="preserve"> </v>
      </c>
      <c r="G87" s="50"/>
      <c r="H87" s="242" t="str">
        <f ca="1">IF(F87=1,PERCENTILE(INDIRECT("g"&amp;$D$8):INDIRECT("g"&amp;$E$8),0.5),IF(F87=2,PERCENTILE(INDIRECT("g"&amp;$D$9):INDIRECT("g"&amp;$E$9),0.5),IF(F87=3,PERCENTILE(INDIRECT("g"&amp;$D$10):INDIRECT("g"&amp;$E$10),0.5),IF(F87=4,PERCENTILE(INDIRECT("g"&amp;$D$11):INDIRECT("g"&amp;$E$11),0.5),IF(F87=5,PERCENTILE(INDIRECT("g"&amp;$D$12):INDIRECT("g"&amp;$E$12),0.5),IF(F87=6,PERCENTILE(INDIRECT("g"&amp;$D$13):INDIRECT("g"&amp;$E$13),0.5)," "))))))</f>
        <v xml:space="preserve"> </v>
      </c>
      <c r="I87" s="242" t="str">
        <f t="shared" si="11"/>
        <v xml:space="preserve"> </v>
      </c>
      <c r="J87" s="242" t="str">
        <f ca="1">IF(F87=1,AVERAGE(INDIRECT("I"&amp;$D$8):INDIRECT("I"&amp;$E$8)),IF(F87=2,AVERAGE(INDIRECT("I"&amp;$D$9):INDIRECT("I"&amp;$E$9)),IF(F87=3,AVERAGE(INDIRECT("I"&amp;$D$10):INDIRECT("I"&amp;$E$10)),IF(F87=4,AVERAGE(INDIRECT("I"&amp;$D$11):INDIRECT("I"&amp;$E$11)),IF(F87=5,AVERAGE(INDIRECT("I"&amp;$D$12):INDIRECT("I"&amp;$E$12)),IF(F87=6,AVERAGE(INDIRECT("I"&amp;$D$13):INDIRECT("I"&amp;$E$13))," "))))))</f>
        <v xml:space="preserve"> </v>
      </c>
      <c r="K87" s="242" t="str">
        <f t="shared" si="12"/>
        <v xml:space="preserve"> </v>
      </c>
      <c r="L87" s="242" t="str">
        <f t="shared" si="13"/>
        <v xml:space="preserve"> </v>
      </c>
      <c r="M87" s="242" t="str">
        <f t="shared" si="14"/>
        <v xml:space="preserve"> </v>
      </c>
    </row>
    <row r="88" spans="6:13" x14ac:dyDescent="0.2">
      <c r="F88" s="216" t="str">
        <f t="shared" si="10"/>
        <v xml:space="preserve"> </v>
      </c>
      <c r="G88" s="50"/>
      <c r="H88" s="242" t="str">
        <f ca="1">IF(F88=1,PERCENTILE(INDIRECT("g"&amp;$D$8):INDIRECT("g"&amp;$E$8),0.5),IF(F88=2,PERCENTILE(INDIRECT("g"&amp;$D$9):INDIRECT("g"&amp;$E$9),0.5),IF(F88=3,PERCENTILE(INDIRECT("g"&amp;$D$10):INDIRECT("g"&amp;$E$10),0.5),IF(F88=4,PERCENTILE(INDIRECT("g"&amp;$D$11):INDIRECT("g"&amp;$E$11),0.5),IF(F88=5,PERCENTILE(INDIRECT("g"&amp;$D$12):INDIRECT("g"&amp;$E$12),0.5),IF(F88=6,PERCENTILE(INDIRECT("g"&amp;$D$13):INDIRECT("g"&amp;$E$13),0.5)," "))))))</f>
        <v xml:space="preserve"> </v>
      </c>
      <c r="I88" s="242" t="str">
        <f t="shared" si="11"/>
        <v xml:space="preserve"> </v>
      </c>
      <c r="J88" s="242" t="str">
        <f ca="1">IF(F88=1,AVERAGE(INDIRECT("I"&amp;$D$8):INDIRECT("I"&amp;$E$8)),IF(F88=2,AVERAGE(INDIRECT("I"&amp;$D$9):INDIRECT("I"&amp;$E$9)),IF(F88=3,AVERAGE(INDIRECT("I"&amp;$D$10):INDIRECT("I"&amp;$E$10)),IF(F88=4,AVERAGE(INDIRECT("I"&amp;$D$11):INDIRECT("I"&amp;$E$11)),IF(F88=5,AVERAGE(INDIRECT("I"&amp;$D$12):INDIRECT("I"&amp;$E$12)),IF(F88=6,AVERAGE(INDIRECT("I"&amp;$D$13):INDIRECT("I"&amp;$E$13))," "))))))</f>
        <v xml:space="preserve"> </v>
      </c>
      <c r="K88" s="242" t="str">
        <f t="shared" si="12"/>
        <v xml:space="preserve"> </v>
      </c>
      <c r="L88" s="242" t="str">
        <f t="shared" si="13"/>
        <v xml:space="preserve"> </v>
      </c>
      <c r="M88" s="242" t="str">
        <f t="shared" si="14"/>
        <v xml:space="preserve"> </v>
      </c>
    </row>
    <row r="89" spans="6:13" x14ac:dyDescent="0.2">
      <c r="F89" s="216" t="str">
        <f t="shared" si="10"/>
        <v xml:space="preserve"> </v>
      </c>
      <c r="G89" s="50"/>
      <c r="H89" s="242" t="str">
        <f ca="1">IF(F89=1,PERCENTILE(INDIRECT("g"&amp;$D$8):INDIRECT("g"&amp;$E$8),0.5),IF(F89=2,PERCENTILE(INDIRECT("g"&amp;$D$9):INDIRECT("g"&amp;$E$9),0.5),IF(F89=3,PERCENTILE(INDIRECT("g"&amp;$D$10):INDIRECT("g"&amp;$E$10),0.5),IF(F89=4,PERCENTILE(INDIRECT("g"&amp;$D$11):INDIRECT("g"&amp;$E$11),0.5),IF(F89=5,PERCENTILE(INDIRECT("g"&amp;$D$12):INDIRECT("g"&amp;$E$12),0.5),IF(F89=6,PERCENTILE(INDIRECT("g"&amp;$D$13):INDIRECT("g"&amp;$E$13),0.5)," "))))))</f>
        <v xml:space="preserve"> </v>
      </c>
      <c r="I89" s="242" t="str">
        <f t="shared" si="11"/>
        <v xml:space="preserve"> </v>
      </c>
      <c r="J89" s="242" t="str">
        <f ca="1">IF(F89=1,AVERAGE(INDIRECT("I"&amp;$D$8):INDIRECT("I"&amp;$E$8)),IF(F89=2,AVERAGE(INDIRECT("I"&amp;$D$9):INDIRECT("I"&amp;$E$9)),IF(F89=3,AVERAGE(INDIRECT("I"&amp;$D$10):INDIRECT("I"&amp;$E$10)),IF(F89=4,AVERAGE(INDIRECT("I"&amp;$D$11):INDIRECT("I"&amp;$E$11)),IF(F89=5,AVERAGE(INDIRECT("I"&amp;$D$12):INDIRECT("I"&amp;$E$12)),IF(F89=6,AVERAGE(INDIRECT("I"&amp;$D$13):INDIRECT("I"&amp;$E$13))," "))))))</f>
        <v xml:space="preserve"> </v>
      </c>
      <c r="K89" s="242" t="str">
        <f t="shared" si="12"/>
        <v xml:space="preserve"> </v>
      </c>
      <c r="L89" s="242" t="str">
        <f t="shared" si="13"/>
        <v xml:space="preserve"> </v>
      </c>
      <c r="M89" s="242" t="str">
        <f t="shared" si="14"/>
        <v xml:space="preserve"> </v>
      </c>
    </row>
    <row r="90" spans="6:13" x14ac:dyDescent="0.2">
      <c r="F90" s="216" t="str">
        <f t="shared" si="10"/>
        <v xml:space="preserve"> </v>
      </c>
      <c r="G90" s="50"/>
      <c r="H90" s="242" t="str">
        <f ca="1">IF(F90=1,PERCENTILE(INDIRECT("g"&amp;$D$8):INDIRECT("g"&amp;$E$8),0.5),IF(F90=2,PERCENTILE(INDIRECT("g"&amp;$D$9):INDIRECT("g"&amp;$E$9),0.5),IF(F90=3,PERCENTILE(INDIRECT("g"&amp;$D$10):INDIRECT("g"&amp;$E$10),0.5),IF(F90=4,PERCENTILE(INDIRECT("g"&amp;$D$11):INDIRECT("g"&amp;$E$11),0.5),IF(F90=5,PERCENTILE(INDIRECT("g"&amp;$D$12):INDIRECT("g"&amp;$E$12),0.5),IF(F90=6,PERCENTILE(INDIRECT("g"&amp;$D$13):INDIRECT("g"&amp;$E$13),0.5)," "))))))</f>
        <v xml:space="preserve"> </v>
      </c>
      <c r="I90" s="242" t="str">
        <f t="shared" si="11"/>
        <v xml:space="preserve"> </v>
      </c>
      <c r="J90" s="242" t="str">
        <f ca="1">IF(F90=1,AVERAGE(INDIRECT("I"&amp;$D$8):INDIRECT("I"&amp;$E$8)),IF(F90=2,AVERAGE(INDIRECT("I"&amp;$D$9):INDIRECT("I"&amp;$E$9)),IF(F90=3,AVERAGE(INDIRECT("I"&amp;$D$10):INDIRECT("I"&amp;$E$10)),IF(F90=4,AVERAGE(INDIRECT("I"&amp;$D$11):INDIRECT("I"&amp;$E$11)),IF(F90=5,AVERAGE(INDIRECT("I"&amp;$D$12):INDIRECT("I"&amp;$E$12)),IF(F90=6,AVERAGE(INDIRECT("I"&amp;$D$13):INDIRECT("I"&amp;$E$13))," "))))))</f>
        <v xml:space="preserve"> </v>
      </c>
      <c r="K90" s="242" t="str">
        <f t="shared" si="12"/>
        <v xml:space="preserve"> </v>
      </c>
      <c r="L90" s="242" t="str">
        <f t="shared" si="13"/>
        <v xml:space="preserve"> </v>
      </c>
      <c r="M90" s="242" t="str">
        <f t="shared" si="14"/>
        <v xml:space="preserve"> </v>
      </c>
    </row>
    <row r="91" spans="6:13" x14ac:dyDescent="0.2">
      <c r="F91" s="216" t="str">
        <f t="shared" si="10"/>
        <v xml:space="preserve"> </v>
      </c>
      <c r="G91" s="50"/>
      <c r="H91" s="242" t="str">
        <f ca="1">IF(F91=1,PERCENTILE(INDIRECT("g"&amp;$D$8):INDIRECT("g"&amp;$E$8),0.5),IF(F91=2,PERCENTILE(INDIRECT("g"&amp;$D$9):INDIRECT("g"&amp;$E$9),0.5),IF(F91=3,PERCENTILE(INDIRECT("g"&amp;$D$10):INDIRECT("g"&amp;$E$10),0.5),IF(F91=4,PERCENTILE(INDIRECT("g"&amp;$D$11):INDIRECT("g"&amp;$E$11),0.5),IF(F91=5,PERCENTILE(INDIRECT("g"&amp;$D$12):INDIRECT("g"&amp;$E$12),0.5),IF(F91=6,PERCENTILE(INDIRECT("g"&amp;$D$13):INDIRECT("g"&amp;$E$13),0.5)," "))))))</f>
        <v xml:space="preserve"> </v>
      </c>
      <c r="I91" s="242" t="str">
        <f t="shared" si="11"/>
        <v xml:space="preserve"> </v>
      </c>
      <c r="J91" s="242" t="str">
        <f ca="1">IF(F91=1,AVERAGE(INDIRECT("I"&amp;$D$8):INDIRECT("I"&amp;$E$8)),IF(F91=2,AVERAGE(INDIRECT("I"&amp;$D$9):INDIRECT("I"&amp;$E$9)),IF(F91=3,AVERAGE(INDIRECT("I"&amp;$D$10):INDIRECT("I"&amp;$E$10)),IF(F91=4,AVERAGE(INDIRECT("I"&amp;$D$11):INDIRECT("I"&amp;$E$11)),IF(F91=5,AVERAGE(INDIRECT("I"&amp;$D$12):INDIRECT("I"&amp;$E$12)),IF(F91=6,AVERAGE(INDIRECT("I"&amp;$D$13):INDIRECT("I"&amp;$E$13))," "))))))</f>
        <v xml:space="preserve"> </v>
      </c>
      <c r="K91" s="242" t="str">
        <f t="shared" si="12"/>
        <v xml:space="preserve"> </v>
      </c>
      <c r="L91" s="242" t="str">
        <f t="shared" si="13"/>
        <v xml:space="preserve"> </v>
      </c>
      <c r="M91" s="242" t="str">
        <f t="shared" si="14"/>
        <v xml:space="preserve"> </v>
      </c>
    </row>
    <row r="92" spans="6:13" x14ac:dyDescent="0.2">
      <c r="F92" s="216" t="str">
        <f t="shared" si="10"/>
        <v xml:space="preserve"> </v>
      </c>
      <c r="G92" s="50"/>
      <c r="H92" s="242" t="str">
        <f ca="1">IF(F92=1,PERCENTILE(INDIRECT("g"&amp;$D$8):INDIRECT("g"&amp;$E$8),0.5),IF(F92=2,PERCENTILE(INDIRECT("g"&amp;$D$9):INDIRECT("g"&amp;$E$9),0.5),IF(F92=3,PERCENTILE(INDIRECT("g"&amp;$D$10):INDIRECT("g"&amp;$E$10),0.5),IF(F92=4,PERCENTILE(INDIRECT("g"&amp;$D$11):INDIRECT("g"&amp;$E$11),0.5),IF(F92=5,PERCENTILE(INDIRECT("g"&amp;$D$12):INDIRECT("g"&amp;$E$12),0.5),IF(F92=6,PERCENTILE(INDIRECT("g"&amp;$D$13):INDIRECT("g"&amp;$E$13),0.5)," "))))))</f>
        <v xml:space="preserve"> </v>
      </c>
      <c r="I92" s="242" t="str">
        <f t="shared" si="11"/>
        <v xml:space="preserve"> </v>
      </c>
      <c r="J92" s="242" t="str">
        <f ca="1">IF(F92=1,AVERAGE(INDIRECT("I"&amp;$D$8):INDIRECT("I"&amp;$E$8)),IF(F92=2,AVERAGE(INDIRECT("I"&amp;$D$9):INDIRECT("I"&amp;$E$9)),IF(F92=3,AVERAGE(INDIRECT("I"&amp;$D$10):INDIRECT("I"&amp;$E$10)),IF(F92=4,AVERAGE(INDIRECT("I"&amp;$D$11):INDIRECT("I"&amp;$E$11)),IF(F92=5,AVERAGE(INDIRECT("I"&amp;$D$12):INDIRECT("I"&amp;$E$12)),IF(F92=6,AVERAGE(INDIRECT("I"&amp;$D$13):INDIRECT("I"&amp;$E$13))," "))))))</f>
        <v xml:space="preserve"> </v>
      </c>
      <c r="K92" s="242" t="str">
        <f t="shared" si="12"/>
        <v xml:space="preserve"> </v>
      </c>
      <c r="L92" s="242" t="str">
        <f t="shared" si="13"/>
        <v xml:space="preserve"> </v>
      </c>
      <c r="M92" s="242" t="str">
        <f t="shared" si="14"/>
        <v xml:space="preserve"> </v>
      </c>
    </row>
    <row r="93" spans="6:13" x14ac:dyDescent="0.2">
      <c r="F93" s="216" t="str">
        <f t="shared" si="10"/>
        <v xml:space="preserve"> </v>
      </c>
      <c r="G93" s="50"/>
      <c r="H93" s="242" t="str">
        <f ca="1">IF(F93=1,PERCENTILE(INDIRECT("g"&amp;$D$8):INDIRECT("g"&amp;$E$8),0.5),IF(F93=2,PERCENTILE(INDIRECT("g"&amp;$D$9):INDIRECT("g"&amp;$E$9),0.5),IF(F93=3,PERCENTILE(INDIRECT("g"&amp;$D$10):INDIRECT("g"&amp;$E$10),0.5),IF(F93=4,PERCENTILE(INDIRECT("g"&amp;$D$11):INDIRECT("g"&amp;$E$11),0.5),IF(F93=5,PERCENTILE(INDIRECT("g"&amp;$D$12):INDIRECT("g"&amp;$E$12),0.5),IF(F93=6,PERCENTILE(INDIRECT("g"&amp;$D$13):INDIRECT("g"&amp;$E$13),0.5)," "))))))</f>
        <v xml:space="preserve"> </v>
      </c>
      <c r="I93" s="242" t="str">
        <f t="shared" si="11"/>
        <v xml:space="preserve"> </v>
      </c>
      <c r="J93" s="242" t="str">
        <f ca="1">IF(F93=1,AVERAGE(INDIRECT("I"&amp;$D$8):INDIRECT("I"&amp;$E$8)),IF(F93=2,AVERAGE(INDIRECT("I"&amp;$D$9):INDIRECT("I"&amp;$E$9)),IF(F93=3,AVERAGE(INDIRECT("I"&amp;$D$10):INDIRECT("I"&amp;$E$10)),IF(F93=4,AVERAGE(INDIRECT("I"&amp;$D$11):INDIRECT("I"&amp;$E$11)),IF(F93=5,AVERAGE(INDIRECT("I"&amp;$D$12):INDIRECT("I"&amp;$E$12)),IF(F93=6,AVERAGE(INDIRECT("I"&amp;$D$13):INDIRECT("I"&amp;$E$13))," "))))))</f>
        <v xml:space="preserve"> </v>
      </c>
      <c r="K93" s="242" t="str">
        <f t="shared" si="12"/>
        <v xml:space="preserve"> </v>
      </c>
      <c r="L93" s="242" t="str">
        <f t="shared" si="13"/>
        <v xml:space="preserve"> </v>
      </c>
      <c r="M93" s="242" t="str">
        <f t="shared" si="14"/>
        <v xml:space="preserve"> </v>
      </c>
    </row>
    <row r="94" spans="6:13" x14ac:dyDescent="0.2">
      <c r="F94" s="216" t="str">
        <f t="shared" si="10"/>
        <v xml:space="preserve"> </v>
      </c>
      <c r="G94" s="50"/>
      <c r="H94" s="242" t="str">
        <f ca="1">IF(F94=1,PERCENTILE(INDIRECT("g"&amp;$D$8):INDIRECT("g"&amp;$E$8),0.5),IF(F94=2,PERCENTILE(INDIRECT("g"&amp;$D$9):INDIRECT("g"&amp;$E$9),0.5),IF(F94=3,PERCENTILE(INDIRECT("g"&amp;$D$10):INDIRECT("g"&amp;$E$10),0.5),IF(F94=4,PERCENTILE(INDIRECT("g"&amp;$D$11):INDIRECT("g"&amp;$E$11),0.5),IF(F94=5,PERCENTILE(INDIRECT("g"&amp;$D$12):INDIRECT("g"&amp;$E$12),0.5),IF(F94=6,PERCENTILE(INDIRECT("g"&amp;$D$13):INDIRECT("g"&amp;$E$13),0.5)," "))))))</f>
        <v xml:space="preserve"> </v>
      </c>
      <c r="I94" s="242" t="str">
        <f t="shared" si="11"/>
        <v xml:space="preserve"> </v>
      </c>
      <c r="J94" s="242" t="str">
        <f ca="1">IF(F94=1,AVERAGE(INDIRECT("I"&amp;$D$8):INDIRECT("I"&amp;$E$8)),IF(F94=2,AVERAGE(INDIRECT("I"&amp;$D$9):INDIRECT("I"&amp;$E$9)),IF(F94=3,AVERAGE(INDIRECT("I"&amp;$D$10):INDIRECT("I"&amp;$E$10)),IF(F94=4,AVERAGE(INDIRECT("I"&amp;$D$11):INDIRECT("I"&amp;$E$11)),IF(F94=5,AVERAGE(INDIRECT("I"&amp;$D$12):INDIRECT("I"&amp;$E$12)),IF(F94=6,AVERAGE(INDIRECT("I"&amp;$D$13):INDIRECT("I"&amp;$E$13))," "))))))</f>
        <v xml:space="preserve"> </v>
      </c>
      <c r="K94" s="242" t="str">
        <f t="shared" si="12"/>
        <v xml:space="preserve"> </v>
      </c>
      <c r="L94" s="242" t="str">
        <f t="shared" si="13"/>
        <v xml:space="preserve"> </v>
      </c>
      <c r="M94" s="242" t="str">
        <f t="shared" si="14"/>
        <v xml:space="preserve"> </v>
      </c>
    </row>
    <row r="95" spans="6:13" x14ac:dyDescent="0.2">
      <c r="F95" s="216" t="str">
        <f t="shared" si="10"/>
        <v xml:space="preserve"> </v>
      </c>
      <c r="G95" s="50"/>
      <c r="H95" s="242" t="str">
        <f ca="1">IF(F95=1,PERCENTILE(INDIRECT("g"&amp;$D$8):INDIRECT("g"&amp;$E$8),0.5),IF(F95=2,PERCENTILE(INDIRECT("g"&amp;$D$9):INDIRECT("g"&amp;$E$9),0.5),IF(F95=3,PERCENTILE(INDIRECT("g"&amp;$D$10):INDIRECT("g"&amp;$E$10),0.5),IF(F95=4,PERCENTILE(INDIRECT("g"&amp;$D$11):INDIRECT("g"&amp;$E$11),0.5),IF(F95=5,PERCENTILE(INDIRECT("g"&amp;$D$12):INDIRECT("g"&amp;$E$12),0.5),IF(F95=6,PERCENTILE(INDIRECT("g"&amp;$D$13):INDIRECT("g"&amp;$E$13),0.5)," "))))))</f>
        <v xml:space="preserve"> </v>
      </c>
      <c r="I95" s="242" t="str">
        <f t="shared" si="11"/>
        <v xml:space="preserve"> </v>
      </c>
      <c r="J95" s="242" t="str">
        <f ca="1">IF(F95=1,AVERAGE(INDIRECT("I"&amp;$D$8):INDIRECT("I"&amp;$E$8)),IF(F95=2,AVERAGE(INDIRECT("I"&amp;$D$9):INDIRECT("I"&amp;$E$9)),IF(F95=3,AVERAGE(INDIRECT("I"&amp;$D$10):INDIRECT("I"&amp;$E$10)),IF(F95=4,AVERAGE(INDIRECT("I"&amp;$D$11):INDIRECT("I"&amp;$E$11)),IF(F95=5,AVERAGE(INDIRECT("I"&amp;$D$12):INDIRECT("I"&amp;$E$12)),IF(F95=6,AVERAGE(INDIRECT("I"&amp;$D$13):INDIRECT("I"&amp;$E$13))," "))))))</f>
        <v xml:space="preserve"> </v>
      </c>
      <c r="K95" s="242" t="str">
        <f t="shared" si="12"/>
        <v xml:space="preserve"> </v>
      </c>
      <c r="L95" s="242" t="str">
        <f t="shared" si="13"/>
        <v xml:space="preserve"> </v>
      </c>
      <c r="M95" s="242" t="str">
        <f t="shared" si="14"/>
        <v xml:space="preserve"> </v>
      </c>
    </row>
    <row r="96" spans="6:13" x14ac:dyDescent="0.2">
      <c r="F96" s="216" t="str">
        <f t="shared" si="10"/>
        <v xml:space="preserve"> </v>
      </c>
      <c r="G96" s="50"/>
      <c r="H96" s="242" t="str">
        <f ca="1">IF(F96=1,PERCENTILE(INDIRECT("g"&amp;$D$8):INDIRECT("g"&amp;$E$8),0.5),IF(F96=2,PERCENTILE(INDIRECT("g"&amp;$D$9):INDIRECT("g"&amp;$E$9),0.5),IF(F96=3,PERCENTILE(INDIRECT("g"&amp;$D$10):INDIRECT("g"&amp;$E$10),0.5),IF(F96=4,PERCENTILE(INDIRECT("g"&amp;$D$11):INDIRECT("g"&amp;$E$11),0.5),IF(F96=5,PERCENTILE(INDIRECT("g"&amp;$D$12):INDIRECT("g"&amp;$E$12),0.5),IF(F96=6,PERCENTILE(INDIRECT("g"&amp;$D$13):INDIRECT("g"&amp;$E$13),0.5)," "))))))</f>
        <v xml:space="preserve"> </v>
      </c>
      <c r="I96" s="242" t="str">
        <f t="shared" si="11"/>
        <v xml:space="preserve"> </v>
      </c>
      <c r="J96" s="242" t="str">
        <f ca="1">IF(F96=1,AVERAGE(INDIRECT("I"&amp;$D$8):INDIRECT("I"&amp;$E$8)),IF(F96=2,AVERAGE(INDIRECT("I"&amp;$D$9):INDIRECT("I"&amp;$E$9)),IF(F96=3,AVERAGE(INDIRECT("I"&amp;$D$10):INDIRECT("I"&amp;$E$10)),IF(F96=4,AVERAGE(INDIRECT("I"&amp;$D$11):INDIRECT("I"&amp;$E$11)),IF(F96=5,AVERAGE(INDIRECT("I"&amp;$D$12):INDIRECT("I"&amp;$E$12)),IF(F96=6,AVERAGE(INDIRECT("I"&amp;$D$13):INDIRECT("I"&amp;$E$13))," "))))))</f>
        <v xml:space="preserve"> </v>
      </c>
      <c r="K96" s="242" t="str">
        <f t="shared" si="12"/>
        <v xml:space="preserve"> </v>
      </c>
      <c r="L96" s="242" t="str">
        <f t="shared" si="13"/>
        <v xml:space="preserve"> </v>
      </c>
      <c r="M96" s="242" t="str">
        <f t="shared" si="14"/>
        <v xml:space="preserve"> </v>
      </c>
    </row>
    <row r="97" spans="6:13" x14ac:dyDescent="0.2">
      <c r="F97" s="216" t="str">
        <f t="shared" si="10"/>
        <v xml:space="preserve"> </v>
      </c>
      <c r="G97" s="50"/>
      <c r="H97" s="242" t="str">
        <f ca="1">IF(F97=1,PERCENTILE(INDIRECT("g"&amp;$D$8):INDIRECT("g"&amp;$E$8),0.5),IF(F97=2,PERCENTILE(INDIRECT("g"&amp;$D$9):INDIRECT("g"&amp;$E$9),0.5),IF(F97=3,PERCENTILE(INDIRECT("g"&amp;$D$10):INDIRECT("g"&amp;$E$10),0.5),IF(F97=4,PERCENTILE(INDIRECT("g"&amp;$D$11):INDIRECT("g"&amp;$E$11),0.5),IF(F97=5,PERCENTILE(INDIRECT("g"&amp;$D$12):INDIRECT("g"&amp;$E$12),0.5),IF(F97=6,PERCENTILE(INDIRECT("g"&amp;$D$13):INDIRECT("g"&amp;$E$13),0.5)," "))))))</f>
        <v xml:space="preserve"> </v>
      </c>
      <c r="I97" s="242" t="str">
        <f t="shared" si="11"/>
        <v xml:space="preserve"> </v>
      </c>
      <c r="J97" s="242" t="str">
        <f ca="1">IF(F97=1,AVERAGE(INDIRECT("I"&amp;$D$8):INDIRECT("I"&amp;$E$8)),IF(F97=2,AVERAGE(INDIRECT("I"&amp;$D$9):INDIRECT("I"&amp;$E$9)),IF(F97=3,AVERAGE(INDIRECT("I"&amp;$D$10):INDIRECT("I"&amp;$E$10)),IF(F97=4,AVERAGE(INDIRECT("I"&amp;$D$11):INDIRECT("I"&amp;$E$11)),IF(F97=5,AVERAGE(INDIRECT("I"&amp;$D$12):INDIRECT("I"&amp;$E$12)),IF(F97=6,AVERAGE(INDIRECT("I"&amp;$D$13):INDIRECT("I"&amp;$E$13))," "))))))</f>
        <v xml:space="preserve"> </v>
      </c>
      <c r="K97" s="242" t="str">
        <f t="shared" si="12"/>
        <v xml:space="preserve"> </v>
      </c>
      <c r="L97" s="242" t="str">
        <f t="shared" si="13"/>
        <v xml:space="preserve"> </v>
      </c>
      <c r="M97" s="242" t="str">
        <f t="shared" si="14"/>
        <v xml:space="preserve"> </v>
      </c>
    </row>
    <row r="98" spans="6:13" x14ac:dyDescent="0.2">
      <c r="F98" s="216" t="str">
        <f t="shared" si="10"/>
        <v xml:space="preserve"> </v>
      </c>
      <c r="G98" s="50"/>
      <c r="H98" s="242" t="str">
        <f ca="1">IF(F98=1,PERCENTILE(INDIRECT("g"&amp;$D$8):INDIRECT("g"&amp;$E$8),0.5),IF(F98=2,PERCENTILE(INDIRECT("g"&amp;$D$9):INDIRECT("g"&amp;$E$9),0.5),IF(F98=3,PERCENTILE(INDIRECT("g"&amp;$D$10):INDIRECT("g"&amp;$E$10),0.5),IF(F98=4,PERCENTILE(INDIRECT("g"&amp;$D$11):INDIRECT("g"&amp;$E$11),0.5),IF(F98=5,PERCENTILE(INDIRECT("g"&amp;$D$12):INDIRECT("g"&amp;$E$12),0.5),IF(F98=6,PERCENTILE(INDIRECT("g"&amp;$D$13):INDIRECT("g"&amp;$E$13),0.5)," "))))))</f>
        <v xml:space="preserve"> </v>
      </c>
      <c r="I98" s="242" t="str">
        <f t="shared" si="11"/>
        <v xml:space="preserve"> </v>
      </c>
      <c r="J98" s="242" t="str">
        <f ca="1">IF(F98=1,AVERAGE(INDIRECT("I"&amp;$D$8):INDIRECT("I"&amp;$E$8)),IF(F98=2,AVERAGE(INDIRECT("I"&amp;$D$9):INDIRECT("I"&amp;$E$9)),IF(F98=3,AVERAGE(INDIRECT("I"&amp;$D$10):INDIRECT("I"&amp;$E$10)),IF(F98=4,AVERAGE(INDIRECT("I"&amp;$D$11):INDIRECT("I"&amp;$E$11)),IF(F98=5,AVERAGE(INDIRECT("I"&amp;$D$12):INDIRECT("I"&amp;$E$12)),IF(F98=6,AVERAGE(INDIRECT("I"&amp;$D$13):INDIRECT("I"&amp;$E$13))," "))))))</f>
        <v xml:space="preserve"> </v>
      </c>
      <c r="K98" s="242" t="str">
        <f t="shared" si="12"/>
        <v xml:space="preserve"> </v>
      </c>
      <c r="L98" s="242" t="str">
        <f t="shared" si="13"/>
        <v xml:space="preserve"> </v>
      </c>
      <c r="M98" s="242" t="str">
        <f t="shared" si="14"/>
        <v xml:space="preserve"> </v>
      </c>
    </row>
    <row r="99" spans="6:13" x14ac:dyDescent="0.2">
      <c r="F99" s="216" t="str">
        <f t="shared" si="10"/>
        <v xml:space="preserve"> </v>
      </c>
      <c r="G99" s="50"/>
      <c r="H99" s="242" t="str">
        <f ca="1">IF(F99=1,PERCENTILE(INDIRECT("g"&amp;$D$8):INDIRECT("g"&amp;$E$8),0.5),IF(F99=2,PERCENTILE(INDIRECT("g"&amp;$D$9):INDIRECT("g"&amp;$E$9),0.5),IF(F99=3,PERCENTILE(INDIRECT("g"&amp;$D$10):INDIRECT("g"&amp;$E$10),0.5),IF(F99=4,PERCENTILE(INDIRECT("g"&amp;$D$11):INDIRECT("g"&amp;$E$11),0.5),IF(F99=5,PERCENTILE(INDIRECT("g"&amp;$D$12):INDIRECT("g"&amp;$E$12),0.5),IF(F99=6,PERCENTILE(INDIRECT("g"&amp;$D$13):INDIRECT("g"&amp;$E$13),0.5)," "))))))</f>
        <v xml:space="preserve"> </v>
      </c>
      <c r="I99" s="242" t="str">
        <f t="shared" si="11"/>
        <v xml:space="preserve"> </v>
      </c>
      <c r="J99" s="242" t="str">
        <f ca="1">IF(F99=1,AVERAGE(INDIRECT("I"&amp;$D$8):INDIRECT("I"&amp;$E$8)),IF(F99=2,AVERAGE(INDIRECT("I"&amp;$D$9):INDIRECT("I"&amp;$E$9)),IF(F99=3,AVERAGE(INDIRECT("I"&amp;$D$10):INDIRECT("I"&amp;$E$10)),IF(F99=4,AVERAGE(INDIRECT("I"&amp;$D$11):INDIRECT("I"&amp;$E$11)),IF(F99=5,AVERAGE(INDIRECT("I"&amp;$D$12):INDIRECT("I"&amp;$E$12)),IF(F99=6,AVERAGE(INDIRECT("I"&amp;$D$13):INDIRECT("I"&amp;$E$13))," "))))))</f>
        <v xml:space="preserve"> </v>
      </c>
      <c r="K99" s="242" t="str">
        <f t="shared" si="12"/>
        <v xml:space="preserve"> </v>
      </c>
      <c r="L99" s="242" t="str">
        <f t="shared" si="13"/>
        <v xml:space="preserve"> </v>
      </c>
      <c r="M99" s="242" t="str">
        <f t="shared" si="14"/>
        <v xml:space="preserve"> </v>
      </c>
    </row>
    <row r="100" spans="6:13" x14ac:dyDescent="0.2">
      <c r="F100" s="216" t="str">
        <f t="shared" si="10"/>
        <v xml:space="preserve"> </v>
      </c>
      <c r="G100" s="50"/>
      <c r="H100" s="242" t="str">
        <f ca="1">IF(F100=1,PERCENTILE(INDIRECT("g"&amp;$D$8):INDIRECT("g"&amp;$E$8),0.5),IF(F100=2,PERCENTILE(INDIRECT("g"&amp;$D$9):INDIRECT("g"&amp;$E$9),0.5),IF(F100=3,PERCENTILE(INDIRECT("g"&amp;$D$10):INDIRECT("g"&amp;$E$10),0.5),IF(F100=4,PERCENTILE(INDIRECT("g"&amp;$D$11):INDIRECT("g"&amp;$E$11),0.5),IF(F100=5,PERCENTILE(INDIRECT("g"&amp;$D$12):INDIRECT("g"&amp;$E$12),0.5),IF(F100=6,PERCENTILE(INDIRECT("g"&amp;$D$13):INDIRECT("g"&amp;$E$13),0.5)," "))))))</f>
        <v xml:space="preserve"> </v>
      </c>
      <c r="I100" s="242" t="str">
        <f t="shared" si="11"/>
        <v xml:space="preserve"> </v>
      </c>
      <c r="J100" s="242" t="str">
        <f ca="1">IF(F100=1,AVERAGE(INDIRECT("I"&amp;$D$8):INDIRECT("I"&amp;$E$8)),IF(F100=2,AVERAGE(INDIRECT("I"&amp;$D$9):INDIRECT("I"&amp;$E$9)),IF(F100=3,AVERAGE(INDIRECT("I"&amp;$D$10):INDIRECT("I"&amp;$E$10)),IF(F100=4,AVERAGE(INDIRECT("I"&amp;$D$11):INDIRECT("I"&amp;$E$11)),IF(F100=5,AVERAGE(INDIRECT("I"&amp;$D$12):INDIRECT("I"&amp;$E$12)),IF(F100=6,AVERAGE(INDIRECT("I"&amp;$D$13):INDIRECT("I"&amp;$E$13))," "))))))</f>
        <v xml:space="preserve"> </v>
      </c>
      <c r="K100" s="242" t="str">
        <f t="shared" si="12"/>
        <v xml:space="preserve"> </v>
      </c>
      <c r="L100" s="242" t="str">
        <f t="shared" si="13"/>
        <v xml:space="preserve"> </v>
      </c>
      <c r="M100" s="242" t="str">
        <f t="shared" si="14"/>
        <v xml:space="preserve"> </v>
      </c>
    </row>
    <row r="101" spans="6:13" x14ac:dyDescent="0.2">
      <c r="F101" s="216" t="str">
        <f t="shared" si="10"/>
        <v xml:space="preserve"> </v>
      </c>
      <c r="G101" s="50"/>
      <c r="H101" s="242" t="str">
        <f ca="1">IF(F101=1,PERCENTILE(INDIRECT("g"&amp;$D$8):INDIRECT("g"&amp;$E$8),0.5),IF(F101=2,PERCENTILE(INDIRECT("g"&amp;$D$9):INDIRECT("g"&amp;$E$9),0.5),IF(F101=3,PERCENTILE(INDIRECT("g"&amp;$D$10):INDIRECT("g"&amp;$E$10),0.5),IF(F101=4,PERCENTILE(INDIRECT("g"&amp;$D$11):INDIRECT("g"&amp;$E$11),0.5),IF(F101=5,PERCENTILE(INDIRECT("g"&amp;$D$12):INDIRECT("g"&amp;$E$12),0.5),IF(F101=6,PERCENTILE(INDIRECT("g"&amp;$D$13):INDIRECT("g"&amp;$E$13),0.5)," "))))))</f>
        <v xml:space="preserve"> </v>
      </c>
      <c r="I101" s="242" t="str">
        <f t="shared" si="11"/>
        <v xml:space="preserve"> </v>
      </c>
      <c r="J101" s="242" t="str">
        <f ca="1">IF(F101=1,AVERAGE(INDIRECT("I"&amp;$D$8):INDIRECT("I"&amp;$E$8)),IF(F101=2,AVERAGE(INDIRECT("I"&amp;$D$9):INDIRECT("I"&amp;$E$9)),IF(F101=3,AVERAGE(INDIRECT("I"&amp;$D$10):INDIRECT("I"&amp;$E$10)),IF(F101=4,AVERAGE(INDIRECT("I"&amp;$D$11):INDIRECT("I"&amp;$E$11)),IF(F101=5,AVERAGE(INDIRECT("I"&amp;$D$12):INDIRECT("I"&amp;$E$12)),IF(F101=6,AVERAGE(INDIRECT("I"&amp;$D$13):INDIRECT("I"&amp;$E$13))," "))))))</f>
        <v xml:space="preserve"> </v>
      </c>
      <c r="K101" s="242" t="str">
        <f t="shared" si="12"/>
        <v xml:space="preserve"> </v>
      </c>
      <c r="L101" s="242" t="str">
        <f t="shared" si="13"/>
        <v xml:space="preserve"> </v>
      </c>
      <c r="M101" s="242" t="str">
        <f t="shared" si="14"/>
        <v xml:space="preserve"> </v>
      </c>
    </row>
    <row r="102" spans="6:13" x14ac:dyDescent="0.2">
      <c r="F102" s="216" t="str">
        <f t="shared" si="10"/>
        <v xml:space="preserve"> </v>
      </c>
      <c r="G102" s="50"/>
      <c r="H102" s="242" t="str">
        <f ca="1">IF(F102=1,PERCENTILE(INDIRECT("g"&amp;$D$8):INDIRECT("g"&amp;$E$8),0.5),IF(F102=2,PERCENTILE(INDIRECT("g"&amp;$D$9):INDIRECT("g"&amp;$E$9),0.5),IF(F102=3,PERCENTILE(INDIRECT("g"&amp;$D$10):INDIRECT("g"&amp;$E$10),0.5),IF(F102=4,PERCENTILE(INDIRECT("g"&amp;$D$11):INDIRECT("g"&amp;$E$11),0.5),IF(F102=5,PERCENTILE(INDIRECT("g"&amp;$D$12):INDIRECT("g"&amp;$E$12),0.5),IF(F102=6,PERCENTILE(INDIRECT("g"&amp;$D$13):INDIRECT("g"&amp;$E$13),0.5)," "))))))</f>
        <v xml:space="preserve"> </v>
      </c>
      <c r="I102" s="242" t="str">
        <f t="shared" si="11"/>
        <v xml:space="preserve"> </v>
      </c>
      <c r="J102" s="242" t="str">
        <f ca="1">IF(F102=1,AVERAGE(INDIRECT("I"&amp;$D$8):INDIRECT("I"&amp;$E$8)),IF(F102=2,AVERAGE(INDIRECT("I"&amp;$D$9):INDIRECT("I"&amp;$E$9)),IF(F102=3,AVERAGE(INDIRECT("I"&amp;$D$10):INDIRECT("I"&amp;$E$10)),IF(F102=4,AVERAGE(INDIRECT("I"&amp;$D$11):INDIRECT("I"&amp;$E$11)),IF(F102=5,AVERAGE(INDIRECT("I"&amp;$D$12):INDIRECT("I"&amp;$E$12)),IF(F102=6,AVERAGE(INDIRECT("I"&amp;$D$13):INDIRECT("I"&amp;$E$13))," "))))))</f>
        <v xml:space="preserve"> </v>
      </c>
      <c r="K102" s="242" t="str">
        <f t="shared" si="12"/>
        <v xml:space="preserve"> </v>
      </c>
      <c r="L102" s="242" t="str">
        <f t="shared" si="13"/>
        <v xml:space="preserve"> </v>
      </c>
      <c r="M102" s="242" t="str">
        <f t="shared" si="14"/>
        <v xml:space="preserve"> </v>
      </c>
    </row>
    <row r="103" spans="6:13" x14ac:dyDescent="0.2">
      <c r="F103" s="216" t="str">
        <f t="shared" si="10"/>
        <v xml:space="preserve"> </v>
      </c>
      <c r="G103" s="50"/>
      <c r="H103" s="242" t="str">
        <f ca="1">IF(F103=1,PERCENTILE(INDIRECT("g"&amp;$D$8):INDIRECT("g"&amp;$E$8),0.5),IF(F103=2,PERCENTILE(INDIRECT("g"&amp;$D$9):INDIRECT("g"&amp;$E$9),0.5),IF(F103=3,PERCENTILE(INDIRECT("g"&amp;$D$10):INDIRECT("g"&amp;$E$10),0.5),IF(F103=4,PERCENTILE(INDIRECT("g"&amp;$D$11):INDIRECT("g"&amp;$E$11),0.5),IF(F103=5,PERCENTILE(INDIRECT("g"&amp;$D$12):INDIRECT("g"&amp;$E$12),0.5),IF(F103=6,PERCENTILE(INDIRECT("g"&amp;$D$13):INDIRECT("g"&amp;$E$13),0.5)," "))))))</f>
        <v xml:space="preserve"> </v>
      </c>
      <c r="I103" s="242" t="str">
        <f t="shared" si="11"/>
        <v xml:space="preserve"> </v>
      </c>
      <c r="J103" s="242" t="str">
        <f ca="1">IF(F103=1,AVERAGE(INDIRECT("I"&amp;$D$8):INDIRECT("I"&amp;$E$8)),IF(F103=2,AVERAGE(INDIRECT("I"&amp;$D$9):INDIRECT("I"&amp;$E$9)),IF(F103=3,AVERAGE(INDIRECT("I"&amp;$D$10):INDIRECT("I"&amp;$E$10)),IF(F103=4,AVERAGE(INDIRECT("I"&amp;$D$11):INDIRECT("I"&amp;$E$11)),IF(F103=5,AVERAGE(INDIRECT("I"&amp;$D$12):INDIRECT("I"&amp;$E$12)),IF(F103=6,AVERAGE(INDIRECT("I"&amp;$D$13):INDIRECT("I"&amp;$E$13))," "))))))</f>
        <v xml:space="preserve"> </v>
      </c>
      <c r="K103" s="242" t="str">
        <f t="shared" si="12"/>
        <v xml:space="preserve"> </v>
      </c>
      <c r="L103" s="242" t="str">
        <f t="shared" si="13"/>
        <v xml:space="preserve"> </v>
      </c>
      <c r="M103" s="242" t="str">
        <f t="shared" si="14"/>
        <v xml:space="preserve"> </v>
      </c>
    </row>
    <row r="104" spans="6:13" x14ac:dyDescent="0.2">
      <c r="F104" s="216" t="str">
        <f t="shared" si="10"/>
        <v xml:space="preserve"> </v>
      </c>
      <c r="G104" s="50"/>
      <c r="H104" s="242" t="str">
        <f ca="1">IF(F104=1,PERCENTILE(INDIRECT("g"&amp;$D$8):INDIRECT("g"&amp;$E$8),0.5),IF(F104=2,PERCENTILE(INDIRECT("g"&amp;$D$9):INDIRECT("g"&amp;$E$9),0.5),IF(F104=3,PERCENTILE(INDIRECT("g"&amp;$D$10):INDIRECT("g"&amp;$E$10),0.5),IF(F104=4,PERCENTILE(INDIRECT("g"&amp;$D$11):INDIRECT("g"&amp;$E$11),0.5),IF(F104=5,PERCENTILE(INDIRECT("g"&amp;$D$12):INDIRECT("g"&amp;$E$12),0.5),IF(F104=6,PERCENTILE(INDIRECT("g"&amp;$D$13):INDIRECT("g"&amp;$E$13),0.5)," "))))))</f>
        <v xml:space="preserve"> </v>
      </c>
      <c r="I104" s="242" t="str">
        <f t="shared" si="11"/>
        <v xml:space="preserve"> </v>
      </c>
      <c r="J104" s="242" t="str">
        <f ca="1">IF(F104=1,AVERAGE(INDIRECT("I"&amp;$D$8):INDIRECT("I"&amp;$E$8)),IF(F104=2,AVERAGE(INDIRECT("I"&amp;$D$9):INDIRECT("I"&amp;$E$9)),IF(F104=3,AVERAGE(INDIRECT("I"&amp;$D$10):INDIRECT("I"&amp;$E$10)),IF(F104=4,AVERAGE(INDIRECT("I"&amp;$D$11):INDIRECT("I"&amp;$E$11)),IF(F104=5,AVERAGE(INDIRECT("I"&amp;$D$12):INDIRECT("I"&amp;$E$12)),IF(F104=6,AVERAGE(INDIRECT("I"&amp;$D$13):INDIRECT("I"&amp;$E$13))," "))))))</f>
        <v xml:space="preserve"> </v>
      </c>
      <c r="K104" s="242" t="str">
        <f t="shared" si="12"/>
        <v xml:space="preserve"> </v>
      </c>
      <c r="L104" s="242" t="str">
        <f t="shared" si="13"/>
        <v xml:space="preserve"> </v>
      </c>
      <c r="M104" s="242" t="str">
        <f t="shared" si="14"/>
        <v xml:space="preserve"> </v>
      </c>
    </row>
    <row r="105" spans="6:13" x14ac:dyDescent="0.2">
      <c r="F105" s="216" t="str">
        <f t="shared" si="10"/>
        <v xml:space="preserve"> </v>
      </c>
      <c r="G105" s="50"/>
      <c r="H105" s="242" t="str">
        <f ca="1">IF(F105=1,PERCENTILE(INDIRECT("g"&amp;$D$8):INDIRECT("g"&amp;$E$8),0.5),IF(F105=2,PERCENTILE(INDIRECT("g"&amp;$D$9):INDIRECT("g"&amp;$E$9),0.5),IF(F105=3,PERCENTILE(INDIRECT("g"&amp;$D$10):INDIRECT("g"&amp;$E$10),0.5),IF(F105=4,PERCENTILE(INDIRECT("g"&amp;$D$11):INDIRECT("g"&amp;$E$11),0.5),IF(F105=5,PERCENTILE(INDIRECT("g"&amp;$D$12):INDIRECT("g"&amp;$E$12),0.5),IF(F105=6,PERCENTILE(INDIRECT("g"&amp;$D$13):INDIRECT("g"&amp;$E$13),0.5)," "))))))</f>
        <v xml:space="preserve"> </v>
      </c>
      <c r="I105" s="242" t="str">
        <f t="shared" si="11"/>
        <v xml:space="preserve"> </v>
      </c>
      <c r="J105" s="242" t="str">
        <f ca="1">IF(F105=1,AVERAGE(INDIRECT("I"&amp;$D$8):INDIRECT("I"&amp;$E$8)),IF(F105=2,AVERAGE(INDIRECT("I"&amp;$D$9):INDIRECT("I"&amp;$E$9)),IF(F105=3,AVERAGE(INDIRECT("I"&amp;$D$10):INDIRECT("I"&amp;$E$10)),IF(F105=4,AVERAGE(INDIRECT("I"&amp;$D$11):INDIRECT("I"&amp;$E$11)),IF(F105=5,AVERAGE(INDIRECT("I"&amp;$D$12):INDIRECT("I"&amp;$E$12)),IF(F105=6,AVERAGE(INDIRECT("I"&amp;$D$13):INDIRECT("I"&amp;$E$13))," "))))))</f>
        <v xml:space="preserve"> </v>
      </c>
      <c r="K105" s="242" t="str">
        <f t="shared" si="12"/>
        <v xml:space="preserve"> </v>
      </c>
      <c r="L105" s="242" t="str">
        <f t="shared" si="13"/>
        <v xml:space="preserve"> </v>
      </c>
      <c r="M105" s="242" t="str">
        <f t="shared" si="14"/>
        <v xml:space="preserve"> </v>
      </c>
    </row>
    <row r="106" spans="6:13" x14ac:dyDescent="0.2">
      <c r="F106" s="216" t="str">
        <f t="shared" si="10"/>
        <v xml:space="preserve"> </v>
      </c>
      <c r="G106" s="50"/>
      <c r="H106" s="242" t="str">
        <f ca="1">IF(F106=1,PERCENTILE(INDIRECT("g"&amp;$D$8):INDIRECT("g"&amp;$E$8),0.5),IF(F106=2,PERCENTILE(INDIRECT("g"&amp;$D$9):INDIRECT("g"&amp;$E$9),0.5),IF(F106=3,PERCENTILE(INDIRECT("g"&amp;$D$10):INDIRECT("g"&amp;$E$10),0.5),IF(F106=4,PERCENTILE(INDIRECT("g"&amp;$D$11):INDIRECT("g"&amp;$E$11),0.5),IF(F106=5,PERCENTILE(INDIRECT("g"&amp;$D$12):INDIRECT("g"&amp;$E$12),0.5),IF(F106=6,PERCENTILE(INDIRECT("g"&amp;$D$13):INDIRECT("g"&amp;$E$13),0.5)," "))))))</f>
        <v xml:space="preserve"> </v>
      </c>
      <c r="I106" s="242" t="str">
        <f t="shared" si="11"/>
        <v xml:space="preserve"> </v>
      </c>
      <c r="J106" s="242" t="str">
        <f ca="1">IF(F106=1,AVERAGE(INDIRECT("I"&amp;$D$8):INDIRECT("I"&amp;$E$8)),IF(F106=2,AVERAGE(INDIRECT("I"&amp;$D$9):INDIRECT("I"&amp;$E$9)),IF(F106=3,AVERAGE(INDIRECT("I"&amp;$D$10):INDIRECT("I"&amp;$E$10)),IF(F106=4,AVERAGE(INDIRECT("I"&amp;$D$11):INDIRECT("I"&amp;$E$11)),IF(F106=5,AVERAGE(INDIRECT("I"&amp;$D$12):INDIRECT("I"&amp;$E$12)),IF(F106=6,AVERAGE(INDIRECT("I"&amp;$D$13):INDIRECT("I"&amp;$E$13))," "))))))</f>
        <v xml:space="preserve"> </v>
      </c>
      <c r="K106" s="242" t="str">
        <f t="shared" si="12"/>
        <v xml:space="preserve"> </v>
      </c>
      <c r="L106" s="242" t="str">
        <f t="shared" si="13"/>
        <v xml:space="preserve"> </v>
      </c>
      <c r="M106" s="242" t="str">
        <f t="shared" si="14"/>
        <v xml:space="preserve"> </v>
      </c>
    </row>
    <row r="107" spans="6:13" x14ac:dyDescent="0.2">
      <c r="F107" s="216" t="str">
        <f t="shared" si="10"/>
        <v xml:space="preserve"> </v>
      </c>
      <c r="G107" s="50"/>
      <c r="H107" s="242" t="str">
        <f ca="1">IF(F107=1,PERCENTILE(INDIRECT("g"&amp;$D$8):INDIRECT("g"&amp;$E$8),0.5),IF(F107=2,PERCENTILE(INDIRECT("g"&amp;$D$9):INDIRECT("g"&amp;$E$9),0.5),IF(F107=3,PERCENTILE(INDIRECT("g"&amp;$D$10):INDIRECT("g"&amp;$E$10),0.5),IF(F107=4,PERCENTILE(INDIRECT("g"&amp;$D$11):INDIRECT("g"&amp;$E$11),0.5),IF(F107=5,PERCENTILE(INDIRECT("g"&amp;$D$12):INDIRECT("g"&amp;$E$12),0.5),IF(F107=6,PERCENTILE(INDIRECT("g"&amp;$D$13):INDIRECT("g"&amp;$E$13),0.5)," "))))))</f>
        <v xml:space="preserve"> </v>
      </c>
      <c r="I107" s="242" t="str">
        <f t="shared" si="11"/>
        <v xml:space="preserve"> </v>
      </c>
      <c r="J107" s="242" t="str">
        <f ca="1">IF(F107=1,AVERAGE(INDIRECT("I"&amp;$D$8):INDIRECT("I"&amp;$E$8)),IF(F107=2,AVERAGE(INDIRECT("I"&amp;$D$9):INDIRECT("I"&amp;$E$9)),IF(F107=3,AVERAGE(INDIRECT("I"&amp;$D$10):INDIRECT("I"&amp;$E$10)),IF(F107=4,AVERAGE(INDIRECT("I"&amp;$D$11):INDIRECT("I"&amp;$E$11)),IF(F107=5,AVERAGE(INDIRECT("I"&amp;$D$12):INDIRECT("I"&amp;$E$12)),IF(F107=6,AVERAGE(INDIRECT("I"&amp;$D$13):INDIRECT("I"&amp;$E$13))," "))))))</f>
        <v xml:space="preserve"> </v>
      </c>
      <c r="K107" s="242" t="str">
        <f t="shared" si="12"/>
        <v xml:space="preserve"> </v>
      </c>
      <c r="L107" s="242" t="str">
        <f t="shared" si="13"/>
        <v xml:space="preserve"> </v>
      </c>
      <c r="M107" s="242" t="str">
        <f t="shared" si="14"/>
        <v xml:space="preserve"> </v>
      </c>
    </row>
    <row r="108" spans="6:13" x14ac:dyDescent="0.2">
      <c r="F108" s="216" t="str">
        <f t="shared" si="10"/>
        <v xml:space="preserve"> </v>
      </c>
      <c r="G108" s="50"/>
      <c r="H108" s="242" t="str">
        <f ca="1">IF(F108=1,PERCENTILE(INDIRECT("g"&amp;$D$8):INDIRECT("g"&amp;$E$8),0.5),IF(F108=2,PERCENTILE(INDIRECT("g"&amp;$D$9):INDIRECT("g"&amp;$E$9),0.5),IF(F108=3,PERCENTILE(INDIRECT("g"&amp;$D$10):INDIRECT("g"&amp;$E$10),0.5),IF(F108=4,PERCENTILE(INDIRECT("g"&amp;$D$11):INDIRECT("g"&amp;$E$11),0.5),IF(F108=5,PERCENTILE(INDIRECT("g"&amp;$D$12):INDIRECT("g"&amp;$E$12),0.5),IF(F108=6,PERCENTILE(INDIRECT("g"&amp;$D$13):INDIRECT("g"&amp;$E$13),0.5)," "))))))</f>
        <v xml:space="preserve"> </v>
      </c>
      <c r="I108" s="242" t="str">
        <f t="shared" si="11"/>
        <v xml:space="preserve"> </v>
      </c>
      <c r="J108" s="242" t="str">
        <f ca="1">IF(F108=1,AVERAGE(INDIRECT("I"&amp;$D$8):INDIRECT("I"&amp;$E$8)),IF(F108=2,AVERAGE(INDIRECT("I"&amp;$D$9):INDIRECT("I"&amp;$E$9)),IF(F108=3,AVERAGE(INDIRECT("I"&amp;$D$10):INDIRECT("I"&amp;$E$10)),IF(F108=4,AVERAGE(INDIRECT("I"&amp;$D$11):INDIRECT("I"&amp;$E$11)),IF(F108=5,AVERAGE(INDIRECT("I"&amp;$D$12):INDIRECT("I"&amp;$E$12)),IF(F108=6,AVERAGE(INDIRECT("I"&amp;$D$13):INDIRECT("I"&amp;$E$13))," "))))))</f>
        <v xml:space="preserve"> </v>
      </c>
      <c r="K108" s="242" t="str">
        <f t="shared" si="12"/>
        <v xml:space="preserve"> </v>
      </c>
      <c r="L108" s="242" t="str">
        <f t="shared" si="13"/>
        <v xml:space="preserve"> </v>
      </c>
      <c r="M108" s="242" t="str">
        <f t="shared" si="14"/>
        <v xml:space="preserve"> </v>
      </c>
    </row>
    <row r="109" spans="6:13" x14ac:dyDescent="0.2">
      <c r="F109" s="216" t="str">
        <f t="shared" si="10"/>
        <v xml:space="preserve"> </v>
      </c>
      <c r="G109" s="50"/>
      <c r="H109" s="242" t="str">
        <f ca="1">IF(F109=1,PERCENTILE(INDIRECT("g"&amp;$D$8):INDIRECT("g"&amp;$E$8),0.5),IF(F109=2,PERCENTILE(INDIRECT("g"&amp;$D$9):INDIRECT("g"&amp;$E$9),0.5),IF(F109=3,PERCENTILE(INDIRECT("g"&amp;$D$10):INDIRECT("g"&amp;$E$10),0.5),IF(F109=4,PERCENTILE(INDIRECT("g"&amp;$D$11):INDIRECT("g"&amp;$E$11),0.5),IF(F109=5,PERCENTILE(INDIRECT("g"&amp;$D$12):INDIRECT("g"&amp;$E$12),0.5),IF(F109=6,PERCENTILE(INDIRECT("g"&amp;$D$13):INDIRECT("g"&amp;$E$13),0.5)," "))))))</f>
        <v xml:space="preserve"> </v>
      </c>
      <c r="I109" s="242" t="str">
        <f t="shared" si="11"/>
        <v xml:space="preserve"> </v>
      </c>
      <c r="J109" s="242" t="str">
        <f ca="1">IF(F109=1,AVERAGE(INDIRECT("I"&amp;$D$8):INDIRECT("I"&amp;$E$8)),IF(F109=2,AVERAGE(INDIRECT("I"&amp;$D$9):INDIRECT("I"&amp;$E$9)),IF(F109=3,AVERAGE(INDIRECT("I"&amp;$D$10):INDIRECT("I"&amp;$E$10)),IF(F109=4,AVERAGE(INDIRECT("I"&amp;$D$11):INDIRECT("I"&amp;$E$11)),IF(F109=5,AVERAGE(INDIRECT("I"&amp;$D$12):INDIRECT("I"&amp;$E$12)),IF(F109=6,AVERAGE(INDIRECT("I"&amp;$D$13):INDIRECT("I"&amp;$E$13))," "))))))</f>
        <v xml:space="preserve"> </v>
      </c>
      <c r="K109" s="242" t="str">
        <f t="shared" si="12"/>
        <v xml:space="preserve"> </v>
      </c>
      <c r="L109" s="242" t="str">
        <f t="shared" si="13"/>
        <v xml:space="preserve"> </v>
      </c>
      <c r="M109" s="242" t="str">
        <f t="shared" si="14"/>
        <v xml:space="preserve"> </v>
      </c>
    </row>
    <row r="110" spans="6:13" x14ac:dyDescent="0.2">
      <c r="F110" s="216" t="str">
        <f t="shared" si="10"/>
        <v xml:space="preserve"> </v>
      </c>
      <c r="G110" s="50"/>
      <c r="H110" s="242" t="str">
        <f ca="1">IF(F110=1,PERCENTILE(INDIRECT("g"&amp;$D$8):INDIRECT("g"&amp;$E$8),0.5),IF(F110=2,PERCENTILE(INDIRECT("g"&amp;$D$9):INDIRECT("g"&amp;$E$9),0.5),IF(F110=3,PERCENTILE(INDIRECT("g"&amp;$D$10):INDIRECT("g"&amp;$E$10),0.5),IF(F110=4,PERCENTILE(INDIRECT("g"&amp;$D$11):INDIRECT("g"&amp;$E$11),0.5),IF(F110=5,PERCENTILE(INDIRECT("g"&amp;$D$12):INDIRECT("g"&amp;$E$12),0.5),IF(F110=6,PERCENTILE(INDIRECT("g"&amp;$D$13):INDIRECT("g"&amp;$E$13),0.5)," "))))))</f>
        <v xml:space="preserve"> </v>
      </c>
      <c r="I110" s="242" t="str">
        <f t="shared" si="11"/>
        <v xml:space="preserve"> </v>
      </c>
      <c r="J110" s="242" t="str">
        <f ca="1">IF(F110=1,AVERAGE(INDIRECT("I"&amp;$D$8):INDIRECT("I"&amp;$E$8)),IF(F110=2,AVERAGE(INDIRECT("I"&amp;$D$9):INDIRECT("I"&amp;$E$9)),IF(F110=3,AVERAGE(INDIRECT("I"&amp;$D$10):INDIRECT("I"&amp;$E$10)),IF(F110=4,AVERAGE(INDIRECT("I"&amp;$D$11):INDIRECT("I"&amp;$E$11)),IF(F110=5,AVERAGE(INDIRECT("I"&amp;$D$12):INDIRECT("I"&amp;$E$12)),IF(F110=6,AVERAGE(INDIRECT("I"&amp;$D$13):INDIRECT("I"&amp;$E$13))," "))))))</f>
        <v xml:space="preserve"> </v>
      </c>
      <c r="K110" s="242" t="str">
        <f t="shared" si="12"/>
        <v xml:space="preserve"> </v>
      </c>
      <c r="L110" s="242" t="str">
        <f t="shared" si="13"/>
        <v xml:space="preserve"> </v>
      </c>
      <c r="M110" s="242" t="str">
        <f t="shared" si="14"/>
        <v xml:space="preserve"> </v>
      </c>
    </row>
    <row r="111" spans="6:13" x14ac:dyDescent="0.2">
      <c r="F111" s="216" t="str">
        <f t="shared" si="10"/>
        <v xml:space="preserve"> </v>
      </c>
      <c r="G111" s="50"/>
      <c r="H111" s="242" t="str">
        <f ca="1">IF(F111=1,PERCENTILE(INDIRECT("g"&amp;$D$8):INDIRECT("g"&amp;$E$8),0.5),IF(F111=2,PERCENTILE(INDIRECT("g"&amp;$D$9):INDIRECT("g"&amp;$E$9),0.5),IF(F111=3,PERCENTILE(INDIRECT("g"&amp;$D$10):INDIRECT("g"&amp;$E$10),0.5),IF(F111=4,PERCENTILE(INDIRECT("g"&amp;$D$11):INDIRECT("g"&amp;$E$11),0.5),IF(F111=5,PERCENTILE(INDIRECT("g"&amp;$D$12):INDIRECT("g"&amp;$E$12),0.5),IF(F111=6,PERCENTILE(INDIRECT("g"&amp;$D$13):INDIRECT("g"&amp;$E$13),0.5)," "))))))</f>
        <v xml:space="preserve"> </v>
      </c>
      <c r="I111" s="242" t="str">
        <f t="shared" si="11"/>
        <v xml:space="preserve"> </v>
      </c>
      <c r="J111" s="242" t="str">
        <f ca="1">IF(F111=1,AVERAGE(INDIRECT("I"&amp;$D$8):INDIRECT("I"&amp;$E$8)),IF(F111=2,AVERAGE(INDIRECT("I"&amp;$D$9):INDIRECT("I"&amp;$E$9)),IF(F111=3,AVERAGE(INDIRECT("I"&amp;$D$10):INDIRECT("I"&amp;$E$10)),IF(F111=4,AVERAGE(INDIRECT("I"&amp;$D$11):INDIRECT("I"&amp;$E$11)),IF(F111=5,AVERAGE(INDIRECT("I"&amp;$D$12):INDIRECT("I"&amp;$E$12)),IF(F111=6,AVERAGE(INDIRECT("I"&amp;$D$13):INDIRECT("I"&amp;$E$13))," "))))))</f>
        <v xml:space="preserve"> </v>
      </c>
      <c r="K111" s="242" t="str">
        <f t="shared" si="12"/>
        <v xml:space="preserve"> </v>
      </c>
      <c r="L111" s="242" t="str">
        <f t="shared" si="13"/>
        <v xml:space="preserve"> </v>
      </c>
      <c r="M111" s="242" t="str">
        <f t="shared" si="14"/>
        <v xml:space="preserve"> </v>
      </c>
    </row>
    <row r="112" spans="6:13" x14ac:dyDescent="0.2">
      <c r="F112" s="216" t="str">
        <f t="shared" si="10"/>
        <v xml:space="preserve"> </v>
      </c>
      <c r="G112" s="50"/>
      <c r="H112" s="242" t="str">
        <f ca="1">IF(F112=1,PERCENTILE(INDIRECT("g"&amp;$D$8):INDIRECT("g"&amp;$E$8),0.5),IF(F112=2,PERCENTILE(INDIRECT("g"&amp;$D$9):INDIRECT("g"&amp;$E$9),0.5),IF(F112=3,PERCENTILE(INDIRECT("g"&amp;$D$10):INDIRECT("g"&amp;$E$10),0.5),IF(F112=4,PERCENTILE(INDIRECT("g"&amp;$D$11):INDIRECT("g"&amp;$E$11),0.5),IF(F112=5,PERCENTILE(INDIRECT("g"&amp;$D$12):INDIRECT("g"&amp;$E$12),0.5),IF(F112=6,PERCENTILE(INDIRECT("g"&amp;$D$13):INDIRECT("g"&amp;$E$13),0.5)," "))))))</f>
        <v xml:space="preserve"> </v>
      </c>
      <c r="I112" s="242" t="str">
        <f t="shared" si="11"/>
        <v xml:space="preserve"> </v>
      </c>
      <c r="J112" s="242" t="str">
        <f ca="1">IF(F112=1,AVERAGE(INDIRECT("I"&amp;$D$8):INDIRECT("I"&amp;$E$8)),IF(F112=2,AVERAGE(INDIRECT("I"&amp;$D$9):INDIRECT("I"&amp;$E$9)),IF(F112=3,AVERAGE(INDIRECT("I"&amp;$D$10):INDIRECT("I"&amp;$E$10)),IF(F112=4,AVERAGE(INDIRECT("I"&amp;$D$11):INDIRECT("I"&amp;$E$11)),IF(F112=5,AVERAGE(INDIRECT("I"&amp;$D$12):INDIRECT("I"&amp;$E$12)),IF(F112=6,AVERAGE(INDIRECT("I"&amp;$D$13):INDIRECT("I"&amp;$E$13))," "))))))</f>
        <v xml:space="preserve"> </v>
      </c>
      <c r="K112" s="242" t="str">
        <f t="shared" si="12"/>
        <v xml:space="preserve"> </v>
      </c>
      <c r="L112" s="242" t="str">
        <f t="shared" si="13"/>
        <v xml:space="preserve"> </v>
      </c>
      <c r="M112" s="242" t="str">
        <f t="shared" si="14"/>
        <v xml:space="preserve"> </v>
      </c>
    </row>
    <row r="113" spans="6:13" x14ac:dyDescent="0.2">
      <c r="F113" s="216" t="str">
        <f t="shared" si="10"/>
        <v xml:space="preserve"> </v>
      </c>
      <c r="G113" s="50"/>
      <c r="H113" s="242" t="str">
        <f ca="1">IF(F113=1,PERCENTILE(INDIRECT("g"&amp;$D$8):INDIRECT("g"&amp;$E$8),0.5),IF(F113=2,PERCENTILE(INDIRECT("g"&amp;$D$9):INDIRECT("g"&amp;$E$9),0.5),IF(F113=3,PERCENTILE(INDIRECT("g"&amp;$D$10):INDIRECT("g"&amp;$E$10),0.5),IF(F113=4,PERCENTILE(INDIRECT("g"&amp;$D$11):INDIRECT("g"&amp;$E$11),0.5),IF(F113=5,PERCENTILE(INDIRECT("g"&amp;$D$12):INDIRECT("g"&amp;$E$12),0.5),IF(F113=6,PERCENTILE(INDIRECT("g"&amp;$D$13):INDIRECT("g"&amp;$E$13),0.5)," "))))))</f>
        <v xml:space="preserve"> </v>
      </c>
      <c r="I113" s="242" t="str">
        <f t="shared" si="11"/>
        <v xml:space="preserve"> </v>
      </c>
      <c r="J113" s="242" t="str">
        <f ca="1">IF(F113=1,AVERAGE(INDIRECT("I"&amp;$D$8):INDIRECT("I"&amp;$E$8)),IF(F113=2,AVERAGE(INDIRECT("I"&amp;$D$9):INDIRECT("I"&amp;$E$9)),IF(F113=3,AVERAGE(INDIRECT("I"&amp;$D$10):INDIRECT("I"&amp;$E$10)),IF(F113=4,AVERAGE(INDIRECT("I"&amp;$D$11):INDIRECT("I"&amp;$E$11)),IF(F113=5,AVERAGE(INDIRECT("I"&amp;$D$12):INDIRECT("I"&amp;$E$12)),IF(F113=6,AVERAGE(INDIRECT("I"&amp;$D$13):INDIRECT("I"&amp;$E$13))," "))))))</f>
        <v xml:space="preserve"> </v>
      </c>
      <c r="K113" s="242" t="str">
        <f t="shared" si="12"/>
        <v xml:space="preserve"> </v>
      </c>
      <c r="L113" s="242" t="str">
        <f t="shared" si="13"/>
        <v xml:space="preserve"> </v>
      </c>
      <c r="M113" s="242" t="str">
        <f t="shared" si="14"/>
        <v xml:space="preserve"> </v>
      </c>
    </row>
    <row r="114" spans="6:13" x14ac:dyDescent="0.2">
      <c r="F114" s="216" t="str">
        <f t="shared" si="10"/>
        <v xml:space="preserve"> </v>
      </c>
      <c r="G114" s="50"/>
      <c r="H114" s="242" t="str">
        <f ca="1">IF(F114=1,PERCENTILE(INDIRECT("g"&amp;$D$8):INDIRECT("g"&amp;$E$8),0.5),IF(F114=2,PERCENTILE(INDIRECT("g"&amp;$D$9):INDIRECT("g"&amp;$E$9),0.5),IF(F114=3,PERCENTILE(INDIRECT("g"&amp;$D$10):INDIRECT("g"&amp;$E$10),0.5),IF(F114=4,PERCENTILE(INDIRECT("g"&amp;$D$11):INDIRECT("g"&amp;$E$11),0.5),IF(F114=5,PERCENTILE(INDIRECT("g"&amp;$D$12):INDIRECT("g"&amp;$E$12),0.5),IF(F114=6,PERCENTILE(INDIRECT("g"&amp;$D$13):INDIRECT("g"&amp;$E$13),0.5)," "))))))</f>
        <v xml:space="preserve"> </v>
      </c>
      <c r="I114" s="242" t="str">
        <f t="shared" si="11"/>
        <v xml:space="preserve"> </v>
      </c>
      <c r="J114" s="242" t="str">
        <f ca="1">IF(F114=1,AVERAGE(INDIRECT("I"&amp;$D$8):INDIRECT("I"&amp;$E$8)),IF(F114=2,AVERAGE(INDIRECT("I"&amp;$D$9):INDIRECT("I"&amp;$E$9)),IF(F114=3,AVERAGE(INDIRECT("I"&amp;$D$10):INDIRECT("I"&amp;$E$10)),IF(F114=4,AVERAGE(INDIRECT("I"&amp;$D$11):INDIRECT("I"&amp;$E$11)),IF(F114=5,AVERAGE(INDIRECT("I"&amp;$D$12):INDIRECT("I"&amp;$E$12)),IF(F114=6,AVERAGE(INDIRECT("I"&amp;$D$13):INDIRECT("I"&amp;$E$13))," "))))))</f>
        <v xml:space="preserve"> </v>
      </c>
      <c r="K114" s="242" t="str">
        <f t="shared" si="12"/>
        <v xml:space="preserve"> </v>
      </c>
      <c r="L114" s="242" t="str">
        <f t="shared" si="13"/>
        <v xml:space="preserve"> </v>
      </c>
      <c r="M114" s="242" t="str">
        <f t="shared" si="14"/>
        <v xml:space="preserve"> </v>
      </c>
    </row>
    <row r="115" spans="6:13" x14ac:dyDescent="0.2">
      <c r="F115" s="216" t="str">
        <f t="shared" si="10"/>
        <v xml:space="preserve"> </v>
      </c>
      <c r="G115" s="50"/>
      <c r="H115" s="242" t="str">
        <f ca="1">IF(F115=1,PERCENTILE(INDIRECT("g"&amp;$D$8):INDIRECT("g"&amp;$E$8),0.5),IF(F115=2,PERCENTILE(INDIRECT("g"&amp;$D$9):INDIRECT("g"&amp;$E$9),0.5),IF(F115=3,PERCENTILE(INDIRECT("g"&amp;$D$10):INDIRECT("g"&amp;$E$10),0.5),IF(F115=4,PERCENTILE(INDIRECT("g"&amp;$D$11):INDIRECT("g"&amp;$E$11),0.5),IF(F115=5,PERCENTILE(INDIRECT("g"&amp;$D$12):INDIRECT("g"&amp;$E$12),0.5),IF(F115=6,PERCENTILE(INDIRECT("g"&amp;$D$13):INDIRECT("g"&amp;$E$13),0.5)," "))))))</f>
        <v xml:space="preserve"> </v>
      </c>
      <c r="I115" s="242" t="str">
        <f t="shared" si="11"/>
        <v xml:space="preserve"> </v>
      </c>
      <c r="J115" s="242" t="str">
        <f ca="1">IF(F115=1,AVERAGE(INDIRECT("I"&amp;$D$8):INDIRECT("I"&amp;$E$8)),IF(F115=2,AVERAGE(INDIRECT("I"&amp;$D$9):INDIRECT("I"&amp;$E$9)),IF(F115=3,AVERAGE(INDIRECT("I"&amp;$D$10):INDIRECT("I"&amp;$E$10)),IF(F115=4,AVERAGE(INDIRECT("I"&amp;$D$11):INDIRECT("I"&amp;$E$11)),IF(F115=5,AVERAGE(INDIRECT("I"&amp;$D$12):INDIRECT("I"&amp;$E$12)),IF(F115=6,AVERAGE(INDIRECT("I"&amp;$D$13):INDIRECT("I"&amp;$E$13))," "))))))</f>
        <v xml:space="preserve"> </v>
      </c>
      <c r="K115" s="242" t="str">
        <f t="shared" si="12"/>
        <v xml:space="preserve"> </v>
      </c>
      <c r="L115" s="242" t="str">
        <f t="shared" si="13"/>
        <v xml:space="preserve"> </v>
      </c>
      <c r="M115" s="242" t="str">
        <f t="shared" si="14"/>
        <v xml:space="preserve"> </v>
      </c>
    </row>
    <row r="116" spans="6:13" x14ac:dyDescent="0.2">
      <c r="F116" s="216" t="str">
        <f t="shared" si="10"/>
        <v xml:space="preserve"> </v>
      </c>
      <c r="G116" s="50"/>
      <c r="H116" s="242" t="str">
        <f ca="1">IF(F116=1,PERCENTILE(INDIRECT("g"&amp;$D$8):INDIRECT("g"&amp;$E$8),0.5),IF(F116=2,PERCENTILE(INDIRECT("g"&amp;$D$9):INDIRECT("g"&amp;$E$9),0.5),IF(F116=3,PERCENTILE(INDIRECT("g"&amp;$D$10):INDIRECT("g"&amp;$E$10),0.5),IF(F116=4,PERCENTILE(INDIRECT("g"&amp;$D$11):INDIRECT("g"&amp;$E$11),0.5),IF(F116=5,PERCENTILE(INDIRECT("g"&amp;$D$12):INDIRECT("g"&amp;$E$12),0.5),IF(F116=6,PERCENTILE(INDIRECT("g"&amp;$D$13):INDIRECT("g"&amp;$E$13),0.5)," "))))))</f>
        <v xml:space="preserve"> </v>
      </c>
      <c r="I116" s="242" t="str">
        <f t="shared" si="11"/>
        <v xml:space="preserve"> </v>
      </c>
      <c r="J116" s="242" t="str">
        <f ca="1">IF(F116=1,AVERAGE(INDIRECT("I"&amp;$D$8):INDIRECT("I"&amp;$E$8)),IF(F116=2,AVERAGE(INDIRECT("I"&amp;$D$9):INDIRECT("I"&amp;$E$9)),IF(F116=3,AVERAGE(INDIRECT("I"&amp;$D$10):INDIRECT("I"&amp;$E$10)),IF(F116=4,AVERAGE(INDIRECT("I"&amp;$D$11):INDIRECT("I"&amp;$E$11)),IF(F116=5,AVERAGE(INDIRECT("I"&amp;$D$12):INDIRECT("I"&amp;$E$12)),IF(F116=6,AVERAGE(INDIRECT("I"&amp;$D$13):INDIRECT("I"&amp;$E$13))," "))))))</f>
        <v xml:space="preserve"> </v>
      </c>
      <c r="K116" s="242" t="str">
        <f t="shared" si="12"/>
        <v xml:space="preserve"> </v>
      </c>
      <c r="L116" s="242" t="str">
        <f t="shared" si="13"/>
        <v xml:space="preserve"> </v>
      </c>
      <c r="M116" s="242" t="str">
        <f t="shared" si="14"/>
        <v xml:space="preserve"> </v>
      </c>
    </row>
    <row r="117" spans="6:13" x14ac:dyDescent="0.2">
      <c r="F117" s="216" t="str">
        <f t="shared" si="10"/>
        <v xml:space="preserve"> </v>
      </c>
      <c r="G117" s="50"/>
      <c r="H117" s="242" t="str">
        <f ca="1">IF(F117=1,PERCENTILE(INDIRECT("g"&amp;$D$8):INDIRECT("g"&amp;$E$8),0.5),IF(F117=2,PERCENTILE(INDIRECT("g"&amp;$D$9):INDIRECT("g"&amp;$E$9),0.5),IF(F117=3,PERCENTILE(INDIRECT("g"&amp;$D$10):INDIRECT("g"&amp;$E$10),0.5),IF(F117=4,PERCENTILE(INDIRECT("g"&amp;$D$11):INDIRECT("g"&amp;$E$11),0.5),IF(F117=5,PERCENTILE(INDIRECT("g"&amp;$D$12):INDIRECT("g"&amp;$E$12),0.5),IF(F117=6,PERCENTILE(INDIRECT("g"&amp;$D$13):INDIRECT("g"&amp;$E$13),0.5)," "))))))</f>
        <v xml:space="preserve"> </v>
      </c>
      <c r="I117" s="242" t="str">
        <f t="shared" si="11"/>
        <v xml:space="preserve"> </v>
      </c>
      <c r="J117" s="242" t="str">
        <f ca="1">IF(F117=1,AVERAGE(INDIRECT("I"&amp;$D$8):INDIRECT("I"&amp;$E$8)),IF(F117=2,AVERAGE(INDIRECT("I"&amp;$D$9):INDIRECT("I"&amp;$E$9)),IF(F117=3,AVERAGE(INDIRECT("I"&amp;$D$10):INDIRECT("I"&amp;$E$10)),IF(F117=4,AVERAGE(INDIRECT("I"&amp;$D$11):INDIRECT("I"&amp;$E$11)),IF(F117=5,AVERAGE(INDIRECT("I"&amp;$D$12):INDIRECT("I"&amp;$E$12)),IF(F117=6,AVERAGE(INDIRECT("I"&amp;$D$13):INDIRECT("I"&amp;$E$13))," "))))))</f>
        <v xml:space="preserve"> </v>
      </c>
      <c r="K117" s="242" t="str">
        <f t="shared" si="12"/>
        <v xml:space="preserve"> </v>
      </c>
      <c r="L117" s="242" t="str">
        <f t="shared" si="13"/>
        <v xml:space="preserve"> </v>
      </c>
      <c r="M117" s="242" t="str">
        <f t="shared" si="14"/>
        <v xml:space="preserve"> </v>
      </c>
    </row>
    <row r="118" spans="6:13" x14ac:dyDescent="0.2">
      <c r="F118" s="216" t="str">
        <f t="shared" si="10"/>
        <v xml:space="preserve"> </v>
      </c>
      <c r="G118" s="50"/>
      <c r="H118" s="242" t="str">
        <f ca="1">IF(F118=1,PERCENTILE(INDIRECT("g"&amp;$D$8):INDIRECT("g"&amp;$E$8),0.5),IF(F118=2,PERCENTILE(INDIRECT("g"&amp;$D$9):INDIRECT("g"&amp;$E$9),0.5),IF(F118=3,PERCENTILE(INDIRECT("g"&amp;$D$10):INDIRECT("g"&amp;$E$10),0.5),IF(F118=4,PERCENTILE(INDIRECT("g"&amp;$D$11):INDIRECT("g"&amp;$E$11),0.5),IF(F118=5,PERCENTILE(INDIRECT("g"&amp;$D$12):INDIRECT("g"&amp;$E$12),0.5),IF(F118=6,PERCENTILE(INDIRECT("g"&amp;$D$13):INDIRECT("g"&amp;$E$13),0.5)," "))))))</f>
        <v xml:space="preserve"> </v>
      </c>
      <c r="I118" s="242" t="str">
        <f t="shared" si="11"/>
        <v xml:space="preserve"> </v>
      </c>
      <c r="J118" s="242" t="str">
        <f ca="1">IF(F118=1,AVERAGE(INDIRECT("I"&amp;$D$8):INDIRECT("I"&amp;$E$8)),IF(F118=2,AVERAGE(INDIRECT("I"&amp;$D$9):INDIRECT("I"&amp;$E$9)),IF(F118=3,AVERAGE(INDIRECT("I"&amp;$D$10):INDIRECT("I"&amp;$E$10)),IF(F118=4,AVERAGE(INDIRECT("I"&amp;$D$11):INDIRECT("I"&amp;$E$11)),IF(F118=5,AVERAGE(INDIRECT("I"&amp;$D$12):INDIRECT("I"&amp;$E$12)),IF(F118=6,AVERAGE(INDIRECT("I"&amp;$D$13):INDIRECT("I"&amp;$E$13))," "))))))</f>
        <v xml:space="preserve"> </v>
      </c>
      <c r="K118" s="242" t="str">
        <f t="shared" si="12"/>
        <v xml:space="preserve"> </v>
      </c>
      <c r="L118" s="242" t="str">
        <f t="shared" si="13"/>
        <v xml:space="preserve"> </v>
      </c>
      <c r="M118" s="242" t="str">
        <f t="shared" si="14"/>
        <v xml:space="preserve"> </v>
      </c>
    </row>
    <row r="119" spans="6:13" x14ac:dyDescent="0.2">
      <c r="F119" s="216" t="str">
        <f t="shared" si="10"/>
        <v xml:space="preserve"> </v>
      </c>
      <c r="G119" s="50"/>
      <c r="H119" s="242" t="str">
        <f ca="1">IF(F119=1,PERCENTILE(INDIRECT("g"&amp;$D$8):INDIRECT("g"&amp;$E$8),0.5),IF(F119=2,PERCENTILE(INDIRECT("g"&amp;$D$9):INDIRECT("g"&amp;$E$9),0.5),IF(F119=3,PERCENTILE(INDIRECT("g"&amp;$D$10):INDIRECT("g"&amp;$E$10),0.5),IF(F119=4,PERCENTILE(INDIRECT("g"&amp;$D$11):INDIRECT("g"&amp;$E$11),0.5),IF(F119=5,PERCENTILE(INDIRECT("g"&amp;$D$12):INDIRECT("g"&amp;$E$12),0.5),IF(F119=6,PERCENTILE(INDIRECT("g"&amp;$D$13):INDIRECT("g"&amp;$E$13),0.5)," "))))))</f>
        <v xml:space="preserve"> </v>
      </c>
      <c r="I119" s="242" t="str">
        <f t="shared" si="11"/>
        <v xml:space="preserve"> </v>
      </c>
      <c r="J119" s="242" t="str">
        <f ca="1">IF(F119=1,AVERAGE(INDIRECT("I"&amp;$D$8):INDIRECT("I"&amp;$E$8)),IF(F119=2,AVERAGE(INDIRECT("I"&amp;$D$9):INDIRECT("I"&amp;$E$9)),IF(F119=3,AVERAGE(INDIRECT("I"&amp;$D$10):INDIRECT("I"&amp;$E$10)),IF(F119=4,AVERAGE(INDIRECT("I"&amp;$D$11):INDIRECT("I"&amp;$E$11)),IF(F119=5,AVERAGE(INDIRECT("I"&amp;$D$12):INDIRECT("I"&amp;$E$12)),IF(F119=6,AVERAGE(INDIRECT("I"&amp;$D$13):INDIRECT("I"&amp;$E$13))," "))))))</f>
        <v xml:space="preserve"> </v>
      </c>
      <c r="K119" s="242" t="str">
        <f t="shared" si="12"/>
        <v xml:space="preserve"> </v>
      </c>
      <c r="L119" s="242" t="str">
        <f t="shared" si="13"/>
        <v xml:space="preserve"> </v>
      </c>
      <c r="M119" s="242" t="str">
        <f t="shared" si="14"/>
        <v xml:space="preserve"> </v>
      </c>
    </row>
    <row r="120" spans="6:13" x14ac:dyDescent="0.2">
      <c r="F120" s="216" t="str">
        <f t="shared" si="10"/>
        <v xml:space="preserve"> </v>
      </c>
      <c r="G120" s="50"/>
      <c r="H120" s="242" t="str">
        <f ca="1">IF(F120=1,PERCENTILE(INDIRECT("g"&amp;$D$8):INDIRECT("g"&amp;$E$8),0.5),IF(F120=2,PERCENTILE(INDIRECT("g"&amp;$D$9):INDIRECT("g"&amp;$E$9),0.5),IF(F120=3,PERCENTILE(INDIRECT("g"&amp;$D$10):INDIRECT("g"&amp;$E$10),0.5),IF(F120=4,PERCENTILE(INDIRECT("g"&amp;$D$11):INDIRECT("g"&amp;$E$11),0.5),IF(F120=5,PERCENTILE(INDIRECT("g"&amp;$D$12):INDIRECT("g"&amp;$E$12),0.5),IF(F120=6,PERCENTILE(INDIRECT("g"&amp;$D$13):INDIRECT("g"&amp;$E$13),0.5)," "))))))</f>
        <v xml:space="preserve"> </v>
      </c>
      <c r="I120" s="242" t="str">
        <f t="shared" si="11"/>
        <v xml:space="preserve"> </v>
      </c>
      <c r="J120" s="242" t="str">
        <f ca="1">IF(F120=1,AVERAGE(INDIRECT("I"&amp;$D$8):INDIRECT("I"&amp;$E$8)),IF(F120=2,AVERAGE(INDIRECT("I"&amp;$D$9):INDIRECT("I"&amp;$E$9)),IF(F120=3,AVERAGE(INDIRECT("I"&amp;$D$10):INDIRECT("I"&amp;$E$10)),IF(F120=4,AVERAGE(INDIRECT("I"&amp;$D$11):INDIRECT("I"&amp;$E$11)),IF(F120=5,AVERAGE(INDIRECT("I"&amp;$D$12):INDIRECT("I"&amp;$E$12)),IF(F120=6,AVERAGE(INDIRECT("I"&amp;$D$13):INDIRECT("I"&amp;$E$13))," "))))))</f>
        <v xml:space="preserve"> </v>
      </c>
      <c r="K120" s="242" t="str">
        <f t="shared" si="12"/>
        <v xml:space="preserve"> </v>
      </c>
      <c r="L120" s="242" t="str">
        <f t="shared" si="13"/>
        <v xml:space="preserve"> </v>
      </c>
      <c r="M120" s="242" t="str">
        <f t="shared" si="14"/>
        <v xml:space="preserve"> </v>
      </c>
    </row>
    <row r="121" spans="6:13" x14ac:dyDescent="0.2">
      <c r="F121" s="216" t="str">
        <f t="shared" si="10"/>
        <v xml:space="preserve"> </v>
      </c>
      <c r="G121" s="50"/>
      <c r="H121" s="242" t="str">
        <f ca="1">IF(F121=1,PERCENTILE(INDIRECT("g"&amp;$D$8):INDIRECT("g"&amp;$E$8),0.5),IF(F121=2,PERCENTILE(INDIRECT("g"&amp;$D$9):INDIRECT("g"&amp;$E$9),0.5),IF(F121=3,PERCENTILE(INDIRECT("g"&amp;$D$10):INDIRECT("g"&amp;$E$10),0.5),IF(F121=4,PERCENTILE(INDIRECT("g"&amp;$D$11):INDIRECT("g"&amp;$E$11),0.5),IF(F121=5,PERCENTILE(INDIRECT("g"&amp;$D$12):INDIRECT("g"&amp;$E$12),0.5),IF(F121=6,PERCENTILE(INDIRECT("g"&amp;$D$13):INDIRECT("g"&amp;$E$13),0.5)," "))))))</f>
        <v xml:space="preserve"> </v>
      </c>
      <c r="I121" s="242" t="str">
        <f t="shared" si="11"/>
        <v xml:space="preserve"> </v>
      </c>
      <c r="J121" s="242" t="str">
        <f ca="1">IF(F121=1,AVERAGE(INDIRECT("I"&amp;$D$8):INDIRECT("I"&amp;$E$8)),IF(F121=2,AVERAGE(INDIRECT("I"&amp;$D$9):INDIRECT("I"&amp;$E$9)),IF(F121=3,AVERAGE(INDIRECT("I"&amp;$D$10):INDIRECT("I"&amp;$E$10)),IF(F121=4,AVERAGE(INDIRECT("I"&amp;$D$11):INDIRECT("I"&amp;$E$11)),IF(F121=5,AVERAGE(INDIRECT("I"&amp;$D$12):INDIRECT("I"&amp;$E$12)),IF(F121=6,AVERAGE(INDIRECT("I"&amp;$D$13):INDIRECT("I"&amp;$E$13))," "))))))</f>
        <v xml:space="preserve"> </v>
      </c>
      <c r="K121" s="242" t="str">
        <f t="shared" si="12"/>
        <v xml:space="preserve"> </v>
      </c>
      <c r="L121" s="242" t="str">
        <f t="shared" si="13"/>
        <v xml:space="preserve"> </v>
      </c>
      <c r="M121" s="242" t="str">
        <f t="shared" si="14"/>
        <v xml:space="preserve"> </v>
      </c>
    </row>
    <row r="122" spans="6:13" x14ac:dyDescent="0.2">
      <c r="F122" s="216" t="str">
        <f t="shared" si="10"/>
        <v xml:space="preserve"> </v>
      </c>
      <c r="G122" s="50"/>
      <c r="H122" s="242" t="str">
        <f ca="1">IF(F122=1,PERCENTILE(INDIRECT("g"&amp;$D$8):INDIRECT("g"&amp;$E$8),0.5),IF(F122=2,PERCENTILE(INDIRECT("g"&amp;$D$9):INDIRECT("g"&amp;$E$9),0.5),IF(F122=3,PERCENTILE(INDIRECT("g"&amp;$D$10):INDIRECT("g"&amp;$E$10),0.5),IF(F122=4,PERCENTILE(INDIRECT("g"&amp;$D$11):INDIRECT("g"&amp;$E$11),0.5),IF(F122=5,PERCENTILE(INDIRECT("g"&amp;$D$12):INDIRECT("g"&amp;$E$12),0.5),IF(F122=6,PERCENTILE(INDIRECT("g"&amp;$D$13):INDIRECT("g"&amp;$E$13),0.5)," "))))))</f>
        <v xml:space="preserve"> </v>
      </c>
      <c r="I122" s="242" t="str">
        <f t="shared" si="11"/>
        <v xml:space="preserve"> </v>
      </c>
      <c r="J122" s="242" t="str">
        <f ca="1">IF(F122=1,AVERAGE(INDIRECT("I"&amp;$D$8):INDIRECT("I"&amp;$E$8)),IF(F122=2,AVERAGE(INDIRECT("I"&amp;$D$9):INDIRECT("I"&amp;$E$9)),IF(F122=3,AVERAGE(INDIRECT("I"&amp;$D$10):INDIRECT("I"&amp;$E$10)),IF(F122=4,AVERAGE(INDIRECT("I"&amp;$D$11):INDIRECT("I"&amp;$E$11)),IF(F122=5,AVERAGE(INDIRECT("I"&amp;$D$12):INDIRECT("I"&amp;$E$12)),IF(F122=6,AVERAGE(INDIRECT("I"&amp;$D$13):INDIRECT("I"&amp;$E$13))," "))))))</f>
        <v xml:space="preserve"> </v>
      </c>
      <c r="K122" s="242" t="str">
        <f t="shared" si="12"/>
        <v xml:space="preserve"> </v>
      </c>
      <c r="L122" s="242" t="str">
        <f t="shared" si="13"/>
        <v xml:space="preserve"> </v>
      </c>
      <c r="M122" s="242" t="str">
        <f t="shared" si="14"/>
        <v xml:space="preserve"> </v>
      </c>
    </row>
    <row r="123" spans="6:13" x14ac:dyDescent="0.2">
      <c r="F123" s="216" t="str">
        <f t="shared" si="10"/>
        <v xml:space="preserve"> </v>
      </c>
      <c r="G123" s="50"/>
      <c r="H123" s="242" t="str">
        <f ca="1">IF(F123=1,PERCENTILE(INDIRECT("g"&amp;$D$8):INDIRECT("g"&amp;$E$8),0.5),IF(F123=2,PERCENTILE(INDIRECT("g"&amp;$D$9):INDIRECT("g"&amp;$E$9),0.5),IF(F123=3,PERCENTILE(INDIRECT("g"&amp;$D$10):INDIRECT("g"&amp;$E$10),0.5),IF(F123=4,PERCENTILE(INDIRECT("g"&amp;$D$11):INDIRECT("g"&amp;$E$11),0.5),IF(F123=5,PERCENTILE(INDIRECT("g"&amp;$D$12):INDIRECT("g"&amp;$E$12),0.5),IF(F123=6,PERCENTILE(INDIRECT("g"&amp;$D$13):INDIRECT("g"&amp;$E$13),0.5)," "))))))</f>
        <v xml:space="preserve"> </v>
      </c>
      <c r="I123" s="242" t="str">
        <f t="shared" si="11"/>
        <v xml:space="preserve"> </v>
      </c>
      <c r="J123" s="242" t="str">
        <f ca="1">IF(F123=1,AVERAGE(INDIRECT("I"&amp;$D$8):INDIRECT("I"&amp;$E$8)),IF(F123=2,AVERAGE(INDIRECT("I"&amp;$D$9):INDIRECT("I"&amp;$E$9)),IF(F123=3,AVERAGE(INDIRECT("I"&amp;$D$10):INDIRECT("I"&amp;$E$10)),IF(F123=4,AVERAGE(INDIRECT("I"&amp;$D$11):INDIRECT("I"&amp;$E$11)),IF(F123=5,AVERAGE(INDIRECT("I"&amp;$D$12):INDIRECT("I"&amp;$E$12)),IF(F123=6,AVERAGE(INDIRECT("I"&amp;$D$13):INDIRECT("I"&amp;$E$13))," "))))))</f>
        <v xml:space="preserve"> </v>
      </c>
      <c r="K123" s="242" t="str">
        <f t="shared" si="12"/>
        <v xml:space="preserve"> </v>
      </c>
      <c r="L123" s="242" t="str">
        <f t="shared" si="13"/>
        <v xml:space="preserve"> </v>
      </c>
      <c r="M123" s="242" t="str">
        <f t="shared" si="14"/>
        <v xml:space="preserve"> </v>
      </c>
    </row>
    <row r="124" spans="6:13" x14ac:dyDescent="0.2">
      <c r="F124" s="216" t="str">
        <f t="shared" si="10"/>
        <v xml:space="preserve"> </v>
      </c>
      <c r="G124" s="50"/>
      <c r="H124" s="242" t="str">
        <f ca="1">IF(F124=1,PERCENTILE(INDIRECT("g"&amp;$D$8):INDIRECT("g"&amp;$E$8),0.5),IF(F124=2,PERCENTILE(INDIRECT("g"&amp;$D$9):INDIRECT("g"&amp;$E$9),0.5),IF(F124=3,PERCENTILE(INDIRECT("g"&amp;$D$10):INDIRECT("g"&amp;$E$10),0.5),IF(F124=4,PERCENTILE(INDIRECT("g"&amp;$D$11):INDIRECT("g"&amp;$E$11),0.5),IF(F124=5,PERCENTILE(INDIRECT("g"&amp;$D$12):INDIRECT("g"&amp;$E$12),0.5),IF(F124=6,PERCENTILE(INDIRECT("g"&amp;$D$13):INDIRECT("g"&amp;$E$13),0.5)," "))))))</f>
        <v xml:space="preserve"> </v>
      </c>
      <c r="I124" s="242" t="str">
        <f t="shared" si="11"/>
        <v xml:space="preserve"> </v>
      </c>
      <c r="J124" s="242" t="str">
        <f ca="1">IF(F124=1,AVERAGE(INDIRECT("I"&amp;$D$8):INDIRECT("I"&amp;$E$8)),IF(F124=2,AVERAGE(INDIRECT("I"&amp;$D$9):INDIRECT("I"&amp;$E$9)),IF(F124=3,AVERAGE(INDIRECT("I"&amp;$D$10):INDIRECT("I"&amp;$E$10)),IF(F124=4,AVERAGE(INDIRECT("I"&amp;$D$11):INDIRECT("I"&amp;$E$11)),IF(F124=5,AVERAGE(INDIRECT("I"&amp;$D$12):INDIRECT("I"&amp;$E$12)),IF(F124=6,AVERAGE(INDIRECT("I"&amp;$D$13):INDIRECT("I"&amp;$E$13))," "))))))</f>
        <v xml:space="preserve"> </v>
      </c>
      <c r="K124" s="242" t="str">
        <f t="shared" si="12"/>
        <v xml:space="preserve"> </v>
      </c>
      <c r="L124" s="242" t="str">
        <f t="shared" si="13"/>
        <v xml:space="preserve"> </v>
      </c>
      <c r="M124" s="242" t="str">
        <f t="shared" si="14"/>
        <v xml:space="preserve"> </v>
      </c>
    </row>
    <row r="125" spans="6:13" x14ac:dyDescent="0.2">
      <c r="F125" s="216" t="str">
        <f t="shared" si="10"/>
        <v xml:space="preserve"> </v>
      </c>
      <c r="G125" s="50"/>
      <c r="H125" s="242" t="str">
        <f ca="1">IF(F125=1,PERCENTILE(INDIRECT("g"&amp;$D$8):INDIRECT("g"&amp;$E$8),0.5),IF(F125=2,PERCENTILE(INDIRECT("g"&amp;$D$9):INDIRECT("g"&amp;$E$9),0.5),IF(F125=3,PERCENTILE(INDIRECT("g"&amp;$D$10):INDIRECT("g"&amp;$E$10),0.5),IF(F125=4,PERCENTILE(INDIRECT("g"&amp;$D$11):INDIRECT("g"&amp;$E$11),0.5),IF(F125=5,PERCENTILE(INDIRECT("g"&amp;$D$12):INDIRECT("g"&amp;$E$12),0.5),IF(F125=6,PERCENTILE(INDIRECT("g"&amp;$D$13):INDIRECT("g"&amp;$E$13),0.5)," "))))))</f>
        <v xml:space="preserve"> </v>
      </c>
      <c r="I125" s="242" t="str">
        <f t="shared" si="11"/>
        <v xml:space="preserve"> </v>
      </c>
      <c r="J125" s="242" t="str">
        <f ca="1">IF(F125=1,AVERAGE(INDIRECT("I"&amp;$D$8):INDIRECT("I"&amp;$E$8)),IF(F125=2,AVERAGE(INDIRECT("I"&amp;$D$9):INDIRECT("I"&amp;$E$9)),IF(F125=3,AVERAGE(INDIRECT("I"&amp;$D$10):INDIRECT("I"&amp;$E$10)),IF(F125=4,AVERAGE(INDIRECT("I"&amp;$D$11):INDIRECT("I"&amp;$E$11)),IF(F125=5,AVERAGE(INDIRECT("I"&amp;$D$12):INDIRECT("I"&amp;$E$12)),IF(F125=6,AVERAGE(INDIRECT("I"&amp;$D$13):INDIRECT("I"&amp;$E$13))," "))))))</f>
        <v xml:space="preserve"> </v>
      </c>
      <c r="K125" s="242" t="str">
        <f t="shared" si="12"/>
        <v xml:space="preserve"> </v>
      </c>
      <c r="L125" s="242" t="str">
        <f t="shared" si="13"/>
        <v xml:space="preserve"> </v>
      </c>
      <c r="M125" s="242" t="str">
        <f t="shared" si="14"/>
        <v xml:space="preserve"> </v>
      </c>
    </row>
    <row r="126" spans="6:13" x14ac:dyDescent="0.2">
      <c r="F126" s="216" t="str">
        <f t="shared" si="10"/>
        <v xml:space="preserve"> </v>
      </c>
      <c r="G126" s="50"/>
      <c r="H126" s="242" t="str">
        <f ca="1">IF(F126=1,PERCENTILE(INDIRECT("g"&amp;$D$8):INDIRECT("g"&amp;$E$8),0.5),IF(F126=2,PERCENTILE(INDIRECT("g"&amp;$D$9):INDIRECT("g"&amp;$E$9),0.5),IF(F126=3,PERCENTILE(INDIRECT("g"&amp;$D$10):INDIRECT("g"&amp;$E$10),0.5),IF(F126=4,PERCENTILE(INDIRECT("g"&amp;$D$11):INDIRECT("g"&amp;$E$11),0.5),IF(F126=5,PERCENTILE(INDIRECT("g"&amp;$D$12):INDIRECT("g"&amp;$E$12),0.5),IF(F126=6,PERCENTILE(INDIRECT("g"&amp;$D$13):INDIRECT("g"&amp;$E$13),0.5)," "))))))</f>
        <v xml:space="preserve"> </v>
      </c>
      <c r="I126" s="242" t="str">
        <f t="shared" si="11"/>
        <v xml:space="preserve"> </v>
      </c>
      <c r="J126" s="242" t="str">
        <f ca="1">IF(F126=1,AVERAGE(INDIRECT("I"&amp;$D$8):INDIRECT("I"&amp;$E$8)),IF(F126=2,AVERAGE(INDIRECT("I"&amp;$D$9):INDIRECT("I"&amp;$E$9)),IF(F126=3,AVERAGE(INDIRECT("I"&amp;$D$10):INDIRECT("I"&amp;$E$10)),IF(F126=4,AVERAGE(INDIRECT("I"&amp;$D$11):INDIRECT("I"&amp;$E$11)),IF(F126=5,AVERAGE(INDIRECT("I"&amp;$D$12):INDIRECT("I"&amp;$E$12)),IF(F126=6,AVERAGE(INDIRECT("I"&amp;$D$13):INDIRECT("I"&amp;$E$13))," "))))))</f>
        <v xml:space="preserve"> </v>
      </c>
      <c r="K126" s="242" t="str">
        <f t="shared" si="12"/>
        <v xml:space="preserve"> </v>
      </c>
      <c r="L126" s="242" t="str">
        <f t="shared" si="13"/>
        <v xml:space="preserve"> </v>
      </c>
      <c r="M126" s="242" t="str">
        <f t="shared" si="14"/>
        <v xml:space="preserve"> </v>
      </c>
    </row>
    <row r="127" spans="6:13" x14ac:dyDescent="0.2">
      <c r="F127" s="216" t="str">
        <f t="shared" si="10"/>
        <v xml:space="preserve"> </v>
      </c>
      <c r="G127" s="50"/>
      <c r="H127" s="242" t="str">
        <f ca="1">IF(F127=1,PERCENTILE(INDIRECT("g"&amp;$D$8):INDIRECT("g"&amp;$E$8),0.5),IF(F127=2,PERCENTILE(INDIRECT("g"&amp;$D$9):INDIRECT("g"&amp;$E$9),0.5),IF(F127=3,PERCENTILE(INDIRECT("g"&amp;$D$10):INDIRECT("g"&amp;$E$10),0.5),IF(F127=4,PERCENTILE(INDIRECT("g"&amp;$D$11):INDIRECT("g"&amp;$E$11),0.5),IF(F127=5,PERCENTILE(INDIRECT("g"&amp;$D$12):INDIRECT("g"&amp;$E$12),0.5),IF(F127=6,PERCENTILE(INDIRECT("g"&amp;$D$13):INDIRECT("g"&amp;$E$13),0.5)," "))))))</f>
        <v xml:space="preserve"> </v>
      </c>
      <c r="I127" s="242" t="str">
        <f t="shared" si="11"/>
        <v xml:space="preserve"> </v>
      </c>
      <c r="J127" s="242" t="str">
        <f ca="1">IF(F127=1,AVERAGE(INDIRECT("I"&amp;$D$8):INDIRECT("I"&amp;$E$8)),IF(F127=2,AVERAGE(INDIRECT("I"&amp;$D$9):INDIRECT("I"&amp;$E$9)),IF(F127=3,AVERAGE(INDIRECT("I"&amp;$D$10):INDIRECT("I"&amp;$E$10)),IF(F127=4,AVERAGE(INDIRECT("I"&amp;$D$11):INDIRECT("I"&amp;$E$11)),IF(F127=5,AVERAGE(INDIRECT("I"&amp;$D$12):INDIRECT("I"&amp;$E$12)),IF(F127=6,AVERAGE(INDIRECT("I"&amp;$D$13):INDIRECT("I"&amp;$E$13))," "))))))</f>
        <v xml:space="preserve"> </v>
      </c>
      <c r="K127" s="242" t="str">
        <f t="shared" si="12"/>
        <v xml:space="preserve"> </v>
      </c>
      <c r="L127" s="242" t="str">
        <f t="shared" si="13"/>
        <v xml:space="preserve"> </v>
      </c>
      <c r="M127" s="242" t="str">
        <f t="shared" si="14"/>
        <v xml:space="preserve"> </v>
      </c>
    </row>
    <row r="128" spans="6:13" x14ac:dyDescent="0.2">
      <c r="F128" s="216" t="str">
        <f t="shared" si="10"/>
        <v xml:space="preserve"> </v>
      </c>
      <c r="G128" s="50"/>
      <c r="H128" s="242" t="str">
        <f ca="1">IF(F128=1,PERCENTILE(INDIRECT("g"&amp;$D$8):INDIRECT("g"&amp;$E$8),0.5),IF(F128=2,PERCENTILE(INDIRECT("g"&amp;$D$9):INDIRECT("g"&amp;$E$9),0.5),IF(F128=3,PERCENTILE(INDIRECT("g"&amp;$D$10):INDIRECT("g"&amp;$E$10),0.5),IF(F128=4,PERCENTILE(INDIRECT("g"&amp;$D$11):INDIRECT("g"&amp;$E$11),0.5),IF(F128=5,PERCENTILE(INDIRECT("g"&amp;$D$12):INDIRECT("g"&amp;$E$12),0.5),IF(F128=6,PERCENTILE(INDIRECT("g"&amp;$D$13):INDIRECT("g"&amp;$E$13),0.5)," "))))))</f>
        <v xml:space="preserve"> </v>
      </c>
      <c r="I128" s="242" t="str">
        <f t="shared" si="11"/>
        <v xml:space="preserve"> </v>
      </c>
      <c r="J128" s="242" t="str">
        <f ca="1">IF(F128=1,AVERAGE(INDIRECT("I"&amp;$D$8):INDIRECT("I"&amp;$E$8)),IF(F128=2,AVERAGE(INDIRECT("I"&amp;$D$9):INDIRECT("I"&amp;$E$9)),IF(F128=3,AVERAGE(INDIRECT("I"&amp;$D$10):INDIRECT("I"&amp;$E$10)),IF(F128=4,AVERAGE(INDIRECT("I"&amp;$D$11):INDIRECT("I"&amp;$E$11)),IF(F128=5,AVERAGE(INDIRECT("I"&amp;$D$12):INDIRECT("I"&amp;$E$12)),IF(F128=6,AVERAGE(INDIRECT("I"&amp;$D$13):INDIRECT("I"&amp;$E$13))," "))))))</f>
        <v xml:space="preserve"> </v>
      </c>
      <c r="K128" s="242" t="str">
        <f t="shared" si="12"/>
        <v xml:space="preserve"> </v>
      </c>
      <c r="L128" s="242" t="str">
        <f t="shared" si="13"/>
        <v xml:space="preserve"> </v>
      </c>
      <c r="M128" s="242" t="str">
        <f t="shared" si="14"/>
        <v xml:space="preserve"> </v>
      </c>
    </row>
    <row r="129" spans="6:13" x14ac:dyDescent="0.2">
      <c r="F129" s="216" t="str">
        <f t="shared" si="10"/>
        <v xml:space="preserve"> </v>
      </c>
      <c r="G129" s="50"/>
      <c r="H129" s="242" t="str">
        <f ca="1">IF(F129=1,PERCENTILE(INDIRECT("g"&amp;$D$8):INDIRECT("g"&amp;$E$8),0.5),IF(F129=2,PERCENTILE(INDIRECT("g"&amp;$D$9):INDIRECT("g"&amp;$E$9),0.5),IF(F129=3,PERCENTILE(INDIRECT("g"&amp;$D$10):INDIRECT("g"&amp;$E$10),0.5),IF(F129=4,PERCENTILE(INDIRECT("g"&amp;$D$11):INDIRECT("g"&amp;$E$11),0.5),IF(F129=5,PERCENTILE(INDIRECT("g"&amp;$D$12):INDIRECT("g"&amp;$E$12),0.5),IF(F129=6,PERCENTILE(INDIRECT("g"&amp;$D$13):INDIRECT("g"&amp;$E$13),0.5)," "))))))</f>
        <v xml:space="preserve"> </v>
      </c>
      <c r="I129" s="242" t="str">
        <f t="shared" si="11"/>
        <v xml:space="preserve"> </v>
      </c>
      <c r="J129" s="242" t="str">
        <f ca="1">IF(F129=1,AVERAGE(INDIRECT("I"&amp;$D$8):INDIRECT("I"&amp;$E$8)),IF(F129=2,AVERAGE(INDIRECT("I"&amp;$D$9):INDIRECT("I"&amp;$E$9)),IF(F129=3,AVERAGE(INDIRECT("I"&amp;$D$10):INDIRECT("I"&amp;$E$10)),IF(F129=4,AVERAGE(INDIRECT("I"&amp;$D$11):INDIRECT("I"&amp;$E$11)),IF(F129=5,AVERAGE(INDIRECT("I"&amp;$D$12):INDIRECT("I"&amp;$E$12)),IF(F129=6,AVERAGE(INDIRECT("I"&amp;$D$13):INDIRECT("I"&amp;$E$13))," "))))))</f>
        <v xml:space="preserve"> </v>
      </c>
      <c r="K129" s="242" t="str">
        <f t="shared" si="12"/>
        <v xml:space="preserve"> </v>
      </c>
      <c r="L129" s="242" t="str">
        <f t="shared" si="13"/>
        <v xml:space="preserve"> </v>
      </c>
      <c r="M129" s="242" t="str">
        <f t="shared" si="14"/>
        <v xml:space="preserve"> </v>
      </c>
    </row>
    <row r="130" spans="6:13" x14ac:dyDescent="0.2">
      <c r="F130" s="216" t="str">
        <f t="shared" si="10"/>
        <v xml:space="preserve"> </v>
      </c>
      <c r="G130" s="50"/>
      <c r="H130" s="242" t="str">
        <f ca="1">IF(F130=1,PERCENTILE(INDIRECT("g"&amp;$D$8):INDIRECT("g"&amp;$E$8),0.5),IF(F130=2,PERCENTILE(INDIRECT("g"&amp;$D$9):INDIRECT("g"&amp;$E$9),0.5),IF(F130=3,PERCENTILE(INDIRECT("g"&amp;$D$10):INDIRECT("g"&amp;$E$10),0.5),IF(F130=4,PERCENTILE(INDIRECT("g"&amp;$D$11):INDIRECT("g"&amp;$E$11),0.5),IF(F130=5,PERCENTILE(INDIRECT("g"&amp;$D$12):INDIRECT("g"&amp;$E$12),0.5),IF(F130=6,PERCENTILE(INDIRECT("g"&amp;$D$13):INDIRECT("g"&amp;$E$13),0.5)," "))))))</f>
        <v xml:space="preserve"> </v>
      </c>
      <c r="I130" s="242" t="str">
        <f t="shared" si="11"/>
        <v xml:space="preserve"> </v>
      </c>
      <c r="J130" s="242" t="str">
        <f ca="1">IF(F130=1,AVERAGE(INDIRECT("I"&amp;$D$8):INDIRECT("I"&amp;$E$8)),IF(F130=2,AVERAGE(INDIRECT("I"&amp;$D$9):INDIRECT("I"&amp;$E$9)),IF(F130=3,AVERAGE(INDIRECT("I"&amp;$D$10):INDIRECT("I"&amp;$E$10)),IF(F130=4,AVERAGE(INDIRECT("I"&amp;$D$11):INDIRECT("I"&amp;$E$11)),IF(F130=5,AVERAGE(INDIRECT("I"&amp;$D$12):INDIRECT("I"&amp;$E$12)),IF(F130=6,AVERAGE(INDIRECT("I"&amp;$D$13):INDIRECT("I"&amp;$E$13))," "))))))</f>
        <v xml:space="preserve"> </v>
      </c>
      <c r="K130" s="242" t="str">
        <f t="shared" si="12"/>
        <v xml:space="preserve"> </v>
      </c>
      <c r="L130" s="242" t="str">
        <f t="shared" si="13"/>
        <v xml:space="preserve"> </v>
      </c>
      <c r="M130" s="242" t="str">
        <f t="shared" si="14"/>
        <v xml:space="preserve"> </v>
      </c>
    </row>
    <row r="131" spans="6:13" x14ac:dyDescent="0.2">
      <c r="F131" s="216" t="str">
        <f t="shared" si="10"/>
        <v xml:space="preserve"> </v>
      </c>
      <c r="G131" s="50"/>
      <c r="H131" s="242" t="str">
        <f ca="1">IF(F131=1,PERCENTILE(INDIRECT("g"&amp;$D$8):INDIRECT("g"&amp;$E$8),0.5),IF(F131=2,PERCENTILE(INDIRECT("g"&amp;$D$9):INDIRECT("g"&amp;$E$9),0.5),IF(F131=3,PERCENTILE(INDIRECT("g"&amp;$D$10):INDIRECT("g"&amp;$E$10),0.5),IF(F131=4,PERCENTILE(INDIRECT("g"&amp;$D$11):INDIRECT("g"&amp;$E$11),0.5),IF(F131=5,PERCENTILE(INDIRECT("g"&amp;$D$12):INDIRECT("g"&amp;$E$12),0.5),IF(F131=6,PERCENTILE(INDIRECT("g"&amp;$D$13):INDIRECT("g"&amp;$E$13),0.5)," "))))))</f>
        <v xml:space="preserve"> </v>
      </c>
      <c r="I131" s="242" t="str">
        <f t="shared" si="11"/>
        <v xml:space="preserve"> </v>
      </c>
      <c r="J131" s="242" t="str">
        <f ca="1">IF(F131=1,AVERAGE(INDIRECT("I"&amp;$D$8):INDIRECT("I"&amp;$E$8)),IF(F131=2,AVERAGE(INDIRECT("I"&amp;$D$9):INDIRECT("I"&amp;$E$9)),IF(F131=3,AVERAGE(INDIRECT("I"&amp;$D$10):INDIRECT("I"&amp;$E$10)),IF(F131=4,AVERAGE(INDIRECT("I"&amp;$D$11):INDIRECT("I"&amp;$E$11)),IF(F131=5,AVERAGE(INDIRECT("I"&amp;$D$12):INDIRECT("I"&amp;$E$12)),IF(F131=6,AVERAGE(INDIRECT("I"&amp;$D$13):INDIRECT("I"&amp;$E$13))," "))))))</f>
        <v xml:space="preserve"> </v>
      </c>
      <c r="K131" s="242" t="str">
        <f t="shared" si="12"/>
        <v xml:space="preserve"> </v>
      </c>
      <c r="L131" s="242" t="str">
        <f t="shared" si="13"/>
        <v xml:space="preserve"> </v>
      </c>
      <c r="M131" s="242" t="str">
        <f t="shared" si="14"/>
        <v xml:space="preserve"> </v>
      </c>
    </row>
    <row r="132" spans="6:13" x14ac:dyDescent="0.2">
      <c r="F132" s="216" t="str">
        <f t="shared" si="10"/>
        <v xml:space="preserve"> </v>
      </c>
      <c r="G132" s="50"/>
      <c r="H132" s="242" t="str">
        <f ca="1">IF(F132=1,PERCENTILE(INDIRECT("g"&amp;$D$8):INDIRECT("g"&amp;$E$8),0.5),IF(F132=2,PERCENTILE(INDIRECT("g"&amp;$D$9):INDIRECT("g"&amp;$E$9),0.5),IF(F132=3,PERCENTILE(INDIRECT("g"&amp;$D$10):INDIRECT("g"&amp;$E$10),0.5),IF(F132=4,PERCENTILE(INDIRECT("g"&amp;$D$11):INDIRECT("g"&amp;$E$11),0.5),IF(F132=5,PERCENTILE(INDIRECT("g"&amp;$D$12):INDIRECT("g"&amp;$E$12),0.5),IF(F132=6,PERCENTILE(INDIRECT("g"&amp;$D$13):INDIRECT("g"&amp;$E$13),0.5)," "))))))</f>
        <v xml:space="preserve"> </v>
      </c>
      <c r="I132" s="242" t="str">
        <f t="shared" si="11"/>
        <v xml:space="preserve"> </v>
      </c>
      <c r="J132" s="242" t="str">
        <f ca="1">IF(F132=1,AVERAGE(INDIRECT("I"&amp;$D$8):INDIRECT("I"&amp;$E$8)),IF(F132=2,AVERAGE(INDIRECT("I"&amp;$D$9):INDIRECT("I"&amp;$E$9)),IF(F132=3,AVERAGE(INDIRECT("I"&amp;$D$10):INDIRECT("I"&amp;$E$10)),IF(F132=4,AVERAGE(INDIRECT("I"&amp;$D$11):INDIRECT("I"&amp;$E$11)),IF(F132=5,AVERAGE(INDIRECT("I"&amp;$D$12):INDIRECT("I"&amp;$E$12)),IF(F132=6,AVERAGE(INDIRECT("I"&amp;$D$13):INDIRECT("I"&amp;$E$13))," "))))))</f>
        <v xml:space="preserve"> </v>
      </c>
      <c r="K132" s="242" t="str">
        <f t="shared" si="12"/>
        <v xml:space="preserve"> </v>
      </c>
      <c r="L132" s="242" t="str">
        <f t="shared" si="13"/>
        <v xml:space="preserve"> </v>
      </c>
      <c r="M132" s="242" t="str">
        <f t="shared" si="14"/>
        <v xml:space="preserve"> </v>
      </c>
    </row>
    <row r="133" spans="6:13" x14ac:dyDescent="0.2">
      <c r="F133" s="216" t="str">
        <f t="shared" si="10"/>
        <v xml:space="preserve"> </v>
      </c>
      <c r="G133" s="50"/>
      <c r="H133" s="242" t="str">
        <f ca="1">IF(F133=1,PERCENTILE(INDIRECT("g"&amp;$D$8):INDIRECT("g"&amp;$E$8),0.5),IF(F133=2,PERCENTILE(INDIRECT("g"&amp;$D$9):INDIRECT("g"&amp;$E$9),0.5),IF(F133=3,PERCENTILE(INDIRECT("g"&amp;$D$10):INDIRECT("g"&amp;$E$10),0.5),IF(F133=4,PERCENTILE(INDIRECT("g"&amp;$D$11):INDIRECT("g"&amp;$E$11),0.5),IF(F133=5,PERCENTILE(INDIRECT("g"&amp;$D$12):INDIRECT("g"&amp;$E$12),0.5),IF(F133=6,PERCENTILE(INDIRECT("g"&amp;$D$13):INDIRECT("g"&amp;$E$13),0.5)," "))))))</f>
        <v xml:space="preserve"> </v>
      </c>
      <c r="I133" s="242" t="str">
        <f t="shared" si="11"/>
        <v xml:space="preserve"> </v>
      </c>
      <c r="J133" s="242" t="str">
        <f ca="1">IF(F133=1,AVERAGE(INDIRECT("I"&amp;$D$8):INDIRECT("I"&amp;$E$8)),IF(F133=2,AVERAGE(INDIRECT("I"&amp;$D$9):INDIRECT("I"&amp;$E$9)),IF(F133=3,AVERAGE(INDIRECT("I"&amp;$D$10):INDIRECT("I"&amp;$E$10)),IF(F133=4,AVERAGE(INDIRECT("I"&amp;$D$11):INDIRECT("I"&amp;$E$11)),IF(F133=5,AVERAGE(INDIRECT("I"&amp;$D$12):INDIRECT("I"&amp;$E$12)),IF(F133=6,AVERAGE(INDIRECT("I"&amp;$D$13):INDIRECT("I"&amp;$E$13))," "))))))</f>
        <v xml:space="preserve"> </v>
      </c>
      <c r="K133" s="242" t="str">
        <f t="shared" si="12"/>
        <v xml:space="preserve"> </v>
      </c>
      <c r="L133" s="242" t="str">
        <f t="shared" si="13"/>
        <v xml:space="preserve"> </v>
      </c>
      <c r="M133" s="242" t="str">
        <f t="shared" si="14"/>
        <v xml:space="preserve"> </v>
      </c>
    </row>
    <row r="134" spans="6:13" x14ac:dyDescent="0.2">
      <c r="F134" s="216" t="str">
        <f t="shared" ref="F134:F197" si="15">IF(AND(ROW()&gt;=$D$8,ROW()&lt;=$E$8),1,IF(AND(ROW()&gt;=$D$9,ROW()&lt;=$E$9),2,IF(AND(ROW()&gt;=$D$10,ROW()&lt;=$E$10),3,IF(AND(ROW()&gt;=$D$11,ROW()&lt;=$E$11),4,IF(AND(ROW()&gt;=$D$12,ROW()&lt;=$E$12),5,IF(AND(ROW()&gt;=$D$13,ROW()&lt;=$E$13),6," "))))))</f>
        <v xml:space="preserve"> </v>
      </c>
      <c r="G134" s="50"/>
      <c r="H134" s="242" t="str">
        <f ca="1">IF(F134=1,PERCENTILE(INDIRECT("g"&amp;$D$8):INDIRECT("g"&amp;$E$8),0.5),IF(F134=2,PERCENTILE(INDIRECT("g"&amp;$D$9):INDIRECT("g"&amp;$E$9),0.5),IF(F134=3,PERCENTILE(INDIRECT("g"&amp;$D$10):INDIRECT("g"&amp;$E$10),0.5),IF(F134=4,PERCENTILE(INDIRECT("g"&amp;$D$11):INDIRECT("g"&amp;$E$11),0.5),IF(F134=5,PERCENTILE(INDIRECT("g"&amp;$D$12):INDIRECT("g"&amp;$E$12),0.5),IF(F134=6,PERCENTILE(INDIRECT("g"&amp;$D$13):INDIRECT("g"&amp;$E$13),0.5)," "))))))</f>
        <v xml:space="preserve"> </v>
      </c>
      <c r="I134" s="242" t="str">
        <f t="shared" ref="I134:I197" si="16">IF(ROW()&lt;=MAX($E$8:$E$13),ABS(G134-H134)," ")</f>
        <v xml:space="preserve"> </v>
      </c>
      <c r="J134" s="242" t="str">
        <f ca="1">IF(F134=1,AVERAGE(INDIRECT("I"&amp;$D$8):INDIRECT("I"&amp;$E$8)),IF(F134=2,AVERAGE(INDIRECT("I"&amp;$D$9):INDIRECT("I"&amp;$E$9)),IF(F134=3,AVERAGE(INDIRECT("I"&amp;$D$10):INDIRECT("I"&amp;$E$10)),IF(F134=4,AVERAGE(INDIRECT("I"&amp;$D$11):INDIRECT("I"&amp;$E$11)),IF(F134=5,AVERAGE(INDIRECT("I"&amp;$D$12):INDIRECT("I"&amp;$E$12)),IF(F134=6,AVERAGE(INDIRECT("I"&amp;$D$13):INDIRECT("I"&amp;$E$13))," "))))))</f>
        <v xml:space="preserve"> </v>
      </c>
      <c r="K134" s="242" t="str">
        <f t="shared" ref="K134:K197" si="17">IF(ROW()&lt;=MAX($E$8:$E$13),AVERAGE($I$6:$I$1005)," ")</f>
        <v xml:space="preserve"> </v>
      </c>
      <c r="L134" s="242" t="str">
        <f t="shared" ref="L134:L197" si="18">IF(ROW()&lt;=MAX($E$8:$E$13),(I134-J134)^2," ")</f>
        <v xml:space="preserve"> </v>
      </c>
      <c r="M134" s="242" t="str">
        <f t="shared" ref="M134:M197" si="19">IF(ROW()&lt;=MAX($E$8:$E$13),(J134-K134)^2," ")</f>
        <v xml:space="preserve"> </v>
      </c>
    </row>
    <row r="135" spans="6:13" x14ac:dyDescent="0.2">
      <c r="F135" s="216" t="str">
        <f t="shared" si="15"/>
        <v xml:space="preserve"> </v>
      </c>
      <c r="G135" s="50"/>
      <c r="H135" s="242" t="str">
        <f ca="1">IF(F135=1,PERCENTILE(INDIRECT("g"&amp;$D$8):INDIRECT("g"&amp;$E$8),0.5),IF(F135=2,PERCENTILE(INDIRECT("g"&amp;$D$9):INDIRECT("g"&amp;$E$9),0.5),IF(F135=3,PERCENTILE(INDIRECT("g"&amp;$D$10):INDIRECT("g"&amp;$E$10),0.5),IF(F135=4,PERCENTILE(INDIRECT("g"&amp;$D$11):INDIRECT("g"&amp;$E$11),0.5),IF(F135=5,PERCENTILE(INDIRECT("g"&amp;$D$12):INDIRECT("g"&amp;$E$12),0.5),IF(F135=6,PERCENTILE(INDIRECT("g"&amp;$D$13):INDIRECT("g"&amp;$E$13),0.5)," "))))))</f>
        <v xml:space="preserve"> </v>
      </c>
      <c r="I135" s="242" t="str">
        <f t="shared" si="16"/>
        <v xml:space="preserve"> </v>
      </c>
      <c r="J135" s="242" t="str">
        <f ca="1">IF(F135=1,AVERAGE(INDIRECT("I"&amp;$D$8):INDIRECT("I"&amp;$E$8)),IF(F135=2,AVERAGE(INDIRECT("I"&amp;$D$9):INDIRECT("I"&amp;$E$9)),IF(F135=3,AVERAGE(INDIRECT("I"&amp;$D$10):INDIRECT("I"&amp;$E$10)),IF(F135=4,AVERAGE(INDIRECT("I"&amp;$D$11):INDIRECT("I"&amp;$E$11)),IF(F135=5,AVERAGE(INDIRECT("I"&amp;$D$12):INDIRECT("I"&amp;$E$12)),IF(F135=6,AVERAGE(INDIRECT("I"&amp;$D$13):INDIRECT("I"&amp;$E$13))," "))))))</f>
        <v xml:space="preserve"> </v>
      </c>
      <c r="K135" s="242" t="str">
        <f t="shared" si="17"/>
        <v xml:space="preserve"> </v>
      </c>
      <c r="L135" s="242" t="str">
        <f t="shared" si="18"/>
        <v xml:space="preserve"> </v>
      </c>
      <c r="M135" s="242" t="str">
        <f t="shared" si="19"/>
        <v xml:space="preserve"> </v>
      </c>
    </row>
    <row r="136" spans="6:13" x14ac:dyDescent="0.2">
      <c r="F136" s="216" t="str">
        <f t="shared" si="15"/>
        <v xml:space="preserve"> </v>
      </c>
      <c r="G136" s="50"/>
      <c r="H136" s="242" t="str">
        <f ca="1">IF(F136=1,PERCENTILE(INDIRECT("g"&amp;$D$8):INDIRECT("g"&amp;$E$8),0.5),IF(F136=2,PERCENTILE(INDIRECT("g"&amp;$D$9):INDIRECT("g"&amp;$E$9),0.5),IF(F136=3,PERCENTILE(INDIRECT("g"&amp;$D$10):INDIRECT("g"&amp;$E$10),0.5),IF(F136=4,PERCENTILE(INDIRECT("g"&amp;$D$11):INDIRECT("g"&amp;$E$11),0.5),IF(F136=5,PERCENTILE(INDIRECT("g"&amp;$D$12):INDIRECT("g"&amp;$E$12),0.5),IF(F136=6,PERCENTILE(INDIRECT("g"&amp;$D$13):INDIRECT("g"&amp;$E$13),0.5)," "))))))</f>
        <v xml:space="preserve"> </v>
      </c>
      <c r="I136" s="242" t="str">
        <f t="shared" si="16"/>
        <v xml:space="preserve"> </v>
      </c>
      <c r="J136" s="242" t="str">
        <f ca="1">IF(F136=1,AVERAGE(INDIRECT("I"&amp;$D$8):INDIRECT("I"&amp;$E$8)),IF(F136=2,AVERAGE(INDIRECT("I"&amp;$D$9):INDIRECT("I"&amp;$E$9)),IF(F136=3,AVERAGE(INDIRECT("I"&amp;$D$10):INDIRECT("I"&amp;$E$10)),IF(F136=4,AVERAGE(INDIRECT("I"&amp;$D$11):INDIRECT("I"&amp;$E$11)),IF(F136=5,AVERAGE(INDIRECT("I"&amp;$D$12):INDIRECT("I"&amp;$E$12)),IF(F136=6,AVERAGE(INDIRECT("I"&amp;$D$13):INDIRECT("I"&amp;$E$13))," "))))))</f>
        <v xml:space="preserve"> </v>
      </c>
      <c r="K136" s="242" t="str">
        <f t="shared" si="17"/>
        <v xml:space="preserve"> </v>
      </c>
      <c r="L136" s="242" t="str">
        <f t="shared" si="18"/>
        <v xml:space="preserve"> </v>
      </c>
      <c r="M136" s="242" t="str">
        <f t="shared" si="19"/>
        <v xml:space="preserve"> </v>
      </c>
    </row>
    <row r="137" spans="6:13" x14ac:dyDescent="0.2">
      <c r="F137" s="216" t="str">
        <f t="shared" si="15"/>
        <v xml:space="preserve"> </v>
      </c>
      <c r="G137" s="50"/>
      <c r="H137" s="242" t="str">
        <f ca="1">IF(F137=1,PERCENTILE(INDIRECT("g"&amp;$D$8):INDIRECT("g"&amp;$E$8),0.5),IF(F137=2,PERCENTILE(INDIRECT("g"&amp;$D$9):INDIRECT("g"&amp;$E$9),0.5),IF(F137=3,PERCENTILE(INDIRECT("g"&amp;$D$10):INDIRECT("g"&amp;$E$10),0.5),IF(F137=4,PERCENTILE(INDIRECT("g"&amp;$D$11):INDIRECT("g"&amp;$E$11),0.5),IF(F137=5,PERCENTILE(INDIRECT("g"&amp;$D$12):INDIRECT("g"&amp;$E$12),0.5),IF(F137=6,PERCENTILE(INDIRECT("g"&amp;$D$13):INDIRECT("g"&amp;$E$13),0.5)," "))))))</f>
        <v xml:space="preserve"> </v>
      </c>
      <c r="I137" s="242" t="str">
        <f t="shared" si="16"/>
        <v xml:space="preserve"> </v>
      </c>
      <c r="J137" s="242" t="str">
        <f ca="1">IF(F137=1,AVERAGE(INDIRECT("I"&amp;$D$8):INDIRECT("I"&amp;$E$8)),IF(F137=2,AVERAGE(INDIRECT("I"&amp;$D$9):INDIRECT("I"&amp;$E$9)),IF(F137=3,AVERAGE(INDIRECT("I"&amp;$D$10):INDIRECT("I"&amp;$E$10)),IF(F137=4,AVERAGE(INDIRECT("I"&amp;$D$11):INDIRECT("I"&amp;$E$11)),IF(F137=5,AVERAGE(INDIRECT("I"&amp;$D$12):INDIRECT("I"&amp;$E$12)),IF(F137=6,AVERAGE(INDIRECT("I"&amp;$D$13):INDIRECT("I"&amp;$E$13))," "))))))</f>
        <v xml:space="preserve"> </v>
      </c>
      <c r="K137" s="242" t="str">
        <f t="shared" si="17"/>
        <v xml:space="preserve"> </v>
      </c>
      <c r="L137" s="242" t="str">
        <f t="shared" si="18"/>
        <v xml:space="preserve"> </v>
      </c>
      <c r="M137" s="242" t="str">
        <f t="shared" si="19"/>
        <v xml:space="preserve"> </v>
      </c>
    </row>
    <row r="138" spans="6:13" x14ac:dyDescent="0.2">
      <c r="F138" s="216" t="str">
        <f t="shared" si="15"/>
        <v xml:space="preserve"> </v>
      </c>
      <c r="G138" s="50"/>
      <c r="H138" s="242" t="str">
        <f ca="1">IF(F138=1,PERCENTILE(INDIRECT("g"&amp;$D$8):INDIRECT("g"&amp;$E$8),0.5),IF(F138=2,PERCENTILE(INDIRECT("g"&amp;$D$9):INDIRECT("g"&amp;$E$9),0.5),IF(F138=3,PERCENTILE(INDIRECT("g"&amp;$D$10):INDIRECT("g"&amp;$E$10),0.5),IF(F138=4,PERCENTILE(INDIRECT("g"&amp;$D$11):INDIRECT("g"&amp;$E$11),0.5),IF(F138=5,PERCENTILE(INDIRECT("g"&amp;$D$12):INDIRECT("g"&amp;$E$12),0.5),IF(F138=6,PERCENTILE(INDIRECT("g"&amp;$D$13):INDIRECT("g"&amp;$E$13),0.5)," "))))))</f>
        <v xml:space="preserve"> </v>
      </c>
      <c r="I138" s="242" t="str">
        <f t="shared" si="16"/>
        <v xml:space="preserve"> </v>
      </c>
      <c r="J138" s="242" t="str">
        <f ca="1">IF(F138=1,AVERAGE(INDIRECT("I"&amp;$D$8):INDIRECT("I"&amp;$E$8)),IF(F138=2,AVERAGE(INDIRECT("I"&amp;$D$9):INDIRECT("I"&amp;$E$9)),IF(F138=3,AVERAGE(INDIRECT("I"&amp;$D$10):INDIRECT("I"&amp;$E$10)),IF(F138=4,AVERAGE(INDIRECT("I"&amp;$D$11):INDIRECT("I"&amp;$E$11)),IF(F138=5,AVERAGE(INDIRECT("I"&amp;$D$12):INDIRECT("I"&amp;$E$12)),IF(F138=6,AVERAGE(INDIRECT("I"&amp;$D$13):INDIRECT("I"&amp;$E$13))," "))))))</f>
        <v xml:space="preserve"> </v>
      </c>
      <c r="K138" s="242" t="str">
        <f t="shared" si="17"/>
        <v xml:space="preserve"> </v>
      </c>
      <c r="L138" s="242" t="str">
        <f t="shared" si="18"/>
        <v xml:space="preserve"> </v>
      </c>
      <c r="M138" s="242" t="str">
        <f t="shared" si="19"/>
        <v xml:space="preserve"> </v>
      </c>
    </row>
    <row r="139" spans="6:13" x14ac:dyDescent="0.2">
      <c r="F139" s="216" t="str">
        <f t="shared" si="15"/>
        <v xml:space="preserve"> </v>
      </c>
      <c r="G139" s="50"/>
      <c r="H139" s="242" t="str">
        <f ca="1">IF(F139=1,PERCENTILE(INDIRECT("g"&amp;$D$8):INDIRECT("g"&amp;$E$8),0.5),IF(F139=2,PERCENTILE(INDIRECT("g"&amp;$D$9):INDIRECT("g"&amp;$E$9),0.5),IF(F139=3,PERCENTILE(INDIRECT("g"&amp;$D$10):INDIRECT("g"&amp;$E$10),0.5),IF(F139=4,PERCENTILE(INDIRECT("g"&amp;$D$11):INDIRECT("g"&amp;$E$11),0.5),IF(F139=5,PERCENTILE(INDIRECT("g"&amp;$D$12):INDIRECT("g"&amp;$E$12),0.5),IF(F139=6,PERCENTILE(INDIRECT("g"&amp;$D$13):INDIRECT("g"&amp;$E$13),0.5)," "))))))</f>
        <v xml:space="preserve"> </v>
      </c>
      <c r="I139" s="242" t="str">
        <f t="shared" si="16"/>
        <v xml:space="preserve"> </v>
      </c>
      <c r="J139" s="242" t="str">
        <f ca="1">IF(F139=1,AVERAGE(INDIRECT("I"&amp;$D$8):INDIRECT("I"&amp;$E$8)),IF(F139=2,AVERAGE(INDIRECT("I"&amp;$D$9):INDIRECT("I"&amp;$E$9)),IF(F139=3,AVERAGE(INDIRECT("I"&amp;$D$10):INDIRECT("I"&amp;$E$10)),IF(F139=4,AVERAGE(INDIRECT("I"&amp;$D$11):INDIRECT("I"&amp;$E$11)),IF(F139=5,AVERAGE(INDIRECT("I"&amp;$D$12):INDIRECT("I"&amp;$E$12)),IF(F139=6,AVERAGE(INDIRECT("I"&amp;$D$13):INDIRECT("I"&amp;$E$13))," "))))))</f>
        <v xml:space="preserve"> </v>
      </c>
      <c r="K139" s="242" t="str">
        <f t="shared" si="17"/>
        <v xml:space="preserve"> </v>
      </c>
      <c r="L139" s="242" t="str">
        <f t="shared" si="18"/>
        <v xml:space="preserve"> </v>
      </c>
      <c r="M139" s="242" t="str">
        <f t="shared" si="19"/>
        <v xml:space="preserve"> </v>
      </c>
    </row>
    <row r="140" spans="6:13" x14ac:dyDescent="0.2">
      <c r="F140" s="216" t="str">
        <f t="shared" si="15"/>
        <v xml:space="preserve"> </v>
      </c>
      <c r="G140" s="50"/>
      <c r="H140" s="242" t="str">
        <f ca="1">IF(F140=1,PERCENTILE(INDIRECT("g"&amp;$D$8):INDIRECT("g"&amp;$E$8),0.5),IF(F140=2,PERCENTILE(INDIRECT("g"&amp;$D$9):INDIRECT("g"&amp;$E$9),0.5),IF(F140=3,PERCENTILE(INDIRECT("g"&amp;$D$10):INDIRECT("g"&amp;$E$10),0.5),IF(F140=4,PERCENTILE(INDIRECT("g"&amp;$D$11):INDIRECT("g"&amp;$E$11),0.5),IF(F140=5,PERCENTILE(INDIRECT("g"&amp;$D$12):INDIRECT("g"&amp;$E$12),0.5),IF(F140=6,PERCENTILE(INDIRECT("g"&amp;$D$13):INDIRECT("g"&amp;$E$13),0.5)," "))))))</f>
        <v xml:space="preserve"> </v>
      </c>
      <c r="I140" s="242" t="str">
        <f t="shared" si="16"/>
        <v xml:space="preserve"> </v>
      </c>
      <c r="J140" s="242" t="str">
        <f ca="1">IF(F140=1,AVERAGE(INDIRECT("I"&amp;$D$8):INDIRECT("I"&amp;$E$8)),IF(F140=2,AVERAGE(INDIRECT("I"&amp;$D$9):INDIRECT("I"&amp;$E$9)),IF(F140=3,AVERAGE(INDIRECT("I"&amp;$D$10):INDIRECT("I"&amp;$E$10)),IF(F140=4,AVERAGE(INDIRECT("I"&amp;$D$11):INDIRECT("I"&amp;$E$11)),IF(F140=5,AVERAGE(INDIRECT("I"&amp;$D$12):INDIRECT("I"&amp;$E$12)),IF(F140=6,AVERAGE(INDIRECT("I"&amp;$D$13):INDIRECT("I"&amp;$E$13))," "))))))</f>
        <v xml:space="preserve"> </v>
      </c>
      <c r="K140" s="242" t="str">
        <f t="shared" si="17"/>
        <v xml:space="preserve"> </v>
      </c>
      <c r="L140" s="242" t="str">
        <f t="shared" si="18"/>
        <v xml:space="preserve"> </v>
      </c>
      <c r="M140" s="242" t="str">
        <f t="shared" si="19"/>
        <v xml:space="preserve"> </v>
      </c>
    </row>
    <row r="141" spans="6:13" x14ac:dyDescent="0.2">
      <c r="F141" s="216" t="str">
        <f t="shared" si="15"/>
        <v xml:space="preserve"> </v>
      </c>
      <c r="G141" s="50"/>
      <c r="H141" s="242" t="str">
        <f ca="1">IF(F141=1,PERCENTILE(INDIRECT("g"&amp;$D$8):INDIRECT("g"&amp;$E$8),0.5),IF(F141=2,PERCENTILE(INDIRECT("g"&amp;$D$9):INDIRECT("g"&amp;$E$9),0.5),IF(F141=3,PERCENTILE(INDIRECT("g"&amp;$D$10):INDIRECT("g"&amp;$E$10),0.5),IF(F141=4,PERCENTILE(INDIRECT("g"&amp;$D$11):INDIRECT("g"&amp;$E$11),0.5),IF(F141=5,PERCENTILE(INDIRECT("g"&amp;$D$12):INDIRECT("g"&amp;$E$12),0.5),IF(F141=6,PERCENTILE(INDIRECT("g"&amp;$D$13):INDIRECT("g"&amp;$E$13),0.5)," "))))))</f>
        <v xml:space="preserve"> </v>
      </c>
      <c r="I141" s="242" t="str">
        <f t="shared" si="16"/>
        <v xml:space="preserve"> </v>
      </c>
      <c r="J141" s="242" t="str">
        <f ca="1">IF(F141=1,AVERAGE(INDIRECT("I"&amp;$D$8):INDIRECT("I"&amp;$E$8)),IF(F141=2,AVERAGE(INDIRECT("I"&amp;$D$9):INDIRECT("I"&amp;$E$9)),IF(F141=3,AVERAGE(INDIRECT("I"&amp;$D$10):INDIRECT("I"&amp;$E$10)),IF(F141=4,AVERAGE(INDIRECT("I"&amp;$D$11):INDIRECT("I"&amp;$E$11)),IF(F141=5,AVERAGE(INDIRECT("I"&amp;$D$12):INDIRECT("I"&amp;$E$12)),IF(F141=6,AVERAGE(INDIRECT("I"&amp;$D$13):INDIRECT("I"&amp;$E$13))," "))))))</f>
        <v xml:space="preserve"> </v>
      </c>
      <c r="K141" s="242" t="str">
        <f t="shared" si="17"/>
        <v xml:space="preserve"> </v>
      </c>
      <c r="L141" s="242" t="str">
        <f t="shared" si="18"/>
        <v xml:space="preserve"> </v>
      </c>
      <c r="M141" s="242" t="str">
        <f t="shared" si="19"/>
        <v xml:space="preserve"> </v>
      </c>
    </row>
    <row r="142" spans="6:13" x14ac:dyDescent="0.2">
      <c r="F142" s="216" t="str">
        <f t="shared" si="15"/>
        <v xml:space="preserve"> </v>
      </c>
      <c r="G142" s="50"/>
      <c r="H142" s="242" t="str">
        <f ca="1">IF(F142=1,PERCENTILE(INDIRECT("g"&amp;$D$8):INDIRECT("g"&amp;$E$8),0.5),IF(F142=2,PERCENTILE(INDIRECT("g"&amp;$D$9):INDIRECT("g"&amp;$E$9),0.5),IF(F142=3,PERCENTILE(INDIRECT("g"&amp;$D$10):INDIRECT("g"&amp;$E$10),0.5),IF(F142=4,PERCENTILE(INDIRECT("g"&amp;$D$11):INDIRECT("g"&amp;$E$11),0.5),IF(F142=5,PERCENTILE(INDIRECT("g"&amp;$D$12):INDIRECT("g"&amp;$E$12),0.5),IF(F142=6,PERCENTILE(INDIRECT("g"&amp;$D$13):INDIRECT("g"&amp;$E$13),0.5)," "))))))</f>
        <v xml:space="preserve"> </v>
      </c>
      <c r="I142" s="242" t="str">
        <f t="shared" si="16"/>
        <v xml:space="preserve"> </v>
      </c>
      <c r="J142" s="242" t="str">
        <f ca="1">IF(F142=1,AVERAGE(INDIRECT("I"&amp;$D$8):INDIRECT("I"&amp;$E$8)),IF(F142=2,AVERAGE(INDIRECT("I"&amp;$D$9):INDIRECT("I"&amp;$E$9)),IF(F142=3,AVERAGE(INDIRECT("I"&amp;$D$10):INDIRECT("I"&amp;$E$10)),IF(F142=4,AVERAGE(INDIRECT("I"&amp;$D$11):INDIRECT("I"&amp;$E$11)),IF(F142=5,AVERAGE(INDIRECT("I"&amp;$D$12):INDIRECT("I"&amp;$E$12)),IF(F142=6,AVERAGE(INDIRECT("I"&amp;$D$13):INDIRECT("I"&amp;$E$13))," "))))))</f>
        <v xml:space="preserve"> </v>
      </c>
      <c r="K142" s="242" t="str">
        <f t="shared" si="17"/>
        <v xml:space="preserve"> </v>
      </c>
      <c r="L142" s="242" t="str">
        <f t="shared" si="18"/>
        <v xml:space="preserve"> </v>
      </c>
      <c r="M142" s="242" t="str">
        <f t="shared" si="19"/>
        <v xml:space="preserve"> </v>
      </c>
    </row>
    <row r="143" spans="6:13" x14ac:dyDescent="0.2">
      <c r="F143" s="216" t="str">
        <f t="shared" si="15"/>
        <v xml:space="preserve"> </v>
      </c>
      <c r="G143" s="50"/>
      <c r="H143" s="242" t="str">
        <f ca="1">IF(F143=1,PERCENTILE(INDIRECT("g"&amp;$D$8):INDIRECT("g"&amp;$E$8),0.5),IF(F143=2,PERCENTILE(INDIRECT("g"&amp;$D$9):INDIRECT("g"&amp;$E$9),0.5),IF(F143=3,PERCENTILE(INDIRECT("g"&amp;$D$10):INDIRECT("g"&amp;$E$10),0.5),IF(F143=4,PERCENTILE(INDIRECT("g"&amp;$D$11):INDIRECT("g"&amp;$E$11),0.5),IF(F143=5,PERCENTILE(INDIRECT("g"&amp;$D$12):INDIRECT("g"&amp;$E$12),0.5),IF(F143=6,PERCENTILE(INDIRECT("g"&amp;$D$13):INDIRECT("g"&amp;$E$13),0.5)," "))))))</f>
        <v xml:space="preserve"> </v>
      </c>
      <c r="I143" s="242" t="str">
        <f t="shared" si="16"/>
        <v xml:space="preserve"> </v>
      </c>
      <c r="J143" s="242" t="str">
        <f ca="1">IF(F143=1,AVERAGE(INDIRECT("I"&amp;$D$8):INDIRECT("I"&amp;$E$8)),IF(F143=2,AVERAGE(INDIRECT("I"&amp;$D$9):INDIRECT("I"&amp;$E$9)),IF(F143=3,AVERAGE(INDIRECT("I"&amp;$D$10):INDIRECT("I"&amp;$E$10)),IF(F143=4,AVERAGE(INDIRECT("I"&amp;$D$11):INDIRECT("I"&amp;$E$11)),IF(F143=5,AVERAGE(INDIRECT("I"&amp;$D$12):INDIRECT("I"&amp;$E$12)),IF(F143=6,AVERAGE(INDIRECT("I"&amp;$D$13):INDIRECT("I"&amp;$E$13))," "))))))</f>
        <v xml:space="preserve"> </v>
      </c>
      <c r="K143" s="242" t="str">
        <f t="shared" si="17"/>
        <v xml:space="preserve"> </v>
      </c>
      <c r="L143" s="242" t="str">
        <f t="shared" si="18"/>
        <v xml:space="preserve"> </v>
      </c>
      <c r="M143" s="242" t="str">
        <f t="shared" si="19"/>
        <v xml:space="preserve"> </v>
      </c>
    </row>
    <row r="144" spans="6:13" x14ac:dyDescent="0.2">
      <c r="F144" s="216" t="str">
        <f t="shared" si="15"/>
        <v xml:space="preserve"> </v>
      </c>
      <c r="G144" s="50"/>
      <c r="H144" s="242" t="str">
        <f ca="1">IF(F144=1,PERCENTILE(INDIRECT("g"&amp;$D$8):INDIRECT("g"&amp;$E$8),0.5),IF(F144=2,PERCENTILE(INDIRECT("g"&amp;$D$9):INDIRECT("g"&amp;$E$9),0.5),IF(F144=3,PERCENTILE(INDIRECT("g"&amp;$D$10):INDIRECT("g"&amp;$E$10),0.5),IF(F144=4,PERCENTILE(INDIRECT("g"&amp;$D$11):INDIRECT("g"&amp;$E$11),0.5),IF(F144=5,PERCENTILE(INDIRECT("g"&amp;$D$12):INDIRECT("g"&amp;$E$12),0.5),IF(F144=6,PERCENTILE(INDIRECT("g"&amp;$D$13):INDIRECT("g"&amp;$E$13),0.5)," "))))))</f>
        <v xml:space="preserve"> </v>
      </c>
      <c r="I144" s="242" t="str">
        <f t="shared" si="16"/>
        <v xml:space="preserve"> </v>
      </c>
      <c r="J144" s="242" t="str">
        <f ca="1">IF(F144=1,AVERAGE(INDIRECT("I"&amp;$D$8):INDIRECT("I"&amp;$E$8)),IF(F144=2,AVERAGE(INDIRECT("I"&amp;$D$9):INDIRECT("I"&amp;$E$9)),IF(F144=3,AVERAGE(INDIRECT("I"&amp;$D$10):INDIRECT("I"&amp;$E$10)),IF(F144=4,AVERAGE(INDIRECT("I"&amp;$D$11):INDIRECT("I"&amp;$E$11)),IF(F144=5,AVERAGE(INDIRECT("I"&amp;$D$12):INDIRECT("I"&amp;$E$12)),IF(F144=6,AVERAGE(INDIRECT("I"&amp;$D$13):INDIRECT("I"&amp;$E$13))," "))))))</f>
        <v xml:space="preserve"> </v>
      </c>
      <c r="K144" s="242" t="str">
        <f t="shared" si="17"/>
        <v xml:space="preserve"> </v>
      </c>
      <c r="L144" s="242" t="str">
        <f t="shared" si="18"/>
        <v xml:space="preserve"> </v>
      </c>
      <c r="M144" s="242" t="str">
        <f t="shared" si="19"/>
        <v xml:space="preserve"> </v>
      </c>
    </row>
    <row r="145" spans="6:13" x14ac:dyDescent="0.2">
      <c r="F145" s="216" t="str">
        <f t="shared" si="15"/>
        <v xml:space="preserve"> </v>
      </c>
      <c r="G145" s="50"/>
      <c r="H145" s="242" t="str">
        <f ca="1">IF(F145=1,PERCENTILE(INDIRECT("g"&amp;$D$8):INDIRECT("g"&amp;$E$8),0.5),IF(F145=2,PERCENTILE(INDIRECT("g"&amp;$D$9):INDIRECT("g"&amp;$E$9),0.5),IF(F145=3,PERCENTILE(INDIRECT("g"&amp;$D$10):INDIRECT("g"&amp;$E$10),0.5),IF(F145=4,PERCENTILE(INDIRECT("g"&amp;$D$11):INDIRECT("g"&amp;$E$11),0.5),IF(F145=5,PERCENTILE(INDIRECT("g"&amp;$D$12):INDIRECT("g"&amp;$E$12),0.5),IF(F145=6,PERCENTILE(INDIRECT("g"&amp;$D$13):INDIRECT("g"&amp;$E$13),0.5)," "))))))</f>
        <v xml:space="preserve"> </v>
      </c>
      <c r="I145" s="242" t="str">
        <f t="shared" si="16"/>
        <v xml:space="preserve"> </v>
      </c>
      <c r="J145" s="242" t="str">
        <f ca="1">IF(F145=1,AVERAGE(INDIRECT("I"&amp;$D$8):INDIRECT("I"&amp;$E$8)),IF(F145=2,AVERAGE(INDIRECT("I"&amp;$D$9):INDIRECT("I"&amp;$E$9)),IF(F145=3,AVERAGE(INDIRECT("I"&amp;$D$10):INDIRECT("I"&amp;$E$10)),IF(F145=4,AVERAGE(INDIRECT("I"&amp;$D$11):INDIRECT("I"&amp;$E$11)),IF(F145=5,AVERAGE(INDIRECT("I"&amp;$D$12):INDIRECT("I"&amp;$E$12)),IF(F145=6,AVERAGE(INDIRECT("I"&amp;$D$13):INDIRECT("I"&amp;$E$13))," "))))))</f>
        <v xml:space="preserve"> </v>
      </c>
      <c r="K145" s="242" t="str">
        <f t="shared" si="17"/>
        <v xml:space="preserve"> </v>
      </c>
      <c r="L145" s="242" t="str">
        <f t="shared" si="18"/>
        <v xml:space="preserve"> </v>
      </c>
      <c r="M145" s="242" t="str">
        <f t="shared" si="19"/>
        <v xml:space="preserve"> </v>
      </c>
    </row>
    <row r="146" spans="6:13" x14ac:dyDescent="0.2">
      <c r="F146" s="216" t="str">
        <f t="shared" si="15"/>
        <v xml:space="preserve"> </v>
      </c>
      <c r="G146" s="50"/>
      <c r="H146" s="242" t="str">
        <f ca="1">IF(F146=1,PERCENTILE(INDIRECT("g"&amp;$D$8):INDIRECT("g"&amp;$E$8),0.5),IF(F146=2,PERCENTILE(INDIRECT("g"&amp;$D$9):INDIRECT("g"&amp;$E$9),0.5),IF(F146=3,PERCENTILE(INDIRECT("g"&amp;$D$10):INDIRECT("g"&amp;$E$10),0.5),IF(F146=4,PERCENTILE(INDIRECT("g"&amp;$D$11):INDIRECT("g"&amp;$E$11),0.5),IF(F146=5,PERCENTILE(INDIRECT("g"&amp;$D$12):INDIRECT("g"&amp;$E$12),0.5),IF(F146=6,PERCENTILE(INDIRECT("g"&amp;$D$13):INDIRECT("g"&amp;$E$13),0.5)," "))))))</f>
        <v xml:space="preserve"> </v>
      </c>
      <c r="I146" s="242" t="str">
        <f t="shared" si="16"/>
        <v xml:space="preserve"> </v>
      </c>
      <c r="J146" s="242" t="str">
        <f ca="1">IF(F146=1,AVERAGE(INDIRECT("I"&amp;$D$8):INDIRECT("I"&amp;$E$8)),IF(F146=2,AVERAGE(INDIRECT("I"&amp;$D$9):INDIRECT("I"&amp;$E$9)),IF(F146=3,AVERAGE(INDIRECT("I"&amp;$D$10):INDIRECT("I"&amp;$E$10)),IF(F146=4,AVERAGE(INDIRECT("I"&amp;$D$11):INDIRECT("I"&amp;$E$11)),IF(F146=5,AVERAGE(INDIRECT("I"&amp;$D$12):INDIRECT("I"&amp;$E$12)),IF(F146=6,AVERAGE(INDIRECT("I"&amp;$D$13):INDIRECT("I"&amp;$E$13))," "))))))</f>
        <v xml:space="preserve"> </v>
      </c>
      <c r="K146" s="242" t="str">
        <f t="shared" si="17"/>
        <v xml:space="preserve"> </v>
      </c>
      <c r="L146" s="242" t="str">
        <f t="shared" si="18"/>
        <v xml:space="preserve"> </v>
      </c>
      <c r="M146" s="242" t="str">
        <f t="shared" si="19"/>
        <v xml:space="preserve"> </v>
      </c>
    </row>
    <row r="147" spans="6:13" x14ac:dyDescent="0.2">
      <c r="F147" s="216" t="str">
        <f t="shared" si="15"/>
        <v xml:space="preserve"> </v>
      </c>
      <c r="G147" s="50"/>
      <c r="H147" s="242" t="str">
        <f ca="1">IF(F147=1,PERCENTILE(INDIRECT("g"&amp;$D$8):INDIRECT("g"&amp;$E$8),0.5),IF(F147=2,PERCENTILE(INDIRECT("g"&amp;$D$9):INDIRECT("g"&amp;$E$9),0.5),IF(F147=3,PERCENTILE(INDIRECT("g"&amp;$D$10):INDIRECT("g"&amp;$E$10),0.5),IF(F147=4,PERCENTILE(INDIRECT("g"&amp;$D$11):INDIRECT("g"&amp;$E$11),0.5),IF(F147=5,PERCENTILE(INDIRECT("g"&amp;$D$12):INDIRECT("g"&amp;$E$12),0.5),IF(F147=6,PERCENTILE(INDIRECT("g"&amp;$D$13):INDIRECT("g"&amp;$E$13),0.5)," "))))))</f>
        <v xml:space="preserve"> </v>
      </c>
      <c r="I147" s="242" t="str">
        <f t="shared" si="16"/>
        <v xml:space="preserve"> </v>
      </c>
      <c r="J147" s="242" t="str">
        <f ca="1">IF(F147=1,AVERAGE(INDIRECT("I"&amp;$D$8):INDIRECT("I"&amp;$E$8)),IF(F147=2,AVERAGE(INDIRECT("I"&amp;$D$9):INDIRECT("I"&amp;$E$9)),IF(F147=3,AVERAGE(INDIRECT("I"&amp;$D$10):INDIRECT("I"&amp;$E$10)),IF(F147=4,AVERAGE(INDIRECT("I"&amp;$D$11):INDIRECT("I"&amp;$E$11)),IF(F147=5,AVERAGE(INDIRECT("I"&amp;$D$12):INDIRECT("I"&amp;$E$12)),IF(F147=6,AVERAGE(INDIRECT("I"&amp;$D$13):INDIRECT("I"&amp;$E$13))," "))))))</f>
        <v xml:space="preserve"> </v>
      </c>
      <c r="K147" s="242" t="str">
        <f t="shared" si="17"/>
        <v xml:space="preserve"> </v>
      </c>
      <c r="L147" s="242" t="str">
        <f t="shared" si="18"/>
        <v xml:space="preserve"> </v>
      </c>
      <c r="M147" s="242" t="str">
        <f t="shared" si="19"/>
        <v xml:space="preserve"> </v>
      </c>
    </row>
    <row r="148" spans="6:13" x14ac:dyDescent="0.2">
      <c r="F148" s="216" t="str">
        <f t="shared" si="15"/>
        <v xml:space="preserve"> </v>
      </c>
      <c r="G148" s="50"/>
      <c r="H148" s="242" t="str">
        <f ca="1">IF(F148=1,PERCENTILE(INDIRECT("g"&amp;$D$8):INDIRECT("g"&amp;$E$8),0.5),IF(F148=2,PERCENTILE(INDIRECT("g"&amp;$D$9):INDIRECT("g"&amp;$E$9),0.5),IF(F148=3,PERCENTILE(INDIRECT("g"&amp;$D$10):INDIRECT("g"&amp;$E$10),0.5),IF(F148=4,PERCENTILE(INDIRECT("g"&amp;$D$11):INDIRECT("g"&amp;$E$11),0.5),IF(F148=5,PERCENTILE(INDIRECT("g"&amp;$D$12):INDIRECT("g"&amp;$E$12),0.5),IF(F148=6,PERCENTILE(INDIRECT("g"&amp;$D$13):INDIRECT("g"&amp;$E$13),0.5)," "))))))</f>
        <v xml:space="preserve"> </v>
      </c>
      <c r="I148" s="242" t="str">
        <f t="shared" si="16"/>
        <v xml:space="preserve"> </v>
      </c>
      <c r="J148" s="242" t="str">
        <f ca="1">IF(F148=1,AVERAGE(INDIRECT("I"&amp;$D$8):INDIRECT("I"&amp;$E$8)),IF(F148=2,AVERAGE(INDIRECT("I"&amp;$D$9):INDIRECT("I"&amp;$E$9)),IF(F148=3,AVERAGE(INDIRECT("I"&amp;$D$10):INDIRECT("I"&amp;$E$10)),IF(F148=4,AVERAGE(INDIRECT("I"&amp;$D$11):INDIRECT("I"&amp;$E$11)),IF(F148=5,AVERAGE(INDIRECT("I"&amp;$D$12):INDIRECT("I"&amp;$E$12)),IF(F148=6,AVERAGE(INDIRECT("I"&amp;$D$13):INDIRECT("I"&amp;$E$13))," "))))))</f>
        <v xml:space="preserve"> </v>
      </c>
      <c r="K148" s="242" t="str">
        <f t="shared" si="17"/>
        <v xml:space="preserve"> </v>
      </c>
      <c r="L148" s="242" t="str">
        <f t="shared" si="18"/>
        <v xml:space="preserve"> </v>
      </c>
      <c r="M148" s="242" t="str">
        <f t="shared" si="19"/>
        <v xml:space="preserve"> </v>
      </c>
    </row>
    <row r="149" spans="6:13" x14ac:dyDescent="0.2">
      <c r="F149" s="216" t="str">
        <f t="shared" si="15"/>
        <v xml:space="preserve"> </v>
      </c>
      <c r="G149" s="50"/>
      <c r="H149" s="242" t="str">
        <f ca="1">IF(F149=1,PERCENTILE(INDIRECT("g"&amp;$D$8):INDIRECT("g"&amp;$E$8),0.5),IF(F149=2,PERCENTILE(INDIRECT("g"&amp;$D$9):INDIRECT("g"&amp;$E$9),0.5),IF(F149=3,PERCENTILE(INDIRECT("g"&amp;$D$10):INDIRECT("g"&amp;$E$10),0.5),IF(F149=4,PERCENTILE(INDIRECT("g"&amp;$D$11):INDIRECT("g"&amp;$E$11),0.5),IF(F149=5,PERCENTILE(INDIRECT("g"&amp;$D$12):INDIRECT("g"&amp;$E$12),0.5),IF(F149=6,PERCENTILE(INDIRECT("g"&amp;$D$13):INDIRECT("g"&amp;$E$13),0.5)," "))))))</f>
        <v xml:space="preserve"> </v>
      </c>
      <c r="I149" s="242" t="str">
        <f t="shared" si="16"/>
        <v xml:space="preserve"> </v>
      </c>
      <c r="J149" s="242" t="str">
        <f ca="1">IF(F149=1,AVERAGE(INDIRECT("I"&amp;$D$8):INDIRECT("I"&amp;$E$8)),IF(F149=2,AVERAGE(INDIRECT("I"&amp;$D$9):INDIRECT("I"&amp;$E$9)),IF(F149=3,AVERAGE(INDIRECT("I"&amp;$D$10):INDIRECT("I"&amp;$E$10)),IF(F149=4,AVERAGE(INDIRECT("I"&amp;$D$11):INDIRECT("I"&amp;$E$11)),IF(F149=5,AVERAGE(INDIRECT("I"&amp;$D$12):INDIRECT("I"&amp;$E$12)),IF(F149=6,AVERAGE(INDIRECT("I"&amp;$D$13):INDIRECT("I"&amp;$E$13))," "))))))</f>
        <v xml:space="preserve"> </v>
      </c>
      <c r="K149" s="242" t="str">
        <f t="shared" si="17"/>
        <v xml:space="preserve"> </v>
      </c>
      <c r="L149" s="242" t="str">
        <f t="shared" si="18"/>
        <v xml:space="preserve"> </v>
      </c>
      <c r="M149" s="242" t="str">
        <f t="shared" si="19"/>
        <v xml:space="preserve"> </v>
      </c>
    </row>
    <row r="150" spans="6:13" x14ac:dyDescent="0.2">
      <c r="F150" s="216" t="str">
        <f t="shared" si="15"/>
        <v xml:space="preserve"> </v>
      </c>
      <c r="G150" s="50"/>
      <c r="H150" s="242" t="str">
        <f ca="1">IF(F150=1,PERCENTILE(INDIRECT("g"&amp;$D$8):INDIRECT("g"&amp;$E$8),0.5),IF(F150=2,PERCENTILE(INDIRECT("g"&amp;$D$9):INDIRECT("g"&amp;$E$9),0.5),IF(F150=3,PERCENTILE(INDIRECT("g"&amp;$D$10):INDIRECT("g"&amp;$E$10),0.5),IF(F150=4,PERCENTILE(INDIRECT("g"&amp;$D$11):INDIRECT("g"&amp;$E$11),0.5),IF(F150=5,PERCENTILE(INDIRECT("g"&amp;$D$12):INDIRECT("g"&amp;$E$12),0.5),IF(F150=6,PERCENTILE(INDIRECT("g"&amp;$D$13):INDIRECT("g"&amp;$E$13),0.5)," "))))))</f>
        <v xml:space="preserve"> </v>
      </c>
      <c r="I150" s="242" t="str">
        <f t="shared" si="16"/>
        <v xml:space="preserve"> </v>
      </c>
      <c r="J150" s="242" t="str">
        <f ca="1">IF(F150=1,AVERAGE(INDIRECT("I"&amp;$D$8):INDIRECT("I"&amp;$E$8)),IF(F150=2,AVERAGE(INDIRECT("I"&amp;$D$9):INDIRECT("I"&amp;$E$9)),IF(F150=3,AVERAGE(INDIRECT("I"&amp;$D$10):INDIRECT("I"&amp;$E$10)),IF(F150=4,AVERAGE(INDIRECT("I"&amp;$D$11):INDIRECT("I"&amp;$E$11)),IF(F150=5,AVERAGE(INDIRECT("I"&amp;$D$12):INDIRECT("I"&amp;$E$12)),IF(F150=6,AVERAGE(INDIRECT("I"&amp;$D$13):INDIRECT("I"&amp;$E$13))," "))))))</f>
        <v xml:space="preserve"> </v>
      </c>
      <c r="K150" s="242" t="str">
        <f t="shared" si="17"/>
        <v xml:space="preserve"> </v>
      </c>
      <c r="L150" s="242" t="str">
        <f t="shared" si="18"/>
        <v xml:space="preserve"> </v>
      </c>
      <c r="M150" s="242" t="str">
        <f t="shared" si="19"/>
        <v xml:space="preserve"> </v>
      </c>
    </row>
    <row r="151" spans="6:13" x14ac:dyDescent="0.2">
      <c r="F151" s="216" t="str">
        <f t="shared" si="15"/>
        <v xml:space="preserve"> </v>
      </c>
      <c r="G151" s="50"/>
      <c r="H151" s="242" t="str">
        <f ca="1">IF(F151=1,PERCENTILE(INDIRECT("g"&amp;$D$8):INDIRECT("g"&amp;$E$8),0.5),IF(F151=2,PERCENTILE(INDIRECT("g"&amp;$D$9):INDIRECT("g"&amp;$E$9),0.5),IF(F151=3,PERCENTILE(INDIRECT("g"&amp;$D$10):INDIRECT("g"&amp;$E$10),0.5),IF(F151=4,PERCENTILE(INDIRECT("g"&amp;$D$11):INDIRECT("g"&amp;$E$11),0.5),IF(F151=5,PERCENTILE(INDIRECT("g"&amp;$D$12):INDIRECT("g"&amp;$E$12),0.5),IF(F151=6,PERCENTILE(INDIRECT("g"&amp;$D$13):INDIRECT("g"&amp;$E$13),0.5)," "))))))</f>
        <v xml:space="preserve"> </v>
      </c>
      <c r="I151" s="242" t="str">
        <f t="shared" si="16"/>
        <v xml:space="preserve"> </v>
      </c>
      <c r="J151" s="242" t="str">
        <f ca="1">IF(F151=1,AVERAGE(INDIRECT("I"&amp;$D$8):INDIRECT("I"&amp;$E$8)),IF(F151=2,AVERAGE(INDIRECT("I"&amp;$D$9):INDIRECT("I"&amp;$E$9)),IF(F151=3,AVERAGE(INDIRECT("I"&amp;$D$10):INDIRECT("I"&amp;$E$10)),IF(F151=4,AVERAGE(INDIRECT("I"&amp;$D$11):INDIRECT("I"&amp;$E$11)),IF(F151=5,AVERAGE(INDIRECT("I"&amp;$D$12):INDIRECT("I"&amp;$E$12)),IF(F151=6,AVERAGE(INDIRECT("I"&amp;$D$13):INDIRECT("I"&amp;$E$13))," "))))))</f>
        <v xml:space="preserve"> </v>
      </c>
      <c r="K151" s="242" t="str">
        <f t="shared" si="17"/>
        <v xml:space="preserve"> </v>
      </c>
      <c r="L151" s="242" t="str">
        <f t="shared" si="18"/>
        <v xml:space="preserve"> </v>
      </c>
      <c r="M151" s="242" t="str">
        <f t="shared" si="19"/>
        <v xml:space="preserve"> </v>
      </c>
    </row>
    <row r="152" spans="6:13" x14ac:dyDescent="0.2">
      <c r="F152" s="216" t="str">
        <f t="shared" si="15"/>
        <v xml:space="preserve"> </v>
      </c>
      <c r="G152" s="50"/>
      <c r="H152" s="242" t="str">
        <f ca="1">IF(F152=1,PERCENTILE(INDIRECT("g"&amp;$D$8):INDIRECT("g"&amp;$E$8),0.5),IF(F152=2,PERCENTILE(INDIRECT("g"&amp;$D$9):INDIRECT("g"&amp;$E$9),0.5),IF(F152=3,PERCENTILE(INDIRECT("g"&amp;$D$10):INDIRECT("g"&amp;$E$10),0.5),IF(F152=4,PERCENTILE(INDIRECT("g"&amp;$D$11):INDIRECT("g"&amp;$E$11),0.5),IF(F152=5,PERCENTILE(INDIRECT("g"&amp;$D$12):INDIRECT("g"&amp;$E$12),0.5),IF(F152=6,PERCENTILE(INDIRECT("g"&amp;$D$13):INDIRECT("g"&amp;$E$13),0.5)," "))))))</f>
        <v xml:space="preserve"> </v>
      </c>
      <c r="I152" s="242" t="str">
        <f t="shared" si="16"/>
        <v xml:space="preserve"> </v>
      </c>
      <c r="J152" s="242" t="str">
        <f ca="1">IF(F152=1,AVERAGE(INDIRECT("I"&amp;$D$8):INDIRECT("I"&amp;$E$8)),IF(F152=2,AVERAGE(INDIRECT("I"&amp;$D$9):INDIRECT("I"&amp;$E$9)),IF(F152=3,AVERAGE(INDIRECT("I"&amp;$D$10):INDIRECT("I"&amp;$E$10)),IF(F152=4,AVERAGE(INDIRECT("I"&amp;$D$11):INDIRECT("I"&amp;$E$11)),IF(F152=5,AVERAGE(INDIRECT("I"&amp;$D$12):INDIRECT("I"&amp;$E$12)),IF(F152=6,AVERAGE(INDIRECT("I"&amp;$D$13):INDIRECT("I"&amp;$E$13))," "))))))</f>
        <v xml:space="preserve"> </v>
      </c>
      <c r="K152" s="242" t="str">
        <f t="shared" si="17"/>
        <v xml:space="preserve"> </v>
      </c>
      <c r="L152" s="242" t="str">
        <f t="shared" si="18"/>
        <v xml:space="preserve"> </v>
      </c>
      <c r="M152" s="242" t="str">
        <f t="shared" si="19"/>
        <v xml:space="preserve"> </v>
      </c>
    </row>
    <row r="153" spans="6:13" x14ac:dyDescent="0.2">
      <c r="F153" s="216" t="str">
        <f t="shared" si="15"/>
        <v xml:space="preserve"> </v>
      </c>
      <c r="G153" s="50"/>
      <c r="H153" s="242" t="str">
        <f ca="1">IF(F153=1,PERCENTILE(INDIRECT("g"&amp;$D$8):INDIRECT("g"&amp;$E$8),0.5),IF(F153=2,PERCENTILE(INDIRECT("g"&amp;$D$9):INDIRECT("g"&amp;$E$9),0.5),IF(F153=3,PERCENTILE(INDIRECT("g"&amp;$D$10):INDIRECT("g"&amp;$E$10),0.5),IF(F153=4,PERCENTILE(INDIRECT("g"&amp;$D$11):INDIRECT("g"&amp;$E$11),0.5),IF(F153=5,PERCENTILE(INDIRECT("g"&amp;$D$12):INDIRECT("g"&amp;$E$12),0.5),IF(F153=6,PERCENTILE(INDIRECT("g"&amp;$D$13):INDIRECT("g"&amp;$E$13),0.5)," "))))))</f>
        <v xml:space="preserve"> </v>
      </c>
      <c r="I153" s="242" t="str">
        <f t="shared" si="16"/>
        <v xml:space="preserve"> </v>
      </c>
      <c r="J153" s="242" t="str">
        <f ca="1">IF(F153=1,AVERAGE(INDIRECT("I"&amp;$D$8):INDIRECT("I"&amp;$E$8)),IF(F153=2,AVERAGE(INDIRECT("I"&amp;$D$9):INDIRECT("I"&amp;$E$9)),IF(F153=3,AVERAGE(INDIRECT("I"&amp;$D$10):INDIRECT("I"&amp;$E$10)),IF(F153=4,AVERAGE(INDIRECT("I"&amp;$D$11):INDIRECT("I"&amp;$E$11)),IF(F153=5,AVERAGE(INDIRECT("I"&amp;$D$12):INDIRECT("I"&amp;$E$12)),IF(F153=6,AVERAGE(INDIRECT("I"&amp;$D$13):INDIRECT("I"&amp;$E$13))," "))))))</f>
        <v xml:space="preserve"> </v>
      </c>
      <c r="K153" s="242" t="str">
        <f t="shared" si="17"/>
        <v xml:space="preserve"> </v>
      </c>
      <c r="L153" s="242" t="str">
        <f t="shared" si="18"/>
        <v xml:space="preserve"> </v>
      </c>
      <c r="M153" s="242" t="str">
        <f t="shared" si="19"/>
        <v xml:space="preserve"> </v>
      </c>
    </row>
    <row r="154" spans="6:13" x14ac:dyDescent="0.2">
      <c r="F154" s="216" t="str">
        <f t="shared" si="15"/>
        <v xml:space="preserve"> </v>
      </c>
      <c r="G154" s="50"/>
      <c r="H154" s="242" t="str">
        <f ca="1">IF(F154=1,PERCENTILE(INDIRECT("g"&amp;$D$8):INDIRECT("g"&amp;$E$8),0.5),IF(F154=2,PERCENTILE(INDIRECT("g"&amp;$D$9):INDIRECT("g"&amp;$E$9),0.5),IF(F154=3,PERCENTILE(INDIRECT("g"&amp;$D$10):INDIRECT("g"&amp;$E$10),0.5),IF(F154=4,PERCENTILE(INDIRECT("g"&amp;$D$11):INDIRECT("g"&amp;$E$11),0.5),IF(F154=5,PERCENTILE(INDIRECT("g"&amp;$D$12):INDIRECT("g"&amp;$E$12),0.5),IF(F154=6,PERCENTILE(INDIRECT("g"&amp;$D$13):INDIRECT("g"&amp;$E$13),0.5)," "))))))</f>
        <v xml:space="preserve"> </v>
      </c>
      <c r="I154" s="242" t="str">
        <f t="shared" si="16"/>
        <v xml:space="preserve"> </v>
      </c>
      <c r="J154" s="242" t="str">
        <f ca="1">IF(F154=1,AVERAGE(INDIRECT("I"&amp;$D$8):INDIRECT("I"&amp;$E$8)),IF(F154=2,AVERAGE(INDIRECT("I"&amp;$D$9):INDIRECT("I"&amp;$E$9)),IF(F154=3,AVERAGE(INDIRECT("I"&amp;$D$10):INDIRECT("I"&amp;$E$10)),IF(F154=4,AVERAGE(INDIRECT("I"&amp;$D$11):INDIRECT("I"&amp;$E$11)),IF(F154=5,AVERAGE(INDIRECT("I"&amp;$D$12):INDIRECT("I"&amp;$E$12)),IF(F154=6,AVERAGE(INDIRECT("I"&amp;$D$13):INDIRECT("I"&amp;$E$13))," "))))))</f>
        <v xml:space="preserve"> </v>
      </c>
      <c r="K154" s="242" t="str">
        <f t="shared" si="17"/>
        <v xml:space="preserve"> </v>
      </c>
      <c r="L154" s="242" t="str">
        <f t="shared" si="18"/>
        <v xml:space="preserve"> </v>
      </c>
      <c r="M154" s="242" t="str">
        <f t="shared" si="19"/>
        <v xml:space="preserve"> </v>
      </c>
    </row>
    <row r="155" spans="6:13" x14ac:dyDescent="0.2">
      <c r="F155" s="216" t="str">
        <f t="shared" si="15"/>
        <v xml:space="preserve"> </v>
      </c>
      <c r="G155" s="50"/>
      <c r="H155" s="242" t="str">
        <f ca="1">IF(F155=1,PERCENTILE(INDIRECT("g"&amp;$D$8):INDIRECT("g"&amp;$E$8),0.5),IF(F155=2,PERCENTILE(INDIRECT("g"&amp;$D$9):INDIRECT("g"&amp;$E$9),0.5),IF(F155=3,PERCENTILE(INDIRECT("g"&amp;$D$10):INDIRECT("g"&amp;$E$10),0.5),IF(F155=4,PERCENTILE(INDIRECT("g"&amp;$D$11):INDIRECT("g"&amp;$E$11),0.5),IF(F155=5,PERCENTILE(INDIRECT("g"&amp;$D$12):INDIRECT("g"&amp;$E$12),0.5),IF(F155=6,PERCENTILE(INDIRECT("g"&amp;$D$13):INDIRECT("g"&amp;$E$13),0.5)," "))))))</f>
        <v xml:space="preserve"> </v>
      </c>
      <c r="I155" s="242" t="str">
        <f t="shared" si="16"/>
        <v xml:space="preserve"> </v>
      </c>
      <c r="J155" s="242" t="str">
        <f ca="1">IF(F155=1,AVERAGE(INDIRECT("I"&amp;$D$8):INDIRECT("I"&amp;$E$8)),IF(F155=2,AVERAGE(INDIRECT("I"&amp;$D$9):INDIRECT("I"&amp;$E$9)),IF(F155=3,AVERAGE(INDIRECT("I"&amp;$D$10):INDIRECT("I"&amp;$E$10)),IF(F155=4,AVERAGE(INDIRECT("I"&amp;$D$11):INDIRECT("I"&amp;$E$11)),IF(F155=5,AVERAGE(INDIRECT("I"&amp;$D$12):INDIRECT("I"&amp;$E$12)),IF(F155=6,AVERAGE(INDIRECT("I"&amp;$D$13):INDIRECT("I"&amp;$E$13))," "))))))</f>
        <v xml:space="preserve"> </v>
      </c>
      <c r="K155" s="242" t="str">
        <f t="shared" si="17"/>
        <v xml:space="preserve"> </v>
      </c>
      <c r="L155" s="242" t="str">
        <f t="shared" si="18"/>
        <v xml:space="preserve"> </v>
      </c>
      <c r="M155" s="242" t="str">
        <f t="shared" si="19"/>
        <v xml:space="preserve"> </v>
      </c>
    </row>
    <row r="156" spans="6:13" x14ac:dyDescent="0.2">
      <c r="F156" s="216" t="str">
        <f t="shared" si="15"/>
        <v xml:space="preserve"> </v>
      </c>
      <c r="G156" s="50"/>
      <c r="H156" s="242" t="str">
        <f ca="1">IF(F156=1,PERCENTILE(INDIRECT("g"&amp;$D$8):INDIRECT("g"&amp;$E$8),0.5),IF(F156=2,PERCENTILE(INDIRECT("g"&amp;$D$9):INDIRECT("g"&amp;$E$9),0.5),IF(F156=3,PERCENTILE(INDIRECT("g"&amp;$D$10):INDIRECT("g"&amp;$E$10),0.5),IF(F156=4,PERCENTILE(INDIRECT("g"&amp;$D$11):INDIRECT("g"&amp;$E$11),0.5),IF(F156=5,PERCENTILE(INDIRECT("g"&amp;$D$12):INDIRECT("g"&amp;$E$12),0.5),IF(F156=6,PERCENTILE(INDIRECT("g"&amp;$D$13):INDIRECT("g"&amp;$E$13),0.5)," "))))))</f>
        <v xml:space="preserve"> </v>
      </c>
      <c r="I156" s="242" t="str">
        <f t="shared" si="16"/>
        <v xml:space="preserve"> </v>
      </c>
      <c r="J156" s="242" t="str">
        <f ca="1">IF(F156=1,AVERAGE(INDIRECT("I"&amp;$D$8):INDIRECT("I"&amp;$E$8)),IF(F156=2,AVERAGE(INDIRECT("I"&amp;$D$9):INDIRECT("I"&amp;$E$9)),IF(F156=3,AVERAGE(INDIRECT("I"&amp;$D$10):INDIRECT("I"&amp;$E$10)),IF(F156=4,AVERAGE(INDIRECT("I"&amp;$D$11):INDIRECT("I"&amp;$E$11)),IF(F156=5,AVERAGE(INDIRECT("I"&amp;$D$12):INDIRECT("I"&amp;$E$12)),IF(F156=6,AVERAGE(INDIRECT("I"&amp;$D$13):INDIRECT("I"&amp;$E$13))," "))))))</f>
        <v xml:space="preserve"> </v>
      </c>
      <c r="K156" s="242" t="str">
        <f t="shared" si="17"/>
        <v xml:space="preserve"> </v>
      </c>
      <c r="L156" s="242" t="str">
        <f t="shared" si="18"/>
        <v xml:space="preserve"> </v>
      </c>
      <c r="M156" s="242" t="str">
        <f t="shared" si="19"/>
        <v xml:space="preserve"> </v>
      </c>
    </row>
    <row r="157" spans="6:13" x14ac:dyDescent="0.2">
      <c r="F157" s="216" t="str">
        <f t="shared" si="15"/>
        <v xml:space="preserve"> </v>
      </c>
      <c r="G157" s="50"/>
      <c r="H157" s="242" t="str">
        <f ca="1">IF(F157=1,PERCENTILE(INDIRECT("g"&amp;$D$8):INDIRECT("g"&amp;$E$8),0.5),IF(F157=2,PERCENTILE(INDIRECT("g"&amp;$D$9):INDIRECT("g"&amp;$E$9),0.5),IF(F157=3,PERCENTILE(INDIRECT("g"&amp;$D$10):INDIRECT("g"&amp;$E$10),0.5),IF(F157=4,PERCENTILE(INDIRECT("g"&amp;$D$11):INDIRECT("g"&amp;$E$11),0.5),IF(F157=5,PERCENTILE(INDIRECT("g"&amp;$D$12):INDIRECT("g"&amp;$E$12),0.5),IF(F157=6,PERCENTILE(INDIRECT("g"&amp;$D$13):INDIRECT("g"&amp;$E$13),0.5)," "))))))</f>
        <v xml:space="preserve"> </v>
      </c>
      <c r="I157" s="242" t="str">
        <f t="shared" si="16"/>
        <v xml:space="preserve"> </v>
      </c>
      <c r="J157" s="242" t="str">
        <f ca="1">IF(F157=1,AVERAGE(INDIRECT("I"&amp;$D$8):INDIRECT("I"&amp;$E$8)),IF(F157=2,AVERAGE(INDIRECT("I"&amp;$D$9):INDIRECT("I"&amp;$E$9)),IF(F157=3,AVERAGE(INDIRECT("I"&amp;$D$10):INDIRECT("I"&amp;$E$10)),IF(F157=4,AVERAGE(INDIRECT("I"&amp;$D$11):INDIRECT("I"&amp;$E$11)),IF(F157=5,AVERAGE(INDIRECT("I"&amp;$D$12):INDIRECT("I"&amp;$E$12)),IF(F157=6,AVERAGE(INDIRECT("I"&amp;$D$13):INDIRECT("I"&amp;$E$13))," "))))))</f>
        <v xml:space="preserve"> </v>
      </c>
      <c r="K157" s="242" t="str">
        <f t="shared" si="17"/>
        <v xml:space="preserve"> </v>
      </c>
      <c r="L157" s="242" t="str">
        <f t="shared" si="18"/>
        <v xml:space="preserve"> </v>
      </c>
      <c r="M157" s="242" t="str">
        <f t="shared" si="19"/>
        <v xml:space="preserve"> </v>
      </c>
    </row>
    <row r="158" spans="6:13" x14ac:dyDescent="0.2">
      <c r="F158" s="216" t="str">
        <f t="shared" si="15"/>
        <v xml:space="preserve"> </v>
      </c>
      <c r="G158" s="50"/>
      <c r="H158" s="242" t="str">
        <f ca="1">IF(F158=1,PERCENTILE(INDIRECT("g"&amp;$D$8):INDIRECT("g"&amp;$E$8),0.5),IF(F158=2,PERCENTILE(INDIRECT("g"&amp;$D$9):INDIRECT("g"&amp;$E$9),0.5),IF(F158=3,PERCENTILE(INDIRECT("g"&amp;$D$10):INDIRECT("g"&amp;$E$10),0.5),IF(F158=4,PERCENTILE(INDIRECT("g"&amp;$D$11):INDIRECT("g"&amp;$E$11),0.5),IF(F158=5,PERCENTILE(INDIRECT("g"&amp;$D$12):INDIRECT("g"&amp;$E$12),0.5),IF(F158=6,PERCENTILE(INDIRECT("g"&amp;$D$13):INDIRECT("g"&amp;$E$13),0.5)," "))))))</f>
        <v xml:space="preserve"> </v>
      </c>
      <c r="I158" s="242" t="str">
        <f t="shared" si="16"/>
        <v xml:space="preserve"> </v>
      </c>
      <c r="J158" s="242" t="str">
        <f ca="1">IF(F158=1,AVERAGE(INDIRECT("I"&amp;$D$8):INDIRECT("I"&amp;$E$8)),IF(F158=2,AVERAGE(INDIRECT("I"&amp;$D$9):INDIRECT("I"&amp;$E$9)),IF(F158=3,AVERAGE(INDIRECT("I"&amp;$D$10):INDIRECT("I"&amp;$E$10)),IF(F158=4,AVERAGE(INDIRECT("I"&amp;$D$11):INDIRECT("I"&amp;$E$11)),IF(F158=5,AVERAGE(INDIRECT("I"&amp;$D$12):INDIRECT("I"&amp;$E$12)),IF(F158=6,AVERAGE(INDIRECT("I"&amp;$D$13):INDIRECT("I"&amp;$E$13))," "))))))</f>
        <v xml:space="preserve"> </v>
      </c>
      <c r="K158" s="242" t="str">
        <f t="shared" si="17"/>
        <v xml:space="preserve"> </v>
      </c>
      <c r="L158" s="242" t="str">
        <f t="shared" si="18"/>
        <v xml:space="preserve"> </v>
      </c>
      <c r="M158" s="242" t="str">
        <f t="shared" si="19"/>
        <v xml:space="preserve"> </v>
      </c>
    </row>
    <row r="159" spans="6:13" x14ac:dyDescent="0.2">
      <c r="F159" s="216" t="str">
        <f t="shared" si="15"/>
        <v xml:space="preserve"> </v>
      </c>
      <c r="G159" s="50"/>
      <c r="H159" s="242" t="str">
        <f ca="1">IF(F159=1,PERCENTILE(INDIRECT("g"&amp;$D$8):INDIRECT("g"&amp;$E$8),0.5),IF(F159=2,PERCENTILE(INDIRECT("g"&amp;$D$9):INDIRECT("g"&amp;$E$9),0.5),IF(F159=3,PERCENTILE(INDIRECT("g"&amp;$D$10):INDIRECT("g"&amp;$E$10),0.5),IF(F159=4,PERCENTILE(INDIRECT("g"&amp;$D$11):INDIRECT("g"&amp;$E$11),0.5),IF(F159=5,PERCENTILE(INDIRECT("g"&amp;$D$12):INDIRECT("g"&amp;$E$12),0.5),IF(F159=6,PERCENTILE(INDIRECT("g"&amp;$D$13):INDIRECT("g"&amp;$E$13),0.5)," "))))))</f>
        <v xml:space="preserve"> </v>
      </c>
      <c r="I159" s="242" t="str">
        <f t="shared" si="16"/>
        <v xml:space="preserve"> </v>
      </c>
      <c r="J159" s="242" t="str">
        <f ca="1">IF(F159=1,AVERAGE(INDIRECT("I"&amp;$D$8):INDIRECT("I"&amp;$E$8)),IF(F159=2,AVERAGE(INDIRECT("I"&amp;$D$9):INDIRECT("I"&amp;$E$9)),IF(F159=3,AVERAGE(INDIRECT("I"&amp;$D$10):INDIRECT("I"&amp;$E$10)),IF(F159=4,AVERAGE(INDIRECT("I"&amp;$D$11):INDIRECT("I"&amp;$E$11)),IF(F159=5,AVERAGE(INDIRECT("I"&amp;$D$12):INDIRECT("I"&amp;$E$12)),IF(F159=6,AVERAGE(INDIRECT("I"&amp;$D$13):INDIRECT("I"&amp;$E$13))," "))))))</f>
        <v xml:space="preserve"> </v>
      </c>
      <c r="K159" s="242" t="str">
        <f t="shared" si="17"/>
        <v xml:space="preserve"> </v>
      </c>
      <c r="L159" s="242" t="str">
        <f t="shared" si="18"/>
        <v xml:space="preserve"> </v>
      </c>
      <c r="M159" s="242" t="str">
        <f t="shared" si="19"/>
        <v xml:space="preserve"> </v>
      </c>
    </row>
    <row r="160" spans="6:13" x14ac:dyDescent="0.2">
      <c r="F160" s="216" t="str">
        <f t="shared" si="15"/>
        <v xml:space="preserve"> </v>
      </c>
      <c r="G160" s="50"/>
      <c r="H160" s="242" t="str">
        <f ca="1">IF(F160=1,PERCENTILE(INDIRECT("g"&amp;$D$8):INDIRECT("g"&amp;$E$8),0.5),IF(F160=2,PERCENTILE(INDIRECT("g"&amp;$D$9):INDIRECT("g"&amp;$E$9),0.5),IF(F160=3,PERCENTILE(INDIRECT("g"&amp;$D$10):INDIRECT("g"&amp;$E$10),0.5),IF(F160=4,PERCENTILE(INDIRECT("g"&amp;$D$11):INDIRECT("g"&amp;$E$11),0.5),IF(F160=5,PERCENTILE(INDIRECT("g"&amp;$D$12):INDIRECT("g"&amp;$E$12),0.5),IF(F160=6,PERCENTILE(INDIRECT("g"&amp;$D$13):INDIRECT("g"&amp;$E$13),0.5)," "))))))</f>
        <v xml:space="preserve"> </v>
      </c>
      <c r="I160" s="242" t="str">
        <f t="shared" si="16"/>
        <v xml:space="preserve"> </v>
      </c>
      <c r="J160" s="242" t="str">
        <f ca="1">IF(F160=1,AVERAGE(INDIRECT("I"&amp;$D$8):INDIRECT("I"&amp;$E$8)),IF(F160=2,AVERAGE(INDIRECT("I"&amp;$D$9):INDIRECT("I"&amp;$E$9)),IF(F160=3,AVERAGE(INDIRECT("I"&amp;$D$10):INDIRECT("I"&amp;$E$10)),IF(F160=4,AVERAGE(INDIRECT("I"&amp;$D$11):INDIRECT("I"&amp;$E$11)),IF(F160=5,AVERAGE(INDIRECT("I"&amp;$D$12):INDIRECT("I"&amp;$E$12)),IF(F160=6,AVERAGE(INDIRECT("I"&amp;$D$13):INDIRECT("I"&amp;$E$13))," "))))))</f>
        <v xml:space="preserve"> </v>
      </c>
      <c r="K160" s="242" t="str">
        <f t="shared" si="17"/>
        <v xml:space="preserve"> </v>
      </c>
      <c r="L160" s="242" t="str">
        <f t="shared" si="18"/>
        <v xml:space="preserve"> </v>
      </c>
      <c r="M160" s="242" t="str">
        <f t="shared" si="19"/>
        <v xml:space="preserve"> </v>
      </c>
    </row>
    <row r="161" spans="6:13" x14ac:dyDescent="0.2">
      <c r="F161" s="216" t="str">
        <f t="shared" si="15"/>
        <v xml:space="preserve"> </v>
      </c>
      <c r="G161" s="50"/>
      <c r="H161" s="242" t="str">
        <f ca="1">IF(F161=1,PERCENTILE(INDIRECT("g"&amp;$D$8):INDIRECT("g"&amp;$E$8),0.5),IF(F161=2,PERCENTILE(INDIRECT("g"&amp;$D$9):INDIRECT("g"&amp;$E$9),0.5),IF(F161=3,PERCENTILE(INDIRECT("g"&amp;$D$10):INDIRECT("g"&amp;$E$10),0.5),IF(F161=4,PERCENTILE(INDIRECT("g"&amp;$D$11):INDIRECT("g"&amp;$E$11),0.5),IF(F161=5,PERCENTILE(INDIRECT("g"&amp;$D$12):INDIRECT("g"&amp;$E$12),0.5),IF(F161=6,PERCENTILE(INDIRECT("g"&amp;$D$13):INDIRECT("g"&amp;$E$13),0.5)," "))))))</f>
        <v xml:space="preserve"> </v>
      </c>
      <c r="I161" s="242" t="str">
        <f t="shared" si="16"/>
        <v xml:space="preserve"> </v>
      </c>
      <c r="J161" s="242" t="str">
        <f ca="1">IF(F161=1,AVERAGE(INDIRECT("I"&amp;$D$8):INDIRECT("I"&amp;$E$8)),IF(F161=2,AVERAGE(INDIRECT("I"&amp;$D$9):INDIRECT("I"&amp;$E$9)),IF(F161=3,AVERAGE(INDIRECT("I"&amp;$D$10):INDIRECT("I"&amp;$E$10)),IF(F161=4,AVERAGE(INDIRECT("I"&amp;$D$11):INDIRECT("I"&amp;$E$11)),IF(F161=5,AVERAGE(INDIRECT("I"&amp;$D$12):INDIRECT("I"&amp;$E$12)),IF(F161=6,AVERAGE(INDIRECT("I"&amp;$D$13):INDIRECT("I"&amp;$E$13))," "))))))</f>
        <v xml:space="preserve"> </v>
      </c>
      <c r="K161" s="242" t="str">
        <f t="shared" si="17"/>
        <v xml:space="preserve"> </v>
      </c>
      <c r="L161" s="242" t="str">
        <f t="shared" si="18"/>
        <v xml:space="preserve"> </v>
      </c>
      <c r="M161" s="242" t="str">
        <f t="shared" si="19"/>
        <v xml:space="preserve"> </v>
      </c>
    </row>
    <row r="162" spans="6:13" x14ac:dyDescent="0.2">
      <c r="F162" s="216" t="str">
        <f t="shared" si="15"/>
        <v xml:space="preserve"> </v>
      </c>
      <c r="G162" s="50"/>
      <c r="H162" s="242" t="str">
        <f ca="1">IF(F162=1,PERCENTILE(INDIRECT("g"&amp;$D$8):INDIRECT("g"&amp;$E$8),0.5),IF(F162=2,PERCENTILE(INDIRECT("g"&amp;$D$9):INDIRECT("g"&amp;$E$9),0.5),IF(F162=3,PERCENTILE(INDIRECT("g"&amp;$D$10):INDIRECT("g"&amp;$E$10),0.5),IF(F162=4,PERCENTILE(INDIRECT("g"&amp;$D$11):INDIRECT("g"&amp;$E$11),0.5),IF(F162=5,PERCENTILE(INDIRECT("g"&amp;$D$12):INDIRECT("g"&amp;$E$12),0.5),IF(F162=6,PERCENTILE(INDIRECT("g"&amp;$D$13):INDIRECT("g"&amp;$E$13),0.5)," "))))))</f>
        <v xml:space="preserve"> </v>
      </c>
      <c r="I162" s="242" t="str">
        <f t="shared" si="16"/>
        <v xml:space="preserve"> </v>
      </c>
      <c r="J162" s="242" t="str">
        <f ca="1">IF(F162=1,AVERAGE(INDIRECT("I"&amp;$D$8):INDIRECT("I"&amp;$E$8)),IF(F162=2,AVERAGE(INDIRECT("I"&amp;$D$9):INDIRECT("I"&amp;$E$9)),IF(F162=3,AVERAGE(INDIRECT("I"&amp;$D$10):INDIRECT("I"&amp;$E$10)),IF(F162=4,AVERAGE(INDIRECT("I"&amp;$D$11):INDIRECT("I"&amp;$E$11)),IF(F162=5,AVERAGE(INDIRECT("I"&amp;$D$12):INDIRECT("I"&amp;$E$12)),IF(F162=6,AVERAGE(INDIRECT("I"&amp;$D$13):INDIRECT("I"&amp;$E$13))," "))))))</f>
        <v xml:space="preserve"> </v>
      </c>
      <c r="K162" s="242" t="str">
        <f t="shared" si="17"/>
        <v xml:space="preserve"> </v>
      </c>
      <c r="L162" s="242" t="str">
        <f t="shared" si="18"/>
        <v xml:space="preserve"> </v>
      </c>
      <c r="M162" s="242" t="str">
        <f t="shared" si="19"/>
        <v xml:space="preserve"> </v>
      </c>
    </row>
    <row r="163" spans="6:13" x14ac:dyDescent="0.2">
      <c r="F163" s="216" t="str">
        <f t="shared" si="15"/>
        <v xml:space="preserve"> </v>
      </c>
      <c r="G163" s="50"/>
      <c r="H163" s="242" t="str">
        <f ca="1">IF(F163=1,PERCENTILE(INDIRECT("g"&amp;$D$8):INDIRECT("g"&amp;$E$8),0.5),IF(F163=2,PERCENTILE(INDIRECT("g"&amp;$D$9):INDIRECT("g"&amp;$E$9),0.5),IF(F163=3,PERCENTILE(INDIRECT("g"&amp;$D$10):INDIRECT("g"&amp;$E$10),0.5),IF(F163=4,PERCENTILE(INDIRECT("g"&amp;$D$11):INDIRECT("g"&amp;$E$11),0.5),IF(F163=5,PERCENTILE(INDIRECT("g"&amp;$D$12):INDIRECT("g"&amp;$E$12),0.5),IF(F163=6,PERCENTILE(INDIRECT("g"&amp;$D$13):INDIRECT("g"&amp;$E$13),0.5)," "))))))</f>
        <v xml:space="preserve"> </v>
      </c>
      <c r="I163" s="242" t="str">
        <f t="shared" si="16"/>
        <v xml:space="preserve"> </v>
      </c>
      <c r="J163" s="242" t="str">
        <f ca="1">IF(F163=1,AVERAGE(INDIRECT("I"&amp;$D$8):INDIRECT("I"&amp;$E$8)),IF(F163=2,AVERAGE(INDIRECT("I"&amp;$D$9):INDIRECT("I"&amp;$E$9)),IF(F163=3,AVERAGE(INDIRECT("I"&amp;$D$10):INDIRECT("I"&amp;$E$10)),IF(F163=4,AVERAGE(INDIRECT("I"&amp;$D$11):INDIRECT("I"&amp;$E$11)),IF(F163=5,AVERAGE(INDIRECT("I"&amp;$D$12):INDIRECT("I"&amp;$E$12)),IF(F163=6,AVERAGE(INDIRECT("I"&amp;$D$13):INDIRECT("I"&amp;$E$13))," "))))))</f>
        <v xml:space="preserve"> </v>
      </c>
      <c r="K163" s="242" t="str">
        <f t="shared" si="17"/>
        <v xml:space="preserve"> </v>
      </c>
      <c r="L163" s="242" t="str">
        <f t="shared" si="18"/>
        <v xml:space="preserve"> </v>
      </c>
      <c r="M163" s="242" t="str">
        <f t="shared" si="19"/>
        <v xml:space="preserve"> </v>
      </c>
    </row>
    <row r="164" spans="6:13" x14ac:dyDescent="0.2">
      <c r="F164" s="216" t="str">
        <f t="shared" si="15"/>
        <v xml:space="preserve"> </v>
      </c>
      <c r="G164" s="50"/>
      <c r="H164" s="242" t="str">
        <f ca="1">IF(F164=1,PERCENTILE(INDIRECT("g"&amp;$D$8):INDIRECT("g"&amp;$E$8),0.5),IF(F164=2,PERCENTILE(INDIRECT("g"&amp;$D$9):INDIRECT("g"&amp;$E$9),0.5),IF(F164=3,PERCENTILE(INDIRECT("g"&amp;$D$10):INDIRECT("g"&amp;$E$10),0.5),IF(F164=4,PERCENTILE(INDIRECT("g"&amp;$D$11):INDIRECT("g"&amp;$E$11),0.5),IF(F164=5,PERCENTILE(INDIRECT("g"&amp;$D$12):INDIRECT("g"&amp;$E$12),0.5),IF(F164=6,PERCENTILE(INDIRECT("g"&amp;$D$13):INDIRECT("g"&amp;$E$13),0.5)," "))))))</f>
        <v xml:space="preserve"> </v>
      </c>
      <c r="I164" s="242" t="str">
        <f t="shared" si="16"/>
        <v xml:space="preserve"> </v>
      </c>
      <c r="J164" s="242" t="str">
        <f ca="1">IF(F164=1,AVERAGE(INDIRECT("I"&amp;$D$8):INDIRECT("I"&amp;$E$8)),IF(F164=2,AVERAGE(INDIRECT("I"&amp;$D$9):INDIRECT("I"&amp;$E$9)),IF(F164=3,AVERAGE(INDIRECT("I"&amp;$D$10):INDIRECT("I"&amp;$E$10)),IF(F164=4,AVERAGE(INDIRECT("I"&amp;$D$11):INDIRECT("I"&amp;$E$11)),IF(F164=5,AVERAGE(INDIRECT("I"&amp;$D$12):INDIRECT("I"&amp;$E$12)),IF(F164=6,AVERAGE(INDIRECT("I"&amp;$D$13):INDIRECT("I"&amp;$E$13))," "))))))</f>
        <v xml:space="preserve"> </v>
      </c>
      <c r="K164" s="242" t="str">
        <f t="shared" si="17"/>
        <v xml:space="preserve"> </v>
      </c>
      <c r="L164" s="242" t="str">
        <f t="shared" si="18"/>
        <v xml:space="preserve"> </v>
      </c>
      <c r="M164" s="242" t="str">
        <f t="shared" si="19"/>
        <v xml:space="preserve"> </v>
      </c>
    </row>
    <row r="165" spans="6:13" x14ac:dyDescent="0.2">
      <c r="F165" s="216" t="str">
        <f t="shared" si="15"/>
        <v xml:space="preserve"> </v>
      </c>
      <c r="G165" s="50"/>
      <c r="H165" s="242" t="str">
        <f ca="1">IF(F165=1,PERCENTILE(INDIRECT("g"&amp;$D$8):INDIRECT("g"&amp;$E$8),0.5),IF(F165=2,PERCENTILE(INDIRECT("g"&amp;$D$9):INDIRECT("g"&amp;$E$9),0.5),IF(F165=3,PERCENTILE(INDIRECT("g"&amp;$D$10):INDIRECT("g"&amp;$E$10),0.5),IF(F165=4,PERCENTILE(INDIRECT("g"&amp;$D$11):INDIRECT("g"&amp;$E$11),0.5),IF(F165=5,PERCENTILE(INDIRECT("g"&amp;$D$12):INDIRECT("g"&amp;$E$12),0.5),IF(F165=6,PERCENTILE(INDIRECT("g"&amp;$D$13):INDIRECT("g"&amp;$E$13),0.5)," "))))))</f>
        <v xml:space="preserve"> </v>
      </c>
      <c r="I165" s="242" t="str">
        <f t="shared" si="16"/>
        <v xml:space="preserve"> </v>
      </c>
      <c r="J165" s="242" t="str">
        <f ca="1">IF(F165=1,AVERAGE(INDIRECT("I"&amp;$D$8):INDIRECT("I"&amp;$E$8)),IF(F165=2,AVERAGE(INDIRECT("I"&amp;$D$9):INDIRECT("I"&amp;$E$9)),IF(F165=3,AVERAGE(INDIRECT("I"&amp;$D$10):INDIRECT("I"&amp;$E$10)),IF(F165=4,AVERAGE(INDIRECT("I"&amp;$D$11):INDIRECT("I"&amp;$E$11)),IF(F165=5,AVERAGE(INDIRECT("I"&amp;$D$12):INDIRECT("I"&amp;$E$12)),IF(F165=6,AVERAGE(INDIRECT("I"&amp;$D$13):INDIRECT("I"&amp;$E$13))," "))))))</f>
        <v xml:space="preserve"> </v>
      </c>
      <c r="K165" s="242" t="str">
        <f t="shared" si="17"/>
        <v xml:space="preserve"> </v>
      </c>
      <c r="L165" s="242" t="str">
        <f t="shared" si="18"/>
        <v xml:space="preserve"> </v>
      </c>
      <c r="M165" s="242" t="str">
        <f t="shared" si="19"/>
        <v xml:space="preserve"> </v>
      </c>
    </row>
    <row r="166" spans="6:13" x14ac:dyDescent="0.2">
      <c r="F166" s="216" t="str">
        <f t="shared" si="15"/>
        <v xml:space="preserve"> </v>
      </c>
      <c r="G166" s="50"/>
      <c r="H166" s="242" t="str">
        <f ca="1">IF(F166=1,PERCENTILE(INDIRECT("g"&amp;$D$8):INDIRECT("g"&amp;$E$8),0.5),IF(F166=2,PERCENTILE(INDIRECT("g"&amp;$D$9):INDIRECT("g"&amp;$E$9),0.5),IF(F166=3,PERCENTILE(INDIRECT("g"&amp;$D$10):INDIRECT("g"&amp;$E$10),0.5),IF(F166=4,PERCENTILE(INDIRECT("g"&amp;$D$11):INDIRECT("g"&amp;$E$11),0.5),IF(F166=5,PERCENTILE(INDIRECT("g"&amp;$D$12):INDIRECT("g"&amp;$E$12),0.5),IF(F166=6,PERCENTILE(INDIRECT("g"&amp;$D$13):INDIRECT("g"&amp;$E$13),0.5)," "))))))</f>
        <v xml:space="preserve"> </v>
      </c>
      <c r="I166" s="242" t="str">
        <f t="shared" si="16"/>
        <v xml:space="preserve"> </v>
      </c>
      <c r="J166" s="242" t="str">
        <f ca="1">IF(F166=1,AVERAGE(INDIRECT("I"&amp;$D$8):INDIRECT("I"&amp;$E$8)),IF(F166=2,AVERAGE(INDIRECT("I"&amp;$D$9):INDIRECT("I"&amp;$E$9)),IF(F166=3,AVERAGE(INDIRECT("I"&amp;$D$10):INDIRECT("I"&amp;$E$10)),IF(F166=4,AVERAGE(INDIRECT("I"&amp;$D$11):INDIRECT("I"&amp;$E$11)),IF(F166=5,AVERAGE(INDIRECT("I"&amp;$D$12):INDIRECT("I"&amp;$E$12)),IF(F166=6,AVERAGE(INDIRECT("I"&amp;$D$13):INDIRECT("I"&amp;$E$13))," "))))))</f>
        <v xml:space="preserve"> </v>
      </c>
      <c r="K166" s="242" t="str">
        <f t="shared" si="17"/>
        <v xml:space="preserve"> </v>
      </c>
      <c r="L166" s="242" t="str">
        <f t="shared" si="18"/>
        <v xml:space="preserve"> </v>
      </c>
      <c r="M166" s="242" t="str">
        <f t="shared" si="19"/>
        <v xml:space="preserve"> </v>
      </c>
    </row>
    <row r="167" spans="6:13" x14ac:dyDescent="0.2">
      <c r="F167" s="216" t="str">
        <f t="shared" si="15"/>
        <v xml:space="preserve"> </v>
      </c>
      <c r="G167" s="50"/>
      <c r="H167" s="242" t="str">
        <f ca="1">IF(F167=1,PERCENTILE(INDIRECT("g"&amp;$D$8):INDIRECT("g"&amp;$E$8),0.5),IF(F167=2,PERCENTILE(INDIRECT("g"&amp;$D$9):INDIRECT("g"&amp;$E$9),0.5),IF(F167=3,PERCENTILE(INDIRECT("g"&amp;$D$10):INDIRECT("g"&amp;$E$10),0.5),IF(F167=4,PERCENTILE(INDIRECT("g"&amp;$D$11):INDIRECT("g"&amp;$E$11),0.5),IF(F167=5,PERCENTILE(INDIRECT("g"&amp;$D$12):INDIRECT("g"&amp;$E$12),0.5),IF(F167=6,PERCENTILE(INDIRECT("g"&amp;$D$13):INDIRECT("g"&amp;$E$13),0.5)," "))))))</f>
        <v xml:space="preserve"> </v>
      </c>
      <c r="I167" s="242" t="str">
        <f t="shared" si="16"/>
        <v xml:space="preserve"> </v>
      </c>
      <c r="J167" s="242" t="str">
        <f ca="1">IF(F167=1,AVERAGE(INDIRECT("I"&amp;$D$8):INDIRECT("I"&amp;$E$8)),IF(F167=2,AVERAGE(INDIRECT("I"&amp;$D$9):INDIRECT("I"&amp;$E$9)),IF(F167=3,AVERAGE(INDIRECT("I"&amp;$D$10):INDIRECT("I"&amp;$E$10)),IF(F167=4,AVERAGE(INDIRECT("I"&amp;$D$11):INDIRECT("I"&amp;$E$11)),IF(F167=5,AVERAGE(INDIRECT("I"&amp;$D$12):INDIRECT("I"&amp;$E$12)),IF(F167=6,AVERAGE(INDIRECT("I"&amp;$D$13):INDIRECT("I"&amp;$E$13))," "))))))</f>
        <v xml:space="preserve"> </v>
      </c>
      <c r="K167" s="242" t="str">
        <f t="shared" si="17"/>
        <v xml:space="preserve"> </v>
      </c>
      <c r="L167" s="242" t="str">
        <f t="shared" si="18"/>
        <v xml:space="preserve"> </v>
      </c>
      <c r="M167" s="242" t="str">
        <f t="shared" si="19"/>
        <v xml:space="preserve"> </v>
      </c>
    </row>
    <row r="168" spans="6:13" x14ac:dyDescent="0.2">
      <c r="F168" s="216" t="str">
        <f t="shared" si="15"/>
        <v xml:space="preserve"> </v>
      </c>
      <c r="G168" s="50"/>
      <c r="H168" s="242" t="str">
        <f ca="1">IF(F168=1,PERCENTILE(INDIRECT("g"&amp;$D$8):INDIRECT("g"&amp;$E$8),0.5),IF(F168=2,PERCENTILE(INDIRECT("g"&amp;$D$9):INDIRECT("g"&amp;$E$9),0.5),IF(F168=3,PERCENTILE(INDIRECT("g"&amp;$D$10):INDIRECT("g"&amp;$E$10),0.5),IF(F168=4,PERCENTILE(INDIRECT("g"&amp;$D$11):INDIRECT("g"&amp;$E$11),0.5),IF(F168=5,PERCENTILE(INDIRECT("g"&amp;$D$12):INDIRECT("g"&amp;$E$12),0.5),IF(F168=6,PERCENTILE(INDIRECT("g"&amp;$D$13):INDIRECT("g"&amp;$E$13),0.5)," "))))))</f>
        <v xml:space="preserve"> </v>
      </c>
      <c r="I168" s="242" t="str">
        <f t="shared" si="16"/>
        <v xml:space="preserve"> </v>
      </c>
      <c r="J168" s="242" t="str">
        <f ca="1">IF(F168=1,AVERAGE(INDIRECT("I"&amp;$D$8):INDIRECT("I"&amp;$E$8)),IF(F168=2,AVERAGE(INDIRECT("I"&amp;$D$9):INDIRECT("I"&amp;$E$9)),IF(F168=3,AVERAGE(INDIRECT("I"&amp;$D$10):INDIRECT("I"&amp;$E$10)),IF(F168=4,AVERAGE(INDIRECT("I"&amp;$D$11):INDIRECT("I"&amp;$E$11)),IF(F168=5,AVERAGE(INDIRECT("I"&amp;$D$12):INDIRECT("I"&amp;$E$12)),IF(F168=6,AVERAGE(INDIRECT("I"&amp;$D$13):INDIRECT("I"&amp;$E$13))," "))))))</f>
        <v xml:space="preserve"> </v>
      </c>
      <c r="K168" s="242" t="str">
        <f t="shared" si="17"/>
        <v xml:space="preserve"> </v>
      </c>
      <c r="L168" s="242" t="str">
        <f t="shared" si="18"/>
        <v xml:space="preserve"> </v>
      </c>
      <c r="M168" s="242" t="str">
        <f t="shared" si="19"/>
        <v xml:space="preserve"> </v>
      </c>
    </row>
    <row r="169" spans="6:13" x14ac:dyDescent="0.2">
      <c r="F169" s="216" t="str">
        <f t="shared" si="15"/>
        <v xml:space="preserve"> </v>
      </c>
      <c r="G169" s="50"/>
      <c r="H169" s="242" t="str">
        <f ca="1">IF(F169=1,PERCENTILE(INDIRECT("g"&amp;$D$8):INDIRECT("g"&amp;$E$8),0.5),IF(F169=2,PERCENTILE(INDIRECT("g"&amp;$D$9):INDIRECT("g"&amp;$E$9),0.5),IF(F169=3,PERCENTILE(INDIRECT("g"&amp;$D$10):INDIRECT("g"&amp;$E$10),0.5),IF(F169=4,PERCENTILE(INDIRECT("g"&amp;$D$11):INDIRECT("g"&amp;$E$11),0.5),IF(F169=5,PERCENTILE(INDIRECT("g"&amp;$D$12):INDIRECT("g"&amp;$E$12),0.5),IF(F169=6,PERCENTILE(INDIRECT("g"&amp;$D$13):INDIRECT("g"&amp;$E$13),0.5)," "))))))</f>
        <v xml:space="preserve"> </v>
      </c>
      <c r="I169" s="242" t="str">
        <f t="shared" si="16"/>
        <v xml:space="preserve"> </v>
      </c>
      <c r="J169" s="242" t="str">
        <f ca="1">IF(F169=1,AVERAGE(INDIRECT("I"&amp;$D$8):INDIRECT("I"&amp;$E$8)),IF(F169=2,AVERAGE(INDIRECT("I"&amp;$D$9):INDIRECT("I"&amp;$E$9)),IF(F169=3,AVERAGE(INDIRECT("I"&amp;$D$10):INDIRECT("I"&amp;$E$10)),IF(F169=4,AVERAGE(INDIRECT("I"&amp;$D$11):INDIRECT("I"&amp;$E$11)),IF(F169=5,AVERAGE(INDIRECT("I"&amp;$D$12):INDIRECT("I"&amp;$E$12)),IF(F169=6,AVERAGE(INDIRECT("I"&amp;$D$13):INDIRECT("I"&amp;$E$13))," "))))))</f>
        <v xml:space="preserve"> </v>
      </c>
      <c r="K169" s="242" t="str">
        <f t="shared" si="17"/>
        <v xml:space="preserve"> </v>
      </c>
      <c r="L169" s="242" t="str">
        <f t="shared" si="18"/>
        <v xml:space="preserve"> </v>
      </c>
      <c r="M169" s="242" t="str">
        <f t="shared" si="19"/>
        <v xml:space="preserve"> </v>
      </c>
    </row>
    <row r="170" spans="6:13" x14ac:dyDescent="0.2">
      <c r="F170" s="216" t="str">
        <f t="shared" si="15"/>
        <v xml:space="preserve"> </v>
      </c>
      <c r="G170" s="50"/>
      <c r="H170" s="242" t="str">
        <f ca="1">IF(F170=1,PERCENTILE(INDIRECT("g"&amp;$D$8):INDIRECT("g"&amp;$E$8),0.5),IF(F170=2,PERCENTILE(INDIRECT("g"&amp;$D$9):INDIRECT("g"&amp;$E$9),0.5),IF(F170=3,PERCENTILE(INDIRECT("g"&amp;$D$10):INDIRECT("g"&amp;$E$10),0.5),IF(F170=4,PERCENTILE(INDIRECT("g"&amp;$D$11):INDIRECT("g"&amp;$E$11),0.5),IF(F170=5,PERCENTILE(INDIRECT("g"&amp;$D$12):INDIRECT("g"&amp;$E$12),0.5),IF(F170=6,PERCENTILE(INDIRECT("g"&amp;$D$13):INDIRECT("g"&amp;$E$13),0.5)," "))))))</f>
        <v xml:space="preserve"> </v>
      </c>
      <c r="I170" s="242" t="str">
        <f t="shared" si="16"/>
        <v xml:space="preserve"> </v>
      </c>
      <c r="J170" s="242" t="str">
        <f ca="1">IF(F170=1,AVERAGE(INDIRECT("I"&amp;$D$8):INDIRECT("I"&amp;$E$8)),IF(F170=2,AVERAGE(INDIRECT("I"&amp;$D$9):INDIRECT("I"&amp;$E$9)),IF(F170=3,AVERAGE(INDIRECT("I"&amp;$D$10):INDIRECT("I"&amp;$E$10)),IF(F170=4,AVERAGE(INDIRECT("I"&amp;$D$11):INDIRECT("I"&amp;$E$11)),IF(F170=5,AVERAGE(INDIRECT("I"&amp;$D$12):INDIRECT("I"&amp;$E$12)),IF(F170=6,AVERAGE(INDIRECT("I"&amp;$D$13):INDIRECT("I"&amp;$E$13))," "))))))</f>
        <v xml:space="preserve"> </v>
      </c>
      <c r="K170" s="242" t="str">
        <f t="shared" si="17"/>
        <v xml:space="preserve"> </v>
      </c>
      <c r="L170" s="242" t="str">
        <f t="shared" si="18"/>
        <v xml:space="preserve"> </v>
      </c>
      <c r="M170" s="242" t="str">
        <f t="shared" si="19"/>
        <v xml:space="preserve"> </v>
      </c>
    </row>
    <row r="171" spans="6:13" x14ac:dyDescent="0.2">
      <c r="F171" s="216" t="str">
        <f t="shared" si="15"/>
        <v xml:space="preserve"> </v>
      </c>
      <c r="G171" s="50"/>
      <c r="H171" s="242" t="str">
        <f ca="1">IF(F171=1,PERCENTILE(INDIRECT("g"&amp;$D$8):INDIRECT("g"&amp;$E$8),0.5),IF(F171=2,PERCENTILE(INDIRECT("g"&amp;$D$9):INDIRECT("g"&amp;$E$9),0.5),IF(F171=3,PERCENTILE(INDIRECT("g"&amp;$D$10):INDIRECT("g"&amp;$E$10),0.5),IF(F171=4,PERCENTILE(INDIRECT("g"&amp;$D$11):INDIRECT("g"&amp;$E$11),0.5),IF(F171=5,PERCENTILE(INDIRECT("g"&amp;$D$12):INDIRECT("g"&amp;$E$12),0.5),IF(F171=6,PERCENTILE(INDIRECT("g"&amp;$D$13):INDIRECT("g"&amp;$E$13),0.5)," "))))))</f>
        <v xml:space="preserve"> </v>
      </c>
      <c r="I171" s="242" t="str">
        <f t="shared" si="16"/>
        <v xml:space="preserve"> </v>
      </c>
      <c r="J171" s="242" t="str">
        <f ca="1">IF(F171=1,AVERAGE(INDIRECT("I"&amp;$D$8):INDIRECT("I"&amp;$E$8)),IF(F171=2,AVERAGE(INDIRECT("I"&amp;$D$9):INDIRECT("I"&amp;$E$9)),IF(F171=3,AVERAGE(INDIRECT("I"&amp;$D$10):INDIRECT("I"&amp;$E$10)),IF(F171=4,AVERAGE(INDIRECT("I"&amp;$D$11):INDIRECT("I"&amp;$E$11)),IF(F171=5,AVERAGE(INDIRECT("I"&amp;$D$12):INDIRECT("I"&amp;$E$12)),IF(F171=6,AVERAGE(INDIRECT("I"&amp;$D$13):INDIRECT("I"&amp;$E$13))," "))))))</f>
        <v xml:space="preserve"> </v>
      </c>
      <c r="K171" s="242" t="str">
        <f t="shared" si="17"/>
        <v xml:space="preserve"> </v>
      </c>
      <c r="L171" s="242" t="str">
        <f t="shared" si="18"/>
        <v xml:space="preserve"> </v>
      </c>
      <c r="M171" s="242" t="str">
        <f t="shared" si="19"/>
        <v xml:space="preserve"> </v>
      </c>
    </row>
    <row r="172" spans="6:13" x14ac:dyDescent="0.2">
      <c r="F172" s="216" t="str">
        <f t="shared" si="15"/>
        <v xml:space="preserve"> </v>
      </c>
      <c r="G172" s="50"/>
      <c r="H172" s="242" t="str">
        <f ca="1">IF(F172=1,PERCENTILE(INDIRECT("g"&amp;$D$8):INDIRECT("g"&amp;$E$8),0.5),IF(F172=2,PERCENTILE(INDIRECT("g"&amp;$D$9):INDIRECT("g"&amp;$E$9),0.5),IF(F172=3,PERCENTILE(INDIRECT("g"&amp;$D$10):INDIRECT("g"&amp;$E$10),0.5),IF(F172=4,PERCENTILE(INDIRECT("g"&amp;$D$11):INDIRECT("g"&amp;$E$11),0.5),IF(F172=5,PERCENTILE(INDIRECT("g"&amp;$D$12):INDIRECT("g"&amp;$E$12),0.5),IF(F172=6,PERCENTILE(INDIRECT("g"&amp;$D$13):INDIRECT("g"&amp;$E$13),0.5)," "))))))</f>
        <v xml:space="preserve"> </v>
      </c>
      <c r="I172" s="242" t="str">
        <f t="shared" si="16"/>
        <v xml:space="preserve"> </v>
      </c>
      <c r="J172" s="242" t="str">
        <f ca="1">IF(F172=1,AVERAGE(INDIRECT("I"&amp;$D$8):INDIRECT("I"&amp;$E$8)),IF(F172=2,AVERAGE(INDIRECT("I"&amp;$D$9):INDIRECT("I"&amp;$E$9)),IF(F172=3,AVERAGE(INDIRECT("I"&amp;$D$10):INDIRECT("I"&amp;$E$10)),IF(F172=4,AVERAGE(INDIRECT("I"&amp;$D$11):INDIRECT("I"&amp;$E$11)),IF(F172=5,AVERAGE(INDIRECT("I"&amp;$D$12):INDIRECT("I"&amp;$E$12)),IF(F172=6,AVERAGE(INDIRECT("I"&amp;$D$13):INDIRECT("I"&amp;$E$13))," "))))))</f>
        <v xml:space="preserve"> </v>
      </c>
      <c r="K172" s="242" t="str">
        <f t="shared" si="17"/>
        <v xml:space="preserve"> </v>
      </c>
      <c r="L172" s="242" t="str">
        <f t="shared" si="18"/>
        <v xml:space="preserve"> </v>
      </c>
      <c r="M172" s="242" t="str">
        <f t="shared" si="19"/>
        <v xml:space="preserve"> </v>
      </c>
    </row>
    <row r="173" spans="6:13" x14ac:dyDescent="0.2">
      <c r="F173" s="216" t="str">
        <f t="shared" si="15"/>
        <v xml:space="preserve"> </v>
      </c>
      <c r="G173" s="50"/>
      <c r="H173" s="242" t="str">
        <f ca="1">IF(F173=1,PERCENTILE(INDIRECT("g"&amp;$D$8):INDIRECT("g"&amp;$E$8),0.5),IF(F173=2,PERCENTILE(INDIRECT("g"&amp;$D$9):INDIRECT("g"&amp;$E$9),0.5),IF(F173=3,PERCENTILE(INDIRECT("g"&amp;$D$10):INDIRECT("g"&amp;$E$10),0.5),IF(F173=4,PERCENTILE(INDIRECT("g"&amp;$D$11):INDIRECT("g"&amp;$E$11),0.5),IF(F173=5,PERCENTILE(INDIRECT("g"&amp;$D$12):INDIRECT("g"&amp;$E$12),0.5),IF(F173=6,PERCENTILE(INDIRECT("g"&amp;$D$13):INDIRECT("g"&amp;$E$13),0.5)," "))))))</f>
        <v xml:space="preserve"> </v>
      </c>
      <c r="I173" s="242" t="str">
        <f t="shared" si="16"/>
        <v xml:space="preserve"> </v>
      </c>
      <c r="J173" s="242" t="str">
        <f ca="1">IF(F173=1,AVERAGE(INDIRECT("I"&amp;$D$8):INDIRECT("I"&amp;$E$8)),IF(F173=2,AVERAGE(INDIRECT("I"&amp;$D$9):INDIRECT("I"&amp;$E$9)),IF(F173=3,AVERAGE(INDIRECT("I"&amp;$D$10):INDIRECT("I"&amp;$E$10)),IF(F173=4,AVERAGE(INDIRECT("I"&amp;$D$11):INDIRECT("I"&amp;$E$11)),IF(F173=5,AVERAGE(INDIRECT("I"&amp;$D$12):INDIRECT("I"&amp;$E$12)),IF(F173=6,AVERAGE(INDIRECT("I"&amp;$D$13):INDIRECT("I"&amp;$E$13))," "))))))</f>
        <v xml:space="preserve"> </v>
      </c>
      <c r="K173" s="242" t="str">
        <f t="shared" si="17"/>
        <v xml:space="preserve"> </v>
      </c>
      <c r="L173" s="242" t="str">
        <f t="shared" si="18"/>
        <v xml:space="preserve"> </v>
      </c>
      <c r="M173" s="242" t="str">
        <f t="shared" si="19"/>
        <v xml:space="preserve"> </v>
      </c>
    </row>
    <row r="174" spans="6:13" x14ac:dyDescent="0.2">
      <c r="F174" s="216" t="str">
        <f t="shared" si="15"/>
        <v xml:space="preserve"> </v>
      </c>
      <c r="G174" s="50"/>
      <c r="H174" s="242" t="str">
        <f ca="1">IF(F174=1,PERCENTILE(INDIRECT("g"&amp;$D$8):INDIRECT("g"&amp;$E$8),0.5),IF(F174=2,PERCENTILE(INDIRECT("g"&amp;$D$9):INDIRECT("g"&amp;$E$9),0.5),IF(F174=3,PERCENTILE(INDIRECT("g"&amp;$D$10):INDIRECT("g"&amp;$E$10),0.5),IF(F174=4,PERCENTILE(INDIRECT("g"&amp;$D$11):INDIRECT("g"&amp;$E$11),0.5),IF(F174=5,PERCENTILE(INDIRECT("g"&amp;$D$12):INDIRECT("g"&amp;$E$12),0.5),IF(F174=6,PERCENTILE(INDIRECT("g"&amp;$D$13):INDIRECT("g"&amp;$E$13),0.5)," "))))))</f>
        <v xml:space="preserve"> </v>
      </c>
      <c r="I174" s="242" t="str">
        <f t="shared" si="16"/>
        <v xml:space="preserve"> </v>
      </c>
      <c r="J174" s="242" t="str">
        <f ca="1">IF(F174=1,AVERAGE(INDIRECT("I"&amp;$D$8):INDIRECT("I"&amp;$E$8)),IF(F174=2,AVERAGE(INDIRECT("I"&amp;$D$9):INDIRECT("I"&amp;$E$9)),IF(F174=3,AVERAGE(INDIRECT("I"&amp;$D$10):INDIRECT("I"&amp;$E$10)),IF(F174=4,AVERAGE(INDIRECT("I"&amp;$D$11):INDIRECT("I"&amp;$E$11)),IF(F174=5,AVERAGE(INDIRECT("I"&amp;$D$12):INDIRECT("I"&amp;$E$12)),IF(F174=6,AVERAGE(INDIRECT("I"&amp;$D$13):INDIRECT("I"&amp;$E$13))," "))))))</f>
        <v xml:space="preserve"> </v>
      </c>
      <c r="K174" s="242" t="str">
        <f t="shared" si="17"/>
        <v xml:space="preserve"> </v>
      </c>
      <c r="L174" s="242" t="str">
        <f t="shared" si="18"/>
        <v xml:space="preserve"> </v>
      </c>
      <c r="M174" s="242" t="str">
        <f t="shared" si="19"/>
        <v xml:space="preserve"> </v>
      </c>
    </row>
    <row r="175" spans="6:13" x14ac:dyDescent="0.2">
      <c r="F175" s="216" t="str">
        <f t="shared" si="15"/>
        <v xml:space="preserve"> </v>
      </c>
      <c r="G175" s="50"/>
      <c r="H175" s="242" t="str">
        <f ca="1">IF(F175=1,PERCENTILE(INDIRECT("g"&amp;$D$8):INDIRECT("g"&amp;$E$8),0.5),IF(F175=2,PERCENTILE(INDIRECT("g"&amp;$D$9):INDIRECT("g"&amp;$E$9),0.5),IF(F175=3,PERCENTILE(INDIRECT("g"&amp;$D$10):INDIRECT("g"&amp;$E$10),0.5),IF(F175=4,PERCENTILE(INDIRECT("g"&amp;$D$11):INDIRECT("g"&amp;$E$11),0.5),IF(F175=5,PERCENTILE(INDIRECT("g"&amp;$D$12):INDIRECT("g"&amp;$E$12),0.5),IF(F175=6,PERCENTILE(INDIRECT("g"&amp;$D$13):INDIRECT("g"&amp;$E$13),0.5)," "))))))</f>
        <v xml:space="preserve"> </v>
      </c>
      <c r="I175" s="242" t="str">
        <f t="shared" si="16"/>
        <v xml:space="preserve"> </v>
      </c>
      <c r="J175" s="242" t="str">
        <f ca="1">IF(F175=1,AVERAGE(INDIRECT("I"&amp;$D$8):INDIRECT("I"&amp;$E$8)),IF(F175=2,AVERAGE(INDIRECT("I"&amp;$D$9):INDIRECT("I"&amp;$E$9)),IF(F175=3,AVERAGE(INDIRECT("I"&amp;$D$10):INDIRECT("I"&amp;$E$10)),IF(F175=4,AVERAGE(INDIRECT("I"&amp;$D$11):INDIRECT("I"&amp;$E$11)),IF(F175=5,AVERAGE(INDIRECT("I"&amp;$D$12):INDIRECT("I"&amp;$E$12)),IF(F175=6,AVERAGE(INDIRECT("I"&amp;$D$13):INDIRECT("I"&amp;$E$13))," "))))))</f>
        <v xml:space="preserve"> </v>
      </c>
      <c r="K175" s="242" t="str">
        <f t="shared" si="17"/>
        <v xml:space="preserve"> </v>
      </c>
      <c r="L175" s="242" t="str">
        <f t="shared" si="18"/>
        <v xml:space="preserve"> </v>
      </c>
      <c r="M175" s="242" t="str">
        <f t="shared" si="19"/>
        <v xml:space="preserve"> </v>
      </c>
    </row>
    <row r="176" spans="6:13" x14ac:dyDescent="0.2">
      <c r="F176" s="216" t="str">
        <f t="shared" si="15"/>
        <v xml:space="preserve"> </v>
      </c>
      <c r="G176" s="50"/>
      <c r="H176" s="242" t="str">
        <f ca="1">IF(F176=1,PERCENTILE(INDIRECT("g"&amp;$D$8):INDIRECT("g"&amp;$E$8),0.5),IF(F176=2,PERCENTILE(INDIRECT("g"&amp;$D$9):INDIRECT("g"&amp;$E$9),0.5),IF(F176=3,PERCENTILE(INDIRECT("g"&amp;$D$10):INDIRECT("g"&amp;$E$10),0.5),IF(F176=4,PERCENTILE(INDIRECT("g"&amp;$D$11):INDIRECT("g"&amp;$E$11),0.5),IF(F176=5,PERCENTILE(INDIRECT("g"&amp;$D$12):INDIRECT("g"&amp;$E$12),0.5),IF(F176=6,PERCENTILE(INDIRECT("g"&amp;$D$13):INDIRECT("g"&amp;$E$13),0.5)," "))))))</f>
        <v xml:space="preserve"> </v>
      </c>
      <c r="I176" s="242" t="str">
        <f t="shared" si="16"/>
        <v xml:space="preserve"> </v>
      </c>
      <c r="J176" s="242" t="str">
        <f ca="1">IF(F176=1,AVERAGE(INDIRECT("I"&amp;$D$8):INDIRECT("I"&amp;$E$8)),IF(F176=2,AVERAGE(INDIRECT("I"&amp;$D$9):INDIRECT("I"&amp;$E$9)),IF(F176=3,AVERAGE(INDIRECT("I"&amp;$D$10):INDIRECT("I"&amp;$E$10)),IF(F176=4,AVERAGE(INDIRECT("I"&amp;$D$11):INDIRECT("I"&amp;$E$11)),IF(F176=5,AVERAGE(INDIRECT("I"&amp;$D$12):INDIRECT("I"&amp;$E$12)),IF(F176=6,AVERAGE(INDIRECT("I"&amp;$D$13):INDIRECT("I"&amp;$E$13))," "))))))</f>
        <v xml:space="preserve"> </v>
      </c>
      <c r="K176" s="242" t="str">
        <f t="shared" si="17"/>
        <v xml:space="preserve"> </v>
      </c>
      <c r="L176" s="242" t="str">
        <f t="shared" si="18"/>
        <v xml:space="preserve"> </v>
      </c>
      <c r="M176" s="242" t="str">
        <f t="shared" si="19"/>
        <v xml:space="preserve"> </v>
      </c>
    </row>
    <row r="177" spans="6:13" x14ac:dyDescent="0.2">
      <c r="F177" s="216" t="str">
        <f t="shared" si="15"/>
        <v xml:space="preserve"> </v>
      </c>
      <c r="G177" s="50"/>
      <c r="H177" s="242" t="str">
        <f ca="1">IF(F177=1,PERCENTILE(INDIRECT("g"&amp;$D$8):INDIRECT("g"&amp;$E$8),0.5),IF(F177=2,PERCENTILE(INDIRECT("g"&amp;$D$9):INDIRECT("g"&amp;$E$9),0.5),IF(F177=3,PERCENTILE(INDIRECT("g"&amp;$D$10):INDIRECT("g"&amp;$E$10),0.5),IF(F177=4,PERCENTILE(INDIRECT("g"&amp;$D$11):INDIRECT("g"&amp;$E$11),0.5),IF(F177=5,PERCENTILE(INDIRECT("g"&amp;$D$12):INDIRECT("g"&amp;$E$12),0.5),IF(F177=6,PERCENTILE(INDIRECT("g"&amp;$D$13):INDIRECT("g"&amp;$E$13),0.5)," "))))))</f>
        <v xml:space="preserve"> </v>
      </c>
      <c r="I177" s="242" t="str">
        <f t="shared" si="16"/>
        <v xml:space="preserve"> </v>
      </c>
      <c r="J177" s="242" t="str">
        <f ca="1">IF(F177=1,AVERAGE(INDIRECT("I"&amp;$D$8):INDIRECT("I"&amp;$E$8)),IF(F177=2,AVERAGE(INDIRECT("I"&amp;$D$9):INDIRECT("I"&amp;$E$9)),IF(F177=3,AVERAGE(INDIRECT("I"&amp;$D$10):INDIRECT("I"&amp;$E$10)),IF(F177=4,AVERAGE(INDIRECT("I"&amp;$D$11):INDIRECT("I"&amp;$E$11)),IF(F177=5,AVERAGE(INDIRECT("I"&amp;$D$12):INDIRECT("I"&amp;$E$12)),IF(F177=6,AVERAGE(INDIRECT("I"&amp;$D$13):INDIRECT("I"&amp;$E$13))," "))))))</f>
        <v xml:space="preserve"> </v>
      </c>
      <c r="K177" s="242" t="str">
        <f t="shared" si="17"/>
        <v xml:space="preserve"> </v>
      </c>
      <c r="L177" s="242" t="str">
        <f t="shared" si="18"/>
        <v xml:space="preserve"> </v>
      </c>
      <c r="M177" s="242" t="str">
        <f t="shared" si="19"/>
        <v xml:space="preserve"> </v>
      </c>
    </row>
    <row r="178" spans="6:13" x14ac:dyDescent="0.2">
      <c r="F178" s="216" t="str">
        <f t="shared" si="15"/>
        <v xml:space="preserve"> </v>
      </c>
      <c r="G178" s="50"/>
      <c r="H178" s="242" t="str">
        <f ca="1">IF(F178=1,PERCENTILE(INDIRECT("g"&amp;$D$8):INDIRECT("g"&amp;$E$8),0.5),IF(F178=2,PERCENTILE(INDIRECT("g"&amp;$D$9):INDIRECT("g"&amp;$E$9),0.5),IF(F178=3,PERCENTILE(INDIRECT("g"&amp;$D$10):INDIRECT("g"&amp;$E$10),0.5),IF(F178=4,PERCENTILE(INDIRECT("g"&amp;$D$11):INDIRECT("g"&amp;$E$11),0.5),IF(F178=5,PERCENTILE(INDIRECT("g"&amp;$D$12):INDIRECT("g"&amp;$E$12),0.5),IF(F178=6,PERCENTILE(INDIRECT("g"&amp;$D$13):INDIRECT("g"&amp;$E$13),0.5)," "))))))</f>
        <v xml:space="preserve"> </v>
      </c>
      <c r="I178" s="242" t="str">
        <f t="shared" si="16"/>
        <v xml:space="preserve"> </v>
      </c>
      <c r="J178" s="242" t="str">
        <f ca="1">IF(F178=1,AVERAGE(INDIRECT("I"&amp;$D$8):INDIRECT("I"&amp;$E$8)),IF(F178=2,AVERAGE(INDIRECT("I"&amp;$D$9):INDIRECT("I"&amp;$E$9)),IF(F178=3,AVERAGE(INDIRECT("I"&amp;$D$10):INDIRECT("I"&amp;$E$10)),IF(F178=4,AVERAGE(INDIRECT("I"&amp;$D$11):INDIRECT("I"&amp;$E$11)),IF(F178=5,AVERAGE(INDIRECT("I"&amp;$D$12):INDIRECT("I"&amp;$E$12)),IF(F178=6,AVERAGE(INDIRECT("I"&amp;$D$13):INDIRECT("I"&amp;$E$13))," "))))))</f>
        <v xml:space="preserve"> </v>
      </c>
      <c r="K178" s="242" t="str">
        <f t="shared" si="17"/>
        <v xml:space="preserve"> </v>
      </c>
      <c r="L178" s="242" t="str">
        <f t="shared" si="18"/>
        <v xml:space="preserve"> </v>
      </c>
      <c r="M178" s="242" t="str">
        <f t="shared" si="19"/>
        <v xml:space="preserve"> </v>
      </c>
    </row>
    <row r="179" spans="6:13" x14ac:dyDescent="0.2">
      <c r="F179" s="216" t="str">
        <f t="shared" si="15"/>
        <v xml:space="preserve"> </v>
      </c>
      <c r="G179" s="50"/>
      <c r="H179" s="242" t="str">
        <f ca="1">IF(F179=1,PERCENTILE(INDIRECT("g"&amp;$D$8):INDIRECT("g"&amp;$E$8),0.5),IF(F179=2,PERCENTILE(INDIRECT("g"&amp;$D$9):INDIRECT("g"&amp;$E$9),0.5),IF(F179=3,PERCENTILE(INDIRECT("g"&amp;$D$10):INDIRECT("g"&amp;$E$10),0.5),IF(F179=4,PERCENTILE(INDIRECT("g"&amp;$D$11):INDIRECT("g"&amp;$E$11),0.5),IF(F179=5,PERCENTILE(INDIRECT("g"&amp;$D$12):INDIRECT("g"&amp;$E$12),0.5),IF(F179=6,PERCENTILE(INDIRECT("g"&amp;$D$13):INDIRECT("g"&amp;$E$13),0.5)," "))))))</f>
        <v xml:space="preserve"> </v>
      </c>
      <c r="I179" s="242" t="str">
        <f t="shared" si="16"/>
        <v xml:space="preserve"> </v>
      </c>
      <c r="J179" s="242" t="str">
        <f ca="1">IF(F179=1,AVERAGE(INDIRECT("I"&amp;$D$8):INDIRECT("I"&amp;$E$8)),IF(F179=2,AVERAGE(INDIRECT("I"&amp;$D$9):INDIRECT("I"&amp;$E$9)),IF(F179=3,AVERAGE(INDIRECT("I"&amp;$D$10):INDIRECT("I"&amp;$E$10)),IF(F179=4,AVERAGE(INDIRECT("I"&amp;$D$11):INDIRECT("I"&amp;$E$11)),IF(F179=5,AVERAGE(INDIRECT("I"&amp;$D$12):INDIRECT("I"&amp;$E$12)),IF(F179=6,AVERAGE(INDIRECT("I"&amp;$D$13):INDIRECT("I"&amp;$E$13))," "))))))</f>
        <v xml:space="preserve"> </v>
      </c>
      <c r="K179" s="242" t="str">
        <f t="shared" si="17"/>
        <v xml:space="preserve"> </v>
      </c>
      <c r="L179" s="242" t="str">
        <f t="shared" si="18"/>
        <v xml:space="preserve"> </v>
      </c>
      <c r="M179" s="242" t="str">
        <f t="shared" si="19"/>
        <v xml:space="preserve"> </v>
      </c>
    </row>
    <row r="180" spans="6:13" x14ac:dyDescent="0.2">
      <c r="F180" s="216" t="str">
        <f t="shared" si="15"/>
        <v xml:space="preserve"> </v>
      </c>
      <c r="G180" s="50"/>
      <c r="H180" s="242" t="str">
        <f ca="1">IF(F180=1,PERCENTILE(INDIRECT("g"&amp;$D$8):INDIRECT("g"&amp;$E$8),0.5),IF(F180=2,PERCENTILE(INDIRECT("g"&amp;$D$9):INDIRECT("g"&amp;$E$9),0.5),IF(F180=3,PERCENTILE(INDIRECT("g"&amp;$D$10):INDIRECT("g"&amp;$E$10),0.5),IF(F180=4,PERCENTILE(INDIRECT("g"&amp;$D$11):INDIRECT("g"&amp;$E$11),0.5),IF(F180=5,PERCENTILE(INDIRECT("g"&amp;$D$12):INDIRECT("g"&amp;$E$12),0.5),IF(F180=6,PERCENTILE(INDIRECT("g"&amp;$D$13):INDIRECT("g"&amp;$E$13),0.5)," "))))))</f>
        <v xml:space="preserve"> </v>
      </c>
      <c r="I180" s="242" t="str">
        <f t="shared" si="16"/>
        <v xml:space="preserve"> </v>
      </c>
      <c r="J180" s="242" t="str">
        <f ca="1">IF(F180=1,AVERAGE(INDIRECT("I"&amp;$D$8):INDIRECT("I"&amp;$E$8)),IF(F180=2,AVERAGE(INDIRECT("I"&amp;$D$9):INDIRECT("I"&amp;$E$9)),IF(F180=3,AVERAGE(INDIRECT("I"&amp;$D$10):INDIRECT("I"&amp;$E$10)),IF(F180=4,AVERAGE(INDIRECT("I"&amp;$D$11):INDIRECT("I"&amp;$E$11)),IF(F180=5,AVERAGE(INDIRECT("I"&amp;$D$12):INDIRECT("I"&amp;$E$12)),IF(F180=6,AVERAGE(INDIRECT("I"&amp;$D$13):INDIRECT("I"&amp;$E$13))," "))))))</f>
        <v xml:space="preserve"> </v>
      </c>
      <c r="K180" s="242" t="str">
        <f t="shared" si="17"/>
        <v xml:space="preserve"> </v>
      </c>
      <c r="L180" s="242" t="str">
        <f t="shared" si="18"/>
        <v xml:space="preserve"> </v>
      </c>
      <c r="M180" s="242" t="str">
        <f t="shared" si="19"/>
        <v xml:space="preserve"> </v>
      </c>
    </row>
    <row r="181" spans="6:13" x14ac:dyDescent="0.2">
      <c r="F181" s="216" t="str">
        <f t="shared" si="15"/>
        <v xml:space="preserve"> </v>
      </c>
      <c r="G181" s="50"/>
      <c r="H181" s="242" t="str">
        <f ca="1">IF(F181=1,PERCENTILE(INDIRECT("g"&amp;$D$8):INDIRECT("g"&amp;$E$8),0.5),IF(F181=2,PERCENTILE(INDIRECT("g"&amp;$D$9):INDIRECT("g"&amp;$E$9),0.5),IF(F181=3,PERCENTILE(INDIRECT("g"&amp;$D$10):INDIRECT("g"&amp;$E$10),0.5),IF(F181=4,PERCENTILE(INDIRECT("g"&amp;$D$11):INDIRECT("g"&amp;$E$11),0.5),IF(F181=5,PERCENTILE(INDIRECT("g"&amp;$D$12):INDIRECT("g"&amp;$E$12),0.5),IF(F181=6,PERCENTILE(INDIRECT("g"&amp;$D$13):INDIRECT("g"&amp;$E$13),0.5)," "))))))</f>
        <v xml:space="preserve"> </v>
      </c>
      <c r="I181" s="242" t="str">
        <f t="shared" si="16"/>
        <v xml:space="preserve"> </v>
      </c>
      <c r="J181" s="242" t="str">
        <f ca="1">IF(F181=1,AVERAGE(INDIRECT("I"&amp;$D$8):INDIRECT("I"&amp;$E$8)),IF(F181=2,AVERAGE(INDIRECT("I"&amp;$D$9):INDIRECT("I"&amp;$E$9)),IF(F181=3,AVERAGE(INDIRECT("I"&amp;$D$10):INDIRECT("I"&amp;$E$10)),IF(F181=4,AVERAGE(INDIRECT("I"&amp;$D$11):INDIRECT("I"&amp;$E$11)),IF(F181=5,AVERAGE(INDIRECT("I"&amp;$D$12):INDIRECT("I"&amp;$E$12)),IF(F181=6,AVERAGE(INDIRECT("I"&amp;$D$13):INDIRECT("I"&amp;$E$13))," "))))))</f>
        <v xml:space="preserve"> </v>
      </c>
      <c r="K181" s="242" t="str">
        <f t="shared" si="17"/>
        <v xml:space="preserve"> </v>
      </c>
      <c r="L181" s="242" t="str">
        <f t="shared" si="18"/>
        <v xml:space="preserve"> </v>
      </c>
      <c r="M181" s="242" t="str">
        <f t="shared" si="19"/>
        <v xml:space="preserve"> </v>
      </c>
    </row>
    <row r="182" spans="6:13" x14ac:dyDescent="0.2">
      <c r="F182" s="216" t="str">
        <f t="shared" si="15"/>
        <v xml:space="preserve"> </v>
      </c>
      <c r="G182" s="50"/>
      <c r="H182" s="242" t="str">
        <f ca="1">IF(F182=1,PERCENTILE(INDIRECT("g"&amp;$D$8):INDIRECT("g"&amp;$E$8),0.5),IF(F182=2,PERCENTILE(INDIRECT("g"&amp;$D$9):INDIRECT("g"&amp;$E$9),0.5),IF(F182=3,PERCENTILE(INDIRECT("g"&amp;$D$10):INDIRECT("g"&amp;$E$10),0.5),IF(F182=4,PERCENTILE(INDIRECT("g"&amp;$D$11):INDIRECT("g"&amp;$E$11),0.5),IF(F182=5,PERCENTILE(INDIRECT("g"&amp;$D$12):INDIRECT("g"&amp;$E$12),0.5),IF(F182=6,PERCENTILE(INDIRECT("g"&amp;$D$13):INDIRECT("g"&amp;$E$13),0.5)," "))))))</f>
        <v xml:space="preserve"> </v>
      </c>
      <c r="I182" s="242" t="str">
        <f t="shared" si="16"/>
        <v xml:space="preserve"> </v>
      </c>
      <c r="J182" s="242" t="str">
        <f ca="1">IF(F182=1,AVERAGE(INDIRECT("I"&amp;$D$8):INDIRECT("I"&amp;$E$8)),IF(F182=2,AVERAGE(INDIRECT("I"&amp;$D$9):INDIRECT("I"&amp;$E$9)),IF(F182=3,AVERAGE(INDIRECT("I"&amp;$D$10):INDIRECT("I"&amp;$E$10)),IF(F182=4,AVERAGE(INDIRECT("I"&amp;$D$11):INDIRECT("I"&amp;$E$11)),IF(F182=5,AVERAGE(INDIRECT("I"&amp;$D$12):INDIRECT("I"&amp;$E$12)),IF(F182=6,AVERAGE(INDIRECT("I"&amp;$D$13):INDIRECT("I"&amp;$E$13))," "))))))</f>
        <v xml:space="preserve"> </v>
      </c>
      <c r="K182" s="242" t="str">
        <f t="shared" si="17"/>
        <v xml:space="preserve"> </v>
      </c>
      <c r="L182" s="242" t="str">
        <f t="shared" si="18"/>
        <v xml:space="preserve"> </v>
      </c>
      <c r="M182" s="242" t="str">
        <f t="shared" si="19"/>
        <v xml:space="preserve"> </v>
      </c>
    </row>
    <row r="183" spans="6:13" x14ac:dyDescent="0.2">
      <c r="F183" s="216" t="str">
        <f t="shared" si="15"/>
        <v xml:space="preserve"> </v>
      </c>
      <c r="G183" s="50"/>
      <c r="H183" s="242" t="str">
        <f ca="1">IF(F183=1,PERCENTILE(INDIRECT("g"&amp;$D$8):INDIRECT("g"&amp;$E$8),0.5),IF(F183=2,PERCENTILE(INDIRECT("g"&amp;$D$9):INDIRECT("g"&amp;$E$9),0.5),IF(F183=3,PERCENTILE(INDIRECT("g"&amp;$D$10):INDIRECT("g"&amp;$E$10),0.5),IF(F183=4,PERCENTILE(INDIRECT("g"&amp;$D$11):INDIRECT("g"&amp;$E$11),0.5),IF(F183=5,PERCENTILE(INDIRECT("g"&amp;$D$12):INDIRECT("g"&amp;$E$12),0.5),IF(F183=6,PERCENTILE(INDIRECT("g"&amp;$D$13):INDIRECT("g"&amp;$E$13),0.5)," "))))))</f>
        <v xml:space="preserve"> </v>
      </c>
      <c r="I183" s="242" t="str">
        <f t="shared" si="16"/>
        <v xml:space="preserve"> </v>
      </c>
      <c r="J183" s="242" t="str">
        <f ca="1">IF(F183=1,AVERAGE(INDIRECT("I"&amp;$D$8):INDIRECT("I"&amp;$E$8)),IF(F183=2,AVERAGE(INDIRECT("I"&amp;$D$9):INDIRECT("I"&amp;$E$9)),IF(F183=3,AVERAGE(INDIRECT("I"&amp;$D$10):INDIRECT("I"&amp;$E$10)),IF(F183=4,AVERAGE(INDIRECT("I"&amp;$D$11):INDIRECT("I"&amp;$E$11)),IF(F183=5,AVERAGE(INDIRECT("I"&amp;$D$12):INDIRECT("I"&amp;$E$12)),IF(F183=6,AVERAGE(INDIRECT("I"&amp;$D$13):INDIRECT("I"&amp;$E$13))," "))))))</f>
        <v xml:space="preserve"> </v>
      </c>
      <c r="K183" s="242" t="str">
        <f t="shared" si="17"/>
        <v xml:space="preserve"> </v>
      </c>
      <c r="L183" s="242" t="str">
        <f t="shared" si="18"/>
        <v xml:space="preserve"> </v>
      </c>
      <c r="M183" s="242" t="str">
        <f t="shared" si="19"/>
        <v xml:space="preserve"> </v>
      </c>
    </row>
    <row r="184" spans="6:13" x14ac:dyDescent="0.2">
      <c r="F184" s="216" t="str">
        <f t="shared" si="15"/>
        <v xml:space="preserve"> </v>
      </c>
      <c r="G184" s="50"/>
      <c r="H184" s="242" t="str">
        <f ca="1">IF(F184=1,PERCENTILE(INDIRECT("g"&amp;$D$8):INDIRECT("g"&amp;$E$8),0.5),IF(F184=2,PERCENTILE(INDIRECT("g"&amp;$D$9):INDIRECT("g"&amp;$E$9),0.5),IF(F184=3,PERCENTILE(INDIRECT("g"&amp;$D$10):INDIRECT("g"&amp;$E$10),0.5),IF(F184=4,PERCENTILE(INDIRECT("g"&amp;$D$11):INDIRECT("g"&amp;$E$11),0.5),IF(F184=5,PERCENTILE(INDIRECT("g"&amp;$D$12):INDIRECT("g"&amp;$E$12),0.5),IF(F184=6,PERCENTILE(INDIRECT("g"&amp;$D$13):INDIRECT("g"&amp;$E$13),0.5)," "))))))</f>
        <v xml:space="preserve"> </v>
      </c>
      <c r="I184" s="242" t="str">
        <f t="shared" si="16"/>
        <v xml:space="preserve"> </v>
      </c>
      <c r="J184" s="242" t="str">
        <f ca="1">IF(F184=1,AVERAGE(INDIRECT("I"&amp;$D$8):INDIRECT("I"&amp;$E$8)),IF(F184=2,AVERAGE(INDIRECT("I"&amp;$D$9):INDIRECT("I"&amp;$E$9)),IF(F184=3,AVERAGE(INDIRECT("I"&amp;$D$10):INDIRECT("I"&amp;$E$10)),IF(F184=4,AVERAGE(INDIRECT("I"&amp;$D$11):INDIRECT("I"&amp;$E$11)),IF(F184=5,AVERAGE(INDIRECT("I"&amp;$D$12):INDIRECT("I"&amp;$E$12)),IF(F184=6,AVERAGE(INDIRECT("I"&amp;$D$13):INDIRECT("I"&amp;$E$13))," "))))))</f>
        <v xml:space="preserve"> </v>
      </c>
      <c r="K184" s="242" t="str">
        <f t="shared" si="17"/>
        <v xml:space="preserve"> </v>
      </c>
      <c r="L184" s="242" t="str">
        <f t="shared" si="18"/>
        <v xml:space="preserve"> </v>
      </c>
      <c r="M184" s="242" t="str">
        <f t="shared" si="19"/>
        <v xml:space="preserve"> </v>
      </c>
    </row>
    <row r="185" spans="6:13" x14ac:dyDescent="0.2">
      <c r="F185" s="216" t="str">
        <f t="shared" si="15"/>
        <v xml:space="preserve"> </v>
      </c>
      <c r="G185" s="50"/>
      <c r="H185" s="242" t="str">
        <f ca="1">IF(F185=1,PERCENTILE(INDIRECT("g"&amp;$D$8):INDIRECT("g"&amp;$E$8),0.5),IF(F185=2,PERCENTILE(INDIRECT("g"&amp;$D$9):INDIRECT("g"&amp;$E$9),0.5),IF(F185=3,PERCENTILE(INDIRECT("g"&amp;$D$10):INDIRECT("g"&amp;$E$10),0.5),IF(F185=4,PERCENTILE(INDIRECT("g"&amp;$D$11):INDIRECT("g"&amp;$E$11),0.5),IF(F185=5,PERCENTILE(INDIRECT("g"&amp;$D$12):INDIRECT("g"&amp;$E$12),0.5),IF(F185=6,PERCENTILE(INDIRECT("g"&amp;$D$13):INDIRECT("g"&amp;$E$13),0.5)," "))))))</f>
        <v xml:space="preserve"> </v>
      </c>
      <c r="I185" s="242" t="str">
        <f t="shared" si="16"/>
        <v xml:space="preserve"> </v>
      </c>
      <c r="J185" s="242" t="str">
        <f ca="1">IF(F185=1,AVERAGE(INDIRECT("I"&amp;$D$8):INDIRECT("I"&amp;$E$8)),IF(F185=2,AVERAGE(INDIRECT("I"&amp;$D$9):INDIRECT("I"&amp;$E$9)),IF(F185=3,AVERAGE(INDIRECT("I"&amp;$D$10):INDIRECT("I"&amp;$E$10)),IF(F185=4,AVERAGE(INDIRECT("I"&amp;$D$11):INDIRECT("I"&amp;$E$11)),IF(F185=5,AVERAGE(INDIRECT("I"&amp;$D$12):INDIRECT("I"&amp;$E$12)),IF(F185=6,AVERAGE(INDIRECT("I"&amp;$D$13):INDIRECT("I"&amp;$E$13))," "))))))</f>
        <v xml:space="preserve"> </v>
      </c>
      <c r="K185" s="242" t="str">
        <f t="shared" si="17"/>
        <v xml:space="preserve"> </v>
      </c>
      <c r="L185" s="242" t="str">
        <f t="shared" si="18"/>
        <v xml:space="preserve"> </v>
      </c>
      <c r="M185" s="242" t="str">
        <f t="shared" si="19"/>
        <v xml:space="preserve"> </v>
      </c>
    </row>
    <row r="186" spans="6:13" x14ac:dyDescent="0.2">
      <c r="F186" s="216" t="str">
        <f t="shared" si="15"/>
        <v xml:space="preserve"> </v>
      </c>
      <c r="G186" s="50"/>
      <c r="H186" s="242" t="str">
        <f ca="1">IF(F186=1,PERCENTILE(INDIRECT("g"&amp;$D$8):INDIRECT("g"&amp;$E$8),0.5),IF(F186=2,PERCENTILE(INDIRECT("g"&amp;$D$9):INDIRECT("g"&amp;$E$9),0.5),IF(F186=3,PERCENTILE(INDIRECT("g"&amp;$D$10):INDIRECT("g"&amp;$E$10),0.5),IF(F186=4,PERCENTILE(INDIRECT("g"&amp;$D$11):INDIRECT("g"&amp;$E$11),0.5),IF(F186=5,PERCENTILE(INDIRECT("g"&amp;$D$12):INDIRECT("g"&amp;$E$12),0.5),IF(F186=6,PERCENTILE(INDIRECT("g"&amp;$D$13):INDIRECT("g"&amp;$E$13),0.5)," "))))))</f>
        <v xml:space="preserve"> </v>
      </c>
      <c r="I186" s="242" t="str">
        <f t="shared" si="16"/>
        <v xml:space="preserve"> </v>
      </c>
      <c r="J186" s="242" t="str">
        <f ca="1">IF(F186=1,AVERAGE(INDIRECT("I"&amp;$D$8):INDIRECT("I"&amp;$E$8)),IF(F186=2,AVERAGE(INDIRECT("I"&amp;$D$9):INDIRECT("I"&amp;$E$9)),IF(F186=3,AVERAGE(INDIRECT("I"&amp;$D$10):INDIRECT("I"&amp;$E$10)),IF(F186=4,AVERAGE(INDIRECT("I"&amp;$D$11):INDIRECT("I"&amp;$E$11)),IF(F186=5,AVERAGE(INDIRECT("I"&amp;$D$12):INDIRECT("I"&amp;$E$12)),IF(F186=6,AVERAGE(INDIRECT("I"&amp;$D$13):INDIRECT("I"&amp;$E$13))," "))))))</f>
        <v xml:space="preserve"> </v>
      </c>
      <c r="K186" s="242" t="str">
        <f t="shared" si="17"/>
        <v xml:space="preserve"> </v>
      </c>
      <c r="L186" s="242" t="str">
        <f t="shared" si="18"/>
        <v xml:space="preserve"> </v>
      </c>
      <c r="M186" s="242" t="str">
        <f t="shared" si="19"/>
        <v xml:space="preserve"> </v>
      </c>
    </row>
    <row r="187" spans="6:13" x14ac:dyDescent="0.2">
      <c r="F187" s="216" t="str">
        <f t="shared" si="15"/>
        <v xml:space="preserve"> </v>
      </c>
      <c r="G187" s="50"/>
      <c r="H187" s="242" t="str">
        <f ca="1">IF(F187=1,PERCENTILE(INDIRECT("g"&amp;$D$8):INDIRECT("g"&amp;$E$8),0.5),IF(F187=2,PERCENTILE(INDIRECT("g"&amp;$D$9):INDIRECT("g"&amp;$E$9),0.5),IF(F187=3,PERCENTILE(INDIRECT("g"&amp;$D$10):INDIRECT("g"&amp;$E$10),0.5),IF(F187=4,PERCENTILE(INDIRECT("g"&amp;$D$11):INDIRECT("g"&amp;$E$11),0.5),IF(F187=5,PERCENTILE(INDIRECT("g"&amp;$D$12):INDIRECT("g"&amp;$E$12),0.5),IF(F187=6,PERCENTILE(INDIRECT("g"&amp;$D$13):INDIRECT("g"&amp;$E$13),0.5)," "))))))</f>
        <v xml:space="preserve"> </v>
      </c>
      <c r="I187" s="242" t="str">
        <f t="shared" si="16"/>
        <v xml:space="preserve"> </v>
      </c>
      <c r="J187" s="242" t="str">
        <f ca="1">IF(F187=1,AVERAGE(INDIRECT("I"&amp;$D$8):INDIRECT("I"&amp;$E$8)),IF(F187=2,AVERAGE(INDIRECT("I"&amp;$D$9):INDIRECT("I"&amp;$E$9)),IF(F187=3,AVERAGE(INDIRECT("I"&amp;$D$10):INDIRECT("I"&amp;$E$10)),IF(F187=4,AVERAGE(INDIRECT("I"&amp;$D$11):INDIRECT("I"&amp;$E$11)),IF(F187=5,AVERAGE(INDIRECT("I"&amp;$D$12):INDIRECT("I"&amp;$E$12)),IF(F187=6,AVERAGE(INDIRECT("I"&amp;$D$13):INDIRECT("I"&amp;$E$13))," "))))))</f>
        <v xml:space="preserve"> </v>
      </c>
      <c r="K187" s="242" t="str">
        <f t="shared" si="17"/>
        <v xml:space="preserve"> </v>
      </c>
      <c r="L187" s="242" t="str">
        <f t="shared" si="18"/>
        <v xml:space="preserve"> </v>
      </c>
      <c r="M187" s="242" t="str">
        <f t="shared" si="19"/>
        <v xml:space="preserve"> </v>
      </c>
    </row>
    <row r="188" spans="6:13" x14ac:dyDescent="0.2">
      <c r="F188" s="216" t="str">
        <f t="shared" si="15"/>
        <v xml:space="preserve"> </v>
      </c>
      <c r="G188" s="50"/>
      <c r="H188" s="242" t="str">
        <f ca="1">IF(F188=1,PERCENTILE(INDIRECT("g"&amp;$D$8):INDIRECT("g"&amp;$E$8),0.5),IF(F188=2,PERCENTILE(INDIRECT("g"&amp;$D$9):INDIRECT("g"&amp;$E$9),0.5),IF(F188=3,PERCENTILE(INDIRECT("g"&amp;$D$10):INDIRECT("g"&amp;$E$10),0.5),IF(F188=4,PERCENTILE(INDIRECT("g"&amp;$D$11):INDIRECT("g"&amp;$E$11),0.5),IF(F188=5,PERCENTILE(INDIRECT("g"&amp;$D$12):INDIRECT("g"&amp;$E$12),0.5),IF(F188=6,PERCENTILE(INDIRECT("g"&amp;$D$13):INDIRECT("g"&amp;$E$13),0.5)," "))))))</f>
        <v xml:space="preserve"> </v>
      </c>
      <c r="I188" s="242" t="str">
        <f t="shared" si="16"/>
        <v xml:space="preserve"> </v>
      </c>
      <c r="J188" s="242" t="str">
        <f ca="1">IF(F188=1,AVERAGE(INDIRECT("I"&amp;$D$8):INDIRECT("I"&amp;$E$8)),IF(F188=2,AVERAGE(INDIRECT("I"&amp;$D$9):INDIRECT("I"&amp;$E$9)),IF(F188=3,AVERAGE(INDIRECT("I"&amp;$D$10):INDIRECT("I"&amp;$E$10)),IF(F188=4,AVERAGE(INDIRECT("I"&amp;$D$11):INDIRECT("I"&amp;$E$11)),IF(F188=5,AVERAGE(INDIRECT("I"&amp;$D$12):INDIRECT("I"&amp;$E$12)),IF(F188=6,AVERAGE(INDIRECT("I"&amp;$D$13):INDIRECT("I"&amp;$E$13))," "))))))</f>
        <v xml:space="preserve"> </v>
      </c>
      <c r="K188" s="242" t="str">
        <f t="shared" si="17"/>
        <v xml:space="preserve"> </v>
      </c>
      <c r="L188" s="242" t="str">
        <f t="shared" si="18"/>
        <v xml:space="preserve"> </v>
      </c>
      <c r="M188" s="242" t="str">
        <f t="shared" si="19"/>
        <v xml:space="preserve"> </v>
      </c>
    </row>
    <row r="189" spans="6:13" x14ac:dyDescent="0.2">
      <c r="F189" s="216" t="str">
        <f t="shared" si="15"/>
        <v xml:space="preserve"> </v>
      </c>
      <c r="G189" s="50"/>
      <c r="H189" s="242" t="str">
        <f ca="1">IF(F189=1,PERCENTILE(INDIRECT("g"&amp;$D$8):INDIRECT("g"&amp;$E$8),0.5),IF(F189=2,PERCENTILE(INDIRECT("g"&amp;$D$9):INDIRECT("g"&amp;$E$9),0.5),IF(F189=3,PERCENTILE(INDIRECT("g"&amp;$D$10):INDIRECT("g"&amp;$E$10),0.5),IF(F189=4,PERCENTILE(INDIRECT("g"&amp;$D$11):INDIRECT("g"&amp;$E$11),0.5),IF(F189=5,PERCENTILE(INDIRECT("g"&amp;$D$12):INDIRECT("g"&amp;$E$12),0.5),IF(F189=6,PERCENTILE(INDIRECT("g"&amp;$D$13):INDIRECT("g"&amp;$E$13),0.5)," "))))))</f>
        <v xml:space="preserve"> </v>
      </c>
      <c r="I189" s="242" t="str">
        <f t="shared" si="16"/>
        <v xml:space="preserve"> </v>
      </c>
      <c r="J189" s="242" t="str">
        <f ca="1">IF(F189=1,AVERAGE(INDIRECT("I"&amp;$D$8):INDIRECT("I"&amp;$E$8)),IF(F189=2,AVERAGE(INDIRECT("I"&amp;$D$9):INDIRECT("I"&amp;$E$9)),IF(F189=3,AVERAGE(INDIRECT("I"&amp;$D$10):INDIRECT("I"&amp;$E$10)),IF(F189=4,AVERAGE(INDIRECT("I"&amp;$D$11):INDIRECT("I"&amp;$E$11)),IF(F189=5,AVERAGE(INDIRECT("I"&amp;$D$12):INDIRECT("I"&amp;$E$12)),IF(F189=6,AVERAGE(INDIRECT("I"&amp;$D$13):INDIRECT("I"&amp;$E$13))," "))))))</f>
        <v xml:space="preserve"> </v>
      </c>
      <c r="K189" s="242" t="str">
        <f t="shared" si="17"/>
        <v xml:space="preserve"> </v>
      </c>
      <c r="L189" s="242" t="str">
        <f t="shared" si="18"/>
        <v xml:space="preserve"> </v>
      </c>
      <c r="M189" s="242" t="str">
        <f t="shared" si="19"/>
        <v xml:space="preserve"> </v>
      </c>
    </row>
    <row r="190" spans="6:13" x14ac:dyDescent="0.2">
      <c r="F190" s="216" t="str">
        <f t="shared" si="15"/>
        <v xml:space="preserve"> </v>
      </c>
      <c r="G190" s="50"/>
      <c r="H190" s="242" t="str">
        <f ca="1">IF(F190=1,PERCENTILE(INDIRECT("g"&amp;$D$8):INDIRECT("g"&amp;$E$8),0.5),IF(F190=2,PERCENTILE(INDIRECT("g"&amp;$D$9):INDIRECT("g"&amp;$E$9),0.5),IF(F190=3,PERCENTILE(INDIRECT("g"&amp;$D$10):INDIRECT("g"&amp;$E$10),0.5),IF(F190=4,PERCENTILE(INDIRECT("g"&amp;$D$11):INDIRECT("g"&amp;$E$11),0.5),IF(F190=5,PERCENTILE(INDIRECT("g"&amp;$D$12):INDIRECT("g"&amp;$E$12),0.5),IF(F190=6,PERCENTILE(INDIRECT("g"&amp;$D$13):INDIRECT("g"&amp;$E$13),0.5)," "))))))</f>
        <v xml:space="preserve"> </v>
      </c>
      <c r="I190" s="242" t="str">
        <f t="shared" si="16"/>
        <v xml:space="preserve"> </v>
      </c>
      <c r="J190" s="242" t="str">
        <f ca="1">IF(F190=1,AVERAGE(INDIRECT("I"&amp;$D$8):INDIRECT("I"&amp;$E$8)),IF(F190=2,AVERAGE(INDIRECT("I"&amp;$D$9):INDIRECT("I"&amp;$E$9)),IF(F190=3,AVERAGE(INDIRECT("I"&amp;$D$10):INDIRECT("I"&amp;$E$10)),IF(F190=4,AVERAGE(INDIRECT("I"&amp;$D$11):INDIRECT("I"&amp;$E$11)),IF(F190=5,AVERAGE(INDIRECT("I"&amp;$D$12):INDIRECT("I"&amp;$E$12)),IF(F190=6,AVERAGE(INDIRECT("I"&amp;$D$13):INDIRECT("I"&amp;$E$13))," "))))))</f>
        <v xml:space="preserve"> </v>
      </c>
      <c r="K190" s="242" t="str">
        <f t="shared" si="17"/>
        <v xml:space="preserve"> </v>
      </c>
      <c r="L190" s="242" t="str">
        <f t="shared" si="18"/>
        <v xml:space="preserve"> </v>
      </c>
      <c r="M190" s="242" t="str">
        <f t="shared" si="19"/>
        <v xml:space="preserve"> </v>
      </c>
    </row>
    <row r="191" spans="6:13" x14ac:dyDescent="0.2">
      <c r="F191" s="216" t="str">
        <f t="shared" si="15"/>
        <v xml:space="preserve"> </v>
      </c>
      <c r="G191" s="50"/>
      <c r="H191" s="242" t="str">
        <f ca="1">IF(F191=1,PERCENTILE(INDIRECT("g"&amp;$D$8):INDIRECT("g"&amp;$E$8),0.5),IF(F191=2,PERCENTILE(INDIRECT("g"&amp;$D$9):INDIRECT("g"&amp;$E$9),0.5),IF(F191=3,PERCENTILE(INDIRECT("g"&amp;$D$10):INDIRECT("g"&amp;$E$10),0.5),IF(F191=4,PERCENTILE(INDIRECT("g"&amp;$D$11):INDIRECT("g"&amp;$E$11),0.5),IF(F191=5,PERCENTILE(INDIRECT("g"&amp;$D$12):INDIRECT("g"&amp;$E$12),0.5),IF(F191=6,PERCENTILE(INDIRECT("g"&amp;$D$13):INDIRECT("g"&amp;$E$13),0.5)," "))))))</f>
        <v xml:space="preserve"> </v>
      </c>
      <c r="I191" s="242" t="str">
        <f t="shared" si="16"/>
        <v xml:space="preserve"> </v>
      </c>
      <c r="J191" s="242" t="str">
        <f ca="1">IF(F191=1,AVERAGE(INDIRECT("I"&amp;$D$8):INDIRECT("I"&amp;$E$8)),IF(F191=2,AVERAGE(INDIRECT("I"&amp;$D$9):INDIRECT("I"&amp;$E$9)),IF(F191=3,AVERAGE(INDIRECT("I"&amp;$D$10):INDIRECT("I"&amp;$E$10)),IF(F191=4,AVERAGE(INDIRECT("I"&amp;$D$11):INDIRECT("I"&amp;$E$11)),IF(F191=5,AVERAGE(INDIRECT("I"&amp;$D$12):INDIRECT("I"&amp;$E$12)),IF(F191=6,AVERAGE(INDIRECT("I"&amp;$D$13):INDIRECT("I"&amp;$E$13))," "))))))</f>
        <v xml:space="preserve"> </v>
      </c>
      <c r="K191" s="242" t="str">
        <f t="shared" si="17"/>
        <v xml:space="preserve"> </v>
      </c>
      <c r="L191" s="242" t="str">
        <f t="shared" si="18"/>
        <v xml:space="preserve"> </v>
      </c>
      <c r="M191" s="242" t="str">
        <f t="shared" si="19"/>
        <v xml:space="preserve"> </v>
      </c>
    </row>
    <row r="192" spans="6:13" x14ac:dyDescent="0.2">
      <c r="F192" s="216" t="str">
        <f t="shared" si="15"/>
        <v xml:space="preserve"> </v>
      </c>
      <c r="G192" s="50"/>
      <c r="H192" s="242" t="str">
        <f ca="1">IF(F192=1,PERCENTILE(INDIRECT("g"&amp;$D$8):INDIRECT("g"&amp;$E$8),0.5),IF(F192=2,PERCENTILE(INDIRECT("g"&amp;$D$9):INDIRECT("g"&amp;$E$9),0.5),IF(F192=3,PERCENTILE(INDIRECT("g"&amp;$D$10):INDIRECT("g"&amp;$E$10),0.5),IF(F192=4,PERCENTILE(INDIRECT("g"&amp;$D$11):INDIRECT("g"&amp;$E$11),0.5),IF(F192=5,PERCENTILE(INDIRECT("g"&amp;$D$12):INDIRECT("g"&amp;$E$12),0.5),IF(F192=6,PERCENTILE(INDIRECT("g"&amp;$D$13):INDIRECT("g"&amp;$E$13),0.5)," "))))))</f>
        <v xml:space="preserve"> </v>
      </c>
      <c r="I192" s="242" t="str">
        <f t="shared" si="16"/>
        <v xml:space="preserve"> </v>
      </c>
      <c r="J192" s="242" t="str">
        <f ca="1">IF(F192=1,AVERAGE(INDIRECT("I"&amp;$D$8):INDIRECT("I"&amp;$E$8)),IF(F192=2,AVERAGE(INDIRECT("I"&amp;$D$9):INDIRECT("I"&amp;$E$9)),IF(F192=3,AVERAGE(INDIRECT("I"&amp;$D$10):INDIRECT("I"&amp;$E$10)),IF(F192=4,AVERAGE(INDIRECT("I"&amp;$D$11):INDIRECT("I"&amp;$E$11)),IF(F192=5,AVERAGE(INDIRECT("I"&amp;$D$12):INDIRECT("I"&amp;$E$12)),IF(F192=6,AVERAGE(INDIRECT("I"&amp;$D$13):INDIRECT("I"&amp;$E$13))," "))))))</f>
        <v xml:space="preserve"> </v>
      </c>
      <c r="K192" s="242" t="str">
        <f t="shared" si="17"/>
        <v xml:space="preserve"> </v>
      </c>
      <c r="L192" s="242" t="str">
        <f t="shared" si="18"/>
        <v xml:space="preserve"> </v>
      </c>
      <c r="M192" s="242" t="str">
        <f t="shared" si="19"/>
        <v xml:space="preserve"> </v>
      </c>
    </row>
    <row r="193" spans="6:13" x14ac:dyDescent="0.2">
      <c r="F193" s="216" t="str">
        <f t="shared" si="15"/>
        <v xml:space="preserve"> </v>
      </c>
      <c r="G193" s="50"/>
      <c r="H193" s="242" t="str">
        <f ca="1">IF(F193=1,PERCENTILE(INDIRECT("g"&amp;$D$8):INDIRECT("g"&amp;$E$8),0.5),IF(F193=2,PERCENTILE(INDIRECT("g"&amp;$D$9):INDIRECT("g"&amp;$E$9),0.5),IF(F193=3,PERCENTILE(INDIRECT("g"&amp;$D$10):INDIRECT("g"&amp;$E$10),0.5),IF(F193=4,PERCENTILE(INDIRECT("g"&amp;$D$11):INDIRECT("g"&amp;$E$11),0.5),IF(F193=5,PERCENTILE(INDIRECT("g"&amp;$D$12):INDIRECT("g"&amp;$E$12),0.5),IF(F193=6,PERCENTILE(INDIRECT("g"&amp;$D$13):INDIRECT("g"&amp;$E$13),0.5)," "))))))</f>
        <v xml:space="preserve"> </v>
      </c>
      <c r="I193" s="242" t="str">
        <f t="shared" si="16"/>
        <v xml:space="preserve"> </v>
      </c>
      <c r="J193" s="242" t="str">
        <f ca="1">IF(F193=1,AVERAGE(INDIRECT("I"&amp;$D$8):INDIRECT("I"&amp;$E$8)),IF(F193=2,AVERAGE(INDIRECT("I"&amp;$D$9):INDIRECT("I"&amp;$E$9)),IF(F193=3,AVERAGE(INDIRECT("I"&amp;$D$10):INDIRECT("I"&amp;$E$10)),IF(F193=4,AVERAGE(INDIRECT("I"&amp;$D$11):INDIRECT("I"&amp;$E$11)),IF(F193=5,AVERAGE(INDIRECT("I"&amp;$D$12):INDIRECT("I"&amp;$E$12)),IF(F193=6,AVERAGE(INDIRECT("I"&amp;$D$13):INDIRECT("I"&amp;$E$13))," "))))))</f>
        <v xml:space="preserve"> </v>
      </c>
      <c r="K193" s="242" t="str">
        <f t="shared" si="17"/>
        <v xml:space="preserve"> </v>
      </c>
      <c r="L193" s="242" t="str">
        <f t="shared" si="18"/>
        <v xml:space="preserve"> </v>
      </c>
      <c r="M193" s="242" t="str">
        <f t="shared" si="19"/>
        <v xml:space="preserve"> </v>
      </c>
    </row>
    <row r="194" spans="6:13" x14ac:dyDescent="0.2">
      <c r="F194" s="216" t="str">
        <f t="shared" si="15"/>
        <v xml:space="preserve"> </v>
      </c>
      <c r="G194" s="50"/>
      <c r="H194" s="242" t="str">
        <f ca="1">IF(F194=1,PERCENTILE(INDIRECT("g"&amp;$D$8):INDIRECT("g"&amp;$E$8),0.5),IF(F194=2,PERCENTILE(INDIRECT("g"&amp;$D$9):INDIRECT("g"&amp;$E$9),0.5),IF(F194=3,PERCENTILE(INDIRECT("g"&amp;$D$10):INDIRECT("g"&amp;$E$10),0.5),IF(F194=4,PERCENTILE(INDIRECT("g"&amp;$D$11):INDIRECT("g"&amp;$E$11),0.5),IF(F194=5,PERCENTILE(INDIRECT("g"&amp;$D$12):INDIRECT("g"&amp;$E$12),0.5),IF(F194=6,PERCENTILE(INDIRECT("g"&amp;$D$13):INDIRECT("g"&amp;$E$13),0.5)," "))))))</f>
        <v xml:space="preserve"> </v>
      </c>
      <c r="I194" s="242" t="str">
        <f t="shared" si="16"/>
        <v xml:space="preserve"> </v>
      </c>
      <c r="J194" s="242" t="str">
        <f ca="1">IF(F194=1,AVERAGE(INDIRECT("I"&amp;$D$8):INDIRECT("I"&amp;$E$8)),IF(F194=2,AVERAGE(INDIRECT("I"&amp;$D$9):INDIRECT("I"&amp;$E$9)),IF(F194=3,AVERAGE(INDIRECT("I"&amp;$D$10):INDIRECT("I"&amp;$E$10)),IF(F194=4,AVERAGE(INDIRECT("I"&amp;$D$11):INDIRECT("I"&amp;$E$11)),IF(F194=5,AVERAGE(INDIRECT("I"&amp;$D$12):INDIRECT("I"&amp;$E$12)),IF(F194=6,AVERAGE(INDIRECT("I"&amp;$D$13):INDIRECT("I"&amp;$E$13))," "))))))</f>
        <v xml:space="preserve"> </v>
      </c>
      <c r="K194" s="242" t="str">
        <f t="shared" si="17"/>
        <v xml:space="preserve"> </v>
      </c>
      <c r="L194" s="242" t="str">
        <f t="shared" si="18"/>
        <v xml:space="preserve"> </v>
      </c>
      <c r="M194" s="242" t="str">
        <f t="shared" si="19"/>
        <v xml:space="preserve"> </v>
      </c>
    </row>
    <row r="195" spans="6:13" x14ac:dyDescent="0.2">
      <c r="F195" s="216" t="str">
        <f t="shared" si="15"/>
        <v xml:space="preserve"> </v>
      </c>
      <c r="G195" s="50"/>
      <c r="H195" s="242" t="str">
        <f ca="1">IF(F195=1,PERCENTILE(INDIRECT("g"&amp;$D$8):INDIRECT("g"&amp;$E$8),0.5),IF(F195=2,PERCENTILE(INDIRECT("g"&amp;$D$9):INDIRECT("g"&amp;$E$9),0.5),IF(F195=3,PERCENTILE(INDIRECT("g"&amp;$D$10):INDIRECT("g"&amp;$E$10),0.5),IF(F195=4,PERCENTILE(INDIRECT("g"&amp;$D$11):INDIRECT("g"&amp;$E$11),0.5),IF(F195=5,PERCENTILE(INDIRECT("g"&amp;$D$12):INDIRECT("g"&amp;$E$12),0.5),IF(F195=6,PERCENTILE(INDIRECT("g"&amp;$D$13):INDIRECT("g"&amp;$E$13),0.5)," "))))))</f>
        <v xml:space="preserve"> </v>
      </c>
      <c r="I195" s="242" t="str">
        <f t="shared" si="16"/>
        <v xml:space="preserve"> </v>
      </c>
      <c r="J195" s="242" t="str">
        <f ca="1">IF(F195=1,AVERAGE(INDIRECT("I"&amp;$D$8):INDIRECT("I"&amp;$E$8)),IF(F195=2,AVERAGE(INDIRECT("I"&amp;$D$9):INDIRECT("I"&amp;$E$9)),IF(F195=3,AVERAGE(INDIRECT("I"&amp;$D$10):INDIRECT("I"&amp;$E$10)),IF(F195=4,AVERAGE(INDIRECT("I"&amp;$D$11):INDIRECT("I"&amp;$E$11)),IF(F195=5,AVERAGE(INDIRECT("I"&amp;$D$12):INDIRECT("I"&amp;$E$12)),IF(F195=6,AVERAGE(INDIRECT("I"&amp;$D$13):INDIRECT("I"&amp;$E$13))," "))))))</f>
        <v xml:space="preserve"> </v>
      </c>
      <c r="K195" s="242" t="str">
        <f t="shared" si="17"/>
        <v xml:space="preserve"> </v>
      </c>
      <c r="L195" s="242" t="str">
        <f t="shared" si="18"/>
        <v xml:space="preserve"> </v>
      </c>
      <c r="M195" s="242" t="str">
        <f t="shared" si="19"/>
        <v xml:space="preserve"> </v>
      </c>
    </row>
    <row r="196" spans="6:13" x14ac:dyDescent="0.2">
      <c r="F196" s="216" t="str">
        <f t="shared" si="15"/>
        <v xml:space="preserve"> </v>
      </c>
      <c r="G196" s="50"/>
      <c r="H196" s="242" t="str">
        <f ca="1">IF(F196=1,PERCENTILE(INDIRECT("g"&amp;$D$8):INDIRECT("g"&amp;$E$8),0.5),IF(F196=2,PERCENTILE(INDIRECT("g"&amp;$D$9):INDIRECT("g"&amp;$E$9),0.5),IF(F196=3,PERCENTILE(INDIRECT("g"&amp;$D$10):INDIRECT("g"&amp;$E$10),0.5),IF(F196=4,PERCENTILE(INDIRECT("g"&amp;$D$11):INDIRECT("g"&amp;$E$11),0.5),IF(F196=5,PERCENTILE(INDIRECT("g"&amp;$D$12):INDIRECT("g"&amp;$E$12),0.5),IF(F196=6,PERCENTILE(INDIRECT("g"&amp;$D$13):INDIRECT("g"&amp;$E$13),0.5)," "))))))</f>
        <v xml:space="preserve"> </v>
      </c>
      <c r="I196" s="242" t="str">
        <f t="shared" si="16"/>
        <v xml:space="preserve"> </v>
      </c>
      <c r="J196" s="242" t="str">
        <f ca="1">IF(F196=1,AVERAGE(INDIRECT("I"&amp;$D$8):INDIRECT("I"&amp;$E$8)),IF(F196=2,AVERAGE(INDIRECT("I"&amp;$D$9):INDIRECT("I"&amp;$E$9)),IF(F196=3,AVERAGE(INDIRECT("I"&amp;$D$10):INDIRECT("I"&amp;$E$10)),IF(F196=4,AVERAGE(INDIRECT("I"&amp;$D$11):INDIRECT("I"&amp;$E$11)),IF(F196=5,AVERAGE(INDIRECT("I"&amp;$D$12):INDIRECT("I"&amp;$E$12)),IF(F196=6,AVERAGE(INDIRECT("I"&amp;$D$13):INDIRECT("I"&amp;$E$13))," "))))))</f>
        <v xml:space="preserve"> </v>
      </c>
      <c r="K196" s="242" t="str">
        <f t="shared" si="17"/>
        <v xml:space="preserve"> </v>
      </c>
      <c r="L196" s="242" t="str">
        <f t="shared" si="18"/>
        <v xml:space="preserve"> </v>
      </c>
      <c r="M196" s="242" t="str">
        <f t="shared" si="19"/>
        <v xml:space="preserve"> </v>
      </c>
    </row>
    <row r="197" spans="6:13" x14ac:dyDescent="0.2">
      <c r="F197" s="216" t="str">
        <f t="shared" si="15"/>
        <v xml:space="preserve"> </v>
      </c>
      <c r="G197" s="50"/>
      <c r="H197" s="242" t="str">
        <f ca="1">IF(F197=1,PERCENTILE(INDIRECT("g"&amp;$D$8):INDIRECT("g"&amp;$E$8),0.5),IF(F197=2,PERCENTILE(INDIRECT("g"&amp;$D$9):INDIRECT("g"&amp;$E$9),0.5),IF(F197=3,PERCENTILE(INDIRECT("g"&amp;$D$10):INDIRECT("g"&amp;$E$10),0.5),IF(F197=4,PERCENTILE(INDIRECT("g"&amp;$D$11):INDIRECT("g"&amp;$E$11),0.5),IF(F197=5,PERCENTILE(INDIRECT("g"&amp;$D$12):INDIRECT("g"&amp;$E$12),0.5),IF(F197=6,PERCENTILE(INDIRECT("g"&amp;$D$13):INDIRECT("g"&amp;$E$13),0.5)," "))))))</f>
        <v xml:space="preserve"> </v>
      </c>
      <c r="I197" s="242" t="str">
        <f t="shared" si="16"/>
        <v xml:space="preserve"> </v>
      </c>
      <c r="J197" s="242" t="str">
        <f ca="1">IF(F197=1,AVERAGE(INDIRECT("I"&amp;$D$8):INDIRECT("I"&amp;$E$8)),IF(F197=2,AVERAGE(INDIRECT("I"&amp;$D$9):INDIRECT("I"&amp;$E$9)),IF(F197=3,AVERAGE(INDIRECT("I"&amp;$D$10):INDIRECT("I"&amp;$E$10)),IF(F197=4,AVERAGE(INDIRECT("I"&amp;$D$11):INDIRECT("I"&amp;$E$11)),IF(F197=5,AVERAGE(INDIRECT("I"&amp;$D$12):INDIRECT("I"&amp;$E$12)),IF(F197=6,AVERAGE(INDIRECT("I"&amp;$D$13):INDIRECT("I"&amp;$E$13))," "))))))</f>
        <v xml:space="preserve"> </v>
      </c>
      <c r="K197" s="242" t="str">
        <f t="shared" si="17"/>
        <v xml:space="preserve"> </v>
      </c>
      <c r="L197" s="242" t="str">
        <f t="shared" si="18"/>
        <v xml:space="preserve"> </v>
      </c>
      <c r="M197" s="242" t="str">
        <f t="shared" si="19"/>
        <v xml:space="preserve"> </v>
      </c>
    </row>
    <row r="198" spans="6:13" x14ac:dyDescent="0.2">
      <c r="F198" s="216" t="str">
        <f t="shared" ref="F198:F261" si="20">IF(AND(ROW()&gt;=$D$8,ROW()&lt;=$E$8),1,IF(AND(ROW()&gt;=$D$9,ROW()&lt;=$E$9),2,IF(AND(ROW()&gt;=$D$10,ROW()&lt;=$E$10),3,IF(AND(ROW()&gt;=$D$11,ROW()&lt;=$E$11),4,IF(AND(ROW()&gt;=$D$12,ROW()&lt;=$E$12),5,IF(AND(ROW()&gt;=$D$13,ROW()&lt;=$E$13),6," "))))))</f>
        <v xml:space="preserve"> </v>
      </c>
      <c r="G198" s="50"/>
      <c r="H198" s="242" t="str">
        <f ca="1">IF(F198=1,PERCENTILE(INDIRECT("g"&amp;$D$8):INDIRECT("g"&amp;$E$8),0.5),IF(F198=2,PERCENTILE(INDIRECT("g"&amp;$D$9):INDIRECT("g"&amp;$E$9),0.5),IF(F198=3,PERCENTILE(INDIRECT("g"&amp;$D$10):INDIRECT("g"&amp;$E$10),0.5),IF(F198=4,PERCENTILE(INDIRECT("g"&amp;$D$11):INDIRECT("g"&amp;$E$11),0.5),IF(F198=5,PERCENTILE(INDIRECT("g"&amp;$D$12):INDIRECT("g"&amp;$E$12),0.5),IF(F198=6,PERCENTILE(INDIRECT("g"&amp;$D$13):INDIRECT("g"&amp;$E$13),0.5)," "))))))</f>
        <v xml:space="preserve"> </v>
      </c>
      <c r="I198" s="242" t="str">
        <f t="shared" ref="I198:I261" si="21">IF(ROW()&lt;=MAX($E$8:$E$13),ABS(G198-H198)," ")</f>
        <v xml:space="preserve"> </v>
      </c>
      <c r="J198" s="242" t="str">
        <f ca="1">IF(F198=1,AVERAGE(INDIRECT("I"&amp;$D$8):INDIRECT("I"&amp;$E$8)),IF(F198=2,AVERAGE(INDIRECT("I"&amp;$D$9):INDIRECT("I"&amp;$E$9)),IF(F198=3,AVERAGE(INDIRECT("I"&amp;$D$10):INDIRECT("I"&amp;$E$10)),IF(F198=4,AVERAGE(INDIRECT("I"&amp;$D$11):INDIRECT("I"&amp;$E$11)),IF(F198=5,AVERAGE(INDIRECT("I"&amp;$D$12):INDIRECT("I"&amp;$E$12)),IF(F198=6,AVERAGE(INDIRECT("I"&amp;$D$13):INDIRECT("I"&amp;$E$13))," "))))))</f>
        <v xml:space="preserve"> </v>
      </c>
      <c r="K198" s="242" t="str">
        <f t="shared" ref="K198:K261" si="22">IF(ROW()&lt;=MAX($E$8:$E$13),AVERAGE($I$6:$I$1005)," ")</f>
        <v xml:space="preserve"> </v>
      </c>
      <c r="L198" s="242" t="str">
        <f t="shared" ref="L198:L261" si="23">IF(ROW()&lt;=MAX($E$8:$E$13),(I198-J198)^2," ")</f>
        <v xml:space="preserve"> </v>
      </c>
      <c r="M198" s="242" t="str">
        <f t="shared" ref="M198:M261" si="24">IF(ROW()&lt;=MAX($E$8:$E$13),(J198-K198)^2," ")</f>
        <v xml:space="preserve"> </v>
      </c>
    </row>
    <row r="199" spans="6:13" x14ac:dyDescent="0.2">
      <c r="F199" s="216" t="str">
        <f t="shared" si="20"/>
        <v xml:space="preserve"> </v>
      </c>
      <c r="G199" s="50"/>
      <c r="H199" s="242" t="str">
        <f ca="1">IF(F199=1,PERCENTILE(INDIRECT("g"&amp;$D$8):INDIRECT("g"&amp;$E$8),0.5),IF(F199=2,PERCENTILE(INDIRECT("g"&amp;$D$9):INDIRECT("g"&amp;$E$9),0.5),IF(F199=3,PERCENTILE(INDIRECT("g"&amp;$D$10):INDIRECT("g"&amp;$E$10),0.5),IF(F199=4,PERCENTILE(INDIRECT("g"&amp;$D$11):INDIRECT("g"&amp;$E$11),0.5),IF(F199=5,PERCENTILE(INDIRECT("g"&amp;$D$12):INDIRECT("g"&amp;$E$12),0.5),IF(F199=6,PERCENTILE(INDIRECT("g"&amp;$D$13):INDIRECT("g"&amp;$E$13),0.5)," "))))))</f>
        <v xml:space="preserve"> </v>
      </c>
      <c r="I199" s="242" t="str">
        <f t="shared" si="21"/>
        <v xml:space="preserve"> </v>
      </c>
      <c r="J199" s="242" t="str">
        <f ca="1">IF(F199=1,AVERAGE(INDIRECT("I"&amp;$D$8):INDIRECT("I"&amp;$E$8)),IF(F199=2,AVERAGE(INDIRECT("I"&amp;$D$9):INDIRECT("I"&amp;$E$9)),IF(F199=3,AVERAGE(INDIRECT("I"&amp;$D$10):INDIRECT("I"&amp;$E$10)),IF(F199=4,AVERAGE(INDIRECT("I"&amp;$D$11):INDIRECT("I"&amp;$E$11)),IF(F199=5,AVERAGE(INDIRECT("I"&amp;$D$12):INDIRECT("I"&amp;$E$12)),IF(F199=6,AVERAGE(INDIRECT("I"&amp;$D$13):INDIRECT("I"&amp;$E$13))," "))))))</f>
        <v xml:space="preserve"> </v>
      </c>
      <c r="K199" s="242" t="str">
        <f t="shared" si="22"/>
        <v xml:space="preserve"> </v>
      </c>
      <c r="L199" s="242" t="str">
        <f t="shared" si="23"/>
        <v xml:space="preserve"> </v>
      </c>
      <c r="M199" s="242" t="str">
        <f t="shared" si="24"/>
        <v xml:space="preserve"> </v>
      </c>
    </row>
    <row r="200" spans="6:13" x14ac:dyDescent="0.2">
      <c r="F200" s="216" t="str">
        <f t="shared" si="20"/>
        <v xml:space="preserve"> </v>
      </c>
      <c r="G200" s="50"/>
      <c r="H200" s="242" t="str">
        <f ca="1">IF(F200=1,PERCENTILE(INDIRECT("g"&amp;$D$8):INDIRECT("g"&amp;$E$8),0.5),IF(F200=2,PERCENTILE(INDIRECT("g"&amp;$D$9):INDIRECT("g"&amp;$E$9),0.5),IF(F200=3,PERCENTILE(INDIRECT("g"&amp;$D$10):INDIRECT("g"&amp;$E$10),0.5),IF(F200=4,PERCENTILE(INDIRECT("g"&amp;$D$11):INDIRECT("g"&amp;$E$11),0.5),IF(F200=5,PERCENTILE(INDIRECT("g"&amp;$D$12):INDIRECT("g"&amp;$E$12),0.5),IF(F200=6,PERCENTILE(INDIRECT("g"&amp;$D$13):INDIRECT("g"&amp;$E$13),0.5)," "))))))</f>
        <v xml:space="preserve"> </v>
      </c>
      <c r="I200" s="242" t="str">
        <f t="shared" si="21"/>
        <v xml:space="preserve"> </v>
      </c>
      <c r="J200" s="242" t="str">
        <f ca="1">IF(F200=1,AVERAGE(INDIRECT("I"&amp;$D$8):INDIRECT("I"&amp;$E$8)),IF(F200=2,AVERAGE(INDIRECT("I"&amp;$D$9):INDIRECT("I"&amp;$E$9)),IF(F200=3,AVERAGE(INDIRECT("I"&amp;$D$10):INDIRECT("I"&amp;$E$10)),IF(F200=4,AVERAGE(INDIRECT("I"&amp;$D$11):INDIRECT("I"&amp;$E$11)),IF(F200=5,AVERAGE(INDIRECT("I"&amp;$D$12):INDIRECT("I"&amp;$E$12)),IF(F200=6,AVERAGE(INDIRECT("I"&amp;$D$13):INDIRECT("I"&amp;$E$13))," "))))))</f>
        <v xml:space="preserve"> </v>
      </c>
      <c r="K200" s="242" t="str">
        <f t="shared" si="22"/>
        <v xml:space="preserve"> </v>
      </c>
      <c r="L200" s="242" t="str">
        <f t="shared" si="23"/>
        <v xml:space="preserve"> </v>
      </c>
      <c r="M200" s="242" t="str">
        <f t="shared" si="24"/>
        <v xml:space="preserve"> </v>
      </c>
    </row>
    <row r="201" spans="6:13" x14ac:dyDescent="0.2">
      <c r="F201" s="216" t="str">
        <f t="shared" si="20"/>
        <v xml:space="preserve"> </v>
      </c>
      <c r="G201" s="50"/>
      <c r="H201" s="242" t="str">
        <f ca="1">IF(F201=1,PERCENTILE(INDIRECT("g"&amp;$D$8):INDIRECT("g"&amp;$E$8),0.5),IF(F201=2,PERCENTILE(INDIRECT("g"&amp;$D$9):INDIRECT("g"&amp;$E$9),0.5),IF(F201=3,PERCENTILE(INDIRECT("g"&amp;$D$10):INDIRECT("g"&amp;$E$10),0.5),IF(F201=4,PERCENTILE(INDIRECT("g"&amp;$D$11):INDIRECT("g"&amp;$E$11),0.5),IF(F201=5,PERCENTILE(INDIRECT("g"&amp;$D$12):INDIRECT("g"&amp;$E$12),0.5),IF(F201=6,PERCENTILE(INDIRECT("g"&amp;$D$13):INDIRECT("g"&amp;$E$13),0.5)," "))))))</f>
        <v xml:space="preserve"> </v>
      </c>
      <c r="I201" s="242" t="str">
        <f t="shared" si="21"/>
        <v xml:space="preserve"> </v>
      </c>
      <c r="J201" s="242" t="str">
        <f ca="1">IF(F201=1,AVERAGE(INDIRECT("I"&amp;$D$8):INDIRECT("I"&amp;$E$8)),IF(F201=2,AVERAGE(INDIRECT("I"&amp;$D$9):INDIRECT("I"&amp;$E$9)),IF(F201=3,AVERAGE(INDIRECT("I"&amp;$D$10):INDIRECT("I"&amp;$E$10)),IF(F201=4,AVERAGE(INDIRECT("I"&amp;$D$11):INDIRECT("I"&amp;$E$11)),IF(F201=5,AVERAGE(INDIRECT("I"&amp;$D$12):INDIRECT("I"&amp;$E$12)),IF(F201=6,AVERAGE(INDIRECT("I"&amp;$D$13):INDIRECT("I"&amp;$E$13))," "))))))</f>
        <v xml:space="preserve"> </v>
      </c>
      <c r="K201" s="242" t="str">
        <f t="shared" si="22"/>
        <v xml:space="preserve"> </v>
      </c>
      <c r="L201" s="242" t="str">
        <f t="shared" si="23"/>
        <v xml:space="preserve"> </v>
      </c>
      <c r="M201" s="242" t="str">
        <f t="shared" si="24"/>
        <v xml:space="preserve"> </v>
      </c>
    </row>
    <row r="202" spans="6:13" x14ac:dyDescent="0.2">
      <c r="F202" s="216" t="str">
        <f t="shared" si="20"/>
        <v xml:space="preserve"> </v>
      </c>
      <c r="G202" s="50"/>
      <c r="H202" s="242" t="str">
        <f ca="1">IF(F202=1,PERCENTILE(INDIRECT("g"&amp;$D$8):INDIRECT("g"&amp;$E$8),0.5),IF(F202=2,PERCENTILE(INDIRECT("g"&amp;$D$9):INDIRECT("g"&amp;$E$9),0.5),IF(F202=3,PERCENTILE(INDIRECT("g"&amp;$D$10):INDIRECT("g"&amp;$E$10),0.5),IF(F202=4,PERCENTILE(INDIRECT("g"&amp;$D$11):INDIRECT("g"&amp;$E$11),0.5),IF(F202=5,PERCENTILE(INDIRECT("g"&amp;$D$12):INDIRECT("g"&amp;$E$12),0.5),IF(F202=6,PERCENTILE(INDIRECT("g"&amp;$D$13):INDIRECT("g"&amp;$E$13),0.5)," "))))))</f>
        <v xml:space="preserve"> </v>
      </c>
      <c r="I202" s="242" t="str">
        <f t="shared" si="21"/>
        <v xml:space="preserve"> </v>
      </c>
      <c r="J202" s="242" t="str">
        <f ca="1">IF(F202=1,AVERAGE(INDIRECT("I"&amp;$D$8):INDIRECT("I"&amp;$E$8)),IF(F202=2,AVERAGE(INDIRECT("I"&amp;$D$9):INDIRECT("I"&amp;$E$9)),IF(F202=3,AVERAGE(INDIRECT("I"&amp;$D$10):INDIRECT("I"&amp;$E$10)),IF(F202=4,AVERAGE(INDIRECT("I"&amp;$D$11):INDIRECT("I"&amp;$E$11)),IF(F202=5,AVERAGE(INDIRECT("I"&amp;$D$12):INDIRECT("I"&amp;$E$12)),IF(F202=6,AVERAGE(INDIRECT("I"&amp;$D$13):INDIRECT("I"&amp;$E$13))," "))))))</f>
        <v xml:space="preserve"> </v>
      </c>
      <c r="K202" s="242" t="str">
        <f t="shared" si="22"/>
        <v xml:space="preserve"> </v>
      </c>
      <c r="L202" s="242" t="str">
        <f t="shared" si="23"/>
        <v xml:space="preserve"> </v>
      </c>
      <c r="M202" s="242" t="str">
        <f t="shared" si="24"/>
        <v xml:space="preserve"> </v>
      </c>
    </row>
    <row r="203" spans="6:13" x14ac:dyDescent="0.2">
      <c r="F203" s="216" t="str">
        <f t="shared" si="20"/>
        <v xml:space="preserve"> </v>
      </c>
      <c r="G203" s="50"/>
      <c r="H203" s="242" t="str">
        <f ca="1">IF(F203=1,PERCENTILE(INDIRECT("g"&amp;$D$8):INDIRECT("g"&amp;$E$8),0.5),IF(F203=2,PERCENTILE(INDIRECT("g"&amp;$D$9):INDIRECT("g"&amp;$E$9),0.5),IF(F203=3,PERCENTILE(INDIRECT("g"&amp;$D$10):INDIRECT("g"&amp;$E$10),0.5),IF(F203=4,PERCENTILE(INDIRECT("g"&amp;$D$11):INDIRECT("g"&amp;$E$11),0.5),IF(F203=5,PERCENTILE(INDIRECT("g"&amp;$D$12):INDIRECT("g"&amp;$E$12),0.5),IF(F203=6,PERCENTILE(INDIRECT("g"&amp;$D$13):INDIRECT("g"&amp;$E$13),0.5)," "))))))</f>
        <v xml:space="preserve"> </v>
      </c>
      <c r="I203" s="242" t="str">
        <f t="shared" si="21"/>
        <v xml:space="preserve"> </v>
      </c>
      <c r="J203" s="242" t="str">
        <f ca="1">IF(F203=1,AVERAGE(INDIRECT("I"&amp;$D$8):INDIRECT("I"&amp;$E$8)),IF(F203=2,AVERAGE(INDIRECT("I"&amp;$D$9):INDIRECT("I"&amp;$E$9)),IF(F203=3,AVERAGE(INDIRECT("I"&amp;$D$10):INDIRECT("I"&amp;$E$10)),IF(F203=4,AVERAGE(INDIRECT("I"&amp;$D$11):INDIRECT("I"&amp;$E$11)),IF(F203=5,AVERAGE(INDIRECT("I"&amp;$D$12):INDIRECT("I"&amp;$E$12)),IF(F203=6,AVERAGE(INDIRECT("I"&amp;$D$13):INDIRECT("I"&amp;$E$13))," "))))))</f>
        <v xml:space="preserve"> </v>
      </c>
      <c r="K203" s="242" t="str">
        <f t="shared" si="22"/>
        <v xml:space="preserve"> </v>
      </c>
      <c r="L203" s="242" t="str">
        <f t="shared" si="23"/>
        <v xml:space="preserve"> </v>
      </c>
      <c r="M203" s="242" t="str">
        <f t="shared" si="24"/>
        <v xml:space="preserve"> </v>
      </c>
    </row>
    <row r="204" spans="6:13" x14ac:dyDescent="0.2">
      <c r="F204" s="216" t="str">
        <f t="shared" si="20"/>
        <v xml:space="preserve"> </v>
      </c>
      <c r="G204" s="50"/>
      <c r="H204" s="242" t="str">
        <f ca="1">IF(F204=1,PERCENTILE(INDIRECT("g"&amp;$D$8):INDIRECT("g"&amp;$E$8),0.5),IF(F204=2,PERCENTILE(INDIRECT("g"&amp;$D$9):INDIRECT("g"&amp;$E$9),0.5),IF(F204=3,PERCENTILE(INDIRECT("g"&amp;$D$10):INDIRECT("g"&amp;$E$10),0.5),IF(F204=4,PERCENTILE(INDIRECT("g"&amp;$D$11):INDIRECT("g"&amp;$E$11),0.5),IF(F204=5,PERCENTILE(INDIRECT("g"&amp;$D$12):INDIRECT("g"&amp;$E$12),0.5),IF(F204=6,PERCENTILE(INDIRECT("g"&amp;$D$13):INDIRECT("g"&amp;$E$13),0.5)," "))))))</f>
        <v xml:space="preserve"> </v>
      </c>
      <c r="I204" s="242" t="str">
        <f t="shared" si="21"/>
        <v xml:space="preserve"> </v>
      </c>
      <c r="J204" s="242" t="str">
        <f ca="1">IF(F204=1,AVERAGE(INDIRECT("I"&amp;$D$8):INDIRECT("I"&amp;$E$8)),IF(F204=2,AVERAGE(INDIRECT("I"&amp;$D$9):INDIRECT("I"&amp;$E$9)),IF(F204=3,AVERAGE(INDIRECT("I"&amp;$D$10):INDIRECT("I"&amp;$E$10)),IF(F204=4,AVERAGE(INDIRECT("I"&amp;$D$11):INDIRECT("I"&amp;$E$11)),IF(F204=5,AVERAGE(INDIRECT("I"&amp;$D$12):INDIRECT("I"&amp;$E$12)),IF(F204=6,AVERAGE(INDIRECT("I"&amp;$D$13):INDIRECT("I"&amp;$E$13))," "))))))</f>
        <v xml:space="preserve"> </v>
      </c>
      <c r="K204" s="242" t="str">
        <f t="shared" si="22"/>
        <v xml:space="preserve"> </v>
      </c>
      <c r="L204" s="242" t="str">
        <f t="shared" si="23"/>
        <v xml:space="preserve"> </v>
      </c>
      <c r="M204" s="242" t="str">
        <f t="shared" si="24"/>
        <v xml:space="preserve"> </v>
      </c>
    </row>
    <row r="205" spans="6:13" x14ac:dyDescent="0.2">
      <c r="F205" s="216" t="str">
        <f t="shared" si="20"/>
        <v xml:space="preserve"> </v>
      </c>
      <c r="G205" s="50"/>
      <c r="H205" s="242" t="str">
        <f ca="1">IF(F205=1,PERCENTILE(INDIRECT("g"&amp;$D$8):INDIRECT("g"&amp;$E$8),0.5),IF(F205=2,PERCENTILE(INDIRECT("g"&amp;$D$9):INDIRECT("g"&amp;$E$9),0.5),IF(F205=3,PERCENTILE(INDIRECT("g"&amp;$D$10):INDIRECT("g"&amp;$E$10),0.5),IF(F205=4,PERCENTILE(INDIRECT("g"&amp;$D$11):INDIRECT("g"&amp;$E$11),0.5),IF(F205=5,PERCENTILE(INDIRECT("g"&amp;$D$12):INDIRECT("g"&amp;$E$12),0.5),IF(F205=6,PERCENTILE(INDIRECT("g"&amp;$D$13):INDIRECT("g"&amp;$E$13),0.5)," "))))))</f>
        <v xml:space="preserve"> </v>
      </c>
      <c r="I205" s="242" t="str">
        <f t="shared" si="21"/>
        <v xml:space="preserve"> </v>
      </c>
      <c r="J205" s="242" t="str">
        <f ca="1">IF(F205=1,AVERAGE(INDIRECT("I"&amp;$D$8):INDIRECT("I"&amp;$E$8)),IF(F205=2,AVERAGE(INDIRECT("I"&amp;$D$9):INDIRECT("I"&amp;$E$9)),IF(F205=3,AVERAGE(INDIRECT("I"&amp;$D$10):INDIRECT("I"&amp;$E$10)),IF(F205=4,AVERAGE(INDIRECT("I"&amp;$D$11):INDIRECT("I"&amp;$E$11)),IF(F205=5,AVERAGE(INDIRECT("I"&amp;$D$12):INDIRECT("I"&amp;$E$12)),IF(F205=6,AVERAGE(INDIRECT("I"&amp;$D$13):INDIRECT("I"&amp;$E$13))," "))))))</f>
        <v xml:space="preserve"> </v>
      </c>
      <c r="K205" s="242" t="str">
        <f t="shared" si="22"/>
        <v xml:space="preserve"> </v>
      </c>
      <c r="L205" s="242" t="str">
        <f t="shared" si="23"/>
        <v xml:space="preserve"> </v>
      </c>
      <c r="M205" s="242" t="str">
        <f t="shared" si="24"/>
        <v xml:space="preserve"> </v>
      </c>
    </row>
    <row r="206" spans="6:13" x14ac:dyDescent="0.2">
      <c r="F206" s="216" t="str">
        <f t="shared" si="20"/>
        <v xml:space="preserve"> </v>
      </c>
      <c r="G206" s="50"/>
      <c r="H206" s="242" t="str">
        <f ca="1">IF(F206=1,PERCENTILE(INDIRECT("g"&amp;$D$8):INDIRECT("g"&amp;$E$8),0.5),IF(F206=2,PERCENTILE(INDIRECT("g"&amp;$D$9):INDIRECT("g"&amp;$E$9),0.5),IF(F206=3,PERCENTILE(INDIRECT("g"&amp;$D$10):INDIRECT("g"&amp;$E$10),0.5),IF(F206=4,PERCENTILE(INDIRECT("g"&amp;$D$11):INDIRECT("g"&amp;$E$11),0.5),IF(F206=5,PERCENTILE(INDIRECT("g"&amp;$D$12):INDIRECT("g"&amp;$E$12),0.5),IF(F206=6,PERCENTILE(INDIRECT("g"&amp;$D$13):INDIRECT("g"&amp;$E$13),0.5)," "))))))</f>
        <v xml:space="preserve"> </v>
      </c>
      <c r="I206" s="242" t="str">
        <f t="shared" si="21"/>
        <v xml:space="preserve"> </v>
      </c>
      <c r="J206" s="242" t="str">
        <f ca="1">IF(F206=1,AVERAGE(INDIRECT("I"&amp;$D$8):INDIRECT("I"&amp;$E$8)),IF(F206=2,AVERAGE(INDIRECT("I"&amp;$D$9):INDIRECT("I"&amp;$E$9)),IF(F206=3,AVERAGE(INDIRECT("I"&amp;$D$10):INDIRECT("I"&amp;$E$10)),IF(F206=4,AVERAGE(INDIRECT("I"&amp;$D$11):INDIRECT("I"&amp;$E$11)),IF(F206=5,AVERAGE(INDIRECT("I"&amp;$D$12):INDIRECT("I"&amp;$E$12)),IF(F206=6,AVERAGE(INDIRECT("I"&amp;$D$13):INDIRECT("I"&amp;$E$13))," "))))))</f>
        <v xml:space="preserve"> </v>
      </c>
      <c r="K206" s="242" t="str">
        <f t="shared" si="22"/>
        <v xml:space="preserve"> </v>
      </c>
      <c r="L206" s="242" t="str">
        <f t="shared" si="23"/>
        <v xml:space="preserve"> </v>
      </c>
      <c r="M206" s="242" t="str">
        <f t="shared" si="24"/>
        <v xml:space="preserve"> </v>
      </c>
    </row>
    <row r="207" spans="6:13" x14ac:dyDescent="0.2">
      <c r="F207" s="216" t="str">
        <f t="shared" si="20"/>
        <v xml:space="preserve"> </v>
      </c>
      <c r="G207" s="50"/>
      <c r="H207" s="242" t="str">
        <f ca="1">IF(F207=1,PERCENTILE(INDIRECT("g"&amp;$D$8):INDIRECT("g"&amp;$E$8),0.5),IF(F207=2,PERCENTILE(INDIRECT("g"&amp;$D$9):INDIRECT("g"&amp;$E$9),0.5),IF(F207=3,PERCENTILE(INDIRECT("g"&amp;$D$10):INDIRECT("g"&amp;$E$10),0.5),IF(F207=4,PERCENTILE(INDIRECT("g"&amp;$D$11):INDIRECT("g"&amp;$E$11),0.5),IF(F207=5,PERCENTILE(INDIRECT("g"&amp;$D$12):INDIRECT("g"&amp;$E$12),0.5),IF(F207=6,PERCENTILE(INDIRECT("g"&amp;$D$13):INDIRECT("g"&amp;$E$13),0.5)," "))))))</f>
        <v xml:space="preserve"> </v>
      </c>
      <c r="I207" s="242" t="str">
        <f t="shared" si="21"/>
        <v xml:space="preserve"> </v>
      </c>
      <c r="J207" s="242" t="str">
        <f ca="1">IF(F207=1,AVERAGE(INDIRECT("I"&amp;$D$8):INDIRECT("I"&amp;$E$8)),IF(F207=2,AVERAGE(INDIRECT("I"&amp;$D$9):INDIRECT("I"&amp;$E$9)),IF(F207=3,AVERAGE(INDIRECT("I"&amp;$D$10):INDIRECT("I"&amp;$E$10)),IF(F207=4,AVERAGE(INDIRECT("I"&amp;$D$11):INDIRECT("I"&amp;$E$11)),IF(F207=5,AVERAGE(INDIRECT("I"&amp;$D$12):INDIRECT("I"&amp;$E$12)),IF(F207=6,AVERAGE(INDIRECT("I"&amp;$D$13):INDIRECT("I"&amp;$E$13))," "))))))</f>
        <v xml:space="preserve"> </v>
      </c>
      <c r="K207" s="242" t="str">
        <f t="shared" si="22"/>
        <v xml:space="preserve"> </v>
      </c>
      <c r="L207" s="242" t="str">
        <f t="shared" si="23"/>
        <v xml:space="preserve"> </v>
      </c>
      <c r="M207" s="242" t="str">
        <f t="shared" si="24"/>
        <v xml:space="preserve"> </v>
      </c>
    </row>
    <row r="208" spans="6:13" x14ac:dyDescent="0.2">
      <c r="F208" s="216" t="str">
        <f t="shared" si="20"/>
        <v xml:space="preserve"> </v>
      </c>
      <c r="G208" s="50"/>
      <c r="H208" s="242" t="str">
        <f ca="1">IF(F208=1,PERCENTILE(INDIRECT("g"&amp;$D$8):INDIRECT("g"&amp;$E$8),0.5),IF(F208=2,PERCENTILE(INDIRECT("g"&amp;$D$9):INDIRECT("g"&amp;$E$9),0.5),IF(F208=3,PERCENTILE(INDIRECT("g"&amp;$D$10):INDIRECT("g"&amp;$E$10),0.5),IF(F208=4,PERCENTILE(INDIRECT("g"&amp;$D$11):INDIRECT("g"&amp;$E$11),0.5),IF(F208=5,PERCENTILE(INDIRECT("g"&amp;$D$12):INDIRECT("g"&amp;$E$12),0.5),IF(F208=6,PERCENTILE(INDIRECT("g"&amp;$D$13):INDIRECT("g"&amp;$E$13),0.5)," "))))))</f>
        <v xml:space="preserve"> </v>
      </c>
      <c r="I208" s="242" t="str">
        <f t="shared" si="21"/>
        <v xml:space="preserve"> </v>
      </c>
      <c r="J208" s="242" t="str">
        <f ca="1">IF(F208=1,AVERAGE(INDIRECT("I"&amp;$D$8):INDIRECT("I"&amp;$E$8)),IF(F208=2,AVERAGE(INDIRECT("I"&amp;$D$9):INDIRECT("I"&amp;$E$9)),IF(F208=3,AVERAGE(INDIRECT("I"&amp;$D$10):INDIRECT("I"&amp;$E$10)),IF(F208=4,AVERAGE(INDIRECT("I"&amp;$D$11):INDIRECT("I"&amp;$E$11)),IF(F208=5,AVERAGE(INDIRECT("I"&amp;$D$12):INDIRECT("I"&amp;$E$12)),IF(F208=6,AVERAGE(INDIRECT("I"&amp;$D$13):INDIRECT("I"&amp;$E$13))," "))))))</f>
        <v xml:space="preserve"> </v>
      </c>
      <c r="K208" s="242" t="str">
        <f t="shared" si="22"/>
        <v xml:space="preserve"> </v>
      </c>
      <c r="L208" s="242" t="str">
        <f t="shared" si="23"/>
        <v xml:space="preserve"> </v>
      </c>
      <c r="M208" s="242" t="str">
        <f t="shared" si="24"/>
        <v xml:space="preserve"> </v>
      </c>
    </row>
    <row r="209" spans="6:13" x14ac:dyDescent="0.2">
      <c r="F209" s="216" t="str">
        <f t="shared" si="20"/>
        <v xml:space="preserve"> </v>
      </c>
      <c r="G209" s="50"/>
      <c r="H209" s="242" t="str">
        <f ca="1">IF(F209=1,PERCENTILE(INDIRECT("g"&amp;$D$8):INDIRECT("g"&amp;$E$8),0.5),IF(F209=2,PERCENTILE(INDIRECT("g"&amp;$D$9):INDIRECT("g"&amp;$E$9),0.5),IF(F209=3,PERCENTILE(INDIRECT("g"&amp;$D$10):INDIRECT("g"&amp;$E$10),0.5),IF(F209=4,PERCENTILE(INDIRECT("g"&amp;$D$11):INDIRECT("g"&amp;$E$11),0.5),IF(F209=5,PERCENTILE(INDIRECT("g"&amp;$D$12):INDIRECT("g"&amp;$E$12),0.5),IF(F209=6,PERCENTILE(INDIRECT("g"&amp;$D$13):INDIRECT("g"&amp;$E$13),0.5)," "))))))</f>
        <v xml:space="preserve"> </v>
      </c>
      <c r="I209" s="242" t="str">
        <f t="shared" si="21"/>
        <v xml:space="preserve"> </v>
      </c>
      <c r="J209" s="242" t="str">
        <f ca="1">IF(F209=1,AVERAGE(INDIRECT("I"&amp;$D$8):INDIRECT("I"&amp;$E$8)),IF(F209=2,AVERAGE(INDIRECT("I"&amp;$D$9):INDIRECT("I"&amp;$E$9)),IF(F209=3,AVERAGE(INDIRECT("I"&amp;$D$10):INDIRECT("I"&amp;$E$10)),IF(F209=4,AVERAGE(INDIRECT("I"&amp;$D$11):INDIRECT("I"&amp;$E$11)),IF(F209=5,AVERAGE(INDIRECT("I"&amp;$D$12):INDIRECT("I"&amp;$E$12)),IF(F209=6,AVERAGE(INDIRECT("I"&amp;$D$13):INDIRECT("I"&amp;$E$13))," "))))))</f>
        <v xml:space="preserve"> </v>
      </c>
      <c r="K209" s="242" t="str">
        <f t="shared" si="22"/>
        <v xml:space="preserve"> </v>
      </c>
      <c r="L209" s="242" t="str">
        <f t="shared" si="23"/>
        <v xml:space="preserve"> </v>
      </c>
      <c r="M209" s="242" t="str">
        <f t="shared" si="24"/>
        <v xml:space="preserve"> </v>
      </c>
    </row>
    <row r="210" spans="6:13" x14ac:dyDescent="0.2">
      <c r="F210" s="216" t="str">
        <f t="shared" si="20"/>
        <v xml:space="preserve"> </v>
      </c>
      <c r="G210" s="50"/>
      <c r="H210" s="242" t="str">
        <f ca="1">IF(F210=1,PERCENTILE(INDIRECT("g"&amp;$D$8):INDIRECT("g"&amp;$E$8),0.5),IF(F210=2,PERCENTILE(INDIRECT("g"&amp;$D$9):INDIRECT("g"&amp;$E$9),0.5),IF(F210=3,PERCENTILE(INDIRECT("g"&amp;$D$10):INDIRECT("g"&amp;$E$10),0.5),IF(F210=4,PERCENTILE(INDIRECT("g"&amp;$D$11):INDIRECT("g"&amp;$E$11),0.5),IF(F210=5,PERCENTILE(INDIRECT("g"&amp;$D$12):INDIRECT("g"&amp;$E$12),0.5),IF(F210=6,PERCENTILE(INDIRECT("g"&amp;$D$13):INDIRECT("g"&amp;$E$13),0.5)," "))))))</f>
        <v xml:space="preserve"> </v>
      </c>
      <c r="I210" s="242" t="str">
        <f t="shared" si="21"/>
        <v xml:space="preserve"> </v>
      </c>
      <c r="J210" s="242" t="str">
        <f ca="1">IF(F210=1,AVERAGE(INDIRECT("I"&amp;$D$8):INDIRECT("I"&amp;$E$8)),IF(F210=2,AVERAGE(INDIRECT("I"&amp;$D$9):INDIRECT("I"&amp;$E$9)),IF(F210=3,AVERAGE(INDIRECT("I"&amp;$D$10):INDIRECT("I"&amp;$E$10)),IF(F210=4,AVERAGE(INDIRECT("I"&amp;$D$11):INDIRECT("I"&amp;$E$11)),IF(F210=5,AVERAGE(INDIRECT("I"&amp;$D$12):INDIRECT("I"&amp;$E$12)),IF(F210=6,AVERAGE(INDIRECT("I"&amp;$D$13):INDIRECT("I"&amp;$E$13))," "))))))</f>
        <v xml:space="preserve"> </v>
      </c>
      <c r="K210" s="242" t="str">
        <f t="shared" si="22"/>
        <v xml:space="preserve"> </v>
      </c>
      <c r="L210" s="242" t="str">
        <f t="shared" si="23"/>
        <v xml:space="preserve"> </v>
      </c>
      <c r="M210" s="242" t="str">
        <f t="shared" si="24"/>
        <v xml:space="preserve"> </v>
      </c>
    </row>
    <row r="211" spans="6:13" x14ac:dyDescent="0.2">
      <c r="F211" s="216" t="str">
        <f t="shared" si="20"/>
        <v xml:space="preserve"> </v>
      </c>
      <c r="G211" s="50"/>
      <c r="H211" s="242" t="str">
        <f ca="1">IF(F211=1,PERCENTILE(INDIRECT("g"&amp;$D$8):INDIRECT("g"&amp;$E$8),0.5),IF(F211=2,PERCENTILE(INDIRECT("g"&amp;$D$9):INDIRECT("g"&amp;$E$9),0.5),IF(F211=3,PERCENTILE(INDIRECT("g"&amp;$D$10):INDIRECT("g"&amp;$E$10),0.5),IF(F211=4,PERCENTILE(INDIRECT("g"&amp;$D$11):INDIRECT("g"&amp;$E$11),0.5),IF(F211=5,PERCENTILE(INDIRECT("g"&amp;$D$12):INDIRECT("g"&amp;$E$12),0.5),IF(F211=6,PERCENTILE(INDIRECT("g"&amp;$D$13):INDIRECT("g"&amp;$E$13),0.5)," "))))))</f>
        <v xml:space="preserve"> </v>
      </c>
      <c r="I211" s="242" t="str">
        <f t="shared" si="21"/>
        <v xml:space="preserve"> </v>
      </c>
      <c r="J211" s="242" t="str">
        <f ca="1">IF(F211=1,AVERAGE(INDIRECT("I"&amp;$D$8):INDIRECT("I"&amp;$E$8)),IF(F211=2,AVERAGE(INDIRECT("I"&amp;$D$9):INDIRECT("I"&amp;$E$9)),IF(F211=3,AVERAGE(INDIRECT("I"&amp;$D$10):INDIRECT("I"&amp;$E$10)),IF(F211=4,AVERAGE(INDIRECT("I"&amp;$D$11):INDIRECT("I"&amp;$E$11)),IF(F211=5,AVERAGE(INDIRECT("I"&amp;$D$12):INDIRECT("I"&amp;$E$12)),IF(F211=6,AVERAGE(INDIRECT("I"&amp;$D$13):INDIRECT("I"&amp;$E$13))," "))))))</f>
        <v xml:space="preserve"> </v>
      </c>
      <c r="K211" s="242" t="str">
        <f t="shared" si="22"/>
        <v xml:space="preserve"> </v>
      </c>
      <c r="L211" s="242" t="str">
        <f t="shared" si="23"/>
        <v xml:space="preserve"> </v>
      </c>
      <c r="M211" s="242" t="str">
        <f t="shared" si="24"/>
        <v xml:space="preserve"> </v>
      </c>
    </row>
    <row r="212" spans="6:13" x14ac:dyDescent="0.2">
      <c r="F212" s="216" t="str">
        <f t="shared" si="20"/>
        <v xml:space="preserve"> </v>
      </c>
      <c r="G212" s="50"/>
      <c r="H212" s="242" t="str">
        <f ca="1">IF(F212=1,PERCENTILE(INDIRECT("g"&amp;$D$8):INDIRECT("g"&amp;$E$8),0.5),IF(F212=2,PERCENTILE(INDIRECT("g"&amp;$D$9):INDIRECT("g"&amp;$E$9),0.5),IF(F212=3,PERCENTILE(INDIRECT("g"&amp;$D$10):INDIRECT("g"&amp;$E$10),0.5),IF(F212=4,PERCENTILE(INDIRECT("g"&amp;$D$11):INDIRECT("g"&amp;$E$11),0.5),IF(F212=5,PERCENTILE(INDIRECT("g"&amp;$D$12):INDIRECT("g"&amp;$E$12),0.5),IF(F212=6,PERCENTILE(INDIRECT("g"&amp;$D$13):INDIRECT("g"&amp;$E$13),0.5)," "))))))</f>
        <v xml:space="preserve"> </v>
      </c>
      <c r="I212" s="242" t="str">
        <f t="shared" si="21"/>
        <v xml:space="preserve"> </v>
      </c>
      <c r="J212" s="242" t="str">
        <f ca="1">IF(F212=1,AVERAGE(INDIRECT("I"&amp;$D$8):INDIRECT("I"&amp;$E$8)),IF(F212=2,AVERAGE(INDIRECT("I"&amp;$D$9):INDIRECT("I"&amp;$E$9)),IF(F212=3,AVERAGE(INDIRECT("I"&amp;$D$10):INDIRECT("I"&amp;$E$10)),IF(F212=4,AVERAGE(INDIRECT("I"&amp;$D$11):INDIRECT("I"&amp;$E$11)),IF(F212=5,AVERAGE(INDIRECT("I"&amp;$D$12):INDIRECT("I"&amp;$E$12)),IF(F212=6,AVERAGE(INDIRECT("I"&amp;$D$13):INDIRECT("I"&amp;$E$13))," "))))))</f>
        <v xml:space="preserve"> </v>
      </c>
      <c r="K212" s="242" t="str">
        <f t="shared" si="22"/>
        <v xml:space="preserve"> </v>
      </c>
      <c r="L212" s="242" t="str">
        <f t="shared" si="23"/>
        <v xml:space="preserve"> </v>
      </c>
      <c r="M212" s="242" t="str">
        <f t="shared" si="24"/>
        <v xml:space="preserve"> </v>
      </c>
    </row>
    <row r="213" spans="6:13" x14ac:dyDescent="0.2">
      <c r="F213" s="216" t="str">
        <f t="shared" si="20"/>
        <v xml:space="preserve"> </v>
      </c>
      <c r="G213" s="50"/>
      <c r="H213" s="242" t="str">
        <f ca="1">IF(F213=1,PERCENTILE(INDIRECT("g"&amp;$D$8):INDIRECT("g"&amp;$E$8),0.5),IF(F213=2,PERCENTILE(INDIRECT("g"&amp;$D$9):INDIRECT("g"&amp;$E$9),0.5),IF(F213=3,PERCENTILE(INDIRECT("g"&amp;$D$10):INDIRECT("g"&amp;$E$10),0.5),IF(F213=4,PERCENTILE(INDIRECT("g"&amp;$D$11):INDIRECT("g"&amp;$E$11),0.5),IF(F213=5,PERCENTILE(INDIRECT("g"&amp;$D$12):INDIRECT("g"&amp;$E$12),0.5),IF(F213=6,PERCENTILE(INDIRECT("g"&amp;$D$13):INDIRECT("g"&amp;$E$13),0.5)," "))))))</f>
        <v xml:space="preserve"> </v>
      </c>
      <c r="I213" s="242" t="str">
        <f t="shared" si="21"/>
        <v xml:space="preserve"> </v>
      </c>
      <c r="J213" s="242" t="str">
        <f ca="1">IF(F213=1,AVERAGE(INDIRECT("I"&amp;$D$8):INDIRECT("I"&amp;$E$8)),IF(F213=2,AVERAGE(INDIRECT("I"&amp;$D$9):INDIRECT("I"&amp;$E$9)),IF(F213=3,AVERAGE(INDIRECT("I"&amp;$D$10):INDIRECT("I"&amp;$E$10)),IF(F213=4,AVERAGE(INDIRECT("I"&amp;$D$11):INDIRECT("I"&amp;$E$11)),IF(F213=5,AVERAGE(INDIRECT("I"&amp;$D$12):INDIRECT("I"&amp;$E$12)),IF(F213=6,AVERAGE(INDIRECT("I"&amp;$D$13):INDIRECT("I"&amp;$E$13))," "))))))</f>
        <v xml:space="preserve"> </v>
      </c>
      <c r="K213" s="242" t="str">
        <f t="shared" si="22"/>
        <v xml:space="preserve"> </v>
      </c>
      <c r="L213" s="242" t="str">
        <f t="shared" si="23"/>
        <v xml:space="preserve"> </v>
      </c>
      <c r="M213" s="242" t="str">
        <f t="shared" si="24"/>
        <v xml:space="preserve"> </v>
      </c>
    </row>
    <row r="214" spans="6:13" x14ac:dyDescent="0.2">
      <c r="F214" s="216" t="str">
        <f t="shared" si="20"/>
        <v xml:space="preserve"> </v>
      </c>
      <c r="G214" s="50"/>
      <c r="H214" s="242" t="str">
        <f ca="1">IF(F214=1,PERCENTILE(INDIRECT("g"&amp;$D$8):INDIRECT("g"&amp;$E$8),0.5),IF(F214=2,PERCENTILE(INDIRECT("g"&amp;$D$9):INDIRECT("g"&amp;$E$9),0.5),IF(F214=3,PERCENTILE(INDIRECT("g"&amp;$D$10):INDIRECT("g"&amp;$E$10),0.5),IF(F214=4,PERCENTILE(INDIRECT("g"&amp;$D$11):INDIRECT("g"&amp;$E$11),0.5),IF(F214=5,PERCENTILE(INDIRECT("g"&amp;$D$12):INDIRECT("g"&amp;$E$12),0.5),IF(F214=6,PERCENTILE(INDIRECT("g"&amp;$D$13):INDIRECT("g"&amp;$E$13),0.5)," "))))))</f>
        <v xml:space="preserve"> </v>
      </c>
      <c r="I214" s="242" t="str">
        <f t="shared" si="21"/>
        <v xml:space="preserve"> </v>
      </c>
      <c r="J214" s="242" t="str">
        <f ca="1">IF(F214=1,AVERAGE(INDIRECT("I"&amp;$D$8):INDIRECT("I"&amp;$E$8)),IF(F214=2,AVERAGE(INDIRECT("I"&amp;$D$9):INDIRECT("I"&amp;$E$9)),IF(F214=3,AVERAGE(INDIRECT("I"&amp;$D$10):INDIRECT("I"&amp;$E$10)),IF(F214=4,AVERAGE(INDIRECT("I"&amp;$D$11):INDIRECT("I"&amp;$E$11)),IF(F214=5,AVERAGE(INDIRECT("I"&amp;$D$12):INDIRECT("I"&amp;$E$12)),IF(F214=6,AVERAGE(INDIRECT("I"&amp;$D$13):INDIRECT("I"&amp;$E$13))," "))))))</f>
        <v xml:space="preserve"> </v>
      </c>
      <c r="K214" s="242" t="str">
        <f t="shared" si="22"/>
        <v xml:space="preserve"> </v>
      </c>
      <c r="L214" s="242" t="str">
        <f t="shared" si="23"/>
        <v xml:space="preserve"> </v>
      </c>
      <c r="M214" s="242" t="str">
        <f t="shared" si="24"/>
        <v xml:space="preserve"> </v>
      </c>
    </row>
    <row r="215" spans="6:13" x14ac:dyDescent="0.2">
      <c r="F215" s="216" t="str">
        <f t="shared" si="20"/>
        <v xml:space="preserve"> </v>
      </c>
      <c r="G215" s="50"/>
      <c r="H215" s="242" t="str">
        <f ca="1">IF(F215=1,PERCENTILE(INDIRECT("g"&amp;$D$8):INDIRECT("g"&amp;$E$8),0.5),IF(F215=2,PERCENTILE(INDIRECT("g"&amp;$D$9):INDIRECT("g"&amp;$E$9),0.5),IF(F215=3,PERCENTILE(INDIRECT("g"&amp;$D$10):INDIRECT("g"&amp;$E$10),0.5),IF(F215=4,PERCENTILE(INDIRECT("g"&amp;$D$11):INDIRECT("g"&amp;$E$11),0.5),IF(F215=5,PERCENTILE(INDIRECT("g"&amp;$D$12):INDIRECT("g"&amp;$E$12),0.5),IF(F215=6,PERCENTILE(INDIRECT("g"&amp;$D$13):INDIRECT("g"&amp;$E$13),0.5)," "))))))</f>
        <v xml:space="preserve"> </v>
      </c>
      <c r="I215" s="242" t="str">
        <f t="shared" si="21"/>
        <v xml:space="preserve"> </v>
      </c>
      <c r="J215" s="242" t="str">
        <f ca="1">IF(F215=1,AVERAGE(INDIRECT("I"&amp;$D$8):INDIRECT("I"&amp;$E$8)),IF(F215=2,AVERAGE(INDIRECT("I"&amp;$D$9):INDIRECT("I"&amp;$E$9)),IF(F215=3,AVERAGE(INDIRECT("I"&amp;$D$10):INDIRECT("I"&amp;$E$10)),IF(F215=4,AVERAGE(INDIRECT("I"&amp;$D$11):INDIRECT("I"&amp;$E$11)),IF(F215=5,AVERAGE(INDIRECT("I"&amp;$D$12):INDIRECT("I"&amp;$E$12)),IF(F215=6,AVERAGE(INDIRECT("I"&amp;$D$13):INDIRECT("I"&amp;$E$13))," "))))))</f>
        <v xml:space="preserve"> </v>
      </c>
      <c r="K215" s="242" t="str">
        <f t="shared" si="22"/>
        <v xml:space="preserve"> </v>
      </c>
      <c r="L215" s="242" t="str">
        <f t="shared" si="23"/>
        <v xml:space="preserve"> </v>
      </c>
      <c r="M215" s="242" t="str">
        <f t="shared" si="24"/>
        <v xml:space="preserve"> </v>
      </c>
    </row>
    <row r="216" spans="6:13" x14ac:dyDescent="0.2">
      <c r="F216" s="216" t="str">
        <f t="shared" si="20"/>
        <v xml:space="preserve"> </v>
      </c>
      <c r="G216" s="50"/>
      <c r="H216" s="242" t="str">
        <f ca="1">IF(F216=1,PERCENTILE(INDIRECT("g"&amp;$D$8):INDIRECT("g"&amp;$E$8),0.5),IF(F216=2,PERCENTILE(INDIRECT("g"&amp;$D$9):INDIRECT("g"&amp;$E$9),0.5),IF(F216=3,PERCENTILE(INDIRECT("g"&amp;$D$10):INDIRECT("g"&amp;$E$10),0.5),IF(F216=4,PERCENTILE(INDIRECT("g"&amp;$D$11):INDIRECT("g"&amp;$E$11),0.5),IF(F216=5,PERCENTILE(INDIRECT("g"&amp;$D$12):INDIRECT("g"&amp;$E$12),0.5),IF(F216=6,PERCENTILE(INDIRECT("g"&amp;$D$13):INDIRECT("g"&amp;$E$13),0.5)," "))))))</f>
        <v xml:space="preserve"> </v>
      </c>
      <c r="I216" s="242" t="str">
        <f t="shared" si="21"/>
        <v xml:space="preserve"> </v>
      </c>
      <c r="J216" s="242" t="str">
        <f ca="1">IF(F216=1,AVERAGE(INDIRECT("I"&amp;$D$8):INDIRECT("I"&amp;$E$8)),IF(F216=2,AVERAGE(INDIRECT("I"&amp;$D$9):INDIRECT("I"&amp;$E$9)),IF(F216=3,AVERAGE(INDIRECT("I"&amp;$D$10):INDIRECT("I"&amp;$E$10)),IF(F216=4,AVERAGE(INDIRECT("I"&amp;$D$11):INDIRECT("I"&amp;$E$11)),IF(F216=5,AVERAGE(INDIRECT("I"&amp;$D$12):INDIRECT("I"&amp;$E$12)),IF(F216=6,AVERAGE(INDIRECT("I"&amp;$D$13):INDIRECT("I"&amp;$E$13))," "))))))</f>
        <v xml:space="preserve"> </v>
      </c>
      <c r="K216" s="242" t="str">
        <f t="shared" si="22"/>
        <v xml:space="preserve"> </v>
      </c>
      <c r="L216" s="242" t="str">
        <f t="shared" si="23"/>
        <v xml:space="preserve"> </v>
      </c>
      <c r="M216" s="242" t="str">
        <f t="shared" si="24"/>
        <v xml:space="preserve"> </v>
      </c>
    </row>
    <row r="217" spans="6:13" x14ac:dyDescent="0.2">
      <c r="F217" s="216" t="str">
        <f t="shared" si="20"/>
        <v xml:space="preserve"> </v>
      </c>
      <c r="G217" s="50"/>
      <c r="H217" s="242" t="str">
        <f ca="1">IF(F217=1,PERCENTILE(INDIRECT("g"&amp;$D$8):INDIRECT("g"&amp;$E$8),0.5),IF(F217=2,PERCENTILE(INDIRECT("g"&amp;$D$9):INDIRECT("g"&amp;$E$9),0.5),IF(F217=3,PERCENTILE(INDIRECT("g"&amp;$D$10):INDIRECT("g"&amp;$E$10),0.5),IF(F217=4,PERCENTILE(INDIRECT("g"&amp;$D$11):INDIRECT("g"&amp;$E$11),0.5),IF(F217=5,PERCENTILE(INDIRECT("g"&amp;$D$12):INDIRECT("g"&amp;$E$12),0.5),IF(F217=6,PERCENTILE(INDIRECT("g"&amp;$D$13):INDIRECT("g"&amp;$E$13),0.5)," "))))))</f>
        <v xml:space="preserve"> </v>
      </c>
      <c r="I217" s="242" t="str">
        <f t="shared" si="21"/>
        <v xml:space="preserve"> </v>
      </c>
      <c r="J217" s="242" t="str">
        <f ca="1">IF(F217=1,AVERAGE(INDIRECT("I"&amp;$D$8):INDIRECT("I"&amp;$E$8)),IF(F217=2,AVERAGE(INDIRECT("I"&amp;$D$9):INDIRECT("I"&amp;$E$9)),IF(F217=3,AVERAGE(INDIRECT("I"&amp;$D$10):INDIRECT("I"&amp;$E$10)),IF(F217=4,AVERAGE(INDIRECT("I"&amp;$D$11):INDIRECT("I"&amp;$E$11)),IF(F217=5,AVERAGE(INDIRECT("I"&amp;$D$12):INDIRECT("I"&amp;$E$12)),IF(F217=6,AVERAGE(INDIRECT("I"&amp;$D$13):INDIRECT("I"&amp;$E$13))," "))))))</f>
        <v xml:space="preserve"> </v>
      </c>
      <c r="K217" s="242" t="str">
        <f t="shared" si="22"/>
        <v xml:space="preserve"> </v>
      </c>
      <c r="L217" s="242" t="str">
        <f t="shared" si="23"/>
        <v xml:space="preserve"> </v>
      </c>
      <c r="M217" s="242" t="str">
        <f t="shared" si="24"/>
        <v xml:space="preserve"> </v>
      </c>
    </row>
    <row r="218" spans="6:13" x14ac:dyDescent="0.2">
      <c r="F218" s="216" t="str">
        <f t="shared" si="20"/>
        <v xml:space="preserve"> </v>
      </c>
      <c r="G218" s="50"/>
      <c r="H218" s="242" t="str">
        <f ca="1">IF(F218=1,PERCENTILE(INDIRECT("g"&amp;$D$8):INDIRECT("g"&amp;$E$8),0.5),IF(F218=2,PERCENTILE(INDIRECT("g"&amp;$D$9):INDIRECT("g"&amp;$E$9),0.5),IF(F218=3,PERCENTILE(INDIRECT("g"&amp;$D$10):INDIRECT("g"&amp;$E$10),0.5),IF(F218=4,PERCENTILE(INDIRECT("g"&amp;$D$11):INDIRECT("g"&amp;$E$11),0.5),IF(F218=5,PERCENTILE(INDIRECT("g"&amp;$D$12):INDIRECT("g"&amp;$E$12),0.5),IF(F218=6,PERCENTILE(INDIRECT("g"&amp;$D$13):INDIRECT("g"&amp;$E$13),0.5)," "))))))</f>
        <v xml:space="preserve"> </v>
      </c>
      <c r="I218" s="242" t="str">
        <f t="shared" si="21"/>
        <v xml:space="preserve"> </v>
      </c>
      <c r="J218" s="242" t="str">
        <f ca="1">IF(F218=1,AVERAGE(INDIRECT("I"&amp;$D$8):INDIRECT("I"&amp;$E$8)),IF(F218=2,AVERAGE(INDIRECT("I"&amp;$D$9):INDIRECT("I"&amp;$E$9)),IF(F218=3,AVERAGE(INDIRECT("I"&amp;$D$10):INDIRECT("I"&amp;$E$10)),IF(F218=4,AVERAGE(INDIRECT("I"&amp;$D$11):INDIRECT("I"&amp;$E$11)),IF(F218=5,AVERAGE(INDIRECT("I"&amp;$D$12):INDIRECT("I"&amp;$E$12)),IF(F218=6,AVERAGE(INDIRECT("I"&amp;$D$13):INDIRECT("I"&amp;$E$13))," "))))))</f>
        <v xml:space="preserve"> </v>
      </c>
      <c r="K218" s="242" t="str">
        <f t="shared" si="22"/>
        <v xml:space="preserve"> </v>
      </c>
      <c r="L218" s="242" t="str">
        <f t="shared" si="23"/>
        <v xml:space="preserve"> </v>
      </c>
      <c r="M218" s="242" t="str">
        <f t="shared" si="24"/>
        <v xml:space="preserve"> </v>
      </c>
    </row>
    <row r="219" spans="6:13" x14ac:dyDescent="0.2">
      <c r="F219" s="216" t="str">
        <f t="shared" si="20"/>
        <v xml:space="preserve"> </v>
      </c>
      <c r="G219" s="50"/>
      <c r="H219" s="242" t="str">
        <f ca="1">IF(F219=1,PERCENTILE(INDIRECT("g"&amp;$D$8):INDIRECT("g"&amp;$E$8),0.5),IF(F219=2,PERCENTILE(INDIRECT("g"&amp;$D$9):INDIRECT("g"&amp;$E$9),0.5),IF(F219=3,PERCENTILE(INDIRECT("g"&amp;$D$10):INDIRECT("g"&amp;$E$10),0.5),IF(F219=4,PERCENTILE(INDIRECT("g"&amp;$D$11):INDIRECT("g"&amp;$E$11),0.5),IF(F219=5,PERCENTILE(INDIRECT("g"&amp;$D$12):INDIRECT("g"&amp;$E$12),0.5),IF(F219=6,PERCENTILE(INDIRECT("g"&amp;$D$13):INDIRECT("g"&amp;$E$13),0.5)," "))))))</f>
        <v xml:space="preserve"> </v>
      </c>
      <c r="I219" s="242" t="str">
        <f t="shared" si="21"/>
        <v xml:space="preserve"> </v>
      </c>
      <c r="J219" s="242" t="str">
        <f ca="1">IF(F219=1,AVERAGE(INDIRECT("I"&amp;$D$8):INDIRECT("I"&amp;$E$8)),IF(F219=2,AVERAGE(INDIRECT("I"&amp;$D$9):INDIRECT("I"&amp;$E$9)),IF(F219=3,AVERAGE(INDIRECT("I"&amp;$D$10):INDIRECT("I"&amp;$E$10)),IF(F219=4,AVERAGE(INDIRECT("I"&amp;$D$11):INDIRECT("I"&amp;$E$11)),IF(F219=5,AVERAGE(INDIRECT("I"&amp;$D$12):INDIRECT("I"&amp;$E$12)),IF(F219=6,AVERAGE(INDIRECT("I"&amp;$D$13):INDIRECT("I"&amp;$E$13))," "))))))</f>
        <v xml:space="preserve"> </v>
      </c>
      <c r="K219" s="242" t="str">
        <f t="shared" si="22"/>
        <v xml:space="preserve"> </v>
      </c>
      <c r="L219" s="242" t="str">
        <f t="shared" si="23"/>
        <v xml:space="preserve"> </v>
      </c>
      <c r="M219" s="242" t="str">
        <f t="shared" si="24"/>
        <v xml:space="preserve"> </v>
      </c>
    </row>
    <row r="220" spans="6:13" x14ac:dyDescent="0.2">
      <c r="F220" s="216" t="str">
        <f t="shared" si="20"/>
        <v xml:space="preserve"> </v>
      </c>
      <c r="G220" s="50"/>
      <c r="H220" s="242" t="str">
        <f ca="1">IF(F220=1,PERCENTILE(INDIRECT("g"&amp;$D$8):INDIRECT("g"&amp;$E$8),0.5),IF(F220=2,PERCENTILE(INDIRECT("g"&amp;$D$9):INDIRECT("g"&amp;$E$9),0.5),IF(F220=3,PERCENTILE(INDIRECT("g"&amp;$D$10):INDIRECT("g"&amp;$E$10),0.5),IF(F220=4,PERCENTILE(INDIRECT("g"&amp;$D$11):INDIRECT("g"&amp;$E$11),0.5),IF(F220=5,PERCENTILE(INDIRECT("g"&amp;$D$12):INDIRECT("g"&amp;$E$12),0.5),IF(F220=6,PERCENTILE(INDIRECT("g"&amp;$D$13):INDIRECT("g"&amp;$E$13),0.5)," "))))))</f>
        <v xml:space="preserve"> </v>
      </c>
      <c r="I220" s="242" t="str">
        <f t="shared" si="21"/>
        <v xml:space="preserve"> </v>
      </c>
      <c r="J220" s="242" t="str">
        <f ca="1">IF(F220=1,AVERAGE(INDIRECT("I"&amp;$D$8):INDIRECT("I"&amp;$E$8)),IF(F220=2,AVERAGE(INDIRECT("I"&amp;$D$9):INDIRECT("I"&amp;$E$9)),IF(F220=3,AVERAGE(INDIRECT("I"&amp;$D$10):INDIRECT("I"&amp;$E$10)),IF(F220=4,AVERAGE(INDIRECT("I"&amp;$D$11):INDIRECT("I"&amp;$E$11)),IF(F220=5,AVERAGE(INDIRECT("I"&amp;$D$12):INDIRECT("I"&amp;$E$12)),IF(F220=6,AVERAGE(INDIRECT("I"&amp;$D$13):INDIRECT("I"&amp;$E$13))," "))))))</f>
        <v xml:space="preserve"> </v>
      </c>
      <c r="K220" s="242" t="str">
        <f t="shared" si="22"/>
        <v xml:space="preserve"> </v>
      </c>
      <c r="L220" s="242" t="str">
        <f t="shared" si="23"/>
        <v xml:space="preserve"> </v>
      </c>
      <c r="M220" s="242" t="str">
        <f t="shared" si="24"/>
        <v xml:space="preserve"> </v>
      </c>
    </row>
    <row r="221" spans="6:13" x14ac:dyDescent="0.2">
      <c r="F221" s="216" t="str">
        <f t="shared" si="20"/>
        <v xml:space="preserve"> </v>
      </c>
      <c r="G221" s="50"/>
      <c r="H221" s="242" t="str">
        <f ca="1">IF(F221=1,PERCENTILE(INDIRECT("g"&amp;$D$8):INDIRECT("g"&amp;$E$8),0.5),IF(F221=2,PERCENTILE(INDIRECT("g"&amp;$D$9):INDIRECT("g"&amp;$E$9),0.5),IF(F221=3,PERCENTILE(INDIRECT("g"&amp;$D$10):INDIRECT("g"&amp;$E$10),0.5),IF(F221=4,PERCENTILE(INDIRECT("g"&amp;$D$11):INDIRECT("g"&amp;$E$11),0.5),IF(F221=5,PERCENTILE(INDIRECT("g"&amp;$D$12):INDIRECT("g"&amp;$E$12),0.5),IF(F221=6,PERCENTILE(INDIRECT("g"&amp;$D$13):INDIRECT("g"&amp;$E$13),0.5)," "))))))</f>
        <v xml:space="preserve"> </v>
      </c>
      <c r="I221" s="242" t="str">
        <f t="shared" si="21"/>
        <v xml:space="preserve"> </v>
      </c>
      <c r="J221" s="242" t="str">
        <f ca="1">IF(F221=1,AVERAGE(INDIRECT("I"&amp;$D$8):INDIRECT("I"&amp;$E$8)),IF(F221=2,AVERAGE(INDIRECT("I"&amp;$D$9):INDIRECT("I"&amp;$E$9)),IF(F221=3,AVERAGE(INDIRECT("I"&amp;$D$10):INDIRECT("I"&amp;$E$10)),IF(F221=4,AVERAGE(INDIRECT("I"&amp;$D$11):INDIRECT("I"&amp;$E$11)),IF(F221=5,AVERAGE(INDIRECT("I"&amp;$D$12):INDIRECT("I"&amp;$E$12)),IF(F221=6,AVERAGE(INDIRECT("I"&amp;$D$13):INDIRECT("I"&amp;$E$13))," "))))))</f>
        <v xml:space="preserve"> </v>
      </c>
      <c r="K221" s="242" t="str">
        <f t="shared" si="22"/>
        <v xml:space="preserve"> </v>
      </c>
      <c r="L221" s="242" t="str">
        <f t="shared" si="23"/>
        <v xml:space="preserve"> </v>
      </c>
      <c r="M221" s="242" t="str">
        <f t="shared" si="24"/>
        <v xml:space="preserve"> </v>
      </c>
    </row>
    <row r="222" spans="6:13" x14ac:dyDescent="0.2">
      <c r="F222" s="216" t="str">
        <f t="shared" si="20"/>
        <v xml:space="preserve"> </v>
      </c>
      <c r="G222" s="50"/>
      <c r="H222" s="242" t="str">
        <f ca="1">IF(F222=1,PERCENTILE(INDIRECT("g"&amp;$D$8):INDIRECT("g"&amp;$E$8),0.5),IF(F222=2,PERCENTILE(INDIRECT("g"&amp;$D$9):INDIRECT("g"&amp;$E$9),0.5),IF(F222=3,PERCENTILE(INDIRECT("g"&amp;$D$10):INDIRECT("g"&amp;$E$10),0.5),IF(F222=4,PERCENTILE(INDIRECT("g"&amp;$D$11):INDIRECT("g"&amp;$E$11),0.5),IF(F222=5,PERCENTILE(INDIRECT("g"&amp;$D$12):INDIRECT("g"&amp;$E$12),0.5),IF(F222=6,PERCENTILE(INDIRECT("g"&amp;$D$13):INDIRECT("g"&amp;$E$13),0.5)," "))))))</f>
        <v xml:space="preserve"> </v>
      </c>
      <c r="I222" s="242" t="str">
        <f t="shared" si="21"/>
        <v xml:space="preserve"> </v>
      </c>
      <c r="J222" s="242" t="str">
        <f ca="1">IF(F222=1,AVERAGE(INDIRECT("I"&amp;$D$8):INDIRECT("I"&amp;$E$8)),IF(F222=2,AVERAGE(INDIRECT("I"&amp;$D$9):INDIRECT("I"&amp;$E$9)),IF(F222=3,AVERAGE(INDIRECT("I"&amp;$D$10):INDIRECT("I"&amp;$E$10)),IF(F222=4,AVERAGE(INDIRECT("I"&amp;$D$11):INDIRECT("I"&amp;$E$11)),IF(F222=5,AVERAGE(INDIRECT("I"&amp;$D$12):INDIRECT("I"&amp;$E$12)),IF(F222=6,AVERAGE(INDIRECT("I"&amp;$D$13):INDIRECT("I"&amp;$E$13))," "))))))</f>
        <v xml:space="preserve"> </v>
      </c>
      <c r="K222" s="242" t="str">
        <f t="shared" si="22"/>
        <v xml:space="preserve"> </v>
      </c>
      <c r="L222" s="242" t="str">
        <f t="shared" si="23"/>
        <v xml:space="preserve"> </v>
      </c>
      <c r="M222" s="242" t="str">
        <f t="shared" si="24"/>
        <v xml:space="preserve"> </v>
      </c>
    </row>
    <row r="223" spans="6:13" x14ac:dyDescent="0.2">
      <c r="F223" s="216" t="str">
        <f t="shared" si="20"/>
        <v xml:space="preserve"> </v>
      </c>
      <c r="G223" s="50"/>
      <c r="H223" s="242" t="str">
        <f ca="1">IF(F223=1,PERCENTILE(INDIRECT("g"&amp;$D$8):INDIRECT("g"&amp;$E$8),0.5),IF(F223=2,PERCENTILE(INDIRECT("g"&amp;$D$9):INDIRECT("g"&amp;$E$9),0.5),IF(F223=3,PERCENTILE(INDIRECT("g"&amp;$D$10):INDIRECT("g"&amp;$E$10),0.5),IF(F223=4,PERCENTILE(INDIRECT("g"&amp;$D$11):INDIRECT("g"&amp;$E$11),0.5),IF(F223=5,PERCENTILE(INDIRECT("g"&amp;$D$12):INDIRECT("g"&amp;$E$12),0.5),IF(F223=6,PERCENTILE(INDIRECT("g"&amp;$D$13):INDIRECT("g"&amp;$E$13),0.5)," "))))))</f>
        <v xml:space="preserve"> </v>
      </c>
      <c r="I223" s="242" t="str">
        <f t="shared" si="21"/>
        <v xml:space="preserve"> </v>
      </c>
      <c r="J223" s="242" t="str">
        <f ca="1">IF(F223=1,AVERAGE(INDIRECT("I"&amp;$D$8):INDIRECT("I"&amp;$E$8)),IF(F223=2,AVERAGE(INDIRECT("I"&amp;$D$9):INDIRECT("I"&amp;$E$9)),IF(F223=3,AVERAGE(INDIRECT("I"&amp;$D$10):INDIRECT("I"&amp;$E$10)),IF(F223=4,AVERAGE(INDIRECT("I"&amp;$D$11):INDIRECT("I"&amp;$E$11)),IF(F223=5,AVERAGE(INDIRECT("I"&amp;$D$12):INDIRECT("I"&amp;$E$12)),IF(F223=6,AVERAGE(INDIRECT("I"&amp;$D$13):INDIRECT("I"&amp;$E$13))," "))))))</f>
        <v xml:space="preserve"> </v>
      </c>
      <c r="K223" s="242" t="str">
        <f t="shared" si="22"/>
        <v xml:space="preserve"> </v>
      </c>
      <c r="L223" s="242" t="str">
        <f t="shared" si="23"/>
        <v xml:space="preserve"> </v>
      </c>
      <c r="M223" s="242" t="str">
        <f t="shared" si="24"/>
        <v xml:space="preserve"> </v>
      </c>
    </row>
    <row r="224" spans="6:13" x14ac:dyDescent="0.2">
      <c r="F224" s="216" t="str">
        <f t="shared" si="20"/>
        <v xml:space="preserve"> </v>
      </c>
      <c r="G224" s="50"/>
      <c r="H224" s="242" t="str">
        <f ca="1">IF(F224=1,PERCENTILE(INDIRECT("g"&amp;$D$8):INDIRECT("g"&amp;$E$8),0.5),IF(F224=2,PERCENTILE(INDIRECT("g"&amp;$D$9):INDIRECT("g"&amp;$E$9),0.5),IF(F224=3,PERCENTILE(INDIRECT("g"&amp;$D$10):INDIRECT("g"&amp;$E$10),0.5),IF(F224=4,PERCENTILE(INDIRECT("g"&amp;$D$11):INDIRECT("g"&amp;$E$11),0.5),IF(F224=5,PERCENTILE(INDIRECT("g"&amp;$D$12):INDIRECT("g"&amp;$E$12),0.5),IF(F224=6,PERCENTILE(INDIRECT("g"&amp;$D$13):INDIRECT("g"&amp;$E$13),0.5)," "))))))</f>
        <v xml:space="preserve"> </v>
      </c>
      <c r="I224" s="242" t="str">
        <f t="shared" si="21"/>
        <v xml:space="preserve"> </v>
      </c>
      <c r="J224" s="242" t="str">
        <f ca="1">IF(F224=1,AVERAGE(INDIRECT("I"&amp;$D$8):INDIRECT("I"&amp;$E$8)),IF(F224=2,AVERAGE(INDIRECT("I"&amp;$D$9):INDIRECT("I"&amp;$E$9)),IF(F224=3,AVERAGE(INDIRECT("I"&amp;$D$10):INDIRECT("I"&amp;$E$10)),IF(F224=4,AVERAGE(INDIRECT("I"&amp;$D$11):INDIRECT("I"&amp;$E$11)),IF(F224=5,AVERAGE(INDIRECT("I"&amp;$D$12):INDIRECT("I"&amp;$E$12)),IF(F224=6,AVERAGE(INDIRECT("I"&amp;$D$13):INDIRECT("I"&amp;$E$13))," "))))))</f>
        <v xml:space="preserve"> </v>
      </c>
      <c r="K224" s="242" t="str">
        <f t="shared" si="22"/>
        <v xml:space="preserve"> </v>
      </c>
      <c r="L224" s="242" t="str">
        <f t="shared" si="23"/>
        <v xml:space="preserve"> </v>
      </c>
      <c r="M224" s="242" t="str">
        <f t="shared" si="24"/>
        <v xml:space="preserve"> </v>
      </c>
    </row>
    <row r="225" spans="6:13" x14ac:dyDescent="0.2">
      <c r="F225" s="216" t="str">
        <f t="shared" si="20"/>
        <v xml:space="preserve"> </v>
      </c>
      <c r="G225" s="50"/>
      <c r="H225" s="242" t="str">
        <f ca="1">IF(F225=1,PERCENTILE(INDIRECT("g"&amp;$D$8):INDIRECT("g"&amp;$E$8),0.5),IF(F225=2,PERCENTILE(INDIRECT("g"&amp;$D$9):INDIRECT("g"&amp;$E$9),0.5),IF(F225=3,PERCENTILE(INDIRECT("g"&amp;$D$10):INDIRECT("g"&amp;$E$10),0.5),IF(F225=4,PERCENTILE(INDIRECT("g"&amp;$D$11):INDIRECT("g"&amp;$E$11),0.5),IF(F225=5,PERCENTILE(INDIRECT("g"&amp;$D$12):INDIRECT("g"&amp;$E$12),0.5),IF(F225=6,PERCENTILE(INDIRECT("g"&amp;$D$13):INDIRECT("g"&amp;$E$13),0.5)," "))))))</f>
        <v xml:space="preserve"> </v>
      </c>
      <c r="I225" s="242" t="str">
        <f t="shared" si="21"/>
        <v xml:space="preserve"> </v>
      </c>
      <c r="J225" s="242" t="str">
        <f ca="1">IF(F225=1,AVERAGE(INDIRECT("I"&amp;$D$8):INDIRECT("I"&amp;$E$8)),IF(F225=2,AVERAGE(INDIRECT("I"&amp;$D$9):INDIRECT("I"&amp;$E$9)),IF(F225=3,AVERAGE(INDIRECT("I"&amp;$D$10):INDIRECT("I"&amp;$E$10)),IF(F225=4,AVERAGE(INDIRECT("I"&amp;$D$11):INDIRECT("I"&amp;$E$11)),IF(F225=5,AVERAGE(INDIRECT("I"&amp;$D$12):INDIRECT("I"&amp;$E$12)),IF(F225=6,AVERAGE(INDIRECT("I"&amp;$D$13):INDIRECT("I"&amp;$E$13))," "))))))</f>
        <v xml:space="preserve"> </v>
      </c>
      <c r="K225" s="242" t="str">
        <f t="shared" si="22"/>
        <v xml:space="preserve"> </v>
      </c>
      <c r="L225" s="242" t="str">
        <f t="shared" si="23"/>
        <v xml:space="preserve"> </v>
      </c>
      <c r="M225" s="242" t="str">
        <f t="shared" si="24"/>
        <v xml:space="preserve"> </v>
      </c>
    </row>
    <row r="226" spans="6:13" x14ac:dyDescent="0.2">
      <c r="F226" s="216" t="str">
        <f t="shared" si="20"/>
        <v xml:space="preserve"> </v>
      </c>
      <c r="G226" s="50"/>
      <c r="H226" s="242" t="str">
        <f ca="1">IF(F226=1,PERCENTILE(INDIRECT("g"&amp;$D$8):INDIRECT("g"&amp;$E$8),0.5),IF(F226=2,PERCENTILE(INDIRECT("g"&amp;$D$9):INDIRECT("g"&amp;$E$9),0.5),IF(F226=3,PERCENTILE(INDIRECT("g"&amp;$D$10):INDIRECT("g"&amp;$E$10),0.5),IF(F226=4,PERCENTILE(INDIRECT("g"&amp;$D$11):INDIRECT("g"&amp;$E$11),0.5),IF(F226=5,PERCENTILE(INDIRECT("g"&amp;$D$12):INDIRECT("g"&amp;$E$12),0.5),IF(F226=6,PERCENTILE(INDIRECT("g"&amp;$D$13):INDIRECT("g"&amp;$E$13),0.5)," "))))))</f>
        <v xml:space="preserve"> </v>
      </c>
      <c r="I226" s="242" t="str">
        <f t="shared" si="21"/>
        <v xml:space="preserve"> </v>
      </c>
      <c r="J226" s="242" t="str">
        <f ca="1">IF(F226=1,AVERAGE(INDIRECT("I"&amp;$D$8):INDIRECT("I"&amp;$E$8)),IF(F226=2,AVERAGE(INDIRECT("I"&amp;$D$9):INDIRECT("I"&amp;$E$9)),IF(F226=3,AVERAGE(INDIRECT("I"&amp;$D$10):INDIRECT("I"&amp;$E$10)),IF(F226=4,AVERAGE(INDIRECT("I"&amp;$D$11):INDIRECT("I"&amp;$E$11)),IF(F226=5,AVERAGE(INDIRECT("I"&amp;$D$12):INDIRECT("I"&amp;$E$12)),IF(F226=6,AVERAGE(INDIRECT("I"&amp;$D$13):INDIRECT("I"&amp;$E$13))," "))))))</f>
        <v xml:space="preserve"> </v>
      </c>
      <c r="K226" s="242" t="str">
        <f t="shared" si="22"/>
        <v xml:space="preserve"> </v>
      </c>
      <c r="L226" s="242" t="str">
        <f t="shared" si="23"/>
        <v xml:space="preserve"> </v>
      </c>
      <c r="M226" s="242" t="str">
        <f t="shared" si="24"/>
        <v xml:space="preserve"> </v>
      </c>
    </row>
    <row r="227" spans="6:13" x14ac:dyDescent="0.2">
      <c r="F227" s="216" t="str">
        <f t="shared" si="20"/>
        <v xml:space="preserve"> </v>
      </c>
      <c r="G227" s="50"/>
      <c r="H227" s="242" t="str">
        <f ca="1">IF(F227=1,PERCENTILE(INDIRECT("g"&amp;$D$8):INDIRECT("g"&amp;$E$8),0.5),IF(F227=2,PERCENTILE(INDIRECT("g"&amp;$D$9):INDIRECT("g"&amp;$E$9),0.5),IF(F227=3,PERCENTILE(INDIRECT("g"&amp;$D$10):INDIRECT("g"&amp;$E$10),0.5),IF(F227=4,PERCENTILE(INDIRECT("g"&amp;$D$11):INDIRECT("g"&amp;$E$11),0.5),IF(F227=5,PERCENTILE(INDIRECT("g"&amp;$D$12):INDIRECT("g"&amp;$E$12),0.5),IF(F227=6,PERCENTILE(INDIRECT("g"&amp;$D$13):INDIRECT("g"&amp;$E$13),0.5)," "))))))</f>
        <v xml:space="preserve"> </v>
      </c>
      <c r="I227" s="242" t="str">
        <f t="shared" si="21"/>
        <v xml:space="preserve"> </v>
      </c>
      <c r="J227" s="242" t="str">
        <f ca="1">IF(F227=1,AVERAGE(INDIRECT("I"&amp;$D$8):INDIRECT("I"&amp;$E$8)),IF(F227=2,AVERAGE(INDIRECT("I"&amp;$D$9):INDIRECT("I"&amp;$E$9)),IF(F227=3,AVERAGE(INDIRECT("I"&amp;$D$10):INDIRECT("I"&amp;$E$10)),IF(F227=4,AVERAGE(INDIRECT("I"&amp;$D$11):INDIRECT("I"&amp;$E$11)),IF(F227=5,AVERAGE(INDIRECT("I"&amp;$D$12):INDIRECT("I"&amp;$E$12)),IF(F227=6,AVERAGE(INDIRECT("I"&amp;$D$13):INDIRECT("I"&amp;$E$13))," "))))))</f>
        <v xml:space="preserve"> </v>
      </c>
      <c r="K227" s="242" t="str">
        <f t="shared" si="22"/>
        <v xml:space="preserve"> </v>
      </c>
      <c r="L227" s="242" t="str">
        <f t="shared" si="23"/>
        <v xml:space="preserve"> </v>
      </c>
      <c r="M227" s="242" t="str">
        <f t="shared" si="24"/>
        <v xml:space="preserve"> </v>
      </c>
    </row>
    <row r="228" spans="6:13" x14ac:dyDescent="0.2">
      <c r="F228" s="216" t="str">
        <f t="shared" si="20"/>
        <v xml:space="preserve"> </v>
      </c>
      <c r="G228" s="50"/>
      <c r="H228" s="242" t="str">
        <f ca="1">IF(F228=1,PERCENTILE(INDIRECT("g"&amp;$D$8):INDIRECT("g"&amp;$E$8),0.5),IF(F228=2,PERCENTILE(INDIRECT("g"&amp;$D$9):INDIRECT("g"&amp;$E$9),0.5),IF(F228=3,PERCENTILE(INDIRECT("g"&amp;$D$10):INDIRECT("g"&amp;$E$10),0.5),IF(F228=4,PERCENTILE(INDIRECT("g"&amp;$D$11):INDIRECT("g"&amp;$E$11),0.5),IF(F228=5,PERCENTILE(INDIRECT("g"&amp;$D$12):INDIRECT("g"&amp;$E$12),0.5),IF(F228=6,PERCENTILE(INDIRECT("g"&amp;$D$13):INDIRECT("g"&amp;$E$13),0.5)," "))))))</f>
        <v xml:space="preserve"> </v>
      </c>
      <c r="I228" s="242" t="str">
        <f t="shared" si="21"/>
        <v xml:space="preserve"> </v>
      </c>
      <c r="J228" s="242" t="str">
        <f ca="1">IF(F228=1,AVERAGE(INDIRECT("I"&amp;$D$8):INDIRECT("I"&amp;$E$8)),IF(F228=2,AVERAGE(INDIRECT("I"&amp;$D$9):INDIRECT("I"&amp;$E$9)),IF(F228=3,AVERAGE(INDIRECT("I"&amp;$D$10):INDIRECT("I"&amp;$E$10)),IF(F228=4,AVERAGE(INDIRECT("I"&amp;$D$11):INDIRECT("I"&amp;$E$11)),IF(F228=5,AVERAGE(INDIRECT("I"&amp;$D$12):INDIRECT("I"&amp;$E$12)),IF(F228=6,AVERAGE(INDIRECT("I"&amp;$D$13):INDIRECT("I"&amp;$E$13))," "))))))</f>
        <v xml:space="preserve"> </v>
      </c>
      <c r="K228" s="242" t="str">
        <f t="shared" si="22"/>
        <v xml:space="preserve"> </v>
      </c>
      <c r="L228" s="242" t="str">
        <f t="shared" si="23"/>
        <v xml:space="preserve"> </v>
      </c>
      <c r="M228" s="242" t="str">
        <f t="shared" si="24"/>
        <v xml:space="preserve"> </v>
      </c>
    </row>
    <row r="229" spans="6:13" x14ac:dyDescent="0.2">
      <c r="F229" s="216" t="str">
        <f t="shared" si="20"/>
        <v xml:space="preserve"> </v>
      </c>
      <c r="G229" s="50"/>
      <c r="H229" s="242" t="str">
        <f ca="1">IF(F229=1,PERCENTILE(INDIRECT("g"&amp;$D$8):INDIRECT("g"&amp;$E$8),0.5),IF(F229=2,PERCENTILE(INDIRECT("g"&amp;$D$9):INDIRECT("g"&amp;$E$9),0.5),IF(F229=3,PERCENTILE(INDIRECT("g"&amp;$D$10):INDIRECT("g"&amp;$E$10),0.5),IF(F229=4,PERCENTILE(INDIRECT("g"&amp;$D$11):INDIRECT("g"&amp;$E$11),0.5),IF(F229=5,PERCENTILE(INDIRECT("g"&amp;$D$12):INDIRECT("g"&amp;$E$12),0.5),IF(F229=6,PERCENTILE(INDIRECT("g"&amp;$D$13):INDIRECT("g"&amp;$E$13),0.5)," "))))))</f>
        <v xml:space="preserve"> </v>
      </c>
      <c r="I229" s="242" t="str">
        <f t="shared" si="21"/>
        <v xml:space="preserve"> </v>
      </c>
      <c r="J229" s="242" t="str">
        <f ca="1">IF(F229=1,AVERAGE(INDIRECT("I"&amp;$D$8):INDIRECT("I"&amp;$E$8)),IF(F229=2,AVERAGE(INDIRECT("I"&amp;$D$9):INDIRECT("I"&amp;$E$9)),IF(F229=3,AVERAGE(INDIRECT("I"&amp;$D$10):INDIRECT("I"&amp;$E$10)),IF(F229=4,AVERAGE(INDIRECT("I"&amp;$D$11):INDIRECT("I"&amp;$E$11)),IF(F229=5,AVERAGE(INDIRECT("I"&amp;$D$12):INDIRECT("I"&amp;$E$12)),IF(F229=6,AVERAGE(INDIRECT("I"&amp;$D$13):INDIRECT("I"&amp;$E$13))," "))))))</f>
        <v xml:space="preserve"> </v>
      </c>
      <c r="K229" s="242" t="str">
        <f t="shared" si="22"/>
        <v xml:space="preserve"> </v>
      </c>
      <c r="L229" s="242" t="str">
        <f t="shared" si="23"/>
        <v xml:space="preserve"> </v>
      </c>
      <c r="M229" s="242" t="str">
        <f t="shared" si="24"/>
        <v xml:space="preserve"> </v>
      </c>
    </row>
    <row r="230" spans="6:13" x14ac:dyDescent="0.2">
      <c r="F230" s="216" t="str">
        <f t="shared" si="20"/>
        <v xml:space="preserve"> </v>
      </c>
      <c r="G230" s="50"/>
      <c r="H230" s="242" t="str">
        <f ca="1">IF(F230=1,PERCENTILE(INDIRECT("g"&amp;$D$8):INDIRECT("g"&amp;$E$8),0.5),IF(F230=2,PERCENTILE(INDIRECT("g"&amp;$D$9):INDIRECT("g"&amp;$E$9),0.5),IF(F230=3,PERCENTILE(INDIRECT("g"&amp;$D$10):INDIRECT("g"&amp;$E$10),0.5),IF(F230=4,PERCENTILE(INDIRECT("g"&amp;$D$11):INDIRECT("g"&amp;$E$11),0.5),IF(F230=5,PERCENTILE(INDIRECT("g"&amp;$D$12):INDIRECT("g"&amp;$E$12),0.5),IF(F230=6,PERCENTILE(INDIRECT("g"&amp;$D$13):INDIRECT("g"&amp;$E$13),0.5)," "))))))</f>
        <v xml:space="preserve"> </v>
      </c>
      <c r="I230" s="242" t="str">
        <f t="shared" si="21"/>
        <v xml:space="preserve"> </v>
      </c>
      <c r="J230" s="242" t="str">
        <f ca="1">IF(F230=1,AVERAGE(INDIRECT("I"&amp;$D$8):INDIRECT("I"&amp;$E$8)),IF(F230=2,AVERAGE(INDIRECT("I"&amp;$D$9):INDIRECT("I"&amp;$E$9)),IF(F230=3,AVERAGE(INDIRECT("I"&amp;$D$10):INDIRECT("I"&amp;$E$10)),IF(F230=4,AVERAGE(INDIRECT("I"&amp;$D$11):INDIRECT("I"&amp;$E$11)),IF(F230=5,AVERAGE(INDIRECT("I"&amp;$D$12):INDIRECT("I"&amp;$E$12)),IF(F230=6,AVERAGE(INDIRECT("I"&amp;$D$13):INDIRECT("I"&amp;$E$13))," "))))))</f>
        <v xml:space="preserve"> </v>
      </c>
      <c r="K230" s="242" t="str">
        <f t="shared" si="22"/>
        <v xml:space="preserve"> </v>
      </c>
      <c r="L230" s="242" t="str">
        <f t="shared" si="23"/>
        <v xml:space="preserve"> </v>
      </c>
      <c r="M230" s="242" t="str">
        <f t="shared" si="24"/>
        <v xml:space="preserve"> </v>
      </c>
    </row>
    <row r="231" spans="6:13" x14ac:dyDescent="0.2">
      <c r="F231" s="216" t="str">
        <f t="shared" si="20"/>
        <v xml:space="preserve"> </v>
      </c>
      <c r="G231" s="50"/>
      <c r="H231" s="242" t="str">
        <f ca="1">IF(F231=1,PERCENTILE(INDIRECT("g"&amp;$D$8):INDIRECT("g"&amp;$E$8),0.5),IF(F231=2,PERCENTILE(INDIRECT("g"&amp;$D$9):INDIRECT("g"&amp;$E$9),0.5),IF(F231=3,PERCENTILE(INDIRECT("g"&amp;$D$10):INDIRECT("g"&amp;$E$10),0.5),IF(F231=4,PERCENTILE(INDIRECT("g"&amp;$D$11):INDIRECT("g"&amp;$E$11),0.5),IF(F231=5,PERCENTILE(INDIRECT("g"&amp;$D$12):INDIRECT("g"&amp;$E$12),0.5),IF(F231=6,PERCENTILE(INDIRECT("g"&amp;$D$13):INDIRECT("g"&amp;$E$13),0.5)," "))))))</f>
        <v xml:space="preserve"> </v>
      </c>
      <c r="I231" s="242" t="str">
        <f t="shared" si="21"/>
        <v xml:space="preserve"> </v>
      </c>
      <c r="J231" s="242" t="str">
        <f ca="1">IF(F231=1,AVERAGE(INDIRECT("I"&amp;$D$8):INDIRECT("I"&amp;$E$8)),IF(F231=2,AVERAGE(INDIRECT("I"&amp;$D$9):INDIRECT("I"&amp;$E$9)),IF(F231=3,AVERAGE(INDIRECT("I"&amp;$D$10):INDIRECT("I"&amp;$E$10)),IF(F231=4,AVERAGE(INDIRECT("I"&amp;$D$11):INDIRECT("I"&amp;$E$11)),IF(F231=5,AVERAGE(INDIRECT("I"&amp;$D$12):INDIRECT("I"&amp;$E$12)),IF(F231=6,AVERAGE(INDIRECT("I"&amp;$D$13):INDIRECT("I"&amp;$E$13))," "))))))</f>
        <v xml:space="preserve"> </v>
      </c>
      <c r="K231" s="242" t="str">
        <f t="shared" si="22"/>
        <v xml:space="preserve"> </v>
      </c>
      <c r="L231" s="242" t="str">
        <f t="shared" si="23"/>
        <v xml:space="preserve"> </v>
      </c>
      <c r="M231" s="242" t="str">
        <f t="shared" si="24"/>
        <v xml:space="preserve"> </v>
      </c>
    </row>
    <row r="232" spans="6:13" x14ac:dyDescent="0.2">
      <c r="F232" s="216" t="str">
        <f t="shared" si="20"/>
        <v xml:space="preserve"> </v>
      </c>
      <c r="G232" s="50"/>
      <c r="H232" s="242" t="str">
        <f ca="1">IF(F232=1,PERCENTILE(INDIRECT("g"&amp;$D$8):INDIRECT("g"&amp;$E$8),0.5),IF(F232=2,PERCENTILE(INDIRECT("g"&amp;$D$9):INDIRECT("g"&amp;$E$9),0.5),IF(F232=3,PERCENTILE(INDIRECT("g"&amp;$D$10):INDIRECT("g"&amp;$E$10),0.5),IF(F232=4,PERCENTILE(INDIRECT("g"&amp;$D$11):INDIRECT("g"&amp;$E$11),0.5),IF(F232=5,PERCENTILE(INDIRECT("g"&amp;$D$12):INDIRECT("g"&amp;$E$12),0.5),IF(F232=6,PERCENTILE(INDIRECT("g"&amp;$D$13):INDIRECT("g"&amp;$E$13),0.5)," "))))))</f>
        <v xml:space="preserve"> </v>
      </c>
      <c r="I232" s="242" t="str">
        <f t="shared" si="21"/>
        <v xml:space="preserve"> </v>
      </c>
      <c r="J232" s="242" t="str">
        <f ca="1">IF(F232=1,AVERAGE(INDIRECT("I"&amp;$D$8):INDIRECT("I"&amp;$E$8)),IF(F232=2,AVERAGE(INDIRECT("I"&amp;$D$9):INDIRECT("I"&amp;$E$9)),IF(F232=3,AVERAGE(INDIRECT("I"&amp;$D$10):INDIRECT("I"&amp;$E$10)),IF(F232=4,AVERAGE(INDIRECT("I"&amp;$D$11):INDIRECT("I"&amp;$E$11)),IF(F232=5,AVERAGE(INDIRECT("I"&amp;$D$12):INDIRECT("I"&amp;$E$12)),IF(F232=6,AVERAGE(INDIRECT("I"&amp;$D$13):INDIRECT("I"&amp;$E$13))," "))))))</f>
        <v xml:space="preserve"> </v>
      </c>
      <c r="K232" s="242" t="str">
        <f t="shared" si="22"/>
        <v xml:space="preserve"> </v>
      </c>
      <c r="L232" s="242" t="str">
        <f t="shared" si="23"/>
        <v xml:space="preserve"> </v>
      </c>
      <c r="M232" s="242" t="str">
        <f t="shared" si="24"/>
        <v xml:space="preserve"> </v>
      </c>
    </row>
    <row r="233" spans="6:13" x14ac:dyDescent="0.2">
      <c r="F233" s="216" t="str">
        <f t="shared" si="20"/>
        <v xml:space="preserve"> </v>
      </c>
      <c r="G233" s="50"/>
      <c r="H233" s="242" t="str">
        <f ca="1">IF(F233=1,PERCENTILE(INDIRECT("g"&amp;$D$8):INDIRECT("g"&amp;$E$8),0.5),IF(F233=2,PERCENTILE(INDIRECT("g"&amp;$D$9):INDIRECT("g"&amp;$E$9),0.5),IF(F233=3,PERCENTILE(INDIRECT("g"&amp;$D$10):INDIRECT("g"&amp;$E$10),0.5),IF(F233=4,PERCENTILE(INDIRECT("g"&amp;$D$11):INDIRECT("g"&amp;$E$11),0.5),IF(F233=5,PERCENTILE(INDIRECT("g"&amp;$D$12):INDIRECT("g"&amp;$E$12),0.5),IF(F233=6,PERCENTILE(INDIRECT("g"&amp;$D$13):INDIRECT("g"&amp;$E$13),0.5)," "))))))</f>
        <v xml:space="preserve"> </v>
      </c>
      <c r="I233" s="242" t="str">
        <f t="shared" si="21"/>
        <v xml:space="preserve"> </v>
      </c>
      <c r="J233" s="242" t="str">
        <f ca="1">IF(F233=1,AVERAGE(INDIRECT("I"&amp;$D$8):INDIRECT("I"&amp;$E$8)),IF(F233=2,AVERAGE(INDIRECT("I"&amp;$D$9):INDIRECT("I"&amp;$E$9)),IF(F233=3,AVERAGE(INDIRECT("I"&amp;$D$10):INDIRECT("I"&amp;$E$10)),IF(F233=4,AVERAGE(INDIRECT("I"&amp;$D$11):INDIRECT("I"&amp;$E$11)),IF(F233=5,AVERAGE(INDIRECT("I"&amp;$D$12):INDIRECT("I"&amp;$E$12)),IF(F233=6,AVERAGE(INDIRECT("I"&amp;$D$13):INDIRECT("I"&amp;$E$13))," "))))))</f>
        <v xml:space="preserve"> </v>
      </c>
      <c r="K233" s="242" t="str">
        <f t="shared" si="22"/>
        <v xml:space="preserve"> </v>
      </c>
      <c r="L233" s="242" t="str">
        <f t="shared" si="23"/>
        <v xml:space="preserve"> </v>
      </c>
      <c r="M233" s="242" t="str">
        <f t="shared" si="24"/>
        <v xml:space="preserve"> </v>
      </c>
    </row>
    <row r="234" spans="6:13" x14ac:dyDescent="0.2">
      <c r="F234" s="216" t="str">
        <f t="shared" si="20"/>
        <v xml:space="preserve"> </v>
      </c>
      <c r="G234" s="50"/>
      <c r="H234" s="242" t="str">
        <f ca="1">IF(F234=1,PERCENTILE(INDIRECT("g"&amp;$D$8):INDIRECT("g"&amp;$E$8),0.5),IF(F234=2,PERCENTILE(INDIRECT("g"&amp;$D$9):INDIRECT("g"&amp;$E$9),0.5),IF(F234=3,PERCENTILE(INDIRECT("g"&amp;$D$10):INDIRECT("g"&amp;$E$10),0.5),IF(F234=4,PERCENTILE(INDIRECT("g"&amp;$D$11):INDIRECT("g"&amp;$E$11),0.5),IF(F234=5,PERCENTILE(INDIRECT("g"&amp;$D$12):INDIRECT("g"&amp;$E$12),0.5),IF(F234=6,PERCENTILE(INDIRECT("g"&amp;$D$13):INDIRECT("g"&amp;$E$13),0.5)," "))))))</f>
        <v xml:space="preserve"> </v>
      </c>
      <c r="I234" s="242" t="str">
        <f t="shared" si="21"/>
        <v xml:space="preserve"> </v>
      </c>
      <c r="J234" s="242" t="str">
        <f ca="1">IF(F234=1,AVERAGE(INDIRECT("I"&amp;$D$8):INDIRECT("I"&amp;$E$8)),IF(F234=2,AVERAGE(INDIRECT("I"&amp;$D$9):INDIRECT("I"&amp;$E$9)),IF(F234=3,AVERAGE(INDIRECT("I"&amp;$D$10):INDIRECT("I"&amp;$E$10)),IF(F234=4,AVERAGE(INDIRECT("I"&amp;$D$11):INDIRECT("I"&amp;$E$11)),IF(F234=5,AVERAGE(INDIRECT("I"&amp;$D$12):INDIRECT("I"&amp;$E$12)),IF(F234=6,AVERAGE(INDIRECT("I"&amp;$D$13):INDIRECT("I"&amp;$E$13))," "))))))</f>
        <v xml:space="preserve"> </v>
      </c>
      <c r="K234" s="242" t="str">
        <f t="shared" si="22"/>
        <v xml:space="preserve"> </v>
      </c>
      <c r="L234" s="242" t="str">
        <f t="shared" si="23"/>
        <v xml:space="preserve"> </v>
      </c>
      <c r="M234" s="242" t="str">
        <f t="shared" si="24"/>
        <v xml:space="preserve"> </v>
      </c>
    </row>
    <row r="235" spans="6:13" x14ac:dyDescent="0.2">
      <c r="F235" s="216" t="str">
        <f t="shared" si="20"/>
        <v xml:space="preserve"> </v>
      </c>
      <c r="G235" s="50"/>
      <c r="H235" s="242" t="str">
        <f ca="1">IF(F235=1,PERCENTILE(INDIRECT("g"&amp;$D$8):INDIRECT("g"&amp;$E$8),0.5),IF(F235=2,PERCENTILE(INDIRECT("g"&amp;$D$9):INDIRECT("g"&amp;$E$9),0.5),IF(F235=3,PERCENTILE(INDIRECT("g"&amp;$D$10):INDIRECT("g"&amp;$E$10),0.5),IF(F235=4,PERCENTILE(INDIRECT("g"&amp;$D$11):INDIRECT("g"&amp;$E$11),0.5),IF(F235=5,PERCENTILE(INDIRECT("g"&amp;$D$12):INDIRECT("g"&amp;$E$12),0.5),IF(F235=6,PERCENTILE(INDIRECT("g"&amp;$D$13):INDIRECT("g"&amp;$E$13),0.5)," "))))))</f>
        <v xml:space="preserve"> </v>
      </c>
      <c r="I235" s="242" t="str">
        <f t="shared" si="21"/>
        <v xml:space="preserve"> </v>
      </c>
      <c r="J235" s="242" t="str">
        <f ca="1">IF(F235=1,AVERAGE(INDIRECT("I"&amp;$D$8):INDIRECT("I"&amp;$E$8)),IF(F235=2,AVERAGE(INDIRECT("I"&amp;$D$9):INDIRECT("I"&amp;$E$9)),IF(F235=3,AVERAGE(INDIRECT("I"&amp;$D$10):INDIRECT("I"&amp;$E$10)),IF(F235=4,AVERAGE(INDIRECT("I"&amp;$D$11):INDIRECT("I"&amp;$E$11)),IF(F235=5,AVERAGE(INDIRECT("I"&amp;$D$12):INDIRECT("I"&amp;$E$12)),IF(F235=6,AVERAGE(INDIRECT("I"&amp;$D$13):INDIRECT("I"&amp;$E$13))," "))))))</f>
        <v xml:space="preserve"> </v>
      </c>
      <c r="K235" s="242" t="str">
        <f t="shared" si="22"/>
        <v xml:space="preserve"> </v>
      </c>
      <c r="L235" s="242" t="str">
        <f t="shared" si="23"/>
        <v xml:space="preserve"> </v>
      </c>
      <c r="M235" s="242" t="str">
        <f t="shared" si="24"/>
        <v xml:space="preserve"> </v>
      </c>
    </row>
    <row r="236" spans="6:13" x14ac:dyDescent="0.2">
      <c r="F236" s="216" t="str">
        <f t="shared" si="20"/>
        <v xml:space="preserve"> </v>
      </c>
      <c r="G236" s="50"/>
      <c r="H236" s="242" t="str">
        <f ca="1">IF(F236=1,PERCENTILE(INDIRECT("g"&amp;$D$8):INDIRECT("g"&amp;$E$8),0.5),IF(F236=2,PERCENTILE(INDIRECT("g"&amp;$D$9):INDIRECT("g"&amp;$E$9),0.5),IF(F236=3,PERCENTILE(INDIRECT("g"&amp;$D$10):INDIRECT("g"&amp;$E$10),0.5),IF(F236=4,PERCENTILE(INDIRECT("g"&amp;$D$11):INDIRECT("g"&amp;$E$11),0.5),IF(F236=5,PERCENTILE(INDIRECT("g"&amp;$D$12):INDIRECT("g"&amp;$E$12),0.5),IF(F236=6,PERCENTILE(INDIRECT("g"&amp;$D$13):INDIRECT("g"&amp;$E$13),0.5)," "))))))</f>
        <v xml:space="preserve"> </v>
      </c>
      <c r="I236" s="242" t="str">
        <f t="shared" si="21"/>
        <v xml:space="preserve"> </v>
      </c>
      <c r="J236" s="242" t="str">
        <f ca="1">IF(F236=1,AVERAGE(INDIRECT("I"&amp;$D$8):INDIRECT("I"&amp;$E$8)),IF(F236=2,AVERAGE(INDIRECT("I"&amp;$D$9):INDIRECT("I"&amp;$E$9)),IF(F236=3,AVERAGE(INDIRECT("I"&amp;$D$10):INDIRECT("I"&amp;$E$10)),IF(F236=4,AVERAGE(INDIRECT("I"&amp;$D$11):INDIRECT("I"&amp;$E$11)),IF(F236=5,AVERAGE(INDIRECT("I"&amp;$D$12):INDIRECT("I"&amp;$E$12)),IF(F236=6,AVERAGE(INDIRECT("I"&amp;$D$13):INDIRECT("I"&amp;$E$13))," "))))))</f>
        <v xml:space="preserve"> </v>
      </c>
      <c r="K236" s="242" t="str">
        <f t="shared" si="22"/>
        <v xml:space="preserve"> </v>
      </c>
      <c r="L236" s="242" t="str">
        <f t="shared" si="23"/>
        <v xml:space="preserve"> </v>
      </c>
      <c r="M236" s="242" t="str">
        <f t="shared" si="24"/>
        <v xml:space="preserve"> </v>
      </c>
    </row>
    <row r="237" spans="6:13" x14ac:dyDescent="0.2">
      <c r="F237" s="216" t="str">
        <f t="shared" si="20"/>
        <v xml:space="preserve"> </v>
      </c>
      <c r="G237" s="50"/>
      <c r="H237" s="242" t="str">
        <f ca="1">IF(F237=1,PERCENTILE(INDIRECT("g"&amp;$D$8):INDIRECT("g"&amp;$E$8),0.5),IF(F237=2,PERCENTILE(INDIRECT("g"&amp;$D$9):INDIRECT("g"&amp;$E$9),0.5),IF(F237=3,PERCENTILE(INDIRECT("g"&amp;$D$10):INDIRECT("g"&amp;$E$10),0.5),IF(F237=4,PERCENTILE(INDIRECT("g"&amp;$D$11):INDIRECT("g"&amp;$E$11),0.5),IF(F237=5,PERCENTILE(INDIRECT("g"&amp;$D$12):INDIRECT("g"&amp;$E$12),0.5),IF(F237=6,PERCENTILE(INDIRECT("g"&amp;$D$13):INDIRECT("g"&amp;$E$13),0.5)," "))))))</f>
        <v xml:space="preserve"> </v>
      </c>
      <c r="I237" s="242" t="str">
        <f t="shared" si="21"/>
        <v xml:space="preserve"> </v>
      </c>
      <c r="J237" s="242" t="str">
        <f ca="1">IF(F237=1,AVERAGE(INDIRECT("I"&amp;$D$8):INDIRECT("I"&amp;$E$8)),IF(F237=2,AVERAGE(INDIRECT("I"&amp;$D$9):INDIRECT("I"&amp;$E$9)),IF(F237=3,AVERAGE(INDIRECT("I"&amp;$D$10):INDIRECT("I"&amp;$E$10)),IF(F237=4,AVERAGE(INDIRECT("I"&amp;$D$11):INDIRECT("I"&amp;$E$11)),IF(F237=5,AVERAGE(INDIRECT("I"&amp;$D$12):INDIRECT("I"&amp;$E$12)),IF(F237=6,AVERAGE(INDIRECT("I"&amp;$D$13):INDIRECT("I"&amp;$E$13))," "))))))</f>
        <v xml:space="preserve"> </v>
      </c>
      <c r="K237" s="242" t="str">
        <f t="shared" si="22"/>
        <v xml:space="preserve"> </v>
      </c>
      <c r="L237" s="242" t="str">
        <f t="shared" si="23"/>
        <v xml:space="preserve"> </v>
      </c>
      <c r="M237" s="242" t="str">
        <f t="shared" si="24"/>
        <v xml:space="preserve"> </v>
      </c>
    </row>
    <row r="238" spans="6:13" x14ac:dyDescent="0.2">
      <c r="F238" s="216" t="str">
        <f t="shared" si="20"/>
        <v xml:space="preserve"> </v>
      </c>
      <c r="G238" s="50"/>
      <c r="H238" s="242" t="str">
        <f ca="1">IF(F238=1,PERCENTILE(INDIRECT("g"&amp;$D$8):INDIRECT("g"&amp;$E$8),0.5),IF(F238=2,PERCENTILE(INDIRECT("g"&amp;$D$9):INDIRECT("g"&amp;$E$9),0.5),IF(F238=3,PERCENTILE(INDIRECT("g"&amp;$D$10):INDIRECT("g"&amp;$E$10),0.5),IF(F238=4,PERCENTILE(INDIRECT("g"&amp;$D$11):INDIRECT("g"&amp;$E$11),0.5),IF(F238=5,PERCENTILE(INDIRECT("g"&amp;$D$12):INDIRECT("g"&amp;$E$12),0.5),IF(F238=6,PERCENTILE(INDIRECT("g"&amp;$D$13):INDIRECT("g"&amp;$E$13),0.5)," "))))))</f>
        <v xml:space="preserve"> </v>
      </c>
      <c r="I238" s="242" t="str">
        <f t="shared" si="21"/>
        <v xml:space="preserve"> </v>
      </c>
      <c r="J238" s="242" t="str">
        <f ca="1">IF(F238=1,AVERAGE(INDIRECT("I"&amp;$D$8):INDIRECT("I"&amp;$E$8)),IF(F238=2,AVERAGE(INDIRECT("I"&amp;$D$9):INDIRECT("I"&amp;$E$9)),IF(F238=3,AVERAGE(INDIRECT("I"&amp;$D$10):INDIRECT("I"&amp;$E$10)),IF(F238=4,AVERAGE(INDIRECT("I"&amp;$D$11):INDIRECT("I"&amp;$E$11)),IF(F238=5,AVERAGE(INDIRECT("I"&amp;$D$12):INDIRECT("I"&amp;$E$12)),IF(F238=6,AVERAGE(INDIRECT("I"&amp;$D$13):INDIRECT("I"&amp;$E$13))," "))))))</f>
        <v xml:space="preserve"> </v>
      </c>
      <c r="K238" s="242" t="str">
        <f t="shared" si="22"/>
        <v xml:space="preserve"> </v>
      </c>
      <c r="L238" s="242" t="str">
        <f t="shared" si="23"/>
        <v xml:space="preserve"> </v>
      </c>
      <c r="M238" s="242" t="str">
        <f t="shared" si="24"/>
        <v xml:space="preserve"> </v>
      </c>
    </row>
    <row r="239" spans="6:13" x14ac:dyDescent="0.2">
      <c r="F239" s="216" t="str">
        <f t="shared" si="20"/>
        <v xml:space="preserve"> </v>
      </c>
      <c r="G239" s="50"/>
      <c r="H239" s="242" t="str">
        <f ca="1">IF(F239=1,PERCENTILE(INDIRECT("g"&amp;$D$8):INDIRECT("g"&amp;$E$8),0.5),IF(F239=2,PERCENTILE(INDIRECT("g"&amp;$D$9):INDIRECT("g"&amp;$E$9),0.5),IF(F239=3,PERCENTILE(INDIRECT("g"&amp;$D$10):INDIRECT("g"&amp;$E$10),0.5),IF(F239=4,PERCENTILE(INDIRECT("g"&amp;$D$11):INDIRECT("g"&amp;$E$11),0.5),IF(F239=5,PERCENTILE(INDIRECT("g"&amp;$D$12):INDIRECT("g"&amp;$E$12),0.5),IF(F239=6,PERCENTILE(INDIRECT("g"&amp;$D$13):INDIRECT("g"&amp;$E$13),0.5)," "))))))</f>
        <v xml:space="preserve"> </v>
      </c>
      <c r="I239" s="242" t="str">
        <f t="shared" si="21"/>
        <v xml:space="preserve"> </v>
      </c>
      <c r="J239" s="242" t="str">
        <f ca="1">IF(F239=1,AVERAGE(INDIRECT("I"&amp;$D$8):INDIRECT("I"&amp;$E$8)),IF(F239=2,AVERAGE(INDIRECT("I"&amp;$D$9):INDIRECT("I"&amp;$E$9)),IF(F239=3,AVERAGE(INDIRECT("I"&amp;$D$10):INDIRECT("I"&amp;$E$10)),IF(F239=4,AVERAGE(INDIRECT("I"&amp;$D$11):INDIRECT("I"&amp;$E$11)),IF(F239=5,AVERAGE(INDIRECT("I"&amp;$D$12):INDIRECT("I"&amp;$E$12)),IF(F239=6,AVERAGE(INDIRECT("I"&amp;$D$13):INDIRECT("I"&amp;$E$13))," "))))))</f>
        <v xml:space="preserve"> </v>
      </c>
      <c r="K239" s="242" t="str">
        <f t="shared" si="22"/>
        <v xml:space="preserve"> </v>
      </c>
      <c r="L239" s="242" t="str">
        <f t="shared" si="23"/>
        <v xml:space="preserve"> </v>
      </c>
      <c r="M239" s="242" t="str">
        <f t="shared" si="24"/>
        <v xml:space="preserve"> </v>
      </c>
    </row>
    <row r="240" spans="6:13" x14ac:dyDescent="0.2">
      <c r="F240" s="216" t="str">
        <f t="shared" si="20"/>
        <v xml:space="preserve"> </v>
      </c>
      <c r="G240" s="50"/>
      <c r="H240" s="242" t="str">
        <f ca="1">IF(F240=1,PERCENTILE(INDIRECT("g"&amp;$D$8):INDIRECT("g"&amp;$E$8),0.5),IF(F240=2,PERCENTILE(INDIRECT("g"&amp;$D$9):INDIRECT("g"&amp;$E$9),0.5),IF(F240=3,PERCENTILE(INDIRECT("g"&amp;$D$10):INDIRECT("g"&amp;$E$10),0.5),IF(F240=4,PERCENTILE(INDIRECT("g"&amp;$D$11):INDIRECT("g"&amp;$E$11),0.5),IF(F240=5,PERCENTILE(INDIRECT("g"&amp;$D$12):INDIRECT("g"&amp;$E$12),0.5),IF(F240=6,PERCENTILE(INDIRECT("g"&amp;$D$13):INDIRECT("g"&amp;$E$13),0.5)," "))))))</f>
        <v xml:space="preserve"> </v>
      </c>
      <c r="I240" s="242" t="str">
        <f t="shared" si="21"/>
        <v xml:space="preserve"> </v>
      </c>
      <c r="J240" s="242" t="str">
        <f ca="1">IF(F240=1,AVERAGE(INDIRECT("I"&amp;$D$8):INDIRECT("I"&amp;$E$8)),IF(F240=2,AVERAGE(INDIRECT("I"&amp;$D$9):INDIRECT("I"&amp;$E$9)),IF(F240=3,AVERAGE(INDIRECT("I"&amp;$D$10):INDIRECT("I"&amp;$E$10)),IF(F240=4,AVERAGE(INDIRECT("I"&amp;$D$11):INDIRECT("I"&amp;$E$11)),IF(F240=5,AVERAGE(INDIRECT("I"&amp;$D$12):INDIRECT("I"&amp;$E$12)),IF(F240=6,AVERAGE(INDIRECT("I"&amp;$D$13):INDIRECT("I"&amp;$E$13))," "))))))</f>
        <v xml:space="preserve"> </v>
      </c>
      <c r="K240" s="242" t="str">
        <f t="shared" si="22"/>
        <v xml:space="preserve"> </v>
      </c>
      <c r="L240" s="242" t="str">
        <f t="shared" si="23"/>
        <v xml:space="preserve"> </v>
      </c>
      <c r="M240" s="242" t="str">
        <f t="shared" si="24"/>
        <v xml:space="preserve"> </v>
      </c>
    </row>
    <row r="241" spans="6:13" x14ac:dyDescent="0.2">
      <c r="F241" s="216" t="str">
        <f t="shared" si="20"/>
        <v xml:space="preserve"> </v>
      </c>
      <c r="G241" s="50"/>
      <c r="H241" s="242" t="str">
        <f ca="1">IF(F241=1,PERCENTILE(INDIRECT("g"&amp;$D$8):INDIRECT("g"&amp;$E$8),0.5),IF(F241=2,PERCENTILE(INDIRECT("g"&amp;$D$9):INDIRECT("g"&amp;$E$9),0.5),IF(F241=3,PERCENTILE(INDIRECT("g"&amp;$D$10):INDIRECT("g"&amp;$E$10),0.5),IF(F241=4,PERCENTILE(INDIRECT("g"&amp;$D$11):INDIRECT("g"&amp;$E$11),0.5),IF(F241=5,PERCENTILE(INDIRECT("g"&amp;$D$12):INDIRECT("g"&amp;$E$12),0.5),IF(F241=6,PERCENTILE(INDIRECT("g"&amp;$D$13):INDIRECT("g"&amp;$E$13),0.5)," "))))))</f>
        <v xml:space="preserve"> </v>
      </c>
      <c r="I241" s="242" t="str">
        <f t="shared" si="21"/>
        <v xml:space="preserve"> </v>
      </c>
      <c r="J241" s="242" t="str">
        <f ca="1">IF(F241=1,AVERAGE(INDIRECT("I"&amp;$D$8):INDIRECT("I"&amp;$E$8)),IF(F241=2,AVERAGE(INDIRECT("I"&amp;$D$9):INDIRECT("I"&amp;$E$9)),IF(F241=3,AVERAGE(INDIRECT("I"&amp;$D$10):INDIRECT("I"&amp;$E$10)),IF(F241=4,AVERAGE(INDIRECT("I"&amp;$D$11):INDIRECT("I"&amp;$E$11)),IF(F241=5,AVERAGE(INDIRECT("I"&amp;$D$12):INDIRECT("I"&amp;$E$12)),IF(F241=6,AVERAGE(INDIRECT("I"&amp;$D$13):INDIRECT("I"&amp;$E$13))," "))))))</f>
        <v xml:space="preserve"> </v>
      </c>
      <c r="K241" s="242" t="str">
        <f t="shared" si="22"/>
        <v xml:space="preserve"> </v>
      </c>
      <c r="L241" s="242" t="str">
        <f t="shared" si="23"/>
        <v xml:space="preserve"> </v>
      </c>
      <c r="M241" s="242" t="str">
        <f t="shared" si="24"/>
        <v xml:space="preserve"> </v>
      </c>
    </row>
    <row r="242" spans="6:13" x14ac:dyDescent="0.2">
      <c r="F242" s="216" t="str">
        <f t="shared" si="20"/>
        <v xml:space="preserve"> </v>
      </c>
      <c r="G242" s="50"/>
      <c r="H242" s="242" t="str">
        <f ca="1">IF(F242=1,PERCENTILE(INDIRECT("g"&amp;$D$8):INDIRECT("g"&amp;$E$8),0.5),IF(F242=2,PERCENTILE(INDIRECT("g"&amp;$D$9):INDIRECT("g"&amp;$E$9),0.5),IF(F242=3,PERCENTILE(INDIRECT("g"&amp;$D$10):INDIRECT("g"&amp;$E$10),0.5),IF(F242=4,PERCENTILE(INDIRECT("g"&amp;$D$11):INDIRECT("g"&amp;$E$11),0.5),IF(F242=5,PERCENTILE(INDIRECT("g"&amp;$D$12):INDIRECT("g"&amp;$E$12),0.5),IF(F242=6,PERCENTILE(INDIRECT("g"&amp;$D$13):INDIRECT("g"&amp;$E$13),0.5)," "))))))</f>
        <v xml:space="preserve"> </v>
      </c>
      <c r="I242" s="242" t="str">
        <f t="shared" si="21"/>
        <v xml:space="preserve"> </v>
      </c>
      <c r="J242" s="242" t="str">
        <f ca="1">IF(F242=1,AVERAGE(INDIRECT("I"&amp;$D$8):INDIRECT("I"&amp;$E$8)),IF(F242=2,AVERAGE(INDIRECT("I"&amp;$D$9):INDIRECT("I"&amp;$E$9)),IF(F242=3,AVERAGE(INDIRECT("I"&amp;$D$10):INDIRECT("I"&amp;$E$10)),IF(F242=4,AVERAGE(INDIRECT("I"&amp;$D$11):INDIRECT("I"&amp;$E$11)),IF(F242=5,AVERAGE(INDIRECT("I"&amp;$D$12):INDIRECT("I"&amp;$E$12)),IF(F242=6,AVERAGE(INDIRECT("I"&amp;$D$13):INDIRECT("I"&amp;$E$13))," "))))))</f>
        <v xml:space="preserve"> </v>
      </c>
      <c r="K242" s="242" t="str">
        <f t="shared" si="22"/>
        <v xml:space="preserve"> </v>
      </c>
      <c r="L242" s="242" t="str">
        <f t="shared" si="23"/>
        <v xml:space="preserve"> </v>
      </c>
      <c r="M242" s="242" t="str">
        <f t="shared" si="24"/>
        <v xml:space="preserve"> </v>
      </c>
    </row>
    <row r="243" spans="6:13" x14ac:dyDescent="0.2">
      <c r="F243" s="216" t="str">
        <f t="shared" si="20"/>
        <v xml:space="preserve"> </v>
      </c>
      <c r="G243" s="50"/>
      <c r="H243" s="242" t="str">
        <f ca="1">IF(F243=1,PERCENTILE(INDIRECT("g"&amp;$D$8):INDIRECT("g"&amp;$E$8),0.5),IF(F243=2,PERCENTILE(INDIRECT("g"&amp;$D$9):INDIRECT("g"&amp;$E$9),0.5),IF(F243=3,PERCENTILE(INDIRECT("g"&amp;$D$10):INDIRECT("g"&amp;$E$10),0.5),IF(F243=4,PERCENTILE(INDIRECT("g"&amp;$D$11):INDIRECT("g"&amp;$E$11),0.5),IF(F243=5,PERCENTILE(INDIRECT("g"&amp;$D$12):INDIRECT("g"&amp;$E$12),0.5),IF(F243=6,PERCENTILE(INDIRECT("g"&amp;$D$13):INDIRECT("g"&amp;$E$13),0.5)," "))))))</f>
        <v xml:space="preserve"> </v>
      </c>
      <c r="I243" s="242" t="str">
        <f t="shared" si="21"/>
        <v xml:space="preserve"> </v>
      </c>
      <c r="J243" s="242" t="str">
        <f ca="1">IF(F243=1,AVERAGE(INDIRECT("I"&amp;$D$8):INDIRECT("I"&amp;$E$8)),IF(F243=2,AVERAGE(INDIRECT("I"&amp;$D$9):INDIRECT("I"&amp;$E$9)),IF(F243=3,AVERAGE(INDIRECT("I"&amp;$D$10):INDIRECT("I"&amp;$E$10)),IF(F243=4,AVERAGE(INDIRECT("I"&amp;$D$11):INDIRECT("I"&amp;$E$11)),IF(F243=5,AVERAGE(INDIRECT("I"&amp;$D$12):INDIRECT("I"&amp;$E$12)),IF(F243=6,AVERAGE(INDIRECT("I"&amp;$D$13):INDIRECT("I"&amp;$E$13))," "))))))</f>
        <v xml:space="preserve"> </v>
      </c>
      <c r="K243" s="242" t="str">
        <f t="shared" si="22"/>
        <v xml:space="preserve"> </v>
      </c>
      <c r="L243" s="242" t="str">
        <f t="shared" si="23"/>
        <v xml:space="preserve"> </v>
      </c>
      <c r="M243" s="242" t="str">
        <f t="shared" si="24"/>
        <v xml:space="preserve"> </v>
      </c>
    </row>
    <row r="244" spans="6:13" x14ac:dyDescent="0.2">
      <c r="F244" s="216" t="str">
        <f t="shared" si="20"/>
        <v xml:space="preserve"> </v>
      </c>
      <c r="G244" s="50"/>
      <c r="H244" s="242" t="str">
        <f ca="1">IF(F244=1,PERCENTILE(INDIRECT("g"&amp;$D$8):INDIRECT("g"&amp;$E$8),0.5),IF(F244=2,PERCENTILE(INDIRECT("g"&amp;$D$9):INDIRECT("g"&amp;$E$9),0.5),IF(F244=3,PERCENTILE(INDIRECT("g"&amp;$D$10):INDIRECT("g"&amp;$E$10),0.5),IF(F244=4,PERCENTILE(INDIRECT("g"&amp;$D$11):INDIRECT("g"&amp;$E$11),0.5),IF(F244=5,PERCENTILE(INDIRECT("g"&amp;$D$12):INDIRECT("g"&amp;$E$12),0.5),IF(F244=6,PERCENTILE(INDIRECT("g"&amp;$D$13):INDIRECT("g"&amp;$E$13),0.5)," "))))))</f>
        <v xml:space="preserve"> </v>
      </c>
      <c r="I244" s="242" t="str">
        <f t="shared" si="21"/>
        <v xml:space="preserve"> </v>
      </c>
      <c r="J244" s="242" t="str">
        <f ca="1">IF(F244=1,AVERAGE(INDIRECT("I"&amp;$D$8):INDIRECT("I"&amp;$E$8)),IF(F244=2,AVERAGE(INDIRECT("I"&amp;$D$9):INDIRECT("I"&amp;$E$9)),IF(F244=3,AVERAGE(INDIRECT("I"&amp;$D$10):INDIRECT("I"&amp;$E$10)),IF(F244=4,AVERAGE(INDIRECT("I"&amp;$D$11):INDIRECT("I"&amp;$E$11)),IF(F244=5,AVERAGE(INDIRECT("I"&amp;$D$12):INDIRECT("I"&amp;$E$12)),IF(F244=6,AVERAGE(INDIRECT("I"&amp;$D$13):INDIRECT("I"&amp;$E$13))," "))))))</f>
        <v xml:space="preserve"> </v>
      </c>
      <c r="K244" s="242" t="str">
        <f t="shared" si="22"/>
        <v xml:space="preserve"> </v>
      </c>
      <c r="L244" s="242" t="str">
        <f t="shared" si="23"/>
        <v xml:space="preserve"> </v>
      </c>
      <c r="M244" s="242" t="str">
        <f t="shared" si="24"/>
        <v xml:space="preserve"> </v>
      </c>
    </row>
    <row r="245" spans="6:13" x14ac:dyDescent="0.2">
      <c r="F245" s="216" t="str">
        <f t="shared" si="20"/>
        <v xml:space="preserve"> </v>
      </c>
      <c r="G245" s="50"/>
      <c r="H245" s="242" t="str">
        <f ca="1">IF(F245=1,PERCENTILE(INDIRECT("g"&amp;$D$8):INDIRECT("g"&amp;$E$8),0.5),IF(F245=2,PERCENTILE(INDIRECT("g"&amp;$D$9):INDIRECT("g"&amp;$E$9),0.5),IF(F245=3,PERCENTILE(INDIRECT("g"&amp;$D$10):INDIRECT("g"&amp;$E$10),0.5),IF(F245=4,PERCENTILE(INDIRECT("g"&amp;$D$11):INDIRECT("g"&amp;$E$11),0.5),IF(F245=5,PERCENTILE(INDIRECT("g"&amp;$D$12):INDIRECT("g"&amp;$E$12),0.5),IF(F245=6,PERCENTILE(INDIRECT("g"&amp;$D$13):INDIRECT("g"&amp;$E$13),0.5)," "))))))</f>
        <v xml:space="preserve"> </v>
      </c>
      <c r="I245" s="242" t="str">
        <f t="shared" si="21"/>
        <v xml:space="preserve"> </v>
      </c>
      <c r="J245" s="242" t="str">
        <f ca="1">IF(F245=1,AVERAGE(INDIRECT("I"&amp;$D$8):INDIRECT("I"&amp;$E$8)),IF(F245=2,AVERAGE(INDIRECT("I"&amp;$D$9):INDIRECT("I"&amp;$E$9)),IF(F245=3,AVERAGE(INDIRECT("I"&amp;$D$10):INDIRECT("I"&amp;$E$10)),IF(F245=4,AVERAGE(INDIRECT("I"&amp;$D$11):INDIRECT("I"&amp;$E$11)),IF(F245=5,AVERAGE(INDIRECT("I"&amp;$D$12):INDIRECT("I"&amp;$E$12)),IF(F245=6,AVERAGE(INDIRECT("I"&amp;$D$13):INDIRECT("I"&amp;$E$13))," "))))))</f>
        <v xml:space="preserve"> </v>
      </c>
      <c r="K245" s="242" t="str">
        <f t="shared" si="22"/>
        <v xml:space="preserve"> </v>
      </c>
      <c r="L245" s="242" t="str">
        <f t="shared" si="23"/>
        <v xml:space="preserve"> </v>
      </c>
      <c r="M245" s="242" t="str">
        <f t="shared" si="24"/>
        <v xml:space="preserve"> </v>
      </c>
    </row>
    <row r="246" spans="6:13" x14ac:dyDescent="0.2">
      <c r="F246" s="216" t="str">
        <f t="shared" si="20"/>
        <v xml:space="preserve"> </v>
      </c>
      <c r="G246" s="50"/>
      <c r="H246" s="242" t="str">
        <f ca="1">IF(F246=1,PERCENTILE(INDIRECT("g"&amp;$D$8):INDIRECT("g"&amp;$E$8),0.5),IF(F246=2,PERCENTILE(INDIRECT("g"&amp;$D$9):INDIRECT("g"&amp;$E$9),0.5),IF(F246=3,PERCENTILE(INDIRECT("g"&amp;$D$10):INDIRECT("g"&amp;$E$10),0.5),IF(F246=4,PERCENTILE(INDIRECT("g"&amp;$D$11):INDIRECT("g"&amp;$E$11),0.5),IF(F246=5,PERCENTILE(INDIRECT("g"&amp;$D$12):INDIRECT("g"&amp;$E$12),0.5),IF(F246=6,PERCENTILE(INDIRECT("g"&amp;$D$13):INDIRECT("g"&amp;$E$13),0.5)," "))))))</f>
        <v xml:space="preserve"> </v>
      </c>
      <c r="I246" s="242" t="str">
        <f t="shared" si="21"/>
        <v xml:space="preserve"> </v>
      </c>
      <c r="J246" s="242" t="str">
        <f ca="1">IF(F246=1,AVERAGE(INDIRECT("I"&amp;$D$8):INDIRECT("I"&amp;$E$8)),IF(F246=2,AVERAGE(INDIRECT("I"&amp;$D$9):INDIRECT("I"&amp;$E$9)),IF(F246=3,AVERAGE(INDIRECT("I"&amp;$D$10):INDIRECT("I"&amp;$E$10)),IF(F246=4,AVERAGE(INDIRECT("I"&amp;$D$11):INDIRECT("I"&amp;$E$11)),IF(F246=5,AVERAGE(INDIRECT("I"&amp;$D$12):INDIRECT("I"&amp;$E$12)),IF(F246=6,AVERAGE(INDIRECT("I"&amp;$D$13):INDIRECT("I"&amp;$E$13))," "))))))</f>
        <v xml:space="preserve"> </v>
      </c>
      <c r="K246" s="242" t="str">
        <f t="shared" si="22"/>
        <v xml:space="preserve"> </v>
      </c>
      <c r="L246" s="242" t="str">
        <f t="shared" si="23"/>
        <v xml:space="preserve"> </v>
      </c>
      <c r="M246" s="242" t="str">
        <f t="shared" si="24"/>
        <v xml:space="preserve"> </v>
      </c>
    </row>
    <row r="247" spans="6:13" x14ac:dyDescent="0.2">
      <c r="F247" s="216" t="str">
        <f t="shared" si="20"/>
        <v xml:space="preserve"> </v>
      </c>
      <c r="G247" s="50"/>
      <c r="H247" s="242" t="str">
        <f ca="1">IF(F247=1,PERCENTILE(INDIRECT("g"&amp;$D$8):INDIRECT("g"&amp;$E$8),0.5),IF(F247=2,PERCENTILE(INDIRECT("g"&amp;$D$9):INDIRECT("g"&amp;$E$9),0.5),IF(F247=3,PERCENTILE(INDIRECT("g"&amp;$D$10):INDIRECT("g"&amp;$E$10),0.5),IF(F247=4,PERCENTILE(INDIRECT("g"&amp;$D$11):INDIRECT("g"&amp;$E$11),0.5),IF(F247=5,PERCENTILE(INDIRECT("g"&amp;$D$12):INDIRECT("g"&amp;$E$12),0.5),IF(F247=6,PERCENTILE(INDIRECT("g"&amp;$D$13):INDIRECT("g"&amp;$E$13),0.5)," "))))))</f>
        <v xml:space="preserve"> </v>
      </c>
      <c r="I247" s="242" t="str">
        <f t="shared" si="21"/>
        <v xml:space="preserve"> </v>
      </c>
      <c r="J247" s="242" t="str">
        <f ca="1">IF(F247=1,AVERAGE(INDIRECT("I"&amp;$D$8):INDIRECT("I"&amp;$E$8)),IF(F247=2,AVERAGE(INDIRECT("I"&amp;$D$9):INDIRECT("I"&amp;$E$9)),IF(F247=3,AVERAGE(INDIRECT("I"&amp;$D$10):INDIRECT("I"&amp;$E$10)),IF(F247=4,AVERAGE(INDIRECT("I"&amp;$D$11):INDIRECT("I"&amp;$E$11)),IF(F247=5,AVERAGE(INDIRECT("I"&amp;$D$12):INDIRECT("I"&amp;$E$12)),IF(F247=6,AVERAGE(INDIRECT("I"&amp;$D$13):INDIRECT("I"&amp;$E$13))," "))))))</f>
        <v xml:space="preserve"> </v>
      </c>
      <c r="K247" s="242" t="str">
        <f t="shared" si="22"/>
        <v xml:space="preserve"> </v>
      </c>
      <c r="L247" s="242" t="str">
        <f t="shared" si="23"/>
        <v xml:space="preserve"> </v>
      </c>
      <c r="M247" s="242" t="str">
        <f t="shared" si="24"/>
        <v xml:space="preserve"> </v>
      </c>
    </row>
    <row r="248" spans="6:13" x14ac:dyDescent="0.2">
      <c r="F248" s="216" t="str">
        <f t="shared" si="20"/>
        <v xml:space="preserve"> </v>
      </c>
      <c r="G248" s="50"/>
      <c r="H248" s="242" t="str">
        <f ca="1">IF(F248=1,PERCENTILE(INDIRECT("g"&amp;$D$8):INDIRECT("g"&amp;$E$8),0.5),IF(F248=2,PERCENTILE(INDIRECT("g"&amp;$D$9):INDIRECT("g"&amp;$E$9),0.5),IF(F248=3,PERCENTILE(INDIRECT("g"&amp;$D$10):INDIRECT("g"&amp;$E$10),0.5),IF(F248=4,PERCENTILE(INDIRECT("g"&amp;$D$11):INDIRECT("g"&amp;$E$11),0.5),IF(F248=5,PERCENTILE(INDIRECT("g"&amp;$D$12):INDIRECT("g"&amp;$E$12),0.5),IF(F248=6,PERCENTILE(INDIRECT("g"&amp;$D$13):INDIRECT("g"&amp;$E$13),0.5)," "))))))</f>
        <v xml:space="preserve"> </v>
      </c>
      <c r="I248" s="242" t="str">
        <f t="shared" si="21"/>
        <v xml:space="preserve"> </v>
      </c>
      <c r="J248" s="242" t="str">
        <f ca="1">IF(F248=1,AVERAGE(INDIRECT("I"&amp;$D$8):INDIRECT("I"&amp;$E$8)),IF(F248=2,AVERAGE(INDIRECT("I"&amp;$D$9):INDIRECT("I"&amp;$E$9)),IF(F248=3,AVERAGE(INDIRECT("I"&amp;$D$10):INDIRECT("I"&amp;$E$10)),IF(F248=4,AVERAGE(INDIRECT("I"&amp;$D$11):INDIRECT("I"&amp;$E$11)),IF(F248=5,AVERAGE(INDIRECT("I"&amp;$D$12):INDIRECT("I"&amp;$E$12)),IF(F248=6,AVERAGE(INDIRECT("I"&amp;$D$13):INDIRECT("I"&amp;$E$13))," "))))))</f>
        <v xml:space="preserve"> </v>
      </c>
      <c r="K248" s="242" t="str">
        <f t="shared" si="22"/>
        <v xml:space="preserve"> </v>
      </c>
      <c r="L248" s="242" t="str">
        <f t="shared" si="23"/>
        <v xml:space="preserve"> </v>
      </c>
      <c r="M248" s="242" t="str">
        <f t="shared" si="24"/>
        <v xml:space="preserve"> </v>
      </c>
    </row>
    <row r="249" spans="6:13" x14ac:dyDescent="0.2">
      <c r="F249" s="216" t="str">
        <f t="shared" si="20"/>
        <v xml:space="preserve"> </v>
      </c>
      <c r="G249" s="50"/>
      <c r="H249" s="242" t="str">
        <f ca="1">IF(F249=1,PERCENTILE(INDIRECT("g"&amp;$D$8):INDIRECT("g"&amp;$E$8),0.5),IF(F249=2,PERCENTILE(INDIRECT("g"&amp;$D$9):INDIRECT("g"&amp;$E$9),0.5),IF(F249=3,PERCENTILE(INDIRECT("g"&amp;$D$10):INDIRECT("g"&amp;$E$10),0.5),IF(F249=4,PERCENTILE(INDIRECT("g"&amp;$D$11):INDIRECT("g"&amp;$E$11),0.5),IF(F249=5,PERCENTILE(INDIRECT("g"&amp;$D$12):INDIRECT("g"&amp;$E$12),0.5),IF(F249=6,PERCENTILE(INDIRECT("g"&amp;$D$13):INDIRECT("g"&amp;$E$13),0.5)," "))))))</f>
        <v xml:space="preserve"> </v>
      </c>
      <c r="I249" s="242" t="str">
        <f t="shared" si="21"/>
        <v xml:space="preserve"> </v>
      </c>
      <c r="J249" s="242" t="str">
        <f ca="1">IF(F249=1,AVERAGE(INDIRECT("I"&amp;$D$8):INDIRECT("I"&amp;$E$8)),IF(F249=2,AVERAGE(INDIRECT("I"&amp;$D$9):INDIRECT("I"&amp;$E$9)),IF(F249=3,AVERAGE(INDIRECT("I"&amp;$D$10):INDIRECT("I"&amp;$E$10)),IF(F249=4,AVERAGE(INDIRECT("I"&amp;$D$11):INDIRECT("I"&amp;$E$11)),IF(F249=5,AVERAGE(INDIRECT("I"&amp;$D$12):INDIRECT("I"&amp;$E$12)),IF(F249=6,AVERAGE(INDIRECT("I"&amp;$D$13):INDIRECT("I"&amp;$E$13))," "))))))</f>
        <v xml:space="preserve"> </v>
      </c>
      <c r="K249" s="242" t="str">
        <f t="shared" si="22"/>
        <v xml:space="preserve"> </v>
      </c>
      <c r="L249" s="242" t="str">
        <f t="shared" si="23"/>
        <v xml:space="preserve"> </v>
      </c>
      <c r="M249" s="242" t="str">
        <f t="shared" si="24"/>
        <v xml:space="preserve"> </v>
      </c>
    </row>
    <row r="250" spans="6:13" x14ac:dyDescent="0.2">
      <c r="F250" s="216" t="str">
        <f t="shared" si="20"/>
        <v xml:space="preserve"> </v>
      </c>
      <c r="G250" s="50"/>
      <c r="H250" s="242" t="str">
        <f ca="1">IF(F250=1,PERCENTILE(INDIRECT("g"&amp;$D$8):INDIRECT("g"&amp;$E$8),0.5),IF(F250=2,PERCENTILE(INDIRECT("g"&amp;$D$9):INDIRECT("g"&amp;$E$9),0.5),IF(F250=3,PERCENTILE(INDIRECT("g"&amp;$D$10):INDIRECT("g"&amp;$E$10),0.5),IF(F250=4,PERCENTILE(INDIRECT("g"&amp;$D$11):INDIRECT("g"&amp;$E$11),0.5),IF(F250=5,PERCENTILE(INDIRECT("g"&amp;$D$12):INDIRECT("g"&amp;$E$12),0.5),IF(F250=6,PERCENTILE(INDIRECT("g"&amp;$D$13):INDIRECT("g"&amp;$E$13),0.5)," "))))))</f>
        <v xml:space="preserve"> </v>
      </c>
      <c r="I250" s="242" t="str">
        <f t="shared" si="21"/>
        <v xml:space="preserve"> </v>
      </c>
      <c r="J250" s="242" t="str">
        <f ca="1">IF(F250=1,AVERAGE(INDIRECT("I"&amp;$D$8):INDIRECT("I"&amp;$E$8)),IF(F250=2,AVERAGE(INDIRECT("I"&amp;$D$9):INDIRECT("I"&amp;$E$9)),IF(F250=3,AVERAGE(INDIRECT("I"&amp;$D$10):INDIRECT("I"&amp;$E$10)),IF(F250=4,AVERAGE(INDIRECT("I"&amp;$D$11):INDIRECT("I"&amp;$E$11)),IF(F250=5,AVERAGE(INDIRECT("I"&amp;$D$12):INDIRECT("I"&amp;$E$12)),IF(F250=6,AVERAGE(INDIRECT("I"&amp;$D$13):INDIRECT("I"&amp;$E$13))," "))))))</f>
        <v xml:space="preserve"> </v>
      </c>
      <c r="K250" s="242" t="str">
        <f t="shared" si="22"/>
        <v xml:space="preserve"> </v>
      </c>
      <c r="L250" s="242" t="str">
        <f t="shared" si="23"/>
        <v xml:space="preserve"> </v>
      </c>
      <c r="M250" s="242" t="str">
        <f t="shared" si="24"/>
        <v xml:space="preserve"> </v>
      </c>
    </row>
    <row r="251" spans="6:13" x14ac:dyDescent="0.2">
      <c r="F251" s="216" t="str">
        <f t="shared" si="20"/>
        <v xml:space="preserve"> </v>
      </c>
      <c r="G251" s="50"/>
      <c r="H251" s="242" t="str">
        <f ca="1">IF(F251=1,PERCENTILE(INDIRECT("g"&amp;$D$8):INDIRECT("g"&amp;$E$8),0.5),IF(F251=2,PERCENTILE(INDIRECT("g"&amp;$D$9):INDIRECT("g"&amp;$E$9),0.5),IF(F251=3,PERCENTILE(INDIRECT("g"&amp;$D$10):INDIRECT("g"&amp;$E$10),0.5),IF(F251=4,PERCENTILE(INDIRECT("g"&amp;$D$11):INDIRECT("g"&amp;$E$11),0.5),IF(F251=5,PERCENTILE(INDIRECT("g"&amp;$D$12):INDIRECT("g"&amp;$E$12),0.5),IF(F251=6,PERCENTILE(INDIRECT("g"&amp;$D$13):INDIRECT("g"&amp;$E$13),0.5)," "))))))</f>
        <v xml:space="preserve"> </v>
      </c>
      <c r="I251" s="242" t="str">
        <f t="shared" si="21"/>
        <v xml:space="preserve"> </v>
      </c>
      <c r="J251" s="242" t="str">
        <f ca="1">IF(F251=1,AVERAGE(INDIRECT("I"&amp;$D$8):INDIRECT("I"&amp;$E$8)),IF(F251=2,AVERAGE(INDIRECT("I"&amp;$D$9):INDIRECT("I"&amp;$E$9)),IF(F251=3,AVERAGE(INDIRECT("I"&amp;$D$10):INDIRECT("I"&amp;$E$10)),IF(F251=4,AVERAGE(INDIRECT("I"&amp;$D$11):INDIRECT("I"&amp;$E$11)),IF(F251=5,AVERAGE(INDIRECT("I"&amp;$D$12):INDIRECT("I"&amp;$E$12)),IF(F251=6,AVERAGE(INDIRECT("I"&amp;$D$13):INDIRECT("I"&amp;$E$13))," "))))))</f>
        <v xml:space="preserve"> </v>
      </c>
      <c r="K251" s="242" t="str">
        <f t="shared" si="22"/>
        <v xml:space="preserve"> </v>
      </c>
      <c r="L251" s="242" t="str">
        <f t="shared" si="23"/>
        <v xml:space="preserve"> </v>
      </c>
      <c r="M251" s="242" t="str">
        <f t="shared" si="24"/>
        <v xml:space="preserve"> </v>
      </c>
    </row>
    <row r="252" spans="6:13" x14ac:dyDescent="0.2">
      <c r="F252" s="216" t="str">
        <f t="shared" si="20"/>
        <v xml:space="preserve"> </v>
      </c>
      <c r="G252" s="50"/>
      <c r="H252" s="242" t="str">
        <f ca="1">IF(F252=1,PERCENTILE(INDIRECT("g"&amp;$D$8):INDIRECT("g"&amp;$E$8),0.5),IF(F252=2,PERCENTILE(INDIRECT("g"&amp;$D$9):INDIRECT("g"&amp;$E$9),0.5),IF(F252=3,PERCENTILE(INDIRECT("g"&amp;$D$10):INDIRECT("g"&amp;$E$10),0.5),IF(F252=4,PERCENTILE(INDIRECT("g"&amp;$D$11):INDIRECT("g"&amp;$E$11),0.5),IF(F252=5,PERCENTILE(INDIRECT("g"&amp;$D$12):INDIRECT("g"&amp;$E$12),0.5),IF(F252=6,PERCENTILE(INDIRECT("g"&amp;$D$13):INDIRECT("g"&amp;$E$13),0.5)," "))))))</f>
        <v xml:space="preserve"> </v>
      </c>
      <c r="I252" s="242" t="str">
        <f t="shared" si="21"/>
        <v xml:space="preserve"> </v>
      </c>
      <c r="J252" s="242" t="str">
        <f ca="1">IF(F252=1,AVERAGE(INDIRECT("I"&amp;$D$8):INDIRECT("I"&amp;$E$8)),IF(F252=2,AVERAGE(INDIRECT("I"&amp;$D$9):INDIRECT("I"&amp;$E$9)),IF(F252=3,AVERAGE(INDIRECT("I"&amp;$D$10):INDIRECT("I"&amp;$E$10)),IF(F252=4,AVERAGE(INDIRECT("I"&amp;$D$11):INDIRECT("I"&amp;$E$11)),IF(F252=5,AVERAGE(INDIRECT("I"&amp;$D$12):INDIRECT("I"&amp;$E$12)),IF(F252=6,AVERAGE(INDIRECT("I"&amp;$D$13):INDIRECT("I"&amp;$E$13))," "))))))</f>
        <v xml:space="preserve"> </v>
      </c>
      <c r="K252" s="242" t="str">
        <f t="shared" si="22"/>
        <v xml:space="preserve"> </v>
      </c>
      <c r="L252" s="242" t="str">
        <f t="shared" si="23"/>
        <v xml:space="preserve"> </v>
      </c>
      <c r="M252" s="242" t="str">
        <f t="shared" si="24"/>
        <v xml:space="preserve"> </v>
      </c>
    </row>
    <row r="253" spans="6:13" x14ac:dyDescent="0.2">
      <c r="F253" s="216" t="str">
        <f t="shared" si="20"/>
        <v xml:space="preserve"> </v>
      </c>
      <c r="G253" s="50"/>
      <c r="H253" s="242" t="str">
        <f ca="1">IF(F253=1,PERCENTILE(INDIRECT("g"&amp;$D$8):INDIRECT("g"&amp;$E$8),0.5),IF(F253=2,PERCENTILE(INDIRECT("g"&amp;$D$9):INDIRECT("g"&amp;$E$9),0.5),IF(F253=3,PERCENTILE(INDIRECT("g"&amp;$D$10):INDIRECT("g"&amp;$E$10),0.5),IF(F253=4,PERCENTILE(INDIRECT("g"&amp;$D$11):INDIRECT("g"&amp;$E$11),0.5),IF(F253=5,PERCENTILE(INDIRECT("g"&amp;$D$12):INDIRECT("g"&amp;$E$12),0.5),IF(F253=6,PERCENTILE(INDIRECT("g"&amp;$D$13):INDIRECT("g"&amp;$E$13),0.5)," "))))))</f>
        <v xml:space="preserve"> </v>
      </c>
      <c r="I253" s="242" t="str">
        <f t="shared" si="21"/>
        <v xml:space="preserve"> </v>
      </c>
      <c r="J253" s="242" t="str">
        <f ca="1">IF(F253=1,AVERAGE(INDIRECT("I"&amp;$D$8):INDIRECT("I"&amp;$E$8)),IF(F253=2,AVERAGE(INDIRECT("I"&amp;$D$9):INDIRECT("I"&amp;$E$9)),IF(F253=3,AVERAGE(INDIRECT("I"&amp;$D$10):INDIRECT("I"&amp;$E$10)),IF(F253=4,AVERAGE(INDIRECT("I"&amp;$D$11):INDIRECT("I"&amp;$E$11)),IF(F253=5,AVERAGE(INDIRECT("I"&amp;$D$12):INDIRECT("I"&amp;$E$12)),IF(F253=6,AVERAGE(INDIRECT("I"&amp;$D$13):INDIRECT("I"&amp;$E$13))," "))))))</f>
        <v xml:space="preserve"> </v>
      </c>
      <c r="K253" s="242" t="str">
        <f t="shared" si="22"/>
        <v xml:space="preserve"> </v>
      </c>
      <c r="L253" s="242" t="str">
        <f t="shared" si="23"/>
        <v xml:space="preserve"> </v>
      </c>
      <c r="M253" s="242" t="str">
        <f t="shared" si="24"/>
        <v xml:space="preserve"> </v>
      </c>
    </row>
    <row r="254" spans="6:13" x14ac:dyDescent="0.2">
      <c r="F254" s="216" t="str">
        <f t="shared" si="20"/>
        <v xml:space="preserve"> </v>
      </c>
      <c r="G254" s="50"/>
      <c r="H254" s="242" t="str">
        <f ca="1">IF(F254=1,PERCENTILE(INDIRECT("g"&amp;$D$8):INDIRECT("g"&amp;$E$8),0.5),IF(F254=2,PERCENTILE(INDIRECT("g"&amp;$D$9):INDIRECT("g"&amp;$E$9),0.5),IF(F254=3,PERCENTILE(INDIRECT("g"&amp;$D$10):INDIRECT("g"&amp;$E$10),0.5),IF(F254=4,PERCENTILE(INDIRECT("g"&amp;$D$11):INDIRECT("g"&amp;$E$11),0.5),IF(F254=5,PERCENTILE(INDIRECT("g"&amp;$D$12):INDIRECT("g"&amp;$E$12),0.5),IF(F254=6,PERCENTILE(INDIRECT("g"&amp;$D$13):INDIRECT("g"&amp;$E$13),0.5)," "))))))</f>
        <v xml:space="preserve"> </v>
      </c>
      <c r="I254" s="242" t="str">
        <f t="shared" si="21"/>
        <v xml:space="preserve"> </v>
      </c>
      <c r="J254" s="242" t="str">
        <f ca="1">IF(F254=1,AVERAGE(INDIRECT("I"&amp;$D$8):INDIRECT("I"&amp;$E$8)),IF(F254=2,AVERAGE(INDIRECT("I"&amp;$D$9):INDIRECT("I"&amp;$E$9)),IF(F254=3,AVERAGE(INDIRECT("I"&amp;$D$10):INDIRECT("I"&amp;$E$10)),IF(F254=4,AVERAGE(INDIRECT("I"&amp;$D$11):INDIRECT("I"&amp;$E$11)),IF(F254=5,AVERAGE(INDIRECT("I"&amp;$D$12):INDIRECT("I"&amp;$E$12)),IF(F254=6,AVERAGE(INDIRECT("I"&amp;$D$13):INDIRECT("I"&amp;$E$13))," "))))))</f>
        <v xml:space="preserve"> </v>
      </c>
      <c r="K254" s="242" t="str">
        <f t="shared" si="22"/>
        <v xml:space="preserve"> </v>
      </c>
      <c r="L254" s="242" t="str">
        <f t="shared" si="23"/>
        <v xml:space="preserve"> </v>
      </c>
      <c r="M254" s="242" t="str">
        <f t="shared" si="24"/>
        <v xml:space="preserve"> </v>
      </c>
    </row>
    <row r="255" spans="6:13" x14ac:dyDescent="0.2">
      <c r="F255" s="216" t="str">
        <f t="shared" si="20"/>
        <v xml:space="preserve"> </v>
      </c>
      <c r="G255" s="50"/>
      <c r="H255" s="242" t="str">
        <f ca="1">IF(F255=1,PERCENTILE(INDIRECT("g"&amp;$D$8):INDIRECT("g"&amp;$E$8),0.5),IF(F255=2,PERCENTILE(INDIRECT("g"&amp;$D$9):INDIRECT("g"&amp;$E$9),0.5),IF(F255=3,PERCENTILE(INDIRECT("g"&amp;$D$10):INDIRECT("g"&amp;$E$10),0.5),IF(F255=4,PERCENTILE(INDIRECT("g"&amp;$D$11):INDIRECT("g"&amp;$E$11),0.5),IF(F255=5,PERCENTILE(INDIRECT("g"&amp;$D$12):INDIRECT("g"&amp;$E$12),0.5),IF(F255=6,PERCENTILE(INDIRECT("g"&amp;$D$13):INDIRECT("g"&amp;$E$13),0.5)," "))))))</f>
        <v xml:space="preserve"> </v>
      </c>
      <c r="I255" s="242" t="str">
        <f t="shared" si="21"/>
        <v xml:space="preserve"> </v>
      </c>
      <c r="J255" s="242" t="str">
        <f ca="1">IF(F255=1,AVERAGE(INDIRECT("I"&amp;$D$8):INDIRECT("I"&amp;$E$8)),IF(F255=2,AVERAGE(INDIRECT("I"&amp;$D$9):INDIRECT("I"&amp;$E$9)),IF(F255=3,AVERAGE(INDIRECT("I"&amp;$D$10):INDIRECT("I"&amp;$E$10)),IF(F255=4,AVERAGE(INDIRECT("I"&amp;$D$11):INDIRECT("I"&amp;$E$11)),IF(F255=5,AVERAGE(INDIRECT("I"&amp;$D$12):INDIRECT("I"&amp;$E$12)),IF(F255=6,AVERAGE(INDIRECT("I"&amp;$D$13):INDIRECT("I"&amp;$E$13))," "))))))</f>
        <v xml:space="preserve"> </v>
      </c>
      <c r="K255" s="242" t="str">
        <f t="shared" si="22"/>
        <v xml:space="preserve"> </v>
      </c>
      <c r="L255" s="242" t="str">
        <f t="shared" si="23"/>
        <v xml:space="preserve"> </v>
      </c>
      <c r="M255" s="242" t="str">
        <f t="shared" si="24"/>
        <v xml:space="preserve"> </v>
      </c>
    </row>
    <row r="256" spans="6:13" x14ac:dyDescent="0.2">
      <c r="F256" s="216" t="str">
        <f t="shared" si="20"/>
        <v xml:space="preserve"> </v>
      </c>
      <c r="G256" s="50"/>
      <c r="H256" s="242" t="str">
        <f ca="1">IF(F256=1,PERCENTILE(INDIRECT("g"&amp;$D$8):INDIRECT("g"&amp;$E$8),0.5),IF(F256=2,PERCENTILE(INDIRECT("g"&amp;$D$9):INDIRECT("g"&amp;$E$9),0.5),IF(F256=3,PERCENTILE(INDIRECT("g"&amp;$D$10):INDIRECT("g"&amp;$E$10),0.5),IF(F256=4,PERCENTILE(INDIRECT("g"&amp;$D$11):INDIRECT("g"&amp;$E$11),0.5),IF(F256=5,PERCENTILE(INDIRECT("g"&amp;$D$12):INDIRECT("g"&amp;$E$12),0.5),IF(F256=6,PERCENTILE(INDIRECT("g"&amp;$D$13):INDIRECT("g"&amp;$E$13),0.5)," "))))))</f>
        <v xml:space="preserve"> </v>
      </c>
      <c r="I256" s="242" t="str">
        <f t="shared" si="21"/>
        <v xml:space="preserve"> </v>
      </c>
      <c r="J256" s="242" t="str">
        <f ca="1">IF(F256=1,AVERAGE(INDIRECT("I"&amp;$D$8):INDIRECT("I"&amp;$E$8)),IF(F256=2,AVERAGE(INDIRECT("I"&amp;$D$9):INDIRECT("I"&amp;$E$9)),IF(F256=3,AVERAGE(INDIRECT("I"&amp;$D$10):INDIRECT("I"&amp;$E$10)),IF(F256=4,AVERAGE(INDIRECT("I"&amp;$D$11):INDIRECT("I"&amp;$E$11)),IF(F256=5,AVERAGE(INDIRECT("I"&amp;$D$12):INDIRECT("I"&amp;$E$12)),IF(F256=6,AVERAGE(INDIRECT("I"&amp;$D$13):INDIRECT("I"&amp;$E$13))," "))))))</f>
        <v xml:space="preserve"> </v>
      </c>
      <c r="K256" s="242" t="str">
        <f t="shared" si="22"/>
        <v xml:space="preserve"> </v>
      </c>
      <c r="L256" s="242" t="str">
        <f t="shared" si="23"/>
        <v xml:space="preserve"> </v>
      </c>
      <c r="M256" s="242" t="str">
        <f t="shared" si="24"/>
        <v xml:space="preserve"> </v>
      </c>
    </row>
    <row r="257" spans="6:13" x14ac:dyDescent="0.2">
      <c r="F257" s="216" t="str">
        <f t="shared" si="20"/>
        <v xml:space="preserve"> </v>
      </c>
      <c r="G257" s="50"/>
      <c r="H257" s="242" t="str">
        <f ca="1">IF(F257=1,PERCENTILE(INDIRECT("g"&amp;$D$8):INDIRECT("g"&amp;$E$8),0.5),IF(F257=2,PERCENTILE(INDIRECT("g"&amp;$D$9):INDIRECT("g"&amp;$E$9),0.5),IF(F257=3,PERCENTILE(INDIRECT("g"&amp;$D$10):INDIRECT("g"&amp;$E$10),0.5),IF(F257=4,PERCENTILE(INDIRECT("g"&amp;$D$11):INDIRECT("g"&amp;$E$11),0.5),IF(F257=5,PERCENTILE(INDIRECT("g"&amp;$D$12):INDIRECT("g"&amp;$E$12),0.5),IF(F257=6,PERCENTILE(INDIRECT("g"&amp;$D$13):INDIRECT("g"&amp;$E$13),0.5)," "))))))</f>
        <v xml:space="preserve"> </v>
      </c>
      <c r="I257" s="242" t="str">
        <f t="shared" si="21"/>
        <v xml:space="preserve"> </v>
      </c>
      <c r="J257" s="242" t="str">
        <f ca="1">IF(F257=1,AVERAGE(INDIRECT("I"&amp;$D$8):INDIRECT("I"&amp;$E$8)),IF(F257=2,AVERAGE(INDIRECT("I"&amp;$D$9):INDIRECT("I"&amp;$E$9)),IF(F257=3,AVERAGE(INDIRECT("I"&amp;$D$10):INDIRECT("I"&amp;$E$10)),IF(F257=4,AVERAGE(INDIRECT("I"&amp;$D$11):INDIRECT("I"&amp;$E$11)),IF(F257=5,AVERAGE(INDIRECT("I"&amp;$D$12):INDIRECT("I"&amp;$E$12)),IF(F257=6,AVERAGE(INDIRECT("I"&amp;$D$13):INDIRECT("I"&amp;$E$13))," "))))))</f>
        <v xml:space="preserve"> </v>
      </c>
      <c r="K257" s="242" t="str">
        <f t="shared" si="22"/>
        <v xml:space="preserve"> </v>
      </c>
      <c r="L257" s="242" t="str">
        <f t="shared" si="23"/>
        <v xml:space="preserve"> </v>
      </c>
      <c r="M257" s="242" t="str">
        <f t="shared" si="24"/>
        <v xml:space="preserve"> </v>
      </c>
    </row>
    <row r="258" spans="6:13" x14ac:dyDescent="0.2">
      <c r="F258" s="216" t="str">
        <f t="shared" si="20"/>
        <v xml:space="preserve"> </v>
      </c>
      <c r="G258" s="50"/>
      <c r="H258" s="242" t="str">
        <f ca="1">IF(F258=1,PERCENTILE(INDIRECT("g"&amp;$D$8):INDIRECT("g"&amp;$E$8),0.5),IF(F258=2,PERCENTILE(INDIRECT("g"&amp;$D$9):INDIRECT("g"&amp;$E$9),0.5),IF(F258=3,PERCENTILE(INDIRECT("g"&amp;$D$10):INDIRECT("g"&amp;$E$10),0.5),IF(F258=4,PERCENTILE(INDIRECT("g"&amp;$D$11):INDIRECT("g"&amp;$E$11),0.5),IF(F258=5,PERCENTILE(INDIRECT("g"&amp;$D$12):INDIRECT("g"&amp;$E$12),0.5),IF(F258=6,PERCENTILE(INDIRECT("g"&amp;$D$13):INDIRECT("g"&amp;$E$13),0.5)," "))))))</f>
        <v xml:space="preserve"> </v>
      </c>
      <c r="I258" s="242" t="str">
        <f t="shared" si="21"/>
        <v xml:space="preserve"> </v>
      </c>
      <c r="J258" s="242" t="str">
        <f ca="1">IF(F258=1,AVERAGE(INDIRECT("I"&amp;$D$8):INDIRECT("I"&amp;$E$8)),IF(F258=2,AVERAGE(INDIRECT("I"&amp;$D$9):INDIRECT("I"&amp;$E$9)),IF(F258=3,AVERAGE(INDIRECT("I"&amp;$D$10):INDIRECT("I"&amp;$E$10)),IF(F258=4,AVERAGE(INDIRECT("I"&amp;$D$11):INDIRECT("I"&amp;$E$11)),IF(F258=5,AVERAGE(INDIRECT("I"&amp;$D$12):INDIRECT("I"&amp;$E$12)),IF(F258=6,AVERAGE(INDIRECT("I"&amp;$D$13):INDIRECT("I"&amp;$E$13))," "))))))</f>
        <v xml:space="preserve"> </v>
      </c>
      <c r="K258" s="242" t="str">
        <f t="shared" si="22"/>
        <v xml:space="preserve"> </v>
      </c>
      <c r="L258" s="242" t="str">
        <f t="shared" si="23"/>
        <v xml:space="preserve"> </v>
      </c>
      <c r="M258" s="242" t="str">
        <f t="shared" si="24"/>
        <v xml:space="preserve"> </v>
      </c>
    </row>
    <row r="259" spans="6:13" x14ac:dyDescent="0.2">
      <c r="F259" s="216" t="str">
        <f t="shared" si="20"/>
        <v xml:space="preserve"> </v>
      </c>
      <c r="G259" s="50"/>
      <c r="H259" s="242" t="str">
        <f ca="1">IF(F259=1,PERCENTILE(INDIRECT("g"&amp;$D$8):INDIRECT("g"&amp;$E$8),0.5),IF(F259=2,PERCENTILE(INDIRECT("g"&amp;$D$9):INDIRECT("g"&amp;$E$9),0.5),IF(F259=3,PERCENTILE(INDIRECT("g"&amp;$D$10):INDIRECT("g"&amp;$E$10),0.5),IF(F259=4,PERCENTILE(INDIRECT("g"&amp;$D$11):INDIRECT("g"&amp;$E$11),0.5),IF(F259=5,PERCENTILE(INDIRECT("g"&amp;$D$12):INDIRECT("g"&amp;$E$12),0.5),IF(F259=6,PERCENTILE(INDIRECT("g"&amp;$D$13):INDIRECT("g"&amp;$E$13),0.5)," "))))))</f>
        <v xml:space="preserve"> </v>
      </c>
      <c r="I259" s="242" t="str">
        <f t="shared" si="21"/>
        <v xml:space="preserve"> </v>
      </c>
      <c r="J259" s="242" t="str">
        <f ca="1">IF(F259=1,AVERAGE(INDIRECT("I"&amp;$D$8):INDIRECT("I"&amp;$E$8)),IF(F259=2,AVERAGE(INDIRECT("I"&amp;$D$9):INDIRECT("I"&amp;$E$9)),IF(F259=3,AVERAGE(INDIRECT("I"&amp;$D$10):INDIRECT("I"&amp;$E$10)),IF(F259=4,AVERAGE(INDIRECT("I"&amp;$D$11):INDIRECT("I"&amp;$E$11)),IF(F259=5,AVERAGE(INDIRECT("I"&amp;$D$12):INDIRECT("I"&amp;$E$12)),IF(F259=6,AVERAGE(INDIRECT("I"&amp;$D$13):INDIRECT("I"&amp;$E$13))," "))))))</f>
        <v xml:space="preserve"> </v>
      </c>
      <c r="K259" s="242" t="str">
        <f t="shared" si="22"/>
        <v xml:space="preserve"> </v>
      </c>
      <c r="L259" s="242" t="str">
        <f t="shared" si="23"/>
        <v xml:space="preserve"> </v>
      </c>
      <c r="M259" s="242" t="str">
        <f t="shared" si="24"/>
        <v xml:space="preserve"> </v>
      </c>
    </row>
    <row r="260" spans="6:13" x14ac:dyDescent="0.2">
      <c r="F260" s="216" t="str">
        <f t="shared" si="20"/>
        <v xml:space="preserve"> </v>
      </c>
      <c r="G260" s="50"/>
      <c r="H260" s="242" t="str">
        <f ca="1">IF(F260=1,PERCENTILE(INDIRECT("g"&amp;$D$8):INDIRECT("g"&amp;$E$8),0.5),IF(F260=2,PERCENTILE(INDIRECT("g"&amp;$D$9):INDIRECT("g"&amp;$E$9),0.5),IF(F260=3,PERCENTILE(INDIRECT("g"&amp;$D$10):INDIRECT("g"&amp;$E$10),0.5),IF(F260=4,PERCENTILE(INDIRECT("g"&amp;$D$11):INDIRECT("g"&amp;$E$11),0.5),IF(F260=5,PERCENTILE(INDIRECT("g"&amp;$D$12):INDIRECT("g"&amp;$E$12),0.5),IF(F260=6,PERCENTILE(INDIRECT("g"&amp;$D$13):INDIRECT("g"&amp;$E$13),0.5)," "))))))</f>
        <v xml:space="preserve"> </v>
      </c>
      <c r="I260" s="242" t="str">
        <f t="shared" si="21"/>
        <v xml:space="preserve"> </v>
      </c>
      <c r="J260" s="242" t="str">
        <f ca="1">IF(F260=1,AVERAGE(INDIRECT("I"&amp;$D$8):INDIRECT("I"&amp;$E$8)),IF(F260=2,AVERAGE(INDIRECT("I"&amp;$D$9):INDIRECT("I"&amp;$E$9)),IF(F260=3,AVERAGE(INDIRECT("I"&amp;$D$10):INDIRECT("I"&amp;$E$10)),IF(F260=4,AVERAGE(INDIRECT("I"&amp;$D$11):INDIRECT("I"&amp;$E$11)),IF(F260=5,AVERAGE(INDIRECT("I"&amp;$D$12):INDIRECT("I"&amp;$E$12)),IF(F260=6,AVERAGE(INDIRECT("I"&amp;$D$13):INDIRECT("I"&amp;$E$13))," "))))))</f>
        <v xml:space="preserve"> </v>
      </c>
      <c r="K260" s="242" t="str">
        <f t="shared" si="22"/>
        <v xml:space="preserve"> </v>
      </c>
      <c r="L260" s="242" t="str">
        <f t="shared" si="23"/>
        <v xml:space="preserve"> </v>
      </c>
      <c r="M260" s="242" t="str">
        <f t="shared" si="24"/>
        <v xml:space="preserve"> </v>
      </c>
    </row>
    <row r="261" spans="6:13" x14ac:dyDescent="0.2">
      <c r="F261" s="216" t="str">
        <f t="shared" si="20"/>
        <v xml:space="preserve"> </v>
      </c>
      <c r="G261" s="50"/>
      <c r="H261" s="242" t="str">
        <f ca="1">IF(F261=1,PERCENTILE(INDIRECT("g"&amp;$D$8):INDIRECT("g"&amp;$E$8),0.5),IF(F261=2,PERCENTILE(INDIRECT("g"&amp;$D$9):INDIRECT("g"&amp;$E$9),0.5),IF(F261=3,PERCENTILE(INDIRECT("g"&amp;$D$10):INDIRECT("g"&amp;$E$10),0.5),IF(F261=4,PERCENTILE(INDIRECT("g"&amp;$D$11):INDIRECT("g"&amp;$E$11),0.5),IF(F261=5,PERCENTILE(INDIRECT("g"&amp;$D$12):INDIRECT("g"&amp;$E$12),0.5),IF(F261=6,PERCENTILE(INDIRECT("g"&amp;$D$13):INDIRECT("g"&amp;$E$13),0.5)," "))))))</f>
        <v xml:space="preserve"> </v>
      </c>
      <c r="I261" s="242" t="str">
        <f t="shared" si="21"/>
        <v xml:space="preserve"> </v>
      </c>
      <c r="J261" s="242" t="str">
        <f ca="1">IF(F261=1,AVERAGE(INDIRECT("I"&amp;$D$8):INDIRECT("I"&amp;$E$8)),IF(F261=2,AVERAGE(INDIRECT("I"&amp;$D$9):INDIRECT("I"&amp;$E$9)),IF(F261=3,AVERAGE(INDIRECT("I"&amp;$D$10):INDIRECT("I"&amp;$E$10)),IF(F261=4,AVERAGE(INDIRECT("I"&amp;$D$11):INDIRECT("I"&amp;$E$11)),IF(F261=5,AVERAGE(INDIRECT("I"&amp;$D$12):INDIRECT("I"&amp;$E$12)),IF(F261=6,AVERAGE(INDIRECT("I"&amp;$D$13):INDIRECT("I"&amp;$E$13))," "))))))</f>
        <v xml:space="preserve"> </v>
      </c>
      <c r="K261" s="242" t="str">
        <f t="shared" si="22"/>
        <v xml:space="preserve"> </v>
      </c>
      <c r="L261" s="242" t="str">
        <f t="shared" si="23"/>
        <v xml:space="preserve"> </v>
      </c>
      <c r="M261" s="242" t="str">
        <f t="shared" si="24"/>
        <v xml:space="preserve"> </v>
      </c>
    </row>
    <row r="262" spans="6:13" x14ac:dyDescent="0.2">
      <c r="F262" s="216" t="str">
        <f t="shared" ref="F262:F325" si="25">IF(AND(ROW()&gt;=$D$8,ROW()&lt;=$E$8),1,IF(AND(ROW()&gt;=$D$9,ROW()&lt;=$E$9),2,IF(AND(ROW()&gt;=$D$10,ROW()&lt;=$E$10),3,IF(AND(ROW()&gt;=$D$11,ROW()&lt;=$E$11),4,IF(AND(ROW()&gt;=$D$12,ROW()&lt;=$E$12),5,IF(AND(ROW()&gt;=$D$13,ROW()&lt;=$E$13),6," "))))))</f>
        <v xml:space="preserve"> </v>
      </c>
      <c r="G262" s="50"/>
      <c r="H262" s="242" t="str">
        <f ca="1">IF(F262=1,PERCENTILE(INDIRECT("g"&amp;$D$8):INDIRECT("g"&amp;$E$8),0.5),IF(F262=2,PERCENTILE(INDIRECT("g"&amp;$D$9):INDIRECT("g"&amp;$E$9),0.5),IF(F262=3,PERCENTILE(INDIRECT("g"&amp;$D$10):INDIRECT("g"&amp;$E$10),0.5),IF(F262=4,PERCENTILE(INDIRECT("g"&amp;$D$11):INDIRECT("g"&amp;$E$11),0.5),IF(F262=5,PERCENTILE(INDIRECT("g"&amp;$D$12):INDIRECT("g"&amp;$E$12),0.5),IF(F262=6,PERCENTILE(INDIRECT("g"&amp;$D$13):INDIRECT("g"&amp;$E$13),0.5)," "))))))</f>
        <v xml:space="preserve"> </v>
      </c>
      <c r="I262" s="242" t="str">
        <f t="shared" ref="I262:I325" si="26">IF(ROW()&lt;=MAX($E$8:$E$13),ABS(G262-H262)," ")</f>
        <v xml:space="preserve"> </v>
      </c>
      <c r="J262" s="242" t="str">
        <f ca="1">IF(F262=1,AVERAGE(INDIRECT("I"&amp;$D$8):INDIRECT("I"&amp;$E$8)),IF(F262=2,AVERAGE(INDIRECT("I"&amp;$D$9):INDIRECT("I"&amp;$E$9)),IF(F262=3,AVERAGE(INDIRECT("I"&amp;$D$10):INDIRECT("I"&amp;$E$10)),IF(F262=4,AVERAGE(INDIRECT("I"&amp;$D$11):INDIRECT("I"&amp;$E$11)),IF(F262=5,AVERAGE(INDIRECT("I"&amp;$D$12):INDIRECT("I"&amp;$E$12)),IF(F262=6,AVERAGE(INDIRECT("I"&amp;$D$13):INDIRECT("I"&amp;$E$13))," "))))))</f>
        <v xml:space="preserve"> </v>
      </c>
      <c r="K262" s="242" t="str">
        <f t="shared" ref="K262:K325" si="27">IF(ROW()&lt;=MAX($E$8:$E$13),AVERAGE($I$6:$I$1005)," ")</f>
        <v xml:space="preserve"> </v>
      </c>
      <c r="L262" s="242" t="str">
        <f t="shared" ref="L262:L325" si="28">IF(ROW()&lt;=MAX($E$8:$E$13),(I262-J262)^2," ")</f>
        <v xml:space="preserve"> </v>
      </c>
      <c r="M262" s="242" t="str">
        <f t="shared" ref="M262:M325" si="29">IF(ROW()&lt;=MAX($E$8:$E$13),(J262-K262)^2," ")</f>
        <v xml:space="preserve"> </v>
      </c>
    </row>
    <row r="263" spans="6:13" x14ac:dyDescent="0.2">
      <c r="F263" s="216" t="str">
        <f t="shared" si="25"/>
        <v xml:space="preserve"> </v>
      </c>
      <c r="G263" s="50"/>
      <c r="H263" s="242" t="str">
        <f ca="1">IF(F263=1,PERCENTILE(INDIRECT("g"&amp;$D$8):INDIRECT("g"&amp;$E$8),0.5),IF(F263=2,PERCENTILE(INDIRECT("g"&amp;$D$9):INDIRECT("g"&amp;$E$9),0.5),IF(F263=3,PERCENTILE(INDIRECT("g"&amp;$D$10):INDIRECT("g"&amp;$E$10),0.5),IF(F263=4,PERCENTILE(INDIRECT("g"&amp;$D$11):INDIRECT("g"&amp;$E$11),0.5),IF(F263=5,PERCENTILE(INDIRECT("g"&amp;$D$12):INDIRECT("g"&amp;$E$12),0.5),IF(F263=6,PERCENTILE(INDIRECT("g"&amp;$D$13):INDIRECT("g"&amp;$E$13),0.5)," "))))))</f>
        <v xml:space="preserve"> </v>
      </c>
      <c r="I263" s="242" t="str">
        <f t="shared" si="26"/>
        <v xml:space="preserve"> </v>
      </c>
      <c r="J263" s="242" t="str">
        <f ca="1">IF(F263=1,AVERAGE(INDIRECT("I"&amp;$D$8):INDIRECT("I"&amp;$E$8)),IF(F263=2,AVERAGE(INDIRECT("I"&amp;$D$9):INDIRECT("I"&amp;$E$9)),IF(F263=3,AVERAGE(INDIRECT("I"&amp;$D$10):INDIRECT("I"&amp;$E$10)),IF(F263=4,AVERAGE(INDIRECT("I"&amp;$D$11):INDIRECT("I"&amp;$E$11)),IF(F263=5,AVERAGE(INDIRECT("I"&amp;$D$12):INDIRECT("I"&amp;$E$12)),IF(F263=6,AVERAGE(INDIRECT("I"&amp;$D$13):INDIRECT("I"&amp;$E$13))," "))))))</f>
        <v xml:space="preserve"> </v>
      </c>
      <c r="K263" s="242" t="str">
        <f t="shared" si="27"/>
        <v xml:space="preserve"> </v>
      </c>
      <c r="L263" s="242" t="str">
        <f t="shared" si="28"/>
        <v xml:space="preserve"> </v>
      </c>
      <c r="M263" s="242" t="str">
        <f t="shared" si="29"/>
        <v xml:space="preserve"> </v>
      </c>
    </row>
    <row r="264" spans="6:13" x14ac:dyDescent="0.2">
      <c r="F264" s="216" t="str">
        <f t="shared" si="25"/>
        <v xml:space="preserve"> </v>
      </c>
      <c r="G264" s="50"/>
      <c r="H264" s="242" t="str">
        <f ca="1">IF(F264=1,PERCENTILE(INDIRECT("g"&amp;$D$8):INDIRECT("g"&amp;$E$8),0.5),IF(F264=2,PERCENTILE(INDIRECT("g"&amp;$D$9):INDIRECT("g"&amp;$E$9),0.5),IF(F264=3,PERCENTILE(INDIRECT("g"&amp;$D$10):INDIRECT("g"&amp;$E$10),0.5),IF(F264=4,PERCENTILE(INDIRECT("g"&amp;$D$11):INDIRECT("g"&amp;$E$11),0.5),IF(F264=5,PERCENTILE(INDIRECT("g"&amp;$D$12):INDIRECT("g"&amp;$E$12),0.5),IF(F264=6,PERCENTILE(INDIRECT("g"&amp;$D$13):INDIRECT("g"&amp;$E$13),0.5)," "))))))</f>
        <v xml:space="preserve"> </v>
      </c>
      <c r="I264" s="242" t="str">
        <f t="shared" si="26"/>
        <v xml:space="preserve"> </v>
      </c>
      <c r="J264" s="242" t="str">
        <f ca="1">IF(F264=1,AVERAGE(INDIRECT("I"&amp;$D$8):INDIRECT("I"&amp;$E$8)),IF(F264=2,AVERAGE(INDIRECT("I"&amp;$D$9):INDIRECT("I"&amp;$E$9)),IF(F264=3,AVERAGE(INDIRECT("I"&amp;$D$10):INDIRECT("I"&amp;$E$10)),IF(F264=4,AVERAGE(INDIRECT("I"&amp;$D$11):INDIRECT("I"&amp;$E$11)),IF(F264=5,AVERAGE(INDIRECT("I"&amp;$D$12):INDIRECT("I"&amp;$E$12)),IF(F264=6,AVERAGE(INDIRECT("I"&amp;$D$13):INDIRECT("I"&amp;$E$13))," "))))))</f>
        <v xml:space="preserve"> </v>
      </c>
      <c r="K264" s="242" t="str">
        <f t="shared" si="27"/>
        <v xml:space="preserve"> </v>
      </c>
      <c r="L264" s="242" t="str">
        <f t="shared" si="28"/>
        <v xml:space="preserve"> </v>
      </c>
      <c r="M264" s="242" t="str">
        <f t="shared" si="29"/>
        <v xml:space="preserve"> </v>
      </c>
    </row>
    <row r="265" spans="6:13" x14ac:dyDescent="0.2">
      <c r="F265" s="216" t="str">
        <f t="shared" si="25"/>
        <v xml:space="preserve"> </v>
      </c>
      <c r="G265" s="50"/>
      <c r="H265" s="242" t="str">
        <f ca="1">IF(F265=1,PERCENTILE(INDIRECT("g"&amp;$D$8):INDIRECT("g"&amp;$E$8),0.5),IF(F265=2,PERCENTILE(INDIRECT("g"&amp;$D$9):INDIRECT("g"&amp;$E$9),0.5),IF(F265=3,PERCENTILE(INDIRECT("g"&amp;$D$10):INDIRECT("g"&amp;$E$10),0.5),IF(F265=4,PERCENTILE(INDIRECT("g"&amp;$D$11):INDIRECT("g"&amp;$E$11),0.5),IF(F265=5,PERCENTILE(INDIRECT("g"&amp;$D$12):INDIRECT("g"&amp;$E$12),0.5),IF(F265=6,PERCENTILE(INDIRECT("g"&amp;$D$13):INDIRECT("g"&amp;$E$13),0.5)," "))))))</f>
        <v xml:space="preserve"> </v>
      </c>
      <c r="I265" s="242" t="str">
        <f t="shared" si="26"/>
        <v xml:space="preserve"> </v>
      </c>
      <c r="J265" s="242" t="str">
        <f ca="1">IF(F265=1,AVERAGE(INDIRECT("I"&amp;$D$8):INDIRECT("I"&amp;$E$8)),IF(F265=2,AVERAGE(INDIRECT("I"&amp;$D$9):INDIRECT("I"&amp;$E$9)),IF(F265=3,AVERAGE(INDIRECT("I"&amp;$D$10):INDIRECT("I"&amp;$E$10)),IF(F265=4,AVERAGE(INDIRECT("I"&amp;$D$11):INDIRECT("I"&amp;$E$11)),IF(F265=5,AVERAGE(INDIRECT("I"&amp;$D$12):INDIRECT("I"&amp;$E$12)),IF(F265=6,AVERAGE(INDIRECT("I"&amp;$D$13):INDIRECT("I"&amp;$E$13))," "))))))</f>
        <v xml:space="preserve"> </v>
      </c>
      <c r="K265" s="242" t="str">
        <f t="shared" si="27"/>
        <v xml:space="preserve"> </v>
      </c>
      <c r="L265" s="242" t="str">
        <f t="shared" si="28"/>
        <v xml:space="preserve"> </v>
      </c>
      <c r="M265" s="242" t="str">
        <f t="shared" si="29"/>
        <v xml:space="preserve"> </v>
      </c>
    </row>
    <row r="266" spans="6:13" x14ac:dyDescent="0.2">
      <c r="F266" s="216" t="str">
        <f t="shared" si="25"/>
        <v xml:space="preserve"> </v>
      </c>
      <c r="G266" s="50"/>
      <c r="H266" s="242" t="str">
        <f ca="1">IF(F266=1,PERCENTILE(INDIRECT("g"&amp;$D$8):INDIRECT("g"&amp;$E$8),0.5),IF(F266=2,PERCENTILE(INDIRECT("g"&amp;$D$9):INDIRECT("g"&amp;$E$9),0.5),IF(F266=3,PERCENTILE(INDIRECT("g"&amp;$D$10):INDIRECT("g"&amp;$E$10),0.5),IF(F266=4,PERCENTILE(INDIRECT("g"&amp;$D$11):INDIRECT("g"&amp;$E$11),0.5),IF(F266=5,PERCENTILE(INDIRECT("g"&amp;$D$12):INDIRECT("g"&amp;$E$12),0.5),IF(F266=6,PERCENTILE(INDIRECT("g"&amp;$D$13):INDIRECT("g"&amp;$E$13),0.5)," "))))))</f>
        <v xml:space="preserve"> </v>
      </c>
      <c r="I266" s="242" t="str">
        <f t="shared" si="26"/>
        <v xml:space="preserve"> </v>
      </c>
      <c r="J266" s="242" t="str">
        <f ca="1">IF(F266=1,AVERAGE(INDIRECT("I"&amp;$D$8):INDIRECT("I"&amp;$E$8)),IF(F266=2,AVERAGE(INDIRECT("I"&amp;$D$9):INDIRECT("I"&amp;$E$9)),IF(F266=3,AVERAGE(INDIRECT("I"&amp;$D$10):INDIRECT("I"&amp;$E$10)),IF(F266=4,AVERAGE(INDIRECT("I"&amp;$D$11):INDIRECT("I"&amp;$E$11)),IF(F266=5,AVERAGE(INDIRECT("I"&amp;$D$12):INDIRECT("I"&amp;$E$12)),IF(F266=6,AVERAGE(INDIRECT("I"&amp;$D$13):INDIRECT("I"&amp;$E$13))," "))))))</f>
        <v xml:space="preserve"> </v>
      </c>
      <c r="K266" s="242" t="str">
        <f t="shared" si="27"/>
        <v xml:space="preserve"> </v>
      </c>
      <c r="L266" s="242" t="str">
        <f t="shared" si="28"/>
        <v xml:space="preserve"> </v>
      </c>
      <c r="M266" s="242" t="str">
        <f t="shared" si="29"/>
        <v xml:space="preserve"> </v>
      </c>
    </row>
    <row r="267" spans="6:13" x14ac:dyDescent="0.2">
      <c r="F267" s="216" t="str">
        <f t="shared" si="25"/>
        <v xml:space="preserve"> </v>
      </c>
      <c r="G267" s="50"/>
      <c r="H267" s="242" t="str">
        <f ca="1">IF(F267=1,PERCENTILE(INDIRECT("g"&amp;$D$8):INDIRECT("g"&amp;$E$8),0.5),IF(F267=2,PERCENTILE(INDIRECT("g"&amp;$D$9):INDIRECT("g"&amp;$E$9),0.5),IF(F267=3,PERCENTILE(INDIRECT("g"&amp;$D$10):INDIRECT("g"&amp;$E$10),0.5),IF(F267=4,PERCENTILE(INDIRECT("g"&amp;$D$11):INDIRECT("g"&amp;$E$11),0.5),IF(F267=5,PERCENTILE(INDIRECT("g"&amp;$D$12):INDIRECT("g"&amp;$E$12),0.5),IF(F267=6,PERCENTILE(INDIRECT("g"&amp;$D$13):INDIRECT("g"&amp;$E$13),0.5)," "))))))</f>
        <v xml:space="preserve"> </v>
      </c>
      <c r="I267" s="242" t="str">
        <f t="shared" si="26"/>
        <v xml:space="preserve"> </v>
      </c>
      <c r="J267" s="242" t="str">
        <f ca="1">IF(F267=1,AVERAGE(INDIRECT("I"&amp;$D$8):INDIRECT("I"&amp;$E$8)),IF(F267=2,AVERAGE(INDIRECT("I"&amp;$D$9):INDIRECT("I"&amp;$E$9)),IF(F267=3,AVERAGE(INDIRECT("I"&amp;$D$10):INDIRECT("I"&amp;$E$10)),IF(F267=4,AVERAGE(INDIRECT("I"&amp;$D$11):INDIRECT("I"&amp;$E$11)),IF(F267=5,AVERAGE(INDIRECT("I"&amp;$D$12):INDIRECT("I"&amp;$E$12)),IF(F267=6,AVERAGE(INDIRECT("I"&amp;$D$13):INDIRECT("I"&amp;$E$13))," "))))))</f>
        <v xml:space="preserve"> </v>
      </c>
      <c r="K267" s="242" t="str">
        <f t="shared" si="27"/>
        <v xml:space="preserve"> </v>
      </c>
      <c r="L267" s="242" t="str">
        <f t="shared" si="28"/>
        <v xml:space="preserve"> </v>
      </c>
      <c r="M267" s="242" t="str">
        <f t="shared" si="29"/>
        <v xml:space="preserve"> </v>
      </c>
    </row>
    <row r="268" spans="6:13" x14ac:dyDescent="0.2">
      <c r="F268" s="216" t="str">
        <f t="shared" si="25"/>
        <v xml:space="preserve"> </v>
      </c>
      <c r="G268" s="50"/>
      <c r="H268" s="242" t="str">
        <f ca="1">IF(F268=1,PERCENTILE(INDIRECT("g"&amp;$D$8):INDIRECT("g"&amp;$E$8),0.5),IF(F268=2,PERCENTILE(INDIRECT("g"&amp;$D$9):INDIRECT("g"&amp;$E$9),0.5),IF(F268=3,PERCENTILE(INDIRECT("g"&amp;$D$10):INDIRECT("g"&amp;$E$10),0.5),IF(F268=4,PERCENTILE(INDIRECT("g"&amp;$D$11):INDIRECT("g"&amp;$E$11),0.5),IF(F268=5,PERCENTILE(INDIRECT("g"&amp;$D$12):INDIRECT("g"&amp;$E$12),0.5),IF(F268=6,PERCENTILE(INDIRECT("g"&amp;$D$13):INDIRECT("g"&amp;$E$13),0.5)," "))))))</f>
        <v xml:space="preserve"> </v>
      </c>
      <c r="I268" s="242" t="str">
        <f t="shared" si="26"/>
        <v xml:space="preserve"> </v>
      </c>
      <c r="J268" s="242" t="str">
        <f ca="1">IF(F268=1,AVERAGE(INDIRECT("I"&amp;$D$8):INDIRECT("I"&amp;$E$8)),IF(F268=2,AVERAGE(INDIRECT("I"&amp;$D$9):INDIRECT("I"&amp;$E$9)),IF(F268=3,AVERAGE(INDIRECT("I"&amp;$D$10):INDIRECT("I"&amp;$E$10)),IF(F268=4,AVERAGE(INDIRECT("I"&amp;$D$11):INDIRECT("I"&amp;$E$11)),IF(F268=5,AVERAGE(INDIRECT("I"&amp;$D$12):INDIRECT("I"&amp;$E$12)),IF(F268=6,AVERAGE(INDIRECT("I"&amp;$D$13):INDIRECT("I"&amp;$E$13))," "))))))</f>
        <v xml:space="preserve"> </v>
      </c>
      <c r="K268" s="242" t="str">
        <f t="shared" si="27"/>
        <v xml:space="preserve"> </v>
      </c>
      <c r="L268" s="242" t="str">
        <f t="shared" si="28"/>
        <v xml:space="preserve"> </v>
      </c>
      <c r="M268" s="242" t="str">
        <f t="shared" si="29"/>
        <v xml:space="preserve"> </v>
      </c>
    </row>
    <row r="269" spans="6:13" x14ac:dyDescent="0.2">
      <c r="F269" s="216" t="str">
        <f t="shared" si="25"/>
        <v xml:space="preserve"> </v>
      </c>
      <c r="G269" s="50"/>
      <c r="H269" s="242" t="str">
        <f ca="1">IF(F269=1,PERCENTILE(INDIRECT("g"&amp;$D$8):INDIRECT("g"&amp;$E$8),0.5),IF(F269=2,PERCENTILE(INDIRECT("g"&amp;$D$9):INDIRECT("g"&amp;$E$9),0.5),IF(F269=3,PERCENTILE(INDIRECT("g"&amp;$D$10):INDIRECT("g"&amp;$E$10),0.5),IF(F269=4,PERCENTILE(INDIRECT("g"&amp;$D$11):INDIRECT("g"&amp;$E$11),0.5),IF(F269=5,PERCENTILE(INDIRECT("g"&amp;$D$12):INDIRECT("g"&amp;$E$12),0.5),IF(F269=6,PERCENTILE(INDIRECT("g"&amp;$D$13):INDIRECT("g"&amp;$E$13),0.5)," "))))))</f>
        <v xml:space="preserve"> </v>
      </c>
      <c r="I269" s="242" t="str">
        <f t="shared" si="26"/>
        <v xml:space="preserve"> </v>
      </c>
      <c r="J269" s="242" t="str">
        <f ca="1">IF(F269=1,AVERAGE(INDIRECT("I"&amp;$D$8):INDIRECT("I"&amp;$E$8)),IF(F269=2,AVERAGE(INDIRECT("I"&amp;$D$9):INDIRECT("I"&amp;$E$9)),IF(F269=3,AVERAGE(INDIRECT("I"&amp;$D$10):INDIRECT("I"&amp;$E$10)),IF(F269=4,AVERAGE(INDIRECT("I"&amp;$D$11):INDIRECT("I"&amp;$E$11)),IF(F269=5,AVERAGE(INDIRECT("I"&amp;$D$12):INDIRECT("I"&amp;$E$12)),IF(F269=6,AVERAGE(INDIRECT("I"&amp;$D$13):INDIRECT("I"&amp;$E$13))," "))))))</f>
        <v xml:space="preserve"> </v>
      </c>
      <c r="K269" s="242" t="str">
        <f t="shared" si="27"/>
        <v xml:space="preserve"> </v>
      </c>
      <c r="L269" s="242" t="str">
        <f t="shared" si="28"/>
        <v xml:space="preserve"> </v>
      </c>
      <c r="M269" s="242" t="str">
        <f t="shared" si="29"/>
        <v xml:space="preserve"> </v>
      </c>
    </row>
    <row r="270" spans="6:13" x14ac:dyDescent="0.2">
      <c r="F270" s="216" t="str">
        <f t="shared" si="25"/>
        <v xml:space="preserve"> </v>
      </c>
      <c r="G270" s="50"/>
      <c r="H270" s="242" t="str">
        <f ca="1">IF(F270=1,PERCENTILE(INDIRECT("g"&amp;$D$8):INDIRECT("g"&amp;$E$8),0.5),IF(F270=2,PERCENTILE(INDIRECT("g"&amp;$D$9):INDIRECT("g"&amp;$E$9),0.5),IF(F270=3,PERCENTILE(INDIRECT("g"&amp;$D$10):INDIRECT("g"&amp;$E$10),0.5),IF(F270=4,PERCENTILE(INDIRECT("g"&amp;$D$11):INDIRECT("g"&amp;$E$11),0.5),IF(F270=5,PERCENTILE(INDIRECT("g"&amp;$D$12):INDIRECT("g"&amp;$E$12),0.5),IF(F270=6,PERCENTILE(INDIRECT("g"&amp;$D$13):INDIRECT("g"&amp;$E$13),0.5)," "))))))</f>
        <v xml:space="preserve"> </v>
      </c>
      <c r="I270" s="242" t="str">
        <f t="shared" si="26"/>
        <v xml:space="preserve"> </v>
      </c>
      <c r="J270" s="242" t="str">
        <f ca="1">IF(F270=1,AVERAGE(INDIRECT("I"&amp;$D$8):INDIRECT("I"&amp;$E$8)),IF(F270=2,AVERAGE(INDIRECT("I"&amp;$D$9):INDIRECT("I"&amp;$E$9)),IF(F270=3,AVERAGE(INDIRECT("I"&amp;$D$10):INDIRECT("I"&amp;$E$10)),IF(F270=4,AVERAGE(INDIRECT("I"&amp;$D$11):INDIRECT("I"&amp;$E$11)),IF(F270=5,AVERAGE(INDIRECT("I"&amp;$D$12):INDIRECT("I"&amp;$E$12)),IF(F270=6,AVERAGE(INDIRECT("I"&amp;$D$13):INDIRECT("I"&amp;$E$13))," "))))))</f>
        <v xml:space="preserve"> </v>
      </c>
      <c r="K270" s="242" t="str">
        <f t="shared" si="27"/>
        <v xml:space="preserve"> </v>
      </c>
      <c r="L270" s="242" t="str">
        <f t="shared" si="28"/>
        <v xml:space="preserve"> </v>
      </c>
      <c r="M270" s="242" t="str">
        <f t="shared" si="29"/>
        <v xml:space="preserve"> </v>
      </c>
    </row>
    <row r="271" spans="6:13" x14ac:dyDescent="0.2">
      <c r="F271" s="216" t="str">
        <f t="shared" si="25"/>
        <v xml:space="preserve"> </v>
      </c>
      <c r="G271" s="50"/>
      <c r="H271" s="242" t="str">
        <f ca="1">IF(F271=1,PERCENTILE(INDIRECT("g"&amp;$D$8):INDIRECT("g"&amp;$E$8),0.5),IF(F271=2,PERCENTILE(INDIRECT("g"&amp;$D$9):INDIRECT("g"&amp;$E$9),0.5),IF(F271=3,PERCENTILE(INDIRECT("g"&amp;$D$10):INDIRECT("g"&amp;$E$10),0.5),IF(F271=4,PERCENTILE(INDIRECT("g"&amp;$D$11):INDIRECT("g"&amp;$E$11),0.5),IF(F271=5,PERCENTILE(INDIRECT("g"&amp;$D$12):INDIRECT("g"&amp;$E$12),0.5),IF(F271=6,PERCENTILE(INDIRECT("g"&amp;$D$13):INDIRECT("g"&amp;$E$13),0.5)," "))))))</f>
        <v xml:space="preserve"> </v>
      </c>
      <c r="I271" s="242" t="str">
        <f t="shared" si="26"/>
        <v xml:space="preserve"> </v>
      </c>
      <c r="J271" s="242" t="str">
        <f ca="1">IF(F271=1,AVERAGE(INDIRECT("I"&amp;$D$8):INDIRECT("I"&amp;$E$8)),IF(F271=2,AVERAGE(INDIRECT("I"&amp;$D$9):INDIRECT("I"&amp;$E$9)),IF(F271=3,AVERAGE(INDIRECT("I"&amp;$D$10):INDIRECT("I"&amp;$E$10)),IF(F271=4,AVERAGE(INDIRECT("I"&amp;$D$11):INDIRECT("I"&amp;$E$11)),IF(F271=5,AVERAGE(INDIRECT("I"&amp;$D$12):INDIRECT("I"&amp;$E$12)),IF(F271=6,AVERAGE(INDIRECT("I"&amp;$D$13):INDIRECT("I"&amp;$E$13))," "))))))</f>
        <v xml:space="preserve"> </v>
      </c>
      <c r="K271" s="242" t="str">
        <f t="shared" si="27"/>
        <v xml:space="preserve"> </v>
      </c>
      <c r="L271" s="242" t="str">
        <f t="shared" si="28"/>
        <v xml:space="preserve"> </v>
      </c>
      <c r="M271" s="242" t="str">
        <f t="shared" si="29"/>
        <v xml:space="preserve"> </v>
      </c>
    </row>
    <row r="272" spans="6:13" x14ac:dyDescent="0.2">
      <c r="F272" s="216" t="str">
        <f t="shared" si="25"/>
        <v xml:space="preserve"> </v>
      </c>
      <c r="G272" s="50"/>
      <c r="H272" s="242" t="str">
        <f ca="1">IF(F272=1,PERCENTILE(INDIRECT("g"&amp;$D$8):INDIRECT("g"&amp;$E$8),0.5),IF(F272=2,PERCENTILE(INDIRECT("g"&amp;$D$9):INDIRECT("g"&amp;$E$9),0.5),IF(F272=3,PERCENTILE(INDIRECT("g"&amp;$D$10):INDIRECT("g"&amp;$E$10),0.5),IF(F272=4,PERCENTILE(INDIRECT("g"&amp;$D$11):INDIRECT("g"&amp;$E$11),0.5),IF(F272=5,PERCENTILE(INDIRECT("g"&amp;$D$12):INDIRECT("g"&amp;$E$12),0.5),IF(F272=6,PERCENTILE(INDIRECT("g"&amp;$D$13):INDIRECT("g"&amp;$E$13),0.5)," "))))))</f>
        <v xml:space="preserve"> </v>
      </c>
      <c r="I272" s="242" t="str">
        <f t="shared" si="26"/>
        <v xml:space="preserve"> </v>
      </c>
      <c r="J272" s="242" t="str">
        <f ca="1">IF(F272=1,AVERAGE(INDIRECT("I"&amp;$D$8):INDIRECT("I"&amp;$E$8)),IF(F272=2,AVERAGE(INDIRECT("I"&amp;$D$9):INDIRECT("I"&amp;$E$9)),IF(F272=3,AVERAGE(INDIRECT("I"&amp;$D$10):INDIRECT("I"&amp;$E$10)),IF(F272=4,AVERAGE(INDIRECT("I"&amp;$D$11):INDIRECT("I"&amp;$E$11)),IF(F272=5,AVERAGE(INDIRECT("I"&amp;$D$12):INDIRECT("I"&amp;$E$12)),IF(F272=6,AVERAGE(INDIRECT("I"&amp;$D$13):INDIRECT("I"&amp;$E$13))," "))))))</f>
        <v xml:space="preserve"> </v>
      </c>
      <c r="K272" s="242" t="str">
        <f t="shared" si="27"/>
        <v xml:space="preserve"> </v>
      </c>
      <c r="L272" s="242" t="str">
        <f t="shared" si="28"/>
        <v xml:space="preserve"> </v>
      </c>
      <c r="M272" s="242" t="str">
        <f t="shared" si="29"/>
        <v xml:space="preserve"> </v>
      </c>
    </row>
    <row r="273" spans="6:13" x14ac:dyDescent="0.2">
      <c r="F273" s="216" t="str">
        <f t="shared" si="25"/>
        <v xml:space="preserve"> </v>
      </c>
      <c r="G273" s="50"/>
      <c r="H273" s="242" t="str">
        <f ca="1">IF(F273=1,PERCENTILE(INDIRECT("g"&amp;$D$8):INDIRECT("g"&amp;$E$8),0.5),IF(F273=2,PERCENTILE(INDIRECT("g"&amp;$D$9):INDIRECT("g"&amp;$E$9),0.5),IF(F273=3,PERCENTILE(INDIRECT("g"&amp;$D$10):INDIRECT("g"&amp;$E$10),0.5),IF(F273=4,PERCENTILE(INDIRECT("g"&amp;$D$11):INDIRECT("g"&amp;$E$11),0.5),IF(F273=5,PERCENTILE(INDIRECT("g"&amp;$D$12):INDIRECT("g"&amp;$E$12),0.5),IF(F273=6,PERCENTILE(INDIRECT("g"&amp;$D$13):INDIRECT("g"&amp;$E$13),0.5)," "))))))</f>
        <v xml:space="preserve"> </v>
      </c>
      <c r="I273" s="242" t="str">
        <f t="shared" si="26"/>
        <v xml:space="preserve"> </v>
      </c>
      <c r="J273" s="242" t="str">
        <f ca="1">IF(F273=1,AVERAGE(INDIRECT("I"&amp;$D$8):INDIRECT("I"&amp;$E$8)),IF(F273=2,AVERAGE(INDIRECT("I"&amp;$D$9):INDIRECT("I"&amp;$E$9)),IF(F273=3,AVERAGE(INDIRECT("I"&amp;$D$10):INDIRECT("I"&amp;$E$10)),IF(F273=4,AVERAGE(INDIRECT("I"&amp;$D$11):INDIRECT("I"&amp;$E$11)),IF(F273=5,AVERAGE(INDIRECT("I"&amp;$D$12):INDIRECT("I"&amp;$E$12)),IF(F273=6,AVERAGE(INDIRECT("I"&amp;$D$13):INDIRECT("I"&amp;$E$13))," "))))))</f>
        <v xml:space="preserve"> </v>
      </c>
      <c r="K273" s="242" t="str">
        <f t="shared" si="27"/>
        <v xml:space="preserve"> </v>
      </c>
      <c r="L273" s="242" t="str">
        <f t="shared" si="28"/>
        <v xml:space="preserve"> </v>
      </c>
      <c r="M273" s="242" t="str">
        <f t="shared" si="29"/>
        <v xml:space="preserve"> </v>
      </c>
    </row>
    <row r="274" spans="6:13" x14ac:dyDescent="0.2">
      <c r="F274" s="216" t="str">
        <f t="shared" si="25"/>
        <v xml:space="preserve"> </v>
      </c>
      <c r="G274" s="50"/>
      <c r="H274" s="242" t="str">
        <f ca="1">IF(F274=1,PERCENTILE(INDIRECT("g"&amp;$D$8):INDIRECT("g"&amp;$E$8),0.5),IF(F274=2,PERCENTILE(INDIRECT("g"&amp;$D$9):INDIRECT("g"&amp;$E$9),0.5),IF(F274=3,PERCENTILE(INDIRECT("g"&amp;$D$10):INDIRECT("g"&amp;$E$10),0.5),IF(F274=4,PERCENTILE(INDIRECT("g"&amp;$D$11):INDIRECT("g"&amp;$E$11),0.5),IF(F274=5,PERCENTILE(INDIRECT("g"&amp;$D$12):INDIRECT("g"&amp;$E$12),0.5),IF(F274=6,PERCENTILE(INDIRECT("g"&amp;$D$13):INDIRECT("g"&amp;$E$13),0.5)," "))))))</f>
        <v xml:space="preserve"> </v>
      </c>
      <c r="I274" s="242" t="str">
        <f t="shared" si="26"/>
        <v xml:space="preserve"> </v>
      </c>
      <c r="J274" s="242" t="str">
        <f ca="1">IF(F274=1,AVERAGE(INDIRECT("I"&amp;$D$8):INDIRECT("I"&amp;$E$8)),IF(F274=2,AVERAGE(INDIRECT("I"&amp;$D$9):INDIRECT("I"&amp;$E$9)),IF(F274=3,AVERAGE(INDIRECT("I"&amp;$D$10):INDIRECT("I"&amp;$E$10)),IF(F274=4,AVERAGE(INDIRECT("I"&amp;$D$11):INDIRECT("I"&amp;$E$11)),IF(F274=5,AVERAGE(INDIRECT("I"&amp;$D$12):INDIRECT("I"&amp;$E$12)),IF(F274=6,AVERAGE(INDIRECT("I"&amp;$D$13):INDIRECT("I"&amp;$E$13))," "))))))</f>
        <v xml:space="preserve"> </v>
      </c>
      <c r="K274" s="242" t="str">
        <f t="shared" si="27"/>
        <v xml:space="preserve"> </v>
      </c>
      <c r="L274" s="242" t="str">
        <f t="shared" si="28"/>
        <v xml:space="preserve"> </v>
      </c>
      <c r="M274" s="242" t="str">
        <f t="shared" si="29"/>
        <v xml:space="preserve"> </v>
      </c>
    </row>
    <row r="275" spans="6:13" x14ac:dyDescent="0.2">
      <c r="F275" s="216" t="str">
        <f t="shared" si="25"/>
        <v xml:space="preserve"> </v>
      </c>
      <c r="G275" s="50"/>
      <c r="H275" s="242" t="str">
        <f ca="1">IF(F275=1,PERCENTILE(INDIRECT("g"&amp;$D$8):INDIRECT("g"&amp;$E$8),0.5),IF(F275=2,PERCENTILE(INDIRECT("g"&amp;$D$9):INDIRECT("g"&amp;$E$9),0.5),IF(F275=3,PERCENTILE(INDIRECT("g"&amp;$D$10):INDIRECT("g"&amp;$E$10),0.5),IF(F275=4,PERCENTILE(INDIRECT("g"&amp;$D$11):INDIRECT("g"&amp;$E$11),0.5),IF(F275=5,PERCENTILE(INDIRECT("g"&amp;$D$12):INDIRECT("g"&amp;$E$12),0.5),IF(F275=6,PERCENTILE(INDIRECT("g"&amp;$D$13):INDIRECT("g"&amp;$E$13),0.5)," "))))))</f>
        <v xml:space="preserve"> </v>
      </c>
      <c r="I275" s="242" t="str">
        <f t="shared" si="26"/>
        <v xml:space="preserve"> </v>
      </c>
      <c r="J275" s="242" t="str">
        <f ca="1">IF(F275=1,AVERAGE(INDIRECT("I"&amp;$D$8):INDIRECT("I"&amp;$E$8)),IF(F275=2,AVERAGE(INDIRECT("I"&amp;$D$9):INDIRECT("I"&amp;$E$9)),IF(F275=3,AVERAGE(INDIRECT("I"&amp;$D$10):INDIRECT("I"&amp;$E$10)),IF(F275=4,AVERAGE(INDIRECT("I"&amp;$D$11):INDIRECT("I"&amp;$E$11)),IF(F275=5,AVERAGE(INDIRECT("I"&amp;$D$12):INDIRECT("I"&amp;$E$12)),IF(F275=6,AVERAGE(INDIRECT("I"&amp;$D$13):INDIRECT("I"&amp;$E$13))," "))))))</f>
        <v xml:space="preserve"> </v>
      </c>
      <c r="K275" s="242" t="str">
        <f t="shared" si="27"/>
        <v xml:space="preserve"> </v>
      </c>
      <c r="L275" s="242" t="str">
        <f t="shared" si="28"/>
        <v xml:space="preserve"> </v>
      </c>
      <c r="M275" s="242" t="str">
        <f t="shared" si="29"/>
        <v xml:space="preserve"> </v>
      </c>
    </row>
    <row r="276" spans="6:13" x14ac:dyDescent="0.2">
      <c r="F276" s="216" t="str">
        <f t="shared" si="25"/>
        <v xml:space="preserve"> </v>
      </c>
      <c r="G276" s="50"/>
      <c r="H276" s="242" t="str">
        <f ca="1">IF(F276=1,PERCENTILE(INDIRECT("g"&amp;$D$8):INDIRECT("g"&amp;$E$8),0.5),IF(F276=2,PERCENTILE(INDIRECT("g"&amp;$D$9):INDIRECT("g"&amp;$E$9),0.5),IF(F276=3,PERCENTILE(INDIRECT("g"&amp;$D$10):INDIRECT("g"&amp;$E$10),0.5),IF(F276=4,PERCENTILE(INDIRECT("g"&amp;$D$11):INDIRECT("g"&amp;$E$11),0.5),IF(F276=5,PERCENTILE(INDIRECT("g"&amp;$D$12):INDIRECT("g"&amp;$E$12),0.5),IF(F276=6,PERCENTILE(INDIRECT("g"&amp;$D$13):INDIRECT("g"&amp;$E$13),0.5)," "))))))</f>
        <v xml:space="preserve"> </v>
      </c>
      <c r="I276" s="242" t="str">
        <f t="shared" si="26"/>
        <v xml:space="preserve"> </v>
      </c>
      <c r="J276" s="242" t="str">
        <f ca="1">IF(F276=1,AVERAGE(INDIRECT("I"&amp;$D$8):INDIRECT("I"&amp;$E$8)),IF(F276=2,AVERAGE(INDIRECT("I"&amp;$D$9):INDIRECT("I"&amp;$E$9)),IF(F276=3,AVERAGE(INDIRECT("I"&amp;$D$10):INDIRECT("I"&amp;$E$10)),IF(F276=4,AVERAGE(INDIRECT("I"&amp;$D$11):INDIRECT("I"&amp;$E$11)),IF(F276=5,AVERAGE(INDIRECT("I"&amp;$D$12):INDIRECT("I"&amp;$E$12)),IF(F276=6,AVERAGE(INDIRECT("I"&amp;$D$13):INDIRECT("I"&amp;$E$13))," "))))))</f>
        <v xml:space="preserve"> </v>
      </c>
      <c r="K276" s="242" t="str">
        <f t="shared" si="27"/>
        <v xml:space="preserve"> </v>
      </c>
      <c r="L276" s="242" t="str">
        <f t="shared" si="28"/>
        <v xml:space="preserve"> </v>
      </c>
      <c r="M276" s="242" t="str">
        <f t="shared" si="29"/>
        <v xml:space="preserve"> </v>
      </c>
    </row>
    <row r="277" spans="6:13" x14ac:dyDescent="0.2">
      <c r="F277" s="216" t="str">
        <f t="shared" si="25"/>
        <v xml:space="preserve"> </v>
      </c>
      <c r="G277" s="50"/>
      <c r="H277" s="242" t="str">
        <f ca="1">IF(F277=1,PERCENTILE(INDIRECT("g"&amp;$D$8):INDIRECT("g"&amp;$E$8),0.5),IF(F277=2,PERCENTILE(INDIRECT("g"&amp;$D$9):INDIRECT("g"&amp;$E$9),0.5),IF(F277=3,PERCENTILE(INDIRECT("g"&amp;$D$10):INDIRECT("g"&amp;$E$10),0.5),IF(F277=4,PERCENTILE(INDIRECT("g"&amp;$D$11):INDIRECT("g"&amp;$E$11),0.5),IF(F277=5,PERCENTILE(INDIRECT("g"&amp;$D$12):INDIRECT("g"&amp;$E$12),0.5),IF(F277=6,PERCENTILE(INDIRECT("g"&amp;$D$13):INDIRECT("g"&amp;$E$13),0.5)," "))))))</f>
        <v xml:space="preserve"> </v>
      </c>
      <c r="I277" s="242" t="str">
        <f t="shared" si="26"/>
        <v xml:space="preserve"> </v>
      </c>
      <c r="J277" s="242" t="str">
        <f ca="1">IF(F277=1,AVERAGE(INDIRECT("I"&amp;$D$8):INDIRECT("I"&amp;$E$8)),IF(F277=2,AVERAGE(INDIRECT("I"&amp;$D$9):INDIRECT("I"&amp;$E$9)),IF(F277=3,AVERAGE(INDIRECT("I"&amp;$D$10):INDIRECT("I"&amp;$E$10)),IF(F277=4,AVERAGE(INDIRECT("I"&amp;$D$11):INDIRECT("I"&amp;$E$11)),IF(F277=5,AVERAGE(INDIRECT("I"&amp;$D$12):INDIRECT("I"&amp;$E$12)),IF(F277=6,AVERAGE(INDIRECT("I"&amp;$D$13):INDIRECT("I"&amp;$E$13))," "))))))</f>
        <v xml:space="preserve"> </v>
      </c>
      <c r="K277" s="242" t="str">
        <f t="shared" si="27"/>
        <v xml:space="preserve"> </v>
      </c>
      <c r="L277" s="242" t="str">
        <f t="shared" si="28"/>
        <v xml:space="preserve"> </v>
      </c>
      <c r="M277" s="242" t="str">
        <f t="shared" si="29"/>
        <v xml:space="preserve"> </v>
      </c>
    </row>
    <row r="278" spans="6:13" x14ac:dyDescent="0.2">
      <c r="F278" s="216" t="str">
        <f t="shared" si="25"/>
        <v xml:space="preserve"> </v>
      </c>
      <c r="G278" s="50"/>
      <c r="H278" s="242" t="str">
        <f ca="1">IF(F278=1,PERCENTILE(INDIRECT("g"&amp;$D$8):INDIRECT("g"&amp;$E$8),0.5),IF(F278=2,PERCENTILE(INDIRECT("g"&amp;$D$9):INDIRECT("g"&amp;$E$9),0.5),IF(F278=3,PERCENTILE(INDIRECT("g"&amp;$D$10):INDIRECT("g"&amp;$E$10),0.5),IF(F278=4,PERCENTILE(INDIRECT("g"&amp;$D$11):INDIRECT("g"&amp;$E$11),0.5),IF(F278=5,PERCENTILE(INDIRECT("g"&amp;$D$12):INDIRECT("g"&amp;$E$12),0.5),IF(F278=6,PERCENTILE(INDIRECT("g"&amp;$D$13):INDIRECT("g"&amp;$E$13),0.5)," "))))))</f>
        <v xml:space="preserve"> </v>
      </c>
      <c r="I278" s="242" t="str">
        <f t="shared" si="26"/>
        <v xml:space="preserve"> </v>
      </c>
      <c r="J278" s="242" t="str">
        <f ca="1">IF(F278=1,AVERAGE(INDIRECT("I"&amp;$D$8):INDIRECT("I"&amp;$E$8)),IF(F278=2,AVERAGE(INDIRECT("I"&amp;$D$9):INDIRECT("I"&amp;$E$9)),IF(F278=3,AVERAGE(INDIRECT("I"&amp;$D$10):INDIRECT("I"&amp;$E$10)),IF(F278=4,AVERAGE(INDIRECT("I"&amp;$D$11):INDIRECT("I"&amp;$E$11)),IF(F278=5,AVERAGE(INDIRECT("I"&amp;$D$12):INDIRECT("I"&amp;$E$12)),IF(F278=6,AVERAGE(INDIRECT("I"&amp;$D$13):INDIRECT("I"&amp;$E$13))," "))))))</f>
        <v xml:space="preserve"> </v>
      </c>
      <c r="K278" s="242" t="str">
        <f t="shared" si="27"/>
        <v xml:space="preserve"> </v>
      </c>
      <c r="L278" s="242" t="str">
        <f t="shared" si="28"/>
        <v xml:space="preserve"> </v>
      </c>
      <c r="M278" s="242" t="str">
        <f t="shared" si="29"/>
        <v xml:space="preserve"> </v>
      </c>
    </row>
    <row r="279" spans="6:13" x14ac:dyDescent="0.2">
      <c r="F279" s="216" t="str">
        <f t="shared" si="25"/>
        <v xml:space="preserve"> </v>
      </c>
      <c r="G279" s="50"/>
      <c r="H279" s="242" t="str">
        <f ca="1">IF(F279=1,PERCENTILE(INDIRECT("g"&amp;$D$8):INDIRECT("g"&amp;$E$8),0.5),IF(F279=2,PERCENTILE(INDIRECT("g"&amp;$D$9):INDIRECT("g"&amp;$E$9),0.5),IF(F279=3,PERCENTILE(INDIRECT("g"&amp;$D$10):INDIRECT("g"&amp;$E$10),0.5),IF(F279=4,PERCENTILE(INDIRECT("g"&amp;$D$11):INDIRECT("g"&amp;$E$11),0.5),IF(F279=5,PERCENTILE(INDIRECT("g"&amp;$D$12):INDIRECT("g"&amp;$E$12),0.5),IF(F279=6,PERCENTILE(INDIRECT("g"&amp;$D$13):INDIRECT("g"&amp;$E$13),0.5)," "))))))</f>
        <v xml:space="preserve"> </v>
      </c>
      <c r="I279" s="242" t="str">
        <f t="shared" si="26"/>
        <v xml:space="preserve"> </v>
      </c>
      <c r="J279" s="242" t="str">
        <f ca="1">IF(F279=1,AVERAGE(INDIRECT("I"&amp;$D$8):INDIRECT("I"&amp;$E$8)),IF(F279=2,AVERAGE(INDIRECT("I"&amp;$D$9):INDIRECT("I"&amp;$E$9)),IF(F279=3,AVERAGE(INDIRECT("I"&amp;$D$10):INDIRECT("I"&amp;$E$10)),IF(F279=4,AVERAGE(INDIRECT("I"&amp;$D$11):INDIRECT("I"&amp;$E$11)),IF(F279=5,AVERAGE(INDIRECT("I"&amp;$D$12):INDIRECT("I"&amp;$E$12)),IF(F279=6,AVERAGE(INDIRECT("I"&amp;$D$13):INDIRECT("I"&amp;$E$13))," "))))))</f>
        <v xml:space="preserve"> </v>
      </c>
      <c r="K279" s="242" t="str">
        <f t="shared" si="27"/>
        <v xml:space="preserve"> </v>
      </c>
      <c r="L279" s="242" t="str">
        <f t="shared" si="28"/>
        <v xml:space="preserve"> </v>
      </c>
      <c r="M279" s="242" t="str">
        <f t="shared" si="29"/>
        <v xml:space="preserve"> </v>
      </c>
    </row>
    <row r="280" spans="6:13" x14ac:dyDescent="0.2">
      <c r="F280" s="216" t="str">
        <f t="shared" si="25"/>
        <v xml:space="preserve"> </v>
      </c>
      <c r="G280" s="50"/>
      <c r="H280" s="242" t="str">
        <f ca="1">IF(F280=1,PERCENTILE(INDIRECT("g"&amp;$D$8):INDIRECT("g"&amp;$E$8),0.5),IF(F280=2,PERCENTILE(INDIRECT("g"&amp;$D$9):INDIRECT("g"&amp;$E$9),0.5),IF(F280=3,PERCENTILE(INDIRECT("g"&amp;$D$10):INDIRECT("g"&amp;$E$10),0.5),IF(F280=4,PERCENTILE(INDIRECT("g"&amp;$D$11):INDIRECT("g"&amp;$E$11),0.5),IF(F280=5,PERCENTILE(INDIRECT("g"&amp;$D$12):INDIRECT("g"&amp;$E$12),0.5),IF(F280=6,PERCENTILE(INDIRECT("g"&amp;$D$13):INDIRECT("g"&amp;$E$13),0.5)," "))))))</f>
        <v xml:space="preserve"> </v>
      </c>
      <c r="I280" s="242" t="str">
        <f t="shared" si="26"/>
        <v xml:space="preserve"> </v>
      </c>
      <c r="J280" s="242" t="str">
        <f ca="1">IF(F280=1,AVERAGE(INDIRECT("I"&amp;$D$8):INDIRECT("I"&amp;$E$8)),IF(F280=2,AVERAGE(INDIRECT("I"&amp;$D$9):INDIRECT("I"&amp;$E$9)),IF(F280=3,AVERAGE(INDIRECT("I"&amp;$D$10):INDIRECT("I"&amp;$E$10)),IF(F280=4,AVERAGE(INDIRECT("I"&amp;$D$11):INDIRECT("I"&amp;$E$11)),IF(F280=5,AVERAGE(INDIRECT("I"&amp;$D$12):INDIRECT("I"&amp;$E$12)),IF(F280=6,AVERAGE(INDIRECT("I"&amp;$D$13):INDIRECT("I"&amp;$E$13))," "))))))</f>
        <v xml:space="preserve"> </v>
      </c>
      <c r="K280" s="242" t="str">
        <f t="shared" si="27"/>
        <v xml:space="preserve"> </v>
      </c>
      <c r="L280" s="242" t="str">
        <f t="shared" si="28"/>
        <v xml:space="preserve"> </v>
      </c>
      <c r="M280" s="242" t="str">
        <f t="shared" si="29"/>
        <v xml:space="preserve"> </v>
      </c>
    </row>
    <row r="281" spans="6:13" x14ac:dyDescent="0.2">
      <c r="F281" s="216" t="str">
        <f t="shared" si="25"/>
        <v xml:space="preserve"> </v>
      </c>
      <c r="G281" s="50"/>
      <c r="H281" s="242" t="str">
        <f ca="1">IF(F281=1,PERCENTILE(INDIRECT("g"&amp;$D$8):INDIRECT("g"&amp;$E$8),0.5),IF(F281=2,PERCENTILE(INDIRECT("g"&amp;$D$9):INDIRECT("g"&amp;$E$9),0.5),IF(F281=3,PERCENTILE(INDIRECT("g"&amp;$D$10):INDIRECT("g"&amp;$E$10),0.5),IF(F281=4,PERCENTILE(INDIRECT("g"&amp;$D$11):INDIRECT("g"&amp;$E$11),0.5),IF(F281=5,PERCENTILE(INDIRECT("g"&amp;$D$12):INDIRECT("g"&amp;$E$12),0.5),IF(F281=6,PERCENTILE(INDIRECT("g"&amp;$D$13):INDIRECT("g"&amp;$E$13),0.5)," "))))))</f>
        <v xml:space="preserve"> </v>
      </c>
      <c r="I281" s="242" t="str">
        <f t="shared" si="26"/>
        <v xml:space="preserve"> </v>
      </c>
      <c r="J281" s="242" t="str">
        <f ca="1">IF(F281=1,AVERAGE(INDIRECT("I"&amp;$D$8):INDIRECT("I"&amp;$E$8)),IF(F281=2,AVERAGE(INDIRECT("I"&amp;$D$9):INDIRECT("I"&amp;$E$9)),IF(F281=3,AVERAGE(INDIRECT("I"&amp;$D$10):INDIRECT("I"&amp;$E$10)),IF(F281=4,AVERAGE(INDIRECT("I"&amp;$D$11):INDIRECT("I"&amp;$E$11)),IF(F281=5,AVERAGE(INDIRECT("I"&amp;$D$12):INDIRECT("I"&amp;$E$12)),IF(F281=6,AVERAGE(INDIRECT("I"&amp;$D$13):INDIRECT("I"&amp;$E$13))," "))))))</f>
        <v xml:space="preserve"> </v>
      </c>
      <c r="K281" s="242" t="str">
        <f t="shared" si="27"/>
        <v xml:space="preserve"> </v>
      </c>
      <c r="L281" s="242" t="str">
        <f t="shared" si="28"/>
        <v xml:space="preserve"> </v>
      </c>
      <c r="M281" s="242" t="str">
        <f t="shared" si="29"/>
        <v xml:space="preserve"> </v>
      </c>
    </row>
    <row r="282" spans="6:13" x14ac:dyDescent="0.2">
      <c r="F282" s="216" t="str">
        <f t="shared" si="25"/>
        <v xml:space="preserve"> </v>
      </c>
      <c r="G282" s="50"/>
      <c r="H282" s="242" t="str">
        <f ca="1">IF(F282=1,PERCENTILE(INDIRECT("g"&amp;$D$8):INDIRECT("g"&amp;$E$8),0.5),IF(F282=2,PERCENTILE(INDIRECT("g"&amp;$D$9):INDIRECT("g"&amp;$E$9),0.5),IF(F282=3,PERCENTILE(INDIRECT("g"&amp;$D$10):INDIRECT("g"&amp;$E$10),0.5),IF(F282=4,PERCENTILE(INDIRECT("g"&amp;$D$11):INDIRECT("g"&amp;$E$11),0.5),IF(F282=5,PERCENTILE(INDIRECT("g"&amp;$D$12):INDIRECT("g"&amp;$E$12),0.5),IF(F282=6,PERCENTILE(INDIRECT("g"&amp;$D$13):INDIRECT("g"&amp;$E$13),0.5)," "))))))</f>
        <v xml:space="preserve"> </v>
      </c>
      <c r="I282" s="242" t="str">
        <f t="shared" si="26"/>
        <v xml:space="preserve"> </v>
      </c>
      <c r="J282" s="242" t="str">
        <f ca="1">IF(F282=1,AVERAGE(INDIRECT("I"&amp;$D$8):INDIRECT("I"&amp;$E$8)),IF(F282=2,AVERAGE(INDIRECT("I"&amp;$D$9):INDIRECT("I"&amp;$E$9)),IF(F282=3,AVERAGE(INDIRECT("I"&amp;$D$10):INDIRECT("I"&amp;$E$10)),IF(F282=4,AVERAGE(INDIRECT("I"&amp;$D$11):INDIRECT("I"&amp;$E$11)),IF(F282=5,AVERAGE(INDIRECT("I"&amp;$D$12):INDIRECT("I"&amp;$E$12)),IF(F282=6,AVERAGE(INDIRECT("I"&amp;$D$13):INDIRECT("I"&amp;$E$13))," "))))))</f>
        <v xml:space="preserve"> </v>
      </c>
      <c r="K282" s="242" t="str">
        <f t="shared" si="27"/>
        <v xml:space="preserve"> </v>
      </c>
      <c r="L282" s="242" t="str">
        <f t="shared" si="28"/>
        <v xml:space="preserve"> </v>
      </c>
      <c r="M282" s="242" t="str">
        <f t="shared" si="29"/>
        <v xml:space="preserve"> </v>
      </c>
    </row>
    <row r="283" spans="6:13" x14ac:dyDescent="0.2">
      <c r="F283" s="216" t="str">
        <f t="shared" si="25"/>
        <v xml:space="preserve"> </v>
      </c>
      <c r="G283" s="50"/>
      <c r="H283" s="242" t="str">
        <f ca="1">IF(F283=1,PERCENTILE(INDIRECT("g"&amp;$D$8):INDIRECT("g"&amp;$E$8),0.5),IF(F283=2,PERCENTILE(INDIRECT("g"&amp;$D$9):INDIRECT("g"&amp;$E$9),0.5),IF(F283=3,PERCENTILE(INDIRECT("g"&amp;$D$10):INDIRECT("g"&amp;$E$10),0.5),IF(F283=4,PERCENTILE(INDIRECT("g"&amp;$D$11):INDIRECT("g"&amp;$E$11),0.5),IF(F283=5,PERCENTILE(INDIRECT("g"&amp;$D$12):INDIRECT("g"&amp;$E$12),0.5),IF(F283=6,PERCENTILE(INDIRECT("g"&amp;$D$13):INDIRECT("g"&amp;$E$13),0.5)," "))))))</f>
        <v xml:space="preserve"> </v>
      </c>
      <c r="I283" s="242" t="str">
        <f t="shared" si="26"/>
        <v xml:space="preserve"> </v>
      </c>
      <c r="J283" s="242" t="str">
        <f ca="1">IF(F283=1,AVERAGE(INDIRECT("I"&amp;$D$8):INDIRECT("I"&amp;$E$8)),IF(F283=2,AVERAGE(INDIRECT("I"&amp;$D$9):INDIRECT("I"&amp;$E$9)),IF(F283=3,AVERAGE(INDIRECT("I"&amp;$D$10):INDIRECT("I"&amp;$E$10)),IF(F283=4,AVERAGE(INDIRECT("I"&amp;$D$11):INDIRECT("I"&amp;$E$11)),IF(F283=5,AVERAGE(INDIRECT("I"&amp;$D$12):INDIRECT("I"&amp;$E$12)),IF(F283=6,AVERAGE(INDIRECT("I"&amp;$D$13):INDIRECT("I"&amp;$E$13))," "))))))</f>
        <v xml:space="preserve"> </v>
      </c>
      <c r="K283" s="242" t="str">
        <f t="shared" si="27"/>
        <v xml:space="preserve"> </v>
      </c>
      <c r="L283" s="242" t="str">
        <f t="shared" si="28"/>
        <v xml:space="preserve"> </v>
      </c>
      <c r="M283" s="242" t="str">
        <f t="shared" si="29"/>
        <v xml:space="preserve"> </v>
      </c>
    </row>
    <row r="284" spans="6:13" x14ac:dyDescent="0.2">
      <c r="F284" s="216" t="str">
        <f t="shared" si="25"/>
        <v xml:space="preserve"> </v>
      </c>
      <c r="G284" s="50"/>
      <c r="H284" s="242" t="str">
        <f ca="1">IF(F284=1,PERCENTILE(INDIRECT("g"&amp;$D$8):INDIRECT("g"&amp;$E$8),0.5),IF(F284=2,PERCENTILE(INDIRECT("g"&amp;$D$9):INDIRECT("g"&amp;$E$9),0.5),IF(F284=3,PERCENTILE(INDIRECT("g"&amp;$D$10):INDIRECT("g"&amp;$E$10),0.5),IF(F284=4,PERCENTILE(INDIRECT("g"&amp;$D$11):INDIRECT("g"&amp;$E$11),0.5),IF(F284=5,PERCENTILE(INDIRECT("g"&amp;$D$12):INDIRECT("g"&amp;$E$12),0.5),IF(F284=6,PERCENTILE(INDIRECT("g"&amp;$D$13):INDIRECT("g"&amp;$E$13),0.5)," "))))))</f>
        <v xml:space="preserve"> </v>
      </c>
      <c r="I284" s="242" t="str">
        <f t="shared" si="26"/>
        <v xml:space="preserve"> </v>
      </c>
      <c r="J284" s="242" t="str">
        <f ca="1">IF(F284=1,AVERAGE(INDIRECT("I"&amp;$D$8):INDIRECT("I"&amp;$E$8)),IF(F284=2,AVERAGE(INDIRECT("I"&amp;$D$9):INDIRECT("I"&amp;$E$9)),IF(F284=3,AVERAGE(INDIRECT("I"&amp;$D$10):INDIRECT("I"&amp;$E$10)),IF(F284=4,AVERAGE(INDIRECT("I"&amp;$D$11):INDIRECT("I"&amp;$E$11)),IF(F284=5,AVERAGE(INDIRECT("I"&amp;$D$12):INDIRECT("I"&amp;$E$12)),IF(F284=6,AVERAGE(INDIRECT("I"&amp;$D$13):INDIRECT("I"&amp;$E$13))," "))))))</f>
        <v xml:space="preserve"> </v>
      </c>
      <c r="K284" s="242" t="str">
        <f t="shared" si="27"/>
        <v xml:space="preserve"> </v>
      </c>
      <c r="L284" s="242" t="str">
        <f t="shared" si="28"/>
        <v xml:space="preserve"> </v>
      </c>
      <c r="M284" s="242" t="str">
        <f t="shared" si="29"/>
        <v xml:space="preserve"> </v>
      </c>
    </row>
    <row r="285" spans="6:13" x14ac:dyDescent="0.2">
      <c r="F285" s="216" t="str">
        <f t="shared" si="25"/>
        <v xml:space="preserve"> </v>
      </c>
      <c r="G285" s="50"/>
      <c r="H285" s="242" t="str">
        <f ca="1">IF(F285=1,PERCENTILE(INDIRECT("g"&amp;$D$8):INDIRECT("g"&amp;$E$8),0.5),IF(F285=2,PERCENTILE(INDIRECT("g"&amp;$D$9):INDIRECT("g"&amp;$E$9),0.5),IF(F285=3,PERCENTILE(INDIRECT("g"&amp;$D$10):INDIRECT("g"&amp;$E$10),0.5),IF(F285=4,PERCENTILE(INDIRECT("g"&amp;$D$11):INDIRECT("g"&amp;$E$11),0.5),IF(F285=5,PERCENTILE(INDIRECT("g"&amp;$D$12):INDIRECT("g"&amp;$E$12),0.5),IF(F285=6,PERCENTILE(INDIRECT("g"&amp;$D$13):INDIRECT("g"&amp;$E$13),0.5)," "))))))</f>
        <v xml:space="preserve"> </v>
      </c>
      <c r="I285" s="242" t="str">
        <f t="shared" si="26"/>
        <v xml:space="preserve"> </v>
      </c>
      <c r="J285" s="242" t="str">
        <f ca="1">IF(F285=1,AVERAGE(INDIRECT("I"&amp;$D$8):INDIRECT("I"&amp;$E$8)),IF(F285=2,AVERAGE(INDIRECT("I"&amp;$D$9):INDIRECT("I"&amp;$E$9)),IF(F285=3,AVERAGE(INDIRECT("I"&amp;$D$10):INDIRECT("I"&amp;$E$10)),IF(F285=4,AVERAGE(INDIRECT("I"&amp;$D$11):INDIRECT("I"&amp;$E$11)),IF(F285=5,AVERAGE(INDIRECT("I"&amp;$D$12):INDIRECT("I"&amp;$E$12)),IF(F285=6,AVERAGE(INDIRECT("I"&amp;$D$13):INDIRECT("I"&amp;$E$13))," "))))))</f>
        <v xml:space="preserve"> </v>
      </c>
      <c r="K285" s="242" t="str">
        <f t="shared" si="27"/>
        <v xml:space="preserve"> </v>
      </c>
      <c r="L285" s="242" t="str">
        <f t="shared" si="28"/>
        <v xml:space="preserve"> </v>
      </c>
      <c r="M285" s="242" t="str">
        <f t="shared" si="29"/>
        <v xml:space="preserve"> </v>
      </c>
    </row>
    <row r="286" spans="6:13" x14ac:dyDescent="0.2">
      <c r="F286" s="216" t="str">
        <f t="shared" si="25"/>
        <v xml:space="preserve"> </v>
      </c>
      <c r="G286" s="50"/>
      <c r="H286" s="242" t="str">
        <f ca="1">IF(F286=1,PERCENTILE(INDIRECT("g"&amp;$D$8):INDIRECT("g"&amp;$E$8),0.5),IF(F286=2,PERCENTILE(INDIRECT("g"&amp;$D$9):INDIRECT("g"&amp;$E$9),0.5),IF(F286=3,PERCENTILE(INDIRECT("g"&amp;$D$10):INDIRECT("g"&amp;$E$10),0.5),IF(F286=4,PERCENTILE(INDIRECT("g"&amp;$D$11):INDIRECT("g"&amp;$E$11),0.5),IF(F286=5,PERCENTILE(INDIRECT("g"&amp;$D$12):INDIRECT("g"&amp;$E$12),0.5),IF(F286=6,PERCENTILE(INDIRECT("g"&amp;$D$13):INDIRECT("g"&amp;$E$13),0.5)," "))))))</f>
        <v xml:space="preserve"> </v>
      </c>
      <c r="I286" s="242" t="str">
        <f t="shared" si="26"/>
        <v xml:space="preserve"> </v>
      </c>
      <c r="J286" s="242" t="str">
        <f ca="1">IF(F286=1,AVERAGE(INDIRECT("I"&amp;$D$8):INDIRECT("I"&amp;$E$8)),IF(F286=2,AVERAGE(INDIRECT("I"&amp;$D$9):INDIRECT("I"&amp;$E$9)),IF(F286=3,AVERAGE(INDIRECT("I"&amp;$D$10):INDIRECT("I"&amp;$E$10)),IF(F286=4,AVERAGE(INDIRECT("I"&amp;$D$11):INDIRECT("I"&amp;$E$11)),IF(F286=5,AVERAGE(INDIRECT("I"&amp;$D$12):INDIRECT("I"&amp;$E$12)),IF(F286=6,AVERAGE(INDIRECT("I"&amp;$D$13):INDIRECT("I"&amp;$E$13))," "))))))</f>
        <v xml:space="preserve"> </v>
      </c>
      <c r="K286" s="242" t="str">
        <f t="shared" si="27"/>
        <v xml:space="preserve"> </v>
      </c>
      <c r="L286" s="242" t="str">
        <f t="shared" si="28"/>
        <v xml:space="preserve"> </v>
      </c>
      <c r="M286" s="242" t="str">
        <f t="shared" si="29"/>
        <v xml:space="preserve"> </v>
      </c>
    </row>
    <row r="287" spans="6:13" x14ac:dyDescent="0.2">
      <c r="F287" s="216" t="str">
        <f t="shared" si="25"/>
        <v xml:space="preserve"> </v>
      </c>
      <c r="G287" s="50"/>
      <c r="H287" s="242" t="str">
        <f ca="1">IF(F287=1,PERCENTILE(INDIRECT("g"&amp;$D$8):INDIRECT("g"&amp;$E$8),0.5),IF(F287=2,PERCENTILE(INDIRECT("g"&amp;$D$9):INDIRECT("g"&amp;$E$9),0.5),IF(F287=3,PERCENTILE(INDIRECT("g"&amp;$D$10):INDIRECT("g"&amp;$E$10),0.5),IF(F287=4,PERCENTILE(INDIRECT("g"&amp;$D$11):INDIRECT("g"&amp;$E$11),0.5),IF(F287=5,PERCENTILE(INDIRECT("g"&amp;$D$12):INDIRECT("g"&amp;$E$12),0.5),IF(F287=6,PERCENTILE(INDIRECT("g"&amp;$D$13):INDIRECT("g"&amp;$E$13),0.5)," "))))))</f>
        <v xml:space="preserve"> </v>
      </c>
      <c r="I287" s="242" t="str">
        <f t="shared" si="26"/>
        <v xml:space="preserve"> </v>
      </c>
      <c r="J287" s="242" t="str">
        <f ca="1">IF(F287=1,AVERAGE(INDIRECT("I"&amp;$D$8):INDIRECT("I"&amp;$E$8)),IF(F287=2,AVERAGE(INDIRECT("I"&amp;$D$9):INDIRECT("I"&amp;$E$9)),IF(F287=3,AVERAGE(INDIRECT("I"&amp;$D$10):INDIRECT("I"&amp;$E$10)),IF(F287=4,AVERAGE(INDIRECT("I"&amp;$D$11):INDIRECT("I"&amp;$E$11)),IF(F287=5,AVERAGE(INDIRECT("I"&amp;$D$12):INDIRECT("I"&amp;$E$12)),IF(F287=6,AVERAGE(INDIRECT("I"&amp;$D$13):INDIRECT("I"&amp;$E$13))," "))))))</f>
        <v xml:space="preserve"> </v>
      </c>
      <c r="K287" s="242" t="str">
        <f t="shared" si="27"/>
        <v xml:space="preserve"> </v>
      </c>
      <c r="L287" s="242" t="str">
        <f t="shared" si="28"/>
        <v xml:space="preserve"> </v>
      </c>
      <c r="M287" s="242" t="str">
        <f t="shared" si="29"/>
        <v xml:space="preserve"> </v>
      </c>
    </row>
    <row r="288" spans="6:13" x14ac:dyDescent="0.2">
      <c r="F288" s="216" t="str">
        <f t="shared" si="25"/>
        <v xml:space="preserve"> </v>
      </c>
      <c r="G288" s="50"/>
      <c r="H288" s="242" t="str">
        <f ca="1">IF(F288=1,PERCENTILE(INDIRECT("g"&amp;$D$8):INDIRECT("g"&amp;$E$8),0.5),IF(F288=2,PERCENTILE(INDIRECT("g"&amp;$D$9):INDIRECT("g"&amp;$E$9),0.5),IF(F288=3,PERCENTILE(INDIRECT("g"&amp;$D$10):INDIRECT("g"&amp;$E$10),0.5),IF(F288=4,PERCENTILE(INDIRECT("g"&amp;$D$11):INDIRECT("g"&amp;$E$11),0.5),IF(F288=5,PERCENTILE(INDIRECT("g"&amp;$D$12):INDIRECT("g"&amp;$E$12),0.5),IF(F288=6,PERCENTILE(INDIRECT("g"&amp;$D$13):INDIRECT("g"&amp;$E$13),0.5)," "))))))</f>
        <v xml:space="preserve"> </v>
      </c>
      <c r="I288" s="242" t="str">
        <f t="shared" si="26"/>
        <v xml:space="preserve"> </v>
      </c>
      <c r="J288" s="242" t="str">
        <f ca="1">IF(F288=1,AVERAGE(INDIRECT("I"&amp;$D$8):INDIRECT("I"&amp;$E$8)),IF(F288=2,AVERAGE(INDIRECT("I"&amp;$D$9):INDIRECT("I"&amp;$E$9)),IF(F288=3,AVERAGE(INDIRECT("I"&amp;$D$10):INDIRECT("I"&amp;$E$10)),IF(F288=4,AVERAGE(INDIRECT("I"&amp;$D$11):INDIRECT("I"&amp;$E$11)),IF(F288=5,AVERAGE(INDIRECT("I"&amp;$D$12):INDIRECT("I"&amp;$E$12)),IF(F288=6,AVERAGE(INDIRECT("I"&amp;$D$13):INDIRECT("I"&amp;$E$13))," "))))))</f>
        <v xml:space="preserve"> </v>
      </c>
      <c r="K288" s="242" t="str">
        <f t="shared" si="27"/>
        <v xml:space="preserve"> </v>
      </c>
      <c r="L288" s="242" t="str">
        <f t="shared" si="28"/>
        <v xml:space="preserve"> </v>
      </c>
      <c r="M288" s="242" t="str">
        <f t="shared" si="29"/>
        <v xml:space="preserve"> </v>
      </c>
    </row>
    <row r="289" spans="6:13" x14ac:dyDescent="0.2">
      <c r="F289" s="216" t="str">
        <f t="shared" si="25"/>
        <v xml:space="preserve"> </v>
      </c>
      <c r="G289" s="50"/>
      <c r="H289" s="242" t="str">
        <f ca="1">IF(F289=1,PERCENTILE(INDIRECT("g"&amp;$D$8):INDIRECT("g"&amp;$E$8),0.5),IF(F289=2,PERCENTILE(INDIRECT("g"&amp;$D$9):INDIRECT("g"&amp;$E$9),0.5),IF(F289=3,PERCENTILE(INDIRECT("g"&amp;$D$10):INDIRECT("g"&amp;$E$10),0.5),IF(F289=4,PERCENTILE(INDIRECT("g"&amp;$D$11):INDIRECT("g"&amp;$E$11),0.5),IF(F289=5,PERCENTILE(INDIRECT("g"&amp;$D$12):INDIRECT("g"&amp;$E$12),0.5),IF(F289=6,PERCENTILE(INDIRECT("g"&amp;$D$13):INDIRECT("g"&amp;$E$13),0.5)," "))))))</f>
        <v xml:space="preserve"> </v>
      </c>
      <c r="I289" s="242" t="str">
        <f t="shared" si="26"/>
        <v xml:space="preserve"> </v>
      </c>
      <c r="J289" s="242" t="str">
        <f ca="1">IF(F289=1,AVERAGE(INDIRECT("I"&amp;$D$8):INDIRECT("I"&amp;$E$8)),IF(F289=2,AVERAGE(INDIRECT("I"&amp;$D$9):INDIRECT("I"&amp;$E$9)),IF(F289=3,AVERAGE(INDIRECT("I"&amp;$D$10):INDIRECT("I"&amp;$E$10)),IF(F289=4,AVERAGE(INDIRECT("I"&amp;$D$11):INDIRECT("I"&amp;$E$11)),IF(F289=5,AVERAGE(INDIRECT("I"&amp;$D$12):INDIRECT("I"&amp;$E$12)),IF(F289=6,AVERAGE(INDIRECT("I"&amp;$D$13):INDIRECT("I"&amp;$E$13))," "))))))</f>
        <v xml:space="preserve"> </v>
      </c>
      <c r="K289" s="242" t="str">
        <f t="shared" si="27"/>
        <v xml:space="preserve"> </v>
      </c>
      <c r="L289" s="242" t="str">
        <f t="shared" si="28"/>
        <v xml:space="preserve"> </v>
      </c>
      <c r="M289" s="242" t="str">
        <f t="shared" si="29"/>
        <v xml:space="preserve"> </v>
      </c>
    </row>
    <row r="290" spans="6:13" x14ac:dyDescent="0.2">
      <c r="F290" s="216" t="str">
        <f t="shared" si="25"/>
        <v xml:space="preserve"> </v>
      </c>
      <c r="G290" s="50"/>
      <c r="H290" s="242" t="str">
        <f ca="1">IF(F290=1,PERCENTILE(INDIRECT("g"&amp;$D$8):INDIRECT("g"&amp;$E$8),0.5),IF(F290=2,PERCENTILE(INDIRECT("g"&amp;$D$9):INDIRECT("g"&amp;$E$9),0.5),IF(F290=3,PERCENTILE(INDIRECT("g"&amp;$D$10):INDIRECT("g"&amp;$E$10),0.5),IF(F290=4,PERCENTILE(INDIRECT("g"&amp;$D$11):INDIRECT("g"&amp;$E$11),0.5),IF(F290=5,PERCENTILE(INDIRECT("g"&amp;$D$12):INDIRECT("g"&amp;$E$12),0.5),IF(F290=6,PERCENTILE(INDIRECT("g"&amp;$D$13):INDIRECT("g"&amp;$E$13),0.5)," "))))))</f>
        <v xml:space="preserve"> </v>
      </c>
      <c r="I290" s="242" t="str">
        <f t="shared" si="26"/>
        <v xml:space="preserve"> </v>
      </c>
      <c r="J290" s="242" t="str">
        <f ca="1">IF(F290=1,AVERAGE(INDIRECT("I"&amp;$D$8):INDIRECT("I"&amp;$E$8)),IF(F290=2,AVERAGE(INDIRECT("I"&amp;$D$9):INDIRECT("I"&amp;$E$9)),IF(F290=3,AVERAGE(INDIRECT("I"&amp;$D$10):INDIRECT("I"&amp;$E$10)),IF(F290=4,AVERAGE(INDIRECT("I"&amp;$D$11):INDIRECT("I"&amp;$E$11)),IF(F290=5,AVERAGE(INDIRECT("I"&amp;$D$12):INDIRECT("I"&amp;$E$12)),IF(F290=6,AVERAGE(INDIRECT("I"&amp;$D$13):INDIRECT("I"&amp;$E$13))," "))))))</f>
        <v xml:space="preserve"> </v>
      </c>
      <c r="K290" s="242" t="str">
        <f t="shared" si="27"/>
        <v xml:space="preserve"> </v>
      </c>
      <c r="L290" s="242" t="str">
        <f t="shared" si="28"/>
        <v xml:space="preserve"> </v>
      </c>
      <c r="M290" s="242" t="str">
        <f t="shared" si="29"/>
        <v xml:space="preserve"> </v>
      </c>
    </row>
    <row r="291" spans="6:13" x14ac:dyDescent="0.2">
      <c r="F291" s="216" t="str">
        <f t="shared" si="25"/>
        <v xml:space="preserve"> </v>
      </c>
      <c r="G291" s="50"/>
      <c r="H291" s="242" t="str">
        <f ca="1">IF(F291=1,PERCENTILE(INDIRECT("g"&amp;$D$8):INDIRECT("g"&amp;$E$8),0.5),IF(F291=2,PERCENTILE(INDIRECT("g"&amp;$D$9):INDIRECT("g"&amp;$E$9),0.5),IF(F291=3,PERCENTILE(INDIRECT("g"&amp;$D$10):INDIRECT("g"&amp;$E$10),0.5),IF(F291=4,PERCENTILE(INDIRECT("g"&amp;$D$11):INDIRECT("g"&amp;$E$11),0.5),IF(F291=5,PERCENTILE(INDIRECT("g"&amp;$D$12):INDIRECT("g"&amp;$E$12),0.5),IF(F291=6,PERCENTILE(INDIRECT("g"&amp;$D$13):INDIRECT("g"&amp;$E$13),0.5)," "))))))</f>
        <v xml:space="preserve"> </v>
      </c>
      <c r="I291" s="242" t="str">
        <f t="shared" si="26"/>
        <v xml:space="preserve"> </v>
      </c>
      <c r="J291" s="242" t="str">
        <f ca="1">IF(F291=1,AVERAGE(INDIRECT("I"&amp;$D$8):INDIRECT("I"&amp;$E$8)),IF(F291=2,AVERAGE(INDIRECT("I"&amp;$D$9):INDIRECT("I"&amp;$E$9)),IF(F291=3,AVERAGE(INDIRECT("I"&amp;$D$10):INDIRECT("I"&amp;$E$10)),IF(F291=4,AVERAGE(INDIRECT("I"&amp;$D$11):INDIRECT("I"&amp;$E$11)),IF(F291=5,AVERAGE(INDIRECT("I"&amp;$D$12):INDIRECT("I"&amp;$E$12)),IF(F291=6,AVERAGE(INDIRECT("I"&amp;$D$13):INDIRECT("I"&amp;$E$13))," "))))))</f>
        <v xml:space="preserve"> </v>
      </c>
      <c r="K291" s="242" t="str">
        <f t="shared" si="27"/>
        <v xml:space="preserve"> </v>
      </c>
      <c r="L291" s="242" t="str">
        <f t="shared" si="28"/>
        <v xml:space="preserve"> </v>
      </c>
      <c r="M291" s="242" t="str">
        <f t="shared" si="29"/>
        <v xml:space="preserve"> </v>
      </c>
    </row>
    <row r="292" spans="6:13" x14ac:dyDescent="0.2">
      <c r="F292" s="216" t="str">
        <f t="shared" si="25"/>
        <v xml:space="preserve"> </v>
      </c>
      <c r="G292" s="50"/>
      <c r="H292" s="242" t="str">
        <f ca="1">IF(F292=1,PERCENTILE(INDIRECT("g"&amp;$D$8):INDIRECT("g"&amp;$E$8),0.5),IF(F292=2,PERCENTILE(INDIRECT("g"&amp;$D$9):INDIRECT("g"&amp;$E$9),0.5),IF(F292=3,PERCENTILE(INDIRECT("g"&amp;$D$10):INDIRECT("g"&amp;$E$10),0.5),IF(F292=4,PERCENTILE(INDIRECT("g"&amp;$D$11):INDIRECT("g"&amp;$E$11),0.5),IF(F292=5,PERCENTILE(INDIRECT("g"&amp;$D$12):INDIRECT("g"&amp;$E$12),0.5),IF(F292=6,PERCENTILE(INDIRECT("g"&amp;$D$13):INDIRECT("g"&amp;$E$13),0.5)," "))))))</f>
        <v xml:space="preserve"> </v>
      </c>
      <c r="I292" s="242" t="str">
        <f t="shared" si="26"/>
        <v xml:space="preserve"> </v>
      </c>
      <c r="J292" s="242" t="str">
        <f ca="1">IF(F292=1,AVERAGE(INDIRECT("I"&amp;$D$8):INDIRECT("I"&amp;$E$8)),IF(F292=2,AVERAGE(INDIRECT("I"&amp;$D$9):INDIRECT("I"&amp;$E$9)),IF(F292=3,AVERAGE(INDIRECT("I"&amp;$D$10):INDIRECT("I"&amp;$E$10)),IF(F292=4,AVERAGE(INDIRECT("I"&amp;$D$11):INDIRECT("I"&amp;$E$11)),IF(F292=5,AVERAGE(INDIRECT("I"&amp;$D$12):INDIRECT("I"&amp;$E$12)),IF(F292=6,AVERAGE(INDIRECT("I"&amp;$D$13):INDIRECT("I"&amp;$E$13))," "))))))</f>
        <v xml:space="preserve"> </v>
      </c>
      <c r="K292" s="242" t="str">
        <f t="shared" si="27"/>
        <v xml:space="preserve"> </v>
      </c>
      <c r="L292" s="242" t="str">
        <f t="shared" si="28"/>
        <v xml:space="preserve"> </v>
      </c>
      <c r="M292" s="242" t="str">
        <f t="shared" si="29"/>
        <v xml:space="preserve"> </v>
      </c>
    </row>
    <row r="293" spans="6:13" x14ac:dyDescent="0.2">
      <c r="F293" s="216" t="str">
        <f t="shared" si="25"/>
        <v xml:space="preserve"> </v>
      </c>
      <c r="G293" s="50"/>
      <c r="H293" s="242" t="str">
        <f ca="1">IF(F293=1,PERCENTILE(INDIRECT("g"&amp;$D$8):INDIRECT("g"&amp;$E$8),0.5),IF(F293=2,PERCENTILE(INDIRECT("g"&amp;$D$9):INDIRECT("g"&amp;$E$9),0.5),IF(F293=3,PERCENTILE(INDIRECT("g"&amp;$D$10):INDIRECT("g"&amp;$E$10),0.5),IF(F293=4,PERCENTILE(INDIRECT("g"&amp;$D$11):INDIRECT("g"&amp;$E$11),0.5),IF(F293=5,PERCENTILE(INDIRECT("g"&amp;$D$12):INDIRECT("g"&amp;$E$12),0.5),IF(F293=6,PERCENTILE(INDIRECT("g"&amp;$D$13):INDIRECT("g"&amp;$E$13),0.5)," "))))))</f>
        <v xml:space="preserve"> </v>
      </c>
      <c r="I293" s="242" t="str">
        <f t="shared" si="26"/>
        <v xml:space="preserve"> </v>
      </c>
      <c r="J293" s="242" t="str">
        <f ca="1">IF(F293=1,AVERAGE(INDIRECT("I"&amp;$D$8):INDIRECT("I"&amp;$E$8)),IF(F293=2,AVERAGE(INDIRECT("I"&amp;$D$9):INDIRECT("I"&amp;$E$9)),IF(F293=3,AVERAGE(INDIRECT("I"&amp;$D$10):INDIRECT("I"&amp;$E$10)),IF(F293=4,AVERAGE(INDIRECT("I"&amp;$D$11):INDIRECT("I"&amp;$E$11)),IF(F293=5,AVERAGE(INDIRECT("I"&amp;$D$12):INDIRECT("I"&amp;$E$12)),IF(F293=6,AVERAGE(INDIRECT("I"&amp;$D$13):INDIRECT("I"&amp;$E$13))," "))))))</f>
        <v xml:space="preserve"> </v>
      </c>
      <c r="K293" s="242" t="str">
        <f t="shared" si="27"/>
        <v xml:space="preserve"> </v>
      </c>
      <c r="L293" s="242" t="str">
        <f t="shared" si="28"/>
        <v xml:space="preserve"> </v>
      </c>
      <c r="M293" s="242" t="str">
        <f t="shared" si="29"/>
        <v xml:space="preserve"> </v>
      </c>
    </row>
    <row r="294" spans="6:13" x14ac:dyDescent="0.2">
      <c r="F294" s="216" t="str">
        <f t="shared" si="25"/>
        <v xml:space="preserve"> </v>
      </c>
      <c r="G294" s="50"/>
      <c r="H294" s="242" t="str">
        <f ca="1">IF(F294=1,PERCENTILE(INDIRECT("g"&amp;$D$8):INDIRECT("g"&amp;$E$8),0.5),IF(F294=2,PERCENTILE(INDIRECT("g"&amp;$D$9):INDIRECT("g"&amp;$E$9),0.5),IF(F294=3,PERCENTILE(INDIRECT("g"&amp;$D$10):INDIRECT("g"&amp;$E$10),0.5),IF(F294=4,PERCENTILE(INDIRECT("g"&amp;$D$11):INDIRECT("g"&amp;$E$11),0.5),IF(F294=5,PERCENTILE(INDIRECT("g"&amp;$D$12):INDIRECT("g"&amp;$E$12),0.5),IF(F294=6,PERCENTILE(INDIRECT("g"&amp;$D$13):INDIRECT("g"&amp;$E$13),0.5)," "))))))</f>
        <v xml:space="preserve"> </v>
      </c>
      <c r="I294" s="242" t="str">
        <f t="shared" si="26"/>
        <v xml:space="preserve"> </v>
      </c>
      <c r="J294" s="242" t="str">
        <f ca="1">IF(F294=1,AVERAGE(INDIRECT("I"&amp;$D$8):INDIRECT("I"&amp;$E$8)),IF(F294=2,AVERAGE(INDIRECT("I"&amp;$D$9):INDIRECT("I"&amp;$E$9)),IF(F294=3,AVERAGE(INDIRECT("I"&amp;$D$10):INDIRECT("I"&amp;$E$10)),IF(F294=4,AVERAGE(INDIRECT("I"&amp;$D$11):INDIRECT("I"&amp;$E$11)),IF(F294=5,AVERAGE(INDIRECT("I"&amp;$D$12):INDIRECT("I"&amp;$E$12)),IF(F294=6,AVERAGE(INDIRECT("I"&amp;$D$13):INDIRECT("I"&amp;$E$13))," "))))))</f>
        <v xml:space="preserve"> </v>
      </c>
      <c r="K294" s="242" t="str">
        <f t="shared" si="27"/>
        <v xml:space="preserve"> </v>
      </c>
      <c r="L294" s="242" t="str">
        <f t="shared" si="28"/>
        <v xml:space="preserve"> </v>
      </c>
      <c r="M294" s="242" t="str">
        <f t="shared" si="29"/>
        <v xml:space="preserve"> </v>
      </c>
    </row>
    <row r="295" spans="6:13" x14ac:dyDescent="0.2">
      <c r="F295" s="216" t="str">
        <f t="shared" si="25"/>
        <v xml:space="preserve"> </v>
      </c>
      <c r="G295" s="50"/>
      <c r="H295" s="242" t="str">
        <f ca="1">IF(F295=1,PERCENTILE(INDIRECT("g"&amp;$D$8):INDIRECT("g"&amp;$E$8),0.5),IF(F295=2,PERCENTILE(INDIRECT("g"&amp;$D$9):INDIRECT("g"&amp;$E$9),0.5),IF(F295=3,PERCENTILE(INDIRECT("g"&amp;$D$10):INDIRECT("g"&amp;$E$10),0.5),IF(F295=4,PERCENTILE(INDIRECT("g"&amp;$D$11):INDIRECT("g"&amp;$E$11),0.5),IF(F295=5,PERCENTILE(INDIRECT("g"&amp;$D$12):INDIRECT("g"&amp;$E$12),0.5),IF(F295=6,PERCENTILE(INDIRECT("g"&amp;$D$13):INDIRECT("g"&amp;$E$13),0.5)," "))))))</f>
        <v xml:space="preserve"> </v>
      </c>
      <c r="I295" s="242" t="str">
        <f t="shared" si="26"/>
        <v xml:space="preserve"> </v>
      </c>
      <c r="J295" s="242" t="str">
        <f ca="1">IF(F295=1,AVERAGE(INDIRECT("I"&amp;$D$8):INDIRECT("I"&amp;$E$8)),IF(F295=2,AVERAGE(INDIRECT("I"&amp;$D$9):INDIRECT("I"&amp;$E$9)),IF(F295=3,AVERAGE(INDIRECT("I"&amp;$D$10):INDIRECT("I"&amp;$E$10)),IF(F295=4,AVERAGE(INDIRECT("I"&amp;$D$11):INDIRECT("I"&amp;$E$11)),IF(F295=5,AVERAGE(INDIRECT("I"&amp;$D$12):INDIRECT("I"&amp;$E$12)),IF(F295=6,AVERAGE(INDIRECT("I"&amp;$D$13):INDIRECT("I"&amp;$E$13))," "))))))</f>
        <v xml:space="preserve"> </v>
      </c>
      <c r="K295" s="242" t="str">
        <f t="shared" si="27"/>
        <v xml:space="preserve"> </v>
      </c>
      <c r="L295" s="242" t="str">
        <f t="shared" si="28"/>
        <v xml:space="preserve"> </v>
      </c>
      <c r="M295" s="242" t="str">
        <f t="shared" si="29"/>
        <v xml:space="preserve"> </v>
      </c>
    </row>
    <row r="296" spans="6:13" x14ac:dyDescent="0.2">
      <c r="F296" s="216" t="str">
        <f t="shared" si="25"/>
        <v xml:space="preserve"> </v>
      </c>
      <c r="G296" s="50"/>
      <c r="H296" s="242" t="str">
        <f ca="1">IF(F296=1,PERCENTILE(INDIRECT("g"&amp;$D$8):INDIRECT("g"&amp;$E$8),0.5),IF(F296=2,PERCENTILE(INDIRECT("g"&amp;$D$9):INDIRECT("g"&amp;$E$9),0.5),IF(F296=3,PERCENTILE(INDIRECT("g"&amp;$D$10):INDIRECT("g"&amp;$E$10),0.5),IF(F296=4,PERCENTILE(INDIRECT("g"&amp;$D$11):INDIRECT("g"&amp;$E$11),0.5),IF(F296=5,PERCENTILE(INDIRECT("g"&amp;$D$12):INDIRECT("g"&amp;$E$12),0.5),IF(F296=6,PERCENTILE(INDIRECT("g"&amp;$D$13):INDIRECT("g"&amp;$E$13),0.5)," "))))))</f>
        <v xml:space="preserve"> </v>
      </c>
      <c r="I296" s="242" t="str">
        <f t="shared" si="26"/>
        <v xml:space="preserve"> </v>
      </c>
      <c r="J296" s="242" t="str">
        <f ca="1">IF(F296=1,AVERAGE(INDIRECT("I"&amp;$D$8):INDIRECT("I"&amp;$E$8)),IF(F296=2,AVERAGE(INDIRECT("I"&amp;$D$9):INDIRECT("I"&amp;$E$9)),IF(F296=3,AVERAGE(INDIRECT("I"&amp;$D$10):INDIRECT("I"&amp;$E$10)),IF(F296=4,AVERAGE(INDIRECT("I"&amp;$D$11):INDIRECT("I"&amp;$E$11)),IF(F296=5,AVERAGE(INDIRECT("I"&amp;$D$12):INDIRECT("I"&amp;$E$12)),IF(F296=6,AVERAGE(INDIRECT("I"&amp;$D$13):INDIRECT("I"&amp;$E$13))," "))))))</f>
        <v xml:space="preserve"> </v>
      </c>
      <c r="K296" s="242" t="str">
        <f t="shared" si="27"/>
        <v xml:space="preserve"> </v>
      </c>
      <c r="L296" s="242" t="str">
        <f t="shared" si="28"/>
        <v xml:space="preserve"> </v>
      </c>
      <c r="M296" s="242" t="str">
        <f t="shared" si="29"/>
        <v xml:space="preserve"> </v>
      </c>
    </row>
    <row r="297" spans="6:13" x14ac:dyDescent="0.2">
      <c r="F297" s="216" t="str">
        <f t="shared" si="25"/>
        <v xml:space="preserve"> </v>
      </c>
      <c r="G297" s="50"/>
      <c r="H297" s="242" t="str">
        <f ca="1">IF(F297=1,PERCENTILE(INDIRECT("g"&amp;$D$8):INDIRECT("g"&amp;$E$8),0.5),IF(F297=2,PERCENTILE(INDIRECT("g"&amp;$D$9):INDIRECT("g"&amp;$E$9),0.5),IF(F297=3,PERCENTILE(INDIRECT("g"&amp;$D$10):INDIRECT("g"&amp;$E$10),0.5),IF(F297=4,PERCENTILE(INDIRECT("g"&amp;$D$11):INDIRECT("g"&amp;$E$11),0.5),IF(F297=5,PERCENTILE(INDIRECT("g"&amp;$D$12):INDIRECT("g"&amp;$E$12),0.5),IF(F297=6,PERCENTILE(INDIRECT("g"&amp;$D$13):INDIRECT("g"&amp;$E$13),0.5)," "))))))</f>
        <v xml:space="preserve"> </v>
      </c>
      <c r="I297" s="242" t="str">
        <f t="shared" si="26"/>
        <v xml:space="preserve"> </v>
      </c>
      <c r="J297" s="242" t="str">
        <f ca="1">IF(F297=1,AVERAGE(INDIRECT("I"&amp;$D$8):INDIRECT("I"&amp;$E$8)),IF(F297=2,AVERAGE(INDIRECT("I"&amp;$D$9):INDIRECT("I"&amp;$E$9)),IF(F297=3,AVERAGE(INDIRECT("I"&amp;$D$10):INDIRECT("I"&amp;$E$10)),IF(F297=4,AVERAGE(INDIRECT("I"&amp;$D$11):INDIRECT("I"&amp;$E$11)),IF(F297=5,AVERAGE(INDIRECT("I"&amp;$D$12):INDIRECT("I"&amp;$E$12)),IF(F297=6,AVERAGE(INDIRECT("I"&amp;$D$13):INDIRECT("I"&amp;$E$13))," "))))))</f>
        <v xml:space="preserve"> </v>
      </c>
      <c r="K297" s="242" t="str">
        <f t="shared" si="27"/>
        <v xml:space="preserve"> </v>
      </c>
      <c r="L297" s="242" t="str">
        <f t="shared" si="28"/>
        <v xml:space="preserve"> </v>
      </c>
      <c r="M297" s="242" t="str">
        <f t="shared" si="29"/>
        <v xml:space="preserve"> </v>
      </c>
    </row>
    <row r="298" spans="6:13" x14ac:dyDescent="0.2">
      <c r="F298" s="216" t="str">
        <f t="shared" si="25"/>
        <v xml:space="preserve"> </v>
      </c>
      <c r="G298" s="50"/>
      <c r="H298" s="242" t="str">
        <f ca="1">IF(F298=1,PERCENTILE(INDIRECT("g"&amp;$D$8):INDIRECT("g"&amp;$E$8),0.5),IF(F298=2,PERCENTILE(INDIRECT("g"&amp;$D$9):INDIRECT("g"&amp;$E$9),0.5),IF(F298=3,PERCENTILE(INDIRECT("g"&amp;$D$10):INDIRECT("g"&amp;$E$10),0.5),IF(F298=4,PERCENTILE(INDIRECT("g"&amp;$D$11):INDIRECT("g"&amp;$E$11),0.5),IF(F298=5,PERCENTILE(INDIRECT("g"&amp;$D$12):INDIRECT("g"&amp;$E$12),0.5),IF(F298=6,PERCENTILE(INDIRECT("g"&amp;$D$13):INDIRECT("g"&amp;$E$13),0.5)," "))))))</f>
        <v xml:space="preserve"> </v>
      </c>
      <c r="I298" s="242" t="str">
        <f t="shared" si="26"/>
        <v xml:space="preserve"> </v>
      </c>
      <c r="J298" s="242" t="str">
        <f ca="1">IF(F298=1,AVERAGE(INDIRECT("I"&amp;$D$8):INDIRECT("I"&amp;$E$8)),IF(F298=2,AVERAGE(INDIRECT("I"&amp;$D$9):INDIRECT("I"&amp;$E$9)),IF(F298=3,AVERAGE(INDIRECT("I"&amp;$D$10):INDIRECT("I"&amp;$E$10)),IF(F298=4,AVERAGE(INDIRECT("I"&amp;$D$11):INDIRECT("I"&amp;$E$11)),IF(F298=5,AVERAGE(INDIRECT("I"&amp;$D$12):INDIRECT("I"&amp;$E$12)),IF(F298=6,AVERAGE(INDIRECT("I"&amp;$D$13):INDIRECT("I"&amp;$E$13))," "))))))</f>
        <v xml:space="preserve"> </v>
      </c>
      <c r="K298" s="242" t="str">
        <f t="shared" si="27"/>
        <v xml:space="preserve"> </v>
      </c>
      <c r="L298" s="242" t="str">
        <f t="shared" si="28"/>
        <v xml:space="preserve"> </v>
      </c>
      <c r="M298" s="242" t="str">
        <f t="shared" si="29"/>
        <v xml:space="preserve"> </v>
      </c>
    </row>
    <row r="299" spans="6:13" x14ac:dyDescent="0.2">
      <c r="F299" s="216" t="str">
        <f t="shared" si="25"/>
        <v xml:space="preserve"> </v>
      </c>
      <c r="G299" s="50"/>
      <c r="H299" s="242" t="str">
        <f ca="1">IF(F299=1,PERCENTILE(INDIRECT("g"&amp;$D$8):INDIRECT("g"&amp;$E$8),0.5),IF(F299=2,PERCENTILE(INDIRECT("g"&amp;$D$9):INDIRECT("g"&amp;$E$9),0.5),IF(F299=3,PERCENTILE(INDIRECT("g"&amp;$D$10):INDIRECT("g"&amp;$E$10),0.5),IF(F299=4,PERCENTILE(INDIRECT("g"&amp;$D$11):INDIRECT("g"&amp;$E$11),0.5),IF(F299=5,PERCENTILE(INDIRECT("g"&amp;$D$12):INDIRECT("g"&amp;$E$12),0.5),IF(F299=6,PERCENTILE(INDIRECT("g"&amp;$D$13):INDIRECT("g"&amp;$E$13),0.5)," "))))))</f>
        <v xml:space="preserve"> </v>
      </c>
      <c r="I299" s="242" t="str">
        <f t="shared" si="26"/>
        <v xml:space="preserve"> </v>
      </c>
      <c r="J299" s="242" t="str">
        <f ca="1">IF(F299=1,AVERAGE(INDIRECT("I"&amp;$D$8):INDIRECT("I"&amp;$E$8)),IF(F299=2,AVERAGE(INDIRECT("I"&amp;$D$9):INDIRECT("I"&amp;$E$9)),IF(F299=3,AVERAGE(INDIRECT("I"&amp;$D$10):INDIRECT("I"&amp;$E$10)),IF(F299=4,AVERAGE(INDIRECT("I"&amp;$D$11):INDIRECT("I"&amp;$E$11)),IF(F299=5,AVERAGE(INDIRECT("I"&amp;$D$12):INDIRECT("I"&amp;$E$12)),IF(F299=6,AVERAGE(INDIRECT("I"&amp;$D$13):INDIRECT("I"&amp;$E$13))," "))))))</f>
        <v xml:space="preserve"> </v>
      </c>
      <c r="K299" s="242" t="str">
        <f t="shared" si="27"/>
        <v xml:space="preserve"> </v>
      </c>
      <c r="L299" s="242" t="str">
        <f t="shared" si="28"/>
        <v xml:space="preserve"> </v>
      </c>
      <c r="M299" s="242" t="str">
        <f t="shared" si="29"/>
        <v xml:space="preserve"> </v>
      </c>
    </row>
    <row r="300" spans="6:13" x14ac:dyDescent="0.2">
      <c r="F300" s="216" t="str">
        <f t="shared" si="25"/>
        <v xml:space="preserve"> </v>
      </c>
      <c r="G300" s="50"/>
      <c r="H300" s="242" t="str">
        <f ca="1">IF(F300=1,PERCENTILE(INDIRECT("g"&amp;$D$8):INDIRECT("g"&amp;$E$8),0.5),IF(F300=2,PERCENTILE(INDIRECT("g"&amp;$D$9):INDIRECT("g"&amp;$E$9),0.5),IF(F300=3,PERCENTILE(INDIRECT("g"&amp;$D$10):INDIRECT("g"&amp;$E$10),0.5),IF(F300=4,PERCENTILE(INDIRECT("g"&amp;$D$11):INDIRECT("g"&amp;$E$11),0.5),IF(F300=5,PERCENTILE(INDIRECT("g"&amp;$D$12):INDIRECT("g"&amp;$E$12),0.5),IF(F300=6,PERCENTILE(INDIRECT("g"&amp;$D$13):INDIRECT("g"&amp;$E$13),0.5)," "))))))</f>
        <v xml:space="preserve"> </v>
      </c>
      <c r="I300" s="242" t="str">
        <f t="shared" si="26"/>
        <v xml:space="preserve"> </v>
      </c>
      <c r="J300" s="242" t="str">
        <f ca="1">IF(F300=1,AVERAGE(INDIRECT("I"&amp;$D$8):INDIRECT("I"&amp;$E$8)),IF(F300=2,AVERAGE(INDIRECT("I"&amp;$D$9):INDIRECT("I"&amp;$E$9)),IF(F300=3,AVERAGE(INDIRECT("I"&amp;$D$10):INDIRECT("I"&amp;$E$10)),IF(F300=4,AVERAGE(INDIRECT("I"&amp;$D$11):INDIRECT("I"&amp;$E$11)),IF(F300=5,AVERAGE(INDIRECT("I"&amp;$D$12):INDIRECT("I"&amp;$E$12)),IF(F300=6,AVERAGE(INDIRECT("I"&amp;$D$13):INDIRECT("I"&amp;$E$13))," "))))))</f>
        <v xml:space="preserve"> </v>
      </c>
      <c r="K300" s="242" t="str">
        <f t="shared" si="27"/>
        <v xml:space="preserve"> </v>
      </c>
      <c r="L300" s="242" t="str">
        <f t="shared" si="28"/>
        <v xml:space="preserve"> </v>
      </c>
      <c r="M300" s="242" t="str">
        <f t="shared" si="29"/>
        <v xml:space="preserve"> </v>
      </c>
    </row>
    <row r="301" spans="6:13" x14ac:dyDescent="0.2">
      <c r="F301" s="216" t="str">
        <f t="shared" si="25"/>
        <v xml:space="preserve"> </v>
      </c>
      <c r="G301" s="50"/>
      <c r="H301" s="242" t="str">
        <f ca="1">IF(F301=1,PERCENTILE(INDIRECT("g"&amp;$D$8):INDIRECT("g"&amp;$E$8),0.5),IF(F301=2,PERCENTILE(INDIRECT("g"&amp;$D$9):INDIRECT("g"&amp;$E$9),0.5),IF(F301=3,PERCENTILE(INDIRECT("g"&amp;$D$10):INDIRECT("g"&amp;$E$10),0.5),IF(F301=4,PERCENTILE(INDIRECT("g"&amp;$D$11):INDIRECT("g"&amp;$E$11),0.5),IF(F301=5,PERCENTILE(INDIRECT("g"&amp;$D$12):INDIRECT("g"&amp;$E$12),0.5),IF(F301=6,PERCENTILE(INDIRECT("g"&amp;$D$13):INDIRECT("g"&amp;$E$13),0.5)," "))))))</f>
        <v xml:space="preserve"> </v>
      </c>
      <c r="I301" s="242" t="str">
        <f t="shared" si="26"/>
        <v xml:space="preserve"> </v>
      </c>
      <c r="J301" s="242" t="str">
        <f ca="1">IF(F301=1,AVERAGE(INDIRECT("I"&amp;$D$8):INDIRECT("I"&amp;$E$8)),IF(F301=2,AVERAGE(INDIRECT("I"&amp;$D$9):INDIRECT("I"&amp;$E$9)),IF(F301=3,AVERAGE(INDIRECT("I"&amp;$D$10):INDIRECT("I"&amp;$E$10)),IF(F301=4,AVERAGE(INDIRECT("I"&amp;$D$11):INDIRECT("I"&amp;$E$11)),IF(F301=5,AVERAGE(INDIRECT("I"&amp;$D$12):INDIRECT("I"&amp;$E$12)),IF(F301=6,AVERAGE(INDIRECT("I"&amp;$D$13):INDIRECT("I"&amp;$E$13))," "))))))</f>
        <v xml:space="preserve"> </v>
      </c>
      <c r="K301" s="242" t="str">
        <f t="shared" si="27"/>
        <v xml:space="preserve"> </v>
      </c>
      <c r="L301" s="242" t="str">
        <f t="shared" si="28"/>
        <v xml:space="preserve"> </v>
      </c>
      <c r="M301" s="242" t="str">
        <f t="shared" si="29"/>
        <v xml:space="preserve"> </v>
      </c>
    </row>
    <row r="302" spans="6:13" x14ac:dyDescent="0.2">
      <c r="F302" s="216" t="str">
        <f t="shared" si="25"/>
        <v xml:space="preserve"> </v>
      </c>
      <c r="G302" s="50"/>
      <c r="H302" s="242" t="str">
        <f ca="1">IF(F302=1,PERCENTILE(INDIRECT("g"&amp;$D$8):INDIRECT("g"&amp;$E$8),0.5),IF(F302=2,PERCENTILE(INDIRECT("g"&amp;$D$9):INDIRECT("g"&amp;$E$9),0.5),IF(F302=3,PERCENTILE(INDIRECT("g"&amp;$D$10):INDIRECT("g"&amp;$E$10),0.5),IF(F302=4,PERCENTILE(INDIRECT("g"&amp;$D$11):INDIRECT("g"&amp;$E$11),0.5),IF(F302=5,PERCENTILE(INDIRECT("g"&amp;$D$12):INDIRECT("g"&amp;$E$12),0.5),IF(F302=6,PERCENTILE(INDIRECT("g"&amp;$D$13):INDIRECT("g"&amp;$E$13),0.5)," "))))))</f>
        <v xml:space="preserve"> </v>
      </c>
      <c r="I302" s="242" t="str">
        <f t="shared" si="26"/>
        <v xml:space="preserve"> </v>
      </c>
      <c r="J302" s="242" t="str">
        <f ca="1">IF(F302=1,AVERAGE(INDIRECT("I"&amp;$D$8):INDIRECT("I"&amp;$E$8)),IF(F302=2,AVERAGE(INDIRECT("I"&amp;$D$9):INDIRECT("I"&amp;$E$9)),IF(F302=3,AVERAGE(INDIRECT("I"&amp;$D$10):INDIRECT("I"&amp;$E$10)),IF(F302=4,AVERAGE(INDIRECT("I"&amp;$D$11):INDIRECT("I"&amp;$E$11)),IF(F302=5,AVERAGE(INDIRECT("I"&amp;$D$12):INDIRECT("I"&amp;$E$12)),IF(F302=6,AVERAGE(INDIRECT("I"&amp;$D$13):INDIRECT("I"&amp;$E$13))," "))))))</f>
        <v xml:space="preserve"> </v>
      </c>
      <c r="K302" s="242" t="str">
        <f t="shared" si="27"/>
        <v xml:space="preserve"> </v>
      </c>
      <c r="L302" s="242" t="str">
        <f t="shared" si="28"/>
        <v xml:space="preserve"> </v>
      </c>
      <c r="M302" s="242" t="str">
        <f t="shared" si="29"/>
        <v xml:space="preserve"> </v>
      </c>
    </row>
    <row r="303" spans="6:13" x14ac:dyDescent="0.2">
      <c r="F303" s="216" t="str">
        <f t="shared" si="25"/>
        <v xml:space="preserve"> </v>
      </c>
      <c r="G303" s="50"/>
      <c r="H303" s="242" t="str">
        <f ca="1">IF(F303=1,PERCENTILE(INDIRECT("g"&amp;$D$8):INDIRECT("g"&amp;$E$8),0.5),IF(F303=2,PERCENTILE(INDIRECT("g"&amp;$D$9):INDIRECT("g"&amp;$E$9),0.5),IF(F303=3,PERCENTILE(INDIRECT("g"&amp;$D$10):INDIRECT("g"&amp;$E$10),0.5),IF(F303=4,PERCENTILE(INDIRECT("g"&amp;$D$11):INDIRECT("g"&amp;$E$11),0.5),IF(F303=5,PERCENTILE(INDIRECT("g"&amp;$D$12):INDIRECT("g"&amp;$E$12),0.5),IF(F303=6,PERCENTILE(INDIRECT("g"&amp;$D$13):INDIRECT("g"&amp;$E$13),0.5)," "))))))</f>
        <v xml:space="preserve"> </v>
      </c>
      <c r="I303" s="242" t="str">
        <f t="shared" si="26"/>
        <v xml:space="preserve"> </v>
      </c>
      <c r="J303" s="242" t="str">
        <f ca="1">IF(F303=1,AVERAGE(INDIRECT("I"&amp;$D$8):INDIRECT("I"&amp;$E$8)),IF(F303=2,AVERAGE(INDIRECT("I"&amp;$D$9):INDIRECT("I"&amp;$E$9)),IF(F303=3,AVERAGE(INDIRECT("I"&amp;$D$10):INDIRECT("I"&amp;$E$10)),IF(F303=4,AVERAGE(INDIRECT("I"&amp;$D$11):INDIRECT("I"&amp;$E$11)),IF(F303=5,AVERAGE(INDIRECT("I"&amp;$D$12):INDIRECT("I"&amp;$E$12)),IF(F303=6,AVERAGE(INDIRECT("I"&amp;$D$13):INDIRECT("I"&amp;$E$13))," "))))))</f>
        <v xml:space="preserve"> </v>
      </c>
      <c r="K303" s="242" t="str">
        <f t="shared" si="27"/>
        <v xml:space="preserve"> </v>
      </c>
      <c r="L303" s="242" t="str">
        <f t="shared" si="28"/>
        <v xml:space="preserve"> </v>
      </c>
      <c r="M303" s="242" t="str">
        <f t="shared" si="29"/>
        <v xml:space="preserve"> </v>
      </c>
    </row>
    <row r="304" spans="6:13" x14ac:dyDescent="0.2">
      <c r="F304" s="216" t="str">
        <f t="shared" si="25"/>
        <v xml:space="preserve"> </v>
      </c>
      <c r="G304" s="50"/>
      <c r="H304" s="242" t="str">
        <f ca="1">IF(F304=1,PERCENTILE(INDIRECT("g"&amp;$D$8):INDIRECT("g"&amp;$E$8),0.5),IF(F304=2,PERCENTILE(INDIRECT("g"&amp;$D$9):INDIRECT("g"&amp;$E$9),0.5),IF(F304=3,PERCENTILE(INDIRECT("g"&amp;$D$10):INDIRECT("g"&amp;$E$10),0.5),IF(F304=4,PERCENTILE(INDIRECT("g"&amp;$D$11):INDIRECT("g"&amp;$E$11),0.5),IF(F304=5,PERCENTILE(INDIRECT("g"&amp;$D$12):INDIRECT("g"&amp;$E$12),0.5),IF(F304=6,PERCENTILE(INDIRECT("g"&amp;$D$13):INDIRECT("g"&amp;$E$13),0.5)," "))))))</f>
        <v xml:space="preserve"> </v>
      </c>
      <c r="I304" s="242" t="str">
        <f t="shared" si="26"/>
        <v xml:space="preserve"> </v>
      </c>
      <c r="J304" s="242" t="str">
        <f ca="1">IF(F304=1,AVERAGE(INDIRECT("I"&amp;$D$8):INDIRECT("I"&amp;$E$8)),IF(F304=2,AVERAGE(INDIRECT("I"&amp;$D$9):INDIRECT("I"&amp;$E$9)),IF(F304=3,AVERAGE(INDIRECT("I"&amp;$D$10):INDIRECT("I"&amp;$E$10)),IF(F304=4,AVERAGE(INDIRECT("I"&amp;$D$11):INDIRECT("I"&amp;$E$11)),IF(F304=5,AVERAGE(INDIRECT("I"&amp;$D$12):INDIRECT("I"&amp;$E$12)),IF(F304=6,AVERAGE(INDIRECT("I"&amp;$D$13):INDIRECT("I"&amp;$E$13))," "))))))</f>
        <v xml:space="preserve"> </v>
      </c>
      <c r="K304" s="242" t="str">
        <f t="shared" si="27"/>
        <v xml:space="preserve"> </v>
      </c>
      <c r="L304" s="242" t="str">
        <f t="shared" si="28"/>
        <v xml:space="preserve"> </v>
      </c>
      <c r="M304" s="242" t="str">
        <f t="shared" si="29"/>
        <v xml:space="preserve"> </v>
      </c>
    </row>
    <row r="305" spans="6:13" x14ac:dyDescent="0.2">
      <c r="F305" s="216" t="str">
        <f t="shared" si="25"/>
        <v xml:space="preserve"> </v>
      </c>
      <c r="G305" s="50"/>
      <c r="H305" s="242" t="str">
        <f ca="1">IF(F305=1,PERCENTILE(INDIRECT("g"&amp;$D$8):INDIRECT("g"&amp;$E$8),0.5),IF(F305=2,PERCENTILE(INDIRECT("g"&amp;$D$9):INDIRECT("g"&amp;$E$9),0.5),IF(F305=3,PERCENTILE(INDIRECT("g"&amp;$D$10):INDIRECT("g"&amp;$E$10),0.5),IF(F305=4,PERCENTILE(INDIRECT("g"&amp;$D$11):INDIRECT("g"&amp;$E$11),0.5),IF(F305=5,PERCENTILE(INDIRECT("g"&amp;$D$12):INDIRECT("g"&amp;$E$12),0.5),IF(F305=6,PERCENTILE(INDIRECT("g"&amp;$D$13):INDIRECT("g"&amp;$E$13),0.5)," "))))))</f>
        <v xml:space="preserve"> </v>
      </c>
      <c r="I305" s="242" t="str">
        <f t="shared" si="26"/>
        <v xml:space="preserve"> </v>
      </c>
      <c r="J305" s="242" t="str">
        <f ca="1">IF(F305=1,AVERAGE(INDIRECT("I"&amp;$D$8):INDIRECT("I"&amp;$E$8)),IF(F305=2,AVERAGE(INDIRECT("I"&amp;$D$9):INDIRECT("I"&amp;$E$9)),IF(F305=3,AVERAGE(INDIRECT("I"&amp;$D$10):INDIRECT("I"&amp;$E$10)),IF(F305=4,AVERAGE(INDIRECT("I"&amp;$D$11):INDIRECT("I"&amp;$E$11)),IF(F305=5,AVERAGE(INDIRECT("I"&amp;$D$12):INDIRECT("I"&amp;$E$12)),IF(F305=6,AVERAGE(INDIRECT("I"&amp;$D$13):INDIRECT("I"&amp;$E$13))," "))))))</f>
        <v xml:space="preserve"> </v>
      </c>
      <c r="K305" s="242" t="str">
        <f t="shared" si="27"/>
        <v xml:space="preserve"> </v>
      </c>
      <c r="L305" s="242" t="str">
        <f t="shared" si="28"/>
        <v xml:space="preserve"> </v>
      </c>
      <c r="M305" s="242" t="str">
        <f t="shared" si="29"/>
        <v xml:space="preserve"> </v>
      </c>
    </row>
    <row r="306" spans="6:13" x14ac:dyDescent="0.2">
      <c r="F306" s="216" t="str">
        <f t="shared" si="25"/>
        <v xml:space="preserve"> </v>
      </c>
      <c r="G306" s="50"/>
      <c r="H306" s="242" t="str">
        <f ca="1">IF(F306=1,PERCENTILE(INDIRECT("g"&amp;$D$8):INDIRECT("g"&amp;$E$8),0.5),IF(F306=2,PERCENTILE(INDIRECT("g"&amp;$D$9):INDIRECT("g"&amp;$E$9),0.5),IF(F306=3,PERCENTILE(INDIRECT("g"&amp;$D$10):INDIRECT("g"&amp;$E$10),0.5),IF(F306=4,PERCENTILE(INDIRECT("g"&amp;$D$11):INDIRECT("g"&amp;$E$11),0.5),IF(F306=5,PERCENTILE(INDIRECT("g"&amp;$D$12):INDIRECT("g"&amp;$E$12),0.5),IF(F306=6,PERCENTILE(INDIRECT("g"&amp;$D$13):INDIRECT("g"&amp;$E$13),0.5)," "))))))</f>
        <v xml:space="preserve"> </v>
      </c>
      <c r="I306" s="242" t="str">
        <f t="shared" si="26"/>
        <v xml:space="preserve"> </v>
      </c>
      <c r="J306" s="242" t="str">
        <f ca="1">IF(F306=1,AVERAGE(INDIRECT("I"&amp;$D$8):INDIRECT("I"&amp;$E$8)),IF(F306=2,AVERAGE(INDIRECT("I"&amp;$D$9):INDIRECT("I"&amp;$E$9)),IF(F306=3,AVERAGE(INDIRECT("I"&amp;$D$10):INDIRECT("I"&amp;$E$10)),IF(F306=4,AVERAGE(INDIRECT("I"&amp;$D$11):INDIRECT("I"&amp;$E$11)),IF(F306=5,AVERAGE(INDIRECT("I"&amp;$D$12):INDIRECT("I"&amp;$E$12)),IF(F306=6,AVERAGE(INDIRECT("I"&amp;$D$13):INDIRECT("I"&amp;$E$13))," "))))))</f>
        <v xml:space="preserve"> </v>
      </c>
      <c r="K306" s="242" t="str">
        <f t="shared" si="27"/>
        <v xml:space="preserve"> </v>
      </c>
      <c r="L306" s="242" t="str">
        <f t="shared" si="28"/>
        <v xml:space="preserve"> </v>
      </c>
      <c r="M306" s="242" t="str">
        <f t="shared" si="29"/>
        <v xml:space="preserve"> </v>
      </c>
    </row>
    <row r="307" spans="6:13" x14ac:dyDescent="0.2">
      <c r="F307" s="216" t="str">
        <f t="shared" si="25"/>
        <v xml:space="preserve"> </v>
      </c>
      <c r="G307" s="50"/>
      <c r="H307" s="242" t="str">
        <f ca="1">IF(F307=1,PERCENTILE(INDIRECT("g"&amp;$D$8):INDIRECT("g"&amp;$E$8),0.5),IF(F307=2,PERCENTILE(INDIRECT("g"&amp;$D$9):INDIRECT("g"&amp;$E$9),0.5),IF(F307=3,PERCENTILE(INDIRECT("g"&amp;$D$10):INDIRECT("g"&amp;$E$10),0.5),IF(F307=4,PERCENTILE(INDIRECT("g"&amp;$D$11):INDIRECT("g"&amp;$E$11),0.5),IF(F307=5,PERCENTILE(INDIRECT("g"&amp;$D$12):INDIRECT("g"&amp;$E$12),0.5),IF(F307=6,PERCENTILE(INDIRECT("g"&amp;$D$13):INDIRECT("g"&amp;$E$13),0.5)," "))))))</f>
        <v xml:space="preserve"> </v>
      </c>
      <c r="I307" s="242" t="str">
        <f t="shared" si="26"/>
        <v xml:space="preserve"> </v>
      </c>
      <c r="J307" s="242" t="str">
        <f ca="1">IF(F307=1,AVERAGE(INDIRECT("I"&amp;$D$8):INDIRECT("I"&amp;$E$8)),IF(F307=2,AVERAGE(INDIRECT("I"&amp;$D$9):INDIRECT("I"&amp;$E$9)),IF(F307=3,AVERAGE(INDIRECT("I"&amp;$D$10):INDIRECT("I"&amp;$E$10)),IF(F307=4,AVERAGE(INDIRECT("I"&amp;$D$11):INDIRECT("I"&amp;$E$11)),IF(F307=5,AVERAGE(INDIRECT("I"&amp;$D$12):INDIRECT("I"&amp;$E$12)),IF(F307=6,AVERAGE(INDIRECT("I"&amp;$D$13):INDIRECT("I"&amp;$E$13))," "))))))</f>
        <v xml:space="preserve"> </v>
      </c>
      <c r="K307" s="242" t="str">
        <f t="shared" si="27"/>
        <v xml:space="preserve"> </v>
      </c>
      <c r="L307" s="242" t="str">
        <f t="shared" si="28"/>
        <v xml:space="preserve"> </v>
      </c>
      <c r="M307" s="242" t="str">
        <f t="shared" si="29"/>
        <v xml:space="preserve"> </v>
      </c>
    </row>
    <row r="308" spans="6:13" x14ac:dyDescent="0.2">
      <c r="F308" s="216" t="str">
        <f t="shared" si="25"/>
        <v xml:space="preserve"> </v>
      </c>
      <c r="G308" s="50"/>
      <c r="H308" s="242" t="str">
        <f ca="1">IF(F308=1,PERCENTILE(INDIRECT("g"&amp;$D$8):INDIRECT("g"&amp;$E$8),0.5),IF(F308=2,PERCENTILE(INDIRECT("g"&amp;$D$9):INDIRECT("g"&amp;$E$9),0.5),IF(F308=3,PERCENTILE(INDIRECT("g"&amp;$D$10):INDIRECT("g"&amp;$E$10),0.5),IF(F308=4,PERCENTILE(INDIRECT("g"&amp;$D$11):INDIRECT("g"&amp;$E$11),0.5),IF(F308=5,PERCENTILE(INDIRECT("g"&amp;$D$12):INDIRECT("g"&amp;$E$12),0.5),IF(F308=6,PERCENTILE(INDIRECT("g"&amp;$D$13):INDIRECT("g"&amp;$E$13),0.5)," "))))))</f>
        <v xml:space="preserve"> </v>
      </c>
      <c r="I308" s="242" t="str">
        <f t="shared" si="26"/>
        <v xml:space="preserve"> </v>
      </c>
      <c r="J308" s="242" t="str">
        <f ca="1">IF(F308=1,AVERAGE(INDIRECT("I"&amp;$D$8):INDIRECT("I"&amp;$E$8)),IF(F308=2,AVERAGE(INDIRECT("I"&amp;$D$9):INDIRECT("I"&amp;$E$9)),IF(F308=3,AVERAGE(INDIRECT("I"&amp;$D$10):INDIRECT("I"&amp;$E$10)),IF(F308=4,AVERAGE(INDIRECT("I"&amp;$D$11):INDIRECT("I"&amp;$E$11)),IF(F308=5,AVERAGE(INDIRECT("I"&amp;$D$12):INDIRECT("I"&amp;$E$12)),IF(F308=6,AVERAGE(INDIRECT("I"&amp;$D$13):INDIRECT("I"&amp;$E$13))," "))))))</f>
        <v xml:space="preserve"> </v>
      </c>
      <c r="K308" s="242" t="str">
        <f t="shared" si="27"/>
        <v xml:space="preserve"> </v>
      </c>
      <c r="L308" s="242" t="str">
        <f t="shared" si="28"/>
        <v xml:space="preserve"> </v>
      </c>
      <c r="M308" s="242" t="str">
        <f t="shared" si="29"/>
        <v xml:space="preserve"> </v>
      </c>
    </row>
    <row r="309" spans="6:13" x14ac:dyDescent="0.2">
      <c r="F309" s="216" t="str">
        <f t="shared" si="25"/>
        <v xml:space="preserve"> </v>
      </c>
      <c r="G309" s="50"/>
      <c r="H309" s="242" t="str">
        <f ca="1">IF(F309=1,PERCENTILE(INDIRECT("g"&amp;$D$8):INDIRECT("g"&amp;$E$8),0.5),IF(F309=2,PERCENTILE(INDIRECT("g"&amp;$D$9):INDIRECT("g"&amp;$E$9),0.5),IF(F309=3,PERCENTILE(INDIRECT("g"&amp;$D$10):INDIRECT("g"&amp;$E$10),0.5),IF(F309=4,PERCENTILE(INDIRECT("g"&amp;$D$11):INDIRECT("g"&amp;$E$11),0.5),IF(F309=5,PERCENTILE(INDIRECT("g"&amp;$D$12):INDIRECT("g"&amp;$E$12),0.5),IF(F309=6,PERCENTILE(INDIRECT("g"&amp;$D$13):INDIRECT("g"&amp;$E$13),0.5)," "))))))</f>
        <v xml:space="preserve"> </v>
      </c>
      <c r="I309" s="242" t="str">
        <f t="shared" si="26"/>
        <v xml:space="preserve"> </v>
      </c>
      <c r="J309" s="242" t="str">
        <f ca="1">IF(F309=1,AVERAGE(INDIRECT("I"&amp;$D$8):INDIRECT("I"&amp;$E$8)),IF(F309=2,AVERAGE(INDIRECT("I"&amp;$D$9):INDIRECT("I"&amp;$E$9)),IF(F309=3,AVERAGE(INDIRECT("I"&amp;$D$10):INDIRECT("I"&amp;$E$10)),IF(F309=4,AVERAGE(INDIRECT("I"&amp;$D$11):INDIRECT("I"&amp;$E$11)),IF(F309=5,AVERAGE(INDIRECT("I"&amp;$D$12):INDIRECT("I"&amp;$E$12)),IF(F309=6,AVERAGE(INDIRECT("I"&amp;$D$13):INDIRECT("I"&amp;$E$13))," "))))))</f>
        <v xml:space="preserve"> </v>
      </c>
      <c r="K309" s="242" t="str">
        <f t="shared" si="27"/>
        <v xml:space="preserve"> </v>
      </c>
      <c r="L309" s="242" t="str">
        <f t="shared" si="28"/>
        <v xml:space="preserve"> </v>
      </c>
      <c r="M309" s="242" t="str">
        <f t="shared" si="29"/>
        <v xml:space="preserve"> </v>
      </c>
    </row>
    <row r="310" spans="6:13" x14ac:dyDescent="0.2">
      <c r="F310" s="216" t="str">
        <f t="shared" si="25"/>
        <v xml:space="preserve"> </v>
      </c>
      <c r="G310" s="50"/>
      <c r="H310" s="242" t="str">
        <f ca="1">IF(F310=1,PERCENTILE(INDIRECT("g"&amp;$D$8):INDIRECT("g"&amp;$E$8),0.5),IF(F310=2,PERCENTILE(INDIRECT("g"&amp;$D$9):INDIRECT("g"&amp;$E$9),0.5),IF(F310=3,PERCENTILE(INDIRECT("g"&amp;$D$10):INDIRECT("g"&amp;$E$10),0.5),IF(F310=4,PERCENTILE(INDIRECT("g"&amp;$D$11):INDIRECT("g"&amp;$E$11),0.5),IF(F310=5,PERCENTILE(INDIRECT("g"&amp;$D$12):INDIRECT("g"&amp;$E$12),0.5),IF(F310=6,PERCENTILE(INDIRECT("g"&amp;$D$13):INDIRECT("g"&amp;$E$13),0.5)," "))))))</f>
        <v xml:space="preserve"> </v>
      </c>
      <c r="I310" s="242" t="str">
        <f t="shared" si="26"/>
        <v xml:space="preserve"> </v>
      </c>
      <c r="J310" s="242" t="str">
        <f ca="1">IF(F310=1,AVERAGE(INDIRECT("I"&amp;$D$8):INDIRECT("I"&amp;$E$8)),IF(F310=2,AVERAGE(INDIRECT("I"&amp;$D$9):INDIRECT("I"&amp;$E$9)),IF(F310=3,AVERAGE(INDIRECT("I"&amp;$D$10):INDIRECT("I"&amp;$E$10)),IF(F310=4,AVERAGE(INDIRECT("I"&amp;$D$11):INDIRECT("I"&amp;$E$11)),IF(F310=5,AVERAGE(INDIRECT("I"&amp;$D$12):INDIRECT("I"&amp;$E$12)),IF(F310=6,AVERAGE(INDIRECT("I"&amp;$D$13):INDIRECT("I"&amp;$E$13))," "))))))</f>
        <v xml:space="preserve"> </v>
      </c>
      <c r="K310" s="242" t="str">
        <f t="shared" si="27"/>
        <v xml:space="preserve"> </v>
      </c>
      <c r="L310" s="242" t="str">
        <f t="shared" si="28"/>
        <v xml:space="preserve"> </v>
      </c>
      <c r="M310" s="242" t="str">
        <f t="shared" si="29"/>
        <v xml:space="preserve"> </v>
      </c>
    </row>
    <row r="311" spans="6:13" x14ac:dyDescent="0.2">
      <c r="F311" s="216" t="str">
        <f t="shared" si="25"/>
        <v xml:space="preserve"> </v>
      </c>
      <c r="G311" s="50"/>
      <c r="H311" s="242" t="str">
        <f ca="1">IF(F311=1,PERCENTILE(INDIRECT("g"&amp;$D$8):INDIRECT("g"&amp;$E$8),0.5),IF(F311=2,PERCENTILE(INDIRECT("g"&amp;$D$9):INDIRECT("g"&amp;$E$9),0.5),IF(F311=3,PERCENTILE(INDIRECT("g"&amp;$D$10):INDIRECT("g"&amp;$E$10),0.5),IF(F311=4,PERCENTILE(INDIRECT("g"&amp;$D$11):INDIRECT("g"&amp;$E$11),0.5),IF(F311=5,PERCENTILE(INDIRECT("g"&amp;$D$12):INDIRECT("g"&amp;$E$12),0.5),IF(F311=6,PERCENTILE(INDIRECT("g"&amp;$D$13):INDIRECT("g"&amp;$E$13),0.5)," "))))))</f>
        <v xml:space="preserve"> </v>
      </c>
      <c r="I311" s="242" t="str">
        <f t="shared" si="26"/>
        <v xml:space="preserve"> </v>
      </c>
      <c r="J311" s="242" t="str">
        <f ca="1">IF(F311=1,AVERAGE(INDIRECT("I"&amp;$D$8):INDIRECT("I"&amp;$E$8)),IF(F311=2,AVERAGE(INDIRECT("I"&amp;$D$9):INDIRECT("I"&amp;$E$9)),IF(F311=3,AVERAGE(INDIRECT("I"&amp;$D$10):INDIRECT("I"&amp;$E$10)),IF(F311=4,AVERAGE(INDIRECT("I"&amp;$D$11):INDIRECT("I"&amp;$E$11)),IF(F311=5,AVERAGE(INDIRECT("I"&amp;$D$12):INDIRECT("I"&amp;$E$12)),IF(F311=6,AVERAGE(INDIRECT("I"&amp;$D$13):INDIRECT("I"&amp;$E$13))," "))))))</f>
        <v xml:space="preserve"> </v>
      </c>
      <c r="K311" s="242" t="str">
        <f t="shared" si="27"/>
        <v xml:space="preserve"> </v>
      </c>
      <c r="L311" s="242" t="str">
        <f t="shared" si="28"/>
        <v xml:space="preserve"> </v>
      </c>
      <c r="M311" s="242" t="str">
        <f t="shared" si="29"/>
        <v xml:space="preserve"> </v>
      </c>
    </row>
    <row r="312" spans="6:13" x14ac:dyDescent="0.2">
      <c r="F312" s="216" t="str">
        <f t="shared" si="25"/>
        <v xml:space="preserve"> </v>
      </c>
      <c r="G312" s="50"/>
      <c r="H312" s="242" t="str">
        <f ca="1">IF(F312=1,PERCENTILE(INDIRECT("g"&amp;$D$8):INDIRECT("g"&amp;$E$8),0.5),IF(F312=2,PERCENTILE(INDIRECT("g"&amp;$D$9):INDIRECT("g"&amp;$E$9),0.5),IF(F312=3,PERCENTILE(INDIRECT("g"&amp;$D$10):INDIRECT("g"&amp;$E$10),0.5),IF(F312=4,PERCENTILE(INDIRECT("g"&amp;$D$11):INDIRECT("g"&amp;$E$11),0.5),IF(F312=5,PERCENTILE(INDIRECT("g"&amp;$D$12):INDIRECT("g"&amp;$E$12),0.5),IF(F312=6,PERCENTILE(INDIRECT("g"&amp;$D$13):INDIRECT("g"&amp;$E$13),0.5)," "))))))</f>
        <v xml:space="preserve"> </v>
      </c>
      <c r="I312" s="242" t="str">
        <f t="shared" si="26"/>
        <v xml:space="preserve"> </v>
      </c>
      <c r="J312" s="242" t="str">
        <f ca="1">IF(F312=1,AVERAGE(INDIRECT("I"&amp;$D$8):INDIRECT("I"&amp;$E$8)),IF(F312=2,AVERAGE(INDIRECT("I"&amp;$D$9):INDIRECT("I"&amp;$E$9)),IF(F312=3,AVERAGE(INDIRECT("I"&amp;$D$10):INDIRECT("I"&amp;$E$10)),IF(F312=4,AVERAGE(INDIRECT("I"&amp;$D$11):INDIRECT("I"&amp;$E$11)),IF(F312=5,AVERAGE(INDIRECT("I"&amp;$D$12):INDIRECT("I"&amp;$E$12)),IF(F312=6,AVERAGE(INDIRECT("I"&amp;$D$13):INDIRECT("I"&amp;$E$13))," "))))))</f>
        <v xml:space="preserve"> </v>
      </c>
      <c r="K312" s="242" t="str">
        <f t="shared" si="27"/>
        <v xml:space="preserve"> </v>
      </c>
      <c r="L312" s="242" t="str">
        <f t="shared" si="28"/>
        <v xml:space="preserve"> </v>
      </c>
      <c r="M312" s="242" t="str">
        <f t="shared" si="29"/>
        <v xml:space="preserve"> </v>
      </c>
    </row>
    <row r="313" spans="6:13" x14ac:dyDescent="0.2">
      <c r="F313" s="216" t="str">
        <f t="shared" si="25"/>
        <v xml:space="preserve"> </v>
      </c>
      <c r="G313" s="50"/>
      <c r="H313" s="242" t="str">
        <f ca="1">IF(F313=1,PERCENTILE(INDIRECT("g"&amp;$D$8):INDIRECT("g"&amp;$E$8),0.5),IF(F313=2,PERCENTILE(INDIRECT("g"&amp;$D$9):INDIRECT("g"&amp;$E$9),0.5),IF(F313=3,PERCENTILE(INDIRECT("g"&amp;$D$10):INDIRECT("g"&amp;$E$10),0.5),IF(F313=4,PERCENTILE(INDIRECT("g"&amp;$D$11):INDIRECT("g"&amp;$E$11),0.5),IF(F313=5,PERCENTILE(INDIRECT("g"&amp;$D$12):INDIRECT("g"&amp;$E$12),0.5),IF(F313=6,PERCENTILE(INDIRECT("g"&amp;$D$13):INDIRECT("g"&amp;$E$13),0.5)," "))))))</f>
        <v xml:space="preserve"> </v>
      </c>
      <c r="I313" s="242" t="str">
        <f t="shared" si="26"/>
        <v xml:space="preserve"> </v>
      </c>
      <c r="J313" s="242" t="str">
        <f ca="1">IF(F313=1,AVERAGE(INDIRECT("I"&amp;$D$8):INDIRECT("I"&amp;$E$8)),IF(F313=2,AVERAGE(INDIRECT("I"&amp;$D$9):INDIRECT("I"&amp;$E$9)),IF(F313=3,AVERAGE(INDIRECT("I"&amp;$D$10):INDIRECT("I"&amp;$E$10)),IF(F313=4,AVERAGE(INDIRECT("I"&amp;$D$11):INDIRECT("I"&amp;$E$11)),IF(F313=5,AVERAGE(INDIRECT("I"&amp;$D$12):INDIRECT("I"&amp;$E$12)),IF(F313=6,AVERAGE(INDIRECT("I"&amp;$D$13):INDIRECT("I"&amp;$E$13))," "))))))</f>
        <v xml:space="preserve"> </v>
      </c>
      <c r="K313" s="242" t="str">
        <f t="shared" si="27"/>
        <v xml:space="preserve"> </v>
      </c>
      <c r="L313" s="242" t="str">
        <f t="shared" si="28"/>
        <v xml:space="preserve"> </v>
      </c>
      <c r="M313" s="242" t="str">
        <f t="shared" si="29"/>
        <v xml:space="preserve"> </v>
      </c>
    </row>
    <row r="314" spans="6:13" x14ac:dyDescent="0.2">
      <c r="F314" s="216" t="str">
        <f t="shared" si="25"/>
        <v xml:space="preserve"> </v>
      </c>
      <c r="G314" s="50"/>
      <c r="H314" s="242" t="str">
        <f ca="1">IF(F314=1,PERCENTILE(INDIRECT("g"&amp;$D$8):INDIRECT("g"&amp;$E$8),0.5),IF(F314=2,PERCENTILE(INDIRECT("g"&amp;$D$9):INDIRECT("g"&amp;$E$9),0.5),IF(F314=3,PERCENTILE(INDIRECT("g"&amp;$D$10):INDIRECT("g"&amp;$E$10),0.5),IF(F314=4,PERCENTILE(INDIRECT("g"&amp;$D$11):INDIRECT("g"&amp;$E$11),0.5),IF(F314=5,PERCENTILE(INDIRECT("g"&amp;$D$12):INDIRECT("g"&amp;$E$12),0.5),IF(F314=6,PERCENTILE(INDIRECT("g"&amp;$D$13):INDIRECT("g"&amp;$E$13),0.5)," "))))))</f>
        <v xml:space="preserve"> </v>
      </c>
      <c r="I314" s="242" t="str">
        <f t="shared" si="26"/>
        <v xml:space="preserve"> </v>
      </c>
      <c r="J314" s="242" t="str">
        <f ca="1">IF(F314=1,AVERAGE(INDIRECT("I"&amp;$D$8):INDIRECT("I"&amp;$E$8)),IF(F314=2,AVERAGE(INDIRECT("I"&amp;$D$9):INDIRECT("I"&amp;$E$9)),IF(F314=3,AVERAGE(INDIRECT("I"&amp;$D$10):INDIRECT("I"&amp;$E$10)),IF(F314=4,AVERAGE(INDIRECT("I"&amp;$D$11):INDIRECT("I"&amp;$E$11)),IF(F314=5,AVERAGE(INDIRECT("I"&amp;$D$12):INDIRECT("I"&amp;$E$12)),IF(F314=6,AVERAGE(INDIRECT("I"&amp;$D$13):INDIRECT("I"&amp;$E$13))," "))))))</f>
        <v xml:space="preserve"> </v>
      </c>
      <c r="K314" s="242" t="str">
        <f t="shared" si="27"/>
        <v xml:space="preserve"> </v>
      </c>
      <c r="L314" s="242" t="str">
        <f t="shared" si="28"/>
        <v xml:space="preserve"> </v>
      </c>
      <c r="M314" s="242" t="str">
        <f t="shared" si="29"/>
        <v xml:space="preserve"> </v>
      </c>
    </row>
    <row r="315" spans="6:13" x14ac:dyDescent="0.2">
      <c r="F315" s="216" t="str">
        <f t="shared" si="25"/>
        <v xml:space="preserve"> </v>
      </c>
      <c r="G315" s="50"/>
      <c r="H315" s="242" t="str">
        <f ca="1">IF(F315=1,PERCENTILE(INDIRECT("g"&amp;$D$8):INDIRECT("g"&amp;$E$8),0.5),IF(F315=2,PERCENTILE(INDIRECT("g"&amp;$D$9):INDIRECT("g"&amp;$E$9),0.5),IF(F315=3,PERCENTILE(INDIRECT("g"&amp;$D$10):INDIRECT("g"&amp;$E$10),0.5),IF(F315=4,PERCENTILE(INDIRECT("g"&amp;$D$11):INDIRECT("g"&amp;$E$11),0.5),IF(F315=5,PERCENTILE(INDIRECT("g"&amp;$D$12):INDIRECT("g"&amp;$E$12),0.5),IF(F315=6,PERCENTILE(INDIRECT("g"&amp;$D$13):INDIRECT("g"&amp;$E$13),0.5)," "))))))</f>
        <v xml:space="preserve"> </v>
      </c>
      <c r="I315" s="242" t="str">
        <f t="shared" si="26"/>
        <v xml:space="preserve"> </v>
      </c>
      <c r="J315" s="242" t="str">
        <f ca="1">IF(F315=1,AVERAGE(INDIRECT("I"&amp;$D$8):INDIRECT("I"&amp;$E$8)),IF(F315=2,AVERAGE(INDIRECT("I"&amp;$D$9):INDIRECT("I"&amp;$E$9)),IF(F315=3,AVERAGE(INDIRECT("I"&amp;$D$10):INDIRECT("I"&amp;$E$10)),IF(F315=4,AVERAGE(INDIRECT("I"&amp;$D$11):INDIRECT("I"&amp;$E$11)),IF(F315=5,AVERAGE(INDIRECT("I"&amp;$D$12):INDIRECT("I"&amp;$E$12)),IF(F315=6,AVERAGE(INDIRECT("I"&amp;$D$13):INDIRECT("I"&amp;$E$13))," "))))))</f>
        <v xml:space="preserve"> </v>
      </c>
      <c r="K315" s="242" t="str">
        <f t="shared" si="27"/>
        <v xml:space="preserve"> </v>
      </c>
      <c r="L315" s="242" t="str">
        <f t="shared" si="28"/>
        <v xml:space="preserve"> </v>
      </c>
      <c r="M315" s="242" t="str">
        <f t="shared" si="29"/>
        <v xml:space="preserve"> </v>
      </c>
    </row>
    <row r="316" spans="6:13" x14ac:dyDescent="0.2">
      <c r="F316" s="216" t="str">
        <f t="shared" si="25"/>
        <v xml:space="preserve"> </v>
      </c>
      <c r="G316" s="50"/>
      <c r="H316" s="242" t="str">
        <f ca="1">IF(F316=1,PERCENTILE(INDIRECT("g"&amp;$D$8):INDIRECT("g"&amp;$E$8),0.5),IF(F316=2,PERCENTILE(INDIRECT("g"&amp;$D$9):INDIRECT("g"&amp;$E$9),0.5),IF(F316=3,PERCENTILE(INDIRECT("g"&amp;$D$10):INDIRECT("g"&amp;$E$10),0.5),IF(F316=4,PERCENTILE(INDIRECT("g"&amp;$D$11):INDIRECT("g"&amp;$E$11),0.5),IF(F316=5,PERCENTILE(INDIRECT("g"&amp;$D$12):INDIRECT("g"&amp;$E$12),0.5),IF(F316=6,PERCENTILE(INDIRECT("g"&amp;$D$13):INDIRECT("g"&amp;$E$13),0.5)," "))))))</f>
        <v xml:space="preserve"> </v>
      </c>
      <c r="I316" s="242" t="str">
        <f t="shared" si="26"/>
        <v xml:space="preserve"> </v>
      </c>
      <c r="J316" s="242" t="str">
        <f ca="1">IF(F316=1,AVERAGE(INDIRECT("I"&amp;$D$8):INDIRECT("I"&amp;$E$8)),IF(F316=2,AVERAGE(INDIRECT("I"&amp;$D$9):INDIRECT("I"&amp;$E$9)),IF(F316=3,AVERAGE(INDIRECT("I"&amp;$D$10):INDIRECT("I"&amp;$E$10)),IF(F316=4,AVERAGE(INDIRECT("I"&amp;$D$11):INDIRECT("I"&amp;$E$11)),IF(F316=5,AVERAGE(INDIRECT("I"&amp;$D$12):INDIRECT("I"&amp;$E$12)),IF(F316=6,AVERAGE(INDIRECT("I"&amp;$D$13):INDIRECT("I"&amp;$E$13))," "))))))</f>
        <v xml:space="preserve"> </v>
      </c>
      <c r="K316" s="242" t="str">
        <f t="shared" si="27"/>
        <v xml:space="preserve"> </v>
      </c>
      <c r="L316" s="242" t="str">
        <f t="shared" si="28"/>
        <v xml:space="preserve"> </v>
      </c>
      <c r="M316" s="242" t="str">
        <f t="shared" si="29"/>
        <v xml:space="preserve"> </v>
      </c>
    </row>
    <row r="317" spans="6:13" x14ac:dyDescent="0.2">
      <c r="F317" s="216" t="str">
        <f t="shared" si="25"/>
        <v xml:space="preserve"> </v>
      </c>
      <c r="G317" s="50"/>
      <c r="H317" s="242" t="str">
        <f ca="1">IF(F317=1,PERCENTILE(INDIRECT("g"&amp;$D$8):INDIRECT("g"&amp;$E$8),0.5),IF(F317=2,PERCENTILE(INDIRECT("g"&amp;$D$9):INDIRECT("g"&amp;$E$9),0.5),IF(F317=3,PERCENTILE(INDIRECT("g"&amp;$D$10):INDIRECT("g"&amp;$E$10),0.5),IF(F317=4,PERCENTILE(INDIRECT("g"&amp;$D$11):INDIRECT("g"&amp;$E$11),0.5),IF(F317=5,PERCENTILE(INDIRECT("g"&amp;$D$12):INDIRECT("g"&amp;$E$12),0.5),IF(F317=6,PERCENTILE(INDIRECT("g"&amp;$D$13):INDIRECT("g"&amp;$E$13),0.5)," "))))))</f>
        <v xml:space="preserve"> </v>
      </c>
      <c r="I317" s="242" t="str">
        <f t="shared" si="26"/>
        <v xml:space="preserve"> </v>
      </c>
      <c r="J317" s="242" t="str">
        <f ca="1">IF(F317=1,AVERAGE(INDIRECT("I"&amp;$D$8):INDIRECT("I"&amp;$E$8)),IF(F317=2,AVERAGE(INDIRECT("I"&amp;$D$9):INDIRECT("I"&amp;$E$9)),IF(F317=3,AVERAGE(INDIRECT("I"&amp;$D$10):INDIRECT("I"&amp;$E$10)),IF(F317=4,AVERAGE(INDIRECT("I"&amp;$D$11):INDIRECT("I"&amp;$E$11)),IF(F317=5,AVERAGE(INDIRECT("I"&amp;$D$12):INDIRECT("I"&amp;$E$12)),IF(F317=6,AVERAGE(INDIRECT("I"&amp;$D$13):INDIRECT("I"&amp;$E$13))," "))))))</f>
        <v xml:space="preserve"> </v>
      </c>
      <c r="K317" s="242" t="str">
        <f t="shared" si="27"/>
        <v xml:space="preserve"> </v>
      </c>
      <c r="L317" s="242" t="str">
        <f t="shared" si="28"/>
        <v xml:space="preserve"> </v>
      </c>
      <c r="M317" s="242" t="str">
        <f t="shared" si="29"/>
        <v xml:space="preserve"> </v>
      </c>
    </row>
    <row r="318" spans="6:13" x14ac:dyDescent="0.2">
      <c r="F318" s="216" t="str">
        <f t="shared" si="25"/>
        <v xml:space="preserve"> </v>
      </c>
      <c r="G318" s="50"/>
      <c r="H318" s="242" t="str">
        <f ca="1">IF(F318=1,PERCENTILE(INDIRECT("g"&amp;$D$8):INDIRECT("g"&amp;$E$8),0.5),IF(F318=2,PERCENTILE(INDIRECT("g"&amp;$D$9):INDIRECT("g"&amp;$E$9),0.5),IF(F318=3,PERCENTILE(INDIRECT("g"&amp;$D$10):INDIRECT("g"&amp;$E$10),0.5),IF(F318=4,PERCENTILE(INDIRECT("g"&amp;$D$11):INDIRECT("g"&amp;$E$11),0.5),IF(F318=5,PERCENTILE(INDIRECT("g"&amp;$D$12):INDIRECT("g"&amp;$E$12),0.5),IF(F318=6,PERCENTILE(INDIRECT("g"&amp;$D$13):INDIRECT("g"&amp;$E$13),0.5)," "))))))</f>
        <v xml:space="preserve"> </v>
      </c>
      <c r="I318" s="242" t="str">
        <f t="shared" si="26"/>
        <v xml:space="preserve"> </v>
      </c>
      <c r="J318" s="242" t="str">
        <f ca="1">IF(F318=1,AVERAGE(INDIRECT("I"&amp;$D$8):INDIRECT("I"&amp;$E$8)),IF(F318=2,AVERAGE(INDIRECT("I"&amp;$D$9):INDIRECT("I"&amp;$E$9)),IF(F318=3,AVERAGE(INDIRECT("I"&amp;$D$10):INDIRECT("I"&amp;$E$10)),IF(F318=4,AVERAGE(INDIRECT("I"&amp;$D$11):INDIRECT("I"&amp;$E$11)),IF(F318=5,AVERAGE(INDIRECT("I"&amp;$D$12):INDIRECT("I"&amp;$E$12)),IF(F318=6,AVERAGE(INDIRECT("I"&amp;$D$13):INDIRECT("I"&amp;$E$13))," "))))))</f>
        <v xml:space="preserve"> </v>
      </c>
      <c r="K318" s="242" t="str">
        <f t="shared" si="27"/>
        <v xml:space="preserve"> </v>
      </c>
      <c r="L318" s="242" t="str">
        <f t="shared" si="28"/>
        <v xml:space="preserve"> </v>
      </c>
      <c r="M318" s="242" t="str">
        <f t="shared" si="29"/>
        <v xml:space="preserve"> </v>
      </c>
    </row>
    <row r="319" spans="6:13" x14ac:dyDescent="0.2">
      <c r="F319" s="216" t="str">
        <f t="shared" si="25"/>
        <v xml:space="preserve"> </v>
      </c>
      <c r="G319" s="50"/>
      <c r="H319" s="242" t="str">
        <f ca="1">IF(F319=1,PERCENTILE(INDIRECT("g"&amp;$D$8):INDIRECT("g"&amp;$E$8),0.5),IF(F319=2,PERCENTILE(INDIRECT("g"&amp;$D$9):INDIRECT("g"&amp;$E$9),0.5),IF(F319=3,PERCENTILE(INDIRECT("g"&amp;$D$10):INDIRECT("g"&amp;$E$10),0.5),IF(F319=4,PERCENTILE(INDIRECT("g"&amp;$D$11):INDIRECT("g"&amp;$E$11),0.5),IF(F319=5,PERCENTILE(INDIRECT("g"&amp;$D$12):INDIRECT("g"&amp;$E$12),0.5),IF(F319=6,PERCENTILE(INDIRECT("g"&amp;$D$13):INDIRECT("g"&amp;$E$13),0.5)," "))))))</f>
        <v xml:space="preserve"> </v>
      </c>
      <c r="I319" s="242" t="str">
        <f t="shared" si="26"/>
        <v xml:space="preserve"> </v>
      </c>
      <c r="J319" s="242" t="str">
        <f ca="1">IF(F319=1,AVERAGE(INDIRECT("I"&amp;$D$8):INDIRECT("I"&amp;$E$8)),IF(F319=2,AVERAGE(INDIRECT("I"&amp;$D$9):INDIRECT("I"&amp;$E$9)),IF(F319=3,AVERAGE(INDIRECT("I"&amp;$D$10):INDIRECT("I"&amp;$E$10)),IF(F319=4,AVERAGE(INDIRECT("I"&amp;$D$11):INDIRECT("I"&amp;$E$11)),IF(F319=5,AVERAGE(INDIRECT("I"&amp;$D$12):INDIRECT("I"&amp;$E$12)),IF(F319=6,AVERAGE(INDIRECT("I"&amp;$D$13):INDIRECT("I"&amp;$E$13))," "))))))</f>
        <v xml:space="preserve"> </v>
      </c>
      <c r="K319" s="242" t="str">
        <f t="shared" si="27"/>
        <v xml:space="preserve"> </v>
      </c>
      <c r="L319" s="242" t="str">
        <f t="shared" si="28"/>
        <v xml:space="preserve"> </v>
      </c>
      <c r="M319" s="242" t="str">
        <f t="shared" si="29"/>
        <v xml:space="preserve"> </v>
      </c>
    </row>
    <row r="320" spans="6:13" x14ac:dyDescent="0.2">
      <c r="F320" s="216" t="str">
        <f t="shared" si="25"/>
        <v xml:space="preserve"> </v>
      </c>
      <c r="G320" s="50"/>
      <c r="H320" s="242" t="str">
        <f ca="1">IF(F320=1,PERCENTILE(INDIRECT("g"&amp;$D$8):INDIRECT("g"&amp;$E$8),0.5),IF(F320=2,PERCENTILE(INDIRECT("g"&amp;$D$9):INDIRECT("g"&amp;$E$9),0.5),IF(F320=3,PERCENTILE(INDIRECT("g"&amp;$D$10):INDIRECT("g"&amp;$E$10),0.5),IF(F320=4,PERCENTILE(INDIRECT("g"&amp;$D$11):INDIRECT("g"&amp;$E$11),0.5),IF(F320=5,PERCENTILE(INDIRECT("g"&amp;$D$12):INDIRECT("g"&amp;$E$12),0.5),IF(F320=6,PERCENTILE(INDIRECT("g"&amp;$D$13):INDIRECT("g"&amp;$E$13),0.5)," "))))))</f>
        <v xml:space="preserve"> </v>
      </c>
      <c r="I320" s="242" t="str">
        <f t="shared" si="26"/>
        <v xml:space="preserve"> </v>
      </c>
      <c r="J320" s="242" t="str">
        <f ca="1">IF(F320=1,AVERAGE(INDIRECT("I"&amp;$D$8):INDIRECT("I"&amp;$E$8)),IF(F320=2,AVERAGE(INDIRECT("I"&amp;$D$9):INDIRECT("I"&amp;$E$9)),IF(F320=3,AVERAGE(INDIRECT("I"&amp;$D$10):INDIRECT("I"&amp;$E$10)),IF(F320=4,AVERAGE(INDIRECT("I"&amp;$D$11):INDIRECT("I"&amp;$E$11)),IF(F320=5,AVERAGE(INDIRECT("I"&amp;$D$12):INDIRECT("I"&amp;$E$12)),IF(F320=6,AVERAGE(INDIRECT("I"&amp;$D$13):INDIRECT("I"&amp;$E$13))," "))))))</f>
        <v xml:space="preserve"> </v>
      </c>
      <c r="K320" s="242" t="str">
        <f t="shared" si="27"/>
        <v xml:space="preserve"> </v>
      </c>
      <c r="L320" s="242" t="str">
        <f t="shared" si="28"/>
        <v xml:space="preserve"> </v>
      </c>
      <c r="M320" s="242" t="str">
        <f t="shared" si="29"/>
        <v xml:space="preserve"> </v>
      </c>
    </row>
    <row r="321" spans="6:13" x14ac:dyDescent="0.2">
      <c r="F321" s="216" t="str">
        <f t="shared" si="25"/>
        <v xml:space="preserve"> </v>
      </c>
      <c r="G321" s="50"/>
      <c r="H321" s="242" t="str">
        <f ca="1">IF(F321=1,PERCENTILE(INDIRECT("g"&amp;$D$8):INDIRECT("g"&amp;$E$8),0.5),IF(F321=2,PERCENTILE(INDIRECT("g"&amp;$D$9):INDIRECT("g"&amp;$E$9),0.5),IF(F321=3,PERCENTILE(INDIRECT("g"&amp;$D$10):INDIRECT("g"&amp;$E$10),0.5),IF(F321=4,PERCENTILE(INDIRECT("g"&amp;$D$11):INDIRECT("g"&amp;$E$11),0.5),IF(F321=5,PERCENTILE(INDIRECT("g"&amp;$D$12):INDIRECT("g"&amp;$E$12),0.5),IF(F321=6,PERCENTILE(INDIRECT("g"&amp;$D$13):INDIRECT("g"&amp;$E$13),0.5)," "))))))</f>
        <v xml:space="preserve"> </v>
      </c>
      <c r="I321" s="242" t="str">
        <f t="shared" si="26"/>
        <v xml:space="preserve"> </v>
      </c>
      <c r="J321" s="242" t="str">
        <f ca="1">IF(F321=1,AVERAGE(INDIRECT("I"&amp;$D$8):INDIRECT("I"&amp;$E$8)),IF(F321=2,AVERAGE(INDIRECT("I"&amp;$D$9):INDIRECT("I"&amp;$E$9)),IF(F321=3,AVERAGE(INDIRECT("I"&amp;$D$10):INDIRECT("I"&amp;$E$10)),IF(F321=4,AVERAGE(INDIRECT("I"&amp;$D$11):INDIRECT("I"&amp;$E$11)),IF(F321=5,AVERAGE(INDIRECT("I"&amp;$D$12):INDIRECT("I"&amp;$E$12)),IF(F321=6,AVERAGE(INDIRECT("I"&amp;$D$13):INDIRECT("I"&amp;$E$13))," "))))))</f>
        <v xml:space="preserve"> </v>
      </c>
      <c r="K321" s="242" t="str">
        <f t="shared" si="27"/>
        <v xml:space="preserve"> </v>
      </c>
      <c r="L321" s="242" t="str">
        <f t="shared" si="28"/>
        <v xml:space="preserve"> </v>
      </c>
      <c r="M321" s="242" t="str">
        <f t="shared" si="29"/>
        <v xml:space="preserve"> </v>
      </c>
    </row>
    <row r="322" spans="6:13" x14ac:dyDescent="0.2">
      <c r="F322" s="216" t="str">
        <f t="shared" si="25"/>
        <v xml:space="preserve"> </v>
      </c>
      <c r="G322" s="50"/>
      <c r="H322" s="242" t="str">
        <f ca="1">IF(F322=1,PERCENTILE(INDIRECT("g"&amp;$D$8):INDIRECT("g"&amp;$E$8),0.5),IF(F322=2,PERCENTILE(INDIRECT("g"&amp;$D$9):INDIRECT("g"&amp;$E$9),0.5),IF(F322=3,PERCENTILE(INDIRECT("g"&amp;$D$10):INDIRECT("g"&amp;$E$10),0.5),IF(F322=4,PERCENTILE(INDIRECT("g"&amp;$D$11):INDIRECT("g"&amp;$E$11),0.5),IF(F322=5,PERCENTILE(INDIRECT("g"&amp;$D$12):INDIRECT("g"&amp;$E$12),0.5),IF(F322=6,PERCENTILE(INDIRECT("g"&amp;$D$13):INDIRECT("g"&amp;$E$13),0.5)," "))))))</f>
        <v xml:space="preserve"> </v>
      </c>
      <c r="I322" s="242" t="str">
        <f t="shared" si="26"/>
        <v xml:space="preserve"> </v>
      </c>
      <c r="J322" s="242" t="str">
        <f ca="1">IF(F322=1,AVERAGE(INDIRECT("I"&amp;$D$8):INDIRECT("I"&amp;$E$8)),IF(F322=2,AVERAGE(INDIRECT("I"&amp;$D$9):INDIRECT("I"&amp;$E$9)),IF(F322=3,AVERAGE(INDIRECT("I"&amp;$D$10):INDIRECT("I"&amp;$E$10)),IF(F322=4,AVERAGE(INDIRECT("I"&amp;$D$11):INDIRECT("I"&amp;$E$11)),IF(F322=5,AVERAGE(INDIRECT("I"&amp;$D$12):INDIRECT("I"&amp;$E$12)),IF(F322=6,AVERAGE(INDIRECT("I"&amp;$D$13):INDIRECT("I"&amp;$E$13))," "))))))</f>
        <v xml:space="preserve"> </v>
      </c>
      <c r="K322" s="242" t="str">
        <f t="shared" si="27"/>
        <v xml:space="preserve"> </v>
      </c>
      <c r="L322" s="242" t="str">
        <f t="shared" si="28"/>
        <v xml:space="preserve"> </v>
      </c>
      <c r="M322" s="242" t="str">
        <f t="shared" si="29"/>
        <v xml:space="preserve"> </v>
      </c>
    </row>
    <row r="323" spans="6:13" x14ac:dyDescent="0.2">
      <c r="F323" s="216" t="str">
        <f t="shared" si="25"/>
        <v xml:space="preserve"> </v>
      </c>
      <c r="G323" s="50"/>
      <c r="H323" s="242" t="str">
        <f ca="1">IF(F323=1,PERCENTILE(INDIRECT("g"&amp;$D$8):INDIRECT("g"&amp;$E$8),0.5),IF(F323=2,PERCENTILE(INDIRECT("g"&amp;$D$9):INDIRECT("g"&amp;$E$9),0.5),IF(F323=3,PERCENTILE(INDIRECT("g"&amp;$D$10):INDIRECT("g"&amp;$E$10),0.5),IF(F323=4,PERCENTILE(INDIRECT("g"&amp;$D$11):INDIRECT("g"&amp;$E$11),0.5),IF(F323=5,PERCENTILE(INDIRECT("g"&amp;$D$12):INDIRECT("g"&amp;$E$12),0.5),IF(F323=6,PERCENTILE(INDIRECT("g"&amp;$D$13):INDIRECT("g"&amp;$E$13),0.5)," "))))))</f>
        <v xml:space="preserve"> </v>
      </c>
      <c r="I323" s="242" t="str">
        <f t="shared" si="26"/>
        <v xml:space="preserve"> </v>
      </c>
      <c r="J323" s="242" t="str">
        <f ca="1">IF(F323=1,AVERAGE(INDIRECT("I"&amp;$D$8):INDIRECT("I"&amp;$E$8)),IF(F323=2,AVERAGE(INDIRECT("I"&amp;$D$9):INDIRECT("I"&amp;$E$9)),IF(F323=3,AVERAGE(INDIRECT("I"&amp;$D$10):INDIRECT("I"&amp;$E$10)),IF(F323=4,AVERAGE(INDIRECT("I"&amp;$D$11):INDIRECT("I"&amp;$E$11)),IF(F323=5,AVERAGE(INDIRECT("I"&amp;$D$12):INDIRECT("I"&amp;$E$12)),IF(F323=6,AVERAGE(INDIRECT("I"&amp;$D$13):INDIRECT("I"&amp;$E$13))," "))))))</f>
        <v xml:space="preserve"> </v>
      </c>
      <c r="K323" s="242" t="str">
        <f t="shared" si="27"/>
        <v xml:space="preserve"> </v>
      </c>
      <c r="L323" s="242" t="str">
        <f t="shared" si="28"/>
        <v xml:space="preserve"> </v>
      </c>
      <c r="M323" s="242" t="str">
        <f t="shared" si="29"/>
        <v xml:space="preserve"> </v>
      </c>
    </row>
    <row r="324" spans="6:13" x14ac:dyDescent="0.2">
      <c r="F324" s="216" t="str">
        <f t="shared" si="25"/>
        <v xml:space="preserve"> </v>
      </c>
      <c r="G324" s="50"/>
      <c r="H324" s="242" t="str">
        <f ca="1">IF(F324=1,PERCENTILE(INDIRECT("g"&amp;$D$8):INDIRECT("g"&amp;$E$8),0.5),IF(F324=2,PERCENTILE(INDIRECT("g"&amp;$D$9):INDIRECT("g"&amp;$E$9),0.5),IF(F324=3,PERCENTILE(INDIRECT("g"&amp;$D$10):INDIRECT("g"&amp;$E$10),0.5),IF(F324=4,PERCENTILE(INDIRECT("g"&amp;$D$11):INDIRECT("g"&amp;$E$11),0.5),IF(F324=5,PERCENTILE(INDIRECT("g"&amp;$D$12):INDIRECT("g"&amp;$E$12),0.5),IF(F324=6,PERCENTILE(INDIRECT("g"&amp;$D$13):INDIRECT("g"&amp;$E$13),0.5)," "))))))</f>
        <v xml:space="preserve"> </v>
      </c>
      <c r="I324" s="242" t="str">
        <f t="shared" si="26"/>
        <v xml:space="preserve"> </v>
      </c>
      <c r="J324" s="242" t="str">
        <f ca="1">IF(F324=1,AVERAGE(INDIRECT("I"&amp;$D$8):INDIRECT("I"&amp;$E$8)),IF(F324=2,AVERAGE(INDIRECT("I"&amp;$D$9):INDIRECT("I"&amp;$E$9)),IF(F324=3,AVERAGE(INDIRECT("I"&amp;$D$10):INDIRECT("I"&amp;$E$10)),IF(F324=4,AVERAGE(INDIRECT("I"&amp;$D$11):INDIRECT("I"&amp;$E$11)),IF(F324=5,AVERAGE(INDIRECT("I"&amp;$D$12):INDIRECT("I"&amp;$E$12)),IF(F324=6,AVERAGE(INDIRECT("I"&amp;$D$13):INDIRECT("I"&amp;$E$13))," "))))))</f>
        <v xml:space="preserve"> </v>
      </c>
      <c r="K324" s="242" t="str">
        <f t="shared" si="27"/>
        <v xml:space="preserve"> </v>
      </c>
      <c r="L324" s="242" t="str">
        <f t="shared" si="28"/>
        <v xml:space="preserve"> </v>
      </c>
      <c r="M324" s="242" t="str">
        <f t="shared" si="29"/>
        <v xml:space="preserve"> </v>
      </c>
    </row>
    <row r="325" spans="6:13" x14ac:dyDescent="0.2">
      <c r="F325" s="216" t="str">
        <f t="shared" si="25"/>
        <v xml:space="preserve"> </v>
      </c>
      <c r="G325" s="50"/>
      <c r="H325" s="242" t="str">
        <f ca="1">IF(F325=1,PERCENTILE(INDIRECT("g"&amp;$D$8):INDIRECT("g"&amp;$E$8),0.5),IF(F325=2,PERCENTILE(INDIRECT("g"&amp;$D$9):INDIRECT("g"&amp;$E$9),0.5),IF(F325=3,PERCENTILE(INDIRECT("g"&amp;$D$10):INDIRECT("g"&amp;$E$10),0.5),IF(F325=4,PERCENTILE(INDIRECT("g"&amp;$D$11):INDIRECT("g"&amp;$E$11),0.5),IF(F325=5,PERCENTILE(INDIRECT("g"&amp;$D$12):INDIRECT("g"&amp;$E$12),0.5),IF(F325=6,PERCENTILE(INDIRECT("g"&amp;$D$13):INDIRECT("g"&amp;$E$13),0.5)," "))))))</f>
        <v xml:space="preserve"> </v>
      </c>
      <c r="I325" s="242" t="str">
        <f t="shared" si="26"/>
        <v xml:space="preserve"> </v>
      </c>
      <c r="J325" s="242" t="str">
        <f ca="1">IF(F325=1,AVERAGE(INDIRECT("I"&amp;$D$8):INDIRECT("I"&amp;$E$8)),IF(F325=2,AVERAGE(INDIRECT("I"&amp;$D$9):INDIRECT("I"&amp;$E$9)),IF(F325=3,AVERAGE(INDIRECT("I"&amp;$D$10):INDIRECT("I"&amp;$E$10)),IF(F325=4,AVERAGE(INDIRECT("I"&amp;$D$11):INDIRECT("I"&amp;$E$11)),IF(F325=5,AVERAGE(INDIRECT("I"&amp;$D$12):INDIRECT("I"&amp;$E$12)),IF(F325=6,AVERAGE(INDIRECT("I"&amp;$D$13):INDIRECT("I"&amp;$E$13))," "))))))</f>
        <v xml:space="preserve"> </v>
      </c>
      <c r="K325" s="242" t="str">
        <f t="shared" si="27"/>
        <v xml:space="preserve"> </v>
      </c>
      <c r="L325" s="242" t="str">
        <f t="shared" si="28"/>
        <v xml:space="preserve"> </v>
      </c>
      <c r="M325" s="242" t="str">
        <f t="shared" si="29"/>
        <v xml:space="preserve"> </v>
      </c>
    </row>
    <row r="326" spans="6:13" x14ac:dyDescent="0.2">
      <c r="F326" s="216" t="str">
        <f t="shared" ref="F326:F389" si="30">IF(AND(ROW()&gt;=$D$8,ROW()&lt;=$E$8),1,IF(AND(ROW()&gt;=$D$9,ROW()&lt;=$E$9),2,IF(AND(ROW()&gt;=$D$10,ROW()&lt;=$E$10),3,IF(AND(ROW()&gt;=$D$11,ROW()&lt;=$E$11),4,IF(AND(ROW()&gt;=$D$12,ROW()&lt;=$E$12),5,IF(AND(ROW()&gt;=$D$13,ROW()&lt;=$E$13),6," "))))))</f>
        <v xml:space="preserve"> </v>
      </c>
      <c r="G326" s="50"/>
      <c r="H326" s="242" t="str">
        <f ca="1">IF(F326=1,PERCENTILE(INDIRECT("g"&amp;$D$8):INDIRECT("g"&amp;$E$8),0.5),IF(F326=2,PERCENTILE(INDIRECT("g"&amp;$D$9):INDIRECT("g"&amp;$E$9),0.5),IF(F326=3,PERCENTILE(INDIRECT("g"&amp;$D$10):INDIRECT("g"&amp;$E$10),0.5),IF(F326=4,PERCENTILE(INDIRECT("g"&amp;$D$11):INDIRECT("g"&amp;$E$11),0.5),IF(F326=5,PERCENTILE(INDIRECT("g"&amp;$D$12):INDIRECT("g"&amp;$E$12),0.5),IF(F326=6,PERCENTILE(INDIRECT("g"&amp;$D$13):INDIRECT("g"&amp;$E$13),0.5)," "))))))</f>
        <v xml:space="preserve"> </v>
      </c>
      <c r="I326" s="242" t="str">
        <f t="shared" ref="I326:I389" si="31">IF(ROW()&lt;=MAX($E$8:$E$13),ABS(G326-H326)," ")</f>
        <v xml:space="preserve"> </v>
      </c>
      <c r="J326" s="242" t="str">
        <f ca="1">IF(F326=1,AVERAGE(INDIRECT("I"&amp;$D$8):INDIRECT("I"&amp;$E$8)),IF(F326=2,AVERAGE(INDIRECT("I"&amp;$D$9):INDIRECT("I"&amp;$E$9)),IF(F326=3,AVERAGE(INDIRECT("I"&amp;$D$10):INDIRECT("I"&amp;$E$10)),IF(F326=4,AVERAGE(INDIRECT("I"&amp;$D$11):INDIRECT("I"&amp;$E$11)),IF(F326=5,AVERAGE(INDIRECT("I"&amp;$D$12):INDIRECT("I"&amp;$E$12)),IF(F326=6,AVERAGE(INDIRECT("I"&amp;$D$13):INDIRECT("I"&amp;$E$13))," "))))))</f>
        <v xml:space="preserve"> </v>
      </c>
      <c r="K326" s="242" t="str">
        <f t="shared" ref="K326:K389" si="32">IF(ROW()&lt;=MAX($E$8:$E$13),AVERAGE($I$6:$I$1005)," ")</f>
        <v xml:space="preserve"> </v>
      </c>
      <c r="L326" s="242" t="str">
        <f t="shared" ref="L326:L389" si="33">IF(ROW()&lt;=MAX($E$8:$E$13),(I326-J326)^2," ")</f>
        <v xml:space="preserve"> </v>
      </c>
      <c r="M326" s="242" t="str">
        <f t="shared" ref="M326:M389" si="34">IF(ROW()&lt;=MAX($E$8:$E$13),(J326-K326)^2," ")</f>
        <v xml:space="preserve"> </v>
      </c>
    </row>
    <row r="327" spans="6:13" x14ac:dyDescent="0.2">
      <c r="F327" s="216" t="str">
        <f t="shared" si="30"/>
        <v xml:space="preserve"> </v>
      </c>
      <c r="G327" s="50"/>
      <c r="H327" s="242" t="str">
        <f ca="1">IF(F327=1,PERCENTILE(INDIRECT("g"&amp;$D$8):INDIRECT("g"&amp;$E$8),0.5),IF(F327=2,PERCENTILE(INDIRECT("g"&amp;$D$9):INDIRECT("g"&amp;$E$9),0.5),IF(F327=3,PERCENTILE(INDIRECT("g"&amp;$D$10):INDIRECT("g"&amp;$E$10),0.5),IF(F327=4,PERCENTILE(INDIRECT("g"&amp;$D$11):INDIRECT("g"&amp;$E$11),0.5),IF(F327=5,PERCENTILE(INDIRECT("g"&amp;$D$12):INDIRECT("g"&amp;$E$12),0.5),IF(F327=6,PERCENTILE(INDIRECT("g"&amp;$D$13):INDIRECT("g"&amp;$E$13),0.5)," "))))))</f>
        <v xml:space="preserve"> </v>
      </c>
      <c r="I327" s="242" t="str">
        <f t="shared" si="31"/>
        <v xml:space="preserve"> </v>
      </c>
      <c r="J327" s="242" t="str">
        <f ca="1">IF(F327=1,AVERAGE(INDIRECT("I"&amp;$D$8):INDIRECT("I"&amp;$E$8)),IF(F327=2,AVERAGE(INDIRECT("I"&amp;$D$9):INDIRECT("I"&amp;$E$9)),IF(F327=3,AVERAGE(INDIRECT("I"&amp;$D$10):INDIRECT("I"&amp;$E$10)),IF(F327=4,AVERAGE(INDIRECT("I"&amp;$D$11):INDIRECT("I"&amp;$E$11)),IF(F327=5,AVERAGE(INDIRECT("I"&amp;$D$12):INDIRECT("I"&amp;$E$12)),IF(F327=6,AVERAGE(INDIRECT("I"&amp;$D$13):INDIRECT("I"&amp;$E$13))," "))))))</f>
        <v xml:space="preserve"> </v>
      </c>
      <c r="K327" s="242" t="str">
        <f t="shared" si="32"/>
        <v xml:space="preserve"> </v>
      </c>
      <c r="L327" s="242" t="str">
        <f t="shared" si="33"/>
        <v xml:space="preserve"> </v>
      </c>
      <c r="M327" s="242" t="str">
        <f t="shared" si="34"/>
        <v xml:space="preserve"> </v>
      </c>
    </row>
    <row r="328" spans="6:13" x14ac:dyDescent="0.2">
      <c r="F328" s="216" t="str">
        <f t="shared" si="30"/>
        <v xml:space="preserve"> </v>
      </c>
      <c r="G328" s="50"/>
      <c r="H328" s="242" t="str">
        <f ca="1">IF(F328=1,PERCENTILE(INDIRECT("g"&amp;$D$8):INDIRECT("g"&amp;$E$8),0.5),IF(F328=2,PERCENTILE(INDIRECT("g"&amp;$D$9):INDIRECT("g"&amp;$E$9),0.5),IF(F328=3,PERCENTILE(INDIRECT("g"&amp;$D$10):INDIRECT("g"&amp;$E$10),0.5),IF(F328=4,PERCENTILE(INDIRECT("g"&amp;$D$11):INDIRECT("g"&amp;$E$11),0.5),IF(F328=5,PERCENTILE(INDIRECT("g"&amp;$D$12):INDIRECT("g"&amp;$E$12),0.5),IF(F328=6,PERCENTILE(INDIRECT("g"&amp;$D$13):INDIRECT("g"&amp;$E$13),0.5)," "))))))</f>
        <v xml:space="preserve"> </v>
      </c>
      <c r="I328" s="242" t="str">
        <f t="shared" si="31"/>
        <v xml:space="preserve"> </v>
      </c>
      <c r="J328" s="242" t="str">
        <f ca="1">IF(F328=1,AVERAGE(INDIRECT("I"&amp;$D$8):INDIRECT("I"&amp;$E$8)),IF(F328=2,AVERAGE(INDIRECT("I"&amp;$D$9):INDIRECT("I"&amp;$E$9)),IF(F328=3,AVERAGE(INDIRECT("I"&amp;$D$10):INDIRECT("I"&amp;$E$10)),IF(F328=4,AVERAGE(INDIRECT("I"&amp;$D$11):INDIRECT("I"&amp;$E$11)),IF(F328=5,AVERAGE(INDIRECT("I"&amp;$D$12):INDIRECT("I"&amp;$E$12)),IF(F328=6,AVERAGE(INDIRECT("I"&amp;$D$13):INDIRECT("I"&amp;$E$13))," "))))))</f>
        <v xml:space="preserve"> </v>
      </c>
      <c r="K328" s="242" t="str">
        <f t="shared" si="32"/>
        <v xml:space="preserve"> </v>
      </c>
      <c r="L328" s="242" t="str">
        <f t="shared" si="33"/>
        <v xml:space="preserve"> </v>
      </c>
      <c r="M328" s="242" t="str">
        <f t="shared" si="34"/>
        <v xml:space="preserve"> </v>
      </c>
    </row>
    <row r="329" spans="6:13" x14ac:dyDescent="0.2">
      <c r="F329" s="216" t="str">
        <f t="shared" si="30"/>
        <v xml:space="preserve"> </v>
      </c>
      <c r="G329" s="50"/>
      <c r="H329" s="242" t="str">
        <f ca="1">IF(F329=1,PERCENTILE(INDIRECT("g"&amp;$D$8):INDIRECT("g"&amp;$E$8),0.5),IF(F329=2,PERCENTILE(INDIRECT("g"&amp;$D$9):INDIRECT("g"&amp;$E$9),0.5),IF(F329=3,PERCENTILE(INDIRECT("g"&amp;$D$10):INDIRECT("g"&amp;$E$10),0.5),IF(F329=4,PERCENTILE(INDIRECT("g"&amp;$D$11):INDIRECT("g"&amp;$E$11),0.5),IF(F329=5,PERCENTILE(INDIRECT("g"&amp;$D$12):INDIRECT("g"&amp;$E$12),0.5),IF(F329=6,PERCENTILE(INDIRECT("g"&amp;$D$13):INDIRECT("g"&amp;$E$13),0.5)," "))))))</f>
        <v xml:space="preserve"> </v>
      </c>
      <c r="I329" s="242" t="str">
        <f t="shared" si="31"/>
        <v xml:space="preserve"> </v>
      </c>
      <c r="J329" s="242" t="str">
        <f ca="1">IF(F329=1,AVERAGE(INDIRECT("I"&amp;$D$8):INDIRECT("I"&amp;$E$8)),IF(F329=2,AVERAGE(INDIRECT("I"&amp;$D$9):INDIRECT("I"&amp;$E$9)),IF(F329=3,AVERAGE(INDIRECT("I"&amp;$D$10):INDIRECT("I"&amp;$E$10)),IF(F329=4,AVERAGE(INDIRECT("I"&amp;$D$11):INDIRECT("I"&amp;$E$11)),IF(F329=5,AVERAGE(INDIRECT("I"&amp;$D$12):INDIRECT("I"&amp;$E$12)),IF(F329=6,AVERAGE(INDIRECT("I"&amp;$D$13):INDIRECT("I"&amp;$E$13))," "))))))</f>
        <v xml:space="preserve"> </v>
      </c>
      <c r="K329" s="242" t="str">
        <f t="shared" si="32"/>
        <v xml:space="preserve"> </v>
      </c>
      <c r="L329" s="242" t="str">
        <f t="shared" si="33"/>
        <v xml:space="preserve"> </v>
      </c>
      <c r="M329" s="242" t="str">
        <f t="shared" si="34"/>
        <v xml:space="preserve"> </v>
      </c>
    </row>
    <row r="330" spans="6:13" x14ac:dyDescent="0.2">
      <c r="F330" s="216" t="str">
        <f t="shared" si="30"/>
        <v xml:space="preserve"> </v>
      </c>
      <c r="G330" s="50"/>
      <c r="H330" s="242" t="str">
        <f ca="1">IF(F330=1,PERCENTILE(INDIRECT("g"&amp;$D$8):INDIRECT("g"&amp;$E$8),0.5),IF(F330=2,PERCENTILE(INDIRECT("g"&amp;$D$9):INDIRECT("g"&amp;$E$9),0.5),IF(F330=3,PERCENTILE(INDIRECT("g"&amp;$D$10):INDIRECT("g"&amp;$E$10),0.5),IF(F330=4,PERCENTILE(INDIRECT("g"&amp;$D$11):INDIRECT("g"&amp;$E$11),0.5),IF(F330=5,PERCENTILE(INDIRECT("g"&amp;$D$12):INDIRECT("g"&amp;$E$12),0.5),IF(F330=6,PERCENTILE(INDIRECT("g"&amp;$D$13):INDIRECT("g"&amp;$E$13),0.5)," "))))))</f>
        <v xml:space="preserve"> </v>
      </c>
      <c r="I330" s="242" t="str">
        <f t="shared" si="31"/>
        <v xml:space="preserve"> </v>
      </c>
      <c r="J330" s="242" t="str">
        <f ca="1">IF(F330=1,AVERAGE(INDIRECT("I"&amp;$D$8):INDIRECT("I"&amp;$E$8)),IF(F330=2,AVERAGE(INDIRECT("I"&amp;$D$9):INDIRECT("I"&amp;$E$9)),IF(F330=3,AVERAGE(INDIRECT("I"&amp;$D$10):INDIRECT("I"&amp;$E$10)),IF(F330=4,AVERAGE(INDIRECT("I"&amp;$D$11):INDIRECT("I"&amp;$E$11)),IF(F330=5,AVERAGE(INDIRECT("I"&amp;$D$12):INDIRECT("I"&amp;$E$12)),IF(F330=6,AVERAGE(INDIRECT("I"&amp;$D$13):INDIRECT("I"&amp;$E$13))," "))))))</f>
        <v xml:space="preserve"> </v>
      </c>
      <c r="K330" s="242" t="str">
        <f t="shared" si="32"/>
        <v xml:space="preserve"> </v>
      </c>
      <c r="L330" s="242" t="str">
        <f t="shared" si="33"/>
        <v xml:space="preserve"> </v>
      </c>
      <c r="M330" s="242" t="str">
        <f t="shared" si="34"/>
        <v xml:space="preserve"> </v>
      </c>
    </row>
    <row r="331" spans="6:13" x14ac:dyDescent="0.2">
      <c r="F331" s="216" t="str">
        <f t="shared" si="30"/>
        <v xml:space="preserve"> </v>
      </c>
      <c r="G331" s="50"/>
      <c r="H331" s="242" t="str">
        <f ca="1">IF(F331=1,PERCENTILE(INDIRECT("g"&amp;$D$8):INDIRECT("g"&amp;$E$8),0.5),IF(F331=2,PERCENTILE(INDIRECT("g"&amp;$D$9):INDIRECT("g"&amp;$E$9),0.5),IF(F331=3,PERCENTILE(INDIRECT("g"&amp;$D$10):INDIRECT("g"&amp;$E$10),0.5),IF(F331=4,PERCENTILE(INDIRECT("g"&amp;$D$11):INDIRECT("g"&amp;$E$11),0.5),IF(F331=5,PERCENTILE(INDIRECT("g"&amp;$D$12):INDIRECT("g"&amp;$E$12),0.5),IF(F331=6,PERCENTILE(INDIRECT("g"&amp;$D$13):INDIRECT("g"&amp;$E$13),0.5)," "))))))</f>
        <v xml:space="preserve"> </v>
      </c>
      <c r="I331" s="242" t="str">
        <f t="shared" si="31"/>
        <v xml:space="preserve"> </v>
      </c>
      <c r="J331" s="242" t="str">
        <f ca="1">IF(F331=1,AVERAGE(INDIRECT("I"&amp;$D$8):INDIRECT("I"&amp;$E$8)),IF(F331=2,AVERAGE(INDIRECT("I"&amp;$D$9):INDIRECT("I"&amp;$E$9)),IF(F331=3,AVERAGE(INDIRECT("I"&amp;$D$10):INDIRECT("I"&amp;$E$10)),IF(F331=4,AVERAGE(INDIRECT("I"&amp;$D$11):INDIRECT("I"&amp;$E$11)),IF(F331=5,AVERAGE(INDIRECT("I"&amp;$D$12):INDIRECT("I"&amp;$E$12)),IF(F331=6,AVERAGE(INDIRECT("I"&amp;$D$13):INDIRECT("I"&amp;$E$13))," "))))))</f>
        <v xml:space="preserve"> </v>
      </c>
      <c r="K331" s="242" t="str">
        <f t="shared" si="32"/>
        <v xml:space="preserve"> </v>
      </c>
      <c r="L331" s="242" t="str">
        <f t="shared" si="33"/>
        <v xml:space="preserve"> </v>
      </c>
      <c r="M331" s="242" t="str">
        <f t="shared" si="34"/>
        <v xml:space="preserve"> </v>
      </c>
    </row>
    <row r="332" spans="6:13" x14ac:dyDescent="0.2">
      <c r="F332" s="216" t="str">
        <f t="shared" si="30"/>
        <v xml:space="preserve"> </v>
      </c>
      <c r="G332" s="50"/>
      <c r="H332" s="242" t="str">
        <f ca="1">IF(F332=1,PERCENTILE(INDIRECT("g"&amp;$D$8):INDIRECT("g"&amp;$E$8),0.5),IF(F332=2,PERCENTILE(INDIRECT("g"&amp;$D$9):INDIRECT("g"&amp;$E$9),0.5),IF(F332=3,PERCENTILE(INDIRECT("g"&amp;$D$10):INDIRECT("g"&amp;$E$10),0.5),IF(F332=4,PERCENTILE(INDIRECT("g"&amp;$D$11):INDIRECT("g"&amp;$E$11),0.5),IF(F332=5,PERCENTILE(INDIRECT("g"&amp;$D$12):INDIRECT("g"&amp;$E$12),0.5),IF(F332=6,PERCENTILE(INDIRECT("g"&amp;$D$13):INDIRECT("g"&amp;$E$13),0.5)," "))))))</f>
        <v xml:space="preserve"> </v>
      </c>
      <c r="I332" s="242" t="str">
        <f t="shared" si="31"/>
        <v xml:space="preserve"> </v>
      </c>
      <c r="J332" s="242" t="str">
        <f ca="1">IF(F332=1,AVERAGE(INDIRECT("I"&amp;$D$8):INDIRECT("I"&amp;$E$8)),IF(F332=2,AVERAGE(INDIRECT("I"&amp;$D$9):INDIRECT("I"&amp;$E$9)),IF(F332=3,AVERAGE(INDIRECT("I"&amp;$D$10):INDIRECT("I"&amp;$E$10)),IF(F332=4,AVERAGE(INDIRECT("I"&amp;$D$11):INDIRECT("I"&amp;$E$11)),IF(F332=5,AVERAGE(INDIRECT("I"&amp;$D$12):INDIRECT("I"&amp;$E$12)),IF(F332=6,AVERAGE(INDIRECT("I"&amp;$D$13):INDIRECT("I"&amp;$E$13))," "))))))</f>
        <v xml:space="preserve"> </v>
      </c>
      <c r="K332" s="242" t="str">
        <f t="shared" si="32"/>
        <v xml:space="preserve"> </v>
      </c>
      <c r="L332" s="242" t="str">
        <f t="shared" si="33"/>
        <v xml:space="preserve"> </v>
      </c>
      <c r="M332" s="242" t="str">
        <f t="shared" si="34"/>
        <v xml:space="preserve"> </v>
      </c>
    </row>
    <row r="333" spans="6:13" x14ac:dyDescent="0.2">
      <c r="F333" s="216" t="str">
        <f t="shared" si="30"/>
        <v xml:space="preserve"> </v>
      </c>
      <c r="G333" s="50"/>
      <c r="H333" s="242" t="str">
        <f ca="1">IF(F333=1,PERCENTILE(INDIRECT("g"&amp;$D$8):INDIRECT("g"&amp;$E$8),0.5),IF(F333=2,PERCENTILE(INDIRECT("g"&amp;$D$9):INDIRECT("g"&amp;$E$9),0.5),IF(F333=3,PERCENTILE(INDIRECT("g"&amp;$D$10):INDIRECT("g"&amp;$E$10),0.5),IF(F333=4,PERCENTILE(INDIRECT("g"&amp;$D$11):INDIRECT("g"&amp;$E$11),0.5),IF(F333=5,PERCENTILE(INDIRECT("g"&amp;$D$12):INDIRECT("g"&amp;$E$12),0.5),IF(F333=6,PERCENTILE(INDIRECT("g"&amp;$D$13):INDIRECT("g"&amp;$E$13),0.5)," "))))))</f>
        <v xml:space="preserve"> </v>
      </c>
      <c r="I333" s="242" t="str">
        <f t="shared" si="31"/>
        <v xml:space="preserve"> </v>
      </c>
      <c r="J333" s="242" t="str">
        <f ca="1">IF(F333=1,AVERAGE(INDIRECT("I"&amp;$D$8):INDIRECT("I"&amp;$E$8)),IF(F333=2,AVERAGE(INDIRECT("I"&amp;$D$9):INDIRECT("I"&amp;$E$9)),IF(F333=3,AVERAGE(INDIRECT("I"&amp;$D$10):INDIRECT("I"&amp;$E$10)),IF(F333=4,AVERAGE(INDIRECT("I"&amp;$D$11):INDIRECT("I"&amp;$E$11)),IF(F333=5,AVERAGE(INDIRECT("I"&amp;$D$12):INDIRECT("I"&amp;$E$12)),IF(F333=6,AVERAGE(INDIRECT("I"&amp;$D$13):INDIRECT("I"&amp;$E$13))," "))))))</f>
        <v xml:space="preserve"> </v>
      </c>
      <c r="K333" s="242" t="str">
        <f t="shared" si="32"/>
        <v xml:space="preserve"> </v>
      </c>
      <c r="L333" s="242" t="str">
        <f t="shared" si="33"/>
        <v xml:space="preserve"> </v>
      </c>
      <c r="M333" s="242" t="str">
        <f t="shared" si="34"/>
        <v xml:space="preserve"> </v>
      </c>
    </row>
    <row r="334" spans="6:13" x14ac:dyDescent="0.2">
      <c r="F334" s="216" t="str">
        <f t="shared" si="30"/>
        <v xml:space="preserve"> </v>
      </c>
      <c r="G334" s="50"/>
      <c r="H334" s="242" t="str">
        <f ca="1">IF(F334=1,PERCENTILE(INDIRECT("g"&amp;$D$8):INDIRECT("g"&amp;$E$8),0.5),IF(F334=2,PERCENTILE(INDIRECT("g"&amp;$D$9):INDIRECT("g"&amp;$E$9),0.5),IF(F334=3,PERCENTILE(INDIRECT("g"&amp;$D$10):INDIRECT("g"&amp;$E$10),0.5),IF(F334=4,PERCENTILE(INDIRECT("g"&amp;$D$11):INDIRECT("g"&amp;$E$11),0.5),IF(F334=5,PERCENTILE(INDIRECT("g"&amp;$D$12):INDIRECT("g"&amp;$E$12),0.5),IF(F334=6,PERCENTILE(INDIRECT("g"&amp;$D$13):INDIRECT("g"&amp;$E$13),0.5)," "))))))</f>
        <v xml:space="preserve"> </v>
      </c>
      <c r="I334" s="242" t="str">
        <f t="shared" si="31"/>
        <v xml:space="preserve"> </v>
      </c>
      <c r="J334" s="242" t="str">
        <f ca="1">IF(F334=1,AVERAGE(INDIRECT("I"&amp;$D$8):INDIRECT("I"&amp;$E$8)),IF(F334=2,AVERAGE(INDIRECT("I"&amp;$D$9):INDIRECT("I"&amp;$E$9)),IF(F334=3,AVERAGE(INDIRECT("I"&amp;$D$10):INDIRECT("I"&amp;$E$10)),IF(F334=4,AVERAGE(INDIRECT("I"&amp;$D$11):INDIRECT("I"&amp;$E$11)),IF(F334=5,AVERAGE(INDIRECT("I"&amp;$D$12):INDIRECT("I"&amp;$E$12)),IF(F334=6,AVERAGE(INDIRECT("I"&amp;$D$13):INDIRECT("I"&amp;$E$13))," "))))))</f>
        <v xml:space="preserve"> </v>
      </c>
      <c r="K334" s="242" t="str">
        <f t="shared" si="32"/>
        <v xml:space="preserve"> </v>
      </c>
      <c r="L334" s="242" t="str">
        <f t="shared" si="33"/>
        <v xml:space="preserve"> </v>
      </c>
      <c r="M334" s="242" t="str">
        <f t="shared" si="34"/>
        <v xml:space="preserve"> </v>
      </c>
    </row>
    <row r="335" spans="6:13" x14ac:dyDescent="0.2">
      <c r="F335" s="216" t="str">
        <f t="shared" si="30"/>
        <v xml:space="preserve"> </v>
      </c>
      <c r="G335" s="50"/>
      <c r="H335" s="242" t="str">
        <f ca="1">IF(F335=1,PERCENTILE(INDIRECT("g"&amp;$D$8):INDIRECT("g"&amp;$E$8),0.5),IF(F335=2,PERCENTILE(INDIRECT("g"&amp;$D$9):INDIRECT("g"&amp;$E$9),0.5),IF(F335=3,PERCENTILE(INDIRECT("g"&amp;$D$10):INDIRECT("g"&amp;$E$10),0.5),IF(F335=4,PERCENTILE(INDIRECT("g"&amp;$D$11):INDIRECT("g"&amp;$E$11),0.5),IF(F335=5,PERCENTILE(INDIRECT("g"&amp;$D$12):INDIRECT("g"&amp;$E$12),0.5),IF(F335=6,PERCENTILE(INDIRECT("g"&amp;$D$13):INDIRECT("g"&amp;$E$13),0.5)," "))))))</f>
        <v xml:space="preserve"> </v>
      </c>
      <c r="I335" s="242" t="str">
        <f t="shared" si="31"/>
        <v xml:space="preserve"> </v>
      </c>
      <c r="J335" s="242" t="str">
        <f ca="1">IF(F335=1,AVERAGE(INDIRECT("I"&amp;$D$8):INDIRECT("I"&amp;$E$8)),IF(F335=2,AVERAGE(INDIRECT("I"&amp;$D$9):INDIRECT("I"&amp;$E$9)),IF(F335=3,AVERAGE(INDIRECT("I"&amp;$D$10):INDIRECT("I"&amp;$E$10)),IF(F335=4,AVERAGE(INDIRECT("I"&amp;$D$11):INDIRECT("I"&amp;$E$11)),IF(F335=5,AVERAGE(INDIRECT("I"&amp;$D$12):INDIRECT("I"&amp;$E$12)),IF(F335=6,AVERAGE(INDIRECT("I"&amp;$D$13):INDIRECT("I"&amp;$E$13))," "))))))</f>
        <v xml:space="preserve"> </v>
      </c>
      <c r="K335" s="242" t="str">
        <f t="shared" si="32"/>
        <v xml:space="preserve"> </v>
      </c>
      <c r="L335" s="242" t="str">
        <f t="shared" si="33"/>
        <v xml:space="preserve"> </v>
      </c>
      <c r="M335" s="242" t="str">
        <f t="shared" si="34"/>
        <v xml:space="preserve"> </v>
      </c>
    </row>
    <row r="336" spans="6:13" x14ac:dyDescent="0.2">
      <c r="F336" s="216" t="str">
        <f t="shared" si="30"/>
        <v xml:space="preserve"> </v>
      </c>
      <c r="G336" s="50"/>
      <c r="H336" s="242" t="str">
        <f ca="1">IF(F336=1,PERCENTILE(INDIRECT("g"&amp;$D$8):INDIRECT("g"&amp;$E$8),0.5),IF(F336=2,PERCENTILE(INDIRECT("g"&amp;$D$9):INDIRECT("g"&amp;$E$9),0.5),IF(F336=3,PERCENTILE(INDIRECT("g"&amp;$D$10):INDIRECT("g"&amp;$E$10),0.5),IF(F336=4,PERCENTILE(INDIRECT("g"&amp;$D$11):INDIRECT("g"&amp;$E$11),0.5),IF(F336=5,PERCENTILE(INDIRECT("g"&amp;$D$12):INDIRECT("g"&amp;$E$12),0.5),IF(F336=6,PERCENTILE(INDIRECT("g"&amp;$D$13):INDIRECT("g"&amp;$E$13),0.5)," "))))))</f>
        <v xml:space="preserve"> </v>
      </c>
      <c r="I336" s="242" t="str">
        <f t="shared" si="31"/>
        <v xml:space="preserve"> </v>
      </c>
      <c r="J336" s="242" t="str">
        <f ca="1">IF(F336=1,AVERAGE(INDIRECT("I"&amp;$D$8):INDIRECT("I"&amp;$E$8)),IF(F336=2,AVERAGE(INDIRECT("I"&amp;$D$9):INDIRECT("I"&amp;$E$9)),IF(F336=3,AVERAGE(INDIRECT("I"&amp;$D$10):INDIRECT("I"&amp;$E$10)),IF(F336=4,AVERAGE(INDIRECT("I"&amp;$D$11):INDIRECT("I"&amp;$E$11)),IF(F336=5,AVERAGE(INDIRECT("I"&amp;$D$12):INDIRECT("I"&amp;$E$12)),IF(F336=6,AVERAGE(INDIRECT("I"&amp;$D$13):INDIRECT("I"&amp;$E$13))," "))))))</f>
        <v xml:space="preserve"> </v>
      </c>
      <c r="K336" s="242" t="str">
        <f t="shared" si="32"/>
        <v xml:space="preserve"> </v>
      </c>
      <c r="L336" s="242" t="str">
        <f t="shared" si="33"/>
        <v xml:space="preserve"> </v>
      </c>
      <c r="M336" s="242" t="str">
        <f t="shared" si="34"/>
        <v xml:space="preserve"> </v>
      </c>
    </row>
    <row r="337" spans="6:13" x14ac:dyDescent="0.2">
      <c r="F337" s="216" t="str">
        <f t="shared" si="30"/>
        <v xml:space="preserve"> </v>
      </c>
      <c r="G337" s="50"/>
      <c r="H337" s="242" t="str">
        <f ca="1">IF(F337=1,PERCENTILE(INDIRECT("g"&amp;$D$8):INDIRECT("g"&amp;$E$8),0.5),IF(F337=2,PERCENTILE(INDIRECT("g"&amp;$D$9):INDIRECT("g"&amp;$E$9),0.5),IF(F337=3,PERCENTILE(INDIRECT("g"&amp;$D$10):INDIRECT("g"&amp;$E$10),0.5),IF(F337=4,PERCENTILE(INDIRECT("g"&amp;$D$11):INDIRECT("g"&amp;$E$11),0.5),IF(F337=5,PERCENTILE(INDIRECT("g"&amp;$D$12):INDIRECT("g"&amp;$E$12),0.5),IF(F337=6,PERCENTILE(INDIRECT("g"&amp;$D$13):INDIRECT("g"&amp;$E$13),0.5)," "))))))</f>
        <v xml:space="preserve"> </v>
      </c>
      <c r="I337" s="242" t="str">
        <f t="shared" si="31"/>
        <v xml:space="preserve"> </v>
      </c>
      <c r="J337" s="242" t="str">
        <f ca="1">IF(F337=1,AVERAGE(INDIRECT("I"&amp;$D$8):INDIRECT("I"&amp;$E$8)),IF(F337=2,AVERAGE(INDIRECT("I"&amp;$D$9):INDIRECT("I"&amp;$E$9)),IF(F337=3,AVERAGE(INDIRECT("I"&amp;$D$10):INDIRECT("I"&amp;$E$10)),IF(F337=4,AVERAGE(INDIRECT("I"&amp;$D$11):INDIRECT("I"&amp;$E$11)),IF(F337=5,AVERAGE(INDIRECT("I"&amp;$D$12):INDIRECT("I"&amp;$E$12)),IF(F337=6,AVERAGE(INDIRECT("I"&amp;$D$13):INDIRECT("I"&amp;$E$13))," "))))))</f>
        <v xml:space="preserve"> </v>
      </c>
      <c r="K337" s="242" t="str">
        <f t="shared" si="32"/>
        <v xml:space="preserve"> </v>
      </c>
      <c r="L337" s="242" t="str">
        <f t="shared" si="33"/>
        <v xml:space="preserve"> </v>
      </c>
      <c r="M337" s="242" t="str">
        <f t="shared" si="34"/>
        <v xml:space="preserve"> </v>
      </c>
    </row>
    <row r="338" spans="6:13" x14ac:dyDescent="0.2">
      <c r="F338" s="216" t="str">
        <f t="shared" si="30"/>
        <v xml:space="preserve"> </v>
      </c>
      <c r="G338" s="50"/>
      <c r="H338" s="242" t="str">
        <f ca="1">IF(F338=1,PERCENTILE(INDIRECT("g"&amp;$D$8):INDIRECT("g"&amp;$E$8),0.5),IF(F338=2,PERCENTILE(INDIRECT("g"&amp;$D$9):INDIRECT("g"&amp;$E$9),0.5),IF(F338=3,PERCENTILE(INDIRECT("g"&amp;$D$10):INDIRECT("g"&amp;$E$10),0.5),IF(F338=4,PERCENTILE(INDIRECT("g"&amp;$D$11):INDIRECT("g"&amp;$E$11),0.5),IF(F338=5,PERCENTILE(INDIRECT("g"&amp;$D$12):INDIRECT("g"&amp;$E$12),0.5),IF(F338=6,PERCENTILE(INDIRECT("g"&amp;$D$13):INDIRECT("g"&amp;$E$13),0.5)," "))))))</f>
        <v xml:space="preserve"> </v>
      </c>
      <c r="I338" s="242" t="str">
        <f t="shared" si="31"/>
        <v xml:space="preserve"> </v>
      </c>
      <c r="J338" s="242" t="str">
        <f ca="1">IF(F338=1,AVERAGE(INDIRECT("I"&amp;$D$8):INDIRECT("I"&amp;$E$8)),IF(F338=2,AVERAGE(INDIRECT("I"&amp;$D$9):INDIRECT("I"&amp;$E$9)),IF(F338=3,AVERAGE(INDIRECT("I"&amp;$D$10):INDIRECT("I"&amp;$E$10)),IF(F338=4,AVERAGE(INDIRECT("I"&amp;$D$11):INDIRECT("I"&amp;$E$11)),IF(F338=5,AVERAGE(INDIRECT("I"&amp;$D$12):INDIRECT("I"&amp;$E$12)),IF(F338=6,AVERAGE(INDIRECT("I"&amp;$D$13):INDIRECT("I"&amp;$E$13))," "))))))</f>
        <v xml:space="preserve"> </v>
      </c>
      <c r="K338" s="242" t="str">
        <f t="shared" si="32"/>
        <v xml:space="preserve"> </v>
      </c>
      <c r="L338" s="242" t="str">
        <f t="shared" si="33"/>
        <v xml:space="preserve"> </v>
      </c>
      <c r="M338" s="242" t="str">
        <f t="shared" si="34"/>
        <v xml:space="preserve"> </v>
      </c>
    </row>
    <row r="339" spans="6:13" x14ac:dyDescent="0.2">
      <c r="F339" s="216" t="str">
        <f t="shared" si="30"/>
        <v xml:space="preserve"> </v>
      </c>
      <c r="G339" s="50"/>
      <c r="H339" s="242" t="str">
        <f ca="1">IF(F339=1,PERCENTILE(INDIRECT("g"&amp;$D$8):INDIRECT("g"&amp;$E$8),0.5),IF(F339=2,PERCENTILE(INDIRECT("g"&amp;$D$9):INDIRECT("g"&amp;$E$9),0.5),IF(F339=3,PERCENTILE(INDIRECT("g"&amp;$D$10):INDIRECT("g"&amp;$E$10),0.5),IF(F339=4,PERCENTILE(INDIRECT("g"&amp;$D$11):INDIRECT("g"&amp;$E$11),0.5),IF(F339=5,PERCENTILE(INDIRECT("g"&amp;$D$12):INDIRECT("g"&amp;$E$12),0.5),IF(F339=6,PERCENTILE(INDIRECT("g"&amp;$D$13):INDIRECT("g"&amp;$E$13),0.5)," "))))))</f>
        <v xml:space="preserve"> </v>
      </c>
      <c r="I339" s="242" t="str">
        <f t="shared" si="31"/>
        <v xml:space="preserve"> </v>
      </c>
      <c r="J339" s="242" t="str">
        <f ca="1">IF(F339=1,AVERAGE(INDIRECT("I"&amp;$D$8):INDIRECT("I"&amp;$E$8)),IF(F339=2,AVERAGE(INDIRECT("I"&amp;$D$9):INDIRECT("I"&amp;$E$9)),IF(F339=3,AVERAGE(INDIRECT("I"&amp;$D$10):INDIRECT("I"&amp;$E$10)),IF(F339=4,AVERAGE(INDIRECT("I"&amp;$D$11):INDIRECT("I"&amp;$E$11)),IF(F339=5,AVERAGE(INDIRECT("I"&amp;$D$12):INDIRECT("I"&amp;$E$12)),IF(F339=6,AVERAGE(INDIRECT("I"&amp;$D$13):INDIRECT("I"&amp;$E$13))," "))))))</f>
        <v xml:space="preserve"> </v>
      </c>
      <c r="K339" s="242" t="str">
        <f t="shared" si="32"/>
        <v xml:space="preserve"> </v>
      </c>
      <c r="L339" s="242" t="str">
        <f t="shared" si="33"/>
        <v xml:space="preserve"> </v>
      </c>
      <c r="M339" s="242" t="str">
        <f t="shared" si="34"/>
        <v xml:space="preserve"> </v>
      </c>
    </row>
    <row r="340" spans="6:13" x14ac:dyDescent="0.2">
      <c r="F340" s="216" t="str">
        <f t="shared" si="30"/>
        <v xml:space="preserve"> </v>
      </c>
      <c r="G340" s="50"/>
      <c r="H340" s="242" t="str">
        <f ca="1">IF(F340=1,PERCENTILE(INDIRECT("g"&amp;$D$8):INDIRECT("g"&amp;$E$8),0.5),IF(F340=2,PERCENTILE(INDIRECT("g"&amp;$D$9):INDIRECT("g"&amp;$E$9),0.5),IF(F340=3,PERCENTILE(INDIRECT("g"&amp;$D$10):INDIRECT("g"&amp;$E$10),0.5),IF(F340=4,PERCENTILE(INDIRECT("g"&amp;$D$11):INDIRECT("g"&amp;$E$11),0.5),IF(F340=5,PERCENTILE(INDIRECT("g"&amp;$D$12):INDIRECT("g"&amp;$E$12),0.5),IF(F340=6,PERCENTILE(INDIRECT("g"&amp;$D$13):INDIRECT("g"&amp;$E$13),0.5)," "))))))</f>
        <v xml:space="preserve"> </v>
      </c>
      <c r="I340" s="242" t="str">
        <f t="shared" si="31"/>
        <v xml:space="preserve"> </v>
      </c>
      <c r="J340" s="242" t="str">
        <f ca="1">IF(F340=1,AVERAGE(INDIRECT("I"&amp;$D$8):INDIRECT("I"&amp;$E$8)),IF(F340=2,AVERAGE(INDIRECT("I"&amp;$D$9):INDIRECT("I"&amp;$E$9)),IF(F340=3,AVERAGE(INDIRECT("I"&amp;$D$10):INDIRECT("I"&amp;$E$10)),IF(F340=4,AVERAGE(INDIRECT("I"&amp;$D$11):INDIRECT("I"&amp;$E$11)),IF(F340=5,AVERAGE(INDIRECT("I"&amp;$D$12):INDIRECT("I"&amp;$E$12)),IF(F340=6,AVERAGE(INDIRECT("I"&amp;$D$13):INDIRECT("I"&amp;$E$13))," "))))))</f>
        <v xml:space="preserve"> </v>
      </c>
      <c r="K340" s="242" t="str">
        <f t="shared" si="32"/>
        <v xml:space="preserve"> </v>
      </c>
      <c r="L340" s="242" t="str">
        <f t="shared" si="33"/>
        <v xml:space="preserve"> </v>
      </c>
      <c r="M340" s="242" t="str">
        <f t="shared" si="34"/>
        <v xml:space="preserve"> </v>
      </c>
    </row>
    <row r="341" spans="6:13" x14ac:dyDescent="0.2">
      <c r="F341" s="216" t="str">
        <f t="shared" si="30"/>
        <v xml:space="preserve"> </v>
      </c>
      <c r="G341" s="50"/>
      <c r="H341" s="242" t="str">
        <f ca="1">IF(F341=1,PERCENTILE(INDIRECT("g"&amp;$D$8):INDIRECT("g"&amp;$E$8),0.5),IF(F341=2,PERCENTILE(INDIRECT("g"&amp;$D$9):INDIRECT("g"&amp;$E$9),0.5),IF(F341=3,PERCENTILE(INDIRECT("g"&amp;$D$10):INDIRECT("g"&amp;$E$10),0.5),IF(F341=4,PERCENTILE(INDIRECT("g"&amp;$D$11):INDIRECT("g"&amp;$E$11),0.5),IF(F341=5,PERCENTILE(INDIRECT("g"&amp;$D$12):INDIRECT("g"&amp;$E$12),0.5),IF(F341=6,PERCENTILE(INDIRECT("g"&amp;$D$13):INDIRECT("g"&amp;$E$13),0.5)," "))))))</f>
        <v xml:space="preserve"> </v>
      </c>
      <c r="I341" s="242" t="str">
        <f t="shared" si="31"/>
        <v xml:space="preserve"> </v>
      </c>
      <c r="J341" s="242" t="str">
        <f ca="1">IF(F341=1,AVERAGE(INDIRECT("I"&amp;$D$8):INDIRECT("I"&amp;$E$8)),IF(F341=2,AVERAGE(INDIRECT("I"&amp;$D$9):INDIRECT("I"&amp;$E$9)),IF(F341=3,AVERAGE(INDIRECT("I"&amp;$D$10):INDIRECT("I"&amp;$E$10)),IF(F341=4,AVERAGE(INDIRECT("I"&amp;$D$11):INDIRECT("I"&amp;$E$11)),IF(F341=5,AVERAGE(INDIRECT("I"&amp;$D$12):INDIRECT("I"&amp;$E$12)),IF(F341=6,AVERAGE(INDIRECT("I"&amp;$D$13):INDIRECT("I"&amp;$E$13))," "))))))</f>
        <v xml:space="preserve"> </v>
      </c>
      <c r="K341" s="242" t="str">
        <f t="shared" si="32"/>
        <v xml:space="preserve"> </v>
      </c>
      <c r="L341" s="242" t="str">
        <f t="shared" si="33"/>
        <v xml:space="preserve"> </v>
      </c>
      <c r="M341" s="242" t="str">
        <f t="shared" si="34"/>
        <v xml:space="preserve"> </v>
      </c>
    </row>
    <row r="342" spans="6:13" x14ac:dyDescent="0.2">
      <c r="F342" s="216" t="str">
        <f t="shared" si="30"/>
        <v xml:space="preserve"> </v>
      </c>
      <c r="G342" s="50"/>
      <c r="H342" s="242" t="str">
        <f ca="1">IF(F342=1,PERCENTILE(INDIRECT("g"&amp;$D$8):INDIRECT("g"&amp;$E$8),0.5),IF(F342=2,PERCENTILE(INDIRECT("g"&amp;$D$9):INDIRECT("g"&amp;$E$9),0.5),IF(F342=3,PERCENTILE(INDIRECT("g"&amp;$D$10):INDIRECT("g"&amp;$E$10),0.5),IF(F342=4,PERCENTILE(INDIRECT("g"&amp;$D$11):INDIRECT("g"&amp;$E$11),0.5),IF(F342=5,PERCENTILE(INDIRECT("g"&amp;$D$12):INDIRECT("g"&amp;$E$12),0.5),IF(F342=6,PERCENTILE(INDIRECT("g"&amp;$D$13):INDIRECT("g"&amp;$E$13),0.5)," "))))))</f>
        <v xml:space="preserve"> </v>
      </c>
      <c r="I342" s="242" t="str">
        <f t="shared" si="31"/>
        <v xml:space="preserve"> </v>
      </c>
      <c r="J342" s="242" t="str">
        <f ca="1">IF(F342=1,AVERAGE(INDIRECT("I"&amp;$D$8):INDIRECT("I"&amp;$E$8)),IF(F342=2,AVERAGE(INDIRECT("I"&amp;$D$9):INDIRECT("I"&amp;$E$9)),IF(F342=3,AVERAGE(INDIRECT("I"&amp;$D$10):INDIRECT("I"&amp;$E$10)),IF(F342=4,AVERAGE(INDIRECT("I"&amp;$D$11):INDIRECT("I"&amp;$E$11)),IF(F342=5,AVERAGE(INDIRECT("I"&amp;$D$12):INDIRECT("I"&amp;$E$12)),IF(F342=6,AVERAGE(INDIRECT("I"&amp;$D$13):INDIRECT("I"&amp;$E$13))," "))))))</f>
        <v xml:space="preserve"> </v>
      </c>
      <c r="K342" s="242" t="str">
        <f t="shared" si="32"/>
        <v xml:space="preserve"> </v>
      </c>
      <c r="L342" s="242" t="str">
        <f t="shared" si="33"/>
        <v xml:space="preserve"> </v>
      </c>
      <c r="M342" s="242" t="str">
        <f t="shared" si="34"/>
        <v xml:space="preserve"> </v>
      </c>
    </row>
    <row r="343" spans="6:13" x14ac:dyDescent="0.2">
      <c r="F343" s="216" t="str">
        <f t="shared" si="30"/>
        <v xml:space="preserve"> </v>
      </c>
      <c r="G343" s="50"/>
      <c r="H343" s="242" t="str">
        <f ca="1">IF(F343=1,PERCENTILE(INDIRECT("g"&amp;$D$8):INDIRECT("g"&amp;$E$8),0.5),IF(F343=2,PERCENTILE(INDIRECT("g"&amp;$D$9):INDIRECT("g"&amp;$E$9),0.5),IF(F343=3,PERCENTILE(INDIRECT("g"&amp;$D$10):INDIRECT("g"&amp;$E$10),0.5),IF(F343=4,PERCENTILE(INDIRECT("g"&amp;$D$11):INDIRECT("g"&amp;$E$11),0.5),IF(F343=5,PERCENTILE(INDIRECT("g"&amp;$D$12):INDIRECT("g"&amp;$E$12),0.5),IF(F343=6,PERCENTILE(INDIRECT("g"&amp;$D$13):INDIRECT("g"&amp;$E$13),0.5)," "))))))</f>
        <v xml:space="preserve"> </v>
      </c>
      <c r="I343" s="242" t="str">
        <f t="shared" si="31"/>
        <v xml:space="preserve"> </v>
      </c>
      <c r="J343" s="242" t="str">
        <f ca="1">IF(F343=1,AVERAGE(INDIRECT("I"&amp;$D$8):INDIRECT("I"&amp;$E$8)),IF(F343=2,AVERAGE(INDIRECT("I"&amp;$D$9):INDIRECT("I"&amp;$E$9)),IF(F343=3,AVERAGE(INDIRECT("I"&amp;$D$10):INDIRECT("I"&amp;$E$10)),IF(F343=4,AVERAGE(INDIRECT("I"&amp;$D$11):INDIRECT("I"&amp;$E$11)),IF(F343=5,AVERAGE(INDIRECT("I"&amp;$D$12):INDIRECT("I"&amp;$E$12)),IF(F343=6,AVERAGE(INDIRECT("I"&amp;$D$13):INDIRECT("I"&amp;$E$13))," "))))))</f>
        <v xml:space="preserve"> </v>
      </c>
      <c r="K343" s="242" t="str">
        <f t="shared" si="32"/>
        <v xml:space="preserve"> </v>
      </c>
      <c r="L343" s="242" t="str">
        <f t="shared" si="33"/>
        <v xml:space="preserve"> </v>
      </c>
      <c r="M343" s="242" t="str">
        <f t="shared" si="34"/>
        <v xml:space="preserve"> </v>
      </c>
    </row>
    <row r="344" spans="6:13" x14ac:dyDescent="0.2">
      <c r="F344" s="216" t="str">
        <f t="shared" si="30"/>
        <v xml:space="preserve"> </v>
      </c>
      <c r="G344" s="50"/>
      <c r="H344" s="242" t="str">
        <f ca="1">IF(F344=1,PERCENTILE(INDIRECT("g"&amp;$D$8):INDIRECT("g"&amp;$E$8),0.5),IF(F344=2,PERCENTILE(INDIRECT("g"&amp;$D$9):INDIRECT("g"&amp;$E$9),0.5),IF(F344=3,PERCENTILE(INDIRECT("g"&amp;$D$10):INDIRECT("g"&amp;$E$10),0.5),IF(F344=4,PERCENTILE(INDIRECT("g"&amp;$D$11):INDIRECT("g"&amp;$E$11),0.5),IF(F344=5,PERCENTILE(INDIRECT("g"&amp;$D$12):INDIRECT("g"&amp;$E$12),0.5),IF(F344=6,PERCENTILE(INDIRECT("g"&amp;$D$13):INDIRECT("g"&amp;$E$13),0.5)," "))))))</f>
        <v xml:space="preserve"> </v>
      </c>
      <c r="I344" s="242" t="str">
        <f t="shared" si="31"/>
        <v xml:space="preserve"> </v>
      </c>
      <c r="J344" s="242" t="str">
        <f ca="1">IF(F344=1,AVERAGE(INDIRECT("I"&amp;$D$8):INDIRECT("I"&amp;$E$8)),IF(F344=2,AVERAGE(INDIRECT("I"&amp;$D$9):INDIRECT("I"&amp;$E$9)),IF(F344=3,AVERAGE(INDIRECT("I"&amp;$D$10):INDIRECT("I"&amp;$E$10)),IF(F344=4,AVERAGE(INDIRECT("I"&amp;$D$11):INDIRECT("I"&amp;$E$11)),IF(F344=5,AVERAGE(INDIRECT("I"&amp;$D$12):INDIRECT("I"&amp;$E$12)),IF(F344=6,AVERAGE(INDIRECT("I"&amp;$D$13):INDIRECT("I"&amp;$E$13))," "))))))</f>
        <v xml:space="preserve"> </v>
      </c>
      <c r="K344" s="242" t="str">
        <f t="shared" si="32"/>
        <v xml:space="preserve"> </v>
      </c>
      <c r="L344" s="242" t="str">
        <f t="shared" si="33"/>
        <v xml:space="preserve"> </v>
      </c>
      <c r="M344" s="242" t="str">
        <f t="shared" si="34"/>
        <v xml:space="preserve"> </v>
      </c>
    </row>
    <row r="345" spans="6:13" x14ac:dyDescent="0.2">
      <c r="F345" s="216" t="str">
        <f t="shared" si="30"/>
        <v xml:space="preserve"> </v>
      </c>
      <c r="G345" s="50"/>
      <c r="H345" s="242" t="str">
        <f ca="1">IF(F345=1,PERCENTILE(INDIRECT("g"&amp;$D$8):INDIRECT("g"&amp;$E$8),0.5),IF(F345=2,PERCENTILE(INDIRECT("g"&amp;$D$9):INDIRECT("g"&amp;$E$9),0.5),IF(F345=3,PERCENTILE(INDIRECT("g"&amp;$D$10):INDIRECT("g"&amp;$E$10),0.5),IF(F345=4,PERCENTILE(INDIRECT("g"&amp;$D$11):INDIRECT("g"&amp;$E$11),0.5),IF(F345=5,PERCENTILE(INDIRECT("g"&amp;$D$12):INDIRECT("g"&amp;$E$12),0.5),IF(F345=6,PERCENTILE(INDIRECT("g"&amp;$D$13):INDIRECT("g"&amp;$E$13),0.5)," "))))))</f>
        <v xml:space="preserve"> </v>
      </c>
      <c r="I345" s="242" t="str">
        <f t="shared" si="31"/>
        <v xml:space="preserve"> </v>
      </c>
      <c r="J345" s="242" t="str">
        <f ca="1">IF(F345=1,AVERAGE(INDIRECT("I"&amp;$D$8):INDIRECT("I"&amp;$E$8)),IF(F345=2,AVERAGE(INDIRECT("I"&amp;$D$9):INDIRECT("I"&amp;$E$9)),IF(F345=3,AVERAGE(INDIRECT("I"&amp;$D$10):INDIRECT("I"&amp;$E$10)),IF(F345=4,AVERAGE(INDIRECT("I"&amp;$D$11):INDIRECT("I"&amp;$E$11)),IF(F345=5,AVERAGE(INDIRECT("I"&amp;$D$12):INDIRECT("I"&amp;$E$12)),IF(F345=6,AVERAGE(INDIRECT("I"&amp;$D$13):INDIRECT("I"&amp;$E$13))," "))))))</f>
        <v xml:space="preserve"> </v>
      </c>
      <c r="K345" s="242" t="str">
        <f t="shared" si="32"/>
        <v xml:space="preserve"> </v>
      </c>
      <c r="L345" s="242" t="str">
        <f t="shared" si="33"/>
        <v xml:space="preserve"> </v>
      </c>
      <c r="M345" s="242" t="str">
        <f t="shared" si="34"/>
        <v xml:space="preserve"> </v>
      </c>
    </row>
    <row r="346" spans="6:13" x14ac:dyDescent="0.2">
      <c r="F346" s="216" t="str">
        <f t="shared" si="30"/>
        <v xml:space="preserve"> </v>
      </c>
      <c r="G346" s="50"/>
      <c r="H346" s="242" t="str">
        <f ca="1">IF(F346=1,PERCENTILE(INDIRECT("g"&amp;$D$8):INDIRECT("g"&amp;$E$8),0.5),IF(F346=2,PERCENTILE(INDIRECT("g"&amp;$D$9):INDIRECT("g"&amp;$E$9),0.5),IF(F346=3,PERCENTILE(INDIRECT("g"&amp;$D$10):INDIRECT("g"&amp;$E$10),0.5),IF(F346=4,PERCENTILE(INDIRECT("g"&amp;$D$11):INDIRECT("g"&amp;$E$11),0.5),IF(F346=5,PERCENTILE(INDIRECT("g"&amp;$D$12):INDIRECT("g"&amp;$E$12),0.5),IF(F346=6,PERCENTILE(INDIRECT("g"&amp;$D$13):INDIRECT("g"&amp;$E$13),0.5)," "))))))</f>
        <v xml:space="preserve"> </v>
      </c>
      <c r="I346" s="242" t="str">
        <f t="shared" si="31"/>
        <v xml:space="preserve"> </v>
      </c>
      <c r="J346" s="242" t="str">
        <f ca="1">IF(F346=1,AVERAGE(INDIRECT("I"&amp;$D$8):INDIRECT("I"&amp;$E$8)),IF(F346=2,AVERAGE(INDIRECT("I"&amp;$D$9):INDIRECT("I"&amp;$E$9)),IF(F346=3,AVERAGE(INDIRECT("I"&amp;$D$10):INDIRECT("I"&amp;$E$10)),IF(F346=4,AVERAGE(INDIRECT("I"&amp;$D$11):INDIRECT("I"&amp;$E$11)),IF(F346=5,AVERAGE(INDIRECT("I"&amp;$D$12):INDIRECT("I"&amp;$E$12)),IF(F346=6,AVERAGE(INDIRECT("I"&amp;$D$13):INDIRECT("I"&amp;$E$13))," "))))))</f>
        <v xml:space="preserve"> </v>
      </c>
      <c r="K346" s="242" t="str">
        <f t="shared" si="32"/>
        <v xml:space="preserve"> </v>
      </c>
      <c r="L346" s="242" t="str">
        <f t="shared" si="33"/>
        <v xml:space="preserve"> </v>
      </c>
      <c r="M346" s="242" t="str">
        <f t="shared" si="34"/>
        <v xml:space="preserve"> </v>
      </c>
    </row>
    <row r="347" spans="6:13" x14ac:dyDescent="0.2">
      <c r="F347" s="216" t="str">
        <f t="shared" si="30"/>
        <v xml:space="preserve"> </v>
      </c>
      <c r="G347" s="50"/>
      <c r="H347" s="242" t="str">
        <f ca="1">IF(F347=1,PERCENTILE(INDIRECT("g"&amp;$D$8):INDIRECT("g"&amp;$E$8),0.5),IF(F347=2,PERCENTILE(INDIRECT("g"&amp;$D$9):INDIRECT("g"&amp;$E$9),0.5),IF(F347=3,PERCENTILE(INDIRECT("g"&amp;$D$10):INDIRECT("g"&amp;$E$10),0.5),IF(F347=4,PERCENTILE(INDIRECT("g"&amp;$D$11):INDIRECT("g"&amp;$E$11),0.5),IF(F347=5,PERCENTILE(INDIRECT("g"&amp;$D$12):INDIRECT("g"&amp;$E$12),0.5),IF(F347=6,PERCENTILE(INDIRECT("g"&amp;$D$13):INDIRECT("g"&amp;$E$13),0.5)," "))))))</f>
        <v xml:space="preserve"> </v>
      </c>
      <c r="I347" s="242" t="str">
        <f t="shared" si="31"/>
        <v xml:space="preserve"> </v>
      </c>
      <c r="J347" s="242" t="str">
        <f ca="1">IF(F347=1,AVERAGE(INDIRECT("I"&amp;$D$8):INDIRECT("I"&amp;$E$8)),IF(F347=2,AVERAGE(INDIRECT("I"&amp;$D$9):INDIRECT("I"&amp;$E$9)),IF(F347=3,AVERAGE(INDIRECT("I"&amp;$D$10):INDIRECT("I"&amp;$E$10)),IF(F347=4,AVERAGE(INDIRECT("I"&amp;$D$11):INDIRECT("I"&amp;$E$11)),IF(F347=5,AVERAGE(INDIRECT("I"&amp;$D$12):INDIRECT("I"&amp;$E$12)),IF(F347=6,AVERAGE(INDIRECT("I"&amp;$D$13):INDIRECT("I"&amp;$E$13))," "))))))</f>
        <v xml:space="preserve"> </v>
      </c>
      <c r="K347" s="242" t="str">
        <f t="shared" si="32"/>
        <v xml:space="preserve"> </v>
      </c>
      <c r="L347" s="242" t="str">
        <f t="shared" si="33"/>
        <v xml:space="preserve"> </v>
      </c>
      <c r="M347" s="242" t="str">
        <f t="shared" si="34"/>
        <v xml:space="preserve"> </v>
      </c>
    </row>
    <row r="348" spans="6:13" x14ac:dyDescent="0.2">
      <c r="F348" s="216" t="str">
        <f t="shared" si="30"/>
        <v xml:space="preserve"> </v>
      </c>
      <c r="G348" s="50"/>
      <c r="H348" s="242" t="str">
        <f ca="1">IF(F348=1,PERCENTILE(INDIRECT("g"&amp;$D$8):INDIRECT("g"&amp;$E$8),0.5),IF(F348=2,PERCENTILE(INDIRECT("g"&amp;$D$9):INDIRECT("g"&amp;$E$9),0.5),IF(F348=3,PERCENTILE(INDIRECT("g"&amp;$D$10):INDIRECT("g"&amp;$E$10),0.5),IF(F348=4,PERCENTILE(INDIRECT("g"&amp;$D$11):INDIRECT("g"&amp;$E$11),0.5),IF(F348=5,PERCENTILE(INDIRECT("g"&amp;$D$12):INDIRECT("g"&amp;$E$12),0.5),IF(F348=6,PERCENTILE(INDIRECT("g"&amp;$D$13):INDIRECT("g"&amp;$E$13),0.5)," "))))))</f>
        <v xml:space="preserve"> </v>
      </c>
      <c r="I348" s="242" t="str">
        <f t="shared" si="31"/>
        <v xml:space="preserve"> </v>
      </c>
      <c r="J348" s="242" t="str">
        <f ca="1">IF(F348=1,AVERAGE(INDIRECT("I"&amp;$D$8):INDIRECT("I"&amp;$E$8)),IF(F348=2,AVERAGE(INDIRECT("I"&amp;$D$9):INDIRECT("I"&amp;$E$9)),IF(F348=3,AVERAGE(INDIRECT("I"&amp;$D$10):INDIRECT("I"&amp;$E$10)),IF(F348=4,AVERAGE(INDIRECT("I"&amp;$D$11):INDIRECT("I"&amp;$E$11)),IF(F348=5,AVERAGE(INDIRECT("I"&amp;$D$12):INDIRECT("I"&amp;$E$12)),IF(F348=6,AVERAGE(INDIRECT("I"&amp;$D$13):INDIRECT("I"&amp;$E$13))," "))))))</f>
        <v xml:space="preserve"> </v>
      </c>
      <c r="K348" s="242" t="str">
        <f t="shared" si="32"/>
        <v xml:space="preserve"> </v>
      </c>
      <c r="L348" s="242" t="str">
        <f t="shared" si="33"/>
        <v xml:space="preserve"> </v>
      </c>
      <c r="M348" s="242" t="str">
        <f t="shared" si="34"/>
        <v xml:space="preserve"> </v>
      </c>
    </row>
    <row r="349" spans="6:13" x14ac:dyDescent="0.2">
      <c r="F349" s="216" t="str">
        <f t="shared" si="30"/>
        <v xml:space="preserve"> </v>
      </c>
      <c r="G349" s="50"/>
      <c r="H349" s="242" t="str">
        <f ca="1">IF(F349=1,PERCENTILE(INDIRECT("g"&amp;$D$8):INDIRECT("g"&amp;$E$8),0.5),IF(F349=2,PERCENTILE(INDIRECT("g"&amp;$D$9):INDIRECT("g"&amp;$E$9),0.5),IF(F349=3,PERCENTILE(INDIRECT("g"&amp;$D$10):INDIRECT("g"&amp;$E$10),0.5),IF(F349=4,PERCENTILE(INDIRECT("g"&amp;$D$11):INDIRECT("g"&amp;$E$11),0.5),IF(F349=5,PERCENTILE(INDIRECT("g"&amp;$D$12):INDIRECT("g"&amp;$E$12),0.5),IF(F349=6,PERCENTILE(INDIRECT("g"&amp;$D$13):INDIRECT("g"&amp;$E$13),0.5)," "))))))</f>
        <v xml:space="preserve"> </v>
      </c>
      <c r="I349" s="242" t="str">
        <f t="shared" si="31"/>
        <v xml:space="preserve"> </v>
      </c>
      <c r="J349" s="242" t="str">
        <f ca="1">IF(F349=1,AVERAGE(INDIRECT("I"&amp;$D$8):INDIRECT("I"&amp;$E$8)),IF(F349=2,AVERAGE(INDIRECT("I"&amp;$D$9):INDIRECT("I"&amp;$E$9)),IF(F349=3,AVERAGE(INDIRECT("I"&amp;$D$10):INDIRECT("I"&amp;$E$10)),IF(F349=4,AVERAGE(INDIRECT("I"&amp;$D$11):INDIRECT("I"&amp;$E$11)),IF(F349=5,AVERAGE(INDIRECT("I"&amp;$D$12):INDIRECT("I"&amp;$E$12)),IF(F349=6,AVERAGE(INDIRECT("I"&amp;$D$13):INDIRECT("I"&amp;$E$13))," "))))))</f>
        <v xml:space="preserve"> </v>
      </c>
      <c r="K349" s="242" t="str">
        <f t="shared" si="32"/>
        <v xml:space="preserve"> </v>
      </c>
      <c r="L349" s="242" t="str">
        <f t="shared" si="33"/>
        <v xml:space="preserve"> </v>
      </c>
      <c r="M349" s="242" t="str">
        <f t="shared" si="34"/>
        <v xml:space="preserve"> </v>
      </c>
    </row>
    <row r="350" spans="6:13" x14ac:dyDescent="0.2">
      <c r="F350" s="216" t="str">
        <f t="shared" si="30"/>
        <v xml:space="preserve"> </v>
      </c>
      <c r="G350" s="50"/>
      <c r="H350" s="242" t="str">
        <f ca="1">IF(F350=1,PERCENTILE(INDIRECT("g"&amp;$D$8):INDIRECT("g"&amp;$E$8),0.5),IF(F350=2,PERCENTILE(INDIRECT("g"&amp;$D$9):INDIRECT("g"&amp;$E$9),0.5),IF(F350=3,PERCENTILE(INDIRECT("g"&amp;$D$10):INDIRECT("g"&amp;$E$10),0.5),IF(F350=4,PERCENTILE(INDIRECT("g"&amp;$D$11):INDIRECT("g"&amp;$E$11),0.5),IF(F350=5,PERCENTILE(INDIRECT("g"&amp;$D$12):INDIRECT("g"&amp;$E$12),0.5),IF(F350=6,PERCENTILE(INDIRECT("g"&amp;$D$13):INDIRECT("g"&amp;$E$13),0.5)," "))))))</f>
        <v xml:space="preserve"> </v>
      </c>
      <c r="I350" s="242" t="str">
        <f t="shared" si="31"/>
        <v xml:space="preserve"> </v>
      </c>
      <c r="J350" s="242" t="str">
        <f ca="1">IF(F350=1,AVERAGE(INDIRECT("I"&amp;$D$8):INDIRECT("I"&amp;$E$8)),IF(F350=2,AVERAGE(INDIRECT("I"&amp;$D$9):INDIRECT("I"&amp;$E$9)),IF(F350=3,AVERAGE(INDIRECT("I"&amp;$D$10):INDIRECT("I"&amp;$E$10)),IF(F350=4,AVERAGE(INDIRECT("I"&amp;$D$11):INDIRECT("I"&amp;$E$11)),IF(F350=5,AVERAGE(INDIRECT("I"&amp;$D$12):INDIRECT("I"&amp;$E$12)),IF(F350=6,AVERAGE(INDIRECT("I"&amp;$D$13):INDIRECT("I"&amp;$E$13))," "))))))</f>
        <v xml:space="preserve"> </v>
      </c>
      <c r="K350" s="242" t="str">
        <f t="shared" si="32"/>
        <v xml:space="preserve"> </v>
      </c>
      <c r="L350" s="242" t="str">
        <f t="shared" si="33"/>
        <v xml:space="preserve"> </v>
      </c>
      <c r="M350" s="242" t="str">
        <f t="shared" si="34"/>
        <v xml:space="preserve"> </v>
      </c>
    </row>
    <row r="351" spans="6:13" x14ac:dyDescent="0.2">
      <c r="F351" s="216" t="str">
        <f t="shared" si="30"/>
        <v xml:space="preserve"> </v>
      </c>
      <c r="G351" s="50"/>
      <c r="H351" s="242" t="str">
        <f ca="1">IF(F351=1,PERCENTILE(INDIRECT("g"&amp;$D$8):INDIRECT("g"&amp;$E$8),0.5),IF(F351=2,PERCENTILE(INDIRECT("g"&amp;$D$9):INDIRECT("g"&amp;$E$9),0.5),IF(F351=3,PERCENTILE(INDIRECT("g"&amp;$D$10):INDIRECT("g"&amp;$E$10),0.5),IF(F351=4,PERCENTILE(INDIRECT("g"&amp;$D$11):INDIRECT("g"&amp;$E$11),0.5),IF(F351=5,PERCENTILE(INDIRECT("g"&amp;$D$12):INDIRECT("g"&amp;$E$12),0.5),IF(F351=6,PERCENTILE(INDIRECT("g"&amp;$D$13):INDIRECT("g"&amp;$E$13),0.5)," "))))))</f>
        <v xml:space="preserve"> </v>
      </c>
      <c r="I351" s="242" t="str">
        <f t="shared" si="31"/>
        <v xml:space="preserve"> </v>
      </c>
      <c r="J351" s="242" t="str">
        <f ca="1">IF(F351=1,AVERAGE(INDIRECT("I"&amp;$D$8):INDIRECT("I"&amp;$E$8)),IF(F351=2,AVERAGE(INDIRECT("I"&amp;$D$9):INDIRECT("I"&amp;$E$9)),IF(F351=3,AVERAGE(INDIRECT("I"&amp;$D$10):INDIRECT("I"&amp;$E$10)),IF(F351=4,AVERAGE(INDIRECT("I"&amp;$D$11):INDIRECT("I"&amp;$E$11)),IF(F351=5,AVERAGE(INDIRECT("I"&amp;$D$12):INDIRECT("I"&amp;$E$12)),IF(F351=6,AVERAGE(INDIRECT("I"&amp;$D$13):INDIRECT("I"&amp;$E$13))," "))))))</f>
        <v xml:space="preserve"> </v>
      </c>
      <c r="K351" s="242" t="str">
        <f t="shared" si="32"/>
        <v xml:space="preserve"> </v>
      </c>
      <c r="L351" s="242" t="str">
        <f t="shared" si="33"/>
        <v xml:space="preserve"> </v>
      </c>
      <c r="M351" s="242" t="str">
        <f t="shared" si="34"/>
        <v xml:space="preserve"> </v>
      </c>
    </row>
    <row r="352" spans="6:13" x14ac:dyDescent="0.2">
      <c r="F352" s="216" t="str">
        <f t="shared" si="30"/>
        <v xml:space="preserve"> </v>
      </c>
      <c r="G352" s="50"/>
      <c r="H352" s="242" t="str">
        <f ca="1">IF(F352=1,PERCENTILE(INDIRECT("g"&amp;$D$8):INDIRECT("g"&amp;$E$8),0.5),IF(F352=2,PERCENTILE(INDIRECT("g"&amp;$D$9):INDIRECT("g"&amp;$E$9),0.5),IF(F352=3,PERCENTILE(INDIRECT("g"&amp;$D$10):INDIRECT("g"&amp;$E$10),0.5),IF(F352=4,PERCENTILE(INDIRECT("g"&amp;$D$11):INDIRECT("g"&amp;$E$11),0.5),IF(F352=5,PERCENTILE(INDIRECT("g"&amp;$D$12):INDIRECT("g"&amp;$E$12),0.5),IF(F352=6,PERCENTILE(INDIRECT("g"&amp;$D$13):INDIRECT("g"&amp;$E$13),0.5)," "))))))</f>
        <v xml:space="preserve"> </v>
      </c>
      <c r="I352" s="242" t="str">
        <f t="shared" si="31"/>
        <v xml:space="preserve"> </v>
      </c>
      <c r="J352" s="242" t="str">
        <f ca="1">IF(F352=1,AVERAGE(INDIRECT("I"&amp;$D$8):INDIRECT("I"&amp;$E$8)),IF(F352=2,AVERAGE(INDIRECT("I"&amp;$D$9):INDIRECT("I"&amp;$E$9)),IF(F352=3,AVERAGE(INDIRECT("I"&amp;$D$10):INDIRECT("I"&amp;$E$10)),IF(F352=4,AVERAGE(INDIRECT("I"&amp;$D$11):INDIRECT("I"&amp;$E$11)),IF(F352=5,AVERAGE(INDIRECT("I"&amp;$D$12):INDIRECT("I"&amp;$E$12)),IF(F352=6,AVERAGE(INDIRECT("I"&amp;$D$13):INDIRECT("I"&amp;$E$13))," "))))))</f>
        <v xml:space="preserve"> </v>
      </c>
      <c r="K352" s="242" t="str">
        <f t="shared" si="32"/>
        <v xml:space="preserve"> </v>
      </c>
      <c r="L352" s="242" t="str">
        <f t="shared" si="33"/>
        <v xml:space="preserve"> </v>
      </c>
      <c r="M352" s="242" t="str">
        <f t="shared" si="34"/>
        <v xml:space="preserve"> </v>
      </c>
    </row>
    <row r="353" spans="6:13" x14ac:dyDescent="0.2">
      <c r="F353" s="216" t="str">
        <f t="shared" si="30"/>
        <v xml:space="preserve"> </v>
      </c>
      <c r="G353" s="50"/>
      <c r="H353" s="242" t="str">
        <f ca="1">IF(F353=1,PERCENTILE(INDIRECT("g"&amp;$D$8):INDIRECT("g"&amp;$E$8),0.5),IF(F353=2,PERCENTILE(INDIRECT("g"&amp;$D$9):INDIRECT("g"&amp;$E$9),0.5),IF(F353=3,PERCENTILE(INDIRECT("g"&amp;$D$10):INDIRECT("g"&amp;$E$10),0.5),IF(F353=4,PERCENTILE(INDIRECT("g"&amp;$D$11):INDIRECT("g"&amp;$E$11),0.5),IF(F353=5,PERCENTILE(INDIRECT("g"&amp;$D$12):INDIRECT("g"&amp;$E$12),0.5),IF(F353=6,PERCENTILE(INDIRECT("g"&amp;$D$13):INDIRECT("g"&amp;$E$13),0.5)," "))))))</f>
        <v xml:space="preserve"> </v>
      </c>
      <c r="I353" s="242" t="str">
        <f t="shared" si="31"/>
        <v xml:space="preserve"> </v>
      </c>
      <c r="J353" s="242" t="str">
        <f ca="1">IF(F353=1,AVERAGE(INDIRECT("I"&amp;$D$8):INDIRECT("I"&amp;$E$8)),IF(F353=2,AVERAGE(INDIRECT("I"&amp;$D$9):INDIRECT("I"&amp;$E$9)),IF(F353=3,AVERAGE(INDIRECT("I"&amp;$D$10):INDIRECT("I"&amp;$E$10)),IF(F353=4,AVERAGE(INDIRECT("I"&amp;$D$11):INDIRECT("I"&amp;$E$11)),IF(F353=5,AVERAGE(INDIRECT("I"&amp;$D$12):INDIRECT("I"&amp;$E$12)),IF(F353=6,AVERAGE(INDIRECT("I"&amp;$D$13):INDIRECT("I"&amp;$E$13))," "))))))</f>
        <v xml:space="preserve"> </v>
      </c>
      <c r="K353" s="242" t="str">
        <f t="shared" si="32"/>
        <v xml:space="preserve"> </v>
      </c>
      <c r="L353" s="242" t="str">
        <f t="shared" si="33"/>
        <v xml:space="preserve"> </v>
      </c>
      <c r="M353" s="242" t="str">
        <f t="shared" si="34"/>
        <v xml:space="preserve"> </v>
      </c>
    </row>
    <row r="354" spans="6:13" x14ac:dyDescent="0.2">
      <c r="F354" s="216" t="str">
        <f t="shared" si="30"/>
        <v xml:space="preserve"> </v>
      </c>
      <c r="G354" s="50"/>
      <c r="H354" s="242" t="str">
        <f ca="1">IF(F354=1,PERCENTILE(INDIRECT("g"&amp;$D$8):INDIRECT("g"&amp;$E$8),0.5),IF(F354=2,PERCENTILE(INDIRECT("g"&amp;$D$9):INDIRECT("g"&amp;$E$9),0.5),IF(F354=3,PERCENTILE(INDIRECT("g"&amp;$D$10):INDIRECT("g"&amp;$E$10),0.5),IF(F354=4,PERCENTILE(INDIRECT("g"&amp;$D$11):INDIRECT("g"&amp;$E$11),0.5),IF(F354=5,PERCENTILE(INDIRECT("g"&amp;$D$12):INDIRECT("g"&amp;$E$12),0.5),IF(F354=6,PERCENTILE(INDIRECT("g"&amp;$D$13):INDIRECT("g"&amp;$E$13),0.5)," "))))))</f>
        <v xml:space="preserve"> </v>
      </c>
      <c r="I354" s="242" t="str">
        <f t="shared" si="31"/>
        <v xml:space="preserve"> </v>
      </c>
      <c r="J354" s="242" t="str">
        <f ca="1">IF(F354=1,AVERAGE(INDIRECT("I"&amp;$D$8):INDIRECT("I"&amp;$E$8)),IF(F354=2,AVERAGE(INDIRECT("I"&amp;$D$9):INDIRECT("I"&amp;$E$9)),IF(F354=3,AVERAGE(INDIRECT("I"&amp;$D$10):INDIRECT("I"&amp;$E$10)),IF(F354=4,AVERAGE(INDIRECT("I"&amp;$D$11):INDIRECT("I"&amp;$E$11)),IF(F354=5,AVERAGE(INDIRECT("I"&amp;$D$12):INDIRECT("I"&amp;$E$12)),IF(F354=6,AVERAGE(INDIRECT("I"&amp;$D$13):INDIRECT("I"&amp;$E$13))," "))))))</f>
        <v xml:space="preserve"> </v>
      </c>
      <c r="K354" s="242" t="str">
        <f t="shared" si="32"/>
        <v xml:space="preserve"> </v>
      </c>
      <c r="L354" s="242" t="str">
        <f t="shared" si="33"/>
        <v xml:space="preserve"> </v>
      </c>
      <c r="M354" s="242" t="str">
        <f t="shared" si="34"/>
        <v xml:space="preserve"> </v>
      </c>
    </row>
    <row r="355" spans="6:13" x14ac:dyDescent="0.2">
      <c r="F355" s="216" t="str">
        <f t="shared" si="30"/>
        <v xml:space="preserve"> </v>
      </c>
      <c r="G355" s="50"/>
      <c r="H355" s="242" t="str">
        <f ca="1">IF(F355=1,PERCENTILE(INDIRECT("g"&amp;$D$8):INDIRECT("g"&amp;$E$8),0.5),IF(F355=2,PERCENTILE(INDIRECT("g"&amp;$D$9):INDIRECT("g"&amp;$E$9),0.5),IF(F355=3,PERCENTILE(INDIRECT("g"&amp;$D$10):INDIRECT("g"&amp;$E$10),0.5),IF(F355=4,PERCENTILE(INDIRECT("g"&amp;$D$11):INDIRECT("g"&amp;$E$11),0.5),IF(F355=5,PERCENTILE(INDIRECT("g"&amp;$D$12):INDIRECT("g"&amp;$E$12),0.5),IF(F355=6,PERCENTILE(INDIRECT("g"&amp;$D$13):INDIRECT("g"&amp;$E$13),0.5)," "))))))</f>
        <v xml:space="preserve"> </v>
      </c>
      <c r="I355" s="242" t="str">
        <f t="shared" si="31"/>
        <v xml:space="preserve"> </v>
      </c>
      <c r="J355" s="242" t="str">
        <f ca="1">IF(F355=1,AVERAGE(INDIRECT("I"&amp;$D$8):INDIRECT("I"&amp;$E$8)),IF(F355=2,AVERAGE(INDIRECT("I"&amp;$D$9):INDIRECT("I"&amp;$E$9)),IF(F355=3,AVERAGE(INDIRECT("I"&amp;$D$10):INDIRECT("I"&amp;$E$10)),IF(F355=4,AVERAGE(INDIRECT("I"&amp;$D$11):INDIRECT("I"&amp;$E$11)),IF(F355=5,AVERAGE(INDIRECT("I"&amp;$D$12):INDIRECT("I"&amp;$E$12)),IF(F355=6,AVERAGE(INDIRECT("I"&amp;$D$13):INDIRECT("I"&amp;$E$13))," "))))))</f>
        <v xml:space="preserve"> </v>
      </c>
      <c r="K355" s="242" t="str">
        <f t="shared" si="32"/>
        <v xml:space="preserve"> </v>
      </c>
      <c r="L355" s="242" t="str">
        <f t="shared" si="33"/>
        <v xml:space="preserve"> </v>
      </c>
      <c r="M355" s="242" t="str">
        <f t="shared" si="34"/>
        <v xml:space="preserve"> </v>
      </c>
    </row>
    <row r="356" spans="6:13" x14ac:dyDescent="0.2">
      <c r="F356" s="216" t="str">
        <f t="shared" si="30"/>
        <v xml:space="preserve"> </v>
      </c>
      <c r="G356" s="50"/>
      <c r="H356" s="242" t="str">
        <f ca="1">IF(F356=1,PERCENTILE(INDIRECT("g"&amp;$D$8):INDIRECT("g"&amp;$E$8),0.5),IF(F356=2,PERCENTILE(INDIRECT("g"&amp;$D$9):INDIRECT("g"&amp;$E$9),0.5),IF(F356=3,PERCENTILE(INDIRECT("g"&amp;$D$10):INDIRECT("g"&amp;$E$10),0.5),IF(F356=4,PERCENTILE(INDIRECT("g"&amp;$D$11):INDIRECT("g"&amp;$E$11),0.5),IF(F356=5,PERCENTILE(INDIRECT("g"&amp;$D$12):INDIRECT("g"&amp;$E$12),0.5),IF(F356=6,PERCENTILE(INDIRECT("g"&amp;$D$13):INDIRECT("g"&amp;$E$13),0.5)," "))))))</f>
        <v xml:space="preserve"> </v>
      </c>
      <c r="I356" s="242" t="str">
        <f t="shared" si="31"/>
        <v xml:space="preserve"> </v>
      </c>
      <c r="J356" s="242" t="str">
        <f ca="1">IF(F356=1,AVERAGE(INDIRECT("I"&amp;$D$8):INDIRECT("I"&amp;$E$8)),IF(F356=2,AVERAGE(INDIRECT("I"&amp;$D$9):INDIRECT("I"&amp;$E$9)),IF(F356=3,AVERAGE(INDIRECT("I"&amp;$D$10):INDIRECT("I"&amp;$E$10)),IF(F356=4,AVERAGE(INDIRECT("I"&amp;$D$11):INDIRECT("I"&amp;$E$11)),IF(F356=5,AVERAGE(INDIRECT("I"&amp;$D$12):INDIRECT("I"&amp;$E$12)),IF(F356=6,AVERAGE(INDIRECT("I"&amp;$D$13):INDIRECT("I"&amp;$E$13))," "))))))</f>
        <v xml:space="preserve"> </v>
      </c>
      <c r="K356" s="242" t="str">
        <f t="shared" si="32"/>
        <v xml:space="preserve"> </v>
      </c>
      <c r="L356" s="242" t="str">
        <f t="shared" si="33"/>
        <v xml:space="preserve"> </v>
      </c>
      <c r="M356" s="242" t="str">
        <f t="shared" si="34"/>
        <v xml:space="preserve"> </v>
      </c>
    </row>
    <row r="357" spans="6:13" x14ac:dyDescent="0.2">
      <c r="F357" s="216" t="str">
        <f t="shared" si="30"/>
        <v xml:space="preserve"> </v>
      </c>
      <c r="G357" s="50"/>
      <c r="H357" s="242" t="str">
        <f ca="1">IF(F357=1,PERCENTILE(INDIRECT("g"&amp;$D$8):INDIRECT("g"&amp;$E$8),0.5),IF(F357=2,PERCENTILE(INDIRECT("g"&amp;$D$9):INDIRECT("g"&amp;$E$9),0.5),IF(F357=3,PERCENTILE(INDIRECT("g"&amp;$D$10):INDIRECT("g"&amp;$E$10),0.5),IF(F357=4,PERCENTILE(INDIRECT("g"&amp;$D$11):INDIRECT("g"&amp;$E$11),0.5),IF(F357=5,PERCENTILE(INDIRECT("g"&amp;$D$12):INDIRECT("g"&amp;$E$12),0.5),IF(F357=6,PERCENTILE(INDIRECT("g"&amp;$D$13):INDIRECT("g"&amp;$E$13),0.5)," "))))))</f>
        <v xml:space="preserve"> </v>
      </c>
      <c r="I357" s="242" t="str">
        <f t="shared" si="31"/>
        <v xml:space="preserve"> </v>
      </c>
      <c r="J357" s="242" t="str">
        <f ca="1">IF(F357=1,AVERAGE(INDIRECT("I"&amp;$D$8):INDIRECT("I"&amp;$E$8)),IF(F357=2,AVERAGE(INDIRECT("I"&amp;$D$9):INDIRECT("I"&amp;$E$9)),IF(F357=3,AVERAGE(INDIRECT("I"&amp;$D$10):INDIRECT("I"&amp;$E$10)),IF(F357=4,AVERAGE(INDIRECT("I"&amp;$D$11):INDIRECT("I"&amp;$E$11)),IF(F357=5,AVERAGE(INDIRECT("I"&amp;$D$12):INDIRECT("I"&amp;$E$12)),IF(F357=6,AVERAGE(INDIRECT("I"&amp;$D$13):INDIRECT("I"&amp;$E$13))," "))))))</f>
        <v xml:space="preserve"> </v>
      </c>
      <c r="K357" s="242" t="str">
        <f t="shared" si="32"/>
        <v xml:space="preserve"> </v>
      </c>
      <c r="L357" s="242" t="str">
        <f t="shared" si="33"/>
        <v xml:space="preserve"> </v>
      </c>
      <c r="M357" s="242" t="str">
        <f t="shared" si="34"/>
        <v xml:space="preserve"> </v>
      </c>
    </row>
    <row r="358" spans="6:13" x14ac:dyDescent="0.2">
      <c r="F358" s="216" t="str">
        <f t="shared" si="30"/>
        <v xml:space="preserve"> </v>
      </c>
      <c r="G358" s="50"/>
      <c r="H358" s="242" t="str">
        <f ca="1">IF(F358=1,PERCENTILE(INDIRECT("g"&amp;$D$8):INDIRECT("g"&amp;$E$8),0.5),IF(F358=2,PERCENTILE(INDIRECT("g"&amp;$D$9):INDIRECT("g"&amp;$E$9),0.5),IF(F358=3,PERCENTILE(INDIRECT("g"&amp;$D$10):INDIRECT("g"&amp;$E$10),0.5),IF(F358=4,PERCENTILE(INDIRECT("g"&amp;$D$11):INDIRECT("g"&amp;$E$11),0.5),IF(F358=5,PERCENTILE(INDIRECT("g"&amp;$D$12):INDIRECT("g"&amp;$E$12),0.5),IF(F358=6,PERCENTILE(INDIRECT("g"&amp;$D$13):INDIRECT("g"&amp;$E$13),0.5)," "))))))</f>
        <v xml:space="preserve"> </v>
      </c>
      <c r="I358" s="242" t="str">
        <f t="shared" si="31"/>
        <v xml:space="preserve"> </v>
      </c>
      <c r="J358" s="242" t="str">
        <f ca="1">IF(F358=1,AVERAGE(INDIRECT("I"&amp;$D$8):INDIRECT("I"&amp;$E$8)),IF(F358=2,AVERAGE(INDIRECT("I"&amp;$D$9):INDIRECT("I"&amp;$E$9)),IF(F358=3,AVERAGE(INDIRECT("I"&amp;$D$10):INDIRECT("I"&amp;$E$10)),IF(F358=4,AVERAGE(INDIRECT("I"&amp;$D$11):INDIRECT("I"&amp;$E$11)),IF(F358=5,AVERAGE(INDIRECT("I"&amp;$D$12):INDIRECT("I"&amp;$E$12)),IF(F358=6,AVERAGE(INDIRECT("I"&amp;$D$13):INDIRECT("I"&amp;$E$13))," "))))))</f>
        <v xml:space="preserve"> </v>
      </c>
      <c r="K358" s="242" t="str">
        <f t="shared" si="32"/>
        <v xml:space="preserve"> </v>
      </c>
      <c r="L358" s="242" t="str">
        <f t="shared" si="33"/>
        <v xml:space="preserve"> </v>
      </c>
      <c r="M358" s="242" t="str">
        <f t="shared" si="34"/>
        <v xml:space="preserve"> </v>
      </c>
    </row>
    <row r="359" spans="6:13" x14ac:dyDescent="0.2">
      <c r="F359" s="216" t="str">
        <f t="shared" si="30"/>
        <v xml:space="preserve"> </v>
      </c>
      <c r="G359" s="50"/>
      <c r="H359" s="242" t="str">
        <f ca="1">IF(F359=1,PERCENTILE(INDIRECT("g"&amp;$D$8):INDIRECT("g"&amp;$E$8),0.5),IF(F359=2,PERCENTILE(INDIRECT("g"&amp;$D$9):INDIRECT("g"&amp;$E$9),0.5),IF(F359=3,PERCENTILE(INDIRECT("g"&amp;$D$10):INDIRECT("g"&amp;$E$10),0.5),IF(F359=4,PERCENTILE(INDIRECT("g"&amp;$D$11):INDIRECT("g"&amp;$E$11),0.5),IF(F359=5,PERCENTILE(INDIRECT("g"&amp;$D$12):INDIRECT("g"&amp;$E$12),0.5),IF(F359=6,PERCENTILE(INDIRECT("g"&amp;$D$13):INDIRECT("g"&amp;$E$13),0.5)," "))))))</f>
        <v xml:space="preserve"> </v>
      </c>
      <c r="I359" s="242" t="str">
        <f t="shared" si="31"/>
        <v xml:space="preserve"> </v>
      </c>
      <c r="J359" s="242" t="str">
        <f ca="1">IF(F359=1,AVERAGE(INDIRECT("I"&amp;$D$8):INDIRECT("I"&amp;$E$8)),IF(F359=2,AVERAGE(INDIRECT("I"&amp;$D$9):INDIRECT("I"&amp;$E$9)),IF(F359=3,AVERAGE(INDIRECT("I"&amp;$D$10):INDIRECT("I"&amp;$E$10)),IF(F359=4,AVERAGE(INDIRECT("I"&amp;$D$11):INDIRECT("I"&amp;$E$11)),IF(F359=5,AVERAGE(INDIRECT("I"&amp;$D$12):INDIRECT("I"&amp;$E$12)),IF(F359=6,AVERAGE(INDIRECT("I"&amp;$D$13):INDIRECT("I"&amp;$E$13))," "))))))</f>
        <v xml:space="preserve"> </v>
      </c>
      <c r="K359" s="242" t="str">
        <f t="shared" si="32"/>
        <v xml:space="preserve"> </v>
      </c>
      <c r="L359" s="242" t="str">
        <f t="shared" si="33"/>
        <v xml:space="preserve"> </v>
      </c>
      <c r="M359" s="242" t="str">
        <f t="shared" si="34"/>
        <v xml:space="preserve"> </v>
      </c>
    </row>
    <row r="360" spans="6:13" x14ac:dyDescent="0.2">
      <c r="F360" s="216" t="str">
        <f t="shared" si="30"/>
        <v xml:space="preserve"> </v>
      </c>
      <c r="G360" s="50"/>
      <c r="H360" s="242" t="str">
        <f ca="1">IF(F360=1,PERCENTILE(INDIRECT("g"&amp;$D$8):INDIRECT("g"&amp;$E$8),0.5),IF(F360=2,PERCENTILE(INDIRECT("g"&amp;$D$9):INDIRECT("g"&amp;$E$9),0.5),IF(F360=3,PERCENTILE(INDIRECT("g"&amp;$D$10):INDIRECT("g"&amp;$E$10),0.5),IF(F360=4,PERCENTILE(INDIRECT("g"&amp;$D$11):INDIRECT("g"&amp;$E$11),0.5),IF(F360=5,PERCENTILE(INDIRECT("g"&amp;$D$12):INDIRECT("g"&amp;$E$12),0.5),IF(F360=6,PERCENTILE(INDIRECT("g"&amp;$D$13):INDIRECT("g"&amp;$E$13),0.5)," "))))))</f>
        <v xml:space="preserve"> </v>
      </c>
      <c r="I360" s="242" t="str">
        <f t="shared" si="31"/>
        <v xml:space="preserve"> </v>
      </c>
      <c r="J360" s="242" t="str">
        <f ca="1">IF(F360=1,AVERAGE(INDIRECT("I"&amp;$D$8):INDIRECT("I"&amp;$E$8)),IF(F360=2,AVERAGE(INDIRECT("I"&amp;$D$9):INDIRECT("I"&amp;$E$9)),IF(F360=3,AVERAGE(INDIRECT("I"&amp;$D$10):INDIRECT("I"&amp;$E$10)),IF(F360=4,AVERAGE(INDIRECT("I"&amp;$D$11):INDIRECT("I"&amp;$E$11)),IF(F360=5,AVERAGE(INDIRECT("I"&amp;$D$12):INDIRECT("I"&amp;$E$12)),IF(F360=6,AVERAGE(INDIRECT("I"&amp;$D$13):INDIRECT("I"&amp;$E$13))," "))))))</f>
        <v xml:space="preserve"> </v>
      </c>
      <c r="K360" s="242" t="str">
        <f t="shared" si="32"/>
        <v xml:space="preserve"> </v>
      </c>
      <c r="L360" s="242" t="str">
        <f t="shared" si="33"/>
        <v xml:space="preserve"> </v>
      </c>
      <c r="M360" s="242" t="str">
        <f t="shared" si="34"/>
        <v xml:space="preserve"> </v>
      </c>
    </row>
    <row r="361" spans="6:13" x14ac:dyDescent="0.2">
      <c r="F361" s="216" t="str">
        <f t="shared" si="30"/>
        <v xml:space="preserve"> </v>
      </c>
      <c r="G361" s="50"/>
      <c r="H361" s="242" t="str">
        <f ca="1">IF(F361=1,PERCENTILE(INDIRECT("g"&amp;$D$8):INDIRECT("g"&amp;$E$8),0.5),IF(F361=2,PERCENTILE(INDIRECT("g"&amp;$D$9):INDIRECT("g"&amp;$E$9),0.5),IF(F361=3,PERCENTILE(INDIRECT("g"&amp;$D$10):INDIRECT("g"&amp;$E$10),0.5),IF(F361=4,PERCENTILE(INDIRECT("g"&amp;$D$11):INDIRECT("g"&amp;$E$11),0.5),IF(F361=5,PERCENTILE(INDIRECT("g"&amp;$D$12):INDIRECT("g"&amp;$E$12),0.5),IF(F361=6,PERCENTILE(INDIRECT("g"&amp;$D$13):INDIRECT("g"&amp;$E$13),0.5)," "))))))</f>
        <v xml:space="preserve"> </v>
      </c>
      <c r="I361" s="242" t="str">
        <f t="shared" si="31"/>
        <v xml:space="preserve"> </v>
      </c>
      <c r="J361" s="242" t="str">
        <f ca="1">IF(F361=1,AVERAGE(INDIRECT("I"&amp;$D$8):INDIRECT("I"&amp;$E$8)),IF(F361=2,AVERAGE(INDIRECT("I"&amp;$D$9):INDIRECT("I"&amp;$E$9)),IF(F361=3,AVERAGE(INDIRECT("I"&amp;$D$10):INDIRECT("I"&amp;$E$10)),IF(F361=4,AVERAGE(INDIRECT("I"&amp;$D$11):INDIRECT("I"&amp;$E$11)),IF(F361=5,AVERAGE(INDIRECT("I"&amp;$D$12):INDIRECT("I"&amp;$E$12)),IF(F361=6,AVERAGE(INDIRECT("I"&amp;$D$13):INDIRECT("I"&amp;$E$13))," "))))))</f>
        <v xml:space="preserve"> </v>
      </c>
      <c r="K361" s="242" t="str">
        <f t="shared" si="32"/>
        <v xml:space="preserve"> </v>
      </c>
      <c r="L361" s="242" t="str">
        <f t="shared" si="33"/>
        <v xml:space="preserve"> </v>
      </c>
      <c r="M361" s="242" t="str">
        <f t="shared" si="34"/>
        <v xml:space="preserve"> </v>
      </c>
    </row>
    <row r="362" spans="6:13" x14ac:dyDescent="0.2">
      <c r="F362" s="216" t="str">
        <f t="shared" si="30"/>
        <v xml:space="preserve"> </v>
      </c>
      <c r="G362" s="50"/>
      <c r="H362" s="242" t="str">
        <f ca="1">IF(F362=1,PERCENTILE(INDIRECT("g"&amp;$D$8):INDIRECT("g"&amp;$E$8),0.5),IF(F362=2,PERCENTILE(INDIRECT("g"&amp;$D$9):INDIRECT("g"&amp;$E$9),0.5),IF(F362=3,PERCENTILE(INDIRECT("g"&amp;$D$10):INDIRECT("g"&amp;$E$10),0.5),IF(F362=4,PERCENTILE(INDIRECT("g"&amp;$D$11):INDIRECT("g"&amp;$E$11),0.5),IF(F362=5,PERCENTILE(INDIRECT("g"&amp;$D$12):INDIRECT("g"&amp;$E$12),0.5),IF(F362=6,PERCENTILE(INDIRECT("g"&amp;$D$13):INDIRECT("g"&amp;$E$13),0.5)," "))))))</f>
        <v xml:space="preserve"> </v>
      </c>
      <c r="I362" s="242" t="str">
        <f t="shared" si="31"/>
        <v xml:space="preserve"> </v>
      </c>
      <c r="J362" s="242" t="str">
        <f ca="1">IF(F362=1,AVERAGE(INDIRECT("I"&amp;$D$8):INDIRECT("I"&amp;$E$8)),IF(F362=2,AVERAGE(INDIRECT("I"&amp;$D$9):INDIRECT("I"&amp;$E$9)),IF(F362=3,AVERAGE(INDIRECT("I"&amp;$D$10):INDIRECT("I"&amp;$E$10)),IF(F362=4,AVERAGE(INDIRECT("I"&amp;$D$11):INDIRECT("I"&amp;$E$11)),IF(F362=5,AVERAGE(INDIRECT("I"&amp;$D$12):INDIRECT("I"&amp;$E$12)),IF(F362=6,AVERAGE(INDIRECT("I"&amp;$D$13):INDIRECT("I"&amp;$E$13))," "))))))</f>
        <v xml:space="preserve"> </v>
      </c>
      <c r="K362" s="242" t="str">
        <f t="shared" si="32"/>
        <v xml:space="preserve"> </v>
      </c>
      <c r="L362" s="242" t="str">
        <f t="shared" si="33"/>
        <v xml:space="preserve"> </v>
      </c>
      <c r="M362" s="242" t="str">
        <f t="shared" si="34"/>
        <v xml:space="preserve"> </v>
      </c>
    </row>
    <row r="363" spans="6:13" x14ac:dyDescent="0.2">
      <c r="F363" s="216" t="str">
        <f t="shared" si="30"/>
        <v xml:space="preserve"> </v>
      </c>
      <c r="G363" s="50"/>
      <c r="H363" s="242" t="str">
        <f ca="1">IF(F363=1,PERCENTILE(INDIRECT("g"&amp;$D$8):INDIRECT("g"&amp;$E$8),0.5),IF(F363=2,PERCENTILE(INDIRECT("g"&amp;$D$9):INDIRECT("g"&amp;$E$9),0.5),IF(F363=3,PERCENTILE(INDIRECT("g"&amp;$D$10):INDIRECT("g"&amp;$E$10),0.5),IF(F363=4,PERCENTILE(INDIRECT("g"&amp;$D$11):INDIRECT("g"&amp;$E$11),0.5),IF(F363=5,PERCENTILE(INDIRECT("g"&amp;$D$12):INDIRECT("g"&amp;$E$12),0.5),IF(F363=6,PERCENTILE(INDIRECT("g"&amp;$D$13):INDIRECT("g"&amp;$E$13),0.5)," "))))))</f>
        <v xml:space="preserve"> </v>
      </c>
      <c r="I363" s="242" t="str">
        <f t="shared" si="31"/>
        <v xml:space="preserve"> </v>
      </c>
      <c r="J363" s="242" t="str">
        <f ca="1">IF(F363=1,AVERAGE(INDIRECT("I"&amp;$D$8):INDIRECT("I"&amp;$E$8)),IF(F363=2,AVERAGE(INDIRECT("I"&amp;$D$9):INDIRECT("I"&amp;$E$9)),IF(F363=3,AVERAGE(INDIRECT("I"&amp;$D$10):INDIRECT("I"&amp;$E$10)),IF(F363=4,AVERAGE(INDIRECT("I"&amp;$D$11):INDIRECT("I"&amp;$E$11)),IF(F363=5,AVERAGE(INDIRECT("I"&amp;$D$12):INDIRECT("I"&amp;$E$12)),IF(F363=6,AVERAGE(INDIRECT("I"&amp;$D$13):INDIRECT("I"&amp;$E$13))," "))))))</f>
        <v xml:space="preserve"> </v>
      </c>
      <c r="K363" s="242" t="str">
        <f t="shared" si="32"/>
        <v xml:space="preserve"> </v>
      </c>
      <c r="L363" s="242" t="str">
        <f t="shared" si="33"/>
        <v xml:space="preserve"> </v>
      </c>
      <c r="M363" s="242" t="str">
        <f t="shared" si="34"/>
        <v xml:space="preserve"> </v>
      </c>
    </row>
    <row r="364" spans="6:13" x14ac:dyDescent="0.2">
      <c r="F364" s="216" t="str">
        <f t="shared" si="30"/>
        <v xml:space="preserve"> </v>
      </c>
      <c r="G364" s="50"/>
      <c r="H364" s="242" t="str">
        <f ca="1">IF(F364=1,PERCENTILE(INDIRECT("g"&amp;$D$8):INDIRECT("g"&amp;$E$8),0.5),IF(F364=2,PERCENTILE(INDIRECT("g"&amp;$D$9):INDIRECT("g"&amp;$E$9),0.5),IF(F364=3,PERCENTILE(INDIRECT("g"&amp;$D$10):INDIRECT("g"&amp;$E$10),0.5),IF(F364=4,PERCENTILE(INDIRECT("g"&amp;$D$11):INDIRECT("g"&amp;$E$11),0.5),IF(F364=5,PERCENTILE(INDIRECT("g"&amp;$D$12):INDIRECT("g"&amp;$E$12),0.5),IF(F364=6,PERCENTILE(INDIRECT("g"&amp;$D$13):INDIRECT("g"&amp;$E$13),0.5)," "))))))</f>
        <v xml:space="preserve"> </v>
      </c>
      <c r="I364" s="242" t="str">
        <f t="shared" si="31"/>
        <v xml:space="preserve"> </v>
      </c>
      <c r="J364" s="242" t="str">
        <f ca="1">IF(F364=1,AVERAGE(INDIRECT("I"&amp;$D$8):INDIRECT("I"&amp;$E$8)),IF(F364=2,AVERAGE(INDIRECT("I"&amp;$D$9):INDIRECT("I"&amp;$E$9)),IF(F364=3,AVERAGE(INDIRECT("I"&amp;$D$10):INDIRECT("I"&amp;$E$10)),IF(F364=4,AVERAGE(INDIRECT("I"&amp;$D$11):INDIRECT("I"&amp;$E$11)),IF(F364=5,AVERAGE(INDIRECT("I"&amp;$D$12):INDIRECT("I"&amp;$E$12)),IF(F364=6,AVERAGE(INDIRECT("I"&amp;$D$13):INDIRECT("I"&amp;$E$13))," "))))))</f>
        <v xml:space="preserve"> </v>
      </c>
      <c r="K364" s="242" t="str">
        <f t="shared" si="32"/>
        <v xml:space="preserve"> </v>
      </c>
      <c r="L364" s="242" t="str">
        <f t="shared" si="33"/>
        <v xml:space="preserve"> </v>
      </c>
      <c r="M364" s="242" t="str">
        <f t="shared" si="34"/>
        <v xml:space="preserve"> </v>
      </c>
    </row>
    <row r="365" spans="6:13" x14ac:dyDescent="0.2">
      <c r="F365" s="216" t="str">
        <f t="shared" si="30"/>
        <v xml:space="preserve"> </v>
      </c>
      <c r="G365" s="50"/>
      <c r="H365" s="242" t="str">
        <f ca="1">IF(F365=1,PERCENTILE(INDIRECT("g"&amp;$D$8):INDIRECT("g"&amp;$E$8),0.5),IF(F365=2,PERCENTILE(INDIRECT("g"&amp;$D$9):INDIRECT("g"&amp;$E$9),0.5),IF(F365=3,PERCENTILE(INDIRECT("g"&amp;$D$10):INDIRECT("g"&amp;$E$10),0.5),IF(F365=4,PERCENTILE(INDIRECT("g"&amp;$D$11):INDIRECT("g"&amp;$E$11),0.5),IF(F365=5,PERCENTILE(INDIRECT("g"&amp;$D$12):INDIRECT("g"&amp;$E$12),0.5),IF(F365=6,PERCENTILE(INDIRECT("g"&amp;$D$13):INDIRECT("g"&amp;$E$13),0.5)," "))))))</f>
        <v xml:space="preserve"> </v>
      </c>
      <c r="I365" s="242" t="str">
        <f t="shared" si="31"/>
        <v xml:space="preserve"> </v>
      </c>
      <c r="J365" s="242" t="str">
        <f ca="1">IF(F365=1,AVERAGE(INDIRECT("I"&amp;$D$8):INDIRECT("I"&amp;$E$8)),IF(F365=2,AVERAGE(INDIRECT("I"&amp;$D$9):INDIRECT("I"&amp;$E$9)),IF(F365=3,AVERAGE(INDIRECT("I"&amp;$D$10):INDIRECT("I"&amp;$E$10)),IF(F365=4,AVERAGE(INDIRECT("I"&amp;$D$11):INDIRECT("I"&amp;$E$11)),IF(F365=5,AVERAGE(INDIRECT("I"&amp;$D$12):INDIRECT("I"&amp;$E$12)),IF(F365=6,AVERAGE(INDIRECT("I"&amp;$D$13):INDIRECT("I"&amp;$E$13))," "))))))</f>
        <v xml:space="preserve"> </v>
      </c>
      <c r="K365" s="242" t="str">
        <f t="shared" si="32"/>
        <v xml:space="preserve"> </v>
      </c>
      <c r="L365" s="242" t="str">
        <f t="shared" si="33"/>
        <v xml:space="preserve"> </v>
      </c>
      <c r="M365" s="242" t="str">
        <f t="shared" si="34"/>
        <v xml:space="preserve"> </v>
      </c>
    </row>
    <row r="366" spans="6:13" x14ac:dyDescent="0.2">
      <c r="F366" s="216" t="str">
        <f t="shared" si="30"/>
        <v xml:space="preserve"> </v>
      </c>
      <c r="G366" s="50"/>
      <c r="H366" s="242" t="str">
        <f ca="1">IF(F366=1,PERCENTILE(INDIRECT("g"&amp;$D$8):INDIRECT("g"&amp;$E$8),0.5),IF(F366=2,PERCENTILE(INDIRECT("g"&amp;$D$9):INDIRECT("g"&amp;$E$9),0.5),IF(F366=3,PERCENTILE(INDIRECT("g"&amp;$D$10):INDIRECT("g"&amp;$E$10),0.5),IF(F366=4,PERCENTILE(INDIRECT("g"&amp;$D$11):INDIRECT("g"&amp;$E$11),0.5),IF(F366=5,PERCENTILE(INDIRECT("g"&amp;$D$12):INDIRECT("g"&amp;$E$12),0.5),IF(F366=6,PERCENTILE(INDIRECT("g"&amp;$D$13):INDIRECT("g"&amp;$E$13),0.5)," "))))))</f>
        <v xml:space="preserve"> </v>
      </c>
      <c r="I366" s="242" t="str">
        <f t="shared" si="31"/>
        <v xml:space="preserve"> </v>
      </c>
      <c r="J366" s="242" t="str">
        <f ca="1">IF(F366=1,AVERAGE(INDIRECT("I"&amp;$D$8):INDIRECT("I"&amp;$E$8)),IF(F366=2,AVERAGE(INDIRECT("I"&amp;$D$9):INDIRECT("I"&amp;$E$9)),IF(F366=3,AVERAGE(INDIRECT("I"&amp;$D$10):INDIRECT("I"&amp;$E$10)),IF(F366=4,AVERAGE(INDIRECT("I"&amp;$D$11):INDIRECT("I"&amp;$E$11)),IF(F366=5,AVERAGE(INDIRECT("I"&amp;$D$12):INDIRECT("I"&amp;$E$12)),IF(F366=6,AVERAGE(INDIRECT("I"&amp;$D$13):INDIRECT("I"&amp;$E$13))," "))))))</f>
        <v xml:space="preserve"> </v>
      </c>
      <c r="K366" s="242" t="str">
        <f t="shared" si="32"/>
        <v xml:space="preserve"> </v>
      </c>
      <c r="L366" s="242" t="str">
        <f t="shared" si="33"/>
        <v xml:space="preserve"> </v>
      </c>
      <c r="M366" s="242" t="str">
        <f t="shared" si="34"/>
        <v xml:space="preserve"> </v>
      </c>
    </row>
    <row r="367" spans="6:13" x14ac:dyDescent="0.2">
      <c r="F367" s="216" t="str">
        <f t="shared" si="30"/>
        <v xml:space="preserve"> </v>
      </c>
      <c r="G367" s="50"/>
      <c r="H367" s="242" t="str">
        <f ca="1">IF(F367=1,PERCENTILE(INDIRECT("g"&amp;$D$8):INDIRECT("g"&amp;$E$8),0.5),IF(F367=2,PERCENTILE(INDIRECT("g"&amp;$D$9):INDIRECT("g"&amp;$E$9),0.5),IF(F367=3,PERCENTILE(INDIRECT("g"&amp;$D$10):INDIRECT("g"&amp;$E$10),0.5),IF(F367=4,PERCENTILE(INDIRECT("g"&amp;$D$11):INDIRECT("g"&amp;$E$11),0.5),IF(F367=5,PERCENTILE(INDIRECT("g"&amp;$D$12):INDIRECT("g"&amp;$E$12),0.5),IF(F367=6,PERCENTILE(INDIRECT("g"&amp;$D$13):INDIRECT("g"&amp;$E$13),0.5)," "))))))</f>
        <v xml:space="preserve"> </v>
      </c>
      <c r="I367" s="242" t="str">
        <f t="shared" si="31"/>
        <v xml:space="preserve"> </v>
      </c>
      <c r="J367" s="242" t="str">
        <f ca="1">IF(F367=1,AVERAGE(INDIRECT("I"&amp;$D$8):INDIRECT("I"&amp;$E$8)),IF(F367=2,AVERAGE(INDIRECT("I"&amp;$D$9):INDIRECT("I"&amp;$E$9)),IF(F367=3,AVERAGE(INDIRECT("I"&amp;$D$10):INDIRECT("I"&amp;$E$10)),IF(F367=4,AVERAGE(INDIRECT("I"&amp;$D$11):INDIRECT("I"&amp;$E$11)),IF(F367=5,AVERAGE(INDIRECT("I"&amp;$D$12):INDIRECT("I"&amp;$E$12)),IF(F367=6,AVERAGE(INDIRECT("I"&amp;$D$13):INDIRECT("I"&amp;$E$13))," "))))))</f>
        <v xml:space="preserve"> </v>
      </c>
      <c r="K367" s="242" t="str">
        <f t="shared" si="32"/>
        <v xml:space="preserve"> </v>
      </c>
      <c r="L367" s="242" t="str">
        <f t="shared" si="33"/>
        <v xml:space="preserve"> </v>
      </c>
      <c r="M367" s="242" t="str">
        <f t="shared" si="34"/>
        <v xml:space="preserve"> </v>
      </c>
    </row>
    <row r="368" spans="6:13" x14ac:dyDescent="0.2">
      <c r="F368" s="216" t="str">
        <f t="shared" si="30"/>
        <v xml:space="preserve"> </v>
      </c>
      <c r="G368" s="50"/>
      <c r="H368" s="242" t="str">
        <f ca="1">IF(F368=1,PERCENTILE(INDIRECT("g"&amp;$D$8):INDIRECT("g"&amp;$E$8),0.5),IF(F368=2,PERCENTILE(INDIRECT("g"&amp;$D$9):INDIRECT("g"&amp;$E$9),0.5),IF(F368=3,PERCENTILE(INDIRECT("g"&amp;$D$10):INDIRECT("g"&amp;$E$10),0.5),IF(F368=4,PERCENTILE(INDIRECT("g"&amp;$D$11):INDIRECT("g"&amp;$E$11),0.5),IF(F368=5,PERCENTILE(INDIRECT("g"&amp;$D$12):INDIRECT("g"&amp;$E$12),0.5),IF(F368=6,PERCENTILE(INDIRECT("g"&amp;$D$13):INDIRECT("g"&amp;$E$13),0.5)," "))))))</f>
        <v xml:space="preserve"> </v>
      </c>
      <c r="I368" s="242" t="str">
        <f t="shared" si="31"/>
        <v xml:space="preserve"> </v>
      </c>
      <c r="J368" s="242" t="str">
        <f ca="1">IF(F368=1,AVERAGE(INDIRECT("I"&amp;$D$8):INDIRECT("I"&amp;$E$8)),IF(F368=2,AVERAGE(INDIRECT("I"&amp;$D$9):INDIRECT("I"&amp;$E$9)),IF(F368=3,AVERAGE(INDIRECT("I"&amp;$D$10):INDIRECT("I"&amp;$E$10)),IF(F368=4,AVERAGE(INDIRECT("I"&amp;$D$11):INDIRECT("I"&amp;$E$11)),IF(F368=5,AVERAGE(INDIRECT("I"&amp;$D$12):INDIRECT("I"&amp;$E$12)),IF(F368=6,AVERAGE(INDIRECT("I"&amp;$D$13):INDIRECT("I"&amp;$E$13))," "))))))</f>
        <v xml:space="preserve"> </v>
      </c>
      <c r="K368" s="242" t="str">
        <f t="shared" si="32"/>
        <v xml:space="preserve"> </v>
      </c>
      <c r="L368" s="242" t="str">
        <f t="shared" si="33"/>
        <v xml:space="preserve"> </v>
      </c>
      <c r="M368" s="242" t="str">
        <f t="shared" si="34"/>
        <v xml:space="preserve"> </v>
      </c>
    </row>
    <row r="369" spans="6:13" x14ac:dyDescent="0.2">
      <c r="F369" s="216" t="str">
        <f t="shared" si="30"/>
        <v xml:space="preserve"> </v>
      </c>
      <c r="G369" s="50"/>
      <c r="H369" s="242" t="str">
        <f ca="1">IF(F369=1,PERCENTILE(INDIRECT("g"&amp;$D$8):INDIRECT("g"&amp;$E$8),0.5),IF(F369=2,PERCENTILE(INDIRECT("g"&amp;$D$9):INDIRECT("g"&amp;$E$9),0.5),IF(F369=3,PERCENTILE(INDIRECT("g"&amp;$D$10):INDIRECT("g"&amp;$E$10),0.5),IF(F369=4,PERCENTILE(INDIRECT("g"&amp;$D$11):INDIRECT("g"&amp;$E$11),0.5),IF(F369=5,PERCENTILE(INDIRECT("g"&amp;$D$12):INDIRECT("g"&amp;$E$12),0.5),IF(F369=6,PERCENTILE(INDIRECT("g"&amp;$D$13):INDIRECT("g"&amp;$E$13),0.5)," "))))))</f>
        <v xml:space="preserve"> </v>
      </c>
      <c r="I369" s="242" t="str">
        <f t="shared" si="31"/>
        <v xml:space="preserve"> </v>
      </c>
      <c r="J369" s="242" t="str">
        <f ca="1">IF(F369=1,AVERAGE(INDIRECT("I"&amp;$D$8):INDIRECT("I"&amp;$E$8)),IF(F369=2,AVERAGE(INDIRECT("I"&amp;$D$9):INDIRECT("I"&amp;$E$9)),IF(F369=3,AVERAGE(INDIRECT("I"&amp;$D$10):INDIRECT("I"&amp;$E$10)),IF(F369=4,AVERAGE(INDIRECT("I"&amp;$D$11):INDIRECT("I"&amp;$E$11)),IF(F369=5,AVERAGE(INDIRECT("I"&amp;$D$12):INDIRECT("I"&amp;$E$12)),IF(F369=6,AVERAGE(INDIRECT("I"&amp;$D$13):INDIRECT("I"&amp;$E$13))," "))))))</f>
        <v xml:space="preserve"> </v>
      </c>
      <c r="K369" s="242" t="str">
        <f t="shared" si="32"/>
        <v xml:space="preserve"> </v>
      </c>
      <c r="L369" s="242" t="str">
        <f t="shared" si="33"/>
        <v xml:space="preserve"> </v>
      </c>
      <c r="M369" s="242" t="str">
        <f t="shared" si="34"/>
        <v xml:space="preserve"> </v>
      </c>
    </row>
    <row r="370" spans="6:13" x14ac:dyDescent="0.2">
      <c r="F370" s="216" t="str">
        <f t="shared" si="30"/>
        <v xml:space="preserve"> </v>
      </c>
      <c r="G370" s="50"/>
      <c r="H370" s="242" t="str">
        <f ca="1">IF(F370=1,PERCENTILE(INDIRECT("g"&amp;$D$8):INDIRECT("g"&amp;$E$8),0.5),IF(F370=2,PERCENTILE(INDIRECT("g"&amp;$D$9):INDIRECT("g"&amp;$E$9),0.5),IF(F370=3,PERCENTILE(INDIRECT("g"&amp;$D$10):INDIRECT("g"&amp;$E$10),0.5),IF(F370=4,PERCENTILE(INDIRECT("g"&amp;$D$11):INDIRECT("g"&amp;$E$11),0.5),IF(F370=5,PERCENTILE(INDIRECT("g"&amp;$D$12):INDIRECT("g"&amp;$E$12),0.5),IF(F370=6,PERCENTILE(INDIRECT("g"&amp;$D$13):INDIRECT("g"&amp;$E$13),0.5)," "))))))</f>
        <v xml:space="preserve"> </v>
      </c>
      <c r="I370" s="242" t="str">
        <f t="shared" si="31"/>
        <v xml:space="preserve"> </v>
      </c>
      <c r="J370" s="242" t="str">
        <f ca="1">IF(F370=1,AVERAGE(INDIRECT("I"&amp;$D$8):INDIRECT("I"&amp;$E$8)),IF(F370=2,AVERAGE(INDIRECT("I"&amp;$D$9):INDIRECT("I"&amp;$E$9)),IF(F370=3,AVERAGE(INDIRECT("I"&amp;$D$10):INDIRECT("I"&amp;$E$10)),IF(F370=4,AVERAGE(INDIRECT("I"&amp;$D$11):INDIRECT("I"&amp;$E$11)),IF(F370=5,AVERAGE(INDIRECT("I"&amp;$D$12):INDIRECT("I"&amp;$E$12)),IF(F370=6,AVERAGE(INDIRECT("I"&amp;$D$13):INDIRECT("I"&amp;$E$13))," "))))))</f>
        <v xml:space="preserve"> </v>
      </c>
      <c r="K370" s="242" t="str">
        <f t="shared" si="32"/>
        <v xml:space="preserve"> </v>
      </c>
      <c r="L370" s="242" t="str">
        <f t="shared" si="33"/>
        <v xml:space="preserve"> </v>
      </c>
      <c r="M370" s="242" t="str">
        <f t="shared" si="34"/>
        <v xml:space="preserve"> </v>
      </c>
    </row>
    <row r="371" spans="6:13" x14ac:dyDescent="0.2">
      <c r="F371" s="216" t="str">
        <f t="shared" si="30"/>
        <v xml:space="preserve"> </v>
      </c>
      <c r="G371" s="50"/>
      <c r="H371" s="242" t="str">
        <f ca="1">IF(F371=1,PERCENTILE(INDIRECT("g"&amp;$D$8):INDIRECT("g"&amp;$E$8),0.5),IF(F371=2,PERCENTILE(INDIRECT("g"&amp;$D$9):INDIRECT("g"&amp;$E$9),0.5),IF(F371=3,PERCENTILE(INDIRECT("g"&amp;$D$10):INDIRECT("g"&amp;$E$10),0.5),IF(F371=4,PERCENTILE(INDIRECT("g"&amp;$D$11):INDIRECT("g"&amp;$E$11),0.5),IF(F371=5,PERCENTILE(INDIRECT("g"&amp;$D$12):INDIRECT("g"&amp;$E$12),0.5),IF(F371=6,PERCENTILE(INDIRECT("g"&amp;$D$13):INDIRECT("g"&amp;$E$13),0.5)," "))))))</f>
        <v xml:space="preserve"> </v>
      </c>
      <c r="I371" s="242" t="str">
        <f t="shared" si="31"/>
        <v xml:space="preserve"> </v>
      </c>
      <c r="J371" s="242" t="str">
        <f ca="1">IF(F371=1,AVERAGE(INDIRECT("I"&amp;$D$8):INDIRECT("I"&amp;$E$8)),IF(F371=2,AVERAGE(INDIRECT("I"&amp;$D$9):INDIRECT("I"&amp;$E$9)),IF(F371=3,AVERAGE(INDIRECT("I"&amp;$D$10):INDIRECT("I"&amp;$E$10)),IF(F371=4,AVERAGE(INDIRECT("I"&amp;$D$11):INDIRECT("I"&amp;$E$11)),IF(F371=5,AVERAGE(INDIRECT("I"&amp;$D$12):INDIRECT("I"&amp;$E$12)),IF(F371=6,AVERAGE(INDIRECT("I"&amp;$D$13):INDIRECT("I"&amp;$E$13))," "))))))</f>
        <v xml:space="preserve"> </v>
      </c>
      <c r="K371" s="242" t="str">
        <f t="shared" si="32"/>
        <v xml:space="preserve"> </v>
      </c>
      <c r="L371" s="242" t="str">
        <f t="shared" si="33"/>
        <v xml:space="preserve"> </v>
      </c>
      <c r="M371" s="242" t="str">
        <f t="shared" si="34"/>
        <v xml:space="preserve"> </v>
      </c>
    </row>
    <row r="372" spans="6:13" x14ac:dyDescent="0.2">
      <c r="F372" s="216" t="str">
        <f t="shared" si="30"/>
        <v xml:space="preserve"> </v>
      </c>
      <c r="G372" s="50"/>
      <c r="H372" s="242" t="str">
        <f ca="1">IF(F372=1,PERCENTILE(INDIRECT("g"&amp;$D$8):INDIRECT("g"&amp;$E$8),0.5),IF(F372=2,PERCENTILE(INDIRECT("g"&amp;$D$9):INDIRECT("g"&amp;$E$9),0.5),IF(F372=3,PERCENTILE(INDIRECT("g"&amp;$D$10):INDIRECT("g"&amp;$E$10),0.5),IF(F372=4,PERCENTILE(INDIRECT("g"&amp;$D$11):INDIRECT("g"&amp;$E$11),0.5),IF(F372=5,PERCENTILE(INDIRECT("g"&amp;$D$12):INDIRECT("g"&amp;$E$12),0.5),IF(F372=6,PERCENTILE(INDIRECT("g"&amp;$D$13):INDIRECT("g"&amp;$E$13),0.5)," "))))))</f>
        <v xml:space="preserve"> </v>
      </c>
      <c r="I372" s="242" t="str">
        <f t="shared" si="31"/>
        <v xml:space="preserve"> </v>
      </c>
      <c r="J372" s="242" t="str">
        <f ca="1">IF(F372=1,AVERAGE(INDIRECT("I"&amp;$D$8):INDIRECT("I"&amp;$E$8)),IF(F372=2,AVERAGE(INDIRECT("I"&amp;$D$9):INDIRECT("I"&amp;$E$9)),IF(F372=3,AVERAGE(INDIRECT("I"&amp;$D$10):INDIRECT("I"&amp;$E$10)),IF(F372=4,AVERAGE(INDIRECT("I"&amp;$D$11):INDIRECT("I"&amp;$E$11)),IF(F372=5,AVERAGE(INDIRECT("I"&amp;$D$12):INDIRECT("I"&amp;$E$12)),IF(F372=6,AVERAGE(INDIRECT("I"&amp;$D$13):INDIRECT("I"&amp;$E$13))," "))))))</f>
        <v xml:space="preserve"> </v>
      </c>
      <c r="K372" s="242" t="str">
        <f t="shared" si="32"/>
        <v xml:space="preserve"> </v>
      </c>
      <c r="L372" s="242" t="str">
        <f t="shared" si="33"/>
        <v xml:space="preserve"> </v>
      </c>
      <c r="M372" s="242" t="str">
        <f t="shared" si="34"/>
        <v xml:space="preserve"> </v>
      </c>
    </row>
    <row r="373" spans="6:13" x14ac:dyDescent="0.2">
      <c r="F373" s="216" t="str">
        <f t="shared" si="30"/>
        <v xml:space="preserve"> </v>
      </c>
      <c r="G373" s="50"/>
      <c r="H373" s="242" t="str">
        <f ca="1">IF(F373=1,PERCENTILE(INDIRECT("g"&amp;$D$8):INDIRECT("g"&amp;$E$8),0.5),IF(F373=2,PERCENTILE(INDIRECT("g"&amp;$D$9):INDIRECT("g"&amp;$E$9),0.5),IF(F373=3,PERCENTILE(INDIRECT("g"&amp;$D$10):INDIRECT("g"&amp;$E$10),0.5),IF(F373=4,PERCENTILE(INDIRECT("g"&amp;$D$11):INDIRECT("g"&amp;$E$11),0.5),IF(F373=5,PERCENTILE(INDIRECT("g"&amp;$D$12):INDIRECT("g"&amp;$E$12),0.5),IF(F373=6,PERCENTILE(INDIRECT("g"&amp;$D$13):INDIRECT("g"&amp;$E$13),0.5)," "))))))</f>
        <v xml:space="preserve"> </v>
      </c>
      <c r="I373" s="242" t="str">
        <f t="shared" si="31"/>
        <v xml:space="preserve"> </v>
      </c>
      <c r="J373" s="242" t="str">
        <f ca="1">IF(F373=1,AVERAGE(INDIRECT("I"&amp;$D$8):INDIRECT("I"&amp;$E$8)),IF(F373=2,AVERAGE(INDIRECT("I"&amp;$D$9):INDIRECT("I"&amp;$E$9)),IF(F373=3,AVERAGE(INDIRECT("I"&amp;$D$10):INDIRECT("I"&amp;$E$10)),IF(F373=4,AVERAGE(INDIRECT("I"&amp;$D$11):INDIRECT("I"&amp;$E$11)),IF(F373=5,AVERAGE(INDIRECT("I"&amp;$D$12):INDIRECT("I"&amp;$E$12)),IF(F373=6,AVERAGE(INDIRECT("I"&amp;$D$13):INDIRECT("I"&amp;$E$13))," "))))))</f>
        <v xml:space="preserve"> </v>
      </c>
      <c r="K373" s="242" t="str">
        <f t="shared" si="32"/>
        <v xml:space="preserve"> </v>
      </c>
      <c r="L373" s="242" t="str">
        <f t="shared" si="33"/>
        <v xml:space="preserve"> </v>
      </c>
      <c r="M373" s="242" t="str">
        <f t="shared" si="34"/>
        <v xml:space="preserve"> </v>
      </c>
    </row>
    <row r="374" spans="6:13" x14ac:dyDescent="0.2">
      <c r="F374" s="216" t="str">
        <f t="shared" si="30"/>
        <v xml:space="preserve"> </v>
      </c>
      <c r="G374" s="50"/>
      <c r="H374" s="242" t="str">
        <f ca="1">IF(F374=1,PERCENTILE(INDIRECT("g"&amp;$D$8):INDIRECT("g"&amp;$E$8),0.5),IF(F374=2,PERCENTILE(INDIRECT("g"&amp;$D$9):INDIRECT("g"&amp;$E$9),0.5),IF(F374=3,PERCENTILE(INDIRECT("g"&amp;$D$10):INDIRECT("g"&amp;$E$10),0.5),IF(F374=4,PERCENTILE(INDIRECT("g"&amp;$D$11):INDIRECT("g"&amp;$E$11),0.5),IF(F374=5,PERCENTILE(INDIRECT("g"&amp;$D$12):INDIRECT("g"&amp;$E$12),0.5),IF(F374=6,PERCENTILE(INDIRECT("g"&amp;$D$13):INDIRECT("g"&amp;$E$13),0.5)," "))))))</f>
        <v xml:space="preserve"> </v>
      </c>
      <c r="I374" s="242" t="str">
        <f t="shared" si="31"/>
        <v xml:space="preserve"> </v>
      </c>
      <c r="J374" s="242" t="str">
        <f ca="1">IF(F374=1,AVERAGE(INDIRECT("I"&amp;$D$8):INDIRECT("I"&amp;$E$8)),IF(F374=2,AVERAGE(INDIRECT("I"&amp;$D$9):INDIRECT("I"&amp;$E$9)),IF(F374=3,AVERAGE(INDIRECT("I"&amp;$D$10):INDIRECT("I"&amp;$E$10)),IF(F374=4,AVERAGE(INDIRECT("I"&amp;$D$11):INDIRECT("I"&amp;$E$11)),IF(F374=5,AVERAGE(INDIRECT("I"&amp;$D$12):INDIRECT("I"&amp;$E$12)),IF(F374=6,AVERAGE(INDIRECT("I"&amp;$D$13):INDIRECT("I"&amp;$E$13))," "))))))</f>
        <v xml:space="preserve"> </v>
      </c>
      <c r="K374" s="242" t="str">
        <f t="shared" si="32"/>
        <v xml:space="preserve"> </v>
      </c>
      <c r="L374" s="242" t="str">
        <f t="shared" si="33"/>
        <v xml:space="preserve"> </v>
      </c>
      <c r="M374" s="242" t="str">
        <f t="shared" si="34"/>
        <v xml:space="preserve"> </v>
      </c>
    </row>
    <row r="375" spans="6:13" x14ac:dyDescent="0.2">
      <c r="F375" s="216" t="str">
        <f t="shared" si="30"/>
        <v xml:space="preserve"> </v>
      </c>
      <c r="G375" s="50"/>
      <c r="H375" s="242" t="str">
        <f ca="1">IF(F375=1,PERCENTILE(INDIRECT("g"&amp;$D$8):INDIRECT("g"&amp;$E$8),0.5),IF(F375=2,PERCENTILE(INDIRECT("g"&amp;$D$9):INDIRECT("g"&amp;$E$9),0.5),IF(F375=3,PERCENTILE(INDIRECT("g"&amp;$D$10):INDIRECT("g"&amp;$E$10),0.5),IF(F375=4,PERCENTILE(INDIRECT("g"&amp;$D$11):INDIRECT("g"&amp;$E$11),0.5),IF(F375=5,PERCENTILE(INDIRECT("g"&amp;$D$12):INDIRECT("g"&amp;$E$12),0.5),IF(F375=6,PERCENTILE(INDIRECT("g"&amp;$D$13):INDIRECT("g"&amp;$E$13),0.5)," "))))))</f>
        <v xml:space="preserve"> </v>
      </c>
      <c r="I375" s="242" t="str">
        <f t="shared" si="31"/>
        <v xml:space="preserve"> </v>
      </c>
      <c r="J375" s="242" t="str">
        <f ca="1">IF(F375=1,AVERAGE(INDIRECT("I"&amp;$D$8):INDIRECT("I"&amp;$E$8)),IF(F375=2,AVERAGE(INDIRECT("I"&amp;$D$9):INDIRECT("I"&amp;$E$9)),IF(F375=3,AVERAGE(INDIRECT("I"&amp;$D$10):INDIRECT("I"&amp;$E$10)),IF(F375=4,AVERAGE(INDIRECT("I"&amp;$D$11):INDIRECT("I"&amp;$E$11)),IF(F375=5,AVERAGE(INDIRECT("I"&amp;$D$12):INDIRECT("I"&amp;$E$12)),IF(F375=6,AVERAGE(INDIRECT("I"&amp;$D$13):INDIRECT("I"&amp;$E$13))," "))))))</f>
        <v xml:space="preserve"> </v>
      </c>
      <c r="K375" s="242" t="str">
        <f t="shared" si="32"/>
        <v xml:space="preserve"> </v>
      </c>
      <c r="L375" s="242" t="str">
        <f t="shared" si="33"/>
        <v xml:space="preserve"> </v>
      </c>
      <c r="M375" s="242" t="str">
        <f t="shared" si="34"/>
        <v xml:space="preserve"> </v>
      </c>
    </row>
    <row r="376" spans="6:13" x14ac:dyDescent="0.2">
      <c r="F376" s="216" t="str">
        <f t="shared" si="30"/>
        <v xml:space="preserve"> </v>
      </c>
      <c r="G376" s="50"/>
      <c r="H376" s="242" t="str">
        <f ca="1">IF(F376=1,PERCENTILE(INDIRECT("g"&amp;$D$8):INDIRECT("g"&amp;$E$8),0.5),IF(F376=2,PERCENTILE(INDIRECT("g"&amp;$D$9):INDIRECT("g"&amp;$E$9),0.5),IF(F376=3,PERCENTILE(INDIRECT("g"&amp;$D$10):INDIRECT("g"&amp;$E$10),0.5),IF(F376=4,PERCENTILE(INDIRECT("g"&amp;$D$11):INDIRECT("g"&amp;$E$11),0.5),IF(F376=5,PERCENTILE(INDIRECT("g"&amp;$D$12):INDIRECT("g"&amp;$E$12),0.5),IF(F376=6,PERCENTILE(INDIRECT("g"&amp;$D$13):INDIRECT("g"&amp;$E$13),0.5)," "))))))</f>
        <v xml:space="preserve"> </v>
      </c>
      <c r="I376" s="242" t="str">
        <f t="shared" si="31"/>
        <v xml:space="preserve"> </v>
      </c>
      <c r="J376" s="242" t="str">
        <f ca="1">IF(F376=1,AVERAGE(INDIRECT("I"&amp;$D$8):INDIRECT("I"&amp;$E$8)),IF(F376=2,AVERAGE(INDIRECT("I"&amp;$D$9):INDIRECT("I"&amp;$E$9)),IF(F376=3,AVERAGE(INDIRECT("I"&amp;$D$10):INDIRECT("I"&amp;$E$10)),IF(F376=4,AVERAGE(INDIRECT("I"&amp;$D$11):INDIRECT("I"&amp;$E$11)),IF(F376=5,AVERAGE(INDIRECT("I"&amp;$D$12):INDIRECT("I"&amp;$E$12)),IF(F376=6,AVERAGE(INDIRECT("I"&amp;$D$13):INDIRECT("I"&amp;$E$13))," "))))))</f>
        <v xml:space="preserve"> </v>
      </c>
      <c r="K376" s="242" t="str">
        <f t="shared" si="32"/>
        <v xml:space="preserve"> </v>
      </c>
      <c r="L376" s="242" t="str">
        <f t="shared" si="33"/>
        <v xml:space="preserve"> </v>
      </c>
      <c r="M376" s="242" t="str">
        <f t="shared" si="34"/>
        <v xml:space="preserve"> </v>
      </c>
    </row>
    <row r="377" spans="6:13" x14ac:dyDescent="0.2">
      <c r="F377" s="216" t="str">
        <f t="shared" si="30"/>
        <v xml:space="preserve"> </v>
      </c>
      <c r="G377" s="50"/>
      <c r="H377" s="242" t="str">
        <f ca="1">IF(F377=1,PERCENTILE(INDIRECT("g"&amp;$D$8):INDIRECT("g"&amp;$E$8),0.5),IF(F377=2,PERCENTILE(INDIRECT("g"&amp;$D$9):INDIRECT("g"&amp;$E$9),0.5),IF(F377=3,PERCENTILE(INDIRECT("g"&amp;$D$10):INDIRECT("g"&amp;$E$10),0.5),IF(F377=4,PERCENTILE(INDIRECT("g"&amp;$D$11):INDIRECT("g"&amp;$E$11),0.5),IF(F377=5,PERCENTILE(INDIRECT("g"&amp;$D$12):INDIRECT("g"&amp;$E$12),0.5),IF(F377=6,PERCENTILE(INDIRECT("g"&amp;$D$13):INDIRECT("g"&amp;$E$13),0.5)," "))))))</f>
        <v xml:space="preserve"> </v>
      </c>
      <c r="I377" s="242" t="str">
        <f t="shared" si="31"/>
        <v xml:space="preserve"> </v>
      </c>
      <c r="J377" s="242" t="str">
        <f ca="1">IF(F377=1,AVERAGE(INDIRECT("I"&amp;$D$8):INDIRECT("I"&amp;$E$8)),IF(F377=2,AVERAGE(INDIRECT("I"&amp;$D$9):INDIRECT("I"&amp;$E$9)),IF(F377=3,AVERAGE(INDIRECT("I"&amp;$D$10):INDIRECT("I"&amp;$E$10)),IF(F377=4,AVERAGE(INDIRECT("I"&amp;$D$11):INDIRECT("I"&amp;$E$11)),IF(F377=5,AVERAGE(INDIRECT("I"&amp;$D$12):INDIRECT("I"&amp;$E$12)),IF(F377=6,AVERAGE(INDIRECT("I"&amp;$D$13):INDIRECT("I"&amp;$E$13))," "))))))</f>
        <v xml:space="preserve"> </v>
      </c>
      <c r="K377" s="242" t="str">
        <f t="shared" si="32"/>
        <v xml:space="preserve"> </v>
      </c>
      <c r="L377" s="242" t="str">
        <f t="shared" si="33"/>
        <v xml:space="preserve"> </v>
      </c>
      <c r="M377" s="242" t="str">
        <f t="shared" si="34"/>
        <v xml:space="preserve"> </v>
      </c>
    </row>
    <row r="378" spans="6:13" x14ac:dyDescent="0.2">
      <c r="F378" s="216" t="str">
        <f t="shared" si="30"/>
        <v xml:space="preserve"> </v>
      </c>
      <c r="G378" s="50"/>
      <c r="H378" s="242" t="str">
        <f ca="1">IF(F378=1,PERCENTILE(INDIRECT("g"&amp;$D$8):INDIRECT("g"&amp;$E$8),0.5),IF(F378=2,PERCENTILE(INDIRECT("g"&amp;$D$9):INDIRECT("g"&amp;$E$9),0.5),IF(F378=3,PERCENTILE(INDIRECT("g"&amp;$D$10):INDIRECT("g"&amp;$E$10),0.5),IF(F378=4,PERCENTILE(INDIRECT("g"&amp;$D$11):INDIRECT("g"&amp;$E$11),0.5),IF(F378=5,PERCENTILE(INDIRECT("g"&amp;$D$12):INDIRECT("g"&amp;$E$12),0.5),IF(F378=6,PERCENTILE(INDIRECT("g"&amp;$D$13):INDIRECT("g"&amp;$E$13),0.5)," "))))))</f>
        <v xml:space="preserve"> </v>
      </c>
      <c r="I378" s="242" t="str">
        <f t="shared" si="31"/>
        <v xml:space="preserve"> </v>
      </c>
      <c r="J378" s="242" t="str">
        <f ca="1">IF(F378=1,AVERAGE(INDIRECT("I"&amp;$D$8):INDIRECT("I"&amp;$E$8)),IF(F378=2,AVERAGE(INDIRECT("I"&amp;$D$9):INDIRECT("I"&amp;$E$9)),IF(F378=3,AVERAGE(INDIRECT("I"&amp;$D$10):INDIRECT("I"&amp;$E$10)),IF(F378=4,AVERAGE(INDIRECT("I"&amp;$D$11):INDIRECT("I"&amp;$E$11)),IF(F378=5,AVERAGE(INDIRECT("I"&amp;$D$12):INDIRECT("I"&amp;$E$12)),IF(F378=6,AVERAGE(INDIRECT("I"&amp;$D$13):INDIRECT("I"&amp;$E$13))," "))))))</f>
        <v xml:space="preserve"> </v>
      </c>
      <c r="K378" s="242" t="str">
        <f t="shared" si="32"/>
        <v xml:space="preserve"> </v>
      </c>
      <c r="L378" s="242" t="str">
        <f t="shared" si="33"/>
        <v xml:space="preserve"> </v>
      </c>
      <c r="M378" s="242" t="str">
        <f t="shared" si="34"/>
        <v xml:space="preserve"> </v>
      </c>
    </row>
    <row r="379" spans="6:13" x14ac:dyDescent="0.2">
      <c r="F379" s="216" t="str">
        <f t="shared" si="30"/>
        <v xml:space="preserve"> </v>
      </c>
      <c r="G379" s="50"/>
      <c r="H379" s="242" t="str">
        <f ca="1">IF(F379=1,PERCENTILE(INDIRECT("g"&amp;$D$8):INDIRECT("g"&amp;$E$8),0.5),IF(F379=2,PERCENTILE(INDIRECT("g"&amp;$D$9):INDIRECT("g"&amp;$E$9),0.5),IF(F379=3,PERCENTILE(INDIRECT("g"&amp;$D$10):INDIRECT("g"&amp;$E$10),0.5),IF(F379=4,PERCENTILE(INDIRECT("g"&amp;$D$11):INDIRECT("g"&amp;$E$11),0.5),IF(F379=5,PERCENTILE(INDIRECT("g"&amp;$D$12):INDIRECT("g"&amp;$E$12),0.5),IF(F379=6,PERCENTILE(INDIRECT("g"&amp;$D$13):INDIRECT("g"&amp;$E$13),0.5)," "))))))</f>
        <v xml:space="preserve"> </v>
      </c>
      <c r="I379" s="242" t="str">
        <f t="shared" si="31"/>
        <v xml:space="preserve"> </v>
      </c>
      <c r="J379" s="242" t="str">
        <f ca="1">IF(F379=1,AVERAGE(INDIRECT("I"&amp;$D$8):INDIRECT("I"&amp;$E$8)),IF(F379=2,AVERAGE(INDIRECT("I"&amp;$D$9):INDIRECT("I"&amp;$E$9)),IF(F379=3,AVERAGE(INDIRECT("I"&amp;$D$10):INDIRECT("I"&amp;$E$10)),IF(F379=4,AVERAGE(INDIRECT("I"&amp;$D$11):INDIRECT("I"&amp;$E$11)),IF(F379=5,AVERAGE(INDIRECT("I"&amp;$D$12):INDIRECT("I"&amp;$E$12)),IF(F379=6,AVERAGE(INDIRECT("I"&amp;$D$13):INDIRECT("I"&amp;$E$13))," "))))))</f>
        <v xml:space="preserve"> </v>
      </c>
      <c r="K379" s="242" t="str">
        <f t="shared" si="32"/>
        <v xml:space="preserve"> </v>
      </c>
      <c r="L379" s="242" t="str">
        <f t="shared" si="33"/>
        <v xml:space="preserve"> </v>
      </c>
      <c r="M379" s="242" t="str">
        <f t="shared" si="34"/>
        <v xml:space="preserve"> </v>
      </c>
    </row>
    <row r="380" spans="6:13" x14ac:dyDescent="0.2">
      <c r="F380" s="216" t="str">
        <f t="shared" si="30"/>
        <v xml:space="preserve"> </v>
      </c>
      <c r="G380" s="50"/>
      <c r="H380" s="242" t="str">
        <f ca="1">IF(F380=1,PERCENTILE(INDIRECT("g"&amp;$D$8):INDIRECT("g"&amp;$E$8),0.5),IF(F380=2,PERCENTILE(INDIRECT("g"&amp;$D$9):INDIRECT("g"&amp;$E$9),0.5),IF(F380=3,PERCENTILE(INDIRECT("g"&amp;$D$10):INDIRECT("g"&amp;$E$10),0.5),IF(F380=4,PERCENTILE(INDIRECT("g"&amp;$D$11):INDIRECT("g"&amp;$E$11),0.5),IF(F380=5,PERCENTILE(INDIRECT("g"&amp;$D$12):INDIRECT("g"&amp;$E$12),0.5),IF(F380=6,PERCENTILE(INDIRECT("g"&amp;$D$13):INDIRECT("g"&amp;$E$13),0.5)," "))))))</f>
        <v xml:space="preserve"> </v>
      </c>
      <c r="I380" s="242" t="str">
        <f t="shared" si="31"/>
        <v xml:space="preserve"> </v>
      </c>
      <c r="J380" s="242" t="str">
        <f ca="1">IF(F380=1,AVERAGE(INDIRECT("I"&amp;$D$8):INDIRECT("I"&amp;$E$8)),IF(F380=2,AVERAGE(INDIRECT("I"&amp;$D$9):INDIRECT("I"&amp;$E$9)),IF(F380=3,AVERAGE(INDIRECT("I"&amp;$D$10):INDIRECT("I"&amp;$E$10)),IF(F380=4,AVERAGE(INDIRECT("I"&amp;$D$11):INDIRECT("I"&amp;$E$11)),IF(F380=5,AVERAGE(INDIRECT("I"&amp;$D$12):INDIRECT("I"&amp;$E$12)),IF(F380=6,AVERAGE(INDIRECT("I"&amp;$D$13):INDIRECT("I"&amp;$E$13))," "))))))</f>
        <v xml:space="preserve"> </v>
      </c>
      <c r="K380" s="242" t="str">
        <f t="shared" si="32"/>
        <v xml:space="preserve"> </v>
      </c>
      <c r="L380" s="242" t="str">
        <f t="shared" si="33"/>
        <v xml:space="preserve"> </v>
      </c>
      <c r="M380" s="242" t="str">
        <f t="shared" si="34"/>
        <v xml:space="preserve"> </v>
      </c>
    </row>
    <row r="381" spans="6:13" x14ac:dyDescent="0.2">
      <c r="F381" s="216" t="str">
        <f t="shared" si="30"/>
        <v xml:space="preserve"> </v>
      </c>
      <c r="G381" s="50"/>
      <c r="H381" s="242" t="str">
        <f ca="1">IF(F381=1,PERCENTILE(INDIRECT("g"&amp;$D$8):INDIRECT("g"&amp;$E$8),0.5),IF(F381=2,PERCENTILE(INDIRECT("g"&amp;$D$9):INDIRECT("g"&amp;$E$9),0.5),IF(F381=3,PERCENTILE(INDIRECT("g"&amp;$D$10):INDIRECT("g"&amp;$E$10),0.5),IF(F381=4,PERCENTILE(INDIRECT("g"&amp;$D$11):INDIRECT("g"&amp;$E$11),0.5),IF(F381=5,PERCENTILE(INDIRECT("g"&amp;$D$12):INDIRECT("g"&amp;$E$12),0.5),IF(F381=6,PERCENTILE(INDIRECT("g"&amp;$D$13):INDIRECT("g"&amp;$E$13),0.5)," "))))))</f>
        <v xml:space="preserve"> </v>
      </c>
      <c r="I381" s="242" t="str">
        <f t="shared" si="31"/>
        <v xml:space="preserve"> </v>
      </c>
      <c r="J381" s="242" t="str">
        <f ca="1">IF(F381=1,AVERAGE(INDIRECT("I"&amp;$D$8):INDIRECT("I"&amp;$E$8)),IF(F381=2,AVERAGE(INDIRECT("I"&amp;$D$9):INDIRECT("I"&amp;$E$9)),IF(F381=3,AVERAGE(INDIRECT("I"&amp;$D$10):INDIRECT("I"&amp;$E$10)),IF(F381=4,AVERAGE(INDIRECT("I"&amp;$D$11):INDIRECT("I"&amp;$E$11)),IF(F381=5,AVERAGE(INDIRECT("I"&amp;$D$12):INDIRECT("I"&amp;$E$12)),IF(F381=6,AVERAGE(INDIRECT("I"&amp;$D$13):INDIRECT("I"&amp;$E$13))," "))))))</f>
        <v xml:space="preserve"> </v>
      </c>
      <c r="K381" s="242" t="str">
        <f t="shared" si="32"/>
        <v xml:space="preserve"> </v>
      </c>
      <c r="L381" s="242" t="str">
        <f t="shared" si="33"/>
        <v xml:space="preserve"> </v>
      </c>
      <c r="M381" s="242" t="str">
        <f t="shared" si="34"/>
        <v xml:space="preserve"> </v>
      </c>
    </row>
    <row r="382" spans="6:13" x14ac:dyDescent="0.2">
      <c r="F382" s="216" t="str">
        <f t="shared" si="30"/>
        <v xml:space="preserve"> </v>
      </c>
      <c r="G382" s="50"/>
      <c r="H382" s="242" t="str">
        <f ca="1">IF(F382=1,PERCENTILE(INDIRECT("g"&amp;$D$8):INDIRECT("g"&amp;$E$8),0.5),IF(F382=2,PERCENTILE(INDIRECT("g"&amp;$D$9):INDIRECT("g"&amp;$E$9),0.5),IF(F382=3,PERCENTILE(INDIRECT("g"&amp;$D$10):INDIRECT("g"&amp;$E$10),0.5),IF(F382=4,PERCENTILE(INDIRECT("g"&amp;$D$11):INDIRECT("g"&amp;$E$11),0.5),IF(F382=5,PERCENTILE(INDIRECT("g"&amp;$D$12):INDIRECT("g"&amp;$E$12),0.5),IF(F382=6,PERCENTILE(INDIRECT("g"&amp;$D$13):INDIRECT("g"&amp;$E$13),0.5)," "))))))</f>
        <v xml:space="preserve"> </v>
      </c>
      <c r="I382" s="242" t="str">
        <f t="shared" si="31"/>
        <v xml:space="preserve"> </v>
      </c>
      <c r="J382" s="242" t="str">
        <f ca="1">IF(F382=1,AVERAGE(INDIRECT("I"&amp;$D$8):INDIRECT("I"&amp;$E$8)),IF(F382=2,AVERAGE(INDIRECT("I"&amp;$D$9):INDIRECT("I"&amp;$E$9)),IF(F382=3,AVERAGE(INDIRECT("I"&amp;$D$10):INDIRECT("I"&amp;$E$10)),IF(F382=4,AVERAGE(INDIRECT("I"&amp;$D$11):INDIRECT("I"&amp;$E$11)),IF(F382=5,AVERAGE(INDIRECT("I"&amp;$D$12):INDIRECT("I"&amp;$E$12)),IF(F382=6,AVERAGE(INDIRECT("I"&amp;$D$13):INDIRECT("I"&amp;$E$13))," "))))))</f>
        <v xml:space="preserve"> </v>
      </c>
      <c r="K382" s="242" t="str">
        <f t="shared" si="32"/>
        <v xml:space="preserve"> </v>
      </c>
      <c r="L382" s="242" t="str">
        <f t="shared" si="33"/>
        <v xml:space="preserve"> </v>
      </c>
      <c r="M382" s="242" t="str">
        <f t="shared" si="34"/>
        <v xml:space="preserve"> </v>
      </c>
    </row>
    <row r="383" spans="6:13" x14ac:dyDescent="0.2">
      <c r="F383" s="216" t="str">
        <f t="shared" si="30"/>
        <v xml:space="preserve"> </v>
      </c>
      <c r="G383" s="50"/>
      <c r="H383" s="242" t="str">
        <f ca="1">IF(F383=1,PERCENTILE(INDIRECT("g"&amp;$D$8):INDIRECT("g"&amp;$E$8),0.5),IF(F383=2,PERCENTILE(INDIRECT("g"&amp;$D$9):INDIRECT("g"&amp;$E$9),0.5),IF(F383=3,PERCENTILE(INDIRECT("g"&amp;$D$10):INDIRECT("g"&amp;$E$10),0.5),IF(F383=4,PERCENTILE(INDIRECT("g"&amp;$D$11):INDIRECT("g"&amp;$E$11),0.5),IF(F383=5,PERCENTILE(INDIRECT("g"&amp;$D$12):INDIRECT("g"&amp;$E$12),0.5),IF(F383=6,PERCENTILE(INDIRECT("g"&amp;$D$13):INDIRECT("g"&amp;$E$13),0.5)," "))))))</f>
        <v xml:space="preserve"> </v>
      </c>
      <c r="I383" s="242" t="str">
        <f t="shared" si="31"/>
        <v xml:space="preserve"> </v>
      </c>
      <c r="J383" s="242" t="str">
        <f ca="1">IF(F383=1,AVERAGE(INDIRECT("I"&amp;$D$8):INDIRECT("I"&amp;$E$8)),IF(F383=2,AVERAGE(INDIRECT("I"&amp;$D$9):INDIRECT("I"&amp;$E$9)),IF(F383=3,AVERAGE(INDIRECT("I"&amp;$D$10):INDIRECT("I"&amp;$E$10)),IF(F383=4,AVERAGE(INDIRECT("I"&amp;$D$11):INDIRECT("I"&amp;$E$11)),IF(F383=5,AVERAGE(INDIRECT("I"&amp;$D$12):INDIRECT("I"&amp;$E$12)),IF(F383=6,AVERAGE(INDIRECT("I"&amp;$D$13):INDIRECT("I"&amp;$E$13))," "))))))</f>
        <v xml:space="preserve"> </v>
      </c>
      <c r="K383" s="242" t="str">
        <f t="shared" si="32"/>
        <v xml:space="preserve"> </v>
      </c>
      <c r="L383" s="242" t="str">
        <f t="shared" si="33"/>
        <v xml:space="preserve"> </v>
      </c>
      <c r="M383" s="242" t="str">
        <f t="shared" si="34"/>
        <v xml:space="preserve"> </v>
      </c>
    </row>
    <row r="384" spans="6:13" x14ac:dyDescent="0.2">
      <c r="F384" s="216" t="str">
        <f t="shared" si="30"/>
        <v xml:space="preserve"> </v>
      </c>
      <c r="G384" s="50"/>
      <c r="H384" s="242" t="str">
        <f ca="1">IF(F384=1,PERCENTILE(INDIRECT("g"&amp;$D$8):INDIRECT("g"&amp;$E$8),0.5),IF(F384=2,PERCENTILE(INDIRECT("g"&amp;$D$9):INDIRECT("g"&amp;$E$9),0.5),IF(F384=3,PERCENTILE(INDIRECT("g"&amp;$D$10):INDIRECT("g"&amp;$E$10),0.5),IF(F384=4,PERCENTILE(INDIRECT("g"&amp;$D$11):INDIRECT("g"&amp;$E$11),0.5),IF(F384=5,PERCENTILE(INDIRECT("g"&amp;$D$12):INDIRECT("g"&amp;$E$12),0.5),IF(F384=6,PERCENTILE(INDIRECT("g"&amp;$D$13):INDIRECT("g"&amp;$E$13),0.5)," "))))))</f>
        <v xml:space="preserve"> </v>
      </c>
      <c r="I384" s="242" t="str">
        <f t="shared" si="31"/>
        <v xml:space="preserve"> </v>
      </c>
      <c r="J384" s="242" t="str">
        <f ca="1">IF(F384=1,AVERAGE(INDIRECT("I"&amp;$D$8):INDIRECT("I"&amp;$E$8)),IF(F384=2,AVERAGE(INDIRECT("I"&amp;$D$9):INDIRECT("I"&amp;$E$9)),IF(F384=3,AVERAGE(INDIRECT("I"&amp;$D$10):INDIRECT("I"&amp;$E$10)),IF(F384=4,AVERAGE(INDIRECT("I"&amp;$D$11):INDIRECT("I"&amp;$E$11)),IF(F384=5,AVERAGE(INDIRECT("I"&amp;$D$12):INDIRECT("I"&amp;$E$12)),IF(F384=6,AVERAGE(INDIRECT("I"&amp;$D$13):INDIRECT("I"&amp;$E$13))," "))))))</f>
        <v xml:space="preserve"> </v>
      </c>
      <c r="K384" s="242" t="str">
        <f t="shared" si="32"/>
        <v xml:space="preserve"> </v>
      </c>
      <c r="L384" s="242" t="str">
        <f t="shared" si="33"/>
        <v xml:space="preserve"> </v>
      </c>
      <c r="M384" s="242" t="str">
        <f t="shared" si="34"/>
        <v xml:space="preserve"> </v>
      </c>
    </row>
    <row r="385" spans="6:13" x14ac:dyDescent="0.2">
      <c r="F385" s="216" t="str">
        <f t="shared" si="30"/>
        <v xml:space="preserve"> </v>
      </c>
      <c r="G385" s="50"/>
      <c r="H385" s="242" t="str">
        <f ca="1">IF(F385=1,PERCENTILE(INDIRECT("g"&amp;$D$8):INDIRECT("g"&amp;$E$8),0.5),IF(F385=2,PERCENTILE(INDIRECT("g"&amp;$D$9):INDIRECT("g"&amp;$E$9),0.5),IF(F385=3,PERCENTILE(INDIRECT("g"&amp;$D$10):INDIRECT("g"&amp;$E$10),0.5),IF(F385=4,PERCENTILE(INDIRECT("g"&amp;$D$11):INDIRECT("g"&amp;$E$11),0.5),IF(F385=5,PERCENTILE(INDIRECT("g"&amp;$D$12):INDIRECT("g"&amp;$E$12),0.5),IF(F385=6,PERCENTILE(INDIRECT("g"&amp;$D$13):INDIRECT("g"&amp;$E$13),0.5)," "))))))</f>
        <v xml:space="preserve"> </v>
      </c>
      <c r="I385" s="242" t="str">
        <f t="shared" si="31"/>
        <v xml:space="preserve"> </v>
      </c>
      <c r="J385" s="242" t="str">
        <f ca="1">IF(F385=1,AVERAGE(INDIRECT("I"&amp;$D$8):INDIRECT("I"&amp;$E$8)),IF(F385=2,AVERAGE(INDIRECT("I"&amp;$D$9):INDIRECT("I"&amp;$E$9)),IF(F385=3,AVERAGE(INDIRECT("I"&amp;$D$10):INDIRECT("I"&amp;$E$10)),IF(F385=4,AVERAGE(INDIRECT("I"&amp;$D$11):INDIRECT("I"&amp;$E$11)),IF(F385=5,AVERAGE(INDIRECT("I"&amp;$D$12):INDIRECT("I"&amp;$E$12)),IF(F385=6,AVERAGE(INDIRECT("I"&amp;$D$13):INDIRECT("I"&amp;$E$13))," "))))))</f>
        <v xml:space="preserve"> </v>
      </c>
      <c r="K385" s="242" t="str">
        <f t="shared" si="32"/>
        <v xml:space="preserve"> </v>
      </c>
      <c r="L385" s="242" t="str">
        <f t="shared" si="33"/>
        <v xml:space="preserve"> </v>
      </c>
      <c r="M385" s="242" t="str">
        <f t="shared" si="34"/>
        <v xml:space="preserve"> </v>
      </c>
    </row>
    <row r="386" spans="6:13" x14ac:dyDescent="0.2">
      <c r="F386" s="216" t="str">
        <f t="shared" si="30"/>
        <v xml:space="preserve"> </v>
      </c>
      <c r="G386" s="50"/>
      <c r="H386" s="242" t="str">
        <f ca="1">IF(F386=1,PERCENTILE(INDIRECT("g"&amp;$D$8):INDIRECT("g"&amp;$E$8),0.5),IF(F386=2,PERCENTILE(INDIRECT("g"&amp;$D$9):INDIRECT("g"&amp;$E$9),0.5),IF(F386=3,PERCENTILE(INDIRECT("g"&amp;$D$10):INDIRECT("g"&amp;$E$10),0.5),IF(F386=4,PERCENTILE(INDIRECT("g"&amp;$D$11):INDIRECT("g"&amp;$E$11),0.5),IF(F386=5,PERCENTILE(INDIRECT("g"&amp;$D$12):INDIRECT("g"&amp;$E$12),0.5),IF(F386=6,PERCENTILE(INDIRECT("g"&amp;$D$13):INDIRECT("g"&amp;$E$13),0.5)," "))))))</f>
        <v xml:space="preserve"> </v>
      </c>
      <c r="I386" s="242" t="str">
        <f t="shared" si="31"/>
        <v xml:space="preserve"> </v>
      </c>
      <c r="J386" s="242" t="str">
        <f ca="1">IF(F386=1,AVERAGE(INDIRECT("I"&amp;$D$8):INDIRECT("I"&amp;$E$8)),IF(F386=2,AVERAGE(INDIRECT("I"&amp;$D$9):INDIRECT("I"&amp;$E$9)),IF(F386=3,AVERAGE(INDIRECT("I"&amp;$D$10):INDIRECT("I"&amp;$E$10)),IF(F386=4,AVERAGE(INDIRECT("I"&amp;$D$11):INDIRECT("I"&amp;$E$11)),IF(F386=5,AVERAGE(INDIRECT("I"&amp;$D$12):INDIRECT("I"&amp;$E$12)),IF(F386=6,AVERAGE(INDIRECT("I"&amp;$D$13):INDIRECT("I"&amp;$E$13))," "))))))</f>
        <v xml:space="preserve"> </v>
      </c>
      <c r="K386" s="242" t="str">
        <f t="shared" si="32"/>
        <v xml:space="preserve"> </v>
      </c>
      <c r="L386" s="242" t="str">
        <f t="shared" si="33"/>
        <v xml:space="preserve"> </v>
      </c>
      <c r="M386" s="242" t="str">
        <f t="shared" si="34"/>
        <v xml:space="preserve"> </v>
      </c>
    </row>
    <row r="387" spans="6:13" x14ac:dyDescent="0.2">
      <c r="F387" s="216" t="str">
        <f t="shared" si="30"/>
        <v xml:space="preserve"> </v>
      </c>
      <c r="G387" s="50"/>
      <c r="H387" s="242" t="str">
        <f ca="1">IF(F387=1,PERCENTILE(INDIRECT("g"&amp;$D$8):INDIRECT("g"&amp;$E$8),0.5),IF(F387=2,PERCENTILE(INDIRECT("g"&amp;$D$9):INDIRECT("g"&amp;$E$9),0.5),IF(F387=3,PERCENTILE(INDIRECT("g"&amp;$D$10):INDIRECT("g"&amp;$E$10),0.5),IF(F387=4,PERCENTILE(INDIRECT("g"&amp;$D$11):INDIRECT("g"&amp;$E$11),0.5),IF(F387=5,PERCENTILE(INDIRECT("g"&amp;$D$12):INDIRECT("g"&amp;$E$12),0.5),IF(F387=6,PERCENTILE(INDIRECT("g"&amp;$D$13):INDIRECT("g"&amp;$E$13),0.5)," "))))))</f>
        <v xml:space="preserve"> </v>
      </c>
      <c r="I387" s="242" t="str">
        <f t="shared" si="31"/>
        <v xml:space="preserve"> </v>
      </c>
      <c r="J387" s="242" t="str">
        <f ca="1">IF(F387=1,AVERAGE(INDIRECT("I"&amp;$D$8):INDIRECT("I"&amp;$E$8)),IF(F387=2,AVERAGE(INDIRECT("I"&amp;$D$9):INDIRECT("I"&amp;$E$9)),IF(F387=3,AVERAGE(INDIRECT("I"&amp;$D$10):INDIRECT("I"&amp;$E$10)),IF(F387=4,AVERAGE(INDIRECT("I"&amp;$D$11):INDIRECT("I"&amp;$E$11)),IF(F387=5,AVERAGE(INDIRECT("I"&amp;$D$12):INDIRECT("I"&amp;$E$12)),IF(F387=6,AVERAGE(INDIRECT("I"&amp;$D$13):INDIRECT("I"&amp;$E$13))," "))))))</f>
        <v xml:space="preserve"> </v>
      </c>
      <c r="K387" s="242" t="str">
        <f t="shared" si="32"/>
        <v xml:space="preserve"> </v>
      </c>
      <c r="L387" s="242" t="str">
        <f t="shared" si="33"/>
        <v xml:space="preserve"> </v>
      </c>
      <c r="M387" s="242" t="str">
        <f t="shared" si="34"/>
        <v xml:space="preserve"> </v>
      </c>
    </row>
    <row r="388" spans="6:13" x14ac:dyDescent="0.2">
      <c r="F388" s="216" t="str">
        <f t="shared" si="30"/>
        <v xml:space="preserve"> </v>
      </c>
      <c r="G388" s="50"/>
      <c r="H388" s="242" t="str">
        <f ca="1">IF(F388=1,PERCENTILE(INDIRECT("g"&amp;$D$8):INDIRECT("g"&amp;$E$8),0.5),IF(F388=2,PERCENTILE(INDIRECT("g"&amp;$D$9):INDIRECT("g"&amp;$E$9),0.5),IF(F388=3,PERCENTILE(INDIRECT("g"&amp;$D$10):INDIRECT("g"&amp;$E$10),0.5),IF(F388=4,PERCENTILE(INDIRECT("g"&amp;$D$11):INDIRECT("g"&amp;$E$11),0.5),IF(F388=5,PERCENTILE(INDIRECT("g"&amp;$D$12):INDIRECT("g"&amp;$E$12),0.5),IF(F388=6,PERCENTILE(INDIRECT("g"&amp;$D$13):INDIRECT("g"&amp;$E$13),0.5)," "))))))</f>
        <v xml:space="preserve"> </v>
      </c>
      <c r="I388" s="242" t="str">
        <f t="shared" si="31"/>
        <v xml:space="preserve"> </v>
      </c>
      <c r="J388" s="242" t="str">
        <f ca="1">IF(F388=1,AVERAGE(INDIRECT("I"&amp;$D$8):INDIRECT("I"&amp;$E$8)),IF(F388=2,AVERAGE(INDIRECT("I"&amp;$D$9):INDIRECT("I"&amp;$E$9)),IF(F388=3,AVERAGE(INDIRECT("I"&amp;$D$10):INDIRECT("I"&amp;$E$10)),IF(F388=4,AVERAGE(INDIRECT("I"&amp;$D$11):INDIRECT("I"&amp;$E$11)),IF(F388=5,AVERAGE(INDIRECT("I"&amp;$D$12):INDIRECT("I"&amp;$E$12)),IF(F388=6,AVERAGE(INDIRECT("I"&amp;$D$13):INDIRECT("I"&amp;$E$13))," "))))))</f>
        <v xml:space="preserve"> </v>
      </c>
      <c r="K388" s="242" t="str">
        <f t="shared" si="32"/>
        <v xml:space="preserve"> </v>
      </c>
      <c r="L388" s="242" t="str">
        <f t="shared" si="33"/>
        <v xml:space="preserve"> </v>
      </c>
      <c r="M388" s="242" t="str">
        <f t="shared" si="34"/>
        <v xml:space="preserve"> </v>
      </c>
    </row>
    <row r="389" spans="6:13" x14ac:dyDescent="0.2">
      <c r="F389" s="216" t="str">
        <f t="shared" si="30"/>
        <v xml:space="preserve"> </v>
      </c>
      <c r="G389" s="50"/>
      <c r="H389" s="242" t="str">
        <f ca="1">IF(F389=1,PERCENTILE(INDIRECT("g"&amp;$D$8):INDIRECT("g"&amp;$E$8),0.5),IF(F389=2,PERCENTILE(INDIRECT("g"&amp;$D$9):INDIRECT("g"&amp;$E$9),0.5),IF(F389=3,PERCENTILE(INDIRECT("g"&amp;$D$10):INDIRECT("g"&amp;$E$10),0.5),IF(F389=4,PERCENTILE(INDIRECT("g"&amp;$D$11):INDIRECT("g"&amp;$E$11),0.5),IF(F389=5,PERCENTILE(INDIRECT("g"&amp;$D$12):INDIRECT("g"&amp;$E$12),0.5),IF(F389=6,PERCENTILE(INDIRECT("g"&amp;$D$13):INDIRECT("g"&amp;$E$13),0.5)," "))))))</f>
        <v xml:space="preserve"> </v>
      </c>
      <c r="I389" s="242" t="str">
        <f t="shared" si="31"/>
        <v xml:space="preserve"> </v>
      </c>
      <c r="J389" s="242" t="str">
        <f ca="1">IF(F389=1,AVERAGE(INDIRECT("I"&amp;$D$8):INDIRECT("I"&amp;$E$8)),IF(F389=2,AVERAGE(INDIRECT("I"&amp;$D$9):INDIRECT("I"&amp;$E$9)),IF(F389=3,AVERAGE(INDIRECT("I"&amp;$D$10):INDIRECT("I"&amp;$E$10)),IF(F389=4,AVERAGE(INDIRECT("I"&amp;$D$11):INDIRECT("I"&amp;$E$11)),IF(F389=5,AVERAGE(INDIRECT("I"&amp;$D$12):INDIRECT("I"&amp;$E$12)),IF(F389=6,AVERAGE(INDIRECT("I"&amp;$D$13):INDIRECT("I"&amp;$E$13))," "))))))</f>
        <v xml:space="preserve"> </v>
      </c>
      <c r="K389" s="242" t="str">
        <f t="shared" si="32"/>
        <v xml:space="preserve"> </v>
      </c>
      <c r="L389" s="242" t="str">
        <f t="shared" si="33"/>
        <v xml:space="preserve"> </v>
      </c>
      <c r="M389" s="242" t="str">
        <f t="shared" si="34"/>
        <v xml:space="preserve"> </v>
      </c>
    </row>
    <row r="390" spans="6:13" x14ac:dyDescent="0.2">
      <c r="F390" s="216" t="str">
        <f t="shared" ref="F390:F453" si="35">IF(AND(ROW()&gt;=$D$8,ROW()&lt;=$E$8),1,IF(AND(ROW()&gt;=$D$9,ROW()&lt;=$E$9),2,IF(AND(ROW()&gt;=$D$10,ROW()&lt;=$E$10),3,IF(AND(ROW()&gt;=$D$11,ROW()&lt;=$E$11),4,IF(AND(ROW()&gt;=$D$12,ROW()&lt;=$E$12),5,IF(AND(ROW()&gt;=$D$13,ROW()&lt;=$E$13),6," "))))))</f>
        <v xml:space="preserve"> </v>
      </c>
      <c r="G390" s="50"/>
      <c r="H390" s="242" t="str">
        <f ca="1">IF(F390=1,PERCENTILE(INDIRECT("g"&amp;$D$8):INDIRECT("g"&amp;$E$8),0.5),IF(F390=2,PERCENTILE(INDIRECT("g"&amp;$D$9):INDIRECT("g"&amp;$E$9),0.5),IF(F390=3,PERCENTILE(INDIRECT("g"&amp;$D$10):INDIRECT("g"&amp;$E$10),0.5),IF(F390=4,PERCENTILE(INDIRECT("g"&amp;$D$11):INDIRECT("g"&amp;$E$11),0.5),IF(F390=5,PERCENTILE(INDIRECT("g"&amp;$D$12):INDIRECT("g"&amp;$E$12),0.5),IF(F390=6,PERCENTILE(INDIRECT("g"&amp;$D$13):INDIRECT("g"&amp;$E$13),0.5)," "))))))</f>
        <v xml:space="preserve"> </v>
      </c>
      <c r="I390" s="242" t="str">
        <f t="shared" ref="I390:I453" si="36">IF(ROW()&lt;=MAX($E$8:$E$13),ABS(G390-H390)," ")</f>
        <v xml:space="preserve"> </v>
      </c>
      <c r="J390" s="242" t="str">
        <f ca="1">IF(F390=1,AVERAGE(INDIRECT("I"&amp;$D$8):INDIRECT("I"&amp;$E$8)),IF(F390=2,AVERAGE(INDIRECT("I"&amp;$D$9):INDIRECT("I"&amp;$E$9)),IF(F390=3,AVERAGE(INDIRECT("I"&amp;$D$10):INDIRECT("I"&amp;$E$10)),IF(F390=4,AVERAGE(INDIRECT("I"&amp;$D$11):INDIRECT("I"&amp;$E$11)),IF(F390=5,AVERAGE(INDIRECT("I"&amp;$D$12):INDIRECT("I"&amp;$E$12)),IF(F390=6,AVERAGE(INDIRECT("I"&amp;$D$13):INDIRECT("I"&amp;$E$13))," "))))))</f>
        <v xml:space="preserve"> </v>
      </c>
      <c r="K390" s="242" t="str">
        <f t="shared" ref="K390:K453" si="37">IF(ROW()&lt;=MAX($E$8:$E$13),AVERAGE($I$6:$I$1005)," ")</f>
        <v xml:space="preserve"> </v>
      </c>
      <c r="L390" s="242" t="str">
        <f t="shared" ref="L390:L453" si="38">IF(ROW()&lt;=MAX($E$8:$E$13),(I390-J390)^2," ")</f>
        <v xml:space="preserve"> </v>
      </c>
      <c r="M390" s="242" t="str">
        <f t="shared" ref="M390:M453" si="39">IF(ROW()&lt;=MAX($E$8:$E$13),(J390-K390)^2," ")</f>
        <v xml:space="preserve"> </v>
      </c>
    </row>
    <row r="391" spans="6:13" x14ac:dyDescent="0.2">
      <c r="F391" s="216" t="str">
        <f t="shared" si="35"/>
        <v xml:space="preserve"> </v>
      </c>
      <c r="G391" s="50"/>
      <c r="H391" s="242" t="str">
        <f ca="1">IF(F391=1,PERCENTILE(INDIRECT("g"&amp;$D$8):INDIRECT("g"&amp;$E$8),0.5),IF(F391=2,PERCENTILE(INDIRECT("g"&amp;$D$9):INDIRECT("g"&amp;$E$9),0.5),IF(F391=3,PERCENTILE(INDIRECT("g"&amp;$D$10):INDIRECT("g"&amp;$E$10),0.5),IF(F391=4,PERCENTILE(INDIRECT("g"&amp;$D$11):INDIRECT("g"&amp;$E$11),0.5),IF(F391=5,PERCENTILE(INDIRECT("g"&amp;$D$12):INDIRECT("g"&amp;$E$12),0.5),IF(F391=6,PERCENTILE(INDIRECT("g"&amp;$D$13):INDIRECT("g"&amp;$E$13),0.5)," "))))))</f>
        <v xml:space="preserve"> </v>
      </c>
      <c r="I391" s="242" t="str">
        <f t="shared" si="36"/>
        <v xml:space="preserve"> </v>
      </c>
      <c r="J391" s="242" t="str">
        <f ca="1">IF(F391=1,AVERAGE(INDIRECT("I"&amp;$D$8):INDIRECT("I"&amp;$E$8)),IF(F391=2,AVERAGE(INDIRECT("I"&amp;$D$9):INDIRECT("I"&amp;$E$9)),IF(F391=3,AVERAGE(INDIRECT("I"&amp;$D$10):INDIRECT("I"&amp;$E$10)),IF(F391=4,AVERAGE(INDIRECT("I"&amp;$D$11):INDIRECT("I"&amp;$E$11)),IF(F391=5,AVERAGE(INDIRECT("I"&amp;$D$12):INDIRECT("I"&amp;$E$12)),IF(F391=6,AVERAGE(INDIRECT("I"&amp;$D$13):INDIRECT("I"&amp;$E$13))," "))))))</f>
        <v xml:space="preserve"> </v>
      </c>
      <c r="K391" s="242" t="str">
        <f t="shared" si="37"/>
        <v xml:space="preserve"> </v>
      </c>
      <c r="L391" s="242" t="str">
        <f t="shared" si="38"/>
        <v xml:space="preserve"> </v>
      </c>
      <c r="M391" s="242" t="str">
        <f t="shared" si="39"/>
        <v xml:space="preserve"> </v>
      </c>
    </row>
    <row r="392" spans="6:13" x14ac:dyDescent="0.2">
      <c r="F392" s="216" t="str">
        <f t="shared" si="35"/>
        <v xml:space="preserve"> </v>
      </c>
      <c r="G392" s="50"/>
      <c r="H392" s="242" t="str">
        <f ca="1">IF(F392=1,PERCENTILE(INDIRECT("g"&amp;$D$8):INDIRECT("g"&amp;$E$8),0.5),IF(F392=2,PERCENTILE(INDIRECT("g"&amp;$D$9):INDIRECT("g"&amp;$E$9),0.5),IF(F392=3,PERCENTILE(INDIRECT("g"&amp;$D$10):INDIRECT("g"&amp;$E$10),0.5),IF(F392=4,PERCENTILE(INDIRECT("g"&amp;$D$11):INDIRECT("g"&amp;$E$11),0.5),IF(F392=5,PERCENTILE(INDIRECT("g"&amp;$D$12):INDIRECT("g"&amp;$E$12),0.5),IF(F392=6,PERCENTILE(INDIRECT("g"&amp;$D$13):INDIRECT("g"&amp;$E$13),0.5)," "))))))</f>
        <v xml:space="preserve"> </v>
      </c>
      <c r="I392" s="242" t="str">
        <f t="shared" si="36"/>
        <v xml:space="preserve"> </v>
      </c>
      <c r="J392" s="242" t="str">
        <f ca="1">IF(F392=1,AVERAGE(INDIRECT("I"&amp;$D$8):INDIRECT("I"&amp;$E$8)),IF(F392=2,AVERAGE(INDIRECT("I"&amp;$D$9):INDIRECT("I"&amp;$E$9)),IF(F392=3,AVERAGE(INDIRECT("I"&amp;$D$10):INDIRECT("I"&amp;$E$10)),IF(F392=4,AVERAGE(INDIRECT("I"&amp;$D$11):INDIRECT("I"&amp;$E$11)),IF(F392=5,AVERAGE(INDIRECT("I"&amp;$D$12):INDIRECT("I"&amp;$E$12)),IF(F392=6,AVERAGE(INDIRECT("I"&amp;$D$13):INDIRECT("I"&amp;$E$13))," "))))))</f>
        <v xml:space="preserve"> </v>
      </c>
      <c r="K392" s="242" t="str">
        <f t="shared" si="37"/>
        <v xml:space="preserve"> </v>
      </c>
      <c r="L392" s="242" t="str">
        <f t="shared" si="38"/>
        <v xml:space="preserve"> </v>
      </c>
      <c r="M392" s="242" t="str">
        <f t="shared" si="39"/>
        <v xml:space="preserve"> </v>
      </c>
    </row>
    <row r="393" spans="6:13" x14ac:dyDescent="0.2">
      <c r="F393" s="216" t="str">
        <f t="shared" si="35"/>
        <v xml:space="preserve"> </v>
      </c>
      <c r="G393" s="50"/>
      <c r="H393" s="242" t="str">
        <f ca="1">IF(F393=1,PERCENTILE(INDIRECT("g"&amp;$D$8):INDIRECT("g"&amp;$E$8),0.5),IF(F393=2,PERCENTILE(INDIRECT("g"&amp;$D$9):INDIRECT("g"&amp;$E$9),0.5),IF(F393=3,PERCENTILE(INDIRECT("g"&amp;$D$10):INDIRECT("g"&amp;$E$10),0.5),IF(F393=4,PERCENTILE(INDIRECT("g"&amp;$D$11):INDIRECT("g"&amp;$E$11),0.5),IF(F393=5,PERCENTILE(INDIRECT("g"&amp;$D$12):INDIRECT("g"&amp;$E$12),0.5),IF(F393=6,PERCENTILE(INDIRECT("g"&amp;$D$13):INDIRECT("g"&amp;$E$13),0.5)," "))))))</f>
        <v xml:space="preserve"> </v>
      </c>
      <c r="I393" s="242" t="str">
        <f t="shared" si="36"/>
        <v xml:space="preserve"> </v>
      </c>
      <c r="J393" s="242" t="str">
        <f ca="1">IF(F393=1,AVERAGE(INDIRECT("I"&amp;$D$8):INDIRECT("I"&amp;$E$8)),IF(F393=2,AVERAGE(INDIRECT("I"&amp;$D$9):INDIRECT("I"&amp;$E$9)),IF(F393=3,AVERAGE(INDIRECT("I"&amp;$D$10):INDIRECT("I"&amp;$E$10)),IF(F393=4,AVERAGE(INDIRECT("I"&amp;$D$11):INDIRECT("I"&amp;$E$11)),IF(F393=5,AVERAGE(INDIRECT("I"&amp;$D$12):INDIRECT("I"&amp;$E$12)),IF(F393=6,AVERAGE(INDIRECT("I"&amp;$D$13):INDIRECT("I"&amp;$E$13))," "))))))</f>
        <v xml:space="preserve"> </v>
      </c>
      <c r="K393" s="242" t="str">
        <f t="shared" si="37"/>
        <v xml:space="preserve"> </v>
      </c>
      <c r="L393" s="242" t="str">
        <f t="shared" si="38"/>
        <v xml:space="preserve"> </v>
      </c>
      <c r="M393" s="242" t="str">
        <f t="shared" si="39"/>
        <v xml:space="preserve"> </v>
      </c>
    </row>
    <row r="394" spans="6:13" x14ac:dyDescent="0.2">
      <c r="F394" s="216" t="str">
        <f t="shared" si="35"/>
        <v xml:space="preserve"> </v>
      </c>
      <c r="G394" s="50"/>
      <c r="H394" s="242" t="str">
        <f ca="1">IF(F394=1,PERCENTILE(INDIRECT("g"&amp;$D$8):INDIRECT("g"&amp;$E$8),0.5),IF(F394=2,PERCENTILE(INDIRECT("g"&amp;$D$9):INDIRECT("g"&amp;$E$9),0.5),IF(F394=3,PERCENTILE(INDIRECT("g"&amp;$D$10):INDIRECT("g"&amp;$E$10),0.5),IF(F394=4,PERCENTILE(INDIRECT("g"&amp;$D$11):INDIRECT("g"&amp;$E$11),0.5),IF(F394=5,PERCENTILE(INDIRECT("g"&amp;$D$12):INDIRECT("g"&amp;$E$12),0.5),IF(F394=6,PERCENTILE(INDIRECT("g"&amp;$D$13):INDIRECT("g"&amp;$E$13),0.5)," "))))))</f>
        <v xml:space="preserve"> </v>
      </c>
      <c r="I394" s="242" t="str">
        <f t="shared" si="36"/>
        <v xml:space="preserve"> </v>
      </c>
      <c r="J394" s="242" t="str">
        <f ca="1">IF(F394=1,AVERAGE(INDIRECT("I"&amp;$D$8):INDIRECT("I"&amp;$E$8)),IF(F394=2,AVERAGE(INDIRECT("I"&amp;$D$9):INDIRECT("I"&amp;$E$9)),IF(F394=3,AVERAGE(INDIRECT("I"&amp;$D$10):INDIRECT("I"&amp;$E$10)),IF(F394=4,AVERAGE(INDIRECT("I"&amp;$D$11):INDIRECT("I"&amp;$E$11)),IF(F394=5,AVERAGE(INDIRECT("I"&amp;$D$12):INDIRECT("I"&amp;$E$12)),IF(F394=6,AVERAGE(INDIRECT("I"&amp;$D$13):INDIRECT("I"&amp;$E$13))," "))))))</f>
        <v xml:space="preserve"> </v>
      </c>
      <c r="K394" s="242" t="str">
        <f t="shared" si="37"/>
        <v xml:space="preserve"> </v>
      </c>
      <c r="L394" s="242" t="str">
        <f t="shared" si="38"/>
        <v xml:space="preserve"> </v>
      </c>
      <c r="M394" s="242" t="str">
        <f t="shared" si="39"/>
        <v xml:space="preserve"> </v>
      </c>
    </row>
    <row r="395" spans="6:13" x14ac:dyDescent="0.2">
      <c r="F395" s="216" t="str">
        <f t="shared" si="35"/>
        <v xml:space="preserve"> </v>
      </c>
      <c r="G395" s="50"/>
      <c r="H395" s="242" t="str">
        <f ca="1">IF(F395=1,PERCENTILE(INDIRECT("g"&amp;$D$8):INDIRECT("g"&amp;$E$8),0.5),IF(F395=2,PERCENTILE(INDIRECT("g"&amp;$D$9):INDIRECT("g"&amp;$E$9),0.5),IF(F395=3,PERCENTILE(INDIRECT("g"&amp;$D$10):INDIRECT("g"&amp;$E$10),0.5),IF(F395=4,PERCENTILE(INDIRECT("g"&amp;$D$11):INDIRECT("g"&amp;$E$11),0.5),IF(F395=5,PERCENTILE(INDIRECT("g"&amp;$D$12):INDIRECT("g"&amp;$E$12),0.5),IF(F395=6,PERCENTILE(INDIRECT("g"&amp;$D$13):INDIRECT("g"&amp;$E$13),0.5)," "))))))</f>
        <v xml:space="preserve"> </v>
      </c>
      <c r="I395" s="242" t="str">
        <f t="shared" si="36"/>
        <v xml:space="preserve"> </v>
      </c>
      <c r="J395" s="242" t="str">
        <f ca="1">IF(F395=1,AVERAGE(INDIRECT("I"&amp;$D$8):INDIRECT("I"&amp;$E$8)),IF(F395=2,AVERAGE(INDIRECT("I"&amp;$D$9):INDIRECT("I"&amp;$E$9)),IF(F395=3,AVERAGE(INDIRECT("I"&amp;$D$10):INDIRECT("I"&amp;$E$10)),IF(F395=4,AVERAGE(INDIRECT("I"&amp;$D$11):INDIRECT("I"&amp;$E$11)),IF(F395=5,AVERAGE(INDIRECT("I"&amp;$D$12):INDIRECT("I"&amp;$E$12)),IF(F395=6,AVERAGE(INDIRECT("I"&amp;$D$13):INDIRECT("I"&amp;$E$13))," "))))))</f>
        <v xml:space="preserve"> </v>
      </c>
      <c r="K395" s="242" t="str">
        <f t="shared" si="37"/>
        <v xml:space="preserve"> </v>
      </c>
      <c r="L395" s="242" t="str">
        <f t="shared" si="38"/>
        <v xml:space="preserve"> </v>
      </c>
      <c r="M395" s="242" t="str">
        <f t="shared" si="39"/>
        <v xml:space="preserve"> </v>
      </c>
    </row>
    <row r="396" spans="6:13" x14ac:dyDescent="0.2">
      <c r="F396" s="216" t="str">
        <f t="shared" si="35"/>
        <v xml:space="preserve"> </v>
      </c>
      <c r="G396" s="50"/>
      <c r="H396" s="242" t="str">
        <f ca="1">IF(F396=1,PERCENTILE(INDIRECT("g"&amp;$D$8):INDIRECT("g"&amp;$E$8),0.5),IF(F396=2,PERCENTILE(INDIRECT("g"&amp;$D$9):INDIRECT("g"&amp;$E$9),0.5),IF(F396=3,PERCENTILE(INDIRECT("g"&amp;$D$10):INDIRECT("g"&amp;$E$10),0.5),IF(F396=4,PERCENTILE(INDIRECT("g"&amp;$D$11):INDIRECT("g"&amp;$E$11),0.5),IF(F396=5,PERCENTILE(INDIRECT("g"&amp;$D$12):INDIRECT("g"&amp;$E$12),0.5),IF(F396=6,PERCENTILE(INDIRECT("g"&amp;$D$13):INDIRECT("g"&amp;$E$13),0.5)," "))))))</f>
        <v xml:space="preserve"> </v>
      </c>
      <c r="I396" s="242" t="str">
        <f t="shared" si="36"/>
        <v xml:space="preserve"> </v>
      </c>
      <c r="J396" s="242" t="str">
        <f ca="1">IF(F396=1,AVERAGE(INDIRECT("I"&amp;$D$8):INDIRECT("I"&amp;$E$8)),IF(F396=2,AVERAGE(INDIRECT("I"&amp;$D$9):INDIRECT("I"&amp;$E$9)),IF(F396=3,AVERAGE(INDIRECT("I"&amp;$D$10):INDIRECT("I"&amp;$E$10)),IF(F396=4,AVERAGE(INDIRECT("I"&amp;$D$11):INDIRECT("I"&amp;$E$11)),IF(F396=5,AVERAGE(INDIRECT("I"&amp;$D$12):INDIRECT("I"&amp;$E$12)),IF(F396=6,AVERAGE(INDIRECT("I"&amp;$D$13):INDIRECT("I"&amp;$E$13))," "))))))</f>
        <v xml:space="preserve"> </v>
      </c>
      <c r="K396" s="242" t="str">
        <f t="shared" si="37"/>
        <v xml:space="preserve"> </v>
      </c>
      <c r="L396" s="242" t="str">
        <f t="shared" si="38"/>
        <v xml:space="preserve"> </v>
      </c>
      <c r="M396" s="242" t="str">
        <f t="shared" si="39"/>
        <v xml:space="preserve"> </v>
      </c>
    </row>
    <row r="397" spans="6:13" x14ac:dyDescent="0.2">
      <c r="F397" s="216" t="str">
        <f t="shared" si="35"/>
        <v xml:space="preserve"> </v>
      </c>
      <c r="G397" s="50"/>
      <c r="H397" s="242" t="str">
        <f ca="1">IF(F397=1,PERCENTILE(INDIRECT("g"&amp;$D$8):INDIRECT("g"&amp;$E$8),0.5),IF(F397=2,PERCENTILE(INDIRECT("g"&amp;$D$9):INDIRECT("g"&amp;$E$9),0.5),IF(F397=3,PERCENTILE(INDIRECT("g"&amp;$D$10):INDIRECT("g"&amp;$E$10),0.5),IF(F397=4,PERCENTILE(INDIRECT("g"&amp;$D$11):INDIRECT("g"&amp;$E$11),0.5),IF(F397=5,PERCENTILE(INDIRECT("g"&amp;$D$12):INDIRECT("g"&amp;$E$12),0.5),IF(F397=6,PERCENTILE(INDIRECT("g"&amp;$D$13):INDIRECT("g"&amp;$E$13),0.5)," "))))))</f>
        <v xml:space="preserve"> </v>
      </c>
      <c r="I397" s="242" t="str">
        <f t="shared" si="36"/>
        <v xml:space="preserve"> </v>
      </c>
      <c r="J397" s="242" t="str">
        <f ca="1">IF(F397=1,AVERAGE(INDIRECT("I"&amp;$D$8):INDIRECT("I"&amp;$E$8)),IF(F397=2,AVERAGE(INDIRECT("I"&amp;$D$9):INDIRECT("I"&amp;$E$9)),IF(F397=3,AVERAGE(INDIRECT("I"&amp;$D$10):INDIRECT("I"&amp;$E$10)),IF(F397=4,AVERAGE(INDIRECT("I"&amp;$D$11):INDIRECT("I"&amp;$E$11)),IF(F397=5,AVERAGE(INDIRECT("I"&amp;$D$12):INDIRECT("I"&amp;$E$12)),IF(F397=6,AVERAGE(INDIRECT("I"&amp;$D$13):INDIRECT("I"&amp;$E$13))," "))))))</f>
        <v xml:space="preserve"> </v>
      </c>
      <c r="K397" s="242" t="str">
        <f t="shared" si="37"/>
        <v xml:space="preserve"> </v>
      </c>
      <c r="L397" s="242" t="str">
        <f t="shared" si="38"/>
        <v xml:space="preserve"> </v>
      </c>
      <c r="M397" s="242" t="str">
        <f t="shared" si="39"/>
        <v xml:space="preserve"> </v>
      </c>
    </row>
    <row r="398" spans="6:13" x14ac:dyDescent="0.2">
      <c r="F398" s="216" t="str">
        <f t="shared" si="35"/>
        <v xml:space="preserve"> </v>
      </c>
      <c r="G398" s="50"/>
      <c r="H398" s="242" t="str">
        <f ca="1">IF(F398=1,PERCENTILE(INDIRECT("g"&amp;$D$8):INDIRECT("g"&amp;$E$8),0.5),IF(F398=2,PERCENTILE(INDIRECT("g"&amp;$D$9):INDIRECT("g"&amp;$E$9),0.5),IF(F398=3,PERCENTILE(INDIRECT("g"&amp;$D$10):INDIRECT("g"&amp;$E$10),0.5),IF(F398=4,PERCENTILE(INDIRECT("g"&amp;$D$11):INDIRECT("g"&amp;$E$11),0.5),IF(F398=5,PERCENTILE(INDIRECT("g"&amp;$D$12):INDIRECT("g"&amp;$E$12),0.5),IF(F398=6,PERCENTILE(INDIRECT("g"&amp;$D$13):INDIRECT("g"&amp;$E$13),0.5)," "))))))</f>
        <v xml:space="preserve"> </v>
      </c>
      <c r="I398" s="242" t="str">
        <f t="shared" si="36"/>
        <v xml:space="preserve"> </v>
      </c>
      <c r="J398" s="242" t="str">
        <f ca="1">IF(F398=1,AVERAGE(INDIRECT("I"&amp;$D$8):INDIRECT("I"&amp;$E$8)),IF(F398=2,AVERAGE(INDIRECT("I"&amp;$D$9):INDIRECT("I"&amp;$E$9)),IF(F398=3,AVERAGE(INDIRECT("I"&amp;$D$10):INDIRECT("I"&amp;$E$10)),IF(F398=4,AVERAGE(INDIRECT("I"&amp;$D$11):INDIRECT("I"&amp;$E$11)),IF(F398=5,AVERAGE(INDIRECT("I"&amp;$D$12):INDIRECT("I"&amp;$E$12)),IF(F398=6,AVERAGE(INDIRECT("I"&amp;$D$13):INDIRECT("I"&amp;$E$13))," "))))))</f>
        <v xml:space="preserve"> </v>
      </c>
      <c r="K398" s="242" t="str">
        <f t="shared" si="37"/>
        <v xml:space="preserve"> </v>
      </c>
      <c r="L398" s="242" t="str">
        <f t="shared" si="38"/>
        <v xml:space="preserve"> </v>
      </c>
      <c r="M398" s="242" t="str">
        <f t="shared" si="39"/>
        <v xml:space="preserve"> </v>
      </c>
    </row>
    <row r="399" spans="6:13" x14ac:dyDescent="0.2">
      <c r="F399" s="216" t="str">
        <f t="shared" si="35"/>
        <v xml:space="preserve"> </v>
      </c>
      <c r="G399" s="50"/>
      <c r="H399" s="242" t="str">
        <f ca="1">IF(F399=1,PERCENTILE(INDIRECT("g"&amp;$D$8):INDIRECT("g"&amp;$E$8),0.5),IF(F399=2,PERCENTILE(INDIRECT("g"&amp;$D$9):INDIRECT("g"&amp;$E$9),0.5),IF(F399=3,PERCENTILE(INDIRECT("g"&amp;$D$10):INDIRECT("g"&amp;$E$10),0.5),IF(F399=4,PERCENTILE(INDIRECT("g"&amp;$D$11):INDIRECT("g"&amp;$E$11),0.5),IF(F399=5,PERCENTILE(INDIRECT("g"&amp;$D$12):INDIRECT("g"&amp;$E$12),0.5),IF(F399=6,PERCENTILE(INDIRECT("g"&amp;$D$13):INDIRECT("g"&amp;$E$13),0.5)," "))))))</f>
        <v xml:space="preserve"> </v>
      </c>
      <c r="I399" s="242" t="str">
        <f t="shared" si="36"/>
        <v xml:space="preserve"> </v>
      </c>
      <c r="J399" s="242" t="str">
        <f ca="1">IF(F399=1,AVERAGE(INDIRECT("I"&amp;$D$8):INDIRECT("I"&amp;$E$8)),IF(F399=2,AVERAGE(INDIRECT("I"&amp;$D$9):INDIRECT("I"&amp;$E$9)),IF(F399=3,AVERAGE(INDIRECT("I"&amp;$D$10):INDIRECT("I"&amp;$E$10)),IF(F399=4,AVERAGE(INDIRECT("I"&amp;$D$11):INDIRECT("I"&amp;$E$11)),IF(F399=5,AVERAGE(INDIRECT("I"&amp;$D$12):INDIRECT("I"&amp;$E$12)),IF(F399=6,AVERAGE(INDIRECT("I"&amp;$D$13):INDIRECT("I"&amp;$E$13))," "))))))</f>
        <v xml:space="preserve"> </v>
      </c>
      <c r="K399" s="242" t="str">
        <f t="shared" si="37"/>
        <v xml:space="preserve"> </v>
      </c>
      <c r="L399" s="242" t="str">
        <f t="shared" si="38"/>
        <v xml:space="preserve"> </v>
      </c>
      <c r="M399" s="242" t="str">
        <f t="shared" si="39"/>
        <v xml:space="preserve"> </v>
      </c>
    </row>
    <row r="400" spans="6:13" x14ac:dyDescent="0.2">
      <c r="F400" s="216" t="str">
        <f t="shared" si="35"/>
        <v xml:space="preserve"> </v>
      </c>
      <c r="G400" s="50"/>
      <c r="H400" s="242" t="str">
        <f ca="1">IF(F400=1,PERCENTILE(INDIRECT("g"&amp;$D$8):INDIRECT("g"&amp;$E$8),0.5),IF(F400=2,PERCENTILE(INDIRECT("g"&amp;$D$9):INDIRECT("g"&amp;$E$9),0.5),IF(F400=3,PERCENTILE(INDIRECT("g"&amp;$D$10):INDIRECT("g"&amp;$E$10),0.5),IF(F400=4,PERCENTILE(INDIRECT("g"&amp;$D$11):INDIRECT("g"&amp;$E$11),0.5),IF(F400=5,PERCENTILE(INDIRECT("g"&amp;$D$12):INDIRECT("g"&amp;$E$12),0.5),IF(F400=6,PERCENTILE(INDIRECT("g"&amp;$D$13):INDIRECT("g"&amp;$E$13),0.5)," "))))))</f>
        <v xml:space="preserve"> </v>
      </c>
      <c r="I400" s="242" t="str">
        <f t="shared" si="36"/>
        <v xml:space="preserve"> </v>
      </c>
      <c r="J400" s="242" t="str">
        <f ca="1">IF(F400=1,AVERAGE(INDIRECT("I"&amp;$D$8):INDIRECT("I"&amp;$E$8)),IF(F400=2,AVERAGE(INDIRECT("I"&amp;$D$9):INDIRECT("I"&amp;$E$9)),IF(F400=3,AVERAGE(INDIRECT("I"&amp;$D$10):INDIRECT("I"&amp;$E$10)),IF(F400=4,AVERAGE(INDIRECT("I"&amp;$D$11):INDIRECT("I"&amp;$E$11)),IF(F400=5,AVERAGE(INDIRECT("I"&amp;$D$12):INDIRECT("I"&amp;$E$12)),IF(F400=6,AVERAGE(INDIRECT("I"&amp;$D$13):INDIRECT("I"&amp;$E$13))," "))))))</f>
        <v xml:space="preserve"> </v>
      </c>
      <c r="K400" s="242" t="str">
        <f t="shared" si="37"/>
        <v xml:space="preserve"> </v>
      </c>
      <c r="L400" s="242" t="str">
        <f t="shared" si="38"/>
        <v xml:space="preserve"> </v>
      </c>
      <c r="M400" s="242" t="str">
        <f t="shared" si="39"/>
        <v xml:space="preserve"> </v>
      </c>
    </row>
    <row r="401" spans="6:13" x14ac:dyDescent="0.2">
      <c r="F401" s="216" t="str">
        <f t="shared" si="35"/>
        <v xml:space="preserve"> </v>
      </c>
      <c r="G401" s="50"/>
      <c r="H401" s="242" t="str">
        <f ca="1">IF(F401=1,PERCENTILE(INDIRECT("g"&amp;$D$8):INDIRECT("g"&amp;$E$8),0.5),IF(F401=2,PERCENTILE(INDIRECT("g"&amp;$D$9):INDIRECT("g"&amp;$E$9),0.5),IF(F401=3,PERCENTILE(INDIRECT("g"&amp;$D$10):INDIRECT("g"&amp;$E$10),0.5),IF(F401=4,PERCENTILE(INDIRECT("g"&amp;$D$11):INDIRECT("g"&amp;$E$11),0.5),IF(F401=5,PERCENTILE(INDIRECT("g"&amp;$D$12):INDIRECT("g"&amp;$E$12),0.5),IF(F401=6,PERCENTILE(INDIRECT("g"&amp;$D$13):INDIRECT("g"&amp;$E$13),0.5)," "))))))</f>
        <v xml:space="preserve"> </v>
      </c>
      <c r="I401" s="242" t="str">
        <f t="shared" si="36"/>
        <v xml:space="preserve"> </v>
      </c>
      <c r="J401" s="242" t="str">
        <f ca="1">IF(F401=1,AVERAGE(INDIRECT("I"&amp;$D$8):INDIRECT("I"&amp;$E$8)),IF(F401=2,AVERAGE(INDIRECT("I"&amp;$D$9):INDIRECT("I"&amp;$E$9)),IF(F401=3,AVERAGE(INDIRECT("I"&amp;$D$10):INDIRECT("I"&amp;$E$10)),IF(F401=4,AVERAGE(INDIRECT("I"&amp;$D$11):INDIRECT("I"&amp;$E$11)),IF(F401=5,AVERAGE(INDIRECT("I"&amp;$D$12):INDIRECT("I"&amp;$E$12)),IF(F401=6,AVERAGE(INDIRECT("I"&amp;$D$13):INDIRECT("I"&amp;$E$13))," "))))))</f>
        <v xml:space="preserve"> </v>
      </c>
      <c r="K401" s="242" t="str">
        <f t="shared" si="37"/>
        <v xml:space="preserve"> </v>
      </c>
      <c r="L401" s="242" t="str">
        <f t="shared" si="38"/>
        <v xml:space="preserve"> </v>
      </c>
      <c r="M401" s="242" t="str">
        <f t="shared" si="39"/>
        <v xml:space="preserve"> </v>
      </c>
    </row>
    <row r="402" spans="6:13" x14ac:dyDescent="0.2">
      <c r="F402" s="216" t="str">
        <f t="shared" si="35"/>
        <v xml:space="preserve"> </v>
      </c>
      <c r="G402" s="50"/>
      <c r="H402" s="242" t="str">
        <f ca="1">IF(F402=1,PERCENTILE(INDIRECT("g"&amp;$D$8):INDIRECT("g"&amp;$E$8),0.5),IF(F402=2,PERCENTILE(INDIRECT("g"&amp;$D$9):INDIRECT("g"&amp;$E$9),0.5),IF(F402=3,PERCENTILE(INDIRECT("g"&amp;$D$10):INDIRECT("g"&amp;$E$10),0.5),IF(F402=4,PERCENTILE(INDIRECT("g"&amp;$D$11):INDIRECT("g"&amp;$E$11),0.5),IF(F402=5,PERCENTILE(INDIRECT("g"&amp;$D$12):INDIRECT("g"&amp;$E$12),0.5),IF(F402=6,PERCENTILE(INDIRECT("g"&amp;$D$13):INDIRECT("g"&amp;$E$13),0.5)," "))))))</f>
        <v xml:space="preserve"> </v>
      </c>
      <c r="I402" s="242" t="str">
        <f t="shared" si="36"/>
        <v xml:space="preserve"> </v>
      </c>
      <c r="J402" s="242" t="str">
        <f ca="1">IF(F402=1,AVERAGE(INDIRECT("I"&amp;$D$8):INDIRECT("I"&amp;$E$8)),IF(F402=2,AVERAGE(INDIRECT("I"&amp;$D$9):INDIRECT("I"&amp;$E$9)),IF(F402=3,AVERAGE(INDIRECT("I"&amp;$D$10):INDIRECT("I"&amp;$E$10)),IF(F402=4,AVERAGE(INDIRECT("I"&amp;$D$11):INDIRECT("I"&amp;$E$11)),IF(F402=5,AVERAGE(INDIRECT("I"&amp;$D$12):INDIRECT("I"&amp;$E$12)),IF(F402=6,AVERAGE(INDIRECT("I"&amp;$D$13):INDIRECT("I"&amp;$E$13))," "))))))</f>
        <v xml:space="preserve"> </v>
      </c>
      <c r="K402" s="242" t="str">
        <f t="shared" si="37"/>
        <v xml:space="preserve"> </v>
      </c>
      <c r="L402" s="242" t="str">
        <f t="shared" si="38"/>
        <v xml:space="preserve"> </v>
      </c>
      <c r="M402" s="242" t="str">
        <f t="shared" si="39"/>
        <v xml:space="preserve"> </v>
      </c>
    </row>
    <row r="403" spans="6:13" x14ac:dyDescent="0.2">
      <c r="F403" s="216" t="str">
        <f t="shared" si="35"/>
        <v xml:space="preserve"> </v>
      </c>
      <c r="G403" s="50"/>
      <c r="H403" s="242" t="str">
        <f ca="1">IF(F403=1,PERCENTILE(INDIRECT("g"&amp;$D$8):INDIRECT("g"&amp;$E$8),0.5),IF(F403=2,PERCENTILE(INDIRECT("g"&amp;$D$9):INDIRECT("g"&amp;$E$9),0.5),IF(F403=3,PERCENTILE(INDIRECT("g"&amp;$D$10):INDIRECT("g"&amp;$E$10),0.5),IF(F403=4,PERCENTILE(INDIRECT("g"&amp;$D$11):INDIRECT("g"&amp;$E$11),0.5),IF(F403=5,PERCENTILE(INDIRECT("g"&amp;$D$12):INDIRECT("g"&amp;$E$12),0.5),IF(F403=6,PERCENTILE(INDIRECT("g"&amp;$D$13):INDIRECT("g"&amp;$E$13),0.5)," "))))))</f>
        <v xml:space="preserve"> </v>
      </c>
      <c r="I403" s="242" t="str">
        <f t="shared" si="36"/>
        <v xml:space="preserve"> </v>
      </c>
      <c r="J403" s="242" t="str">
        <f ca="1">IF(F403=1,AVERAGE(INDIRECT("I"&amp;$D$8):INDIRECT("I"&amp;$E$8)),IF(F403=2,AVERAGE(INDIRECT("I"&amp;$D$9):INDIRECT("I"&amp;$E$9)),IF(F403=3,AVERAGE(INDIRECT("I"&amp;$D$10):INDIRECT("I"&amp;$E$10)),IF(F403=4,AVERAGE(INDIRECT("I"&amp;$D$11):INDIRECT("I"&amp;$E$11)),IF(F403=5,AVERAGE(INDIRECT("I"&amp;$D$12):INDIRECT("I"&amp;$E$12)),IF(F403=6,AVERAGE(INDIRECT("I"&amp;$D$13):INDIRECT("I"&amp;$E$13))," "))))))</f>
        <v xml:space="preserve"> </v>
      </c>
      <c r="K403" s="242" t="str">
        <f t="shared" si="37"/>
        <v xml:space="preserve"> </v>
      </c>
      <c r="L403" s="242" t="str">
        <f t="shared" si="38"/>
        <v xml:space="preserve"> </v>
      </c>
      <c r="M403" s="242" t="str">
        <f t="shared" si="39"/>
        <v xml:space="preserve"> </v>
      </c>
    </row>
    <row r="404" spans="6:13" x14ac:dyDescent="0.2">
      <c r="F404" s="216" t="str">
        <f t="shared" si="35"/>
        <v xml:space="preserve"> </v>
      </c>
      <c r="G404" s="50"/>
      <c r="H404" s="242" t="str">
        <f ca="1">IF(F404=1,PERCENTILE(INDIRECT("g"&amp;$D$8):INDIRECT("g"&amp;$E$8),0.5),IF(F404=2,PERCENTILE(INDIRECT("g"&amp;$D$9):INDIRECT("g"&amp;$E$9),0.5),IF(F404=3,PERCENTILE(INDIRECT("g"&amp;$D$10):INDIRECT("g"&amp;$E$10),0.5),IF(F404=4,PERCENTILE(INDIRECT("g"&amp;$D$11):INDIRECT("g"&amp;$E$11),0.5),IF(F404=5,PERCENTILE(INDIRECT("g"&amp;$D$12):INDIRECT("g"&amp;$E$12),0.5),IF(F404=6,PERCENTILE(INDIRECT("g"&amp;$D$13):INDIRECT("g"&amp;$E$13),0.5)," "))))))</f>
        <v xml:space="preserve"> </v>
      </c>
      <c r="I404" s="242" t="str">
        <f t="shared" si="36"/>
        <v xml:space="preserve"> </v>
      </c>
      <c r="J404" s="242" t="str">
        <f ca="1">IF(F404=1,AVERAGE(INDIRECT("I"&amp;$D$8):INDIRECT("I"&amp;$E$8)),IF(F404=2,AVERAGE(INDIRECT("I"&amp;$D$9):INDIRECT("I"&amp;$E$9)),IF(F404=3,AVERAGE(INDIRECT("I"&amp;$D$10):INDIRECT("I"&amp;$E$10)),IF(F404=4,AVERAGE(INDIRECT("I"&amp;$D$11):INDIRECT("I"&amp;$E$11)),IF(F404=5,AVERAGE(INDIRECT("I"&amp;$D$12):INDIRECT("I"&amp;$E$12)),IF(F404=6,AVERAGE(INDIRECT("I"&amp;$D$13):INDIRECT("I"&amp;$E$13))," "))))))</f>
        <v xml:space="preserve"> </v>
      </c>
      <c r="K404" s="242" t="str">
        <f t="shared" si="37"/>
        <v xml:space="preserve"> </v>
      </c>
      <c r="L404" s="242" t="str">
        <f t="shared" si="38"/>
        <v xml:space="preserve"> </v>
      </c>
      <c r="M404" s="242" t="str">
        <f t="shared" si="39"/>
        <v xml:space="preserve"> </v>
      </c>
    </row>
    <row r="405" spans="6:13" x14ac:dyDescent="0.2">
      <c r="F405" s="216" t="str">
        <f t="shared" si="35"/>
        <v xml:space="preserve"> </v>
      </c>
      <c r="G405" s="50"/>
      <c r="H405" s="242" t="str">
        <f ca="1">IF(F405=1,PERCENTILE(INDIRECT("g"&amp;$D$8):INDIRECT("g"&amp;$E$8),0.5),IF(F405=2,PERCENTILE(INDIRECT("g"&amp;$D$9):INDIRECT("g"&amp;$E$9),0.5),IF(F405=3,PERCENTILE(INDIRECT("g"&amp;$D$10):INDIRECT("g"&amp;$E$10),0.5),IF(F405=4,PERCENTILE(INDIRECT("g"&amp;$D$11):INDIRECT("g"&amp;$E$11),0.5),IF(F405=5,PERCENTILE(INDIRECT("g"&amp;$D$12):INDIRECT("g"&amp;$E$12),0.5),IF(F405=6,PERCENTILE(INDIRECT("g"&amp;$D$13):INDIRECT("g"&amp;$E$13),0.5)," "))))))</f>
        <v xml:space="preserve"> </v>
      </c>
      <c r="I405" s="242" t="str">
        <f t="shared" si="36"/>
        <v xml:space="preserve"> </v>
      </c>
      <c r="J405" s="242" t="str">
        <f ca="1">IF(F405=1,AVERAGE(INDIRECT("I"&amp;$D$8):INDIRECT("I"&amp;$E$8)),IF(F405=2,AVERAGE(INDIRECT("I"&amp;$D$9):INDIRECT("I"&amp;$E$9)),IF(F405=3,AVERAGE(INDIRECT("I"&amp;$D$10):INDIRECT("I"&amp;$E$10)),IF(F405=4,AVERAGE(INDIRECT("I"&amp;$D$11):INDIRECT("I"&amp;$E$11)),IF(F405=5,AVERAGE(INDIRECT("I"&amp;$D$12):INDIRECT("I"&amp;$E$12)),IF(F405=6,AVERAGE(INDIRECT("I"&amp;$D$13):INDIRECT("I"&amp;$E$13))," "))))))</f>
        <v xml:space="preserve"> </v>
      </c>
      <c r="K405" s="242" t="str">
        <f t="shared" si="37"/>
        <v xml:space="preserve"> </v>
      </c>
      <c r="L405" s="242" t="str">
        <f t="shared" si="38"/>
        <v xml:space="preserve"> </v>
      </c>
      <c r="M405" s="242" t="str">
        <f t="shared" si="39"/>
        <v xml:space="preserve"> </v>
      </c>
    </row>
    <row r="406" spans="6:13" x14ac:dyDescent="0.2">
      <c r="F406" s="216" t="str">
        <f t="shared" si="35"/>
        <v xml:space="preserve"> </v>
      </c>
      <c r="G406" s="50"/>
      <c r="H406" s="242" t="str">
        <f ca="1">IF(F406=1,PERCENTILE(INDIRECT("g"&amp;$D$8):INDIRECT("g"&amp;$E$8),0.5),IF(F406=2,PERCENTILE(INDIRECT("g"&amp;$D$9):INDIRECT("g"&amp;$E$9),0.5),IF(F406=3,PERCENTILE(INDIRECT("g"&amp;$D$10):INDIRECT("g"&amp;$E$10),0.5),IF(F406=4,PERCENTILE(INDIRECT("g"&amp;$D$11):INDIRECT("g"&amp;$E$11),0.5),IF(F406=5,PERCENTILE(INDIRECT("g"&amp;$D$12):INDIRECT("g"&amp;$E$12),0.5),IF(F406=6,PERCENTILE(INDIRECT("g"&amp;$D$13):INDIRECT("g"&amp;$E$13),0.5)," "))))))</f>
        <v xml:space="preserve"> </v>
      </c>
      <c r="I406" s="242" t="str">
        <f t="shared" si="36"/>
        <v xml:space="preserve"> </v>
      </c>
      <c r="J406" s="242" t="str">
        <f ca="1">IF(F406=1,AVERAGE(INDIRECT("I"&amp;$D$8):INDIRECT("I"&amp;$E$8)),IF(F406=2,AVERAGE(INDIRECT("I"&amp;$D$9):INDIRECT("I"&amp;$E$9)),IF(F406=3,AVERAGE(INDIRECT("I"&amp;$D$10):INDIRECT("I"&amp;$E$10)),IF(F406=4,AVERAGE(INDIRECT("I"&amp;$D$11):INDIRECT("I"&amp;$E$11)),IF(F406=5,AVERAGE(INDIRECT("I"&amp;$D$12):INDIRECT("I"&amp;$E$12)),IF(F406=6,AVERAGE(INDIRECT("I"&amp;$D$13):INDIRECT("I"&amp;$E$13))," "))))))</f>
        <v xml:space="preserve"> </v>
      </c>
      <c r="K406" s="242" t="str">
        <f t="shared" si="37"/>
        <v xml:space="preserve"> </v>
      </c>
      <c r="L406" s="242" t="str">
        <f t="shared" si="38"/>
        <v xml:space="preserve"> </v>
      </c>
      <c r="M406" s="242" t="str">
        <f t="shared" si="39"/>
        <v xml:space="preserve"> </v>
      </c>
    </row>
    <row r="407" spans="6:13" x14ac:dyDescent="0.2">
      <c r="F407" s="216" t="str">
        <f t="shared" si="35"/>
        <v xml:space="preserve"> </v>
      </c>
      <c r="G407" s="50"/>
      <c r="H407" s="242" t="str">
        <f ca="1">IF(F407=1,PERCENTILE(INDIRECT("g"&amp;$D$8):INDIRECT("g"&amp;$E$8),0.5),IF(F407=2,PERCENTILE(INDIRECT("g"&amp;$D$9):INDIRECT("g"&amp;$E$9),0.5),IF(F407=3,PERCENTILE(INDIRECT("g"&amp;$D$10):INDIRECT("g"&amp;$E$10),0.5),IF(F407=4,PERCENTILE(INDIRECT("g"&amp;$D$11):INDIRECT("g"&amp;$E$11),0.5),IF(F407=5,PERCENTILE(INDIRECT("g"&amp;$D$12):INDIRECT("g"&amp;$E$12),0.5),IF(F407=6,PERCENTILE(INDIRECT("g"&amp;$D$13):INDIRECT("g"&amp;$E$13),0.5)," "))))))</f>
        <v xml:space="preserve"> </v>
      </c>
      <c r="I407" s="242" t="str">
        <f t="shared" si="36"/>
        <v xml:space="preserve"> </v>
      </c>
      <c r="J407" s="242" t="str">
        <f ca="1">IF(F407=1,AVERAGE(INDIRECT("I"&amp;$D$8):INDIRECT("I"&amp;$E$8)),IF(F407=2,AVERAGE(INDIRECT("I"&amp;$D$9):INDIRECT("I"&amp;$E$9)),IF(F407=3,AVERAGE(INDIRECT("I"&amp;$D$10):INDIRECT("I"&amp;$E$10)),IF(F407=4,AVERAGE(INDIRECT("I"&amp;$D$11):INDIRECT("I"&amp;$E$11)),IF(F407=5,AVERAGE(INDIRECT("I"&amp;$D$12):INDIRECT("I"&amp;$E$12)),IF(F407=6,AVERAGE(INDIRECT("I"&amp;$D$13):INDIRECT("I"&amp;$E$13))," "))))))</f>
        <v xml:space="preserve"> </v>
      </c>
      <c r="K407" s="242" t="str">
        <f t="shared" si="37"/>
        <v xml:space="preserve"> </v>
      </c>
      <c r="L407" s="242" t="str">
        <f t="shared" si="38"/>
        <v xml:space="preserve"> </v>
      </c>
      <c r="M407" s="242" t="str">
        <f t="shared" si="39"/>
        <v xml:space="preserve"> </v>
      </c>
    </row>
    <row r="408" spans="6:13" x14ac:dyDescent="0.2">
      <c r="F408" s="216" t="str">
        <f t="shared" si="35"/>
        <v xml:space="preserve"> </v>
      </c>
      <c r="G408" s="50"/>
      <c r="H408" s="242" t="str">
        <f ca="1">IF(F408=1,PERCENTILE(INDIRECT("g"&amp;$D$8):INDIRECT("g"&amp;$E$8),0.5),IF(F408=2,PERCENTILE(INDIRECT("g"&amp;$D$9):INDIRECT("g"&amp;$E$9),0.5),IF(F408=3,PERCENTILE(INDIRECT("g"&amp;$D$10):INDIRECT("g"&amp;$E$10),0.5),IF(F408=4,PERCENTILE(INDIRECT("g"&amp;$D$11):INDIRECT("g"&amp;$E$11),0.5),IF(F408=5,PERCENTILE(INDIRECT("g"&amp;$D$12):INDIRECT("g"&amp;$E$12),0.5),IF(F408=6,PERCENTILE(INDIRECT("g"&amp;$D$13):INDIRECT("g"&amp;$E$13),0.5)," "))))))</f>
        <v xml:space="preserve"> </v>
      </c>
      <c r="I408" s="242" t="str">
        <f t="shared" si="36"/>
        <v xml:space="preserve"> </v>
      </c>
      <c r="J408" s="242" t="str">
        <f ca="1">IF(F408=1,AVERAGE(INDIRECT("I"&amp;$D$8):INDIRECT("I"&amp;$E$8)),IF(F408=2,AVERAGE(INDIRECT("I"&amp;$D$9):INDIRECT("I"&amp;$E$9)),IF(F408=3,AVERAGE(INDIRECT("I"&amp;$D$10):INDIRECT("I"&amp;$E$10)),IF(F408=4,AVERAGE(INDIRECT("I"&amp;$D$11):INDIRECT("I"&amp;$E$11)),IF(F408=5,AVERAGE(INDIRECT("I"&amp;$D$12):INDIRECT("I"&amp;$E$12)),IF(F408=6,AVERAGE(INDIRECT("I"&amp;$D$13):INDIRECT("I"&amp;$E$13))," "))))))</f>
        <v xml:space="preserve"> </v>
      </c>
      <c r="K408" s="242" t="str">
        <f t="shared" si="37"/>
        <v xml:space="preserve"> </v>
      </c>
      <c r="L408" s="242" t="str">
        <f t="shared" si="38"/>
        <v xml:space="preserve"> </v>
      </c>
      <c r="M408" s="242" t="str">
        <f t="shared" si="39"/>
        <v xml:space="preserve"> </v>
      </c>
    </row>
    <row r="409" spans="6:13" x14ac:dyDescent="0.2">
      <c r="F409" s="216" t="str">
        <f t="shared" si="35"/>
        <v xml:space="preserve"> </v>
      </c>
      <c r="G409" s="50"/>
      <c r="H409" s="242" t="str">
        <f ca="1">IF(F409=1,PERCENTILE(INDIRECT("g"&amp;$D$8):INDIRECT("g"&amp;$E$8),0.5),IF(F409=2,PERCENTILE(INDIRECT("g"&amp;$D$9):INDIRECT("g"&amp;$E$9),0.5),IF(F409=3,PERCENTILE(INDIRECT("g"&amp;$D$10):INDIRECT("g"&amp;$E$10),0.5),IF(F409=4,PERCENTILE(INDIRECT("g"&amp;$D$11):INDIRECT("g"&amp;$E$11),0.5),IF(F409=5,PERCENTILE(INDIRECT("g"&amp;$D$12):INDIRECT("g"&amp;$E$12),0.5),IF(F409=6,PERCENTILE(INDIRECT("g"&amp;$D$13):INDIRECT("g"&amp;$E$13),0.5)," "))))))</f>
        <v xml:space="preserve"> </v>
      </c>
      <c r="I409" s="242" t="str">
        <f t="shared" si="36"/>
        <v xml:space="preserve"> </v>
      </c>
      <c r="J409" s="242" t="str">
        <f ca="1">IF(F409=1,AVERAGE(INDIRECT("I"&amp;$D$8):INDIRECT("I"&amp;$E$8)),IF(F409=2,AVERAGE(INDIRECT("I"&amp;$D$9):INDIRECT("I"&amp;$E$9)),IF(F409=3,AVERAGE(INDIRECT("I"&amp;$D$10):INDIRECT("I"&amp;$E$10)),IF(F409=4,AVERAGE(INDIRECT("I"&amp;$D$11):INDIRECT("I"&amp;$E$11)),IF(F409=5,AVERAGE(INDIRECT("I"&amp;$D$12):INDIRECT("I"&amp;$E$12)),IF(F409=6,AVERAGE(INDIRECT("I"&amp;$D$13):INDIRECT("I"&amp;$E$13))," "))))))</f>
        <v xml:space="preserve"> </v>
      </c>
      <c r="K409" s="242" t="str">
        <f t="shared" si="37"/>
        <v xml:space="preserve"> </v>
      </c>
      <c r="L409" s="242" t="str">
        <f t="shared" si="38"/>
        <v xml:space="preserve"> </v>
      </c>
      <c r="M409" s="242" t="str">
        <f t="shared" si="39"/>
        <v xml:space="preserve"> </v>
      </c>
    </row>
    <row r="410" spans="6:13" x14ac:dyDescent="0.2">
      <c r="F410" s="216" t="str">
        <f t="shared" si="35"/>
        <v xml:space="preserve"> </v>
      </c>
      <c r="G410" s="50"/>
      <c r="H410" s="242" t="str">
        <f ca="1">IF(F410=1,PERCENTILE(INDIRECT("g"&amp;$D$8):INDIRECT("g"&amp;$E$8),0.5),IF(F410=2,PERCENTILE(INDIRECT("g"&amp;$D$9):INDIRECT("g"&amp;$E$9),0.5),IF(F410=3,PERCENTILE(INDIRECT("g"&amp;$D$10):INDIRECT("g"&amp;$E$10),0.5),IF(F410=4,PERCENTILE(INDIRECT("g"&amp;$D$11):INDIRECT("g"&amp;$E$11),0.5),IF(F410=5,PERCENTILE(INDIRECT("g"&amp;$D$12):INDIRECT("g"&amp;$E$12),0.5),IF(F410=6,PERCENTILE(INDIRECT("g"&amp;$D$13):INDIRECT("g"&amp;$E$13),0.5)," "))))))</f>
        <v xml:space="preserve"> </v>
      </c>
      <c r="I410" s="242" t="str">
        <f t="shared" si="36"/>
        <v xml:space="preserve"> </v>
      </c>
      <c r="J410" s="242" t="str">
        <f ca="1">IF(F410=1,AVERAGE(INDIRECT("I"&amp;$D$8):INDIRECT("I"&amp;$E$8)),IF(F410=2,AVERAGE(INDIRECT("I"&amp;$D$9):INDIRECT("I"&amp;$E$9)),IF(F410=3,AVERAGE(INDIRECT("I"&amp;$D$10):INDIRECT("I"&amp;$E$10)),IF(F410=4,AVERAGE(INDIRECT("I"&amp;$D$11):INDIRECT("I"&amp;$E$11)),IF(F410=5,AVERAGE(INDIRECT("I"&amp;$D$12):INDIRECT("I"&amp;$E$12)),IF(F410=6,AVERAGE(INDIRECT("I"&amp;$D$13):INDIRECT("I"&amp;$E$13))," "))))))</f>
        <v xml:space="preserve"> </v>
      </c>
      <c r="K410" s="242" t="str">
        <f t="shared" si="37"/>
        <v xml:space="preserve"> </v>
      </c>
      <c r="L410" s="242" t="str">
        <f t="shared" si="38"/>
        <v xml:space="preserve"> </v>
      </c>
      <c r="M410" s="242" t="str">
        <f t="shared" si="39"/>
        <v xml:space="preserve"> </v>
      </c>
    </row>
    <row r="411" spans="6:13" x14ac:dyDescent="0.2">
      <c r="F411" s="216" t="str">
        <f t="shared" si="35"/>
        <v xml:space="preserve"> </v>
      </c>
      <c r="G411" s="50"/>
      <c r="H411" s="242" t="str">
        <f ca="1">IF(F411=1,PERCENTILE(INDIRECT("g"&amp;$D$8):INDIRECT("g"&amp;$E$8),0.5),IF(F411=2,PERCENTILE(INDIRECT("g"&amp;$D$9):INDIRECT("g"&amp;$E$9),0.5),IF(F411=3,PERCENTILE(INDIRECT("g"&amp;$D$10):INDIRECT("g"&amp;$E$10),0.5),IF(F411=4,PERCENTILE(INDIRECT("g"&amp;$D$11):INDIRECT("g"&amp;$E$11),0.5),IF(F411=5,PERCENTILE(INDIRECT("g"&amp;$D$12):INDIRECT("g"&amp;$E$12),0.5),IF(F411=6,PERCENTILE(INDIRECT("g"&amp;$D$13):INDIRECT("g"&amp;$E$13),0.5)," "))))))</f>
        <v xml:space="preserve"> </v>
      </c>
      <c r="I411" s="242" t="str">
        <f t="shared" si="36"/>
        <v xml:space="preserve"> </v>
      </c>
      <c r="J411" s="242" t="str">
        <f ca="1">IF(F411=1,AVERAGE(INDIRECT("I"&amp;$D$8):INDIRECT("I"&amp;$E$8)),IF(F411=2,AVERAGE(INDIRECT("I"&amp;$D$9):INDIRECT("I"&amp;$E$9)),IF(F411=3,AVERAGE(INDIRECT("I"&amp;$D$10):INDIRECT("I"&amp;$E$10)),IF(F411=4,AVERAGE(INDIRECT("I"&amp;$D$11):INDIRECT("I"&amp;$E$11)),IF(F411=5,AVERAGE(INDIRECT("I"&amp;$D$12):INDIRECT("I"&amp;$E$12)),IF(F411=6,AVERAGE(INDIRECT("I"&amp;$D$13):INDIRECT("I"&amp;$E$13))," "))))))</f>
        <v xml:space="preserve"> </v>
      </c>
      <c r="K411" s="242" t="str">
        <f t="shared" si="37"/>
        <v xml:space="preserve"> </v>
      </c>
      <c r="L411" s="242" t="str">
        <f t="shared" si="38"/>
        <v xml:space="preserve"> </v>
      </c>
      <c r="M411" s="242" t="str">
        <f t="shared" si="39"/>
        <v xml:space="preserve"> </v>
      </c>
    </row>
    <row r="412" spans="6:13" x14ac:dyDescent="0.2">
      <c r="F412" s="216" t="str">
        <f t="shared" si="35"/>
        <v xml:space="preserve"> </v>
      </c>
      <c r="G412" s="50"/>
      <c r="H412" s="242" t="str">
        <f ca="1">IF(F412=1,PERCENTILE(INDIRECT("g"&amp;$D$8):INDIRECT("g"&amp;$E$8),0.5),IF(F412=2,PERCENTILE(INDIRECT("g"&amp;$D$9):INDIRECT("g"&amp;$E$9),0.5),IF(F412=3,PERCENTILE(INDIRECT("g"&amp;$D$10):INDIRECT("g"&amp;$E$10),0.5),IF(F412=4,PERCENTILE(INDIRECT("g"&amp;$D$11):INDIRECT("g"&amp;$E$11),0.5),IF(F412=5,PERCENTILE(INDIRECT("g"&amp;$D$12):INDIRECT("g"&amp;$E$12),0.5),IF(F412=6,PERCENTILE(INDIRECT("g"&amp;$D$13):INDIRECT("g"&amp;$E$13),0.5)," "))))))</f>
        <v xml:space="preserve"> </v>
      </c>
      <c r="I412" s="242" t="str">
        <f t="shared" si="36"/>
        <v xml:space="preserve"> </v>
      </c>
      <c r="J412" s="242" t="str">
        <f ca="1">IF(F412=1,AVERAGE(INDIRECT("I"&amp;$D$8):INDIRECT("I"&amp;$E$8)),IF(F412=2,AVERAGE(INDIRECT("I"&amp;$D$9):INDIRECT("I"&amp;$E$9)),IF(F412=3,AVERAGE(INDIRECT("I"&amp;$D$10):INDIRECT("I"&amp;$E$10)),IF(F412=4,AVERAGE(INDIRECT("I"&amp;$D$11):INDIRECT("I"&amp;$E$11)),IF(F412=5,AVERAGE(INDIRECT("I"&amp;$D$12):INDIRECT("I"&amp;$E$12)),IF(F412=6,AVERAGE(INDIRECT("I"&amp;$D$13):INDIRECT("I"&amp;$E$13))," "))))))</f>
        <v xml:space="preserve"> </v>
      </c>
      <c r="K412" s="242" t="str">
        <f t="shared" si="37"/>
        <v xml:space="preserve"> </v>
      </c>
      <c r="L412" s="242" t="str">
        <f t="shared" si="38"/>
        <v xml:space="preserve"> </v>
      </c>
      <c r="M412" s="242" t="str">
        <f t="shared" si="39"/>
        <v xml:space="preserve"> </v>
      </c>
    </row>
    <row r="413" spans="6:13" x14ac:dyDescent="0.2">
      <c r="F413" s="216" t="str">
        <f t="shared" si="35"/>
        <v xml:space="preserve"> </v>
      </c>
      <c r="G413" s="50"/>
      <c r="H413" s="242" t="str">
        <f ca="1">IF(F413=1,PERCENTILE(INDIRECT("g"&amp;$D$8):INDIRECT("g"&amp;$E$8),0.5),IF(F413=2,PERCENTILE(INDIRECT("g"&amp;$D$9):INDIRECT("g"&amp;$E$9),0.5),IF(F413=3,PERCENTILE(INDIRECT("g"&amp;$D$10):INDIRECT("g"&amp;$E$10),0.5),IF(F413=4,PERCENTILE(INDIRECT("g"&amp;$D$11):INDIRECT("g"&amp;$E$11),0.5),IF(F413=5,PERCENTILE(INDIRECT("g"&amp;$D$12):INDIRECT("g"&amp;$E$12),0.5),IF(F413=6,PERCENTILE(INDIRECT("g"&amp;$D$13):INDIRECT("g"&amp;$E$13),0.5)," "))))))</f>
        <v xml:space="preserve"> </v>
      </c>
      <c r="I413" s="242" t="str">
        <f t="shared" si="36"/>
        <v xml:space="preserve"> </v>
      </c>
      <c r="J413" s="242" t="str">
        <f ca="1">IF(F413=1,AVERAGE(INDIRECT("I"&amp;$D$8):INDIRECT("I"&amp;$E$8)),IF(F413=2,AVERAGE(INDIRECT("I"&amp;$D$9):INDIRECT("I"&amp;$E$9)),IF(F413=3,AVERAGE(INDIRECT("I"&amp;$D$10):INDIRECT("I"&amp;$E$10)),IF(F413=4,AVERAGE(INDIRECT("I"&amp;$D$11):INDIRECT("I"&amp;$E$11)),IF(F413=5,AVERAGE(INDIRECT("I"&amp;$D$12):INDIRECT("I"&amp;$E$12)),IF(F413=6,AVERAGE(INDIRECT("I"&amp;$D$13):INDIRECT("I"&amp;$E$13))," "))))))</f>
        <v xml:space="preserve"> </v>
      </c>
      <c r="K413" s="242" t="str">
        <f t="shared" si="37"/>
        <v xml:space="preserve"> </v>
      </c>
      <c r="L413" s="242" t="str">
        <f t="shared" si="38"/>
        <v xml:space="preserve"> </v>
      </c>
      <c r="M413" s="242" t="str">
        <f t="shared" si="39"/>
        <v xml:space="preserve"> </v>
      </c>
    </row>
    <row r="414" spans="6:13" x14ac:dyDescent="0.2">
      <c r="F414" s="216" t="str">
        <f t="shared" si="35"/>
        <v xml:space="preserve"> </v>
      </c>
      <c r="G414" s="50"/>
      <c r="H414" s="242" t="str">
        <f ca="1">IF(F414=1,PERCENTILE(INDIRECT("g"&amp;$D$8):INDIRECT("g"&amp;$E$8),0.5),IF(F414=2,PERCENTILE(INDIRECT("g"&amp;$D$9):INDIRECT("g"&amp;$E$9),0.5),IF(F414=3,PERCENTILE(INDIRECT("g"&amp;$D$10):INDIRECT("g"&amp;$E$10),0.5),IF(F414=4,PERCENTILE(INDIRECT("g"&amp;$D$11):INDIRECT("g"&amp;$E$11),0.5),IF(F414=5,PERCENTILE(INDIRECT("g"&amp;$D$12):INDIRECT("g"&amp;$E$12),0.5),IF(F414=6,PERCENTILE(INDIRECT("g"&amp;$D$13):INDIRECT("g"&amp;$E$13),0.5)," "))))))</f>
        <v xml:space="preserve"> </v>
      </c>
      <c r="I414" s="242" t="str">
        <f t="shared" si="36"/>
        <v xml:space="preserve"> </v>
      </c>
      <c r="J414" s="242" t="str">
        <f ca="1">IF(F414=1,AVERAGE(INDIRECT("I"&amp;$D$8):INDIRECT("I"&amp;$E$8)),IF(F414=2,AVERAGE(INDIRECT("I"&amp;$D$9):INDIRECT("I"&amp;$E$9)),IF(F414=3,AVERAGE(INDIRECT("I"&amp;$D$10):INDIRECT("I"&amp;$E$10)),IF(F414=4,AVERAGE(INDIRECT("I"&amp;$D$11):INDIRECT("I"&amp;$E$11)),IF(F414=5,AVERAGE(INDIRECT("I"&amp;$D$12):INDIRECT("I"&amp;$E$12)),IF(F414=6,AVERAGE(INDIRECT("I"&amp;$D$13):INDIRECT("I"&amp;$E$13))," "))))))</f>
        <v xml:space="preserve"> </v>
      </c>
      <c r="K414" s="242" t="str">
        <f t="shared" si="37"/>
        <v xml:space="preserve"> </v>
      </c>
      <c r="L414" s="242" t="str">
        <f t="shared" si="38"/>
        <v xml:space="preserve"> </v>
      </c>
      <c r="M414" s="242" t="str">
        <f t="shared" si="39"/>
        <v xml:space="preserve"> </v>
      </c>
    </row>
    <row r="415" spans="6:13" x14ac:dyDescent="0.2">
      <c r="F415" s="216" t="str">
        <f t="shared" si="35"/>
        <v xml:space="preserve"> </v>
      </c>
      <c r="G415" s="50"/>
      <c r="H415" s="242" t="str">
        <f ca="1">IF(F415=1,PERCENTILE(INDIRECT("g"&amp;$D$8):INDIRECT("g"&amp;$E$8),0.5),IF(F415=2,PERCENTILE(INDIRECT("g"&amp;$D$9):INDIRECT("g"&amp;$E$9),0.5),IF(F415=3,PERCENTILE(INDIRECT("g"&amp;$D$10):INDIRECT("g"&amp;$E$10),0.5),IF(F415=4,PERCENTILE(INDIRECT("g"&amp;$D$11):INDIRECT("g"&amp;$E$11),0.5),IF(F415=5,PERCENTILE(INDIRECT("g"&amp;$D$12):INDIRECT("g"&amp;$E$12),0.5),IF(F415=6,PERCENTILE(INDIRECT("g"&amp;$D$13):INDIRECT("g"&amp;$E$13),0.5)," "))))))</f>
        <v xml:space="preserve"> </v>
      </c>
      <c r="I415" s="242" t="str">
        <f t="shared" si="36"/>
        <v xml:space="preserve"> </v>
      </c>
      <c r="J415" s="242" t="str">
        <f ca="1">IF(F415=1,AVERAGE(INDIRECT("I"&amp;$D$8):INDIRECT("I"&amp;$E$8)),IF(F415=2,AVERAGE(INDIRECT("I"&amp;$D$9):INDIRECT("I"&amp;$E$9)),IF(F415=3,AVERAGE(INDIRECT("I"&amp;$D$10):INDIRECT("I"&amp;$E$10)),IF(F415=4,AVERAGE(INDIRECT("I"&amp;$D$11):INDIRECT("I"&amp;$E$11)),IF(F415=5,AVERAGE(INDIRECT("I"&amp;$D$12):INDIRECT("I"&amp;$E$12)),IF(F415=6,AVERAGE(INDIRECT("I"&amp;$D$13):INDIRECT("I"&amp;$E$13))," "))))))</f>
        <v xml:space="preserve"> </v>
      </c>
      <c r="K415" s="242" t="str">
        <f t="shared" si="37"/>
        <v xml:space="preserve"> </v>
      </c>
      <c r="L415" s="242" t="str">
        <f t="shared" si="38"/>
        <v xml:space="preserve"> </v>
      </c>
      <c r="M415" s="242" t="str">
        <f t="shared" si="39"/>
        <v xml:space="preserve"> </v>
      </c>
    </row>
    <row r="416" spans="6:13" x14ac:dyDescent="0.2">
      <c r="F416" s="216" t="str">
        <f t="shared" si="35"/>
        <v xml:space="preserve"> </v>
      </c>
      <c r="G416" s="50"/>
      <c r="H416" s="242" t="str">
        <f ca="1">IF(F416=1,PERCENTILE(INDIRECT("g"&amp;$D$8):INDIRECT("g"&amp;$E$8),0.5),IF(F416=2,PERCENTILE(INDIRECT("g"&amp;$D$9):INDIRECT("g"&amp;$E$9),0.5),IF(F416=3,PERCENTILE(INDIRECT("g"&amp;$D$10):INDIRECT("g"&amp;$E$10),0.5),IF(F416=4,PERCENTILE(INDIRECT("g"&amp;$D$11):INDIRECT("g"&amp;$E$11),0.5),IF(F416=5,PERCENTILE(INDIRECT("g"&amp;$D$12):INDIRECT("g"&amp;$E$12),0.5),IF(F416=6,PERCENTILE(INDIRECT("g"&amp;$D$13):INDIRECT("g"&amp;$E$13),0.5)," "))))))</f>
        <v xml:space="preserve"> </v>
      </c>
      <c r="I416" s="242" t="str">
        <f t="shared" si="36"/>
        <v xml:space="preserve"> </v>
      </c>
      <c r="J416" s="242" t="str">
        <f ca="1">IF(F416=1,AVERAGE(INDIRECT("I"&amp;$D$8):INDIRECT("I"&amp;$E$8)),IF(F416=2,AVERAGE(INDIRECT("I"&amp;$D$9):INDIRECT("I"&amp;$E$9)),IF(F416=3,AVERAGE(INDIRECT("I"&amp;$D$10):INDIRECT("I"&amp;$E$10)),IF(F416=4,AVERAGE(INDIRECT("I"&amp;$D$11):INDIRECT("I"&amp;$E$11)),IF(F416=5,AVERAGE(INDIRECT("I"&amp;$D$12):INDIRECT("I"&amp;$E$12)),IF(F416=6,AVERAGE(INDIRECT("I"&amp;$D$13):INDIRECT("I"&amp;$E$13))," "))))))</f>
        <v xml:space="preserve"> </v>
      </c>
      <c r="K416" s="242" t="str">
        <f t="shared" si="37"/>
        <v xml:space="preserve"> </v>
      </c>
      <c r="L416" s="242" t="str">
        <f t="shared" si="38"/>
        <v xml:space="preserve"> </v>
      </c>
      <c r="M416" s="242" t="str">
        <f t="shared" si="39"/>
        <v xml:space="preserve"> </v>
      </c>
    </row>
    <row r="417" spans="6:13" x14ac:dyDescent="0.2">
      <c r="F417" s="216" t="str">
        <f t="shared" si="35"/>
        <v xml:space="preserve"> </v>
      </c>
      <c r="G417" s="50"/>
      <c r="H417" s="242" t="str">
        <f ca="1">IF(F417=1,PERCENTILE(INDIRECT("g"&amp;$D$8):INDIRECT("g"&amp;$E$8),0.5),IF(F417=2,PERCENTILE(INDIRECT("g"&amp;$D$9):INDIRECT("g"&amp;$E$9),0.5),IF(F417=3,PERCENTILE(INDIRECT("g"&amp;$D$10):INDIRECT("g"&amp;$E$10),0.5),IF(F417=4,PERCENTILE(INDIRECT("g"&amp;$D$11):INDIRECT("g"&amp;$E$11),0.5),IF(F417=5,PERCENTILE(INDIRECT("g"&amp;$D$12):INDIRECT("g"&amp;$E$12),0.5),IF(F417=6,PERCENTILE(INDIRECT("g"&amp;$D$13):INDIRECT("g"&amp;$E$13),0.5)," "))))))</f>
        <v xml:space="preserve"> </v>
      </c>
      <c r="I417" s="242" t="str">
        <f t="shared" si="36"/>
        <v xml:space="preserve"> </v>
      </c>
      <c r="J417" s="242" t="str">
        <f ca="1">IF(F417=1,AVERAGE(INDIRECT("I"&amp;$D$8):INDIRECT("I"&amp;$E$8)),IF(F417=2,AVERAGE(INDIRECT("I"&amp;$D$9):INDIRECT("I"&amp;$E$9)),IF(F417=3,AVERAGE(INDIRECT("I"&amp;$D$10):INDIRECT("I"&amp;$E$10)),IF(F417=4,AVERAGE(INDIRECT("I"&amp;$D$11):INDIRECT("I"&amp;$E$11)),IF(F417=5,AVERAGE(INDIRECT("I"&amp;$D$12):INDIRECT("I"&amp;$E$12)),IF(F417=6,AVERAGE(INDIRECT("I"&amp;$D$13):INDIRECT("I"&amp;$E$13))," "))))))</f>
        <v xml:space="preserve"> </v>
      </c>
      <c r="K417" s="242" t="str">
        <f t="shared" si="37"/>
        <v xml:space="preserve"> </v>
      </c>
      <c r="L417" s="242" t="str">
        <f t="shared" si="38"/>
        <v xml:space="preserve"> </v>
      </c>
      <c r="M417" s="242" t="str">
        <f t="shared" si="39"/>
        <v xml:space="preserve"> </v>
      </c>
    </row>
    <row r="418" spans="6:13" x14ac:dyDescent="0.2">
      <c r="F418" s="216" t="str">
        <f t="shared" si="35"/>
        <v xml:space="preserve"> </v>
      </c>
      <c r="G418" s="50"/>
      <c r="H418" s="242" t="str">
        <f ca="1">IF(F418=1,PERCENTILE(INDIRECT("g"&amp;$D$8):INDIRECT("g"&amp;$E$8),0.5),IF(F418=2,PERCENTILE(INDIRECT("g"&amp;$D$9):INDIRECT("g"&amp;$E$9),0.5),IF(F418=3,PERCENTILE(INDIRECT("g"&amp;$D$10):INDIRECT("g"&amp;$E$10),0.5),IF(F418=4,PERCENTILE(INDIRECT("g"&amp;$D$11):INDIRECT("g"&amp;$E$11),0.5),IF(F418=5,PERCENTILE(INDIRECT("g"&amp;$D$12):INDIRECT("g"&amp;$E$12),0.5),IF(F418=6,PERCENTILE(INDIRECT("g"&amp;$D$13):INDIRECT("g"&amp;$E$13),0.5)," "))))))</f>
        <v xml:space="preserve"> </v>
      </c>
      <c r="I418" s="242" t="str">
        <f t="shared" si="36"/>
        <v xml:space="preserve"> </v>
      </c>
      <c r="J418" s="242" t="str">
        <f ca="1">IF(F418=1,AVERAGE(INDIRECT("I"&amp;$D$8):INDIRECT("I"&amp;$E$8)),IF(F418=2,AVERAGE(INDIRECT("I"&amp;$D$9):INDIRECT("I"&amp;$E$9)),IF(F418=3,AVERAGE(INDIRECT("I"&amp;$D$10):INDIRECT("I"&amp;$E$10)),IF(F418=4,AVERAGE(INDIRECT("I"&amp;$D$11):INDIRECT("I"&amp;$E$11)),IF(F418=5,AVERAGE(INDIRECT("I"&amp;$D$12):INDIRECT("I"&amp;$E$12)),IF(F418=6,AVERAGE(INDIRECT("I"&amp;$D$13):INDIRECT("I"&amp;$E$13))," "))))))</f>
        <v xml:space="preserve"> </v>
      </c>
      <c r="K418" s="242" t="str">
        <f t="shared" si="37"/>
        <v xml:space="preserve"> </v>
      </c>
      <c r="L418" s="242" t="str">
        <f t="shared" si="38"/>
        <v xml:space="preserve"> </v>
      </c>
      <c r="M418" s="242" t="str">
        <f t="shared" si="39"/>
        <v xml:space="preserve"> </v>
      </c>
    </row>
    <row r="419" spans="6:13" x14ac:dyDescent="0.2">
      <c r="F419" s="216" t="str">
        <f t="shared" si="35"/>
        <v xml:space="preserve"> </v>
      </c>
      <c r="G419" s="50"/>
      <c r="H419" s="242" t="str">
        <f ca="1">IF(F419=1,PERCENTILE(INDIRECT("g"&amp;$D$8):INDIRECT("g"&amp;$E$8),0.5),IF(F419=2,PERCENTILE(INDIRECT("g"&amp;$D$9):INDIRECT("g"&amp;$E$9),0.5),IF(F419=3,PERCENTILE(INDIRECT("g"&amp;$D$10):INDIRECT("g"&amp;$E$10),0.5),IF(F419=4,PERCENTILE(INDIRECT("g"&amp;$D$11):INDIRECT("g"&amp;$E$11),0.5),IF(F419=5,PERCENTILE(INDIRECT("g"&amp;$D$12):INDIRECT("g"&amp;$E$12),0.5),IF(F419=6,PERCENTILE(INDIRECT("g"&amp;$D$13):INDIRECT("g"&amp;$E$13),0.5)," "))))))</f>
        <v xml:space="preserve"> </v>
      </c>
      <c r="I419" s="242" t="str">
        <f t="shared" si="36"/>
        <v xml:space="preserve"> </v>
      </c>
      <c r="J419" s="242" t="str">
        <f ca="1">IF(F419=1,AVERAGE(INDIRECT("I"&amp;$D$8):INDIRECT("I"&amp;$E$8)),IF(F419=2,AVERAGE(INDIRECT("I"&amp;$D$9):INDIRECT("I"&amp;$E$9)),IF(F419=3,AVERAGE(INDIRECT("I"&amp;$D$10):INDIRECT("I"&amp;$E$10)),IF(F419=4,AVERAGE(INDIRECT("I"&amp;$D$11):INDIRECT("I"&amp;$E$11)),IF(F419=5,AVERAGE(INDIRECT("I"&amp;$D$12):INDIRECT("I"&amp;$E$12)),IF(F419=6,AVERAGE(INDIRECT("I"&amp;$D$13):INDIRECT("I"&amp;$E$13))," "))))))</f>
        <v xml:space="preserve"> </v>
      </c>
      <c r="K419" s="242" t="str">
        <f t="shared" si="37"/>
        <v xml:space="preserve"> </v>
      </c>
      <c r="L419" s="242" t="str">
        <f t="shared" si="38"/>
        <v xml:space="preserve"> </v>
      </c>
      <c r="M419" s="242" t="str">
        <f t="shared" si="39"/>
        <v xml:space="preserve"> </v>
      </c>
    </row>
    <row r="420" spans="6:13" x14ac:dyDescent="0.2">
      <c r="F420" s="216" t="str">
        <f t="shared" si="35"/>
        <v xml:space="preserve"> </v>
      </c>
      <c r="G420" s="50"/>
      <c r="H420" s="242" t="str">
        <f ca="1">IF(F420=1,PERCENTILE(INDIRECT("g"&amp;$D$8):INDIRECT("g"&amp;$E$8),0.5),IF(F420=2,PERCENTILE(INDIRECT("g"&amp;$D$9):INDIRECT("g"&amp;$E$9),0.5),IF(F420=3,PERCENTILE(INDIRECT("g"&amp;$D$10):INDIRECT("g"&amp;$E$10),0.5),IF(F420=4,PERCENTILE(INDIRECT("g"&amp;$D$11):INDIRECT("g"&amp;$E$11),0.5),IF(F420=5,PERCENTILE(INDIRECT("g"&amp;$D$12):INDIRECT("g"&amp;$E$12),0.5),IF(F420=6,PERCENTILE(INDIRECT("g"&amp;$D$13):INDIRECT("g"&amp;$E$13),0.5)," "))))))</f>
        <v xml:space="preserve"> </v>
      </c>
      <c r="I420" s="242" t="str">
        <f t="shared" si="36"/>
        <v xml:space="preserve"> </v>
      </c>
      <c r="J420" s="242" t="str">
        <f ca="1">IF(F420=1,AVERAGE(INDIRECT("I"&amp;$D$8):INDIRECT("I"&amp;$E$8)),IF(F420=2,AVERAGE(INDIRECT("I"&amp;$D$9):INDIRECT("I"&amp;$E$9)),IF(F420=3,AVERAGE(INDIRECT("I"&amp;$D$10):INDIRECT("I"&amp;$E$10)),IF(F420=4,AVERAGE(INDIRECT("I"&amp;$D$11):INDIRECT("I"&amp;$E$11)),IF(F420=5,AVERAGE(INDIRECT("I"&amp;$D$12):INDIRECT("I"&amp;$E$12)),IF(F420=6,AVERAGE(INDIRECT("I"&amp;$D$13):INDIRECT("I"&amp;$E$13))," "))))))</f>
        <v xml:space="preserve"> </v>
      </c>
      <c r="K420" s="242" t="str">
        <f t="shared" si="37"/>
        <v xml:space="preserve"> </v>
      </c>
      <c r="L420" s="242" t="str">
        <f t="shared" si="38"/>
        <v xml:space="preserve"> </v>
      </c>
      <c r="M420" s="242" t="str">
        <f t="shared" si="39"/>
        <v xml:space="preserve"> </v>
      </c>
    </row>
    <row r="421" spans="6:13" x14ac:dyDescent="0.2">
      <c r="F421" s="216" t="str">
        <f t="shared" si="35"/>
        <v xml:space="preserve"> </v>
      </c>
      <c r="G421" s="50"/>
      <c r="H421" s="242" t="str">
        <f ca="1">IF(F421=1,PERCENTILE(INDIRECT("g"&amp;$D$8):INDIRECT("g"&amp;$E$8),0.5),IF(F421=2,PERCENTILE(INDIRECT("g"&amp;$D$9):INDIRECT("g"&amp;$E$9),0.5),IF(F421=3,PERCENTILE(INDIRECT("g"&amp;$D$10):INDIRECT("g"&amp;$E$10),0.5),IF(F421=4,PERCENTILE(INDIRECT("g"&amp;$D$11):INDIRECT("g"&amp;$E$11),0.5),IF(F421=5,PERCENTILE(INDIRECT("g"&amp;$D$12):INDIRECT("g"&amp;$E$12),0.5),IF(F421=6,PERCENTILE(INDIRECT("g"&amp;$D$13):INDIRECT("g"&amp;$E$13),0.5)," "))))))</f>
        <v xml:space="preserve"> </v>
      </c>
      <c r="I421" s="242" t="str">
        <f t="shared" si="36"/>
        <v xml:space="preserve"> </v>
      </c>
      <c r="J421" s="242" t="str">
        <f ca="1">IF(F421=1,AVERAGE(INDIRECT("I"&amp;$D$8):INDIRECT("I"&amp;$E$8)),IF(F421=2,AVERAGE(INDIRECT("I"&amp;$D$9):INDIRECT("I"&amp;$E$9)),IF(F421=3,AVERAGE(INDIRECT("I"&amp;$D$10):INDIRECT("I"&amp;$E$10)),IF(F421=4,AVERAGE(INDIRECT("I"&amp;$D$11):INDIRECT("I"&amp;$E$11)),IF(F421=5,AVERAGE(INDIRECT("I"&amp;$D$12):INDIRECT("I"&amp;$E$12)),IF(F421=6,AVERAGE(INDIRECT("I"&amp;$D$13):INDIRECT("I"&amp;$E$13))," "))))))</f>
        <v xml:space="preserve"> </v>
      </c>
      <c r="K421" s="242" t="str">
        <f t="shared" si="37"/>
        <v xml:space="preserve"> </v>
      </c>
      <c r="L421" s="242" t="str">
        <f t="shared" si="38"/>
        <v xml:space="preserve"> </v>
      </c>
      <c r="M421" s="242" t="str">
        <f t="shared" si="39"/>
        <v xml:space="preserve"> </v>
      </c>
    </row>
    <row r="422" spans="6:13" x14ac:dyDescent="0.2">
      <c r="F422" s="216" t="str">
        <f t="shared" si="35"/>
        <v xml:space="preserve"> </v>
      </c>
      <c r="G422" s="50"/>
      <c r="H422" s="242" t="str">
        <f ca="1">IF(F422=1,PERCENTILE(INDIRECT("g"&amp;$D$8):INDIRECT("g"&amp;$E$8),0.5),IF(F422=2,PERCENTILE(INDIRECT("g"&amp;$D$9):INDIRECT("g"&amp;$E$9),0.5),IF(F422=3,PERCENTILE(INDIRECT("g"&amp;$D$10):INDIRECT("g"&amp;$E$10),0.5),IF(F422=4,PERCENTILE(INDIRECT("g"&amp;$D$11):INDIRECT("g"&amp;$E$11),0.5),IF(F422=5,PERCENTILE(INDIRECT("g"&amp;$D$12):INDIRECT("g"&amp;$E$12),0.5),IF(F422=6,PERCENTILE(INDIRECT("g"&amp;$D$13):INDIRECT("g"&amp;$E$13),0.5)," "))))))</f>
        <v xml:space="preserve"> </v>
      </c>
      <c r="I422" s="242" t="str">
        <f t="shared" si="36"/>
        <v xml:space="preserve"> </v>
      </c>
      <c r="J422" s="242" t="str">
        <f ca="1">IF(F422=1,AVERAGE(INDIRECT("I"&amp;$D$8):INDIRECT("I"&amp;$E$8)),IF(F422=2,AVERAGE(INDIRECT("I"&amp;$D$9):INDIRECT("I"&amp;$E$9)),IF(F422=3,AVERAGE(INDIRECT("I"&amp;$D$10):INDIRECT("I"&amp;$E$10)),IF(F422=4,AVERAGE(INDIRECT("I"&amp;$D$11):INDIRECT("I"&amp;$E$11)),IF(F422=5,AVERAGE(INDIRECT("I"&amp;$D$12):INDIRECT("I"&amp;$E$12)),IF(F422=6,AVERAGE(INDIRECT("I"&amp;$D$13):INDIRECT("I"&amp;$E$13))," "))))))</f>
        <v xml:space="preserve"> </v>
      </c>
      <c r="K422" s="242" t="str">
        <f t="shared" si="37"/>
        <v xml:space="preserve"> </v>
      </c>
      <c r="L422" s="242" t="str">
        <f t="shared" si="38"/>
        <v xml:space="preserve"> </v>
      </c>
      <c r="M422" s="242" t="str">
        <f t="shared" si="39"/>
        <v xml:space="preserve"> </v>
      </c>
    </row>
    <row r="423" spans="6:13" x14ac:dyDescent="0.2">
      <c r="F423" s="216" t="str">
        <f t="shared" si="35"/>
        <v xml:space="preserve"> </v>
      </c>
      <c r="G423" s="50"/>
      <c r="H423" s="242" t="str">
        <f ca="1">IF(F423=1,PERCENTILE(INDIRECT("g"&amp;$D$8):INDIRECT("g"&amp;$E$8),0.5),IF(F423=2,PERCENTILE(INDIRECT("g"&amp;$D$9):INDIRECT("g"&amp;$E$9),0.5),IF(F423=3,PERCENTILE(INDIRECT("g"&amp;$D$10):INDIRECT("g"&amp;$E$10),0.5),IF(F423=4,PERCENTILE(INDIRECT("g"&amp;$D$11):INDIRECT("g"&amp;$E$11),0.5),IF(F423=5,PERCENTILE(INDIRECT("g"&amp;$D$12):INDIRECT("g"&amp;$E$12),0.5),IF(F423=6,PERCENTILE(INDIRECT("g"&amp;$D$13):INDIRECT("g"&amp;$E$13),0.5)," "))))))</f>
        <v xml:space="preserve"> </v>
      </c>
      <c r="I423" s="242" t="str">
        <f t="shared" si="36"/>
        <v xml:space="preserve"> </v>
      </c>
      <c r="J423" s="242" t="str">
        <f ca="1">IF(F423=1,AVERAGE(INDIRECT("I"&amp;$D$8):INDIRECT("I"&amp;$E$8)),IF(F423=2,AVERAGE(INDIRECT("I"&amp;$D$9):INDIRECT("I"&amp;$E$9)),IF(F423=3,AVERAGE(INDIRECT("I"&amp;$D$10):INDIRECT("I"&amp;$E$10)),IF(F423=4,AVERAGE(INDIRECT("I"&amp;$D$11):INDIRECT("I"&amp;$E$11)),IF(F423=5,AVERAGE(INDIRECT("I"&amp;$D$12):INDIRECT("I"&amp;$E$12)),IF(F423=6,AVERAGE(INDIRECT("I"&amp;$D$13):INDIRECT("I"&amp;$E$13))," "))))))</f>
        <v xml:space="preserve"> </v>
      </c>
      <c r="K423" s="242" t="str">
        <f t="shared" si="37"/>
        <v xml:space="preserve"> </v>
      </c>
      <c r="L423" s="242" t="str">
        <f t="shared" si="38"/>
        <v xml:space="preserve"> </v>
      </c>
      <c r="M423" s="242" t="str">
        <f t="shared" si="39"/>
        <v xml:space="preserve"> </v>
      </c>
    </row>
    <row r="424" spans="6:13" x14ac:dyDescent="0.2">
      <c r="F424" s="216" t="str">
        <f t="shared" si="35"/>
        <v xml:space="preserve"> </v>
      </c>
      <c r="G424" s="50"/>
      <c r="H424" s="242" t="str">
        <f ca="1">IF(F424=1,PERCENTILE(INDIRECT("g"&amp;$D$8):INDIRECT("g"&amp;$E$8),0.5),IF(F424=2,PERCENTILE(INDIRECT("g"&amp;$D$9):INDIRECT("g"&amp;$E$9),0.5),IF(F424=3,PERCENTILE(INDIRECT("g"&amp;$D$10):INDIRECT("g"&amp;$E$10),0.5),IF(F424=4,PERCENTILE(INDIRECT("g"&amp;$D$11):INDIRECT("g"&amp;$E$11),0.5),IF(F424=5,PERCENTILE(INDIRECT("g"&amp;$D$12):INDIRECT("g"&amp;$E$12),0.5),IF(F424=6,PERCENTILE(INDIRECT("g"&amp;$D$13):INDIRECT("g"&amp;$E$13),0.5)," "))))))</f>
        <v xml:space="preserve"> </v>
      </c>
      <c r="I424" s="242" t="str">
        <f t="shared" si="36"/>
        <v xml:space="preserve"> </v>
      </c>
      <c r="J424" s="242" t="str">
        <f ca="1">IF(F424=1,AVERAGE(INDIRECT("I"&amp;$D$8):INDIRECT("I"&amp;$E$8)),IF(F424=2,AVERAGE(INDIRECT("I"&amp;$D$9):INDIRECT("I"&amp;$E$9)),IF(F424=3,AVERAGE(INDIRECT("I"&amp;$D$10):INDIRECT("I"&amp;$E$10)),IF(F424=4,AVERAGE(INDIRECT("I"&amp;$D$11):INDIRECT("I"&amp;$E$11)),IF(F424=5,AVERAGE(INDIRECT("I"&amp;$D$12):INDIRECT("I"&amp;$E$12)),IF(F424=6,AVERAGE(INDIRECT("I"&amp;$D$13):INDIRECT("I"&amp;$E$13))," "))))))</f>
        <v xml:space="preserve"> </v>
      </c>
      <c r="K424" s="242" t="str">
        <f t="shared" si="37"/>
        <v xml:space="preserve"> </v>
      </c>
      <c r="L424" s="242" t="str">
        <f t="shared" si="38"/>
        <v xml:space="preserve"> </v>
      </c>
      <c r="M424" s="242" t="str">
        <f t="shared" si="39"/>
        <v xml:space="preserve"> </v>
      </c>
    </row>
    <row r="425" spans="6:13" x14ac:dyDescent="0.2">
      <c r="F425" s="216" t="str">
        <f t="shared" si="35"/>
        <v xml:space="preserve"> </v>
      </c>
      <c r="G425" s="50"/>
      <c r="H425" s="242" t="str">
        <f ca="1">IF(F425=1,PERCENTILE(INDIRECT("g"&amp;$D$8):INDIRECT("g"&amp;$E$8),0.5),IF(F425=2,PERCENTILE(INDIRECT("g"&amp;$D$9):INDIRECT("g"&amp;$E$9),0.5),IF(F425=3,PERCENTILE(INDIRECT("g"&amp;$D$10):INDIRECT("g"&amp;$E$10),0.5),IF(F425=4,PERCENTILE(INDIRECT("g"&amp;$D$11):INDIRECT("g"&amp;$E$11),0.5),IF(F425=5,PERCENTILE(INDIRECT("g"&amp;$D$12):INDIRECT("g"&amp;$E$12),0.5),IF(F425=6,PERCENTILE(INDIRECT("g"&amp;$D$13):INDIRECT("g"&amp;$E$13),0.5)," "))))))</f>
        <v xml:space="preserve"> </v>
      </c>
      <c r="I425" s="242" t="str">
        <f t="shared" si="36"/>
        <v xml:space="preserve"> </v>
      </c>
      <c r="J425" s="242" t="str">
        <f ca="1">IF(F425=1,AVERAGE(INDIRECT("I"&amp;$D$8):INDIRECT("I"&amp;$E$8)),IF(F425=2,AVERAGE(INDIRECT("I"&amp;$D$9):INDIRECT("I"&amp;$E$9)),IF(F425=3,AVERAGE(INDIRECT("I"&amp;$D$10):INDIRECT("I"&amp;$E$10)),IF(F425=4,AVERAGE(INDIRECT("I"&amp;$D$11):INDIRECT("I"&amp;$E$11)),IF(F425=5,AVERAGE(INDIRECT("I"&amp;$D$12):INDIRECT("I"&amp;$E$12)),IF(F425=6,AVERAGE(INDIRECT("I"&amp;$D$13):INDIRECT("I"&amp;$E$13))," "))))))</f>
        <v xml:space="preserve"> </v>
      </c>
      <c r="K425" s="242" t="str">
        <f t="shared" si="37"/>
        <v xml:space="preserve"> </v>
      </c>
      <c r="L425" s="242" t="str">
        <f t="shared" si="38"/>
        <v xml:space="preserve"> </v>
      </c>
      <c r="M425" s="242" t="str">
        <f t="shared" si="39"/>
        <v xml:space="preserve"> </v>
      </c>
    </row>
    <row r="426" spans="6:13" x14ac:dyDescent="0.2">
      <c r="F426" s="216" t="str">
        <f t="shared" si="35"/>
        <v xml:space="preserve"> </v>
      </c>
      <c r="G426" s="50"/>
      <c r="H426" s="242" t="str">
        <f ca="1">IF(F426=1,PERCENTILE(INDIRECT("g"&amp;$D$8):INDIRECT("g"&amp;$E$8),0.5),IF(F426=2,PERCENTILE(INDIRECT("g"&amp;$D$9):INDIRECT("g"&amp;$E$9),0.5),IF(F426=3,PERCENTILE(INDIRECT("g"&amp;$D$10):INDIRECT("g"&amp;$E$10),0.5),IF(F426=4,PERCENTILE(INDIRECT("g"&amp;$D$11):INDIRECT("g"&amp;$E$11),0.5),IF(F426=5,PERCENTILE(INDIRECT("g"&amp;$D$12):INDIRECT("g"&amp;$E$12),0.5),IF(F426=6,PERCENTILE(INDIRECT("g"&amp;$D$13):INDIRECT("g"&amp;$E$13),0.5)," "))))))</f>
        <v xml:space="preserve"> </v>
      </c>
      <c r="I426" s="242" t="str">
        <f t="shared" si="36"/>
        <v xml:space="preserve"> </v>
      </c>
      <c r="J426" s="242" t="str">
        <f ca="1">IF(F426=1,AVERAGE(INDIRECT("I"&amp;$D$8):INDIRECT("I"&amp;$E$8)),IF(F426=2,AVERAGE(INDIRECT("I"&amp;$D$9):INDIRECT("I"&amp;$E$9)),IF(F426=3,AVERAGE(INDIRECT("I"&amp;$D$10):INDIRECT("I"&amp;$E$10)),IF(F426=4,AVERAGE(INDIRECT("I"&amp;$D$11):INDIRECT("I"&amp;$E$11)),IF(F426=5,AVERAGE(INDIRECT("I"&amp;$D$12):INDIRECT("I"&amp;$E$12)),IF(F426=6,AVERAGE(INDIRECT("I"&amp;$D$13):INDIRECT("I"&amp;$E$13))," "))))))</f>
        <v xml:space="preserve"> </v>
      </c>
      <c r="K426" s="242" t="str">
        <f t="shared" si="37"/>
        <v xml:space="preserve"> </v>
      </c>
      <c r="L426" s="242" t="str">
        <f t="shared" si="38"/>
        <v xml:space="preserve"> </v>
      </c>
      <c r="M426" s="242" t="str">
        <f t="shared" si="39"/>
        <v xml:space="preserve"> </v>
      </c>
    </row>
    <row r="427" spans="6:13" x14ac:dyDescent="0.2">
      <c r="F427" s="216" t="str">
        <f t="shared" si="35"/>
        <v xml:space="preserve"> </v>
      </c>
      <c r="G427" s="50"/>
      <c r="H427" s="242" t="str">
        <f ca="1">IF(F427=1,PERCENTILE(INDIRECT("g"&amp;$D$8):INDIRECT("g"&amp;$E$8),0.5),IF(F427=2,PERCENTILE(INDIRECT("g"&amp;$D$9):INDIRECT("g"&amp;$E$9),0.5),IF(F427=3,PERCENTILE(INDIRECT("g"&amp;$D$10):INDIRECT("g"&amp;$E$10),0.5),IF(F427=4,PERCENTILE(INDIRECT("g"&amp;$D$11):INDIRECT("g"&amp;$E$11),0.5),IF(F427=5,PERCENTILE(INDIRECT("g"&amp;$D$12):INDIRECT("g"&amp;$E$12),0.5),IF(F427=6,PERCENTILE(INDIRECT("g"&amp;$D$13):INDIRECT("g"&amp;$E$13),0.5)," "))))))</f>
        <v xml:space="preserve"> </v>
      </c>
      <c r="I427" s="242" t="str">
        <f t="shared" si="36"/>
        <v xml:space="preserve"> </v>
      </c>
      <c r="J427" s="242" t="str">
        <f ca="1">IF(F427=1,AVERAGE(INDIRECT("I"&amp;$D$8):INDIRECT("I"&amp;$E$8)),IF(F427=2,AVERAGE(INDIRECT("I"&amp;$D$9):INDIRECT("I"&amp;$E$9)),IF(F427=3,AVERAGE(INDIRECT("I"&amp;$D$10):INDIRECT("I"&amp;$E$10)),IF(F427=4,AVERAGE(INDIRECT("I"&amp;$D$11):INDIRECT("I"&amp;$E$11)),IF(F427=5,AVERAGE(INDIRECT("I"&amp;$D$12):INDIRECT("I"&amp;$E$12)),IF(F427=6,AVERAGE(INDIRECT("I"&amp;$D$13):INDIRECT("I"&amp;$E$13))," "))))))</f>
        <v xml:space="preserve"> </v>
      </c>
      <c r="K427" s="242" t="str">
        <f t="shared" si="37"/>
        <v xml:space="preserve"> </v>
      </c>
      <c r="L427" s="242" t="str">
        <f t="shared" si="38"/>
        <v xml:space="preserve"> </v>
      </c>
      <c r="M427" s="242" t="str">
        <f t="shared" si="39"/>
        <v xml:space="preserve"> </v>
      </c>
    </row>
    <row r="428" spans="6:13" x14ac:dyDescent="0.2">
      <c r="F428" s="216" t="str">
        <f t="shared" si="35"/>
        <v xml:space="preserve"> </v>
      </c>
      <c r="G428" s="50"/>
      <c r="H428" s="242" t="str">
        <f ca="1">IF(F428=1,PERCENTILE(INDIRECT("g"&amp;$D$8):INDIRECT("g"&amp;$E$8),0.5),IF(F428=2,PERCENTILE(INDIRECT("g"&amp;$D$9):INDIRECT("g"&amp;$E$9),0.5),IF(F428=3,PERCENTILE(INDIRECT("g"&amp;$D$10):INDIRECT("g"&amp;$E$10),0.5),IF(F428=4,PERCENTILE(INDIRECT("g"&amp;$D$11):INDIRECT("g"&amp;$E$11),0.5),IF(F428=5,PERCENTILE(INDIRECT("g"&amp;$D$12):INDIRECT("g"&amp;$E$12),0.5),IF(F428=6,PERCENTILE(INDIRECT("g"&amp;$D$13):INDIRECT("g"&amp;$E$13),0.5)," "))))))</f>
        <v xml:space="preserve"> </v>
      </c>
      <c r="I428" s="242" t="str">
        <f t="shared" si="36"/>
        <v xml:space="preserve"> </v>
      </c>
      <c r="J428" s="242" t="str">
        <f ca="1">IF(F428=1,AVERAGE(INDIRECT("I"&amp;$D$8):INDIRECT("I"&amp;$E$8)),IF(F428=2,AVERAGE(INDIRECT("I"&amp;$D$9):INDIRECT("I"&amp;$E$9)),IF(F428=3,AVERAGE(INDIRECT("I"&amp;$D$10):INDIRECT("I"&amp;$E$10)),IF(F428=4,AVERAGE(INDIRECT("I"&amp;$D$11):INDIRECT("I"&amp;$E$11)),IF(F428=5,AVERAGE(INDIRECT("I"&amp;$D$12):INDIRECT("I"&amp;$E$12)),IF(F428=6,AVERAGE(INDIRECT("I"&amp;$D$13):INDIRECT("I"&amp;$E$13))," "))))))</f>
        <v xml:space="preserve"> </v>
      </c>
      <c r="K428" s="242" t="str">
        <f t="shared" si="37"/>
        <v xml:space="preserve"> </v>
      </c>
      <c r="L428" s="242" t="str">
        <f t="shared" si="38"/>
        <v xml:space="preserve"> </v>
      </c>
      <c r="M428" s="242" t="str">
        <f t="shared" si="39"/>
        <v xml:space="preserve"> </v>
      </c>
    </row>
    <row r="429" spans="6:13" x14ac:dyDescent="0.2">
      <c r="F429" s="216" t="str">
        <f t="shared" si="35"/>
        <v xml:space="preserve"> </v>
      </c>
      <c r="G429" s="50"/>
      <c r="H429" s="242" t="str">
        <f ca="1">IF(F429=1,PERCENTILE(INDIRECT("g"&amp;$D$8):INDIRECT("g"&amp;$E$8),0.5),IF(F429=2,PERCENTILE(INDIRECT("g"&amp;$D$9):INDIRECT("g"&amp;$E$9),0.5),IF(F429=3,PERCENTILE(INDIRECT("g"&amp;$D$10):INDIRECT("g"&amp;$E$10),0.5),IF(F429=4,PERCENTILE(INDIRECT("g"&amp;$D$11):INDIRECT("g"&amp;$E$11),0.5),IF(F429=5,PERCENTILE(INDIRECT("g"&amp;$D$12):INDIRECT("g"&amp;$E$12),0.5),IF(F429=6,PERCENTILE(INDIRECT("g"&amp;$D$13):INDIRECT("g"&amp;$E$13),0.5)," "))))))</f>
        <v xml:space="preserve"> </v>
      </c>
      <c r="I429" s="242" t="str">
        <f t="shared" si="36"/>
        <v xml:space="preserve"> </v>
      </c>
      <c r="J429" s="242" t="str">
        <f ca="1">IF(F429=1,AVERAGE(INDIRECT("I"&amp;$D$8):INDIRECT("I"&amp;$E$8)),IF(F429=2,AVERAGE(INDIRECT("I"&amp;$D$9):INDIRECT("I"&amp;$E$9)),IF(F429=3,AVERAGE(INDIRECT("I"&amp;$D$10):INDIRECT("I"&amp;$E$10)),IF(F429=4,AVERAGE(INDIRECT("I"&amp;$D$11):INDIRECT("I"&amp;$E$11)),IF(F429=5,AVERAGE(INDIRECT("I"&amp;$D$12):INDIRECT("I"&amp;$E$12)),IF(F429=6,AVERAGE(INDIRECT("I"&amp;$D$13):INDIRECT("I"&amp;$E$13))," "))))))</f>
        <v xml:space="preserve"> </v>
      </c>
      <c r="K429" s="242" t="str">
        <f t="shared" si="37"/>
        <v xml:space="preserve"> </v>
      </c>
      <c r="L429" s="242" t="str">
        <f t="shared" si="38"/>
        <v xml:space="preserve"> </v>
      </c>
      <c r="M429" s="242" t="str">
        <f t="shared" si="39"/>
        <v xml:space="preserve"> </v>
      </c>
    </row>
    <row r="430" spans="6:13" x14ac:dyDescent="0.2">
      <c r="F430" s="216" t="str">
        <f t="shared" si="35"/>
        <v xml:space="preserve"> </v>
      </c>
      <c r="G430" s="50"/>
      <c r="H430" s="242" t="str">
        <f ca="1">IF(F430=1,PERCENTILE(INDIRECT("g"&amp;$D$8):INDIRECT("g"&amp;$E$8),0.5),IF(F430=2,PERCENTILE(INDIRECT("g"&amp;$D$9):INDIRECT("g"&amp;$E$9),0.5),IF(F430=3,PERCENTILE(INDIRECT("g"&amp;$D$10):INDIRECT("g"&amp;$E$10),0.5),IF(F430=4,PERCENTILE(INDIRECT("g"&amp;$D$11):INDIRECT("g"&amp;$E$11),0.5),IF(F430=5,PERCENTILE(INDIRECT("g"&amp;$D$12):INDIRECT("g"&amp;$E$12),0.5),IF(F430=6,PERCENTILE(INDIRECT("g"&amp;$D$13):INDIRECT("g"&amp;$E$13),0.5)," "))))))</f>
        <v xml:space="preserve"> </v>
      </c>
      <c r="I430" s="242" t="str">
        <f t="shared" si="36"/>
        <v xml:space="preserve"> </v>
      </c>
      <c r="J430" s="242" t="str">
        <f ca="1">IF(F430=1,AVERAGE(INDIRECT("I"&amp;$D$8):INDIRECT("I"&amp;$E$8)),IF(F430=2,AVERAGE(INDIRECT("I"&amp;$D$9):INDIRECT("I"&amp;$E$9)),IF(F430=3,AVERAGE(INDIRECT("I"&amp;$D$10):INDIRECT("I"&amp;$E$10)),IF(F430=4,AVERAGE(INDIRECT("I"&amp;$D$11):INDIRECT("I"&amp;$E$11)),IF(F430=5,AVERAGE(INDIRECT("I"&amp;$D$12):INDIRECT("I"&amp;$E$12)),IF(F430=6,AVERAGE(INDIRECT("I"&amp;$D$13):INDIRECT("I"&amp;$E$13))," "))))))</f>
        <v xml:space="preserve"> </v>
      </c>
      <c r="K430" s="242" t="str">
        <f t="shared" si="37"/>
        <v xml:space="preserve"> </v>
      </c>
      <c r="L430" s="242" t="str">
        <f t="shared" si="38"/>
        <v xml:space="preserve"> </v>
      </c>
      <c r="M430" s="242" t="str">
        <f t="shared" si="39"/>
        <v xml:space="preserve"> </v>
      </c>
    </row>
    <row r="431" spans="6:13" x14ac:dyDescent="0.2">
      <c r="F431" s="216" t="str">
        <f t="shared" si="35"/>
        <v xml:space="preserve"> </v>
      </c>
      <c r="G431" s="50"/>
      <c r="H431" s="242" t="str">
        <f ca="1">IF(F431=1,PERCENTILE(INDIRECT("g"&amp;$D$8):INDIRECT("g"&amp;$E$8),0.5),IF(F431=2,PERCENTILE(INDIRECT("g"&amp;$D$9):INDIRECT("g"&amp;$E$9),0.5),IF(F431=3,PERCENTILE(INDIRECT("g"&amp;$D$10):INDIRECT("g"&amp;$E$10),0.5),IF(F431=4,PERCENTILE(INDIRECT("g"&amp;$D$11):INDIRECT("g"&amp;$E$11),0.5),IF(F431=5,PERCENTILE(INDIRECT("g"&amp;$D$12):INDIRECT("g"&amp;$E$12),0.5),IF(F431=6,PERCENTILE(INDIRECT("g"&amp;$D$13):INDIRECT("g"&amp;$E$13),0.5)," "))))))</f>
        <v xml:space="preserve"> </v>
      </c>
      <c r="I431" s="242" t="str">
        <f t="shared" si="36"/>
        <v xml:space="preserve"> </v>
      </c>
      <c r="J431" s="242" t="str">
        <f ca="1">IF(F431=1,AVERAGE(INDIRECT("I"&amp;$D$8):INDIRECT("I"&amp;$E$8)),IF(F431=2,AVERAGE(INDIRECT("I"&amp;$D$9):INDIRECT("I"&amp;$E$9)),IF(F431=3,AVERAGE(INDIRECT("I"&amp;$D$10):INDIRECT("I"&amp;$E$10)),IF(F431=4,AVERAGE(INDIRECT("I"&amp;$D$11):INDIRECT("I"&amp;$E$11)),IF(F431=5,AVERAGE(INDIRECT("I"&amp;$D$12):INDIRECT("I"&amp;$E$12)),IF(F431=6,AVERAGE(INDIRECT("I"&amp;$D$13):INDIRECT("I"&amp;$E$13))," "))))))</f>
        <v xml:space="preserve"> </v>
      </c>
      <c r="K431" s="242" t="str">
        <f t="shared" si="37"/>
        <v xml:space="preserve"> </v>
      </c>
      <c r="L431" s="242" t="str">
        <f t="shared" si="38"/>
        <v xml:space="preserve"> </v>
      </c>
      <c r="M431" s="242" t="str">
        <f t="shared" si="39"/>
        <v xml:space="preserve"> </v>
      </c>
    </row>
    <row r="432" spans="6:13" x14ac:dyDescent="0.2">
      <c r="F432" s="216" t="str">
        <f t="shared" si="35"/>
        <v xml:space="preserve"> </v>
      </c>
      <c r="G432" s="50"/>
      <c r="H432" s="242" t="str">
        <f ca="1">IF(F432=1,PERCENTILE(INDIRECT("g"&amp;$D$8):INDIRECT("g"&amp;$E$8),0.5),IF(F432=2,PERCENTILE(INDIRECT("g"&amp;$D$9):INDIRECT("g"&amp;$E$9),0.5),IF(F432=3,PERCENTILE(INDIRECT("g"&amp;$D$10):INDIRECT("g"&amp;$E$10),0.5),IF(F432=4,PERCENTILE(INDIRECT("g"&amp;$D$11):INDIRECT("g"&amp;$E$11),0.5),IF(F432=5,PERCENTILE(INDIRECT("g"&amp;$D$12):INDIRECT("g"&amp;$E$12),0.5),IF(F432=6,PERCENTILE(INDIRECT("g"&amp;$D$13):INDIRECT("g"&amp;$E$13),0.5)," "))))))</f>
        <v xml:space="preserve"> </v>
      </c>
      <c r="I432" s="242" t="str">
        <f t="shared" si="36"/>
        <v xml:space="preserve"> </v>
      </c>
      <c r="J432" s="242" t="str">
        <f ca="1">IF(F432=1,AVERAGE(INDIRECT("I"&amp;$D$8):INDIRECT("I"&amp;$E$8)),IF(F432=2,AVERAGE(INDIRECT("I"&amp;$D$9):INDIRECT("I"&amp;$E$9)),IF(F432=3,AVERAGE(INDIRECT("I"&amp;$D$10):INDIRECT("I"&amp;$E$10)),IF(F432=4,AVERAGE(INDIRECT("I"&amp;$D$11):INDIRECT("I"&amp;$E$11)),IF(F432=5,AVERAGE(INDIRECT("I"&amp;$D$12):INDIRECT("I"&amp;$E$12)),IF(F432=6,AVERAGE(INDIRECT("I"&amp;$D$13):INDIRECT("I"&amp;$E$13))," "))))))</f>
        <v xml:space="preserve"> </v>
      </c>
      <c r="K432" s="242" t="str">
        <f t="shared" si="37"/>
        <v xml:space="preserve"> </v>
      </c>
      <c r="L432" s="242" t="str">
        <f t="shared" si="38"/>
        <v xml:space="preserve"> </v>
      </c>
      <c r="M432" s="242" t="str">
        <f t="shared" si="39"/>
        <v xml:space="preserve"> </v>
      </c>
    </row>
    <row r="433" spans="6:13" x14ac:dyDescent="0.2">
      <c r="F433" s="216" t="str">
        <f t="shared" si="35"/>
        <v xml:space="preserve"> </v>
      </c>
      <c r="G433" s="50"/>
      <c r="H433" s="242" t="str">
        <f ca="1">IF(F433=1,PERCENTILE(INDIRECT("g"&amp;$D$8):INDIRECT("g"&amp;$E$8),0.5),IF(F433=2,PERCENTILE(INDIRECT("g"&amp;$D$9):INDIRECT("g"&amp;$E$9),0.5),IF(F433=3,PERCENTILE(INDIRECT("g"&amp;$D$10):INDIRECT("g"&amp;$E$10),0.5),IF(F433=4,PERCENTILE(INDIRECT("g"&amp;$D$11):INDIRECT("g"&amp;$E$11),0.5),IF(F433=5,PERCENTILE(INDIRECT("g"&amp;$D$12):INDIRECT("g"&amp;$E$12),0.5),IF(F433=6,PERCENTILE(INDIRECT("g"&amp;$D$13):INDIRECT("g"&amp;$E$13),0.5)," "))))))</f>
        <v xml:space="preserve"> </v>
      </c>
      <c r="I433" s="242" t="str">
        <f t="shared" si="36"/>
        <v xml:space="preserve"> </v>
      </c>
      <c r="J433" s="242" t="str">
        <f ca="1">IF(F433=1,AVERAGE(INDIRECT("I"&amp;$D$8):INDIRECT("I"&amp;$E$8)),IF(F433=2,AVERAGE(INDIRECT("I"&amp;$D$9):INDIRECT("I"&amp;$E$9)),IF(F433=3,AVERAGE(INDIRECT("I"&amp;$D$10):INDIRECT("I"&amp;$E$10)),IF(F433=4,AVERAGE(INDIRECT("I"&amp;$D$11):INDIRECT("I"&amp;$E$11)),IF(F433=5,AVERAGE(INDIRECT("I"&amp;$D$12):INDIRECT("I"&amp;$E$12)),IF(F433=6,AVERAGE(INDIRECT("I"&amp;$D$13):INDIRECT("I"&amp;$E$13))," "))))))</f>
        <v xml:space="preserve"> </v>
      </c>
      <c r="K433" s="242" t="str">
        <f t="shared" si="37"/>
        <v xml:space="preserve"> </v>
      </c>
      <c r="L433" s="242" t="str">
        <f t="shared" si="38"/>
        <v xml:space="preserve"> </v>
      </c>
      <c r="M433" s="242" t="str">
        <f t="shared" si="39"/>
        <v xml:space="preserve"> </v>
      </c>
    </row>
    <row r="434" spans="6:13" x14ac:dyDescent="0.2">
      <c r="F434" s="216" t="str">
        <f t="shared" si="35"/>
        <v xml:space="preserve"> </v>
      </c>
      <c r="G434" s="50"/>
      <c r="H434" s="242" t="str">
        <f ca="1">IF(F434=1,PERCENTILE(INDIRECT("g"&amp;$D$8):INDIRECT("g"&amp;$E$8),0.5),IF(F434=2,PERCENTILE(INDIRECT("g"&amp;$D$9):INDIRECT("g"&amp;$E$9),0.5),IF(F434=3,PERCENTILE(INDIRECT("g"&amp;$D$10):INDIRECT("g"&amp;$E$10),0.5),IF(F434=4,PERCENTILE(INDIRECT("g"&amp;$D$11):INDIRECT("g"&amp;$E$11),0.5),IF(F434=5,PERCENTILE(INDIRECT("g"&amp;$D$12):INDIRECT("g"&amp;$E$12),0.5),IF(F434=6,PERCENTILE(INDIRECT("g"&amp;$D$13):INDIRECT("g"&amp;$E$13),0.5)," "))))))</f>
        <v xml:space="preserve"> </v>
      </c>
      <c r="I434" s="242" t="str">
        <f t="shared" si="36"/>
        <v xml:space="preserve"> </v>
      </c>
      <c r="J434" s="242" t="str">
        <f ca="1">IF(F434=1,AVERAGE(INDIRECT("I"&amp;$D$8):INDIRECT("I"&amp;$E$8)),IF(F434=2,AVERAGE(INDIRECT("I"&amp;$D$9):INDIRECT("I"&amp;$E$9)),IF(F434=3,AVERAGE(INDIRECT("I"&amp;$D$10):INDIRECT("I"&amp;$E$10)),IF(F434=4,AVERAGE(INDIRECT("I"&amp;$D$11):INDIRECT("I"&amp;$E$11)),IF(F434=5,AVERAGE(INDIRECT("I"&amp;$D$12):INDIRECT("I"&amp;$E$12)),IF(F434=6,AVERAGE(INDIRECT("I"&amp;$D$13):INDIRECT("I"&amp;$E$13))," "))))))</f>
        <v xml:space="preserve"> </v>
      </c>
      <c r="K434" s="242" t="str">
        <f t="shared" si="37"/>
        <v xml:space="preserve"> </v>
      </c>
      <c r="L434" s="242" t="str">
        <f t="shared" si="38"/>
        <v xml:space="preserve"> </v>
      </c>
      <c r="M434" s="242" t="str">
        <f t="shared" si="39"/>
        <v xml:space="preserve"> </v>
      </c>
    </row>
    <row r="435" spans="6:13" x14ac:dyDescent="0.2">
      <c r="F435" s="216" t="str">
        <f t="shared" si="35"/>
        <v xml:space="preserve"> </v>
      </c>
      <c r="G435" s="50"/>
      <c r="H435" s="242" t="str">
        <f ca="1">IF(F435=1,PERCENTILE(INDIRECT("g"&amp;$D$8):INDIRECT("g"&amp;$E$8),0.5),IF(F435=2,PERCENTILE(INDIRECT("g"&amp;$D$9):INDIRECT("g"&amp;$E$9),0.5),IF(F435=3,PERCENTILE(INDIRECT("g"&amp;$D$10):INDIRECT("g"&amp;$E$10),0.5),IF(F435=4,PERCENTILE(INDIRECT("g"&amp;$D$11):INDIRECT("g"&amp;$E$11),0.5),IF(F435=5,PERCENTILE(INDIRECT("g"&amp;$D$12):INDIRECT("g"&amp;$E$12),0.5),IF(F435=6,PERCENTILE(INDIRECT("g"&amp;$D$13):INDIRECT("g"&amp;$E$13),0.5)," "))))))</f>
        <v xml:space="preserve"> </v>
      </c>
      <c r="I435" s="242" t="str">
        <f t="shared" si="36"/>
        <v xml:space="preserve"> </v>
      </c>
      <c r="J435" s="242" t="str">
        <f ca="1">IF(F435=1,AVERAGE(INDIRECT("I"&amp;$D$8):INDIRECT("I"&amp;$E$8)),IF(F435=2,AVERAGE(INDIRECT("I"&amp;$D$9):INDIRECT("I"&amp;$E$9)),IF(F435=3,AVERAGE(INDIRECT("I"&amp;$D$10):INDIRECT("I"&amp;$E$10)),IF(F435=4,AVERAGE(INDIRECT("I"&amp;$D$11):INDIRECT("I"&amp;$E$11)),IF(F435=5,AVERAGE(INDIRECT("I"&amp;$D$12):INDIRECT("I"&amp;$E$12)),IF(F435=6,AVERAGE(INDIRECT("I"&amp;$D$13):INDIRECT("I"&amp;$E$13))," "))))))</f>
        <v xml:space="preserve"> </v>
      </c>
      <c r="K435" s="242" t="str">
        <f t="shared" si="37"/>
        <v xml:space="preserve"> </v>
      </c>
      <c r="L435" s="242" t="str">
        <f t="shared" si="38"/>
        <v xml:space="preserve"> </v>
      </c>
      <c r="M435" s="242" t="str">
        <f t="shared" si="39"/>
        <v xml:space="preserve"> </v>
      </c>
    </row>
    <row r="436" spans="6:13" x14ac:dyDescent="0.2">
      <c r="F436" s="216" t="str">
        <f t="shared" si="35"/>
        <v xml:space="preserve"> </v>
      </c>
      <c r="G436" s="50"/>
      <c r="H436" s="242" t="str">
        <f ca="1">IF(F436=1,PERCENTILE(INDIRECT("g"&amp;$D$8):INDIRECT("g"&amp;$E$8),0.5),IF(F436=2,PERCENTILE(INDIRECT("g"&amp;$D$9):INDIRECT("g"&amp;$E$9),0.5),IF(F436=3,PERCENTILE(INDIRECT("g"&amp;$D$10):INDIRECT("g"&amp;$E$10),0.5),IF(F436=4,PERCENTILE(INDIRECT("g"&amp;$D$11):INDIRECT("g"&amp;$E$11),0.5),IF(F436=5,PERCENTILE(INDIRECT("g"&amp;$D$12):INDIRECT("g"&amp;$E$12),0.5),IF(F436=6,PERCENTILE(INDIRECT("g"&amp;$D$13):INDIRECT("g"&amp;$E$13),0.5)," "))))))</f>
        <v xml:space="preserve"> </v>
      </c>
      <c r="I436" s="242" t="str">
        <f t="shared" si="36"/>
        <v xml:space="preserve"> </v>
      </c>
      <c r="J436" s="242" t="str">
        <f ca="1">IF(F436=1,AVERAGE(INDIRECT("I"&amp;$D$8):INDIRECT("I"&amp;$E$8)),IF(F436=2,AVERAGE(INDIRECT("I"&amp;$D$9):INDIRECT("I"&amp;$E$9)),IF(F436=3,AVERAGE(INDIRECT("I"&amp;$D$10):INDIRECT("I"&amp;$E$10)),IF(F436=4,AVERAGE(INDIRECT("I"&amp;$D$11):INDIRECT("I"&amp;$E$11)),IF(F436=5,AVERAGE(INDIRECT("I"&amp;$D$12):INDIRECT("I"&amp;$E$12)),IF(F436=6,AVERAGE(INDIRECT("I"&amp;$D$13):INDIRECT("I"&amp;$E$13))," "))))))</f>
        <v xml:space="preserve"> </v>
      </c>
      <c r="K436" s="242" t="str">
        <f t="shared" si="37"/>
        <v xml:space="preserve"> </v>
      </c>
      <c r="L436" s="242" t="str">
        <f t="shared" si="38"/>
        <v xml:space="preserve"> </v>
      </c>
      <c r="M436" s="242" t="str">
        <f t="shared" si="39"/>
        <v xml:space="preserve"> </v>
      </c>
    </row>
    <row r="437" spans="6:13" x14ac:dyDescent="0.2">
      <c r="F437" s="216" t="str">
        <f t="shared" si="35"/>
        <v xml:space="preserve"> </v>
      </c>
      <c r="G437" s="50"/>
      <c r="H437" s="242" t="str">
        <f ca="1">IF(F437=1,PERCENTILE(INDIRECT("g"&amp;$D$8):INDIRECT("g"&amp;$E$8),0.5),IF(F437=2,PERCENTILE(INDIRECT("g"&amp;$D$9):INDIRECT("g"&amp;$E$9),0.5),IF(F437=3,PERCENTILE(INDIRECT("g"&amp;$D$10):INDIRECT("g"&amp;$E$10),0.5),IF(F437=4,PERCENTILE(INDIRECT("g"&amp;$D$11):INDIRECT("g"&amp;$E$11),0.5),IF(F437=5,PERCENTILE(INDIRECT("g"&amp;$D$12):INDIRECT("g"&amp;$E$12),0.5),IF(F437=6,PERCENTILE(INDIRECT("g"&amp;$D$13):INDIRECT("g"&amp;$E$13),0.5)," "))))))</f>
        <v xml:space="preserve"> </v>
      </c>
      <c r="I437" s="242" t="str">
        <f t="shared" si="36"/>
        <v xml:space="preserve"> </v>
      </c>
      <c r="J437" s="242" t="str">
        <f ca="1">IF(F437=1,AVERAGE(INDIRECT("I"&amp;$D$8):INDIRECT("I"&amp;$E$8)),IF(F437=2,AVERAGE(INDIRECT("I"&amp;$D$9):INDIRECT("I"&amp;$E$9)),IF(F437=3,AVERAGE(INDIRECT("I"&amp;$D$10):INDIRECT("I"&amp;$E$10)),IF(F437=4,AVERAGE(INDIRECT("I"&amp;$D$11):INDIRECT("I"&amp;$E$11)),IF(F437=5,AVERAGE(INDIRECT("I"&amp;$D$12):INDIRECT("I"&amp;$E$12)),IF(F437=6,AVERAGE(INDIRECT("I"&amp;$D$13):INDIRECT("I"&amp;$E$13))," "))))))</f>
        <v xml:space="preserve"> </v>
      </c>
      <c r="K437" s="242" t="str">
        <f t="shared" si="37"/>
        <v xml:space="preserve"> </v>
      </c>
      <c r="L437" s="242" t="str">
        <f t="shared" si="38"/>
        <v xml:space="preserve"> </v>
      </c>
      <c r="M437" s="242" t="str">
        <f t="shared" si="39"/>
        <v xml:space="preserve"> </v>
      </c>
    </row>
    <row r="438" spans="6:13" x14ac:dyDescent="0.2">
      <c r="F438" s="216" t="str">
        <f t="shared" si="35"/>
        <v xml:space="preserve"> </v>
      </c>
      <c r="G438" s="50"/>
      <c r="H438" s="242" t="str">
        <f ca="1">IF(F438=1,PERCENTILE(INDIRECT("g"&amp;$D$8):INDIRECT("g"&amp;$E$8),0.5),IF(F438=2,PERCENTILE(INDIRECT("g"&amp;$D$9):INDIRECT("g"&amp;$E$9),0.5),IF(F438=3,PERCENTILE(INDIRECT("g"&amp;$D$10):INDIRECT("g"&amp;$E$10),0.5),IF(F438=4,PERCENTILE(INDIRECT("g"&amp;$D$11):INDIRECT("g"&amp;$E$11),0.5),IF(F438=5,PERCENTILE(INDIRECT("g"&amp;$D$12):INDIRECT("g"&amp;$E$12),0.5),IF(F438=6,PERCENTILE(INDIRECT("g"&amp;$D$13):INDIRECT("g"&amp;$E$13),0.5)," "))))))</f>
        <v xml:space="preserve"> </v>
      </c>
      <c r="I438" s="242" t="str">
        <f t="shared" si="36"/>
        <v xml:space="preserve"> </v>
      </c>
      <c r="J438" s="242" t="str">
        <f ca="1">IF(F438=1,AVERAGE(INDIRECT("I"&amp;$D$8):INDIRECT("I"&amp;$E$8)),IF(F438=2,AVERAGE(INDIRECT("I"&amp;$D$9):INDIRECT("I"&amp;$E$9)),IF(F438=3,AVERAGE(INDIRECT("I"&amp;$D$10):INDIRECT("I"&amp;$E$10)),IF(F438=4,AVERAGE(INDIRECT("I"&amp;$D$11):INDIRECT("I"&amp;$E$11)),IF(F438=5,AVERAGE(INDIRECT("I"&amp;$D$12):INDIRECT("I"&amp;$E$12)),IF(F438=6,AVERAGE(INDIRECT("I"&amp;$D$13):INDIRECT("I"&amp;$E$13))," "))))))</f>
        <v xml:space="preserve"> </v>
      </c>
      <c r="K438" s="242" t="str">
        <f t="shared" si="37"/>
        <v xml:space="preserve"> </v>
      </c>
      <c r="L438" s="242" t="str">
        <f t="shared" si="38"/>
        <v xml:space="preserve"> </v>
      </c>
      <c r="M438" s="242" t="str">
        <f t="shared" si="39"/>
        <v xml:space="preserve"> </v>
      </c>
    </row>
    <row r="439" spans="6:13" x14ac:dyDescent="0.2">
      <c r="F439" s="216" t="str">
        <f t="shared" si="35"/>
        <v xml:space="preserve"> </v>
      </c>
      <c r="G439" s="50"/>
      <c r="H439" s="242" t="str">
        <f ca="1">IF(F439=1,PERCENTILE(INDIRECT("g"&amp;$D$8):INDIRECT("g"&amp;$E$8),0.5),IF(F439=2,PERCENTILE(INDIRECT("g"&amp;$D$9):INDIRECT("g"&amp;$E$9),0.5),IF(F439=3,PERCENTILE(INDIRECT("g"&amp;$D$10):INDIRECT("g"&amp;$E$10),0.5),IF(F439=4,PERCENTILE(INDIRECT("g"&amp;$D$11):INDIRECT("g"&amp;$E$11),0.5),IF(F439=5,PERCENTILE(INDIRECT("g"&amp;$D$12):INDIRECT("g"&amp;$E$12),0.5),IF(F439=6,PERCENTILE(INDIRECT("g"&amp;$D$13):INDIRECT("g"&amp;$E$13),0.5)," "))))))</f>
        <v xml:space="preserve"> </v>
      </c>
      <c r="I439" s="242" t="str">
        <f t="shared" si="36"/>
        <v xml:space="preserve"> </v>
      </c>
      <c r="J439" s="242" t="str">
        <f ca="1">IF(F439=1,AVERAGE(INDIRECT("I"&amp;$D$8):INDIRECT("I"&amp;$E$8)),IF(F439=2,AVERAGE(INDIRECT("I"&amp;$D$9):INDIRECT("I"&amp;$E$9)),IF(F439=3,AVERAGE(INDIRECT("I"&amp;$D$10):INDIRECT("I"&amp;$E$10)),IF(F439=4,AVERAGE(INDIRECT("I"&amp;$D$11):INDIRECT("I"&amp;$E$11)),IF(F439=5,AVERAGE(INDIRECT("I"&amp;$D$12):INDIRECT("I"&amp;$E$12)),IF(F439=6,AVERAGE(INDIRECT("I"&amp;$D$13):INDIRECT("I"&amp;$E$13))," "))))))</f>
        <v xml:space="preserve"> </v>
      </c>
      <c r="K439" s="242" t="str">
        <f t="shared" si="37"/>
        <v xml:space="preserve"> </v>
      </c>
      <c r="L439" s="242" t="str">
        <f t="shared" si="38"/>
        <v xml:space="preserve"> </v>
      </c>
      <c r="M439" s="242" t="str">
        <f t="shared" si="39"/>
        <v xml:space="preserve"> </v>
      </c>
    </row>
    <row r="440" spans="6:13" x14ac:dyDescent="0.2">
      <c r="F440" s="216" t="str">
        <f t="shared" si="35"/>
        <v xml:space="preserve"> </v>
      </c>
      <c r="G440" s="50"/>
      <c r="H440" s="242" t="str">
        <f ca="1">IF(F440=1,PERCENTILE(INDIRECT("g"&amp;$D$8):INDIRECT("g"&amp;$E$8),0.5),IF(F440=2,PERCENTILE(INDIRECT("g"&amp;$D$9):INDIRECT("g"&amp;$E$9),0.5),IF(F440=3,PERCENTILE(INDIRECT("g"&amp;$D$10):INDIRECT("g"&amp;$E$10),0.5),IF(F440=4,PERCENTILE(INDIRECT("g"&amp;$D$11):INDIRECT("g"&amp;$E$11),0.5),IF(F440=5,PERCENTILE(INDIRECT("g"&amp;$D$12):INDIRECT("g"&amp;$E$12),0.5),IF(F440=6,PERCENTILE(INDIRECT("g"&amp;$D$13):INDIRECT("g"&amp;$E$13),0.5)," "))))))</f>
        <v xml:space="preserve"> </v>
      </c>
      <c r="I440" s="242" t="str">
        <f t="shared" si="36"/>
        <v xml:space="preserve"> </v>
      </c>
      <c r="J440" s="242" t="str">
        <f ca="1">IF(F440=1,AVERAGE(INDIRECT("I"&amp;$D$8):INDIRECT("I"&amp;$E$8)),IF(F440=2,AVERAGE(INDIRECT("I"&amp;$D$9):INDIRECT("I"&amp;$E$9)),IF(F440=3,AVERAGE(INDIRECT("I"&amp;$D$10):INDIRECT("I"&amp;$E$10)),IF(F440=4,AVERAGE(INDIRECT("I"&amp;$D$11):INDIRECT("I"&amp;$E$11)),IF(F440=5,AVERAGE(INDIRECT("I"&amp;$D$12):INDIRECT("I"&amp;$E$12)),IF(F440=6,AVERAGE(INDIRECT("I"&amp;$D$13):INDIRECT("I"&amp;$E$13))," "))))))</f>
        <v xml:space="preserve"> </v>
      </c>
      <c r="K440" s="242" t="str">
        <f t="shared" si="37"/>
        <v xml:space="preserve"> </v>
      </c>
      <c r="L440" s="242" t="str">
        <f t="shared" si="38"/>
        <v xml:space="preserve"> </v>
      </c>
      <c r="M440" s="242" t="str">
        <f t="shared" si="39"/>
        <v xml:space="preserve"> </v>
      </c>
    </row>
    <row r="441" spans="6:13" x14ac:dyDescent="0.2">
      <c r="F441" s="216" t="str">
        <f t="shared" si="35"/>
        <v xml:space="preserve"> </v>
      </c>
      <c r="G441" s="50"/>
      <c r="H441" s="242" t="str">
        <f ca="1">IF(F441=1,PERCENTILE(INDIRECT("g"&amp;$D$8):INDIRECT("g"&amp;$E$8),0.5),IF(F441=2,PERCENTILE(INDIRECT("g"&amp;$D$9):INDIRECT("g"&amp;$E$9),0.5),IF(F441=3,PERCENTILE(INDIRECT("g"&amp;$D$10):INDIRECT("g"&amp;$E$10),0.5),IF(F441=4,PERCENTILE(INDIRECT("g"&amp;$D$11):INDIRECT("g"&amp;$E$11),0.5),IF(F441=5,PERCENTILE(INDIRECT("g"&amp;$D$12):INDIRECT("g"&amp;$E$12),0.5),IF(F441=6,PERCENTILE(INDIRECT("g"&amp;$D$13):INDIRECT("g"&amp;$E$13),0.5)," "))))))</f>
        <v xml:space="preserve"> </v>
      </c>
      <c r="I441" s="242" t="str">
        <f t="shared" si="36"/>
        <v xml:space="preserve"> </v>
      </c>
      <c r="J441" s="242" t="str">
        <f ca="1">IF(F441=1,AVERAGE(INDIRECT("I"&amp;$D$8):INDIRECT("I"&amp;$E$8)),IF(F441=2,AVERAGE(INDIRECT("I"&amp;$D$9):INDIRECT("I"&amp;$E$9)),IF(F441=3,AVERAGE(INDIRECT("I"&amp;$D$10):INDIRECT("I"&amp;$E$10)),IF(F441=4,AVERAGE(INDIRECT("I"&amp;$D$11):INDIRECT("I"&amp;$E$11)),IF(F441=5,AVERAGE(INDIRECT("I"&amp;$D$12):INDIRECT("I"&amp;$E$12)),IF(F441=6,AVERAGE(INDIRECT("I"&amp;$D$13):INDIRECT("I"&amp;$E$13))," "))))))</f>
        <v xml:space="preserve"> </v>
      </c>
      <c r="K441" s="242" t="str">
        <f t="shared" si="37"/>
        <v xml:space="preserve"> </v>
      </c>
      <c r="L441" s="242" t="str">
        <f t="shared" si="38"/>
        <v xml:space="preserve"> </v>
      </c>
      <c r="M441" s="242" t="str">
        <f t="shared" si="39"/>
        <v xml:space="preserve"> </v>
      </c>
    </row>
    <row r="442" spans="6:13" x14ac:dyDescent="0.2">
      <c r="F442" s="216" t="str">
        <f t="shared" si="35"/>
        <v xml:space="preserve"> </v>
      </c>
      <c r="G442" s="50"/>
      <c r="H442" s="242" t="str">
        <f ca="1">IF(F442=1,PERCENTILE(INDIRECT("g"&amp;$D$8):INDIRECT("g"&amp;$E$8),0.5),IF(F442=2,PERCENTILE(INDIRECT("g"&amp;$D$9):INDIRECT("g"&amp;$E$9),0.5),IF(F442=3,PERCENTILE(INDIRECT("g"&amp;$D$10):INDIRECT("g"&amp;$E$10),0.5),IF(F442=4,PERCENTILE(INDIRECT("g"&amp;$D$11):INDIRECT("g"&amp;$E$11),0.5),IF(F442=5,PERCENTILE(INDIRECT("g"&amp;$D$12):INDIRECT("g"&amp;$E$12),0.5),IF(F442=6,PERCENTILE(INDIRECT("g"&amp;$D$13):INDIRECT("g"&amp;$E$13),0.5)," "))))))</f>
        <v xml:space="preserve"> </v>
      </c>
      <c r="I442" s="242" t="str">
        <f t="shared" si="36"/>
        <v xml:space="preserve"> </v>
      </c>
      <c r="J442" s="242" t="str">
        <f ca="1">IF(F442=1,AVERAGE(INDIRECT("I"&amp;$D$8):INDIRECT("I"&amp;$E$8)),IF(F442=2,AVERAGE(INDIRECT("I"&amp;$D$9):INDIRECT("I"&amp;$E$9)),IF(F442=3,AVERAGE(INDIRECT("I"&amp;$D$10):INDIRECT("I"&amp;$E$10)),IF(F442=4,AVERAGE(INDIRECT("I"&amp;$D$11):INDIRECT("I"&amp;$E$11)),IF(F442=5,AVERAGE(INDIRECT("I"&amp;$D$12):INDIRECT("I"&amp;$E$12)),IF(F442=6,AVERAGE(INDIRECT("I"&amp;$D$13):INDIRECT("I"&amp;$E$13))," "))))))</f>
        <v xml:space="preserve"> </v>
      </c>
      <c r="K442" s="242" t="str">
        <f t="shared" si="37"/>
        <v xml:space="preserve"> </v>
      </c>
      <c r="L442" s="242" t="str">
        <f t="shared" si="38"/>
        <v xml:space="preserve"> </v>
      </c>
      <c r="M442" s="242" t="str">
        <f t="shared" si="39"/>
        <v xml:space="preserve"> </v>
      </c>
    </row>
    <row r="443" spans="6:13" x14ac:dyDescent="0.2">
      <c r="F443" s="216" t="str">
        <f t="shared" si="35"/>
        <v xml:space="preserve"> </v>
      </c>
      <c r="G443" s="50"/>
      <c r="H443" s="242" t="str">
        <f ca="1">IF(F443=1,PERCENTILE(INDIRECT("g"&amp;$D$8):INDIRECT("g"&amp;$E$8),0.5),IF(F443=2,PERCENTILE(INDIRECT("g"&amp;$D$9):INDIRECT("g"&amp;$E$9),0.5),IF(F443=3,PERCENTILE(INDIRECT("g"&amp;$D$10):INDIRECT("g"&amp;$E$10),0.5),IF(F443=4,PERCENTILE(INDIRECT("g"&amp;$D$11):INDIRECT("g"&amp;$E$11),0.5),IF(F443=5,PERCENTILE(INDIRECT("g"&amp;$D$12):INDIRECT("g"&amp;$E$12),0.5),IF(F443=6,PERCENTILE(INDIRECT("g"&amp;$D$13):INDIRECT("g"&amp;$E$13),0.5)," "))))))</f>
        <v xml:space="preserve"> </v>
      </c>
      <c r="I443" s="242" t="str">
        <f t="shared" si="36"/>
        <v xml:space="preserve"> </v>
      </c>
      <c r="J443" s="242" t="str">
        <f ca="1">IF(F443=1,AVERAGE(INDIRECT("I"&amp;$D$8):INDIRECT("I"&amp;$E$8)),IF(F443=2,AVERAGE(INDIRECT("I"&amp;$D$9):INDIRECT("I"&amp;$E$9)),IF(F443=3,AVERAGE(INDIRECT("I"&amp;$D$10):INDIRECT("I"&amp;$E$10)),IF(F443=4,AVERAGE(INDIRECT("I"&amp;$D$11):INDIRECT("I"&amp;$E$11)),IF(F443=5,AVERAGE(INDIRECT("I"&amp;$D$12):INDIRECT("I"&amp;$E$12)),IF(F443=6,AVERAGE(INDIRECT("I"&amp;$D$13):INDIRECT("I"&amp;$E$13))," "))))))</f>
        <v xml:space="preserve"> </v>
      </c>
      <c r="K443" s="242" t="str">
        <f t="shared" si="37"/>
        <v xml:space="preserve"> </v>
      </c>
      <c r="L443" s="242" t="str">
        <f t="shared" si="38"/>
        <v xml:space="preserve"> </v>
      </c>
      <c r="M443" s="242" t="str">
        <f t="shared" si="39"/>
        <v xml:space="preserve"> </v>
      </c>
    </row>
    <row r="444" spans="6:13" x14ac:dyDescent="0.2">
      <c r="F444" s="216" t="str">
        <f t="shared" si="35"/>
        <v xml:space="preserve"> </v>
      </c>
      <c r="G444" s="50"/>
      <c r="H444" s="242" t="str">
        <f ca="1">IF(F444=1,PERCENTILE(INDIRECT("g"&amp;$D$8):INDIRECT("g"&amp;$E$8),0.5),IF(F444=2,PERCENTILE(INDIRECT("g"&amp;$D$9):INDIRECT("g"&amp;$E$9),0.5),IF(F444=3,PERCENTILE(INDIRECT("g"&amp;$D$10):INDIRECT("g"&amp;$E$10),0.5),IF(F444=4,PERCENTILE(INDIRECT("g"&amp;$D$11):INDIRECT("g"&amp;$E$11),0.5),IF(F444=5,PERCENTILE(INDIRECT("g"&amp;$D$12):INDIRECT("g"&amp;$E$12),0.5),IF(F444=6,PERCENTILE(INDIRECT("g"&amp;$D$13):INDIRECT("g"&amp;$E$13),0.5)," "))))))</f>
        <v xml:space="preserve"> </v>
      </c>
      <c r="I444" s="242" t="str">
        <f t="shared" si="36"/>
        <v xml:space="preserve"> </v>
      </c>
      <c r="J444" s="242" t="str">
        <f ca="1">IF(F444=1,AVERAGE(INDIRECT("I"&amp;$D$8):INDIRECT("I"&amp;$E$8)),IF(F444=2,AVERAGE(INDIRECT("I"&amp;$D$9):INDIRECT("I"&amp;$E$9)),IF(F444=3,AVERAGE(INDIRECT("I"&amp;$D$10):INDIRECT("I"&amp;$E$10)),IF(F444=4,AVERAGE(INDIRECT("I"&amp;$D$11):INDIRECT("I"&amp;$E$11)),IF(F444=5,AVERAGE(INDIRECT("I"&amp;$D$12):INDIRECT("I"&amp;$E$12)),IF(F444=6,AVERAGE(INDIRECT("I"&amp;$D$13):INDIRECT("I"&amp;$E$13))," "))))))</f>
        <v xml:space="preserve"> </v>
      </c>
      <c r="K444" s="242" t="str">
        <f t="shared" si="37"/>
        <v xml:space="preserve"> </v>
      </c>
      <c r="L444" s="242" t="str">
        <f t="shared" si="38"/>
        <v xml:space="preserve"> </v>
      </c>
      <c r="M444" s="242" t="str">
        <f t="shared" si="39"/>
        <v xml:space="preserve"> </v>
      </c>
    </row>
    <row r="445" spans="6:13" x14ac:dyDescent="0.2">
      <c r="F445" s="216" t="str">
        <f t="shared" si="35"/>
        <v xml:space="preserve"> </v>
      </c>
      <c r="G445" s="50"/>
      <c r="H445" s="242" t="str">
        <f ca="1">IF(F445=1,PERCENTILE(INDIRECT("g"&amp;$D$8):INDIRECT("g"&amp;$E$8),0.5),IF(F445=2,PERCENTILE(INDIRECT("g"&amp;$D$9):INDIRECT("g"&amp;$E$9),0.5),IF(F445=3,PERCENTILE(INDIRECT("g"&amp;$D$10):INDIRECT("g"&amp;$E$10),0.5),IF(F445=4,PERCENTILE(INDIRECT("g"&amp;$D$11):INDIRECT("g"&amp;$E$11),0.5),IF(F445=5,PERCENTILE(INDIRECT("g"&amp;$D$12):INDIRECT("g"&amp;$E$12),0.5),IF(F445=6,PERCENTILE(INDIRECT("g"&amp;$D$13):INDIRECT("g"&amp;$E$13),0.5)," "))))))</f>
        <v xml:space="preserve"> </v>
      </c>
      <c r="I445" s="242" t="str">
        <f t="shared" si="36"/>
        <v xml:space="preserve"> </v>
      </c>
      <c r="J445" s="242" t="str">
        <f ca="1">IF(F445=1,AVERAGE(INDIRECT("I"&amp;$D$8):INDIRECT("I"&amp;$E$8)),IF(F445=2,AVERAGE(INDIRECT("I"&amp;$D$9):INDIRECT("I"&amp;$E$9)),IF(F445=3,AVERAGE(INDIRECT("I"&amp;$D$10):INDIRECT("I"&amp;$E$10)),IF(F445=4,AVERAGE(INDIRECT("I"&amp;$D$11):INDIRECT("I"&amp;$E$11)),IF(F445=5,AVERAGE(INDIRECT("I"&amp;$D$12):INDIRECT("I"&amp;$E$12)),IF(F445=6,AVERAGE(INDIRECT("I"&amp;$D$13):INDIRECT("I"&amp;$E$13))," "))))))</f>
        <v xml:space="preserve"> </v>
      </c>
      <c r="K445" s="242" t="str">
        <f t="shared" si="37"/>
        <v xml:space="preserve"> </v>
      </c>
      <c r="L445" s="242" t="str">
        <f t="shared" si="38"/>
        <v xml:space="preserve"> </v>
      </c>
      <c r="M445" s="242" t="str">
        <f t="shared" si="39"/>
        <v xml:space="preserve"> </v>
      </c>
    </row>
    <row r="446" spans="6:13" x14ac:dyDescent="0.2">
      <c r="F446" s="216" t="str">
        <f t="shared" si="35"/>
        <v xml:space="preserve"> </v>
      </c>
      <c r="G446" s="50"/>
      <c r="H446" s="242" t="str">
        <f ca="1">IF(F446=1,PERCENTILE(INDIRECT("g"&amp;$D$8):INDIRECT("g"&amp;$E$8),0.5),IF(F446=2,PERCENTILE(INDIRECT("g"&amp;$D$9):INDIRECT("g"&amp;$E$9),0.5),IF(F446=3,PERCENTILE(INDIRECT("g"&amp;$D$10):INDIRECT("g"&amp;$E$10),0.5),IF(F446=4,PERCENTILE(INDIRECT("g"&amp;$D$11):INDIRECT("g"&amp;$E$11),0.5),IF(F446=5,PERCENTILE(INDIRECT("g"&amp;$D$12):INDIRECT("g"&amp;$E$12),0.5),IF(F446=6,PERCENTILE(INDIRECT("g"&amp;$D$13):INDIRECT("g"&amp;$E$13),0.5)," "))))))</f>
        <v xml:space="preserve"> </v>
      </c>
      <c r="I446" s="242" t="str">
        <f t="shared" si="36"/>
        <v xml:space="preserve"> </v>
      </c>
      <c r="J446" s="242" t="str">
        <f ca="1">IF(F446=1,AVERAGE(INDIRECT("I"&amp;$D$8):INDIRECT("I"&amp;$E$8)),IF(F446=2,AVERAGE(INDIRECT("I"&amp;$D$9):INDIRECT("I"&amp;$E$9)),IF(F446=3,AVERAGE(INDIRECT("I"&amp;$D$10):INDIRECT("I"&amp;$E$10)),IF(F446=4,AVERAGE(INDIRECT("I"&amp;$D$11):INDIRECT("I"&amp;$E$11)),IF(F446=5,AVERAGE(INDIRECT("I"&amp;$D$12):INDIRECT("I"&amp;$E$12)),IF(F446=6,AVERAGE(INDIRECT("I"&amp;$D$13):INDIRECT("I"&amp;$E$13))," "))))))</f>
        <v xml:space="preserve"> </v>
      </c>
      <c r="K446" s="242" t="str">
        <f t="shared" si="37"/>
        <v xml:space="preserve"> </v>
      </c>
      <c r="L446" s="242" t="str">
        <f t="shared" si="38"/>
        <v xml:space="preserve"> </v>
      </c>
      <c r="M446" s="242" t="str">
        <f t="shared" si="39"/>
        <v xml:space="preserve"> </v>
      </c>
    </row>
    <row r="447" spans="6:13" x14ac:dyDescent="0.2">
      <c r="F447" s="216" t="str">
        <f t="shared" si="35"/>
        <v xml:space="preserve"> </v>
      </c>
      <c r="G447" s="50"/>
      <c r="H447" s="242" t="str">
        <f ca="1">IF(F447=1,PERCENTILE(INDIRECT("g"&amp;$D$8):INDIRECT("g"&amp;$E$8),0.5),IF(F447=2,PERCENTILE(INDIRECT("g"&amp;$D$9):INDIRECT("g"&amp;$E$9),0.5),IF(F447=3,PERCENTILE(INDIRECT("g"&amp;$D$10):INDIRECT("g"&amp;$E$10),0.5),IF(F447=4,PERCENTILE(INDIRECT("g"&amp;$D$11):INDIRECT("g"&amp;$E$11),0.5),IF(F447=5,PERCENTILE(INDIRECT("g"&amp;$D$12):INDIRECT("g"&amp;$E$12),0.5),IF(F447=6,PERCENTILE(INDIRECT("g"&amp;$D$13):INDIRECT("g"&amp;$E$13),0.5)," "))))))</f>
        <v xml:space="preserve"> </v>
      </c>
      <c r="I447" s="242" t="str">
        <f t="shared" si="36"/>
        <v xml:space="preserve"> </v>
      </c>
      <c r="J447" s="242" t="str">
        <f ca="1">IF(F447=1,AVERAGE(INDIRECT("I"&amp;$D$8):INDIRECT("I"&amp;$E$8)),IF(F447=2,AVERAGE(INDIRECT("I"&amp;$D$9):INDIRECT("I"&amp;$E$9)),IF(F447=3,AVERAGE(INDIRECT("I"&amp;$D$10):INDIRECT("I"&amp;$E$10)),IF(F447=4,AVERAGE(INDIRECT("I"&amp;$D$11):INDIRECT("I"&amp;$E$11)),IF(F447=5,AVERAGE(INDIRECT("I"&amp;$D$12):INDIRECT("I"&amp;$E$12)),IF(F447=6,AVERAGE(INDIRECT("I"&amp;$D$13):INDIRECT("I"&amp;$E$13))," "))))))</f>
        <v xml:space="preserve"> </v>
      </c>
      <c r="K447" s="242" t="str">
        <f t="shared" si="37"/>
        <v xml:space="preserve"> </v>
      </c>
      <c r="L447" s="242" t="str">
        <f t="shared" si="38"/>
        <v xml:space="preserve"> </v>
      </c>
      <c r="M447" s="242" t="str">
        <f t="shared" si="39"/>
        <v xml:space="preserve"> </v>
      </c>
    </row>
    <row r="448" spans="6:13" x14ac:dyDescent="0.2">
      <c r="F448" s="216" t="str">
        <f t="shared" si="35"/>
        <v xml:space="preserve"> </v>
      </c>
      <c r="G448" s="50"/>
      <c r="H448" s="242" t="str">
        <f ca="1">IF(F448=1,PERCENTILE(INDIRECT("g"&amp;$D$8):INDIRECT("g"&amp;$E$8),0.5),IF(F448=2,PERCENTILE(INDIRECT("g"&amp;$D$9):INDIRECT("g"&amp;$E$9),0.5),IF(F448=3,PERCENTILE(INDIRECT("g"&amp;$D$10):INDIRECT("g"&amp;$E$10),0.5),IF(F448=4,PERCENTILE(INDIRECT("g"&amp;$D$11):INDIRECT("g"&amp;$E$11),0.5),IF(F448=5,PERCENTILE(INDIRECT("g"&amp;$D$12):INDIRECT("g"&amp;$E$12),0.5),IF(F448=6,PERCENTILE(INDIRECT("g"&amp;$D$13):INDIRECT("g"&amp;$E$13),0.5)," "))))))</f>
        <v xml:space="preserve"> </v>
      </c>
      <c r="I448" s="242" t="str">
        <f t="shared" si="36"/>
        <v xml:space="preserve"> </v>
      </c>
      <c r="J448" s="242" t="str">
        <f ca="1">IF(F448=1,AVERAGE(INDIRECT("I"&amp;$D$8):INDIRECT("I"&amp;$E$8)),IF(F448=2,AVERAGE(INDIRECT("I"&amp;$D$9):INDIRECT("I"&amp;$E$9)),IF(F448=3,AVERAGE(INDIRECT("I"&amp;$D$10):INDIRECT("I"&amp;$E$10)),IF(F448=4,AVERAGE(INDIRECT("I"&amp;$D$11):INDIRECT("I"&amp;$E$11)),IF(F448=5,AVERAGE(INDIRECT("I"&amp;$D$12):INDIRECT("I"&amp;$E$12)),IF(F448=6,AVERAGE(INDIRECT("I"&amp;$D$13):INDIRECT("I"&amp;$E$13))," "))))))</f>
        <v xml:space="preserve"> </v>
      </c>
      <c r="K448" s="242" t="str">
        <f t="shared" si="37"/>
        <v xml:space="preserve"> </v>
      </c>
      <c r="L448" s="242" t="str">
        <f t="shared" si="38"/>
        <v xml:space="preserve"> </v>
      </c>
      <c r="M448" s="242" t="str">
        <f t="shared" si="39"/>
        <v xml:space="preserve"> </v>
      </c>
    </row>
    <row r="449" spans="6:13" x14ac:dyDescent="0.2">
      <c r="F449" s="216" t="str">
        <f t="shared" si="35"/>
        <v xml:space="preserve"> </v>
      </c>
      <c r="G449" s="50"/>
      <c r="H449" s="242" t="str">
        <f ca="1">IF(F449=1,PERCENTILE(INDIRECT("g"&amp;$D$8):INDIRECT("g"&amp;$E$8),0.5),IF(F449=2,PERCENTILE(INDIRECT("g"&amp;$D$9):INDIRECT("g"&amp;$E$9),0.5),IF(F449=3,PERCENTILE(INDIRECT("g"&amp;$D$10):INDIRECT("g"&amp;$E$10),0.5),IF(F449=4,PERCENTILE(INDIRECT("g"&amp;$D$11):INDIRECT("g"&amp;$E$11),0.5),IF(F449=5,PERCENTILE(INDIRECT("g"&amp;$D$12):INDIRECT("g"&amp;$E$12),0.5),IF(F449=6,PERCENTILE(INDIRECT("g"&amp;$D$13):INDIRECT("g"&amp;$E$13),0.5)," "))))))</f>
        <v xml:space="preserve"> </v>
      </c>
      <c r="I449" s="242" t="str">
        <f t="shared" si="36"/>
        <v xml:space="preserve"> </v>
      </c>
      <c r="J449" s="242" t="str">
        <f ca="1">IF(F449=1,AVERAGE(INDIRECT("I"&amp;$D$8):INDIRECT("I"&amp;$E$8)),IF(F449=2,AVERAGE(INDIRECT("I"&amp;$D$9):INDIRECT("I"&amp;$E$9)),IF(F449=3,AVERAGE(INDIRECT("I"&amp;$D$10):INDIRECT("I"&amp;$E$10)),IF(F449=4,AVERAGE(INDIRECT("I"&amp;$D$11):INDIRECT("I"&amp;$E$11)),IF(F449=5,AVERAGE(INDIRECT("I"&amp;$D$12):INDIRECT("I"&amp;$E$12)),IF(F449=6,AVERAGE(INDIRECT("I"&amp;$D$13):INDIRECT("I"&amp;$E$13))," "))))))</f>
        <v xml:space="preserve"> </v>
      </c>
      <c r="K449" s="242" t="str">
        <f t="shared" si="37"/>
        <v xml:space="preserve"> </v>
      </c>
      <c r="L449" s="242" t="str">
        <f t="shared" si="38"/>
        <v xml:space="preserve"> </v>
      </c>
      <c r="M449" s="242" t="str">
        <f t="shared" si="39"/>
        <v xml:space="preserve"> </v>
      </c>
    </row>
    <row r="450" spans="6:13" x14ac:dyDescent="0.2">
      <c r="F450" s="216" t="str">
        <f t="shared" si="35"/>
        <v xml:space="preserve"> </v>
      </c>
      <c r="G450" s="50"/>
      <c r="H450" s="242" t="str">
        <f ca="1">IF(F450=1,PERCENTILE(INDIRECT("g"&amp;$D$8):INDIRECT("g"&amp;$E$8),0.5),IF(F450=2,PERCENTILE(INDIRECT("g"&amp;$D$9):INDIRECT("g"&amp;$E$9),0.5),IF(F450=3,PERCENTILE(INDIRECT("g"&amp;$D$10):INDIRECT("g"&amp;$E$10),0.5),IF(F450=4,PERCENTILE(INDIRECT("g"&amp;$D$11):INDIRECT("g"&amp;$E$11),0.5),IF(F450=5,PERCENTILE(INDIRECT("g"&amp;$D$12):INDIRECT("g"&amp;$E$12),0.5),IF(F450=6,PERCENTILE(INDIRECT("g"&amp;$D$13):INDIRECT("g"&amp;$E$13),0.5)," "))))))</f>
        <v xml:space="preserve"> </v>
      </c>
      <c r="I450" s="242" t="str">
        <f t="shared" si="36"/>
        <v xml:space="preserve"> </v>
      </c>
      <c r="J450" s="242" t="str">
        <f ca="1">IF(F450=1,AVERAGE(INDIRECT("I"&amp;$D$8):INDIRECT("I"&amp;$E$8)),IF(F450=2,AVERAGE(INDIRECT("I"&amp;$D$9):INDIRECT("I"&amp;$E$9)),IF(F450=3,AVERAGE(INDIRECT("I"&amp;$D$10):INDIRECT("I"&amp;$E$10)),IF(F450=4,AVERAGE(INDIRECT("I"&amp;$D$11):INDIRECT("I"&amp;$E$11)),IF(F450=5,AVERAGE(INDIRECT("I"&amp;$D$12):INDIRECT("I"&amp;$E$12)),IF(F450=6,AVERAGE(INDIRECT("I"&amp;$D$13):INDIRECT("I"&amp;$E$13))," "))))))</f>
        <v xml:space="preserve"> </v>
      </c>
      <c r="K450" s="242" t="str">
        <f t="shared" si="37"/>
        <v xml:space="preserve"> </v>
      </c>
      <c r="L450" s="242" t="str">
        <f t="shared" si="38"/>
        <v xml:space="preserve"> </v>
      </c>
      <c r="M450" s="242" t="str">
        <f t="shared" si="39"/>
        <v xml:space="preserve"> </v>
      </c>
    </row>
    <row r="451" spans="6:13" x14ac:dyDescent="0.2">
      <c r="F451" s="216" t="str">
        <f t="shared" si="35"/>
        <v xml:space="preserve"> </v>
      </c>
      <c r="G451" s="50"/>
      <c r="H451" s="242" t="str">
        <f ca="1">IF(F451=1,PERCENTILE(INDIRECT("g"&amp;$D$8):INDIRECT("g"&amp;$E$8),0.5),IF(F451=2,PERCENTILE(INDIRECT("g"&amp;$D$9):INDIRECT("g"&amp;$E$9),0.5),IF(F451=3,PERCENTILE(INDIRECT("g"&amp;$D$10):INDIRECT("g"&amp;$E$10),0.5),IF(F451=4,PERCENTILE(INDIRECT("g"&amp;$D$11):INDIRECT("g"&amp;$E$11),0.5),IF(F451=5,PERCENTILE(INDIRECT("g"&amp;$D$12):INDIRECT("g"&amp;$E$12),0.5),IF(F451=6,PERCENTILE(INDIRECT("g"&amp;$D$13):INDIRECT("g"&amp;$E$13),0.5)," "))))))</f>
        <v xml:space="preserve"> </v>
      </c>
      <c r="I451" s="242" t="str">
        <f t="shared" si="36"/>
        <v xml:space="preserve"> </v>
      </c>
      <c r="J451" s="242" t="str">
        <f ca="1">IF(F451=1,AVERAGE(INDIRECT("I"&amp;$D$8):INDIRECT("I"&amp;$E$8)),IF(F451=2,AVERAGE(INDIRECT("I"&amp;$D$9):INDIRECT("I"&amp;$E$9)),IF(F451=3,AVERAGE(INDIRECT("I"&amp;$D$10):INDIRECT("I"&amp;$E$10)),IF(F451=4,AVERAGE(INDIRECT("I"&amp;$D$11):INDIRECT("I"&amp;$E$11)),IF(F451=5,AVERAGE(INDIRECT("I"&amp;$D$12):INDIRECT("I"&amp;$E$12)),IF(F451=6,AVERAGE(INDIRECT("I"&amp;$D$13):INDIRECT("I"&amp;$E$13))," "))))))</f>
        <v xml:space="preserve"> </v>
      </c>
      <c r="K451" s="242" t="str">
        <f t="shared" si="37"/>
        <v xml:space="preserve"> </v>
      </c>
      <c r="L451" s="242" t="str">
        <f t="shared" si="38"/>
        <v xml:space="preserve"> </v>
      </c>
      <c r="M451" s="242" t="str">
        <f t="shared" si="39"/>
        <v xml:space="preserve"> </v>
      </c>
    </row>
    <row r="452" spans="6:13" x14ac:dyDescent="0.2">
      <c r="F452" s="216" t="str">
        <f t="shared" si="35"/>
        <v xml:space="preserve"> </v>
      </c>
      <c r="G452" s="50"/>
      <c r="H452" s="242" t="str">
        <f ca="1">IF(F452=1,PERCENTILE(INDIRECT("g"&amp;$D$8):INDIRECT("g"&amp;$E$8),0.5),IF(F452=2,PERCENTILE(INDIRECT("g"&amp;$D$9):INDIRECT("g"&amp;$E$9),0.5),IF(F452=3,PERCENTILE(INDIRECT("g"&amp;$D$10):INDIRECT("g"&amp;$E$10),0.5),IF(F452=4,PERCENTILE(INDIRECT("g"&amp;$D$11):INDIRECT("g"&amp;$E$11),0.5),IF(F452=5,PERCENTILE(INDIRECT("g"&amp;$D$12):INDIRECT("g"&amp;$E$12),0.5),IF(F452=6,PERCENTILE(INDIRECT("g"&amp;$D$13):INDIRECT("g"&amp;$E$13),0.5)," "))))))</f>
        <v xml:space="preserve"> </v>
      </c>
      <c r="I452" s="242" t="str">
        <f t="shared" si="36"/>
        <v xml:space="preserve"> </v>
      </c>
      <c r="J452" s="242" t="str">
        <f ca="1">IF(F452=1,AVERAGE(INDIRECT("I"&amp;$D$8):INDIRECT("I"&amp;$E$8)),IF(F452=2,AVERAGE(INDIRECT("I"&amp;$D$9):INDIRECT("I"&amp;$E$9)),IF(F452=3,AVERAGE(INDIRECT("I"&amp;$D$10):INDIRECT("I"&amp;$E$10)),IF(F452=4,AVERAGE(INDIRECT("I"&amp;$D$11):INDIRECT("I"&amp;$E$11)),IF(F452=5,AVERAGE(INDIRECT("I"&amp;$D$12):INDIRECT("I"&amp;$E$12)),IF(F452=6,AVERAGE(INDIRECT("I"&amp;$D$13):INDIRECT("I"&amp;$E$13))," "))))))</f>
        <v xml:space="preserve"> </v>
      </c>
      <c r="K452" s="242" t="str">
        <f t="shared" si="37"/>
        <v xml:space="preserve"> </v>
      </c>
      <c r="L452" s="242" t="str">
        <f t="shared" si="38"/>
        <v xml:space="preserve"> </v>
      </c>
      <c r="M452" s="242" t="str">
        <f t="shared" si="39"/>
        <v xml:space="preserve"> </v>
      </c>
    </row>
    <row r="453" spans="6:13" x14ac:dyDescent="0.2">
      <c r="F453" s="216" t="str">
        <f t="shared" si="35"/>
        <v xml:space="preserve"> </v>
      </c>
      <c r="G453" s="50"/>
      <c r="H453" s="242" t="str">
        <f ca="1">IF(F453=1,PERCENTILE(INDIRECT("g"&amp;$D$8):INDIRECT("g"&amp;$E$8),0.5),IF(F453=2,PERCENTILE(INDIRECT("g"&amp;$D$9):INDIRECT("g"&amp;$E$9),0.5),IF(F453=3,PERCENTILE(INDIRECT("g"&amp;$D$10):INDIRECT("g"&amp;$E$10),0.5),IF(F453=4,PERCENTILE(INDIRECT("g"&amp;$D$11):INDIRECT("g"&amp;$E$11),0.5),IF(F453=5,PERCENTILE(INDIRECT("g"&amp;$D$12):INDIRECT("g"&amp;$E$12),0.5),IF(F453=6,PERCENTILE(INDIRECT("g"&amp;$D$13):INDIRECT("g"&amp;$E$13),0.5)," "))))))</f>
        <v xml:space="preserve"> </v>
      </c>
      <c r="I453" s="242" t="str">
        <f t="shared" si="36"/>
        <v xml:space="preserve"> </v>
      </c>
      <c r="J453" s="242" t="str">
        <f ca="1">IF(F453=1,AVERAGE(INDIRECT("I"&amp;$D$8):INDIRECT("I"&amp;$E$8)),IF(F453=2,AVERAGE(INDIRECT("I"&amp;$D$9):INDIRECT("I"&amp;$E$9)),IF(F453=3,AVERAGE(INDIRECT("I"&amp;$D$10):INDIRECT("I"&amp;$E$10)),IF(F453=4,AVERAGE(INDIRECT("I"&amp;$D$11):INDIRECT("I"&amp;$E$11)),IF(F453=5,AVERAGE(INDIRECT("I"&amp;$D$12):INDIRECT("I"&amp;$E$12)),IF(F453=6,AVERAGE(INDIRECT("I"&amp;$D$13):INDIRECT("I"&amp;$E$13))," "))))))</f>
        <v xml:space="preserve"> </v>
      </c>
      <c r="K453" s="242" t="str">
        <f t="shared" si="37"/>
        <v xml:space="preserve"> </v>
      </c>
      <c r="L453" s="242" t="str">
        <f t="shared" si="38"/>
        <v xml:space="preserve"> </v>
      </c>
      <c r="M453" s="242" t="str">
        <f t="shared" si="39"/>
        <v xml:space="preserve"> </v>
      </c>
    </row>
    <row r="454" spans="6:13" x14ac:dyDescent="0.2">
      <c r="F454" s="216" t="str">
        <f t="shared" ref="F454:F517" si="40">IF(AND(ROW()&gt;=$D$8,ROW()&lt;=$E$8),1,IF(AND(ROW()&gt;=$D$9,ROW()&lt;=$E$9),2,IF(AND(ROW()&gt;=$D$10,ROW()&lt;=$E$10),3,IF(AND(ROW()&gt;=$D$11,ROW()&lt;=$E$11),4,IF(AND(ROW()&gt;=$D$12,ROW()&lt;=$E$12),5,IF(AND(ROW()&gt;=$D$13,ROW()&lt;=$E$13),6," "))))))</f>
        <v xml:space="preserve"> </v>
      </c>
      <c r="G454" s="50"/>
      <c r="H454" s="242" t="str">
        <f ca="1">IF(F454=1,PERCENTILE(INDIRECT("g"&amp;$D$8):INDIRECT("g"&amp;$E$8),0.5),IF(F454=2,PERCENTILE(INDIRECT("g"&amp;$D$9):INDIRECT("g"&amp;$E$9),0.5),IF(F454=3,PERCENTILE(INDIRECT("g"&amp;$D$10):INDIRECT("g"&amp;$E$10),0.5),IF(F454=4,PERCENTILE(INDIRECT("g"&amp;$D$11):INDIRECT("g"&amp;$E$11),0.5),IF(F454=5,PERCENTILE(INDIRECT("g"&amp;$D$12):INDIRECT("g"&amp;$E$12),0.5),IF(F454=6,PERCENTILE(INDIRECT("g"&amp;$D$13):INDIRECT("g"&amp;$E$13),0.5)," "))))))</f>
        <v xml:space="preserve"> </v>
      </c>
      <c r="I454" s="242" t="str">
        <f t="shared" ref="I454:I517" si="41">IF(ROW()&lt;=MAX($E$8:$E$13),ABS(G454-H454)," ")</f>
        <v xml:space="preserve"> </v>
      </c>
      <c r="J454" s="242" t="str">
        <f ca="1">IF(F454=1,AVERAGE(INDIRECT("I"&amp;$D$8):INDIRECT("I"&amp;$E$8)),IF(F454=2,AVERAGE(INDIRECT("I"&amp;$D$9):INDIRECT("I"&amp;$E$9)),IF(F454=3,AVERAGE(INDIRECT("I"&amp;$D$10):INDIRECT("I"&amp;$E$10)),IF(F454=4,AVERAGE(INDIRECT("I"&amp;$D$11):INDIRECT("I"&amp;$E$11)),IF(F454=5,AVERAGE(INDIRECT("I"&amp;$D$12):INDIRECT("I"&amp;$E$12)),IF(F454=6,AVERAGE(INDIRECT("I"&amp;$D$13):INDIRECT("I"&amp;$E$13))," "))))))</f>
        <v xml:space="preserve"> </v>
      </c>
      <c r="K454" s="242" t="str">
        <f t="shared" ref="K454:K517" si="42">IF(ROW()&lt;=MAX($E$8:$E$13),AVERAGE($I$6:$I$1005)," ")</f>
        <v xml:space="preserve"> </v>
      </c>
      <c r="L454" s="242" t="str">
        <f t="shared" ref="L454:L517" si="43">IF(ROW()&lt;=MAX($E$8:$E$13),(I454-J454)^2," ")</f>
        <v xml:space="preserve"> </v>
      </c>
      <c r="M454" s="242" t="str">
        <f t="shared" ref="M454:M517" si="44">IF(ROW()&lt;=MAX($E$8:$E$13),(J454-K454)^2," ")</f>
        <v xml:space="preserve"> </v>
      </c>
    </row>
    <row r="455" spans="6:13" x14ac:dyDescent="0.2">
      <c r="F455" s="216" t="str">
        <f t="shared" si="40"/>
        <v xml:space="preserve"> </v>
      </c>
      <c r="G455" s="50"/>
      <c r="H455" s="242" t="str">
        <f ca="1">IF(F455=1,PERCENTILE(INDIRECT("g"&amp;$D$8):INDIRECT("g"&amp;$E$8),0.5),IF(F455=2,PERCENTILE(INDIRECT("g"&amp;$D$9):INDIRECT("g"&amp;$E$9),0.5),IF(F455=3,PERCENTILE(INDIRECT("g"&amp;$D$10):INDIRECT("g"&amp;$E$10),0.5),IF(F455=4,PERCENTILE(INDIRECT("g"&amp;$D$11):INDIRECT("g"&amp;$E$11),0.5),IF(F455=5,PERCENTILE(INDIRECT("g"&amp;$D$12):INDIRECT("g"&amp;$E$12),0.5),IF(F455=6,PERCENTILE(INDIRECT("g"&amp;$D$13):INDIRECT("g"&amp;$E$13),0.5)," "))))))</f>
        <v xml:space="preserve"> </v>
      </c>
      <c r="I455" s="242" t="str">
        <f t="shared" si="41"/>
        <v xml:space="preserve"> </v>
      </c>
      <c r="J455" s="242" t="str">
        <f ca="1">IF(F455=1,AVERAGE(INDIRECT("I"&amp;$D$8):INDIRECT("I"&amp;$E$8)),IF(F455=2,AVERAGE(INDIRECT("I"&amp;$D$9):INDIRECT("I"&amp;$E$9)),IF(F455=3,AVERAGE(INDIRECT("I"&amp;$D$10):INDIRECT("I"&amp;$E$10)),IF(F455=4,AVERAGE(INDIRECT("I"&amp;$D$11):INDIRECT("I"&amp;$E$11)),IF(F455=5,AVERAGE(INDIRECT("I"&amp;$D$12):INDIRECT("I"&amp;$E$12)),IF(F455=6,AVERAGE(INDIRECT("I"&amp;$D$13):INDIRECT("I"&amp;$E$13))," "))))))</f>
        <v xml:space="preserve"> </v>
      </c>
      <c r="K455" s="242" t="str">
        <f t="shared" si="42"/>
        <v xml:space="preserve"> </v>
      </c>
      <c r="L455" s="242" t="str">
        <f t="shared" si="43"/>
        <v xml:space="preserve"> </v>
      </c>
      <c r="M455" s="242" t="str">
        <f t="shared" si="44"/>
        <v xml:space="preserve"> </v>
      </c>
    </row>
    <row r="456" spans="6:13" x14ac:dyDescent="0.2">
      <c r="F456" s="216" t="str">
        <f t="shared" si="40"/>
        <v xml:space="preserve"> </v>
      </c>
      <c r="G456" s="50"/>
      <c r="H456" s="242" t="str">
        <f ca="1">IF(F456=1,PERCENTILE(INDIRECT("g"&amp;$D$8):INDIRECT("g"&amp;$E$8),0.5),IF(F456=2,PERCENTILE(INDIRECT("g"&amp;$D$9):INDIRECT("g"&amp;$E$9),0.5),IF(F456=3,PERCENTILE(INDIRECT("g"&amp;$D$10):INDIRECT("g"&amp;$E$10),0.5),IF(F456=4,PERCENTILE(INDIRECT("g"&amp;$D$11):INDIRECT("g"&amp;$E$11),0.5),IF(F456=5,PERCENTILE(INDIRECT("g"&amp;$D$12):INDIRECT("g"&amp;$E$12),0.5),IF(F456=6,PERCENTILE(INDIRECT("g"&amp;$D$13):INDIRECT("g"&amp;$E$13),0.5)," "))))))</f>
        <v xml:space="preserve"> </v>
      </c>
      <c r="I456" s="242" t="str">
        <f t="shared" si="41"/>
        <v xml:space="preserve"> </v>
      </c>
      <c r="J456" s="242" t="str">
        <f ca="1">IF(F456=1,AVERAGE(INDIRECT("I"&amp;$D$8):INDIRECT("I"&amp;$E$8)),IF(F456=2,AVERAGE(INDIRECT("I"&amp;$D$9):INDIRECT("I"&amp;$E$9)),IF(F456=3,AVERAGE(INDIRECT("I"&amp;$D$10):INDIRECT("I"&amp;$E$10)),IF(F456=4,AVERAGE(INDIRECT("I"&amp;$D$11):INDIRECT("I"&amp;$E$11)),IF(F456=5,AVERAGE(INDIRECT("I"&amp;$D$12):INDIRECT("I"&amp;$E$12)),IF(F456=6,AVERAGE(INDIRECT("I"&amp;$D$13):INDIRECT("I"&amp;$E$13))," "))))))</f>
        <v xml:space="preserve"> </v>
      </c>
      <c r="K456" s="242" t="str">
        <f t="shared" si="42"/>
        <v xml:space="preserve"> </v>
      </c>
      <c r="L456" s="242" t="str">
        <f t="shared" si="43"/>
        <v xml:space="preserve"> </v>
      </c>
      <c r="M456" s="242" t="str">
        <f t="shared" si="44"/>
        <v xml:space="preserve"> </v>
      </c>
    </row>
    <row r="457" spans="6:13" x14ac:dyDescent="0.2">
      <c r="F457" s="216" t="str">
        <f t="shared" si="40"/>
        <v xml:space="preserve"> </v>
      </c>
      <c r="G457" s="50"/>
      <c r="H457" s="242" t="str">
        <f ca="1">IF(F457=1,PERCENTILE(INDIRECT("g"&amp;$D$8):INDIRECT("g"&amp;$E$8),0.5),IF(F457=2,PERCENTILE(INDIRECT("g"&amp;$D$9):INDIRECT("g"&amp;$E$9),0.5),IF(F457=3,PERCENTILE(INDIRECT("g"&amp;$D$10):INDIRECT("g"&amp;$E$10),0.5),IF(F457=4,PERCENTILE(INDIRECT("g"&amp;$D$11):INDIRECT("g"&amp;$E$11),0.5),IF(F457=5,PERCENTILE(INDIRECT("g"&amp;$D$12):INDIRECT("g"&amp;$E$12),0.5),IF(F457=6,PERCENTILE(INDIRECT("g"&amp;$D$13):INDIRECT("g"&amp;$E$13),0.5)," "))))))</f>
        <v xml:space="preserve"> </v>
      </c>
      <c r="I457" s="242" t="str">
        <f t="shared" si="41"/>
        <v xml:space="preserve"> </v>
      </c>
      <c r="J457" s="242" t="str">
        <f ca="1">IF(F457=1,AVERAGE(INDIRECT("I"&amp;$D$8):INDIRECT("I"&amp;$E$8)),IF(F457=2,AVERAGE(INDIRECT("I"&amp;$D$9):INDIRECT("I"&amp;$E$9)),IF(F457=3,AVERAGE(INDIRECT("I"&amp;$D$10):INDIRECT("I"&amp;$E$10)),IF(F457=4,AVERAGE(INDIRECT("I"&amp;$D$11):INDIRECT("I"&amp;$E$11)),IF(F457=5,AVERAGE(INDIRECT("I"&amp;$D$12):INDIRECT("I"&amp;$E$12)),IF(F457=6,AVERAGE(INDIRECT("I"&amp;$D$13):INDIRECT("I"&amp;$E$13))," "))))))</f>
        <v xml:space="preserve"> </v>
      </c>
      <c r="K457" s="242" t="str">
        <f t="shared" si="42"/>
        <v xml:space="preserve"> </v>
      </c>
      <c r="L457" s="242" t="str">
        <f t="shared" si="43"/>
        <v xml:space="preserve"> </v>
      </c>
      <c r="M457" s="242" t="str">
        <f t="shared" si="44"/>
        <v xml:space="preserve"> </v>
      </c>
    </row>
    <row r="458" spans="6:13" x14ac:dyDescent="0.2">
      <c r="F458" s="216" t="str">
        <f t="shared" si="40"/>
        <v xml:space="preserve"> </v>
      </c>
      <c r="G458" s="50"/>
      <c r="H458" s="242" t="str">
        <f ca="1">IF(F458=1,PERCENTILE(INDIRECT("g"&amp;$D$8):INDIRECT("g"&amp;$E$8),0.5),IF(F458=2,PERCENTILE(INDIRECT("g"&amp;$D$9):INDIRECT("g"&amp;$E$9),0.5),IF(F458=3,PERCENTILE(INDIRECT("g"&amp;$D$10):INDIRECT("g"&amp;$E$10),0.5),IF(F458=4,PERCENTILE(INDIRECT("g"&amp;$D$11):INDIRECT("g"&amp;$E$11),0.5),IF(F458=5,PERCENTILE(INDIRECT("g"&amp;$D$12):INDIRECT("g"&amp;$E$12),0.5),IF(F458=6,PERCENTILE(INDIRECT("g"&amp;$D$13):INDIRECT("g"&amp;$E$13),0.5)," "))))))</f>
        <v xml:space="preserve"> </v>
      </c>
      <c r="I458" s="242" t="str">
        <f t="shared" si="41"/>
        <v xml:space="preserve"> </v>
      </c>
      <c r="J458" s="242" t="str">
        <f ca="1">IF(F458=1,AVERAGE(INDIRECT("I"&amp;$D$8):INDIRECT("I"&amp;$E$8)),IF(F458=2,AVERAGE(INDIRECT("I"&amp;$D$9):INDIRECT("I"&amp;$E$9)),IF(F458=3,AVERAGE(INDIRECT("I"&amp;$D$10):INDIRECT("I"&amp;$E$10)),IF(F458=4,AVERAGE(INDIRECT("I"&amp;$D$11):INDIRECT("I"&amp;$E$11)),IF(F458=5,AVERAGE(INDIRECT("I"&amp;$D$12):INDIRECT("I"&amp;$E$12)),IF(F458=6,AVERAGE(INDIRECT("I"&amp;$D$13):INDIRECT("I"&amp;$E$13))," "))))))</f>
        <v xml:space="preserve"> </v>
      </c>
      <c r="K458" s="242" t="str">
        <f t="shared" si="42"/>
        <v xml:space="preserve"> </v>
      </c>
      <c r="L458" s="242" t="str">
        <f t="shared" si="43"/>
        <v xml:space="preserve"> </v>
      </c>
      <c r="M458" s="242" t="str">
        <f t="shared" si="44"/>
        <v xml:space="preserve"> </v>
      </c>
    </row>
    <row r="459" spans="6:13" x14ac:dyDescent="0.2">
      <c r="F459" s="216" t="str">
        <f t="shared" si="40"/>
        <v xml:space="preserve"> </v>
      </c>
      <c r="G459" s="50"/>
      <c r="H459" s="242" t="str">
        <f ca="1">IF(F459=1,PERCENTILE(INDIRECT("g"&amp;$D$8):INDIRECT("g"&amp;$E$8),0.5),IF(F459=2,PERCENTILE(INDIRECT("g"&amp;$D$9):INDIRECT("g"&amp;$E$9),0.5),IF(F459=3,PERCENTILE(INDIRECT("g"&amp;$D$10):INDIRECT("g"&amp;$E$10),0.5),IF(F459=4,PERCENTILE(INDIRECT("g"&amp;$D$11):INDIRECT("g"&amp;$E$11),0.5),IF(F459=5,PERCENTILE(INDIRECT("g"&amp;$D$12):INDIRECT("g"&amp;$E$12),0.5),IF(F459=6,PERCENTILE(INDIRECT("g"&amp;$D$13):INDIRECT("g"&amp;$E$13),0.5)," "))))))</f>
        <v xml:space="preserve"> </v>
      </c>
      <c r="I459" s="242" t="str">
        <f t="shared" si="41"/>
        <v xml:space="preserve"> </v>
      </c>
      <c r="J459" s="242" t="str">
        <f ca="1">IF(F459=1,AVERAGE(INDIRECT("I"&amp;$D$8):INDIRECT("I"&amp;$E$8)),IF(F459=2,AVERAGE(INDIRECT("I"&amp;$D$9):INDIRECT("I"&amp;$E$9)),IF(F459=3,AVERAGE(INDIRECT("I"&amp;$D$10):INDIRECT("I"&amp;$E$10)),IF(F459=4,AVERAGE(INDIRECT("I"&amp;$D$11):INDIRECT("I"&amp;$E$11)),IF(F459=5,AVERAGE(INDIRECT("I"&amp;$D$12):INDIRECT("I"&amp;$E$12)),IF(F459=6,AVERAGE(INDIRECT("I"&amp;$D$13):INDIRECT("I"&amp;$E$13))," "))))))</f>
        <v xml:space="preserve"> </v>
      </c>
      <c r="K459" s="242" t="str">
        <f t="shared" si="42"/>
        <v xml:space="preserve"> </v>
      </c>
      <c r="L459" s="242" t="str">
        <f t="shared" si="43"/>
        <v xml:space="preserve"> </v>
      </c>
      <c r="M459" s="242" t="str">
        <f t="shared" si="44"/>
        <v xml:space="preserve"> </v>
      </c>
    </row>
    <row r="460" spans="6:13" x14ac:dyDescent="0.2">
      <c r="F460" s="216" t="str">
        <f t="shared" si="40"/>
        <v xml:space="preserve"> </v>
      </c>
      <c r="G460" s="50"/>
      <c r="H460" s="242" t="str">
        <f ca="1">IF(F460=1,PERCENTILE(INDIRECT("g"&amp;$D$8):INDIRECT("g"&amp;$E$8),0.5),IF(F460=2,PERCENTILE(INDIRECT("g"&amp;$D$9):INDIRECT("g"&amp;$E$9),0.5),IF(F460=3,PERCENTILE(INDIRECT("g"&amp;$D$10):INDIRECT("g"&amp;$E$10),0.5),IF(F460=4,PERCENTILE(INDIRECT("g"&amp;$D$11):INDIRECT("g"&amp;$E$11),0.5),IF(F460=5,PERCENTILE(INDIRECT("g"&amp;$D$12):INDIRECT("g"&amp;$E$12),0.5),IF(F460=6,PERCENTILE(INDIRECT("g"&amp;$D$13):INDIRECT("g"&amp;$E$13),0.5)," "))))))</f>
        <v xml:space="preserve"> </v>
      </c>
      <c r="I460" s="242" t="str">
        <f t="shared" si="41"/>
        <v xml:space="preserve"> </v>
      </c>
      <c r="J460" s="242" t="str">
        <f ca="1">IF(F460=1,AVERAGE(INDIRECT("I"&amp;$D$8):INDIRECT("I"&amp;$E$8)),IF(F460=2,AVERAGE(INDIRECT("I"&amp;$D$9):INDIRECT("I"&amp;$E$9)),IF(F460=3,AVERAGE(INDIRECT("I"&amp;$D$10):INDIRECT("I"&amp;$E$10)),IF(F460=4,AVERAGE(INDIRECT("I"&amp;$D$11):INDIRECT("I"&amp;$E$11)),IF(F460=5,AVERAGE(INDIRECT("I"&amp;$D$12):INDIRECT("I"&amp;$E$12)),IF(F460=6,AVERAGE(INDIRECT("I"&amp;$D$13):INDIRECT("I"&amp;$E$13))," "))))))</f>
        <v xml:space="preserve"> </v>
      </c>
      <c r="K460" s="242" t="str">
        <f t="shared" si="42"/>
        <v xml:space="preserve"> </v>
      </c>
      <c r="L460" s="242" t="str">
        <f t="shared" si="43"/>
        <v xml:space="preserve"> </v>
      </c>
      <c r="M460" s="242" t="str">
        <f t="shared" si="44"/>
        <v xml:space="preserve"> </v>
      </c>
    </row>
    <row r="461" spans="6:13" x14ac:dyDescent="0.2">
      <c r="F461" s="216" t="str">
        <f t="shared" si="40"/>
        <v xml:space="preserve"> </v>
      </c>
      <c r="G461" s="50"/>
      <c r="H461" s="242" t="str">
        <f ca="1">IF(F461=1,PERCENTILE(INDIRECT("g"&amp;$D$8):INDIRECT("g"&amp;$E$8),0.5),IF(F461=2,PERCENTILE(INDIRECT("g"&amp;$D$9):INDIRECT("g"&amp;$E$9),0.5),IF(F461=3,PERCENTILE(INDIRECT("g"&amp;$D$10):INDIRECT("g"&amp;$E$10),0.5),IF(F461=4,PERCENTILE(INDIRECT("g"&amp;$D$11):INDIRECT("g"&amp;$E$11),0.5),IF(F461=5,PERCENTILE(INDIRECT("g"&amp;$D$12):INDIRECT("g"&amp;$E$12),0.5),IF(F461=6,PERCENTILE(INDIRECT("g"&amp;$D$13):INDIRECT("g"&amp;$E$13),0.5)," "))))))</f>
        <v xml:space="preserve"> </v>
      </c>
      <c r="I461" s="242" t="str">
        <f t="shared" si="41"/>
        <v xml:space="preserve"> </v>
      </c>
      <c r="J461" s="242" t="str">
        <f ca="1">IF(F461=1,AVERAGE(INDIRECT("I"&amp;$D$8):INDIRECT("I"&amp;$E$8)),IF(F461=2,AVERAGE(INDIRECT("I"&amp;$D$9):INDIRECT("I"&amp;$E$9)),IF(F461=3,AVERAGE(INDIRECT("I"&amp;$D$10):INDIRECT("I"&amp;$E$10)),IF(F461=4,AVERAGE(INDIRECT("I"&amp;$D$11):INDIRECT("I"&amp;$E$11)),IF(F461=5,AVERAGE(INDIRECT("I"&amp;$D$12):INDIRECT("I"&amp;$E$12)),IF(F461=6,AVERAGE(INDIRECT("I"&amp;$D$13):INDIRECT("I"&amp;$E$13))," "))))))</f>
        <v xml:space="preserve"> </v>
      </c>
      <c r="K461" s="242" t="str">
        <f t="shared" si="42"/>
        <v xml:space="preserve"> </v>
      </c>
      <c r="L461" s="242" t="str">
        <f t="shared" si="43"/>
        <v xml:space="preserve"> </v>
      </c>
      <c r="M461" s="242" t="str">
        <f t="shared" si="44"/>
        <v xml:space="preserve"> </v>
      </c>
    </row>
    <row r="462" spans="6:13" x14ac:dyDescent="0.2">
      <c r="F462" s="216" t="str">
        <f t="shared" si="40"/>
        <v xml:space="preserve"> </v>
      </c>
      <c r="G462" s="50"/>
      <c r="H462" s="242" t="str">
        <f ca="1">IF(F462=1,PERCENTILE(INDIRECT("g"&amp;$D$8):INDIRECT("g"&amp;$E$8),0.5),IF(F462=2,PERCENTILE(INDIRECT("g"&amp;$D$9):INDIRECT("g"&amp;$E$9),0.5),IF(F462=3,PERCENTILE(INDIRECT("g"&amp;$D$10):INDIRECT("g"&amp;$E$10),0.5),IF(F462=4,PERCENTILE(INDIRECT("g"&amp;$D$11):INDIRECT("g"&amp;$E$11),0.5),IF(F462=5,PERCENTILE(INDIRECT("g"&amp;$D$12):INDIRECT("g"&amp;$E$12),0.5),IF(F462=6,PERCENTILE(INDIRECT("g"&amp;$D$13):INDIRECT("g"&amp;$E$13),0.5)," "))))))</f>
        <v xml:space="preserve"> </v>
      </c>
      <c r="I462" s="242" t="str">
        <f t="shared" si="41"/>
        <v xml:space="preserve"> </v>
      </c>
      <c r="J462" s="242" t="str">
        <f ca="1">IF(F462=1,AVERAGE(INDIRECT("I"&amp;$D$8):INDIRECT("I"&amp;$E$8)),IF(F462=2,AVERAGE(INDIRECT("I"&amp;$D$9):INDIRECT("I"&amp;$E$9)),IF(F462=3,AVERAGE(INDIRECT("I"&amp;$D$10):INDIRECT("I"&amp;$E$10)),IF(F462=4,AVERAGE(INDIRECT("I"&amp;$D$11):INDIRECT("I"&amp;$E$11)),IF(F462=5,AVERAGE(INDIRECT("I"&amp;$D$12):INDIRECT("I"&amp;$E$12)),IF(F462=6,AVERAGE(INDIRECT("I"&amp;$D$13):INDIRECT("I"&amp;$E$13))," "))))))</f>
        <v xml:space="preserve"> </v>
      </c>
      <c r="K462" s="242" t="str">
        <f t="shared" si="42"/>
        <v xml:space="preserve"> </v>
      </c>
      <c r="L462" s="242" t="str">
        <f t="shared" si="43"/>
        <v xml:space="preserve"> </v>
      </c>
      <c r="M462" s="242" t="str">
        <f t="shared" si="44"/>
        <v xml:space="preserve"> </v>
      </c>
    </row>
    <row r="463" spans="6:13" x14ac:dyDescent="0.2">
      <c r="F463" s="216" t="str">
        <f t="shared" si="40"/>
        <v xml:space="preserve"> </v>
      </c>
      <c r="G463" s="50"/>
      <c r="H463" s="242" t="str">
        <f ca="1">IF(F463=1,PERCENTILE(INDIRECT("g"&amp;$D$8):INDIRECT("g"&amp;$E$8),0.5),IF(F463=2,PERCENTILE(INDIRECT("g"&amp;$D$9):INDIRECT("g"&amp;$E$9),0.5),IF(F463=3,PERCENTILE(INDIRECT("g"&amp;$D$10):INDIRECT("g"&amp;$E$10),0.5),IF(F463=4,PERCENTILE(INDIRECT("g"&amp;$D$11):INDIRECT("g"&amp;$E$11),0.5),IF(F463=5,PERCENTILE(INDIRECT("g"&amp;$D$12):INDIRECT("g"&amp;$E$12),0.5),IF(F463=6,PERCENTILE(INDIRECT("g"&amp;$D$13):INDIRECT("g"&amp;$E$13),0.5)," "))))))</f>
        <v xml:space="preserve"> </v>
      </c>
      <c r="I463" s="242" t="str">
        <f t="shared" si="41"/>
        <v xml:space="preserve"> </v>
      </c>
      <c r="J463" s="242" t="str">
        <f ca="1">IF(F463=1,AVERAGE(INDIRECT("I"&amp;$D$8):INDIRECT("I"&amp;$E$8)),IF(F463=2,AVERAGE(INDIRECT("I"&amp;$D$9):INDIRECT("I"&amp;$E$9)),IF(F463=3,AVERAGE(INDIRECT("I"&amp;$D$10):INDIRECT("I"&amp;$E$10)),IF(F463=4,AVERAGE(INDIRECT("I"&amp;$D$11):INDIRECT("I"&amp;$E$11)),IF(F463=5,AVERAGE(INDIRECT("I"&amp;$D$12):INDIRECT("I"&amp;$E$12)),IF(F463=6,AVERAGE(INDIRECT("I"&amp;$D$13):INDIRECT("I"&amp;$E$13))," "))))))</f>
        <v xml:space="preserve"> </v>
      </c>
      <c r="K463" s="242" t="str">
        <f t="shared" si="42"/>
        <v xml:space="preserve"> </v>
      </c>
      <c r="L463" s="242" t="str">
        <f t="shared" si="43"/>
        <v xml:space="preserve"> </v>
      </c>
      <c r="M463" s="242" t="str">
        <f t="shared" si="44"/>
        <v xml:space="preserve"> </v>
      </c>
    </row>
    <row r="464" spans="6:13" x14ac:dyDescent="0.2">
      <c r="F464" s="216" t="str">
        <f t="shared" si="40"/>
        <v xml:space="preserve"> </v>
      </c>
      <c r="G464" s="50"/>
      <c r="H464" s="242" t="str">
        <f ca="1">IF(F464=1,PERCENTILE(INDIRECT("g"&amp;$D$8):INDIRECT("g"&amp;$E$8),0.5),IF(F464=2,PERCENTILE(INDIRECT("g"&amp;$D$9):INDIRECT("g"&amp;$E$9),0.5),IF(F464=3,PERCENTILE(INDIRECT("g"&amp;$D$10):INDIRECT("g"&amp;$E$10),0.5),IF(F464=4,PERCENTILE(INDIRECT("g"&amp;$D$11):INDIRECT("g"&amp;$E$11),0.5),IF(F464=5,PERCENTILE(INDIRECT("g"&amp;$D$12):INDIRECT("g"&amp;$E$12),0.5),IF(F464=6,PERCENTILE(INDIRECT("g"&amp;$D$13):INDIRECT("g"&amp;$E$13),0.5)," "))))))</f>
        <v xml:space="preserve"> </v>
      </c>
      <c r="I464" s="242" t="str">
        <f t="shared" si="41"/>
        <v xml:space="preserve"> </v>
      </c>
      <c r="J464" s="242" t="str">
        <f ca="1">IF(F464=1,AVERAGE(INDIRECT("I"&amp;$D$8):INDIRECT("I"&amp;$E$8)),IF(F464=2,AVERAGE(INDIRECT("I"&amp;$D$9):INDIRECT("I"&amp;$E$9)),IF(F464=3,AVERAGE(INDIRECT("I"&amp;$D$10):INDIRECT("I"&amp;$E$10)),IF(F464=4,AVERAGE(INDIRECT("I"&amp;$D$11):INDIRECT("I"&amp;$E$11)),IF(F464=5,AVERAGE(INDIRECT("I"&amp;$D$12):INDIRECT("I"&amp;$E$12)),IF(F464=6,AVERAGE(INDIRECT("I"&amp;$D$13):INDIRECT("I"&amp;$E$13))," "))))))</f>
        <v xml:space="preserve"> </v>
      </c>
      <c r="K464" s="242" t="str">
        <f t="shared" si="42"/>
        <v xml:space="preserve"> </v>
      </c>
      <c r="L464" s="242" t="str">
        <f t="shared" si="43"/>
        <v xml:space="preserve"> </v>
      </c>
      <c r="M464" s="242" t="str">
        <f t="shared" si="44"/>
        <v xml:space="preserve"> </v>
      </c>
    </row>
    <row r="465" spans="6:13" x14ac:dyDescent="0.2">
      <c r="F465" s="216" t="str">
        <f t="shared" si="40"/>
        <v xml:space="preserve"> </v>
      </c>
      <c r="G465" s="50"/>
      <c r="H465" s="242" t="str">
        <f ca="1">IF(F465=1,PERCENTILE(INDIRECT("g"&amp;$D$8):INDIRECT("g"&amp;$E$8),0.5),IF(F465=2,PERCENTILE(INDIRECT("g"&amp;$D$9):INDIRECT("g"&amp;$E$9),0.5),IF(F465=3,PERCENTILE(INDIRECT("g"&amp;$D$10):INDIRECT("g"&amp;$E$10),0.5),IF(F465=4,PERCENTILE(INDIRECT("g"&amp;$D$11):INDIRECT("g"&amp;$E$11),0.5),IF(F465=5,PERCENTILE(INDIRECT("g"&amp;$D$12):INDIRECT("g"&amp;$E$12),0.5),IF(F465=6,PERCENTILE(INDIRECT("g"&amp;$D$13):INDIRECT("g"&amp;$E$13),0.5)," "))))))</f>
        <v xml:space="preserve"> </v>
      </c>
      <c r="I465" s="242" t="str">
        <f t="shared" si="41"/>
        <v xml:space="preserve"> </v>
      </c>
      <c r="J465" s="242" t="str">
        <f ca="1">IF(F465=1,AVERAGE(INDIRECT("I"&amp;$D$8):INDIRECT("I"&amp;$E$8)),IF(F465=2,AVERAGE(INDIRECT("I"&amp;$D$9):INDIRECT("I"&amp;$E$9)),IF(F465=3,AVERAGE(INDIRECT("I"&amp;$D$10):INDIRECT("I"&amp;$E$10)),IF(F465=4,AVERAGE(INDIRECT("I"&amp;$D$11):INDIRECT("I"&amp;$E$11)),IF(F465=5,AVERAGE(INDIRECT("I"&amp;$D$12):INDIRECT("I"&amp;$E$12)),IF(F465=6,AVERAGE(INDIRECT("I"&amp;$D$13):INDIRECT("I"&amp;$E$13))," "))))))</f>
        <v xml:space="preserve"> </v>
      </c>
      <c r="K465" s="242" t="str">
        <f t="shared" si="42"/>
        <v xml:space="preserve"> </v>
      </c>
      <c r="L465" s="242" t="str">
        <f t="shared" si="43"/>
        <v xml:space="preserve"> </v>
      </c>
      <c r="M465" s="242" t="str">
        <f t="shared" si="44"/>
        <v xml:space="preserve"> </v>
      </c>
    </row>
    <row r="466" spans="6:13" x14ac:dyDescent="0.2">
      <c r="F466" s="216" t="str">
        <f t="shared" si="40"/>
        <v xml:space="preserve"> </v>
      </c>
      <c r="G466" s="50"/>
      <c r="H466" s="242" t="str">
        <f ca="1">IF(F466=1,PERCENTILE(INDIRECT("g"&amp;$D$8):INDIRECT("g"&amp;$E$8),0.5),IF(F466=2,PERCENTILE(INDIRECT("g"&amp;$D$9):INDIRECT("g"&amp;$E$9),0.5),IF(F466=3,PERCENTILE(INDIRECT("g"&amp;$D$10):INDIRECT("g"&amp;$E$10),0.5),IF(F466=4,PERCENTILE(INDIRECT("g"&amp;$D$11):INDIRECT("g"&amp;$E$11),0.5),IF(F466=5,PERCENTILE(INDIRECT("g"&amp;$D$12):INDIRECT("g"&amp;$E$12),0.5),IF(F466=6,PERCENTILE(INDIRECT("g"&amp;$D$13):INDIRECT("g"&amp;$E$13),0.5)," "))))))</f>
        <v xml:space="preserve"> </v>
      </c>
      <c r="I466" s="242" t="str">
        <f t="shared" si="41"/>
        <v xml:space="preserve"> </v>
      </c>
      <c r="J466" s="242" t="str">
        <f ca="1">IF(F466=1,AVERAGE(INDIRECT("I"&amp;$D$8):INDIRECT("I"&amp;$E$8)),IF(F466=2,AVERAGE(INDIRECT("I"&amp;$D$9):INDIRECT("I"&amp;$E$9)),IF(F466=3,AVERAGE(INDIRECT("I"&amp;$D$10):INDIRECT("I"&amp;$E$10)),IF(F466=4,AVERAGE(INDIRECT("I"&amp;$D$11):INDIRECT("I"&amp;$E$11)),IF(F466=5,AVERAGE(INDIRECT("I"&amp;$D$12):INDIRECT("I"&amp;$E$12)),IF(F466=6,AVERAGE(INDIRECT("I"&amp;$D$13):INDIRECT("I"&amp;$E$13))," "))))))</f>
        <v xml:space="preserve"> </v>
      </c>
      <c r="K466" s="242" t="str">
        <f t="shared" si="42"/>
        <v xml:space="preserve"> </v>
      </c>
      <c r="L466" s="242" t="str">
        <f t="shared" si="43"/>
        <v xml:space="preserve"> </v>
      </c>
      <c r="M466" s="242" t="str">
        <f t="shared" si="44"/>
        <v xml:space="preserve"> </v>
      </c>
    </row>
    <row r="467" spans="6:13" x14ac:dyDescent="0.2">
      <c r="F467" s="216" t="str">
        <f t="shared" si="40"/>
        <v xml:space="preserve"> </v>
      </c>
      <c r="G467" s="50"/>
      <c r="H467" s="242" t="str">
        <f ca="1">IF(F467=1,PERCENTILE(INDIRECT("g"&amp;$D$8):INDIRECT("g"&amp;$E$8),0.5),IF(F467=2,PERCENTILE(INDIRECT("g"&amp;$D$9):INDIRECT("g"&amp;$E$9),0.5),IF(F467=3,PERCENTILE(INDIRECT("g"&amp;$D$10):INDIRECT("g"&amp;$E$10),0.5),IF(F467=4,PERCENTILE(INDIRECT("g"&amp;$D$11):INDIRECT("g"&amp;$E$11),0.5),IF(F467=5,PERCENTILE(INDIRECT("g"&amp;$D$12):INDIRECT("g"&amp;$E$12),0.5),IF(F467=6,PERCENTILE(INDIRECT("g"&amp;$D$13):INDIRECT("g"&amp;$E$13),0.5)," "))))))</f>
        <v xml:space="preserve"> </v>
      </c>
      <c r="I467" s="242" t="str">
        <f t="shared" si="41"/>
        <v xml:space="preserve"> </v>
      </c>
      <c r="J467" s="242" t="str">
        <f ca="1">IF(F467=1,AVERAGE(INDIRECT("I"&amp;$D$8):INDIRECT("I"&amp;$E$8)),IF(F467=2,AVERAGE(INDIRECT("I"&amp;$D$9):INDIRECT("I"&amp;$E$9)),IF(F467=3,AVERAGE(INDIRECT("I"&amp;$D$10):INDIRECT("I"&amp;$E$10)),IF(F467=4,AVERAGE(INDIRECT("I"&amp;$D$11):INDIRECT("I"&amp;$E$11)),IF(F467=5,AVERAGE(INDIRECT("I"&amp;$D$12):INDIRECT("I"&amp;$E$12)),IF(F467=6,AVERAGE(INDIRECT("I"&amp;$D$13):INDIRECT("I"&amp;$E$13))," "))))))</f>
        <v xml:space="preserve"> </v>
      </c>
      <c r="K467" s="242" t="str">
        <f t="shared" si="42"/>
        <v xml:space="preserve"> </v>
      </c>
      <c r="L467" s="242" t="str">
        <f t="shared" si="43"/>
        <v xml:space="preserve"> </v>
      </c>
      <c r="M467" s="242" t="str">
        <f t="shared" si="44"/>
        <v xml:space="preserve"> </v>
      </c>
    </row>
    <row r="468" spans="6:13" x14ac:dyDescent="0.2">
      <c r="F468" s="216" t="str">
        <f t="shared" si="40"/>
        <v xml:space="preserve"> </v>
      </c>
      <c r="G468" s="50"/>
      <c r="H468" s="242" t="str">
        <f ca="1">IF(F468=1,PERCENTILE(INDIRECT("g"&amp;$D$8):INDIRECT("g"&amp;$E$8),0.5),IF(F468=2,PERCENTILE(INDIRECT("g"&amp;$D$9):INDIRECT("g"&amp;$E$9),0.5),IF(F468=3,PERCENTILE(INDIRECT("g"&amp;$D$10):INDIRECT("g"&amp;$E$10),0.5),IF(F468=4,PERCENTILE(INDIRECT("g"&amp;$D$11):INDIRECT("g"&amp;$E$11),0.5),IF(F468=5,PERCENTILE(INDIRECT("g"&amp;$D$12):INDIRECT("g"&amp;$E$12),0.5),IF(F468=6,PERCENTILE(INDIRECT("g"&amp;$D$13):INDIRECT("g"&amp;$E$13),0.5)," "))))))</f>
        <v xml:space="preserve"> </v>
      </c>
      <c r="I468" s="242" t="str">
        <f t="shared" si="41"/>
        <v xml:space="preserve"> </v>
      </c>
      <c r="J468" s="242" t="str">
        <f ca="1">IF(F468=1,AVERAGE(INDIRECT("I"&amp;$D$8):INDIRECT("I"&amp;$E$8)),IF(F468=2,AVERAGE(INDIRECT("I"&amp;$D$9):INDIRECT("I"&amp;$E$9)),IF(F468=3,AVERAGE(INDIRECT("I"&amp;$D$10):INDIRECT("I"&amp;$E$10)),IF(F468=4,AVERAGE(INDIRECT("I"&amp;$D$11):INDIRECT("I"&amp;$E$11)),IF(F468=5,AVERAGE(INDIRECT("I"&amp;$D$12):INDIRECT("I"&amp;$E$12)),IF(F468=6,AVERAGE(INDIRECT("I"&amp;$D$13):INDIRECT("I"&amp;$E$13))," "))))))</f>
        <v xml:space="preserve"> </v>
      </c>
      <c r="K468" s="242" t="str">
        <f t="shared" si="42"/>
        <v xml:space="preserve"> </v>
      </c>
      <c r="L468" s="242" t="str">
        <f t="shared" si="43"/>
        <v xml:space="preserve"> </v>
      </c>
      <c r="M468" s="242" t="str">
        <f t="shared" si="44"/>
        <v xml:space="preserve"> </v>
      </c>
    </row>
    <row r="469" spans="6:13" x14ac:dyDescent="0.2">
      <c r="F469" s="216" t="str">
        <f t="shared" si="40"/>
        <v xml:space="preserve"> </v>
      </c>
      <c r="G469" s="50"/>
      <c r="H469" s="242" t="str">
        <f ca="1">IF(F469=1,PERCENTILE(INDIRECT("g"&amp;$D$8):INDIRECT("g"&amp;$E$8),0.5),IF(F469=2,PERCENTILE(INDIRECT("g"&amp;$D$9):INDIRECT("g"&amp;$E$9),0.5),IF(F469=3,PERCENTILE(INDIRECT("g"&amp;$D$10):INDIRECT("g"&amp;$E$10),0.5),IF(F469=4,PERCENTILE(INDIRECT("g"&amp;$D$11):INDIRECT("g"&amp;$E$11),0.5),IF(F469=5,PERCENTILE(INDIRECT("g"&amp;$D$12):INDIRECT("g"&amp;$E$12),0.5),IF(F469=6,PERCENTILE(INDIRECT("g"&amp;$D$13):INDIRECT("g"&amp;$E$13),0.5)," "))))))</f>
        <v xml:space="preserve"> </v>
      </c>
      <c r="I469" s="242" t="str">
        <f t="shared" si="41"/>
        <v xml:space="preserve"> </v>
      </c>
      <c r="J469" s="242" t="str">
        <f ca="1">IF(F469=1,AVERAGE(INDIRECT("I"&amp;$D$8):INDIRECT("I"&amp;$E$8)),IF(F469=2,AVERAGE(INDIRECT("I"&amp;$D$9):INDIRECT("I"&amp;$E$9)),IF(F469=3,AVERAGE(INDIRECT("I"&amp;$D$10):INDIRECT("I"&amp;$E$10)),IF(F469=4,AVERAGE(INDIRECT("I"&amp;$D$11):INDIRECT("I"&amp;$E$11)),IF(F469=5,AVERAGE(INDIRECT("I"&amp;$D$12):INDIRECT("I"&amp;$E$12)),IF(F469=6,AVERAGE(INDIRECT("I"&amp;$D$13):INDIRECT("I"&amp;$E$13))," "))))))</f>
        <v xml:space="preserve"> </v>
      </c>
      <c r="K469" s="242" t="str">
        <f t="shared" si="42"/>
        <v xml:space="preserve"> </v>
      </c>
      <c r="L469" s="242" t="str">
        <f t="shared" si="43"/>
        <v xml:space="preserve"> </v>
      </c>
      <c r="M469" s="242" t="str">
        <f t="shared" si="44"/>
        <v xml:space="preserve"> </v>
      </c>
    </row>
    <row r="470" spans="6:13" x14ac:dyDescent="0.2">
      <c r="F470" s="216" t="str">
        <f t="shared" si="40"/>
        <v xml:space="preserve"> </v>
      </c>
      <c r="G470" s="50"/>
      <c r="H470" s="242" t="str">
        <f ca="1">IF(F470=1,PERCENTILE(INDIRECT("g"&amp;$D$8):INDIRECT("g"&amp;$E$8),0.5),IF(F470=2,PERCENTILE(INDIRECT("g"&amp;$D$9):INDIRECT("g"&amp;$E$9),0.5),IF(F470=3,PERCENTILE(INDIRECT("g"&amp;$D$10):INDIRECT("g"&amp;$E$10),0.5),IF(F470=4,PERCENTILE(INDIRECT("g"&amp;$D$11):INDIRECT("g"&amp;$E$11),0.5),IF(F470=5,PERCENTILE(INDIRECT("g"&amp;$D$12):INDIRECT("g"&amp;$E$12),0.5),IF(F470=6,PERCENTILE(INDIRECT("g"&amp;$D$13):INDIRECT("g"&amp;$E$13),0.5)," "))))))</f>
        <v xml:space="preserve"> </v>
      </c>
      <c r="I470" s="242" t="str">
        <f t="shared" si="41"/>
        <v xml:space="preserve"> </v>
      </c>
      <c r="J470" s="242" t="str">
        <f ca="1">IF(F470=1,AVERAGE(INDIRECT("I"&amp;$D$8):INDIRECT("I"&amp;$E$8)),IF(F470=2,AVERAGE(INDIRECT("I"&amp;$D$9):INDIRECT("I"&amp;$E$9)),IF(F470=3,AVERAGE(INDIRECT("I"&amp;$D$10):INDIRECT("I"&amp;$E$10)),IF(F470=4,AVERAGE(INDIRECT("I"&amp;$D$11):INDIRECT("I"&amp;$E$11)),IF(F470=5,AVERAGE(INDIRECT("I"&amp;$D$12):INDIRECT("I"&amp;$E$12)),IF(F470=6,AVERAGE(INDIRECT("I"&amp;$D$13):INDIRECT("I"&amp;$E$13))," "))))))</f>
        <v xml:space="preserve"> </v>
      </c>
      <c r="K470" s="242" t="str">
        <f t="shared" si="42"/>
        <v xml:space="preserve"> </v>
      </c>
      <c r="L470" s="242" t="str">
        <f t="shared" si="43"/>
        <v xml:space="preserve"> </v>
      </c>
      <c r="M470" s="242" t="str">
        <f t="shared" si="44"/>
        <v xml:space="preserve"> </v>
      </c>
    </row>
    <row r="471" spans="6:13" x14ac:dyDescent="0.2">
      <c r="F471" s="216" t="str">
        <f t="shared" si="40"/>
        <v xml:space="preserve"> </v>
      </c>
      <c r="G471" s="50"/>
      <c r="H471" s="242" t="str">
        <f ca="1">IF(F471=1,PERCENTILE(INDIRECT("g"&amp;$D$8):INDIRECT("g"&amp;$E$8),0.5),IF(F471=2,PERCENTILE(INDIRECT("g"&amp;$D$9):INDIRECT("g"&amp;$E$9),0.5),IF(F471=3,PERCENTILE(INDIRECT("g"&amp;$D$10):INDIRECT("g"&amp;$E$10),0.5),IF(F471=4,PERCENTILE(INDIRECT("g"&amp;$D$11):INDIRECT("g"&amp;$E$11),0.5),IF(F471=5,PERCENTILE(INDIRECT("g"&amp;$D$12):INDIRECT("g"&amp;$E$12),0.5),IF(F471=6,PERCENTILE(INDIRECT("g"&amp;$D$13):INDIRECT("g"&amp;$E$13),0.5)," "))))))</f>
        <v xml:space="preserve"> </v>
      </c>
      <c r="I471" s="242" t="str">
        <f t="shared" si="41"/>
        <v xml:space="preserve"> </v>
      </c>
      <c r="J471" s="242" t="str">
        <f ca="1">IF(F471=1,AVERAGE(INDIRECT("I"&amp;$D$8):INDIRECT("I"&amp;$E$8)),IF(F471=2,AVERAGE(INDIRECT("I"&amp;$D$9):INDIRECT("I"&amp;$E$9)),IF(F471=3,AVERAGE(INDIRECT("I"&amp;$D$10):INDIRECT("I"&amp;$E$10)),IF(F471=4,AVERAGE(INDIRECT("I"&amp;$D$11):INDIRECT("I"&amp;$E$11)),IF(F471=5,AVERAGE(INDIRECT("I"&amp;$D$12):INDIRECT("I"&amp;$E$12)),IF(F471=6,AVERAGE(INDIRECT("I"&amp;$D$13):INDIRECT("I"&amp;$E$13))," "))))))</f>
        <v xml:space="preserve"> </v>
      </c>
      <c r="K471" s="242" t="str">
        <f t="shared" si="42"/>
        <v xml:space="preserve"> </v>
      </c>
      <c r="L471" s="242" t="str">
        <f t="shared" si="43"/>
        <v xml:space="preserve"> </v>
      </c>
      <c r="M471" s="242" t="str">
        <f t="shared" si="44"/>
        <v xml:space="preserve"> </v>
      </c>
    </row>
    <row r="472" spans="6:13" x14ac:dyDescent="0.2">
      <c r="F472" s="216" t="str">
        <f t="shared" si="40"/>
        <v xml:space="preserve"> </v>
      </c>
      <c r="G472" s="50"/>
      <c r="H472" s="242" t="str">
        <f ca="1">IF(F472=1,PERCENTILE(INDIRECT("g"&amp;$D$8):INDIRECT("g"&amp;$E$8),0.5),IF(F472=2,PERCENTILE(INDIRECT("g"&amp;$D$9):INDIRECT("g"&amp;$E$9),0.5),IF(F472=3,PERCENTILE(INDIRECT("g"&amp;$D$10):INDIRECT("g"&amp;$E$10),0.5),IF(F472=4,PERCENTILE(INDIRECT("g"&amp;$D$11):INDIRECT("g"&amp;$E$11),0.5),IF(F472=5,PERCENTILE(INDIRECT("g"&amp;$D$12):INDIRECT("g"&amp;$E$12),0.5),IF(F472=6,PERCENTILE(INDIRECT("g"&amp;$D$13):INDIRECT("g"&amp;$E$13),0.5)," "))))))</f>
        <v xml:space="preserve"> </v>
      </c>
      <c r="I472" s="242" t="str">
        <f t="shared" si="41"/>
        <v xml:space="preserve"> </v>
      </c>
      <c r="J472" s="242" t="str">
        <f ca="1">IF(F472=1,AVERAGE(INDIRECT("I"&amp;$D$8):INDIRECT("I"&amp;$E$8)),IF(F472=2,AVERAGE(INDIRECT("I"&amp;$D$9):INDIRECT("I"&amp;$E$9)),IF(F472=3,AVERAGE(INDIRECT("I"&amp;$D$10):INDIRECT("I"&amp;$E$10)),IF(F472=4,AVERAGE(INDIRECT("I"&amp;$D$11):INDIRECT("I"&amp;$E$11)),IF(F472=5,AVERAGE(INDIRECT("I"&amp;$D$12):INDIRECT("I"&amp;$E$12)),IF(F472=6,AVERAGE(INDIRECT("I"&amp;$D$13):INDIRECT("I"&amp;$E$13))," "))))))</f>
        <v xml:space="preserve"> </v>
      </c>
      <c r="K472" s="242" t="str">
        <f t="shared" si="42"/>
        <v xml:space="preserve"> </v>
      </c>
      <c r="L472" s="242" t="str">
        <f t="shared" si="43"/>
        <v xml:space="preserve"> </v>
      </c>
      <c r="M472" s="242" t="str">
        <f t="shared" si="44"/>
        <v xml:space="preserve"> </v>
      </c>
    </row>
    <row r="473" spans="6:13" x14ac:dyDescent="0.2">
      <c r="F473" s="216" t="str">
        <f t="shared" si="40"/>
        <v xml:space="preserve"> </v>
      </c>
      <c r="G473" s="50"/>
      <c r="H473" s="242" t="str">
        <f ca="1">IF(F473=1,PERCENTILE(INDIRECT("g"&amp;$D$8):INDIRECT("g"&amp;$E$8),0.5),IF(F473=2,PERCENTILE(INDIRECT("g"&amp;$D$9):INDIRECT("g"&amp;$E$9),0.5),IF(F473=3,PERCENTILE(INDIRECT("g"&amp;$D$10):INDIRECT("g"&amp;$E$10),0.5),IF(F473=4,PERCENTILE(INDIRECT("g"&amp;$D$11):INDIRECT("g"&amp;$E$11),0.5),IF(F473=5,PERCENTILE(INDIRECT("g"&amp;$D$12):INDIRECT("g"&amp;$E$12),0.5),IF(F473=6,PERCENTILE(INDIRECT("g"&amp;$D$13):INDIRECT("g"&amp;$E$13),0.5)," "))))))</f>
        <v xml:space="preserve"> </v>
      </c>
      <c r="I473" s="242" t="str">
        <f t="shared" si="41"/>
        <v xml:space="preserve"> </v>
      </c>
      <c r="J473" s="242" t="str">
        <f ca="1">IF(F473=1,AVERAGE(INDIRECT("I"&amp;$D$8):INDIRECT("I"&amp;$E$8)),IF(F473=2,AVERAGE(INDIRECT("I"&amp;$D$9):INDIRECT("I"&amp;$E$9)),IF(F473=3,AVERAGE(INDIRECT("I"&amp;$D$10):INDIRECT("I"&amp;$E$10)),IF(F473=4,AVERAGE(INDIRECT("I"&amp;$D$11):INDIRECT("I"&amp;$E$11)),IF(F473=5,AVERAGE(INDIRECT("I"&amp;$D$12):INDIRECT("I"&amp;$E$12)),IF(F473=6,AVERAGE(INDIRECT("I"&amp;$D$13):INDIRECT("I"&amp;$E$13))," "))))))</f>
        <v xml:space="preserve"> </v>
      </c>
      <c r="K473" s="242" t="str">
        <f t="shared" si="42"/>
        <v xml:space="preserve"> </v>
      </c>
      <c r="L473" s="242" t="str">
        <f t="shared" si="43"/>
        <v xml:space="preserve"> </v>
      </c>
      <c r="M473" s="242" t="str">
        <f t="shared" si="44"/>
        <v xml:space="preserve"> </v>
      </c>
    </row>
    <row r="474" spans="6:13" x14ac:dyDescent="0.2">
      <c r="F474" s="216" t="str">
        <f t="shared" si="40"/>
        <v xml:space="preserve"> </v>
      </c>
      <c r="G474" s="50"/>
      <c r="H474" s="242" t="str">
        <f ca="1">IF(F474=1,PERCENTILE(INDIRECT("g"&amp;$D$8):INDIRECT("g"&amp;$E$8),0.5),IF(F474=2,PERCENTILE(INDIRECT("g"&amp;$D$9):INDIRECT("g"&amp;$E$9),0.5),IF(F474=3,PERCENTILE(INDIRECT("g"&amp;$D$10):INDIRECT("g"&amp;$E$10),0.5),IF(F474=4,PERCENTILE(INDIRECT("g"&amp;$D$11):INDIRECT("g"&amp;$E$11),0.5),IF(F474=5,PERCENTILE(INDIRECT("g"&amp;$D$12):INDIRECT("g"&amp;$E$12),0.5),IF(F474=6,PERCENTILE(INDIRECT("g"&amp;$D$13):INDIRECT("g"&amp;$E$13),0.5)," "))))))</f>
        <v xml:space="preserve"> </v>
      </c>
      <c r="I474" s="242" t="str">
        <f t="shared" si="41"/>
        <v xml:space="preserve"> </v>
      </c>
      <c r="J474" s="242" t="str">
        <f ca="1">IF(F474=1,AVERAGE(INDIRECT("I"&amp;$D$8):INDIRECT("I"&amp;$E$8)),IF(F474=2,AVERAGE(INDIRECT("I"&amp;$D$9):INDIRECT("I"&amp;$E$9)),IF(F474=3,AVERAGE(INDIRECT("I"&amp;$D$10):INDIRECT("I"&amp;$E$10)),IF(F474=4,AVERAGE(INDIRECT("I"&amp;$D$11):INDIRECT("I"&amp;$E$11)),IF(F474=5,AVERAGE(INDIRECT("I"&amp;$D$12):INDIRECT("I"&amp;$E$12)),IF(F474=6,AVERAGE(INDIRECT("I"&amp;$D$13):INDIRECT("I"&amp;$E$13))," "))))))</f>
        <v xml:space="preserve"> </v>
      </c>
      <c r="K474" s="242" t="str">
        <f t="shared" si="42"/>
        <v xml:space="preserve"> </v>
      </c>
      <c r="L474" s="242" t="str">
        <f t="shared" si="43"/>
        <v xml:space="preserve"> </v>
      </c>
      <c r="M474" s="242" t="str">
        <f t="shared" si="44"/>
        <v xml:space="preserve"> </v>
      </c>
    </row>
    <row r="475" spans="6:13" x14ac:dyDescent="0.2">
      <c r="F475" s="216" t="str">
        <f t="shared" si="40"/>
        <v xml:space="preserve"> </v>
      </c>
      <c r="G475" s="50"/>
      <c r="H475" s="242" t="str">
        <f ca="1">IF(F475=1,PERCENTILE(INDIRECT("g"&amp;$D$8):INDIRECT("g"&amp;$E$8),0.5),IF(F475=2,PERCENTILE(INDIRECT("g"&amp;$D$9):INDIRECT("g"&amp;$E$9),0.5),IF(F475=3,PERCENTILE(INDIRECT("g"&amp;$D$10):INDIRECT("g"&amp;$E$10),0.5),IF(F475=4,PERCENTILE(INDIRECT("g"&amp;$D$11):INDIRECT("g"&amp;$E$11),0.5),IF(F475=5,PERCENTILE(INDIRECT("g"&amp;$D$12):INDIRECT("g"&amp;$E$12),0.5),IF(F475=6,PERCENTILE(INDIRECT("g"&amp;$D$13):INDIRECT("g"&amp;$E$13),0.5)," "))))))</f>
        <v xml:space="preserve"> </v>
      </c>
      <c r="I475" s="242" t="str">
        <f t="shared" si="41"/>
        <v xml:space="preserve"> </v>
      </c>
      <c r="J475" s="242" t="str">
        <f ca="1">IF(F475=1,AVERAGE(INDIRECT("I"&amp;$D$8):INDIRECT("I"&amp;$E$8)),IF(F475=2,AVERAGE(INDIRECT("I"&amp;$D$9):INDIRECT("I"&amp;$E$9)),IF(F475=3,AVERAGE(INDIRECT("I"&amp;$D$10):INDIRECT("I"&amp;$E$10)),IF(F475=4,AVERAGE(INDIRECT("I"&amp;$D$11):INDIRECT("I"&amp;$E$11)),IF(F475=5,AVERAGE(INDIRECT("I"&amp;$D$12):INDIRECT("I"&amp;$E$12)),IF(F475=6,AVERAGE(INDIRECT("I"&amp;$D$13):INDIRECT("I"&amp;$E$13))," "))))))</f>
        <v xml:space="preserve"> </v>
      </c>
      <c r="K475" s="242" t="str">
        <f t="shared" si="42"/>
        <v xml:space="preserve"> </v>
      </c>
      <c r="L475" s="242" t="str">
        <f t="shared" si="43"/>
        <v xml:space="preserve"> </v>
      </c>
      <c r="M475" s="242" t="str">
        <f t="shared" si="44"/>
        <v xml:space="preserve"> </v>
      </c>
    </row>
    <row r="476" spans="6:13" x14ac:dyDescent="0.2">
      <c r="F476" s="216" t="str">
        <f t="shared" si="40"/>
        <v xml:space="preserve"> </v>
      </c>
      <c r="G476" s="50"/>
      <c r="H476" s="242" t="str">
        <f ca="1">IF(F476=1,PERCENTILE(INDIRECT("g"&amp;$D$8):INDIRECT("g"&amp;$E$8),0.5),IF(F476=2,PERCENTILE(INDIRECT("g"&amp;$D$9):INDIRECT("g"&amp;$E$9),0.5),IF(F476=3,PERCENTILE(INDIRECT("g"&amp;$D$10):INDIRECT("g"&amp;$E$10),0.5),IF(F476=4,PERCENTILE(INDIRECT("g"&amp;$D$11):INDIRECT("g"&amp;$E$11),0.5),IF(F476=5,PERCENTILE(INDIRECT("g"&amp;$D$12):INDIRECT("g"&amp;$E$12),0.5),IF(F476=6,PERCENTILE(INDIRECT("g"&amp;$D$13):INDIRECT("g"&amp;$E$13),0.5)," "))))))</f>
        <v xml:space="preserve"> </v>
      </c>
      <c r="I476" s="242" t="str">
        <f t="shared" si="41"/>
        <v xml:space="preserve"> </v>
      </c>
      <c r="J476" s="242" t="str">
        <f ca="1">IF(F476=1,AVERAGE(INDIRECT("I"&amp;$D$8):INDIRECT("I"&amp;$E$8)),IF(F476=2,AVERAGE(INDIRECT("I"&amp;$D$9):INDIRECT("I"&amp;$E$9)),IF(F476=3,AVERAGE(INDIRECT("I"&amp;$D$10):INDIRECT("I"&amp;$E$10)),IF(F476=4,AVERAGE(INDIRECT("I"&amp;$D$11):INDIRECT("I"&amp;$E$11)),IF(F476=5,AVERAGE(INDIRECT("I"&amp;$D$12):INDIRECT("I"&amp;$E$12)),IF(F476=6,AVERAGE(INDIRECT("I"&amp;$D$13):INDIRECT("I"&amp;$E$13))," "))))))</f>
        <v xml:space="preserve"> </v>
      </c>
      <c r="K476" s="242" t="str">
        <f t="shared" si="42"/>
        <v xml:space="preserve"> </v>
      </c>
      <c r="L476" s="242" t="str">
        <f t="shared" si="43"/>
        <v xml:space="preserve"> </v>
      </c>
      <c r="M476" s="242" t="str">
        <f t="shared" si="44"/>
        <v xml:space="preserve"> </v>
      </c>
    </row>
    <row r="477" spans="6:13" x14ac:dyDescent="0.2">
      <c r="F477" s="216" t="str">
        <f t="shared" si="40"/>
        <v xml:space="preserve"> </v>
      </c>
      <c r="G477" s="50"/>
      <c r="H477" s="242" t="str">
        <f ca="1">IF(F477=1,PERCENTILE(INDIRECT("g"&amp;$D$8):INDIRECT("g"&amp;$E$8),0.5),IF(F477=2,PERCENTILE(INDIRECT("g"&amp;$D$9):INDIRECT("g"&amp;$E$9),0.5),IF(F477=3,PERCENTILE(INDIRECT("g"&amp;$D$10):INDIRECT("g"&amp;$E$10),0.5),IF(F477=4,PERCENTILE(INDIRECT("g"&amp;$D$11):INDIRECT("g"&amp;$E$11),0.5),IF(F477=5,PERCENTILE(INDIRECT("g"&amp;$D$12):INDIRECT("g"&amp;$E$12),0.5),IF(F477=6,PERCENTILE(INDIRECT("g"&amp;$D$13):INDIRECT("g"&amp;$E$13),0.5)," "))))))</f>
        <v xml:space="preserve"> </v>
      </c>
      <c r="I477" s="242" t="str">
        <f t="shared" si="41"/>
        <v xml:space="preserve"> </v>
      </c>
      <c r="J477" s="242" t="str">
        <f ca="1">IF(F477=1,AVERAGE(INDIRECT("I"&amp;$D$8):INDIRECT("I"&amp;$E$8)),IF(F477=2,AVERAGE(INDIRECT("I"&amp;$D$9):INDIRECT("I"&amp;$E$9)),IF(F477=3,AVERAGE(INDIRECT("I"&amp;$D$10):INDIRECT("I"&amp;$E$10)),IF(F477=4,AVERAGE(INDIRECT("I"&amp;$D$11):INDIRECT("I"&amp;$E$11)),IF(F477=5,AVERAGE(INDIRECT("I"&amp;$D$12):INDIRECT("I"&amp;$E$12)),IF(F477=6,AVERAGE(INDIRECT("I"&amp;$D$13):INDIRECT("I"&amp;$E$13))," "))))))</f>
        <v xml:space="preserve"> </v>
      </c>
      <c r="K477" s="242" t="str">
        <f t="shared" si="42"/>
        <v xml:space="preserve"> </v>
      </c>
      <c r="L477" s="242" t="str">
        <f t="shared" si="43"/>
        <v xml:space="preserve"> </v>
      </c>
      <c r="M477" s="242" t="str">
        <f t="shared" si="44"/>
        <v xml:space="preserve"> </v>
      </c>
    </row>
    <row r="478" spans="6:13" x14ac:dyDescent="0.2">
      <c r="F478" s="216" t="str">
        <f t="shared" si="40"/>
        <v xml:space="preserve"> </v>
      </c>
      <c r="G478" s="50"/>
      <c r="H478" s="242" t="str">
        <f ca="1">IF(F478=1,PERCENTILE(INDIRECT("g"&amp;$D$8):INDIRECT("g"&amp;$E$8),0.5),IF(F478=2,PERCENTILE(INDIRECT("g"&amp;$D$9):INDIRECT("g"&amp;$E$9),0.5),IF(F478=3,PERCENTILE(INDIRECT("g"&amp;$D$10):INDIRECT("g"&amp;$E$10),0.5),IF(F478=4,PERCENTILE(INDIRECT("g"&amp;$D$11):INDIRECT("g"&amp;$E$11),0.5),IF(F478=5,PERCENTILE(INDIRECT("g"&amp;$D$12):INDIRECT("g"&amp;$E$12),0.5),IF(F478=6,PERCENTILE(INDIRECT("g"&amp;$D$13):INDIRECT("g"&amp;$E$13),0.5)," "))))))</f>
        <v xml:space="preserve"> </v>
      </c>
      <c r="I478" s="242" t="str">
        <f t="shared" si="41"/>
        <v xml:space="preserve"> </v>
      </c>
      <c r="J478" s="242" t="str">
        <f ca="1">IF(F478=1,AVERAGE(INDIRECT("I"&amp;$D$8):INDIRECT("I"&amp;$E$8)),IF(F478=2,AVERAGE(INDIRECT("I"&amp;$D$9):INDIRECT("I"&amp;$E$9)),IF(F478=3,AVERAGE(INDIRECT("I"&amp;$D$10):INDIRECT("I"&amp;$E$10)),IF(F478=4,AVERAGE(INDIRECT("I"&amp;$D$11):INDIRECT("I"&amp;$E$11)),IF(F478=5,AVERAGE(INDIRECT("I"&amp;$D$12):INDIRECT("I"&amp;$E$12)),IF(F478=6,AVERAGE(INDIRECT("I"&amp;$D$13):INDIRECT("I"&amp;$E$13))," "))))))</f>
        <v xml:space="preserve"> </v>
      </c>
      <c r="K478" s="242" t="str">
        <f t="shared" si="42"/>
        <v xml:space="preserve"> </v>
      </c>
      <c r="L478" s="242" t="str">
        <f t="shared" si="43"/>
        <v xml:space="preserve"> </v>
      </c>
      <c r="M478" s="242" t="str">
        <f t="shared" si="44"/>
        <v xml:space="preserve"> </v>
      </c>
    </row>
    <row r="479" spans="6:13" x14ac:dyDescent="0.2">
      <c r="F479" s="216" t="str">
        <f t="shared" si="40"/>
        <v xml:space="preserve"> </v>
      </c>
      <c r="G479" s="50"/>
      <c r="H479" s="242" t="str">
        <f ca="1">IF(F479=1,PERCENTILE(INDIRECT("g"&amp;$D$8):INDIRECT("g"&amp;$E$8),0.5),IF(F479=2,PERCENTILE(INDIRECT("g"&amp;$D$9):INDIRECT("g"&amp;$E$9),0.5),IF(F479=3,PERCENTILE(INDIRECT("g"&amp;$D$10):INDIRECT("g"&amp;$E$10),0.5),IF(F479=4,PERCENTILE(INDIRECT("g"&amp;$D$11):INDIRECT("g"&amp;$E$11),0.5),IF(F479=5,PERCENTILE(INDIRECT("g"&amp;$D$12):INDIRECT("g"&amp;$E$12),0.5),IF(F479=6,PERCENTILE(INDIRECT("g"&amp;$D$13):INDIRECT("g"&amp;$E$13),0.5)," "))))))</f>
        <v xml:space="preserve"> </v>
      </c>
      <c r="I479" s="242" t="str">
        <f t="shared" si="41"/>
        <v xml:space="preserve"> </v>
      </c>
      <c r="J479" s="242" t="str">
        <f ca="1">IF(F479=1,AVERAGE(INDIRECT("I"&amp;$D$8):INDIRECT("I"&amp;$E$8)),IF(F479=2,AVERAGE(INDIRECT("I"&amp;$D$9):INDIRECT("I"&amp;$E$9)),IF(F479=3,AVERAGE(INDIRECT("I"&amp;$D$10):INDIRECT("I"&amp;$E$10)),IF(F479=4,AVERAGE(INDIRECT("I"&amp;$D$11):INDIRECT("I"&amp;$E$11)),IF(F479=5,AVERAGE(INDIRECT("I"&amp;$D$12):INDIRECT("I"&amp;$E$12)),IF(F479=6,AVERAGE(INDIRECT("I"&amp;$D$13):INDIRECT("I"&amp;$E$13))," "))))))</f>
        <v xml:space="preserve"> </v>
      </c>
      <c r="K479" s="242" t="str">
        <f t="shared" si="42"/>
        <v xml:space="preserve"> </v>
      </c>
      <c r="L479" s="242" t="str">
        <f t="shared" si="43"/>
        <v xml:space="preserve"> </v>
      </c>
      <c r="M479" s="242" t="str">
        <f t="shared" si="44"/>
        <v xml:space="preserve"> </v>
      </c>
    </row>
    <row r="480" spans="6:13" x14ac:dyDescent="0.2">
      <c r="F480" s="216" t="str">
        <f t="shared" si="40"/>
        <v xml:space="preserve"> </v>
      </c>
      <c r="G480" s="50"/>
      <c r="H480" s="242" t="str">
        <f ca="1">IF(F480=1,PERCENTILE(INDIRECT("g"&amp;$D$8):INDIRECT("g"&amp;$E$8),0.5),IF(F480=2,PERCENTILE(INDIRECT("g"&amp;$D$9):INDIRECT("g"&amp;$E$9),0.5),IF(F480=3,PERCENTILE(INDIRECT("g"&amp;$D$10):INDIRECT("g"&amp;$E$10),0.5),IF(F480=4,PERCENTILE(INDIRECT("g"&amp;$D$11):INDIRECT("g"&amp;$E$11),0.5),IF(F480=5,PERCENTILE(INDIRECT("g"&amp;$D$12):INDIRECT("g"&amp;$E$12),0.5),IF(F480=6,PERCENTILE(INDIRECT("g"&amp;$D$13):INDIRECT("g"&amp;$E$13),0.5)," "))))))</f>
        <v xml:space="preserve"> </v>
      </c>
      <c r="I480" s="242" t="str">
        <f t="shared" si="41"/>
        <v xml:space="preserve"> </v>
      </c>
      <c r="J480" s="242" t="str">
        <f ca="1">IF(F480=1,AVERAGE(INDIRECT("I"&amp;$D$8):INDIRECT("I"&amp;$E$8)),IF(F480=2,AVERAGE(INDIRECT("I"&amp;$D$9):INDIRECT("I"&amp;$E$9)),IF(F480=3,AVERAGE(INDIRECT("I"&amp;$D$10):INDIRECT("I"&amp;$E$10)),IF(F480=4,AVERAGE(INDIRECT("I"&amp;$D$11):INDIRECT("I"&amp;$E$11)),IF(F480=5,AVERAGE(INDIRECT("I"&amp;$D$12):INDIRECT("I"&amp;$E$12)),IF(F480=6,AVERAGE(INDIRECT("I"&amp;$D$13):INDIRECT("I"&amp;$E$13))," "))))))</f>
        <v xml:space="preserve"> </v>
      </c>
      <c r="K480" s="242" t="str">
        <f t="shared" si="42"/>
        <v xml:space="preserve"> </v>
      </c>
      <c r="L480" s="242" t="str">
        <f t="shared" si="43"/>
        <v xml:space="preserve"> </v>
      </c>
      <c r="M480" s="242" t="str">
        <f t="shared" si="44"/>
        <v xml:space="preserve"> </v>
      </c>
    </row>
    <row r="481" spans="6:13" x14ac:dyDescent="0.2">
      <c r="F481" s="216" t="str">
        <f t="shared" si="40"/>
        <v xml:space="preserve"> </v>
      </c>
      <c r="G481" s="50"/>
      <c r="H481" s="242" t="str">
        <f ca="1">IF(F481=1,PERCENTILE(INDIRECT("g"&amp;$D$8):INDIRECT("g"&amp;$E$8),0.5),IF(F481=2,PERCENTILE(INDIRECT("g"&amp;$D$9):INDIRECT("g"&amp;$E$9),0.5),IF(F481=3,PERCENTILE(INDIRECT("g"&amp;$D$10):INDIRECT("g"&amp;$E$10),0.5),IF(F481=4,PERCENTILE(INDIRECT("g"&amp;$D$11):INDIRECT("g"&amp;$E$11),0.5),IF(F481=5,PERCENTILE(INDIRECT("g"&amp;$D$12):INDIRECT("g"&amp;$E$12),0.5),IF(F481=6,PERCENTILE(INDIRECT("g"&amp;$D$13):INDIRECT("g"&amp;$E$13),0.5)," "))))))</f>
        <v xml:space="preserve"> </v>
      </c>
      <c r="I481" s="242" t="str">
        <f t="shared" si="41"/>
        <v xml:space="preserve"> </v>
      </c>
      <c r="J481" s="242" t="str">
        <f ca="1">IF(F481=1,AVERAGE(INDIRECT("I"&amp;$D$8):INDIRECT("I"&amp;$E$8)),IF(F481=2,AVERAGE(INDIRECT("I"&amp;$D$9):INDIRECT("I"&amp;$E$9)),IF(F481=3,AVERAGE(INDIRECT("I"&amp;$D$10):INDIRECT("I"&amp;$E$10)),IF(F481=4,AVERAGE(INDIRECT("I"&amp;$D$11):INDIRECT("I"&amp;$E$11)),IF(F481=5,AVERAGE(INDIRECT("I"&amp;$D$12):INDIRECT("I"&amp;$E$12)),IF(F481=6,AVERAGE(INDIRECT("I"&amp;$D$13):INDIRECT("I"&amp;$E$13))," "))))))</f>
        <v xml:space="preserve"> </v>
      </c>
      <c r="K481" s="242" t="str">
        <f t="shared" si="42"/>
        <v xml:space="preserve"> </v>
      </c>
      <c r="L481" s="242" t="str">
        <f t="shared" si="43"/>
        <v xml:space="preserve"> </v>
      </c>
      <c r="M481" s="242" t="str">
        <f t="shared" si="44"/>
        <v xml:space="preserve"> </v>
      </c>
    </row>
    <row r="482" spans="6:13" x14ac:dyDescent="0.2">
      <c r="F482" s="216" t="str">
        <f t="shared" si="40"/>
        <v xml:space="preserve"> </v>
      </c>
      <c r="G482" s="50"/>
      <c r="H482" s="242" t="str">
        <f ca="1">IF(F482=1,PERCENTILE(INDIRECT("g"&amp;$D$8):INDIRECT("g"&amp;$E$8),0.5),IF(F482=2,PERCENTILE(INDIRECT("g"&amp;$D$9):INDIRECT("g"&amp;$E$9),0.5),IF(F482=3,PERCENTILE(INDIRECT("g"&amp;$D$10):INDIRECT("g"&amp;$E$10),0.5),IF(F482=4,PERCENTILE(INDIRECT("g"&amp;$D$11):INDIRECT("g"&amp;$E$11),0.5),IF(F482=5,PERCENTILE(INDIRECT("g"&amp;$D$12):INDIRECT("g"&amp;$E$12),0.5),IF(F482=6,PERCENTILE(INDIRECT("g"&amp;$D$13):INDIRECT("g"&amp;$E$13),0.5)," "))))))</f>
        <v xml:space="preserve"> </v>
      </c>
      <c r="I482" s="242" t="str">
        <f t="shared" si="41"/>
        <v xml:space="preserve"> </v>
      </c>
      <c r="J482" s="242" t="str">
        <f ca="1">IF(F482=1,AVERAGE(INDIRECT("I"&amp;$D$8):INDIRECT("I"&amp;$E$8)),IF(F482=2,AVERAGE(INDIRECT("I"&amp;$D$9):INDIRECT("I"&amp;$E$9)),IF(F482=3,AVERAGE(INDIRECT("I"&amp;$D$10):INDIRECT("I"&amp;$E$10)),IF(F482=4,AVERAGE(INDIRECT("I"&amp;$D$11):INDIRECT("I"&amp;$E$11)),IF(F482=5,AVERAGE(INDIRECT("I"&amp;$D$12):INDIRECT("I"&amp;$E$12)),IF(F482=6,AVERAGE(INDIRECT("I"&amp;$D$13):INDIRECT("I"&amp;$E$13))," "))))))</f>
        <v xml:space="preserve"> </v>
      </c>
      <c r="K482" s="242" t="str">
        <f t="shared" si="42"/>
        <v xml:space="preserve"> </v>
      </c>
      <c r="L482" s="242" t="str">
        <f t="shared" si="43"/>
        <v xml:space="preserve"> </v>
      </c>
      <c r="M482" s="242" t="str">
        <f t="shared" si="44"/>
        <v xml:space="preserve"> </v>
      </c>
    </row>
    <row r="483" spans="6:13" x14ac:dyDescent="0.2">
      <c r="F483" s="216" t="str">
        <f t="shared" si="40"/>
        <v xml:space="preserve"> </v>
      </c>
      <c r="G483" s="50"/>
      <c r="H483" s="242" t="str">
        <f ca="1">IF(F483=1,PERCENTILE(INDIRECT("g"&amp;$D$8):INDIRECT("g"&amp;$E$8),0.5),IF(F483=2,PERCENTILE(INDIRECT("g"&amp;$D$9):INDIRECT("g"&amp;$E$9),0.5),IF(F483=3,PERCENTILE(INDIRECT("g"&amp;$D$10):INDIRECT("g"&amp;$E$10),0.5),IF(F483=4,PERCENTILE(INDIRECT("g"&amp;$D$11):INDIRECT("g"&amp;$E$11),0.5),IF(F483=5,PERCENTILE(INDIRECT("g"&amp;$D$12):INDIRECT("g"&amp;$E$12),0.5),IF(F483=6,PERCENTILE(INDIRECT("g"&amp;$D$13):INDIRECT("g"&amp;$E$13),0.5)," "))))))</f>
        <v xml:space="preserve"> </v>
      </c>
      <c r="I483" s="242" t="str">
        <f t="shared" si="41"/>
        <v xml:space="preserve"> </v>
      </c>
      <c r="J483" s="242" t="str">
        <f ca="1">IF(F483=1,AVERAGE(INDIRECT("I"&amp;$D$8):INDIRECT("I"&amp;$E$8)),IF(F483=2,AVERAGE(INDIRECT("I"&amp;$D$9):INDIRECT("I"&amp;$E$9)),IF(F483=3,AVERAGE(INDIRECT("I"&amp;$D$10):INDIRECT("I"&amp;$E$10)),IF(F483=4,AVERAGE(INDIRECT("I"&amp;$D$11):INDIRECT("I"&amp;$E$11)),IF(F483=5,AVERAGE(INDIRECT("I"&amp;$D$12):INDIRECT("I"&amp;$E$12)),IF(F483=6,AVERAGE(INDIRECT("I"&amp;$D$13):INDIRECT("I"&amp;$E$13))," "))))))</f>
        <v xml:space="preserve"> </v>
      </c>
      <c r="K483" s="242" t="str">
        <f t="shared" si="42"/>
        <v xml:space="preserve"> </v>
      </c>
      <c r="L483" s="242" t="str">
        <f t="shared" si="43"/>
        <v xml:space="preserve"> </v>
      </c>
      <c r="M483" s="242" t="str">
        <f t="shared" si="44"/>
        <v xml:space="preserve"> </v>
      </c>
    </row>
    <row r="484" spans="6:13" x14ac:dyDescent="0.2">
      <c r="F484" s="216" t="str">
        <f t="shared" si="40"/>
        <v xml:space="preserve"> </v>
      </c>
      <c r="G484" s="50"/>
      <c r="H484" s="242" t="str">
        <f ca="1">IF(F484=1,PERCENTILE(INDIRECT("g"&amp;$D$8):INDIRECT("g"&amp;$E$8),0.5),IF(F484=2,PERCENTILE(INDIRECT("g"&amp;$D$9):INDIRECT("g"&amp;$E$9),0.5),IF(F484=3,PERCENTILE(INDIRECT("g"&amp;$D$10):INDIRECT("g"&amp;$E$10),0.5),IF(F484=4,PERCENTILE(INDIRECT("g"&amp;$D$11):INDIRECT("g"&amp;$E$11),0.5),IF(F484=5,PERCENTILE(INDIRECT("g"&amp;$D$12):INDIRECT("g"&amp;$E$12),0.5),IF(F484=6,PERCENTILE(INDIRECT("g"&amp;$D$13):INDIRECT("g"&amp;$E$13),0.5)," "))))))</f>
        <v xml:space="preserve"> </v>
      </c>
      <c r="I484" s="242" t="str">
        <f t="shared" si="41"/>
        <v xml:space="preserve"> </v>
      </c>
      <c r="J484" s="242" t="str">
        <f ca="1">IF(F484=1,AVERAGE(INDIRECT("I"&amp;$D$8):INDIRECT("I"&amp;$E$8)),IF(F484=2,AVERAGE(INDIRECT("I"&amp;$D$9):INDIRECT("I"&amp;$E$9)),IF(F484=3,AVERAGE(INDIRECT("I"&amp;$D$10):INDIRECT("I"&amp;$E$10)),IF(F484=4,AVERAGE(INDIRECT("I"&amp;$D$11):INDIRECT("I"&amp;$E$11)),IF(F484=5,AVERAGE(INDIRECT("I"&amp;$D$12):INDIRECT("I"&amp;$E$12)),IF(F484=6,AVERAGE(INDIRECT("I"&amp;$D$13):INDIRECT("I"&amp;$E$13))," "))))))</f>
        <v xml:space="preserve"> </v>
      </c>
      <c r="K484" s="242" t="str">
        <f t="shared" si="42"/>
        <v xml:space="preserve"> </v>
      </c>
      <c r="L484" s="242" t="str">
        <f t="shared" si="43"/>
        <v xml:space="preserve"> </v>
      </c>
      <c r="M484" s="242" t="str">
        <f t="shared" si="44"/>
        <v xml:space="preserve"> </v>
      </c>
    </row>
    <row r="485" spans="6:13" x14ac:dyDescent="0.2">
      <c r="F485" s="216" t="str">
        <f t="shared" si="40"/>
        <v xml:space="preserve"> </v>
      </c>
      <c r="G485" s="50"/>
      <c r="H485" s="242" t="str">
        <f ca="1">IF(F485=1,PERCENTILE(INDIRECT("g"&amp;$D$8):INDIRECT("g"&amp;$E$8),0.5),IF(F485=2,PERCENTILE(INDIRECT("g"&amp;$D$9):INDIRECT("g"&amp;$E$9),0.5),IF(F485=3,PERCENTILE(INDIRECT("g"&amp;$D$10):INDIRECT("g"&amp;$E$10),0.5),IF(F485=4,PERCENTILE(INDIRECT("g"&amp;$D$11):INDIRECT("g"&amp;$E$11),0.5),IF(F485=5,PERCENTILE(INDIRECT("g"&amp;$D$12):INDIRECT("g"&amp;$E$12),0.5),IF(F485=6,PERCENTILE(INDIRECT("g"&amp;$D$13):INDIRECT("g"&amp;$E$13),0.5)," "))))))</f>
        <v xml:space="preserve"> </v>
      </c>
      <c r="I485" s="242" t="str">
        <f t="shared" si="41"/>
        <v xml:space="preserve"> </v>
      </c>
      <c r="J485" s="242" t="str">
        <f ca="1">IF(F485=1,AVERAGE(INDIRECT("I"&amp;$D$8):INDIRECT("I"&amp;$E$8)),IF(F485=2,AVERAGE(INDIRECT("I"&amp;$D$9):INDIRECT("I"&amp;$E$9)),IF(F485=3,AVERAGE(INDIRECT("I"&amp;$D$10):INDIRECT("I"&amp;$E$10)),IF(F485=4,AVERAGE(INDIRECT("I"&amp;$D$11):INDIRECT("I"&amp;$E$11)),IF(F485=5,AVERAGE(INDIRECT("I"&amp;$D$12):INDIRECT("I"&amp;$E$12)),IF(F485=6,AVERAGE(INDIRECT("I"&amp;$D$13):INDIRECT("I"&amp;$E$13))," "))))))</f>
        <v xml:space="preserve"> </v>
      </c>
      <c r="K485" s="242" t="str">
        <f t="shared" si="42"/>
        <v xml:space="preserve"> </v>
      </c>
      <c r="L485" s="242" t="str">
        <f t="shared" si="43"/>
        <v xml:space="preserve"> </v>
      </c>
      <c r="M485" s="242" t="str">
        <f t="shared" si="44"/>
        <v xml:space="preserve"> </v>
      </c>
    </row>
    <row r="486" spans="6:13" x14ac:dyDescent="0.2">
      <c r="F486" s="216" t="str">
        <f t="shared" si="40"/>
        <v xml:space="preserve"> </v>
      </c>
      <c r="G486" s="50"/>
      <c r="H486" s="242" t="str">
        <f ca="1">IF(F486=1,PERCENTILE(INDIRECT("g"&amp;$D$8):INDIRECT("g"&amp;$E$8),0.5),IF(F486=2,PERCENTILE(INDIRECT("g"&amp;$D$9):INDIRECT("g"&amp;$E$9),0.5),IF(F486=3,PERCENTILE(INDIRECT("g"&amp;$D$10):INDIRECT("g"&amp;$E$10),0.5),IF(F486=4,PERCENTILE(INDIRECT("g"&amp;$D$11):INDIRECT("g"&amp;$E$11),0.5),IF(F486=5,PERCENTILE(INDIRECT("g"&amp;$D$12):INDIRECT("g"&amp;$E$12),0.5),IF(F486=6,PERCENTILE(INDIRECT("g"&amp;$D$13):INDIRECT("g"&amp;$E$13),0.5)," "))))))</f>
        <v xml:space="preserve"> </v>
      </c>
      <c r="I486" s="242" t="str">
        <f t="shared" si="41"/>
        <v xml:space="preserve"> </v>
      </c>
      <c r="J486" s="242" t="str">
        <f ca="1">IF(F486=1,AVERAGE(INDIRECT("I"&amp;$D$8):INDIRECT("I"&amp;$E$8)),IF(F486=2,AVERAGE(INDIRECT("I"&amp;$D$9):INDIRECT("I"&amp;$E$9)),IF(F486=3,AVERAGE(INDIRECT("I"&amp;$D$10):INDIRECT("I"&amp;$E$10)),IF(F486=4,AVERAGE(INDIRECT("I"&amp;$D$11):INDIRECT("I"&amp;$E$11)),IF(F486=5,AVERAGE(INDIRECT("I"&amp;$D$12):INDIRECT("I"&amp;$E$12)),IF(F486=6,AVERAGE(INDIRECT("I"&amp;$D$13):INDIRECT("I"&amp;$E$13))," "))))))</f>
        <v xml:space="preserve"> </v>
      </c>
      <c r="K486" s="242" t="str">
        <f t="shared" si="42"/>
        <v xml:space="preserve"> </v>
      </c>
      <c r="L486" s="242" t="str">
        <f t="shared" si="43"/>
        <v xml:space="preserve"> </v>
      </c>
      <c r="M486" s="242" t="str">
        <f t="shared" si="44"/>
        <v xml:space="preserve"> </v>
      </c>
    </row>
    <row r="487" spans="6:13" x14ac:dyDescent="0.2">
      <c r="F487" s="216" t="str">
        <f t="shared" si="40"/>
        <v xml:space="preserve"> </v>
      </c>
      <c r="G487" s="50"/>
      <c r="H487" s="242" t="str">
        <f ca="1">IF(F487=1,PERCENTILE(INDIRECT("g"&amp;$D$8):INDIRECT("g"&amp;$E$8),0.5),IF(F487=2,PERCENTILE(INDIRECT("g"&amp;$D$9):INDIRECT("g"&amp;$E$9),0.5),IF(F487=3,PERCENTILE(INDIRECT("g"&amp;$D$10):INDIRECT("g"&amp;$E$10),0.5),IF(F487=4,PERCENTILE(INDIRECT("g"&amp;$D$11):INDIRECT("g"&amp;$E$11),0.5),IF(F487=5,PERCENTILE(INDIRECT("g"&amp;$D$12):INDIRECT("g"&amp;$E$12),0.5),IF(F487=6,PERCENTILE(INDIRECT("g"&amp;$D$13):INDIRECT("g"&amp;$E$13),0.5)," "))))))</f>
        <v xml:space="preserve"> </v>
      </c>
      <c r="I487" s="242" t="str">
        <f t="shared" si="41"/>
        <v xml:space="preserve"> </v>
      </c>
      <c r="J487" s="242" t="str">
        <f ca="1">IF(F487=1,AVERAGE(INDIRECT("I"&amp;$D$8):INDIRECT("I"&amp;$E$8)),IF(F487=2,AVERAGE(INDIRECT("I"&amp;$D$9):INDIRECT("I"&amp;$E$9)),IF(F487=3,AVERAGE(INDIRECT("I"&amp;$D$10):INDIRECT("I"&amp;$E$10)),IF(F487=4,AVERAGE(INDIRECT("I"&amp;$D$11):INDIRECT("I"&amp;$E$11)),IF(F487=5,AVERAGE(INDIRECT("I"&amp;$D$12):INDIRECT("I"&amp;$E$12)),IF(F487=6,AVERAGE(INDIRECT("I"&amp;$D$13):INDIRECT("I"&amp;$E$13))," "))))))</f>
        <v xml:space="preserve"> </v>
      </c>
      <c r="K487" s="242" t="str">
        <f t="shared" si="42"/>
        <v xml:space="preserve"> </v>
      </c>
      <c r="L487" s="242" t="str">
        <f t="shared" si="43"/>
        <v xml:space="preserve"> </v>
      </c>
      <c r="M487" s="242" t="str">
        <f t="shared" si="44"/>
        <v xml:space="preserve"> </v>
      </c>
    </row>
    <row r="488" spans="6:13" x14ac:dyDescent="0.2">
      <c r="F488" s="216" t="str">
        <f t="shared" si="40"/>
        <v xml:space="preserve"> </v>
      </c>
      <c r="G488" s="50"/>
      <c r="H488" s="242" t="str">
        <f ca="1">IF(F488=1,PERCENTILE(INDIRECT("g"&amp;$D$8):INDIRECT("g"&amp;$E$8),0.5),IF(F488=2,PERCENTILE(INDIRECT("g"&amp;$D$9):INDIRECT("g"&amp;$E$9),0.5),IF(F488=3,PERCENTILE(INDIRECT("g"&amp;$D$10):INDIRECT("g"&amp;$E$10),0.5),IF(F488=4,PERCENTILE(INDIRECT("g"&amp;$D$11):INDIRECT("g"&amp;$E$11),0.5),IF(F488=5,PERCENTILE(INDIRECT("g"&amp;$D$12):INDIRECT("g"&amp;$E$12),0.5),IF(F488=6,PERCENTILE(INDIRECT("g"&amp;$D$13):INDIRECT("g"&amp;$E$13),0.5)," "))))))</f>
        <v xml:space="preserve"> </v>
      </c>
      <c r="I488" s="242" t="str">
        <f t="shared" si="41"/>
        <v xml:space="preserve"> </v>
      </c>
      <c r="J488" s="242" t="str">
        <f ca="1">IF(F488=1,AVERAGE(INDIRECT("I"&amp;$D$8):INDIRECT("I"&amp;$E$8)),IF(F488=2,AVERAGE(INDIRECT("I"&amp;$D$9):INDIRECT("I"&amp;$E$9)),IF(F488=3,AVERAGE(INDIRECT("I"&amp;$D$10):INDIRECT("I"&amp;$E$10)),IF(F488=4,AVERAGE(INDIRECT("I"&amp;$D$11):INDIRECT("I"&amp;$E$11)),IF(F488=5,AVERAGE(INDIRECT("I"&amp;$D$12):INDIRECT("I"&amp;$E$12)),IF(F488=6,AVERAGE(INDIRECT("I"&amp;$D$13):INDIRECT("I"&amp;$E$13))," "))))))</f>
        <v xml:space="preserve"> </v>
      </c>
      <c r="K488" s="242" t="str">
        <f t="shared" si="42"/>
        <v xml:space="preserve"> </v>
      </c>
      <c r="L488" s="242" t="str">
        <f t="shared" si="43"/>
        <v xml:space="preserve"> </v>
      </c>
      <c r="M488" s="242" t="str">
        <f t="shared" si="44"/>
        <v xml:space="preserve"> </v>
      </c>
    </row>
    <row r="489" spans="6:13" x14ac:dyDescent="0.2">
      <c r="F489" s="216" t="str">
        <f t="shared" si="40"/>
        <v xml:space="preserve"> </v>
      </c>
      <c r="G489" s="50"/>
      <c r="H489" s="242" t="str">
        <f ca="1">IF(F489=1,PERCENTILE(INDIRECT("g"&amp;$D$8):INDIRECT("g"&amp;$E$8),0.5),IF(F489=2,PERCENTILE(INDIRECT("g"&amp;$D$9):INDIRECT("g"&amp;$E$9),0.5),IF(F489=3,PERCENTILE(INDIRECT("g"&amp;$D$10):INDIRECT("g"&amp;$E$10),0.5),IF(F489=4,PERCENTILE(INDIRECT("g"&amp;$D$11):INDIRECT("g"&amp;$E$11),0.5),IF(F489=5,PERCENTILE(INDIRECT("g"&amp;$D$12):INDIRECT("g"&amp;$E$12),0.5),IF(F489=6,PERCENTILE(INDIRECT("g"&amp;$D$13):INDIRECT("g"&amp;$E$13),0.5)," "))))))</f>
        <v xml:space="preserve"> </v>
      </c>
      <c r="I489" s="242" t="str">
        <f t="shared" si="41"/>
        <v xml:space="preserve"> </v>
      </c>
      <c r="J489" s="242" t="str">
        <f ca="1">IF(F489=1,AVERAGE(INDIRECT("I"&amp;$D$8):INDIRECT("I"&amp;$E$8)),IF(F489=2,AVERAGE(INDIRECT("I"&amp;$D$9):INDIRECT("I"&amp;$E$9)),IF(F489=3,AVERAGE(INDIRECT("I"&amp;$D$10):INDIRECT("I"&amp;$E$10)),IF(F489=4,AVERAGE(INDIRECT("I"&amp;$D$11):INDIRECT("I"&amp;$E$11)),IF(F489=5,AVERAGE(INDIRECT("I"&amp;$D$12):INDIRECT("I"&amp;$E$12)),IF(F489=6,AVERAGE(INDIRECT("I"&amp;$D$13):INDIRECT("I"&amp;$E$13))," "))))))</f>
        <v xml:space="preserve"> </v>
      </c>
      <c r="K489" s="242" t="str">
        <f t="shared" si="42"/>
        <v xml:space="preserve"> </v>
      </c>
      <c r="L489" s="242" t="str">
        <f t="shared" si="43"/>
        <v xml:space="preserve"> </v>
      </c>
      <c r="M489" s="242" t="str">
        <f t="shared" si="44"/>
        <v xml:space="preserve"> </v>
      </c>
    </row>
    <row r="490" spans="6:13" x14ac:dyDescent="0.2">
      <c r="F490" s="216" t="str">
        <f t="shared" si="40"/>
        <v xml:space="preserve"> </v>
      </c>
      <c r="G490" s="50"/>
      <c r="H490" s="242" t="str">
        <f ca="1">IF(F490=1,PERCENTILE(INDIRECT("g"&amp;$D$8):INDIRECT("g"&amp;$E$8),0.5),IF(F490=2,PERCENTILE(INDIRECT("g"&amp;$D$9):INDIRECT("g"&amp;$E$9),0.5),IF(F490=3,PERCENTILE(INDIRECT("g"&amp;$D$10):INDIRECT("g"&amp;$E$10),0.5),IF(F490=4,PERCENTILE(INDIRECT("g"&amp;$D$11):INDIRECT("g"&amp;$E$11),0.5),IF(F490=5,PERCENTILE(INDIRECT("g"&amp;$D$12):INDIRECT("g"&amp;$E$12),0.5),IF(F490=6,PERCENTILE(INDIRECT("g"&amp;$D$13):INDIRECT("g"&amp;$E$13),0.5)," "))))))</f>
        <v xml:space="preserve"> </v>
      </c>
      <c r="I490" s="242" t="str">
        <f t="shared" si="41"/>
        <v xml:space="preserve"> </v>
      </c>
      <c r="J490" s="242" t="str">
        <f ca="1">IF(F490=1,AVERAGE(INDIRECT("I"&amp;$D$8):INDIRECT("I"&amp;$E$8)),IF(F490=2,AVERAGE(INDIRECT("I"&amp;$D$9):INDIRECT("I"&amp;$E$9)),IF(F490=3,AVERAGE(INDIRECT("I"&amp;$D$10):INDIRECT("I"&amp;$E$10)),IF(F490=4,AVERAGE(INDIRECT("I"&amp;$D$11):INDIRECT("I"&amp;$E$11)),IF(F490=5,AVERAGE(INDIRECT("I"&amp;$D$12):INDIRECT("I"&amp;$E$12)),IF(F490=6,AVERAGE(INDIRECT("I"&amp;$D$13):INDIRECT("I"&amp;$E$13))," "))))))</f>
        <v xml:space="preserve"> </v>
      </c>
      <c r="K490" s="242" t="str">
        <f t="shared" si="42"/>
        <v xml:space="preserve"> </v>
      </c>
      <c r="L490" s="242" t="str">
        <f t="shared" si="43"/>
        <v xml:space="preserve"> </v>
      </c>
      <c r="M490" s="242" t="str">
        <f t="shared" si="44"/>
        <v xml:space="preserve"> </v>
      </c>
    </row>
    <row r="491" spans="6:13" x14ac:dyDescent="0.2">
      <c r="F491" s="216" t="str">
        <f t="shared" si="40"/>
        <v xml:space="preserve"> </v>
      </c>
      <c r="G491" s="50"/>
      <c r="H491" s="242" t="str">
        <f ca="1">IF(F491=1,PERCENTILE(INDIRECT("g"&amp;$D$8):INDIRECT("g"&amp;$E$8),0.5),IF(F491=2,PERCENTILE(INDIRECT("g"&amp;$D$9):INDIRECT("g"&amp;$E$9),0.5),IF(F491=3,PERCENTILE(INDIRECT("g"&amp;$D$10):INDIRECT("g"&amp;$E$10),0.5),IF(F491=4,PERCENTILE(INDIRECT("g"&amp;$D$11):INDIRECT("g"&amp;$E$11),0.5),IF(F491=5,PERCENTILE(INDIRECT("g"&amp;$D$12):INDIRECT("g"&amp;$E$12),0.5),IF(F491=6,PERCENTILE(INDIRECT("g"&amp;$D$13):INDIRECT("g"&amp;$E$13),0.5)," "))))))</f>
        <v xml:space="preserve"> </v>
      </c>
      <c r="I491" s="242" t="str">
        <f t="shared" si="41"/>
        <v xml:space="preserve"> </v>
      </c>
      <c r="J491" s="242" t="str">
        <f ca="1">IF(F491=1,AVERAGE(INDIRECT("I"&amp;$D$8):INDIRECT("I"&amp;$E$8)),IF(F491=2,AVERAGE(INDIRECT("I"&amp;$D$9):INDIRECT("I"&amp;$E$9)),IF(F491=3,AVERAGE(INDIRECT("I"&amp;$D$10):INDIRECT("I"&amp;$E$10)),IF(F491=4,AVERAGE(INDIRECT("I"&amp;$D$11):INDIRECT("I"&amp;$E$11)),IF(F491=5,AVERAGE(INDIRECT("I"&amp;$D$12):INDIRECT("I"&amp;$E$12)),IF(F491=6,AVERAGE(INDIRECT("I"&amp;$D$13):INDIRECT("I"&amp;$E$13))," "))))))</f>
        <v xml:space="preserve"> </v>
      </c>
      <c r="K491" s="242" t="str">
        <f t="shared" si="42"/>
        <v xml:space="preserve"> </v>
      </c>
      <c r="L491" s="242" t="str">
        <f t="shared" si="43"/>
        <v xml:space="preserve"> </v>
      </c>
      <c r="M491" s="242" t="str">
        <f t="shared" si="44"/>
        <v xml:space="preserve"> </v>
      </c>
    </row>
    <row r="492" spans="6:13" x14ac:dyDescent="0.2">
      <c r="F492" s="216" t="str">
        <f t="shared" si="40"/>
        <v xml:space="preserve"> </v>
      </c>
      <c r="G492" s="50"/>
      <c r="H492" s="242" t="str">
        <f ca="1">IF(F492=1,PERCENTILE(INDIRECT("g"&amp;$D$8):INDIRECT("g"&amp;$E$8),0.5),IF(F492=2,PERCENTILE(INDIRECT("g"&amp;$D$9):INDIRECT("g"&amp;$E$9),0.5),IF(F492=3,PERCENTILE(INDIRECT("g"&amp;$D$10):INDIRECT("g"&amp;$E$10),0.5),IF(F492=4,PERCENTILE(INDIRECT("g"&amp;$D$11):INDIRECT("g"&amp;$E$11),0.5),IF(F492=5,PERCENTILE(INDIRECT("g"&amp;$D$12):INDIRECT("g"&amp;$E$12),0.5),IF(F492=6,PERCENTILE(INDIRECT("g"&amp;$D$13):INDIRECT("g"&amp;$E$13),0.5)," "))))))</f>
        <v xml:space="preserve"> </v>
      </c>
      <c r="I492" s="242" t="str">
        <f t="shared" si="41"/>
        <v xml:space="preserve"> </v>
      </c>
      <c r="J492" s="242" t="str">
        <f ca="1">IF(F492=1,AVERAGE(INDIRECT("I"&amp;$D$8):INDIRECT("I"&amp;$E$8)),IF(F492=2,AVERAGE(INDIRECT("I"&amp;$D$9):INDIRECT("I"&amp;$E$9)),IF(F492=3,AVERAGE(INDIRECT("I"&amp;$D$10):INDIRECT("I"&amp;$E$10)),IF(F492=4,AVERAGE(INDIRECT("I"&amp;$D$11):INDIRECT("I"&amp;$E$11)),IF(F492=5,AVERAGE(INDIRECT("I"&amp;$D$12):INDIRECT("I"&amp;$E$12)),IF(F492=6,AVERAGE(INDIRECT("I"&amp;$D$13):INDIRECT("I"&amp;$E$13))," "))))))</f>
        <v xml:space="preserve"> </v>
      </c>
      <c r="K492" s="242" t="str">
        <f t="shared" si="42"/>
        <v xml:space="preserve"> </v>
      </c>
      <c r="L492" s="242" t="str">
        <f t="shared" si="43"/>
        <v xml:space="preserve"> </v>
      </c>
      <c r="M492" s="242" t="str">
        <f t="shared" si="44"/>
        <v xml:space="preserve"> </v>
      </c>
    </row>
    <row r="493" spans="6:13" x14ac:dyDescent="0.2">
      <c r="F493" s="216" t="str">
        <f t="shared" si="40"/>
        <v xml:space="preserve"> </v>
      </c>
      <c r="G493" s="50"/>
      <c r="H493" s="242" t="str">
        <f ca="1">IF(F493=1,PERCENTILE(INDIRECT("g"&amp;$D$8):INDIRECT("g"&amp;$E$8),0.5),IF(F493=2,PERCENTILE(INDIRECT("g"&amp;$D$9):INDIRECT("g"&amp;$E$9),0.5),IF(F493=3,PERCENTILE(INDIRECT("g"&amp;$D$10):INDIRECT("g"&amp;$E$10),0.5),IF(F493=4,PERCENTILE(INDIRECT("g"&amp;$D$11):INDIRECT("g"&amp;$E$11),0.5),IF(F493=5,PERCENTILE(INDIRECT("g"&amp;$D$12):INDIRECT("g"&amp;$E$12),0.5),IF(F493=6,PERCENTILE(INDIRECT("g"&amp;$D$13):INDIRECT("g"&amp;$E$13),0.5)," "))))))</f>
        <v xml:space="preserve"> </v>
      </c>
      <c r="I493" s="242" t="str">
        <f t="shared" si="41"/>
        <v xml:space="preserve"> </v>
      </c>
      <c r="J493" s="242" t="str">
        <f ca="1">IF(F493=1,AVERAGE(INDIRECT("I"&amp;$D$8):INDIRECT("I"&amp;$E$8)),IF(F493=2,AVERAGE(INDIRECT("I"&amp;$D$9):INDIRECT("I"&amp;$E$9)),IF(F493=3,AVERAGE(INDIRECT("I"&amp;$D$10):INDIRECT("I"&amp;$E$10)),IF(F493=4,AVERAGE(INDIRECT("I"&amp;$D$11):INDIRECT("I"&amp;$E$11)),IF(F493=5,AVERAGE(INDIRECT("I"&amp;$D$12):INDIRECT("I"&amp;$E$12)),IF(F493=6,AVERAGE(INDIRECT("I"&amp;$D$13):INDIRECT("I"&amp;$E$13))," "))))))</f>
        <v xml:space="preserve"> </v>
      </c>
      <c r="K493" s="242" t="str">
        <f t="shared" si="42"/>
        <v xml:space="preserve"> </v>
      </c>
      <c r="L493" s="242" t="str">
        <f t="shared" si="43"/>
        <v xml:space="preserve"> </v>
      </c>
      <c r="M493" s="242" t="str">
        <f t="shared" si="44"/>
        <v xml:space="preserve"> </v>
      </c>
    </row>
    <row r="494" spans="6:13" x14ac:dyDescent="0.2">
      <c r="F494" s="216" t="str">
        <f t="shared" si="40"/>
        <v xml:space="preserve"> </v>
      </c>
      <c r="G494" s="50"/>
      <c r="H494" s="242" t="str">
        <f ca="1">IF(F494=1,PERCENTILE(INDIRECT("g"&amp;$D$8):INDIRECT("g"&amp;$E$8),0.5),IF(F494=2,PERCENTILE(INDIRECT("g"&amp;$D$9):INDIRECT("g"&amp;$E$9),0.5),IF(F494=3,PERCENTILE(INDIRECT("g"&amp;$D$10):INDIRECT("g"&amp;$E$10),0.5),IF(F494=4,PERCENTILE(INDIRECT("g"&amp;$D$11):INDIRECT("g"&amp;$E$11),0.5),IF(F494=5,PERCENTILE(INDIRECT("g"&amp;$D$12):INDIRECT("g"&amp;$E$12),0.5),IF(F494=6,PERCENTILE(INDIRECT("g"&amp;$D$13):INDIRECT("g"&amp;$E$13),0.5)," "))))))</f>
        <v xml:space="preserve"> </v>
      </c>
      <c r="I494" s="242" t="str">
        <f t="shared" si="41"/>
        <v xml:space="preserve"> </v>
      </c>
      <c r="J494" s="242" t="str">
        <f ca="1">IF(F494=1,AVERAGE(INDIRECT("I"&amp;$D$8):INDIRECT("I"&amp;$E$8)),IF(F494=2,AVERAGE(INDIRECT("I"&amp;$D$9):INDIRECT("I"&amp;$E$9)),IF(F494=3,AVERAGE(INDIRECT("I"&amp;$D$10):INDIRECT("I"&amp;$E$10)),IF(F494=4,AVERAGE(INDIRECT("I"&amp;$D$11):INDIRECT("I"&amp;$E$11)),IF(F494=5,AVERAGE(INDIRECT("I"&amp;$D$12):INDIRECT("I"&amp;$E$12)),IF(F494=6,AVERAGE(INDIRECT("I"&amp;$D$13):INDIRECT("I"&amp;$E$13))," "))))))</f>
        <v xml:space="preserve"> </v>
      </c>
      <c r="K494" s="242" t="str">
        <f t="shared" si="42"/>
        <v xml:space="preserve"> </v>
      </c>
      <c r="L494" s="242" t="str">
        <f t="shared" si="43"/>
        <v xml:space="preserve"> </v>
      </c>
      <c r="M494" s="242" t="str">
        <f t="shared" si="44"/>
        <v xml:space="preserve"> </v>
      </c>
    </row>
    <row r="495" spans="6:13" x14ac:dyDescent="0.2">
      <c r="F495" s="216" t="str">
        <f t="shared" si="40"/>
        <v xml:space="preserve"> </v>
      </c>
      <c r="G495" s="50"/>
      <c r="H495" s="242" t="str">
        <f ca="1">IF(F495=1,PERCENTILE(INDIRECT("g"&amp;$D$8):INDIRECT("g"&amp;$E$8),0.5),IF(F495=2,PERCENTILE(INDIRECT("g"&amp;$D$9):INDIRECT("g"&amp;$E$9),0.5),IF(F495=3,PERCENTILE(INDIRECT("g"&amp;$D$10):INDIRECT("g"&amp;$E$10),0.5),IF(F495=4,PERCENTILE(INDIRECT("g"&amp;$D$11):INDIRECT("g"&amp;$E$11),0.5),IF(F495=5,PERCENTILE(INDIRECT("g"&amp;$D$12):INDIRECT("g"&amp;$E$12),0.5),IF(F495=6,PERCENTILE(INDIRECT("g"&amp;$D$13):INDIRECT("g"&amp;$E$13),0.5)," "))))))</f>
        <v xml:space="preserve"> </v>
      </c>
      <c r="I495" s="242" t="str">
        <f t="shared" si="41"/>
        <v xml:space="preserve"> </v>
      </c>
      <c r="J495" s="242" t="str">
        <f ca="1">IF(F495=1,AVERAGE(INDIRECT("I"&amp;$D$8):INDIRECT("I"&amp;$E$8)),IF(F495=2,AVERAGE(INDIRECT("I"&amp;$D$9):INDIRECT("I"&amp;$E$9)),IF(F495=3,AVERAGE(INDIRECT("I"&amp;$D$10):INDIRECT("I"&amp;$E$10)),IF(F495=4,AVERAGE(INDIRECT("I"&amp;$D$11):INDIRECT("I"&amp;$E$11)),IF(F495=5,AVERAGE(INDIRECT("I"&amp;$D$12):INDIRECT("I"&amp;$E$12)),IF(F495=6,AVERAGE(INDIRECT("I"&amp;$D$13):INDIRECT("I"&amp;$E$13))," "))))))</f>
        <v xml:space="preserve"> </v>
      </c>
      <c r="K495" s="242" t="str">
        <f t="shared" si="42"/>
        <v xml:space="preserve"> </v>
      </c>
      <c r="L495" s="242" t="str">
        <f t="shared" si="43"/>
        <v xml:space="preserve"> </v>
      </c>
      <c r="M495" s="242" t="str">
        <f t="shared" si="44"/>
        <v xml:space="preserve"> </v>
      </c>
    </row>
    <row r="496" spans="6:13" x14ac:dyDescent="0.2">
      <c r="F496" s="216" t="str">
        <f t="shared" si="40"/>
        <v xml:space="preserve"> </v>
      </c>
      <c r="G496" s="50"/>
      <c r="H496" s="242" t="str">
        <f ca="1">IF(F496=1,PERCENTILE(INDIRECT("g"&amp;$D$8):INDIRECT("g"&amp;$E$8),0.5),IF(F496=2,PERCENTILE(INDIRECT("g"&amp;$D$9):INDIRECT("g"&amp;$E$9),0.5),IF(F496=3,PERCENTILE(INDIRECT("g"&amp;$D$10):INDIRECT("g"&amp;$E$10),0.5),IF(F496=4,PERCENTILE(INDIRECT("g"&amp;$D$11):INDIRECT("g"&amp;$E$11),0.5),IF(F496=5,PERCENTILE(INDIRECT("g"&amp;$D$12):INDIRECT("g"&amp;$E$12),0.5),IF(F496=6,PERCENTILE(INDIRECT("g"&amp;$D$13):INDIRECT("g"&amp;$E$13),0.5)," "))))))</f>
        <v xml:space="preserve"> </v>
      </c>
      <c r="I496" s="242" t="str">
        <f t="shared" si="41"/>
        <v xml:space="preserve"> </v>
      </c>
      <c r="J496" s="242" t="str">
        <f ca="1">IF(F496=1,AVERAGE(INDIRECT("I"&amp;$D$8):INDIRECT("I"&amp;$E$8)),IF(F496=2,AVERAGE(INDIRECT("I"&amp;$D$9):INDIRECT("I"&amp;$E$9)),IF(F496=3,AVERAGE(INDIRECT("I"&amp;$D$10):INDIRECT("I"&amp;$E$10)),IF(F496=4,AVERAGE(INDIRECT("I"&amp;$D$11):INDIRECT("I"&amp;$E$11)),IF(F496=5,AVERAGE(INDIRECT("I"&amp;$D$12):INDIRECT("I"&amp;$E$12)),IF(F496=6,AVERAGE(INDIRECT("I"&amp;$D$13):INDIRECT("I"&amp;$E$13))," "))))))</f>
        <v xml:space="preserve"> </v>
      </c>
      <c r="K496" s="242" t="str">
        <f t="shared" si="42"/>
        <v xml:space="preserve"> </v>
      </c>
      <c r="L496" s="242" t="str">
        <f t="shared" si="43"/>
        <v xml:space="preserve"> </v>
      </c>
      <c r="M496" s="242" t="str">
        <f t="shared" si="44"/>
        <v xml:space="preserve"> </v>
      </c>
    </row>
    <row r="497" spans="6:13" x14ac:dyDescent="0.2">
      <c r="F497" s="216" t="str">
        <f t="shared" si="40"/>
        <v xml:space="preserve"> </v>
      </c>
      <c r="G497" s="50"/>
      <c r="H497" s="242" t="str">
        <f ca="1">IF(F497=1,PERCENTILE(INDIRECT("g"&amp;$D$8):INDIRECT("g"&amp;$E$8),0.5),IF(F497=2,PERCENTILE(INDIRECT("g"&amp;$D$9):INDIRECT("g"&amp;$E$9),0.5),IF(F497=3,PERCENTILE(INDIRECT("g"&amp;$D$10):INDIRECT("g"&amp;$E$10),0.5),IF(F497=4,PERCENTILE(INDIRECT("g"&amp;$D$11):INDIRECT("g"&amp;$E$11),0.5),IF(F497=5,PERCENTILE(INDIRECT("g"&amp;$D$12):INDIRECT("g"&amp;$E$12),0.5),IF(F497=6,PERCENTILE(INDIRECT("g"&amp;$D$13):INDIRECT("g"&amp;$E$13),0.5)," "))))))</f>
        <v xml:space="preserve"> </v>
      </c>
      <c r="I497" s="242" t="str">
        <f t="shared" si="41"/>
        <v xml:space="preserve"> </v>
      </c>
      <c r="J497" s="242" t="str">
        <f ca="1">IF(F497=1,AVERAGE(INDIRECT("I"&amp;$D$8):INDIRECT("I"&amp;$E$8)),IF(F497=2,AVERAGE(INDIRECT("I"&amp;$D$9):INDIRECT("I"&amp;$E$9)),IF(F497=3,AVERAGE(INDIRECT("I"&amp;$D$10):INDIRECT("I"&amp;$E$10)),IF(F497=4,AVERAGE(INDIRECT("I"&amp;$D$11):INDIRECT("I"&amp;$E$11)),IF(F497=5,AVERAGE(INDIRECT("I"&amp;$D$12):INDIRECT("I"&amp;$E$12)),IF(F497=6,AVERAGE(INDIRECT("I"&amp;$D$13):INDIRECT("I"&amp;$E$13))," "))))))</f>
        <v xml:space="preserve"> </v>
      </c>
      <c r="K497" s="242" t="str">
        <f t="shared" si="42"/>
        <v xml:space="preserve"> </v>
      </c>
      <c r="L497" s="242" t="str">
        <f t="shared" si="43"/>
        <v xml:space="preserve"> </v>
      </c>
      <c r="M497" s="242" t="str">
        <f t="shared" si="44"/>
        <v xml:space="preserve"> </v>
      </c>
    </row>
    <row r="498" spans="6:13" x14ac:dyDescent="0.2">
      <c r="F498" s="216" t="str">
        <f t="shared" si="40"/>
        <v xml:space="preserve"> </v>
      </c>
      <c r="G498" s="50"/>
      <c r="H498" s="242" t="str">
        <f ca="1">IF(F498=1,PERCENTILE(INDIRECT("g"&amp;$D$8):INDIRECT("g"&amp;$E$8),0.5),IF(F498=2,PERCENTILE(INDIRECT("g"&amp;$D$9):INDIRECT("g"&amp;$E$9),0.5),IF(F498=3,PERCENTILE(INDIRECT("g"&amp;$D$10):INDIRECT("g"&amp;$E$10),0.5),IF(F498=4,PERCENTILE(INDIRECT("g"&amp;$D$11):INDIRECT("g"&amp;$E$11),0.5),IF(F498=5,PERCENTILE(INDIRECT("g"&amp;$D$12):INDIRECT("g"&amp;$E$12),0.5),IF(F498=6,PERCENTILE(INDIRECT("g"&amp;$D$13):INDIRECT("g"&amp;$E$13),0.5)," "))))))</f>
        <v xml:space="preserve"> </v>
      </c>
      <c r="I498" s="242" t="str">
        <f t="shared" si="41"/>
        <v xml:space="preserve"> </v>
      </c>
      <c r="J498" s="242" t="str">
        <f ca="1">IF(F498=1,AVERAGE(INDIRECT("I"&amp;$D$8):INDIRECT("I"&amp;$E$8)),IF(F498=2,AVERAGE(INDIRECT("I"&amp;$D$9):INDIRECT("I"&amp;$E$9)),IF(F498=3,AVERAGE(INDIRECT("I"&amp;$D$10):INDIRECT("I"&amp;$E$10)),IF(F498=4,AVERAGE(INDIRECT("I"&amp;$D$11):INDIRECT("I"&amp;$E$11)),IF(F498=5,AVERAGE(INDIRECT("I"&amp;$D$12):INDIRECT("I"&amp;$E$12)),IF(F498=6,AVERAGE(INDIRECT("I"&amp;$D$13):INDIRECT("I"&amp;$E$13))," "))))))</f>
        <v xml:space="preserve"> </v>
      </c>
      <c r="K498" s="242" t="str">
        <f t="shared" si="42"/>
        <v xml:space="preserve"> </v>
      </c>
      <c r="L498" s="242" t="str">
        <f t="shared" si="43"/>
        <v xml:space="preserve"> </v>
      </c>
      <c r="M498" s="242" t="str">
        <f t="shared" si="44"/>
        <v xml:space="preserve"> </v>
      </c>
    </row>
    <row r="499" spans="6:13" x14ac:dyDescent="0.2">
      <c r="F499" s="216" t="str">
        <f t="shared" si="40"/>
        <v xml:space="preserve"> </v>
      </c>
      <c r="G499" s="50"/>
      <c r="H499" s="242" t="str">
        <f ca="1">IF(F499=1,PERCENTILE(INDIRECT("g"&amp;$D$8):INDIRECT("g"&amp;$E$8),0.5),IF(F499=2,PERCENTILE(INDIRECT("g"&amp;$D$9):INDIRECT("g"&amp;$E$9),0.5),IF(F499=3,PERCENTILE(INDIRECT("g"&amp;$D$10):INDIRECT("g"&amp;$E$10),0.5),IF(F499=4,PERCENTILE(INDIRECT("g"&amp;$D$11):INDIRECT("g"&amp;$E$11),0.5),IF(F499=5,PERCENTILE(INDIRECT("g"&amp;$D$12):INDIRECT("g"&amp;$E$12),0.5),IF(F499=6,PERCENTILE(INDIRECT("g"&amp;$D$13):INDIRECT("g"&amp;$E$13),0.5)," "))))))</f>
        <v xml:space="preserve"> </v>
      </c>
      <c r="I499" s="242" t="str">
        <f t="shared" si="41"/>
        <v xml:space="preserve"> </v>
      </c>
      <c r="J499" s="242" t="str">
        <f ca="1">IF(F499=1,AVERAGE(INDIRECT("I"&amp;$D$8):INDIRECT("I"&amp;$E$8)),IF(F499=2,AVERAGE(INDIRECT("I"&amp;$D$9):INDIRECT("I"&amp;$E$9)),IF(F499=3,AVERAGE(INDIRECT("I"&amp;$D$10):INDIRECT("I"&amp;$E$10)),IF(F499=4,AVERAGE(INDIRECT("I"&amp;$D$11):INDIRECT("I"&amp;$E$11)),IF(F499=5,AVERAGE(INDIRECT("I"&amp;$D$12):INDIRECT("I"&amp;$E$12)),IF(F499=6,AVERAGE(INDIRECT("I"&amp;$D$13):INDIRECT("I"&amp;$E$13))," "))))))</f>
        <v xml:space="preserve"> </v>
      </c>
      <c r="K499" s="242" t="str">
        <f t="shared" si="42"/>
        <v xml:space="preserve"> </v>
      </c>
      <c r="L499" s="242" t="str">
        <f t="shared" si="43"/>
        <v xml:space="preserve"> </v>
      </c>
      <c r="M499" s="242" t="str">
        <f t="shared" si="44"/>
        <v xml:space="preserve"> </v>
      </c>
    </row>
    <row r="500" spans="6:13" x14ac:dyDescent="0.2">
      <c r="F500" s="216" t="str">
        <f t="shared" si="40"/>
        <v xml:space="preserve"> </v>
      </c>
      <c r="G500" s="50"/>
      <c r="H500" s="242" t="str">
        <f ca="1">IF(F500=1,PERCENTILE(INDIRECT("g"&amp;$D$8):INDIRECT("g"&amp;$E$8),0.5),IF(F500=2,PERCENTILE(INDIRECT("g"&amp;$D$9):INDIRECT("g"&amp;$E$9),0.5),IF(F500=3,PERCENTILE(INDIRECT("g"&amp;$D$10):INDIRECT("g"&amp;$E$10),0.5),IF(F500=4,PERCENTILE(INDIRECT("g"&amp;$D$11):INDIRECT("g"&amp;$E$11),0.5),IF(F500=5,PERCENTILE(INDIRECT("g"&amp;$D$12):INDIRECT("g"&amp;$E$12),0.5),IF(F500=6,PERCENTILE(INDIRECT("g"&amp;$D$13):INDIRECT("g"&amp;$E$13),0.5)," "))))))</f>
        <v xml:space="preserve"> </v>
      </c>
      <c r="I500" s="242" t="str">
        <f t="shared" si="41"/>
        <v xml:space="preserve"> </v>
      </c>
      <c r="J500" s="242" t="str">
        <f ca="1">IF(F500=1,AVERAGE(INDIRECT("I"&amp;$D$8):INDIRECT("I"&amp;$E$8)),IF(F500=2,AVERAGE(INDIRECT("I"&amp;$D$9):INDIRECT("I"&amp;$E$9)),IF(F500=3,AVERAGE(INDIRECT("I"&amp;$D$10):INDIRECT("I"&amp;$E$10)),IF(F500=4,AVERAGE(INDIRECT("I"&amp;$D$11):INDIRECT("I"&amp;$E$11)),IF(F500=5,AVERAGE(INDIRECT("I"&amp;$D$12):INDIRECT("I"&amp;$E$12)),IF(F500=6,AVERAGE(INDIRECT("I"&amp;$D$13):INDIRECT("I"&amp;$E$13))," "))))))</f>
        <v xml:space="preserve"> </v>
      </c>
      <c r="K500" s="242" t="str">
        <f t="shared" si="42"/>
        <v xml:space="preserve"> </v>
      </c>
      <c r="L500" s="242" t="str">
        <f t="shared" si="43"/>
        <v xml:space="preserve"> </v>
      </c>
      <c r="M500" s="242" t="str">
        <f t="shared" si="44"/>
        <v xml:space="preserve"> </v>
      </c>
    </row>
    <row r="501" spans="6:13" x14ac:dyDescent="0.2">
      <c r="F501" s="216" t="str">
        <f t="shared" si="40"/>
        <v xml:space="preserve"> </v>
      </c>
      <c r="G501" s="50"/>
      <c r="H501" s="242" t="str">
        <f ca="1">IF(F501=1,PERCENTILE(INDIRECT("g"&amp;$D$8):INDIRECT("g"&amp;$E$8),0.5),IF(F501=2,PERCENTILE(INDIRECT("g"&amp;$D$9):INDIRECT("g"&amp;$E$9),0.5),IF(F501=3,PERCENTILE(INDIRECT("g"&amp;$D$10):INDIRECT("g"&amp;$E$10),0.5),IF(F501=4,PERCENTILE(INDIRECT("g"&amp;$D$11):INDIRECT("g"&amp;$E$11),0.5),IF(F501=5,PERCENTILE(INDIRECT("g"&amp;$D$12):INDIRECT("g"&amp;$E$12),0.5),IF(F501=6,PERCENTILE(INDIRECT("g"&amp;$D$13):INDIRECT("g"&amp;$E$13),0.5)," "))))))</f>
        <v xml:space="preserve"> </v>
      </c>
      <c r="I501" s="242" t="str">
        <f t="shared" si="41"/>
        <v xml:space="preserve"> </v>
      </c>
      <c r="J501" s="242" t="str">
        <f ca="1">IF(F501=1,AVERAGE(INDIRECT("I"&amp;$D$8):INDIRECT("I"&amp;$E$8)),IF(F501=2,AVERAGE(INDIRECT("I"&amp;$D$9):INDIRECT("I"&amp;$E$9)),IF(F501=3,AVERAGE(INDIRECT("I"&amp;$D$10):INDIRECT("I"&amp;$E$10)),IF(F501=4,AVERAGE(INDIRECT("I"&amp;$D$11):INDIRECT("I"&amp;$E$11)),IF(F501=5,AVERAGE(INDIRECT("I"&amp;$D$12):INDIRECT("I"&amp;$E$12)),IF(F501=6,AVERAGE(INDIRECT("I"&amp;$D$13):INDIRECT("I"&amp;$E$13))," "))))))</f>
        <v xml:space="preserve"> </v>
      </c>
      <c r="K501" s="242" t="str">
        <f t="shared" si="42"/>
        <v xml:space="preserve"> </v>
      </c>
      <c r="L501" s="242" t="str">
        <f t="shared" si="43"/>
        <v xml:space="preserve"> </v>
      </c>
      <c r="M501" s="242" t="str">
        <f t="shared" si="44"/>
        <v xml:space="preserve"> </v>
      </c>
    </row>
    <row r="502" spans="6:13" x14ac:dyDescent="0.2">
      <c r="F502" s="216" t="str">
        <f t="shared" si="40"/>
        <v xml:space="preserve"> </v>
      </c>
      <c r="G502" s="50"/>
      <c r="H502" s="242" t="str">
        <f ca="1">IF(F502=1,PERCENTILE(INDIRECT("g"&amp;$D$8):INDIRECT("g"&amp;$E$8),0.5),IF(F502=2,PERCENTILE(INDIRECT("g"&amp;$D$9):INDIRECT("g"&amp;$E$9),0.5),IF(F502=3,PERCENTILE(INDIRECT("g"&amp;$D$10):INDIRECT("g"&amp;$E$10),0.5),IF(F502=4,PERCENTILE(INDIRECT("g"&amp;$D$11):INDIRECT("g"&amp;$E$11),0.5),IF(F502=5,PERCENTILE(INDIRECT("g"&amp;$D$12):INDIRECT("g"&amp;$E$12),0.5),IF(F502=6,PERCENTILE(INDIRECT("g"&amp;$D$13):INDIRECT("g"&amp;$E$13),0.5)," "))))))</f>
        <v xml:space="preserve"> </v>
      </c>
      <c r="I502" s="242" t="str">
        <f t="shared" si="41"/>
        <v xml:space="preserve"> </v>
      </c>
      <c r="J502" s="242" t="str">
        <f ca="1">IF(F502=1,AVERAGE(INDIRECT("I"&amp;$D$8):INDIRECT("I"&amp;$E$8)),IF(F502=2,AVERAGE(INDIRECT("I"&amp;$D$9):INDIRECT("I"&amp;$E$9)),IF(F502=3,AVERAGE(INDIRECT("I"&amp;$D$10):INDIRECT("I"&amp;$E$10)),IF(F502=4,AVERAGE(INDIRECT("I"&amp;$D$11):INDIRECT("I"&amp;$E$11)),IF(F502=5,AVERAGE(INDIRECT("I"&amp;$D$12):INDIRECT("I"&amp;$E$12)),IF(F502=6,AVERAGE(INDIRECT("I"&amp;$D$13):INDIRECT("I"&amp;$E$13))," "))))))</f>
        <v xml:space="preserve"> </v>
      </c>
      <c r="K502" s="242" t="str">
        <f t="shared" si="42"/>
        <v xml:space="preserve"> </v>
      </c>
      <c r="L502" s="242" t="str">
        <f t="shared" si="43"/>
        <v xml:space="preserve"> </v>
      </c>
      <c r="M502" s="242" t="str">
        <f t="shared" si="44"/>
        <v xml:space="preserve"> </v>
      </c>
    </row>
    <row r="503" spans="6:13" x14ac:dyDescent="0.2">
      <c r="F503" s="216" t="str">
        <f t="shared" si="40"/>
        <v xml:space="preserve"> </v>
      </c>
      <c r="G503" s="50"/>
      <c r="H503" s="242" t="str">
        <f ca="1">IF(F503=1,PERCENTILE(INDIRECT("g"&amp;$D$8):INDIRECT("g"&amp;$E$8),0.5),IF(F503=2,PERCENTILE(INDIRECT("g"&amp;$D$9):INDIRECT("g"&amp;$E$9),0.5),IF(F503=3,PERCENTILE(INDIRECT("g"&amp;$D$10):INDIRECT("g"&amp;$E$10),0.5),IF(F503=4,PERCENTILE(INDIRECT("g"&amp;$D$11):INDIRECT("g"&amp;$E$11),0.5),IF(F503=5,PERCENTILE(INDIRECT("g"&amp;$D$12):INDIRECT("g"&amp;$E$12),0.5),IF(F503=6,PERCENTILE(INDIRECT("g"&amp;$D$13):INDIRECT("g"&amp;$E$13),0.5)," "))))))</f>
        <v xml:space="preserve"> </v>
      </c>
      <c r="I503" s="242" t="str">
        <f t="shared" si="41"/>
        <v xml:space="preserve"> </v>
      </c>
      <c r="J503" s="242" t="str">
        <f ca="1">IF(F503=1,AVERAGE(INDIRECT("I"&amp;$D$8):INDIRECT("I"&amp;$E$8)),IF(F503=2,AVERAGE(INDIRECT("I"&amp;$D$9):INDIRECT("I"&amp;$E$9)),IF(F503=3,AVERAGE(INDIRECT("I"&amp;$D$10):INDIRECT("I"&amp;$E$10)),IF(F503=4,AVERAGE(INDIRECT("I"&amp;$D$11):INDIRECT("I"&amp;$E$11)),IF(F503=5,AVERAGE(INDIRECT("I"&amp;$D$12):INDIRECT("I"&amp;$E$12)),IF(F503=6,AVERAGE(INDIRECT("I"&amp;$D$13):INDIRECT("I"&amp;$E$13))," "))))))</f>
        <v xml:space="preserve"> </v>
      </c>
      <c r="K503" s="242" t="str">
        <f t="shared" si="42"/>
        <v xml:space="preserve"> </v>
      </c>
      <c r="L503" s="242" t="str">
        <f t="shared" si="43"/>
        <v xml:space="preserve"> </v>
      </c>
      <c r="M503" s="242" t="str">
        <f t="shared" si="44"/>
        <v xml:space="preserve"> </v>
      </c>
    </row>
    <row r="504" spans="6:13" x14ac:dyDescent="0.2">
      <c r="F504" s="216" t="str">
        <f t="shared" si="40"/>
        <v xml:space="preserve"> </v>
      </c>
      <c r="G504" s="50"/>
      <c r="H504" s="242" t="str">
        <f ca="1">IF(F504=1,PERCENTILE(INDIRECT("g"&amp;$D$8):INDIRECT("g"&amp;$E$8),0.5),IF(F504=2,PERCENTILE(INDIRECT("g"&amp;$D$9):INDIRECT("g"&amp;$E$9),0.5),IF(F504=3,PERCENTILE(INDIRECT("g"&amp;$D$10):INDIRECT("g"&amp;$E$10),0.5),IF(F504=4,PERCENTILE(INDIRECT("g"&amp;$D$11):INDIRECT("g"&amp;$E$11),0.5),IF(F504=5,PERCENTILE(INDIRECT("g"&amp;$D$12):INDIRECT("g"&amp;$E$12),0.5),IF(F504=6,PERCENTILE(INDIRECT("g"&amp;$D$13):INDIRECT("g"&amp;$E$13),0.5)," "))))))</f>
        <v xml:space="preserve"> </v>
      </c>
      <c r="I504" s="242" t="str">
        <f t="shared" si="41"/>
        <v xml:space="preserve"> </v>
      </c>
      <c r="J504" s="242" t="str">
        <f ca="1">IF(F504=1,AVERAGE(INDIRECT("I"&amp;$D$8):INDIRECT("I"&amp;$E$8)),IF(F504=2,AVERAGE(INDIRECT("I"&amp;$D$9):INDIRECT("I"&amp;$E$9)),IF(F504=3,AVERAGE(INDIRECT("I"&amp;$D$10):INDIRECT("I"&amp;$E$10)),IF(F504=4,AVERAGE(INDIRECT("I"&amp;$D$11):INDIRECT("I"&amp;$E$11)),IF(F504=5,AVERAGE(INDIRECT("I"&amp;$D$12):INDIRECT("I"&amp;$E$12)),IF(F504=6,AVERAGE(INDIRECT("I"&amp;$D$13):INDIRECT("I"&amp;$E$13))," "))))))</f>
        <v xml:space="preserve"> </v>
      </c>
      <c r="K504" s="242" t="str">
        <f t="shared" si="42"/>
        <v xml:space="preserve"> </v>
      </c>
      <c r="L504" s="242" t="str">
        <f t="shared" si="43"/>
        <v xml:space="preserve"> </v>
      </c>
      <c r="M504" s="242" t="str">
        <f t="shared" si="44"/>
        <v xml:space="preserve"> </v>
      </c>
    </row>
    <row r="505" spans="6:13" x14ac:dyDescent="0.2">
      <c r="F505" s="216" t="str">
        <f t="shared" si="40"/>
        <v xml:space="preserve"> </v>
      </c>
      <c r="G505" s="50"/>
      <c r="H505" s="242" t="str">
        <f ca="1">IF(F505=1,PERCENTILE(INDIRECT("g"&amp;$D$8):INDIRECT("g"&amp;$E$8),0.5),IF(F505=2,PERCENTILE(INDIRECT("g"&amp;$D$9):INDIRECT("g"&amp;$E$9),0.5),IF(F505=3,PERCENTILE(INDIRECT("g"&amp;$D$10):INDIRECT("g"&amp;$E$10),0.5),IF(F505=4,PERCENTILE(INDIRECT("g"&amp;$D$11):INDIRECT("g"&amp;$E$11),0.5),IF(F505=5,PERCENTILE(INDIRECT("g"&amp;$D$12):INDIRECT("g"&amp;$E$12),0.5),IF(F505=6,PERCENTILE(INDIRECT("g"&amp;$D$13):INDIRECT("g"&amp;$E$13),0.5)," "))))))</f>
        <v xml:space="preserve"> </v>
      </c>
      <c r="I505" s="242" t="str">
        <f t="shared" si="41"/>
        <v xml:space="preserve"> </v>
      </c>
      <c r="J505" s="242" t="str">
        <f ca="1">IF(F505=1,AVERAGE(INDIRECT("I"&amp;$D$8):INDIRECT("I"&amp;$E$8)),IF(F505=2,AVERAGE(INDIRECT("I"&amp;$D$9):INDIRECT("I"&amp;$E$9)),IF(F505=3,AVERAGE(INDIRECT("I"&amp;$D$10):INDIRECT("I"&amp;$E$10)),IF(F505=4,AVERAGE(INDIRECT("I"&amp;$D$11):INDIRECT("I"&amp;$E$11)),IF(F505=5,AVERAGE(INDIRECT("I"&amp;$D$12):INDIRECT("I"&amp;$E$12)),IF(F505=6,AVERAGE(INDIRECT("I"&amp;$D$13):INDIRECT("I"&amp;$E$13))," "))))))</f>
        <v xml:space="preserve"> </v>
      </c>
      <c r="K505" s="242" t="str">
        <f t="shared" si="42"/>
        <v xml:space="preserve"> </v>
      </c>
      <c r="L505" s="242" t="str">
        <f t="shared" si="43"/>
        <v xml:space="preserve"> </v>
      </c>
      <c r="M505" s="242" t="str">
        <f t="shared" si="44"/>
        <v xml:space="preserve"> </v>
      </c>
    </row>
    <row r="506" spans="6:13" x14ac:dyDescent="0.2">
      <c r="F506" s="216" t="str">
        <f t="shared" si="40"/>
        <v xml:space="preserve"> </v>
      </c>
      <c r="G506" s="50"/>
      <c r="H506" s="242" t="str">
        <f ca="1">IF(F506=1,PERCENTILE(INDIRECT("g"&amp;$D$8):INDIRECT("g"&amp;$E$8),0.5),IF(F506=2,PERCENTILE(INDIRECT("g"&amp;$D$9):INDIRECT("g"&amp;$E$9),0.5),IF(F506=3,PERCENTILE(INDIRECT("g"&amp;$D$10):INDIRECT("g"&amp;$E$10),0.5),IF(F506=4,PERCENTILE(INDIRECT("g"&amp;$D$11):INDIRECT("g"&amp;$E$11),0.5),IF(F506=5,PERCENTILE(INDIRECT("g"&amp;$D$12):INDIRECT("g"&amp;$E$12),0.5),IF(F506=6,PERCENTILE(INDIRECT("g"&amp;$D$13):INDIRECT("g"&amp;$E$13),0.5)," "))))))</f>
        <v xml:space="preserve"> </v>
      </c>
      <c r="I506" s="242" t="str">
        <f t="shared" si="41"/>
        <v xml:space="preserve"> </v>
      </c>
      <c r="J506" s="242" t="str">
        <f ca="1">IF(F506=1,AVERAGE(INDIRECT("I"&amp;$D$8):INDIRECT("I"&amp;$E$8)),IF(F506=2,AVERAGE(INDIRECT("I"&amp;$D$9):INDIRECT("I"&amp;$E$9)),IF(F506=3,AVERAGE(INDIRECT("I"&amp;$D$10):INDIRECT("I"&amp;$E$10)),IF(F506=4,AVERAGE(INDIRECT("I"&amp;$D$11):INDIRECT("I"&amp;$E$11)),IF(F506=5,AVERAGE(INDIRECT("I"&amp;$D$12):INDIRECT("I"&amp;$E$12)),IF(F506=6,AVERAGE(INDIRECT("I"&amp;$D$13):INDIRECT("I"&amp;$E$13))," "))))))</f>
        <v xml:space="preserve"> </v>
      </c>
      <c r="K506" s="242" t="str">
        <f t="shared" si="42"/>
        <v xml:space="preserve"> </v>
      </c>
      <c r="L506" s="242" t="str">
        <f t="shared" si="43"/>
        <v xml:space="preserve"> </v>
      </c>
      <c r="M506" s="242" t="str">
        <f t="shared" si="44"/>
        <v xml:space="preserve"> </v>
      </c>
    </row>
    <row r="507" spans="6:13" x14ac:dyDescent="0.2">
      <c r="F507" s="216" t="str">
        <f t="shared" si="40"/>
        <v xml:space="preserve"> </v>
      </c>
      <c r="G507" s="50"/>
      <c r="H507" s="242" t="str">
        <f ca="1">IF(F507=1,PERCENTILE(INDIRECT("g"&amp;$D$8):INDIRECT("g"&amp;$E$8),0.5),IF(F507=2,PERCENTILE(INDIRECT("g"&amp;$D$9):INDIRECT("g"&amp;$E$9),0.5),IF(F507=3,PERCENTILE(INDIRECT("g"&amp;$D$10):INDIRECT("g"&amp;$E$10),0.5),IF(F507=4,PERCENTILE(INDIRECT("g"&amp;$D$11):INDIRECT("g"&amp;$E$11),0.5),IF(F507=5,PERCENTILE(INDIRECT("g"&amp;$D$12):INDIRECT("g"&amp;$E$12),0.5),IF(F507=6,PERCENTILE(INDIRECT("g"&amp;$D$13):INDIRECT("g"&amp;$E$13),0.5)," "))))))</f>
        <v xml:space="preserve"> </v>
      </c>
      <c r="I507" s="242" t="str">
        <f t="shared" si="41"/>
        <v xml:space="preserve"> </v>
      </c>
      <c r="J507" s="242" t="str">
        <f ca="1">IF(F507=1,AVERAGE(INDIRECT("I"&amp;$D$8):INDIRECT("I"&amp;$E$8)),IF(F507=2,AVERAGE(INDIRECT("I"&amp;$D$9):INDIRECT("I"&amp;$E$9)),IF(F507=3,AVERAGE(INDIRECT("I"&amp;$D$10):INDIRECT("I"&amp;$E$10)),IF(F507=4,AVERAGE(INDIRECT("I"&amp;$D$11):INDIRECT("I"&amp;$E$11)),IF(F507=5,AVERAGE(INDIRECT("I"&amp;$D$12):INDIRECT("I"&amp;$E$12)),IF(F507=6,AVERAGE(INDIRECT("I"&amp;$D$13):INDIRECT("I"&amp;$E$13))," "))))))</f>
        <v xml:space="preserve"> </v>
      </c>
      <c r="K507" s="242" t="str">
        <f t="shared" si="42"/>
        <v xml:space="preserve"> </v>
      </c>
      <c r="L507" s="242" t="str">
        <f t="shared" si="43"/>
        <v xml:space="preserve"> </v>
      </c>
      <c r="M507" s="242" t="str">
        <f t="shared" si="44"/>
        <v xml:space="preserve"> </v>
      </c>
    </row>
    <row r="508" spans="6:13" x14ac:dyDescent="0.2">
      <c r="F508" s="216" t="str">
        <f t="shared" si="40"/>
        <v xml:space="preserve"> </v>
      </c>
      <c r="G508" s="50"/>
      <c r="H508" s="242" t="str">
        <f ca="1">IF(F508=1,PERCENTILE(INDIRECT("g"&amp;$D$8):INDIRECT("g"&amp;$E$8),0.5),IF(F508=2,PERCENTILE(INDIRECT("g"&amp;$D$9):INDIRECT("g"&amp;$E$9),0.5),IF(F508=3,PERCENTILE(INDIRECT("g"&amp;$D$10):INDIRECT("g"&amp;$E$10),0.5),IF(F508=4,PERCENTILE(INDIRECT("g"&amp;$D$11):INDIRECT("g"&amp;$E$11),0.5),IF(F508=5,PERCENTILE(INDIRECT("g"&amp;$D$12):INDIRECT("g"&amp;$E$12),0.5),IF(F508=6,PERCENTILE(INDIRECT("g"&amp;$D$13):INDIRECT("g"&amp;$E$13),0.5)," "))))))</f>
        <v xml:space="preserve"> </v>
      </c>
      <c r="I508" s="242" t="str">
        <f t="shared" si="41"/>
        <v xml:space="preserve"> </v>
      </c>
      <c r="J508" s="242" t="str">
        <f ca="1">IF(F508=1,AVERAGE(INDIRECT("I"&amp;$D$8):INDIRECT("I"&amp;$E$8)),IF(F508=2,AVERAGE(INDIRECT("I"&amp;$D$9):INDIRECT("I"&amp;$E$9)),IF(F508=3,AVERAGE(INDIRECT("I"&amp;$D$10):INDIRECT("I"&amp;$E$10)),IF(F508=4,AVERAGE(INDIRECT("I"&amp;$D$11):INDIRECT("I"&amp;$E$11)),IF(F508=5,AVERAGE(INDIRECT("I"&amp;$D$12):INDIRECT("I"&amp;$E$12)),IF(F508=6,AVERAGE(INDIRECT("I"&amp;$D$13):INDIRECT("I"&amp;$E$13))," "))))))</f>
        <v xml:space="preserve"> </v>
      </c>
      <c r="K508" s="242" t="str">
        <f t="shared" si="42"/>
        <v xml:space="preserve"> </v>
      </c>
      <c r="L508" s="242" t="str">
        <f t="shared" si="43"/>
        <v xml:space="preserve"> </v>
      </c>
      <c r="M508" s="242" t="str">
        <f t="shared" si="44"/>
        <v xml:space="preserve"> </v>
      </c>
    </row>
    <row r="509" spans="6:13" x14ac:dyDescent="0.2">
      <c r="F509" s="216" t="str">
        <f t="shared" si="40"/>
        <v xml:space="preserve"> </v>
      </c>
      <c r="G509" s="50"/>
      <c r="H509" s="242" t="str">
        <f ca="1">IF(F509=1,PERCENTILE(INDIRECT("g"&amp;$D$8):INDIRECT("g"&amp;$E$8),0.5),IF(F509=2,PERCENTILE(INDIRECT("g"&amp;$D$9):INDIRECT("g"&amp;$E$9),0.5),IF(F509=3,PERCENTILE(INDIRECT("g"&amp;$D$10):INDIRECT("g"&amp;$E$10),0.5),IF(F509=4,PERCENTILE(INDIRECT("g"&amp;$D$11):INDIRECT("g"&amp;$E$11),0.5),IF(F509=5,PERCENTILE(INDIRECT("g"&amp;$D$12):INDIRECT("g"&amp;$E$12),0.5),IF(F509=6,PERCENTILE(INDIRECT("g"&amp;$D$13):INDIRECT("g"&amp;$E$13),0.5)," "))))))</f>
        <v xml:space="preserve"> </v>
      </c>
      <c r="I509" s="242" t="str">
        <f t="shared" si="41"/>
        <v xml:space="preserve"> </v>
      </c>
      <c r="J509" s="242" t="str">
        <f ca="1">IF(F509=1,AVERAGE(INDIRECT("I"&amp;$D$8):INDIRECT("I"&amp;$E$8)),IF(F509=2,AVERAGE(INDIRECT("I"&amp;$D$9):INDIRECT("I"&amp;$E$9)),IF(F509=3,AVERAGE(INDIRECT("I"&amp;$D$10):INDIRECT("I"&amp;$E$10)),IF(F509=4,AVERAGE(INDIRECT("I"&amp;$D$11):INDIRECT("I"&amp;$E$11)),IF(F509=5,AVERAGE(INDIRECT("I"&amp;$D$12):INDIRECT("I"&amp;$E$12)),IF(F509=6,AVERAGE(INDIRECT("I"&amp;$D$13):INDIRECT("I"&amp;$E$13))," "))))))</f>
        <v xml:space="preserve"> </v>
      </c>
      <c r="K509" s="242" t="str">
        <f t="shared" si="42"/>
        <v xml:space="preserve"> </v>
      </c>
      <c r="L509" s="242" t="str">
        <f t="shared" si="43"/>
        <v xml:space="preserve"> </v>
      </c>
      <c r="M509" s="242" t="str">
        <f t="shared" si="44"/>
        <v xml:space="preserve"> </v>
      </c>
    </row>
    <row r="510" spans="6:13" x14ac:dyDescent="0.2">
      <c r="F510" s="216" t="str">
        <f t="shared" si="40"/>
        <v xml:space="preserve"> </v>
      </c>
      <c r="G510" s="50"/>
      <c r="H510" s="242" t="str">
        <f ca="1">IF(F510=1,PERCENTILE(INDIRECT("g"&amp;$D$8):INDIRECT("g"&amp;$E$8),0.5),IF(F510=2,PERCENTILE(INDIRECT("g"&amp;$D$9):INDIRECT("g"&amp;$E$9),0.5),IF(F510=3,PERCENTILE(INDIRECT("g"&amp;$D$10):INDIRECT("g"&amp;$E$10),0.5),IF(F510=4,PERCENTILE(INDIRECT("g"&amp;$D$11):INDIRECT("g"&amp;$E$11),0.5),IF(F510=5,PERCENTILE(INDIRECT("g"&amp;$D$12):INDIRECT("g"&amp;$E$12),0.5),IF(F510=6,PERCENTILE(INDIRECT("g"&amp;$D$13):INDIRECT("g"&amp;$E$13),0.5)," "))))))</f>
        <v xml:space="preserve"> </v>
      </c>
      <c r="I510" s="242" t="str">
        <f t="shared" si="41"/>
        <v xml:space="preserve"> </v>
      </c>
      <c r="J510" s="242" t="str">
        <f ca="1">IF(F510=1,AVERAGE(INDIRECT("I"&amp;$D$8):INDIRECT("I"&amp;$E$8)),IF(F510=2,AVERAGE(INDIRECT("I"&amp;$D$9):INDIRECT("I"&amp;$E$9)),IF(F510=3,AVERAGE(INDIRECT("I"&amp;$D$10):INDIRECT("I"&amp;$E$10)),IF(F510=4,AVERAGE(INDIRECT("I"&amp;$D$11):INDIRECT("I"&amp;$E$11)),IF(F510=5,AVERAGE(INDIRECT("I"&amp;$D$12):INDIRECT("I"&amp;$E$12)),IF(F510=6,AVERAGE(INDIRECT("I"&amp;$D$13):INDIRECT("I"&amp;$E$13))," "))))))</f>
        <v xml:space="preserve"> </v>
      </c>
      <c r="K510" s="242" t="str">
        <f t="shared" si="42"/>
        <v xml:space="preserve"> </v>
      </c>
      <c r="L510" s="242" t="str">
        <f t="shared" si="43"/>
        <v xml:space="preserve"> </v>
      </c>
      <c r="M510" s="242" t="str">
        <f t="shared" si="44"/>
        <v xml:space="preserve"> </v>
      </c>
    </row>
    <row r="511" spans="6:13" x14ac:dyDescent="0.2">
      <c r="F511" s="216" t="str">
        <f t="shared" si="40"/>
        <v xml:space="preserve"> </v>
      </c>
      <c r="G511" s="50"/>
      <c r="H511" s="242" t="str">
        <f ca="1">IF(F511=1,PERCENTILE(INDIRECT("g"&amp;$D$8):INDIRECT("g"&amp;$E$8),0.5),IF(F511=2,PERCENTILE(INDIRECT("g"&amp;$D$9):INDIRECT("g"&amp;$E$9),0.5),IF(F511=3,PERCENTILE(INDIRECT("g"&amp;$D$10):INDIRECT("g"&amp;$E$10),0.5),IF(F511=4,PERCENTILE(INDIRECT("g"&amp;$D$11):INDIRECT("g"&amp;$E$11),0.5),IF(F511=5,PERCENTILE(INDIRECT("g"&amp;$D$12):INDIRECT("g"&amp;$E$12),0.5),IF(F511=6,PERCENTILE(INDIRECT("g"&amp;$D$13):INDIRECT("g"&amp;$E$13),0.5)," "))))))</f>
        <v xml:space="preserve"> </v>
      </c>
      <c r="I511" s="242" t="str">
        <f t="shared" si="41"/>
        <v xml:space="preserve"> </v>
      </c>
      <c r="J511" s="242" t="str">
        <f ca="1">IF(F511=1,AVERAGE(INDIRECT("I"&amp;$D$8):INDIRECT("I"&amp;$E$8)),IF(F511=2,AVERAGE(INDIRECT("I"&amp;$D$9):INDIRECT("I"&amp;$E$9)),IF(F511=3,AVERAGE(INDIRECT("I"&amp;$D$10):INDIRECT("I"&amp;$E$10)),IF(F511=4,AVERAGE(INDIRECT("I"&amp;$D$11):INDIRECT("I"&amp;$E$11)),IF(F511=5,AVERAGE(INDIRECT("I"&amp;$D$12):INDIRECT("I"&amp;$E$12)),IF(F511=6,AVERAGE(INDIRECT("I"&amp;$D$13):INDIRECT("I"&amp;$E$13))," "))))))</f>
        <v xml:space="preserve"> </v>
      </c>
      <c r="K511" s="242" t="str">
        <f t="shared" si="42"/>
        <v xml:space="preserve"> </v>
      </c>
      <c r="L511" s="242" t="str">
        <f t="shared" si="43"/>
        <v xml:space="preserve"> </v>
      </c>
      <c r="M511" s="242" t="str">
        <f t="shared" si="44"/>
        <v xml:space="preserve"> </v>
      </c>
    </row>
    <row r="512" spans="6:13" x14ac:dyDescent="0.2">
      <c r="F512" s="216" t="str">
        <f t="shared" si="40"/>
        <v xml:space="preserve"> </v>
      </c>
      <c r="G512" s="50"/>
      <c r="H512" s="242" t="str">
        <f ca="1">IF(F512=1,PERCENTILE(INDIRECT("g"&amp;$D$8):INDIRECT("g"&amp;$E$8),0.5),IF(F512=2,PERCENTILE(INDIRECT("g"&amp;$D$9):INDIRECT("g"&amp;$E$9),0.5),IF(F512=3,PERCENTILE(INDIRECT("g"&amp;$D$10):INDIRECT("g"&amp;$E$10),0.5),IF(F512=4,PERCENTILE(INDIRECT("g"&amp;$D$11):INDIRECT("g"&amp;$E$11),0.5),IF(F512=5,PERCENTILE(INDIRECT("g"&amp;$D$12):INDIRECT("g"&amp;$E$12),0.5),IF(F512=6,PERCENTILE(INDIRECT("g"&amp;$D$13):INDIRECT("g"&amp;$E$13),0.5)," "))))))</f>
        <v xml:space="preserve"> </v>
      </c>
      <c r="I512" s="242" t="str">
        <f t="shared" si="41"/>
        <v xml:space="preserve"> </v>
      </c>
      <c r="J512" s="242" t="str">
        <f ca="1">IF(F512=1,AVERAGE(INDIRECT("I"&amp;$D$8):INDIRECT("I"&amp;$E$8)),IF(F512=2,AVERAGE(INDIRECT("I"&amp;$D$9):INDIRECT("I"&amp;$E$9)),IF(F512=3,AVERAGE(INDIRECT("I"&amp;$D$10):INDIRECT("I"&amp;$E$10)),IF(F512=4,AVERAGE(INDIRECT("I"&amp;$D$11):INDIRECT("I"&amp;$E$11)),IF(F512=5,AVERAGE(INDIRECT("I"&amp;$D$12):INDIRECT("I"&amp;$E$12)),IF(F512=6,AVERAGE(INDIRECT("I"&amp;$D$13):INDIRECT("I"&amp;$E$13))," "))))))</f>
        <v xml:space="preserve"> </v>
      </c>
      <c r="K512" s="242" t="str">
        <f t="shared" si="42"/>
        <v xml:space="preserve"> </v>
      </c>
      <c r="L512" s="242" t="str">
        <f t="shared" si="43"/>
        <v xml:space="preserve"> </v>
      </c>
      <c r="M512" s="242" t="str">
        <f t="shared" si="44"/>
        <v xml:space="preserve"> </v>
      </c>
    </row>
    <row r="513" spans="6:13" x14ac:dyDescent="0.2">
      <c r="F513" s="216" t="str">
        <f t="shared" si="40"/>
        <v xml:space="preserve"> </v>
      </c>
      <c r="G513" s="50"/>
      <c r="H513" s="242" t="str">
        <f ca="1">IF(F513=1,PERCENTILE(INDIRECT("g"&amp;$D$8):INDIRECT("g"&amp;$E$8),0.5),IF(F513=2,PERCENTILE(INDIRECT("g"&amp;$D$9):INDIRECT("g"&amp;$E$9),0.5),IF(F513=3,PERCENTILE(INDIRECT("g"&amp;$D$10):INDIRECT("g"&amp;$E$10),0.5),IF(F513=4,PERCENTILE(INDIRECT("g"&amp;$D$11):INDIRECT("g"&amp;$E$11),0.5),IF(F513=5,PERCENTILE(INDIRECT("g"&amp;$D$12):INDIRECT("g"&amp;$E$12),0.5),IF(F513=6,PERCENTILE(INDIRECT("g"&amp;$D$13):INDIRECT("g"&amp;$E$13),0.5)," "))))))</f>
        <v xml:space="preserve"> </v>
      </c>
      <c r="I513" s="242" t="str">
        <f t="shared" si="41"/>
        <v xml:space="preserve"> </v>
      </c>
      <c r="J513" s="242" t="str">
        <f ca="1">IF(F513=1,AVERAGE(INDIRECT("I"&amp;$D$8):INDIRECT("I"&amp;$E$8)),IF(F513=2,AVERAGE(INDIRECT("I"&amp;$D$9):INDIRECT("I"&amp;$E$9)),IF(F513=3,AVERAGE(INDIRECT("I"&amp;$D$10):INDIRECT("I"&amp;$E$10)),IF(F513=4,AVERAGE(INDIRECT("I"&amp;$D$11):INDIRECT("I"&amp;$E$11)),IF(F513=5,AVERAGE(INDIRECT("I"&amp;$D$12):INDIRECT("I"&amp;$E$12)),IF(F513=6,AVERAGE(INDIRECT("I"&amp;$D$13):INDIRECT("I"&amp;$E$13))," "))))))</f>
        <v xml:space="preserve"> </v>
      </c>
      <c r="K513" s="242" t="str">
        <f t="shared" si="42"/>
        <v xml:space="preserve"> </v>
      </c>
      <c r="L513" s="242" t="str">
        <f t="shared" si="43"/>
        <v xml:space="preserve"> </v>
      </c>
      <c r="M513" s="242" t="str">
        <f t="shared" si="44"/>
        <v xml:space="preserve"> </v>
      </c>
    </row>
    <row r="514" spans="6:13" x14ac:dyDescent="0.2">
      <c r="F514" s="216" t="str">
        <f t="shared" si="40"/>
        <v xml:space="preserve"> </v>
      </c>
      <c r="G514" s="50"/>
      <c r="H514" s="242" t="str">
        <f ca="1">IF(F514=1,PERCENTILE(INDIRECT("g"&amp;$D$8):INDIRECT("g"&amp;$E$8),0.5),IF(F514=2,PERCENTILE(INDIRECT("g"&amp;$D$9):INDIRECT("g"&amp;$E$9),0.5),IF(F514=3,PERCENTILE(INDIRECT("g"&amp;$D$10):INDIRECT("g"&amp;$E$10),0.5),IF(F514=4,PERCENTILE(INDIRECT("g"&amp;$D$11):INDIRECT("g"&amp;$E$11),0.5),IF(F514=5,PERCENTILE(INDIRECT("g"&amp;$D$12):INDIRECT("g"&amp;$E$12),0.5),IF(F514=6,PERCENTILE(INDIRECT("g"&amp;$D$13):INDIRECT("g"&amp;$E$13),0.5)," "))))))</f>
        <v xml:space="preserve"> </v>
      </c>
      <c r="I514" s="242" t="str">
        <f t="shared" si="41"/>
        <v xml:space="preserve"> </v>
      </c>
      <c r="J514" s="242" t="str">
        <f ca="1">IF(F514=1,AVERAGE(INDIRECT("I"&amp;$D$8):INDIRECT("I"&amp;$E$8)),IF(F514=2,AVERAGE(INDIRECT("I"&amp;$D$9):INDIRECT("I"&amp;$E$9)),IF(F514=3,AVERAGE(INDIRECT("I"&amp;$D$10):INDIRECT("I"&amp;$E$10)),IF(F514=4,AVERAGE(INDIRECT("I"&amp;$D$11):INDIRECT("I"&amp;$E$11)),IF(F514=5,AVERAGE(INDIRECT("I"&amp;$D$12):INDIRECT("I"&amp;$E$12)),IF(F514=6,AVERAGE(INDIRECT("I"&amp;$D$13):INDIRECT("I"&amp;$E$13))," "))))))</f>
        <v xml:space="preserve"> </v>
      </c>
      <c r="K514" s="242" t="str">
        <f t="shared" si="42"/>
        <v xml:space="preserve"> </v>
      </c>
      <c r="L514" s="242" t="str">
        <f t="shared" si="43"/>
        <v xml:space="preserve"> </v>
      </c>
      <c r="M514" s="242" t="str">
        <f t="shared" si="44"/>
        <v xml:space="preserve"> </v>
      </c>
    </row>
    <row r="515" spans="6:13" x14ac:dyDescent="0.2">
      <c r="F515" s="216" t="str">
        <f t="shared" si="40"/>
        <v xml:space="preserve"> </v>
      </c>
      <c r="G515" s="50"/>
      <c r="H515" s="242" t="str">
        <f ca="1">IF(F515=1,PERCENTILE(INDIRECT("g"&amp;$D$8):INDIRECT("g"&amp;$E$8),0.5),IF(F515=2,PERCENTILE(INDIRECT("g"&amp;$D$9):INDIRECT("g"&amp;$E$9),0.5),IF(F515=3,PERCENTILE(INDIRECT("g"&amp;$D$10):INDIRECT("g"&amp;$E$10),0.5),IF(F515=4,PERCENTILE(INDIRECT("g"&amp;$D$11):INDIRECT("g"&amp;$E$11),0.5),IF(F515=5,PERCENTILE(INDIRECT("g"&amp;$D$12):INDIRECT("g"&amp;$E$12),0.5),IF(F515=6,PERCENTILE(INDIRECT("g"&amp;$D$13):INDIRECT("g"&amp;$E$13),0.5)," "))))))</f>
        <v xml:space="preserve"> </v>
      </c>
      <c r="I515" s="242" t="str">
        <f t="shared" si="41"/>
        <v xml:space="preserve"> </v>
      </c>
      <c r="J515" s="242" t="str">
        <f ca="1">IF(F515=1,AVERAGE(INDIRECT("I"&amp;$D$8):INDIRECT("I"&amp;$E$8)),IF(F515=2,AVERAGE(INDIRECT("I"&amp;$D$9):INDIRECT("I"&amp;$E$9)),IF(F515=3,AVERAGE(INDIRECT("I"&amp;$D$10):INDIRECT("I"&amp;$E$10)),IF(F515=4,AVERAGE(INDIRECT("I"&amp;$D$11):INDIRECT("I"&amp;$E$11)),IF(F515=5,AVERAGE(INDIRECT("I"&amp;$D$12):INDIRECT("I"&amp;$E$12)),IF(F515=6,AVERAGE(INDIRECT("I"&amp;$D$13):INDIRECT("I"&amp;$E$13))," "))))))</f>
        <v xml:space="preserve"> </v>
      </c>
      <c r="K515" s="242" t="str">
        <f t="shared" si="42"/>
        <v xml:space="preserve"> </v>
      </c>
      <c r="L515" s="242" t="str">
        <f t="shared" si="43"/>
        <v xml:space="preserve"> </v>
      </c>
      <c r="M515" s="242" t="str">
        <f t="shared" si="44"/>
        <v xml:space="preserve"> </v>
      </c>
    </row>
    <row r="516" spans="6:13" x14ac:dyDescent="0.2">
      <c r="F516" s="216" t="str">
        <f t="shared" si="40"/>
        <v xml:space="preserve"> </v>
      </c>
      <c r="G516" s="50"/>
      <c r="H516" s="242" t="str">
        <f ca="1">IF(F516=1,PERCENTILE(INDIRECT("g"&amp;$D$8):INDIRECT("g"&amp;$E$8),0.5),IF(F516=2,PERCENTILE(INDIRECT("g"&amp;$D$9):INDIRECT("g"&amp;$E$9),0.5),IF(F516=3,PERCENTILE(INDIRECT("g"&amp;$D$10):INDIRECT("g"&amp;$E$10),0.5),IF(F516=4,PERCENTILE(INDIRECT("g"&amp;$D$11):INDIRECT("g"&amp;$E$11),0.5),IF(F516=5,PERCENTILE(INDIRECT("g"&amp;$D$12):INDIRECT("g"&amp;$E$12),0.5),IF(F516=6,PERCENTILE(INDIRECT("g"&amp;$D$13):INDIRECT("g"&amp;$E$13),0.5)," "))))))</f>
        <v xml:space="preserve"> </v>
      </c>
      <c r="I516" s="242" t="str">
        <f t="shared" si="41"/>
        <v xml:space="preserve"> </v>
      </c>
      <c r="J516" s="242" t="str">
        <f ca="1">IF(F516=1,AVERAGE(INDIRECT("I"&amp;$D$8):INDIRECT("I"&amp;$E$8)),IF(F516=2,AVERAGE(INDIRECT("I"&amp;$D$9):INDIRECT("I"&amp;$E$9)),IF(F516=3,AVERAGE(INDIRECT("I"&amp;$D$10):INDIRECT("I"&amp;$E$10)),IF(F516=4,AVERAGE(INDIRECT("I"&amp;$D$11):INDIRECT("I"&amp;$E$11)),IF(F516=5,AVERAGE(INDIRECT("I"&amp;$D$12):INDIRECT("I"&amp;$E$12)),IF(F516=6,AVERAGE(INDIRECT("I"&amp;$D$13):INDIRECT("I"&amp;$E$13))," "))))))</f>
        <v xml:space="preserve"> </v>
      </c>
      <c r="K516" s="242" t="str">
        <f t="shared" si="42"/>
        <v xml:space="preserve"> </v>
      </c>
      <c r="L516" s="242" t="str">
        <f t="shared" si="43"/>
        <v xml:space="preserve"> </v>
      </c>
      <c r="M516" s="242" t="str">
        <f t="shared" si="44"/>
        <v xml:space="preserve"> </v>
      </c>
    </row>
    <row r="517" spans="6:13" x14ac:dyDescent="0.2">
      <c r="F517" s="216" t="str">
        <f t="shared" si="40"/>
        <v xml:space="preserve"> </v>
      </c>
      <c r="G517" s="50"/>
      <c r="H517" s="242" t="str">
        <f ca="1">IF(F517=1,PERCENTILE(INDIRECT("g"&amp;$D$8):INDIRECT("g"&amp;$E$8),0.5),IF(F517=2,PERCENTILE(INDIRECT("g"&amp;$D$9):INDIRECT("g"&amp;$E$9),0.5),IF(F517=3,PERCENTILE(INDIRECT("g"&amp;$D$10):INDIRECT("g"&amp;$E$10),0.5),IF(F517=4,PERCENTILE(INDIRECT("g"&amp;$D$11):INDIRECT("g"&amp;$E$11),0.5),IF(F517=5,PERCENTILE(INDIRECT("g"&amp;$D$12):INDIRECT("g"&amp;$E$12),0.5),IF(F517=6,PERCENTILE(INDIRECT("g"&amp;$D$13):INDIRECT("g"&amp;$E$13),0.5)," "))))))</f>
        <v xml:space="preserve"> </v>
      </c>
      <c r="I517" s="242" t="str">
        <f t="shared" si="41"/>
        <v xml:space="preserve"> </v>
      </c>
      <c r="J517" s="242" t="str">
        <f ca="1">IF(F517=1,AVERAGE(INDIRECT("I"&amp;$D$8):INDIRECT("I"&amp;$E$8)),IF(F517=2,AVERAGE(INDIRECT("I"&amp;$D$9):INDIRECT("I"&amp;$E$9)),IF(F517=3,AVERAGE(INDIRECT("I"&amp;$D$10):INDIRECT("I"&amp;$E$10)),IF(F517=4,AVERAGE(INDIRECT("I"&amp;$D$11):INDIRECT("I"&amp;$E$11)),IF(F517=5,AVERAGE(INDIRECT("I"&amp;$D$12):INDIRECT("I"&amp;$E$12)),IF(F517=6,AVERAGE(INDIRECT("I"&amp;$D$13):INDIRECT("I"&amp;$E$13))," "))))))</f>
        <v xml:space="preserve"> </v>
      </c>
      <c r="K517" s="242" t="str">
        <f t="shared" si="42"/>
        <v xml:space="preserve"> </v>
      </c>
      <c r="L517" s="242" t="str">
        <f t="shared" si="43"/>
        <v xml:space="preserve"> </v>
      </c>
      <c r="M517" s="242" t="str">
        <f t="shared" si="44"/>
        <v xml:space="preserve"> </v>
      </c>
    </row>
    <row r="518" spans="6:13" x14ac:dyDescent="0.2">
      <c r="F518" s="216" t="str">
        <f t="shared" ref="F518:F581" si="45">IF(AND(ROW()&gt;=$D$8,ROW()&lt;=$E$8),1,IF(AND(ROW()&gt;=$D$9,ROW()&lt;=$E$9),2,IF(AND(ROW()&gt;=$D$10,ROW()&lt;=$E$10),3,IF(AND(ROW()&gt;=$D$11,ROW()&lt;=$E$11),4,IF(AND(ROW()&gt;=$D$12,ROW()&lt;=$E$12),5,IF(AND(ROW()&gt;=$D$13,ROW()&lt;=$E$13),6," "))))))</f>
        <v xml:space="preserve"> </v>
      </c>
      <c r="G518" s="50"/>
      <c r="H518" s="242" t="str">
        <f ca="1">IF(F518=1,PERCENTILE(INDIRECT("g"&amp;$D$8):INDIRECT("g"&amp;$E$8),0.5),IF(F518=2,PERCENTILE(INDIRECT("g"&amp;$D$9):INDIRECT("g"&amp;$E$9),0.5),IF(F518=3,PERCENTILE(INDIRECT("g"&amp;$D$10):INDIRECT("g"&amp;$E$10),0.5),IF(F518=4,PERCENTILE(INDIRECT("g"&amp;$D$11):INDIRECT("g"&amp;$E$11),0.5),IF(F518=5,PERCENTILE(INDIRECT("g"&amp;$D$12):INDIRECT("g"&amp;$E$12),0.5),IF(F518=6,PERCENTILE(INDIRECT("g"&amp;$D$13):INDIRECT("g"&amp;$E$13),0.5)," "))))))</f>
        <v xml:space="preserve"> </v>
      </c>
      <c r="I518" s="242" t="str">
        <f t="shared" ref="I518:I581" si="46">IF(ROW()&lt;=MAX($E$8:$E$13),ABS(G518-H518)," ")</f>
        <v xml:space="preserve"> </v>
      </c>
      <c r="J518" s="242" t="str">
        <f ca="1">IF(F518=1,AVERAGE(INDIRECT("I"&amp;$D$8):INDIRECT("I"&amp;$E$8)),IF(F518=2,AVERAGE(INDIRECT("I"&amp;$D$9):INDIRECT("I"&amp;$E$9)),IF(F518=3,AVERAGE(INDIRECT("I"&amp;$D$10):INDIRECT("I"&amp;$E$10)),IF(F518=4,AVERAGE(INDIRECT("I"&amp;$D$11):INDIRECT("I"&amp;$E$11)),IF(F518=5,AVERAGE(INDIRECT("I"&amp;$D$12):INDIRECT("I"&amp;$E$12)),IF(F518=6,AVERAGE(INDIRECT("I"&amp;$D$13):INDIRECT("I"&amp;$E$13))," "))))))</f>
        <v xml:space="preserve"> </v>
      </c>
      <c r="K518" s="242" t="str">
        <f t="shared" ref="K518:K581" si="47">IF(ROW()&lt;=MAX($E$8:$E$13),AVERAGE($I$6:$I$1005)," ")</f>
        <v xml:space="preserve"> </v>
      </c>
      <c r="L518" s="242" t="str">
        <f t="shared" ref="L518:L581" si="48">IF(ROW()&lt;=MAX($E$8:$E$13),(I518-J518)^2," ")</f>
        <v xml:space="preserve"> </v>
      </c>
      <c r="M518" s="242" t="str">
        <f t="shared" ref="M518:M581" si="49">IF(ROW()&lt;=MAX($E$8:$E$13),(J518-K518)^2," ")</f>
        <v xml:space="preserve"> </v>
      </c>
    </row>
    <row r="519" spans="6:13" x14ac:dyDescent="0.2">
      <c r="F519" s="216" t="str">
        <f t="shared" si="45"/>
        <v xml:space="preserve"> </v>
      </c>
      <c r="G519" s="50"/>
      <c r="H519" s="242" t="str">
        <f ca="1">IF(F519=1,PERCENTILE(INDIRECT("g"&amp;$D$8):INDIRECT("g"&amp;$E$8),0.5),IF(F519=2,PERCENTILE(INDIRECT("g"&amp;$D$9):INDIRECT("g"&amp;$E$9),0.5),IF(F519=3,PERCENTILE(INDIRECT("g"&amp;$D$10):INDIRECT("g"&amp;$E$10),0.5),IF(F519=4,PERCENTILE(INDIRECT("g"&amp;$D$11):INDIRECT("g"&amp;$E$11),0.5),IF(F519=5,PERCENTILE(INDIRECT("g"&amp;$D$12):INDIRECT("g"&amp;$E$12),0.5),IF(F519=6,PERCENTILE(INDIRECT("g"&amp;$D$13):INDIRECT("g"&amp;$E$13),0.5)," "))))))</f>
        <v xml:space="preserve"> </v>
      </c>
      <c r="I519" s="242" t="str">
        <f t="shared" si="46"/>
        <v xml:space="preserve"> </v>
      </c>
      <c r="J519" s="242" t="str">
        <f ca="1">IF(F519=1,AVERAGE(INDIRECT("I"&amp;$D$8):INDIRECT("I"&amp;$E$8)),IF(F519=2,AVERAGE(INDIRECT("I"&amp;$D$9):INDIRECT("I"&amp;$E$9)),IF(F519=3,AVERAGE(INDIRECT("I"&amp;$D$10):INDIRECT("I"&amp;$E$10)),IF(F519=4,AVERAGE(INDIRECT("I"&amp;$D$11):INDIRECT("I"&amp;$E$11)),IF(F519=5,AVERAGE(INDIRECT("I"&amp;$D$12):INDIRECT("I"&amp;$E$12)),IF(F519=6,AVERAGE(INDIRECT("I"&amp;$D$13):INDIRECT("I"&amp;$E$13))," "))))))</f>
        <v xml:space="preserve"> </v>
      </c>
      <c r="K519" s="242" t="str">
        <f t="shared" si="47"/>
        <v xml:space="preserve"> </v>
      </c>
      <c r="L519" s="242" t="str">
        <f t="shared" si="48"/>
        <v xml:space="preserve"> </v>
      </c>
      <c r="M519" s="242" t="str">
        <f t="shared" si="49"/>
        <v xml:space="preserve"> </v>
      </c>
    </row>
    <row r="520" spans="6:13" x14ac:dyDescent="0.2">
      <c r="F520" s="216" t="str">
        <f t="shared" si="45"/>
        <v xml:space="preserve"> </v>
      </c>
      <c r="G520" s="50"/>
      <c r="H520" s="242" t="str">
        <f ca="1">IF(F520=1,PERCENTILE(INDIRECT("g"&amp;$D$8):INDIRECT("g"&amp;$E$8),0.5),IF(F520=2,PERCENTILE(INDIRECT("g"&amp;$D$9):INDIRECT("g"&amp;$E$9),0.5),IF(F520=3,PERCENTILE(INDIRECT("g"&amp;$D$10):INDIRECT("g"&amp;$E$10),0.5),IF(F520=4,PERCENTILE(INDIRECT("g"&amp;$D$11):INDIRECT("g"&amp;$E$11),0.5),IF(F520=5,PERCENTILE(INDIRECT("g"&amp;$D$12):INDIRECT("g"&amp;$E$12),0.5),IF(F520=6,PERCENTILE(INDIRECT("g"&amp;$D$13):INDIRECT("g"&amp;$E$13),0.5)," "))))))</f>
        <v xml:space="preserve"> </v>
      </c>
      <c r="I520" s="242" t="str">
        <f t="shared" si="46"/>
        <v xml:space="preserve"> </v>
      </c>
      <c r="J520" s="242" t="str">
        <f ca="1">IF(F520=1,AVERAGE(INDIRECT("I"&amp;$D$8):INDIRECT("I"&amp;$E$8)),IF(F520=2,AVERAGE(INDIRECT("I"&amp;$D$9):INDIRECT("I"&amp;$E$9)),IF(F520=3,AVERAGE(INDIRECT("I"&amp;$D$10):INDIRECT("I"&amp;$E$10)),IF(F520=4,AVERAGE(INDIRECT("I"&amp;$D$11):INDIRECT("I"&amp;$E$11)),IF(F520=5,AVERAGE(INDIRECT("I"&amp;$D$12):INDIRECT("I"&amp;$E$12)),IF(F520=6,AVERAGE(INDIRECT("I"&amp;$D$13):INDIRECT("I"&amp;$E$13))," "))))))</f>
        <v xml:space="preserve"> </v>
      </c>
      <c r="K520" s="242" t="str">
        <f t="shared" si="47"/>
        <v xml:space="preserve"> </v>
      </c>
      <c r="L520" s="242" t="str">
        <f t="shared" si="48"/>
        <v xml:space="preserve"> </v>
      </c>
      <c r="M520" s="242" t="str">
        <f t="shared" si="49"/>
        <v xml:space="preserve"> </v>
      </c>
    </row>
    <row r="521" spans="6:13" x14ac:dyDescent="0.2">
      <c r="F521" s="216" t="str">
        <f t="shared" si="45"/>
        <v xml:space="preserve"> </v>
      </c>
      <c r="G521" s="50"/>
      <c r="H521" s="242" t="str">
        <f ca="1">IF(F521=1,PERCENTILE(INDIRECT("g"&amp;$D$8):INDIRECT("g"&amp;$E$8),0.5),IF(F521=2,PERCENTILE(INDIRECT("g"&amp;$D$9):INDIRECT("g"&amp;$E$9),0.5),IF(F521=3,PERCENTILE(INDIRECT("g"&amp;$D$10):INDIRECT("g"&amp;$E$10),0.5),IF(F521=4,PERCENTILE(INDIRECT("g"&amp;$D$11):INDIRECT("g"&amp;$E$11),0.5),IF(F521=5,PERCENTILE(INDIRECT("g"&amp;$D$12):INDIRECT("g"&amp;$E$12),0.5),IF(F521=6,PERCENTILE(INDIRECT("g"&amp;$D$13):INDIRECT("g"&amp;$E$13),0.5)," "))))))</f>
        <v xml:space="preserve"> </v>
      </c>
      <c r="I521" s="242" t="str">
        <f t="shared" si="46"/>
        <v xml:space="preserve"> </v>
      </c>
      <c r="J521" s="242" t="str">
        <f ca="1">IF(F521=1,AVERAGE(INDIRECT("I"&amp;$D$8):INDIRECT("I"&amp;$E$8)),IF(F521=2,AVERAGE(INDIRECT("I"&amp;$D$9):INDIRECT("I"&amp;$E$9)),IF(F521=3,AVERAGE(INDIRECT("I"&amp;$D$10):INDIRECT("I"&amp;$E$10)),IF(F521=4,AVERAGE(INDIRECT("I"&amp;$D$11):INDIRECT("I"&amp;$E$11)),IF(F521=5,AVERAGE(INDIRECT("I"&amp;$D$12):INDIRECT("I"&amp;$E$12)),IF(F521=6,AVERAGE(INDIRECT("I"&amp;$D$13):INDIRECT("I"&amp;$E$13))," "))))))</f>
        <v xml:space="preserve"> </v>
      </c>
      <c r="K521" s="242" t="str">
        <f t="shared" si="47"/>
        <v xml:space="preserve"> </v>
      </c>
      <c r="L521" s="242" t="str">
        <f t="shared" si="48"/>
        <v xml:space="preserve"> </v>
      </c>
      <c r="M521" s="242" t="str">
        <f t="shared" si="49"/>
        <v xml:space="preserve"> </v>
      </c>
    </row>
    <row r="522" spans="6:13" x14ac:dyDescent="0.2">
      <c r="F522" s="216" t="str">
        <f t="shared" si="45"/>
        <v xml:space="preserve"> </v>
      </c>
      <c r="G522" s="50"/>
      <c r="H522" s="242" t="str">
        <f ca="1">IF(F522=1,PERCENTILE(INDIRECT("g"&amp;$D$8):INDIRECT("g"&amp;$E$8),0.5),IF(F522=2,PERCENTILE(INDIRECT("g"&amp;$D$9):INDIRECT("g"&amp;$E$9),0.5),IF(F522=3,PERCENTILE(INDIRECT("g"&amp;$D$10):INDIRECT("g"&amp;$E$10),0.5),IF(F522=4,PERCENTILE(INDIRECT("g"&amp;$D$11):INDIRECT("g"&amp;$E$11),0.5),IF(F522=5,PERCENTILE(INDIRECT("g"&amp;$D$12):INDIRECT("g"&amp;$E$12),0.5),IF(F522=6,PERCENTILE(INDIRECT("g"&amp;$D$13):INDIRECT("g"&amp;$E$13),0.5)," "))))))</f>
        <v xml:space="preserve"> </v>
      </c>
      <c r="I522" s="242" t="str">
        <f t="shared" si="46"/>
        <v xml:space="preserve"> </v>
      </c>
      <c r="J522" s="242" t="str">
        <f ca="1">IF(F522=1,AVERAGE(INDIRECT("I"&amp;$D$8):INDIRECT("I"&amp;$E$8)),IF(F522=2,AVERAGE(INDIRECT("I"&amp;$D$9):INDIRECT("I"&amp;$E$9)),IF(F522=3,AVERAGE(INDIRECT("I"&amp;$D$10):INDIRECT("I"&amp;$E$10)),IF(F522=4,AVERAGE(INDIRECT("I"&amp;$D$11):INDIRECT("I"&amp;$E$11)),IF(F522=5,AVERAGE(INDIRECT("I"&amp;$D$12):INDIRECT("I"&amp;$E$12)),IF(F522=6,AVERAGE(INDIRECT("I"&amp;$D$13):INDIRECT("I"&amp;$E$13))," "))))))</f>
        <v xml:space="preserve"> </v>
      </c>
      <c r="K522" s="242" t="str">
        <f t="shared" si="47"/>
        <v xml:space="preserve"> </v>
      </c>
      <c r="L522" s="242" t="str">
        <f t="shared" si="48"/>
        <v xml:space="preserve"> </v>
      </c>
      <c r="M522" s="242" t="str">
        <f t="shared" si="49"/>
        <v xml:space="preserve"> </v>
      </c>
    </row>
    <row r="523" spans="6:13" x14ac:dyDescent="0.2">
      <c r="F523" s="216" t="str">
        <f t="shared" si="45"/>
        <v xml:space="preserve"> </v>
      </c>
      <c r="G523" s="50"/>
      <c r="H523" s="242" t="str">
        <f ca="1">IF(F523=1,PERCENTILE(INDIRECT("g"&amp;$D$8):INDIRECT("g"&amp;$E$8),0.5),IF(F523=2,PERCENTILE(INDIRECT("g"&amp;$D$9):INDIRECT("g"&amp;$E$9),0.5),IF(F523=3,PERCENTILE(INDIRECT("g"&amp;$D$10):INDIRECT("g"&amp;$E$10),0.5),IF(F523=4,PERCENTILE(INDIRECT("g"&amp;$D$11):INDIRECT("g"&amp;$E$11),0.5),IF(F523=5,PERCENTILE(INDIRECT("g"&amp;$D$12):INDIRECT("g"&amp;$E$12),0.5),IF(F523=6,PERCENTILE(INDIRECT("g"&amp;$D$13):INDIRECT("g"&amp;$E$13),0.5)," "))))))</f>
        <v xml:space="preserve"> </v>
      </c>
      <c r="I523" s="242" t="str">
        <f t="shared" si="46"/>
        <v xml:space="preserve"> </v>
      </c>
      <c r="J523" s="242" t="str">
        <f ca="1">IF(F523=1,AVERAGE(INDIRECT("I"&amp;$D$8):INDIRECT("I"&amp;$E$8)),IF(F523=2,AVERAGE(INDIRECT("I"&amp;$D$9):INDIRECT("I"&amp;$E$9)),IF(F523=3,AVERAGE(INDIRECT("I"&amp;$D$10):INDIRECT("I"&amp;$E$10)),IF(F523=4,AVERAGE(INDIRECT("I"&amp;$D$11):INDIRECT("I"&amp;$E$11)),IF(F523=5,AVERAGE(INDIRECT("I"&amp;$D$12):INDIRECT("I"&amp;$E$12)),IF(F523=6,AVERAGE(INDIRECT("I"&amp;$D$13):INDIRECT("I"&amp;$E$13))," "))))))</f>
        <v xml:space="preserve"> </v>
      </c>
      <c r="K523" s="242" t="str">
        <f t="shared" si="47"/>
        <v xml:space="preserve"> </v>
      </c>
      <c r="L523" s="242" t="str">
        <f t="shared" si="48"/>
        <v xml:space="preserve"> </v>
      </c>
      <c r="M523" s="242" t="str">
        <f t="shared" si="49"/>
        <v xml:space="preserve"> </v>
      </c>
    </row>
    <row r="524" spans="6:13" x14ac:dyDescent="0.2">
      <c r="F524" s="216" t="str">
        <f t="shared" si="45"/>
        <v xml:space="preserve"> </v>
      </c>
      <c r="G524" s="50"/>
      <c r="H524" s="242" t="str">
        <f ca="1">IF(F524=1,PERCENTILE(INDIRECT("g"&amp;$D$8):INDIRECT("g"&amp;$E$8),0.5),IF(F524=2,PERCENTILE(INDIRECT("g"&amp;$D$9):INDIRECT("g"&amp;$E$9),0.5),IF(F524=3,PERCENTILE(INDIRECT("g"&amp;$D$10):INDIRECT("g"&amp;$E$10),0.5),IF(F524=4,PERCENTILE(INDIRECT("g"&amp;$D$11):INDIRECT("g"&amp;$E$11),0.5),IF(F524=5,PERCENTILE(INDIRECT("g"&amp;$D$12):INDIRECT("g"&amp;$E$12),0.5),IF(F524=6,PERCENTILE(INDIRECT("g"&amp;$D$13):INDIRECT("g"&amp;$E$13),0.5)," "))))))</f>
        <v xml:space="preserve"> </v>
      </c>
      <c r="I524" s="242" t="str">
        <f t="shared" si="46"/>
        <v xml:space="preserve"> </v>
      </c>
      <c r="J524" s="242" t="str">
        <f ca="1">IF(F524=1,AVERAGE(INDIRECT("I"&amp;$D$8):INDIRECT("I"&amp;$E$8)),IF(F524=2,AVERAGE(INDIRECT("I"&amp;$D$9):INDIRECT("I"&amp;$E$9)),IF(F524=3,AVERAGE(INDIRECT("I"&amp;$D$10):INDIRECT("I"&amp;$E$10)),IF(F524=4,AVERAGE(INDIRECT("I"&amp;$D$11):INDIRECT("I"&amp;$E$11)),IF(F524=5,AVERAGE(INDIRECT("I"&amp;$D$12):INDIRECT("I"&amp;$E$12)),IF(F524=6,AVERAGE(INDIRECT("I"&amp;$D$13):INDIRECT("I"&amp;$E$13))," "))))))</f>
        <v xml:space="preserve"> </v>
      </c>
      <c r="K524" s="242" t="str">
        <f t="shared" si="47"/>
        <v xml:space="preserve"> </v>
      </c>
      <c r="L524" s="242" t="str">
        <f t="shared" si="48"/>
        <v xml:space="preserve"> </v>
      </c>
      <c r="M524" s="242" t="str">
        <f t="shared" si="49"/>
        <v xml:space="preserve"> </v>
      </c>
    </row>
    <row r="525" spans="6:13" x14ac:dyDescent="0.2">
      <c r="F525" s="216" t="str">
        <f t="shared" si="45"/>
        <v xml:space="preserve"> </v>
      </c>
      <c r="G525" s="50"/>
      <c r="H525" s="242" t="str">
        <f ca="1">IF(F525=1,PERCENTILE(INDIRECT("g"&amp;$D$8):INDIRECT("g"&amp;$E$8),0.5),IF(F525=2,PERCENTILE(INDIRECT("g"&amp;$D$9):INDIRECT("g"&amp;$E$9),0.5),IF(F525=3,PERCENTILE(INDIRECT("g"&amp;$D$10):INDIRECT("g"&amp;$E$10),0.5),IF(F525=4,PERCENTILE(INDIRECT("g"&amp;$D$11):INDIRECT("g"&amp;$E$11),0.5),IF(F525=5,PERCENTILE(INDIRECT("g"&amp;$D$12):INDIRECT("g"&amp;$E$12),0.5),IF(F525=6,PERCENTILE(INDIRECT("g"&amp;$D$13):INDIRECT("g"&amp;$E$13),0.5)," "))))))</f>
        <v xml:space="preserve"> </v>
      </c>
      <c r="I525" s="242" t="str">
        <f t="shared" si="46"/>
        <v xml:space="preserve"> </v>
      </c>
      <c r="J525" s="242" t="str">
        <f ca="1">IF(F525=1,AVERAGE(INDIRECT("I"&amp;$D$8):INDIRECT("I"&amp;$E$8)),IF(F525=2,AVERAGE(INDIRECT("I"&amp;$D$9):INDIRECT("I"&amp;$E$9)),IF(F525=3,AVERAGE(INDIRECT("I"&amp;$D$10):INDIRECT("I"&amp;$E$10)),IF(F525=4,AVERAGE(INDIRECT("I"&amp;$D$11):INDIRECT("I"&amp;$E$11)),IF(F525=5,AVERAGE(INDIRECT("I"&amp;$D$12):INDIRECT("I"&amp;$E$12)),IF(F525=6,AVERAGE(INDIRECT("I"&amp;$D$13):INDIRECT("I"&amp;$E$13))," "))))))</f>
        <v xml:space="preserve"> </v>
      </c>
      <c r="K525" s="242" t="str">
        <f t="shared" si="47"/>
        <v xml:space="preserve"> </v>
      </c>
      <c r="L525" s="242" t="str">
        <f t="shared" si="48"/>
        <v xml:space="preserve"> </v>
      </c>
      <c r="M525" s="242" t="str">
        <f t="shared" si="49"/>
        <v xml:space="preserve"> </v>
      </c>
    </row>
    <row r="526" spans="6:13" x14ac:dyDescent="0.2">
      <c r="F526" s="216" t="str">
        <f t="shared" si="45"/>
        <v xml:space="preserve"> </v>
      </c>
      <c r="G526" s="50"/>
      <c r="H526" s="242" t="str">
        <f ca="1">IF(F526=1,PERCENTILE(INDIRECT("g"&amp;$D$8):INDIRECT("g"&amp;$E$8),0.5),IF(F526=2,PERCENTILE(INDIRECT("g"&amp;$D$9):INDIRECT("g"&amp;$E$9),0.5),IF(F526=3,PERCENTILE(INDIRECT("g"&amp;$D$10):INDIRECT("g"&amp;$E$10),0.5),IF(F526=4,PERCENTILE(INDIRECT("g"&amp;$D$11):INDIRECT("g"&amp;$E$11),0.5),IF(F526=5,PERCENTILE(INDIRECT("g"&amp;$D$12):INDIRECT("g"&amp;$E$12),0.5),IF(F526=6,PERCENTILE(INDIRECT("g"&amp;$D$13):INDIRECT("g"&amp;$E$13),0.5)," "))))))</f>
        <v xml:space="preserve"> </v>
      </c>
      <c r="I526" s="242" t="str">
        <f t="shared" si="46"/>
        <v xml:space="preserve"> </v>
      </c>
      <c r="J526" s="242" t="str">
        <f ca="1">IF(F526=1,AVERAGE(INDIRECT("I"&amp;$D$8):INDIRECT("I"&amp;$E$8)),IF(F526=2,AVERAGE(INDIRECT("I"&amp;$D$9):INDIRECT("I"&amp;$E$9)),IF(F526=3,AVERAGE(INDIRECT("I"&amp;$D$10):INDIRECT("I"&amp;$E$10)),IF(F526=4,AVERAGE(INDIRECT("I"&amp;$D$11):INDIRECT("I"&amp;$E$11)),IF(F526=5,AVERAGE(INDIRECT("I"&amp;$D$12):INDIRECT("I"&amp;$E$12)),IF(F526=6,AVERAGE(INDIRECT("I"&amp;$D$13):INDIRECT("I"&amp;$E$13))," "))))))</f>
        <v xml:space="preserve"> </v>
      </c>
      <c r="K526" s="242" t="str">
        <f t="shared" si="47"/>
        <v xml:space="preserve"> </v>
      </c>
      <c r="L526" s="242" t="str">
        <f t="shared" si="48"/>
        <v xml:space="preserve"> </v>
      </c>
      <c r="M526" s="242" t="str">
        <f t="shared" si="49"/>
        <v xml:space="preserve"> </v>
      </c>
    </row>
    <row r="527" spans="6:13" x14ac:dyDescent="0.2">
      <c r="F527" s="216" t="str">
        <f t="shared" si="45"/>
        <v xml:space="preserve"> </v>
      </c>
      <c r="G527" s="50"/>
      <c r="H527" s="242" t="str">
        <f ca="1">IF(F527=1,PERCENTILE(INDIRECT("g"&amp;$D$8):INDIRECT("g"&amp;$E$8),0.5),IF(F527=2,PERCENTILE(INDIRECT("g"&amp;$D$9):INDIRECT("g"&amp;$E$9),0.5),IF(F527=3,PERCENTILE(INDIRECT("g"&amp;$D$10):INDIRECT("g"&amp;$E$10),0.5),IF(F527=4,PERCENTILE(INDIRECT("g"&amp;$D$11):INDIRECT("g"&amp;$E$11),0.5),IF(F527=5,PERCENTILE(INDIRECT("g"&amp;$D$12):INDIRECT("g"&amp;$E$12),0.5),IF(F527=6,PERCENTILE(INDIRECT("g"&amp;$D$13):INDIRECT("g"&amp;$E$13),0.5)," "))))))</f>
        <v xml:space="preserve"> </v>
      </c>
      <c r="I527" s="242" t="str">
        <f t="shared" si="46"/>
        <v xml:space="preserve"> </v>
      </c>
      <c r="J527" s="242" t="str">
        <f ca="1">IF(F527=1,AVERAGE(INDIRECT("I"&amp;$D$8):INDIRECT("I"&amp;$E$8)),IF(F527=2,AVERAGE(INDIRECT("I"&amp;$D$9):INDIRECT("I"&amp;$E$9)),IF(F527=3,AVERAGE(INDIRECT("I"&amp;$D$10):INDIRECT("I"&amp;$E$10)),IF(F527=4,AVERAGE(INDIRECT("I"&amp;$D$11):INDIRECT("I"&amp;$E$11)),IF(F527=5,AVERAGE(INDIRECT("I"&amp;$D$12):INDIRECT("I"&amp;$E$12)),IF(F527=6,AVERAGE(INDIRECT("I"&amp;$D$13):INDIRECT("I"&amp;$E$13))," "))))))</f>
        <v xml:space="preserve"> </v>
      </c>
      <c r="K527" s="242" t="str">
        <f t="shared" si="47"/>
        <v xml:space="preserve"> </v>
      </c>
      <c r="L527" s="242" t="str">
        <f t="shared" si="48"/>
        <v xml:space="preserve"> </v>
      </c>
      <c r="M527" s="242" t="str">
        <f t="shared" si="49"/>
        <v xml:space="preserve"> </v>
      </c>
    </row>
    <row r="528" spans="6:13" x14ac:dyDescent="0.2">
      <c r="F528" s="216" t="str">
        <f t="shared" si="45"/>
        <v xml:space="preserve"> </v>
      </c>
      <c r="G528" s="50"/>
      <c r="H528" s="242" t="str">
        <f ca="1">IF(F528=1,PERCENTILE(INDIRECT("g"&amp;$D$8):INDIRECT("g"&amp;$E$8),0.5),IF(F528=2,PERCENTILE(INDIRECT("g"&amp;$D$9):INDIRECT("g"&amp;$E$9),0.5),IF(F528=3,PERCENTILE(INDIRECT("g"&amp;$D$10):INDIRECT("g"&amp;$E$10),0.5),IF(F528=4,PERCENTILE(INDIRECT("g"&amp;$D$11):INDIRECT("g"&amp;$E$11),0.5),IF(F528=5,PERCENTILE(INDIRECT("g"&amp;$D$12):INDIRECT("g"&amp;$E$12),0.5),IF(F528=6,PERCENTILE(INDIRECT("g"&amp;$D$13):INDIRECT("g"&amp;$E$13),0.5)," "))))))</f>
        <v xml:space="preserve"> </v>
      </c>
      <c r="I528" s="242" t="str">
        <f t="shared" si="46"/>
        <v xml:space="preserve"> </v>
      </c>
      <c r="J528" s="242" t="str">
        <f ca="1">IF(F528=1,AVERAGE(INDIRECT("I"&amp;$D$8):INDIRECT("I"&amp;$E$8)),IF(F528=2,AVERAGE(INDIRECT("I"&amp;$D$9):INDIRECT("I"&amp;$E$9)),IF(F528=3,AVERAGE(INDIRECT("I"&amp;$D$10):INDIRECT("I"&amp;$E$10)),IF(F528=4,AVERAGE(INDIRECT("I"&amp;$D$11):INDIRECT("I"&amp;$E$11)),IF(F528=5,AVERAGE(INDIRECT("I"&amp;$D$12):INDIRECT("I"&amp;$E$12)),IF(F528=6,AVERAGE(INDIRECT("I"&amp;$D$13):INDIRECT("I"&amp;$E$13))," "))))))</f>
        <v xml:space="preserve"> </v>
      </c>
      <c r="K528" s="242" t="str">
        <f t="shared" si="47"/>
        <v xml:space="preserve"> </v>
      </c>
      <c r="L528" s="242" t="str">
        <f t="shared" si="48"/>
        <v xml:space="preserve"> </v>
      </c>
      <c r="M528" s="242" t="str">
        <f t="shared" si="49"/>
        <v xml:space="preserve"> </v>
      </c>
    </row>
    <row r="529" spans="6:13" x14ac:dyDescent="0.2">
      <c r="F529" s="216" t="str">
        <f t="shared" si="45"/>
        <v xml:space="preserve"> </v>
      </c>
      <c r="G529" s="50"/>
      <c r="H529" s="242" t="str">
        <f ca="1">IF(F529=1,PERCENTILE(INDIRECT("g"&amp;$D$8):INDIRECT("g"&amp;$E$8),0.5),IF(F529=2,PERCENTILE(INDIRECT("g"&amp;$D$9):INDIRECT("g"&amp;$E$9),0.5),IF(F529=3,PERCENTILE(INDIRECT("g"&amp;$D$10):INDIRECT("g"&amp;$E$10),0.5),IF(F529=4,PERCENTILE(INDIRECT("g"&amp;$D$11):INDIRECT("g"&amp;$E$11),0.5),IF(F529=5,PERCENTILE(INDIRECT("g"&amp;$D$12):INDIRECT("g"&amp;$E$12),0.5),IF(F529=6,PERCENTILE(INDIRECT("g"&amp;$D$13):INDIRECT("g"&amp;$E$13),0.5)," "))))))</f>
        <v xml:space="preserve"> </v>
      </c>
      <c r="I529" s="242" t="str">
        <f t="shared" si="46"/>
        <v xml:space="preserve"> </v>
      </c>
      <c r="J529" s="242" t="str">
        <f ca="1">IF(F529=1,AVERAGE(INDIRECT("I"&amp;$D$8):INDIRECT("I"&amp;$E$8)),IF(F529=2,AVERAGE(INDIRECT("I"&amp;$D$9):INDIRECT("I"&amp;$E$9)),IF(F529=3,AVERAGE(INDIRECT("I"&amp;$D$10):INDIRECT("I"&amp;$E$10)),IF(F529=4,AVERAGE(INDIRECT("I"&amp;$D$11):INDIRECT("I"&amp;$E$11)),IF(F529=5,AVERAGE(INDIRECT("I"&amp;$D$12):INDIRECT("I"&amp;$E$12)),IF(F529=6,AVERAGE(INDIRECT("I"&amp;$D$13):INDIRECT("I"&amp;$E$13))," "))))))</f>
        <v xml:space="preserve"> </v>
      </c>
      <c r="K529" s="242" t="str">
        <f t="shared" si="47"/>
        <v xml:space="preserve"> </v>
      </c>
      <c r="L529" s="242" t="str">
        <f t="shared" si="48"/>
        <v xml:space="preserve"> </v>
      </c>
      <c r="M529" s="242" t="str">
        <f t="shared" si="49"/>
        <v xml:space="preserve"> </v>
      </c>
    </row>
    <row r="530" spans="6:13" x14ac:dyDescent="0.2">
      <c r="F530" s="216" t="str">
        <f t="shared" si="45"/>
        <v xml:space="preserve"> </v>
      </c>
      <c r="G530" s="50"/>
      <c r="H530" s="242" t="str">
        <f ca="1">IF(F530=1,PERCENTILE(INDIRECT("g"&amp;$D$8):INDIRECT("g"&amp;$E$8),0.5),IF(F530=2,PERCENTILE(INDIRECT("g"&amp;$D$9):INDIRECT("g"&amp;$E$9),0.5),IF(F530=3,PERCENTILE(INDIRECT("g"&amp;$D$10):INDIRECT("g"&amp;$E$10),0.5),IF(F530=4,PERCENTILE(INDIRECT("g"&amp;$D$11):INDIRECT("g"&amp;$E$11),0.5),IF(F530=5,PERCENTILE(INDIRECT("g"&amp;$D$12):INDIRECT("g"&amp;$E$12),0.5),IF(F530=6,PERCENTILE(INDIRECT("g"&amp;$D$13):INDIRECT("g"&amp;$E$13),0.5)," "))))))</f>
        <v xml:space="preserve"> </v>
      </c>
      <c r="I530" s="242" t="str">
        <f t="shared" si="46"/>
        <v xml:space="preserve"> </v>
      </c>
      <c r="J530" s="242" t="str">
        <f ca="1">IF(F530=1,AVERAGE(INDIRECT("I"&amp;$D$8):INDIRECT("I"&amp;$E$8)),IF(F530=2,AVERAGE(INDIRECT("I"&amp;$D$9):INDIRECT("I"&amp;$E$9)),IF(F530=3,AVERAGE(INDIRECT("I"&amp;$D$10):INDIRECT("I"&amp;$E$10)),IF(F530=4,AVERAGE(INDIRECT("I"&amp;$D$11):INDIRECT("I"&amp;$E$11)),IF(F530=5,AVERAGE(INDIRECT("I"&amp;$D$12):INDIRECT("I"&amp;$E$12)),IF(F530=6,AVERAGE(INDIRECT("I"&amp;$D$13):INDIRECT("I"&amp;$E$13))," "))))))</f>
        <v xml:space="preserve"> </v>
      </c>
      <c r="K530" s="242" t="str">
        <f t="shared" si="47"/>
        <v xml:space="preserve"> </v>
      </c>
      <c r="L530" s="242" t="str">
        <f t="shared" si="48"/>
        <v xml:space="preserve"> </v>
      </c>
      <c r="M530" s="242" t="str">
        <f t="shared" si="49"/>
        <v xml:space="preserve"> </v>
      </c>
    </row>
    <row r="531" spans="6:13" x14ac:dyDescent="0.2">
      <c r="F531" s="216" t="str">
        <f t="shared" si="45"/>
        <v xml:space="preserve"> </v>
      </c>
      <c r="G531" s="50"/>
      <c r="H531" s="242" t="str">
        <f ca="1">IF(F531=1,PERCENTILE(INDIRECT("g"&amp;$D$8):INDIRECT("g"&amp;$E$8),0.5),IF(F531=2,PERCENTILE(INDIRECT("g"&amp;$D$9):INDIRECT("g"&amp;$E$9),0.5),IF(F531=3,PERCENTILE(INDIRECT("g"&amp;$D$10):INDIRECT("g"&amp;$E$10),0.5),IF(F531=4,PERCENTILE(INDIRECT("g"&amp;$D$11):INDIRECT("g"&amp;$E$11),0.5),IF(F531=5,PERCENTILE(INDIRECT("g"&amp;$D$12):INDIRECT("g"&amp;$E$12),0.5),IF(F531=6,PERCENTILE(INDIRECT("g"&amp;$D$13):INDIRECT("g"&amp;$E$13),0.5)," "))))))</f>
        <v xml:space="preserve"> </v>
      </c>
      <c r="I531" s="242" t="str">
        <f t="shared" si="46"/>
        <v xml:space="preserve"> </v>
      </c>
      <c r="J531" s="242" t="str">
        <f ca="1">IF(F531=1,AVERAGE(INDIRECT("I"&amp;$D$8):INDIRECT("I"&amp;$E$8)),IF(F531=2,AVERAGE(INDIRECT("I"&amp;$D$9):INDIRECT("I"&amp;$E$9)),IF(F531=3,AVERAGE(INDIRECT("I"&amp;$D$10):INDIRECT("I"&amp;$E$10)),IF(F531=4,AVERAGE(INDIRECT("I"&amp;$D$11):INDIRECT("I"&amp;$E$11)),IF(F531=5,AVERAGE(INDIRECT("I"&amp;$D$12):INDIRECT("I"&amp;$E$12)),IF(F531=6,AVERAGE(INDIRECT("I"&amp;$D$13):INDIRECT("I"&amp;$E$13))," "))))))</f>
        <v xml:space="preserve"> </v>
      </c>
      <c r="K531" s="242" t="str">
        <f t="shared" si="47"/>
        <v xml:space="preserve"> </v>
      </c>
      <c r="L531" s="242" t="str">
        <f t="shared" si="48"/>
        <v xml:space="preserve"> </v>
      </c>
      <c r="M531" s="242" t="str">
        <f t="shared" si="49"/>
        <v xml:space="preserve"> </v>
      </c>
    </row>
    <row r="532" spans="6:13" x14ac:dyDescent="0.2">
      <c r="F532" s="216" t="str">
        <f t="shared" si="45"/>
        <v xml:space="preserve"> </v>
      </c>
      <c r="G532" s="50"/>
      <c r="H532" s="242" t="str">
        <f ca="1">IF(F532=1,PERCENTILE(INDIRECT("g"&amp;$D$8):INDIRECT("g"&amp;$E$8),0.5),IF(F532=2,PERCENTILE(INDIRECT("g"&amp;$D$9):INDIRECT("g"&amp;$E$9),0.5),IF(F532=3,PERCENTILE(INDIRECT("g"&amp;$D$10):INDIRECT("g"&amp;$E$10),0.5),IF(F532=4,PERCENTILE(INDIRECT("g"&amp;$D$11):INDIRECT("g"&amp;$E$11),0.5),IF(F532=5,PERCENTILE(INDIRECT("g"&amp;$D$12):INDIRECT("g"&amp;$E$12),0.5),IF(F532=6,PERCENTILE(INDIRECT("g"&amp;$D$13):INDIRECT("g"&amp;$E$13),0.5)," "))))))</f>
        <v xml:space="preserve"> </v>
      </c>
      <c r="I532" s="242" t="str">
        <f t="shared" si="46"/>
        <v xml:space="preserve"> </v>
      </c>
      <c r="J532" s="242" t="str">
        <f ca="1">IF(F532=1,AVERAGE(INDIRECT("I"&amp;$D$8):INDIRECT("I"&amp;$E$8)),IF(F532=2,AVERAGE(INDIRECT("I"&amp;$D$9):INDIRECT("I"&amp;$E$9)),IF(F532=3,AVERAGE(INDIRECT("I"&amp;$D$10):INDIRECT("I"&amp;$E$10)),IF(F532=4,AVERAGE(INDIRECT("I"&amp;$D$11):INDIRECT("I"&amp;$E$11)),IF(F532=5,AVERAGE(INDIRECT("I"&amp;$D$12):INDIRECT("I"&amp;$E$12)),IF(F532=6,AVERAGE(INDIRECT("I"&amp;$D$13):INDIRECT("I"&amp;$E$13))," "))))))</f>
        <v xml:space="preserve"> </v>
      </c>
      <c r="K532" s="242" t="str">
        <f t="shared" si="47"/>
        <v xml:space="preserve"> </v>
      </c>
      <c r="L532" s="242" t="str">
        <f t="shared" si="48"/>
        <v xml:space="preserve"> </v>
      </c>
      <c r="M532" s="242" t="str">
        <f t="shared" si="49"/>
        <v xml:space="preserve"> </v>
      </c>
    </row>
    <row r="533" spans="6:13" x14ac:dyDescent="0.2">
      <c r="F533" s="216" t="str">
        <f t="shared" si="45"/>
        <v xml:space="preserve"> </v>
      </c>
      <c r="G533" s="50"/>
      <c r="H533" s="242" t="str">
        <f ca="1">IF(F533=1,PERCENTILE(INDIRECT("g"&amp;$D$8):INDIRECT("g"&amp;$E$8),0.5),IF(F533=2,PERCENTILE(INDIRECT("g"&amp;$D$9):INDIRECT("g"&amp;$E$9),0.5),IF(F533=3,PERCENTILE(INDIRECT("g"&amp;$D$10):INDIRECT("g"&amp;$E$10),0.5),IF(F533=4,PERCENTILE(INDIRECT("g"&amp;$D$11):INDIRECT("g"&amp;$E$11),0.5),IF(F533=5,PERCENTILE(INDIRECT("g"&amp;$D$12):INDIRECT("g"&amp;$E$12),0.5),IF(F533=6,PERCENTILE(INDIRECT("g"&amp;$D$13):INDIRECT("g"&amp;$E$13),0.5)," "))))))</f>
        <v xml:space="preserve"> </v>
      </c>
      <c r="I533" s="242" t="str">
        <f t="shared" si="46"/>
        <v xml:space="preserve"> </v>
      </c>
      <c r="J533" s="242" t="str">
        <f ca="1">IF(F533=1,AVERAGE(INDIRECT("I"&amp;$D$8):INDIRECT("I"&amp;$E$8)),IF(F533=2,AVERAGE(INDIRECT("I"&amp;$D$9):INDIRECT("I"&amp;$E$9)),IF(F533=3,AVERAGE(INDIRECT("I"&amp;$D$10):INDIRECT("I"&amp;$E$10)),IF(F533=4,AVERAGE(INDIRECT("I"&amp;$D$11):INDIRECT("I"&amp;$E$11)),IF(F533=5,AVERAGE(INDIRECT("I"&amp;$D$12):INDIRECT("I"&amp;$E$12)),IF(F533=6,AVERAGE(INDIRECT("I"&amp;$D$13):INDIRECT("I"&amp;$E$13))," "))))))</f>
        <v xml:space="preserve"> </v>
      </c>
      <c r="K533" s="242" t="str">
        <f t="shared" si="47"/>
        <v xml:space="preserve"> </v>
      </c>
      <c r="L533" s="242" t="str">
        <f t="shared" si="48"/>
        <v xml:space="preserve"> </v>
      </c>
      <c r="M533" s="242" t="str">
        <f t="shared" si="49"/>
        <v xml:space="preserve"> </v>
      </c>
    </row>
    <row r="534" spans="6:13" x14ac:dyDescent="0.2">
      <c r="F534" s="216" t="str">
        <f t="shared" si="45"/>
        <v xml:space="preserve"> </v>
      </c>
      <c r="G534" s="50"/>
      <c r="H534" s="242" t="str">
        <f ca="1">IF(F534=1,PERCENTILE(INDIRECT("g"&amp;$D$8):INDIRECT("g"&amp;$E$8),0.5),IF(F534=2,PERCENTILE(INDIRECT("g"&amp;$D$9):INDIRECT("g"&amp;$E$9),0.5),IF(F534=3,PERCENTILE(INDIRECT("g"&amp;$D$10):INDIRECT("g"&amp;$E$10),0.5),IF(F534=4,PERCENTILE(INDIRECT("g"&amp;$D$11):INDIRECT("g"&amp;$E$11),0.5),IF(F534=5,PERCENTILE(INDIRECT("g"&amp;$D$12):INDIRECT("g"&amp;$E$12),0.5),IF(F534=6,PERCENTILE(INDIRECT("g"&amp;$D$13):INDIRECT("g"&amp;$E$13),0.5)," "))))))</f>
        <v xml:space="preserve"> </v>
      </c>
      <c r="I534" s="242" t="str">
        <f t="shared" si="46"/>
        <v xml:space="preserve"> </v>
      </c>
      <c r="J534" s="242" t="str">
        <f ca="1">IF(F534=1,AVERAGE(INDIRECT("I"&amp;$D$8):INDIRECT("I"&amp;$E$8)),IF(F534=2,AVERAGE(INDIRECT("I"&amp;$D$9):INDIRECT("I"&amp;$E$9)),IF(F534=3,AVERAGE(INDIRECT("I"&amp;$D$10):INDIRECT("I"&amp;$E$10)),IF(F534=4,AVERAGE(INDIRECT("I"&amp;$D$11):INDIRECT("I"&amp;$E$11)),IF(F534=5,AVERAGE(INDIRECT("I"&amp;$D$12):INDIRECT("I"&amp;$E$12)),IF(F534=6,AVERAGE(INDIRECT("I"&amp;$D$13):INDIRECT("I"&amp;$E$13))," "))))))</f>
        <v xml:space="preserve"> </v>
      </c>
      <c r="K534" s="242" t="str">
        <f t="shared" si="47"/>
        <v xml:space="preserve"> </v>
      </c>
      <c r="L534" s="242" t="str">
        <f t="shared" si="48"/>
        <v xml:space="preserve"> </v>
      </c>
      <c r="M534" s="242" t="str">
        <f t="shared" si="49"/>
        <v xml:space="preserve"> </v>
      </c>
    </row>
    <row r="535" spans="6:13" x14ac:dyDescent="0.2">
      <c r="F535" s="216" t="str">
        <f t="shared" si="45"/>
        <v xml:space="preserve"> </v>
      </c>
      <c r="G535" s="50"/>
      <c r="H535" s="242" t="str">
        <f ca="1">IF(F535=1,PERCENTILE(INDIRECT("g"&amp;$D$8):INDIRECT("g"&amp;$E$8),0.5),IF(F535=2,PERCENTILE(INDIRECT("g"&amp;$D$9):INDIRECT("g"&amp;$E$9),0.5),IF(F535=3,PERCENTILE(INDIRECT("g"&amp;$D$10):INDIRECT("g"&amp;$E$10),0.5),IF(F535=4,PERCENTILE(INDIRECT("g"&amp;$D$11):INDIRECT("g"&amp;$E$11),0.5),IF(F535=5,PERCENTILE(INDIRECT("g"&amp;$D$12):INDIRECT("g"&amp;$E$12),0.5),IF(F535=6,PERCENTILE(INDIRECT("g"&amp;$D$13):INDIRECT("g"&amp;$E$13),0.5)," "))))))</f>
        <v xml:space="preserve"> </v>
      </c>
      <c r="I535" s="242" t="str">
        <f t="shared" si="46"/>
        <v xml:space="preserve"> </v>
      </c>
      <c r="J535" s="242" t="str">
        <f ca="1">IF(F535=1,AVERAGE(INDIRECT("I"&amp;$D$8):INDIRECT("I"&amp;$E$8)),IF(F535=2,AVERAGE(INDIRECT("I"&amp;$D$9):INDIRECT("I"&amp;$E$9)),IF(F535=3,AVERAGE(INDIRECT("I"&amp;$D$10):INDIRECT("I"&amp;$E$10)),IF(F535=4,AVERAGE(INDIRECT("I"&amp;$D$11):INDIRECT("I"&amp;$E$11)),IF(F535=5,AVERAGE(INDIRECT("I"&amp;$D$12):INDIRECT("I"&amp;$E$12)),IF(F535=6,AVERAGE(INDIRECT("I"&amp;$D$13):INDIRECT("I"&amp;$E$13))," "))))))</f>
        <v xml:space="preserve"> </v>
      </c>
      <c r="K535" s="242" t="str">
        <f t="shared" si="47"/>
        <v xml:space="preserve"> </v>
      </c>
      <c r="L535" s="242" t="str">
        <f t="shared" si="48"/>
        <v xml:space="preserve"> </v>
      </c>
      <c r="M535" s="242" t="str">
        <f t="shared" si="49"/>
        <v xml:space="preserve"> </v>
      </c>
    </row>
    <row r="536" spans="6:13" x14ac:dyDescent="0.2">
      <c r="F536" s="216" t="str">
        <f t="shared" si="45"/>
        <v xml:space="preserve"> </v>
      </c>
      <c r="G536" s="50"/>
      <c r="H536" s="242" t="str">
        <f ca="1">IF(F536=1,PERCENTILE(INDIRECT("g"&amp;$D$8):INDIRECT("g"&amp;$E$8),0.5),IF(F536=2,PERCENTILE(INDIRECT("g"&amp;$D$9):INDIRECT("g"&amp;$E$9),0.5),IF(F536=3,PERCENTILE(INDIRECT("g"&amp;$D$10):INDIRECT("g"&amp;$E$10),0.5),IF(F536=4,PERCENTILE(INDIRECT("g"&amp;$D$11):INDIRECT("g"&amp;$E$11),0.5),IF(F536=5,PERCENTILE(INDIRECT("g"&amp;$D$12):INDIRECT("g"&amp;$E$12),0.5),IF(F536=6,PERCENTILE(INDIRECT("g"&amp;$D$13):INDIRECT("g"&amp;$E$13),0.5)," "))))))</f>
        <v xml:space="preserve"> </v>
      </c>
      <c r="I536" s="242" t="str">
        <f t="shared" si="46"/>
        <v xml:space="preserve"> </v>
      </c>
      <c r="J536" s="242" t="str">
        <f ca="1">IF(F536=1,AVERAGE(INDIRECT("I"&amp;$D$8):INDIRECT("I"&amp;$E$8)),IF(F536=2,AVERAGE(INDIRECT("I"&amp;$D$9):INDIRECT("I"&amp;$E$9)),IF(F536=3,AVERAGE(INDIRECT("I"&amp;$D$10):INDIRECT("I"&amp;$E$10)),IF(F536=4,AVERAGE(INDIRECT("I"&amp;$D$11):INDIRECT("I"&amp;$E$11)),IF(F536=5,AVERAGE(INDIRECT("I"&amp;$D$12):INDIRECT("I"&amp;$E$12)),IF(F536=6,AVERAGE(INDIRECT("I"&amp;$D$13):INDIRECT("I"&amp;$E$13))," "))))))</f>
        <v xml:space="preserve"> </v>
      </c>
      <c r="K536" s="242" t="str">
        <f t="shared" si="47"/>
        <v xml:space="preserve"> </v>
      </c>
      <c r="L536" s="242" t="str">
        <f t="shared" si="48"/>
        <v xml:space="preserve"> </v>
      </c>
      <c r="M536" s="242" t="str">
        <f t="shared" si="49"/>
        <v xml:space="preserve"> </v>
      </c>
    </row>
    <row r="537" spans="6:13" x14ac:dyDescent="0.2">
      <c r="F537" s="216" t="str">
        <f t="shared" si="45"/>
        <v xml:space="preserve"> </v>
      </c>
      <c r="G537" s="50"/>
      <c r="H537" s="242" t="str">
        <f ca="1">IF(F537=1,PERCENTILE(INDIRECT("g"&amp;$D$8):INDIRECT("g"&amp;$E$8),0.5),IF(F537=2,PERCENTILE(INDIRECT("g"&amp;$D$9):INDIRECT("g"&amp;$E$9),0.5),IF(F537=3,PERCENTILE(INDIRECT("g"&amp;$D$10):INDIRECT("g"&amp;$E$10),0.5),IF(F537=4,PERCENTILE(INDIRECT("g"&amp;$D$11):INDIRECT("g"&amp;$E$11),0.5),IF(F537=5,PERCENTILE(INDIRECT("g"&amp;$D$12):INDIRECT("g"&amp;$E$12),0.5),IF(F537=6,PERCENTILE(INDIRECT("g"&amp;$D$13):INDIRECT("g"&amp;$E$13),0.5)," "))))))</f>
        <v xml:space="preserve"> </v>
      </c>
      <c r="I537" s="242" t="str">
        <f t="shared" si="46"/>
        <v xml:space="preserve"> </v>
      </c>
      <c r="J537" s="242" t="str">
        <f ca="1">IF(F537=1,AVERAGE(INDIRECT("I"&amp;$D$8):INDIRECT("I"&amp;$E$8)),IF(F537=2,AVERAGE(INDIRECT("I"&amp;$D$9):INDIRECT("I"&amp;$E$9)),IF(F537=3,AVERAGE(INDIRECT("I"&amp;$D$10):INDIRECT("I"&amp;$E$10)),IF(F537=4,AVERAGE(INDIRECT("I"&amp;$D$11):INDIRECT("I"&amp;$E$11)),IF(F537=5,AVERAGE(INDIRECT("I"&amp;$D$12):INDIRECT("I"&amp;$E$12)),IF(F537=6,AVERAGE(INDIRECT("I"&amp;$D$13):INDIRECT("I"&amp;$E$13))," "))))))</f>
        <v xml:space="preserve"> </v>
      </c>
      <c r="K537" s="242" t="str">
        <f t="shared" si="47"/>
        <v xml:space="preserve"> </v>
      </c>
      <c r="L537" s="242" t="str">
        <f t="shared" si="48"/>
        <v xml:space="preserve"> </v>
      </c>
      <c r="M537" s="242" t="str">
        <f t="shared" si="49"/>
        <v xml:space="preserve"> </v>
      </c>
    </row>
    <row r="538" spans="6:13" x14ac:dyDescent="0.2">
      <c r="F538" s="216" t="str">
        <f t="shared" si="45"/>
        <v xml:space="preserve"> </v>
      </c>
      <c r="G538" s="50"/>
      <c r="H538" s="242" t="str">
        <f ca="1">IF(F538=1,PERCENTILE(INDIRECT("g"&amp;$D$8):INDIRECT("g"&amp;$E$8),0.5),IF(F538=2,PERCENTILE(INDIRECT("g"&amp;$D$9):INDIRECT("g"&amp;$E$9),0.5),IF(F538=3,PERCENTILE(INDIRECT("g"&amp;$D$10):INDIRECT("g"&amp;$E$10),0.5),IF(F538=4,PERCENTILE(INDIRECT("g"&amp;$D$11):INDIRECT("g"&amp;$E$11),0.5),IF(F538=5,PERCENTILE(INDIRECT("g"&amp;$D$12):INDIRECT("g"&amp;$E$12),0.5),IF(F538=6,PERCENTILE(INDIRECT("g"&amp;$D$13):INDIRECT("g"&amp;$E$13),0.5)," "))))))</f>
        <v xml:space="preserve"> </v>
      </c>
      <c r="I538" s="242" t="str">
        <f t="shared" si="46"/>
        <v xml:space="preserve"> </v>
      </c>
      <c r="J538" s="242" t="str">
        <f ca="1">IF(F538=1,AVERAGE(INDIRECT("I"&amp;$D$8):INDIRECT("I"&amp;$E$8)),IF(F538=2,AVERAGE(INDIRECT("I"&amp;$D$9):INDIRECT("I"&amp;$E$9)),IF(F538=3,AVERAGE(INDIRECT("I"&amp;$D$10):INDIRECT("I"&amp;$E$10)),IF(F538=4,AVERAGE(INDIRECT("I"&amp;$D$11):INDIRECT("I"&amp;$E$11)),IF(F538=5,AVERAGE(INDIRECT("I"&amp;$D$12):INDIRECT("I"&amp;$E$12)),IF(F538=6,AVERAGE(INDIRECT("I"&amp;$D$13):INDIRECT("I"&amp;$E$13))," "))))))</f>
        <v xml:space="preserve"> </v>
      </c>
      <c r="K538" s="242" t="str">
        <f t="shared" si="47"/>
        <v xml:space="preserve"> </v>
      </c>
      <c r="L538" s="242" t="str">
        <f t="shared" si="48"/>
        <v xml:space="preserve"> </v>
      </c>
      <c r="M538" s="242" t="str">
        <f t="shared" si="49"/>
        <v xml:space="preserve"> </v>
      </c>
    </row>
    <row r="539" spans="6:13" x14ac:dyDescent="0.2">
      <c r="F539" s="216" t="str">
        <f t="shared" si="45"/>
        <v xml:space="preserve"> </v>
      </c>
      <c r="G539" s="50"/>
      <c r="H539" s="242" t="str">
        <f ca="1">IF(F539=1,PERCENTILE(INDIRECT("g"&amp;$D$8):INDIRECT("g"&amp;$E$8),0.5),IF(F539=2,PERCENTILE(INDIRECT("g"&amp;$D$9):INDIRECT("g"&amp;$E$9),0.5),IF(F539=3,PERCENTILE(INDIRECT("g"&amp;$D$10):INDIRECT("g"&amp;$E$10),0.5),IF(F539=4,PERCENTILE(INDIRECT("g"&amp;$D$11):INDIRECT("g"&amp;$E$11),0.5),IF(F539=5,PERCENTILE(INDIRECT("g"&amp;$D$12):INDIRECT("g"&amp;$E$12),0.5),IF(F539=6,PERCENTILE(INDIRECT("g"&amp;$D$13):INDIRECT("g"&amp;$E$13),0.5)," "))))))</f>
        <v xml:space="preserve"> </v>
      </c>
      <c r="I539" s="242" t="str">
        <f t="shared" si="46"/>
        <v xml:space="preserve"> </v>
      </c>
      <c r="J539" s="242" t="str">
        <f ca="1">IF(F539=1,AVERAGE(INDIRECT("I"&amp;$D$8):INDIRECT("I"&amp;$E$8)),IF(F539=2,AVERAGE(INDIRECT("I"&amp;$D$9):INDIRECT("I"&amp;$E$9)),IF(F539=3,AVERAGE(INDIRECT("I"&amp;$D$10):INDIRECT("I"&amp;$E$10)),IF(F539=4,AVERAGE(INDIRECT("I"&amp;$D$11):INDIRECT("I"&amp;$E$11)),IF(F539=5,AVERAGE(INDIRECT("I"&amp;$D$12):INDIRECT("I"&amp;$E$12)),IF(F539=6,AVERAGE(INDIRECT("I"&amp;$D$13):INDIRECT("I"&amp;$E$13))," "))))))</f>
        <v xml:space="preserve"> </v>
      </c>
      <c r="K539" s="242" t="str">
        <f t="shared" si="47"/>
        <v xml:space="preserve"> </v>
      </c>
      <c r="L539" s="242" t="str">
        <f t="shared" si="48"/>
        <v xml:space="preserve"> </v>
      </c>
      <c r="M539" s="242" t="str">
        <f t="shared" si="49"/>
        <v xml:space="preserve"> </v>
      </c>
    </row>
    <row r="540" spans="6:13" x14ac:dyDescent="0.2">
      <c r="F540" s="216" t="str">
        <f t="shared" si="45"/>
        <v xml:space="preserve"> </v>
      </c>
      <c r="G540" s="50"/>
      <c r="H540" s="242" t="str">
        <f ca="1">IF(F540=1,PERCENTILE(INDIRECT("g"&amp;$D$8):INDIRECT("g"&amp;$E$8),0.5),IF(F540=2,PERCENTILE(INDIRECT("g"&amp;$D$9):INDIRECT("g"&amp;$E$9),0.5),IF(F540=3,PERCENTILE(INDIRECT("g"&amp;$D$10):INDIRECT("g"&amp;$E$10),0.5),IF(F540=4,PERCENTILE(INDIRECT("g"&amp;$D$11):INDIRECT("g"&amp;$E$11),0.5),IF(F540=5,PERCENTILE(INDIRECT("g"&amp;$D$12):INDIRECT("g"&amp;$E$12),0.5),IF(F540=6,PERCENTILE(INDIRECT("g"&amp;$D$13):INDIRECT("g"&amp;$E$13),0.5)," "))))))</f>
        <v xml:space="preserve"> </v>
      </c>
      <c r="I540" s="242" t="str">
        <f t="shared" si="46"/>
        <v xml:space="preserve"> </v>
      </c>
      <c r="J540" s="242" t="str">
        <f ca="1">IF(F540=1,AVERAGE(INDIRECT("I"&amp;$D$8):INDIRECT("I"&amp;$E$8)),IF(F540=2,AVERAGE(INDIRECT("I"&amp;$D$9):INDIRECT("I"&amp;$E$9)),IF(F540=3,AVERAGE(INDIRECT("I"&amp;$D$10):INDIRECT("I"&amp;$E$10)),IF(F540=4,AVERAGE(INDIRECT("I"&amp;$D$11):INDIRECT("I"&amp;$E$11)),IF(F540=5,AVERAGE(INDIRECT("I"&amp;$D$12):INDIRECT("I"&amp;$E$12)),IF(F540=6,AVERAGE(INDIRECT("I"&amp;$D$13):INDIRECT("I"&amp;$E$13))," "))))))</f>
        <v xml:space="preserve"> </v>
      </c>
      <c r="K540" s="242" t="str">
        <f t="shared" si="47"/>
        <v xml:space="preserve"> </v>
      </c>
      <c r="L540" s="242" t="str">
        <f t="shared" si="48"/>
        <v xml:space="preserve"> </v>
      </c>
      <c r="M540" s="242" t="str">
        <f t="shared" si="49"/>
        <v xml:space="preserve"> </v>
      </c>
    </row>
    <row r="541" spans="6:13" x14ac:dyDescent="0.2">
      <c r="F541" s="216" t="str">
        <f t="shared" si="45"/>
        <v xml:space="preserve"> </v>
      </c>
      <c r="G541" s="50"/>
      <c r="H541" s="242" t="str">
        <f ca="1">IF(F541=1,PERCENTILE(INDIRECT("g"&amp;$D$8):INDIRECT("g"&amp;$E$8),0.5),IF(F541=2,PERCENTILE(INDIRECT("g"&amp;$D$9):INDIRECT("g"&amp;$E$9),0.5),IF(F541=3,PERCENTILE(INDIRECT("g"&amp;$D$10):INDIRECT("g"&amp;$E$10),0.5),IF(F541=4,PERCENTILE(INDIRECT("g"&amp;$D$11):INDIRECT("g"&amp;$E$11),0.5),IF(F541=5,PERCENTILE(INDIRECT("g"&amp;$D$12):INDIRECT("g"&amp;$E$12),0.5),IF(F541=6,PERCENTILE(INDIRECT("g"&amp;$D$13):INDIRECT("g"&amp;$E$13),0.5)," "))))))</f>
        <v xml:space="preserve"> </v>
      </c>
      <c r="I541" s="242" t="str">
        <f t="shared" si="46"/>
        <v xml:space="preserve"> </v>
      </c>
      <c r="J541" s="242" t="str">
        <f ca="1">IF(F541=1,AVERAGE(INDIRECT("I"&amp;$D$8):INDIRECT("I"&amp;$E$8)),IF(F541=2,AVERAGE(INDIRECT("I"&amp;$D$9):INDIRECT("I"&amp;$E$9)),IF(F541=3,AVERAGE(INDIRECT("I"&amp;$D$10):INDIRECT("I"&amp;$E$10)),IF(F541=4,AVERAGE(INDIRECT("I"&amp;$D$11):INDIRECT("I"&amp;$E$11)),IF(F541=5,AVERAGE(INDIRECT("I"&amp;$D$12):INDIRECT("I"&amp;$E$12)),IF(F541=6,AVERAGE(INDIRECT("I"&amp;$D$13):INDIRECT("I"&amp;$E$13))," "))))))</f>
        <v xml:space="preserve"> </v>
      </c>
      <c r="K541" s="242" t="str">
        <f t="shared" si="47"/>
        <v xml:space="preserve"> </v>
      </c>
      <c r="L541" s="242" t="str">
        <f t="shared" si="48"/>
        <v xml:space="preserve"> </v>
      </c>
      <c r="M541" s="242" t="str">
        <f t="shared" si="49"/>
        <v xml:space="preserve"> </v>
      </c>
    </row>
    <row r="542" spans="6:13" x14ac:dyDescent="0.2">
      <c r="F542" s="216" t="str">
        <f t="shared" si="45"/>
        <v xml:space="preserve"> </v>
      </c>
      <c r="G542" s="50"/>
      <c r="H542" s="242" t="str">
        <f ca="1">IF(F542=1,PERCENTILE(INDIRECT("g"&amp;$D$8):INDIRECT("g"&amp;$E$8),0.5),IF(F542=2,PERCENTILE(INDIRECT("g"&amp;$D$9):INDIRECT("g"&amp;$E$9),0.5),IF(F542=3,PERCENTILE(INDIRECT("g"&amp;$D$10):INDIRECT("g"&amp;$E$10),0.5),IF(F542=4,PERCENTILE(INDIRECT("g"&amp;$D$11):INDIRECT("g"&amp;$E$11),0.5),IF(F542=5,PERCENTILE(INDIRECT("g"&amp;$D$12):INDIRECT("g"&amp;$E$12),0.5),IF(F542=6,PERCENTILE(INDIRECT("g"&amp;$D$13):INDIRECT("g"&amp;$E$13),0.5)," "))))))</f>
        <v xml:space="preserve"> </v>
      </c>
      <c r="I542" s="242" t="str">
        <f t="shared" si="46"/>
        <v xml:space="preserve"> </v>
      </c>
      <c r="J542" s="242" t="str">
        <f ca="1">IF(F542=1,AVERAGE(INDIRECT("I"&amp;$D$8):INDIRECT("I"&amp;$E$8)),IF(F542=2,AVERAGE(INDIRECT("I"&amp;$D$9):INDIRECT("I"&amp;$E$9)),IF(F542=3,AVERAGE(INDIRECT("I"&amp;$D$10):INDIRECT("I"&amp;$E$10)),IF(F542=4,AVERAGE(INDIRECT("I"&amp;$D$11):INDIRECT("I"&amp;$E$11)),IF(F542=5,AVERAGE(INDIRECT("I"&amp;$D$12):INDIRECT("I"&amp;$E$12)),IF(F542=6,AVERAGE(INDIRECT("I"&amp;$D$13):INDIRECT("I"&amp;$E$13))," "))))))</f>
        <v xml:space="preserve"> </v>
      </c>
      <c r="K542" s="242" t="str">
        <f t="shared" si="47"/>
        <v xml:space="preserve"> </v>
      </c>
      <c r="L542" s="242" t="str">
        <f t="shared" si="48"/>
        <v xml:space="preserve"> </v>
      </c>
      <c r="M542" s="242" t="str">
        <f t="shared" si="49"/>
        <v xml:space="preserve"> </v>
      </c>
    </row>
    <row r="543" spans="6:13" x14ac:dyDescent="0.2">
      <c r="F543" s="216" t="str">
        <f t="shared" si="45"/>
        <v xml:space="preserve"> </v>
      </c>
      <c r="G543" s="50"/>
      <c r="H543" s="242" t="str">
        <f ca="1">IF(F543=1,PERCENTILE(INDIRECT("g"&amp;$D$8):INDIRECT("g"&amp;$E$8),0.5),IF(F543=2,PERCENTILE(INDIRECT("g"&amp;$D$9):INDIRECT("g"&amp;$E$9),0.5),IF(F543=3,PERCENTILE(INDIRECT("g"&amp;$D$10):INDIRECT("g"&amp;$E$10),0.5),IF(F543=4,PERCENTILE(INDIRECT("g"&amp;$D$11):INDIRECT("g"&amp;$E$11),0.5),IF(F543=5,PERCENTILE(INDIRECT("g"&amp;$D$12):INDIRECT("g"&amp;$E$12),0.5),IF(F543=6,PERCENTILE(INDIRECT("g"&amp;$D$13):INDIRECT("g"&amp;$E$13),0.5)," "))))))</f>
        <v xml:space="preserve"> </v>
      </c>
      <c r="I543" s="242" t="str">
        <f t="shared" si="46"/>
        <v xml:space="preserve"> </v>
      </c>
      <c r="J543" s="242" t="str">
        <f ca="1">IF(F543=1,AVERAGE(INDIRECT("I"&amp;$D$8):INDIRECT("I"&amp;$E$8)),IF(F543=2,AVERAGE(INDIRECT("I"&amp;$D$9):INDIRECT("I"&amp;$E$9)),IF(F543=3,AVERAGE(INDIRECT("I"&amp;$D$10):INDIRECT("I"&amp;$E$10)),IF(F543=4,AVERAGE(INDIRECT("I"&amp;$D$11):INDIRECT("I"&amp;$E$11)),IF(F543=5,AVERAGE(INDIRECT("I"&amp;$D$12):INDIRECT("I"&amp;$E$12)),IF(F543=6,AVERAGE(INDIRECT("I"&amp;$D$13):INDIRECT("I"&amp;$E$13))," "))))))</f>
        <v xml:space="preserve"> </v>
      </c>
      <c r="K543" s="242" t="str">
        <f t="shared" si="47"/>
        <v xml:space="preserve"> </v>
      </c>
      <c r="L543" s="242" t="str">
        <f t="shared" si="48"/>
        <v xml:space="preserve"> </v>
      </c>
      <c r="M543" s="242" t="str">
        <f t="shared" si="49"/>
        <v xml:space="preserve"> </v>
      </c>
    </row>
    <row r="544" spans="6:13" x14ac:dyDescent="0.2">
      <c r="F544" s="216" t="str">
        <f t="shared" si="45"/>
        <v xml:space="preserve"> </v>
      </c>
      <c r="G544" s="50"/>
      <c r="H544" s="242" t="str">
        <f ca="1">IF(F544=1,PERCENTILE(INDIRECT("g"&amp;$D$8):INDIRECT("g"&amp;$E$8),0.5),IF(F544=2,PERCENTILE(INDIRECT("g"&amp;$D$9):INDIRECT("g"&amp;$E$9),0.5),IF(F544=3,PERCENTILE(INDIRECT("g"&amp;$D$10):INDIRECT("g"&amp;$E$10),0.5),IF(F544=4,PERCENTILE(INDIRECT("g"&amp;$D$11):INDIRECT("g"&amp;$E$11),0.5),IF(F544=5,PERCENTILE(INDIRECT("g"&amp;$D$12):INDIRECT("g"&amp;$E$12),0.5),IF(F544=6,PERCENTILE(INDIRECT("g"&amp;$D$13):INDIRECT("g"&amp;$E$13),0.5)," "))))))</f>
        <v xml:space="preserve"> </v>
      </c>
      <c r="I544" s="242" t="str">
        <f t="shared" si="46"/>
        <v xml:space="preserve"> </v>
      </c>
      <c r="J544" s="242" t="str">
        <f ca="1">IF(F544=1,AVERAGE(INDIRECT("I"&amp;$D$8):INDIRECT("I"&amp;$E$8)),IF(F544=2,AVERAGE(INDIRECT("I"&amp;$D$9):INDIRECT("I"&amp;$E$9)),IF(F544=3,AVERAGE(INDIRECT("I"&amp;$D$10):INDIRECT("I"&amp;$E$10)),IF(F544=4,AVERAGE(INDIRECT("I"&amp;$D$11):INDIRECT("I"&amp;$E$11)),IF(F544=5,AVERAGE(INDIRECT("I"&amp;$D$12):INDIRECT("I"&amp;$E$12)),IF(F544=6,AVERAGE(INDIRECT("I"&amp;$D$13):INDIRECT("I"&amp;$E$13))," "))))))</f>
        <v xml:space="preserve"> </v>
      </c>
      <c r="K544" s="242" t="str">
        <f t="shared" si="47"/>
        <v xml:space="preserve"> </v>
      </c>
      <c r="L544" s="242" t="str">
        <f t="shared" si="48"/>
        <v xml:space="preserve"> </v>
      </c>
      <c r="M544" s="242" t="str">
        <f t="shared" si="49"/>
        <v xml:space="preserve"> </v>
      </c>
    </row>
    <row r="545" spans="6:13" x14ac:dyDescent="0.2">
      <c r="F545" s="216" t="str">
        <f t="shared" si="45"/>
        <v xml:space="preserve"> </v>
      </c>
      <c r="G545" s="50"/>
      <c r="H545" s="242" t="str">
        <f ca="1">IF(F545=1,PERCENTILE(INDIRECT("g"&amp;$D$8):INDIRECT("g"&amp;$E$8),0.5),IF(F545=2,PERCENTILE(INDIRECT("g"&amp;$D$9):INDIRECT("g"&amp;$E$9),0.5),IF(F545=3,PERCENTILE(INDIRECT("g"&amp;$D$10):INDIRECT("g"&amp;$E$10),0.5),IF(F545=4,PERCENTILE(INDIRECT("g"&amp;$D$11):INDIRECT("g"&amp;$E$11),0.5),IF(F545=5,PERCENTILE(INDIRECT("g"&amp;$D$12):INDIRECT("g"&amp;$E$12),0.5),IF(F545=6,PERCENTILE(INDIRECT("g"&amp;$D$13):INDIRECT("g"&amp;$E$13),0.5)," "))))))</f>
        <v xml:space="preserve"> </v>
      </c>
      <c r="I545" s="242" t="str">
        <f t="shared" si="46"/>
        <v xml:space="preserve"> </v>
      </c>
      <c r="J545" s="242" t="str">
        <f ca="1">IF(F545=1,AVERAGE(INDIRECT("I"&amp;$D$8):INDIRECT("I"&amp;$E$8)),IF(F545=2,AVERAGE(INDIRECT("I"&amp;$D$9):INDIRECT("I"&amp;$E$9)),IF(F545=3,AVERAGE(INDIRECT("I"&amp;$D$10):INDIRECT("I"&amp;$E$10)),IF(F545=4,AVERAGE(INDIRECT("I"&amp;$D$11):INDIRECT("I"&amp;$E$11)),IF(F545=5,AVERAGE(INDIRECT("I"&amp;$D$12):INDIRECT("I"&amp;$E$12)),IF(F545=6,AVERAGE(INDIRECT("I"&amp;$D$13):INDIRECT("I"&amp;$E$13))," "))))))</f>
        <v xml:space="preserve"> </v>
      </c>
      <c r="K545" s="242" t="str">
        <f t="shared" si="47"/>
        <v xml:space="preserve"> </v>
      </c>
      <c r="L545" s="242" t="str">
        <f t="shared" si="48"/>
        <v xml:space="preserve"> </v>
      </c>
      <c r="M545" s="242" t="str">
        <f t="shared" si="49"/>
        <v xml:space="preserve"> </v>
      </c>
    </row>
    <row r="546" spans="6:13" x14ac:dyDescent="0.2">
      <c r="F546" s="216" t="str">
        <f t="shared" si="45"/>
        <v xml:space="preserve"> </v>
      </c>
      <c r="G546" s="50"/>
      <c r="H546" s="242" t="str">
        <f ca="1">IF(F546=1,PERCENTILE(INDIRECT("g"&amp;$D$8):INDIRECT("g"&amp;$E$8),0.5),IF(F546=2,PERCENTILE(INDIRECT("g"&amp;$D$9):INDIRECT("g"&amp;$E$9),0.5),IF(F546=3,PERCENTILE(INDIRECT("g"&amp;$D$10):INDIRECT("g"&amp;$E$10),0.5),IF(F546=4,PERCENTILE(INDIRECT("g"&amp;$D$11):INDIRECT("g"&amp;$E$11),0.5),IF(F546=5,PERCENTILE(INDIRECT("g"&amp;$D$12):INDIRECT("g"&amp;$E$12),0.5),IF(F546=6,PERCENTILE(INDIRECT("g"&amp;$D$13):INDIRECT("g"&amp;$E$13),0.5)," "))))))</f>
        <v xml:space="preserve"> </v>
      </c>
      <c r="I546" s="242" t="str">
        <f t="shared" si="46"/>
        <v xml:space="preserve"> </v>
      </c>
      <c r="J546" s="242" t="str">
        <f ca="1">IF(F546=1,AVERAGE(INDIRECT("I"&amp;$D$8):INDIRECT("I"&amp;$E$8)),IF(F546=2,AVERAGE(INDIRECT("I"&amp;$D$9):INDIRECT("I"&amp;$E$9)),IF(F546=3,AVERAGE(INDIRECT("I"&amp;$D$10):INDIRECT("I"&amp;$E$10)),IF(F546=4,AVERAGE(INDIRECT("I"&amp;$D$11):INDIRECT("I"&amp;$E$11)),IF(F546=5,AVERAGE(INDIRECT("I"&amp;$D$12):INDIRECT("I"&amp;$E$12)),IF(F546=6,AVERAGE(INDIRECT("I"&amp;$D$13):INDIRECT("I"&amp;$E$13))," "))))))</f>
        <v xml:space="preserve"> </v>
      </c>
      <c r="K546" s="242" t="str">
        <f t="shared" si="47"/>
        <v xml:space="preserve"> </v>
      </c>
      <c r="L546" s="242" t="str">
        <f t="shared" si="48"/>
        <v xml:space="preserve"> </v>
      </c>
      <c r="M546" s="242" t="str">
        <f t="shared" si="49"/>
        <v xml:space="preserve"> </v>
      </c>
    </row>
    <row r="547" spans="6:13" x14ac:dyDescent="0.2">
      <c r="F547" s="216" t="str">
        <f t="shared" si="45"/>
        <v xml:space="preserve"> </v>
      </c>
      <c r="G547" s="50"/>
      <c r="H547" s="242" t="str">
        <f ca="1">IF(F547=1,PERCENTILE(INDIRECT("g"&amp;$D$8):INDIRECT("g"&amp;$E$8),0.5),IF(F547=2,PERCENTILE(INDIRECT("g"&amp;$D$9):INDIRECT("g"&amp;$E$9),0.5),IF(F547=3,PERCENTILE(INDIRECT("g"&amp;$D$10):INDIRECT("g"&amp;$E$10),0.5),IF(F547=4,PERCENTILE(INDIRECT("g"&amp;$D$11):INDIRECT("g"&amp;$E$11),0.5),IF(F547=5,PERCENTILE(INDIRECT("g"&amp;$D$12):INDIRECT("g"&amp;$E$12),0.5),IF(F547=6,PERCENTILE(INDIRECT("g"&amp;$D$13):INDIRECT("g"&amp;$E$13),0.5)," "))))))</f>
        <v xml:space="preserve"> </v>
      </c>
      <c r="I547" s="242" t="str">
        <f t="shared" si="46"/>
        <v xml:space="preserve"> </v>
      </c>
      <c r="J547" s="242" t="str">
        <f ca="1">IF(F547=1,AVERAGE(INDIRECT("I"&amp;$D$8):INDIRECT("I"&amp;$E$8)),IF(F547=2,AVERAGE(INDIRECT("I"&amp;$D$9):INDIRECT("I"&amp;$E$9)),IF(F547=3,AVERAGE(INDIRECT("I"&amp;$D$10):INDIRECT("I"&amp;$E$10)),IF(F547=4,AVERAGE(INDIRECT("I"&amp;$D$11):INDIRECT("I"&amp;$E$11)),IF(F547=5,AVERAGE(INDIRECT("I"&amp;$D$12):INDIRECT("I"&amp;$E$12)),IF(F547=6,AVERAGE(INDIRECT("I"&amp;$D$13):INDIRECT("I"&amp;$E$13))," "))))))</f>
        <v xml:space="preserve"> </v>
      </c>
      <c r="K547" s="242" t="str">
        <f t="shared" si="47"/>
        <v xml:space="preserve"> </v>
      </c>
      <c r="L547" s="242" t="str">
        <f t="shared" si="48"/>
        <v xml:space="preserve"> </v>
      </c>
      <c r="M547" s="242" t="str">
        <f t="shared" si="49"/>
        <v xml:space="preserve"> </v>
      </c>
    </row>
    <row r="548" spans="6:13" x14ac:dyDescent="0.2">
      <c r="F548" s="216" t="str">
        <f t="shared" si="45"/>
        <v xml:space="preserve"> </v>
      </c>
      <c r="G548" s="50"/>
      <c r="H548" s="242" t="str">
        <f ca="1">IF(F548=1,PERCENTILE(INDIRECT("g"&amp;$D$8):INDIRECT("g"&amp;$E$8),0.5),IF(F548=2,PERCENTILE(INDIRECT("g"&amp;$D$9):INDIRECT("g"&amp;$E$9),0.5),IF(F548=3,PERCENTILE(INDIRECT("g"&amp;$D$10):INDIRECT("g"&amp;$E$10),0.5),IF(F548=4,PERCENTILE(INDIRECT("g"&amp;$D$11):INDIRECT("g"&amp;$E$11),0.5),IF(F548=5,PERCENTILE(INDIRECT("g"&amp;$D$12):INDIRECT("g"&amp;$E$12),0.5),IF(F548=6,PERCENTILE(INDIRECT("g"&amp;$D$13):INDIRECT("g"&amp;$E$13),0.5)," "))))))</f>
        <v xml:space="preserve"> </v>
      </c>
      <c r="I548" s="242" t="str">
        <f t="shared" si="46"/>
        <v xml:space="preserve"> </v>
      </c>
      <c r="J548" s="242" t="str">
        <f ca="1">IF(F548=1,AVERAGE(INDIRECT("I"&amp;$D$8):INDIRECT("I"&amp;$E$8)),IF(F548=2,AVERAGE(INDIRECT("I"&amp;$D$9):INDIRECT("I"&amp;$E$9)),IF(F548=3,AVERAGE(INDIRECT("I"&amp;$D$10):INDIRECT("I"&amp;$E$10)),IF(F548=4,AVERAGE(INDIRECT("I"&amp;$D$11):INDIRECT("I"&amp;$E$11)),IF(F548=5,AVERAGE(INDIRECT("I"&amp;$D$12):INDIRECT("I"&amp;$E$12)),IF(F548=6,AVERAGE(INDIRECT("I"&amp;$D$13):INDIRECT("I"&amp;$E$13))," "))))))</f>
        <v xml:space="preserve"> </v>
      </c>
      <c r="K548" s="242" t="str">
        <f t="shared" si="47"/>
        <v xml:space="preserve"> </v>
      </c>
      <c r="L548" s="242" t="str">
        <f t="shared" si="48"/>
        <v xml:space="preserve"> </v>
      </c>
      <c r="M548" s="242" t="str">
        <f t="shared" si="49"/>
        <v xml:space="preserve"> </v>
      </c>
    </row>
    <row r="549" spans="6:13" x14ac:dyDescent="0.2">
      <c r="F549" s="216" t="str">
        <f t="shared" si="45"/>
        <v xml:space="preserve"> </v>
      </c>
      <c r="G549" s="50"/>
      <c r="H549" s="242" t="str">
        <f ca="1">IF(F549=1,PERCENTILE(INDIRECT("g"&amp;$D$8):INDIRECT("g"&amp;$E$8),0.5),IF(F549=2,PERCENTILE(INDIRECT("g"&amp;$D$9):INDIRECT("g"&amp;$E$9),0.5),IF(F549=3,PERCENTILE(INDIRECT("g"&amp;$D$10):INDIRECT("g"&amp;$E$10),0.5),IF(F549=4,PERCENTILE(INDIRECT("g"&amp;$D$11):INDIRECT("g"&amp;$E$11),0.5),IF(F549=5,PERCENTILE(INDIRECT("g"&amp;$D$12):INDIRECT("g"&amp;$E$12),0.5),IF(F549=6,PERCENTILE(INDIRECT("g"&amp;$D$13):INDIRECT("g"&amp;$E$13),0.5)," "))))))</f>
        <v xml:space="preserve"> </v>
      </c>
      <c r="I549" s="242" t="str">
        <f t="shared" si="46"/>
        <v xml:space="preserve"> </v>
      </c>
      <c r="J549" s="242" t="str">
        <f ca="1">IF(F549=1,AVERAGE(INDIRECT("I"&amp;$D$8):INDIRECT("I"&amp;$E$8)),IF(F549=2,AVERAGE(INDIRECT("I"&amp;$D$9):INDIRECT("I"&amp;$E$9)),IF(F549=3,AVERAGE(INDIRECT("I"&amp;$D$10):INDIRECT("I"&amp;$E$10)),IF(F549=4,AVERAGE(INDIRECT("I"&amp;$D$11):INDIRECT("I"&amp;$E$11)),IF(F549=5,AVERAGE(INDIRECT("I"&amp;$D$12):INDIRECT("I"&amp;$E$12)),IF(F549=6,AVERAGE(INDIRECT("I"&amp;$D$13):INDIRECT("I"&amp;$E$13))," "))))))</f>
        <v xml:space="preserve"> </v>
      </c>
      <c r="K549" s="242" t="str">
        <f t="shared" si="47"/>
        <v xml:space="preserve"> </v>
      </c>
      <c r="L549" s="242" t="str">
        <f t="shared" si="48"/>
        <v xml:space="preserve"> </v>
      </c>
      <c r="M549" s="242" t="str">
        <f t="shared" si="49"/>
        <v xml:space="preserve"> </v>
      </c>
    </row>
    <row r="550" spans="6:13" x14ac:dyDescent="0.2">
      <c r="F550" s="216" t="str">
        <f t="shared" si="45"/>
        <v xml:space="preserve"> </v>
      </c>
      <c r="G550" s="50"/>
      <c r="H550" s="242" t="str">
        <f ca="1">IF(F550=1,PERCENTILE(INDIRECT("g"&amp;$D$8):INDIRECT("g"&amp;$E$8),0.5),IF(F550=2,PERCENTILE(INDIRECT("g"&amp;$D$9):INDIRECT("g"&amp;$E$9),0.5),IF(F550=3,PERCENTILE(INDIRECT("g"&amp;$D$10):INDIRECT("g"&amp;$E$10),0.5),IF(F550=4,PERCENTILE(INDIRECT("g"&amp;$D$11):INDIRECT("g"&amp;$E$11),0.5),IF(F550=5,PERCENTILE(INDIRECT("g"&amp;$D$12):INDIRECT("g"&amp;$E$12),0.5),IF(F550=6,PERCENTILE(INDIRECT("g"&amp;$D$13):INDIRECT("g"&amp;$E$13),0.5)," "))))))</f>
        <v xml:space="preserve"> </v>
      </c>
      <c r="I550" s="242" t="str">
        <f t="shared" si="46"/>
        <v xml:space="preserve"> </v>
      </c>
      <c r="J550" s="242" t="str">
        <f ca="1">IF(F550=1,AVERAGE(INDIRECT("I"&amp;$D$8):INDIRECT("I"&amp;$E$8)),IF(F550=2,AVERAGE(INDIRECT("I"&amp;$D$9):INDIRECT("I"&amp;$E$9)),IF(F550=3,AVERAGE(INDIRECT("I"&amp;$D$10):INDIRECT("I"&amp;$E$10)),IF(F550=4,AVERAGE(INDIRECT("I"&amp;$D$11):INDIRECT("I"&amp;$E$11)),IF(F550=5,AVERAGE(INDIRECT("I"&amp;$D$12):INDIRECT("I"&amp;$E$12)),IF(F550=6,AVERAGE(INDIRECT("I"&amp;$D$13):INDIRECT("I"&amp;$E$13))," "))))))</f>
        <v xml:space="preserve"> </v>
      </c>
      <c r="K550" s="242" t="str">
        <f t="shared" si="47"/>
        <v xml:space="preserve"> </v>
      </c>
      <c r="L550" s="242" t="str">
        <f t="shared" si="48"/>
        <v xml:space="preserve"> </v>
      </c>
      <c r="M550" s="242" t="str">
        <f t="shared" si="49"/>
        <v xml:space="preserve"> </v>
      </c>
    </row>
    <row r="551" spans="6:13" x14ac:dyDescent="0.2">
      <c r="F551" s="216" t="str">
        <f t="shared" si="45"/>
        <v xml:space="preserve"> </v>
      </c>
      <c r="G551" s="50"/>
      <c r="H551" s="242" t="str">
        <f ca="1">IF(F551=1,PERCENTILE(INDIRECT("g"&amp;$D$8):INDIRECT("g"&amp;$E$8),0.5),IF(F551=2,PERCENTILE(INDIRECT("g"&amp;$D$9):INDIRECT("g"&amp;$E$9),0.5),IF(F551=3,PERCENTILE(INDIRECT("g"&amp;$D$10):INDIRECT("g"&amp;$E$10),0.5),IF(F551=4,PERCENTILE(INDIRECT("g"&amp;$D$11):INDIRECT("g"&amp;$E$11),0.5),IF(F551=5,PERCENTILE(INDIRECT("g"&amp;$D$12):INDIRECT("g"&amp;$E$12),0.5),IF(F551=6,PERCENTILE(INDIRECT("g"&amp;$D$13):INDIRECT("g"&amp;$E$13),0.5)," "))))))</f>
        <v xml:space="preserve"> </v>
      </c>
      <c r="I551" s="242" t="str">
        <f t="shared" si="46"/>
        <v xml:space="preserve"> </v>
      </c>
      <c r="J551" s="242" t="str">
        <f ca="1">IF(F551=1,AVERAGE(INDIRECT("I"&amp;$D$8):INDIRECT("I"&amp;$E$8)),IF(F551=2,AVERAGE(INDIRECT("I"&amp;$D$9):INDIRECT("I"&amp;$E$9)),IF(F551=3,AVERAGE(INDIRECT("I"&amp;$D$10):INDIRECT("I"&amp;$E$10)),IF(F551=4,AVERAGE(INDIRECT("I"&amp;$D$11):INDIRECT("I"&amp;$E$11)),IF(F551=5,AVERAGE(INDIRECT("I"&amp;$D$12):INDIRECT("I"&amp;$E$12)),IF(F551=6,AVERAGE(INDIRECT("I"&amp;$D$13):INDIRECT("I"&amp;$E$13))," "))))))</f>
        <v xml:space="preserve"> </v>
      </c>
      <c r="K551" s="242" t="str">
        <f t="shared" si="47"/>
        <v xml:space="preserve"> </v>
      </c>
      <c r="L551" s="242" t="str">
        <f t="shared" si="48"/>
        <v xml:space="preserve"> </v>
      </c>
      <c r="M551" s="242" t="str">
        <f t="shared" si="49"/>
        <v xml:space="preserve"> </v>
      </c>
    </row>
    <row r="552" spans="6:13" x14ac:dyDescent="0.2">
      <c r="F552" s="216" t="str">
        <f t="shared" si="45"/>
        <v xml:space="preserve"> </v>
      </c>
      <c r="G552" s="50"/>
      <c r="H552" s="242" t="str">
        <f ca="1">IF(F552=1,PERCENTILE(INDIRECT("g"&amp;$D$8):INDIRECT("g"&amp;$E$8),0.5),IF(F552=2,PERCENTILE(INDIRECT("g"&amp;$D$9):INDIRECT("g"&amp;$E$9),0.5),IF(F552=3,PERCENTILE(INDIRECT("g"&amp;$D$10):INDIRECT("g"&amp;$E$10),0.5),IF(F552=4,PERCENTILE(INDIRECT("g"&amp;$D$11):INDIRECT("g"&amp;$E$11),0.5),IF(F552=5,PERCENTILE(INDIRECT("g"&amp;$D$12):INDIRECT("g"&amp;$E$12),0.5),IF(F552=6,PERCENTILE(INDIRECT("g"&amp;$D$13):INDIRECT("g"&amp;$E$13),0.5)," "))))))</f>
        <v xml:space="preserve"> </v>
      </c>
      <c r="I552" s="242" t="str">
        <f t="shared" si="46"/>
        <v xml:space="preserve"> </v>
      </c>
      <c r="J552" s="242" t="str">
        <f ca="1">IF(F552=1,AVERAGE(INDIRECT("I"&amp;$D$8):INDIRECT("I"&amp;$E$8)),IF(F552=2,AVERAGE(INDIRECT("I"&amp;$D$9):INDIRECT("I"&amp;$E$9)),IF(F552=3,AVERAGE(INDIRECT("I"&amp;$D$10):INDIRECT("I"&amp;$E$10)),IF(F552=4,AVERAGE(INDIRECT("I"&amp;$D$11):INDIRECT("I"&amp;$E$11)),IF(F552=5,AVERAGE(INDIRECT("I"&amp;$D$12):INDIRECT("I"&amp;$E$12)),IF(F552=6,AVERAGE(INDIRECT("I"&amp;$D$13):INDIRECT("I"&amp;$E$13))," "))))))</f>
        <v xml:space="preserve"> </v>
      </c>
      <c r="K552" s="242" t="str">
        <f t="shared" si="47"/>
        <v xml:space="preserve"> </v>
      </c>
      <c r="L552" s="242" t="str">
        <f t="shared" si="48"/>
        <v xml:space="preserve"> </v>
      </c>
      <c r="M552" s="242" t="str">
        <f t="shared" si="49"/>
        <v xml:space="preserve"> </v>
      </c>
    </row>
    <row r="553" spans="6:13" x14ac:dyDescent="0.2">
      <c r="F553" s="216" t="str">
        <f t="shared" si="45"/>
        <v xml:space="preserve"> </v>
      </c>
      <c r="G553" s="50"/>
      <c r="H553" s="242" t="str">
        <f ca="1">IF(F553=1,PERCENTILE(INDIRECT("g"&amp;$D$8):INDIRECT("g"&amp;$E$8),0.5),IF(F553=2,PERCENTILE(INDIRECT("g"&amp;$D$9):INDIRECT("g"&amp;$E$9),0.5),IF(F553=3,PERCENTILE(INDIRECT("g"&amp;$D$10):INDIRECT("g"&amp;$E$10),0.5),IF(F553=4,PERCENTILE(INDIRECT("g"&amp;$D$11):INDIRECT("g"&amp;$E$11),0.5),IF(F553=5,PERCENTILE(INDIRECT("g"&amp;$D$12):INDIRECT("g"&amp;$E$12),0.5),IF(F553=6,PERCENTILE(INDIRECT("g"&amp;$D$13):INDIRECT("g"&amp;$E$13),0.5)," "))))))</f>
        <v xml:space="preserve"> </v>
      </c>
      <c r="I553" s="242" t="str">
        <f t="shared" si="46"/>
        <v xml:space="preserve"> </v>
      </c>
      <c r="J553" s="242" t="str">
        <f ca="1">IF(F553=1,AVERAGE(INDIRECT("I"&amp;$D$8):INDIRECT("I"&amp;$E$8)),IF(F553=2,AVERAGE(INDIRECT("I"&amp;$D$9):INDIRECT("I"&amp;$E$9)),IF(F553=3,AVERAGE(INDIRECT("I"&amp;$D$10):INDIRECT("I"&amp;$E$10)),IF(F553=4,AVERAGE(INDIRECT("I"&amp;$D$11):INDIRECT("I"&amp;$E$11)),IF(F553=5,AVERAGE(INDIRECT("I"&amp;$D$12):INDIRECT("I"&amp;$E$12)),IF(F553=6,AVERAGE(INDIRECT("I"&amp;$D$13):INDIRECT("I"&amp;$E$13))," "))))))</f>
        <v xml:space="preserve"> </v>
      </c>
      <c r="K553" s="242" t="str">
        <f t="shared" si="47"/>
        <v xml:space="preserve"> </v>
      </c>
      <c r="L553" s="242" t="str">
        <f t="shared" si="48"/>
        <v xml:space="preserve"> </v>
      </c>
      <c r="M553" s="242" t="str">
        <f t="shared" si="49"/>
        <v xml:space="preserve"> </v>
      </c>
    </row>
    <row r="554" spans="6:13" x14ac:dyDescent="0.2">
      <c r="F554" s="216" t="str">
        <f t="shared" si="45"/>
        <v xml:space="preserve"> </v>
      </c>
      <c r="G554" s="50"/>
      <c r="H554" s="242" t="str">
        <f ca="1">IF(F554=1,PERCENTILE(INDIRECT("g"&amp;$D$8):INDIRECT("g"&amp;$E$8),0.5),IF(F554=2,PERCENTILE(INDIRECT("g"&amp;$D$9):INDIRECT("g"&amp;$E$9),0.5),IF(F554=3,PERCENTILE(INDIRECT("g"&amp;$D$10):INDIRECT("g"&amp;$E$10),0.5),IF(F554=4,PERCENTILE(INDIRECT("g"&amp;$D$11):INDIRECT("g"&amp;$E$11),0.5),IF(F554=5,PERCENTILE(INDIRECT("g"&amp;$D$12):INDIRECT("g"&amp;$E$12),0.5),IF(F554=6,PERCENTILE(INDIRECT("g"&amp;$D$13):INDIRECT("g"&amp;$E$13),0.5)," "))))))</f>
        <v xml:space="preserve"> </v>
      </c>
      <c r="I554" s="242" t="str">
        <f t="shared" si="46"/>
        <v xml:space="preserve"> </v>
      </c>
      <c r="J554" s="242" t="str">
        <f ca="1">IF(F554=1,AVERAGE(INDIRECT("I"&amp;$D$8):INDIRECT("I"&amp;$E$8)),IF(F554=2,AVERAGE(INDIRECT("I"&amp;$D$9):INDIRECT("I"&amp;$E$9)),IF(F554=3,AVERAGE(INDIRECT("I"&amp;$D$10):INDIRECT("I"&amp;$E$10)),IF(F554=4,AVERAGE(INDIRECT("I"&amp;$D$11):INDIRECT("I"&amp;$E$11)),IF(F554=5,AVERAGE(INDIRECT("I"&amp;$D$12):INDIRECT("I"&amp;$E$12)),IF(F554=6,AVERAGE(INDIRECT("I"&amp;$D$13):INDIRECT("I"&amp;$E$13))," "))))))</f>
        <v xml:space="preserve"> </v>
      </c>
      <c r="K554" s="242" t="str">
        <f t="shared" si="47"/>
        <v xml:space="preserve"> </v>
      </c>
      <c r="L554" s="242" t="str">
        <f t="shared" si="48"/>
        <v xml:space="preserve"> </v>
      </c>
      <c r="M554" s="242" t="str">
        <f t="shared" si="49"/>
        <v xml:space="preserve"> </v>
      </c>
    </row>
    <row r="555" spans="6:13" x14ac:dyDescent="0.2">
      <c r="F555" s="216" t="str">
        <f t="shared" si="45"/>
        <v xml:space="preserve"> </v>
      </c>
      <c r="G555" s="50"/>
      <c r="H555" s="242" t="str">
        <f ca="1">IF(F555=1,PERCENTILE(INDIRECT("g"&amp;$D$8):INDIRECT("g"&amp;$E$8),0.5),IF(F555=2,PERCENTILE(INDIRECT("g"&amp;$D$9):INDIRECT("g"&amp;$E$9),0.5),IF(F555=3,PERCENTILE(INDIRECT("g"&amp;$D$10):INDIRECT("g"&amp;$E$10),0.5),IF(F555=4,PERCENTILE(INDIRECT("g"&amp;$D$11):INDIRECT("g"&amp;$E$11),0.5),IF(F555=5,PERCENTILE(INDIRECT("g"&amp;$D$12):INDIRECT("g"&amp;$E$12),0.5),IF(F555=6,PERCENTILE(INDIRECT("g"&amp;$D$13):INDIRECT("g"&amp;$E$13),0.5)," "))))))</f>
        <v xml:space="preserve"> </v>
      </c>
      <c r="I555" s="242" t="str">
        <f t="shared" si="46"/>
        <v xml:space="preserve"> </v>
      </c>
      <c r="J555" s="242" t="str">
        <f ca="1">IF(F555=1,AVERAGE(INDIRECT("I"&amp;$D$8):INDIRECT("I"&amp;$E$8)),IF(F555=2,AVERAGE(INDIRECT("I"&amp;$D$9):INDIRECT("I"&amp;$E$9)),IF(F555=3,AVERAGE(INDIRECT("I"&amp;$D$10):INDIRECT("I"&amp;$E$10)),IF(F555=4,AVERAGE(INDIRECT("I"&amp;$D$11):INDIRECT("I"&amp;$E$11)),IF(F555=5,AVERAGE(INDIRECT("I"&amp;$D$12):INDIRECT("I"&amp;$E$12)),IF(F555=6,AVERAGE(INDIRECT("I"&amp;$D$13):INDIRECT("I"&amp;$E$13))," "))))))</f>
        <v xml:space="preserve"> </v>
      </c>
      <c r="K555" s="242" t="str">
        <f t="shared" si="47"/>
        <v xml:space="preserve"> </v>
      </c>
      <c r="L555" s="242" t="str">
        <f t="shared" si="48"/>
        <v xml:space="preserve"> </v>
      </c>
      <c r="M555" s="242" t="str">
        <f t="shared" si="49"/>
        <v xml:space="preserve"> </v>
      </c>
    </row>
    <row r="556" spans="6:13" x14ac:dyDescent="0.2">
      <c r="F556" s="216" t="str">
        <f t="shared" si="45"/>
        <v xml:space="preserve"> </v>
      </c>
      <c r="G556" s="50"/>
      <c r="H556" s="242" t="str">
        <f ca="1">IF(F556=1,PERCENTILE(INDIRECT("g"&amp;$D$8):INDIRECT("g"&amp;$E$8),0.5),IF(F556=2,PERCENTILE(INDIRECT("g"&amp;$D$9):INDIRECT("g"&amp;$E$9),0.5),IF(F556=3,PERCENTILE(INDIRECT("g"&amp;$D$10):INDIRECT("g"&amp;$E$10),0.5),IF(F556=4,PERCENTILE(INDIRECT("g"&amp;$D$11):INDIRECT("g"&amp;$E$11),0.5),IF(F556=5,PERCENTILE(INDIRECT("g"&amp;$D$12):INDIRECT("g"&amp;$E$12),0.5),IF(F556=6,PERCENTILE(INDIRECT("g"&amp;$D$13):INDIRECT("g"&amp;$E$13),0.5)," "))))))</f>
        <v xml:space="preserve"> </v>
      </c>
      <c r="I556" s="242" t="str">
        <f t="shared" si="46"/>
        <v xml:space="preserve"> </v>
      </c>
      <c r="J556" s="242" t="str">
        <f ca="1">IF(F556=1,AVERAGE(INDIRECT("I"&amp;$D$8):INDIRECT("I"&amp;$E$8)),IF(F556=2,AVERAGE(INDIRECT("I"&amp;$D$9):INDIRECT("I"&amp;$E$9)),IF(F556=3,AVERAGE(INDIRECT("I"&amp;$D$10):INDIRECT("I"&amp;$E$10)),IF(F556=4,AVERAGE(INDIRECT("I"&amp;$D$11):INDIRECT("I"&amp;$E$11)),IF(F556=5,AVERAGE(INDIRECT("I"&amp;$D$12):INDIRECT("I"&amp;$E$12)),IF(F556=6,AVERAGE(INDIRECT("I"&amp;$D$13):INDIRECT("I"&amp;$E$13))," "))))))</f>
        <v xml:space="preserve"> </v>
      </c>
      <c r="K556" s="242" t="str">
        <f t="shared" si="47"/>
        <v xml:space="preserve"> </v>
      </c>
      <c r="L556" s="242" t="str">
        <f t="shared" si="48"/>
        <v xml:space="preserve"> </v>
      </c>
      <c r="M556" s="242" t="str">
        <f t="shared" si="49"/>
        <v xml:space="preserve"> </v>
      </c>
    </row>
    <row r="557" spans="6:13" x14ac:dyDescent="0.2">
      <c r="F557" s="216" t="str">
        <f t="shared" si="45"/>
        <v xml:space="preserve"> </v>
      </c>
      <c r="G557" s="50"/>
      <c r="H557" s="242" t="str">
        <f ca="1">IF(F557=1,PERCENTILE(INDIRECT("g"&amp;$D$8):INDIRECT("g"&amp;$E$8),0.5),IF(F557=2,PERCENTILE(INDIRECT("g"&amp;$D$9):INDIRECT("g"&amp;$E$9),0.5),IF(F557=3,PERCENTILE(INDIRECT("g"&amp;$D$10):INDIRECT("g"&amp;$E$10),0.5),IF(F557=4,PERCENTILE(INDIRECT("g"&amp;$D$11):INDIRECT("g"&amp;$E$11),0.5),IF(F557=5,PERCENTILE(INDIRECT("g"&amp;$D$12):INDIRECT("g"&amp;$E$12),0.5),IF(F557=6,PERCENTILE(INDIRECT("g"&amp;$D$13):INDIRECT("g"&amp;$E$13),0.5)," "))))))</f>
        <v xml:space="preserve"> </v>
      </c>
      <c r="I557" s="242" t="str">
        <f t="shared" si="46"/>
        <v xml:space="preserve"> </v>
      </c>
      <c r="J557" s="242" t="str">
        <f ca="1">IF(F557=1,AVERAGE(INDIRECT("I"&amp;$D$8):INDIRECT("I"&amp;$E$8)),IF(F557=2,AVERAGE(INDIRECT("I"&amp;$D$9):INDIRECT("I"&amp;$E$9)),IF(F557=3,AVERAGE(INDIRECT("I"&amp;$D$10):INDIRECT("I"&amp;$E$10)),IF(F557=4,AVERAGE(INDIRECT("I"&amp;$D$11):INDIRECT("I"&amp;$E$11)),IF(F557=5,AVERAGE(INDIRECT("I"&amp;$D$12):INDIRECT("I"&amp;$E$12)),IF(F557=6,AVERAGE(INDIRECT("I"&amp;$D$13):INDIRECT("I"&amp;$E$13))," "))))))</f>
        <v xml:space="preserve"> </v>
      </c>
      <c r="K557" s="242" t="str">
        <f t="shared" si="47"/>
        <v xml:space="preserve"> </v>
      </c>
      <c r="L557" s="242" t="str">
        <f t="shared" si="48"/>
        <v xml:space="preserve"> </v>
      </c>
      <c r="M557" s="242" t="str">
        <f t="shared" si="49"/>
        <v xml:space="preserve"> </v>
      </c>
    </row>
    <row r="558" spans="6:13" x14ac:dyDescent="0.2">
      <c r="F558" s="216" t="str">
        <f t="shared" si="45"/>
        <v xml:space="preserve"> </v>
      </c>
      <c r="G558" s="50"/>
      <c r="H558" s="242" t="str">
        <f ca="1">IF(F558=1,PERCENTILE(INDIRECT("g"&amp;$D$8):INDIRECT("g"&amp;$E$8),0.5),IF(F558=2,PERCENTILE(INDIRECT("g"&amp;$D$9):INDIRECT("g"&amp;$E$9),0.5),IF(F558=3,PERCENTILE(INDIRECT("g"&amp;$D$10):INDIRECT("g"&amp;$E$10),0.5),IF(F558=4,PERCENTILE(INDIRECT("g"&amp;$D$11):INDIRECT("g"&amp;$E$11),0.5),IF(F558=5,PERCENTILE(INDIRECT("g"&amp;$D$12):INDIRECT("g"&amp;$E$12),0.5),IF(F558=6,PERCENTILE(INDIRECT("g"&amp;$D$13):INDIRECT("g"&amp;$E$13),0.5)," "))))))</f>
        <v xml:space="preserve"> </v>
      </c>
      <c r="I558" s="242" t="str">
        <f t="shared" si="46"/>
        <v xml:space="preserve"> </v>
      </c>
      <c r="J558" s="242" t="str">
        <f ca="1">IF(F558=1,AVERAGE(INDIRECT("I"&amp;$D$8):INDIRECT("I"&amp;$E$8)),IF(F558=2,AVERAGE(INDIRECT("I"&amp;$D$9):INDIRECT("I"&amp;$E$9)),IF(F558=3,AVERAGE(INDIRECT("I"&amp;$D$10):INDIRECT("I"&amp;$E$10)),IF(F558=4,AVERAGE(INDIRECT("I"&amp;$D$11):INDIRECT("I"&amp;$E$11)),IF(F558=5,AVERAGE(INDIRECT("I"&amp;$D$12):INDIRECT("I"&amp;$E$12)),IF(F558=6,AVERAGE(INDIRECT("I"&amp;$D$13):INDIRECT("I"&amp;$E$13))," "))))))</f>
        <v xml:space="preserve"> </v>
      </c>
      <c r="K558" s="242" t="str">
        <f t="shared" si="47"/>
        <v xml:space="preserve"> </v>
      </c>
      <c r="L558" s="242" t="str">
        <f t="shared" si="48"/>
        <v xml:space="preserve"> </v>
      </c>
      <c r="M558" s="242" t="str">
        <f t="shared" si="49"/>
        <v xml:space="preserve"> </v>
      </c>
    </row>
    <row r="559" spans="6:13" x14ac:dyDescent="0.2">
      <c r="F559" s="216" t="str">
        <f t="shared" si="45"/>
        <v xml:space="preserve"> </v>
      </c>
      <c r="G559" s="50"/>
      <c r="H559" s="242" t="str">
        <f ca="1">IF(F559=1,PERCENTILE(INDIRECT("g"&amp;$D$8):INDIRECT("g"&amp;$E$8),0.5),IF(F559=2,PERCENTILE(INDIRECT("g"&amp;$D$9):INDIRECT("g"&amp;$E$9),0.5),IF(F559=3,PERCENTILE(INDIRECT("g"&amp;$D$10):INDIRECT("g"&amp;$E$10),0.5),IF(F559=4,PERCENTILE(INDIRECT("g"&amp;$D$11):INDIRECT("g"&amp;$E$11),0.5),IF(F559=5,PERCENTILE(INDIRECT("g"&amp;$D$12):INDIRECT("g"&amp;$E$12),0.5),IF(F559=6,PERCENTILE(INDIRECT("g"&amp;$D$13):INDIRECT("g"&amp;$E$13),0.5)," "))))))</f>
        <v xml:space="preserve"> </v>
      </c>
      <c r="I559" s="242" t="str">
        <f t="shared" si="46"/>
        <v xml:space="preserve"> </v>
      </c>
      <c r="J559" s="242" t="str">
        <f ca="1">IF(F559=1,AVERAGE(INDIRECT("I"&amp;$D$8):INDIRECT("I"&amp;$E$8)),IF(F559=2,AVERAGE(INDIRECT("I"&amp;$D$9):INDIRECT("I"&amp;$E$9)),IF(F559=3,AVERAGE(INDIRECT("I"&amp;$D$10):INDIRECT("I"&amp;$E$10)),IF(F559=4,AVERAGE(INDIRECT("I"&amp;$D$11):INDIRECT("I"&amp;$E$11)),IF(F559=5,AVERAGE(INDIRECT("I"&amp;$D$12):INDIRECT("I"&amp;$E$12)),IF(F559=6,AVERAGE(INDIRECT("I"&amp;$D$13):INDIRECT("I"&amp;$E$13))," "))))))</f>
        <v xml:space="preserve"> </v>
      </c>
      <c r="K559" s="242" t="str">
        <f t="shared" si="47"/>
        <v xml:space="preserve"> </v>
      </c>
      <c r="L559" s="242" t="str">
        <f t="shared" si="48"/>
        <v xml:space="preserve"> </v>
      </c>
      <c r="M559" s="242" t="str">
        <f t="shared" si="49"/>
        <v xml:space="preserve"> </v>
      </c>
    </row>
    <row r="560" spans="6:13" x14ac:dyDescent="0.2">
      <c r="F560" s="216" t="str">
        <f t="shared" si="45"/>
        <v xml:space="preserve"> </v>
      </c>
      <c r="G560" s="50"/>
      <c r="H560" s="242" t="str">
        <f ca="1">IF(F560=1,PERCENTILE(INDIRECT("g"&amp;$D$8):INDIRECT("g"&amp;$E$8),0.5),IF(F560=2,PERCENTILE(INDIRECT("g"&amp;$D$9):INDIRECT("g"&amp;$E$9),0.5),IF(F560=3,PERCENTILE(INDIRECT("g"&amp;$D$10):INDIRECT("g"&amp;$E$10),0.5),IF(F560=4,PERCENTILE(INDIRECT("g"&amp;$D$11):INDIRECT("g"&amp;$E$11),0.5),IF(F560=5,PERCENTILE(INDIRECT("g"&amp;$D$12):INDIRECT("g"&amp;$E$12),0.5),IF(F560=6,PERCENTILE(INDIRECT("g"&amp;$D$13):INDIRECT("g"&amp;$E$13),0.5)," "))))))</f>
        <v xml:space="preserve"> </v>
      </c>
      <c r="I560" s="242" t="str">
        <f t="shared" si="46"/>
        <v xml:space="preserve"> </v>
      </c>
      <c r="J560" s="242" t="str">
        <f ca="1">IF(F560=1,AVERAGE(INDIRECT("I"&amp;$D$8):INDIRECT("I"&amp;$E$8)),IF(F560=2,AVERAGE(INDIRECT("I"&amp;$D$9):INDIRECT("I"&amp;$E$9)),IF(F560=3,AVERAGE(INDIRECT("I"&amp;$D$10):INDIRECT("I"&amp;$E$10)),IF(F560=4,AVERAGE(INDIRECT("I"&amp;$D$11):INDIRECT("I"&amp;$E$11)),IF(F560=5,AVERAGE(INDIRECT("I"&amp;$D$12):INDIRECT("I"&amp;$E$12)),IF(F560=6,AVERAGE(INDIRECT("I"&amp;$D$13):INDIRECT("I"&amp;$E$13))," "))))))</f>
        <v xml:space="preserve"> </v>
      </c>
      <c r="K560" s="242" t="str">
        <f t="shared" si="47"/>
        <v xml:space="preserve"> </v>
      </c>
      <c r="L560" s="242" t="str">
        <f t="shared" si="48"/>
        <v xml:space="preserve"> </v>
      </c>
      <c r="M560" s="242" t="str">
        <f t="shared" si="49"/>
        <v xml:space="preserve"> </v>
      </c>
    </row>
    <row r="561" spans="6:13" x14ac:dyDescent="0.2">
      <c r="F561" s="216" t="str">
        <f t="shared" si="45"/>
        <v xml:space="preserve"> </v>
      </c>
      <c r="G561" s="50"/>
      <c r="H561" s="242" t="str">
        <f ca="1">IF(F561=1,PERCENTILE(INDIRECT("g"&amp;$D$8):INDIRECT("g"&amp;$E$8),0.5),IF(F561=2,PERCENTILE(INDIRECT("g"&amp;$D$9):INDIRECT("g"&amp;$E$9),0.5),IF(F561=3,PERCENTILE(INDIRECT("g"&amp;$D$10):INDIRECT("g"&amp;$E$10),0.5),IF(F561=4,PERCENTILE(INDIRECT("g"&amp;$D$11):INDIRECT("g"&amp;$E$11),0.5),IF(F561=5,PERCENTILE(INDIRECT("g"&amp;$D$12):INDIRECT("g"&amp;$E$12),0.5),IF(F561=6,PERCENTILE(INDIRECT("g"&amp;$D$13):INDIRECT("g"&amp;$E$13),0.5)," "))))))</f>
        <v xml:space="preserve"> </v>
      </c>
      <c r="I561" s="242" t="str">
        <f t="shared" si="46"/>
        <v xml:space="preserve"> </v>
      </c>
      <c r="J561" s="242" t="str">
        <f ca="1">IF(F561=1,AVERAGE(INDIRECT("I"&amp;$D$8):INDIRECT("I"&amp;$E$8)),IF(F561=2,AVERAGE(INDIRECT("I"&amp;$D$9):INDIRECT("I"&amp;$E$9)),IF(F561=3,AVERAGE(INDIRECT("I"&amp;$D$10):INDIRECT("I"&amp;$E$10)),IF(F561=4,AVERAGE(INDIRECT("I"&amp;$D$11):INDIRECT("I"&amp;$E$11)),IF(F561=5,AVERAGE(INDIRECT("I"&amp;$D$12):INDIRECT("I"&amp;$E$12)),IF(F561=6,AVERAGE(INDIRECT("I"&amp;$D$13):INDIRECT("I"&amp;$E$13))," "))))))</f>
        <v xml:space="preserve"> </v>
      </c>
      <c r="K561" s="242" t="str">
        <f t="shared" si="47"/>
        <v xml:space="preserve"> </v>
      </c>
      <c r="L561" s="242" t="str">
        <f t="shared" si="48"/>
        <v xml:space="preserve"> </v>
      </c>
      <c r="M561" s="242" t="str">
        <f t="shared" si="49"/>
        <v xml:space="preserve"> </v>
      </c>
    </row>
    <row r="562" spans="6:13" x14ac:dyDescent="0.2">
      <c r="F562" s="216" t="str">
        <f t="shared" si="45"/>
        <v xml:space="preserve"> </v>
      </c>
      <c r="G562" s="50"/>
      <c r="H562" s="242" t="str">
        <f ca="1">IF(F562=1,PERCENTILE(INDIRECT("g"&amp;$D$8):INDIRECT("g"&amp;$E$8),0.5),IF(F562=2,PERCENTILE(INDIRECT("g"&amp;$D$9):INDIRECT("g"&amp;$E$9),0.5),IF(F562=3,PERCENTILE(INDIRECT("g"&amp;$D$10):INDIRECT("g"&amp;$E$10),0.5),IF(F562=4,PERCENTILE(INDIRECT("g"&amp;$D$11):INDIRECT("g"&amp;$E$11),0.5),IF(F562=5,PERCENTILE(INDIRECT("g"&amp;$D$12):INDIRECT("g"&amp;$E$12),0.5),IF(F562=6,PERCENTILE(INDIRECT("g"&amp;$D$13):INDIRECT("g"&amp;$E$13),0.5)," "))))))</f>
        <v xml:space="preserve"> </v>
      </c>
      <c r="I562" s="242" t="str">
        <f t="shared" si="46"/>
        <v xml:space="preserve"> </v>
      </c>
      <c r="J562" s="242" t="str">
        <f ca="1">IF(F562=1,AVERAGE(INDIRECT("I"&amp;$D$8):INDIRECT("I"&amp;$E$8)),IF(F562=2,AVERAGE(INDIRECT("I"&amp;$D$9):INDIRECT("I"&amp;$E$9)),IF(F562=3,AVERAGE(INDIRECT("I"&amp;$D$10):INDIRECT("I"&amp;$E$10)),IF(F562=4,AVERAGE(INDIRECT("I"&amp;$D$11):INDIRECT("I"&amp;$E$11)),IF(F562=5,AVERAGE(INDIRECT("I"&amp;$D$12):INDIRECT("I"&amp;$E$12)),IF(F562=6,AVERAGE(INDIRECT("I"&amp;$D$13):INDIRECT("I"&amp;$E$13))," "))))))</f>
        <v xml:space="preserve"> </v>
      </c>
      <c r="K562" s="242" t="str">
        <f t="shared" si="47"/>
        <v xml:space="preserve"> </v>
      </c>
      <c r="L562" s="242" t="str">
        <f t="shared" si="48"/>
        <v xml:space="preserve"> </v>
      </c>
      <c r="M562" s="242" t="str">
        <f t="shared" si="49"/>
        <v xml:space="preserve"> </v>
      </c>
    </row>
    <row r="563" spans="6:13" x14ac:dyDescent="0.2">
      <c r="F563" s="216" t="str">
        <f t="shared" si="45"/>
        <v xml:space="preserve"> </v>
      </c>
      <c r="G563" s="50"/>
      <c r="H563" s="242" t="str">
        <f ca="1">IF(F563=1,PERCENTILE(INDIRECT("g"&amp;$D$8):INDIRECT("g"&amp;$E$8),0.5),IF(F563=2,PERCENTILE(INDIRECT("g"&amp;$D$9):INDIRECT("g"&amp;$E$9),0.5),IF(F563=3,PERCENTILE(INDIRECT("g"&amp;$D$10):INDIRECT("g"&amp;$E$10),0.5),IF(F563=4,PERCENTILE(INDIRECT("g"&amp;$D$11):INDIRECT("g"&amp;$E$11),0.5),IF(F563=5,PERCENTILE(INDIRECT("g"&amp;$D$12):INDIRECT("g"&amp;$E$12),0.5),IF(F563=6,PERCENTILE(INDIRECT("g"&amp;$D$13):INDIRECT("g"&amp;$E$13),0.5)," "))))))</f>
        <v xml:space="preserve"> </v>
      </c>
      <c r="I563" s="242" t="str">
        <f t="shared" si="46"/>
        <v xml:space="preserve"> </v>
      </c>
      <c r="J563" s="242" t="str">
        <f ca="1">IF(F563=1,AVERAGE(INDIRECT("I"&amp;$D$8):INDIRECT("I"&amp;$E$8)),IF(F563=2,AVERAGE(INDIRECT("I"&amp;$D$9):INDIRECT("I"&amp;$E$9)),IF(F563=3,AVERAGE(INDIRECT("I"&amp;$D$10):INDIRECT("I"&amp;$E$10)),IF(F563=4,AVERAGE(INDIRECT("I"&amp;$D$11):INDIRECT("I"&amp;$E$11)),IF(F563=5,AVERAGE(INDIRECT("I"&amp;$D$12):INDIRECT("I"&amp;$E$12)),IF(F563=6,AVERAGE(INDIRECT("I"&amp;$D$13):INDIRECT("I"&amp;$E$13))," "))))))</f>
        <v xml:space="preserve"> </v>
      </c>
      <c r="K563" s="242" t="str">
        <f t="shared" si="47"/>
        <v xml:space="preserve"> </v>
      </c>
      <c r="L563" s="242" t="str">
        <f t="shared" si="48"/>
        <v xml:space="preserve"> </v>
      </c>
      <c r="M563" s="242" t="str">
        <f t="shared" si="49"/>
        <v xml:space="preserve"> </v>
      </c>
    </row>
    <row r="564" spans="6:13" x14ac:dyDescent="0.2">
      <c r="F564" s="216" t="str">
        <f t="shared" si="45"/>
        <v xml:space="preserve"> </v>
      </c>
      <c r="G564" s="50"/>
      <c r="H564" s="242" t="str">
        <f ca="1">IF(F564=1,PERCENTILE(INDIRECT("g"&amp;$D$8):INDIRECT("g"&amp;$E$8),0.5),IF(F564=2,PERCENTILE(INDIRECT("g"&amp;$D$9):INDIRECT("g"&amp;$E$9),0.5),IF(F564=3,PERCENTILE(INDIRECT("g"&amp;$D$10):INDIRECT("g"&amp;$E$10),0.5),IF(F564=4,PERCENTILE(INDIRECT("g"&amp;$D$11):INDIRECT("g"&amp;$E$11),0.5),IF(F564=5,PERCENTILE(INDIRECT("g"&amp;$D$12):INDIRECT("g"&amp;$E$12),0.5),IF(F564=6,PERCENTILE(INDIRECT("g"&amp;$D$13):INDIRECT("g"&amp;$E$13),0.5)," "))))))</f>
        <v xml:space="preserve"> </v>
      </c>
      <c r="I564" s="242" t="str">
        <f t="shared" si="46"/>
        <v xml:space="preserve"> </v>
      </c>
      <c r="J564" s="242" t="str">
        <f ca="1">IF(F564=1,AVERAGE(INDIRECT("I"&amp;$D$8):INDIRECT("I"&amp;$E$8)),IF(F564=2,AVERAGE(INDIRECT("I"&amp;$D$9):INDIRECT("I"&amp;$E$9)),IF(F564=3,AVERAGE(INDIRECT("I"&amp;$D$10):INDIRECT("I"&amp;$E$10)),IF(F564=4,AVERAGE(INDIRECT("I"&amp;$D$11):INDIRECT("I"&amp;$E$11)),IF(F564=5,AVERAGE(INDIRECT("I"&amp;$D$12):INDIRECT("I"&amp;$E$12)),IF(F564=6,AVERAGE(INDIRECT("I"&amp;$D$13):INDIRECT("I"&amp;$E$13))," "))))))</f>
        <v xml:space="preserve"> </v>
      </c>
      <c r="K564" s="242" t="str">
        <f t="shared" si="47"/>
        <v xml:space="preserve"> </v>
      </c>
      <c r="L564" s="242" t="str">
        <f t="shared" si="48"/>
        <v xml:space="preserve"> </v>
      </c>
      <c r="M564" s="242" t="str">
        <f t="shared" si="49"/>
        <v xml:space="preserve"> </v>
      </c>
    </row>
    <row r="565" spans="6:13" x14ac:dyDescent="0.2">
      <c r="F565" s="216" t="str">
        <f t="shared" si="45"/>
        <v xml:space="preserve"> </v>
      </c>
      <c r="G565" s="50"/>
      <c r="H565" s="242" t="str">
        <f ca="1">IF(F565=1,PERCENTILE(INDIRECT("g"&amp;$D$8):INDIRECT("g"&amp;$E$8),0.5),IF(F565=2,PERCENTILE(INDIRECT("g"&amp;$D$9):INDIRECT("g"&amp;$E$9),0.5),IF(F565=3,PERCENTILE(INDIRECT("g"&amp;$D$10):INDIRECT("g"&amp;$E$10),0.5),IF(F565=4,PERCENTILE(INDIRECT("g"&amp;$D$11):INDIRECT("g"&amp;$E$11),0.5),IF(F565=5,PERCENTILE(INDIRECT("g"&amp;$D$12):INDIRECT("g"&amp;$E$12),0.5),IF(F565=6,PERCENTILE(INDIRECT("g"&amp;$D$13):INDIRECT("g"&amp;$E$13),0.5)," "))))))</f>
        <v xml:space="preserve"> </v>
      </c>
      <c r="I565" s="242" t="str">
        <f t="shared" si="46"/>
        <v xml:space="preserve"> </v>
      </c>
      <c r="J565" s="242" t="str">
        <f ca="1">IF(F565=1,AVERAGE(INDIRECT("I"&amp;$D$8):INDIRECT("I"&amp;$E$8)),IF(F565=2,AVERAGE(INDIRECT("I"&amp;$D$9):INDIRECT("I"&amp;$E$9)),IF(F565=3,AVERAGE(INDIRECT("I"&amp;$D$10):INDIRECT("I"&amp;$E$10)),IF(F565=4,AVERAGE(INDIRECT("I"&amp;$D$11):INDIRECT("I"&amp;$E$11)),IF(F565=5,AVERAGE(INDIRECT("I"&amp;$D$12):INDIRECT("I"&amp;$E$12)),IF(F565=6,AVERAGE(INDIRECT("I"&amp;$D$13):INDIRECT("I"&amp;$E$13))," "))))))</f>
        <v xml:space="preserve"> </v>
      </c>
      <c r="K565" s="242" t="str">
        <f t="shared" si="47"/>
        <v xml:space="preserve"> </v>
      </c>
      <c r="L565" s="242" t="str">
        <f t="shared" si="48"/>
        <v xml:space="preserve"> </v>
      </c>
      <c r="M565" s="242" t="str">
        <f t="shared" si="49"/>
        <v xml:space="preserve"> </v>
      </c>
    </row>
    <row r="566" spans="6:13" x14ac:dyDescent="0.2">
      <c r="F566" s="216" t="str">
        <f t="shared" si="45"/>
        <v xml:space="preserve"> </v>
      </c>
      <c r="G566" s="50"/>
      <c r="H566" s="242" t="str">
        <f ca="1">IF(F566=1,PERCENTILE(INDIRECT("g"&amp;$D$8):INDIRECT("g"&amp;$E$8),0.5),IF(F566=2,PERCENTILE(INDIRECT("g"&amp;$D$9):INDIRECT("g"&amp;$E$9),0.5),IF(F566=3,PERCENTILE(INDIRECT("g"&amp;$D$10):INDIRECT("g"&amp;$E$10),0.5),IF(F566=4,PERCENTILE(INDIRECT("g"&amp;$D$11):INDIRECT("g"&amp;$E$11),0.5),IF(F566=5,PERCENTILE(INDIRECT("g"&amp;$D$12):INDIRECT("g"&amp;$E$12),0.5),IF(F566=6,PERCENTILE(INDIRECT("g"&amp;$D$13):INDIRECT("g"&amp;$E$13),0.5)," "))))))</f>
        <v xml:space="preserve"> </v>
      </c>
      <c r="I566" s="242" t="str">
        <f t="shared" si="46"/>
        <v xml:space="preserve"> </v>
      </c>
      <c r="J566" s="242" t="str">
        <f ca="1">IF(F566=1,AVERAGE(INDIRECT("I"&amp;$D$8):INDIRECT("I"&amp;$E$8)),IF(F566=2,AVERAGE(INDIRECT("I"&amp;$D$9):INDIRECT("I"&amp;$E$9)),IF(F566=3,AVERAGE(INDIRECT("I"&amp;$D$10):INDIRECT("I"&amp;$E$10)),IF(F566=4,AVERAGE(INDIRECT("I"&amp;$D$11):INDIRECT("I"&amp;$E$11)),IF(F566=5,AVERAGE(INDIRECT("I"&amp;$D$12):INDIRECT("I"&amp;$E$12)),IF(F566=6,AVERAGE(INDIRECT("I"&amp;$D$13):INDIRECT("I"&amp;$E$13))," "))))))</f>
        <v xml:space="preserve"> </v>
      </c>
      <c r="K566" s="242" t="str">
        <f t="shared" si="47"/>
        <v xml:space="preserve"> </v>
      </c>
      <c r="L566" s="242" t="str">
        <f t="shared" si="48"/>
        <v xml:space="preserve"> </v>
      </c>
      <c r="M566" s="242" t="str">
        <f t="shared" si="49"/>
        <v xml:space="preserve"> </v>
      </c>
    </row>
    <row r="567" spans="6:13" x14ac:dyDescent="0.2">
      <c r="F567" s="216" t="str">
        <f t="shared" si="45"/>
        <v xml:space="preserve"> </v>
      </c>
      <c r="G567" s="50"/>
      <c r="H567" s="242" t="str">
        <f ca="1">IF(F567=1,PERCENTILE(INDIRECT("g"&amp;$D$8):INDIRECT("g"&amp;$E$8),0.5),IF(F567=2,PERCENTILE(INDIRECT("g"&amp;$D$9):INDIRECT("g"&amp;$E$9),0.5),IF(F567=3,PERCENTILE(INDIRECT("g"&amp;$D$10):INDIRECT("g"&amp;$E$10),0.5),IF(F567=4,PERCENTILE(INDIRECT("g"&amp;$D$11):INDIRECT("g"&amp;$E$11),0.5),IF(F567=5,PERCENTILE(INDIRECT("g"&amp;$D$12):INDIRECT("g"&amp;$E$12),0.5),IF(F567=6,PERCENTILE(INDIRECT("g"&amp;$D$13):INDIRECT("g"&amp;$E$13),0.5)," "))))))</f>
        <v xml:space="preserve"> </v>
      </c>
      <c r="I567" s="242" t="str">
        <f t="shared" si="46"/>
        <v xml:space="preserve"> </v>
      </c>
      <c r="J567" s="242" t="str">
        <f ca="1">IF(F567=1,AVERAGE(INDIRECT("I"&amp;$D$8):INDIRECT("I"&amp;$E$8)),IF(F567=2,AVERAGE(INDIRECT("I"&amp;$D$9):INDIRECT("I"&amp;$E$9)),IF(F567=3,AVERAGE(INDIRECT("I"&amp;$D$10):INDIRECT("I"&amp;$E$10)),IF(F567=4,AVERAGE(INDIRECT("I"&amp;$D$11):INDIRECT("I"&amp;$E$11)),IF(F567=5,AVERAGE(INDIRECT("I"&amp;$D$12):INDIRECT("I"&amp;$E$12)),IF(F567=6,AVERAGE(INDIRECT("I"&amp;$D$13):INDIRECT("I"&amp;$E$13))," "))))))</f>
        <v xml:space="preserve"> </v>
      </c>
      <c r="K567" s="242" t="str">
        <f t="shared" si="47"/>
        <v xml:space="preserve"> </v>
      </c>
      <c r="L567" s="242" t="str">
        <f t="shared" si="48"/>
        <v xml:space="preserve"> </v>
      </c>
      <c r="M567" s="242" t="str">
        <f t="shared" si="49"/>
        <v xml:space="preserve"> </v>
      </c>
    </row>
    <row r="568" spans="6:13" x14ac:dyDescent="0.2">
      <c r="F568" s="216" t="str">
        <f t="shared" si="45"/>
        <v xml:space="preserve"> </v>
      </c>
      <c r="G568" s="50"/>
      <c r="H568" s="242" t="str">
        <f ca="1">IF(F568=1,PERCENTILE(INDIRECT("g"&amp;$D$8):INDIRECT("g"&amp;$E$8),0.5),IF(F568=2,PERCENTILE(INDIRECT("g"&amp;$D$9):INDIRECT("g"&amp;$E$9),0.5),IF(F568=3,PERCENTILE(INDIRECT("g"&amp;$D$10):INDIRECT("g"&amp;$E$10),0.5),IF(F568=4,PERCENTILE(INDIRECT("g"&amp;$D$11):INDIRECT("g"&amp;$E$11),0.5),IF(F568=5,PERCENTILE(INDIRECT("g"&amp;$D$12):INDIRECT("g"&amp;$E$12),0.5),IF(F568=6,PERCENTILE(INDIRECT("g"&amp;$D$13):INDIRECT("g"&amp;$E$13),0.5)," "))))))</f>
        <v xml:space="preserve"> </v>
      </c>
      <c r="I568" s="242" t="str">
        <f t="shared" si="46"/>
        <v xml:space="preserve"> </v>
      </c>
      <c r="J568" s="242" t="str">
        <f ca="1">IF(F568=1,AVERAGE(INDIRECT("I"&amp;$D$8):INDIRECT("I"&amp;$E$8)),IF(F568=2,AVERAGE(INDIRECT("I"&amp;$D$9):INDIRECT("I"&amp;$E$9)),IF(F568=3,AVERAGE(INDIRECT("I"&amp;$D$10):INDIRECT("I"&amp;$E$10)),IF(F568=4,AVERAGE(INDIRECT("I"&amp;$D$11):INDIRECT("I"&amp;$E$11)),IF(F568=5,AVERAGE(INDIRECT("I"&amp;$D$12):INDIRECT("I"&amp;$E$12)),IF(F568=6,AVERAGE(INDIRECT("I"&amp;$D$13):INDIRECT("I"&amp;$E$13))," "))))))</f>
        <v xml:space="preserve"> </v>
      </c>
      <c r="K568" s="242" t="str">
        <f t="shared" si="47"/>
        <v xml:space="preserve"> </v>
      </c>
      <c r="L568" s="242" t="str">
        <f t="shared" si="48"/>
        <v xml:space="preserve"> </v>
      </c>
      <c r="M568" s="242" t="str">
        <f t="shared" si="49"/>
        <v xml:space="preserve"> </v>
      </c>
    </row>
    <row r="569" spans="6:13" x14ac:dyDescent="0.2">
      <c r="F569" s="216" t="str">
        <f t="shared" si="45"/>
        <v xml:space="preserve"> </v>
      </c>
      <c r="G569" s="50"/>
      <c r="H569" s="242" t="str">
        <f ca="1">IF(F569=1,PERCENTILE(INDIRECT("g"&amp;$D$8):INDIRECT("g"&amp;$E$8),0.5),IF(F569=2,PERCENTILE(INDIRECT("g"&amp;$D$9):INDIRECT("g"&amp;$E$9),0.5),IF(F569=3,PERCENTILE(INDIRECT("g"&amp;$D$10):INDIRECT("g"&amp;$E$10),0.5),IF(F569=4,PERCENTILE(INDIRECT("g"&amp;$D$11):INDIRECT("g"&amp;$E$11),0.5),IF(F569=5,PERCENTILE(INDIRECT("g"&amp;$D$12):INDIRECT("g"&amp;$E$12),0.5),IF(F569=6,PERCENTILE(INDIRECT("g"&amp;$D$13):INDIRECT("g"&amp;$E$13),0.5)," "))))))</f>
        <v xml:space="preserve"> </v>
      </c>
      <c r="I569" s="242" t="str">
        <f t="shared" si="46"/>
        <v xml:space="preserve"> </v>
      </c>
      <c r="J569" s="242" t="str">
        <f ca="1">IF(F569=1,AVERAGE(INDIRECT("I"&amp;$D$8):INDIRECT("I"&amp;$E$8)),IF(F569=2,AVERAGE(INDIRECT("I"&amp;$D$9):INDIRECT("I"&amp;$E$9)),IF(F569=3,AVERAGE(INDIRECT("I"&amp;$D$10):INDIRECT("I"&amp;$E$10)),IF(F569=4,AVERAGE(INDIRECT("I"&amp;$D$11):INDIRECT("I"&amp;$E$11)),IF(F569=5,AVERAGE(INDIRECT("I"&amp;$D$12):INDIRECT("I"&amp;$E$12)),IF(F569=6,AVERAGE(INDIRECT("I"&amp;$D$13):INDIRECT("I"&amp;$E$13))," "))))))</f>
        <v xml:space="preserve"> </v>
      </c>
      <c r="K569" s="242" t="str">
        <f t="shared" si="47"/>
        <v xml:space="preserve"> </v>
      </c>
      <c r="L569" s="242" t="str">
        <f t="shared" si="48"/>
        <v xml:space="preserve"> </v>
      </c>
      <c r="M569" s="242" t="str">
        <f t="shared" si="49"/>
        <v xml:space="preserve"> </v>
      </c>
    </row>
    <row r="570" spans="6:13" x14ac:dyDescent="0.2">
      <c r="F570" s="216" t="str">
        <f t="shared" si="45"/>
        <v xml:space="preserve"> </v>
      </c>
      <c r="G570" s="50"/>
      <c r="H570" s="242" t="str">
        <f ca="1">IF(F570=1,PERCENTILE(INDIRECT("g"&amp;$D$8):INDIRECT("g"&amp;$E$8),0.5),IF(F570=2,PERCENTILE(INDIRECT("g"&amp;$D$9):INDIRECT("g"&amp;$E$9),0.5),IF(F570=3,PERCENTILE(INDIRECT("g"&amp;$D$10):INDIRECT("g"&amp;$E$10),0.5),IF(F570=4,PERCENTILE(INDIRECT("g"&amp;$D$11):INDIRECT("g"&amp;$E$11),0.5),IF(F570=5,PERCENTILE(INDIRECT("g"&amp;$D$12):INDIRECT("g"&amp;$E$12),0.5),IF(F570=6,PERCENTILE(INDIRECT("g"&amp;$D$13):INDIRECT("g"&amp;$E$13),0.5)," "))))))</f>
        <v xml:space="preserve"> </v>
      </c>
      <c r="I570" s="242" t="str">
        <f t="shared" si="46"/>
        <v xml:space="preserve"> </v>
      </c>
      <c r="J570" s="242" t="str">
        <f ca="1">IF(F570=1,AVERAGE(INDIRECT("I"&amp;$D$8):INDIRECT("I"&amp;$E$8)),IF(F570=2,AVERAGE(INDIRECT("I"&amp;$D$9):INDIRECT("I"&amp;$E$9)),IF(F570=3,AVERAGE(INDIRECT("I"&amp;$D$10):INDIRECT("I"&amp;$E$10)),IF(F570=4,AVERAGE(INDIRECT("I"&amp;$D$11):INDIRECT("I"&amp;$E$11)),IF(F570=5,AVERAGE(INDIRECT("I"&amp;$D$12):INDIRECT("I"&amp;$E$12)),IF(F570=6,AVERAGE(INDIRECT("I"&amp;$D$13):INDIRECT("I"&amp;$E$13))," "))))))</f>
        <v xml:space="preserve"> </v>
      </c>
      <c r="K570" s="242" t="str">
        <f t="shared" si="47"/>
        <v xml:space="preserve"> </v>
      </c>
      <c r="L570" s="242" t="str">
        <f t="shared" si="48"/>
        <v xml:space="preserve"> </v>
      </c>
      <c r="M570" s="242" t="str">
        <f t="shared" si="49"/>
        <v xml:space="preserve"> </v>
      </c>
    </row>
    <row r="571" spans="6:13" x14ac:dyDescent="0.2">
      <c r="F571" s="216" t="str">
        <f t="shared" si="45"/>
        <v xml:space="preserve"> </v>
      </c>
      <c r="G571" s="50"/>
      <c r="H571" s="242" t="str">
        <f ca="1">IF(F571=1,PERCENTILE(INDIRECT("g"&amp;$D$8):INDIRECT("g"&amp;$E$8),0.5),IF(F571=2,PERCENTILE(INDIRECT("g"&amp;$D$9):INDIRECT("g"&amp;$E$9),0.5),IF(F571=3,PERCENTILE(INDIRECT("g"&amp;$D$10):INDIRECT("g"&amp;$E$10),0.5),IF(F571=4,PERCENTILE(INDIRECT("g"&amp;$D$11):INDIRECT("g"&amp;$E$11),0.5),IF(F571=5,PERCENTILE(INDIRECT("g"&amp;$D$12):INDIRECT("g"&amp;$E$12),0.5),IF(F571=6,PERCENTILE(INDIRECT("g"&amp;$D$13):INDIRECT("g"&amp;$E$13),0.5)," "))))))</f>
        <v xml:space="preserve"> </v>
      </c>
      <c r="I571" s="242" t="str">
        <f t="shared" si="46"/>
        <v xml:space="preserve"> </v>
      </c>
      <c r="J571" s="242" t="str">
        <f ca="1">IF(F571=1,AVERAGE(INDIRECT("I"&amp;$D$8):INDIRECT("I"&amp;$E$8)),IF(F571=2,AVERAGE(INDIRECT("I"&amp;$D$9):INDIRECT("I"&amp;$E$9)),IF(F571=3,AVERAGE(INDIRECT("I"&amp;$D$10):INDIRECT("I"&amp;$E$10)),IF(F571=4,AVERAGE(INDIRECT("I"&amp;$D$11):INDIRECT("I"&amp;$E$11)),IF(F571=5,AVERAGE(INDIRECT("I"&amp;$D$12):INDIRECT("I"&amp;$E$12)),IF(F571=6,AVERAGE(INDIRECT("I"&amp;$D$13):INDIRECT("I"&amp;$E$13))," "))))))</f>
        <v xml:space="preserve"> </v>
      </c>
      <c r="K571" s="242" t="str">
        <f t="shared" si="47"/>
        <v xml:space="preserve"> </v>
      </c>
      <c r="L571" s="242" t="str">
        <f t="shared" si="48"/>
        <v xml:space="preserve"> </v>
      </c>
      <c r="M571" s="242" t="str">
        <f t="shared" si="49"/>
        <v xml:space="preserve"> </v>
      </c>
    </row>
    <row r="572" spans="6:13" x14ac:dyDescent="0.2">
      <c r="F572" s="216" t="str">
        <f t="shared" si="45"/>
        <v xml:space="preserve"> </v>
      </c>
      <c r="G572" s="50"/>
      <c r="H572" s="242" t="str">
        <f ca="1">IF(F572=1,PERCENTILE(INDIRECT("g"&amp;$D$8):INDIRECT("g"&amp;$E$8),0.5),IF(F572=2,PERCENTILE(INDIRECT("g"&amp;$D$9):INDIRECT("g"&amp;$E$9),0.5),IF(F572=3,PERCENTILE(INDIRECT("g"&amp;$D$10):INDIRECT("g"&amp;$E$10),0.5),IF(F572=4,PERCENTILE(INDIRECT("g"&amp;$D$11):INDIRECT("g"&amp;$E$11),0.5),IF(F572=5,PERCENTILE(INDIRECT("g"&amp;$D$12):INDIRECT("g"&amp;$E$12),0.5),IF(F572=6,PERCENTILE(INDIRECT("g"&amp;$D$13):INDIRECT("g"&amp;$E$13),0.5)," "))))))</f>
        <v xml:space="preserve"> </v>
      </c>
      <c r="I572" s="242" t="str">
        <f t="shared" si="46"/>
        <v xml:space="preserve"> </v>
      </c>
      <c r="J572" s="242" t="str">
        <f ca="1">IF(F572=1,AVERAGE(INDIRECT("I"&amp;$D$8):INDIRECT("I"&amp;$E$8)),IF(F572=2,AVERAGE(INDIRECT("I"&amp;$D$9):INDIRECT("I"&amp;$E$9)),IF(F572=3,AVERAGE(INDIRECT("I"&amp;$D$10):INDIRECT("I"&amp;$E$10)),IF(F572=4,AVERAGE(INDIRECT("I"&amp;$D$11):INDIRECT("I"&amp;$E$11)),IF(F572=5,AVERAGE(INDIRECT("I"&amp;$D$12):INDIRECT("I"&amp;$E$12)),IF(F572=6,AVERAGE(INDIRECT("I"&amp;$D$13):INDIRECT("I"&amp;$E$13))," "))))))</f>
        <v xml:space="preserve"> </v>
      </c>
      <c r="K572" s="242" t="str">
        <f t="shared" si="47"/>
        <v xml:space="preserve"> </v>
      </c>
      <c r="L572" s="242" t="str">
        <f t="shared" si="48"/>
        <v xml:space="preserve"> </v>
      </c>
      <c r="M572" s="242" t="str">
        <f t="shared" si="49"/>
        <v xml:space="preserve"> </v>
      </c>
    </row>
    <row r="573" spans="6:13" x14ac:dyDescent="0.2">
      <c r="F573" s="216" t="str">
        <f t="shared" si="45"/>
        <v xml:space="preserve"> </v>
      </c>
      <c r="G573" s="50"/>
      <c r="H573" s="242" t="str">
        <f ca="1">IF(F573=1,PERCENTILE(INDIRECT("g"&amp;$D$8):INDIRECT("g"&amp;$E$8),0.5),IF(F573=2,PERCENTILE(INDIRECT("g"&amp;$D$9):INDIRECT("g"&amp;$E$9),0.5),IF(F573=3,PERCENTILE(INDIRECT("g"&amp;$D$10):INDIRECT("g"&amp;$E$10),0.5),IF(F573=4,PERCENTILE(INDIRECT("g"&amp;$D$11):INDIRECT("g"&amp;$E$11),0.5),IF(F573=5,PERCENTILE(INDIRECT("g"&amp;$D$12):INDIRECT("g"&amp;$E$12),0.5),IF(F573=6,PERCENTILE(INDIRECT("g"&amp;$D$13):INDIRECT("g"&amp;$E$13),0.5)," "))))))</f>
        <v xml:space="preserve"> </v>
      </c>
      <c r="I573" s="242" t="str">
        <f t="shared" si="46"/>
        <v xml:space="preserve"> </v>
      </c>
      <c r="J573" s="242" t="str">
        <f ca="1">IF(F573=1,AVERAGE(INDIRECT("I"&amp;$D$8):INDIRECT("I"&amp;$E$8)),IF(F573=2,AVERAGE(INDIRECT("I"&amp;$D$9):INDIRECT("I"&amp;$E$9)),IF(F573=3,AVERAGE(INDIRECT("I"&amp;$D$10):INDIRECT("I"&amp;$E$10)),IF(F573=4,AVERAGE(INDIRECT("I"&amp;$D$11):INDIRECT("I"&amp;$E$11)),IF(F573=5,AVERAGE(INDIRECT("I"&amp;$D$12):INDIRECT("I"&amp;$E$12)),IF(F573=6,AVERAGE(INDIRECT("I"&amp;$D$13):INDIRECT("I"&amp;$E$13))," "))))))</f>
        <v xml:space="preserve"> </v>
      </c>
      <c r="K573" s="242" t="str">
        <f t="shared" si="47"/>
        <v xml:space="preserve"> </v>
      </c>
      <c r="L573" s="242" t="str">
        <f t="shared" si="48"/>
        <v xml:space="preserve"> </v>
      </c>
      <c r="M573" s="242" t="str">
        <f t="shared" si="49"/>
        <v xml:space="preserve"> </v>
      </c>
    </row>
    <row r="574" spans="6:13" x14ac:dyDescent="0.2">
      <c r="F574" s="216" t="str">
        <f t="shared" si="45"/>
        <v xml:space="preserve"> </v>
      </c>
      <c r="G574" s="50"/>
      <c r="H574" s="242" t="str">
        <f ca="1">IF(F574=1,PERCENTILE(INDIRECT("g"&amp;$D$8):INDIRECT("g"&amp;$E$8),0.5),IF(F574=2,PERCENTILE(INDIRECT("g"&amp;$D$9):INDIRECT("g"&amp;$E$9),0.5),IF(F574=3,PERCENTILE(INDIRECT("g"&amp;$D$10):INDIRECT("g"&amp;$E$10),0.5),IF(F574=4,PERCENTILE(INDIRECT("g"&amp;$D$11):INDIRECT("g"&amp;$E$11),0.5),IF(F574=5,PERCENTILE(INDIRECT("g"&amp;$D$12):INDIRECT("g"&amp;$E$12),0.5),IF(F574=6,PERCENTILE(INDIRECT("g"&amp;$D$13):INDIRECT("g"&amp;$E$13),0.5)," "))))))</f>
        <v xml:space="preserve"> </v>
      </c>
      <c r="I574" s="242" t="str">
        <f t="shared" si="46"/>
        <v xml:space="preserve"> </v>
      </c>
      <c r="J574" s="242" t="str">
        <f ca="1">IF(F574=1,AVERAGE(INDIRECT("I"&amp;$D$8):INDIRECT("I"&amp;$E$8)),IF(F574=2,AVERAGE(INDIRECT("I"&amp;$D$9):INDIRECT("I"&amp;$E$9)),IF(F574=3,AVERAGE(INDIRECT("I"&amp;$D$10):INDIRECT("I"&amp;$E$10)),IF(F574=4,AVERAGE(INDIRECT("I"&amp;$D$11):INDIRECT("I"&amp;$E$11)),IF(F574=5,AVERAGE(INDIRECT("I"&amp;$D$12):INDIRECT("I"&amp;$E$12)),IF(F574=6,AVERAGE(INDIRECT("I"&amp;$D$13):INDIRECT("I"&amp;$E$13))," "))))))</f>
        <v xml:space="preserve"> </v>
      </c>
      <c r="K574" s="242" t="str">
        <f t="shared" si="47"/>
        <v xml:space="preserve"> </v>
      </c>
      <c r="L574" s="242" t="str">
        <f t="shared" si="48"/>
        <v xml:space="preserve"> </v>
      </c>
      <c r="M574" s="242" t="str">
        <f t="shared" si="49"/>
        <v xml:space="preserve"> </v>
      </c>
    </row>
    <row r="575" spans="6:13" x14ac:dyDescent="0.2">
      <c r="F575" s="216" t="str">
        <f t="shared" si="45"/>
        <v xml:space="preserve"> </v>
      </c>
      <c r="G575" s="50"/>
      <c r="H575" s="242" t="str">
        <f ca="1">IF(F575=1,PERCENTILE(INDIRECT("g"&amp;$D$8):INDIRECT("g"&amp;$E$8),0.5),IF(F575=2,PERCENTILE(INDIRECT("g"&amp;$D$9):INDIRECT("g"&amp;$E$9),0.5),IF(F575=3,PERCENTILE(INDIRECT("g"&amp;$D$10):INDIRECT("g"&amp;$E$10),0.5),IF(F575=4,PERCENTILE(INDIRECT("g"&amp;$D$11):INDIRECT("g"&amp;$E$11),0.5),IF(F575=5,PERCENTILE(INDIRECT("g"&amp;$D$12):INDIRECT("g"&amp;$E$12),0.5),IF(F575=6,PERCENTILE(INDIRECT("g"&amp;$D$13):INDIRECT("g"&amp;$E$13),0.5)," "))))))</f>
        <v xml:space="preserve"> </v>
      </c>
      <c r="I575" s="242" t="str">
        <f t="shared" si="46"/>
        <v xml:space="preserve"> </v>
      </c>
      <c r="J575" s="242" t="str">
        <f ca="1">IF(F575=1,AVERAGE(INDIRECT("I"&amp;$D$8):INDIRECT("I"&amp;$E$8)),IF(F575=2,AVERAGE(INDIRECT("I"&amp;$D$9):INDIRECT("I"&amp;$E$9)),IF(F575=3,AVERAGE(INDIRECT("I"&amp;$D$10):INDIRECT("I"&amp;$E$10)),IF(F575=4,AVERAGE(INDIRECT("I"&amp;$D$11):INDIRECT("I"&amp;$E$11)),IF(F575=5,AVERAGE(INDIRECT("I"&amp;$D$12):INDIRECT("I"&amp;$E$12)),IF(F575=6,AVERAGE(INDIRECT("I"&amp;$D$13):INDIRECT("I"&amp;$E$13))," "))))))</f>
        <v xml:space="preserve"> </v>
      </c>
      <c r="K575" s="242" t="str">
        <f t="shared" si="47"/>
        <v xml:space="preserve"> </v>
      </c>
      <c r="L575" s="242" t="str">
        <f t="shared" si="48"/>
        <v xml:space="preserve"> </v>
      </c>
      <c r="M575" s="242" t="str">
        <f t="shared" si="49"/>
        <v xml:space="preserve"> </v>
      </c>
    </row>
    <row r="576" spans="6:13" x14ac:dyDescent="0.2">
      <c r="F576" s="216" t="str">
        <f t="shared" si="45"/>
        <v xml:space="preserve"> </v>
      </c>
      <c r="G576" s="50"/>
      <c r="H576" s="242" t="str">
        <f ca="1">IF(F576=1,PERCENTILE(INDIRECT("g"&amp;$D$8):INDIRECT("g"&amp;$E$8),0.5),IF(F576=2,PERCENTILE(INDIRECT("g"&amp;$D$9):INDIRECT("g"&amp;$E$9),0.5),IF(F576=3,PERCENTILE(INDIRECT("g"&amp;$D$10):INDIRECT("g"&amp;$E$10),0.5),IF(F576=4,PERCENTILE(INDIRECT("g"&amp;$D$11):INDIRECT("g"&amp;$E$11),0.5),IF(F576=5,PERCENTILE(INDIRECT("g"&amp;$D$12):INDIRECT("g"&amp;$E$12),0.5),IF(F576=6,PERCENTILE(INDIRECT("g"&amp;$D$13):INDIRECT("g"&amp;$E$13),0.5)," "))))))</f>
        <v xml:space="preserve"> </v>
      </c>
      <c r="I576" s="242" t="str">
        <f t="shared" si="46"/>
        <v xml:space="preserve"> </v>
      </c>
      <c r="J576" s="242" t="str">
        <f ca="1">IF(F576=1,AVERAGE(INDIRECT("I"&amp;$D$8):INDIRECT("I"&amp;$E$8)),IF(F576=2,AVERAGE(INDIRECT("I"&amp;$D$9):INDIRECT("I"&amp;$E$9)),IF(F576=3,AVERAGE(INDIRECT("I"&amp;$D$10):INDIRECT("I"&amp;$E$10)),IF(F576=4,AVERAGE(INDIRECT("I"&amp;$D$11):INDIRECT("I"&amp;$E$11)),IF(F576=5,AVERAGE(INDIRECT("I"&amp;$D$12):INDIRECT("I"&amp;$E$12)),IF(F576=6,AVERAGE(INDIRECT("I"&amp;$D$13):INDIRECT("I"&amp;$E$13))," "))))))</f>
        <v xml:space="preserve"> </v>
      </c>
      <c r="K576" s="242" t="str">
        <f t="shared" si="47"/>
        <v xml:space="preserve"> </v>
      </c>
      <c r="L576" s="242" t="str">
        <f t="shared" si="48"/>
        <v xml:space="preserve"> </v>
      </c>
      <c r="M576" s="242" t="str">
        <f t="shared" si="49"/>
        <v xml:space="preserve"> </v>
      </c>
    </row>
    <row r="577" spans="6:13" x14ac:dyDescent="0.2">
      <c r="F577" s="216" t="str">
        <f t="shared" si="45"/>
        <v xml:space="preserve"> </v>
      </c>
      <c r="G577" s="50"/>
      <c r="H577" s="242" t="str">
        <f ca="1">IF(F577=1,PERCENTILE(INDIRECT("g"&amp;$D$8):INDIRECT("g"&amp;$E$8),0.5),IF(F577=2,PERCENTILE(INDIRECT("g"&amp;$D$9):INDIRECT("g"&amp;$E$9),0.5),IF(F577=3,PERCENTILE(INDIRECT("g"&amp;$D$10):INDIRECT("g"&amp;$E$10),0.5),IF(F577=4,PERCENTILE(INDIRECT("g"&amp;$D$11):INDIRECT("g"&amp;$E$11),0.5),IF(F577=5,PERCENTILE(INDIRECT("g"&amp;$D$12):INDIRECT("g"&amp;$E$12),0.5),IF(F577=6,PERCENTILE(INDIRECT("g"&amp;$D$13):INDIRECT("g"&amp;$E$13),0.5)," "))))))</f>
        <v xml:space="preserve"> </v>
      </c>
      <c r="I577" s="242" t="str">
        <f t="shared" si="46"/>
        <v xml:space="preserve"> </v>
      </c>
      <c r="J577" s="242" t="str">
        <f ca="1">IF(F577=1,AVERAGE(INDIRECT("I"&amp;$D$8):INDIRECT("I"&amp;$E$8)),IF(F577=2,AVERAGE(INDIRECT("I"&amp;$D$9):INDIRECT("I"&amp;$E$9)),IF(F577=3,AVERAGE(INDIRECT("I"&amp;$D$10):INDIRECT("I"&amp;$E$10)),IF(F577=4,AVERAGE(INDIRECT("I"&amp;$D$11):INDIRECT("I"&amp;$E$11)),IF(F577=5,AVERAGE(INDIRECT("I"&amp;$D$12):INDIRECT("I"&amp;$E$12)),IF(F577=6,AVERAGE(INDIRECT("I"&amp;$D$13):INDIRECT("I"&amp;$E$13))," "))))))</f>
        <v xml:space="preserve"> </v>
      </c>
      <c r="K577" s="242" t="str">
        <f t="shared" si="47"/>
        <v xml:space="preserve"> </v>
      </c>
      <c r="L577" s="242" t="str">
        <f t="shared" si="48"/>
        <v xml:space="preserve"> </v>
      </c>
      <c r="M577" s="242" t="str">
        <f t="shared" si="49"/>
        <v xml:space="preserve"> </v>
      </c>
    </row>
    <row r="578" spans="6:13" x14ac:dyDescent="0.2">
      <c r="F578" s="216" t="str">
        <f t="shared" si="45"/>
        <v xml:space="preserve"> </v>
      </c>
      <c r="G578" s="50"/>
      <c r="H578" s="242" t="str">
        <f ca="1">IF(F578=1,PERCENTILE(INDIRECT("g"&amp;$D$8):INDIRECT("g"&amp;$E$8),0.5),IF(F578=2,PERCENTILE(INDIRECT("g"&amp;$D$9):INDIRECT("g"&amp;$E$9),0.5),IF(F578=3,PERCENTILE(INDIRECT("g"&amp;$D$10):INDIRECT("g"&amp;$E$10),0.5),IF(F578=4,PERCENTILE(INDIRECT("g"&amp;$D$11):INDIRECT("g"&amp;$E$11),0.5),IF(F578=5,PERCENTILE(INDIRECT("g"&amp;$D$12):INDIRECT("g"&amp;$E$12),0.5),IF(F578=6,PERCENTILE(INDIRECT("g"&amp;$D$13):INDIRECT("g"&amp;$E$13),0.5)," "))))))</f>
        <v xml:space="preserve"> </v>
      </c>
      <c r="I578" s="242" t="str">
        <f t="shared" si="46"/>
        <v xml:space="preserve"> </v>
      </c>
      <c r="J578" s="242" t="str">
        <f ca="1">IF(F578=1,AVERAGE(INDIRECT("I"&amp;$D$8):INDIRECT("I"&amp;$E$8)),IF(F578=2,AVERAGE(INDIRECT("I"&amp;$D$9):INDIRECT("I"&amp;$E$9)),IF(F578=3,AVERAGE(INDIRECT("I"&amp;$D$10):INDIRECT("I"&amp;$E$10)),IF(F578=4,AVERAGE(INDIRECT("I"&amp;$D$11):INDIRECT("I"&amp;$E$11)),IF(F578=5,AVERAGE(INDIRECT("I"&amp;$D$12):INDIRECT("I"&amp;$E$12)),IF(F578=6,AVERAGE(INDIRECT("I"&amp;$D$13):INDIRECT("I"&amp;$E$13))," "))))))</f>
        <v xml:space="preserve"> </v>
      </c>
      <c r="K578" s="242" t="str">
        <f t="shared" si="47"/>
        <v xml:space="preserve"> </v>
      </c>
      <c r="L578" s="242" t="str">
        <f t="shared" si="48"/>
        <v xml:space="preserve"> </v>
      </c>
      <c r="M578" s="242" t="str">
        <f t="shared" si="49"/>
        <v xml:space="preserve"> </v>
      </c>
    </row>
    <row r="579" spans="6:13" x14ac:dyDescent="0.2">
      <c r="F579" s="216" t="str">
        <f t="shared" si="45"/>
        <v xml:space="preserve"> </v>
      </c>
      <c r="G579" s="50"/>
      <c r="H579" s="242" t="str">
        <f ca="1">IF(F579=1,PERCENTILE(INDIRECT("g"&amp;$D$8):INDIRECT("g"&amp;$E$8),0.5),IF(F579=2,PERCENTILE(INDIRECT("g"&amp;$D$9):INDIRECT("g"&amp;$E$9),0.5),IF(F579=3,PERCENTILE(INDIRECT("g"&amp;$D$10):INDIRECT("g"&amp;$E$10),0.5),IF(F579=4,PERCENTILE(INDIRECT("g"&amp;$D$11):INDIRECT("g"&amp;$E$11),0.5),IF(F579=5,PERCENTILE(INDIRECT("g"&amp;$D$12):INDIRECT("g"&amp;$E$12),0.5),IF(F579=6,PERCENTILE(INDIRECT("g"&amp;$D$13):INDIRECT("g"&amp;$E$13),0.5)," "))))))</f>
        <v xml:space="preserve"> </v>
      </c>
      <c r="I579" s="242" t="str">
        <f t="shared" si="46"/>
        <v xml:space="preserve"> </v>
      </c>
      <c r="J579" s="242" t="str">
        <f ca="1">IF(F579=1,AVERAGE(INDIRECT("I"&amp;$D$8):INDIRECT("I"&amp;$E$8)),IF(F579=2,AVERAGE(INDIRECT("I"&amp;$D$9):INDIRECT("I"&amp;$E$9)),IF(F579=3,AVERAGE(INDIRECT("I"&amp;$D$10):INDIRECT("I"&amp;$E$10)),IF(F579=4,AVERAGE(INDIRECT("I"&amp;$D$11):INDIRECT("I"&amp;$E$11)),IF(F579=5,AVERAGE(INDIRECT("I"&amp;$D$12):INDIRECT("I"&amp;$E$12)),IF(F579=6,AVERAGE(INDIRECT("I"&amp;$D$13):INDIRECT("I"&amp;$E$13))," "))))))</f>
        <v xml:space="preserve"> </v>
      </c>
      <c r="K579" s="242" t="str">
        <f t="shared" si="47"/>
        <v xml:space="preserve"> </v>
      </c>
      <c r="L579" s="242" t="str">
        <f t="shared" si="48"/>
        <v xml:space="preserve"> </v>
      </c>
      <c r="M579" s="242" t="str">
        <f t="shared" si="49"/>
        <v xml:space="preserve"> </v>
      </c>
    </row>
    <row r="580" spans="6:13" x14ac:dyDescent="0.2">
      <c r="F580" s="216" t="str">
        <f t="shared" si="45"/>
        <v xml:space="preserve"> </v>
      </c>
      <c r="G580" s="50"/>
      <c r="H580" s="242" t="str">
        <f ca="1">IF(F580=1,PERCENTILE(INDIRECT("g"&amp;$D$8):INDIRECT("g"&amp;$E$8),0.5),IF(F580=2,PERCENTILE(INDIRECT("g"&amp;$D$9):INDIRECT("g"&amp;$E$9),0.5),IF(F580=3,PERCENTILE(INDIRECT("g"&amp;$D$10):INDIRECT("g"&amp;$E$10),0.5),IF(F580=4,PERCENTILE(INDIRECT("g"&amp;$D$11):INDIRECT("g"&amp;$E$11),0.5),IF(F580=5,PERCENTILE(INDIRECT("g"&amp;$D$12):INDIRECT("g"&amp;$E$12),0.5),IF(F580=6,PERCENTILE(INDIRECT("g"&amp;$D$13):INDIRECT("g"&amp;$E$13),0.5)," "))))))</f>
        <v xml:space="preserve"> </v>
      </c>
      <c r="I580" s="242" t="str">
        <f t="shared" si="46"/>
        <v xml:space="preserve"> </v>
      </c>
      <c r="J580" s="242" t="str">
        <f ca="1">IF(F580=1,AVERAGE(INDIRECT("I"&amp;$D$8):INDIRECT("I"&amp;$E$8)),IF(F580=2,AVERAGE(INDIRECT("I"&amp;$D$9):INDIRECT("I"&amp;$E$9)),IF(F580=3,AVERAGE(INDIRECT("I"&amp;$D$10):INDIRECT("I"&amp;$E$10)),IF(F580=4,AVERAGE(INDIRECT("I"&amp;$D$11):INDIRECT("I"&amp;$E$11)),IF(F580=5,AVERAGE(INDIRECT("I"&amp;$D$12):INDIRECT("I"&amp;$E$12)),IF(F580=6,AVERAGE(INDIRECT("I"&amp;$D$13):INDIRECT("I"&amp;$E$13))," "))))))</f>
        <v xml:space="preserve"> </v>
      </c>
      <c r="K580" s="242" t="str">
        <f t="shared" si="47"/>
        <v xml:space="preserve"> </v>
      </c>
      <c r="L580" s="242" t="str">
        <f t="shared" si="48"/>
        <v xml:space="preserve"> </v>
      </c>
      <c r="M580" s="242" t="str">
        <f t="shared" si="49"/>
        <v xml:space="preserve"> </v>
      </c>
    </row>
    <row r="581" spans="6:13" x14ac:dyDescent="0.2">
      <c r="F581" s="216" t="str">
        <f t="shared" si="45"/>
        <v xml:space="preserve"> </v>
      </c>
      <c r="G581" s="50"/>
      <c r="H581" s="242" t="str">
        <f ca="1">IF(F581=1,PERCENTILE(INDIRECT("g"&amp;$D$8):INDIRECT("g"&amp;$E$8),0.5),IF(F581=2,PERCENTILE(INDIRECT("g"&amp;$D$9):INDIRECT("g"&amp;$E$9),0.5),IF(F581=3,PERCENTILE(INDIRECT("g"&amp;$D$10):INDIRECT("g"&amp;$E$10),0.5),IF(F581=4,PERCENTILE(INDIRECT("g"&amp;$D$11):INDIRECT("g"&amp;$E$11),0.5),IF(F581=5,PERCENTILE(INDIRECT("g"&amp;$D$12):INDIRECT("g"&amp;$E$12),0.5),IF(F581=6,PERCENTILE(INDIRECT("g"&amp;$D$13):INDIRECT("g"&amp;$E$13),0.5)," "))))))</f>
        <v xml:space="preserve"> </v>
      </c>
      <c r="I581" s="242" t="str">
        <f t="shared" si="46"/>
        <v xml:space="preserve"> </v>
      </c>
      <c r="J581" s="242" t="str">
        <f ca="1">IF(F581=1,AVERAGE(INDIRECT("I"&amp;$D$8):INDIRECT("I"&amp;$E$8)),IF(F581=2,AVERAGE(INDIRECT("I"&amp;$D$9):INDIRECT("I"&amp;$E$9)),IF(F581=3,AVERAGE(INDIRECT("I"&amp;$D$10):INDIRECT("I"&amp;$E$10)),IF(F581=4,AVERAGE(INDIRECT("I"&amp;$D$11):INDIRECT("I"&amp;$E$11)),IF(F581=5,AVERAGE(INDIRECT("I"&amp;$D$12):INDIRECT("I"&amp;$E$12)),IF(F581=6,AVERAGE(INDIRECT("I"&amp;$D$13):INDIRECT("I"&amp;$E$13))," "))))))</f>
        <v xml:space="preserve"> </v>
      </c>
      <c r="K581" s="242" t="str">
        <f t="shared" si="47"/>
        <v xml:space="preserve"> </v>
      </c>
      <c r="L581" s="242" t="str">
        <f t="shared" si="48"/>
        <v xml:space="preserve"> </v>
      </c>
      <c r="M581" s="242" t="str">
        <f t="shared" si="49"/>
        <v xml:space="preserve"> </v>
      </c>
    </row>
    <row r="582" spans="6:13" x14ac:dyDescent="0.2">
      <c r="F582" s="216" t="str">
        <f t="shared" ref="F582:F645" si="50">IF(AND(ROW()&gt;=$D$8,ROW()&lt;=$E$8),1,IF(AND(ROW()&gt;=$D$9,ROW()&lt;=$E$9),2,IF(AND(ROW()&gt;=$D$10,ROW()&lt;=$E$10),3,IF(AND(ROW()&gt;=$D$11,ROW()&lt;=$E$11),4,IF(AND(ROW()&gt;=$D$12,ROW()&lt;=$E$12),5,IF(AND(ROW()&gt;=$D$13,ROW()&lt;=$E$13),6," "))))))</f>
        <v xml:space="preserve"> </v>
      </c>
      <c r="G582" s="50"/>
      <c r="H582" s="242" t="str">
        <f ca="1">IF(F582=1,PERCENTILE(INDIRECT("g"&amp;$D$8):INDIRECT("g"&amp;$E$8),0.5),IF(F582=2,PERCENTILE(INDIRECT("g"&amp;$D$9):INDIRECT("g"&amp;$E$9),0.5),IF(F582=3,PERCENTILE(INDIRECT("g"&amp;$D$10):INDIRECT("g"&amp;$E$10),0.5),IF(F582=4,PERCENTILE(INDIRECT("g"&amp;$D$11):INDIRECT("g"&amp;$E$11),0.5),IF(F582=5,PERCENTILE(INDIRECT("g"&amp;$D$12):INDIRECT("g"&amp;$E$12),0.5),IF(F582=6,PERCENTILE(INDIRECT("g"&amp;$D$13):INDIRECT("g"&amp;$E$13),0.5)," "))))))</f>
        <v xml:space="preserve"> </v>
      </c>
      <c r="I582" s="242" t="str">
        <f t="shared" ref="I582:I645" si="51">IF(ROW()&lt;=MAX($E$8:$E$13),ABS(G582-H582)," ")</f>
        <v xml:space="preserve"> </v>
      </c>
      <c r="J582" s="242" t="str">
        <f ca="1">IF(F582=1,AVERAGE(INDIRECT("I"&amp;$D$8):INDIRECT("I"&amp;$E$8)),IF(F582=2,AVERAGE(INDIRECT("I"&amp;$D$9):INDIRECT("I"&amp;$E$9)),IF(F582=3,AVERAGE(INDIRECT("I"&amp;$D$10):INDIRECT("I"&amp;$E$10)),IF(F582=4,AVERAGE(INDIRECT("I"&amp;$D$11):INDIRECT("I"&amp;$E$11)),IF(F582=5,AVERAGE(INDIRECT("I"&amp;$D$12):INDIRECT("I"&amp;$E$12)),IF(F582=6,AVERAGE(INDIRECT("I"&amp;$D$13):INDIRECT("I"&amp;$E$13))," "))))))</f>
        <v xml:space="preserve"> </v>
      </c>
      <c r="K582" s="242" t="str">
        <f t="shared" ref="K582:K645" si="52">IF(ROW()&lt;=MAX($E$8:$E$13),AVERAGE($I$6:$I$1005)," ")</f>
        <v xml:space="preserve"> </v>
      </c>
      <c r="L582" s="242" t="str">
        <f t="shared" ref="L582:L645" si="53">IF(ROW()&lt;=MAX($E$8:$E$13),(I582-J582)^2," ")</f>
        <v xml:space="preserve"> </v>
      </c>
      <c r="M582" s="242" t="str">
        <f t="shared" ref="M582:M645" si="54">IF(ROW()&lt;=MAX($E$8:$E$13),(J582-K582)^2," ")</f>
        <v xml:space="preserve"> </v>
      </c>
    </row>
    <row r="583" spans="6:13" x14ac:dyDescent="0.2">
      <c r="F583" s="216" t="str">
        <f t="shared" si="50"/>
        <v xml:space="preserve"> </v>
      </c>
      <c r="G583" s="50"/>
      <c r="H583" s="242" t="str">
        <f ca="1">IF(F583=1,PERCENTILE(INDIRECT("g"&amp;$D$8):INDIRECT("g"&amp;$E$8),0.5),IF(F583=2,PERCENTILE(INDIRECT("g"&amp;$D$9):INDIRECT("g"&amp;$E$9),0.5),IF(F583=3,PERCENTILE(INDIRECT("g"&amp;$D$10):INDIRECT("g"&amp;$E$10),0.5),IF(F583=4,PERCENTILE(INDIRECT("g"&amp;$D$11):INDIRECT("g"&amp;$E$11),0.5),IF(F583=5,PERCENTILE(INDIRECT("g"&amp;$D$12):INDIRECT("g"&amp;$E$12),0.5),IF(F583=6,PERCENTILE(INDIRECT("g"&amp;$D$13):INDIRECT("g"&amp;$E$13),0.5)," "))))))</f>
        <v xml:space="preserve"> </v>
      </c>
      <c r="I583" s="242" t="str">
        <f t="shared" si="51"/>
        <v xml:space="preserve"> </v>
      </c>
      <c r="J583" s="242" t="str">
        <f ca="1">IF(F583=1,AVERAGE(INDIRECT("I"&amp;$D$8):INDIRECT("I"&amp;$E$8)),IF(F583=2,AVERAGE(INDIRECT("I"&amp;$D$9):INDIRECT("I"&amp;$E$9)),IF(F583=3,AVERAGE(INDIRECT("I"&amp;$D$10):INDIRECT("I"&amp;$E$10)),IF(F583=4,AVERAGE(INDIRECT("I"&amp;$D$11):INDIRECT("I"&amp;$E$11)),IF(F583=5,AVERAGE(INDIRECT("I"&amp;$D$12):INDIRECT("I"&amp;$E$12)),IF(F583=6,AVERAGE(INDIRECT("I"&amp;$D$13):INDIRECT("I"&amp;$E$13))," "))))))</f>
        <v xml:space="preserve"> </v>
      </c>
      <c r="K583" s="242" t="str">
        <f t="shared" si="52"/>
        <v xml:space="preserve"> </v>
      </c>
      <c r="L583" s="242" t="str">
        <f t="shared" si="53"/>
        <v xml:space="preserve"> </v>
      </c>
      <c r="M583" s="242" t="str">
        <f t="shared" si="54"/>
        <v xml:space="preserve"> </v>
      </c>
    </row>
    <row r="584" spans="6:13" x14ac:dyDescent="0.2">
      <c r="F584" s="216" t="str">
        <f t="shared" si="50"/>
        <v xml:space="preserve"> </v>
      </c>
      <c r="G584" s="50"/>
      <c r="H584" s="242" t="str">
        <f ca="1">IF(F584=1,PERCENTILE(INDIRECT("g"&amp;$D$8):INDIRECT("g"&amp;$E$8),0.5),IF(F584=2,PERCENTILE(INDIRECT("g"&amp;$D$9):INDIRECT("g"&amp;$E$9),0.5),IF(F584=3,PERCENTILE(INDIRECT("g"&amp;$D$10):INDIRECT("g"&amp;$E$10),0.5),IF(F584=4,PERCENTILE(INDIRECT("g"&amp;$D$11):INDIRECT("g"&amp;$E$11),0.5),IF(F584=5,PERCENTILE(INDIRECT("g"&amp;$D$12):INDIRECT("g"&amp;$E$12),0.5),IF(F584=6,PERCENTILE(INDIRECT("g"&amp;$D$13):INDIRECT("g"&amp;$E$13),0.5)," "))))))</f>
        <v xml:space="preserve"> </v>
      </c>
      <c r="I584" s="242" t="str">
        <f t="shared" si="51"/>
        <v xml:space="preserve"> </v>
      </c>
      <c r="J584" s="242" t="str">
        <f ca="1">IF(F584=1,AVERAGE(INDIRECT("I"&amp;$D$8):INDIRECT("I"&amp;$E$8)),IF(F584=2,AVERAGE(INDIRECT("I"&amp;$D$9):INDIRECT("I"&amp;$E$9)),IF(F584=3,AVERAGE(INDIRECT("I"&amp;$D$10):INDIRECT("I"&amp;$E$10)),IF(F584=4,AVERAGE(INDIRECT("I"&amp;$D$11):INDIRECT("I"&amp;$E$11)),IF(F584=5,AVERAGE(INDIRECT("I"&amp;$D$12):INDIRECT("I"&amp;$E$12)),IF(F584=6,AVERAGE(INDIRECT("I"&amp;$D$13):INDIRECT("I"&amp;$E$13))," "))))))</f>
        <v xml:space="preserve"> </v>
      </c>
      <c r="K584" s="242" t="str">
        <f t="shared" si="52"/>
        <v xml:space="preserve"> </v>
      </c>
      <c r="L584" s="242" t="str">
        <f t="shared" si="53"/>
        <v xml:space="preserve"> </v>
      </c>
      <c r="M584" s="242" t="str">
        <f t="shared" si="54"/>
        <v xml:space="preserve"> </v>
      </c>
    </row>
    <row r="585" spans="6:13" x14ac:dyDescent="0.2">
      <c r="F585" s="216" t="str">
        <f t="shared" si="50"/>
        <v xml:space="preserve"> </v>
      </c>
      <c r="G585" s="50"/>
      <c r="H585" s="242" t="str">
        <f ca="1">IF(F585=1,PERCENTILE(INDIRECT("g"&amp;$D$8):INDIRECT("g"&amp;$E$8),0.5),IF(F585=2,PERCENTILE(INDIRECT("g"&amp;$D$9):INDIRECT("g"&amp;$E$9),0.5),IF(F585=3,PERCENTILE(INDIRECT("g"&amp;$D$10):INDIRECT("g"&amp;$E$10),0.5),IF(F585=4,PERCENTILE(INDIRECT("g"&amp;$D$11):INDIRECT("g"&amp;$E$11),0.5),IF(F585=5,PERCENTILE(INDIRECT("g"&amp;$D$12):INDIRECT("g"&amp;$E$12),0.5),IF(F585=6,PERCENTILE(INDIRECT("g"&amp;$D$13):INDIRECT("g"&amp;$E$13),0.5)," "))))))</f>
        <v xml:space="preserve"> </v>
      </c>
      <c r="I585" s="242" t="str">
        <f t="shared" si="51"/>
        <v xml:space="preserve"> </v>
      </c>
      <c r="J585" s="242" t="str">
        <f ca="1">IF(F585=1,AVERAGE(INDIRECT("I"&amp;$D$8):INDIRECT("I"&amp;$E$8)),IF(F585=2,AVERAGE(INDIRECT("I"&amp;$D$9):INDIRECT("I"&amp;$E$9)),IF(F585=3,AVERAGE(INDIRECT("I"&amp;$D$10):INDIRECT("I"&amp;$E$10)),IF(F585=4,AVERAGE(INDIRECT("I"&amp;$D$11):INDIRECT("I"&amp;$E$11)),IF(F585=5,AVERAGE(INDIRECT("I"&amp;$D$12):INDIRECT("I"&amp;$E$12)),IF(F585=6,AVERAGE(INDIRECT("I"&amp;$D$13):INDIRECT("I"&amp;$E$13))," "))))))</f>
        <v xml:space="preserve"> </v>
      </c>
      <c r="K585" s="242" t="str">
        <f t="shared" si="52"/>
        <v xml:space="preserve"> </v>
      </c>
      <c r="L585" s="242" t="str">
        <f t="shared" si="53"/>
        <v xml:space="preserve"> </v>
      </c>
      <c r="M585" s="242" t="str">
        <f t="shared" si="54"/>
        <v xml:space="preserve"> </v>
      </c>
    </row>
    <row r="586" spans="6:13" x14ac:dyDescent="0.2">
      <c r="F586" s="216" t="str">
        <f t="shared" si="50"/>
        <v xml:space="preserve"> </v>
      </c>
      <c r="G586" s="50"/>
      <c r="H586" s="242" t="str">
        <f ca="1">IF(F586=1,PERCENTILE(INDIRECT("g"&amp;$D$8):INDIRECT("g"&amp;$E$8),0.5),IF(F586=2,PERCENTILE(INDIRECT("g"&amp;$D$9):INDIRECT("g"&amp;$E$9),0.5),IF(F586=3,PERCENTILE(INDIRECT("g"&amp;$D$10):INDIRECT("g"&amp;$E$10),0.5),IF(F586=4,PERCENTILE(INDIRECT("g"&amp;$D$11):INDIRECT("g"&amp;$E$11),0.5),IF(F586=5,PERCENTILE(INDIRECT("g"&amp;$D$12):INDIRECT("g"&amp;$E$12),0.5),IF(F586=6,PERCENTILE(INDIRECT("g"&amp;$D$13):INDIRECT("g"&amp;$E$13),0.5)," "))))))</f>
        <v xml:space="preserve"> </v>
      </c>
      <c r="I586" s="242" t="str">
        <f t="shared" si="51"/>
        <v xml:space="preserve"> </v>
      </c>
      <c r="J586" s="242" t="str">
        <f ca="1">IF(F586=1,AVERAGE(INDIRECT("I"&amp;$D$8):INDIRECT("I"&amp;$E$8)),IF(F586=2,AVERAGE(INDIRECT("I"&amp;$D$9):INDIRECT("I"&amp;$E$9)),IF(F586=3,AVERAGE(INDIRECT("I"&amp;$D$10):INDIRECT("I"&amp;$E$10)),IF(F586=4,AVERAGE(INDIRECT("I"&amp;$D$11):INDIRECT("I"&amp;$E$11)),IF(F586=5,AVERAGE(INDIRECT("I"&amp;$D$12):INDIRECT("I"&amp;$E$12)),IF(F586=6,AVERAGE(INDIRECT("I"&amp;$D$13):INDIRECT("I"&amp;$E$13))," "))))))</f>
        <v xml:space="preserve"> </v>
      </c>
      <c r="K586" s="242" t="str">
        <f t="shared" si="52"/>
        <v xml:space="preserve"> </v>
      </c>
      <c r="L586" s="242" t="str">
        <f t="shared" si="53"/>
        <v xml:space="preserve"> </v>
      </c>
      <c r="M586" s="242" t="str">
        <f t="shared" si="54"/>
        <v xml:space="preserve"> </v>
      </c>
    </row>
    <row r="587" spans="6:13" x14ac:dyDescent="0.2">
      <c r="F587" s="216" t="str">
        <f t="shared" si="50"/>
        <v xml:space="preserve"> </v>
      </c>
      <c r="G587" s="50"/>
      <c r="H587" s="242" t="str">
        <f ca="1">IF(F587=1,PERCENTILE(INDIRECT("g"&amp;$D$8):INDIRECT("g"&amp;$E$8),0.5),IF(F587=2,PERCENTILE(INDIRECT("g"&amp;$D$9):INDIRECT("g"&amp;$E$9),0.5),IF(F587=3,PERCENTILE(INDIRECT("g"&amp;$D$10):INDIRECT("g"&amp;$E$10),0.5),IF(F587=4,PERCENTILE(INDIRECT("g"&amp;$D$11):INDIRECT("g"&amp;$E$11),0.5),IF(F587=5,PERCENTILE(INDIRECT("g"&amp;$D$12):INDIRECT("g"&amp;$E$12),0.5),IF(F587=6,PERCENTILE(INDIRECT("g"&amp;$D$13):INDIRECT("g"&amp;$E$13),0.5)," "))))))</f>
        <v xml:space="preserve"> </v>
      </c>
      <c r="I587" s="242" t="str">
        <f t="shared" si="51"/>
        <v xml:space="preserve"> </v>
      </c>
      <c r="J587" s="242" t="str">
        <f ca="1">IF(F587=1,AVERAGE(INDIRECT("I"&amp;$D$8):INDIRECT("I"&amp;$E$8)),IF(F587=2,AVERAGE(INDIRECT("I"&amp;$D$9):INDIRECT("I"&amp;$E$9)),IF(F587=3,AVERAGE(INDIRECT("I"&amp;$D$10):INDIRECT("I"&amp;$E$10)),IF(F587=4,AVERAGE(INDIRECT("I"&amp;$D$11):INDIRECT("I"&amp;$E$11)),IF(F587=5,AVERAGE(INDIRECT("I"&amp;$D$12):INDIRECT("I"&amp;$E$12)),IF(F587=6,AVERAGE(INDIRECT("I"&amp;$D$13):INDIRECT("I"&amp;$E$13))," "))))))</f>
        <v xml:space="preserve"> </v>
      </c>
      <c r="K587" s="242" t="str">
        <f t="shared" si="52"/>
        <v xml:space="preserve"> </v>
      </c>
      <c r="L587" s="242" t="str">
        <f t="shared" si="53"/>
        <v xml:space="preserve"> </v>
      </c>
      <c r="M587" s="242" t="str">
        <f t="shared" si="54"/>
        <v xml:space="preserve"> </v>
      </c>
    </row>
    <row r="588" spans="6:13" x14ac:dyDescent="0.2">
      <c r="F588" s="216" t="str">
        <f t="shared" si="50"/>
        <v xml:space="preserve"> </v>
      </c>
      <c r="G588" s="50"/>
      <c r="H588" s="242" t="str">
        <f ca="1">IF(F588=1,PERCENTILE(INDIRECT("g"&amp;$D$8):INDIRECT("g"&amp;$E$8),0.5),IF(F588=2,PERCENTILE(INDIRECT("g"&amp;$D$9):INDIRECT("g"&amp;$E$9),0.5),IF(F588=3,PERCENTILE(INDIRECT("g"&amp;$D$10):INDIRECT("g"&amp;$E$10),0.5),IF(F588=4,PERCENTILE(INDIRECT("g"&amp;$D$11):INDIRECT("g"&amp;$E$11),0.5),IF(F588=5,PERCENTILE(INDIRECT("g"&amp;$D$12):INDIRECT("g"&amp;$E$12),0.5),IF(F588=6,PERCENTILE(INDIRECT("g"&amp;$D$13):INDIRECT("g"&amp;$E$13),0.5)," "))))))</f>
        <v xml:space="preserve"> </v>
      </c>
      <c r="I588" s="242" t="str">
        <f t="shared" si="51"/>
        <v xml:space="preserve"> </v>
      </c>
      <c r="J588" s="242" t="str">
        <f ca="1">IF(F588=1,AVERAGE(INDIRECT("I"&amp;$D$8):INDIRECT("I"&amp;$E$8)),IF(F588=2,AVERAGE(INDIRECT("I"&amp;$D$9):INDIRECT("I"&amp;$E$9)),IF(F588=3,AVERAGE(INDIRECT("I"&amp;$D$10):INDIRECT("I"&amp;$E$10)),IF(F588=4,AVERAGE(INDIRECT("I"&amp;$D$11):INDIRECT("I"&amp;$E$11)),IF(F588=5,AVERAGE(INDIRECT("I"&amp;$D$12):INDIRECT("I"&amp;$E$12)),IF(F588=6,AVERAGE(INDIRECT("I"&amp;$D$13):INDIRECT("I"&amp;$E$13))," "))))))</f>
        <v xml:space="preserve"> </v>
      </c>
      <c r="K588" s="242" t="str">
        <f t="shared" si="52"/>
        <v xml:space="preserve"> </v>
      </c>
      <c r="L588" s="242" t="str">
        <f t="shared" si="53"/>
        <v xml:space="preserve"> </v>
      </c>
      <c r="M588" s="242" t="str">
        <f t="shared" si="54"/>
        <v xml:space="preserve"> </v>
      </c>
    </row>
    <row r="589" spans="6:13" x14ac:dyDescent="0.2">
      <c r="F589" s="216" t="str">
        <f t="shared" si="50"/>
        <v xml:space="preserve"> </v>
      </c>
      <c r="G589" s="50"/>
      <c r="H589" s="242" t="str">
        <f ca="1">IF(F589=1,PERCENTILE(INDIRECT("g"&amp;$D$8):INDIRECT("g"&amp;$E$8),0.5),IF(F589=2,PERCENTILE(INDIRECT("g"&amp;$D$9):INDIRECT("g"&amp;$E$9),0.5),IF(F589=3,PERCENTILE(INDIRECT("g"&amp;$D$10):INDIRECT("g"&amp;$E$10),0.5),IF(F589=4,PERCENTILE(INDIRECT("g"&amp;$D$11):INDIRECT("g"&amp;$E$11),0.5),IF(F589=5,PERCENTILE(INDIRECT("g"&amp;$D$12):INDIRECT("g"&amp;$E$12),0.5),IF(F589=6,PERCENTILE(INDIRECT("g"&amp;$D$13):INDIRECT("g"&amp;$E$13),0.5)," "))))))</f>
        <v xml:space="preserve"> </v>
      </c>
      <c r="I589" s="242" t="str">
        <f t="shared" si="51"/>
        <v xml:space="preserve"> </v>
      </c>
      <c r="J589" s="242" t="str">
        <f ca="1">IF(F589=1,AVERAGE(INDIRECT("I"&amp;$D$8):INDIRECT("I"&amp;$E$8)),IF(F589=2,AVERAGE(INDIRECT("I"&amp;$D$9):INDIRECT("I"&amp;$E$9)),IF(F589=3,AVERAGE(INDIRECT("I"&amp;$D$10):INDIRECT("I"&amp;$E$10)),IF(F589=4,AVERAGE(INDIRECT("I"&amp;$D$11):INDIRECT("I"&amp;$E$11)),IF(F589=5,AVERAGE(INDIRECT("I"&amp;$D$12):INDIRECT("I"&amp;$E$12)),IF(F589=6,AVERAGE(INDIRECT("I"&amp;$D$13):INDIRECT("I"&amp;$E$13))," "))))))</f>
        <v xml:space="preserve"> </v>
      </c>
      <c r="K589" s="242" t="str">
        <f t="shared" si="52"/>
        <v xml:space="preserve"> </v>
      </c>
      <c r="L589" s="242" t="str">
        <f t="shared" si="53"/>
        <v xml:space="preserve"> </v>
      </c>
      <c r="M589" s="242" t="str">
        <f t="shared" si="54"/>
        <v xml:space="preserve"> </v>
      </c>
    </row>
    <row r="590" spans="6:13" x14ac:dyDescent="0.2">
      <c r="F590" s="216" t="str">
        <f t="shared" si="50"/>
        <v xml:space="preserve"> </v>
      </c>
      <c r="G590" s="50"/>
      <c r="H590" s="242" t="str">
        <f ca="1">IF(F590=1,PERCENTILE(INDIRECT("g"&amp;$D$8):INDIRECT("g"&amp;$E$8),0.5),IF(F590=2,PERCENTILE(INDIRECT("g"&amp;$D$9):INDIRECT("g"&amp;$E$9),0.5),IF(F590=3,PERCENTILE(INDIRECT("g"&amp;$D$10):INDIRECT("g"&amp;$E$10),0.5),IF(F590=4,PERCENTILE(INDIRECT("g"&amp;$D$11):INDIRECT("g"&amp;$E$11),0.5),IF(F590=5,PERCENTILE(INDIRECT("g"&amp;$D$12):INDIRECT("g"&amp;$E$12),0.5),IF(F590=6,PERCENTILE(INDIRECT("g"&amp;$D$13):INDIRECT("g"&amp;$E$13),0.5)," "))))))</f>
        <v xml:space="preserve"> </v>
      </c>
      <c r="I590" s="242" t="str">
        <f t="shared" si="51"/>
        <v xml:space="preserve"> </v>
      </c>
      <c r="J590" s="242" t="str">
        <f ca="1">IF(F590=1,AVERAGE(INDIRECT("I"&amp;$D$8):INDIRECT("I"&amp;$E$8)),IF(F590=2,AVERAGE(INDIRECT("I"&amp;$D$9):INDIRECT("I"&amp;$E$9)),IF(F590=3,AVERAGE(INDIRECT("I"&amp;$D$10):INDIRECT("I"&amp;$E$10)),IF(F590=4,AVERAGE(INDIRECT("I"&amp;$D$11):INDIRECT("I"&amp;$E$11)),IF(F590=5,AVERAGE(INDIRECT("I"&amp;$D$12):INDIRECT("I"&amp;$E$12)),IF(F590=6,AVERAGE(INDIRECT("I"&amp;$D$13):INDIRECT("I"&amp;$E$13))," "))))))</f>
        <v xml:space="preserve"> </v>
      </c>
      <c r="K590" s="242" t="str">
        <f t="shared" si="52"/>
        <v xml:space="preserve"> </v>
      </c>
      <c r="L590" s="242" t="str">
        <f t="shared" si="53"/>
        <v xml:space="preserve"> </v>
      </c>
      <c r="M590" s="242" t="str">
        <f t="shared" si="54"/>
        <v xml:space="preserve"> </v>
      </c>
    </row>
    <row r="591" spans="6:13" x14ac:dyDescent="0.2">
      <c r="F591" s="216" t="str">
        <f t="shared" si="50"/>
        <v xml:space="preserve"> </v>
      </c>
      <c r="G591" s="50"/>
      <c r="H591" s="242" t="str">
        <f ca="1">IF(F591=1,PERCENTILE(INDIRECT("g"&amp;$D$8):INDIRECT("g"&amp;$E$8),0.5),IF(F591=2,PERCENTILE(INDIRECT("g"&amp;$D$9):INDIRECT("g"&amp;$E$9),0.5),IF(F591=3,PERCENTILE(INDIRECT("g"&amp;$D$10):INDIRECT("g"&amp;$E$10),0.5),IF(F591=4,PERCENTILE(INDIRECT("g"&amp;$D$11):INDIRECT("g"&amp;$E$11),0.5),IF(F591=5,PERCENTILE(INDIRECT("g"&amp;$D$12):INDIRECT("g"&amp;$E$12),0.5),IF(F591=6,PERCENTILE(INDIRECT("g"&amp;$D$13):INDIRECT("g"&amp;$E$13),0.5)," "))))))</f>
        <v xml:space="preserve"> </v>
      </c>
      <c r="I591" s="242" t="str">
        <f t="shared" si="51"/>
        <v xml:space="preserve"> </v>
      </c>
      <c r="J591" s="242" t="str">
        <f ca="1">IF(F591=1,AVERAGE(INDIRECT("I"&amp;$D$8):INDIRECT("I"&amp;$E$8)),IF(F591=2,AVERAGE(INDIRECT("I"&amp;$D$9):INDIRECT("I"&amp;$E$9)),IF(F591=3,AVERAGE(INDIRECT("I"&amp;$D$10):INDIRECT("I"&amp;$E$10)),IF(F591=4,AVERAGE(INDIRECT("I"&amp;$D$11):INDIRECT("I"&amp;$E$11)),IF(F591=5,AVERAGE(INDIRECT("I"&amp;$D$12):INDIRECT("I"&amp;$E$12)),IF(F591=6,AVERAGE(INDIRECT("I"&amp;$D$13):INDIRECT("I"&amp;$E$13))," "))))))</f>
        <v xml:space="preserve"> </v>
      </c>
      <c r="K591" s="242" t="str">
        <f t="shared" si="52"/>
        <v xml:space="preserve"> </v>
      </c>
      <c r="L591" s="242" t="str">
        <f t="shared" si="53"/>
        <v xml:space="preserve"> </v>
      </c>
      <c r="M591" s="242" t="str">
        <f t="shared" si="54"/>
        <v xml:space="preserve"> </v>
      </c>
    </row>
    <row r="592" spans="6:13" x14ac:dyDescent="0.2">
      <c r="F592" s="216" t="str">
        <f t="shared" si="50"/>
        <v xml:space="preserve"> </v>
      </c>
      <c r="G592" s="50"/>
      <c r="H592" s="242" t="str">
        <f ca="1">IF(F592=1,PERCENTILE(INDIRECT("g"&amp;$D$8):INDIRECT("g"&amp;$E$8),0.5),IF(F592=2,PERCENTILE(INDIRECT("g"&amp;$D$9):INDIRECT("g"&amp;$E$9),0.5),IF(F592=3,PERCENTILE(INDIRECT("g"&amp;$D$10):INDIRECT("g"&amp;$E$10),0.5),IF(F592=4,PERCENTILE(INDIRECT("g"&amp;$D$11):INDIRECT("g"&amp;$E$11),0.5),IF(F592=5,PERCENTILE(INDIRECT("g"&amp;$D$12):INDIRECT("g"&amp;$E$12),0.5),IF(F592=6,PERCENTILE(INDIRECT("g"&amp;$D$13):INDIRECT("g"&amp;$E$13),0.5)," "))))))</f>
        <v xml:space="preserve"> </v>
      </c>
      <c r="I592" s="242" t="str">
        <f t="shared" si="51"/>
        <v xml:space="preserve"> </v>
      </c>
      <c r="J592" s="242" t="str">
        <f ca="1">IF(F592=1,AVERAGE(INDIRECT("I"&amp;$D$8):INDIRECT("I"&amp;$E$8)),IF(F592=2,AVERAGE(INDIRECT("I"&amp;$D$9):INDIRECT("I"&amp;$E$9)),IF(F592=3,AVERAGE(INDIRECT("I"&amp;$D$10):INDIRECT("I"&amp;$E$10)),IF(F592=4,AVERAGE(INDIRECT("I"&amp;$D$11):INDIRECT("I"&amp;$E$11)),IF(F592=5,AVERAGE(INDIRECT("I"&amp;$D$12):INDIRECT("I"&amp;$E$12)),IF(F592=6,AVERAGE(INDIRECT("I"&amp;$D$13):INDIRECT("I"&amp;$E$13))," "))))))</f>
        <v xml:space="preserve"> </v>
      </c>
      <c r="K592" s="242" t="str">
        <f t="shared" si="52"/>
        <v xml:space="preserve"> </v>
      </c>
      <c r="L592" s="242" t="str">
        <f t="shared" si="53"/>
        <v xml:space="preserve"> </v>
      </c>
      <c r="M592" s="242" t="str">
        <f t="shared" si="54"/>
        <v xml:space="preserve"> </v>
      </c>
    </row>
    <row r="593" spans="6:13" x14ac:dyDescent="0.2">
      <c r="F593" s="216" t="str">
        <f t="shared" si="50"/>
        <v xml:space="preserve"> </v>
      </c>
      <c r="G593" s="50"/>
      <c r="H593" s="242" t="str">
        <f ca="1">IF(F593=1,PERCENTILE(INDIRECT("g"&amp;$D$8):INDIRECT("g"&amp;$E$8),0.5),IF(F593=2,PERCENTILE(INDIRECT("g"&amp;$D$9):INDIRECT("g"&amp;$E$9),0.5),IF(F593=3,PERCENTILE(INDIRECT("g"&amp;$D$10):INDIRECT("g"&amp;$E$10),0.5),IF(F593=4,PERCENTILE(INDIRECT("g"&amp;$D$11):INDIRECT("g"&amp;$E$11),0.5),IF(F593=5,PERCENTILE(INDIRECT("g"&amp;$D$12):INDIRECT("g"&amp;$E$12),0.5),IF(F593=6,PERCENTILE(INDIRECT("g"&amp;$D$13):INDIRECT("g"&amp;$E$13),0.5)," "))))))</f>
        <v xml:space="preserve"> </v>
      </c>
      <c r="I593" s="242" t="str">
        <f t="shared" si="51"/>
        <v xml:space="preserve"> </v>
      </c>
      <c r="J593" s="242" t="str">
        <f ca="1">IF(F593=1,AVERAGE(INDIRECT("I"&amp;$D$8):INDIRECT("I"&amp;$E$8)),IF(F593=2,AVERAGE(INDIRECT("I"&amp;$D$9):INDIRECT("I"&amp;$E$9)),IF(F593=3,AVERAGE(INDIRECT("I"&amp;$D$10):INDIRECT("I"&amp;$E$10)),IF(F593=4,AVERAGE(INDIRECT("I"&amp;$D$11):INDIRECT("I"&amp;$E$11)),IF(F593=5,AVERAGE(INDIRECT("I"&amp;$D$12):INDIRECT("I"&amp;$E$12)),IF(F593=6,AVERAGE(INDIRECT("I"&amp;$D$13):INDIRECT("I"&amp;$E$13))," "))))))</f>
        <v xml:space="preserve"> </v>
      </c>
      <c r="K593" s="242" t="str">
        <f t="shared" si="52"/>
        <v xml:space="preserve"> </v>
      </c>
      <c r="L593" s="242" t="str">
        <f t="shared" si="53"/>
        <v xml:space="preserve"> </v>
      </c>
      <c r="M593" s="242" t="str">
        <f t="shared" si="54"/>
        <v xml:space="preserve"> </v>
      </c>
    </row>
    <row r="594" spans="6:13" x14ac:dyDescent="0.2">
      <c r="F594" s="216" t="str">
        <f t="shared" si="50"/>
        <v xml:space="preserve"> </v>
      </c>
      <c r="G594" s="50"/>
      <c r="H594" s="242" t="str">
        <f ca="1">IF(F594=1,PERCENTILE(INDIRECT("g"&amp;$D$8):INDIRECT("g"&amp;$E$8),0.5),IF(F594=2,PERCENTILE(INDIRECT("g"&amp;$D$9):INDIRECT("g"&amp;$E$9),0.5),IF(F594=3,PERCENTILE(INDIRECT("g"&amp;$D$10):INDIRECT("g"&amp;$E$10),0.5),IF(F594=4,PERCENTILE(INDIRECT("g"&amp;$D$11):INDIRECT("g"&amp;$E$11),0.5),IF(F594=5,PERCENTILE(INDIRECT("g"&amp;$D$12):INDIRECT("g"&amp;$E$12),0.5),IF(F594=6,PERCENTILE(INDIRECT("g"&amp;$D$13):INDIRECT("g"&amp;$E$13),0.5)," "))))))</f>
        <v xml:space="preserve"> </v>
      </c>
      <c r="I594" s="242" t="str">
        <f t="shared" si="51"/>
        <v xml:space="preserve"> </v>
      </c>
      <c r="J594" s="242" t="str">
        <f ca="1">IF(F594=1,AVERAGE(INDIRECT("I"&amp;$D$8):INDIRECT("I"&amp;$E$8)),IF(F594=2,AVERAGE(INDIRECT("I"&amp;$D$9):INDIRECT("I"&amp;$E$9)),IF(F594=3,AVERAGE(INDIRECT("I"&amp;$D$10):INDIRECT("I"&amp;$E$10)),IF(F594=4,AVERAGE(INDIRECT("I"&amp;$D$11):INDIRECT("I"&amp;$E$11)),IF(F594=5,AVERAGE(INDIRECT("I"&amp;$D$12):INDIRECT("I"&amp;$E$12)),IF(F594=6,AVERAGE(INDIRECT("I"&amp;$D$13):INDIRECT("I"&amp;$E$13))," "))))))</f>
        <v xml:space="preserve"> </v>
      </c>
      <c r="K594" s="242" t="str">
        <f t="shared" si="52"/>
        <v xml:space="preserve"> </v>
      </c>
      <c r="L594" s="242" t="str">
        <f t="shared" si="53"/>
        <v xml:space="preserve"> </v>
      </c>
      <c r="M594" s="242" t="str">
        <f t="shared" si="54"/>
        <v xml:space="preserve"> </v>
      </c>
    </row>
    <row r="595" spans="6:13" x14ac:dyDescent="0.2">
      <c r="F595" s="216" t="str">
        <f t="shared" si="50"/>
        <v xml:space="preserve"> </v>
      </c>
      <c r="G595" s="50"/>
      <c r="H595" s="242" t="str">
        <f ca="1">IF(F595=1,PERCENTILE(INDIRECT("g"&amp;$D$8):INDIRECT("g"&amp;$E$8),0.5),IF(F595=2,PERCENTILE(INDIRECT("g"&amp;$D$9):INDIRECT("g"&amp;$E$9),0.5),IF(F595=3,PERCENTILE(INDIRECT("g"&amp;$D$10):INDIRECT("g"&amp;$E$10),0.5),IF(F595=4,PERCENTILE(INDIRECT("g"&amp;$D$11):INDIRECT("g"&amp;$E$11),0.5),IF(F595=5,PERCENTILE(INDIRECT("g"&amp;$D$12):INDIRECT("g"&amp;$E$12),0.5),IF(F595=6,PERCENTILE(INDIRECT("g"&amp;$D$13):INDIRECT("g"&amp;$E$13),0.5)," "))))))</f>
        <v xml:space="preserve"> </v>
      </c>
      <c r="I595" s="242" t="str">
        <f t="shared" si="51"/>
        <v xml:space="preserve"> </v>
      </c>
      <c r="J595" s="242" t="str">
        <f ca="1">IF(F595=1,AVERAGE(INDIRECT("I"&amp;$D$8):INDIRECT("I"&amp;$E$8)),IF(F595=2,AVERAGE(INDIRECT("I"&amp;$D$9):INDIRECT("I"&amp;$E$9)),IF(F595=3,AVERAGE(INDIRECT("I"&amp;$D$10):INDIRECT("I"&amp;$E$10)),IF(F595=4,AVERAGE(INDIRECT("I"&amp;$D$11):INDIRECT("I"&amp;$E$11)),IF(F595=5,AVERAGE(INDIRECT("I"&amp;$D$12):INDIRECT("I"&amp;$E$12)),IF(F595=6,AVERAGE(INDIRECT("I"&amp;$D$13):INDIRECT("I"&amp;$E$13))," "))))))</f>
        <v xml:space="preserve"> </v>
      </c>
      <c r="K595" s="242" t="str">
        <f t="shared" si="52"/>
        <v xml:space="preserve"> </v>
      </c>
      <c r="L595" s="242" t="str">
        <f t="shared" si="53"/>
        <v xml:space="preserve"> </v>
      </c>
      <c r="M595" s="242" t="str">
        <f t="shared" si="54"/>
        <v xml:space="preserve"> </v>
      </c>
    </row>
    <row r="596" spans="6:13" x14ac:dyDescent="0.2">
      <c r="F596" s="216" t="str">
        <f t="shared" si="50"/>
        <v xml:space="preserve"> </v>
      </c>
      <c r="G596" s="50"/>
      <c r="H596" s="242" t="str">
        <f ca="1">IF(F596=1,PERCENTILE(INDIRECT("g"&amp;$D$8):INDIRECT("g"&amp;$E$8),0.5),IF(F596=2,PERCENTILE(INDIRECT("g"&amp;$D$9):INDIRECT("g"&amp;$E$9),0.5),IF(F596=3,PERCENTILE(INDIRECT("g"&amp;$D$10):INDIRECT("g"&amp;$E$10),0.5),IF(F596=4,PERCENTILE(INDIRECT("g"&amp;$D$11):INDIRECT("g"&amp;$E$11),0.5),IF(F596=5,PERCENTILE(INDIRECT("g"&amp;$D$12):INDIRECT("g"&amp;$E$12),0.5),IF(F596=6,PERCENTILE(INDIRECT("g"&amp;$D$13):INDIRECT("g"&amp;$E$13),0.5)," "))))))</f>
        <v xml:space="preserve"> </v>
      </c>
      <c r="I596" s="242" t="str">
        <f t="shared" si="51"/>
        <v xml:space="preserve"> </v>
      </c>
      <c r="J596" s="242" t="str">
        <f ca="1">IF(F596=1,AVERAGE(INDIRECT("I"&amp;$D$8):INDIRECT("I"&amp;$E$8)),IF(F596=2,AVERAGE(INDIRECT("I"&amp;$D$9):INDIRECT("I"&amp;$E$9)),IF(F596=3,AVERAGE(INDIRECT("I"&amp;$D$10):INDIRECT("I"&amp;$E$10)),IF(F596=4,AVERAGE(INDIRECT("I"&amp;$D$11):INDIRECT("I"&amp;$E$11)),IF(F596=5,AVERAGE(INDIRECT("I"&amp;$D$12):INDIRECT("I"&amp;$E$12)),IF(F596=6,AVERAGE(INDIRECT("I"&amp;$D$13):INDIRECT("I"&amp;$E$13))," "))))))</f>
        <v xml:space="preserve"> </v>
      </c>
      <c r="K596" s="242" t="str">
        <f t="shared" si="52"/>
        <v xml:space="preserve"> </v>
      </c>
      <c r="L596" s="242" t="str">
        <f t="shared" si="53"/>
        <v xml:space="preserve"> </v>
      </c>
      <c r="M596" s="242" t="str">
        <f t="shared" si="54"/>
        <v xml:space="preserve"> </v>
      </c>
    </row>
    <row r="597" spans="6:13" x14ac:dyDescent="0.2">
      <c r="F597" s="216" t="str">
        <f t="shared" si="50"/>
        <v xml:space="preserve"> </v>
      </c>
      <c r="G597" s="50"/>
      <c r="H597" s="242" t="str">
        <f ca="1">IF(F597=1,PERCENTILE(INDIRECT("g"&amp;$D$8):INDIRECT("g"&amp;$E$8),0.5),IF(F597=2,PERCENTILE(INDIRECT("g"&amp;$D$9):INDIRECT("g"&amp;$E$9),0.5),IF(F597=3,PERCENTILE(INDIRECT("g"&amp;$D$10):INDIRECT("g"&amp;$E$10),0.5),IF(F597=4,PERCENTILE(INDIRECT("g"&amp;$D$11):INDIRECT("g"&amp;$E$11),0.5),IF(F597=5,PERCENTILE(INDIRECT("g"&amp;$D$12):INDIRECT("g"&amp;$E$12),0.5),IF(F597=6,PERCENTILE(INDIRECT("g"&amp;$D$13):INDIRECT("g"&amp;$E$13),0.5)," "))))))</f>
        <v xml:space="preserve"> </v>
      </c>
      <c r="I597" s="242" t="str">
        <f t="shared" si="51"/>
        <v xml:space="preserve"> </v>
      </c>
      <c r="J597" s="242" t="str">
        <f ca="1">IF(F597=1,AVERAGE(INDIRECT("I"&amp;$D$8):INDIRECT("I"&amp;$E$8)),IF(F597=2,AVERAGE(INDIRECT("I"&amp;$D$9):INDIRECT("I"&amp;$E$9)),IF(F597=3,AVERAGE(INDIRECT("I"&amp;$D$10):INDIRECT("I"&amp;$E$10)),IF(F597=4,AVERAGE(INDIRECT("I"&amp;$D$11):INDIRECT("I"&amp;$E$11)),IF(F597=5,AVERAGE(INDIRECT("I"&amp;$D$12):INDIRECT("I"&amp;$E$12)),IF(F597=6,AVERAGE(INDIRECT("I"&amp;$D$13):INDIRECT("I"&amp;$E$13))," "))))))</f>
        <v xml:space="preserve"> </v>
      </c>
      <c r="K597" s="242" t="str">
        <f t="shared" si="52"/>
        <v xml:space="preserve"> </v>
      </c>
      <c r="L597" s="242" t="str">
        <f t="shared" si="53"/>
        <v xml:space="preserve"> </v>
      </c>
      <c r="M597" s="242" t="str">
        <f t="shared" si="54"/>
        <v xml:space="preserve"> </v>
      </c>
    </row>
    <row r="598" spans="6:13" x14ac:dyDescent="0.2">
      <c r="F598" s="216" t="str">
        <f t="shared" si="50"/>
        <v xml:space="preserve"> </v>
      </c>
      <c r="G598" s="50"/>
      <c r="H598" s="242" t="str">
        <f ca="1">IF(F598=1,PERCENTILE(INDIRECT("g"&amp;$D$8):INDIRECT("g"&amp;$E$8),0.5),IF(F598=2,PERCENTILE(INDIRECT("g"&amp;$D$9):INDIRECT("g"&amp;$E$9),0.5),IF(F598=3,PERCENTILE(INDIRECT("g"&amp;$D$10):INDIRECT("g"&amp;$E$10),0.5),IF(F598=4,PERCENTILE(INDIRECT("g"&amp;$D$11):INDIRECT("g"&amp;$E$11),0.5),IF(F598=5,PERCENTILE(INDIRECT("g"&amp;$D$12):INDIRECT("g"&amp;$E$12),0.5),IF(F598=6,PERCENTILE(INDIRECT("g"&amp;$D$13):INDIRECT("g"&amp;$E$13),0.5)," "))))))</f>
        <v xml:space="preserve"> </v>
      </c>
      <c r="I598" s="242" t="str">
        <f t="shared" si="51"/>
        <v xml:space="preserve"> </v>
      </c>
      <c r="J598" s="242" t="str">
        <f ca="1">IF(F598=1,AVERAGE(INDIRECT("I"&amp;$D$8):INDIRECT("I"&amp;$E$8)),IF(F598=2,AVERAGE(INDIRECT("I"&amp;$D$9):INDIRECT("I"&amp;$E$9)),IF(F598=3,AVERAGE(INDIRECT("I"&amp;$D$10):INDIRECT("I"&amp;$E$10)),IF(F598=4,AVERAGE(INDIRECT("I"&amp;$D$11):INDIRECT("I"&amp;$E$11)),IF(F598=5,AVERAGE(INDIRECT("I"&amp;$D$12):INDIRECT("I"&amp;$E$12)),IF(F598=6,AVERAGE(INDIRECT("I"&amp;$D$13):INDIRECT("I"&amp;$E$13))," "))))))</f>
        <v xml:space="preserve"> </v>
      </c>
      <c r="K598" s="242" t="str">
        <f t="shared" si="52"/>
        <v xml:space="preserve"> </v>
      </c>
      <c r="L598" s="242" t="str">
        <f t="shared" si="53"/>
        <v xml:space="preserve"> </v>
      </c>
      <c r="M598" s="242" t="str">
        <f t="shared" si="54"/>
        <v xml:space="preserve"> </v>
      </c>
    </row>
    <row r="599" spans="6:13" x14ac:dyDescent="0.2">
      <c r="F599" s="216" t="str">
        <f t="shared" si="50"/>
        <v xml:space="preserve"> </v>
      </c>
      <c r="G599" s="50"/>
      <c r="H599" s="242" t="str">
        <f ca="1">IF(F599=1,PERCENTILE(INDIRECT("g"&amp;$D$8):INDIRECT("g"&amp;$E$8),0.5),IF(F599=2,PERCENTILE(INDIRECT("g"&amp;$D$9):INDIRECT("g"&amp;$E$9),0.5),IF(F599=3,PERCENTILE(INDIRECT("g"&amp;$D$10):INDIRECT("g"&amp;$E$10),0.5),IF(F599=4,PERCENTILE(INDIRECT("g"&amp;$D$11):INDIRECT("g"&amp;$E$11),0.5),IF(F599=5,PERCENTILE(INDIRECT("g"&amp;$D$12):INDIRECT("g"&amp;$E$12),0.5),IF(F599=6,PERCENTILE(INDIRECT("g"&amp;$D$13):INDIRECT("g"&amp;$E$13),0.5)," "))))))</f>
        <v xml:space="preserve"> </v>
      </c>
      <c r="I599" s="242" t="str">
        <f t="shared" si="51"/>
        <v xml:space="preserve"> </v>
      </c>
      <c r="J599" s="242" t="str">
        <f ca="1">IF(F599=1,AVERAGE(INDIRECT("I"&amp;$D$8):INDIRECT("I"&amp;$E$8)),IF(F599=2,AVERAGE(INDIRECT("I"&amp;$D$9):INDIRECT("I"&amp;$E$9)),IF(F599=3,AVERAGE(INDIRECT("I"&amp;$D$10):INDIRECT("I"&amp;$E$10)),IF(F599=4,AVERAGE(INDIRECT("I"&amp;$D$11):INDIRECT("I"&amp;$E$11)),IF(F599=5,AVERAGE(INDIRECT("I"&amp;$D$12):INDIRECT("I"&amp;$E$12)),IF(F599=6,AVERAGE(INDIRECT("I"&amp;$D$13):INDIRECT("I"&amp;$E$13))," "))))))</f>
        <v xml:space="preserve"> </v>
      </c>
      <c r="K599" s="242" t="str">
        <f t="shared" si="52"/>
        <v xml:space="preserve"> </v>
      </c>
      <c r="L599" s="242" t="str">
        <f t="shared" si="53"/>
        <v xml:space="preserve"> </v>
      </c>
      <c r="M599" s="242" t="str">
        <f t="shared" si="54"/>
        <v xml:space="preserve"> </v>
      </c>
    </row>
    <row r="600" spans="6:13" x14ac:dyDescent="0.2">
      <c r="F600" s="216" t="str">
        <f t="shared" si="50"/>
        <v xml:space="preserve"> </v>
      </c>
      <c r="G600" s="50"/>
      <c r="H600" s="242" t="str">
        <f ca="1">IF(F600=1,PERCENTILE(INDIRECT("g"&amp;$D$8):INDIRECT("g"&amp;$E$8),0.5),IF(F600=2,PERCENTILE(INDIRECT("g"&amp;$D$9):INDIRECT("g"&amp;$E$9),0.5),IF(F600=3,PERCENTILE(INDIRECT("g"&amp;$D$10):INDIRECT("g"&amp;$E$10),0.5),IF(F600=4,PERCENTILE(INDIRECT("g"&amp;$D$11):INDIRECT("g"&amp;$E$11),0.5),IF(F600=5,PERCENTILE(INDIRECT("g"&amp;$D$12):INDIRECT("g"&amp;$E$12),0.5),IF(F600=6,PERCENTILE(INDIRECT("g"&amp;$D$13):INDIRECT("g"&amp;$E$13),0.5)," "))))))</f>
        <v xml:space="preserve"> </v>
      </c>
      <c r="I600" s="242" t="str">
        <f t="shared" si="51"/>
        <v xml:space="preserve"> </v>
      </c>
      <c r="J600" s="242" t="str">
        <f ca="1">IF(F600=1,AVERAGE(INDIRECT("I"&amp;$D$8):INDIRECT("I"&amp;$E$8)),IF(F600=2,AVERAGE(INDIRECT("I"&amp;$D$9):INDIRECT("I"&amp;$E$9)),IF(F600=3,AVERAGE(INDIRECT("I"&amp;$D$10):INDIRECT("I"&amp;$E$10)),IF(F600=4,AVERAGE(INDIRECT("I"&amp;$D$11):INDIRECT("I"&amp;$E$11)),IF(F600=5,AVERAGE(INDIRECT("I"&amp;$D$12):INDIRECT("I"&amp;$E$12)),IF(F600=6,AVERAGE(INDIRECT("I"&amp;$D$13):INDIRECT("I"&amp;$E$13))," "))))))</f>
        <v xml:space="preserve"> </v>
      </c>
      <c r="K600" s="242" t="str">
        <f t="shared" si="52"/>
        <v xml:space="preserve"> </v>
      </c>
      <c r="L600" s="242" t="str">
        <f t="shared" si="53"/>
        <v xml:space="preserve"> </v>
      </c>
      <c r="M600" s="242" t="str">
        <f t="shared" si="54"/>
        <v xml:space="preserve"> </v>
      </c>
    </row>
    <row r="601" spans="6:13" x14ac:dyDescent="0.2">
      <c r="F601" s="216" t="str">
        <f t="shared" si="50"/>
        <v xml:space="preserve"> </v>
      </c>
      <c r="G601" s="50"/>
      <c r="H601" s="242" t="str">
        <f ca="1">IF(F601=1,PERCENTILE(INDIRECT("g"&amp;$D$8):INDIRECT("g"&amp;$E$8),0.5),IF(F601=2,PERCENTILE(INDIRECT("g"&amp;$D$9):INDIRECT("g"&amp;$E$9),0.5),IF(F601=3,PERCENTILE(INDIRECT("g"&amp;$D$10):INDIRECT("g"&amp;$E$10),0.5),IF(F601=4,PERCENTILE(INDIRECT("g"&amp;$D$11):INDIRECT("g"&amp;$E$11),0.5),IF(F601=5,PERCENTILE(INDIRECT("g"&amp;$D$12):INDIRECT("g"&amp;$E$12),0.5),IF(F601=6,PERCENTILE(INDIRECT("g"&amp;$D$13):INDIRECT("g"&amp;$E$13),0.5)," "))))))</f>
        <v xml:space="preserve"> </v>
      </c>
      <c r="I601" s="242" t="str">
        <f t="shared" si="51"/>
        <v xml:space="preserve"> </v>
      </c>
      <c r="J601" s="242" t="str">
        <f ca="1">IF(F601=1,AVERAGE(INDIRECT("I"&amp;$D$8):INDIRECT("I"&amp;$E$8)),IF(F601=2,AVERAGE(INDIRECT("I"&amp;$D$9):INDIRECT("I"&amp;$E$9)),IF(F601=3,AVERAGE(INDIRECT("I"&amp;$D$10):INDIRECT("I"&amp;$E$10)),IF(F601=4,AVERAGE(INDIRECT("I"&amp;$D$11):INDIRECT("I"&amp;$E$11)),IF(F601=5,AVERAGE(INDIRECT("I"&amp;$D$12):INDIRECT("I"&amp;$E$12)),IF(F601=6,AVERAGE(INDIRECT("I"&amp;$D$13):INDIRECT("I"&amp;$E$13))," "))))))</f>
        <v xml:space="preserve"> </v>
      </c>
      <c r="K601" s="242" t="str">
        <f t="shared" si="52"/>
        <v xml:space="preserve"> </v>
      </c>
      <c r="L601" s="242" t="str">
        <f t="shared" si="53"/>
        <v xml:space="preserve"> </v>
      </c>
      <c r="M601" s="242" t="str">
        <f t="shared" si="54"/>
        <v xml:space="preserve"> </v>
      </c>
    </row>
    <row r="602" spans="6:13" x14ac:dyDescent="0.2">
      <c r="F602" s="216" t="str">
        <f t="shared" si="50"/>
        <v xml:space="preserve"> </v>
      </c>
      <c r="G602" s="50"/>
      <c r="H602" s="242" t="str">
        <f ca="1">IF(F602=1,PERCENTILE(INDIRECT("g"&amp;$D$8):INDIRECT("g"&amp;$E$8),0.5),IF(F602=2,PERCENTILE(INDIRECT("g"&amp;$D$9):INDIRECT("g"&amp;$E$9),0.5),IF(F602=3,PERCENTILE(INDIRECT("g"&amp;$D$10):INDIRECT("g"&amp;$E$10),0.5),IF(F602=4,PERCENTILE(INDIRECT("g"&amp;$D$11):INDIRECT("g"&amp;$E$11),0.5),IF(F602=5,PERCENTILE(INDIRECT("g"&amp;$D$12):INDIRECT("g"&amp;$E$12),0.5),IF(F602=6,PERCENTILE(INDIRECT("g"&amp;$D$13):INDIRECT("g"&amp;$E$13),0.5)," "))))))</f>
        <v xml:space="preserve"> </v>
      </c>
      <c r="I602" s="242" t="str">
        <f t="shared" si="51"/>
        <v xml:space="preserve"> </v>
      </c>
      <c r="J602" s="242" t="str">
        <f ca="1">IF(F602=1,AVERAGE(INDIRECT("I"&amp;$D$8):INDIRECT("I"&amp;$E$8)),IF(F602=2,AVERAGE(INDIRECT("I"&amp;$D$9):INDIRECT("I"&amp;$E$9)),IF(F602=3,AVERAGE(INDIRECT("I"&amp;$D$10):INDIRECT("I"&amp;$E$10)),IF(F602=4,AVERAGE(INDIRECT("I"&amp;$D$11):INDIRECT("I"&amp;$E$11)),IF(F602=5,AVERAGE(INDIRECT("I"&amp;$D$12):INDIRECT("I"&amp;$E$12)),IF(F602=6,AVERAGE(INDIRECT("I"&amp;$D$13):INDIRECT("I"&amp;$E$13))," "))))))</f>
        <v xml:space="preserve"> </v>
      </c>
      <c r="K602" s="242" t="str">
        <f t="shared" si="52"/>
        <v xml:space="preserve"> </v>
      </c>
      <c r="L602" s="242" t="str">
        <f t="shared" si="53"/>
        <v xml:space="preserve"> </v>
      </c>
      <c r="M602" s="242" t="str">
        <f t="shared" si="54"/>
        <v xml:space="preserve"> </v>
      </c>
    </row>
    <row r="603" spans="6:13" x14ac:dyDescent="0.2">
      <c r="F603" s="216" t="str">
        <f t="shared" si="50"/>
        <v xml:space="preserve"> </v>
      </c>
      <c r="G603" s="50"/>
      <c r="H603" s="242" t="str">
        <f ca="1">IF(F603=1,PERCENTILE(INDIRECT("g"&amp;$D$8):INDIRECT("g"&amp;$E$8),0.5),IF(F603=2,PERCENTILE(INDIRECT("g"&amp;$D$9):INDIRECT("g"&amp;$E$9),0.5),IF(F603=3,PERCENTILE(INDIRECT("g"&amp;$D$10):INDIRECT("g"&amp;$E$10),0.5),IF(F603=4,PERCENTILE(INDIRECT("g"&amp;$D$11):INDIRECT("g"&amp;$E$11),0.5),IF(F603=5,PERCENTILE(INDIRECT("g"&amp;$D$12):INDIRECT("g"&amp;$E$12),0.5),IF(F603=6,PERCENTILE(INDIRECT("g"&amp;$D$13):INDIRECT("g"&amp;$E$13),0.5)," "))))))</f>
        <v xml:space="preserve"> </v>
      </c>
      <c r="I603" s="242" t="str">
        <f t="shared" si="51"/>
        <v xml:space="preserve"> </v>
      </c>
      <c r="J603" s="242" t="str">
        <f ca="1">IF(F603=1,AVERAGE(INDIRECT("I"&amp;$D$8):INDIRECT("I"&amp;$E$8)),IF(F603=2,AVERAGE(INDIRECT("I"&amp;$D$9):INDIRECT("I"&amp;$E$9)),IF(F603=3,AVERAGE(INDIRECT("I"&amp;$D$10):INDIRECT("I"&amp;$E$10)),IF(F603=4,AVERAGE(INDIRECT("I"&amp;$D$11):INDIRECT("I"&amp;$E$11)),IF(F603=5,AVERAGE(INDIRECT("I"&amp;$D$12):INDIRECT("I"&amp;$E$12)),IF(F603=6,AVERAGE(INDIRECT("I"&amp;$D$13):INDIRECT("I"&amp;$E$13))," "))))))</f>
        <v xml:space="preserve"> </v>
      </c>
      <c r="K603" s="242" t="str">
        <f t="shared" si="52"/>
        <v xml:space="preserve"> </v>
      </c>
      <c r="L603" s="242" t="str">
        <f t="shared" si="53"/>
        <v xml:space="preserve"> </v>
      </c>
      <c r="M603" s="242" t="str">
        <f t="shared" si="54"/>
        <v xml:space="preserve"> </v>
      </c>
    </row>
    <row r="604" spans="6:13" x14ac:dyDescent="0.2">
      <c r="F604" s="216" t="str">
        <f t="shared" si="50"/>
        <v xml:space="preserve"> </v>
      </c>
      <c r="G604" s="50"/>
      <c r="H604" s="242" t="str">
        <f ca="1">IF(F604=1,PERCENTILE(INDIRECT("g"&amp;$D$8):INDIRECT("g"&amp;$E$8),0.5),IF(F604=2,PERCENTILE(INDIRECT("g"&amp;$D$9):INDIRECT("g"&amp;$E$9),0.5),IF(F604=3,PERCENTILE(INDIRECT("g"&amp;$D$10):INDIRECT("g"&amp;$E$10),0.5),IF(F604=4,PERCENTILE(INDIRECT("g"&amp;$D$11):INDIRECT("g"&amp;$E$11),0.5),IF(F604=5,PERCENTILE(INDIRECT("g"&amp;$D$12):INDIRECT("g"&amp;$E$12),0.5),IF(F604=6,PERCENTILE(INDIRECT("g"&amp;$D$13):INDIRECT("g"&amp;$E$13),0.5)," "))))))</f>
        <v xml:space="preserve"> </v>
      </c>
      <c r="I604" s="242" t="str">
        <f t="shared" si="51"/>
        <v xml:space="preserve"> </v>
      </c>
      <c r="J604" s="242" t="str">
        <f ca="1">IF(F604=1,AVERAGE(INDIRECT("I"&amp;$D$8):INDIRECT("I"&amp;$E$8)),IF(F604=2,AVERAGE(INDIRECT("I"&amp;$D$9):INDIRECT("I"&amp;$E$9)),IF(F604=3,AVERAGE(INDIRECT("I"&amp;$D$10):INDIRECT("I"&amp;$E$10)),IF(F604=4,AVERAGE(INDIRECT("I"&amp;$D$11):INDIRECT("I"&amp;$E$11)),IF(F604=5,AVERAGE(INDIRECT("I"&amp;$D$12):INDIRECT("I"&amp;$E$12)),IF(F604=6,AVERAGE(INDIRECT("I"&amp;$D$13):INDIRECT("I"&amp;$E$13))," "))))))</f>
        <v xml:space="preserve"> </v>
      </c>
      <c r="K604" s="242" t="str">
        <f t="shared" si="52"/>
        <v xml:space="preserve"> </v>
      </c>
      <c r="L604" s="242" t="str">
        <f t="shared" si="53"/>
        <v xml:space="preserve"> </v>
      </c>
      <c r="M604" s="242" t="str">
        <f t="shared" si="54"/>
        <v xml:space="preserve"> </v>
      </c>
    </row>
    <row r="605" spans="6:13" x14ac:dyDescent="0.2">
      <c r="F605" s="216" t="str">
        <f t="shared" si="50"/>
        <v xml:space="preserve"> </v>
      </c>
      <c r="G605" s="50"/>
      <c r="H605" s="242" t="str">
        <f ca="1">IF(F605=1,PERCENTILE(INDIRECT("g"&amp;$D$8):INDIRECT("g"&amp;$E$8),0.5),IF(F605=2,PERCENTILE(INDIRECT("g"&amp;$D$9):INDIRECT("g"&amp;$E$9),0.5),IF(F605=3,PERCENTILE(INDIRECT("g"&amp;$D$10):INDIRECT("g"&amp;$E$10),0.5),IF(F605=4,PERCENTILE(INDIRECT("g"&amp;$D$11):INDIRECT("g"&amp;$E$11),0.5),IF(F605=5,PERCENTILE(INDIRECT("g"&amp;$D$12):INDIRECT("g"&amp;$E$12),0.5),IF(F605=6,PERCENTILE(INDIRECT("g"&amp;$D$13):INDIRECT("g"&amp;$E$13),0.5)," "))))))</f>
        <v xml:space="preserve"> </v>
      </c>
      <c r="I605" s="242" t="str">
        <f t="shared" si="51"/>
        <v xml:space="preserve"> </v>
      </c>
      <c r="J605" s="242" t="str">
        <f ca="1">IF(F605=1,AVERAGE(INDIRECT("I"&amp;$D$8):INDIRECT("I"&amp;$E$8)),IF(F605=2,AVERAGE(INDIRECT("I"&amp;$D$9):INDIRECT("I"&amp;$E$9)),IF(F605=3,AVERAGE(INDIRECT("I"&amp;$D$10):INDIRECT("I"&amp;$E$10)),IF(F605=4,AVERAGE(INDIRECT("I"&amp;$D$11):INDIRECT("I"&amp;$E$11)),IF(F605=5,AVERAGE(INDIRECT("I"&amp;$D$12):INDIRECT("I"&amp;$E$12)),IF(F605=6,AVERAGE(INDIRECT("I"&amp;$D$13):INDIRECT("I"&amp;$E$13))," "))))))</f>
        <v xml:space="preserve"> </v>
      </c>
      <c r="K605" s="242" t="str">
        <f t="shared" si="52"/>
        <v xml:space="preserve"> </v>
      </c>
      <c r="L605" s="242" t="str">
        <f t="shared" si="53"/>
        <v xml:space="preserve"> </v>
      </c>
      <c r="M605" s="242" t="str">
        <f t="shared" si="54"/>
        <v xml:space="preserve"> </v>
      </c>
    </row>
    <row r="606" spans="6:13" x14ac:dyDescent="0.2">
      <c r="F606" s="216" t="str">
        <f t="shared" si="50"/>
        <v xml:space="preserve"> </v>
      </c>
      <c r="G606" s="50"/>
      <c r="H606" s="242" t="str">
        <f ca="1">IF(F606=1,PERCENTILE(INDIRECT("g"&amp;$D$8):INDIRECT("g"&amp;$E$8),0.5),IF(F606=2,PERCENTILE(INDIRECT("g"&amp;$D$9):INDIRECT("g"&amp;$E$9),0.5),IF(F606=3,PERCENTILE(INDIRECT("g"&amp;$D$10):INDIRECT("g"&amp;$E$10),0.5),IF(F606=4,PERCENTILE(INDIRECT("g"&amp;$D$11):INDIRECT("g"&amp;$E$11),0.5),IF(F606=5,PERCENTILE(INDIRECT("g"&amp;$D$12):INDIRECT("g"&amp;$E$12),0.5),IF(F606=6,PERCENTILE(INDIRECT("g"&amp;$D$13):INDIRECT("g"&amp;$E$13),0.5)," "))))))</f>
        <v xml:space="preserve"> </v>
      </c>
      <c r="I606" s="242" t="str">
        <f t="shared" si="51"/>
        <v xml:space="preserve"> </v>
      </c>
      <c r="J606" s="242" t="str">
        <f ca="1">IF(F606=1,AVERAGE(INDIRECT("I"&amp;$D$8):INDIRECT("I"&amp;$E$8)),IF(F606=2,AVERAGE(INDIRECT("I"&amp;$D$9):INDIRECT("I"&amp;$E$9)),IF(F606=3,AVERAGE(INDIRECT("I"&amp;$D$10):INDIRECT("I"&amp;$E$10)),IF(F606=4,AVERAGE(INDIRECT("I"&amp;$D$11):INDIRECT("I"&amp;$E$11)),IF(F606=5,AVERAGE(INDIRECT("I"&amp;$D$12):INDIRECT("I"&amp;$E$12)),IF(F606=6,AVERAGE(INDIRECT("I"&amp;$D$13):INDIRECT("I"&amp;$E$13))," "))))))</f>
        <v xml:space="preserve"> </v>
      </c>
      <c r="K606" s="242" t="str">
        <f t="shared" si="52"/>
        <v xml:space="preserve"> </v>
      </c>
      <c r="L606" s="242" t="str">
        <f t="shared" si="53"/>
        <v xml:space="preserve"> </v>
      </c>
      <c r="M606" s="242" t="str">
        <f t="shared" si="54"/>
        <v xml:space="preserve"> </v>
      </c>
    </row>
    <row r="607" spans="6:13" x14ac:dyDescent="0.2">
      <c r="F607" s="216" t="str">
        <f t="shared" si="50"/>
        <v xml:space="preserve"> </v>
      </c>
      <c r="G607" s="50"/>
      <c r="H607" s="242" t="str">
        <f ca="1">IF(F607=1,PERCENTILE(INDIRECT("g"&amp;$D$8):INDIRECT("g"&amp;$E$8),0.5),IF(F607=2,PERCENTILE(INDIRECT("g"&amp;$D$9):INDIRECT("g"&amp;$E$9),0.5),IF(F607=3,PERCENTILE(INDIRECT("g"&amp;$D$10):INDIRECT("g"&amp;$E$10),0.5),IF(F607=4,PERCENTILE(INDIRECT("g"&amp;$D$11):INDIRECT("g"&amp;$E$11),0.5),IF(F607=5,PERCENTILE(INDIRECT("g"&amp;$D$12):INDIRECT("g"&amp;$E$12),0.5),IF(F607=6,PERCENTILE(INDIRECT("g"&amp;$D$13):INDIRECT("g"&amp;$E$13),0.5)," "))))))</f>
        <v xml:space="preserve"> </v>
      </c>
      <c r="I607" s="242" t="str">
        <f t="shared" si="51"/>
        <v xml:space="preserve"> </v>
      </c>
      <c r="J607" s="242" t="str">
        <f ca="1">IF(F607=1,AVERAGE(INDIRECT("I"&amp;$D$8):INDIRECT("I"&amp;$E$8)),IF(F607=2,AVERAGE(INDIRECT("I"&amp;$D$9):INDIRECT("I"&amp;$E$9)),IF(F607=3,AVERAGE(INDIRECT("I"&amp;$D$10):INDIRECT("I"&amp;$E$10)),IF(F607=4,AVERAGE(INDIRECT("I"&amp;$D$11):INDIRECT("I"&amp;$E$11)),IF(F607=5,AVERAGE(INDIRECT("I"&amp;$D$12):INDIRECT("I"&amp;$E$12)),IF(F607=6,AVERAGE(INDIRECT("I"&amp;$D$13):INDIRECT("I"&amp;$E$13))," "))))))</f>
        <v xml:space="preserve"> </v>
      </c>
      <c r="K607" s="242" t="str">
        <f t="shared" si="52"/>
        <v xml:space="preserve"> </v>
      </c>
      <c r="L607" s="242" t="str">
        <f t="shared" si="53"/>
        <v xml:space="preserve"> </v>
      </c>
      <c r="M607" s="242" t="str">
        <f t="shared" si="54"/>
        <v xml:space="preserve"> </v>
      </c>
    </row>
    <row r="608" spans="6:13" x14ac:dyDescent="0.2">
      <c r="F608" s="216" t="str">
        <f t="shared" si="50"/>
        <v xml:space="preserve"> </v>
      </c>
      <c r="G608" s="50"/>
      <c r="H608" s="242" t="str">
        <f ca="1">IF(F608=1,PERCENTILE(INDIRECT("g"&amp;$D$8):INDIRECT("g"&amp;$E$8),0.5),IF(F608=2,PERCENTILE(INDIRECT("g"&amp;$D$9):INDIRECT("g"&amp;$E$9),0.5),IF(F608=3,PERCENTILE(INDIRECT("g"&amp;$D$10):INDIRECT("g"&amp;$E$10),0.5),IF(F608=4,PERCENTILE(INDIRECT("g"&amp;$D$11):INDIRECT("g"&amp;$E$11),0.5),IF(F608=5,PERCENTILE(INDIRECT("g"&amp;$D$12):INDIRECT("g"&amp;$E$12),0.5),IF(F608=6,PERCENTILE(INDIRECT("g"&amp;$D$13):INDIRECT("g"&amp;$E$13),0.5)," "))))))</f>
        <v xml:space="preserve"> </v>
      </c>
      <c r="I608" s="242" t="str">
        <f t="shared" si="51"/>
        <v xml:space="preserve"> </v>
      </c>
      <c r="J608" s="242" t="str">
        <f ca="1">IF(F608=1,AVERAGE(INDIRECT("I"&amp;$D$8):INDIRECT("I"&amp;$E$8)),IF(F608=2,AVERAGE(INDIRECT("I"&amp;$D$9):INDIRECT("I"&amp;$E$9)),IF(F608=3,AVERAGE(INDIRECT("I"&amp;$D$10):INDIRECT("I"&amp;$E$10)),IF(F608=4,AVERAGE(INDIRECT("I"&amp;$D$11):INDIRECT("I"&amp;$E$11)),IF(F608=5,AVERAGE(INDIRECT("I"&amp;$D$12):INDIRECT("I"&amp;$E$12)),IF(F608=6,AVERAGE(INDIRECT("I"&amp;$D$13):INDIRECT("I"&amp;$E$13))," "))))))</f>
        <v xml:space="preserve"> </v>
      </c>
      <c r="K608" s="242" t="str">
        <f t="shared" si="52"/>
        <v xml:space="preserve"> </v>
      </c>
      <c r="L608" s="242" t="str">
        <f t="shared" si="53"/>
        <v xml:space="preserve"> </v>
      </c>
      <c r="M608" s="242" t="str">
        <f t="shared" si="54"/>
        <v xml:space="preserve"> </v>
      </c>
    </row>
    <row r="609" spans="6:13" x14ac:dyDescent="0.2">
      <c r="F609" s="216" t="str">
        <f t="shared" si="50"/>
        <v xml:space="preserve"> </v>
      </c>
      <c r="G609" s="50"/>
      <c r="H609" s="242" t="str">
        <f ca="1">IF(F609=1,PERCENTILE(INDIRECT("g"&amp;$D$8):INDIRECT("g"&amp;$E$8),0.5),IF(F609=2,PERCENTILE(INDIRECT("g"&amp;$D$9):INDIRECT("g"&amp;$E$9),0.5),IF(F609=3,PERCENTILE(INDIRECT("g"&amp;$D$10):INDIRECT("g"&amp;$E$10),0.5),IF(F609=4,PERCENTILE(INDIRECT("g"&amp;$D$11):INDIRECT("g"&amp;$E$11),0.5),IF(F609=5,PERCENTILE(INDIRECT("g"&amp;$D$12):INDIRECT("g"&amp;$E$12),0.5),IF(F609=6,PERCENTILE(INDIRECT("g"&amp;$D$13):INDIRECT("g"&amp;$E$13),0.5)," "))))))</f>
        <v xml:space="preserve"> </v>
      </c>
      <c r="I609" s="242" t="str">
        <f t="shared" si="51"/>
        <v xml:space="preserve"> </v>
      </c>
      <c r="J609" s="242" t="str">
        <f ca="1">IF(F609=1,AVERAGE(INDIRECT("I"&amp;$D$8):INDIRECT("I"&amp;$E$8)),IF(F609=2,AVERAGE(INDIRECT("I"&amp;$D$9):INDIRECT("I"&amp;$E$9)),IF(F609=3,AVERAGE(INDIRECT("I"&amp;$D$10):INDIRECT("I"&amp;$E$10)),IF(F609=4,AVERAGE(INDIRECT("I"&amp;$D$11):INDIRECT("I"&amp;$E$11)),IF(F609=5,AVERAGE(INDIRECT("I"&amp;$D$12):INDIRECT("I"&amp;$E$12)),IF(F609=6,AVERAGE(INDIRECT("I"&amp;$D$13):INDIRECT("I"&amp;$E$13))," "))))))</f>
        <v xml:space="preserve"> </v>
      </c>
      <c r="K609" s="242" t="str">
        <f t="shared" si="52"/>
        <v xml:space="preserve"> </v>
      </c>
      <c r="L609" s="242" t="str">
        <f t="shared" si="53"/>
        <v xml:space="preserve"> </v>
      </c>
      <c r="M609" s="242" t="str">
        <f t="shared" si="54"/>
        <v xml:space="preserve"> </v>
      </c>
    </row>
    <row r="610" spans="6:13" x14ac:dyDescent="0.2">
      <c r="F610" s="216" t="str">
        <f t="shared" si="50"/>
        <v xml:space="preserve"> </v>
      </c>
      <c r="G610" s="50"/>
      <c r="H610" s="242" t="str">
        <f ca="1">IF(F610=1,PERCENTILE(INDIRECT("g"&amp;$D$8):INDIRECT("g"&amp;$E$8),0.5),IF(F610=2,PERCENTILE(INDIRECT("g"&amp;$D$9):INDIRECT("g"&amp;$E$9),0.5),IF(F610=3,PERCENTILE(INDIRECT("g"&amp;$D$10):INDIRECT("g"&amp;$E$10),0.5),IF(F610=4,PERCENTILE(INDIRECT("g"&amp;$D$11):INDIRECT("g"&amp;$E$11),0.5),IF(F610=5,PERCENTILE(INDIRECT("g"&amp;$D$12):INDIRECT("g"&amp;$E$12),0.5),IF(F610=6,PERCENTILE(INDIRECT("g"&amp;$D$13):INDIRECT("g"&amp;$E$13),0.5)," "))))))</f>
        <v xml:space="preserve"> </v>
      </c>
      <c r="I610" s="242" t="str">
        <f t="shared" si="51"/>
        <v xml:space="preserve"> </v>
      </c>
      <c r="J610" s="242" t="str">
        <f ca="1">IF(F610=1,AVERAGE(INDIRECT("I"&amp;$D$8):INDIRECT("I"&amp;$E$8)),IF(F610=2,AVERAGE(INDIRECT("I"&amp;$D$9):INDIRECT("I"&amp;$E$9)),IF(F610=3,AVERAGE(INDIRECT("I"&amp;$D$10):INDIRECT("I"&amp;$E$10)),IF(F610=4,AVERAGE(INDIRECT("I"&amp;$D$11):INDIRECT("I"&amp;$E$11)),IF(F610=5,AVERAGE(INDIRECT("I"&amp;$D$12):INDIRECT("I"&amp;$E$12)),IF(F610=6,AVERAGE(INDIRECT("I"&amp;$D$13):INDIRECT("I"&amp;$E$13))," "))))))</f>
        <v xml:space="preserve"> </v>
      </c>
      <c r="K610" s="242" t="str">
        <f t="shared" si="52"/>
        <v xml:space="preserve"> </v>
      </c>
      <c r="L610" s="242" t="str">
        <f t="shared" si="53"/>
        <v xml:space="preserve"> </v>
      </c>
      <c r="M610" s="242" t="str">
        <f t="shared" si="54"/>
        <v xml:space="preserve"> </v>
      </c>
    </row>
    <row r="611" spans="6:13" x14ac:dyDescent="0.2">
      <c r="F611" s="216" t="str">
        <f t="shared" si="50"/>
        <v xml:space="preserve"> </v>
      </c>
      <c r="G611" s="50"/>
      <c r="H611" s="242" t="str">
        <f ca="1">IF(F611=1,PERCENTILE(INDIRECT("g"&amp;$D$8):INDIRECT("g"&amp;$E$8),0.5),IF(F611=2,PERCENTILE(INDIRECT("g"&amp;$D$9):INDIRECT("g"&amp;$E$9),0.5),IF(F611=3,PERCENTILE(INDIRECT("g"&amp;$D$10):INDIRECT("g"&amp;$E$10),0.5),IF(F611=4,PERCENTILE(INDIRECT("g"&amp;$D$11):INDIRECT("g"&amp;$E$11),0.5),IF(F611=5,PERCENTILE(INDIRECT("g"&amp;$D$12):INDIRECT("g"&amp;$E$12),0.5),IF(F611=6,PERCENTILE(INDIRECT("g"&amp;$D$13):INDIRECT("g"&amp;$E$13),0.5)," "))))))</f>
        <v xml:space="preserve"> </v>
      </c>
      <c r="I611" s="242" t="str">
        <f t="shared" si="51"/>
        <v xml:space="preserve"> </v>
      </c>
      <c r="J611" s="242" t="str">
        <f ca="1">IF(F611=1,AVERAGE(INDIRECT("I"&amp;$D$8):INDIRECT("I"&amp;$E$8)),IF(F611=2,AVERAGE(INDIRECT("I"&amp;$D$9):INDIRECT("I"&amp;$E$9)),IF(F611=3,AVERAGE(INDIRECT("I"&amp;$D$10):INDIRECT("I"&amp;$E$10)),IF(F611=4,AVERAGE(INDIRECT("I"&amp;$D$11):INDIRECT("I"&amp;$E$11)),IF(F611=5,AVERAGE(INDIRECT("I"&amp;$D$12):INDIRECT("I"&amp;$E$12)),IF(F611=6,AVERAGE(INDIRECT("I"&amp;$D$13):INDIRECT("I"&amp;$E$13))," "))))))</f>
        <v xml:space="preserve"> </v>
      </c>
      <c r="K611" s="242" t="str">
        <f t="shared" si="52"/>
        <v xml:space="preserve"> </v>
      </c>
      <c r="L611" s="242" t="str">
        <f t="shared" si="53"/>
        <v xml:space="preserve"> </v>
      </c>
      <c r="M611" s="242" t="str">
        <f t="shared" si="54"/>
        <v xml:space="preserve"> </v>
      </c>
    </row>
    <row r="612" spans="6:13" x14ac:dyDescent="0.2">
      <c r="F612" s="216" t="str">
        <f t="shared" si="50"/>
        <v xml:space="preserve"> </v>
      </c>
      <c r="G612" s="50"/>
      <c r="H612" s="242" t="str">
        <f ca="1">IF(F612=1,PERCENTILE(INDIRECT("g"&amp;$D$8):INDIRECT("g"&amp;$E$8),0.5),IF(F612=2,PERCENTILE(INDIRECT("g"&amp;$D$9):INDIRECT("g"&amp;$E$9),0.5),IF(F612=3,PERCENTILE(INDIRECT("g"&amp;$D$10):INDIRECT("g"&amp;$E$10),0.5),IF(F612=4,PERCENTILE(INDIRECT("g"&amp;$D$11):INDIRECT("g"&amp;$E$11),0.5),IF(F612=5,PERCENTILE(INDIRECT("g"&amp;$D$12):INDIRECT("g"&amp;$E$12),0.5),IF(F612=6,PERCENTILE(INDIRECT("g"&amp;$D$13):INDIRECT("g"&amp;$E$13),0.5)," "))))))</f>
        <v xml:space="preserve"> </v>
      </c>
      <c r="I612" s="242" t="str">
        <f t="shared" si="51"/>
        <v xml:space="preserve"> </v>
      </c>
      <c r="J612" s="242" t="str">
        <f ca="1">IF(F612=1,AVERAGE(INDIRECT("I"&amp;$D$8):INDIRECT("I"&amp;$E$8)),IF(F612=2,AVERAGE(INDIRECT("I"&amp;$D$9):INDIRECT("I"&amp;$E$9)),IF(F612=3,AVERAGE(INDIRECT("I"&amp;$D$10):INDIRECT("I"&amp;$E$10)),IF(F612=4,AVERAGE(INDIRECT("I"&amp;$D$11):INDIRECT("I"&amp;$E$11)),IF(F612=5,AVERAGE(INDIRECT("I"&amp;$D$12):INDIRECT("I"&amp;$E$12)),IF(F612=6,AVERAGE(INDIRECT("I"&amp;$D$13):INDIRECT("I"&amp;$E$13))," "))))))</f>
        <v xml:space="preserve"> </v>
      </c>
      <c r="K612" s="242" t="str">
        <f t="shared" si="52"/>
        <v xml:space="preserve"> </v>
      </c>
      <c r="L612" s="242" t="str">
        <f t="shared" si="53"/>
        <v xml:space="preserve"> </v>
      </c>
      <c r="M612" s="242" t="str">
        <f t="shared" si="54"/>
        <v xml:space="preserve"> </v>
      </c>
    </row>
    <row r="613" spans="6:13" x14ac:dyDescent="0.2">
      <c r="F613" s="216" t="str">
        <f t="shared" si="50"/>
        <v xml:space="preserve"> </v>
      </c>
      <c r="G613" s="50"/>
      <c r="H613" s="242" t="str">
        <f ca="1">IF(F613=1,PERCENTILE(INDIRECT("g"&amp;$D$8):INDIRECT("g"&amp;$E$8),0.5),IF(F613=2,PERCENTILE(INDIRECT("g"&amp;$D$9):INDIRECT("g"&amp;$E$9),0.5),IF(F613=3,PERCENTILE(INDIRECT("g"&amp;$D$10):INDIRECT("g"&amp;$E$10),0.5),IF(F613=4,PERCENTILE(INDIRECT("g"&amp;$D$11):INDIRECT("g"&amp;$E$11),0.5),IF(F613=5,PERCENTILE(INDIRECT("g"&amp;$D$12):INDIRECT("g"&amp;$E$12),0.5),IF(F613=6,PERCENTILE(INDIRECT("g"&amp;$D$13):INDIRECT("g"&amp;$E$13),0.5)," "))))))</f>
        <v xml:space="preserve"> </v>
      </c>
      <c r="I613" s="242" t="str">
        <f t="shared" si="51"/>
        <v xml:space="preserve"> </v>
      </c>
      <c r="J613" s="242" t="str">
        <f ca="1">IF(F613=1,AVERAGE(INDIRECT("I"&amp;$D$8):INDIRECT("I"&amp;$E$8)),IF(F613=2,AVERAGE(INDIRECT("I"&amp;$D$9):INDIRECT("I"&amp;$E$9)),IF(F613=3,AVERAGE(INDIRECT("I"&amp;$D$10):INDIRECT("I"&amp;$E$10)),IF(F613=4,AVERAGE(INDIRECT("I"&amp;$D$11):INDIRECT("I"&amp;$E$11)),IF(F613=5,AVERAGE(INDIRECT("I"&amp;$D$12):INDIRECT("I"&amp;$E$12)),IF(F613=6,AVERAGE(INDIRECT("I"&amp;$D$13):INDIRECT("I"&amp;$E$13))," "))))))</f>
        <v xml:space="preserve"> </v>
      </c>
      <c r="K613" s="242" t="str">
        <f t="shared" si="52"/>
        <v xml:space="preserve"> </v>
      </c>
      <c r="L613" s="242" t="str">
        <f t="shared" si="53"/>
        <v xml:space="preserve"> </v>
      </c>
      <c r="M613" s="242" t="str">
        <f t="shared" si="54"/>
        <v xml:space="preserve"> </v>
      </c>
    </row>
    <row r="614" spans="6:13" x14ac:dyDescent="0.2">
      <c r="F614" s="216" t="str">
        <f t="shared" si="50"/>
        <v xml:space="preserve"> </v>
      </c>
      <c r="G614" s="50"/>
      <c r="H614" s="242" t="str">
        <f ca="1">IF(F614=1,PERCENTILE(INDIRECT("g"&amp;$D$8):INDIRECT("g"&amp;$E$8),0.5),IF(F614=2,PERCENTILE(INDIRECT("g"&amp;$D$9):INDIRECT("g"&amp;$E$9),0.5),IF(F614=3,PERCENTILE(INDIRECT("g"&amp;$D$10):INDIRECT("g"&amp;$E$10),0.5),IF(F614=4,PERCENTILE(INDIRECT("g"&amp;$D$11):INDIRECT("g"&amp;$E$11),0.5),IF(F614=5,PERCENTILE(INDIRECT("g"&amp;$D$12):INDIRECT("g"&amp;$E$12),0.5),IF(F614=6,PERCENTILE(INDIRECT("g"&amp;$D$13):INDIRECT("g"&amp;$E$13),0.5)," "))))))</f>
        <v xml:space="preserve"> </v>
      </c>
      <c r="I614" s="242" t="str">
        <f t="shared" si="51"/>
        <v xml:space="preserve"> </v>
      </c>
      <c r="J614" s="242" t="str">
        <f ca="1">IF(F614=1,AVERAGE(INDIRECT("I"&amp;$D$8):INDIRECT("I"&amp;$E$8)),IF(F614=2,AVERAGE(INDIRECT("I"&amp;$D$9):INDIRECT("I"&amp;$E$9)),IF(F614=3,AVERAGE(INDIRECT("I"&amp;$D$10):INDIRECT("I"&amp;$E$10)),IF(F614=4,AVERAGE(INDIRECT("I"&amp;$D$11):INDIRECT("I"&amp;$E$11)),IF(F614=5,AVERAGE(INDIRECT("I"&amp;$D$12):INDIRECT("I"&amp;$E$12)),IF(F614=6,AVERAGE(INDIRECT("I"&amp;$D$13):INDIRECT("I"&amp;$E$13))," "))))))</f>
        <v xml:space="preserve"> </v>
      </c>
      <c r="K614" s="242" t="str">
        <f t="shared" si="52"/>
        <v xml:space="preserve"> </v>
      </c>
      <c r="L614" s="242" t="str">
        <f t="shared" si="53"/>
        <v xml:space="preserve"> </v>
      </c>
      <c r="M614" s="242" t="str">
        <f t="shared" si="54"/>
        <v xml:space="preserve"> </v>
      </c>
    </row>
    <row r="615" spans="6:13" x14ac:dyDescent="0.2">
      <c r="F615" s="216" t="str">
        <f t="shared" si="50"/>
        <v xml:space="preserve"> </v>
      </c>
      <c r="G615" s="50"/>
      <c r="H615" s="242" t="str">
        <f ca="1">IF(F615=1,PERCENTILE(INDIRECT("g"&amp;$D$8):INDIRECT("g"&amp;$E$8),0.5),IF(F615=2,PERCENTILE(INDIRECT("g"&amp;$D$9):INDIRECT("g"&amp;$E$9),0.5),IF(F615=3,PERCENTILE(INDIRECT("g"&amp;$D$10):INDIRECT("g"&amp;$E$10),0.5),IF(F615=4,PERCENTILE(INDIRECT("g"&amp;$D$11):INDIRECT("g"&amp;$E$11),0.5),IF(F615=5,PERCENTILE(INDIRECT("g"&amp;$D$12):INDIRECT("g"&amp;$E$12),0.5),IF(F615=6,PERCENTILE(INDIRECT("g"&amp;$D$13):INDIRECT("g"&amp;$E$13),0.5)," "))))))</f>
        <v xml:space="preserve"> </v>
      </c>
      <c r="I615" s="242" t="str">
        <f t="shared" si="51"/>
        <v xml:space="preserve"> </v>
      </c>
      <c r="J615" s="242" t="str">
        <f ca="1">IF(F615=1,AVERAGE(INDIRECT("I"&amp;$D$8):INDIRECT("I"&amp;$E$8)),IF(F615=2,AVERAGE(INDIRECT("I"&amp;$D$9):INDIRECT("I"&amp;$E$9)),IF(F615=3,AVERAGE(INDIRECT("I"&amp;$D$10):INDIRECT("I"&amp;$E$10)),IF(F615=4,AVERAGE(INDIRECT("I"&amp;$D$11):INDIRECT("I"&amp;$E$11)),IF(F615=5,AVERAGE(INDIRECT("I"&amp;$D$12):INDIRECT("I"&amp;$E$12)),IF(F615=6,AVERAGE(INDIRECT("I"&amp;$D$13):INDIRECT("I"&amp;$E$13))," "))))))</f>
        <v xml:space="preserve"> </v>
      </c>
      <c r="K615" s="242" t="str">
        <f t="shared" si="52"/>
        <v xml:space="preserve"> </v>
      </c>
      <c r="L615" s="242" t="str">
        <f t="shared" si="53"/>
        <v xml:space="preserve"> </v>
      </c>
      <c r="M615" s="242" t="str">
        <f t="shared" si="54"/>
        <v xml:space="preserve"> </v>
      </c>
    </row>
    <row r="616" spans="6:13" x14ac:dyDescent="0.2">
      <c r="F616" s="216" t="str">
        <f t="shared" si="50"/>
        <v xml:space="preserve"> </v>
      </c>
      <c r="G616" s="50"/>
      <c r="H616" s="242" t="str">
        <f ca="1">IF(F616=1,PERCENTILE(INDIRECT("g"&amp;$D$8):INDIRECT("g"&amp;$E$8),0.5),IF(F616=2,PERCENTILE(INDIRECT("g"&amp;$D$9):INDIRECT("g"&amp;$E$9),0.5),IF(F616=3,PERCENTILE(INDIRECT("g"&amp;$D$10):INDIRECT("g"&amp;$E$10),0.5),IF(F616=4,PERCENTILE(INDIRECT("g"&amp;$D$11):INDIRECT("g"&amp;$E$11),0.5),IF(F616=5,PERCENTILE(INDIRECT("g"&amp;$D$12):INDIRECT("g"&amp;$E$12),0.5),IF(F616=6,PERCENTILE(INDIRECT("g"&amp;$D$13):INDIRECT("g"&amp;$E$13),0.5)," "))))))</f>
        <v xml:space="preserve"> </v>
      </c>
      <c r="I616" s="242" t="str">
        <f t="shared" si="51"/>
        <v xml:space="preserve"> </v>
      </c>
      <c r="J616" s="242" t="str">
        <f ca="1">IF(F616=1,AVERAGE(INDIRECT("I"&amp;$D$8):INDIRECT("I"&amp;$E$8)),IF(F616=2,AVERAGE(INDIRECT("I"&amp;$D$9):INDIRECT("I"&amp;$E$9)),IF(F616=3,AVERAGE(INDIRECT("I"&amp;$D$10):INDIRECT("I"&amp;$E$10)),IF(F616=4,AVERAGE(INDIRECT("I"&amp;$D$11):INDIRECT("I"&amp;$E$11)),IF(F616=5,AVERAGE(INDIRECT("I"&amp;$D$12):INDIRECT("I"&amp;$E$12)),IF(F616=6,AVERAGE(INDIRECT("I"&amp;$D$13):INDIRECT("I"&amp;$E$13))," "))))))</f>
        <v xml:space="preserve"> </v>
      </c>
      <c r="K616" s="242" t="str">
        <f t="shared" si="52"/>
        <v xml:space="preserve"> </v>
      </c>
      <c r="L616" s="242" t="str">
        <f t="shared" si="53"/>
        <v xml:space="preserve"> </v>
      </c>
      <c r="M616" s="242" t="str">
        <f t="shared" si="54"/>
        <v xml:space="preserve"> </v>
      </c>
    </row>
    <row r="617" spans="6:13" x14ac:dyDescent="0.2">
      <c r="F617" s="216" t="str">
        <f t="shared" si="50"/>
        <v xml:space="preserve"> </v>
      </c>
      <c r="G617" s="50"/>
      <c r="H617" s="242" t="str">
        <f ca="1">IF(F617=1,PERCENTILE(INDIRECT("g"&amp;$D$8):INDIRECT("g"&amp;$E$8),0.5),IF(F617=2,PERCENTILE(INDIRECT("g"&amp;$D$9):INDIRECT("g"&amp;$E$9),0.5),IF(F617=3,PERCENTILE(INDIRECT("g"&amp;$D$10):INDIRECT("g"&amp;$E$10),0.5),IF(F617=4,PERCENTILE(INDIRECT("g"&amp;$D$11):INDIRECT("g"&amp;$E$11),0.5),IF(F617=5,PERCENTILE(INDIRECT("g"&amp;$D$12):INDIRECT("g"&amp;$E$12),0.5),IF(F617=6,PERCENTILE(INDIRECT("g"&amp;$D$13):INDIRECT("g"&amp;$E$13),0.5)," "))))))</f>
        <v xml:space="preserve"> </v>
      </c>
      <c r="I617" s="242" t="str">
        <f t="shared" si="51"/>
        <v xml:space="preserve"> </v>
      </c>
      <c r="J617" s="242" t="str">
        <f ca="1">IF(F617=1,AVERAGE(INDIRECT("I"&amp;$D$8):INDIRECT("I"&amp;$E$8)),IF(F617=2,AVERAGE(INDIRECT("I"&amp;$D$9):INDIRECT("I"&amp;$E$9)),IF(F617=3,AVERAGE(INDIRECT("I"&amp;$D$10):INDIRECT("I"&amp;$E$10)),IF(F617=4,AVERAGE(INDIRECT("I"&amp;$D$11):INDIRECT("I"&amp;$E$11)),IF(F617=5,AVERAGE(INDIRECT("I"&amp;$D$12):INDIRECT("I"&amp;$E$12)),IF(F617=6,AVERAGE(INDIRECT("I"&amp;$D$13):INDIRECT("I"&amp;$E$13))," "))))))</f>
        <v xml:space="preserve"> </v>
      </c>
      <c r="K617" s="242" t="str">
        <f t="shared" si="52"/>
        <v xml:space="preserve"> </v>
      </c>
      <c r="L617" s="242" t="str">
        <f t="shared" si="53"/>
        <v xml:space="preserve"> </v>
      </c>
      <c r="M617" s="242" t="str">
        <f t="shared" si="54"/>
        <v xml:space="preserve"> </v>
      </c>
    </row>
    <row r="618" spans="6:13" x14ac:dyDescent="0.2">
      <c r="F618" s="216" t="str">
        <f t="shared" si="50"/>
        <v xml:space="preserve"> </v>
      </c>
      <c r="G618" s="50"/>
      <c r="H618" s="242" t="str">
        <f ca="1">IF(F618=1,PERCENTILE(INDIRECT("g"&amp;$D$8):INDIRECT("g"&amp;$E$8),0.5),IF(F618=2,PERCENTILE(INDIRECT("g"&amp;$D$9):INDIRECT("g"&amp;$E$9),0.5),IF(F618=3,PERCENTILE(INDIRECT("g"&amp;$D$10):INDIRECT("g"&amp;$E$10),0.5),IF(F618=4,PERCENTILE(INDIRECT("g"&amp;$D$11):INDIRECT("g"&amp;$E$11),0.5),IF(F618=5,PERCENTILE(INDIRECT("g"&amp;$D$12):INDIRECT("g"&amp;$E$12),0.5),IF(F618=6,PERCENTILE(INDIRECT("g"&amp;$D$13):INDIRECT("g"&amp;$E$13),0.5)," "))))))</f>
        <v xml:space="preserve"> </v>
      </c>
      <c r="I618" s="242" t="str">
        <f t="shared" si="51"/>
        <v xml:space="preserve"> </v>
      </c>
      <c r="J618" s="242" t="str">
        <f ca="1">IF(F618=1,AVERAGE(INDIRECT("I"&amp;$D$8):INDIRECT("I"&amp;$E$8)),IF(F618=2,AVERAGE(INDIRECT("I"&amp;$D$9):INDIRECT("I"&amp;$E$9)),IF(F618=3,AVERAGE(INDIRECT("I"&amp;$D$10):INDIRECT("I"&amp;$E$10)),IF(F618=4,AVERAGE(INDIRECT("I"&amp;$D$11):INDIRECT("I"&amp;$E$11)),IF(F618=5,AVERAGE(INDIRECT("I"&amp;$D$12):INDIRECT("I"&amp;$E$12)),IF(F618=6,AVERAGE(INDIRECT("I"&amp;$D$13):INDIRECT("I"&amp;$E$13))," "))))))</f>
        <v xml:space="preserve"> </v>
      </c>
      <c r="K618" s="242" t="str">
        <f t="shared" si="52"/>
        <v xml:space="preserve"> </v>
      </c>
      <c r="L618" s="242" t="str">
        <f t="shared" si="53"/>
        <v xml:space="preserve"> </v>
      </c>
      <c r="M618" s="242" t="str">
        <f t="shared" si="54"/>
        <v xml:space="preserve"> </v>
      </c>
    </row>
    <row r="619" spans="6:13" x14ac:dyDescent="0.2">
      <c r="F619" s="216" t="str">
        <f t="shared" si="50"/>
        <v xml:space="preserve"> </v>
      </c>
      <c r="G619" s="50"/>
      <c r="H619" s="242" t="str">
        <f ca="1">IF(F619=1,PERCENTILE(INDIRECT("g"&amp;$D$8):INDIRECT("g"&amp;$E$8),0.5),IF(F619=2,PERCENTILE(INDIRECT("g"&amp;$D$9):INDIRECT("g"&amp;$E$9),0.5),IF(F619=3,PERCENTILE(INDIRECT("g"&amp;$D$10):INDIRECT("g"&amp;$E$10),0.5),IF(F619=4,PERCENTILE(INDIRECT("g"&amp;$D$11):INDIRECT("g"&amp;$E$11),0.5),IF(F619=5,PERCENTILE(INDIRECT("g"&amp;$D$12):INDIRECT("g"&amp;$E$12),0.5),IF(F619=6,PERCENTILE(INDIRECT("g"&amp;$D$13):INDIRECT("g"&amp;$E$13),0.5)," "))))))</f>
        <v xml:space="preserve"> </v>
      </c>
      <c r="I619" s="242" t="str">
        <f t="shared" si="51"/>
        <v xml:space="preserve"> </v>
      </c>
      <c r="J619" s="242" t="str">
        <f ca="1">IF(F619=1,AVERAGE(INDIRECT("I"&amp;$D$8):INDIRECT("I"&amp;$E$8)),IF(F619=2,AVERAGE(INDIRECT("I"&amp;$D$9):INDIRECT("I"&amp;$E$9)),IF(F619=3,AVERAGE(INDIRECT("I"&amp;$D$10):INDIRECT("I"&amp;$E$10)),IF(F619=4,AVERAGE(INDIRECT("I"&amp;$D$11):INDIRECT("I"&amp;$E$11)),IF(F619=5,AVERAGE(INDIRECT("I"&amp;$D$12):INDIRECT("I"&amp;$E$12)),IF(F619=6,AVERAGE(INDIRECT("I"&amp;$D$13):INDIRECT("I"&amp;$E$13))," "))))))</f>
        <v xml:space="preserve"> </v>
      </c>
      <c r="K619" s="242" t="str">
        <f t="shared" si="52"/>
        <v xml:space="preserve"> </v>
      </c>
      <c r="L619" s="242" t="str">
        <f t="shared" si="53"/>
        <v xml:space="preserve"> </v>
      </c>
      <c r="M619" s="242" t="str">
        <f t="shared" si="54"/>
        <v xml:space="preserve"> </v>
      </c>
    </row>
    <row r="620" spans="6:13" x14ac:dyDescent="0.2">
      <c r="F620" s="216" t="str">
        <f t="shared" si="50"/>
        <v xml:space="preserve"> </v>
      </c>
      <c r="G620" s="50"/>
      <c r="H620" s="242" t="str">
        <f ca="1">IF(F620=1,PERCENTILE(INDIRECT("g"&amp;$D$8):INDIRECT("g"&amp;$E$8),0.5),IF(F620=2,PERCENTILE(INDIRECT("g"&amp;$D$9):INDIRECT("g"&amp;$E$9),0.5),IF(F620=3,PERCENTILE(INDIRECT("g"&amp;$D$10):INDIRECT("g"&amp;$E$10),0.5),IF(F620=4,PERCENTILE(INDIRECT("g"&amp;$D$11):INDIRECT("g"&amp;$E$11),0.5),IF(F620=5,PERCENTILE(INDIRECT("g"&amp;$D$12):INDIRECT("g"&amp;$E$12),0.5),IF(F620=6,PERCENTILE(INDIRECT("g"&amp;$D$13):INDIRECT("g"&amp;$E$13),0.5)," "))))))</f>
        <v xml:space="preserve"> </v>
      </c>
      <c r="I620" s="242" t="str">
        <f t="shared" si="51"/>
        <v xml:space="preserve"> </v>
      </c>
      <c r="J620" s="242" t="str">
        <f ca="1">IF(F620=1,AVERAGE(INDIRECT("I"&amp;$D$8):INDIRECT("I"&amp;$E$8)),IF(F620=2,AVERAGE(INDIRECT("I"&amp;$D$9):INDIRECT("I"&amp;$E$9)),IF(F620=3,AVERAGE(INDIRECT("I"&amp;$D$10):INDIRECT("I"&amp;$E$10)),IF(F620=4,AVERAGE(INDIRECT("I"&amp;$D$11):INDIRECT("I"&amp;$E$11)),IF(F620=5,AVERAGE(INDIRECT("I"&amp;$D$12):INDIRECT("I"&amp;$E$12)),IF(F620=6,AVERAGE(INDIRECT("I"&amp;$D$13):INDIRECT("I"&amp;$E$13))," "))))))</f>
        <v xml:space="preserve"> </v>
      </c>
      <c r="K620" s="242" t="str">
        <f t="shared" si="52"/>
        <v xml:space="preserve"> </v>
      </c>
      <c r="L620" s="242" t="str">
        <f t="shared" si="53"/>
        <v xml:space="preserve"> </v>
      </c>
      <c r="M620" s="242" t="str">
        <f t="shared" si="54"/>
        <v xml:space="preserve"> </v>
      </c>
    </row>
    <row r="621" spans="6:13" x14ac:dyDescent="0.2">
      <c r="F621" s="216" t="str">
        <f t="shared" si="50"/>
        <v xml:space="preserve"> </v>
      </c>
      <c r="G621" s="50"/>
      <c r="H621" s="242" t="str">
        <f ca="1">IF(F621=1,PERCENTILE(INDIRECT("g"&amp;$D$8):INDIRECT("g"&amp;$E$8),0.5),IF(F621=2,PERCENTILE(INDIRECT("g"&amp;$D$9):INDIRECT("g"&amp;$E$9),0.5),IF(F621=3,PERCENTILE(INDIRECT("g"&amp;$D$10):INDIRECT("g"&amp;$E$10),0.5),IF(F621=4,PERCENTILE(INDIRECT("g"&amp;$D$11):INDIRECT("g"&amp;$E$11),0.5),IF(F621=5,PERCENTILE(INDIRECT("g"&amp;$D$12):INDIRECT("g"&amp;$E$12),0.5),IF(F621=6,PERCENTILE(INDIRECT("g"&amp;$D$13):INDIRECT("g"&amp;$E$13),0.5)," "))))))</f>
        <v xml:space="preserve"> </v>
      </c>
      <c r="I621" s="242" t="str">
        <f t="shared" si="51"/>
        <v xml:space="preserve"> </v>
      </c>
      <c r="J621" s="242" t="str">
        <f ca="1">IF(F621=1,AVERAGE(INDIRECT("I"&amp;$D$8):INDIRECT("I"&amp;$E$8)),IF(F621=2,AVERAGE(INDIRECT("I"&amp;$D$9):INDIRECT("I"&amp;$E$9)),IF(F621=3,AVERAGE(INDIRECT("I"&amp;$D$10):INDIRECT("I"&amp;$E$10)),IF(F621=4,AVERAGE(INDIRECT("I"&amp;$D$11):INDIRECT("I"&amp;$E$11)),IF(F621=5,AVERAGE(INDIRECT("I"&amp;$D$12):INDIRECT("I"&amp;$E$12)),IF(F621=6,AVERAGE(INDIRECT("I"&amp;$D$13):INDIRECT("I"&amp;$E$13))," "))))))</f>
        <v xml:space="preserve"> </v>
      </c>
      <c r="K621" s="242" t="str">
        <f t="shared" si="52"/>
        <v xml:space="preserve"> </v>
      </c>
      <c r="L621" s="242" t="str">
        <f t="shared" si="53"/>
        <v xml:space="preserve"> </v>
      </c>
      <c r="M621" s="242" t="str">
        <f t="shared" si="54"/>
        <v xml:space="preserve"> </v>
      </c>
    </row>
    <row r="622" spans="6:13" x14ac:dyDescent="0.2">
      <c r="F622" s="216" t="str">
        <f t="shared" si="50"/>
        <v xml:space="preserve"> </v>
      </c>
      <c r="G622" s="50"/>
      <c r="H622" s="242" t="str">
        <f ca="1">IF(F622=1,PERCENTILE(INDIRECT("g"&amp;$D$8):INDIRECT("g"&amp;$E$8),0.5),IF(F622=2,PERCENTILE(INDIRECT("g"&amp;$D$9):INDIRECT("g"&amp;$E$9),0.5),IF(F622=3,PERCENTILE(INDIRECT("g"&amp;$D$10):INDIRECT("g"&amp;$E$10),0.5),IF(F622=4,PERCENTILE(INDIRECT("g"&amp;$D$11):INDIRECT("g"&amp;$E$11),0.5),IF(F622=5,PERCENTILE(INDIRECT("g"&amp;$D$12):INDIRECT("g"&amp;$E$12),0.5),IF(F622=6,PERCENTILE(INDIRECT("g"&amp;$D$13):INDIRECT("g"&amp;$E$13),0.5)," "))))))</f>
        <v xml:space="preserve"> </v>
      </c>
      <c r="I622" s="242" t="str">
        <f t="shared" si="51"/>
        <v xml:space="preserve"> </v>
      </c>
      <c r="J622" s="242" t="str">
        <f ca="1">IF(F622=1,AVERAGE(INDIRECT("I"&amp;$D$8):INDIRECT("I"&amp;$E$8)),IF(F622=2,AVERAGE(INDIRECT("I"&amp;$D$9):INDIRECT("I"&amp;$E$9)),IF(F622=3,AVERAGE(INDIRECT("I"&amp;$D$10):INDIRECT("I"&amp;$E$10)),IF(F622=4,AVERAGE(INDIRECT("I"&amp;$D$11):INDIRECT("I"&amp;$E$11)),IF(F622=5,AVERAGE(INDIRECT("I"&amp;$D$12):INDIRECT("I"&amp;$E$12)),IF(F622=6,AVERAGE(INDIRECT("I"&amp;$D$13):INDIRECT("I"&amp;$E$13))," "))))))</f>
        <v xml:space="preserve"> </v>
      </c>
      <c r="K622" s="242" t="str">
        <f t="shared" si="52"/>
        <v xml:space="preserve"> </v>
      </c>
      <c r="L622" s="242" t="str">
        <f t="shared" si="53"/>
        <v xml:space="preserve"> </v>
      </c>
      <c r="M622" s="242" t="str">
        <f t="shared" si="54"/>
        <v xml:space="preserve"> </v>
      </c>
    </row>
    <row r="623" spans="6:13" x14ac:dyDescent="0.2">
      <c r="F623" s="216" t="str">
        <f t="shared" si="50"/>
        <v xml:space="preserve"> </v>
      </c>
      <c r="G623" s="50"/>
      <c r="H623" s="242" t="str">
        <f ca="1">IF(F623=1,PERCENTILE(INDIRECT("g"&amp;$D$8):INDIRECT("g"&amp;$E$8),0.5),IF(F623=2,PERCENTILE(INDIRECT("g"&amp;$D$9):INDIRECT("g"&amp;$E$9),0.5),IF(F623=3,PERCENTILE(INDIRECT("g"&amp;$D$10):INDIRECT("g"&amp;$E$10),0.5),IF(F623=4,PERCENTILE(INDIRECT("g"&amp;$D$11):INDIRECT("g"&amp;$E$11),0.5),IF(F623=5,PERCENTILE(INDIRECT("g"&amp;$D$12):INDIRECT("g"&amp;$E$12),0.5),IF(F623=6,PERCENTILE(INDIRECT("g"&amp;$D$13):INDIRECT("g"&amp;$E$13),0.5)," "))))))</f>
        <v xml:space="preserve"> </v>
      </c>
      <c r="I623" s="242" t="str">
        <f t="shared" si="51"/>
        <v xml:space="preserve"> </v>
      </c>
      <c r="J623" s="242" t="str">
        <f ca="1">IF(F623=1,AVERAGE(INDIRECT("I"&amp;$D$8):INDIRECT("I"&amp;$E$8)),IF(F623=2,AVERAGE(INDIRECT("I"&amp;$D$9):INDIRECT("I"&amp;$E$9)),IF(F623=3,AVERAGE(INDIRECT("I"&amp;$D$10):INDIRECT("I"&amp;$E$10)),IF(F623=4,AVERAGE(INDIRECT("I"&amp;$D$11):INDIRECT("I"&amp;$E$11)),IF(F623=5,AVERAGE(INDIRECT("I"&amp;$D$12):INDIRECT("I"&amp;$E$12)),IF(F623=6,AVERAGE(INDIRECT("I"&amp;$D$13):INDIRECT("I"&amp;$E$13))," "))))))</f>
        <v xml:space="preserve"> </v>
      </c>
      <c r="K623" s="242" t="str">
        <f t="shared" si="52"/>
        <v xml:space="preserve"> </v>
      </c>
      <c r="L623" s="242" t="str">
        <f t="shared" si="53"/>
        <v xml:space="preserve"> </v>
      </c>
      <c r="M623" s="242" t="str">
        <f t="shared" si="54"/>
        <v xml:space="preserve"> </v>
      </c>
    </row>
    <row r="624" spans="6:13" x14ac:dyDescent="0.2">
      <c r="F624" s="216" t="str">
        <f t="shared" si="50"/>
        <v xml:space="preserve"> </v>
      </c>
      <c r="G624" s="50"/>
      <c r="H624" s="242" t="str">
        <f ca="1">IF(F624=1,PERCENTILE(INDIRECT("g"&amp;$D$8):INDIRECT("g"&amp;$E$8),0.5),IF(F624=2,PERCENTILE(INDIRECT("g"&amp;$D$9):INDIRECT("g"&amp;$E$9),0.5),IF(F624=3,PERCENTILE(INDIRECT("g"&amp;$D$10):INDIRECT("g"&amp;$E$10),0.5),IF(F624=4,PERCENTILE(INDIRECT("g"&amp;$D$11):INDIRECT("g"&amp;$E$11),0.5),IF(F624=5,PERCENTILE(INDIRECT("g"&amp;$D$12):INDIRECT("g"&amp;$E$12),0.5),IF(F624=6,PERCENTILE(INDIRECT("g"&amp;$D$13):INDIRECT("g"&amp;$E$13),0.5)," "))))))</f>
        <v xml:space="preserve"> </v>
      </c>
      <c r="I624" s="242" t="str">
        <f t="shared" si="51"/>
        <v xml:space="preserve"> </v>
      </c>
      <c r="J624" s="242" t="str">
        <f ca="1">IF(F624=1,AVERAGE(INDIRECT("I"&amp;$D$8):INDIRECT("I"&amp;$E$8)),IF(F624=2,AVERAGE(INDIRECT("I"&amp;$D$9):INDIRECT("I"&amp;$E$9)),IF(F624=3,AVERAGE(INDIRECT("I"&amp;$D$10):INDIRECT("I"&amp;$E$10)),IF(F624=4,AVERAGE(INDIRECT("I"&amp;$D$11):INDIRECT("I"&amp;$E$11)),IF(F624=5,AVERAGE(INDIRECT("I"&amp;$D$12):INDIRECT("I"&amp;$E$12)),IF(F624=6,AVERAGE(INDIRECT("I"&amp;$D$13):INDIRECT("I"&amp;$E$13))," "))))))</f>
        <v xml:space="preserve"> </v>
      </c>
      <c r="K624" s="242" t="str">
        <f t="shared" si="52"/>
        <v xml:space="preserve"> </v>
      </c>
      <c r="L624" s="242" t="str">
        <f t="shared" si="53"/>
        <v xml:space="preserve"> </v>
      </c>
      <c r="M624" s="242" t="str">
        <f t="shared" si="54"/>
        <v xml:space="preserve"> </v>
      </c>
    </row>
    <row r="625" spans="6:13" x14ac:dyDescent="0.2">
      <c r="F625" s="216" t="str">
        <f t="shared" si="50"/>
        <v xml:space="preserve"> </v>
      </c>
      <c r="G625" s="50"/>
      <c r="H625" s="242" t="str">
        <f ca="1">IF(F625=1,PERCENTILE(INDIRECT("g"&amp;$D$8):INDIRECT("g"&amp;$E$8),0.5),IF(F625=2,PERCENTILE(INDIRECT("g"&amp;$D$9):INDIRECT("g"&amp;$E$9),0.5),IF(F625=3,PERCENTILE(INDIRECT("g"&amp;$D$10):INDIRECT("g"&amp;$E$10),0.5),IF(F625=4,PERCENTILE(INDIRECT("g"&amp;$D$11):INDIRECT("g"&amp;$E$11),0.5),IF(F625=5,PERCENTILE(INDIRECT("g"&amp;$D$12):INDIRECT("g"&amp;$E$12),0.5),IF(F625=6,PERCENTILE(INDIRECT("g"&amp;$D$13):INDIRECT("g"&amp;$E$13),0.5)," "))))))</f>
        <v xml:space="preserve"> </v>
      </c>
      <c r="I625" s="242" t="str">
        <f t="shared" si="51"/>
        <v xml:space="preserve"> </v>
      </c>
      <c r="J625" s="242" t="str">
        <f ca="1">IF(F625=1,AVERAGE(INDIRECT("I"&amp;$D$8):INDIRECT("I"&amp;$E$8)),IF(F625=2,AVERAGE(INDIRECT("I"&amp;$D$9):INDIRECT("I"&amp;$E$9)),IF(F625=3,AVERAGE(INDIRECT("I"&amp;$D$10):INDIRECT("I"&amp;$E$10)),IF(F625=4,AVERAGE(INDIRECT("I"&amp;$D$11):INDIRECT("I"&amp;$E$11)),IF(F625=5,AVERAGE(INDIRECT("I"&amp;$D$12):INDIRECT("I"&amp;$E$12)),IF(F625=6,AVERAGE(INDIRECT("I"&amp;$D$13):INDIRECT("I"&amp;$E$13))," "))))))</f>
        <v xml:space="preserve"> </v>
      </c>
      <c r="K625" s="242" t="str">
        <f t="shared" si="52"/>
        <v xml:space="preserve"> </v>
      </c>
      <c r="L625" s="242" t="str">
        <f t="shared" si="53"/>
        <v xml:space="preserve"> </v>
      </c>
      <c r="M625" s="242" t="str">
        <f t="shared" si="54"/>
        <v xml:space="preserve"> </v>
      </c>
    </row>
    <row r="626" spans="6:13" x14ac:dyDescent="0.2">
      <c r="F626" s="216" t="str">
        <f t="shared" si="50"/>
        <v xml:space="preserve"> </v>
      </c>
      <c r="G626" s="50"/>
      <c r="H626" s="242" t="str">
        <f ca="1">IF(F626=1,PERCENTILE(INDIRECT("g"&amp;$D$8):INDIRECT("g"&amp;$E$8),0.5),IF(F626=2,PERCENTILE(INDIRECT("g"&amp;$D$9):INDIRECT("g"&amp;$E$9),0.5),IF(F626=3,PERCENTILE(INDIRECT("g"&amp;$D$10):INDIRECT("g"&amp;$E$10),0.5),IF(F626=4,PERCENTILE(INDIRECT("g"&amp;$D$11):INDIRECT("g"&amp;$E$11),0.5),IF(F626=5,PERCENTILE(INDIRECT("g"&amp;$D$12):INDIRECT("g"&amp;$E$12),0.5),IF(F626=6,PERCENTILE(INDIRECT("g"&amp;$D$13):INDIRECT("g"&amp;$E$13),0.5)," "))))))</f>
        <v xml:space="preserve"> </v>
      </c>
      <c r="I626" s="242" t="str">
        <f t="shared" si="51"/>
        <v xml:space="preserve"> </v>
      </c>
      <c r="J626" s="242" t="str">
        <f ca="1">IF(F626=1,AVERAGE(INDIRECT("I"&amp;$D$8):INDIRECT("I"&amp;$E$8)),IF(F626=2,AVERAGE(INDIRECT("I"&amp;$D$9):INDIRECT("I"&amp;$E$9)),IF(F626=3,AVERAGE(INDIRECT("I"&amp;$D$10):INDIRECT("I"&amp;$E$10)),IF(F626=4,AVERAGE(INDIRECT("I"&amp;$D$11):INDIRECT("I"&amp;$E$11)),IF(F626=5,AVERAGE(INDIRECT("I"&amp;$D$12):INDIRECT("I"&amp;$E$12)),IF(F626=6,AVERAGE(INDIRECT("I"&amp;$D$13):INDIRECT("I"&amp;$E$13))," "))))))</f>
        <v xml:space="preserve"> </v>
      </c>
      <c r="K626" s="242" t="str">
        <f t="shared" si="52"/>
        <v xml:space="preserve"> </v>
      </c>
      <c r="L626" s="242" t="str">
        <f t="shared" si="53"/>
        <v xml:space="preserve"> </v>
      </c>
      <c r="M626" s="242" t="str">
        <f t="shared" si="54"/>
        <v xml:space="preserve"> </v>
      </c>
    </row>
    <row r="627" spans="6:13" x14ac:dyDescent="0.2">
      <c r="F627" s="216" t="str">
        <f t="shared" si="50"/>
        <v xml:space="preserve"> </v>
      </c>
      <c r="G627" s="50"/>
      <c r="H627" s="242" t="str">
        <f ca="1">IF(F627=1,PERCENTILE(INDIRECT("g"&amp;$D$8):INDIRECT("g"&amp;$E$8),0.5),IF(F627=2,PERCENTILE(INDIRECT("g"&amp;$D$9):INDIRECT("g"&amp;$E$9),0.5),IF(F627=3,PERCENTILE(INDIRECT("g"&amp;$D$10):INDIRECT("g"&amp;$E$10),0.5),IF(F627=4,PERCENTILE(INDIRECT("g"&amp;$D$11):INDIRECT("g"&amp;$E$11),0.5),IF(F627=5,PERCENTILE(INDIRECT("g"&amp;$D$12):INDIRECT("g"&amp;$E$12),0.5),IF(F627=6,PERCENTILE(INDIRECT("g"&amp;$D$13):INDIRECT("g"&amp;$E$13),0.5)," "))))))</f>
        <v xml:space="preserve"> </v>
      </c>
      <c r="I627" s="242" t="str">
        <f t="shared" si="51"/>
        <v xml:space="preserve"> </v>
      </c>
      <c r="J627" s="242" t="str">
        <f ca="1">IF(F627=1,AVERAGE(INDIRECT("I"&amp;$D$8):INDIRECT("I"&amp;$E$8)),IF(F627=2,AVERAGE(INDIRECT("I"&amp;$D$9):INDIRECT("I"&amp;$E$9)),IF(F627=3,AVERAGE(INDIRECT("I"&amp;$D$10):INDIRECT("I"&amp;$E$10)),IF(F627=4,AVERAGE(INDIRECT("I"&amp;$D$11):INDIRECT("I"&amp;$E$11)),IF(F627=5,AVERAGE(INDIRECT("I"&amp;$D$12):INDIRECT("I"&amp;$E$12)),IF(F627=6,AVERAGE(INDIRECT("I"&amp;$D$13):INDIRECT("I"&amp;$E$13))," "))))))</f>
        <v xml:space="preserve"> </v>
      </c>
      <c r="K627" s="242" t="str">
        <f t="shared" si="52"/>
        <v xml:space="preserve"> </v>
      </c>
      <c r="L627" s="242" t="str">
        <f t="shared" si="53"/>
        <v xml:space="preserve"> </v>
      </c>
      <c r="M627" s="242" t="str">
        <f t="shared" si="54"/>
        <v xml:space="preserve"> </v>
      </c>
    </row>
    <row r="628" spans="6:13" x14ac:dyDescent="0.2">
      <c r="F628" s="216" t="str">
        <f t="shared" si="50"/>
        <v xml:space="preserve"> </v>
      </c>
      <c r="G628" s="50"/>
      <c r="H628" s="242" t="str">
        <f ca="1">IF(F628=1,PERCENTILE(INDIRECT("g"&amp;$D$8):INDIRECT("g"&amp;$E$8),0.5),IF(F628=2,PERCENTILE(INDIRECT("g"&amp;$D$9):INDIRECT("g"&amp;$E$9),0.5),IF(F628=3,PERCENTILE(INDIRECT("g"&amp;$D$10):INDIRECT("g"&amp;$E$10),0.5),IF(F628=4,PERCENTILE(INDIRECT("g"&amp;$D$11):INDIRECT("g"&amp;$E$11),0.5),IF(F628=5,PERCENTILE(INDIRECT("g"&amp;$D$12):INDIRECT("g"&amp;$E$12),0.5),IF(F628=6,PERCENTILE(INDIRECT("g"&amp;$D$13):INDIRECT("g"&amp;$E$13),0.5)," "))))))</f>
        <v xml:space="preserve"> </v>
      </c>
      <c r="I628" s="242" t="str">
        <f t="shared" si="51"/>
        <v xml:space="preserve"> </v>
      </c>
      <c r="J628" s="242" t="str">
        <f ca="1">IF(F628=1,AVERAGE(INDIRECT("I"&amp;$D$8):INDIRECT("I"&amp;$E$8)),IF(F628=2,AVERAGE(INDIRECT("I"&amp;$D$9):INDIRECT("I"&amp;$E$9)),IF(F628=3,AVERAGE(INDIRECT("I"&amp;$D$10):INDIRECT("I"&amp;$E$10)),IF(F628=4,AVERAGE(INDIRECT("I"&amp;$D$11):INDIRECT("I"&amp;$E$11)),IF(F628=5,AVERAGE(INDIRECT("I"&amp;$D$12):INDIRECT("I"&amp;$E$12)),IF(F628=6,AVERAGE(INDIRECT("I"&amp;$D$13):INDIRECT("I"&amp;$E$13))," "))))))</f>
        <v xml:space="preserve"> </v>
      </c>
      <c r="K628" s="242" t="str">
        <f t="shared" si="52"/>
        <v xml:space="preserve"> </v>
      </c>
      <c r="L628" s="242" t="str">
        <f t="shared" si="53"/>
        <v xml:space="preserve"> </v>
      </c>
      <c r="M628" s="242" t="str">
        <f t="shared" si="54"/>
        <v xml:space="preserve"> </v>
      </c>
    </row>
    <row r="629" spans="6:13" x14ac:dyDescent="0.2">
      <c r="F629" s="216" t="str">
        <f t="shared" si="50"/>
        <v xml:space="preserve"> </v>
      </c>
      <c r="G629" s="50"/>
      <c r="H629" s="242" t="str">
        <f ca="1">IF(F629=1,PERCENTILE(INDIRECT("g"&amp;$D$8):INDIRECT("g"&amp;$E$8),0.5),IF(F629=2,PERCENTILE(INDIRECT("g"&amp;$D$9):INDIRECT("g"&amp;$E$9),0.5),IF(F629=3,PERCENTILE(INDIRECT("g"&amp;$D$10):INDIRECT("g"&amp;$E$10),0.5),IF(F629=4,PERCENTILE(INDIRECT("g"&amp;$D$11):INDIRECT("g"&amp;$E$11),0.5),IF(F629=5,PERCENTILE(INDIRECT("g"&amp;$D$12):INDIRECT("g"&amp;$E$12),0.5),IF(F629=6,PERCENTILE(INDIRECT("g"&amp;$D$13):INDIRECT("g"&amp;$E$13),0.5)," "))))))</f>
        <v xml:space="preserve"> </v>
      </c>
      <c r="I629" s="242" t="str">
        <f t="shared" si="51"/>
        <v xml:space="preserve"> </v>
      </c>
      <c r="J629" s="242" t="str">
        <f ca="1">IF(F629=1,AVERAGE(INDIRECT("I"&amp;$D$8):INDIRECT("I"&amp;$E$8)),IF(F629=2,AVERAGE(INDIRECT("I"&amp;$D$9):INDIRECT("I"&amp;$E$9)),IF(F629=3,AVERAGE(INDIRECT("I"&amp;$D$10):INDIRECT("I"&amp;$E$10)),IF(F629=4,AVERAGE(INDIRECT("I"&amp;$D$11):INDIRECT("I"&amp;$E$11)),IF(F629=5,AVERAGE(INDIRECT("I"&amp;$D$12):INDIRECT("I"&amp;$E$12)),IF(F629=6,AVERAGE(INDIRECT("I"&amp;$D$13):INDIRECT("I"&amp;$E$13))," "))))))</f>
        <v xml:space="preserve"> </v>
      </c>
      <c r="K629" s="242" t="str">
        <f t="shared" si="52"/>
        <v xml:space="preserve"> </v>
      </c>
      <c r="L629" s="242" t="str">
        <f t="shared" si="53"/>
        <v xml:space="preserve"> </v>
      </c>
      <c r="M629" s="242" t="str">
        <f t="shared" si="54"/>
        <v xml:space="preserve"> </v>
      </c>
    </row>
    <row r="630" spans="6:13" x14ac:dyDescent="0.2">
      <c r="F630" s="216" t="str">
        <f t="shared" si="50"/>
        <v xml:space="preserve"> </v>
      </c>
      <c r="G630" s="50"/>
      <c r="H630" s="242" t="str">
        <f ca="1">IF(F630=1,PERCENTILE(INDIRECT("g"&amp;$D$8):INDIRECT("g"&amp;$E$8),0.5),IF(F630=2,PERCENTILE(INDIRECT("g"&amp;$D$9):INDIRECT("g"&amp;$E$9),0.5),IF(F630=3,PERCENTILE(INDIRECT("g"&amp;$D$10):INDIRECT("g"&amp;$E$10),0.5),IF(F630=4,PERCENTILE(INDIRECT("g"&amp;$D$11):INDIRECT("g"&amp;$E$11),0.5),IF(F630=5,PERCENTILE(INDIRECT("g"&amp;$D$12):INDIRECT("g"&amp;$E$12),0.5),IF(F630=6,PERCENTILE(INDIRECT("g"&amp;$D$13):INDIRECT("g"&amp;$E$13),0.5)," "))))))</f>
        <v xml:space="preserve"> </v>
      </c>
      <c r="I630" s="242" t="str">
        <f t="shared" si="51"/>
        <v xml:space="preserve"> </v>
      </c>
      <c r="J630" s="242" t="str">
        <f ca="1">IF(F630=1,AVERAGE(INDIRECT("I"&amp;$D$8):INDIRECT("I"&amp;$E$8)),IF(F630=2,AVERAGE(INDIRECT("I"&amp;$D$9):INDIRECT("I"&amp;$E$9)),IF(F630=3,AVERAGE(INDIRECT("I"&amp;$D$10):INDIRECT("I"&amp;$E$10)),IF(F630=4,AVERAGE(INDIRECT("I"&amp;$D$11):INDIRECT("I"&amp;$E$11)),IF(F630=5,AVERAGE(INDIRECT("I"&amp;$D$12):INDIRECT("I"&amp;$E$12)),IF(F630=6,AVERAGE(INDIRECT("I"&amp;$D$13):INDIRECT("I"&amp;$E$13))," "))))))</f>
        <v xml:space="preserve"> </v>
      </c>
      <c r="K630" s="242" t="str">
        <f t="shared" si="52"/>
        <v xml:space="preserve"> </v>
      </c>
      <c r="L630" s="242" t="str">
        <f t="shared" si="53"/>
        <v xml:space="preserve"> </v>
      </c>
      <c r="M630" s="242" t="str">
        <f t="shared" si="54"/>
        <v xml:space="preserve"> </v>
      </c>
    </row>
    <row r="631" spans="6:13" x14ac:dyDescent="0.2">
      <c r="F631" s="216" t="str">
        <f t="shared" si="50"/>
        <v xml:space="preserve"> </v>
      </c>
      <c r="G631" s="50"/>
      <c r="H631" s="242" t="str">
        <f ca="1">IF(F631=1,PERCENTILE(INDIRECT("g"&amp;$D$8):INDIRECT("g"&amp;$E$8),0.5),IF(F631=2,PERCENTILE(INDIRECT("g"&amp;$D$9):INDIRECT("g"&amp;$E$9),0.5),IF(F631=3,PERCENTILE(INDIRECT("g"&amp;$D$10):INDIRECT("g"&amp;$E$10),0.5),IF(F631=4,PERCENTILE(INDIRECT("g"&amp;$D$11):INDIRECT("g"&amp;$E$11),0.5),IF(F631=5,PERCENTILE(INDIRECT("g"&amp;$D$12):INDIRECT("g"&amp;$E$12),0.5),IF(F631=6,PERCENTILE(INDIRECT("g"&amp;$D$13):INDIRECT("g"&amp;$E$13),0.5)," "))))))</f>
        <v xml:space="preserve"> </v>
      </c>
      <c r="I631" s="242" t="str">
        <f t="shared" si="51"/>
        <v xml:space="preserve"> </v>
      </c>
      <c r="J631" s="242" t="str">
        <f ca="1">IF(F631=1,AVERAGE(INDIRECT("I"&amp;$D$8):INDIRECT("I"&amp;$E$8)),IF(F631=2,AVERAGE(INDIRECT("I"&amp;$D$9):INDIRECT("I"&amp;$E$9)),IF(F631=3,AVERAGE(INDIRECT("I"&amp;$D$10):INDIRECT("I"&amp;$E$10)),IF(F631=4,AVERAGE(INDIRECT("I"&amp;$D$11):INDIRECT("I"&amp;$E$11)),IF(F631=5,AVERAGE(INDIRECT("I"&amp;$D$12):INDIRECT("I"&amp;$E$12)),IF(F631=6,AVERAGE(INDIRECT("I"&amp;$D$13):INDIRECT("I"&amp;$E$13))," "))))))</f>
        <v xml:space="preserve"> </v>
      </c>
      <c r="K631" s="242" t="str">
        <f t="shared" si="52"/>
        <v xml:space="preserve"> </v>
      </c>
      <c r="L631" s="242" t="str">
        <f t="shared" si="53"/>
        <v xml:space="preserve"> </v>
      </c>
      <c r="M631" s="242" t="str">
        <f t="shared" si="54"/>
        <v xml:space="preserve"> </v>
      </c>
    </row>
    <row r="632" spans="6:13" x14ac:dyDescent="0.2">
      <c r="F632" s="216" t="str">
        <f t="shared" si="50"/>
        <v xml:space="preserve"> </v>
      </c>
      <c r="G632" s="50"/>
      <c r="H632" s="242" t="str">
        <f ca="1">IF(F632=1,PERCENTILE(INDIRECT("g"&amp;$D$8):INDIRECT("g"&amp;$E$8),0.5),IF(F632=2,PERCENTILE(INDIRECT("g"&amp;$D$9):INDIRECT("g"&amp;$E$9),0.5),IF(F632=3,PERCENTILE(INDIRECT("g"&amp;$D$10):INDIRECT("g"&amp;$E$10),0.5),IF(F632=4,PERCENTILE(INDIRECT("g"&amp;$D$11):INDIRECT("g"&amp;$E$11),0.5),IF(F632=5,PERCENTILE(INDIRECT("g"&amp;$D$12):INDIRECT("g"&amp;$E$12),0.5),IF(F632=6,PERCENTILE(INDIRECT("g"&amp;$D$13):INDIRECT("g"&amp;$E$13),0.5)," "))))))</f>
        <v xml:space="preserve"> </v>
      </c>
      <c r="I632" s="242" t="str">
        <f t="shared" si="51"/>
        <v xml:space="preserve"> </v>
      </c>
      <c r="J632" s="242" t="str">
        <f ca="1">IF(F632=1,AVERAGE(INDIRECT("I"&amp;$D$8):INDIRECT("I"&amp;$E$8)),IF(F632=2,AVERAGE(INDIRECT("I"&amp;$D$9):INDIRECT("I"&amp;$E$9)),IF(F632=3,AVERAGE(INDIRECT("I"&amp;$D$10):INDIRECT("I"&amp;$E$10)),IF(F632=4,AVERAGE(INDIRECT("I"&amp;$D$11):INDIRECT("I"&amp;$E$11)),IF(F632=5,AVERAGE(INDIRECT("I"&amp;$D$12):INDIRECT("I"&amp;$E$12)),IF(F632=6,AVERAGE(INDIRECT("I"&amp;$D$13):INDIRECT("I"&amp;$E$13))," "))))))</f>
        <v xml:space="preserve"> </v>
      </c>
      <c r="K632" s="242" t="str">
        <f t="shared" si="52"/>
        <v xml:space="preserve"> </v>
      </c>
      <c r="L632" s="242" t="str">
        <f t="shared" si="53"/>
        <v xml:space="preserve"> </v>
      </c>
      <c r="M632" s="242" t="str">
        <f t="shared" si="54"/>
        <v xml:space="preserve"> </v>
      </c>
    </row>
    <row r="633" spans="6:13" x14ac:dyDescent="0.2">
      <c r="F633" s="216" t="str">
        <f t="shared" si="50"/>
        <v xml:space="preserve"> </v>
      </c>
      <c r="G633" s="50"/>
      <c r="H633" s="242" t="str">
        <f ca="1">IF(F633=1,PERCENTILE(INDIRECT("g"&amp;$D$8):INDIRECT("g"&amp;$E$8),0.5),IF(F633=2,PERCENTILE(INDIRECT("g"&amp;$D$9):INDIRECT("g"&amp;$E$9),0.5),IF(F633=3,PERCENTILE(INDIRECT("g"&amp;$D$10):INDIRECT("g"&amp;$E$10),0.5),IF(F633=4,PERCENTILE(INDIRECT("g"&amp;$D$11):INDIRECT("g"&amp;$E$11),0.5),IF(F633=5,PERCENTILE(INDIRECT("g"&amp;$D$12):INDIRECT("g"&amp;$E$12),0.5),IF(F633=6,PERCENTILE(INDIRECT("g"&amp;$D$13):INDIRECT("g"&amp;$E$13),0.5)," "))))))</f>
        <v xml:space="preserve"> </v>
      </c>
      <c r="I633" s="242" t="str">
        <f t="shared" si="51"/>
        <v xml:space="preserve"> </v>
      </c>
      <c r="J633" s="242" t="str">
        <f ca="1">IF(F633=1,AVERAGE(INDIRECT("I"&amp;$D$8):INDIRECT("I"&amp;$E$8)),IF(F633=2,AVERAGE(INDIRECT("I"&amp;$D$9):INDIRECT("I"&amp;$E$9)),IF(F633=3,AVERAGE(INDIRECT("I"&amp;$D$10):INDIRECT("I"&amp;$E$10)),IF(F633=4,AVERAGE(INDIRECT("I"&amp;$D$11):INDIRECT("I"&amp;$E$11)),IF(F633=5,AVERAGE(INDIRECT("I"&amp;$D$12):INDIRECT("I"&amp;$E$12)),IF(F633=6,AVERAGE(INDIRECT("I"&amp;$D$13):INDIRECT("I"&amp;$E$13))," "))))))</f>
        <v xml:space="preserve"> </v>
      </c>
      <c r="K633" s="242" t="str">
        <f t="shared" si="52"/>
        <v xml:space="preserve"> </v>
      </c>
      <c r="L633" s="242" t="str">
        <f t="shared" si="53"/>
        <v xml:space="preserve"> </v>
      </c>
      <c r="M633" s="242" t="str">
        <f t="shared" si="54"/>
        <v xml:space="preserve"> </v>
      </c>
    </row>
    <row r="634" spans="6:13" x14ac:dyDescent="0.2">
      <c r="F634" s="216" t="str">
        <f t="shared" si="50"/>
        <v xml:space="preserve"> </v>
      </c>
      <c r="G634" s="50"/>
      <c r="H634" s="242" t="str">
        <f ca="1">IF(F634=1,PERCENTILE(INDIRECT("g"&amp;$D$8):INDIRECT("g"&amp;$E$8),0.5),IF(F634=2,PERCENTILE(INDIRECT("g"&amp;$D$9):INDIRECT("g"&amp;$E$9),0.5),IF(F634=3,PERCENTILE(INDIRECT("g"&amp;$D$10):INDIRECT("g"&amp;$E$10),0.5),IF(F634=4,PERCENTILE(INDIRECT("g"&amp;$D$11):INDIRECT("g"&amp;$E$11),0.5),IF(F634=5,PERCENTILE(INDIRECT("g"&amp;$D$12):INDIRECT("g"&amp;$E$12),0.5),IF(F634=6,PERCENTILE(INDIRECT("g"&amp;$D$13):INDIRECT("g"&amp;$E$13),0.5)," "))))))</f>
        <v xml:space="preserve"> </v>
      </c>
      <c r="I634" s="242" t="str">
        <f t="shared" si="51"/>
        <v xml:space="preserve"> </v>
      </c>
      <c r="J634" s="242" t="str">
        <f ca="1">IF(F634=1,AVERAGE(INDIRECT("I"&amp;$D$8):INDIRECT("I"&amp;$E$8)),IF(F634=2,AVERAGE(INDIRECT("I"&amp;$D$9):INDIRECT("I"&amp;$E$9)),IF(F634=3,AVERAGE(INDIRECT("I"&amp;$D$10):INDIRECT("I"&amp;$E$10)),IF(F634=4,AVERAGE(INDIRECT("I"&amp;$D$11):INDIRECT("I"&amp;$E$11)),IF(F634=5,AVERAGE(INDIRECT("I"&amp;$D$12):INDIRECT("I"&amp;$E$12)),IF(F634=6,AVERAGE(INDIRECT("I"&amp;$D$13):INDIRECT("I"&amp;$E$13))," "))))))</f>
        <v xml:space="preserve"> </v>
      </c>
      <c r="K634" s="242" t="str">
        <f t="shared" si="52"/>
        <v xml:space="preserve"> </v>
      </c>
      <c r="L634" s="242" t="str">
        <f t="shared" si="53"/>
        <v xml:space="preserve"> </v>
      </c>
      <c r="M634" s="242" t="str">
        <f t="shared" si="54"/>
        <v xml:space="preserve"> </v>
      </c>
    </row>
    <row r="635" spans="6:13" x14ac:dyDescent="0.2">
      <c r="F635" s="216" t="str">
        <f t="shared" si="50"/>
        <v xml:space="preserve"> </v>
      </c>
      <c r="G635" s="50"/>
      <c r="H635" s="242" t="str">
        <f ca="1">IF(F635=1,PERCENTILE(INDIRECT("g"&amp;$D$8):INDIRECT("g"&amp;$E$8),0.5),IF(F635=2,PERCENTILE(INDIRECT("g"&amp;$D$9):INDIRECT("g"&amp;$E$9),0.5),IF(F635=3,PERCENTILE(INDIRECT("g"&amp;$D$10):INDIRECT("g"&amp;$E$10),0.5),IF(F635=4,PERCENTILE(INDIRECT("g"&amp;$D$11):INDIRECT("g"&amp;$E$11),0.5),IF(F635=5,PERCENTILE(INDIRECT("g"&amp;$D$12):INDIRECT("g"&amp;$E$12),0.5),IF(F635=6,PERCENTILE(INDIRECT("g"&amp;$D$13):INDIRECT("g"&amp;$E$13),0.5)," "))))))</f>
        <v xml:space="preserve"> </v>
      </c>
      <c r="I635" s="242" t="str">
        <f t="shared" si="51"/>
        <v xml:space="preserve"> </v>
      </c>
      <c r="J635" s="242" t="str">
        <f ca="1">IF(F635=1,AVERAGE(INDIRECT("I"&amp;$D$8):INDIRECT("I"&amp;$E$8)),IF(F635=2,AVERAGE(INDIRECT("I"&amp;$D$9):INDIRECT("I"&amp;$E$9)),IF(F635=3,AVERAGE(INDIRECT("I"&amp;$D$10):INDIRECT("I"&amp;$E$10)),IF(F635=4,AVERAGE(INDIRECT("I"&amp;$D$11):INDIRECT("I"&amp;$E$11)),IF(F635=5,AVERAGE(INDIRECT("I"&amp;$D$12):INDIRECT("I"&amp;$E$12)),IF(F635=6,AVERAGE(INDIRECT("I"&amp;$D$13):INDIRECT("I"&amp;$E$13))," "))))))</f>
        <v xml:space="preserve"> </v>
      </c>
      <c r="K635" s="242" t="str">
        <f t="shared" si="52"/>
        <v xml:space="preserve"> </v>
      </c>
      <c r="L635" s="242" t="str">
        <f t="shared" si="53"/>
        <v xml:space="preserve"> </v>
      </c>
      <c r="M635" s="242" t="str">
        <f t="shared" si="54"/>
        <v xml:space="preserve"> </v>
      </c>
    </row>
    <row r="636" spans="6:13" x14ac:dyDescent="0.2">
      <c r="F636" s="216" t="str">
        <f t="shared" si="50"/>
        <v xml:space="preserve"> </v>
      </c>
      <c r="G636" s="50"/>
      <c r="H636" s="242" t="str">
        <f ca="1">IF(F636=1,PERCENTILE(INDIRECT("g"&amp;$D$8):INDIRECT("g"&amp;$E$8),0.5),IF(F636=2,PERCENTILE(INDIRECT("g"&amp;$D$9):INDIRECT("g"&amp;$E$9),0.5),IF(F636=3,PERCENTILE(INDIRECT("g"&amp;$D$10):INDIRECT("g"&amp;$E$10),0.5),IF(F636=4,PERCENTILE(INDIRECT("g"&amp;$D$11):INDIRECT("g"&amp;$E$11),0.5),IF(F636=5,PERCENTILE(INDIRECT("g"&amp;$D$12):INDIRECT("g"&amp;$E$12),0.5),IF(F636=6,PERCENTILE(INDIRECT("g"&amp;$D$13):INDIRECT("g"&amp;$E$13),0.5)," "))))))</f>
        <v xml:space="preserve"> </v>
      </c>
      <c r="I636" s="242" t="str">
        <f t="shared" si="51"/>
        <v xml:space="preserve"> </v>
      </c>
      <c r="J636" s="242" t="str">
        <f ca="1">IF(F636=1,AVERAGE(INDIRECT("I"&amp;$D$8):INDIRECT("I"&amp;$E$8)),IF(F636=2,AVERAGE(INDIRECT("I"&amp;$D$9):INDIRECT("I"&amp;$E$9)),IF(F636=3,AVERAGE(INDIRECT("I"&amp;$D$10):INDIRECT("I"&amp;$E$10)),IF(F636=4,AVERAGE(INDIRECT("I"&amp;$D$11):INDIRECT("I"&amp;$E$11)),IF(F636=5,AVERAGE(INDIRECT("I"&amp;$D$12):INDIRECT("I"&amp;$E$12)),IF(F636=6,AVERAGE(INDIRECT("I"&amp;$D$13):INDIRECT("I"&amp;$E$13))," "))))))</f>
        <v xml:space="preserve"> </v>
      </c>
      <c r="K636" s="242" t="str">
        <f t="shared" si="52"/>
        <v xml:space="preserve"> </v>
      </c>
      <c r="L636" s="242" t="str">
        <f t="shared" si="53"/>
        <v xml:space="preserve"> </v>
      </c>
      <c r="M636" s="242" t="str">
        <f t="shared" si="54"/>
        <v xml:space="preserve"> </v>
      </c>
    </row>
    <row r="637" spans="6:13" x14ac:dyDescent="0.2">
      <c r="F637" s="216" t="str">
        <f t="shared" si="50"/>
        <v xml:space="preserve"> </v>
      </c>
      <c r="G637" s="50"/>
      <c r="H637" s="242" t="str">
        <f ca="1">IF(F637=1,PERCENTILE(INDIRECT("g"&amp;$D$8):INDIRECT("g"&amp;$E$8),0.5),IF(F637=2,PERCENTILE(INDIRECT("g"&amp;$D$9):INDIRECT("g"&amp;$E$9),0.5),IF(F637=3,PERCENTILE(INDIRECT("g"&amp;$D$10):INDIRECT("g"&amp;$E$10),0.5),IF(F637=4,PERCENTILE(INDIRECT("g"&amp;$D$11):INDIRECT("g"&amp;$E$11),0.5),IF(F637=5,PERCENTILE(INDIRECT("g"&amp;$D$12):INDIRECT("g"&amp;$E$12),0.5),IF(F637=6,PERCENTILE(INDIRECT("g"&amp;$D$13):INDIRECT("g"&amp;$E$13),0.5)," "))))))</f>
        <v xml:space="preserve"> </v>
      </c>
      <c r="I637" s="242" t="str">
        <f t="shared" si="51"/>
        <v xml:space="preserve"> </v>
      </c>
      <c r="J637" s="242" t="str">
        <f ca="1">IF(F637=1,AVERAGE(INDIRECT("I"&amp;$D$8):INDIRECT("I"&amp;$E$8)),IF(F637=2,AVERAGE(INDIRECT("I"&amp;$D$9):INDIRECT("I"&amp;$E$9)),IF(F637=3,AVERAGE(INDIRECT("I"&amp;$D$10):INDIRECT("I"&amp;$E$10)),IF(F637=4,AVERAGE(INDIRECT("I"&amp;$D$11):INDIRECT("I"&amp;$E$11)),IF(F637=5,AVERAGE(INDIRECT("I"&amp;$D$12):INDIRECT("I"&amp;$E$12)),IF(F637=6,AVERAGE(INDIRECT("I"&amp;$D$13):INDIRECT("I"&amp;$E$13))," "))))))</f>
        <v xml:space="preserve"> </v>
      </c>
      <c r="K637" s="242" t="str">
        <f t="shared" si="52"/>
        <v xml:space="preserve"> </v>
      </c>
      <c r="L637" s="242" t="str">
        <f t="shared" si="53"/>
        <v xml:space="preserve"> </v>
      </c>
      <c r="M637" s="242" t="str">
        <f t="shared" si="54"/>
        <v xml:space="preserve"> </v>
      </c>
    </row>
    <row r="638" spans="6:13" x14ac:dyDescent="0.2">
      <c r="F638" s="216" t="str">
        <f t="shared" si="50"/>
        <v xml:space="preserve"> </v>
      </c>
      <c r="G638" s="50"/>
      <c r="H638" s="242" t="str">
        <f ca="1">IF(F638=1,PERCENTILE(INDIRECT("g"&amp;$D$8):INDIRECT("g"&amp;$E$8),0.5),IF(F638=2,PERCENTILE(INDIRECT("g"&amp;$D$9):INDIRECT("g"&amp;$E$9),0.5),IF(F638=3,PERCENTILE(INDIRECT("g"&amp;$D$10):INDIRECT("g"&amp;$E$10),0.5),IF(F638=4,PERCENTILE(INDIRECT("g"&amp;$D$11):INDIRECT("g"&amp;$E$11),0.5),IF(F638=5,PERCENTILE(INDIRECT("g"&amp;$D$12):INDIRECT("g"&amp;$E$12),0.5),IF(F638=6,PERCENTILE(INDIRECT("g"&amp;$D$13):INDIRECT("g"&amp;$E$13),0.5)," "))))))</f>
        <v xml:space="preserve"> </v>
      </c>
      <c r="I638" s="242" t="str">
        <f t="shared" si="51"/>
        <v xml:space="preserve"> </v>
      </c>
      <c r="J638" s="242" t="str">
        <f ca="1">IF(F638=1,AVERAGE(INDIRECT("I"&amp;$D$8):INDIRECT("I"&amp;$E$8)),IF(F638=2,AVERAGE(INDIRECT("I"&amp;$D$9):INDIRECT("I"&amp;$E$9)),IF(F638=3,AVERAGE(INDIRECT("I"&amp;$D$10):INDIRECT("I"&amp;$E$10)),IF(F638=4,AVERAGE(INDIRECT("I"&amp;$D$11):INDIRECT("I"&amp;$E$11)),IF(F638=5,AVERAGE(INDIRECT("I"&amp;$D$12):INDIRECT("I"&amp;$E$12)),IF(F638=6,AVERAGE(INDIRECT("I"&amp;$D$13):INDIRECT("I"&amp;$E$13))," "))))))</f>
        <v xml:space="preserve"> </v>
      </c>
      <c r="K638" s="242" t="str">
        <f t="shared" si="52"/>
        <v xml:space="preserve"> </v>
      </c>
      <c r="L638" s="242" t="str">
        <f t="shared" si="53"/>
        <v xml:space="preserve"> </v>
      </c>
      <c r="M638" s="242" t="str">
        <f t="shared" si="54"/>
        <v xml:space="preserve"> </v>
      </c>
    </row>
    <row r="639" spans="6:13" x14ac:dyDescent="0.2">
      <c r="F639" s="216" t="str">
        <f t="shared" si="50"/>
        <v xml:space="preserve"> </v>
      </c>
      <c r="G639" s="50"/>
      <c r="H639" s="242" t="str">
        <f ca="1">IF(F639=1,PERCENTILE(INDIRECT("g"&amp;$D$8):INDIRECT("g"&amp;$E$8),0.5),IF(F639=2,PERCENTILE(INDIRECT("g"&amp;$D$9):INDIRECT("g"&amp;$E$9),0.5),IF(F639=3,PERCENTILE(INDIRECT("g"&amp;$D$10):INDIRECT("g"&amp;$E$10),0.5),IF(F639=4,PERCENTILE(INDIRECT("g"&amp;$D$11):INDIRECT("g"&amp;$E$11),0.5),IF(F639=5,PERCENTILE(INDIRECT("g"&amp;$D$12):INDIRECT("g"&amp;$E$12),0.5),IF(F639=6,PERCENTILE(INDIRECT("g"&amp;$D$13):INDIRECT("g"&amp;$E$13),0.5)," "))))))</f>
        <v xml:space="preserve"> </v>
      </c>
      <c r="I639" s="242" t="str">
        <f t="shared" si="51"/>
        <v xml:space="preserve"> </v>
      </c>
      <c r="J639" s="242" t="str">
        <f ca="1">IF(F639=1,AVERAGE(INDIRECT("I"&amp;$D$8):INDIRECT("I"&amp;$E$8)),IF(F639=2,AVERAGE(INDIRECT("I"&amp;$D$9):INDIRECT("I"&amp;$E$9)),IF(F639=3,AVERAGE(INDIRECT("I"&amp;$D$10):INDIRECT("I"&amp;$E$10)),IF(F639=4,AVERAGE(INDIRECT("I"&amp;$D$11):INDIRECT("I"&amp;$E$11)),IF(F639=5,AVERAGE(INDIRECT("I"&amp;$D$12):INDIRECT("I"&amp;$E$12)),IF(F639=6,AVERAGE(INDIRECT("I"&amp;$D$13):INDIRECT("I"&amp;$E$13))," "))))))</f>
        <v xml:space="preserve"> </v>
      </c>
      <c r="K639" s="242" t="str">
        <f t="shared" si="52"/>
        <v xml:space="preserve"> </v>
      </c>
      <c r="L639" s="242" t="str">
        <f t="shared" si="53"/>
        <v xml:space="preserve"> </v>
      </c>
      <c r="M639" s="242" t="str">
        <f t="shared" si="54"/>
        <v xml:space="preserve"> </v>
      </c>
    </row>
    <row r="640" spans="6:13" x14ac:dyDescent="0.2">
      <c r="F640" s="216" t="str">
        <f t="shared" si="50"/>
        <v xml:space="preserve"> </v>
      </c>
      <c r="G640" s="50"/>
      <c r="H640" s="242" t="str">
        <f ca="1">IF(F640=1,PERCENTILE(INDIRECT("g"&amp;$D$8):INDIRECT("g"&amp;$E$8),0.5),IF(F640=2,PERCENTILE(INDIRECT("g"&amp;$D$9):INDIRECT("g"&amp;$E$9),0.5),IF(F640=3,PERCENTILE(INDIRECT("g"&amp;$D$10):INDIRECT("g"&amp;$E$10),0.5),IF(F640=4,PERCENTILE(INDIRECT("g"&amp;$D$11):INDIRECT("g"&amp;$E$11),0.5),IF(F640=5,PERCENTILE(INDIRECT("g"&amp;$D$12):INDIRECT("g"&amp;$E$12),0.5),IF(F640=6,PERCENTILE(INDIRECT("g"&amp;$D$13):INDIRECT("g"&amp;$E$13),0.5)," "))))))</f>
        <v xml:space="preserve"> </v>
      </c>
      <c r="I640" s="242" t="str">
        <f t="shared" si="51"/>
        <v xml:space="preserve"> </v>
      </c>
      <c r="J640" s="242" t="str">
        <f ca="1">IF(F640=1,AVERAGE(INDIRECT("I"&amp;$D$8):INDIRECT("I"&amp;$E$8)),IF(F640=2,AVERAGE(INDIRECT("I"&amp;$D$9):INDIRECT("I"&amp;$E$9)),IF(F640=3,AVERAGE(INDIRECT("I"&amp;$D$10):INDIRECT("I"&amp;$E$10)),IF(F640=4,AVERAGE(INDIRECT("I"&amp;$D$11):INDIRECT("I"&amp;$E$11)),IF(F640=5,AVERAGE(INDIRECT("I"&amp;$D$12):INDIRECT("I"&amp;$E$12)),IF(F640=6,AVERAGE(INDIRECT("I"&amp;$D$13):INDIRECT("I"&amp;$E$13))," "))))))</f>
        <v xml:space="preserve"> </v>
      </c>
      <c r="K640" s="242" t="str">
        <f t="shared" si="52"/>
        <v xml:space="preserve"> </v>
      </c>
      <c r="L640" s="242" t="str">
        <f t="shared" si="53"/>
        <v xml:space="preserve"> </v>
      </c>
      <c r="M640" s="242" t="str">
        <f t="shared" si="54"/>
        <v xml:space="preserve"> </v>
      </c>
    </row>
    <row r="641" spans="6:13" x14ac:dyDescent="0.2">
      <c r="F641" s="216" t="str">
        <f t="shared" si="50"/>
        <v xml:space="preserve"> </v>
      </c>
      <c r="G641" s="50"/>
      <c r="H641" s="242" t="str">
        <f ca="1">IF(F641=1,PERCENTILE(INDIRECT("g"&amp;$D$8):INDIRECT("g"&amp;$E$8),0.5),IF(F641=2,PERCENTILE(INDIRECT("g"&amp;$D$9):INDIRECT("g"&amp;$E$9),0.5),IF(F641=3,PERCENTILE(INDIRECT("g"&amp;$D$10):INDIRECT("g"&amp;$E$10),0.5),IF(F641=4,PERCENTILE(INDIRECT("g"&amp;$D$11):INDIRECT("g"&amp;$E$11),0.5),IF(F641=5,PERCENTILE(INDIRECT("g"&amp;$D$12):INDIRECT("g"&amp;$E$12),0.5),IF(F641=6,PERCENTILE(INDIRECT("g"&amp;$D$13):INDIRECT("g"&amp;$E$13),0.5)," "))))))</f>
        <v xml:space="preserve"> </v>
      </c>
      <c r="I641" s="242" t="str">
        <f t="shared" si="51"/>
        <v xml:space="preserve"> </v>
      </c>
      <c r="J641" s="242" t="str">
        <f ca="1">IF(F641=1,AVERAGE(INDIRECT("I"&amp;$D$8):INDIRECT("I"&amp;$E$8)),IF(F641=2,AVERAGE(INDIRECT("I"&amp;$D$9):INDIRECT("I"&amp;$E$9)),IF(F641=3,AVERAGE(INDIRECT("I"&amp;$D$10):INDIRECT("I"&amp;$E$10)),IF(F641=4,AVERAGE(INDIRECT("I"&amp;$D$11):INDIRECT("I"&amp;$E$11)),IF(F641=5,AVERAGE(INDIRECT("I"&amp;$D$12):INDIRECT("I"&amp;$E$12)),IF(F641=6,AVERAGE(INDIRECT("I"&amp;$D$13):INDIRECT("I"&amp;$E$13))," "))))))</f>
        <v xml:space="preserve"> </v>
      </c>
      <c r="K641" s="242" t="str">
        <f t="shared" si="52"/>
        <v xml:space="preserve"> </v>
      </c>
      <c r="L641" s="242" t="str">
        <f t="shared" si="53"/>
        <v xml:space="preserve"> </v>
      </c>
      <c r="M641" s="242" t="str">
        <f t="shared" si="54"/>
        <v xml:space="preserve"> </v>
      </c>
    </row>
    <row r="642" spans="6:13" x14ac:dyDescent="0.2">
      <c r="F642" s="216" t="str">
        <f t="shared" si="50"/>
        <v xml:space="preserve"> </v>
      </c>
      <c r="G642" s="50"/>
      <c r="H642" s="242" t="str">
        <f ca="1">IF(F642=1,PERCENTILE(INDIRECT("g"&amp;$D$8):INDIRECT("g"&amp;$E$8),0.5),IF(F642=2,PERCENTILE(INDIRECT("g"&amp;$D$9):INDIRECT("g"&amp;$E$9),0.5),IF(F642=3,PERCENTILE(INDIRECT("g"&amp;$D$10):INDIRECT("g"&amp;$E$10),0.5),IF(F642=4,PERCENTILE(INDIRECT("g"&amp;$D$11):INDIRECT("g"&amp;$E$11),0.5),IF(F642=5,PERCENTILE(INDIRECT("g"&amp;$D$12):INDIRECT("g"&amp;$E$12),0.5),IF(F642=6,PERCENTILE(INDIRECT("g"&amp;$D$13):INDIRECT("g"&amp;$E$13),0.5)," "))))))</f>
        <v xml:space="preserve"> </v>
      </c>
      <c r="I642" s="242" t="str">
        <f t="shared" si="51"/>
        <v xml:space="preserve"> </v>
      </c>
      <c r="J642" s="242" t="str">
        <f ca="1">IF(F642=1,AVERAGE(INDIRECT("I"&amp;$D$8):INDIRECT("I"&amp;$E$8)),IF(F642=2,AVERAGE(INDIRECT("I"&amp;$D$9):INDIRECT("I"&amp;$E$9)),IF(F642=3,AVERAGE(INDIRECT("I"&amp;$D$10):INDIRECT("I"&amp;$E$10)),IF(F642=4,AVERAGE(INDIRECT("I"&amp;$D$11):INDIRECT("I"&amp;$E$11)),IF(F642=5,AVERAGE(INDIRECT("I"&amp;$D$12):INDIRECT("I"&amp;$E$12)),IF(F642=6,AVERAGE(INDIRECT("I"&amp;$D$13):INDIRECT("I"&amp;$E$13))," "))))))</f>
        <v xml:space="preserve"> </v>
      </c>
      <c r="K642" s="242" t="str">
        <f t="shared" si="52"/>
        <v xml:space="preserve"> </v>
      </c>
      <c r="L642" s="242" t="str">
        <f t="shared" si="53"/>
        <v xml:space="preserve"> </v>
      </c>
      <c r="M642" s="242" t="str">
        <f t="shared" si="54"/>
        <v xml:space="preserve"> </v>
      </c>
    </row>
    <row r="643" spans="6:13" x14ac:dyDescent="0.2">
      <c r="F643" s="216" t="str">
        <f t="shared" si="50"/>
        <v xml:space="preserve"> </v>
      </c>
      <c r="G643" s="50"/>
      <c r="H643" s="242" t="str">
        <f ca="1">IF(F643=1,PERCENTILE(INDIRECT("g"&amp;$D$8):INDIRECT("g"&amp;$E$8),0.5),IF(F643=2,PERCENTILE(INDIRECT("g"&amp;$D$9):INDIRECT("g"&amp;$E$9),0.5),IF(F643=3,PERCENTILE(INDIRECT("g"&amp;$D$10):INDIRECT("g"&amp;$E$10),0.5),IF(F643=4,PERCENTILE(INDIRECT("g"&amp;$D$11):INDIRECT("g"&amp;$E$11),0.5),IF(F643=5,PERCENTILE(INDIRECT("g"&amp;$D$12):INDIRECT("g"&amp;$E$12),0.5),IF(F643=6,PERCENTILE(INDIRECT("g"&amp;$D$13):INDIRECT("g"&amp;$E$13),0.5)," "))))))</f>
        <v xml:space="preserve"> </v>
      </c>
      <c r="I643" s="242" t="str">
        <f t="shared" si="51"/>
        <v xml:space="preserve"> </v>
      </c>
      <c r="J643" s="242" t="str">
        <f ca="1">IF(F643=1,AVERAGE(INDIRECT("I"&amp;$D$8):INDIRECT("I"&amp;$E$8)),IF(F643=2,AVERAGE(INDIRECT("I"&amp;$D$9):INDIRECT("I"&amp;$E$9)),IF(F643=3,AVERAGE(INDIRECT("I"&amp;$D$10):INDIRECT("I"&amp;$E$10)),IF(F643=4,AVERAGE(INDIRECT("I"&amp;$D$11):INDIRECT("I"&amp;$E$11)),IF(F643=5,AVERAGE(INDIRECT("I"&amp;$D$12):INDIRECT("I"&amp;$E$12)),IF(F643=6,AVERAGE(INDIRECT("I"&amp;$D$13):INDIRECT("I"&amp;$E$13))," "))))))</f>
        <v xml:space="preserve"> </v>
      </c>
      <c r="K643" s="242" t="str">
        <f t="shared" si="52"/>
        <v xml:space="preserve"> </v>
      </c>
      <c r="L643" s="242" t="str">
        <f t="shared" si="53"/>
        <v xml:space="preserve"> </v>
      </c>
      <c r="M643" s="242" t="str">
        <f t="shared" si="54"/>
        <v xml:space="preserve"> </v>
      </c>
    </row>
    <row r="644" spans="6:13" x14ac:dyDescent="0.2">
      <c r="F644" s="216" t="str">
        <f t="shared" si="50"/>
        <v xml:space="preserve"> </v>
      </c>
      <c r="G644" s="50"/>
      <c r="H644" s="242" t="str">
        <f ca="1">IF(F644=1,PERCENTILE(INDIRECT("g"&amp;$D$8):INDIRECT("g"&amp;$E$8),0.5),IF(F644=2,PERCENTILE(INDIRECT("g"&amp;$D$9):INDIRECT("g"&amp;$E$9),0.5),IF(F644=3,PERCENTILE(INDIRECT("g"&amp;$D$10):INDIRECT("g"&amp;$E$10),0.5),IF(F644=4,PERCENTILE(INDIRECT("g"&amp;$D$11):INDIRECT("g"&amp;$E$11),0.5),IF(F644=5,PERCENTILE(INDIRECT("g"&amp;$D$12):INDIRECT("g"&amp;$E$12),0.5),IF(F644=6,PERCENTILE(INDIRECT("g"&amp;$D$13):INDIRECT("g"&amp;$E$13),0.5)," "))))))</f>
        <v xml:space="preserve"> </v>
      </c>
      <c r="I644" s="242" t="str">
        <f t="shared" si="51"/>
        <v xml:space="preserve"> </v>
      </c>
      <c r="J644" s="242" t="str">
        <f ca="1">IF(F644=1,AVERAGE(INDIRECT("I"&amp;$D$8):INDIRECT("I"&amp;$E$8)),IF(F644=2,AVERAGE(INDIRECT("I"&amp;$D$9):INDIRECT("I"&amp;$E$9)),IF(F644=3,AVERAGE(INDIRECT("I"&amp;$D$10):INDIRECT("I"&amp;$E$10)),IF(F644=4,AVERAGE(INDIRECT("I"&amp;$D$11):INDIRECT("I"&amp;$E$11)),IF(F644=5,AVERAGE(INDIRECT("I"&amp;$D$12):INDIRECT("I"&amp;$E$12)),IF(F644=6,AVERAGE(INDIRECT("I"&amp;$D$13):INDIRECT("I"&amp;$E$13))," "))))))</f>
        <v xml:space="preserve"> </v>
      </c>
      <c r="K644" s="242" t="str">
        <f t="shared" si="52"/>
        <v xml:space="preserve"> </v>
      </c>
      <c r="L644" s="242" t="str">
        <f t="shared" si="53"/>
        <v xml:space="preserve"> </v>
      </c>
      <c r="M644" s="242" t="str">
        <f t="shared" si="54"/>
        <v xml:space="preserve"> </v>
      </c>
    </row>
    <row r="645" spans="6:13" x14ac:dyDescent="0.2">
      <c r="F645" s="216" t="str">
        <f t="shared" si="50"/>
        <v xml:space="preserve"> </v>
      </c>
      <c r="G645" s="50"/>
      <c r="H645" s="242" t="str">
        <f ca="1">IF(F645=1,PERCENTILE(INDIRECT("g"&amp;$D$8):INDIRECT("g"&amp;$E$8),0.5),IF(F645=2,PERCENTILE(INDIRECT("g"&amp;$D$9):INDIRECT("g"&amp;$E$9),0.5),IF(F645=3,PERCENTILE(INDIRECT("g"&amp;$D$10):INDIRECT("g"&amp;$E$10),0.5),IF(F645=4,PERCENTILE(INDIRECT("g"&amp;$D$11):INDIRECT("g"&amp;$E$11),0.5),IF(F645=5,PERCENTILE(INDIRECT("g"&amp;$D$12):INDIRECT("g"&amp;$E$12),0.5),IF(F645=6,PERCENTILE(INDIRECT("g"&amp;$D$13):INDIRECT("g"&amp;$E$13),0.5)," "))))))</f>
        <v xml:space="preserve"> </v>
      </c>
      <c r="I645" s="242" t="str">
        <f t="shared" si="51"/>
        <v xml:space="preserve"> </v>
      </c>
      <c r="J645" s="242" t="str">
        <f ca="1">IF(F645=1,AVERAGE(INDIRECT("I"&amp;$D$8):INDIRECT("I"&amp;$E$8)),IF(F645=2,AVERAGE(INDIRECT("I"&amp;$D$9):INDIRECT("I"&amp;$E$9)),IF(F645=3,AVERAGE(INDIRECT("I"&amp;$D$10):INDIRECT("I"&amp;$E$10)),IF(F645=4,AVERAGE(INDIRECT("I"&amp;$D$11):INDIRECT("I"&amp;$E$11)),IF(F645=5,AVERAGE(INDIRECT("I"&amp;$D$12):INDIRECT("I"&amp;$E$12)),IF(F645=6,AVERAGE(INDIRECT("I"&amp;$D$13):INDIRECT("I"&amp;$E$13))," "))))))</f>
        <v xml:space="preserve"> </v>
      </c>
      <c r="K645" s="242" t="str">
        <f t="shared" si="52"/>
        <v xml:space="preserve"> </v>
      </c>
      <c r="L645" s="242" t="str">
        <f t="shared" si="53"/>
        <v xml:space="preserve"> </v>
      </c>
      <c r="M645" s="242" t="str">
        <f t="shared" si="54"/>
        <v xml:space="preserve"> </v>
      </c>
    </row>
    <row r="646" spans="6:13" x14ac:dyDescent="0.2">
      <c r="F646" s="216" t="str">
        <f t="shared" ref="F646:F709" si="55">IF(AND(ROW()&gt;=$D$8,ROW()&lt;=$E$8),1,IF(AND(ROW()&gt;=$D$9,ROW()&lt;=$E$9),2,IF(AND(ROW()&gt;=$D$10,ROW()&lt;=$E$10),3,IF(AND(ROW()&gt;=$D$11,ROW()&lt;=$E$11),4,IF(AND(ROW()&gt;=$D$12,ROW()&lt;=$E$12),5,IF(AND(ROW()&gt;=$D$13,ROW()&lt;=$E$13),6," "))))))</f>
        <v xml:space="preserve"> </v>
      </c>
      <c r="G646" s="50"/>
      <c r="H646" s="242" t="str">
        <f ca="1">IF(F646=1,PERCENTILE(INDIRECT("g"&amp;$D$8):INDIRECT("g"&amp;$E$8),0.5),IF(F646=2,PERCENTILE(INDIRECT("g"&amp;$D$9):INDIRECT("g"&amp;$E$9),0.5),IF(F646=3,PERCENTILE(INDIRECT("g"&amp;$D$10):INDIRECT("g"&amp;$E$10),0.5),IF(F646=4,PERCENTILE(INDIRECT("g"&amp;$D$11):INDIRECT("g"&amp;$E$11),0.5),IF(F646=5,PERCENTILE(INDIRECT("g"&amp;$D$12):INDIRECT("g"&amp;$E$12),0.5),IF(F646=6,PERCENTILE(INDIRECT("g"&amp;$D$13):INDIRECT("g"&amp;$E$13),0.5)," "))))))</f>
        <v xml:space="preserve"> </v>
      </c>
      <c r="I646" s="242" t="str">
        <f t="shared" ref="I646:I709" si="56">IF(ROW()&lt;=MAX($E$8:$E$13),ABS(G646-H646)," ")</f>
        <v xml:space="preserve"> </v>
      </c>
      <c r="J646" s="242" t="str">
        <f ca="1">IF(F646=1,AVERAGE(INDIRECT("I"&amp;$D$8):INDIRECT("I"&amp;$E$8)),IF(F646=2,AVERAGE(INDIRECT("I"&amp;$D$9):INDIRECT("I"&amp;$E$9)),IF(F646=3,AVERAGE(INDIRECT("I"&amp;$D$10):INDIRECT("I"&amp;$E$10)),IF(F646=4,AVERAGE(INDIRECT("I"&amp;$D$11):INDIRECT("I"&amp;$E$11)),IF(F646=5,AVERAGE(INDIRECT("I"&amp;$D$12):INDIRECT("I"&amp;$E$12)),IF(F646=6,AVERAGE(INDIRECT("I"&amp;$D$13):INDIRECT("I"&amp;$E$13))," "))))))</f>
        <v xml:space="preserve"> </v>
      </c>
      <c r="K646" s="242" t="str">
        <f t="shared" ref="K646:K709" si="57">IF(ROW()&lt;=MAX($E$8:$E$13),AVERAGE($I$6:$I$1005)," ")</f>
        <v xml:space="preserve"> </v>
      </c>
      <c r="L646" s="242" t="str">
        <f t="shared" ref="L646:L709" si="58">IF(ROW()&lt;=MAX($E$8:$E$13),(I646-J646)^2," ")</f>
        <v xml:space="preserve"> </v>
      </c>
      <c r="M646" s="242" t="str">
        <f t="shared" ref="M646:M709" si="59">IF(ROW()&lt;=MAX($E$8:$E$13),(J646-K646)^2," ")</f>
        <v xml:space="preserve"> </v>
      </c>
    </row>
    <row r="647" spans="6:13" x14ac:dyDescent="0.2">
      <c r="F647" s="216" t="str">
        <f t="shared" si="55"/>
        <v xml:space="preserve"> </v>
      </c>
      <c r="G647" s="50"/>
      <c r="H647" s="242" t="str">
        <f ca="1">IF(F647=1,PERCENTILE(INDIRECT("g"&amp;$D$8):INDIRECT("g"&amp;$E$8),0.5),IF(F647=2,PERCENTILE(INDIRECT("g"&amp;$D$9):INDIRECT("g"&amp;$E$9),0.5),IF(F647=3,PERCENTILE(INDIRECT("g"&amp;$D$10):INDIRECT("g"&amp;$E$10),0.5),IF(F647=4,PERCENTILE(INDIRECT("g"&amp;$D$11):INDIRECT("g"&amp;$E$11),0.5),IF(F647=5,PERCENTILE(INDIRECT("g"&amp;$D$12):INDIRECT("g"&amp;$E$12),0.5),IF(F647=6,PERCENTILE(INDIRECT("g"&amp;$D$13):INDIRECT("g"&amp;$E$13),0.5)," "))))))</f>
        <v xml:space="preserve"> </v>
      </c>
      <c r="I647" s="242" t="str">
        <f t="shared" si="56"/>
        <v xml:space="preserve"> </v>
      </c>
      <c r="J647" s="242" t="str">
        <f ca="1">IF(F647=1,AVERAGE(INDIRECT("I"&amp;$D$8):INDIRECT("I"&amp;$E$8)),IF(F647=2,AVERAGE(INDIRECT("I"&amp;$D$9):INDIRECT("I"&amp;$E$9)),IF(F647=3,AVERAGE(INDIRECT("I"&amp;$D$10):INDIRECT("I"&amp;$E$10)),IF(F647=4,AVERAGE(INDIRECT("I"&amp;$D$11):INDIRECT("I"&amp;$E$11)),IF(F647=5,AVERAGE(INDIRECT("I"&amp;$D$12):INDIRECT("I"&amp;$E$12)),IF(F647=6,AVERAGE(INDIRECT("I"&amp;$D$13):INDIRECT("I"&amp;$E$13))," "))))))</f>
        <v xml:space="preserve"> </v>
      </c>
      <c r="K647" s="242" t="str">
        <f t="shared" si="57"/>
        <v xml:space="preserve"> </v>
      </c>
      <c r="L647" s="242" t="str">
        <f t="shared" si="58"/>
        <v xml:space="preserve"> </v>
      </c>
      <c r="M647" s="242" t="str">
        <f t="shared" si="59"/>
        <v xml:space="preserve"> </v>
      </c>
    </row>
    <row r="648" spans="6:13" x14ac:dyDescent="0.2">
      <c r="F648" s="216" t="str">
        <f t="shared" si="55"/>
        <v xml:space="preserve"> </v>
      </c>
      <c r="G648" s="50"/>
      <c r="H648" s="242" t="str">
        <f ca="1">IF(F648=1,PERCENTILE(INDIRECT("g"&amp;$D$8):INDIRECT("g"&amp;$E$8),0.5),IF(F648=2,PERCENTILE(INDIRECT("g"&amp;$D$9):INDIRECT("g"&amp;$E$9),0.5),IF(F648=3,PERCENTILE(INDIRECT("g"&amp;$D$10):INDIRECT("g"&amp;$E$10),0.5),IF(F648=4,PERCENTILE(INDIRECT("g"&amp;$D$11):INDIRECT("g"&amp;$E$11),0.5),IF(F648=5,PERCENTILE(INDIRECT("g"&amp;$D$12):INDIRECT("g"&amp;$E$12),0.5),IF(F648=6,PERCENTILE(INDIRECT("g"&amp;$D$13):INDIRECT("g"&amp;$E$13),0.5)," "))))))</f>
        <v xml:space="preserve"> </v>
      </c>
      <c r="I648" s="242" t="str">
        <f t="shared" si="56"/>
        <v xml:space="preserve"> </v>
      </c>
      <c r="J648" s="242" t="str">
        <f ca="1">IF(F648=1,AVERAGE(INDIRECT("I"&amp;$D$8):INDIRECT("I"&amp;$E$8)),IF(F648=2,AVERAGE(INDIRECT("I"&amp;$D$9):INDIRECT("I"&amp;$E$9)),IF(F648=3,AVERAGE(INDIRECT("I"&amp;$D$10):INDIRECT("I"&amp;$E$10)),IF(F648=4,AVERAGE(INDIRECT("I"&amp;$D$11):INDIRECT("I"&amp;$E$11)),IF(F648=5,AVERAGE(INDIRECT("I"&amp;$D$12):INDIRECT("I"&amp;$E$12)),IF(F648=6,AVERAGE(INDIRECT("I"&amp;$D$13):INDIRECT("I"&amp;$E$13))," "))))))</f>
        <v xml:space="preserve"> </v>
      </c>
      <c r="K648" s="242" t="str">
        <f t="shared" si="57"/>
        <v xml:space="preserve"> </v>
      </c>
      <c r="L648" s="242" t="str">
        <f t="shared" si="58"/>
        <v xml:space="preserve"> </v>
      </c>
      <c r="M648" s="242" t="str">
        <f t="shared" si="59"/>
        <v xml:space="preserve"> </v>
      </c>
    </row>
    <row r="649" spans="6:13" x14ac:dyDescent="0.2">
      <c r="F649" s="216" t="str">
        <f t="shared" si="55"/>
        <v xml:space="preserve"> </v>
      </c>
      <c r="G649" s="50"/>
      <c r="H649" s="242" t="str">
        <f ca="1">IF(F649=1,PERCENTILE(INDIRECT("g"&amp;$D$8):INDIRECT("g"&amp;$E$8),0.5),IF(F649=2,PERCENTILE(INDIRECT("g"&amp;$D$9):INDIRECT("g"&amp;$E$9),0.5),IF(F649=3,PERCENTILE(INDIRECT("g"&amp;$D$10):INDIRECT("g"&amp;$E$10),0.5),IF(F649=4,PERCENTILE(INDIRECT("g"&amp;$D$11):INDIRECT("g"&amp;$E$11),0.5),IF(F649=5,PERCENTILE(INDIRECT("g"&amp;$D$12):INDIRECT("g"&amp;$E$12),0.5),IF(F649=6,PERCENTILE(INDIRECT("g"&amp;$D$13):INDIRECT("g"&amp;$E$13),0.5)," "))))))</f>
        <v xml:space="preserve"> </v>
      </c>
      <c r="I649" s="242" t="str">
        <f t="shared" si="56"/>
        <v xml:space="preserve"> </v>
      </c>
      <c r="J649" s="242" t="str">
        <f ca="1">IF(F649=1,AVERAGE(INDIRECT("I"&amp;$D$8):INDIRECT("I"&amp;$E$8)),IF(F649=2,AVERAGE(INDIRECT("I"&amp;$D$9):INDIRECT("I"&amp;$E$9)),IF(F649=3,AVERAGE(INDIRECT("I"&amp;$D$10):INDIRECT("I"&amp;$E$10)),IF(F649=4,AVERAGE(INDIRECT("I"&amp;$D$11):INDIRECT("I"&amp;$E$11)),IF(F649=5,AVERAGE(INDIRECT("I"&amp;$D$12):INDIRECT("I"&amp;$E$12)),IF(F649=6,AVERAGE(INDIRECT("I"&amp;$D$13):INDIRECT("I"&amp;$E$13))," "))))))</f>
        <v xml:space="preserve"> </v>
      </c>
      <c r="K649" s="242" t="str">
        <f t="shared" si="57"/>
        <v xml:space="preserve"> </v>
      </c>
      <c r="L649" s="242" t="str">
        <f t="shared" si="58"/>
        <v xml:space="preserve"> </v>
      </c>
      <c r="M649" s="242" t="str">
        <f t="shared" si="59"/>
        <v xml:space="preserve"> </v>
      </c>
    </row>
    <row r="650" spans="6:13" x14ac:dyDescent="0.2">
      <c r="F650" s="216" t="str">
        <f t="shared" si="55"/>
        <v xml:space="preserve"> </v>
      </c>
      <c r="G650" s="50"/>
      <c r="H650" s="242" t="str">
        <f ca="1">IF(F650=1,PERCENTILE(INDIRECT("g"&amp;$D$8):INDIRECT("g"&amp;$E$8),0.5),IF(F650=2,PERCENTILE(INDIRECT("g"&amp;$D$9):INDIRECT("g"&amp;$E$9),0.5),IF(F650=3,PERCENTILE(INDIRECT("g"&amp;$D$10):INDIRECT("g"&amp;$E$10),0.5),IF(F650=4,PERCENTILE(INDIRECT("g"&amp;$D$11):INDIRECT("g"&amp;$E$11),0.5),IF(F650=5,PERCENTILE(INDIRECT("g"&amp;$D$12):INDIRECT("g"&amp;$E$12),0.5),IF(F650=6,PERCENTILE(INDIRECT("g"&amp;$D$13):INDIRECT("g"&amp;$E$13),0.5)," "))))))</f>
        <v xml:space="preserve"> </v>
      </c>
      <c r="I650" s="242" t="str">
        <f t="shared" si="56"/>
        <v xml:space="preserve"> </v>
      </c>
      <c r="J650" s="242" t="str">
        <f ca="1">IF(F650=1,AVERAGE(INDIRECT("I"&amp;$D$8):INDIRECT("I"&amp;$E$8)),IF(F650=2,AVERAGE(INDIRECT("I"&amp;$D$9):INDIRECT("I"&amp;$E$9)),IF(F650=3,AVERAGE(INDIRECT("I"&amp;$D$10):INDIRECT("I"&amp;$E$10)),IF(F650=4,AVERAGE(INDIRECT("I"&amp;$D$11):INDIRECT("I"&amp;$E$11)),IF(F650=5,AVERAGE(INDIRECT("I"&amp;$D$12):INDIRECT("I"&amp;$E$12)),IF(F650=6,AVERAGE(INDIRECT("I"&amp;$D$13):INDIRECT("I"&amp;$E$13))," "))))))</f>
        <v xml:space="preserve"> </v>
      </c>
      <c r="K650" s="242" t="str">
        <f t="shared" si="57"/>
        <v xml:space="preserve"> </v>
      </c>
      <c r="L650" s="242" t="str">
        <f t="shared" si="58"/>
        <v xml:space="preserve"> </v>
      </c>
      <c r="M650" s="242" t="str">
        <f t="shared" si="59"/>
        <v xml:space="preserve"> </v>
      </c>
    </row>
    <row r="651" spans="6:13" x14ac:dyDescent="0.2">
      <c r="F651" s="216" t="str">
        <f t="shared" si="55"/>
        <v xml:space="preserve"> </v>
      </c>
      <c r="G651" s="50"/>
      <c r="H651" s="242" t="str">
        <f ca="1">IF(F651=1,PERCENTILE(INDIRECT("g"&amp;$D$8):INDIRECT("g"&amp;$E$8),0.5),IF(F651=2,PERCENTILE(INDIRECT("g"&amp;$D$9):INDIRECT("g"&amp;$E$9),0.5),IF(F651=3,PERCENTILE(INDIRECT("g"&amp;$D$10):INDIRECT("g"&amp;$E$10),0.5),IF(F651=4,PERCENTILE(INDIRECT("g"&amp;$D$11):INDIRECT("g"&amp;$E$11),0.5),IF(F651=5,PERCENTILE(INDIRECT("g"&amp;$D$12):INDIRECT("g"&amp;$E$12),0.5),IF(F651=6,PERCENTILE(INDIRECT("g"&amp;$D$13):INDIRECT("g"&amp;$E$13),0.5)," "))))))</f>
        <v xml:space="preserve"> </v>
      </c>
      <c r="I651" s="242" t="str">
        <f t="shared" si="56"/>
        <v xml:space="preserve"> </v>
      </c>
      <c r="J651" s="242" t="str">
        <f ca="1">IF(F651=1,AVERAGE(INDIRECT("I"&amp;$D$8):INDIRECT("I"&amp;$E$8)),IF(F651=2,AVERAGE(INDIRECT("I"&amp;$D$9):INDIRECT("I"&amp;$E$9)),IF(F651=3,AVERAGE(INDIRECT("I"&amp;$D$10):INDIRECT("I"&amp;$E$10)),IF(F651=4,AVERAGE(INDIRECT("I"&amp;$D$11):INDIRECT("I"&amp;$E$11)),IF(F651=5,AVERAGE(INDIRECT("I"&amp;$D$12):INDIRECT("I"&amp;$E$12)),IF(F651=6,AVERAGE(INDIRECT("I"&amp;$D$13):INDIRECT("I"&amp;$E$13))," "))))))</f>
        <v xml:space="preserve"> </v>
      </c>
      <c r="K651" s="242" t="str">
        <f t="shared" si="57"/>
        <v xml:space="preserve"> </v>
      </c>
      <c r="L651" s="242" t="str">
        <f t="shared" si="58"/>
        <v xml:space="preserve"> </v>
      </c>
      <c r="M651" s="242" t="str">
        <f t="shared" si="59"/>
        <v xml:space="preserve"> </v>
      </c>
    </row>
    <row r="652" spans="6:13" x14ac:dyDescent="0.2">
      <c r="F652" s="216" t="str">
        <f t="shared" si="55"/>
        <v xml:space="preserve"> </v>
      </c>
      <c r="G652" s="50"/>
      <c r="H652" s="242" t="str">
        <f ca="1">IF(F652=1,PERCENTILE(INDIRECT("g"&amp;$D$8):INDIRECT("g"&amp;$E$8),0.5),IF(F652=2,PERCENTILE(INDIRECT("g"&amp;$D$9):INDIRECT("g"&amp;$E$9),0.5),IF(F652=3,PERCENTILE(INDIRECT("g"&amp;$D$10):INDIRECT("g"&amp;$E$10),0.5),IF(F652=4,PERCENTILE(INDIRECT("g"&amp;$D$11):INDIRECT("g"&amp;$E$11),0.5),IF(F652=5,PERCENTILE(INDIRECT("g"&amp;$D$12):INDIRECT("g"&amp;$E$12),0.5),IF(F652=6,PERCENTILE(INDIRECT("g"&amp;$D$13):INDIRECT("g"&amp;$E$13),0.5)," "))))))</f>
        <v xml:space="preserve"> </v>
      </c>
      <c r="I652" s="242" t="str">
        <f t="shared" si="56"/>
        <v xml:space="preserve"> </v>
      </c>
      <c r="J652" s="242" t="str">
        <f ca="1">IF(F652=1,AVERAGE(INDIRECT("I"&amp;$D$8):INDIRECT("I"&amp;$E$8)),IF(F652=2,AVERAGE(INDIRECT("I"&amp;$D$9):INDIRECT("I"&amp;$E$9)),IF(F652=3,AVERAGE(INDIRECT("I"&amp;$D$10):INDIRECT("I"&amp;$E$10)),IF(F652=4,AVERAGE(INDIRECT("I"&amp;$D$11):INDIRECT("I"&amp;$E$11)),IF(F652=5,AVERAGE(INDIRECT("I"&amp;$D$12):INDIRECT("I"&amp;$E$12)),IF(F652=6,AVERAGE(INDIRECT("I"&amp;$D$13):INDIRECT("I"&amp;$E$13))," "))))))</f>
        <v xml:space="preserve"> </v>
      </c>
      <c r="K652" s="242" t="str">
        <f t="shared" si="57"/>
        <v xml:space="preserve"> </v>
      </c>
      <c r="L652" s="242" t="str">
        <f t="shared" si="58"/>
        <v xml:space="preserve"> </v>
      </c>
      <c r="M652" s="242" t="str">
        <f t="shared" si="59"/>
        <v xml:space="preserve"> </v>
      </c>
    </row>
    <row r="653" spans="6:13" x14ac:dyDescent="0.2">
      <c r="F653" s="216" t="str">
        <f t="shared" si="55"/>
        <v xml:space="preserve"> </v>
      </c>
      <c r="G653" s="50"/>
      <c r="H653" s="242" t="str">
        <f ca="1">IF(F653=1,PERCENTILE(INDIRECT("g"&amp;$D$8):INDIRECT("g"&amp;$E$8),0.5),IF(F653=2,PERCENTILE(INDIRECT("g"&amp;$D$9):INDIRECT("g"&amp;$E$9),0.5),IF(F653=3,PERCENTILE(INDIRECT("g"&amp;$D$10):INDIRECT("g"&amp;$E$10),0.5),IF(F653=4,PERCENTILE(INDIRECT("g"&amp;$D$11):INDIRECT("g"&amp;$E$11),0.5),IF(F653=5,PERCENTILE(INDIRECT("g"&amp;$D$12):INDIRECT("g"&amp;$E$12),0.5),IF(F653=6,PERCENTILE(INDIRECT("g"&amp;$D$13):INDIRECT("g"&amp;$E$13),0.5)," "))))))</f>
        <v xml:space="preserve"> </v>
      </c>
      <c r="I653" s="242" t="str">
        <f t="shared" si="56"/>
        <v xml:space="preserve"> </v>
      </c>
      <c r="J653" s="242" t="str">
        <f ca="1">IF(F653=1,AVERAGE(INDIRECT("I"&amp;$D$8):INDIRECT("I"&amp;$E$8)),IF(F653=2,AVERAGE(INDIRECT("I"&amp;$D$9):INDIRECT("I"&amp;$E$9)),IF(F653=3,AVERAGE(INDIRECT("I"&amp;$D$10):INDIRECT("I"&amp;$E$10)),IF(F653=4,AVERAGE(INDIRECT("I"&amp;$D$11):INDIRECT("I"&amp;$E$11)),IF(F653=5,AVERAGE(INDIRECT("I"&amp;$D$12):INDIRECT("I"&amp;$E$12)),IF(F653=6,AVERAGE(INDIRECT("I"&amp;$D$13):INDIRECT("I"&amp;$E$13))," "))))))</f>
        <v xml:space="preserve"> </v>
      </c>
      <c r="K653" s="242" t="str">
        <f t="shared" si="57"/>
        <v xml:space="preserve"> </v>
      </c>
      <c r="L653" s="242" t="str">
        <f t="shared" si="58"/>
        <v xml:space="preserve"> </v>
      </c>
      <c r="M653" s="242" t="str">
        <f t="shared" si="59"/>
        <v xml:space="preserve"> </v>
      </c>
    </row>
    <row r="654" spans="6:13" x14ac:dyDescent="0.2">
      <c r="F654" s="216" t="str">
        <f t="shared" si="55"/>
        <v xml:space="preserve"> </v>
      </c>
      <c r="G654" s="50"/>
      <c r="H654" s="242" t="str">
        <f ca="1">IF(F654=1,PERCENTILE(INDIRECT("g"&amp;$D$8):INDIRECT("g"&amp;$E$8),0.5),IF(F654=2,PERCENTILE(INDIRECT("g"&amp;$D$9):INDIRECT("g"&amp;$E$9),0.5),IF(F654=3,PERCENTILE(INDIRECT("g"&amp;$D$10):INDIRECT("g"&amp;$E$10),0.5),IF(F654=4,PERCENTILE(INDIRECT("g"&amp;$D$11):INDIRECT("g"&amp;$E$11),0.5),IF(F654=5,PERCENTILE(INDIRECT("g"&amp;$D$12):INDIRECT("g"&amp;$E$12),0.5),IF(F654=6,PERCENTILE(INDIRECT("g"&amp;$D$13):INDIRECT("g"&amp;$E$13),0.5)," "))))))</f>
        <v xml:space="preserve"> </v>
      </c>
      <c r="I654" s="242" t="str">
        <f t="shared" si="56"/>
        <v xml:space="preserve"> </v>
      </c>
      <c r="J654" s="242" t="str">
        <f ca="1">IF(F654=1,AVERAGE(INDIRECT("I"&amp;$D$8):INDIRECT("I"&amp;$E$8)),IF(F654=2,AVERAGE(INDIRECT("I"&amp;$D$9):INDIRECT("I"&amp;$E$9)),IF(F654=3,AVERAGE(INDIRECT("I"&amp;$D$10):INDIRECT("I"&amp;$E$10)),IF(F654=4,AVERAGE(INDIRECT("I"&amp;$D$11):INDIRECT("I"&amp;$E$11)),IF(F654=5,AVERAGE(INDIRECT("I"&amp;$D$12):INDIRECT("I"&amp;$E$12)),IF(F654=6,AVERAGE(INDIRECT("I"&amp;$D$13):INDIRECT("I"&amp;$E$13))," "))))))</f>
        <v xml:space="preserve"> </v>
      </c>
      <c r="K654" s="242" t="str">
        <f t="shared" si="57"/>
        <v xml:space="preserve"> </v>
      </c>
      <c r="L654" s="242" t="str">
        <f t="shared" si="58"/>
        <v xml:space="preserve"> </v>
      </c>
      <c r="M654" s="242" t="str">
        <f t="shared" si="59"/>
        <v xml:space="preserve"> </v>
      </c>
    </row>
    <row r="655" spans="6:13" x14ac:dyDescent="0.2">
      <c r="F655" s="216" t="str">
        <f t="shared" si="55"/>
        <v xml:space="preserve"> </v>
      </c>
      <c r="G655" s="50"/>
      <c r="H655" s="242" t="str">
        <f ca="1">IF(F655=1,PERCENTILE(INDIRECT("g"&amp;$D$8):INDIRECT("g"&amp;$E$8),0.5),IF(F655=2,PERCENTILE(INDIRECT("g"&amp;$D$9):INDIRECT("g"&amp;$E$9),0.5),IF(F655=3,PERCENTILE(INDIRECT("g"&amp;$D$10):INDIRECT("g"&amp;$E$10),0.5),IF(F655=4,PERCENTILE(INDIRECT("g"&amp;$D$11):INDIRECT("g"&amp;$E$11),0.5),IF(F655=5,PERCENTILE(INDIRECT("g"&amp;$D$12):INDIRECT("g"&amp;$E$12),0.5),IF(F655=6,PERCENTILE(INDIRECT("g"&amp;$D$13):INDIRECT("g"&amp;$E$13),0.5)," "))))))</f>
        <v xml:space="preserve"> </v>
      </c>
      <c r="I655" s="242" t="str">
        <f t="shared" si="56"/>
        <v xml:space="preserve"> </v>
      </c>
      <c r="J655" s="242" t="str">
        <f ca="1">IF(F655=1,AVERAGE(INDIRECT("I"&amp;$D$8):INDIRECT("I"&amp;$E$8)),IF(F655=2,AVERAGE(INDIRECT("I"&amp;$D$9):INDIRECT("I"&amp;$E$9)),IF(F655=3,AVERAGE(INDIRECT("I"&amp;$D$10):INDIRECT("I"&amp;$E$10)),IF(F655=4,AVERAGE(INDIRECT("I"&amp;$D$11):INDIRECT("I"&amp;$E$11)),IF(F655=5,AVERAGE(INDIRECT("I"&amp;$D$12):INDIRECT("I"&amp;$E$12)),IF(F655=6,AVERAGE(INDIRECT("I"&amp;$D$13):INDIRECT("I"&amp;$E$13))," "))))))</f>
        <v xml:space="preserve"> </v>
      </c>
      <c r="K655" s="242" t="str">
        <f t="shared" si="57"/>
        <v xml:space="preserve"> </v>
      </c>
      <c r="L655" s="242" t="str">
        <f t="shared" si="58"/>
        <v xml:space="preserve"> </v>
      </c>
      <c r="M655" s="242" t="str">
        <f t="shared" si="59"/>
        <v xml:space="preserve"> </v>
      </c>
    </row>
    <row r="656" spans="6:13" x14ac:dyDescent="0.2">
      <c r="F656" s="216" t="str">
        <f t="shared" si="55"/>
        <v xml:space="preserve"> </v>
      </c>
      <c r="G656" s="50"/>
      <c r="H656" s="242" t="str">
        <f ca="1">IF(F656=1,PERCENTILE(INDIRECT("g"&amp;$D$8):INDIRECT("g"&amp;$E$8),0.5),IF(F656=2,PERCENTILE(INDIRECT("g"&amp;$D$9):INDIRECT("g"&amp;$E$9),0.5),IF(F656=3,PERCENTILE(INDIRECT("g"&amp;$D$10):INDIRECT("g"&amp;$E$10),0.5),IF(F656=4,PERCENTILE(INDIRECT("g"&amp;$D$11):INDIRECT("g"&amp;$E$11),0.5),IF(F656=5,PERCENTILE(INDIRECT("g"&amp;$D$12):INDIRECT("g"&amp;$E$12),0.5),IF(F656=6,PERCENTILE(INDIRECT("g"&amp;$D$13):INDIRECT("g"&amp;$E$13),0.5)," "))))))</f>
        <v xml:space="preserve"> </v>
      </c>
      <c r="I656" s="242" t="str">
        <f t="shared" si="56"/>
        <v xml:space="preserve"> </v>
      </c>
      <c r="J656" s="242" t="str">
        <f ca="1">IF(F656=1,AVERAGE(INDIRECT("I"&amp;$D$8):INDIRECT("I"&amp;$E$8)),IF(F656=2,AVERAGE(INDIRECT("I"&amp;$D$9):INDIRECT("I"&amp;$E$9)),IF(F656=3,AVERAGE(INDIRECT("I"&amp;$D$10):INDIRECT("I"&amp;$E$10)),IF(F656=4,AVERAGE(INDIRECT("I"&amp;$D$11):INDIRECT("I"&amp;$E$11)),IF(F656=5,AVERAGE(INDIRECT("I"&amp;$D$12):INDIRECT("I"&amp;$E$12)),IF(F656=6,AVERAGE(INDIRECT("I"&amp;$D$13):INDIRECT("I"&amp;$E$13))," "))))))</f>
        <v xml:space="preserve"> </v>
      </c>
      <c r="K656" s="242" t="str">
        <f t="shared" si="57"/>
        <v xml:space="preserve"> </v>
      </c>
      <c r="L656" s="242" t="str">
        <f t="shared" si="58"/>
        <v xml:space="preserve"> </v>
      </c>
      <c r="M656" s="242" t="str">
        <f t="shared" si="59"/>
        <v xml:space="preserve"> </v>
      </c>
    </row>
    <row r="657" spans="6:13" x14ac:dyDescent="0.2">
      <c r="F657" s="216" t="str">
        <f t="shared" si="55"/>
        <v xml:space="preserve"> </v>
      </c>
      <c r="G657" s="50"/>
      <c r="H657" s="242" t="str">
        <f ca="1">IF(F657=1,PERCENTILE(INDIRECT("g"&amp;$D$8):INDIRECT("g"&amp;$E$8),0.5),IF(F657=2,PERCENTILE(INDIRECT("g"&amp;$D$9):INDIRECT("g"&amp;$E$9),0.5),IF(F657=3,PERCENTILE(INDIRECT("g"&amp;$D$10):INDIRECT("g"&amp;$E$10),0.5),IF(F657=4,PERCENTILE(INDIRECT("g"&amp;$D$11):INDIRECT("g"&amp;$E$11),0.5),IF(F657=5,PERCENTILE(INDIRECT("g"&amp;$D$12):INDIRECT("g"&amp;$E$12),0.5),IF(F657=6,PERCENTILE(INDIRECT("g"&amp;$D$13):INDIRECT("g"&amp;$E$13),0.5)," "))))))</f>
        <v xml:space="preserve"> </v>
      </c>
      <c r="I657" s="242" t="str">
        <f t="shared" si="56"/>
        <v xml:space="preserve"> </v>
      </c>
      <c r="J657" s="242" t="str">
        <f ca="1">IF(F657=1,AVERAGE(INDIRECT("I"&amp;$D$8):INDIRECT("I"&amp;$E$8)),IF(F657=2,AVERAGE(INDIRECT("I"&amp;$D$9):INDIRECT("I"&amp;$E$9)),IF(F657=3,AVERAGE(INDIRECT("I"&amp;$D$10):INDIRECT("I"&amp;$E$10)),IF(F657=4,AVERAGE(INDIRECT("I"&amp;$D$11):INDIRECT("I"&amp;$E$11)),IF(F657=5,AVERAGE(INDIRECT("I"&amp;$D$12):INDIRECT("I"&amp;$E$12)),IF(F657=6,AVERAGE(INDIRECT("I"&amp;$D$13):INDIRECT("I"&amp;$E$13))," "))))))</f>
        <v xml:space="preserve"> </v>
      </c>
      <c r="K657" s="242" t="str">
        <f t="shared" si="57"/>
        <v xml:space="preserve"> </v>
      </c>
      <c r="L657" s="242" t="str">
        <f t="shared" si="58"/>
        <v xml:space="preserve"> </v>
      </c>
      <c r="M657" s="242" t="str">
        <f t="shared" si="59"/>
        <v xml:space="preserve"> </v>
      </c>
    </row>
    <row r="658" spans="6:13" x14ac:dyDescent="0.2">
      <c r="F658" s="216" t="str">
        <f t="shared" si="55"/>
        <v xml:space="preserve"> </v>
      </c>
      <c r="G658" s="50"/>
      <c r="H658" s="242" t="str">
        <f ca="1">IF(F658=1,PERCENTILE(INDIRECT("g"&amp;$D$8):INDIRECT("g"&amp;$E$8),0.5),IF(F658=2,PERCENTILE(INDIRECT("g"&amp;$D$9):INDIRECT("g"&amp;$E$9),0.5),IF(F658=3,PERCENTILE(INDIRECT("g"&amp;$D$10):INDIRECT("g"&amp;$E$10),0.5),IF(F658=4,PERCENTILE(INDIRECT("g"&amp;$D$11):INDIRECT("g"&amp;$E$11),0.5),IF(F658=5,PERCENTILE(INDIRECT("g"&amp;$D$12):INDIRECT("g"&amp;$E$12),0.5),IF(F658=6,PERCENTILE(INDIRECT("g"&amp;$D$13):INDIRECT("g"&amp;$E$13),0.5)," "))))))</f>
        <v xml:space="preserve"> </v>
      </c>
      <c r="I658" s="242" t="str">
        <f t="shared" si="56"/>
        <v xml:space="preserve"> </v>
      </c>
      <c r="J658" s="242" t="str">
        <f ca="1">IF(F658=1,AVERAGE(INDIRECT("I"&amp;$D$8):INDIRECT("I"&amp;$E$8)),IF(F658=2,AVERAGE(INDIRECT("I"&amp;$D$9):INDIRECT("I"&amp;$E$9)),IF(F658=3,AVERAGE(INDIRECT("I"&amp;$D$10):INDIRECT("I"&amp;$E$10)),IF(F658=4,AVERAGE(INDIRECT("I"&amp;$D$11):INDIRECT("I"&amp;$E$11)),IF(F658=5,AVERAGE(INDIRECT("I"&amp;$D$12):INDIRECT("I"&amp;$E$12)),IF(F658=6,AVERAGE(INDIRECT("I"&amp;$D$13):INDIRECT("I"&amp;$E$13))," "))))))</f>
        <v xml:space="preserve"> </v>
      </c>
      <c r="K658" s="242" t="str">
        <f t="shared" si="57"/>
        <v xml:space="preserve"> </v>
      </c>
      <c r="L658" s="242" t="str">
        <f t="shared" si="58"/>
        <v xml:space="preserve"> </v>
      </c>
      <c r="M658" s="242" t="str">
        <f t="shared" si="59"/>
        <v xml:space="preserve"> </v>
      </c>
    </row>
    <row r="659" spans="6:13" x14ac:dyDescent="0.2">
      <c r="F659" s="216" t="str">
        <f t="shared" si="55"/>
        <v xml:space="preserve"> </v>
      </c>
      <c r="G659" s="50"/>
      <c r="H659" s="242" t="str">
        <f ca="1">IF(F659=1,PERCENTILE(INDIRECT("g"&amp;$D$8):INDIRECT("g"&amp;$E$8),0.5),IF(F659=2,PERCENTILE(INDIRECT("g"&amp;$D$9):INDIRECT("g"&amp;$E$9),0.5),IF(F659=3,PERCENTILE(INDIRECT("g"&amp;$D$10):INDIRECT("g"&amp;$E$10),0.5),IF(F659=4,PERCENTILE(INDIRECT("g"&amp;$D$11):INDIRECT("g"&amp;$E$11),0.5),IF(F659=5,PERCENTILE(INDIRECT("g"&amp;$D$12):INDIRECT("g"&amp;$E$12),0.5),IF(F659=6,PERCENTILE(INDIRECT("g"&amp;$D$13):INDIRECT("g"&amp;$E$13),0.5)," "))))))</f>
        <v xml:space="preserve"> </v>
      </c>
      <c r="I659" s="242" t="str">
        <f t="shared" si="56"/>
        <v xml:space="preserve"> </v>
      </c>
      <c r="J659" s="242" t="str">
        <f ca="1">IF(F659=1,AVERAGE(INDIRECT("I"&amp;$D$8):INDIRECT("I"&amp;$E$8)),IF(F659=2,AVERAGE(INDIRECT("I"&amp;$D$9):INDIRECT("I"&amp;$E$9)),IF(F659=3,AVERAGE(INDIRECT("I"&amp;$D$10):INDIRECT("I"&amp;$E$10)),IF(F659=4,AVERAGE(INDIRECT("I"&amp;$D$11):INDIRECT("I"&amp;$E$11)),IF(F659=5,AVERAGE(INDIRECT("I"&amp;$D$12):INDIRECT("I"&amp;$E$12)),IF(F659=6,AVERAGE(INDIRECT("I"&amp;$D$13):INDIRECT("I"&amp;$E$13))," "))))))</f>
        <v xml:space="preserve"> </v>
      </c>
      <c r="K659" s="242" t="str">
        <f t="shared" si="57"/>
        <v xml:space="preserve"> </v>
      </c>
      <c r="L659" s="242" t="str">
        <f t="shared" si="58"/>
        <v xml:space="preserve"> </v>
      </c>
      <c r="M659" s="242" t="str">
        <f t="shared" si="59"/>
        <v xml:space="preserve"> </v>
      </c>
    </row>
    <row r="660" spans="6:13" x14ac:dyDescent="0.2">
      <c r="F660" s="216" t="str">
        <f t="shared" si="55"/>
        <v xml:space="preserve"> </v>
      </c>
      <c r="G660" s="50"/>
      <c r="H660" s="242" t="str">
        <f ca="1">IF(F660=1,PERCENTILE(INDIRECT("g"&amp;$D$8):INDIRECT("g"&amp;$E$8),0.5),IF(F660=2,PERCENTILE(INDIRECT("g"&amp;$D$9):INDIRECT("g"&amp;$E$9),0.5),IF(F660=3,PERCENTILE(INDIRECT("g"&amp;$D$10):INDIRECT("g"&amp;$E$10),0.5),IF(F660=4,PERCENTILE(INDIRECT("g"&amp;$D$11):INDIRECT("g"&amp;$E$11),0.5),IF(F660=5,PERCENTILE(INDIRECT("g"&amp;$D$12):INDIRECT("g"&amp;$E$12),0.5),IF(F660=6,PERCENTILE(INDIRECT("g"&amp;$D$13):INDIRECT("g"&amp;$E$13),0.5)," "))))))</f>
        <v xml:space="preserve"> </v>
      </c>
      <c r="I660" s="242" t="str">
        <f t="shared" si="56"/>
        <v xml:space="preserve"> </v>
      </c>
      <c r="J660" s="242" t="str">
        <f ca="1">IF(F660=1,AVERAGE(INDIRECT("I"&amp;$D$8):INDIRECT("I"&amp;$E$8)),IF(F660=2,AVERAGE(INDIRECT("I"&amp;$D$9):INDIRECT("I"&amp;$E$9)),IF(F660=3,AVERAGE(INDIRECT("I"&amp;$D$10):INDIRECT("I"&amp;$E$10)),IF(F660=4,AVERAGE(INDIRECT("I"&amp;$D$11):INDIRECT("I"&amp;$E$11)),IF(F660=5,AVERAGE(INDIRECT("I"&amp;$D$12):INDIRECT("I"&amp;$E$12)),IF(F660=6,AVERAGE(INDIRECT("I"&amp;$D$13):INDIRECT("I"&amp;$E$13))," "))))))</f>
        <v xml:space="preserve"> </v>
      </c>
      <c r="K660" s="242" t="str">
        <f t="shared" si="57"/>
        <v xml:space="preserve"> </v>
      </c>
      <c r="L660" s="242" t="str">
        <f t="shared" si="58"/>
        <v xml:space="preserve"> </v>
      </c>
      <c r="M660" s="242" t="str">
        <f t="shared" si="59"/>
        <v xml:space="preserve"> </v>
      </c>
    </row>
    <row r="661" spans="6:13" x14ac:dyDescent="0.2">
      <c r="F661" s="216" t="str">
        <f t="shared" si="55"/>
        <v xml:space="preserve"> </v>
      </c>
      <c r="G661" s="50"/>
      <c r="H661" s="242" t="str">
        <f ca="1">IF(F661=1,PERCENTILE(INDIRECT("g"&amp;$D$8):INDIRECT("g"&amp;$E$8),0.5),IF(F661=2,PERCENTILE(INDIRECT("g"&amp;$D$9):INDIRECT("g"&amp;$E$9),0.5),IF(F661=3,PERCENTILE(INDIRECT("g"&amp;$D$10):INDIRECT("g"&amp;$E$10),0.5),IF(F661=4,PERCENTILE(INDIRECT("g"&amp;$D$11):INDIRECT("g"&amp;$E$11),0.5),IF(F661=5,PERCENTILE(INDIRECT("g"&amp;$D$12):INDIRECT("g"&amp;$E$12),0.5),IF(F661=6,PERCENTILE(INDIRECT("g"&amp;$D$13):INDIRECT("g"&amp;$E$13),0.5)," "))))))</f>
        <v xml:space="preserve"> </v>
      </c>
      <c r="I661" s="242" t="str">
        <f t="shared" si="56"/>
        <v xml:space="preserve"> </v>
      </c>
      <c r="J661" s="242" t="str">
        <f ca="1">IF(F661=1,AVERAGE(INDIRECT("I"&amp;$D$8):INDIRECT("I"&amp;$E$8)),IF(F661=2,AVERAGE(INDIRECT("I"&amp;$D$9):INDIRECT("I"&amp;$E$9)),IF(F661=3,AVERAGE(INDIRECT("I"&amp;$D$10):INDIRECT("I"&amp;$E$10)),IF(F661=4,AVERAGE(INDIRECT("I"&amp;$D$11):INDIRECT("I"&amp;$E$11)),IF(F661=5,AVERAGE(INDIRECT("I"&amp;$D$12):INDIRECT("I"&amp;$E$12)),IF(F661=6,AVERAGE(INDIRECT("I"&amp;$D$13):INDIRECT("I"&amp;$E$13))," "))))))</f>
        <v xml:space="preserve"> </v>
      </c>
      <c r="K661" s="242" t="str">
        <f t="shared" si="57"/>
        <v xml:space="preserve"> </v>
      </c>
      <c r="L661" s="242" t="str">
        <f t="shared" si="58"/>
        <v xml:space="preserve"> </v>
      </c>
      <c r="M661" s="242" t="str">
        <f t="shared" si="59"/>
        <v xml:space="preserve"> </v>
      </c>
    </row>
    <row r="662" spans="6:13" x14ac:dyDescent="0.2">
      <c r="F662" s="216" t="str">
        <f t="shared" si="55"/>
        <v xml:space="preserve"> </v>
      </c>
      <c r="G662" s="50"/>
      <c r="H662" s="242" t="str">
        <f ca="1">IF(F662=1,PERCENTILE(INDIRECT("g"&amp;$D$8):INDIRECT("g"&amp;$E$8),0.5),IF(F662=2,PERCENTILE(INDIRECT("g"&amp;$D$9):INDIRECT("g"&amp;$E$9),0.5),IF(F662=3,PERCENTILE(INDIRECT("g"&amp;$D$10):INDIRECT("g"&amp;$E$10),0.5),IF(F662=4,PERCENTILE(INDIRECT("g"&amp;$D$11):INDIRECT("g"&amp;$E$11),0.5),IF(F662=5,PERCENTILE(INDIRECT("g"&amp;$D$12):INDIRECT("g"&amp;$E$12),0.5),IF(F662=6,PERCENTILE(INDIRECT("g"&amp;$D$13):INDIRECT("g"&amp;$E$13),0.5)," "))))))</f>
        <v xml:space="preserve"> </v>
      </c>
      <c r="I662" s="242" t="str">
        <f t="shared" si="56"/>
        <v xml:space="preserve"> </v>
      </c>
      <c r="J662" s="242" t="str">
        <f ca="1">IF(F662=1,AVERAGE(INDIRECT("I"&amp;$D$8):INDIRECT("I"&amp;$E$8)),IF(F662=2,AVERAGE(INDIRECT("I"&amp;$D$9):INDIRECT("I"&amp;$E$9)),IF(F662=3,AVERAGE(INDIRECT("I"&amp;$D$10):INDIRECT("I"&amp;$E$10)),IF(F662=4,AVERAGE(INDIRECT("I"&amp;$D$11):INDIRECT("I"&amp;$E$11)),IF(F662=5,AVERAGE(INDIRECT("I"&amp;$D$12):INDIRECT("I"&amp;$E$12)),IF(F662=6,AVERAGE(INDIRECT("I"&amp;$D$13):INDIRECT("I"&amp;$E$13))," "))))))</f>
        <v xml:space="preserve"> </v>
      </c>
      <c r="K662" s="242" t="str">
        <f t="shared" si="57"/>
        <v xml:space="preserve"> </v>
      </c>
      <c r="L662" s="242" t="str">
        <f t="shared" si="58"/>
        <v xml:space="preserve"> </v>
      </c>
      <c r="M662" s="242" t="str">
        <f t="shared" si="59"/>
        <v xml:space="preserve"> </v>
      </c>
    </row>
    <row r="663" spans="6:13" x14ac:dyDescent="0.2">
      <c r="F663" s="216" t="str">
        <f t="shared" si="55"/>
        <v xml:space="preserve"> </v>
      </c>
      <c r="G663" s="50"/>
      <c r="H663" s="242" t="str">
        <f ca="1">IF(F663=1,PERCENTILE(INDIRECT("g"&amp;$D$8):INDIRECT("g"&amp;$E$8),0.5),IF(F663=2,PERCENTILE(INDIRECT("g"&amp;$D$9):INDIRECT("g"&amp;$E$9),0.5),IF(F663=3,PERCENTILE(INDIRECT("g"&amp;$D$10):INDIRECT("g"&amp;$E$10),0.5),IF(F663=4,PERCENTILE(INDIRECT("g"&amp;$D$11):INDIRECT("g"&amp;$E$11),0.5),IF(F663=5,PERCENTILE(INDIRECT("g"&amp;$D$12):INDIRECT("g"&amp;$E$12),0.5),IF(F663=6,PERCENTILE(INDIRECT("g"&amp;$D$13):INDIRECT("g"&amp;$E$13),0.5)," "))))))</f>
        <v xml:space="preserve"> </v>
      </c>
      <c r="I663" s="242" t="str">
        <f t="shared" si="56"/>
        <v xml:space="preserve"> </v>
      </c>
      <c r="J663" s="242" t="str">
        <f ca="1">IF(F663=1,AVERAGE(INDIRECT("I"&amp;$D$8):INDIRECT("I"&amp;$E$8)),IF(F663=2,AVERAGE(INDIRECT("I"&amp;$D$9):INDIRECT("I"&amp;$E$9)),IF(F663=3,AVERAGE(INDIRECT("I"&amp;$D$10):INDIRECT("I"&amp;$E$10)),IF(F663=4,AVERAGE(INDIRECT("I"&amp;$D$11):INDIRECT("I"&amp;$E$11)),IF(F663=5,AVERAGE(INDIRECT("I"&amp;$D$12):INDIRECT("I"&amp;$E$12)),IF(F663=6,AVERAGE(INDIRECT("I"&amp;$D$13):INDIRECT("I"&amp;$E$13))," "))))))</f>
        <v xml:space="preserve"> </v>
      </c>
      <c r="K663" s="242" t="str">
        <f t="shared" si="57"/>
        <v xml:space="preserve"> </v>
      </c>
      <c r="L663" s="242" t="str">
        <f t="shared" si="58"/>
        <v xml:space="preserve"> </v>
      </c>
      <c r="M663" s="242" t="str">
        <f t="shared" si="59"/>
        <v xml:space="preserve"> </v>
      </c>
    </row>
    <row r="664" spans="6:13" x14ac:dyDescent="0.2">
      <c r="F664" s="216" t="str">
        <f t="shared" si="55"/>
        <v xml:space="preserve"> </v>
      </c>
      <c r="G664" s="50"/>
      <c r="H664" s="242" t="str">
        <f ca="1">IF(F664=1,PERCENTILE(INDIRECT("g"&amp;$D$8):INDIRECT("g"&amp;$E$8),0.5),IF(F664=2,PERCENTILE(INDIRECT("g"&amp;$D$9):INDIRECT("g"&amp;$E$9),0.5),IF(F664=3,PERCENTILE(INDIRECT("g"&amp;$D$10):INDIRECT("g"&amp;$E$10),0.5),IF(F664=4,PERCENTILE(INDIRECT("g"&amp;$D$11):INDIRECT("g"&amp;$E$11),0.5),IF(F664=5,PERCENTILE(INDIRECT("g"&amp;$D$12):INDIRECT("g"&amp;$E$12),0.5),IF(F664=6,PERCENTILE(INDIRECT("g"&amp;$D$13):INDIRECT("g"&amp;$E$13),0.5)," "))))))</f>
        <v xml:space="preserve"> </v>
      </c>
      <c r="I664" s="242" t="str">
        <f t="shared" si="56"/>
        <v xml:space="preserve"> </v>
      </c>
      <c r="J664" s="242" t="str">
        <f ca="1">IF(F664=1,AVERAGE(INDIRECT("I"&amp;$D$8):INDIRECT("I"&amp;$E$8)),IF(F664=2,AVERAGE(INDIRECT("I"&amp;$D$9):INDIRECT("I"&amp;$E$9)),IF(F664=3,AVERAGE(INDIRECT("I"&amp;$D$10):INDIRECT("I"&amp;$E$10)),IF(F664=4,AVERAGE(INDIRECT("I"&amp;$D$11):INDIRECT("I"&amp;$E$11)),IF(F664=5,AVERAGE(INDIRECT("I"&amp;$D$12):INDIRECT("I"&amp;$E$12)),IF(F664=6,AVERAGE(INDIRECT("I"&amp;$D$13):INDIRECT("I"&amp;$E$13))," "))))))</f>
        <v xml:space="preserve"> </v>
      </c>
      <c r="K664" s="242" t="str">
        <f t="shared" si="57"/>
        <v xml:space="preserve"> </v>
      </c>
      <c r="L664" s="242" t="str">
        <f t="shared" si="58"/>
        <v xml:space="preserve"> </v>
      </c>
      <c r="M664" s="242" t="str">
        <f t="shared" si="59"/>
        <v xml:space="preserve"> </v>
      </c>
    </row>
    <row r="665" spans="6:13" x14ac:dyDescent="0.2">
      <c r="F665" s="216" t="str">
        <f t="shared" si="55"/>
        <v xml:space="preserve"> </v>
      </c>
      <c r="G665" s="50"/>
      <c r="H665" s="242" t="str">
        <f ca="1">IF(F665=1,PERCENTILE(INDIRECT("g"&amp;$D$8):INDIRECT("g"&amp;$E$8),0.5),IF(F665=2,PERCENTILE(INDIRECT("g"&amp;$D$9):INDIRECT("g"&amp;$E$9),0.5),IF(F665=3,PERCENTILE(INDIRECT("g"&amp;$D$10):INDIRECT("g"&amp;$E$10),0.5),IF(F665=4,PERCENTILE(INDIRECT("g"&amp;$D$11):INDIRECT("g"&amp;$E$11),0.5),IF(F665=5,PERCENTILE(INDIRECT("g"&amp;$D$12):INDIRECT("g"&amp;$E$12),0.5),IF(F665=6,PERCENTILE(INDIRECT("g"&amp;$D$13):INDIRECT("g"&amp;$E$13),0.5)," "))))))</f>
        <v xml:space="preserve"> </v>
      </c>
      <c r="I665" s="242" t="str">
        <f t="shared" si="56"/>
        <v xml:space="preserve"> </v>
      </c>
      <c r="J665" s="242" t="str">
        <f ca="1">IF(F665=1,AVERAGE(INDIRECT("I"&amp;$D$8):INDIRECT("I"&amp;$E$8)),IF(F665=2,AVERAGE(INDIRECT("I"&amp;$D$9):INDIRECT("I"&amp;$E$9)),IF(F665=3,AVERAGE(INDIRECT("I"&amp;$D$10):INDIRECT("I"&amp;$E$10)),IF(F665=4,AVERAGE(INDIRECT("I"&amp;$D$11):INDIRECT("I"&amp;$E$11)),IF(F665=5,AVERAGE(INDIRECT("I"&amp;$D$12):INDIRECT("I"&amp;$E$12)),IF(F665=6,AVERAGE(INDIRECT("I"&amp;$D$13):INDIRECT("I"&amp;$E$13))," "))))))</f>
        <v xml:space="preserve"> </v>
      </c>
      <c r="K665" s="242" t="str">
        <f t="shared" si="57"/>
        <v xml:space="preserve"> </v>
      </c>
      <c r="L665" s="242" t="str">
        <f t="shared" si="58"/>
        <v xml:space="preserve"> </v>
      </c>
      <c r="M665" s="242" t="str">
        <f t="shared" si="59"/>
        <v xml:space="preserve"> </v>
      </c>
    </row>
    <row r="666" spans="6:13" x14ac:dyDescent="0.2">
      <c r="F666" s="216" t="str">
        <f t="shared" si="55"/>
        <v xml:space="preserve"> </v>
      </c>
      <c r="G666" s="50"/>
      <c r="H666" s="242" t="str">
        <f ca="1">IF(F666=1,PERCENTILE(INDIRECT("g"&amp;$D$8):INDIRECT("g"&amp;$E$8),0.5),IF(F666=2,PERCENTILE(INDIRECT("g"&amp;$D$9):INDIRECT("g"&amp;$E$9),0.5),IF(F666=3,PERCENTILE(INDIRECT("g"&amp;$D$10):INDIRECT("g"&amp;$E$10),0.5),IF(F666=4,PERCENTILE(INDIRECT("g"&amp;$D$11):INDIRECT("g"&amp;$E$11),0.5),IF(F666=5,PERCENTILE(INDIRECT("g"&amp;$D$12):INDIRECT("g"&amp;$E$12),0.5),IF(F666=6,PERCENTILE(INDIRECT("g"&amp;$D$13):INDIRECT("g"&amp;$E$13),0.5)," "))))))</f>
        <v xml:space="preserve"> </v>
      </c>
      <c r="I666" s="242" t="str">
        <f t="shared" si="56"/>
        <v xml:space="preserve"> </v>
      </c>
      <c r="J666" s="242" t="str">
        <f ca="1">IF(F666=1,AVERAGE(INDIRECT("I"&amp;$D$8):INDIRECT("I"&amp;$E$8)),IF(F666=2,AVERAGE(INDIRECT("I"&amp;$D$9):INDIRECT("I"&amp;$E$9)),IF(F666=3,AVERAGE(INDIRECT("I"&amp;$D$10):INDIRECT("I"&amp;$E$10)),IF(F666=4,AVERAGE(INDIRECT("I"&amp;$D$11):INDIRECT("I"&amp;$E$11)),IF(F666=5,AVERAGE(INDIRECT("I"&amp;$D$12):INDIRECT("I"&amp;$E$12)),IF(F666=6,AVERAGE(INDIRECT("I"&amp;$D$13):INDIRECT("I"&amp;$E$13))," "))))))</f>
        <v xml:space="preserve"> </v>
      </c>
      <c r="K666" s="242" t="str">
        <f t="shared" si="57"/>
        <v xml:space="preserve"> </v>
      </c>
      <c r="L666" s="242" t="str">
        <f t="shared" si="58"/>
        <v xml:space="preserve"> </v>
      </c>
      <c r="M666" s="242" t="str">
        <f t="shared" si="59"/>
        <v xml:space="preserve"> </v>
      </c>
    </row>
    <row r="667" spans="6:13" x14ac:dyDescent="0.2">
      <c r="F667" s="216" t="str">
        <f t="shared" si="55"/>
        <v xml:space="preserve"> </v>
      </c>
      <c r="G667" s="50"/>
      <c r="H667" s="242" t="str">
        <f ca="1">IF(F667=1,PERCENTILE(INDIRECT("g"&amp;$D$8):INDIRECT("g"&amp;$E$8),0.5),IF(F667=2,PERCENTILE(INDIRECT("g"&amp;$D$9):INDIRECT("g"&amp;$E$9),0.5),IF(F667=3,PERCENTILE(INDIRECT("g"&amp;$D$10):INDIRECT("g"&amp;$E$10),0.5),IF(F667=4,PERCENTILE(INDIRECT("g"&amp;$D$11):INDIRECT("g"&amp;$E$11),0.5),IF(F667=5,PERCENTILE(INDIRECT("g"&amp;$D$12):INDIRECT("g"&amp;$E$12),0.5),IF(F667=6,PERCENTILE(INDIRECT("g"&amp;$D$13):INDIRECT("g"&amp;$E$13),0.5)," "))))))</f>
        <v xml:space="preserve"> </v>
      </c>
      <c r="I667" s="242" t="str">
        <f t="shared" si="56"/>
        <v xml:space="preserve"> </v>
      </c>
      <c r="J667" s="242" t="str">
        <f ca="1">IF(F667=1,AVERAGE(INDIRECT("I"&amp;$D$8):INDIRECT("I"&amp;$E$8)),IF(F667=2,AVERAGE(INDIRECT("I"&amp;$D$9):INDIRECT("I"&amp;$E$9)),IF(F667=3,AVERAGE(INDIRECT("I"&amp;$D$10):INDIRECT("I"&amp;$E$10)),IF(F667=4,AVERAGE(INDIRECT("I"&amp;$D$11):INDIRECT("I"&amp;$E$11)),IF(F667=5,AVERAGE(INDIRECT("I"&amp;$D$12):INDIRECT("I"&amp;$E$12)),IF(F667=6,AVERAGE(INDIRECT("I"&amp;$D$13):INDIRECT("I"&amp;$E$13))," "))))))</f>
        <v xml:space="preserve"> </v>
      </c>
      <c r="K667" s="242" t="str">
        <f t="shared" si="57"/>
        <v xml:space="preserve"> </v>
      </c>
      <c r="L667" s="242" t="str">
        <f t="shared" si="58"/>
        <v xml:space="preserve"> </v>
      </c>
      <c r="M667" s="242" t="str">
        <f t="shared" si="59"/>
        <v xml:space="preserve"> </v>
      </c>
    </row>
    <row r="668" spans="6:13" x14ac:dyDescent="0.2">
      <c r="F668" s="216" t="str">
        <f t="shared" si="55"/>
        <v xml:space="preserve"> </v>
      </c>
      <c r="G668" s="50"/>
      <c r="H668" s="242" t="str">
        <f ca="1">IF(F668=1,PERCENTILE(INDIRECT("g"&amp;$D$8):INDIRECT("g"&amp;$E$8),0.5),IF(F668=2,PERCENTILE(INDIRECT("g"&amp;$D$9):INDIRECT("g"&amp;$E$9),0.5),IF(F668=3,PERCENTILE(INDIRECT("g"&amp;$D$10):INDIRECT("g"&amp;$E$10),0.5),IF(F668=4,PERCENTILE(INDIRECT("g"&amp;$D$11):INDIRECT("g"&amp;$E$11),0.5),IF(F668=5,PERCENTILE(INDIRECT("g"&amp;$D$12):INDIRECT("g"&amp;$E$12),0.5),IF(F668=6,PERCENTILE(INDIRECT("g"&amp;$D$13):INDIRECT("g"&amp;$E$13),0.5)," "))))))</f>
        <v xml:space="preserve"> </v>
      </c>
      <c r="I668" s="242" t="str">
        <f t="shared" si="56"/>
        <v xml:space="preserve"> </v>
      </c>
      <c r="J668" s="242" t="str">
        <f ca="1">IF(F668=1,AVERAGE(INDIRECT("I"&amp;$D$8):INDIRECT("I"&amp;$E$8)),IF(F668=2,AVERAGE(INDIRECT("I"&amp;$D$9):INDIRECT("I"&amp;$E$9)),IF(F668=3,AVERAGE(INDIRECT("I"&amp;$D$10):INDIRECT("I"&amp;$E$10)),IF(F668=4,AVERAGE(INDIRECT("I"&amp;$D$11):INDIRECT("I"&amp;$E$11)),IF(F668=5,AVERAGE(INDIRECT("I"&amp;$D$12):INDIRECT("I"&amp;$E$12)),IF(F668=6,AVERAGE(INDIRECT("I"&amp;$D$13):INDIRECT("I"&amp;$E$13))," "))))))</f>
        <v xml:space="preserve"> </v>
      </c>
      <c r="K668" s="242" t="str">
        <f t="shared" si="57"/>
        <v xml:space="preserve"> </v>
      </c>
      <c r="L668" s="242" t="str">
        <f t="shared" si="58"/>
        <v xml:space="preserve"> </v>
      </c>
      <c r="M668" s="242" t="str">
        <f t="shared" si="59"/>
        <v xml:space="preserve"> </v>
      </c>
    </row>
    <row r="669" spans="6:13" x14ac:dyDescent="0.2">
      <c r="F669" s="216" t="str">
        <f t="shared" si="55"/>
        <v xml:space="preserve"> </v>
      </c>
      <c r="G669" s="50"/>
      <c r="H669" s="242" t="str">
        <f ca="1">IF(F669=1,PERCENTILE(INDIRECT("g"&amp;$D$8):INDIRECT("g"&amp;$E$8),0.5),IF(F669=2,PERCENTILE(INDIRECT("g"&amp;$D$9):INDIRECT("g"&amp;$E$9),0.5),IF(F669=3,PERCENTILE(INDIRECT("g"&amp;$D$10):INDIRECT("g"&amp;$E$10),0.5),IF(F669=4,PERCENTILE(INDIRECT("g"&amp;$D$11):INDIRECT("g"&amp;$E$11),0.5),IF(F669=5,PERCENTILE(INDIRECT("g"&amp;$D$12):INDIRECT("g"&amp;$E$12),0.5),IF(F669=6,PERCENTILE(INDIRECT("g"&amp;$D$13):INDIRECT("g"&amp;$E$13),0.5)," "))))))</f>
        <v xml:space="preserve"> </v>
      </c>
      <c r="I669" s="242" t="str">
        <f t="shared" si="56"/>
        <v xml:space="preserve"> </v>
      </c>
      <c r="J669" s="242" t="str">
        <f ca="1">IF(F669=1,AVERAGE(INDIRECT("I"&amp;$D$8):INDIRECT("I"&amp;$E$8)),IF(F669=2,AVERAGE(INDIRECT("I"&amp;$D$9):INDIRECT("I"&amp;$E$9)),IF(F669=3,AVERAGE(INDIRECT("I"&amp;$D$10):INDIRECT("I"&amp;$E$10)),IF(F669=4,AVERAGE(INDIRECT("I"&amp;$D$11):INDIRECT("I"&amp;$E$11)),IF(F669=5,AVERAGE(INDIRECT("I"&amp;$D$12):INDIRECT("I"&amp;$E$12)),IF(F669=6,AVERAGE(INDIRECT("I"&amp;$D$13):INDIRECT("I"&amp;$E$13))," "))))))</f>
        <v xml:space="preserve"> </v>
      </c>
      <c r="K669" s="242" t="str">
        <f t="shared" si="57"/>
        <v xml:space="preserve"> </v>
      </c>
      <c r="L669" s="242" t="str">
        <f t="shared" si="58"/>
        <v xml:space="preserve"> </v>
      </c>
      <c r="M669" s="242" t="str">
        <f t="shared" si="59"/>
        <v xml:space="preserve"> </v>
      </c>
    </row>
    <row r="670" spans="6:13" x14ac:dyDescent="0.2">
      <c r="F670" s="216" t="str">
        <f t="shared" si="55"/>
        <v xml:space="preserve"> </v>
      </c>
      <c r="G670" s="50"/>
      <c r="H670" s="242" t="str">
        <f ca="1">IF(F670=1,PERCENTILE(INDIRECT("g"&amp;$D$8):INDIRECT("g"&amp;$E$8),0.5),IF(F670=2,PERCENTILE(INDIRECT("g"&amp;$D$9):INDIRECT("g"&amp;$E$9),0.5),IF(F670=3,PERCENTILE(INDIRECT("g"&amp;$D$10):INDIRECT("g"&amp;$E$10),0.5),IF(F670=4,PERCENTILE(INDIRECT("g"&amp;$D$11):INDIRECT("g"&amp;$E$11),0.5),IF(F670=5,PERCENTILE(INDIRECT("g"&amp;$D$12):INDIRECT("g"&amp;$E$12),0.5),IF(F670=6,PERCENTILE(INDIRECT("g"&amp;$D$13):INDIRECT("g"&amp;$E$13),0.5)," "))))))</f>
        <v xml:space="preserve"> </v>
      </c>
      <c r="I670" s="242" t="str">
        <f t="shared" si="56"/>
        <v xml:space="preserve"> </v>
      </c>
      <c r="J670" s="242" t="str">
        <f ca="1">IF(F670=1,AVERAGE(INDIRECT("I"&amp;$D$8):INDIRECT("I"&amp;$E$8)),IF(F670=2,AVERAGE(INDIRECT("I"&amp;$D$9):INDIRECT("I"&amp;$E$9)),IF(F670=3,AVERAGE(INDIRECT("I"&amp;$D$10):INDIRECT("I"&amp;$E$10)),IF(F670=4,AVERAGE(INDIRECT("I"&amp;$D$11):INDIRECT("I"&amp;$E$11)),IF(F670=5,AVERAGE(INDIRECT("I"&amp;$D$12):INDIRECT("I"&amp;$E$12)),IF(F670=6,AVERAGE(INDIRECT("I"&amp;$D$13):INDIRECT("I"&amp;$E$13))," "))))))</f>
        <v xml:space="preserve"> </v>
      </c>
      <c r="K670" s="242" t="str">
        <f t="shared" si="57"/>
        <v xml:space="preserve"> </v>
      </c>
      <c r="L670" s="242" t="str">
        <f t="shared" si="58"/>
        <v xml:space="preserve"> </v>
      </c>
      <c r="M670" s="242" t="str">
        <f t="shared" si="59"/>
        <v xml:space="preserve"> </v>
      </c>
    </row>
    <row r="671" spans="6:13" x14ac:dyDescent="0.2">
      <c r="F671" s="216" t="str">
        <f t="shared" si="55"/>
        <v xml:space="preserve"> </v>
      </c>
      <c r="G671" s="50"/>
      <c r="H671" s="242" t="str">
        <f ca="1">IF(F671=1,PERCENTILE(INDIRECT("g"&amp;$D$8):INDIRECT("g"&amp;$E$8),0.5),IF(F671=2,PERCENTILE(INDIRECT("g"&amp;$D$9):INDIRECT("g"&amp;$E$9),0.5),IF(F671=3,PERCENTILE(INDIRECT("g"&amp;$D$10):INDIRECT("g"&amp;$E$10),0.5),IF(F671=4,PERCENTILE(INDIRECT("g"&amp;$D$11):INDIRECT("g"&amp;$E$11),0.5),IF(F671=5,PERCENTILE(INDIRECT("g"&amp;$D$12):INDIRECT("g"&amp;$E$12),0.5),IF(F671=6,PERCENTILE(INDIRECT("g"&amp;$D$13):INDIRECT("g"&amp;$E$13),0.5)," "))))))</f>
        <v xml:space="preserve"> </v>
      </c>
      <c r="I671" s="242" t="str">
        <f t="shared" si="56"/>
        <v xml:space="preserve"> </v>
      </c>
      <c r="J671" s="242" t="str">
        <f ca="1">IF(F671=1,AVERAGE(INDIRECT("I"&amp;$D$8):INDIRECT("I"&amp;$E$8)),IF(F671=2,AVERAGE(INDIRECT("I"&amp;$D$9):INDIRECT("I"&amp;$E$9)),IF(F671=3,AVERAGE(INDIRECT("I"&amp;$D$10):INDIRECT("I"&amp;$E$10)),IF(F671=4,AVERAGE(INDIRECT("I"&amp;$D$11):INDIRECT("I"&amp;$E$11)),IF(F671=5,AVERAGE(INDIRECT("I"&amp;$D$12):INDIRECT("I"&amp;$E$12)),IF(F671=6,AVERAGE(INDIRECT("I"&amp;$D$13):INDIRECT("I"&amp;$E$13))," "))))))</f>
        <v xml:space="preserve"> </v>
      </c>
      <c r="K671" s="242" t="str">
        <f t="shared" si="57"/>
        <v xml:space="preserve"> </v>
      </c>
      <c r="L671" s="242" t="str">
        <f t="shared" si="58"/>
        <v xml:space="preserve"> </v>
      </c>
      <c r="M671" s="242" t="str">
        <f t="shared" si="59"/>
        <v xml:space="preserve"> </v>
      </c>
    </row>
    <row r="672" spans="6:13" x14ac:dyDescent="0.2">
      <c r="F672" s="216" t="str">
        <f t="shared" si="55"/>
        <v xml:space="preserve"> </v>
      </c>
      <c r="G672" s="50"/>
      <c r="H672" s="242" t="str">
        <f ca="1">IF(F672=1,PERCENTILE(INDIRECT("g"&amp;$D$8):INDIRECT("g"&amp;$E$8),0.5),IF(F672=2,PERCENTILE(INDIRECT("g"&amp;$D$9):INDIRECT("g"&amp;$E$9),0.5),IF(F672=3,PERCENTILE(INDIRECT("g"&amp;$D$10):INDIRECT("g"&amp;$E$10),0.5),IF(F672=4,PERCENTILE(INDIRECT("g"&amp;$D$11):INDIRECT("g"&amp;$E$11),0.5),IF(F672=5,PERCENTILE(INDIRECT("g"&amp;$D$12):INDIRECT("g"&amp;$E$12),0.5),IF(F672=6,PERCENTILE(INDIRECT("g"&amp;$D$13):INDIRECT("g"&amp;$E$13),0.5)," "))))))</f>
        <v xml:space="preserve"> </v>
      </c>
      <c r="I672" s="242" t="str">
        <f t="shared" si="56"/>
        <v xml:space="preserve"> </v>
      </c>
      <c r="J672" s="242" t="str">
        <f ca="1">IF(F672=1,AVERAGE(INDIRECT("I"&amp;$D$8):INDIRECT("I"&amp;$E$8)),IF(F672=2,AVERAGE(INDIRECT("I"&amp;$D$9):INDIRECT("I"&amp;$E$9)),IF(F672=3,AVERAGE(INDIRECT("I"&amp;$D$10):INDIRECT("I"&amp;$E$10)),IF(F672=4,AVERAGE(INDIRECT("I"&amp;$D$11):INDIRECT("I"&amp;$E$11)),IF(F672=5,AVERAGE(INDIRECT("I"&amp;$D$12):INDIRECT("I"&amp;$E$12)),IF(F672=6,AVERAGE(INDIRECT("I"&amp;$D$13):INDIRECT("I"&amp;$E$13))," "))))))</f>
        <v xml:space="preserve"> </v>
      </c>
      <c r="K672" s="242" t="str">
        <f t="shared" si="57"/>
        <v xml:space="preserve"> </v>
      </c>
      <c r="L672" s="242" t="str">
        <f t="shared" si="58"/>
        <v xml:space="preserve"> </v>
      </c>
      <c r="M672" s="242" t="str">
        <f t="shared" si="59"/>
        <v xml:space="preserve"> </v>
      </c>
    </row>
    <row r="673" spans="6:13" x14ac:dyDescent="0.2">
      <c r="F673" s="216" t="str">
        <f t="shared" si="55"/>
        <v xml:space="preserve"> </v>
      </c>
      <c r="G673" s="50"/>
      <c r="H673" s="242" t="str">
        <f ca="1">IF(F673=1,PERCENTILE(INDIRECT("g"&amp;$D$8):INDIRECT("g"&amp;$E$8),0.5),IF(F673=2,PERCENTILE(INDIRECT("g"&amp;$D$9):INDIRECT("g"&amp;$E$9),0.5),IF(F673=3,PERCENTILE(INDIRECT("g"&amp;$D$10):INDIRECT("g"&amp;$E$10),0.5),IF(F673=4,PERCENTILE(INDIRECT("g"&amp;$D$11):INDIRECT("g"&amp;$E$11),0.5),IF(F673=5,PERCENTILE(INDIRECT("g"&amp;$D$12):INDIRECT("g"&amp;$E$12),0.5),IF(F673=6,PERCENTILE(INDIRECT("g"&amp;$D$13):INDIRECT("g"&amp;$E$13),0.5)," "))))))</f>
        <v xml:space="preserve"> </v>
      </c>
      <c r="I673" s="242" t="str">
        <f t="shared" si="56"/>
        <v xml:space="preserve"> </v>
      </c>
      <c r="J673" s="242" t="str">
        <f ca="1">IF(F673=1,AVERAGE(INDIRECT("I"&amp;$D$8):INDIRECT("I"&amp;$E$8)),IF(F673=2,AVERAGE(INDIRECT("I"&amp;$D$9):INDIRECT("I"&amp;$E$9)),IF(F673=3,AVERAGE(INDIRECT("I"&amp;$D$10):INDIRECT("I"&amp;$E$10)),IF(F673=4,AVERAGE(INDIRECT("I"&amp;$D$11):INDIRECT("I"&amp;$E$11)),IF(F673=5,AVERAGE(INDIRECT("I"&amp;$D$12):INDIRECT("I"&amp;$E$12)),IF(F673=6,AVERAGE(INDIRECT("I"&amp;$D$13):INDIRECT("I"&amp;$E$13))," "))))))</f>
        <v xml:space="preserve"> </v>
      </c>
      <c r="K673" s="242" t="str">
        <f t="shared" si="57"/>
        <v xml:space="preserve"> </v>
      </c>
      <c r="L673" s="242" t="str">
        <f t="shared" si="58"/>
        <v xml:space="preserve"> </v>
      </c>
      <c r="M673" s="242" t="str">
        <f t="shared" si="59"/>
        <v xml:space="preserve"> </v>
      </c>
    </row>
    <row r="674" spans="6:13" x14ac:dyDescent="0.2">
      <c r="F674" s="216" t="str">
        <f t="shared" si="55"/>
        <v xml:space="preserve"> </v>
      </c>
      <c r="G674" s="50"/>
      <c r="H674" s="242" t="str">
        <f ca="1">IF(F674=1,PERCENTILE(INDIRECT("g"&amp;$D$8):INDIRECT("g"&amp;$E$8),0.5),IF(F674=2,PERCENTILE(INDIRECT("g"&amp;$D$9):INDIRECT("g"&amp;$E$9),0.5),IF(F674=3,PERCENTILE(INDIRECT("g"&amp;$D$10):INDIRECT("g"&amp;$E$10),0.5),IF(F674=4,PERCENTILE(INDIRECT("g"&amp;$D$11):INDIRECT("g"&amp;$E$11),0.5),IF(F674=5,PERCENTILE(INDIRECT("g"&amp;$D$12):INDIRECT("g"&amp;$E$12),0.5),IF(F674=6,PERCENTILE(INDIRECT("g"&amp;$D$13):INDIRECT("g"&amp;$E$13),0.5)," "))))))</f>
        <v xml:space="preserve"> </v>
      </c>
      <c r="I674" s="242" t="str">
        <f t="shared" si="56"/>
        <v xml:space="preserve"> </v>
      </c>
      <c r="J674" s="242" t="str">
        <f ca="1">IF(F674=1,AVERAGE(INDIRECT("I"&amp;$D$8):INDIRECT("I"&amp;$E$8)),IF(F674=2,AVERAGE(INDIRECT("I"&amp;$D$9):INDIRECT("I"&amp;$E$9)),IF(F674=3,AVERAGE(INDIRECT("I"&amp;$D$10):INDIRECT("I"&amp;$E$10)),IF(F674=4,AVERAGE(INDIRECT("I"&amp;$D$11):INDIRECT("I"&amp;$E$11)),IF(F674=5,AVERAGE(INDIRECT("I"&amp;$D$12):INDIRECT("I"&amp;$E$12)),IF(F674=6,AVERAGE(INDIRECT("I"&amp;$D$13):INDIRECT("I"&amp;$E$13))," "))))))</f>
        <v xml:space="preserve"> </v>
      </c>
      <c r="K674" s="242" t="str">
        <f t="shared" si="57"/>
        <v xml:space="preserve"> </v>
      </c>
      <c r="L674" s="242" t="str">
        <f t="shared" si="58"/>
        <v xml:space="preserve"> </v>
      </c>
      <c r="M674" s="242" t="str">
        <f t="shared" si="59"/>
        <v xml:space="preserve"> </v>
      </c>
    </row>
    <row r="675" spans="6:13" x14ac:dyDescent="0.2">
      <c r="F675" s="216" t="str">
        <f t="shared" si="55"/>
        <v xml:space="preserve"> </v>
      </c>
      <c r="G675" s="50"/>
      <c r="H675" s="242" t="str">
        <f ca="1">IF(F675=1,PERCENTILE(INDIRECT("g"&amp;$D$8):INDIRECT("g"&amp;$E$8),0.5),IF(F675=2,PERCENTILE(INDIRECT("g"&amp;$D$9):INDIRECT("g"&amp;$E$9),0.5),IF(F675=3,PERCENTILE(INDIRECT("g"&amp;$D$10):INDIRECT("g"&amp;$E$10),0.5),IF(F675=4,PERCENTILE(INDIRECT("g"&amp;$D$11):INDIRECT("g"&amp;$E$11),0.5),IF(F675=5,PERCENTILE(INDIRECT("g"&amp;$D$12):INDIRECT("g"&amp;$E$12),0.5),IF(F675=6,PERCENTILE(INDIRECT("g"&amp;$D$13):INDIRECT("g"&amp;$E$13),0.5)," "))))))</f>
        <v xml:space="preserve"> </v>
      </c>
      <c r="I675" s="242" t="str">
        <f t="shared" si="56"/>
        <v xml:space="preserve"> </v>
      </c>
      <c r="J675" s="242" t="str">
        <f ca="1">IF(F675=1,AVERAGE(INDIRECT("I"&amp;$D$8):INDIRECT("I"&amp;$E$8)),IF(F675=2,AVERAGE(INDIRECT("I"&amp;$D$9):INDIRECT("I"&amp;$E$9)),IF(F675=3,AVERAGE(INDIRECT("I"&amp;$D$10):INDIRECT("I"&amp;$E$10)),IF(F675=4,AVERAGE(INDIRECT("I"&amp;$D$11):INDIRECT("I"&amp;$E$11)),IF(F675=5,AVERAGE(INDIRECT("I"&amp;$D$12):INDIRECT("I"&amp;$E$12)),IF(F675=6,AVERAGE(INDIRECT("I"&amp;$D$13):INDIRECT("I"&amp;$E$13))," "))))))</f>
        <v xml:space="preserve"> </v>
      </c>
      <c r="K675" s="242" t="str">
        <f t="shared" si="57"/>
        <v xml:space="preserve"> </v>
      </c>
      <c r="L675" s="242" t="str">
        <f t="shared" si="58"/>
        <v xml:space="preserve"> </v>
      </c>
      <c r="M675" s="242" t="str">
        <f t="shared" si="59"/>
        <v xml:space="preserve"> </v>
      </c>
    </row>
    <row r="676" spans="6:13" x14ac:dyDescent="0.2">
      <c r="F676" s="216" t="str">
        <f t="shared" si="55"/>
        <v xml:space="preserve"> </v>
      </c>
      <c r="G676" s="50"/>
      <c r="H676" s="242" t="str">
        <f ca="1">IF(F676=1,PERCENTILE(INDIRECT("g"&amp;$D$8):INDIRECT("g"&amp;$E$8),0.5),IF(F676=2,PERCENTILE(INDIRECT("g"&amp;$D$9):INDIRECT("g"&amp;$E$9),0.5),IF(F676=3,PERCENTILE(INDIRECT("g"&amp;$D$10):INDIRECT("g"&amp;$E$10),0.5),IF(F676=4,PERCENTILE(INDIRECT("g"&amp;$D$11):INDIRECT("g"&amp;$E$11),0.5),IF(F676=5,PERCENTILE(INDIRECT("g"&amp;$D$12):INDIRECT("g"&amp;$E$12),0.5),IF(F676=6,PERCENTILE(INDIRECT("g"&amp;$D$13):INDIRECT("g"&amp;$E$13),0.5)," "))))))</f>
        <v xml:space="preserve"> </v>
      </c>
      <c r="I676" s="242" t="str">
        <f t="shared" si="56"/>
        <v xml:space="preserve"> </v>
      </c>
      <c r="J676" s="242" t="str">
        <f ca="1">IF(F676=1,AVERAGE(INDIRECT("I"&amp;$D$8):INDIRECT("I"&amp;$E$8)),IF(F676=2,AVERAGE(INDIRECT("I"&amp;$D$9):INDIRECT("I"&amp;$E$9)),IF(F676=3,AVERAGE(INDIRECT("I"&amp;$D$10):INDIRECT("I"&amp;$E$10)),IF(F676=4,AVERAGE(INDIRECT("I"&amp;$D$11):INDIRECT("I"&amp;$E$11)),IF(F676=5,AVERAGE(INDIRECT("I"&amp;$D$12):INDIRECT("I"&amp;$E$12)),IF(F676=6,AVERAGE(INDIRECT("I"&amp;$D$13):INDIRECT("I"&amp;$E$13))," "))))))</f>
        <v xml:space="preserve"> </v>
      </c>
      <c r="K676" s="242" t="str">
        <f t="shared" si="57"/>
        <v xml:space="preserve"> </v>
      </c>
      <c r="L676" s="242" t="str">
        <f t="shared" si="58"/>
        <v xml:space="preserve"> </v>
      </c>
      <c r="M676" s="242" t="str">
        <f t="shared" si="59"/>
        <v xml:space="preserve"> </v>
      </c>
    </row>
    <row r="677" spans="6:13" x14ac:dyDescent="0.2">
      <c r="F677" s="216" t="str">
        <f t="shared" si="55"/>
        <v xml:space="preserve"> </v>
      </c>
      <c r="G677" s="50"/>
      <c r="H677" s="242" t="str">
        <f ca="1">IF(F677=1,PERCENTILE(INDIRECT("g"&amp;$D$8):INDIRECT("g"&amp;$E$8),0.5),IF(F677=2,PERCENTILE(INDIRECT("g"&amp;$D$9):INDIRECT("g"&amp;$E$9),0.5),IF(F677=3,PERCENTILE(INDIRECT("g"&amp;$D$10):INDIRECT("g"&amp;$E$10),0.5),IF(F677=4,PERCENTILE(INDIRECT("g"&amp;$D$11):INDIRECT("g"&amp;$E$11),0.5),IF(F677=5,PERCENTILE(INDIRECT("g"&amp;$D$12):INDIRECT("g"&amp;$E$12),0.5),IF(F677=6,PERCENTILE(INDIRECT("g"&amp;$D$13):INDIRECT("g"&amp;$E$13),0.5)," "))))))</f>
        <v xml:space="preserve"> </v>
      </c>
      <c r="I677" s="242" t="str">
        <f t="shared" si="56"/>
        <v xml:space="preserve"> </v>
      </c>
      <c r="J677" s="242" t="str">
        <f ca="1">IF(F677=1,AVERAGE(INDIRECT("I"&amp;$D$8):INDIRECT("I"&amp;$E$8)),IF(F677=2,AVERAGE(INDIRECT("I"&amp;$D$9):INDIRECT("I"&amp;$E$9)),IF(F677=3,AVERAGE(INDIRECT("I"&amp;$D$10):INDIRECT("I"&amp;$E$10)),IF(F677=4,AVERAGE(INDIRECT("I"&amp;$D$11):INDIRECT("I"&amp;$E$11)),IF(F677=5,AVERAGE(INDIRECT("I"&amp;$D$12):INDIRECT("I"&amp;$E$12)),IF(F677=6,AVERAGE(INDIRECT("I"&amp;$D$13):INDIRECT("I"&amp;$E$13))," "))))))</f>
        <v xml:space="preserve"> </v>
      </c>
      <c r="K677" s="242" t="str">
        <f t="shared" si="57"/>
        <v xml:space="preserve"> </v>
      </c>
      <c r="L677" s="242" t="str">
        <f t="shared" si="58"/>
        <v xml:space="preserve"> </v>
      </c>
      <c r="M677" s="242" t="str">
        <f t="shared" si="59"/>
        <v xml:space="preserve"> </v>
      </c>
    </row>
    <row r="678" spans="6:13" x14ac:dyDescent="0.2">
      <c r="F678" s="216" t="str">
        <f t="shared" si="55"/>
        <v xml:space="preserve"> </v>
      </c>
      <c r="G678" s="50"/>
      <c r="H678" s="242" t="str">
        <f ca="1">IF(F678=1,PERCENTILE(INDIRECT("g"&amp;$D$8):INDIRECT("g"&amp;$E$8),0.5),IF(F678=2,PERCENTILE(INDIRECT("g"&amp;$D$9):INDIRECT("g"&amp;$E$9),0.5),IF(F678=3,PERCENTILE(INDIRECT("g"&amp;$D$10):INDIRECT("g"&amp;$E$10),0.5),IF(F678=4,PERCENTILE(INDIRECT("g"&amp;$D$11):INDIRECT("g"&amp;$E$11),0.5),IF(F678=5,PERCENTILE(INDIRECT("g"&amp;$D$12):INDIRECT("g"&amp;$E$12),0.5),IF(F678=6,PERCENTILE(INDIRECT("g"&amp;$D$13):INDIRECT("g"&amp;$E$13),0.5)," "))))))</f>
        <v xml:space="preserve"> </v>
      </c>
      <c r="I678" s="242" t="str">
        <f t="shared" si="56"/>
        <v xml:space="preserve"> </v>
      </c>
      <c r="J678" s="242" t="str">
        <f ca="1">IF(F678=1,AVERAGE(INDIRECT("I"&amp;$D$8):INDIRECT("I"&amp;$E$8)),IF(F678=2,AVERAGE(INDIRECT("I"&amp;$D$9):INDIRECT("I"&amp;$E$9)),IF(F678=3,AVERAGE(INDIRECT("I"&amp;$D$10):INDIRECT("I"&amp;$E$10)),IF(F678=4,AVERAGE(INDIRECT("I"&amp;$D$11):INDIRECT("I"&amp;$E$11)),IF(F678=5,AVERAGE(INDIRECT("I"&amp;$D$12):INDIRECT("I"&amp;$E$12)),IF(F678=6,AVERAGE(INDIRECT("I"&amp;$D$13):INDIRECT("I"&amp;$E$13))," "))))))</f>
        <v xml:space="preserve"> </v>
      </c>
      <c r="K678" s="242" t="str">
        <f t="shared" si="57"/>
        <v xml:space="preserve"> </v>
      </c>
      <c r="L678" s="242" t="str">
        <f t="shared" si="58"/>
        <v xml:space="preserve"> </v>
      </c>
      <c r="M678" s="242" t="str">
        <f t="shared" si="59"/>
        <v xml:space="preserve"> </v>
      </c>
    </row>
    <row r="679" spans="6:13" x14ac:dyDescent="0.2">
      <c r="F679" s="216" t="str">
        <f t="shared" si="55"/>
        <v xml:space="preserve"> </v>
      </c>
      <c r="G679" s="50"/>
      <c r="H679" s="242" t="str">
        <f ca="1">IF(F679=1,PERCENTILE(INDIRECT("g"&amp;$D$8):INDIRECT("g"&amp;$E$8),0.5),IF(F679=2,PERCENTILE(INDIRECT("g"&amp;$D$9):INDIRECT("g"&amp;$E$9),0.5),IF(F679=3,PERCENTILE(INDIRECT("g"&amp;$D$10):INDIRECT("g"&amp;$E$10),0.5),IF(F679=4,PERCENTILE(INDIRECT("g"&amp;$D$11):INDIRECT("g"&amp;$E$11),0.5),IF(F679=5,PERCENTILE(INDIRECT("g"&amp;$D$12):INDIRECT("g"&amp;$E$12),0.5),IF(F679=6,PERCENTILE(INDIRECT("g"&amp;$D$13):INDIRECT("g"&amp;$E$13),0.5)," "))))))</f>
        <v xml:space="preserve"> </v>
      </c>
      <c r="I679" s="242" t="str">
        <f t="shared" si="56"/>
        <v xml:space="preserve"> </v>
      </c>
      <c r="J679" s="242" t="str">
        <f ca="1">IF(F679=1,AVERAGE(INDIRECT("I"&amp;$D$8):INDIRECT("I"&amp;$E$8)),IF(F679=2,AVERAGE(INDIRECT("I"&amp;$D$9):INDIRECT("I"&amp;$E$9)),IF(F679=3,AVERAGE(INDIRECT("I"&amp;$D$10):INDIRECT("I"&amp;$E$10)),IF(F679=4,AVERAGE(INDIRECT("I"&amp;$D$11):INDIRECT("I"&amp;$E$11)),IF(F679=5,AVERAGE(INDIRECT("I"&amp;$D$12):INDIRECT("I"&amp;$E$12)),IF(F679=6,AVERAGE(INDIRECT("I"&amp;$D$13):INDIRECT("I"&amp;$E$13))," "))))))</f>
        <v xml:space="preserve"> </v>
      </c>
      <c r="K679" s="242" t="str">
        <f t="shared" si="57"/>
        <v xml:space="preserve"> </v>
      </c>
      <c r="L679" s="242" t="str">
        <f t="shared" si="58"/>
        <v xml:space="preserve"> </v>
      </c>
      <c r="M679" s="242" t="str">
        <f t="shared" si="59"/>
        <v xml:space="preserve"> </v>
      </c>
    </row>
    <row r="680" spans="6:13" x14ac:dyDescent="0.2">
      <c r="F680" s="216" t="str">
        <f t="shared" si="55"/>
        <v xml:space="preserve"> </v>
      </c>
      <c r="G680" s="50"/>
      <c r="H680" s="242" t="str">
        <f ca="1">IF(F680=1,PERCENTILE(INDIRECT("g"&amp;$D$8):INDIRECT("g"&amp;$E$8),0.5),IF(F680=2,PERCENTILE(INDIRECT("g"&amp;$D$9):INDIRECT("g"&amp;$E$9),0.5),IF(F680=3,PERCENTILE(INDIRECT("g"&amp;$D$10):INDIRECT("g"&amp;$E$10),0.5),IF(F680=4,PERCENTILE(INDIRECT("g"&amp;$D$11):INDIRECT("g"&amp;$E$11),0.5),IF(F680=5,PERCENTILE(INDIRECT("g"&amp;$D$12):INDIRECT("g"&amp;$E$12),0.5),IF(F680=6,PERCENTILE(INDIRECT("g"&amp;$D$13):INDIRECT("g"&amp;$E$13),0.5)," "))))))</f>
        <v xml:space="preserve"> </v>
      </c>
      <c r="I680" s="242" t="str">
        <f t="shared" si="56"/>
        <v xml:space="preserve"> </v>
      </c>
      <c r="J680" s="242" t="str">
        <f ca="1">IF(F680=1,AVERAGE(INDIRECT("I"&amp;$D$8):INDIRECT("I"&amp;$E$8)),IF(F680=2,AVERAGE(INDIRECT("I"&amp;$D$9):INDIRECT("I"&amp;$E$9)),IF(F680=3,AVERAGE(INDIRECT("I"&amp;$D$10):INDIRECT("I"&amp;$E$10)),IF(F680=4,AVERAGE(INDIRECT("I"&amp;$D$11):INDIRECT("I"&amp;$E$11)),IF(F680=5,AVERAGE(INDIRECT("I"&amp;$D$12):INDIRECT("I"&amp;$E$12)),IF(F680=6,AVERAGE(INDIRECT("I"&amp;$D$13):INDIRECT("I"&amp;$E$13))," "))))))</f>
        <v xml:space="preserve"> </v>
      </c>
      <c r="K680" s="242" t="str">
        <f t="shared" si="57"/>
        <v xml:space="preserve"> </v>
      </c>
      <c r="L680" s="242" t="str">
        <f t="shared" si="58"/>
        <v xml:space="preserve"> </v>
      </c>
      <c r="M680" s="242" t="str">
        <f t="shared" si="59"/>
        <v xml:space="preserve"> </v>
      </c>
    </row>
    <row r="681" spans="6:13" x14ac:dyDescent="0.2">
      <c r="F681" s="216" t="str">
        <f t="shared" si="55"/>
        <v xml:space="preserve"> </v>
      </c>
      <c r="G681" s="50"/>
      <c r="H681" s="242" t="str">
        <f ca="1">IF(F681=1,PERCENTILE(INDIRECT("g"&amp;$D$8):INDIRECT("g"&amp;$E$8),0.5),IF(F681=2,PERCENTILE(INDIRECT("g"&amp;$D$9):INDIRECT("g"&amp;$E$9),0.5),IF(F681=3,PERCENTILE(INDIRECT("g"&amp;$D$10):INDIRECT("g"&amp;$E$10),0.5),IF(F681=4,PERCENTILE(INDIRECT("g"&amp;$D$11):INDIRECT("g"&amp;$E$11),0.5),IF(F681=5,PERCENTILE(INDIRECT("g"&amp;$D$12):INDIRECT("g"&amp;$E$12),0.5),IF(F681=6,PERCENTILE(INDIRECT("g"&amp;$D$13):INDIRECT("g"&amp;$E$13),0.5)," "))))))</f>
        <v xml:space="preserve"> </v>
      </c>
      <c r="I681" s="242" t="str">
        <f t="shared" si="56"/>
        <v xml:space="preserve"> </v>
      </c>
      <c r="J681" s="242" t="str">
        <f ca="1">IF(F681=1,AVERAGE(INDIRECT("I"&amp;$D$8):INDIRECT("I"&amp;$E$8)),IF(F681=2,AVERAGE(INDIRECT("I"&amp;$D$9):INDIRECT("I"&amp;$E$9)),IF(F681=3,AVERAGE(INDIRECT("I"&amp;$D$10):INDIRECT("I"&amp;$E$10)),IF(F681=4,AVERAGE(INDIRECT("I"&amp;$D$11):INDIRECT("I"&amp;$E$11)),IF(F681=5,AVERAGE(INDIRECT("I"&amp;$D$12):INDIRECT("I"&amp;$E$12)),IF(F681=6,AVERAGE(INDIRECT("I"&amp;$D$13):INDIRECT("I"&amp;$E$13))," "))))))</f>
        <v xml:space="preserve"> </v>
      </c>
      <c r="K681" s="242" t="str">
        <f t="shared" si="57"/>
        <v xml:space="preserve"> </v>
      </c>
      <c r="L681" s="242" t="str">
        <f t="shared" si="58"/>
        <v xml:space="preserve"> </v>
      </c>
      <c r="M681" s="242" t="str">
        <f t="shared" si="59"/>
        <v xml:space="preserve"> </v>
      </c>
    </row>
    <row r="682" spans="6:13" x14ac:dyDescent="0.2">
      <c r="F682" s="216" t="str">
        <f t="shared" si="55"/>
        <v xml:space="preserve"> </v>
      </c>
      <c r="G682" s="50"/>
      <c r="H682" s="242" t="str">
        <f ca="1">IF(F682=1,PERCENTILE(INDIRECT("g"&amp;$D$8):INDIRECT("g"&amp;$E$8),0.5),IF(F682=2,PERCENTILE(INDIRECT("g"&amp;$D$9):INDIRECT("g"&amp;$E$9),0.5),IF(F682=3,PERCENTILE(INDIRECT("g"&amp;$D$10):INDIRECT("g"&amp;$E$10),0.5),IF(F682=4,PERCENTILE(INDIRECT("g"&amp;$D$11):INDIRECT("g"&amp;$E$11),0.5),IF(F682=5,PERCENTILE(INDIRECT("g"&amp;$D$12):INDIRECT("g"&amp;$E$12),0.5),IF(F682=6,PERCENTILE(INDIRECT("g"&amp;$D$13):INDIRECT("g"&amp;$E$13),0.5)," "))))))</f>
        <v xml:space="preserve"> </v>
      </c>
      <c r="I682" s="242" t="str">
        <f t="shared" si="56"/>
        <v xml:space="preserve"> </v>
      </c>
      <c r="J682" s="242" t="str">
        <f ca="1">IF(F682=1,AVERAGE(INDIRECT("I"&amp;$D$8):INDIRECT("I"&amp;$E$8)),IF(F682=2,AVERAGE(INDIRECT("I"&amp;$D$9):INDIRECT("I"&amp;$E$9)),IF(F682=3,AVERAGE(INDIRECT("I"&amp;$D$10):INDIRECT("I"&amp;$E$10)),IF(F682=4,AVERAGE(INDIRECT("I"&amp;$D$11):INDIRECT("I"&amp;$E$11)),IF(F682=5,AVERAGE(INDIRECT("I"&amp;$D$12):INDIRECT("I"&amp;$E$12)),IF(F682=6,AVERAGE(INDIRECT("I"&amp;$D$13):INDIRECT("I"&amp;$E$13))," "))))))</f>
        <v xml:space="preserve"> </v>
      </c>
      <c r="K682" s="242" t="str">
        <f t="shared" si="57"/>
        <v xml:space="preserve"> </v>
      </c>
      <c r="L682" s="242" t="str">
        <f t="shared" si="58"/>
        <v xml:space="preserve"> </v>
      </c>
      <c r="M682" s="242" t="str">
        <f t="shared" si="59"/>
        <v xml:space="preserve"> </v>
      </c>
    </row>
    <row r="683" spans="6:13" x14ac:dyDescent="0.2">
      <c r="F683" s="216" t="str">
        <f t="shared" si="55"/>
        <v xml:space="preserve"> </v>
      </c>
      <c r="G683" s="50"/>
      <c r="H683" s="242" t="str">
        <f ca="1">IF(F683=1,PERCENTILE(INDIRECT("g"&amp;$D$8):INDIRECT("g"&amp;$E$8),0.5),IF(F683=2,PERCENTILE(INDIRECT("g"&amp;$D$9):INDIRECT("g"&amp;$E$9),0.5),IF(F683=3,PERCENTILE(INDIRECT("g"&amp;$D$10):INDIRECT("g"&amp;$E$10),0.5),IF(F683=4,PERCENTILE(INDIRECT("g"&amp;$D$11):INDIRECT("g"&amp;$E$11),0.5),IF(F683=5,PERCENTILE(INDIRECT("g"&amp;$D$12):INDIRECT("g"&amp;$E$12),0.5),IF(F683=6,PERCENTILE(INDIRECT("g"&amp;$D$13):INDIRECT("g"&amp;$E$13),0.5)," "))))))</f>
        <v xml:space="preserve"> </v>
      </c>
      <c r="I683" s="242" t="str">
        <f t="shared" si="56"/>
        <v xml:space="preserve"> </v>
      </c>
      <c r="J683" s="242" t="str">
        <f ca="1">IF(F683=1,AVERAGE(INDIRECT("I"&amp;$D$8):INDIRECT("I"&amp;$E$8)),IF(F683=2,AVERAGE(INDIRECT("I"&amp;$D$9):INDIRECT("I"&amp;$E$9)),IF(F683=3,AVERAGE(INDIRECT("I"&amp;$D$10):INDIRECT("I"&amp;$E$10)),IF(F683=4,AVERAGE(INDIRECT("I"&amp;$D$11):INDIRECT("I"&amp;$E$11)),IF(F683=5,AVERAGE(INDIRECT("I"&amp;$D$12):INDIRECT("I"&amp;$E$12)),IF(F683=6,AVERAGE(INDIRECT("I"&amp;$D$13):INDIRECT("I"&amp;$E$13))," "))))))</f>
        <v xml:space="preserve"> </v>
      </c>
      <c r="K683" s="242" t="str">
        <f t="shared" si="57"/>
        <v xml:space="preserve"> </v>
      </c>
      <c r="L683" s="242" t="str">
        <f t="shared" si="58"/>
        <v xml:space="preserve"> </v>
      </c>
      <c r="M683" s="242" t="str">
        <f t="shared" si="59"/>
        <v xml:space="preserve"> </v>
      </c>
    </row>
    <row r="684" spans="6:13" x14ac:dyDescent="0.2">
      <c r="F684" s="216" t="str">
        <f t="shared" si="55"/>
        <v xml:space="preserve"> </v>
      </c>
      <c r="G684" s="50"/>
      <c r="H684" s="242" t="str">
        <f ca="1">IF(F684=1,PERCENTILE(INDIRECT("g"&amp;$D$8):INDIRECT("g"&amp;$E$8),0.5),IF(F684=2,PERCENTILE(INDIRECT("g"&amp;$D$9):INDIRECT("g"&amp;$E$9),0.5),IF(F684=3,PERCENTILE(INDIRECT("g"&amp;$D$10):INDIRECT("g"&amp;$E$10),0.5),IF(F684=4,PERCENTILE(INDIRECT("g"&amp;$D$11):INDIRECT("g"&amp;$E$11),0.5),IF(F684=5,PERCENTILE(INDIRECT("g"&amp;$D$12):INDIRECT("g"&amp;$E$12),0.5),IF(F684=6,PERCENTILE(INDIRECT("g"&amp;$D$13):INDIRECT("g"&amp;$E$13),0.5)," "))))))</f>
        <v xml:space="preserve"> </v>
      </c>
      <c r="I684" s="242" t="str">
        <f t="shared" si="56"/>
        <v xml:space="preserve"> </v>
      </c>
      <c r="J684" s="242" t="str">
        <f ca="1">IF(F684=1,AVERAGE(INDIRECT("I"&amp;$D$8):INDIRECT("I"&amp;$E$8)),IF(F684=2,AVERAGE(INDIRECT("I"&amp;$D$9):INDIRECT("I"&amp;$E$9)),IF(F684=3,AVERAGE(INDIRECT("I"&amp;$D$10):INDIRECT("I"&amp;$E$10)),IF(F684=4,AVERAGE(INDIRECT("I"&amp;$D$11):INDIRECT("I"&amp;$E$11)),IF(F684=5,AVERAGE(INDIRECT("I"&amp;$D$12):INDIRECT("I"&amp;$E$12)),IF(F684=6,AVERAGE(INDIRECT("I"&amp;$D$13):INDIRECT("I"&amp;$E$13))," "))))))</f>
        <v xml:space="preserve"> </v>
      </c>
      <c r="K684" s="242" t="str">
        <f t="shared" si="57"/>
        <v xml:space="preserve"> </v>
      </c>
      <c r="L684" s="242" t="str">
        <f t="shared" si="58"/>
        <v xml:space="preserve"> </v>
      </c>
      <c r="M684" s="242" t="str">
        <f t="shared" si="59"/>
        <v xml:space="preserve"> </v>
      </c>
    </row>
    <row r="685" spans="6:13" x14ac:dyDescent="0.2">
      <c r="F685" s="216" t="str">
        <f t="shared" si="55"/>
        <v xml:space="preserve"> </v>
      </c>
      <c r="G685" s="50"/>
      <c r="H685" s="242" t="str">
        <f ca="1">IF(F685=1,PERCENTILE(INDIRECT("g"&amp;$D$8):INDIRECT("g"&amp;$E$8),0.5),IF(F685=2,PERCENTILE(INDIRECT("g"&amp;$D$9):INDIRECT("g"&amp;$E$9),0.5),IF(F685=3,PERCENTILE(INDIRECT("g"&amp;$D$10):INDIRECT("g"&amp;$E$10),0.5),IF(F685=4,PERCENTILE(INDIRECT("g"&amp;$D$11):INDIRECT("g"&amp;$E$11),0.5),IF(F685=5,PERCENTILE(INDIRECT("g"&amp;$D$12):INDIRECT("g"&amp;$E$12),0.5),IF(F685=6,PERCENTILE(INDIRECT("g"&amp;$D$13):INDIRECT("g"&amp;$E$13),0.5)," "))))))</f>
        <v xml:space="preserve"> </v>
      </c>
      <c r="I685" s="242" t="str">
        <f t="shared" si="56"/>
        <v xml:space="preserve"> </v>
      </c>
      <c r="J685" s="242" t="str">
        <f ca="1">IF(F685=1,AVERAGE(INDIRECT("I"&amp;$D$8):INDIRECT("I"&amp;$E$8)),IF(F685=2,AVERAGE(INDIRECT("I"&amp;$D$9):INDIRECT("I"&amp;$E$9)),IF(F685=3,AVERAGE(INDIRECT("I"&amp;$D$10):INDIRECT("I"&amp;$E$10)),IF(F685=4,AVERAGE(INDIRECT("I"&amp;$D$11):INDIRECT("I"&amp;$E$11)),IF(F685=5,AVERAGE(INDIRECT("I"&amp;$D$12):INDIRECT("I"&amp;$E$12)),IF(F685=6,AVERAGE(INDIRECT("I"&amp;$D$13):INDIRECT("I"&amp;$E$13))," "))))))</f>
        <v xml:space="preserve"> </v>
      </c>
      <c r="K685" s="242" t="str">
        <f t="shared" si="57"/>
        <v xml:space="preserve"> </v>
      </c>
      <c r="L685" s="242" t="str">
        <f t="shared" si="58"/>
        <v xml:space="preserve"> </v>
      </c>
      <c r="M685" s="242" t="str">
        <f t="shared" si="59"/>
        <v xml:space="preserve"> </v>
      </c>
    </row>
    <row r="686" spans="6:13" x14ac:dyDescent="0.2">
      <c r="F686" s="216" t="str">
        <f t="shared" si="55"/>
        <v xml:space="preserve"> </v>
      </c>
      <c r="G686" s="50"/>
      <c r="H686" s="242" t="str">
        <f ca="1">IF(F686=1,PERCENTILE(INDIRECT("g"&amp;$D$8):INDIRECT("g"&amp;$E$8),0.5),IF(F686=2,PERCENTILE(INDIRECT("g"&amp;$D$9):INDIRECT("g"&amp;$E$9),0.5),IF(F686=3,PERCENTILE(INDIRECT("g"&amp;$D$10):INDIRECT("g"&amp;$E$10),0.5),IF(F686=4,PERCENTILE(INDIRECT("g"&amp;$D$11):INDIRECT("g"&amp;$E$11),0.5),IF(F686=5,PERCENTILE(INDIRECT("g"&amp;$D$12):INDIRECT("g"&amp;$E$12),0.5),IF(F686=6,PERCENTILE(INDIRECT("g"&amp;$D$13):INDIRECT("g"&amp;$E$13),0.5)," "))))))</f>
        <v xml:space="preserve"> </v>
      </c>
      <c r="I686" s="242" t="str">
        <f t="shared" si="56"/>
        <v xml:space="preserve"> </v>
      </c>
      <c r="J686" s="242" t="str">
        <f ca="1">IF(F686=1,AVERAGE(INDIRECT("I"&amp;$D$8):INDIRECT("I"&amp;$E$8)),IF(F686=2,AVERAGE(INDIRECT("I"&amp;$D$9):INDIRECT("I"&amp;$E$9)),IF(F686=3,AVERAGE(INDIRECT("I"&amp;$D$10):INDIRECT("I"&amp;$E$10)),IF(F686=4,AVERAGE(INDIRECT("I"&amp;$D$11):INDIRECT("I"&amp;$E$11)),IF(F686=5,AVERAGE(INDIRECT("I"&amp;$D$12):INDIRECT("I"&amp;$E$12)),IF(F686=6,AVERAGE(INDIRECT("I"&amp;$D$13):INDIRECT("I"&amp;$E$13))," "))))))</f>
        <v xml:space="preserve"> </v>
      </c>
      <c r="K686" s="242" t="str">
        <f t="shared" si="57"/>
        <v xml:space="preserve"> </v>
      </c>
      <c r="L686" s="242" t="str">
        <f t="shared" si="58"/>
        <v xml:space="preserve"> </v>
      </c>
      <c r="M686" s="242" t="str">
        <f t="shared" si="59"/>
        <v xml:space="preserve"> </v>
      </c>
    </row>
    <row r="687" spans="6:13" x14ac:dyDescent="0.2">
      <c r="F687" s="216" t="str">
        <f t="shared" si="55"/>
        <v xml:space="preserve"> </v>
      </c>
      <c r="G687" s="50"/>
      <c r="H687" s="242" t="str">
        <f ca="1">IF(F687=1,PERCENTILE(INDIRECT("g"&amp;$D$8):INDIRECT("g"&amp;$E$8),0.5),IF(F687=2,PERCENTILE(INDIRECT("g"&amp;$D$9):INDIRECT("g"&amp;$E$9),0.5),IF(F687=3,PERCENTILE(INDIRECT("g"&amp;$D$10):INDIRECT("g"&amp;$E$10),0.5),IF(F687=4,PERCENTILE(INDIRECT("g"&amp;$D$11):INDIRECT("g"&amp;$E$11),0.5),IF(F687=5,PERCENTILE(INDIRECT("g"&amp;$D$12):INDIRECT("g"&amp;$E$12),0.5),IF(F687=6,PERCENTILE(INDIRECT("g"&amp;$D$13):INDIRECT("g"&amp;$E$13),0.5)," "))))))</f>
        <v xml:space="preserve"> </v>
      </c>
      <c r="I687" s="242" t="str">
        <f t="shared" si="56"/>
        <v xml:space="preserve"> </v>
      </c>
      <c r="J687" s="242" t="str">
        <f ca="1">IF(F687=1,AVERAGE(INDIRECT("I"&amp;$D$8):INDIRECT("I"&amp;$E$8)),IF(F687=2,AVERAGE(INDIRECT("I"&amp;$D$9):INDIRECT("I"&amp;$E$9)),IF(F687=3,AVERAGE(INDIRECT("I"&amp;$D$10):INDIRECT("I"&amp;$E$10)),IF(F687=4,AVERAGE(INDIRECT("I"&amp;$D$11):INDIRECT("I"&amp;$E$11)),IF(F687=5,AVERAGE(INDIRECT("I"&amp;$D$12):INDIRECT("I"&amp;$E$12)),IF(F687=6,AVERAGE(INDIRECT("I"&amp;$D$13):INDIRECT("I"&amp;$E$13))," "))))))</f>
        <v xml:space="preserve"> </v>
      </c>
      <c r="K687" s="242" t="str">
        <f t="shared" si="57"/>
        <v xml:space="preserve"> </v>
      </c>
      <c r="L687" s="242" t="str">
        <f t="shared" si="58"/>
        <v xml:space="preserve"> </v>
      </c>
      <c r="M687" s="242" t="str">
        <f t="shared" si="59"/>
        <v xml:space="preserve"> </v>
      </c>
    </row>
    <row r="688" spans="6:13" x14ac:dyDescent="0.2">
      <c r="F688" s="216" t="str">
        <f t="shared" si="55"/>
        <v xml:space="preserve"> </v>
      </c>
      <c r="G688" s="50"/>
      <c r="H688" s="242" t="str">
        <f ca="1">IF(F688=1,PERCENTILE(INDIRECT("g"&amp;$D$8):INDIRECT("g"&amp;$E$8),0.5),IF(F688=2,PERCENTILE(INDIRECT("g"&amp;$D$9):INDIRECT("g"&amp;$E$9),0.5),IF(F688=3,PERCENTILE(INDIRECT("g"&amp;$D$10):INDIRECT("g"&amp;$E$10),0.5),IF(F688=4,PERCENTILE(INDIRECT("g"&amp;$D$11):INDIRECT("g"&amp;$E$11),0.5),IF(F688=5,PERCENTILE(INDIRECT("g"&amp;$D$12):INDIRECT("g"&amp;$E$12),0.5),IF(F688=6,PERCENTILE(INDIRECT("g"&amp;$D$13):INDIRECT("g"&amp;$E$13),0.5)," "))))))</f>
        <v xml:space="preserve"> </v>
      </c>
      <c r="I688" s="242" t="str">
        <f t="shared" si="56"/>
        <v xml:space="preserve"> </v>
      </c>
      <c r="J688" s="242" t="str">
        <f ca="1">IF(F688=1,AVERAGE(INDIRECT("I"&amp;$D$8):INDIRECT("I"&amp;$E$8)),IF(F688=2,AVERAGE(INDIRECT("I"&amp;$D$9):INDIRECT("I"&amp;$E$9)),IF(F688=3,AVERAGE(INDIRECT("I"&amp;$D$10):INDIRECT("I"&amp;$E$10)),IF(F688=4,AVERAGE(INDIRECT("I"&amp;$D$11):INDIRECT("I"&amp;$E$11)),IF(F688=5,AVERAGE(INDIRECT("I"&amp;$D$12):INDIRECT("I"&amp;$E$12)),IF(F688=6,AVERAGE(INDIRECT("I"&amp;$D$13):INDIRECT("I"&amp;$E$13))," "))))))</f>
        <v xml:space="preserve"> </v>
      </c>
      <c r="K688" s="242" t="str">
        <f t="shared" si="57"/>
        <v xml:space="preserve"> </v>
      </c>
      <c r="L688" s="242" t="str">
        <f t="shared" si="58"/>
        <v xml:space="preserve"> </v>
      </c>
      <c r="M688" s="242" t="str">
        <f t="shared" si="59"/>
        <v xml:space="preserve"> </v>
      </c>
    </row>
    <row r="689" spans="6:13" x14ac:dyDescent="0.2">
      <c r="F689" s="216" t="str">
        <f t="shared" si="55"/>
        <v xml:space="preserve"> </v>
      </c>
      <c r="G689" s="50"/>
      <c r="H689" s="242" t="str">
        <f ca="1">IF(F689=1,PERCENTILE(INDIRECT("g"&amp;$D$8):INDIRECT("g"&amp;$E$8),0.5),IF(F689=2,PERCENTILE(INDIRECT("g"&amp;$D$9):INDIRECT("g"&amp;$E$9),0.5),IF(F689=3,PERCENTILE(INDIRECT("g"&amp;$D$10):INDIRECT("g"&amp;$E$10),0.5),IF(F689=4,PERCENTILE(INDIRECT("g"&amp;$D$11):INDIRECT("g"&amp;$E$11),0.5),IF(F689=5,PERCENTILE(INDIRECT("g"&amp;$D$12):INDIRECT("g"&amp;$E$12),0.5),IF(F689=6,PERCENTILE(INDIRECT("g"&amp;$D$13):INDIRECT("g"&amp;$E$13),0.5)," "))))))</f>
        <v xml:space="preserve"> </v>
      </c>
      <c r="I689" s="242" t="str">
        <f t="shared" si="56"/>
        <v xml:space="preserve"> </v>
      </c>
      <c r="J689" s="242" t="str">
        <f ca="1">IF(F689=1,AVERAGE(INDIRECT("I"&amp;$D$8):INDIRECT("I"&amp;$E$8)),IF(F689=2,AVERAGE(INDIRECT("I"&amp;$D$9):INDIRECT("I"&amp;$E$9)),IF(F689=3,AVERAGE(INDIRECT("I"&amp;$D$10):INDIRECT("I"&amp;$E$10)),IF(F689=4,AVERAGE(INDIRECT("I"&amp;$D$11):INDIRECT("I"&amp;$E$11)),IF(F689=5,AVERAGE(INDIRECT("I"&amp;$D$12):INDIRECT("I"&amp;$E$12)),IF(F689=6,AVERAGE(INDIRECT("I"&amp;$D$13):INDIRECT("I"&amp;$E$13))," "))))))</f>
        <v xml:space="preserve"> </v>
      </c>
      <c r="K689" s="242" t="str">
        <f t="shared" si="57"/>
        <v xml:space="preserve"> </v>
      </c>
      <c r="L689" s="242" t="str">
        <f t="shared" si="58"/>
        <v xml:space="preserve"> </v>
      </c>
      <c r="M689" s="242" t="str">
        <f t="shared" si="59"/>
        <v xml:space="preserve"> </v>
      </c>
    </row>
    <row r="690" spans="6:13" x14ac:dyDescent="0.2">
      <c r="F690" s="216" t="str">
        <f t="shared" si="55"/>
        <v xml:space="preserve"> </v>
      </c>
      <c r="G690" s="50"/>
      <c r="H690" s="242" t="str">
        <f ca="1">IF(F690=1,PERCENTILE(INDIRECT("g"&amp;$D$8):INDIRECT("g"&amp;$E$8),0.5),IF(F690=2,PERCENTILE(INDIRECT("g"&amp;$D$9):INDIRECT("g"&amp;$E$9),0.5),IF(F690=3,PERCENTILE(INDIRECT("g"&amp;$D$10):INDIRECT("g"&amp;$E$10),0.5),IF(F690=4,PERCENTILE(INDIRECT("g"&amp;$D$11):INDIRECT("g"&amp;$E$11),0.5),IF(F690=5,PERCENTILE(INDIRECT("g"&amp;$D$12):INDIRECT("g"&amp;$E$12),0.5),IF(F690=6,PERCENTILE(INDIRECT("g"&amp;$D$13):INDIRECT("g"&amp;$E$13),0.5)," "))))))</f>
        <v xml:space="preserve"> </v>
      </c>
      <c r="I690" s="242" t="str">
        <f t="shared" si="56"/>
        <v xml:space="preserve"> </v>
      </c>
      <c r="J690" s="242" t="str">
        <f ca="1">IF(F690=1,AVERAGE(INDIRECT("I"&amp;$D$8):INDIRECT("I"&amp;$E$8)),IF(F690=2,AVERAGE(INDIRECT("I"&amp;$D$9):INDIRECT("I"&amp;$E$9)),IF(F690=3,AVERAGE(INDIRECT("I"&amp;$D$10):INDIRECT("I"&amp;$E$10)),IF(F690=4,AVERAGE(INDIRECT("I"&amp;$D$11):INDIRECT("I"&amp;$E$11)),IF(F690=5,AVERAGE(INDIRECT("I"&amp;$D$12):INDIRECT("I"&amp;$E$12)),IF(F690=6,AVERAGE(INDIRECT("I"&amp;$D$13):INDIRECT("I"&amp;$E$13))," "))))))</f>
        <v xml:space="preserve"> </v>
      </c>
      <c r="K690" s="242" t="str">
        <f t="shared" si="57"/>
        <v xml:space="preserve"> </v>
      </c>
      <c r="L690" s="242" t="str">
        <f t="shared" si="58"/>
        <v xml:space="preserve"> </v>
      </c>
      <c r="M690" s="242" t="str">
        <f t="shared" si="59"/>
        <v xml:space="preserve"> </v>
      </c>
    </row>
    <row r="691" spans="6:13" x14ac:dyDescent="0.2">
      <c r="F691" s="216" t="str">
        <f t="shared" si="55"/>
        <v xml:space="preserve"> </v>
      </c>
      <c r="G691" s="50"/>
      <c r="H691" s="242" t="str">
        <f ca="1">IF(F691=1,PERCENTILE(INDIRECT("g"&amp;$D$8):INDIRECT("g"&amp;$E$8),0.5),IF(F691=2,PERCENTILE(INDIRECT("g"&amp;$D$9):INDIRECT("g"&amp;$E$9),0.5),IF(F691=3,PERCENTILE(INDIRECT("g"&amp;$D$10):INDIRECT("g"&amp;$E$10),0.5),IF(F691=4,PERCENTILE(INDIRECT("g"&amp;$D$11):INDIRECT("g"&amp;$E$11),0.5),IF(F691=5,PERCENTILE(INDIRECT("g"&amp;$D$12):INDIRECT("g"&amp;$E$12),0.5),IF(F691=6,PERCENTILE(INDIRECT("g"&amp;$D$13):INDIRECT("g"&amp;$E$13),0.5)," "))))))</f>
        <v xml:space="preserve"> </v>
      </c>
      <c r="I691" s="242" t="str">
        <f t="shared" si="56"/>
        <v xml:space="preserve"> </v>
      </c>
      <c r="J691" s="242" t="str">
        <f ca="1">IF(F691=1,AVERAGE(INDIRECT("I"&amp;$D$8):INDIRECT("I"&amp;$E$8)),IF(F691=2,AVERAGE(INDIRECT("I"&amp;$D$9):INDIRECT("I"&amp;$E$9)),IF(F691=3,AVERAGE(INDIRECT("I"&amp;$D$10):INDIRECT("I"&amp;$E$10)),IF(F691=4,AVERAGE(INDIRECT("I"&amp;$D$11):INDIRECT("I"&amp;$E$11)),IF(F691=5,AVERAGE(INDIRECT("I"&amp;$D$12):INDIRECT("I"&amp;$E$12)),IF(F691=6,AVERAGE(INDIRECT("I"&amp;$D$13):INDIRECT("I"&amp;$E$13))," "))))))</f>
        <v xml:space="preserve"> </v>
      </c>
      <c r="K691" s="242" t="str">
        <f t="shared" si="57"/>
        <v xml:space="preserve"> </v>
      </c>
      <c r="L691" s="242" t="str">
        <f t="shared" si="58"/>
        <v xml:space="preserve"> </v>
      </c>
      <c r="M691" s="242" t="str">
        <f t="shared" si="59"/>
        <v xml:space="preserve"> </v>
      </c>
    </row>
    <row r="692" spans="6:13" x14ac:dyDescent="0.2">
      <c r="F692" s="216" t="str">
        <f t="shared" si="55"/>
        <v xml:space="preserve"> </v>
      </c>
      <c r="G692" s="50"/>
      <c r="H692" s="242" t="str">
        <f ca="1">IF(F692=1,PERCENTILE(INDIRECT("g"&amp;$D$8):INDIRECT("g"&amp;$E$8),0.5),IF(F692=2,PERCENTILE(INDIRECT("g"&amp;$D$9):INDIRECT("g"&amp;$E$9),0.5),IF(F692=3,PERCENTILE(INDIRECT("g"&amp;$D$10):INDIRECT("g"&amp;$E$10),0.5),IF(F692=4,PERCENTILE(INDIRECT("g"&amp;$D$11):INDIRECT("g"&amp;$E$11),0.5),IF(F692=5,PERCENTILE(INDIRECT("g"&amp;$D$12):INDIRECT("g"&amp;$E$12),0.5),IF(F692=6,PERCENTILE(INDIRECT("g"&amp;$D$13):INDIRECT("g"&amp;$E$13),0.5)," "))))))</f>
        <v xml:space="preserve"> </v>
      </c>
      <c r="I692" s="242" t="str">
        <f t="shared" si="56"/>
        <v xml:space="preserve"> </v>
      </c>
      <c r="J692" s="242" t="str">
        <f ca="1">IF(F692=1,AVERAGE(INDIRECT("I"&amp;$D$8):INDIRECT("I"&amp;$E$8)),IF(F692=2,AVERAGE(INDIRECT("I"&amp;$D$9):INDIRECT("I"&amp;$E$9)),IF(F692=3,AVERAGE(INDIRECT("I"&amp;$D$10):INDIRECT("I"&amp;$E$10)),IF(F692=4,AVERAGE(INDIRECT("I"&amp;$D$11):INDIRECT("I"&amp;$E$11)),IF(F692=5,AVERAGE(INDIRECT("I"&amp;$D$12):INDIRECT("I"&amp;$E$12)),IF(F692=6,AVERAGE(INDIRECT("I"&amp;$D$13):INDIRECT("I"&amp;$E$13))," "))))))</f>
        <v xml:space="preserve"> </v>
      </c>
      <c r="K692" s="242" t="str">
        <f t="shared" si="57"/>
        <v xml:space="preserve"> </v>
      </c>
      <c r="L692" s="242" t="str">
        <f t="shared" si="58"/>
        <v xml:space="preserve"> </v>
      </c>
      <c r="M692" s="242" t="str">
        <f t="shared" si="59"/>
        <v xml:space="preserve"> </v>
      </c>
    </row>
    <row r="693" spans="6:13" x14ac:dyDescent="0.2">
      <c r="F693" s="216" t="str">
        <f t="shared" si="55"/>
        <v xml:space="preserve"> </v>
      </c>
      <c r="G693" s="50"/>
      <c r="H693" s="242" t="str">
        <f ca="1">IF(F693=1,PERCENTILE(INDIRECT("g"&amp;$D$8):INDIRECT("g"&amp;$E$8),0.5),IF(F693=2,PERCENTILE(INDIRECT("g"&amp;$D$9):INDIRECT("g"&amp;$E$9),0.5),IF(F693=3,PERCENTILE(INDIRECT("g"&amp;$D$10):INDIRECT("g"&amp;$E$10),0.5),IF(F693=4,PERCENTILE(INDIRECT("g"&amp;$D$11):INDIRECT("g"&amp;$E$11),0.5),IF(F693=5,PERCENTILE(INDIRECT("g"&amp;$D$12):INDIRECT("g"&amp;$E$12),0.5),IF(F693=6,PERCENTILE(INDIRECT("g"&amp;$D$13):INDIRECT("g"&amp;$E$13),0.5)," "))))))</f>
        <v xml:space="preserve"> </v>
      </c>
      <c r="I693" s="242" t="str">
        <f t="shared" si="56"/>
        <v xml:space="preserve"> </v>
      </c>
      <c r="J693" s="242" t="str">
        <f ca="1">IF(F693=1,AVERAGE(INDIRECT("I"&amp;$D$8):INDIRECT("I"&amp;$E$8)),IF(F693=2,AVERAGE(INDIRECT("I"&amp;$D$9):INDIRECT("I"&amp;$E$9)),IF(F693=3,AVERAGE(INDIRECT("I"&amp;$D$10):INDIRECT("I"&amp;$E$10)),IF(F693=4,AVERAGE(INDIRECT("I"&amp;$D$11):INDIRECT("I"&amp;$E$11)),IF(F693=5,AVERAGE(INDIRECT("I"&amp;$D$12):INDIRECT("I"&amp;$E$12)),IF(F693=6,AVERAGE(INDIRECT("I"&amp;$D$13):INDIRECT("I"&amp;$E$13))," "))))))</f>
        <v xml:space="preserve"> </v>
      </c>
      <c r="K693" s="242" t="str">
        <f t="shared" si="57"/>
        <v xml:space="preserve"> </v>
      </c>
      <c r="L693" s="242" t="str">
        <f t="shared" si="58"/>
        <v xml:space="preserve"> </v>
      </c>
      <c r="M693" s="242" t="str">
        <f t="shared" si="59"/>
        <v xml:space="preserve"> </v>
      </c>
    </row>
    <row r="694" spans="6:13" x14ac:dyDescent="0.2">
      <c r="F694" s="216" t="str">
        <f t="shared" si="55"/>
        <v xml:space="preserve"> </v>
      </c>
      <c r="G694" s="50"/>
      <c r="H694" s="242" t="str">
        <f ca="1">IF(F694=1,PERCENTILE(INDIRECT("g"&amp;$D$8):INDIRECT("g"&amp;$E$8),0.5),IF(F694=2,PERCENTILE(INDIRECT("g"&amp;$D$9):INDIRECT("g"&amp;$E$9),0.5),IF(F694=3,PERCENTILE(INDIRECT("g"&amp;$D$10):INDIRECT("g"&amp;$E$10),0.5),IF(F694=4,PERCENTILE(INDIRECT("g"&amp;$D$11):INDIRECT("g"&amp;$E$11),0.5),IF(F694=5,PERCENTILE(INDIRECT("g"&amp;$D$12):INDIRECT("g"&amp;$E$12),0.5),IF(F694=6,PERCENTILE(INDIRECT("g"&amp;$D$13):INDIRECT("g"&amp;$E$13),0.5)," "))))))</f>
        <v xml:space="preserve"> </v>
      </c>
      <c r="I694" s="242" t="str">
        <f t="shared" si="56"/>
        <v xml:space="preserve"> </v>
      </c>
      <c r="J694" s="242" t="str">
        <f ca="1">IF(F694=1,AVERAGE(INDIRECT("I"&amp;$D$8):INDIRECT("I"&amp;$E$8)),IF(F694=2,AVERAGE(INDIRECT("I"&amp;$D$9):INDIRECT("I"&amp;$E$9)),IF(F694=3,AVERAGE(INDIRECT("I"&amp;$D$10):INDIRECT("I"&amp;$E$10)),IF(F694=4,AVERAGE(INDIRECT("I"&amp;$D$11):INDIRECT("I"&amp;$E$11)),IF(F694=5,AVERAGE(INDIRECT("I"&amp;$D$12):INDIRECT("I"&amp;$E$12)),IF(F694=6,AVERAGE(INDIRECT("I"&amp;$D$13):INDIRECT("I"&amp;$E$13))," "))))))</f>
        <v xml:space="preserve"> </v>
      </c>
      <c r="K694" s="242" t="str">
        <f t="shared" si="57"/>
        <v xml:space="preserve"> </v>
      </c>
      <c r="L694" s="242" t="str">
        <f t="shared" si="58"/>
        <v xml:space="preserve"> </v>
      </c>
      <c r="M694" s="242" t="str">
        <f t="shared" si="59"/>
        <v xml:space="preserve"> </v>
      </c>
    </row>
    <row r="695" spans="6:13" x14ac:dyDescent="0.2">
      <c r="F695" s="216" t="str">
        <f t="shared" si="55"/>
        <v xml:space="preserve"> </v>
      </c>
      <c r="G695" s="50"/>
      <c r="H695" s="242" t="str">
        <f ca="1">IF(F695=1,PERCENTILE(INDIRECT("g"&amp;$D$8):INDIRECT("g"&amp;$E$8),0.5),IF(F695=2,PERCENTILE(INDIRECT("g"&amp;$D$9):INDIRECT("g"&amp;$E$9),0.5),IF(F695=3,PERCENTILE(INDIRECT("g"&amp;$D$10):INDIRECT("g"&amp;$E$10),0.5),IF(F695=4,PERCENTILE(INDIRECT("g"&amp;$D$11):INDIRECT("g"&amp;$E$11),0.5),IF(F695=5,PERCENTILE(INDIRECT("g"&amp;$D$12):INDIRECT("g"&amp;$E$12),0.5),IF(F695=6,PERCENTILE(INDIRECT("g"&amp;$D$13):INDIRECT("g"&amp;$E$13),0.5)," "))))))</f>
        <v xml:space="preserve"> </v>
      </c>
      <c r="I695" s="242" t="str">
        <f t="shared" si="56"/>
        <v xml:space="preserve"> </v>
      </c>
      <c r="J695" s="242" t="str">
        <f ca="1">IF(F695=1,AVERAGE(INDIRECT("I"&amp;$D$8):INDIRECT("I"&amp;$E$8)),IF(F695=2,AVERAGE(INDIRECT("I"&amp;$D$9):INDIRECT("I"&amp;$E$9)),IF(F695=3,AVERAGE(INDIRECT("I"&amp;$D$10):INDIRECT("I"&amp;$E$10)),IF(F695=4,AVERAGE(INDIRECT("I"&amp;$D$11):INDIRECT("I"&amp;$E$11)),IF(F695=5,AVERAGE(INDIRECT("I"&amp;$D$12):INDIRECT("I"&amp;$E$12)),IF(F695=6,AVERAGE(INDIRECT("I"&amp;$D$13):INDIRECT("I"&amp;$E$13))," "))))))</f>
        <v xml:space="preserve"> </v>
      </c>
      <c r="K695" s="242" t="str">
        <f t="shared" si="57"/>
        <v xml:space="preserve"> </v>
      </c>
      <c r="L695" s="242" t="str">
        <f t="shared" si="58"/>
        <v xml:space="preserve"> </v>
      </c>
      <c r="M695" s="242" t="str">
        <f t="shared" si="59"/>
        <v xml:space="preserve"> </v>
      </c>
    </row>
    <row r="696" spans="6:13" x14ac:dyDescent="0.2">
      <c r="F696" s="216" t="str">
        <f t="shared" si="55"/>
        <v xml:space="preserve"> </v>
      </c>
      <c r="G696" s="50"/>
      <c r="H696" s="242" t="str">
        <f ca="1">IF(F696=1,PERCENTILE(INDIRECT("g"&amp;$D$8):INDIRECT("g"&amp;$E$8),0.5),IF(F696=2,PERCENTILE(INDIRECT("g"&amp;$D$9):INDIRECT("g"&amp;$E$9),0.5),IF(F696=3,PERCENTILE(INDIRECT("g"&amp;$D$10):INDIRECT("g"&amp;$E$10),0.5),IF(F696=4,PERCENTILE(INDIRECT("g"&amp;$D$11):INDIRECT("g"&amp;$E$11),0.5),IF(F696=5,PERCENTILE(INDIRECT("g"&amp;$D$12):INDIRECT("g"&amp;$E$12),0.5),IF(F696=6,PERCENTILE(INDIRECT("g"&amp;$D$13):INDIRECT("g"&amp;$E$13),0.5)," "))))))</f>
        <v xml:space="preserve"> </v>
      </c>
      <c r="I696" s="242" t="str">
        <f t="shared" si="56"/>
        <v xml:space="preserve"> </v>
      </c>
      <c r="J696" s="242" t="str">
        <f ca="1">IF(F696=1,AVERAGE(INDIRECT("I"&amp;$D$8):INDIRECT("I"&amp;$E$8)),IF(F696=2,AVERAGE(INDIRECT("I"&amp;$D$9):INDIRECT("I"&amp;$E$9)),IF(F696=3,AVERAGE(INDIRECT("I"&amp;$D$10):INDIRECT("I"&amp;$E$10)),IF(F696=4,AVERAGE(INDIRECT("I"&amp;$D$11):INDIRECT("I"&amp;$E$11)),IF(F696=5,AVERAGE(INDIRECT("I"&amp;$D$12):INDIRECT("I"&amp;$E$12)),IF(F696=6,AVERAGE(INDIRECT("I"&amp;$D$13):INDIRECT("I"&amp;$E$13))," "))))))</f>
        <v xml:space="preserve"> </v>
      </c>
      <c r="K696" s="242" t="str">
        <f t="shared" si="57"/>
        <v xml:space="preserve"> </v>
      </c>
      <c r="L696" s="242" t="str">
        <f t="shared" si="58"/>
        <v xml:space="preserve"> </v>
      </c>
      <c r="M696" s="242" t="str">
        <f t="shared" si="59"/>
        <v xml:space="preserve"> </v>
      </c>
    </row>
    <row r="697" spans="6:13" x14ac:dyDescent="0.2">
      <c r="F697" s="216" t="str">
        <f t="shared" si="55"/>
        <v xml:space="preserve"> </v>
      </c>
      <c r="G697" s="50"/>
      <c r="H697" s="242" t="str">
        <f ca="1">IF(F697=1,PERCENTILE(INDIRECT("g"&amp;$D$8):INDIRECT("g"&amp;$E$8),0.5),IF(F697=2,PERCENTILE(INDIRECT("g"&amp;$D$9):INDIRECT("g"&amp;$E$9),0.5),IF(F697=3,PERCENTILE(INDIRECT("g"&amp;$D$10):INDIRECT("g"&amp;$E$10),0.5),IF(F697=4,PERCENTILE(INDIRECT("g"&amp;$D$11):INDIRECT("g"&amp;$E$11),0.5),IF(F697=5,PERCENTILE(INDIRECT("g"&amp;$D$12):INDIRECT("g"&amp;$E$12),0.5),IF(F697=6,PERCENTILE(INDIRECT("g"&amp;$D$13):INDIRECT("g"&amp;$E$13),0.5)," "))))))</f>
        <v xml:space="preserve"> </v>
      </c>
      <c r="I697" s="242" t="str">
        <f t="shared" si="56"/>
        <v xml:space="preserve"> </v>
      </c>
      <c r="J697" s="242" t="str">
        <f ca="1">IF(F697=1,AVERAGE(INDIRECT("I"&amp;$D$8):INDIRECT("I"&amp;$E$8)),IF(F697=2,AVERAGE(INDIRECT("I"&amp;$D$9):INDIRECT("I"&amp;$E$9)),IF(F697=3,AVERAGE(INDIRECT("I"&amp;$D$10):INDIRECT("I"&amp;$E$10)),IF(F697=4,AVERAGE(INDIRECT("I"&amp;$D$11):INDIRECT("I"&amp;$E$11)),IF(F697=5,AVERAGE(INDIRECT("I"&amp;$D$12):INDIRECT("I"&amp;$E$12)),IF(F697=6,AVERAGE(INDIRECT("I"&amp;$D$13):INDIRECT("I"&amp;$E$13))," "))))))</f>
        <v xml:space="preserve"> </v>
      </c>
      <c r="K697" s="242" t="str">
        <f t="shared" si="57"/>
        <v xml:space="preserve"> </v>
      </c>
      <c r="L697" s="242" t="str">
        <f t="shared" si="58"/>
        <v xml:space="preserve"> </v>
      </c>
      <c r="M697" s="242" t="str">
        <f t="shared" si="59"/>
        <v xml:space="preserve"> </v>
      </c>
    </row>
    <row r="698" spans="6:13" x14ac:dyDescent="0.2">
      <c r="F698" s="216" t="str">
        <f t="shared" si="55"/>
        <v xml:space="preserve"> </v>
      </c>
      <c r="G698" s="50"/>
      <c r="H698" s="242" t="str">
        <f ca="1">IF(F698=1,PERCENTILE(INDIRECT("g"&amp;$D$8):INDIRECT("g"&amp;$E$8),0.5),IF(F698=2,PERCENTILE(INDIRECT("g"&amp;$D$9):INDIRECT("g"&amp;$E$9),0.5),IF(F698=3,PERCENTILE(INDIRECT("g"&amp;$D$10):INDIRECT("g"&amp;$E$10),0.5),IF(F698=4,PERCENTILE(INDIRECT("g"&amp;$D$11):INDIRECT("g"&amp;$E$11),0.5),IF(F698=5,PERCENTILE(INDIRECT("g"&amp;$D$12):INDIRECT("g"&amp;$E$12),0.5),IF(F698=6,PERCENTILE(INDIRECT("g"&amp;$D$13):INDIRECT("g"&amp;$E$13),0.5)," "))))))</f>
        <v xml:space="preserve"> </v>
      </c>
      <c r="I698" s="242" t="str">
        <f t="shared" si="56"/>
        <v xml:space="preserve"> </v>
      </c>
      <c r="J698" s="242" t="str">
        <f ca="1">IF(F698=1,AVERAGE(INDIRECT("I"&amp;$D$8):INDIRECT("I"&amp;$E$8)),IF(F698=2,AVERAGE(INDIRECT("I"&amp;$D$9):INDIRECT("I"&amp;$E$9)),IF(F698=3,AVERAGE(INDIRECT("I"&amp;$D$10):INDIRECT("I"&amp;$E$10)),IF(F698=4,AVERAGE(INDIRECT("I"&amp;$D$11):INDIRECT("I"&amp;$E$11)),IF(F698=5,AVERAGE(INDIRECT("I"&amp;$D$12):INDIRECT("I"&amp;$E$12)),IF(F698=6,AVERAGE(INDIRECT("I"&amp;$D$13):INDIRECT("I"&amp;$E$13))," "))))))</f>
        <v xml:space="preserve"> </v>
      </c>
      <c r="K698" s="242" t="str">
        <f t="shared" si="57"/>
        <v xml:space="preserve"> </v>
      </c>
      <c r="L698" s="242" t="str">
        <f t="shared" si="58"/>
        <v xml:space="preserve"> </v>
      </c>
      <c r="M698" s="242" t="str">
        <f t="shared" si="59"/>
        <v xml:space="preserve"> </v>
      </c>
    </row>
    <row r="699" spans="6:13" x14ac:dyDescent="0.2">
      <c r="F699" s="216" t="str">
        <f t="shared" si="55"/>
        <v xml:space="preserve"> </v>
      </c>
      <c r="G699" s="50"/>
      <c r="H699" s="242" t="str">
        <f ca="1">IF(F699=1,PERCENTILE(INDIRECT("g"&amp;$D$8):INDIRECT("g"&amp;$E$8),0.5),IF(F699=2,PERCENTILE(INDIRECT("g"&amp;$D$9):INDIRECT("g"&amp;$E$9),0.5),IF(F699=3,PERCENTILE(INDIRECT("g"&amp;$D$10):INDIRECT("g"&amp;$E$10),0.5),IF(F699=4,PERCENTILE(INDIRECT("g"&amp;$D$11):INDIRECT("g"&amp;$E$11),0.5),IF(F699=5,PERCENTILE(INDIRECT("g"&amp;$D$12):INDIRECT("g"&amp;$E$12),0.5),IF(F699=6,PERCENTILE(INDIRECT("g"&amp;$D$13):INDIRECT("g"&amp;$E$13),0.5)," "))))))</f>
        <v xml:space="preserve"> </v>
      </c>
      <c r="I699" s="242" t="str">
        <f t="shared" si="56"/>
        <v xml:space="preserve"> </v>
      </c>
      <c r="J699" s="242" t="str">
        <f ca="1">IF(F699=1,AVERAGE(INDIRECT("I"&amp;$D$8):INDIRECT("I"&amp;$E$8)),IF(F699=2,AVERAGE(INDIRECT("I"&amp;$D$9):INDIRECT("I"&amp;$E$9)),IF(F699=3,AVERAGE(INDIRECT("I"&amp;$D$10):INDIRECT("I"&amp;$E$10)),IF(F699=4,AVERAGE(INDIRECT("I"&amp;$D$11):INDIRECT("I"&amp;$E$11)),IF(F699=5,AVERAGE(INDIRECT("I"&amp;$D$12):INDIRECT("I"&amp;$E$12)),IF(F699=6,AVERAGE(INDIRECT("I"&amp;$D$13):INDIRECT("I"&amp;$E$13))," "))))))</f>
        <v xml:space="preserve"> </v>
      </c>
      <c r="K699" s="242" t="str">
        <f t="shared" si="57"/>
        <v xml:space="preserve"> </v>
      </c>
      <c r="L699" s="242" t="str">
        <f t="shared" si="58"/>
        <v xml:space="preserve"> </v>
      </c>
      <c r="M699" s="242" t="str">
        <f t="shared" si="59"/>
        <v xml:space="preserve"> </v>
      </c>
    </row>
    <row r="700" spans="6:13" x14ac:dyDescent="0.2">
      <c r="F700" s="216" t="str">
        <f t="shared" si="55"/>
        <v xml:space="preserve"> </v>
      </c>
      <c r="G700" s="50"/>
      <c r="H700" s="242" t="str">
        <f ca="1">IF(F700=1,PERCENTILE(INDIRECT("g"&amp;$D$8):INDIRECT("g"&amp;$E$8),0.5),IF(F700=2,PERCENTILE(INDIRECT("g"&amp;$D$9):INDIRECT("g"&amp;$E$9),0.5),IF(F700=3,PERCENTILE(INDIRECT("g"&amp;$D$10):INDIRECT("g"&amp;$E$10),0.5),IF(F700=4,PERCENTILE(INDIRECT("g"&amp;$D$11):INDIRECT("g"&amp;$E$11),0.5),IF(F700=5,PERCENTILE(INDIRECT("g"&amp;$D$12):INDIRECT("g"&amp;$E$12),0.5),IF(F700=6,PERCENTILE(INDIRECT("g"&amp;$D$13):INDIRECT("g"&amp;$E$13),0.5)," "))))))</f>
        <v xml:space="preserve"> </v>
      </c>
      <c r="I700" s="242" t="str">
        <f t="shared" si="56"/>
        <v xml:space="preserve"> </v>
      </c>
      <c r="J700" s="242" t="str">
        <f ca="1">IF(F700=1,AVERAGE(INDIRECT("I"&amp;$D$8):INDIRECT("I"&amp;$E$8)),IF(F700=2,AVERAGE(INDIRECT("I"&amp;$D$9):INDIRECT("I"&amp;$E$9)),IF(F700=3,AVERAGE(INDIRECT("I"&amp;$D$10):INDIRECT("I"&amp;$E$10)),IF(F700=4,AVERAGE(INDIRECT("I"&amp;$D$11):INDIRECT("I"&amp;$E$11)),IF(F700=5,AVERAGE(INDIRECT("I"&amp;$D$12):INDIRECT("I"&amp;$E$12)),IF(F700=6,AVERAGE(INDIRECT("I"&amp;$D$13):INDIRECT("I"&amp;$E$13))," "))))))</f>
        <v xml:space="preserve"> </v>
      </c>
      <c r="K700" s="242" t="str">
        <f t="shared" si="57"/>
        <v xml:space="preserve"> </v>
      </c>
      <c r="L700" s="242" t="str">
        <f t="shared" si="58"/>
        <v xml:space="preserve"> </v>
      </c>
      <c r="M700" s="242" t="str">
        <f t="shared" si="59"/>
        <v xml:space="preserve"> </v>
      </c>
    </row>
    <row r="701" spans="6:13" x14ac:dyDescent="0.2">
      <c r="F701" s="216" t="str">
        <f t="shared" si="55"/>
        <v xml:space="preserve"> </v>
      </c>
      <c r="G701" s="50"/>
      <c r="H701" s="242" t="str">
        <f ca="1">IF(F701=1,PERCENTILE(INDIRECT("g"&amp;$D$8):INDIRECT("g"&amp;$E$8),0.5),IF(F701=2,PERCENTILE(INDIRECT("g"&amp;$D$9):INDIRECT("g"&amp;$E$9),0.5),IF(F701=3,PERCENTILE(INDIRECT("g"&amp;$D$10):INDIRECT("g"&amp;$E$10),0.5),IF(F701=4,PERCENTILE(INDIRECT("g"&amp;$D$11):INDIRECT("g"&amp;$E$11),0.5),IF(F701=5,PERCENTILE(INDIRECT("g"&amp;$D$12):INDIRECT("g"&amp;$E$12),0.5),IF(F701=6,PERCENTILE(INDIRECT("g"&amp;$D$13):INDIRECT("g"&amp;$E$13),0.5)," "))))))</f>
        <v xml:space="preserve"> </v>
      </c>
      <c r="I701" s="242" t="str">
        <f t="shared" si="56"/>
        <v xml:space="preserve"> </v>
      </c>
      <c r="J701" s="242" t="str">
        <f ca="1">IF(F701=1,AVERAGE(INDIRECT("I"&amp;$D$8):INDIRECT("I"&amp;$E$8)),IF(F701=2,AVERAGE(INDIRECT("I"&amp;$D$9):INDIRECT("I"&amp;$E$9)),IF(F701=3,AVERAGE(INDIRECT("I"&amp;$D$10):INDIRECT("I"&amp;$E$10)),IF(F701=4,AVERAGE(INDIRECT("I"&amp;$D$11):INDIRECT("I"&amp;$E$11)),IF(F701=5,AVERAGE(INDIRECT("I"&amp;$D$12):INDIRECT("I"&amp;$E$12)),IF(F701=6,AVERAGE(INDIRECT("I"&amp;$D$13):INDIRECT("I"&amp;$E$13))," "))))))</f>
        <v xml:space="preserve"> </v>
      </c>
      <c r="K701" s="242" t="str">
        <f t="shared" si="57"/>
        <v xml:space="preserve"> </v>
      </c>
      <c r="L701" s="242" t="str">
        <f t="shared" si="58"/>
        <v xml:space="preserve"> </v>
      </c>
      <c r="M701" s="242" t="str">
        <f t="shared" si="59"/>
        <v xml:space="preserve"> </v>
      </c>
    </row>
    <row r="702" spans="6:13" x14ac:dyDescent="0.2">
      <c r="F702" s="216" t="str">
        <f t="shared" si="55"/>
        <v xml:space="preserve"> </v>
      </c>
      <c r="G702" s="50"/>
      <c r="H702" s="242" t="str">
        <f ca="1">IF(F702=1,PERCENTILE(INDIRECT("g"&amp;$D$8):INDIRECT("g"&amp;$E$8),0.5),IF(F702=2,PERCENTILE(INDIRECT("g"&amp;$D$9):INDIRECT("g"&amp;$E$9),0.5),IF(F702=3,PERCENTILE(INDIRECT("g"&amp;$D$10):INDIRECT("g"&amp;$E$10),0.5),IF(F702=4,PERCENTILE(INDIRECT("g"&amp;$D$11):INDIRECT("g"&amp;$E$11),0.5),IF(F702=5,PERCENTILE(INDIRECT("g"&amp;$D$12):INDIRECT("g"&amp;$E$12),0.5),IF(F702=6,PERCENTILE(INDIRECT("g"&amp;$D$13):INDIRECT("g"&amp;$E$13),0.5)," "))))))</f>
        <v xml:space="preserve"> </v>
      </c>
      <c r="I702" s="242" t="str">
        <f t="shared" si="56"/>
        <v xml:space="preserve"> </v>
      </c>
      <c r="J702" s="242" t="str">
        <f ca="1">IF(F702=1,AVERAGE(INDIRECT("I"&amp;$D$8):INDIRECT("I"&amp;$E$8)),IF(F702=2,AVERAGE(INDIRECT("I"&amp;$D$9):INDIRECT("I"&amp;$E$9)),IF(F702=3,AVERAGE(INDIRECT("I"&amp;$D$10):INDIRECT("I"&amp;$E$10)),IF(F702=4,AVERAGE(INDIRECT("I"&amp;$D$11):INDIRECT("I"&amp;$E$11)),IF(F702=5,AVERAGE(INDIRECT("I"&amp;$D$12):INDIRECT("I"&amp;$E$12)),IF(F702=6,AVERAGE(INDIRECT("I"&amp;$D$13):INDIRECT("I"&amp;$E$13))," "))))))</f>
        <v xml:space="preserve"> </v>
      </c>
      <c r="K702" s="242" t="str">
        <f t="shared" si="57"/>
        <v xml:space="preserve"> </v>
      </c>
      <c r="L702" s="242" t="str">
        <f t="shared" si="58"/>
        <v xml:space="preserve"> </v>
      </c>
      <c r="M702" s="242" t="str">
        <f t="shared" si="59"/>
        <v xml:space="preserve"> </v>
      </c>
    </row>
    <row r="703" spans="6:13" x14ac:dyDescent="0.2">
      <c r="F703" s="216" t="str">
        <f t="shared" si="55"/>
        <v xml:space="preserve"> </v>
      </c>
      <c r="G703" s="50"/>
      <c r="H703" s="242" t="str">
        <f ca="1">IF(F703=1,PERCENTILE(INDIRECT("g"&amp;$D$8):INDIRECT("g"&amp;$E$8),0.5),IF(F703=2,PERCENTILE(INDIRECT("g"&amp;$D$9):INDIRECT("g"&amp;$E$9),0.5),IF(F703=3,PERCENTILE(INDIRECT("g"&amp;$D$10):INDIRECT("g"&amp;$E$10),0.5),IF(F703=4,PERCENTILE(INDIRECT("g"&amp;$D$11):INDIRECT("g"&amp;$E$11),0.5),IF(F703=5,PERCENTILE(INDIRECT("g"&amp;$D$12):INDIRECT("g"&amp;$E$12),0.5),IF(F703=6,PERCENTILE(INDIRECT("g"&amp;$D$13):INDIRECT("g"&amp;$E$13),0.5)," "))))))</f>
        <v xml:space="preserve"> </v>
      </c>
      <c r="I703" s="242" t="str">
        <f t="shared" si="56"/>
        <v xml:space="preserve"> </v>
      </c>
      <c r="J703" s="242" t="str">
        <f ca="1">IF(F703=1,AVERAGE(INDIRECT("I"&amp;$D$8):INDIRECT("I"&amp;$E$8)),IF(F703=2,AVERAGE(INDIRECT("I"&amp;$D$9):INDIRECT("I"&amp;$E$9)),IF(F703=3,AVERAGE(INDIRECT("I"&amp;$D$10):INDIRECT("I"&amp;$E$10)),IF(F703=4,AVERAGE(INDIRECT("I"&amp;$D$11):INDIRECT("I"&amp;$E$11)),IF(F703=5,AVERAGE(INDIRECT("I"&amp;$D$12):INDIRECT("I"&amp;$E$12)),IF(F703=6,AVERAGE(INDIRECT("I"&amp;$D$13):INDIRECT("I"&amp;$E$13))," "))))))</f>
        <v xml:space="preserve"> </v>
      </c>
      <c r="K703" s="242" t="str">
        <f t="shared" si="57"/>
        <v xml:space="preserve"> </v>
      </c>
      <c r="L703" s="242" t="str">
        <f t="shared" si="58"/>
        <v xml:space="preserve"> </v>
      </c>
      <c r="M703" s="242" t="str">
        <f t="shared" si="59"/>
        <v xml:space="preserve"> </v>
      </c>
    </row>
    <row r="704" spans="6:13" x14ac:dyDescent="0.2">
      <c r="F704" s="216" t="str">
        <f t="shared" si="55"/>
        <v xml:space="preserve"> </v>
      </c>
      <c r="G704" s="50"/>
      <c r="H704" s="242" t="str">
        <f ca="1">IF(F704=1,PERCENTILE(INDIRECT("g"&amp;$D$8):INDIRECT("g"&amp;$E$8),0.5),IF(F704=2,PERCENTILE(INDIRECT("g"&amp;$D$9):INDIRECT("g"&amp;$E$9),0.5),IF(F704=3,PERCENTILE(INDIRECT("g"&amp;$D$10):INDIRECT("g"&amp;$E$10),0.5),IF(F704=4,PERCENTILE(INDIRECT("g"&amp;$D$11):INDIRECT("g"&amp;$E$11),0.5),IF(F704=5,PERCENTILE(INDIRECT("g"&amp;$D$12):INDIRECT("g"&amp;$E$12),0.5),IF(F704=6,PERCENTILE(INDIRECT("g"&amp;$D$13):INDIRECT("g"&amp;$E$13),0.5)," "))))))</f>
        <v xml:space="preserve"> </v>
      </c>
      <c r="I704" s="242" t="str">
        <f t="shared" si="56"/>
        <v xml:space="preserve"> </v>
      </c>
      <c r="J704" s="242" t="str">
        <f ca="1">IF(F704=1,AVERAGE(INDIRECT("I"&amp;$D$8):INDIRECT("I"&amp;$E$8)),IF(F704=2,AVERAGE(INDIRECT("I"&amp;$D$9):INDIRECT("I"&amp;$E$9)),IF(F704=3,AVERAGE(INDIRECT("I"&amp;$D$10):INDIRECT("I"&amp;$E$10)),IF(F704=4,AVERAGE(INDIRECT("I"&amp;$D$11):INDIRECT("I"&amp;$E$11)),IF(F704=5,AVERAGE(INDIRECT("I"&amp;$D$12):INDIRECT("I"&amp;$E$12)),IF(F704=6,AVERAGE(INDIRECT("I"&amp;$D$13):INDIRECT("I"&amp;$E$13))," "))))))</f>
        <v xml:space="preserve"> </v>
      </c>
      <c r="K704" s="242" t="str">
        <f t="shared" si="57"/>
        <v xml:space="preserve"> </v>
      </c>
      <c r="L704" s="242" t="str">
        <f t="shared" si="58"/>
        <v xml:space="preserve"> </v>
      </c>
      <c r="M704" s="242" t="str">
        <f t="shared" si="59"/>
        <v xml:space="preserve"> </v>
      </c>
    </row>
    <row r="705" spans="6:13" x14ac:dyDescent="0.2">
      <c r="F705" s="216" t="str">
        <f t="shared" si="55"/>
        <v xml:space="preserve"> </v>
      </c>
      <c r="G705" s="50"/>
      <c r="H705" s="242" t="str">
        <f ca="1">IF(F705=1,PERCENTILE(INDIRECT("g"&amp;$D$8):INDIRECT("g"&amp;$E$8),0.5),IF(F705=2,PERCENTILE(INDIRECT("g"&amp;$D$9):INDIRECT("g"&amp;$E$9),0.5),IF(F705=3,PERCENTILE(INDIRECT("g"&amp;$D$10):INDIRECT("g"&amp;$E$10),0.5),IF(F705=4,PERCENTILE(INDIRECT("g"&amp;$D$11):INDIRECT("g"&amp;$E$11),0.5),IF(F705=5,PERCENTILE(INDIRECT("g"&amp;$D$12):INDIRECT("g"&amp;$E$12),0.5),IF(F705=6,PERCENTILE(INDIRECT("g"&amp;$D$13):INDIRECT("g"&amp;$E$13),0.5)," "))))))</f>
        <v xml:space="preserve"> </v>
      </c>
      <c r="I705" s="242" t="str">
        <f t="shared" si="56"/>
        <v xml:space="preserve"> </v>
      </c>
      <c r="J705" s="242" t="str">
        <f ca="1">IF(F705=1,AVERAGE(INDIRECT("I"&amp;$D$8):INDIRECT("I"&amp;$E$8)),IF(F705=2,AVERAGE(INDIRECT("I"&amp;$D$9):INDIRECT("I"&amp;$E$9)),IF(F705=3,AVERAGE(INDIRECT("I"&amp;$D$10):INDIRECT("I"&amp;$E$10)),IF(F705=4,AVERAGE(INDIRECT("I"&amp;$D$11):INDIRECT("I"&amp;$E$11)),IF(F705=5,AVERAGE(INDIRECT("I"&amp;$D$12):INDIRECT("I"&amp;$E$12)),IF(F705=6,AVERAGE(INDIRECT("I"&amp;$D$13):INDIRECT("I"&amp;$E$13))," "))))))</f>
        <v xml:space="preserve"> </v>
      </c>
      <c r="K705" s="242" t="str">
        <f t="shared" si="57"/>
        <v xml:space="preserve"> </v>
      </c>
      <c r="L705" s="242" t="str">
        <f t="shared" si="58"/>
        <v xml:space="preserve"> </v>
      </c>
      <c r="M705" s="242" t="str">
        <f t="shared" si="59"/>
        <v xml:space="preserve"> </v>
      </c>
    </row>
    <row r="706" spans="6:13" x14ac:dyDescent="0.2">
      <c r="F706" s="216" t="str">
        <f t="shared" si="55"/>
        <v xml:space="preserve"> </v>
      </c>
      <c r="G706" s="50"/>
      <c r="H706" s="242" t="str">
        <f ca="1">IF(F706=1,PERCENTILE(INDIRECT("g"&amp;$D$8):INDIRECT("g"&amp;$E$8),0.5),IF(F706=2,PERCENTILE(INDIRECT("g"&amp;$D$9):INDIRECT("g"&amp;$E$9),0.5),IF(F706=3,PERCENTILE(INDIRECT("g"&amp;$D$10):INDIRECT("g"&amp;$E$10),0.5),IF(F706=4,PERCENTILE(INDIRECT("g"&amp;$D$11):INDIRECT("g"&amp;$E$11),0.5),IF(F706=5,PERCENTILE(INDIRECT("g"&amp;$D$12):INDIRECT("g"&amp;$E$12),0.5),IF(F706=6,PERCENTILE(INDIRECT("g"&amp;$D$13):INDIRECT("g"&amp;$E$13),0.5)," "))))))</f>
        <v xml:space="preserve"> </v>
      </c>
      <c r="I706" s="242" t="str">
        <f t="shared" si="56"/>
        <v xml:space="preserve"> </v>
      </c>
      <c r="J706" s="242" t="str">
        <f ca="1">IF(F706=1,AVERAGE(INDIRECT("I"&amp;$D$8):INDIRECT("I"&amp;$E$8)),IF(F706=2,AVERAGE(INDIRECT("I"&amp;$D$9):INDIRECT("I"&amp;$E$9)),IF(F706=3,AVERAGE(INDIRECT("I"&amp;$D$10):INDIRECT("I"&amp;$E$10)),IF(F706=4,AVERAGE(INDIRECT("I"&amp;$D$11):INDIRECT("I"&amp;$E$11)),IF(F706=5,AVERAGE(INDIRECT("I"&amp;$D$12):INDIRECT("I"&amp;$E$12)),IF(F706=6,AVERAGE(INDIRECT("I"&amp;$D$13):INDIRECT("I"&amp;$E$13))," "))))))</f>
        <v xml:space="preserve"> </v>
      </c>
      <c r="K706" s="242" t="str">
        <f t="shared" si="57"/>
        <v xml:space="preserve"> </v>
      </c>
      <c r="L706" s="242" t="str">
        <f t="shared" si="58"/>
        <v xml:space="preserve"> </v>
      </c>
      <c r="M706" s="242" t="str">
        <f t="shared" si="59"/>
        <v xml:space="preserve"> </v>
      </c>
    </row>
    <row r="707" spans="6:13" x14ac:dyDescent="0.2">
      <c r="F707" s="216" t="str">
        <f t="shared" si="55"/>
        <v xml:space="preserve"> </v>
      </c>
      <c r="G707" s="50"/>
      <c r="H707" s="242" t="str">
        <f ca="1">IF(F707=1,PERCENTILE(INDIRECT("g"&amp;$D$8):INDIRECT("g"&amp;$E$8),0.5),IF(F707=2,PERCENTILE(INDIRECT("g"&amp;$D$9):INDIRECT("g"&amp;$E$9),0.5),IF(F707=3,PERCENTILE(INDIRECT("g"&amp;$D$10):INDIRECT("g"&amp;$E$10),0.5),IF(F707=4,PERCENTILE(INDIRECT("g"&amp;$D$11):INDIRECT("g"&amp;$E$11),0.5),IF(F707=5,PERCENTILE(INDIRECT("g"&amp;$D$12):INDIRECT("g"&amp;$E$12),0.5),IF(F707=6,PERCENTILE(INDIRECT("g"&amp;$D$13):INDIRECT("g"&amp;$E$13),0.5)," "))))))</f>
        <v xml:space="preserve"> </v>
      </c>
      <c r="I707" s="242" t="str">
        <f t="shared" si="56"/>
        <v xml:space="preserve"> </v>
      </c>
      <c r="J707" s="242" t="str">
        <f ca="1">IF(F707=1,AVERAGE(INDIRECT("I"&amp;$D$8):INDIRECT("I"&amp;$E$8)),IF(F707=2,AVERAGE(INDIRECT("I"&amp;$D$9):INDIRECT("I"&amp;$E$9)),IF(F707=3,AVERAGE(INDIRECT("I"&amp;$D$10):INDIRECT("I"&amp;$E$10)),IF(F707=4,AVERAGE(INDIRECT("I"&amp;$D$11):INDIRECT("I"&amp;$E$11)),IF(F707=5,AVERAGE(INDIRECT("I"&amp;$D$12):INDIRECT("I"&amp;$E$12)),IF(F707=6,AVERAGE(INDIRECT("I"&amp;$D$13):INDIRECT("I"&amp;$E$13))," "))))))</f>
        <v xml:space="preserve"> </v>
      </c>
      <c r="K707" s="242" t="str">
        <f t="shared" si="57"/>
        <v xml:space="preserve"> </v>
      </c>
      <c r="L707" s="242" t="str">
        <f t="shared" si="58"/>
        <v xml:space="preserve"> </v>
      </c>
      <c r="M707" s="242" t="str">
        <f t="shared" si="59"/>
        <v xml:space="preserve"> </v>
      </c>
    </row>
    <row r="708" spans="6:13" x14ac:dyDescent="0.2">
      <c r="F708" s="216" t="str">
        <f t="shared" si="55"/>
        <v xml:space="preserve"> </v>
      </c>
      <c r="G708" s="50"/>
      <c r="H708" s="242" t="str">
        <f ca="1">IF(F708=1,PERCENTILE(INDIRECT("g"&amp;$D$8):INDIRECT("g"&amp;$E$8),0.5),IF(F708=2,PERCENTILE(INDIRECT("g"&amp;$D$9):INDIRECT("g"&amp;$E$9),0.5),IF(F708=3,PERCENTILE(INDIRECT("g"&amp;$D$10):INDIRECT("g"&amp;$E$10),0.5),IF(F708=4,PERCENTILE(INDIRECT("g"&amp;$D$11):INDIRECT("g"&amp;$E$11),0.5),IF(F708=5,PERCENTILE(INDIRECT("g"&amp;$D$12):INDIRECT("g"&amp;$E$12),0.5),IF(F708=6,PERCENTILE(INDIRECT("g"&amp;$D$13):INDIRECT("g"&amp;$E$13),0.5)," "))))))</f>
        <v xml:space="preserve"> </v>
      </c>
      <c r="I708" s="242" t="str">
        <f t="shared" si="56"/>
        <v xml:space="preserve"> </v>
      </c>
      <c r="J708" s="242" t="str">
        <f ca="1">IF(F708=1,AVERAGE(INDIRECT("I"&amp;$D$8):INDIRECT("I"&amp;$E$8)),IF(F708=2,AVERAGE(INDIRECT("I"&amp;$D$9):INDIRECT("I"&amp;$E$9)),IF(F708=3,AVERAGE(INDIRECT("I"&amp;$D$10):INDIRECT("I"&amp;$E$10)),IF(F708=4,AVERAGE(INDIRECT("I"&amp;$D$11):INDIRECT("I"&amp;$E$11)),IF(F708=5,AVERAGE(INDIRECT("I"&amp;$D$12):INDIRECT("I"&amp;$E$12)),IF(F708=6,AVERAGE(INDIRECT("I"&amp;$D$13):INDIRECT("I"&amp;$E$13))," "))))))</f>
        <v xml:space="preserve"> </v>
      </c>
      <c r="K708" s="242" t="str">
        <f t="shared" si="57"/>
        <v xml:space="preserve"> </v>
      </c>
      <c r="L708" s="242" t="str">
        <f t="shared" si="58"/>
        <v xml:space="preserve"> </v>
      </c>
      <c r="M708" s="242" t="str">
        <f t="shared" si="59"/>
        <v xml:space="preserve"> </v>
      </c>
    </row>
    <row r="709" spans="6:13" x14ac:dyDescent="0.2">
      <c r="F709" s="216" t="str">
        <f t="shared" si="55"/>
        <v xml:space="preserve"> </v>
      </c>
      <c r="G709" s="50"/>
      <c r="H709" s="242" t="str">
        <f ca="1">IF(F709=1,PERCENTILE(INDIRECT("g"&amp;$D$8):INDIRECT("g"&amp;$E$8),0.5),IF(F709=2,PERCENTILE(INDIRECT("g"&amp;$D$9):INDIRECT("g"&amp;$E$9),0.5),IF(F709=3,PERCENTILE(INDIRECT("g"&amp;$D$10):INDIRECT("g"&amp;$E$10),0.5),IF(F709=4,PERCENTILE(INDIRECT("g"&amp;$D$11):INDIRECT("g"&amp;$E$11),0.5),IF(F709=5,PERCENTILE(INDIRECT("g"&amp;$D$12):INDIRECT("g"&amp;$E$12),0.5),IF(F709=6,PERCENTILE(INDIRECT("g"&amp;$D$13):INDIRECT("g"&amp;$E$13),0.5)," "))))))</f>
        <v xml:space="preserve"> </v>
      </c>
      <c r="I709" s="242" t="str">
        <f t="shared" si="56"/>
        <v xml:space="preserve"> </v>
      </c>
      <c r="J709" s="242" t="str">
        <f ca="1">IF(F709=1,AVERAGE(INDIRECT("I"&amp;$D$8):INDIRECT("I"&amp;$E$8)),IF(F709=2,AVERAGE(INDIRECT("I"&amp;$D$9):INDIRECT("I"&amp;$E$9)),IF(F709=3,AVERAGE(INDIRECT("I"&amp;$D$10):INDIRECT("I"&amp;$E$10)),IF(F709=4,AVERAGE(INDIRECT("I"&amp;$D$11):INDIRECT("I"&amp;$E$11)),IF(F709=5,AVERAGE(INDIRECT("I"&amp;$D$12):INDIRECT("I"&amp;$E$12)),IF(F709=6,AVERAGE(INDIRECT("I"&amp;$D$13):INDIRECT("I"&amp;$E$13))," "))))))</f>
        <v xml:space="preserve"> </v>
      </c>
      <c r="K709" s="242" t="str">
        <f t="shared" si="57"/>
        <v xml:space="preserve"> </v>
      </c>
      <c r="L709" s="242" t="str">
        <f t="shared" si="58"/>
        <v xml:space="preserve"> </v>
      </c>
      <c r="M709" s="242" t="str">
        <f t="shared" si="59"/>
        <v xml:space="preserve"> </v>
      </c>
    </row>
    <row r="710" spans="6:13" x14ac:dyDescent="0.2">
      <c r="F710" s="216" t="str">
        <f t="shared" ref="F710:F773" si="60">IF(AND(ROW()&gt;=$D$8,ROW()&lt;=$E$8),1,IF(AND(ROW()&gt;=$D$9,ROW()&lt;=$E$9),2,IF(AND(ROW()&gt;=$D$10,ROW()&lt;=$E$10),3,IF(AND(ROW()&gt;=$D$11,ROW()&lt;=$E$11),4,IF(AND(ROW()&gt;=$D$12,ROW()&lt;=$E$12),5,IF(AND(ROW()&gt;=$D$13,ROW()&lt;=$E$13),6," "))))))</f>
        <v xml:space="preserve"> </v>
      </c>
      <c r="G710" s="50"/>
      <c r="H710" s="242" t="str">
        <f ca="1">IF(F710=1,PERCENTILE(INDIRECT("g"&amp;$D$8):INDIRECT("g"&amp;$E$8),0.5),IF(F710=2,PERCENTILE(INDIRECT("g"&amp;$D$9):INDIRECT("g"&amp;$E$9),0.5),IF(F710=3,PERCENTILE(INDIRECT("g"&amp;$D$10):INDIRECT("g"&amp;$E$10),0.5),IF(F710=4,PERCENTILE(INDIRECT("g"&amp;$D$11):INDIRECT("g"&amp;$E$11),0.5),IF(F710=5,PERCENTILE(INDIRECT("g"&amp;$D$12):INDIRECT("g"&amp;$E$12),0.5),IF(F710=6,PERCENTILE(INDIRECT("g"&amp;$D$13):INDIRECT("g"&amp;$E$13),0.5)," "))))))</f>
        <v xml:space="preserve"> </v>
      </c>
      <c r="I710" s="242" t="str">
        <f t="shared" ref="I710:I773" si="61">IF(ROW()&lt;=MAX($E$8:$E$13),ABS(G710-H710)," ")</f>
        <v xml:space="preserve"> </v>
      </c>
      <c r="J710" s="242" t="str">
        <f ca="1">IF(F710=1,AVERAGE(INDIRECT("I"&amp;$D$8):INDIRECT("I"&amp;$E$8)),IF(F710=2,AVERAGE(INDIRECT("I"&amp;$D$9):INDIRECT("I"&amp;$E$9)),IF(F710=3,AVERAGE(INDIRECT("I"&amp;$D$10):INDIRECT("I"&amp;$E$10)),IF(F710=4,AVERAGE(INDIRECT("I"&amp;$D$11):INDIRECT("I"&amp;$E$11)),IF(F710=5,AVERAGE(INDIRECT("I"&amp;$D$12):INDIRECT("I"&amp;$E$12)),IF(F710=6,AVERAGE(INDIRECT("I"&amp;$D$13):INDIRECT("I"&amp;$E$13))," "))))))</f>
        <v xml:space="preserve"> </v>
      </c>
      <c r="K710" s="242" t="str">
        <f t="shared" ref="K710:K773" si="62">IF(ROW()&lt;=MAX($E$8:$E$13),AVERAGE($I$6:$I$1005)," ")</f>
        <v xml:space="preserve"> </v>
      </c>
      <c r="L710" s="242" t="str">
        <f t="shared" ref="L710:L773" si="63">IF(ROW()&lt;=MAX($E$8:$E$13),(I710-J710)^2," ")</f>
        <v xml:space="preserve"> </v>
      </c>
      <c r="M710" s="242" t="str">
        <f t="shared" ref="M710:M773" si="64">IF(ROW()&lt;=MAX($E$8:$E$13),(J710-K710)^2," ")</f>
        <v xml:space="preserve"> </v>
      </c>
    </row>
    <row r="711" spans="6:13" x14ac:dyDescent="0.2">
      <c r="F711" s="216" t="str">
        <f t="shared" si="60"/>
        <v xml:space="preserve"> </v>
      </c>
      <c r="G711" s="50"/>
      <c r="H711" s="242" t="str">
        <f ca="1">IF(F711=1,PERCENTILE(INDIRECT("g"&amp;$D$8):INDIRECT("g"&amp;$E$8),0.5),IF(F711=2,PERCENTILE(INDIRECT("g"&amp;$D$9):INDIRECT("g"&amp;$E$9),0.5),IF(F711=3,PERCENTILE(INDIRECT("g"&amp;$D$10):INDIRECT("g"&amp;$E$10),0.5),IF(F711=4,PERCENTILE(INDIRECT("g"&amp;$D$11):INDIRECT("g"&amp;$E$11),0.5),IF(F711=5,PERCENTILE(INDIRECT("g"&amp;$D$12):INDIRECT("g"&amp;$E$12),0.5),IF(F711=6,PERCENTILE(INDIRECT("g"&amp;$D$13):INDIRECT("g"&amp;$E$13),0.5)," "))))))</f>
        <v xml:space="preserve"> </v>
      </c>
      <c r="I711" s="242" t="str">
        <f t="shared" si="61"/>
        <v xml:space="preserve"> </v>
      </c>
      <c r="J711" s="242" t="str">
        <f ca="1">IF(F711=1,AVERAGE(INDIRECT("I"&amp;$D$8):INDIRECT("I"&amp;$E$8)),IF(F711=2,AVERAGE(INDIRECT("I"&amp;$D$9):INDIRECT("I"&amp;$E$9)),IF(F711=3,AVERAGE(INDIRECT("I"&amp;$D$10):INDIRECT("I"&amp;$E$10)),IF(F711=4,AVERAGE(INDIRECT("I"&amp;$D$11):INDIRECT("I"&amp;$E$11)),IF(F711=5,AVERAGE(INDIRECT("I"&amp;$D$12):INDIRECT("I"&amp;$E$12)),IF(F711=6,AVERAGE(INDIRECT("I"&amp;$D$13):INDIRECT("I"&amp;$E$13))," "))))))</f>
        <v xml:space="preserve"> </v>
      </c>
      <c r="K711" s="242" t="str">
        <f t="shared" si="62"/>
        <v xml:space="preserve"> </v>
      </c>
      <c r="L711" s="242" t="str">
        <f t="shared" si="63"/>
        <v xml:space="preserve"> </v>
      </c>
      <c r="M711" s="242" t="str">
        <f t="shared" si="64"/>
        <v xml:space="preserve"> </v>
      </c>
    </row>
    <row r="712" spans="6:13" x14ac:dyDescent="0.2">
      <c r="F712" s="216" t="str">
        <f t="shared" si="60"/>
        <v xml:space="preserve"> </v>
      </c>
      <c r="G712" s="50"/>
      <c r="H712" s="242" t="str">
        <f ca="1">IF(F712=1,PERCENTILE(INDIRECT("g"&amp;$D$8):INDIRECT("g"&amp;$E$8),0.5),IF(F712=2,PERCENTILE(INDIRECT("g"&amp;$D$9):INDIRECT("g"&amp;$E$9),0.5),IF(F712=3,PERCENTILE(INDIRECT("g"&amp;$D$10):INDIRECT("g"&amp;$E$10),0.5),IF(F712=4,PERCENTILE(INDIRECT("g"&amp;$D$11):INDIRECT("g"&amp;$E$11),0.5),IF(F712=5,PERCENTILE(INDIRECT("g"&amp;$D$12):INDIRECT("g"&amp;$E$12),0.5),IF(F712=6,PERCENTILE(INDIRECT("g"&amp;$D$13):INDIRECT("g"&amp;$E$13),0.5)," "))))))</f>
        <v xml:space="preserve"> </v>
      </c>
      <c r="I712" s="242" t="str">
        <f t="shared" si="61"/>
        <v xml:space="preserve"> </v>
      </c>
      <c r="J712" s="242" t="str">
        <f ca="1">IF(F712=1,AVERAGE(INDIRECT("I"&amp;$D$8):INDIRECT("I"&amp;$E$8)),IF(F712=2,AVERAGE(INDIRECT("I"&amp;$D$9):INDIRECT("I"&amp;$E$9)),IF(F712=3,AVERAGE(INDIRECT("I"&amp;$D$10):INDIRECT("I"&amp;$E$10)),IF(F712=4,AVERAGE(INDIRECT("I"&amp;$D$11):INDIRECT("I"&amp;$E$11)),IF(F712=5,AVERAGE(INDIRECT("I"&amp;$D$12):INDIRECT("I"&amp;$E$12)),IF(F712=6,AVERAGE(INDIRECT("I"&amp;$D$13):INDIRECT("I"&amp;$E$13))," "))))))</f>
        <v xml:space="preserve"> </v>
      </c>
      <c r="K712" s="242" t="str">
        <f t="shared" si="62"/>
        <v xml:space="preserve"> </v>
      </c>
      <c r="L712" s="242" t="str">
        <f t="shared" si="63"/>
        <v xml:space="preserve"> </v>
      </c>
      <c r="M712" s="242" t="str">
        <f t="shared" si="64"/>
        <v xml:space="preserve"> </v>
      </c>
    </row>
    <row r="713" spans="6:13" x14ac:dyDescent="0.2">
      <c r="F713" s="216" t="str">
        <f t="shared" si="60"/>
        <v xml:space="preserve"> </v>
      </c>
      <c r="G713" s="50"/>
      <c r="H713" s="242" t="str">
        <f ca="1">IF(F713=1,PERCENTILE(INDIRECT("g"&amp;$D$8):INDIRECT("g"&amp;$E$8),0.5),IF(F713=2,PERCENTILE(INDIRECT("g"&amp;$D$9):INDIRECT("g"&amp;$E$9),0.5),IF(F713=3,PERCENTILE(INDIRECT("g"&amp;$D$10):INDIRECT("g"&amp;$E$10),0.5),IF(F713=4,PERCENTILE(INDIRECT("g"&amp;$D$11):INDIRECT("g"&amp;$E$11),0.5),IF(F713=5,PERCENTILE(INDIRECT("g"&amp;$D$12):INDIRECT("g"&amp;$E$12),0.5),IF(F713=6,PERCENTILE(INDIRECT("g"&amp;$D$13):INDIRECT("g"&amp;$E$13),0.5)," "))))))</f>
        <v xml:space="preserve"> </v>
      </c>
      <c r="I713" s="242" t="str">
        <f t="shared" si="61"/>
        <v xml:space="preserve"> </v>
      </c>
      <c r="J713" s="242" t="str">
        <f ca="1">IF(F713=1,AVERAGE(INDIRECT("I"&amp;$D$8):INDIRECT("I"&amp;$E$8)),IF(F713=2,AVERAGE(INDIRECT("I"&amp;$D$9):INDIRECT("I"&amp;$E$9)),IF(F713=3,AVERAGE(INDIRECT("I"&amp;$D$10):INDIRECT("I"&amp;$E$10)),IF(F713=4,AVERAGE(INDIRECT("I"&amp;$D$11):INDIRECT("I"&amp;$E$11)),IF(F713=5,AVERAGE(INDIRECT("I"&amp;$D$12):INDIRECT("I"&amp;$E$12)),IF(F713=6,AVERAGE(INDIRECT("I"&amp;$D$13):INDIRECT("I"&amp;$E$13))," "))))))</f>
        <v xml:space="preserve"> </v>
      </c>
      <c r="K713" s="242" t="str">
        <f t="shared" si="62"/>
        <v xml:space="preserve"> </v>
      </c>
      <c r="L713" s="242" t="str">
        <f t="shared" si="63"/>
        <v xml:space="preserve"> </v>
      </c>
      <c r="M713" s="242" t="str">
        <f t="shared" si="64"/>
        <v xml:space="preserve"> </v>
      </c>
    </row>
    <row r="714" spans="6:13" x14ac:dyDescent="0.2">
      <c r="F714" s="216" t="str">
        <f t="shared" si="60"/>
        <v xml:space="preserve"> </v>
      </c>
      <c r="G714" s="50"/>
      <c r="H714" s="242" t="str">
        <f ca="1">IF(F714=1,PERCENTILE(INDIRECT("g"&amp;$D$8):INDIRECT("g"&amp;$E$8),0.5),IF(F714=2,PERCENTILE(INDIRECT("g"&amp;$D$9):INDIRECT("g"&amp;$E$9),0.5),IF(F714=3,PERCENTILE(INDIRECT("g"&amp;$D$10):INDIRECT("g"&amp;$E$10),0.5),IF(F714=4,PERCENTILE(INDIRECT("g"&amp;$D$11):INDIRECT("g"&amp;$E$11),0.5),IF(F714=5,PERCENTILE(INDIRECT("g"&amp;$D$12):INDIRECT("g"&amp;$E$12),0.5),IF(F714=6,PERCENTILE(INDIRECT("g"&amp;$D$13):INDIRECT("g"&amp;$E$13),0.5)," "))))))</f>
        <v xml:space="preserve"> </v>
      </c>
      <c r="I714" s="242" t="str">
        <f t="shared" si="61"/>
        <v xml:space="preserve"> </v>
      </c>
      <c r="J714" s="242" t="str">
        <f ca="1">IF(F714=1,AVERAGE(INDIRECT("I"&amp;$D$8):INDIRECT("I"&amp;$E$8)),IF(F714=2,AVERAGE(INDIRECT("I"&amp;$D$9):INDIRECT("I"&amp;$E$9)),IF(F714=3,AVERAGE(INDIRECT("I"&amp;$D$10):INDIRECT("I"&amp;$E$10)),IF(F714=4,AVERAGE(INDIRECT("I"&amp;$D$11):INDIRECT("I"&amp;$E$11)),IF(F714=5,AVERAGE(INDIRECT("I"&amp;$D$12):INDIRECT("I"&amp;$E$12)),IF(F714=6,AVERAGE(INDIRECT("I"&amp;$D$13):INDIRECT("I"&amp;$E$13))," "))))))</f>
        <v xml:space="preserve"> </v>
      </c>
      <c r="K714" s="242" t="str">
        <f t="shared" si="62"/>
        <v xml:space="preserve"> </v>
      </c>
      <c r="L714" s="242" t="str">
        <f t="shared" si="63"/>
        <v xml:space="preserve"> </v>
      </c>
      <c r="M714" s="242" t="str">
        <f t="shared" si="64"/>
        <v xml:space="preserve"> </v>
      </c>
    </row>
    <row r="715" spans="6:13" x14ac:dyDescent="0.2">
      <c r="F715" s="216" t="str">
        <f t="shared" si="60"/>
        <v xml:space="preserve"> </v>
      </c>
      <c r="G715" s="50"/>
      <c r="H715" s="242" t="str">
        <f ca="1">IF(F715=1,PERCENTILE(INDIRECT("g"&amp;$D$8):INDIRECT("g"&amp;$E$8),0.5),IF(F715=2,PERCENTILE(INDIRECT("g"&amp;$D$9):INDIRECT("g"&amp;$E$9),0.5),IF(F715=3,PERCENTILE(INDIRECT("g"&amp;$D$10):INDIRECT("g"&amp;$E$10),0.5),IF(F715=4,PERCENTILE(INDIRECT("g"&amp;$D$11):INDIRECT("g"&amp;$E$11),0.5),IF(F715=5,PERCENTILE(INDIRECT("g"&amp;$D$12):INDIRECT("g"&amp;$E$12),0.5),IF(F715=6,PERCENTILE(INDIRECT("g"&amp;$D$13):INDIRECT("g"&amp;$E$13),0.5)," "))))))</f>
        <v xml:space="preserve"> </v>
      </c>
      <c r="I715" s="242" t="str">
        <f t="shared" si="61"/>
        <v xml:space="preserve"> </v>
      </c>
      <c r="J715" s="242" t="str">
        <f ca="1">IF(F715=1,AVERAGE(INDIRECT("I"&amp;$D$8):INDIRECT("I"&amp;$E$8)),IF(F715=2,AVERAGE(INDIRECT("I"&amp;$D$9):INDIRECT("I"&amp;$E$9)),IF(F715=3,AVERAGE(INDIRECT("I"&amp;$D$10):INDIRECT("I"&amp;$E$10)),IF(F715=4,AVERAGE(INDIRECT("I"&amp;$D$11):INDIRECT("I"&amp;$E$11)),IF(F715=5,AVERAGE(INDIRECT("I"&amp;$D$12):INDIRECT("I"&amp;$E$12)),IF(F715=6,AVERAGE(INDIRECT("I"&amp;$D$13):INDIRECT("I"&amp;$E$13))," "))))))</f>
        <v xml:space="preserve"> </v>
      </c>
      <c r="K715" s="242" t="str">
        <f t="shared" si="62"/>
        <v xml:space="preserve"> </v>
      </c>
      <c r="L715" s="242" t="str">
        <f t="shared" si="63"/>
        <v xml:space="preserve"> </v>
      </c>
      <c r="M715" s="242" t="str">
        <f t="shared" si="64"/>
        <v xml:space="preserve"> </v>
      </c>
    </row>
    <row r="716" spans="6:13" x14ac:dyDescent="0.2">
      <c r="F716" s="216" t="str">
        <f t="shared" si="60"/>
        <v xml:space="preserve"> </v>
      </c>
      <c r="G716" s="50"/>
      <c r="H716" s="242" t="str">
        <f ca="1">IF(F716=1,PERCENTILE(INDIRECT("g"&amp;$D$8):INDIRECT("g"&amp;$E$8),0.5),IF(F716=2,PERCENTILE(INDIRECT("g"&amp;$D$9):INDIRECT("g"&amp;$E$9),0.5),IF(F716=3,PERCENTILE(INDIRECT("g"&amp;$D$10):INDIRECT("g"&amp;$E$10),0.5),IF(F716=4,PERCENTILE(INDIRECT("g"&amp;$D$11):INDIRECT("g"&amp;$E$11),0.5),IF(F716=5,PERCENTILE(INDIRECT("g"&amp;$D$12):INDIRECT("g"&amp;$E$12),0.5),IF(F716=6,PERCENTILE(INDIRECT("g"&amp;$D$13):INDIRECT("g"&amp;$E$13),0.5)," "))))))</f>
        <v xml:space="preserve"> </v>
      </c>
      <c r="I716" s="242" t="str">
        <f t="shared" si="61"/>
        <v xml:space="preserve"> </v>
      </c>
      <c r="J716" s="242" t="str">
        <f ca="1">IF(F716=1,AVERAGE(INDIRECT("I"&amp;$D$8):INDIRECT("I"&amp;$E$8)),IF(F716=2,AVERAGE(INDIRECT("I"&amp;$D$9):INDIRECT("I"&amp;$E$9)),IF(F716=3,AVERAGE(INDIRECT("I"&amp;$D$10):INDIRECT("I"&amp;$E$10)),IF(F716=4,AVERAGE(INDIRECT("I"&amp;$D$11):INDIRECT("I"&amp;$E$11)),IF(F716=5,AVERAGE(INDIRECT("I"&amp;$D$12):INDIRECT("I"&amp;$E$12)),IF(F716=6,AVERAGE(INDIRECT("I"&amp;$D$13):INDIRECT("I"&amp;$E$13))," "))))))</f>
        <v xml:space="preserve"> </v>
      </c>
      <c r="K716" s="242" t="str">
        <f t="shared" si="62"/>
        <v xml:space="preserve"> </v>
      </c>
      <c r="L716" s="242" t="str">
        <f t="shared" si="63"/>
        <v xml:space="preserve"> </v>
      </c>
      <c r="M716" s="242" t="str">
        <f t="shared" si="64"/>
        <v xml:space="preserve"> </v>
      </c>
    </row>
    <row r="717" spans="6:13" x14ac:dyDescent="0.2">
      <c r="F717" s="216" t="str">
        <f t="shared" si="60"/>
        <v xml:space="preserve"> </v>
      </c>
      <c r="G717" s="50"/>
      <c r="H717" s="242" t="str">
        <f ca="1">IF(F717=1,PERCENTILE(INDIRECT("g"&amp;$D$8):INDIRECT("g"&amp;$E$8),0.5),IF(F717=2,PERCENTILE(INDIRECT("g"&amp;$D$9):INDIRECT("g"&amp;$E$9),0.5),IF(F717=3,PERCENTILE(INDIRECT("g"&amp;$D$10):INDIRECT("g"&amp;$E$10),0.5),IF(F717=4,PERCENTILE(INDIRECT("g"&amp;$D$11):INDIRECT("g"&amp;$E$11),0.5),IF(F717=5,PERCENTILE(INDIRECT("g"&amp;$D$12):INDIRECT("g"&amp;$E$12),0.5),IF(F717=6,PERCENTILE(INDIRECT("g"&amp;$D$13):INDIRECT("g"&amp;$E$13),0.5)," "))))))</f>
        <v xml:space="preserve"> </v>
      </c>
      <c r="I717" s="242" t="str">
        <f t="shared" si="61"/>
        <v xml:space="preserve"> </v>
      </c>
      <c r="J717" s="242" t="str">
        <f ca="1">IF(F717=1,AVERAGE(INDIRECT("I"&amp;$D$8):INDIRECT("I"&amp;$E$8)),IF(F717=2,AVERAGE(INDIRECT("I"&amp;$D$9):INDIRECT("I"&amp;$E$9)),IF(F717=3,AVERAGE(INDIRECT("I"&amp;$D$10):INDIRECT("I"&amp;$E$10)),IF(F717=4,AVERAGE(INDIRECT("I"&amp;$D$11):INDIRECT("I"&amp;$E$11)),IF(F717=5,AVERAGE(INDIRECT("I"&amp;$D$12):INDIRECT("I"&amp;$E$12)),IF(F717=6,AVERAGE(INDIRECT("I"&amp;$D$13):INDIRECT("I"&amp;$E$13))," "))))))</f>
        <v xml:space="preserve"> </v>
      </c>
      <c r="K717" s="242" t="str">
        <f t="shared" si="62"/>
        <v xml:space="preserve"> </v>
      </c>
      <c r="L717" s="242" t="str">
        <f t="shared" si="63"/>
        <v xml:space="preserve"> </v>
      </c>
      <c r="M717" s="242" t="str">
        <f t="shared" si="64"/>
        <v xml:space="preserve"> </v>
      </c>
    </row>
    <row r="718" spans="6:13" x14ac:dyDescent="0.2">
      <c r="F718" s="216" t="str">
        <f t="shared" si="60"/>
        <v xml:space="preserve"> </v>
      </c>
      <c r="G718" s="50"/>
      <c r="H718" s="242" t="str">
        <f ca="1">IF(F718=1,PERCENTILE(INDIRECT("g"&amp;$D$8):INDIRECT("g"&amp;$E$8),0.5),IF(F718=2,PERCENTILE(INDIRECT("g"&amp;$D$9):INDIRECT("g"&amp;$E$9),0.5),IF(F718=3,PERCENTILE(INDIRECT("g"&amp;$D$10):INDIRECT("g"&amp;$E$10),0.5),IF(F718=4,PERCENTILE(INDIRECT("g"&amp;$D$11):INDIRECT("g"&amp;$E$11),0.5),IF(F718=5,PERCENTILE(INDIRECT("g"&amp;$D$12):INDIRECT("g"&amp;$E$12),0.5),IF(F718=6,PERCENTILE(INDIRECT("g"&amp;$D$13):INDIRECT("g"&amp;$E$13),0.5)," "))))))</f>
        <v xml:space="preserve"> </v>
      </c>
      <c r="I718" s="242" t="str">
        <f t="shared" si="61"/>
        <v xml:space="preserve"> </v>
      </c>
      <c r="J718" s="242" t="str">
        <f ca="1">IF(F718=1,AVERAGE(INDIRECT("I"&amp;$D$8):INDIRECT("I"&amp;$E$8)),IF(F718=2,AVERAGE(INDIRECT("I"&amp;$D$9):INDIRECT("I"&amp;$E$9)),IF(F718=3,AVERAGE(INDIRECT("I"&amp;$D$10):INDIRECT("I"&amp;$E$10)),IF(F718=4,AVERAGE(INDIRECT("I"&amp;$D$11):INDIRECT("I"&amp;$E$11)),IF(F718=5,AVERAGE(INDIRECT("I"&amp;$D$12):INDIRECT("I"&amp;$E$12)),IF(F718=6,AVERAGE(INDIRECT("I"&amp;$D$13):INDIRECT("I"&amp;$E$13))," "))))))</f>
        <v xml:space="preserve"> </v>
      </c>
      <c r="K718" s="242" t="str">
        <f t="shared" si="62"/>
        <v xml:space="preserve"> </v>
      </c>
      <c r="L718" s="242" t="str">
        <f t="shared" si="63"/>
        <v xml:space="preserve"> </v>
      </c>
      <c r="M718" s="242" t="str">
        <f t="shared" si="64"/>
        <v xml:space="preserve"> </v>
      </c>
    </row>
    <row r="719" spans="6:13" x14ac:dyDescent="0.2">
      <c r="F719" s="216" t="str">
        <f t="shared" si="60"/>
        <v xml:space="preserve"> </v>
      </c>
      <c r="G719" s="50"/>
      <c r="H719" s="242" t="str">
        <f ca="1">IF(F719=1,PERCENTILE(INDIRECT("g"&amp;$D$8):INDIRECT("g"&amp;$E$8),0.5),IF(F719=2,PERCENTILE(INDIRECT("g"&amp;$D$9):INDIRECT("g"&amp;$E$9),0.5),IF(F719=3,PERCENTILE(INDIRECT("g"&amp;$D$10):INDIRECT("g"&amp;$E$10),0.5),IF(F719=4,PERCENTILE(INDIRECT("g"&amp;$D$11):INDIRECT("g"&amp;$E$11),0.5),IF(F719=5,PERCENTILE(INDIRECT("g"&amp;$D$12):INDIRECT("g"&amp;$E$12),0.5),IF(F719=6,PERCENTILE(INDIRECT("g"&amp;$D$13):INDIRECT("g"&amp;$E$13),0.5)," "))))))</f>
        <v xml:space="preserve"> </v>
      </c>
      <c r="I719" s="242" t="str">
        <f t="shared" si="61"/>
        <v xml:space="preserve"> </v>
      </c>
      <c r="J719" s="242" t="str">
        <f ca="1">IF(F719=1,AVERAGE(INDIRECT("I"&amp;$D$8):INDIRECT("I"&amp;$E$8)),IF(F719=2,AVERAGE(INDIRECT("I"&amp;$D$9):INDIRECT("I"&amp;$E$9)),IF(F719=3,AVERAGE(INDIRECT("I"&amp;$D$10):INDIRECT("I"&amp;$E$10)),IF(F719=4,AVERAGE(INDIRECT("I"&amp;$D$11):INDIRECT("I"&amp;$E$11)),IF(F719=5,AVERAGE(INDIRECT("I"&amp;$D$12):INDIRECT("I"&amp;$E$12)),IF(F719=6,AVERAGE(INDIRECT("I"&amp;$D$13):INDIRECT("I"&amp;$E$13))," "))))))</f>
        <v xml:space="preserve"> </v>
      </c>
      <c r="K719" s="242" t="str">
        <f t="shared" si="62"/>
        <v xml:space="preserve"> </v>
      </c>
      <c r="L719" s="242" t="str">
        <f t="shared" si="63"/>
        <v xml:space="preserve"> </v>
      </c>
      <c r="M719" s="242" t="str">
        <f t="shared" si="64"/>
        <v xml:space="preserve"> </v>
      </c>
    </row>
    <row r="720" spans="6:13" x14ac:dyDescent="0.2">
      <c r="F720" s="216" t="str">
        <f t="shared" si="60"/>
        <v xml:space="preserve"> </v>
      </c>
      <c r="G720" s="50"/>
      <c r="H720" s="242" t="str">
        <f ca="1">IF(F720=1,PERCENTILE(INDIRECT("g"&amp;$D$8):INDIRECT("g"&amp;$E$8),0.5),IF(F720=2,PERCENTILE(INDIRECT("g"&amp;$D$9):INDIRECT("g"&amp;$E$9),0.5),IF(F720=3,PERCENTILE(INDIRECT("g"&amp;$D$10):INDIRECT("g"&amp;$E$10),0.5),IF(F720=4,PERCENTILE(INDIRECT("g"&amp;$D$11):INDIRECT("g"&amp;$E$11),0.5),IF(F720=5,PERCENTILE(INDIRECT("g"&amp;$D$12):INDIRECT("g"&amp;$E$12),0.5),IF(F720=6,PERCENTILE(INDIRECT("g"&amp;$D$13):INDIRECT("g"&amp;$E$13),0.5)," "))))))</f>
        <v xml:space="preserve"> </v>
      </c>
      <c r="I720" s="242" t="str">
        <f t="shared" si="61"/>
        <v xml:space="preserve"> </v>
      </c>
      <c r="J720" s="242" t="str">
        <f ca="1">IF(F720=1,AVERAGE(INDIRECT("I"&amp;$D$8):INDIRECT("I"&amp;$E$8)),IF(F720=2,AVERAGE(INDIRECT("I"&amp;$D$9):INDIRECT("I"&amp;$E$9)),IF(F720=3,AVERAGE(INDIRECT("I"&amp;$D$10):INDIRECT("I"&amp;$E$10)),IF(F720=4,AVERAGE(INDIRECT("I"&amp;$D$11):INDIRECT("I"&amp;$E$11)),IF(F720=5,AVERAGE(INDIRECT("I"&amp;$D$12):INDIRECT("I"&amp;$E$12)),IF(F720=6,AVERAGE(INDIRECT("I"&amp;$D$13):INDIRECT("I"&amp;$E$13))," "))))))</f>
        <v xml:space="preserve"> </v>
      </c>
      <c r="K720" s="242" t="str">
        <f t="shared" si="62"/>
        <v xml:space="preserve"> </v>
      </c>
      <c r="L720" s="242" t="str">
        <f t="shared" si="63"/>
        <v xml:space="preserve"> </v>
      </c>
      <c r="M720" s="242" t="str">
        <f t="shared" si="64"/>
        <v xml:space="preserve"> </v>
      </c>
    </row>
    <row r="721" spans="6:13" x14ac:dyDescent="0.2">
      <c r="F721" s="216" t="str">
        <f t="shared" si="60"/>
        <v xml:space="preserve"> </v>
      </c>
      <c r="G721" s="50"/>
      <c r="H721" s="242" t="str">
        <f ca="1">IF(F721=1,PERCENTILE(INDIRECT("g"&amp;$D$8):INDIRECT("g"&amp;$E$8),0.5),IF(F721=2,PERCENTILE(INDIRECT("g"&amp;$D$9):INDIRECT("g"&amp;$E$9),0.5),IF(F721=3,PERCENTILE(INDIRECT("g"&amp;$D$10):INDIRECT("g"&amp;$E$10),0.5),IF(F721=4,PERCENTILE(INDIRECT("g"&amp;$D$11):INDIRECT("g"&amp;$E$11),0.5),IF(F721=5,PERCENTILE(INDIRECT("g"&amp;$D$12):INDIRECT("g"&amp;$E$12),0.5),IF(F721=6,PERCENTILE(INDIRECT("g"&amp;$D$13):INDIRECT("g"&amp;$E$13),0.5)," "))))))</f>
        <v xml:space="preserve"> </v>
      </c>
      <c r="I721" s="242" t="str">
        <f t="shared" si="61"/>
        <v xml:space="preserve"> </v>
      </c>
      <c r="J721" s="242" t="str">
        <f ca="1">IF(F721=1,AVERAGE(INDIRECT("I"&amp;$D$8):INDIRECT("I"&amp;$E$8)),IF(F721=2,AVERAGE(INDIRECT("I"&amp;$D$9):INDIRECT("I"&amp;$E$9)),IF(F721=3,AVERAGE(INDIRECT("I"&amp;$D$10):INDIRECT("I"&amp;$E$10)),IF(F721=4,AVERAGE(INDIRECT("I"&amp;$D$11):INDIRECT("I"&amp;$E$11)),IF(F721=5,AVERAGE(INDIRECT("I"&amp;$D$12):INDIRECT("I"&amp;$E$12)),IF(F721=6,AVERAGE(INDIRECT("I"&amp;$D$13):INDIRECT("I"&amp;$E$13))," "))))))</f>
        <v xml:space="preserve"> </v>
      </c>
      <c r="K721" s="242" t="str">
        <f t="shared" si="62"/>
        <v xml:space="preserve"> </v>
      </c>
      <c r="L721" s="242" t="str">
        <f t="shared" si="63"/>
        <v xml:space="preserve"> </v>
      </c>
      <c r="M721" s="242" t="str">
        <f t="shared" si="64"/>
        <v xml:space="preserve"> </v>
      </c>
    </row>
    <row r="722" spans="6:13" x14ac:dyDescent="0.2">
      <c r="F722" s="216" t="str">
        <f t="shared" si="60"/>
        <v xml:space="preserve"> </v>
      </c>
      <c r="G722" s="50"/>
      <c r="H722" s="242" t="str">
        <f ca="1">IF(F722=1,PERCENTILE(INDIRECT("g"&amp;$D$8):INDIRECT("g"&amp;$E$8),0.5),IF(F722=2,PERCENTILE(INDIRECT("g"&amp;$D$9):INDIRECT("g"&amp;$E$9),0.5),IF(F722=3,PERCENTILE(INDIRECT("g"&amp;$D$10):INDIRECT("g"&amp;$E$10),0.5),IF(F722=4,PERCENTILE(INDIRECT("g"&amp;$D$11):INDIRECT("g"&amp;$E$11),0.5),IF(F722=5,PERCENTILE(INDIRECT("g"&amp;$D$12):INDIRECT("g"&amp;$E$12),0.5),IF(F722=6,PERCENTILE(INDIRECT("g"&amp;$D$13):INDIRECT("g"&amp;$E$13),0.5)," "))))))</f>
        <v xml:space="preserve"> </v>
      </c>
      <c r="I722" s="242" t="str">
        <f t="shared" si="61"/>
        <v xml:space="preserve"> </v>
      </c>
      <c r="J722" s="242" t="str">
        <f ca="1">IF(F722=1,AVERAGE(INDIRECT("I"&amp;$D$8):INDIRECT("I"&amp;$E$8)),IF(F722=2,AVERAGE(INDIRECT("I"&amp;$D$9):INDIRECT("I"&amp;$E$9)),IF(F722=3,AVERAGE(INDIRECT("I"&amp;$D$10):INDIRECT("I"&amp;$E$10)),IF(F722=4,AVERAGE(INDIRECT("I"&amp;$D$11):INDIRECT("I"&amp;$E$11)),IF(F722=5,AVERAGE(INDIRECT("I"&amp;$D$12):INDIRECT("I"&amp;$E$12)),IF(F722=6,AVERAGE(INDIRECT("I"&amp;$D$13):INDIRECT("I"&amp;$E$13))," "))))))</f>
        <v xml:space="preserve"> </v>
      </c>
      <c r="K722" s="242" t="str">
        <f t="shared" si="62"/>
        <v xml:space="preserve"> </v>
      </c>
      <c r="L722" s="242" t="str">
        <f t="shared" si="63"/>
        <v xml:space="preserve"> </v>
      </c>
      <c r="M722" s="242" t="str">
        <f t="shared" si="64"/>
        <v xml:space="preserve"> </v>
      </c>
    </row>
    <row r="723" spans="6:13" x14ac:dyDescent="0.2">
      <c r="F723" s="216" t="str">
        <f t="shared" si="60"/>
        <v xml:space="preserve"> </v>
      </c>
      <c r="G723" s="50"/>
      <c r="H723" s="242" t="str">
        <f ca="1">IF(F723=1,PERCENTILE(INDIRECT("g"&amp;$D$8):INDIRECT("g"&amp;$E$8),0.5),IF(F723=2,PERCENTILE(INDIRECT("g"&amp;$D$9):INDIRECT("g"&amp;$E$9),0.5),IF(F723=3,PERCENTILE(INDIRECT("g"&amp;$D$10):INDIRECT("g"&amp;$E$10),0.5),IF(F723=4,PERCENTILE(INDIRECT("g"&amp;$D$11):INDIRECT("g"&amp;$E$11),0.5),IF(F723=5,PERCENTILE(INDIRECT("g"&amp;$D$12):INDIRECT("g"&amp;$E$12),0.5),IF(F723=6,PERCENTILE(INDIRECT("g"&amp;$D$13):INDIRECT("g"&amp;$E$13),0.5)," "))))))</f>
        <v xml:space="preserve"> </v>
      </c>
      <c r="I723" s="242" t="str">
        <f t="shared" si="61"/>
        <v xml:space="preserve"> </v>
      </c>
      <c r="J723" s="242" t="str">
        <f ca="1">IF(F723=1,AVERAGE(INDIRECT("I"&amp;$D$8):INDIRECT("I"&amp;$E$8)),IF(F723=2,AVERAGE(INDIRECT("I"&amp;$D$9):INDIRECT("I"&amp;$E$9)),IF(F723=3,AVERAGE(INDIRECT("I"&amp;$D$10):INDIRECT("I"&amp;$E$10)),IF(F723=4,AVERAGE(INDIRECT("I"&amp;$D$11):INDIRECT("I"&amp;$E$11)),IF(F723=5,AVERAGE(INDIRECT("I"&amp;$D$12):INDIRECT("I"&amp;$E$12)),IF(F723=6,AVERAGE(INDIRECT("I"&amp;$D$13):INDIRECT("I"&amp;$E$13))," "))))))</f>
        <v xml:space="preserve"> </v>
      </c>
      <c r="K723" s="242" t="str">
        <f t="shared" si="62"/>
        <v xml:space="preserve"> </v>
      </c>
      <c r="L723" s="242" t="str">
        <f t="shared" si="63"/>
        <v xml:space="preserve"> </v>
      </c>
      <c r="M723" s="242" t="str">
        <f t="shared" si="64"/>
        <v xml:space="preserve"> </v>
      </c>
    </row>
    <row r="724" spans="6:13" x14ac:dyDescent="0.2">
      <c r="F724" s="216" t="str">
        <f t="shared" si="60"/>
        <v xml:space="preserve"> </v>
      </c>
      <c r="G724" s="50"/>
      <c r="H724" s="242" t="str">
        <f ca="1">IF(F724=1,PERCENTILE(INDIRECT("g"&amp;$D$8):INDIRECT("g"&amp;$E$8),0.5),IF(F724=2,PERCENTILE(INDIRECT("g"&amp;$D$9):INDIRECT("g"&amp;$E$9),0.5),IF(F724=3,PERCENTILE(INDIRECT("g"&amp;$D$10):INDIRECT("g"&amp;$E$10),0.5),IF(F724=4,PERCENTILE(INDIRECT("g"&amp;$D$11):INDIRECT("g"&amp;$E$11),0.5),IF(F724=5,PERCENTILE(INDIRECT("g"&amp;$D$12):INDIRECT("g"&amp;$E$12),0.5),IF(F724=6,PERCENTILE(INDIRECT("g"&amp;$D$13):INDIRECT("g"&amp;$E$13),0.5)," "))))))</f>
        <v xml:space="preserve"> </v>
      </c>
      <c r="I724" s="242" t="str">
        <f t="shared" si="61"/>
        <v xml:space="preserve"> </v>
      </c>
      <c r="J724" s="242" t="str">
        <f ca="1">IF(F724=1,AVERAGE(INDIRECT("I"&amp;$D$8):INDIRECT("I"&amp;$E$8)),IF(F724=2,AVERAGE(INDIRECT("I"&amp;$D$9):INDIRECT("I"&amp;$E$9)),IF(F724=3,AVERAGE(INDIRECT("I"&amp;$D$10):INDIRECT("I"&amp;$E$10)),IF(F724=4,AVERAGE(INDIRECT("I"&amp;$D$11):INDIRECT("I"&amp;$E$11)),IF(F724=5,AVERAGE(INDIRECT("I"&amp;$D$12):INDIRECT("I"&amp;$E$12)),IF(F724=6,AVERAGE(INDIRECT("I"&amp;$D$13):INDIRECT("I"&amp;$E$13))," "))))))</f>
        <v xml:space="preserve"> </v>
      </c>
      <c r="K724" s="242" t="str">
        <f t="shared" si="62"/>
        <v xml:space="preserve"> </v>
      </c>
      <c r="L724" s="242" t="str">
        <f t="shared" si="63"/>
        <v xml:space="preserve"> </v>
      </c>
      <c r="M724" s="242" t="str">
        <f t="shared" si="64"/>
        <v xml:space="preserve"> </v>
      </c>
    </row>
    <row r="725" spans="6:13" x14ac:dyDescent="0.2">
      <c r="F725" s="216" t="str">
        <f t="shared" si="60"/>
        <v xml:space="preserve"> </v>
      </c>
      <c r="G725" s="50"/>
      <c r="H725" s="242" t="str">
        <f ca="1">IF(F725=1,PERCENTILE(INDIRECT("g"&amp;$D$8):INDIRECT("g"&amp;$E$8),0.5),IF(F725=2,PERCENTILE(INDIRECT("g"&amp;$D$9):INDIRECT("g"&amp;$E$9),0.5),IF(F725=3,PERCENTILE(INDIRECT("g"&amp;$D$10):INDIRECT("g"&amp;$E$10),0.5),IF(F725=4,PERCENTILE(INDIRECT("g"&amp;$D$11):INDIRECT("g"&amp;$E$11),0.5),IF(F725=5,PERCENTILE(INDIRECT("g"&amp;$D$12):INDIRECT("g"&amp;$E$12),0.5),IF(F725=6,PERCENTILE(INDIRECT("g"&amp;$D$13):INDIRECT("g"&amp;$E$13),0.5)," "))))))</f>
        <v xml:space="preserve"> </v>
      </c>
      <c r="I725" s="242" t="str">
        <f t="shared" si="61"/>
        <v xml:space="preserve"> </v>
      </c>
      <c r="J725" s="242" t="str">
        <f ca="1">IF(F725=1,AVERAGE(INDIRECT("I"&amp;$D$8):INDIRECT("I"&amp;$E$8)),IF(F725=2,AVERAGE(INDIRECT("I"&amp;$D$9):INDIRECT("I"&amp;$E$9)),IF(F725=3,AVERAGE(INDIRECT("I"&amp;$D$10):INDIRECT("I"&amp;$E$10)),IF(F725=4,AVERAGE(INDIRECT("I"&amp;$D$11):INDIRECT("I"&amp;$E$11)),IF(F725=5,AVERAGE(INDIRECT("I"&amp;$D$12):INDIRECT("I"&amp;$E$12)),IF(F725=6,AVERAGE(INDIRECT("I"&amp;$D$13):INDIRECT("I"&amp;$E$13))," "))))))</f>
        <v xml:space="preserve"> </v>
      </c>
      <c r="K725" s="242" t="str">
        <f t="shared" si="62"/>
        <v xml:space="preserve"> </v>
      </c>
      <c r="L725" s="242" t="str">
        <f t="shared" si="63"/>
        <v xml:space="preserve"> </v>
      </c>
      <c r="M725" s="242" t="str">
        <f t="shared" si="64"/>
        <v xml:space="preserve"> </v>
      </c>
    </row>
    <row r="726" spans="6:13" x14ac:dyDescent="0.2">
      <c r="F726" s="216" t="str">
        <f t="shared" si="60"/>
        <v xml:space="preserve"> </v>
      </c>
      <c r="G726" s="50"/>
      <c r="H726" s="242" t="str">
        <f ca="1">IF(F726=1,PERCENTILE(INDIRECT("g"&amp;$D$8):INDIRECT("g"&amp;$E$8),0.5),IF(F726=2,PERCENTILE(INDIRECT("g"&amp;$D$9):INDIRECT("g"&amp;$E$9),0.5),IF(F726=3,PERCENTILE(INDIRECT("g"&amp;$D$10):INDIRECT("g"&amp;$E$10),0.5),IF(F726=4,PERCENTILE(INDIRECT("g"&amp;$D$11):INDIRECT("g"&amp;$E$11),0.5),IF(F726=5,PERCENTILE(INDIRECT("g"&amp;$D$12):INDIRECT("g"&amp;$E$12),0.5),IF(F726=6,PERCENTILE(INDIRECT("g"&amp;$D$13):INDIRECT("g"&amp;$E$13),0.5)," "))))))</f>
        <v xml:space="preserve"> </v>
      </c>
      <c r="I726" s="242" t="str">
        <f t="shared" si="61"/>
        <v xml:space="preserve"> </v>
      </c>
      <c r="J726" s="242" t="str">
        <f ca="1">IF(F726=1,AVERAGE(INDIRECT("I"&amp;$D$8):INDIRECT("I"&amp;$E$8)),IF(F726=2,AVERAGE(INDIRECT("I"&amp;$D$9):INDIRECT("I"&amp;$E$9)),IF(F726=3,AVERAGE(INDIRECT("I"&amp;$D$10):INDIRECT("I"&amp;$E$10)),IF(F726=4,AVERAGE(INDIRECT("I"&amp;$D$11):INDIRECT("I"&amp;$E$11)),IF(F726=5,AVERAGE(INDIRECT("I"&amp;$D$12):INDIRECT("I"&amp;$E$12)),IF(F726=6,AVERAGE(INDIRECT("I"&amp;$D$13):INDIRECT("I"&amp;$E$13))," "))))))</f>
        <v xml:space="preserve"> </v>
      </c>
      <c r="K726" s="242" t="str">
        <f t="shared" si="62"/>
        <v xml:space="preserve"> </v>
      </c>
      <c r="L726" s="242" t="str">
        <f t="shared" si="63"/>
        <v xml:space="preserve"> </v>
      </c>
      <c r="M726" s="242" t="str">
        <f t="shared" si="64"/>
        <v xml:space="preserve"> </v>
      </c>
    </row>
    <row r="727" spans="6:13" x14ac:dyDescent="0.2">
      <c r="F727" s="216" t="str">
        <f t="shared" si="60"/>
        <v xml:space="preserve"> </v>
      </c>
      <c r="G727" s="50"/>
      <c r="H727" s="242" t="str">
        <f ca="1">IF(F727=1,PERCENTILE(INDIRECT("g"&amp;$D$8):INDIRECT("g"&amp;$E$8),0.5),IF(F727=2,PERCENTILE(INDIRECT("g"&amp;$D$9):INDIRECT("g"&amp;$E$9),0.5),IF(F727=3,PERCENTILE(INDIRECT("g"&amp;$D$10):INDIRECT("g"&amp;$E$10),0.5),IF(F727=4,PERCENTILE(INDIRECT("g"&amp;$D$11):INDIRECT("g"&amp;$E$11),0.5),IF(F727=5,PERCENTILE(INDIRECT("g"&amp;$D$12):INDIRECT("g"&amp;$E$12),0.5),IF(F727=6,PERCENTILE(INDIRECT("g"&amp;$D$13):INDIRECT("g"&amp;$E$13),0.5)," "))))))</f>
        <v xml:space="preserve"> </v>
      </c>
      <c r="I727" s="242" t="str">
        <f t="shared" si="61"/>
        <v xml:space="preserve"> </v>
      </c>
      <c r="J727" s="242" t="str">
        <f ca="1">IF(F727=1,AVERAGE(INDIRECT("I"&amp;$D$8):INDIRECT("I"&amp;$E$8)),IF(F727=2,AVERAGE(INDIRECT("I"&amp;$D$9):INDIRECT("I"&amp;$E$9)),IF(F727=3,AVERAGE(INDIRECT("I"&amp;$D$10):INDIRECT("I"&amp;$E$10)),IF(F727=4,AVERAGE(INDIRECT("I"&amp;$D$11):INDIRECT("I"&amp;$E$11)),IF(F727=5,AVERAGE(INDIRECT("I"&amp;$D$12):INDIRECT("I"&amp;$E$12)),IF(F727=6,AVERAGE(INDIRECT("I"&amp;$D$13):INDIRECT("I"&amp;$E$13))," "))))))</f>
        <v xml:space="preserve"> </v>
      </c>
      <c r="K727" s="242" t="str">
        <f t="shared" si="62"/>
        <v xml:space="preserve"> </v>
      </c>
      <c r="L727" s="242" t="str">
        <f t="shared" si="63"/>
        <v xml:space="preserve"> </v>
      </c>
      <c r="M727" s="242" t="str">
        <f t="shared" si="64"/>
        <v xml:space="preserve"> </v>
      </c>
    </row>
    <row r="728" spans="6:13" x14ac:dyDescent="0.2">
      <c r="F728" s="216" t="str">
        <f t="shared" si="60"/>
        <v xml:space="preserve"> </v>
      </c>
      <c r="G728" s="50"/>
      <c r="H728" s="242" t="str">
        <f ca="1">IF(F728=1,PERCENTILE(INDIRECT("g"&amp;$D$8):INDIRECT("g"&amp;$E$8),0.5),IF(F728=2,PERCENTILE(INDIRECT("g"&amp;$D$9):INDIRECT("g"&amp;$E$9),0.5),IF(F728=3,PERCENTILE(INDIRECT("g"&amp;$D$10):INDIRECT("g"&amp;$E$10),0.5),IF(F728=4,PERCENTILE(INDIRECT("g"&amp;$D$11):INDIRECT("g"&amp;$E$11),0.5),IF(F728=5,PERCENTILE(INDIRECT("g"&amp;$D$12):INDIRECT("g"&amp;$E$12),0.5),IF(F728=6,PERCENTILE(INDIRECT("g"&amp;$D$13):INDIRECT("g"&amp;$E$13),0.5)," "))))))</f>
        <v xml:space="preserve"> </v>
      </c>
      <c r="I728" s="242" t="str">
        <f t="shared" si="61"/>
        <v xml:space="preserve"> </v>
      </c>
      <c r="J728" s="242" t="str">
        <f ca="1">IF(F728=1,AVERAGE(INDIRECT("I"&amp;$D$8):INDIRECT("I"&amp;$E$8)),IF(F728=2,AVERAGE(INDIRECT("I"&amp;$D$9):INDIRECT("I"&amp;$E$9)),IF(F728=3,AVERAGE(INDIRECT("I"&amp;$D$10):INDIRECT("I"&amp;$E$10)),IF(F728=4,AVERAGE(INDIRECT("I"&amp;$D$11):INDIRECT("I"&amp;$E$11)),IF(F728=5,AVERAGE(INDIRECT("I"&amp;$D$12):INDIRECT("I"&amp;$E$12)),IF(F728=6,AVERAGE(INDIRECT("I"&amp;$D$13):INDIRECT("I"&amp;$E$13))," "))))))</f>
        <v xml:space="preserve"> </v>
      </c>
      <c r="K728" s="242" t="str">
        <f t="shared" si="62"/>
        <v xml:space="preserve"> </v>
      </c>
      <c r="L728" s="242" t="str">
        <f t="shared" si="63"/>
        <v xml:space="preserve"> </v>
      </c>
      <c r="M728" s="242" t="str">
        <f t="shared" si="64"/>
        <v xml:space="preserve"> </v>
      </c>
    </row>
    <row r="729" spans="6:13" x14ac:dyDescent="0.2">
      <c r="F729" s="216" t="str">
        <f t="shared" si="60"/>
        <v xml:space="preserve"> </v>
      </c>
      <c r="G729" s="50"/>
      <c r="H729" s="242" t="str">
        <f ca="1">IF(F729=1,PERCENTILE(INDIRECT("g"&amp;$D$8):INDIRECT("g"&amp;$E$8),0.5),IF(F729=2,PERCENTILE(INDIRECT("g"&amp;$D$9):INDIRECT("g"&amp;$E$9),0.5),IF(F729=3,PERCENTILE(INDIRECT("g"&amp;$D$10):INDIRECT("g"&amp;$E$10),0.5),IF(F729=4,PERCENTILE(INDIRECT("g"&amp;$D$11):INDIRECT("g"&amp;$E$11),0.5),IF(F729=5,PERCENTILE(INDIRECT("g"&amp;$D$12):INDIRECT("g"&amp;$E$12),0.5),IF(F729=6,PERCENTILE(INDIRECT("g"&amp;$D$13):INDIRECT("g"&amp;$E$13),0.5)," "))))))</f>
        <v xml:space="preserve"> </v>
      </c>
      <c r="I729" s="242" t="str">
        <f t="shared" si="61"/>
        <v xml:space="preserve"> </v>
      </c>
      <c r="J729" s="242" t="str">
        <f ca="1">IF(F729=1,AVERAGE(INDIRECT("I"&amp;$D$8):INDIRECT("I"&amp;$E$8)),IF(F729=2,AVERAGE(INDIRECT("I"&amp;$D$9):INDIRECT("I"&amp;$E$9)),IF(F729=3,AVERAGE(INDIRECT("I"&amp;$D$10):INDIRECT("I"&amp;$E$10)),IF(F729=4,AVERAGE(INDIRECT("I"&amp;$D$11):INDIRECT("I"&amp;$E$11)),IF(F729=5,AVERAGE(INDIRECT("I"&amp;$D$12):INDIRECT("I"&amp;$E$12)),IF(F729=6,AVERAGE(INDIRECT("I"&amp;$D$13):INDIRECT("I"&amp;$E$13))," "))))))</f>
        <v xml:space="preserve"> </v>
      </c>
      <c r="K729" s="242" t="str">
        <f t="shared" si="62"/>
        <v xml:space="preserve"> </v>
      </c>
      <c r="L729" s="242" t="str">
        <f t="shared" si="63"/>
        <v xml:space="preserve"> </v>
      </c>
      <c r="M729" s="242" t="str">
        <f t="shared" si="64"/>
        <v xml:space="preserve"> </v>
      </c>
    </row>
    <row r="730" spans="6:13" x14ac:dyDescent="0.2">
      <c r="F730" s="216" t="str">
        <f t="shared" si="60"/>
        <v xml:space="preserve"> </v>
      </c>
      <c r="G730" s="50"/>
      <c r="H730" s="242" t="str">
        <f ca="1">IF(F730=1,PERCENTILE(INDIRECT("g"&amp;$D$8):INDIRECT("g"&amp;$E$8),0.5),IF(F730=2,PERCENTILE(INDIRECT("g"&amp;$D$9):INDIRECT("g"&amp;$E$9),0.5),IF(F730=3,PERCENTILE(INDIRECT("g"&amp;$D$10):INDIRECT("g"&amp;$E$10),0.5),IF(F730=4,PERCENTILE(INDIRECT("g"&amp;$D$11):INDIRECT("g"&amp;$E$11),0.5),IF(F730=5,PERCENTILE(INDIRECT("g"&amp;$D$12):INDIRECT("g"&amp;$E$12),0.5),IF(F730=6,PERCENTILE(INDIRECT("g"&amp;$D$13):INDIRECT("g"&amp;$E$13),0.5)," "))))))</f>
        <v xml:space="preserve"> </v>
      </c>
      <c r="I730" s="242" t="str">
        <f t="shared" si="61"/>
        <v xml:space="preserve"> </v>
      </c>
      <c r="J730" s="242" t="str">
        <f ca="1">IF(F730=1,AVERAGE(INDIRECT("I"&amp;$D$8):INDIRECT("I"&amp;$E$8)),IF(F730=2,AVERAGE(INDIRECT("I"&amp;$D$9):INDIRECT("I"&amp;$E$9)),IF(F730=3,AVERAGE(INDIRECT("I"&amp;$D$10):INDIRECT("I"&amp;$E$10)),IF(F730=4,AVERAGE(INDIRECT("I"&amp;$D$11):INDIRECT("I"&amp;$E$11)),IF(F730=5,AVERAGE(INDIRECT("I"&amp;$D$12):INDIRECT("I"&amp;$E$12)),IF(F730=6,AVERAGE(INDIRECT("I"&amp;$D$13):INDIRECT("I"&amp;$E$13))," "))))))</f>
        <v xml:space="preserve"> </v>
      </c>
      <c r="K730" s="242" t="str">
        <f t="shared" si="62"/>
        <v xml:space="preserve"> </v>
      </c>
      <c r="L730" s="242" t="str">
        <f t="shared" si="63"/>
        <v xml:space="preserve"> </v>
      </c>
      <c r="M730" s="242" t="str">
        <f t="shared" si="64"/>
        <v xml:space="preserve"> </v>
      </c>
    </row>
    <row r="731" spans="6:13" x14ac:dyDescent="0.2">
      <c r="F731" s="216" t="str">
        <f t="shared" si="60"/>
        <v xml:space="preserve"> </v>
      </c>
      <c r="G731" s="50"/>
      <c r="H731" s="242" t="str">
        <f ca="1">IF(F731=1,PERCENTILE(INDIRECT("g"&amp;$D$8):INDIRECT("g"&amp;$E$8),0.5),IF(F731=2,PERCENTILE(INDIRECT("g"&amp;$D$9):INDIRECT("g"&amp;$E$9),0.5),IF(F731=3,PERCENTILE(INDIRECT("g"&amp;$D$10):INDIRECT("g"&amp;$E$10),0.5),IF(F731=4,PERCENTILE(INDIRECT("g"&amp;$D$11):INDIRECT("g"&amp;$E$11),0.5),IF(F731=5,PERCENTILE(INDIRECT("g"&amp;$D$12):INDIRECT("g"&amp;$E$12),0.5),IF(F731=6,PERCENTILE(INDIRECT("g"&amp;$D$13):INDIRECT("g"&amp;$E$13),0.5)," "))))))</f>
        <v xml:space="preserve"> </v>
      </c>
      <c r="I731" s="242" t="str">
        <f t="shared" si="61"/>
        <v xml:space="preserve"> </v>
      </c>
      <c r="J731" s="242" t="str">
        <f ca="1">IF(F731=1,AVERAGE(INDIRECT("I"&amp;$D$8):INDIRECT("I"&amp;$E$8)),IF(F731=2,AVERAGE(INDIRECT("I"&amp;$D$9):INDIRECT("I"&amp;$E$9)),IF(F731=3,AVERAGE(INDIRECT("I"&amp;$D$10):INDIRECT("I"&amp;$E$10)),IF(F731=4,AVERAGE(INDIRECT("I"&amp;$D$11):INDIRECT("I"&amp;$E$11)),IF(F731=5,AVERAGE(INDIRECT("I"&amp;$D$12):INDIRECT("I"&amp;$E$12)),IF(F731=6,AVERAGE(INDIRECT("I"&amp;$D$13):INDIRECT("I"&amp;$E$13))," "))))))</f>
        <v xml:space="preserve"> </v>
      </c>
      <c r="K731" s="242" t="str">
        <f t="shared" si="62"/>
        <v xml:space="preserve"> </v>
      </c>
      <c r="L731" s="242" t="str">
        <f t="shared" si="63"/>
        <v xml:space="preserve"> </v>
      </c>
      <c r="M731" s="242" t="str">
        <f t="shared" si="64"/>
        <v xml:space="preserve"> </v>
      </c>
    </row>
    <row r="732" spans="6:13" x14ac:dyDescent="0.2">
      <c r="F732" s="216" t="str">
        <f t="shared" si="60"/>
        <v xml:space="preserve"> </v>
      </c>
      <c r="G732" s="50"/>
      <c r="H732" s="242" t="str">
        <f ca="1">IF(F732=1,PERCENTILE(INDIRECT("g"&amp;$D$8):INDIRECT("g"&amp;$E$8),0.5),IF(F732=2,PERCENTILE(INDIRECT("g"&amp;$D$9):INDIRECT("g"&amp;$E$9),0.5),IF(F732=3,PERCENTILE(INDIRECT("g"&amp;$D$10):INDIRECT("g"&amp;$E$10),0.5),IF(F732=4,PERCENTILE(INDIRECT("g"&amp;$D$11):INDIRECT("g"&amp;$E$11),0.5),IF(F732=5,PERCENTILE(INDIRECT("g"&amp;$D$12):INDIRECT("g"&amp;$E$12),0.5),IF(F732=6,PERCENTILE(INDIRECT("g"&amp;$D$13):INDIRECT("g"&amp;$E$13),0.5)," "))))))</f>
        <v xml:space="preserve"> </v>
      </c>
      <c r="I732" s="242" t="str">
        <f t="shared" si="61"/>
        <v xml:space="preserve"> </v>
      </c>
      <c r="J732" s="242" t="str">
        <f ca="1">IF(F732=1,AVERAGE(INDIRECT("I"&amp;$D$8):INDIRECT("I"&amp;$E$8)),IF(F732=2,AVERAGE(INDIRECT("I"&amp;$D$9):INDIRECT("I"&amp;$E$9)),IF(F732=3,AVERAGE(INDIRECT("I"&amp;$D$10):INDIRECT("I"&amp;$E$10)),IF(F732=4,AVERAGE(INDIRECT("I"&amp;$D$11):INDIRECT("I"&amp;$E$11)),IF(F732=5,AVERAGE(INDIRECT("I"&amp;$D$12):INDIRECT("I"&amp;$E$12)),IF(F732=6,AVERAGE(INDIRECT("I"&amp;$D$13):INDIRECT("I"&amp;$E$13))," "))))))</f>
        <v xml:space="preserve"> </v>
      </c>
      <c r="K732" s="242" t="str">
        <f t="shared" si="62"/>
        <v xml:space="preserve"> </v>
      </c>
      <c r="L732" s="242" t="str">
        <f t="shared" si="63"/>
        <v xml:space="preserve"> </v>
      </c>
      <c r="M732" s="242" t="str">
        <f t="shared" si="64"/>
        <v xml:space="preserve"> </v>
      </c>
    </row>
    <row r="733" spans="6:13" x14ac:dyDescent="0.2">
      <c r="F733" s="216" t="str">
        <f t="shared" si="60"/>
        <v xml:space="preserve"> </v>
      </c>
      <c r="G733" s="50"/>
      <c r="H733" s="242" t="str">
        <f ca="1">IF(F733=1,PERCENTILE(INDIRECT("g"&amp;$D$8):INDIRECT("g"&amp;$E$8),0.5),IF(F733=2,PERCENTILE(INDIRECT("g"&amp;$D$9):INDIRECT("g"&amp;$E$9),0.5),IF(F733=3,PERCENTILE(INDIRECT("g"&amp;$D$10):INDIRECT("g"&amp;$E$10),0.5),IF(F733=4,PERCENTILE(INDIRECT("g"&amp;$D$11):INDIRECT("g"&amp;$E$11),0.5),IF(F733=5,PERCENTILE(INDIRECT("g"&amp;$D$12):INDIRECT("g"&amp;$E$12),0.5),IF(F733=6,PERCENTILE(INDIRECT("g"&amp;$D$13):INDIRECT("g"&amp;$E$13),0.5)," "))))))</f>
        <v xml:space="preserve"> </v>
      </c>
      <c r="I733" s="242" t="str">
        <f t="shared" si="61"/>
        <v xml:space="preserve"> </v>
      </c>
      <c r="J733" s="242" t="str">
        <f ca="1">IF(F733=1,AVERAGE(INDIRECT("I"&amp;$D$8):INDIRECT("I"&amp;$E$8)),IF(F733=2,AVERAGE(INDIRECT("I"&amp;$D$9):INDIRECT("I"&amp;$E$9)),IF(F733=3,AVERAGE(INDIRECT("I"&amp;$D$10):INDIRECT("I"&amp;$E$10)),IF(F733=4,AVERAGE(INDIRECT("I"&amp;$D$11):INDIRECT("I"&amp;$E$11)),IF(F733=5,AVERAGE(INDIRECT("I"&amp;$D$12):INDIRECT("I"&amp;$E$12)),IF(F733=6,AVERAGE(INDIRECT("I"&amp;$D$13):INDIRECT("I"&amp;$E$13))," "))))))</f>
        <v xml:space="preserve"> </v>
      </c>
      <c r="K733" s="242" t="str">
        <f t="shared" si="62"/>
        <v xml:space="preserve"> </v>
      </c>
      <c r="L733" s="242" t="str">
        <f t="shared" si="63"/>
        <v xml:space="preserve"> </v>
      </c>
      <c r="M733" s="242" t="str">
        <f t="shared" si="64"/>
        <v xml:space="preserve"> </v>
      </c>
    </row>
    <row r="734" spans="6:13" x14ac:dyDescent="0.2">
      <c r="F734" s="216" t="str">
        <f t="shared" si="60"/>
        <v xml:space="preserve"> </v>
      </c>
      <c r="G734" s="50"/>
      <c r="H734" s="242" t="str">
        <f ca="1">IF(F734=1,PERCENTILE(INDIRECT("g"&amp;$D$8):INDIRECT("g"&amp;$E$8),0.5),IF(F734=2,PERCENTILE(INDIRECT("g"&amp;$D$9):INDIRECT("g"&amp;$E$9),0.5),IF(F734=3,PERCENTILE(INDIRECT("g"&amp;$D$10):INDIRECT("g"&amp;$E$10),0.5),IF(F734=4,PERCENTILE(INDIRECT("g"&amp;$D$11):INDIRECT("g"&amp;$E$11),0.5),IF(F734=5,PERCENTILE(INDIRECT("g"&amp;$D$12):INDIRECT("g"&amp;$E$12),0.5),IF(F734=6,PERCENTILE(INDIRECT("g"&amp;$D$13):INDIRECT("g"&amp;$E$13),0.5)," "))))))</f>
        <v xml:space="preserve"> </v>
      </c>
      <c r="I734" s="242" t="str">
        <f t="shared" si="61"/>
        <v xml:space="preserve"> </v>
      </c>
      <c r="J734" s="242" t="str">
        <f ca="1">IF(F734=1,AVERAGE(INDIRECT("I"&amp;$D$8):INDIRECT("I"&amp;$E$8)),IF(F734=2,AVERAGE(INDIRECT("I"&amp;$D$9):INDIRECT("I"&amp;$E$9)),IF(F734=3,AVERAGE(INDIRECT("I"&amp;$D$10):INDIRECT("I"&amp;$E$10)),IF(F734=4,AVERAGE(INDIRECT("I"&amp;$D$11):INDIRECT("I"&amp;$E$11)),IF(F734=5,AVERAGE(INDIRECT("I"&amp;$D$12):INDIRECT("I"&amp;$E$12)),IF(F734=6,AVERAGE(INDIRECT("I"&amp;$D$13):INDIRECT("I"&amp;$E$13))," "))))))</f>
        <v xml:space="preserve"> </v>
      </c>
      <c r="K734" s="242" t="str">
        <f t="shared" si="62"/>
        <v xml:space="preserve"> </v>
      </c>
      <c r="L734" s="242" t="str">
        <f t="shared" si="63"/>
        <v xml:space="preserve"> </v>
      </c>
      <c r="M734" s="242" t="str">
        <f t="shared" si="64"/>
        <v xml:space="preserve"> </v>
      </c>
    </row>
    <row r="735" spans="6:13" x14ac:dyDescent="0.2">
      <c r="F735" s="216" t="str">
        <f t="shared" si="60"/>
        <v xml:space="preserve"> </v>
      </c>
      <c r="G735" s="50"/>
      <c r="H735" s="242" t="str">
        <f ca="1">IF(F735=1,PERCENTILE(INDIRECT("g"&amp;$D$8):INDIRECT("g"&amp;$E$8),0.5),IF(F735=2,PERCENTILE(INDIRECT("g"&amp;$D$9):INDIRECT("g"&amp;$E$9),0.5),IF(F735=3,PERCENTILE(INDIRECT("g"&amp;$D$10):INDIRECT("g"&amp;$E$10),0.5),IF(F735=4,PERCENTILE(INDIRECT("g"&amp;$D$11):INDIRECT("g"&amp;$E$11),0.5),IF(F735=5,PERCENTILE(INDIRECT("g"&amp;$D$12):INDIRECT("g"&amp;$E$12),0.5),IF(F735=6,PERCENTILE(INDIRECT("g"&amp;$D$13):INDIRECT("g"&amp;$E$13),0.5)," "))))))</f>
        <v xml:space="preserve"> </v>
      </c>
      <c r="I735" s="242" t="str">
        <f t="shared" si="61"/>
        <v xml:space="preserve"> </v>
      </c>
      <c r="J735" s="242" t="str">
        <f ca="1">IF(F735=1,AVERAGE(INDIRECT("I"&amp;$D$8):INDIRECT("I"&amp;$E$8)),IF(F735=2,AVERAGE(INDIRECT("I"&amp;$D$9):INDIRECT("I"&amp;$E$9)),IF(F735=3,AVERAGE(INDIRECT("I"&amp;$D$10):INDIRECT("I"&amp;$E$10)),IF(F735=4,AVERAGE(INDIRECT("I"&amp;$D$11):INDIRECT("I"&amp;$E$11)),IF(F735=5,AVERAGE(INDIRECT("I"&amp;$D$12):INDIRECT("I"&amp;$E$12)),IF(F735=6,AVERAGE(INDIRECT("I"&amp;$D$13):INDIRECT("I"&amp;$E$13))," "))))))</f>
        <v xml:space="preserve"> </v>
      </c>
      <c r="K735" s="242" t="str">
        <f t="shared" si="62"/>
        <v xml:space="preserve"> </v>
      </c>
      <c r="L735" s="242" t="str">
        <f t="shared" si="63"/>
        <v xml:space="preserve"> </v>
      </c>
      <c r="M735" s="242" t="str">
        <f t="shared" si="64"/>
        <v xml:space="preserve"> </v>
      </c>
    </row>
    <row r="736" spans="6:13" x14ac:dyDescent="0.2">
      <c r="F736" s="216" t="str">
        <f t="shared" si="60"/>
        <v xml:space="preserve"> </v>
      </c>
      <c r="G736" s="50"/>
      <c r="H736" s="242" t="str">
        <f ca="1">IF(F736=1,PERCENTILE(INDIRECT("g"&amp;$D$8):INDIRECT("g"&amp;$E$8),0.5),IF(F736=2,PERCENTILE(INDIRECT("g"&amp;$D$9):INDIRECT("g"&amp;$E$9),0.5),IF(F736=3,PERCENTILE(INDIRECT("g"&amp;$D$10):INDIRECT("g"&amp;$E$10),0.5),IF(F736=4,PERCENTILE(INDIRECT("g"&amp;$D$11):INDIRECT("g"&amp;$E$11),0.5),IF(F736=5,PERCENTILE(INDIRECT("g"&amp;$D$12):INDIRECT("g"&amp;$E$12),0.5),IF(F736=6,PERCENTILE(INDIRECT("g"&amp;$D$13):INDIRECT("g"&amp;$E$13),0.5)," "))))))</f>
        <v xml:space="preserve"> </v>
      </c>
      <c r="I736" s="242" t="str">
        <f t="shared" si="61"/>
        <v xml:space="preserve"> </v>
      </c>
      <c r="J736" s="242" t="str">
        <f ca="1">IF(F736=1,AVERAGE(INDIRECT("I"&amp;$D$8):INDIRECT("I"&amp;$E$8)),IF(F736=2,AVERAGE(INDIRECT("I"&amp;$D$9):INDIRECT("I"&amp;$E$9)),IF(F736=3,AVERAGE(INDIRECT("I"&amp;$D$10):INDIRECT("I"&amp;$E$10)),IF(F736=4,AVERAGE(INDIRECT("I"&amp;$D$11):INDIRECT("I"&amp;$E$11)),IF(F736=5,AVERAGE(INDIRECT("I"&amp;$D$12):INDIRECT("I"&amp;$E$12)),IF(F736=6,AVERAGE(INDIRECT("I"&amp;$D$13):INDIRECT("I"&amp;$E$13))," "))))))</f>
        <v xml:space="preserve"> </v>
      </c>
      <c r="K736" s="242" t="str">
        <f t="shared" si="62"/>
        <v xml:space="preserve"> </v>
      </c>
      <c r="L736" s="242" t="str">
        <f t="shared" si="63"/>
        <v xml:space="preserve"> </v>
      </c>
      <c r="M736" s="242" t="str">
        <f t="shared" si="64"/>
        <v xml:space="preserve"> </v>
      </c>
    </row>
    <row r="737" spans="6:13" x14ac:dyDescent="0.2">
      <c r="F737" s="216" t="str">
        <f t="shared" si="60"/>
        <v xml:space="preserve"> </v>
      </c>
      <c r="G737" s="50"/>
      <c r="H737" s="242" t="str">
        <f ca="1">IF(F737=1,PERCENTILE(INDIRECT("g"&amp;$D$8):INDIRECT("g"&amp;$E$8),0.5),IF(F737=2,PERCENTILE(INDIRECT("g"&amp;$D$9):INDIRECT("g"&amp;$E$9),0.5),IF(F737=3,PERCENTILE(INDIRECT("g"&amp;$D$10):INDIRECT("g"&amp;$E$10),0.5),IF(F737=4,PERCENTILE(INDIRECT("g"&amp;$D$11):INDIRECT("g"&amp;$E$11),0.5),IF(F737=5,PERCENTILE(INDIRECT("g"&amp;$D$12):INDIRECT("g"&amp;$E$12),0.5),IF(F737=6,PERCENTILE(INDIRECT("g"&amp;$D$13):INDIRECT("g"&amp;$E$13),0.5)," "))))))</f>
        <v xml:space="preserve"> </v>
      </c>
      <c r="I737" s="242" t="str">
        <f t="shared" si="61"/>
        <v xml:space="preserve"> </v>
      </c>
      <c r="J737" s="242" t="str">
        <f ca="1">IF(F737=1,AVERAGE(INDIRECT("I"&amp;$D$8):INDIRECT("I"&amp;$E$8)),IF(F737=2,AVERAGE(INDIRECT("I"&amp;$D$9):INDIRECT("I"&amp;$E$9)),IF(F737=3,AVERAGE(INDIRECT("I"&amp;$D$10):INDIRECT("I"&amp;$E$10)),IF(F737=4,AVERAGE(INDIRECT("I"&amp;$D$11):INDIRECT("I"&amp;$E$11)),IF(F737=5,AVERAGE(INDIRECT("I"&amp;$D$12):INDIRECT("I"&amp;$E$12)),IF(F737=6,AVERAGE(INDIRECT("I"&amp;$D$13):INDIRECT("I"&amp;$E$13))," "))))))</f>
        <v xml:space="preserve"> </v>
      </c>
      <c r="K737" s="242" t="str">
        <f t="shared" si="62"/>
        <v xml:space="preserve"> </v>
      </c>
      <c r="L737" s="242" t="str">
        <f t="shared" si="63"/>
        <v xml:space="preserve"> </v>
      </c>
      <c r="M737" s="242" t="str">
        <f t="shared" si="64"/>
        <v xml:space="preserve"> </v>
      </c>
    </row>
    <row r="738" spans="6:13" x14ac:dyDescent="0.2">
      <c r="F738" s="216" t="str">
        <f t="shared" si="60"/>
        <v xml:space="preserve"> </v>
      </c>
      <c r="G738" s="50"/>
      <c r="H738" s="242" t="str">
        <f ca="1">IF(F738=1,PERCENTILE(INDIRECT("g"&amp;$D$8):INDIRECT("g"&amp;$E$8),0.5),IF(F738=2,PERCENTILE(INDIRECT("g"&amp;$D$9):INDIRECT("g"&amp;$E$9),0.5),IF(F738=3,PERCENTILE(INDIRECT("g"&amp;$D$10):INDIRECT("g"&amp;$E$10),0.5),IF(F738=4,PERCENTILE(INDIRECT("g"&amp;$D$11):INDIRECT("g"&amp;$E$11),0.5),IF(F738=5,PERCENTILE(INDIRECT("g"&amp;$D$12):INDIRECT("g"&amp;$E$12),0.5),IF(F738=6,PERCENTILE(INDIRECT("g"&amp;$D$13):INDIRECT("g"&amp;$E$13),0.5)," "))))))</f>
        <v xml:space="preserve"> </v>
      </c>
      <c r="I738" s="242" t="str">
        <f t="shared" si="61"/>
        <v xml:space="preserve"> </v>
      </c>
      <c r="J738" s="242" t="str">
        <f ca="1">IF(F738=1,AVERAGE(INDIRECT("I"&amp;$D$8):INDIRECT("I"&amp;$E$8)),IF(F738=2,AVERAGE(INDIRECT("I"&amp;$D$9):INDIRECT("I"&amp;$E$9)),IF(F738=3,AVERAGE(INDIRECT("I"&amp;$D$10):INDIRECT("I"&amp;$E$10)),IF(F738=4,AVERAGE(INDIRECT("I"&amp;$D$11):INDIRECT("I"&amp;$E$11)),IF(F738=5,AVERAGE(INDIRECT("I"&amp;$D$12):INDIRECT("I"&amp;$E$12)),IF(F738=6,AVERAGE(INDIRECT("I"&amp;$D$13):INDIRECT("I"&amp;$E$13))," "))))))</f>
        <v xml:space="preserve"> </v>
      </c>
      <c r="K738" s="242" t="str">
        <f t="shared" si="62"/>
        <v xml:space="preserve"> </v>
      </c>
      <c r="L738" s="242" t="str">
        <f t="shared" si="63"/>
        <v xml:space="preserve"> </v>
      </c>
      <c r="M738" s="242" t="str">
        <f t="shared" si="64"/>
        <v xml:space="preserve"> </v>
      </c>
    </row>
    <row r="739" spans="6:13" x14ac:dyDescent="0.2">
      <c r="F739" s="216" t="str">
        <f t="shared" si="60"/>
        <v xml:space="preserve"> </v>
      </c>
      <c r="G739" s="50"/>
      <c r="H739" s="242" t="str">
        <f ca="1">IF(F739=1,PERCENTILE(INDIRECT("g"&amp;$D$8):INDIRECT("g"&amp;$E$8),0.5),IF(F739=2,PERCENTILE(INDIRECT("g"&amp;$D$9):INDIRECT("g"&amp;$E$9),0.5),IF(F739=3,PERCENTILE(INDIRECT("g"&amp;$D$10):INDIRECT("g"&amp;$E$10),0.5),IF(F739=4,PERCENTILE(INDIRECT("g"&amp;$D$11):INDIRECT("g"&amp;$E$11),0.5),IF(F739=5,PERCENTILE(INDIRECT("g"&amp;$D$12):INDIRECT("g"&amp;$E$12),0.5),IF(F739=6,PERCENTILE(INDIRECT("g"&amp;$D$13):INDIRECT("g"&amp;$E$13),0.5)," "))))))</f>
        <v xml:space="preserve"> </v>
      </c>
      <c r="I739" s="242" t="str">
        <f t="shared" si="61"/>
        <v xml:space="preserve"> </v>
      </c>
      <c r="J739" s="242" t="str">
        <f ca="1">IF(F739=1,AVERAGE(INDIRECT("I"&amp;$D$8):INDIRECT("I"&amp;$E$8)),IF(F739=2,AVERAGE(INDIRECT("I"&amp;$D$9):INDIRECT("I"&amp;$E$9)),IF(F739=3,AVERAGE(INDIRECT("I"&amp;$D$10):INDIRECT("I"&amp;$E$10)),IF(F739=4,AVERAGE(INDIRECT("I"&amp;$D$11):INDIRECT("I"&amp;$E$11)),IF(F739=5,AVERAGE(INDIRECT("I"&amp;$D$12):INDIRECT("I"&amp;$E$12)),IF(F739=6,AVERAGE(INDIRECT("I"&amp;$D$13):INDIRECT("I"&amp;$E$13))," "))))))</f>
        <v xml:space="preserve"> </v>
      </c>
      <c r="K739" s="242" t="str">
        <f t="shared" si="62"/>
        <v xml:space="preserve"> </v>
      </c>
      <c r="L739" s="242" t="str">
        <f t="shared" si="63"/>
        <v xml:space="preserve"> </v>
      </c>
      <c r="M739" s="242" t="str">
        <f t="shared" si="64"/>
        <v xml:space="preserve"> </v>
      </c>
    </row>
    <row r="740" spans="6:13" x14ac:dyDescent="0.2">
      <c r="F740" s="216" t="str">
        <f t="shared" si="60"/>
        <v xml:space="preserve"> </v>
      </c>
      <c r="G740" s="50"/>
      <c r="H740" s="242" t="str">
        <f ca="1">IF(F740=1,PERCENTILE(INDIRECT("g"&amp;$D$8):INDIRECT("g"&amp;$E$8),0.5),IF(F740=2,PERCENTILE(INDIRECT("g"&amp;$D$9):INDIRECT("g"&amp;$E$9),0.5),IF(F740=3,PERCENTILE(INDIRECT("g"&amp;$D$10):INDIRECT("g"&amp;$E$10),0.5),IF(F740=4,PERCENTILE(INDIRECT("g"&amp;$D$11):INDIRECT("g"&amp;$E$11),0.5),IF(F740=5,PERCENTILE(INDIRECT("g"&amp;$D$12):INDIRECT("g"&amp;$E$12),0.5),IF(F740=6,PERCENTILE(INDIRECT("g"&amp;$D$13):INDIRECT("g"&amp;$E$13),0.5)," "))))))</f>
        <v xml:space="preserve"> </v>
      </c>
      <c r="I740" s="242" t="str">
        <f t="shared" si="61"/>
        <v xml:space="preserve"> </v>
      </c>
      <c r="J740" s="242" t="str">
        <f ca="1">IF(F740=1,AVERAGE(INDIRECT("I"&amp;$D$8):INDIRECT("I"&amp;$E$8)),IF(F740=2,AVERAGE(INDIRECT("I"&amp;$D$9):INDIRECT("I"&amp;$E$9)),IF(F740=3,AVERAGE(INDIRECT("I"&amp;$D$10):INDIRECT("I"&amp;$E$10)),IF(F740=4,AVERAGE(INDIRECT("I"&amp;$D$11):INDIRECT("I"&amp;$E$11)),IF(F740=5,AVERAGE(INDIRECT("I"&amp;$D$12):INDIRECT("I"&amp;$E$12)),IF(F740=6,AVERAGE(INDIRECT("I"&amp;$D$13):INDIRECT("I"&amp;$E$13))," "))))))</f>
        <v xml:space="preserve"> </v>
      </c>
      <c r="K740" s="242" t="str">
        <f t="shared" si="62"/>
        <v xml:space="preserve"> </v>
      </c>
      <c r="L740" s="242" t="str">
        <f t="shared" si="63"/>
        <v xml:space="preserve"> </v>
      </c>
      <c r="M740" s="242" t="str">
        <f t="shared" si="64"/>
        <v xml:space="preserve"> </v>
      </c>
    </row>
    <row r="741" spans="6:13" x14ac:dyDescent="0.2">
      <c r="F741" s="216" t="str">
        <f t="shared" si="60"/>
        <v xml:space="preserve"> </v>
      </c>
      <c r="G741" s="50"/>
      <c r="H741" s="242" t="str">
        <f ca="1">IF(F741=1,PERCENTILE(INDIRECT("g"&amp;$D$8):INDIRECT("g"&amp;$E$8),0.5),IF(F741=2,PERCENTILE(INDIRECT("g"&amp;$D$9):INDIRECT("g"&amp;$E$9),0.5),IF(F741=3,PERCENTILE(INDIRECT("g"&amp;$D$10):INDIRECT("g"&amp;$E$10),0.5),IF(F741=4,PERCENTILE(INDIRECT("g"&amp;$D$11):INDIRECT("g"&amp;$E$11),0.5),IF(F741=5,PERCENTILE(INDIRECT("g"&amp;$D$12):INDIRECT("g"&amp;$E$12),0.5),IF(F741=6,PERCENTILE(INDIRECT("g"&amp;$D$13):INDIRECT("g"&amp;$E$13),0.5)," "))))))</f>
        <v xml:space="preserve"> </v>
      </c>
      <c r="I741" s="242" t="str">
        <f t="shared" si="61"/>
        <v xml:space="preserve"> </v>
      </c>
      <c r="J741" s="242" t="str">
        <f ca="1">IF(F741=1,AVERAGE(INDIRECT("I"&amp;$D$8):INDIRECT("I"&amp;$E$8)),IF(F741=2,AVERAGE(INDIRECT("I"&amp;$D$9):INDIRECT("I"&amp;$E$9)),IF(F741=3,AVERAGE(INDIRECT("I"&amp;$D$10):INDIRECT("I"&amp;$E$10)),IF(F741=4,AVERAGE(INDIRECT("I"&amp;$D$11):INDIRECT("I"&amp;$E$11)),IF(F741=5,AVERAGE(INDIRECT("I"&amp;$D$12):INDIRECT("I"&amp;$E$12)),IF(F741=6,AVERAGE(INDIRECT("I"&amp;$D$13):INDIRECT("I"&amp;$E$13))," "))))))</f>
        <v xml:space="preserve"> </v>
      </c>
      <c r="K741" s="242" t="str">
        <f t="shared" si="62"/>
        <v xml:space="preserve"> </v>
      </c>
      <c r="L741" s="242" t="str">
        <f t="shared" si="63"/>
        <v xml:space="preserve"> </v>
      </c>
      <c r="M741" s="242" t="str">
        <f t="shared" si="64"/>
        <v xml:space="preserve"> </v>
      </c>
    </row>
    <row r="742" spans="6:13" x14ac:dyDescent="0.2">
      <c r="F742" s="216" t="str">
        <f t="shared" si="60"/>
        <v xml:space="preserve"> </v>
      </c>
      <c r="G742" s="50"/>
      <c r="H742" s="242" t="str">
        <f ca="1">IF(F742=1,PERCENTILE(INDIRECT("g"&amp;$D$8):INDIRECT("g"&amp;$E$8),0.5),IF(F742=2,PERCENTILE(INDIRECT("g"&amp;$D$9):INDIRECT("g"&amp;$E$9),0.5),IF(F742=3,PERCENTILE(INDIRECT("g"&amp;$D$10):INDIRECT("g"&amp;$E$10),0.5),IF(F742=4,PERCENTILE(INDIRECT("g"&amp;$D$11):INDIRECT("g"&amp;$E$11),0.5),IF(F742=5,PERCENTILE(INDIRECT("g"&amp;$D$12):INDIRECT("g"&amp;$E$12),0.5),IF(F742=6,PERCENTILE(INDIRECT("g"&amp;$D$13):INDIRECT("g"&amp;$E$13),0.5)," "))))))</f>
        <v xml:space="preserve"> </v>
      </c>
      <c r="I742" s="242" t="str">
        <f t="shared" si="61"/>
        <v xml:space="preserve"> </v>
      </c>
      <c r="J742" s="242" t="str">
        <f ca="1">IF(F742=1,AVERAGE(INDIRECT("I"&amp;$D$8):INDIRECT("I"&amp;$E$8)),IF(F742=2,AVERAGE(INDIRECT("I"&amp;$D$9):INDIRECT("I"&amp;$E$9)),IF(F742=3,AVERAGE(INDIRECT("I"&amp;$D$10):INDIRECT("I"&amp;$E$10)),IF(F742=4,AVERAGE(INDIRECT("I"&amp;$D$11):INDIRECT("I"&amp;$E$11)),IF(F742=5,AVERAGE(INDIRECT("I"&amp;$D$12):INDIRECT("I"&amp;$E$12)),IF(F742=6,AVERAGE(INDIRECT("I"&amp;$D$13):INDIRECT("I"&amp;$E$13))," "))))))</f>
        <v xml:space="preserve"> </v>
      </c>
      <c r="K742" s="242" t="str">
        <f t="shared" si="62"/>
        <v xml:space="preserve"> </v>
      </c>
      <c r="L742" s="242" t="str">
        <f t="shared" si="63"/>
        <v xml:space="preserve"> </v>
      </c>
      <c r="M742" s="242" t="str">
        <f t="shared" si="64"/>
        <v xml:space="preserve"> </v>
      </c>
    </row>
    <row r="743" spans="6:13" x14ac:dyDescent="0.2">
      <c r="F743" s="216" t="str">
        <f t="shared" si="60"/>
        <v xml:space="preserve"> </v>
      </c>
      <c r="G743" s="50"/>
      <c r="H743" s="242" t="str">
        <f ca="1">IF(F743=1,PERCENTILE(INDIRECT("g"&amp;$D$8):INDIRECT("g"&amp;$E$8),0.5),IF(F743=2,PERCENTILE(INDIRECT("g"&amp;$D$9):INDIRECT("g"&amp;$E$9),0.5),IF(F743=3,PERCENTILE(INDIRECT("g"&amp;$D$10):INDIRECT("g"&amp;$E$10),0.5),IF(F743=4,PERCENTILE(INDIRECT("g"&amp;$D$11):INDIRECT("g"&amp;$E$11),0.5),IF(F743=5,PERCENTILE(INDIRECT("g"&amp;$D$12):INDIRECT("g"&amp;$E$12),0.5),IF(F743=6,PERCENTILE(INDIRECT("g"&amp;$D$13):INDIRECT("g"&amp;$E$13),0.5)," "))))))</f>
        <v xml:space="preserve"> </v>
      </c>
      <c r="I743" s="242" t="str">
        <f t="shared" si="61"/>
        <v xml:space="preserve"> </v>
      </c>
      <c r="J743" s="242" t="str">
        <f ca="1">IF(F743=1,AVERAGE(INDIRECT("I"&amp;$D$8):INDIRECT("I"&amp;$E$8)),IF(F743=2,AVERAGE(INDIRECT("I"&amp;$D$9):INDIRECT("I"&amp;$E$9)),IF(F743=3,AVERAGE(INDIRECT("I"&amp;$D$10):INDIRECT("I"&amp;$E$10)),IF(F743=4,AVERAGE(INDIRECT("I"&amp;$D$11):INDIRECT("I"&amp;$E$11)),IF(F743=5,AVERAGE(INDIRECT("I"&amp;$D$12):INDIRECT("I"&amp;$E$12)),IF(F743=6,AVERAGE(INDIRECT("I"&amp;$D$13):INDIRECT("I"&amp;$E$13))," "))))))</f>
        <v xml:space="preserve"> </v>
      </c>
      <c r="K743" s="242" t="str">
        <f t="shared" si="62"/>
        <v xml:space="preserve"> </v>
      </c>
      <c r="L743" s="242" t="str">
        <f t="shared" si="63"/>
        <v xml:space="preserve"> </v>
      </c>
      <c r="M743" s="242" t="str">
        <f t="shared" si="64"/>
        <v xml:space="preserve"> </v>
      </c>
    </row>
    <row r="744" spans="6:13" x14ac:dyDescent="0.2">
      <c r="F744" s="216" t="str">
        <f t="shared" si="60"/>
        <v xml:space="preserve"> </v>
      </c>
      <c r="G744" s="50"/>
      <c r="H744" s="242" t="str">
        <f ca="1">IF(F744=1,PERCENTILE(INDIRECT("g"&amp;$D$8):INDIRECT("g"&amp;$E$8),0.5),IF(F744=2,PERCENTILE(INDIRECT("g"&amp;$D$9):INDIRECT("g"&amp;$E$9),0.5),IF(F744=3,PERCENTILE(INDIRECT("g"&amp;$D$10):INDIRECT("g"&amp;$E$10),0.5),IF(F744=4,PERCENTILE(INDIRECT("g"&amp;$D$11):INDIRECT("g"&amp;$E$11),0.5),IF(F744=5,PERCENTILE(INDIRECT("g"&amp;$D$12):INDIRECT("g"&amp;$E$12),0.5),IF(F744=6,PERCENTILE(INDIRECT("g"&amp;$D$13):INDIRECT("g"&amp;$E$13),0.5)," "))))))</f>
        <v xml:space="preserve"> </v>
      </c>
      <c r="I744" s="242" t="str">
        <f t="shared" si="61"/>
        <v xml:space="preserve"> </v>
      </c>
      <c r="J744" s="242" t="str">
        <f ca="1">IF(F744=1,AVERAGE(INDIRECT("I"&amp;$D$8):INDIRECT("I"&amp;$E$8)),IF(F744=2,AVERAGE(INDIRECT("I"&amp;$D$9):INDIRECT("I"&amp;$E$9)),IF(F744=3,AVERAGE(INDIRECT("I"&amp;$D$10):INDIRECT("I"&amp;$E$10)),IF(F744=4,AVERAGE(INDIRECT("I"&amp;$D$11):INDIRECT("I"&amp;$E$11)),IF(F744=5,AVERAGE(INDIRECT("I"&amp;$D$12):INDIRECT("I"&amp;$E$12)),IF(F744=6,AVERAGE(INDIRECT("I"&amp;$D$13):INDIRECT("I"&amp;$E$13))," "))))))</f>
        <v xml:space="preserve"> </v>
      </c>
      <c r="K744" s="242" t="str">
        <f t="shared" si="62"/>
        <v xml:space="preserve"> </v>
      </c>
      <c r="L744" s="242" t="str">
        <f t="shared" si="63"/>
        <v xml:space="preserve"> </v>
      </c>
      <c r="M744" s="242" t="str">
        <f t="shared" si="64"/>
        <v xml:space="preserve"> </v>
      </c>
    </row>
    <row r="745" spans="6:13" x14ac:dyDescent="0.2">
      <c r="F745" s="216" t="str">
        <f t="shared" si="60"/>
        <v xml:space="preserve"> </v>
      </c>
      <c r="G745" s="50"/>
      <c r="H745" s="242" t="str">
        <f ca="1">IF(F745=1,PERCENTILE(INDIRECT("g"&amp;$D$8):INDIRECT("g"&amp;$E$8),0.5),IF(F745=2,PERCENTILE(INDIRECT("g"&amp;$D$9):INDIRECT("g"&amp;$E$9),0.5),IF(F745=3,PERCENTILE(INDIRECT("g"&amp;$D$10):INDIRECT("g"&amp;$E$10),0.5),IF(F745=4,PERCENTILE(INDIRECT("g"&amp;$D$11):INDIRECT("g"&amp;$E$11),0.5),IF(F745=5,PERCENTILE(INDIRECT("g"&amp;$D$12):INDIRECT("g"&amp;$E$12),0.5),IF(F745=6,PERCENTILE(INDIRECT("g"&amp;$D$13):INDIRECT("g"&amp;$E$13),0.5)," "))))))</f>
        <v xml:space="preserve"> </v>
      </c>
      <c r="I745" s="242" t="str">
        <f t="shared" si="61"/>
        <v xml:space="preserve"> </v>
      </c>
      <c r="J745" s="242" t="str">
        <f ca="1">IF(F745=1,AVERAGE(INDIRECT("I"&amp;$D$8):INDIRECT("I"&amp;$E$8)),IF(F745=2,AVERAGE(INDIRECT("I"&amp;$D$9):INDIRECT("I"&amp;$E$9)),IF(F745=3,AVERAGE(INDIRECT("I"&amp;$D$10):INDIRECT("I"&amp;$E$10)),IF(F745=4,AVERAGE(INDIRECT("I"&amp;$D$11):INDIRECT("I"&amp;$E$11)),IF(F745=5,AVERAGE(INDIRECT("I"&amp;$D$12):INDIRECT("I"&amp;$E$12)),IF(F745=6,AVERAGE(INDIRECT("I"&amp;$D$13):INDIRECT("I"&amp;$E$13))," "))))))</f>
        <v xml:space="preserve"> </v>
      </c>
      <c r="K745" s="242" t="str">
        <f t="shared" si="62"/>
        <v xml:space="preserve"> </v>
      </c>
      <c r="L745" s="242" t="str">
        <f t="shared" si="63"/>
        <v xml:space="preserve"> </v>
      </c>
      <c r="M745" s="242" t="str">
        <f t="shared" si="64"/>
        <v xml:space="preserve"> </v>
      </c>
    </row>
    <row r="746" spans="6:13" x14ac:dyDescent="0.2">
      <c r="F746" s="216" t="str">
        <f t="shared" si="60"/>
        <v xml:space="preserve"> </v>
      </c>
      <c r="G746" s="50"/>
      <c r="H746" s="242" t="str">
        <f ca="1">IF(F746=1,PERCENTILE(INDIRECT("g"&amp;$D$8):INDIRECT("g"&amp;$E$8),0.5),IF(F746=2,PERCENTILE(INDIRECT("g"&amp;$D$9):INDIRECT("g"&amp;$E$9),0.5),IF(F746=3,PERCENTILE(INDIRECT("g"&amp;$D$10):INDIRECT("g"&amp;$E$10),0.5),IF(F746=4,PERCENTILE(INDIRECT("g"&amp;$D$11):INDIRECT("g"&amp;$E$11),0.5),IF(F746=5,PERCENTILE(INDIRECT("g"&amp;$D$12):INDIRECT("g"&amp;$E$12),0.5),IF(F746=6,PERCENTILE(INDIRECT("g"&amp;$D$13):INDIRECT("g"&amp;$E$13),0.5)," "))))))</f>
        <v xml:space="preserve"> </v>
      </c>
      <c r="I746" s="242" t="str">
        <f t="shared" si="61"/>
        <v xml:space="preserve"> </v>
      </c>
      <c r="J746" s="242" t="str">
        <f ca="1">IF(F746=1,AVERAGE(INDIRECT("I"&amp;$D$8):INDIRECT("I"&amp;$E$8)),IF(F746=2,AVERAGE(INDIRECT("I"&amp;$D$9):INDIRECT("I"&amp;$E$9)),IF(F746=3,AVERAGE(INDIRECT("I"&amp;$D$10):INDIRECT("I"&amp;$E$10)),IF(F746=4,AVERAGE(INDIRECT("I"&amp;$D$11):INDIRECT("I"&amp;$E$11)),IF(F746=5,AVERAGE(INDIRECT("I"&amp;$D$12):INDIRECT("I"&amp;$E$12)),IF(F746=6,AVERAGE(INDIRECT("I"&amp;$D$13):INDIRECT("I"&amp;$E$13))," "))))))</f>
        <v xml:space="preserve"> </v>
      </c>
      <c r="K746" s="242" t="str">
        <f t="shared" si="62"/>
        <v xml:space="preserve"> </v>
      </c>
      <c r="L746" s="242" t="str">
        <f t="shared" si="63"/>
        <v xml:space="preserve"> </v>
      </c>
      <c r="M746" s="242" t="str">
        <f t="shared" si="64"/>
        <v xml:space="preserve"> </v>
      </c>
    </row>
    <row r="747" spans="6:13" x14ac:dyDescent="0.2">
      <c r="F747" s="216" t="str">
        <f t="shared" si="60"/>
        <v xml:space="preserve"> </v>
      </c>
      <c r="G747" s="50"/>
      <c r="H747" s="242" t="str">
        <f ca="1">IF(F747=1,PERCENTILE(INDIRECT("g"&amp;$D$8):INDIRECT("g"&amp;$E$8),0.5),IF(F747=2,PERCENTILE(INDIRECT("g"&amp;$D$9):INDIRECT("g"&amp;$E$9),0.5),IF(F747=3,PERCENTILE(INDIRECT("g"&amp;$D$10):INDIRECT("g"&amp;$E$10),0.5),IF(F747=4,PERCENTILE(INDIRECT("g"&amp;$D$11):INDIRECT("g"&amp;$E$11),0.5),IF(F747=5,PERCENTILE(INDIRECT("g"&amp;$D$12):INDIRECT("g"&amp;$E$12),0.5),IF(F747=6,PERCENTILE(INDIRECT("g"&amp;$D$13):INDIRECT("g"&amp;$E$13),0.5)," "))))))</f>
        <v xml:space="preserve"> </v>
      </c>
      <c r="I747" s="242" t="str">
        <f t="shared" si="61"/>
        <v xml:space="preserve"> </v>
      </c>
      <c r="J747" s="242" t="str">
        <f ca="1">IF(F747=1,AVERAGE(INDIRECT("I"&amp;$D$8):INDIRECT("I"&amp;$E$8)),IF(F747=2,AVERAGE(INDIRECT("I"&amp;$D$9):INDIRECT("I"&amp;$E$9)),IF(F747=3,AVERAGE(INDIRECT("I"&amp;$D$10):INDIRECT("I"&amp;$E$10)),IF(F747=4,AVERAGE(INDIRECT("I"&amp;$D$11):INDIRECT("I"&amp;$E$11)),IF(F747=5,AVERAGE(INDIRECT("I"&amp;$D$12):INDIRECT("I"&amp;$E$12)),IF(F747=6,AVERAGE(INDIRECT("I"&amp;$D$13):INDIRECT("I"&amp;$E$13))," "))))))</f>
        <v xml:space="preserve"> </v>
      </c>
      <c r="K747" s="242" t="str">
        <f t="shared" si="62"/>
        <v xml:space="preserve"> </v>
      </c>
      <c r="L747" s="242" t="str">
        <f t="shared" si="63"/>
        <v xml:space="preserve"> </v>
      </c>
      <c r="M747" s="242" t="str">
        <f t="shared" si="64"/>
        <v xml:space="preserve"> </v>
      </c>
    </row>
    <row r="748" spans="6:13" x14ac:dyDescent="0.2">
      <c r="F748" s="216" t="str">
        <f t="shared" si="60"/>
        <v xml:space="preserve"> </v>
      </c>
      <c r="G748" s="50"/>
      <c r="H748" s="242" t="str">
        <f ca="1">IF(F748=1,PERCENTILE(INDIRECT("g"&amp;$D$8):INDIRECT("g"&amp;$E$8),0.5),IF(F748=2,PERCENTILE(INDIRECT("g"&amp;$D$9):INDIRECT("g"&amp;$E$9),0.5),IF(F748=3,PERCENTILE(INDIRECT("g"&amp;$D$10):INDIRECT("g"&amp;$E$10),0.5),IF(F748=4,PERCENTILE(INDIRECT("g"&amp;$D$11):INDIRECT("g"&amp;$E$11),0.5),IF(F748=5,PERCENTILE(INDIRECT("g"&amp;$D$12):INDIRECT("g"&amp;$E$12),0.5),IF(F748=6,PERCENTILE(INDIRECT("g"&amp;$D$13):INDIRECT("g"&amp;$E$13),0.5)," "))))))</f>
        <v xml:space="preserve"> </v>
      </c>
      <c r="I748" s="242" t="str">
        <f t="shared" si="61"/>
        <v xml:space="preserve"> </v>
      </c>
      <c r="J748" s="242" t="str">
        <f ca="1">IF(F748=1,AVERAGE(INDIRECT("I"&amp;$D$8):INDIRECT("I"&amp;$E$8)),IF(F748=2,AVERAGE(INDIRECT("I"&amp;$D$9):INDIRECT("I"&amp;$E$9)),IF(F748=3,AVERAGE(INDIRECT("I"&amp;$D$10):INDIRECT("I"&amp;$E$10)),IF(F748=4,AVERAGE(INDIRECT("I"&amp;$D$11):INDIRECT("I"&amp;$E$11)),IF(F748=5,AVERAGE(INDIRECT("I"&amp;$D$12):INDIRECT("I"&amp;$E$12)),IF(F748=6,AVERAGE(INDIRECT("I"&amp;$D$13):INDIRECT("I"&amp;$E$13))," "))))))</f>
        <v xml:space="preserve"> </v>
      </c>
      <c r="K748" s="242" t="str">
        <f t="shared" si="62"/>
        <v xml:space="preserve"> </v>
      </c>
      <c r="L748" s="242" t="str">
        <f t="shared" si="63"/>
        <v xml:space="preserve"> </v>
      </c>
      <c r="M748" s="242" t="str">
        <f t="shared" si="64"/>
        <v xml:space="preserve"> </v>
      </c>
    </row>
    <row r="749" spans="6:13" x14ac:dyDescent="0.2">
      <c r="F749" s="216" t="str">
        <f t="shared" si="60"/>
        <v xml:space="preserve"> </v>
      </c>
      <c r="G749" s="50"/>
      <c r="H749" s="242" t="str">
        <f ca="1">IF(F749=1,PERCENTILE(INDIRECT("g"&amp;$D$8):INDIRECT("g"&amp;$E$8),0.5),IF(F749=2,PERCENTILE(INDIRECT("g"&amp;$D$9):INDIRECT("g"&amp;$E$9),0.5),IF(F749=3,PERCENTILE(INDIRECT("g"&amp;$D$10):INDIRECT("g"&amp;$E$10),0.5),IF(F749=4,PERCENTILE(INDIRECT("g"&amp;$D$11):INDIRECT("g"&amp;$E$11),0.5),IF(F749=5,PERCENTILE(INDIRECT("g"&amp;$D$12):INDIRECT("g"&amp;$E$12),0.5),IF(F749=6,PERCENTILE(INDIRECT("g"&amp;$D$13):INDIRECT("g"&amp;$E$13),0.5)," "))))))</f>
        <v xml:space="preserve"> </v>
      </c>
      <c r="I749" s="242" t="str">
        <f t="shared" si="61"/>
        <v xml:space="preserve"> </v>
      </c>
      <c r="J749" s="242" t="str">
        <f ca="1">IF(F749=1,AVERAGE(INDIRECT("I"&amp;$D$8):INDIRECT("I"&amp;$E$8)),IF(F749=2,AVERAGE(INDIRECT("I"&amp;$D$9):INDIRECT("I"&amp;$E$9)),IF(F749=3,AVERAGE(INDIRECT("I"&amp;$D$10):INDIRECT("I"&amp;$E$10)),IF(F749=4,AVERAGE(INDIRECT("I"&amp;$D$11):INDIRECT("I"&amp;$E$11)),IF(F749=5,AVERAGE(INDIRECT("I"&amp;$D$12):INDIRECT("I"&amp;$E$12)),IF(F749=6,AVERAGE(INDIRECT("I"&amp;$D$13):INDIRECT("I"&amp;$E$13))," "))))))</f>
        <v xml:space="preserve"> </v>
      </c>
      <c r="K749" s="242" t="str">
        <f t="shared" si="62"/>
        <v xml:space="preserve"> </v>
      </c>
      <c r="L749" s="242" t="str">
        <f t="shared" si="63"/>
        <v xml:space="preserve"> </v>
      </c>
      <c r="M749" s="242" t="str">
        <f t="shared" si="64"/>
        <v xml:space="preserve"> </v>
      </c>
    </row>
    <row r="750" spans="6:13" x14ac:dyDescent="0.2">
      <c r="F750" s="216" t="str">
        <f t="shared" si="60"/>
        <v xml:space="preserve"> </v>
      </c>
      <c r="G750" s="50"/>
      <c r="H750" s="242" t="str">
        <f ca="1">IF(F750=1,PERCENTILE(INDIRECT("g"&amp;$D$8):INDIRECT("g"&amp;$E$8),0.5),IF(F750=2,PERCENTILE(INDIRECT("g"&amp;$D$9):INDIRECT("g"&amp;$E$9),0.5),IF(F750=3,PERCENTILE(INDIRECT("g"&amp;$D$10):INDIRECT("g"&amp;$E$10),0.5),IF(F750=4,PERCENTILE(INDIRECT("g"&amp;$D$11):INDIRECT("g"&amp;$E$11),0.5),IF(F750=5,PERCENTILE(INDIRECT("g"&amp;$D$12):INDIRECT("g"&amp;$E$12),0.5),IF(F750=6,PERCENTILE(INDIRECT("g"&amp;$D$13):INDIRECT("g"&amp;$E$13),0.5)," "))))))</f>
        <v xml:space="preserve"> </v>
      </c>
      <c r="I750" s="242" t="str">
        <f t="shared" si="61"/>
        <v xml:space="preserve"> </v>
      </c>
      <c r="J750" s="242" t="str">
        <f ca="1">IF(F750=1,AVERAGE(INDIRECT("I"&amp;$D$8):INDIRECT("I"&amp;$E$8)),IF(F750=2,AVERAGE(INDIRECT("I"&amp;$D$9):INDIRECT("I"&amp;$E$9)),IF(F750=3,AVERAGE(INDIRECT("I"&amp;$D$10):INDIRECT("I"&amp;$E$10)),IF(F750=4,AVERAGE(INDIRECT("I"&amp;$D$11):INDIRECT("I"&amp;$E$11)),IF(F750=5,AVERAGE(INDIRECT("I"&amp;$D$12):INDIRECT("I"&amp;$E$12)),IF(F750=6,AVERAGE(INDIRECT("I"&amp;$D$13):INDIRECT("I"&amp;$E$13))," "))))))</f>
        <v xml:space="preserve"> </v>
      </c>
      <c r="K750" s="242" t="str">
        <f t="shared" si="62"/>
        <v xml:space="preserve"> </v>
      </c>
      <c r="L750" s="242" t="str">
        <f t="shared" si="63"/>
        <v xml:space="preserve"> </v>
      </c>
      <c r="M750" s="242" t="str">
        <f t="shared" si="64"/>
        <v xml:space="preserve"> </v>
      </c>
    </row>
    <row r="751" spans="6:13" x14ac:dyDescent="0.2">
      <c r="F751" s="216" t="str">
        <f t="shared" si="60"/>
        <v xml:space="preserve"> </v>
      </c>
      <c r="G751" s="50"/>
      <c r="H751" s="242" t="str">
        <f ca="1">IF(F751=1,PERCENTILE(INDIRECT("g"&amp;$D$8):INDIRECT("g"&amp;$E$8),0.5),IF(F751=2,PERCENTILE(INDIRECT("g"&amp;$D$9):INDIRECT("g"&amp;$E$9),0.5),IF(F751=3,PERCENTILE(INDIRECT("g"&amp;$D$10):INDIRECT("g"&amp;$E$10),0.5),IF(F751=4,PERCENTILE(INDIRECT("g"&amp;$D$11):INDIRECT("g"&amp;$E$11),0.5),IF(F751=5,PERCENTILE(INDIRECT("g"&amp;$D$12):INDIRECT("g"&amp;$E$12),0.5),IF(F751=6,PERCENTILE(INDIRECT("g"&amp;$D$13):INDIRECT("g"&amp;$E$13),0.5)," "))))))</f>
        <v xml:space="preserve"> </v>
      </c>
      <c r="I751" s="242" t="str">
        <f t="shared" si="61"/>
        <v xml:space="preserve"> </v>
      </c>
      <c r="J751" s="242" t="str">
        <f ca="1">IF(F751=1,AVERAGE(INDIRECT("I"&amp;$D$8):INDIRECT("I"&amp;$E$8)),IF(F751=2,AVERAGE(INDIRECT("I"&amp;$D$9):INDIRECT("I"&amp;$E$9)),IF(F751=3,AVERAGE(INDIRECT("I"&amp;$D$10):INDIRECT("I"&amp;$E$10)),IF(F751=4,AVERAGE(INDIRECT("I"&amp;$D$11):INDIRECT("I"&amp;$E$11)),IF(F751=5,AVERAGE(INDIRECT("I"&amp;$D$12):INDIRECT("I"&amp;$E$12)),IF(F751=6,AVERAGE(INDIRECT("I"&amp;$D$13):INDIRECT("I"&amp;$E$13))," "))))))</f>
        <v xml:space="preserve"> </v>
      </c>
      <c r="K751" s="242" t="str">
        <f t="shared" si="62"/>
        <v xml:space="preserve"> </v>
      </c>
      <c r="L751" s="242" t="str">
        <f t="shared" si="63"/>
        <v xml:space="preserve"> </v>
      </c>
      <c r="M751" s="242" t="str">
        <f t="shared" si="64"/>
        <v xml:space="preserve"> </v>
      </c>
    </row>
    <row r="752" spans="6:13" x14ac:dyDescent="0.2">
      <c r="F752" s="216" t="str">
        <f t="shared" si="60"/>
        <v xml:space="preserve"> </v>
      </c>
      <c r="G752" s="50"/>
      <c r="H752" s="242" t="str">
        <f ca="1">IF(F752=1,PERCENTILE(INDIRECT("g"&amp;$D$8):INDIRECT("g"&amp;$E$8),0.5),IF(F752=2,PERCENTILE(INDIRECT("g"&amp;$D$9):INDIRECT("g"&amp;$E$9),0.5),IF(F752=3,PERCENTILE(INDIRECT("g"&amp;$D$10):INDIRECT("g"&amp;$E$10),0.5),IF(F752=4,PERCENTILE(INDIRECT("g"&amp;$D$11):INDIRECT("g"&amp;$E$11),0.5),IF(F752=5,PERCENTILE(INDIRECT("g"&amp;$D$12):INDIRECT("g"&amp;$E$12),0.5),IF(F752=6,PERCENTILE(INDIRECT("g"&amp;$D$13):INDIRECT("g"&amp;$E$13),0.5)," "))))))</f>
        <v xml:space="preserve"> </v>
      </c>
      <c r="I752" s="242" t="str">
        <f t="shared" si="61"/>
        <v xml:space="preserve"> </v>
      </c>
      <c r="J752" s="242" t="str">
        <f ca="1">IF(F752=1,AVERAGE(INDIRECT("I"&amp;$D$8):INDIRECT("I"&amp;$E$8)),IF(F752=2,AVERAGE(INDIRECT("I"&amp;$D$9):INDIRECT("I"&amp;$E$9)),IF(F752=3,AVERAGE(INDIRECT("I"&amp;$D$10):INDIRECT("I"&amp;$E$10)),IF(F752=4,AVERAGE(INDIRECT("I"&amp;$D$11):INDIRECT("I"&amp;$E$11)),IF(F752=5,AVERAGE(INDIRECT("I"&amp;$D$12):INDIRECT("I"&amp;$E$12)),IF(F752=6,AVERAGE(INDIRECT("I"&amp;$D$13):INDIRECT("I"&amp;$E$13))," "))))))</f>
        <v xml:space="preserve"> </v>
      </c>
      <c r="K752" s="242" t="str">
        <f t="shared" si="62"/>
        <v xml:space="preserve"> </v>
      </c>
      <c r="L752" s="242" t="str">
        <f t="shared" si="63"/>
        <v xml:space="preserve"> </v>
      </c>
      <c r="M752" s="242" t="str">
        <f t="shared" si="64"/>
        <v xml:space="preserve"> </v>
      </c>
    </row>
    <row r="753" spans="6:13" x14ac:dyDescent="0.2">
      <c r="F753" s="216" t="str">
        <f t="shared" si="60"/>
        <v xml:space="preserve"> </v>
      </c>
      <c r="G753" s="50"/>
      <c r="H753" s="242" t="str">
        <f ca="1">IF(F753=1,PERCENTILE(INDIRECT("g"&amp;$D$8):INDIRECT("g"&amp;$E$8),0.5),IF(F753=2,PERCENTILE(INDIRECT("g"&amp;$D$9):INDIRECT("g"&amp;$E$9),0.5),IF(F753=3,PERCENTILE(INDIRECT("g"&amp;$D$10):INDIRECT("g"&amp;$E$10),0.5),IF(F753=4,PERCENTILE(INDIRECT("g"&amp;$D$11):INDIRECT("g"&amp;$E$11),0.5),IF(F753=5,PERCENTILE(INDIRECT("g"&amp;$D$12):INDIRECT("g"&amp;$E$12),0.5),IF(F753=6,PERCENTILE(INDIRECT("g"&amp;$D$13):INDIRECT("g"&amp;$E$13),0.5)," "))))))</f>
        <v xml:space="preserve"> </v>
      </c>
      <c r="I753" s="242" t="str">
        <f t="shared" si="61"/>
        <v xml:space="preserve"> </v>
      </c>
      <c r="J753" s="242" t="str">
        <f ca="1">IF(F753=1,AVERAGE(INDIRECT("I"&amp;$D$8):INDIRECT("I"&amp;$E$8)),IF(F753=2,AVERAGE(INDIRECT("I"&amp;$D$9):INDIRECT("I"&amp;$E$9)),IF(F753=3,AVERAGE(INDIRECT("I"&amp;$D$10):INDIRECT("I"&amp;$E$10)),IF(F753=4,AVERAGE(INDIRECT("I"&amp;$D$11):INDIRECT("I"&amp;$E$11)),IF(F753=5,AVERAGE(INDIRECT("I"&amp;$D$12):INDIRECT("I"&amp;$E$12)),IF(F753=6,AVERAGE(INDIRECT("I"&amp;$D$13):INDIRECT("I"&amp;$E$13))," "))))))</f>
        <v xml:space="preserve"> </v>
      </c>
      <c r="K753" s="242" t="str">
        <f t="shared" si="62"/>
        <v xml:space="preserve"> </v>
      </c>
      <c r="L753" s="242" t="str">
        <f t="shared" si="63"/>
        <v xml:space="preserve"> </v>
      </c>
      <c r="M753" s="242" t="str">
        <f t="shared" si="64"/>
        <v xml:space="preserve"> </v>
      </c>
    </row>
    <row r="754" spans="6:13" x14ac:dyDescent="0.2">
      <c r="F754" s="216" t="str">
        <f t="shared" si="60"/>
        <v xml:space="preserve"> </v>
      </c>
      <c r="G754" s="50"/>
      <c r="H754" s="242" t="str">
        <f ca="1">IF(F754=1,PERCENTILE(INDIRECT("g"&amp;$D$8):INDIRECT("g"&amp;$E$8),0.5),IF(F754=2,PERCENTILE(INDIRECT("g"&amp;$D$9):INDIRECT("g"&amp;$E$9),0.5),IF(F754=3,PERCENTILE(INDIRECT("g"&amp;$D$10):INDIRECT("g"&amp;$E$10),0.5),IF(F754=4,PERCENTILE(INDIRECT("g"&amp;$D$11):INDIRECT("g"&amp;$E$11),0.5),IF(F754=5,PERCENTILE(INDIRECT("g"&amp;$D$12):INDIRECT("g"&amp;$E$12),0.5),IF(F754=6,PERCENTILE(INDIRECT("g"&amp;$D$13):INDIRECT("g"&amp;$E$13),0.5)," "))))))</f>
        <v xml:space="preserve"> </v>
      </c>
      <c r="I754" s="242" t="str">
        <f t="shared" si="61"/>
        <v xml:space="preserve"> </v>
      </c>
      <c r="J754" s="242" t="str">
        <f ca="1">IF(F754=1,AVERAGE(INDIRECT("I"&amp;$D$8):INDIRECT("I"&amp;$E$8)),IF(F754=2,AVERAGE(INDIRECT("I"&amp;$D$9):INDIRECT("I"&amp;$E$9)),IF(F754=3,AVERAGE(INDIRECT("I"&amp;$D$10):INDIRECT("I"&amp;$E$10)),IF(F754=4,AVERAGE(INDIRECT("I"&amp;$D$11):INDIRECT("I"&amp;$E$11)),IF(F754=5,AVERAGE(INDIRECT("I"&amp;$D$12):INDIRECT("I"&amp;$E$12)),IF(F754=6,AVERAGE(INDIRECT("I"&amp;$D$13):INDIRECT("I"&amp;$E$13))," "))))))</f>
        <v xml:space="preserve"> </v>
      </c>
      <c r="K754" s="242" t="str">
        <f t="shared" si="62"/>
        <v xml:space="preserve"> </v>
      </c>
      <c r="L754" s="242" t="str">
        <f t="shared" si="63"/>
        <v xml:space="preserve"> </v>
      </c>
      <c r="M754" s="242" t="str">
        <f t="shared" si="64"/>
        <v xml:space="preserve"> </v>
      </c>
    </row>
    <row r="755" spans="6:13" x14ac:dyDescent="0.2">
      <c r="F755" s="216" t="str">
        <f t="shared" si="60"/>
        <v xml:space="preserve"> </v>
      </c>
      <c r="G755" s="50"/>
      <c r="H755" s="242" t="str">
        <f ca="1">IF(F755=1,PERCENTILE(INDIRECT("g"&amp;$D$8):INDIRECT("g"&amp;$E$8),0.5),IF(F755=2,PERCENTILE(INDIRECT("g"&amp;$D$9):INDIRECT("g"&amp;$E$9),0.5),IF(F755=3,PERCENTILE(INDIRECT("g"&amp;$D$10):INDIRECT("g"&amp;$E$10),0.5),IF(F755=4,PERCENTILE(INDIRECT("g"&amp;$D$11):INDIRECT("g"&amp;$E$11),0.5),IF(F755=5,PERCENTILE(INDIRECT("g"&amp;$D$12):INDIRECT("g"&amp;$E$12),0.5),IF(F755=6,PERCENTILE(INDIRECT("g"&amp;$D$13):INDIRECT("g"&amp;$E$13),0.5)," "))))))</f>
        <v xml:space="preserve"> </v>
      </c>
      <c r="I755" s="242" t="str">
        <f t="shared" si="61"/>
        <v xml:space="preserve"> </v>
      </c>
      <c r="J755" s="242" t="str">
        <f ca="1">IF(F755=1,AVERAGE(INDIRECT("I"&amp;$D$8):INDIRECT("I"&amp;$E$8)),IF(F755=2,AVERAGE(INDIRECT("I"&amp;$D$9):INDIRECT("I"&amp;$E$9)),IF(F755=3,AVERAGE(INDIRECT("I"&amp;$D$10):INDIRECT("I"&amp;$E$10)),IF(F755=4,AVERAGE(INDIRECT("I"&amp;$D$11):INDIRECT("I"&amp;$E$11)),IF(F755=5,AVERAGE(INDIRECT("I"&amp;$D$12):INDIRECT("I"&amp;$E$12)),IF(F755=6,AVERAGE(INDIRECT("I"&amp;$D$13):INDIRECT("I"&amp;$E$13))," "))))))</f>
        <v xml:space="preserve"> </v>
      </c>
      <c r="K755" s="242" t="str">
        <f t="shared" si="62"/>
        <v xml:space="preserve"> </v>
      </c>
      <c r="L755" s="242" t="str">
        <f t="shared" si="63"/>
        <v xml:space="preserve"> </v>
      </c>
      <c r="M755" s="242" t="str">
        <f t="shared" si="64"/>
        <v xml:space="preserve"> </v>
      </c>
    </row>
    <row r="756" spans="6:13" x14ac:dyDescent="0.2">
      <c r="F756" s="216" t="str">
        <f t="shared" si="60"/>
        <v xml:space="preserve"> </v>
      </c>
      <c r="G756" s="50"/>
      <c r="H756" s="242" t="str">
        <f ca="1">IF(F756=1,PERCENTILE(INDIRECT("g"&amp;$D$8):INDIRECT("g"&amp;$E$8),0.5),IF(F756=2,PERCENTILE(INDIRECT("g"&amp;$D$9):INDIRECT("g"&amp;$E$9),0.5),IF(F756=3,PERCENTILE(INDIRECT("g"&amp;$D$10):INDIRECT("g"&amp;$E$10),0.5),IF(F756=4,PERCENTILE(INDIRECT("g"&amp;$D$11):INDIRECT("g"&amp;$E$11),0.5),IF(F756=5,PERCENTILE(INDIRECT("g"&amp;$D$12):INDIRECT("g"&amp;$E$12),0.5),IF(F756=6,PERCENTILE(INDIRECT("g"&amp;$D$13):INDIRECT("g"&amp;$E$13),0.5)," "))))))</f>
        <v xml:space="preserve"> </v>
      </c>
      <c r="I756" s="242" t="str">
        <f t="shared" si="61"/>
        <v xml:space="preserve"> </v>
      </c>
      <c r="J756" s="242" t="str">
        <f ca="1">IF(F756=1,AVERAGE(INDIRECT("I"&amp;$D$8):INDIRECT("I"&amp;$E$8)),IF(F756=2,AVERAGE(INDIRECT("I"&amp;$D$9):INDIRECT("I"&amp;$E$9)),IF(F756=3,AVERAGE(INDIRECT("I"&amp;$D$10):INDIRECT("I"&amp;$E$10)),IF(F756=4,AVERAGE(INDIRECT("I"&amp;$D$11):INDIRECT("I"&amp;$E$11)),IF(F756=5,AVERAGE(INDIRECT("I"&amp;$D$12):INDIRECT("I"&amp;$E$12)),IF(F756=6,AVERAGE(INDIRECT("I"&amp;$D$13):INDIRECT("I"&amp;$E$13))," "))))))</f>
        <v xml:space="preserve"> </v>
      </c>
      <c r="K756" s="242" t="str">
        <f t="shared" si="62"/>
        <v xml:space="preserve"> </v>
      </c>
      <c r="L756" s="242" t="str">
        <f t="shared" si="63"/>
        <v xml:space="preserve"> </v>
      </c>
      <c r="M756" s="242" t="str">
        <f t="shared" si="64"/>
        <v xml:space="preserve"> </v>
      </c>
    </row>
    <row r="757" spans="6:13" x14ac:dyDescent="0.2">
      <c r="F757" s="216" t="str">
        <f t="shared" si="60"/>
        <v xml:space="preserve"> </v>
      </c>
      <c r="G757" s="50"/>
      <c r="H757" s="242" t="str">
        <f ca="1">IF(F757=1,PERCENTILE(INDIRECT("g"&amp;$D$8):INDIRECT("g"&amp;$E$8),0.5),IF(F757=2,PERCENTILE(INDIRECT("g"&amp;$D$9):INDIRECT("g"&amp;$E$9),0.5),IF(F757=3,PERCENTILE(INDIRECT("g"&amp;$D$10):INDIRECT("g"&amp;$E$10),0.5),IF(F757=4,PERCENTILE(INDIRECT("g"&amp;$D$11):INDIRECT("g"&amp;$E$11),0.5),IF(F757=5,PERCENTILE(INDIRECT("g"&amp;$D$12):INDIRECT("g"&amp;$E$12),0.5),IF(F757=6,PERCENTILE(INDIRECT("g"&amp;$D$13):INDIRECT("g"&amp;$E$13),0.5)," "))))))</f>
        <v xml:space="preserve"> </v>
      </c>
      <c r="I757" s="242" t="str">
        <f t="shared" si="61"/>
        <v xml:space="preserve"> </v>
      </c>
      <c r="J757" s="242" t="str">
        <f ca="1">IF(F757=1,AVERAGE(INDIRECT("I"&amp;$D$8):INDIRECT("I"&amp;$E$8)),IF(F757=2,AVERAGE(INDIRECT("I"&amp;$D$9):INDIRECT("I"&amp;$E$9)),IF(F757=3,AVERAGE(INDIRECT("I"&amp;$D$10):INDIRECT("I"&amp;$E$10)),IF(F757=4,AVERAGE(INDIRECT("I"&amp;$D$11):INDIRECT("I"&amp;$E$11)),IF(F757=5,AVERAGE(INDIRECT("I"&amp;$D$12):INDIRECT("I"&amp;$E$12)),IF(F757=6,AVERAGE(INDIRECT("I"&amp;$D$13):INDIRECT("I"&amp;$E$13))," "))))))</f>
        <v xml:space="preserve"> </v>
      </c>
      <c r="K757" s="242" t="str">
        <f t="shared" si="62"/>
        <v xml:space="preserve"> </v>
      </c>
      <c r="L757" s="242" t="str">
        <f t="shared" si="63"/>
        <v xml:space="preserve"> </v>
      </c>
      <c r="M757" s="242" t="str">
        <f t="shared" si="64"/>
        <v xml:space="preserve"> </v>
      </c>
    </row>
    <row r="758" spans="6:13" x14ac:dyDescent="0.2">
      <c r="F758" s="216" t="str">
        <f t="shared" si="60"/>
        <v xml:space="preserve"> </v>
      </c>
      <c r="G758" s="50"/>
      <c r="H758" s="242" t="str">
        <f ca="1">IF(F758=1,PERCENTILE(INDIRECT("g"&amp;$D$8):INDIRECT("g"&amp;$E$8),0.5),IF(F758=2,PERCENTILE(INDIRECT("g"&amp;$D$9):INDIRECT("g"&amp;$E$9),0.5),IF(F758=3,PERCENTILE(INDIRECT("g"&amp;$D$10):INDIRECT("g"&amp;$E$10),0.5),IF(F758=4,PERCENTILE(INDIRECT("g"&amp;$D$11):INDIRECT("g"&amp;$E$11),0.5),IF(F758=5,PERCENTILE(INDIRECT("g"&amp;$D$12):INDIRECT("g"&amp;$E$12),0.5),IF(F758=6,PERCENTILE(INDIRECT("g"&amp;$D$13):INDIRECT("g"&amp;$E$13),0.5)," "))))))</f>
        <v xml:space="preserve"> </v>
      </c>
      <c r="I758" s="242" t="str">
        <f t="shared" si="61"/>
        <v xml:space="preserve"> </v>
      </c>
      <c r="J758" s="242" t="str">
        <f ca="1">IF(F758=1,AVERAGE(INDIRECT("I"&amp;$D$8):INDIRECT("I"&amp;$E$8)),IF(F758=2,AVERAGE(INDIRECT("I"&amp;$D$9):INDIRECT("I"&amp;$E$9)),IF(F758=3,AVERAGE(INDIRECT("I"&amp;$D$10):INDIRECT("I"&amp;$E$10)),IF(F758=4,AVERAGE(INDIRECT("I"&amp;$D$11):INDIRECT("I"&amp;$E$11)),IF(F758=5,AVERAGE(INDIRECT("I"&amp;$D$12):INDIRECT("I"&amp;$E$12)),IF(F758=6,AVERAGE(INDIRECT("I"&amp;$D$13):INDIRECT("I"&amp;$E$13))," "))))))</f>
        <v xml:space="preserve"> </v>
      </c>
      <c r="K758" s="242" t="str">
        <f t="shared" si="62"/>
        <v xml:space="preserve"> </v>
      </c>
      <c r="L758" s="242" t="str">
        <f t="shared" si="63"/>
        <v xml:space="preserve"> </v>
      </c>
      <c r="M758" s="242" t="str">
        <f t="shared" si="64"/>
        <v xml:space="preserve"> </v>
      </c>
    </row>
    <row r="759" spans="6:13" x14ac:dyDescent="0.2">
      <c r="F759" s="216" t="str">
        <f t="shared" si="60"/>
        <v xml:space="preserve"> </v>
      </c>
      <c r="G759" s="50"/>
      <c r="H759" s="242" t="str">
        <f ca="1">IF(F759=1,PERCENTILE(INDIRECT("g"&amp;$D$8):INDIRECT("g"&amp;$E$8),0.5),IF(F759=2,PERCENTILE(INDIRECT("g"&amp;$D$9):INDIRECT("g"&amp;$E$9),0.5),IF(F759=3,PERCENTILE(INDIRECT("g"&amp;$D$10):INDIRECT("g"&amp;$E$10),0.5),IF(F759=4,PERCENTILE(INDIRECT("g"&amp;$D$11):INDIRECT("g"&amp;$E$11),0.5),IF(F759=5,PERCENTILE(INDIRECT("g"&amp;$D$12):INDIRECT("g"&amp;$E$12),0.5),IF(F759=6,PERCENTILE(INDIRECT("g"&amp;$D$13):INDIRECT("g"&amp;$E$13),0.5)," "))))))</f>
        <v xml:space="preserve"> </v>
      </c>
      <c r="I759" s="242" t="str">
        <f t="shared" si="61"/>
        <v xml:space="preserve"> </v>
      </c>
      <c r="J759" s="242" t="str">
        <f ca="1">IF(F759=1,AVERAGE(INDIRECT("I"&amp;$D$8):INDIRECT("I"&amp;$E$8)),IF(F759=2,AVERAGE(INDIRECT("I"&amp;$D$9):INDIRECT("I"&amp;$E$9)),IF(F759=3,AVERAGE(INDIRECT("I"&amp;$D$10):INDIRECT("I"&amp;$E$10)),IF(F759=4,AVERAGE(INDIRECT("I"&amp;$D$11):INDIRECT("I"&amp;$E$11)),IF(F759=5,AVERAGE(INDIRECT("I"&amp;$D$12):INDIRECT("I"&amp;$E$12)),IF(F759=6,AVERAGE(INDIRECT("I"&amp;$D$13):INDIRECT("I"&amp;$E$13))," "))))))</f>
        <v xml:space="preserve"> </v>
      </c>
      <c r="K759" s="242" t="str">
        <f t="shared" si="62"/>
        <v xml:space="preserve"> </v>
      </c>
      <c r="L759" s="242" t="str">
        <f t="shared" si="63"/>
        <v xml:space="preserve"> </v>
      </c>
      <c r="M759" s="242" t="str">
        <f t="shared" si="64"/>
        <v xml:space="preserve"> </v>
      </c>
    </row>
    <row r="760" spans="6:13" x14ac:dyDescent="0.2">
      <c r="F760" s="216" t="str">
        <f t="shared" si="60"/>
        <v xml:space="preserve"> </v>
      </c>
      <c r="G760" s="50"/>
      <c r="H760" s="242" t="str">
        <f ca="1">IF(F760=1,PERCENTILE(INDIRECT("g"&amp;$D$8):INDIRECT("g"&amp;$E$8),0.5),IF(F760=2,PERCENTILE(INDIRECT("g"&amp;$D$9):INDIRECT("g"&amp;$E$9),0.5),IF(F760=3,PERCENTILE(INDIRECT("g"&amp;$D$10):INDIRECT("g"&amp;$E$10),0.5),IF(F760=4,PERCENTILE(INDIRECT("g"&amp;$D$11):INDIRECT("g"&amp;$E$11),0.5),IF(F760=5,PERCENTILE(INDIRECT("g"&amp;$D$12):INDIRECT("g"&amp;$E$12),0.5),IF(F760=6,PERCENTILE(INDIRECT("g"&amp;$D$13):INDIRECT("g"&amp;$E$13),0.5)," "))))))</f>
        <v xml:space="preserve"> </v>
      </c>
      <c r="I760" s="242" t="str">
        <f t="shared" si="61"/>
        <v xml:space="preserve"> </v>
      </c>
      <c r="J760" s="242" t="str">
        <f ca="1">IF(F760=1,AVERAGE(INDIRECT("I"&amp;$D$8):INDIRECT("I"&amp;$E$8)),IF(F760=2,AVERAGE(INDIRECT("I"&amp;$D$9):INDIRECT("I"&amp;$E$9)),IF(F760=3,AVERAGE(INDIRECT("I"&amp;$D$10):INDIRECT("I"&amp;$E$10)),IF(F760=4,AVERAGE(INDIRECT("I"&amp;$D$11):INDIRECT("I"&amp;$E$11)),IF(F760=5,AVERAGE(INDIRECT("I"&amp;$D$12):INDIRECT("I"&amp;$E$12)),IF(F760=6,AVERAGE(INDIRECT("I"&amp;$D$13):INDIRECT("I"&amp;$E$13))," "))))))</f>
        <v xml:space="preserve"> </v>
      </c>
      <c r="K760" s="242" t="str">
        <f t="shared" si="62"/>
        <v xml:space="preserve"> </v>
      </c>
      <c r="L760" s="242" t="str">
        <f t="shared" si="63"/>
        <v xml:space="preserve"> </v>
      </c>
      <c r="M760" s="242" t="str">
        <f t="shared" si="64"/>
        <v xml:space="preserve"> </v>
      </c>
    </row>
    <row r="761" spans="6:13" x14ac:dyDescent="0.2">
      <c r="F761" s="216" t="str">
        <f t="shared" si="60"/>
        <v xml:space="preserve"> </v>
      </c>
      <c r="G761" s="50"/>
      <c r="H761" s="242" t="str">
        <f ca="1">IF(F761=1,PERCENTILE(INDIRECT("g"&amp;$D$8):INDIRECT("g"&amp;$E$8),0.5),IF(F761=2,PERCENTILE(INDIRECT("g"&amp;$D$9):INDIRECT("g"&amp;$E$9),0.5),IF(F761=3,PERCENTILE(INDIRECT("g"&amp;$D$10):INDIRECT("g"&amp;$E$10),0.5),IF(F761=4,PERCENTILE(INDIRECT("g"&amp;$D$11):INDIRECT("g"&amp;$E$11),0.5),IF(F761=5,PERCENTILE(INDIRECT("g"&amp;$D$12):INDIRECT("g"&amp;$E$12),0.5),IF(F761=6,PERCENTILE(INDIRECT("g"&amp;$D$13):INDIRECT("g"&amp;$E$13),0.5)," "))))))</f>
        <v xml:space="preserve"> </v>
      </c>
      <c r="I761" s="242" t="str">
        <f t="shared" si="61"/>
        <v xml:space="preserve"> </v>
      </c>
      <c r="J761" s="242" t="str">
        <f ca="1">IF(F761=1,AVERAGE(INDIRECT("I"&amp;$D$8):INDIRECT("I"&amp;$E$8)),IF(F761=2,AVERAGE(INDIRECT("I"&amp;$D$9):INDIRECT("I"&amp;$E$9)),IF(F761=3,AVERAGE(INDIRECT("I"&amp;$D$10):INDIRECT("I"&amp;$E$10)),IF(F761=4,AVERAGE(INDIRECT("I"&amp;$D$11):INDIRECT("I"&amp;$E$11)),IF(F761=5,AVERAGE(INDIRECT("I"&amp;$D$12):INDIRECT("I"&amp;$E$12)),IF(F761=6,AVERAGE(INDIRECT("I"&amp;$D$13):INDIRECT("I"&amp;$E$13))," "))))))</f>
        <v xml:space="preserve"> </v>
      </c>
      <c r="K761" s="242" t="str">
        <f t="shared" si="62"/>
        <v xml:space="preserve"> </v>
      </c>
      <c r="L761" s="242" t="str">
        <f t="shared" si="63"/>
        <v xml:space="preserve"> </v>
      </c>
      <c r="M761" s="242" t="str">
        <f t="shared" si="64"/>
        <v xml:space="preserve"> </v>
      </c>
    </row>
    <row r="762" spans="6:13" x14ac:dyDescent="0.2">
      <c r="F762" s="216" t="str">
        <f t="shared" si="60"/>
        <v xml:space="preserve"> </v>
      </c>
      <c r="G762" s="50"/>
      <c r="H762" s="242" t="str">
        <f ca="1">IF(F762=1,PERCENTILE(INDIRECT("g"&amp;$D$8):INDIRECT("g"&amp;$E$8),0.5),IF(F762=2,PERCENTILE(INDIRECT("g"&amp;$D$9):INDIRECT("g"&amp;$E$9),0.5),IF(F762=3,PERCENTILE(INDIRECT("g"&amp;$D$10):INDIRECT("g"&amp;$E$10),0.5),IF(F762=4,PERCENTILE(INDIRECT("g"&amp;$D$11):INDIRECT("g"&amp;$E$11),0.5),IF(F762=5,PERCENTILE(INDIRECT("g"&amp;$D$12):INDIRECT("g"&amp;$E$12),0.5),IF(F762=6,PERCENTILE(INDIRECT("g"&amp;$D$13):INDIRECT("g"&amp;$E$13),0.5)," "))))))</f>
        <v xml:space="preserve"> </v>
      </c>
      <c r="I762" s="242" t="str">
        <f t="shared" si="61"/>
        <v xml:space="preserve"> </v>
      </c>
      <c r="J762" s="242" t="str">
        <f ca="1">IF(F762=1,AVERAGE(INDIRECT("I"&amp;$D$8):INDIRECT("I"&amp;$E$8)),IF(F762=2,AVERAGE(INDIRECT("I"&amp;$D$9):INDIRECT("I"&amp;$E$9)),IF(F762=3,AVERAGE(INDIRECT("I"&amp;$D$10):INDIRECT("I"&amp;$E$10)),IF(F762=4,AVERAGE(INDIRECT("I"&amp;$D$11):INDIRECT("I"&amp;$E$11)),IF(F762=5,AVERAGE(INDIRECT("I"&amp;$D$12):INDIRECT("I"&amp;$E$12)),IF(F762=6,AVERAGE(INDIRECT("I"&amp;$D$13):INDIRECT("I"&amp;$E$13))," "))))))</f>
        <v xml:space="preserve"> </v>
      </c>
      <c r="K762" s="242" t="str">
        <f t="shared" si="62"/>
        <v xml:space="preserve"> </v>
      </c>
      <c r="L762" s="242" t="str">
        <f t="shared" si="63"/>
        <v xml:space="preserve"> </v>
      </c>
      <c r="M762" s="242" t="str">
        <f t="shared" si="64"/>
        <v xml:space="preserve"> </v>
      </c>
    </row>
    <row r="763" spans="6:13" x14ac:dyDescent="0.2">
      <c r="F763" s="216" t="str">
        <f t="shared" si="60"/>
        <v xml:space="preserve"> </v>
      </c>
      <c r="G763" s="50"/>
      <c r="H763" s="242" t="str">
        <f ca="1">IF(F763=1,PERCENTILE(INDIRECT("g"&amp;$D$8):INDIRECT("g"&amp;$E$8),0.5),IF(F763=2,PERCENTILE(INDIRECT("g"&amp;$D$9):INDIRECT("g"&amp;$E$9),0.5),IF(F763=3,PERCENTILE(INDIRECT("g"&amp;$D$10):INDIRECT("g"&amp;$E$10),0.5),IF(F763=4,PERCENTILE(INDIRECT("g"&amp;$D$11):INDIRECT("g"&amp;$E$11),0.5),IF(F763=5,PERCENTILE(INDIRECT("g"&amp;$D$12):INDIRECT("g"&amp;$E$12),0.5),IF(F763=6,PERCENTILE(INDIRECT("g"&amp;$D$13):INDIRECT("g"&amp;$E$13),0.5)," "))))))</f>
        <v xml:space="preserve"> </v>
      </c>
      <c r="I763" s="242" t="str">
        <f t="shared" si="61"/>
        <v xml:space="preserve"> </v>
      </c>
      <c r="J763" s="242" t="str">
        <f ca="1">IF(F763=1,AVERAGE(INDIRECT("I"&amp;$D$8):INDIRECT("I"&amp;$E$8)),IF(F763=2,AVERAGE(INDIRECT("I"&amp;$D$9):INDIRECT("I"&amp;$E$9)),IF(F763=3,AVERAGE(INDIRECT("I"&amp;$D$10):INDIRECT("I"&amp;$E$10)),IF(F763=4,AVERAGE(INDIRECT("I"&amp;$D$11):INDIRECT("I"&amp;$E$11)),IF(F763=5,AVERAGE(INDIRECT("I"&amp;$D$12):INDIRECT("I"&amp;$E$12)),IF(F763=6,AVERAGE(INDIRECT("I"&amp;$D$13):INDIRECT("I"&amp;$E$13))," "))))))</f>
        <v xml:space="preserve"> </v>
      </c>
      <c r="K763" s="242" t="str">
        <f t="shared" si="62"/>
        <v xml:space="preserve"> </v>
      </c>
      <c r="L763" s="242" t="str">
        <f t="shared" si="63"/>
        <v xml:space="preserve"> </v>
      </c>
      <c r="M763" s="242" t="str">
        <f t="shared" si="64"/>
        <v xml:space="preserve"> </v>
      </c>
    </row>
    <row r="764" spans="6:13" x14ac:dyDescent="0.2">
      <c r="F764" s="216" t="str">
        <f t="shared" si="60"/>
        <v xml:space="preserve"> </v>
      </c>
      <c r="G764" s="50"/>
      <c r="H764" s="242" t="str">
        <f ca="1">IF(F764=1,PERCENTILE(INDIRECT("g"&amp;$D$8):INDIRECT("g"&amp;$E$8),0.5),IF(F764=2,PERCENTILE(INDIRECT("g"&amp;$D$9):INDIRECT("g"&amp;$E$9),0.5),IF(F764=3,PERCENTILE(INDIRECT("g"&amp;$D$10):INDIRECT("g"&amp;$E$10),0.5),IF(F764=4,PERCENTILE(INDIRECT("g"&amp;$D$11):INDIRECT("g"&amp;$E$11),0.5),IF(F764=5,PERCENTILE(INDIRECT("g"&amp;$D$12):INDIRECT("g"&amp;$E$12),0.5),IF(F764=6,PERCENTILE(INDIRECT("g"&amp;$D$13):INDIRECT("g"&amp;$E$13),0.5)," "))))))</f>
        <v xml:space="preserve"> </v>
      </c>
      <c r="I764" s="242" t="str">
        <f t="shared" si="61"/>
        <v xml:space="preserve"> </v>
      </c>
      <c r="J764" s="242" t="str">
        <f ca="1">IF(F764=1,AVERAGE(INDIRECT("I"&amp;$D$8):INDIRECT("I"&amp;$E$8)),IF(F764=2,AVERAGE(INDIRECT("I"&amp;$D$9):INDIRECT("I"&amp;$E$9)),IF(F764=3,AVERAGE(INDIRECT("I"&amp;$D$10):INDIRECT("I"&amp;$E$10)),IF(F764=4,AVERAGE(INDIRECT("I"&amp;$D$11):INDIRECT("I"&amp;$E$11)),IF(F764=5,AVERAGE(INDIRECT("I"&amp;$D$12):INDIRECT("I"&amp;$E$12)),IF(F764=6,AVERAGE(INDIRECT("I"&amp;$D$13):INDIRECT("I"&amp;$E$13))," "))))))</f>
        <v xml:space="preserve"> </v>
      </c>
      <c r="K764" s="242" t="str">
        <f t="shared" si="62"/>
        <v xml:space="preserve"> </v>
      </c>
      <c r="L764" s="242" t="str">
        <f t="shared" si="63"/>
        <v xml:space="preserve"> </v>
      </c>
      <c r="M764" s="242" t="str">
        <f t="shared" si="64"/>
        <v xml:space="preserve"> </v>
      </c>
    </row>
    <row r="765" spans="6:13" x14ac:dyDescent="0.2">
      <c r="F765" s="216" t="str">
        <f t="shared" si="60"/>
        <v xml:space="preserve"> </v>
      </c>
      <c r="G765" s="50"/>
      <c r="H765" s="242" t="str">
        <f ca="1">IF(F765=1,PERCENTILE(INDIRECT("g"&amp;$D$8):INDIRECT("g"&amp;$E$8),0.5),IF(F765=2,PERCENTILE(INDIRECT("g"&amp;$D$9):INDIRECT("g"&amp;$E$9),0.5),IF(F765=3,PERCENTILE(INDIRECT("g"&amp;$D$10):INDIRECT("g"&amp;$E$10),0.5),IF(F765=4,PERCENTILE(INDIRECT("g"&amp;$D$11):INDIRECT("g"&amp;$E$11),0.5),IF(F765=5,PERCENTILE(INDIRECT("g"&amp;$D$12):INDIRECT("g"&amp;$E$12),0.5),IF(F765=6,PERCENTILE(INDIRECT("g"&amp;$D$13):INDIRECT("g"&amp;$E$13),0.5)," "))))))</f>
        <v xml:space="preserve"> </v>
      </c>
      <c r="I765" s="242" t="str">
        <f t="shared" si="61"/>
        <v xml:space="preserve"> </v>
      </c>
      <c r="J765" s="242" t="str">
        <f ca="1">IF(F765=1,AVERAGE(INDIRECT("I"&amp;$D$8):INDIRECT("I"&amp;$E$8)),IF(F765=2,AVERAGE(INDIRECT("I"&amp;$D$9):INDIRECT("I"&amp;$E$9)),IF(F765=3,AVERAGE(INDIRECT("I"&amp;$D$10):INDIRECT("I"&amp;$E$10)),IF(F765=4,AVERAGE(INDIRECT("I"&amp;$D$11):INDIRECT("I"&amp;$E$11)),IF(F765=5,AVERAGE(INDIRECT("I"&amp;$D$12):INDIRECT("I"&amp;$E$12)),IF(F765=6,AVERAGE(INDIRECT("I"&amp;$D$13):INDIRECT("I"&amp;$E$13))," "))))))</f>
        <v xml:space="preserve"> </v>
      </c>
      <c r="K765" s="242" t="str">
        <f t="shared" si="62"/>
        <v xml:space="preserve"> </v>
      </c>
      <c r="L765" s="242" t="str">
        <f t="shared" si="63"/>
        <v xml:space="preserve"> </v>
      </c>
      <c r="M765" s="242" t="str">
        <f t="shared" si="64"/>
        <v xml:space="preserve"> </v>
      </c>
    </row>
    <row r="766" spans="6:13" x14ac:dyDescent="0.2">
      <c r="F766" s="216" t="str">
        <f t="shared" si="60"/>
        <v xml:space="preserve"> </v>
      </c>
      <c r="G766" s="50"/>
      <c r="H766" s="242" t="str">
        <f ca="1">IF(F766=1,PERCENTILE(INDIRECT("g"&amp;$D$8):INDIRECT("g"&amp;$E$8),0.5),IF(F766=2,PERCENTILE(INDIRECT("g"&amp;$D$9):INDIRECT("g"&amp;$E$9),0.5),IF(F766=3,PERCENTILE(INDIRECT("g"&amp;$D$10):INDIRECT("g"&amp;$E$10),0.5),IF(F766=4,PERCENTILE(INDIRECT("g"&amp;$D$11):INDIRECT("g"&amp;$E$11),0.5),IF(F766=5,PERCENTILE(INDIRECT("g"&amp;$D$12):INDIRECT("g"&amp;$E$12),0.5),IF(F766=6,PERCENTILE(INDIRECT("g"&amp;$D$13):INDIRECT("g"&amp;$E$13),0.5)," "))))))</f>
        <v xml:space="preserve"> </v>
      </c>
      <c r="I766" s="242" t="str">
        <f t="shared" si="61"/>
        <v xml:space="preserve"> </v>
      </c>
      <c r="J766" s="242" t="str">
        <f ca="1">IF(F766=1,AVERAGE(INDIRECT("I"&amp;$D$8):INDIRECT("I"&amp;$E$8)),IF(F766=2,AVERAGE(INDIRECT("I"&amp;$D$9):INDIRECT("I"&amp;$E$9)),IF(F766=3,AVERAGE(INDIRECT("I"&amp;$D$10):INDIRECT("I"&amp;$E$10)),IF(F766=4,AVERAGE(INDIRECT("I"&amp;$D$11):INDIRECT("I"&amp;$E$11)),IF(F766=5,AVERAGE(INDIRECT("I"&amp;$D$12):INDIRECT("I"&amp;$E$12)),IF(F766=6,AVERAGE(INDIRECT("I"&amp;$D$13):INDIRECT("I"&amp;$E$13))," "))))))</f>
        <v xml:space="preserve"> </v>
      </c>
      <c r="K766" s="242" t="str">
        <f t="shared" si="62"/>
        <v xml:space="preserve"> </v>
      </c>
      <c r="L766" s="242" t="str">
        <f t="shared" si="63"/>
        <v xml:space="preserve"> </v>
      </c>
      <c r="M766" s="242" t="str">
        <f t="shared" si="64"/>
        <v xml:space="preserve"> </v>
      </c>
    </row>
    <row r="767" spans="6:13" x14ac:dyDescent="0.2">
      <c r="F767" s="216" t="str">
        <f t="shared" si="60"/>
        <v xml:space="preserve"> </v>
      </c>
      <c r="G767" s="50"/>
      <c r="H767" s="242" t="str">
        <f ca="1">IF(F767=1,PERCENTILE(INDIRECT("g"&amp;$D$8):INDIRECT("g"&amp;$E$8),0.5),IF(F767=2,PERCENTILE(INDIRECT("g"&amp;$D$9):INDIRECT("g"&amp;$E$9),0.5),IF(F767=3,PERCENTILE(INDIRECT("g"&amp;$D$10):INDIRECT("g"&amp;$E$10),0.5),IF(F767=4,PERCENTILE(INDIRECT("g"&amp;$D$11):INDIRECT("g"&amp;$E$11),0.5),IF(F767=5,PERCENTILE(INDIRECT("g"&amp;$D$12):INDIRECT("g"&amp;$E$12),0.5),IF(F767=6,PERCENTILE(INDIRECT("g"&amp;$D$13):INDIRECT("g"&amp;$E$13),0.5)," "))))))</f>
        <v xml:space="preserve"> </v>
      </c>
      <c r="I767" s="242" t="str">
        <f t="shared" si="61"/>
        <v xml:space="preserve"> </v>
      </c>
      <c r="J767" s="242" t="str">
        <f ca="1">IF(F767=1,AVERAGE(INDIRECT("I"&amp;$D$8):INDIRECT("I"&amp;$E$8)),IF(F767=2,AVERAGE(INDIRECT("I"&amp;$D$9):INDIRECT("I"&amp;$E$9)),IF(F767=3,AVERAGE(INDIRECT("I"&amp;$D$10):INDIRECT("I"&amp;$E$10)),IF(F767=4,AVERAGE(INDIRECT("I"&amp;$D$11):INDIRECT("I"&amp;$E$11)),IF(F767=5,AVERAGE(INDIRECT("I"&amp;$D$12):INDIRECT("I"&amp;$E$12)),IF(F767=6,AVERAGE(INDIRECT("I"&amp;$D$13):INDIRECT("I"&amp;$E$13))," "))))))</f>
        <v xml:space="preserve"> </v>
      </c>
      <c r="K767" s="242" t="str">
        <f t="shared" si="62"/>
        <v xml:space="preserve"> </v>
      </c>
      <c r="L767" s="242" t="str">
        <f t="shared" si="63"/>
        <v xml:space="preserve"> </v>
      </c>
      <c r="M767" s="242" t="str">
        <f t="shared" si="64"/>
        <v xml:space="preserve"> </v>
      </c>
    </row>
    <row r="768" spans="6:13" x14ac:dyDescent="0.2">
      <c r="F768" s="216" t="str">
        <f t="shared" si="60"/>
        <v xml:space="preserve"> </v>
      </c>
      <c r="G768" s="50"/>
      <c r="H768" s="242" t="str">
        <f ca="1">IF(F768=1,PERCENTILE(INDIRECT("g"&amp;$D$8):INDIRECT("g"&amp;$E$8),0.5),IF(F768=2,PERCENTILE(INDIRECT("g"&amp;$D$9):INDIRECT("g"&amp;$E$9),0.5),IF(F768=3,PERCENTILE(INDIRECT("g"&amp;$D$10):INDIRECT("g"&amp;$E$10),0.5),IF(F768=4,PERCENTILE(INDIRECT("g"&amp;$D$11):INDIRECT("g"&amp;$E$11),0.5),IF(F768=5,PERCENTILE(INDIRECT("g"&amp;$D$12):INDIRECT("g"&amp;$E$12),0.5),IF(F768=6,PERCENTILE(INDIRECT("g"&amp;$D$13):INDIRECT("g"&amp;$E$13),0.5)," "))))))</f>
        <v xml:space="preserve"> </v>
      </c>
      <c r="I768" s="242" t="str">
        <f t="shared" si="61"/>
        <v xml:space="preserve"> </v>
      </c>
      <c r="J768" s="242" t="str">
        <f ca="1">IF(F768=1,AVERAGE(INDIRECT("I"&amp;$D$8):INDIRECT("I"&amp;$E$8)),IF(F768=2,AVERAGE(INDIRECT("I"&amp;$D$9):INDIRECT("I"&amp;$E$9)),IF(F768=3,AVERAGE(INDIRECT("I"&amp;$D$10):INDIRECT("I"&amp;$E$10)),IF(F768=4,AVERAGE(INDIRECT("I"&amp;$D$11):INDIRECT("I"&amp;$E$11)),IF(F768=5,AVERAGE(INDIRECT("I"&amp;$D$12):INDIRECT("I"&amp;$E$12)),IF(F768=6,AVERAGE(INDIRECT("I"&amp;$D$13):INDIRECT("I"&amp;$E$13))," "))))))</f>
        <v xml:space="preserve"> </v>
      </c>
      <c r="K768" s="242" t="str">
        <f t="shared" si="62"/>
        <v xml:space="preserve"> </v>
      </c>
      <c r="L768" s="242" t="str">
        <f t="shared" si="63"/>
        <v xml:space="preserve"> </v>
      </c>
      <c r="M768" s="242" t="str">
        <f t="shared" si="64"/>
        <v xml:space="preserve"> </v>
      </c>
    </row>
    <row r="769" spans="6:13" x14ac:dyDescent="0.2">
      <c r="F769" s="216" t="str">
        <f t="shared" si="60"/>
        <v xml:space="preserve"> </v>
      </c>
      <c r="G769" s="50"/>
      <c r="H769" s="242" t="str">
        <f ca="1">IF(F769=1,PERCENTILE(INDIRECT("g"&amp;$D$8):INDIRECT("g"&amp;$E$8),0.5),IF(F769=2,PERCENTILE(INDIRECT("g"&amp;$D$9):INDIRECT("g"&amp;$E$9),0.5),IF(F769=3,PERCENTILE(INDIRECT("g"&amp;$D$10):INDIRECT("g"&amp;$E$10),0.5),IF(F769=4,PERCENTILE(INDIRECT("g"&amp;$D$11):INDIRECT("g"&amp;$E$11),0.5),IF(F769=5,PERCENTILE(INDIRECT("g"&amp;$D$12):INDIRECT("g"&amp;$E$12),0.5),IF(F769=6,PERCENTILE(INDIRECT("g"&amp;$D$13):INDIRECT("g"&amp;$E$13),0.5)," "))))))</f>
        <v xml:space="preserve"> </v>
      </c>
      <c r="I769" s="242" t="str">
        <f t="shared" si="61"/>
        <v xml:space="preserve"> </v>
      </c>
      <c r="J769" s="242" t="str">
        <f ca="1">IF(F769=1,AVERAGE(INDIRECT("I"&amp;$D$8):INDIRECT("I"&amp;$E$8)),IF(F769=2,AVERAGE(INDIRECT("I"&amp;$D$9):INDIRECT("I"&amp;$E$9)),IF(F769=3,AVERAGE(INDIRECT("I"&amp;$D$10):INDIRECT("I"&amp;$E$10)),IF(F769=4,AVERAGE(INDIRECT("I"&amp;$D$11):INDIRECT("I"&amp;$E$11)),IF(F769=5,AVERAGE(INDIRECT("I"&amp;$D$12):INDIRECT("I"&amp;$E$12)),IF(F769=6,AVERAGE(INDIRECT("I"&amp;$D$13):INDIRECT("I"&amp;$E$13))," "))))))</f>
        <v xml:space="preserve"> </v>
      </c>
      <c r="K769" s="242" t="str">
        <f t="shared" si="62"/>
        <v xml:space="preserve"> </v>
      </c>
      <c r="L769" s="242" t="str">
        <f t="shared" si="63"/>
        <v xml:space="preserve"> </v>
      </c>
      <c r="M769" s="242" t="str">
        <f t="shared" si="64"/>
        <v xml:space="preserve"> </v>
      </c>
    </row>
    <row r="770" spans="6:13" x14ac:dyDescent="0.2">
      <c r="F770" s="216" t="str">
        <f t="shared" si="60"/>
        <v xml:space="preserve"> </v>
      </c>
      <c r="G770" s="50"/>
      <c r="H770" s="242" t="str">
        <f ca="1">IF(F770=1,PERCENTILE(INDIRECT("g"&amp;$D$8):INDIRECT("g"&amp;$E$8),0.5),IF(F770=2,PERCENTILE(INDIRECT("g"&amp;$D$9):INDIRECT("g"&amp;$E$9),0.5),IF(F770=3,PERCENTILE(INDIRECT("g"&amp;$D$10):INDIRECT("g"&amp;$E$10),0.5),IF(F770=4,PERCENTILE(INDIRECT("g"&amp;$D$11):INDIRECT("g"&amp;$E$11),0.5),IF(F770=5,PERCENTILE(INDIRECT("g"&amp;$D$12):INDIRECT("g"&amp;$E$12),0.5),IF(F770=6,PERCENTILE(INDIRECT("g"&amp;$D$13):INDIRECT("g"&amp;$E$13),0.5)," "))))))</f>
        <v xml:space="preserve"> </v>
      </c>
      <c r="I770" s="242" t="str">
        <f t="shared" si="61"/>
        <v xml:space="preserve"> </v>
      </c>
      <c r="J770" s="242" t="str">
        <f ca="1">IF(F770=1,AVERAGE(INDIRECT("I"&amp;$D$8):INDIRECT("I"&amp;$E$8)),IF(F770=2,AVERAGE(INDIRECT("I"&amp;$D$9):INDIRECT("I"&amp;$E$9)),IF(F770=3,AVERAGE(INDIRECT("I"&amp;$D$10):INDIRECT("I"&amp;$E$10)),IF(F770=4,AVERAGE(INDIRECT("I"&amp;$D$11):INDIRECT("I"&amp;$E$11)),IF(F770=5,AVERAGE(INDIRECT("I"&amp;$D$12):INDIRECT("I"&amp;$E$12)),IF(F770=6,AVERAGE(INDIRECT("I"&amp;$D$13):INDIRECT("I"&amp;$E$13))," "))))))</f>
        <v xml:space="preserve"> </v>
      </c>
      <c r="K770" s="242" t="str">
        <f t="shared" si="62"/>
        <v xml:space="preserve"> </v>
      </c>
      <c r="L770" s="242" t="str">
        <f t="shared" si="63"/>
        <v xml:space="preserve"> </v>
      </c>
      <c r="M770" s="242" t="str">
        <f t="shared" si="64"/>
        <v xml:space="preserve"> </v>
      </c>
    </row>
    <row r="771" spans="6:13" x14ac:dyDescent="0.2">
      <c r="F771" s="216" t="str">
        <f t="shared" si="60"/>
        <v xml:space="preserve"> </v>
      </c>
      <c r="G771" s="50"/>
      <c r="H771" s="242" t="str">
        <f ca="1">IF(F771=1,PERCENTILE(INDIRECT("g"&amp;$D$8):INDIRECT("g"&amp;$E$8),0.5),IF(F771=2,PERCENTILE(INDIRECT("g"&amp;$D$9):INDIRECT("g"&amp;$E$9),0.5),IF(F771=3,PERCENTILE(INDIRECT("g"&amp;$D$10):INDIRECT("g"&amp;$E$10),0.5),IF(F771=4,PERCENTILE(INDIRECT("g"&amp;$D$11):INDIRECT("g"&amp;$E$11),0.5),IF(F771=5,PERCENTILE(INDIRECT("g"&amp;$D$12):INDIRECT("g"&amp;$E$12),0.5),IF(F771=6,PERCENTILE(INDIRECT("g"&amp;$D$13):INDIRECT("g"&amp;$E$13),0.5)," "))))))</f>
        <v xml:space="preserve"> </v>
      </c>
      <c r="I771" s="242" t="str">
        <f t="shared" si="61"/>
        <v xml:space="preserve"> </v>
      </c>
      <c r="J771" s="242" t="str">
        <f ca="1">IF(F771=1,AVERAGE(INDIRECT("I"&amp;$D$8):INDIRECT("I"&amp;$E$8)),IF(F771=2,AVERAGE(INDIRECT("I"&amp;$D$9):INDIRECT("I"&amp;$E$9)),IF(F771=3,AVERAGE(INDIRECT("I"&amp;$D$10):INDIRECT("I"&amp;$E$10)),IF(F771=4,AVERAGE(INDIRECT("I"&amp;$D$11):INDIRECT("I"&amp;$E$11)),IF(F771=5,AVERAGE(INDIRECT("I"&amp;$D$12):INDIRECT("I"&amp;$E$12)),IF(F771=6,AVERAGE(INDIRECT("I"&amp;$D$13):INDIRECT("I"&amp;$E$13))," "))))))</f>
        <v xml:space="preserve"> </v>
      </c>
      <c r="K771" s="242" t="str">
        <f t="shared" si="62"/>
        <v xml:space="preserve"> </v>
      </c>
      <c r="L771" s="242" t="str">
        <f t="shared" si="63"/>
        <v xml:space="preserve"> </v>
      </c>
      <c r="M771" s="242" t="str">
        <f t="shared" si="64"/>
        <v xml:space="preserve"> </v>
      </c>
    </row>
    <row r="772" spans="6:13" x14ac:dyDescent="0.2">
      <c r="F772" s="216" t="str">
        <f t="shared" si="60"/>
        <v xml:space="preserve"> </v>
      </c>
      <c r="G772" s="50"/>
      <c r="H772" s="242" t="str">
        <f ca="1">IF(F772=1,PERCENTILE(INDIRECT("g"&amp;$D$8):INDIRECT("g"&amp;$E$8),0.5),IF(F772=2,PERCENTILE(INDIRECT("g"&amp;$D$9):INDIRECT("g"&amp;$E$9),0.5),IF(F772=3,PERCENTILE(INDIRECT("g"&amp;$D$10):INDIRECT("g"&amp;$E$10),0.5),IF(F772=4,PERCENTILE(INDIRECT("g"&amp;$D$11):INDIRECT("g"&amp;$E$11),0.5),IF(F772=5,PERCENTILE(INDIRECT("g"&amp;$D$12):INDIRECT("g"&amp;$E$12),0.5),IF(F772=6,PERCENTILE(INDIRECT("g"&amp;$D$13):INDIRECT("g"&amp;$E$13),0.5)," "))))))</f>
        <v xml:space="preserve"> </v>
      </c>
      <c r="I772" s="242" t="str">
        <f t="shared" si="61"/>
        <v xml:space="preserve"> </v>
      </c>
      <c r="J772" s="242" t="str">
        <f ca="1">IF(F772=1,AVERAGE(INDIRECT("I"&amp;$D$8):INDIRECT("I"&amp;$E$8)),IF(F772=2,AVERAGE(INDIRECT("I"&amp;$D$9):INDIRECT("I"&amp;$E$9)),IF(F772=3,AVERAGE(INDIRECT("I"&amp;$D$10):INDIRECT("I"&amp;$E$10)),IF(F772=4,AVERAGE(INDIRECT("I"&amp;$D$11):INDIRECT("I"&amp;$E$11)),IF(F772=5,AVERAGE(INDIRECT("I"&amp;$D$12):INDIRECT("I"&amp;$E$12)),IF(F772=6,AVERAGE(INDIRECT("I"&amp;$D$13):INDIRECT("I"&amp;$E$13))," "))))))</f>
        <v xml:space="preserve"> </v>
      </c>
      <c r="K772" s="242" t="str">
        <f t="shared" si="62"/>
        <v xml:space="preserve"> </v>
      </c>
      <c r="L772" s="242" t="str">
        <f t="shared" si="63"/>
        <v xml:space="preserve"> </v>
      </c>
      <c r="M772" s="242" t="str">
        <f t="shared" si="64"/>
        <v xml:space="preserve"> </v>
      </c>
    </row>
    <row r="773" spans="6:13" x14ac:dyDescent="0.2">
      <c r="F773" s="216" t="str">
        <f t="shared" si="60"/>
        <v xml:space="preserve"> </v>
      </c>
      <c r="G773" s="50"/>
      <c r="H773" s="242" t="str">
        <f ca="1">IF(F773=1,PERCENTILE(INDIRECT("g"&amp;$D$8):INDIRECT("g"&amp;$E$8),0.5),IF(F773=2,PERCENTILE(INDIRECT("g"&amp;$D$9):INDIRECT("g"&amp;$E$9),0.5),IF(F773=3,PERCENTILE(INDIRECT("g"&amp;$D$10):INDIRECT("g"&amp;$E$10),0.5),IF(F773=4,PERCENTILE(INDIRECT("g"&amp;$D$11):INDIRECT("g"&amp;$E$11),0.5),IF(F773=5,PERCENTILE(INDIRECT("g"&amp;$D$12):INDIRECT("g"&amp;$E$12),0.5),IF(F773=6,PERCENTILE(INDIRECT("g"&amp;$D$13):INDIRECT("g"&amp;$E$13),0.5)," "))))))</f>
        <v xml:space="preserve"> </v>
      </c>
      <c r="I773" s="242" t="str">
        <f t="shared" si="61"/>
        <v xml:space="preserve"> </v>
      </c>
      <c r="J773" s="242" t="str">
        <f ca="1">IF(F773=1,AVERAGE(INDIRECT("I"&amp;$D$8):INDIRECT("I"&amp;$E$8)),IF(F773=2,AVERAGE(INDIRECT("I"&amp;$D$9):INDIRECT("I"&amp;$E$9)),IF(F773=3,AVERAGE(INDIRECT("I"&amp;$D$10):INDIRECT("I"&amp;$E$10)),IF(F773=4,AVERAGE(INDIRECT("I"&amp;$D$11):INDIRECT("I"&amp;$E$11)),IF(F773=5,AVERAGE(INDIRECT("I"&amp;$D$12):INDIRECT("I"&amp;$E$12)),IF(F773=6,AVERAGE(INDIRECT("I"&amp;$D$13):INDIRECT("I"&amp;$E$13))," "))))))</f>
        <v xml:space="preserve"> </v>
      </c>
      <c r="K773" s="242" t="str">
        <f t="shared" si="62"/>
        <v xml:space="preserve"> </v>
      </c>
      <c r="L773" s="242" t="str">
        <f t="shared" si="63"/>
        <v xml:space="preserve"> </v>
      </c>
      <c r="M773" s="242" t="str">
        <f t="shared" si="64"/>
        <v xml:space="preserve"> </v>
      </c>
    </row>
    <row r="774" spans="6:13" x14ac:dyDescent="0.2">
      <c r="F774" s="216" t="str">
        <f t="shared" ref="F774:F837" si="65">IF(AND(ROW()&gt;=$D$8,ROW()&lt;=$E$8),1,IF(AND(ROW()&gt;=$D$9,ROW()&lt;=$E$9),2,IF(AND(ROW()&gt;=$D$10,ROW()&lt;=$E$10),3,IF(AND(ROW()&gt;=$D$11,ROW()&lt;=$E$11),4,IF(AND(ROW()&gt;=$D$12,ROW()&lt;=$E$12),5,IF(AND(ROW()&gt;=$D$13,ROW()&lt;=$E$13),6," "))))))</f>
        <v xml:space="preserve"> </v>
      </c>
      <c r="G774" s="50"/>
      <c r="H774" s="242" t="str">
        <f ca="1">IF(F774=1,PERCENTILE(INDIRECT("g"&amp;$D$8):INDIRECT("g"&amp;$E$8),0.5),IF(F774=2,PERCENTILE(INDIRECT("g"&amp;$D$9):INDIRECT("g"&amp;$E$9),0.5),IF(F774=3,PERCENTILE(INDIRECT("g"&amp;$D$10):INDIRECT("g"&amp;$E$10),0.5),IF(F774=4,PERCENTILE(INDIRECT("g"&amp;$D$11):INDIRECT("g"&amp;$E$11),0.5),IF(F774=5,PERCENTILE(INDIRECT("g"&amp;$D$12):INDIRECT("g"&amp;$E$12),0.5),IF(F774=6,PERCENTILE(INDIRECT("g"&amp;$D$13):INDIRECT("g"&amp;$E$13),0.5)," "))))))</f>
        <v xml:space="preserve"> </v>
      </c>
      <c r="I774" s="242" t="str">
        <f t="shared" ref="I774:I837" si="66">IF(ROW()&lt;=MAX($E$8:$E$13),ABS(G774-H774)," ")</f>
        <v xml:space="preserve"> </v>
      </c>
      <c r="J774" s="242" t="str">
        <f ca="1">IF(F774=1,AVERAGE(INDIRECT("I"&amp;$D$8):INDIRECT("I"&amp;$E$8)),IF(F774=2,AVERAGE(INDIRECT("I"&amp;$D$9):INDIRECT("I"&amp;$E$9)),IF(F774=3,AVERAGE(INDIRECT("I"&amp;$D$10):INDIRECT("I"&amp;$E$10)),IF(F774=4,AVERAGE(INDIRECT("I"&amp;$D$11):INDIRECT("I"&amp;$E$11)),IF(F774=5,AVERAGE(INDIRECT("I"&amp;$D$12):INDIRECT("I"&amp;$E$12)),IF(F774=6,AVERAGE(INDIRECT("I"&amp;$D$13):INDIRECT("I"&amp;$E$13))," "))))))</f>
        <v xml:space="preserve"> </v>
      </c>
      <c r="K774" s="242" t="str">
        <f t="shared" ref="K774:K837" si="67">IF(ROW()&lt;=MAX($E$8:$E$13),AVERAGE($I$6:$I$1005)," ")</f>
        <v xml:space="preserve"> </v>
      </c>
      <c r="L774" s="242" t="str">
        <f t="shared" ref="L774:L837" si="68">IF(ROW()&lt;=MAX($E$8:$E$13),(I774-J774)^2," ")</f>
        <v xml:space="preserve"> </v>
      </c>
      <c r="M774" s="242" t="str">
        <f t="shared" ref="M774:M837" si="69">IF(ROW()&lt;=MAX($E$8:$E$13),(J774-K774)^2," ")</f>
        <v xml:space="preserve"> </v>
      </c>
    </row>
    <row r="775" spans="6:13" x14ac:dyDescent="0.2">
      <c r="F775" s="216" t="str">
        <f t="shared" si="65"/>
        <v xml:space="preserve"> </v>
      </c>
      <c r="G775" s="50"/>
      <c r="H775" s="242" t="str">
        <f ca="1">IF(F775=1,PERCENTILE(INDIRECT("g"&amp;$D$8):INDIRECT("g"&amp;$E$8),0.5),IF(F775=2,PERCENTILE(INDIRECT("g"&amp;$D$9):INDIRECT("g"&amp;$E$9),0.5),IF(F775=3,PERCENTILE(INDIRECT("g"&amp;$D$10):INDIRECT("g"&amp;$E$10),0.5),IF(F775=4,PERCENTILE(INDIRECT("g"&amp;$D$11):INDIRECT("g"&amp;$E$11),0.5),IF(F775=5,PERCENTILE(INDIRECT("g"&amp;$D$12):INDIRECT("g"&amp;$E$12),0.5),IF(F775=6,PERCENTILE(INDIRECT("g"&amp;$D$13):INDIRECT("g"&amp;$E$13),0.5)," "))))))</f>
        <v xml:space="preserve"> </v>
      </c>
      <c r="I775" s="242" t="str">
        <f t="shared" si="66"/>
        <v xml:space="preserve"> </v>
      </c>
      <c r="J775" s="242" t="str">
        <f ca="1">IF(F775=1,AVERAGE(INDIRECT("I"&amp;$D$8):INDIRECT("I"&amp;$E$8)),IF(F775=2,AVERAGE(INDIRECT("I"&amp;$D$9):INDIRECT("I"&amp;$E$9)),IF(F775=3,AVERAGE(INDIRECT("I"&amp;$D$10):INDIRECT("I"&amp;$E$10)),IF(F775=4,AVERAGE(INDIRECT("I"&amp;$D$11):INDIRECT("I"&amp;$E$11)),IF(F775=5,AVERAGE(INDIRECT("I"&amp;$D$12):INDIRECT("I"&amp;$E$12)),IF(F775=6,AVERAGE(INDIRECT("I"&amp;$D$13):INDIRECT("I"&amp;$E$13))," "))))))</f>
        <v xml:space="preserve"> </v>
      </c>
      <c r="K775" s="242" t="str">
        <f t="shared" si="67"/>
        <v xml:space="preserve"> </v>
      </c>
      <c r="L775" s="242" t="str">
        <f t="shared" si="68"/>
        <v xml:space="preserve"> </v>
      </c>
      <c r="M775" s="242" t="str">
        <f t="shared" si="69"/>
        <v xml:space="preserve"> </v>
      </c>
    </row>
    <row r="776" spans="6:13" x14ac:dyDescent="0.2">
      <c r="F776" s="216" t="str">
        <f t="shared" si="65"/>
        <v xml:space="preserve"> </v>
      </c>
      <c r="G776" s="50"/>
      <c r="H776" s="242" t="str">
        <f ca="1">IF(F776=1,PERCENTILE(INDIRECT("g"&amp;$D$8):INDIRECT("g"&amp;$E$8),0.5),IF(F776=2,PERCENTILE(INDIRECT("g"&amp;$D$9):INDIRECT("g"&amp;$E$9),0.5),IF(F776=3,PERCENTILE(INDIRECT("g"&amp;$D$10):INDIRECT("g"&amp;$E$10),0.5),IF(F776=4,PERCENTILE(INDIRECT("g"&amp;$D$11):INDIRECT("g"&amp;$E$11),0.5),IF(F776=5,PERCENTILE(INDIRECT("g"&amp;$D$12):INDIRECT("g"&amp;$E$12),0.5),IF(F776=6,PERCENTILE(INDIRECT("g"&amp;$D$13):INDIRECT("g"&amp;$E$13),0.5)," "))))))</f>
        <v xml:space="preserve"> </v>
      </c>
      <c r="I776" s="242" t="str">
        <f t="shared" si="66"/>
        <v xml:space="preserve"> </v>
      </c>
      <c r="J776" s="242" t="str">
        <f ca="1">IF(F776=1,AVERAGE(INDIRECT("I"&amp;$D$8):INDIRECT("I"&amp;$E$8)),IF(F776=2,AVERAGE(INDIRECT("I"&amp;$D$9):INDIRECT("I"&amp;$E$9)),IF(F776=3,AVERAGE(INDIRECT("I"&amp;$D$10):INDIRECT("I"&amp;$E$10)),IF(F776=4,AVERAGE(INDIRECT("I"&amp;$D$11):INDIRECT("I"&amp;$E$11)),IF(F776=5,AVERAGE(INDIRECT("I"&amp;$D$12):INDIRECT("I"&amp;$E$12)),IF(F776=6,AVERAGE(INDIRECT("I"&amp;$D$13):INDIRECT("I"&amp;$E$13))," "))))))</f>
        <v xml:space="preserve"> </v>
      </c>
      <c r="K776" s="242" t="str">
        <f t="shared" si="67"/>
        <v xml:space="preserve"> </v>
      </c>
      <c r="L776" s="242" t="str">
        <f t="shared" si="68"/>
        <v xml:space="preserve"> </v>
      </c>
      <c r="M776" s="242" t="str">
        <f t="shared" si="69"/>
        <v xml:space="preserve"> </v>
      </c>
    </row>
    <row r="777" spans="6:13" x14ac:dyDescent="0.2">
      <c r="F777" s="216" t="str">
        <f t="shared" si="65"/>
        <v xml:space="preserve"> </v>
      </c>
      <c r="G777" s="50"/>
      <c r="H777" s="242" t="str">
        <f ca="1">IF(F777=1,PERCENTILE(INDIRECT("g"&amp;$D$8):INDIRECT("g"&amp;$E$8),0.5),IF(F777=2,PERCENTILE(INDIRECT("g"&amp;$D$9):INDIRECT("g"&amp;$E$9),0.5),IF(F777=3,PERCENTILE(INDIRECT("g"&amp;$D$10):INDIRECT("g"&amp;$E$10),0.5),IF(F777=4,PERCENTILE(INDIRECT("g"&amp;$D$11):INDIRECT("g"&amp;$E$11),0.5),IF(F777=5,PERCENTILE(INDIRECT("g"&amp;$D$12):INDIRECT("g"&amp;$E$12),0.5),IF(F777=6,PERCENTILE(INDIRECT("g"&amp;$D$13):INDIRECT("g"&amp;$E$13),0.5)," "))))))</f>
        <v xml:space="preserve"> </v>
      </c>
      <c r="I777" s="242" t="str">
        <f t="shared" si="66"/>
        <v xml:space="preserve"> </v>
      </c>
      <c r="J777" s="242" t="str">
        <f ca="1">IF(F777=1,AVERAGE(INDIRECT("I"&amp;$D$8):INDIRECT("I"&amp;$E$8)),IF(F777=2,AVERAGE(INDIRECT("I"&amp;$D$9):INDIRECT("I"&amp;$E$9)),IF(F777=3,AVERAGE(INDIRECT("I"&amp;$D$10):INDIRECT("I"&amp;$E$10)),IF(F777=4,AVERAGE(INDIRECT("I"&amp;$D$11):INDIRECT("I"&amp;$E$11)),IF(F777=5,AVERAGE(INDIRECT("I"&amp;$D$12):INDIRECT("I"&amp;$E$12)),IF(F777=6,AVERAGE(INDIRECT("I"&amp;$D$13):INDIRECT("I"&amp;$E$13))," "))))))</f>
        <v xml:space="preserve"> </v>
      </c>
      <c r="K777" s="242" t="str">
        <f t="shared" si="67"/>
        <v xml:space="preserve"> </v>
      </c>
      <c r="L777" s="242" t="str">
        <f t="shared" si="68"/>
        <v xml:space="preserve"> </v>
      </c>
      <c r="M777" s="242" t="str">
        <f t="shared" si="69"/>
        <v xml:space="preserve"> </v>
      </c>
    </row>
    <row r="778" spans="6:13" x14ac:dyDescent="0.2">
      <c r="F778" s="216" t="str">
        <f t="shared" si="65"/>
        <v xml:space="preserve"> </v>
      </c>
      <c r="G778" s="50"/>
      <c r="H778" s="242" t="str">
        <f ca="1">IF(F778=1,PERCENTILE(INDIRECT("g"&amp;$D$8):INDIRECT("g"&amp;$E$8),0.5),IF(F778=2,PERCENTILE(INDIRECT("g"&amp;$D$9):INDIRECT("g"&amp;$E$9),0.5),IF(F778=3,PERCENTILE(INDIRECT("g"&amp;$D$10):INDIRECT("g"&amp;$E$10),0.5),IF(F778=4,PERCENTILE(INDIRECT("g"&amp;$D$11):INDIRECT("g"&amp;$E$11),0.5),IF(F778=5,PERCENTILE(INDIRECT("g"&amp;$D$12):INDIRECT("g"&amp;$E$12),0.5),IF(F778=6,PERCENTILE(INDIRECT("g"&amp;$D$13):INDIRECT("g"&amp;$E$13),0.5)," "))))))</f>
        <v xml:space="preserve"> </v>
      </c>
      <c r="I778" s="242" t="str">
        <f t="shared" si="66"/>
        <v xml:space="preserve"> </v>
      </c>
      <c r="J778" s="242" t="str">
        <f ca="1">IF(F778=1,AVERAGE(INDIRECT("I"&amp;$D$8):INDIRECT("I"&amp;$E$8)),IF(F778=2,AVERAGE(INDIRECT("I"&amp;$D$9):INDIRECT("I"&amp;$E$9)),IF(F778=3,AVERAGE(INDIRECT("I"&amp;$D$10):INDIRECT("I"&amp;$E$10)),IF(F778=4,AVERAGE(INDIRECT("I"&amp;$D$11):INDIRECT("I"&amp;$E$11)),IF(F778=5,AVERAGE(INDIRECT("I"&amp;$D$12):INDIRECT("I"&amp;$E$12)),IF(F778=6,AVERAGE(INDIRECT("I"&amp;$D$13):INDIRECT("I"&amp;$E$13))," "))))))</f>
        <v xml:space="preserve"> </v>
      </c>
      <c r="K778" s="242" t="str">
        <f t="shared" si="67"/>
        <v xml:space="preserve"> </v>
      </c>
      <c r="L778" s="242" t="str">
        <f t="shared" si="68"/>
        <v xml:space="preserve"> </v>
      </c>
      <c r="M778" s="242" t="str">
        <f t="shared" si="69"/>
        <v xml:space="preserve"> </v>
      </c>
    </row>
    <row r="779" spans="6:13" x14ac:dyDescent="0.2">
      <c r="F779" s="216" t="str">
        <f t="shared" si="65"/>
        <v xml:space="preserve"> </v>
      </c>
      <c r="G779" s="50"/>
      <c r="H779" s="242" t="str">
        <f ca="1">IF(F779=1,PERCENTILE(INDIRECT("g"&amp;$D$8):INDIRECT("g"&amp;$E$8),0.5),IF(F779=2,PERCENTILE(INDIRECT("g"&amp;$D$9):INDIRECT("g"&amp;$E$9),0.5),IF(F779=3,PERCENTILE(INDIRECT("g"&amp;$D$10):INDIRECT("g"&amp;$E$10),0.5),IF(F779=4,PERCENTILE(INDIRECT("g"&amp;$D$11):INDIRECT("g"&amp;$E$11),0.5),IF(F779=5,PERCENTILE(INDIRECT("g"&amp;$D$12):INDIRECT("g"&amp;$E$12),0.5),IF(F779=6,PERCENTILE(INDIRECT("g"&amp;$D$13):INDIRECT("g"&amp;$E$13),0.5)," "))))))</f>
        <v xml:space="preserve"> </v>
      </c>
      <c r="I779" s="242" t="str">
        <f t="shared" si="66"/>
        <v xml:space="preserve"> </v>
      </c>
      <c r="J779" s="242" t="str">
        <f ca="1">IF(F779=1,AVERAGE(INDIRECT("I"&amp;$D$8):INDIRECT("I"&amp;$E$8)),IF(F779=2,AVERAGE(INDIRECT("I"&amp;$D$9):INDIRECT("I"&amp;$E$9)),IF(F779=3,AVERAGE(INDIRECT("I"&amp;$D$10):INDIRECT("I"&amp;$E$10)),IF(F779=4,AVERAGE(INDIRECT("I"&amp;$D$11):INDIRECT("I"&amp;$E$11)),IF(F779=5,AVERAGE(INDIRECT("I"&amp;$D$12):INDIRECT("I"&amp;$E$12)),IF(F779=6,AVERAGE(INDIRECT("I"&amp;$D$13):INDIRECT("I"&amp;$E$13))," "))))))</f>
        <v xml:space="preserve"> </v>
      </c>
      <c r="K779" s="242" t="str">
        <f t="shared" si="67"/>
        <v xml:space="preserve"> </v>
      </c>
      <c r="L779" s="242" t="str">
        <f t="shared" si="68"/>
        <v xml:space="preserve"> </v>
      </c>
      <c r="M779" s="242" t="str">
        <f t="shared" si="69"/>
        <v xml:space="preserve"> </v>
      </c>
    </row>
    <row r="780" spans="6:13" x14ac:dyDescent="0.2">
      <c r="F780" s="216" t="str">
        <f t="shared" si="65"/>
        <v xml:space="preserve"> </v>
      </c>
      <c r="G780" s="50"/>
      <c r="H780" s="242" t="str">
        <f ca="1">IF(F780=1,PERCENTILE(INDIRECT("g"&amp;$D$8):INDIRECT("g"&amp;$E$8),0.5),IF(F780=2,PERCENTILE(INDIRECT("g"&amp;$D$9):INDIRECT("g"&amp;$E$9),0.5),IF(F780=3,PERCENTILE(INDIRECT("g"&amp;$D$10):INDIRECT("g"&amp;$E$10),0.5),IF(F780=4,PERCENTILE(INDIRECT("g"&amp;$D$11):INDIRECT("g"&amp;$E$11),0.5),IF(F780=5,PERCENTILE(INDIRECT("g"&amp;$D$12):INDIRECT("g"&amp;$E$12),0.5),IF(F780=6,PERCENTILE(INDIRECT("g"&amp;$D$13):INDIRECT("g"&amp;$E$13),0.5)," "))))))</f>
        <v xml:space="preserve"> </v>
      </c>
      <c r="I780" s="242" t="str">
        <f t="shared" si="66"/>
        <v xml:space="preserve"> </v>
      </c>
      <c r="J780" s="242" t="str">
        <f ca="1">IF(F780=1,AVERAGE(INDIRECT("I"&amp;$D$8):INDIRECT("I"&amp;$E$8)),IF(F780=2,AVERAGE(INDIRECT("I"&amp;$D$9):INDIRECT("I"&amp;$E$9)),IF(F780=3,AVERAGE(INDIRECT("I"&amp;$D$10):INDIRECT("I"&amp;$E$10)),IF(F780=4,AVERAGE(INDIRECT("I"&amp;$D$11):INDIRECT("I"&amp;$E$11)),IF(F780=5,AVERAGE(INDIRECT("I"&amp;$D$12):INDIRECT("I"&amp;$E$12)),IF(F780=6,AVERAGE(INDIRECT("I"&amp;$D$13):INDIRECT("I"&amp;$E$13))," "))))))</f>
        <v xml:space="preserve"> </v>
      </c>
      <c r="K780" s="242" t="str">
        <f t="shared" si="67"/>
        <v xml:space="preserve"> </v>
      </c>
      <c r="L780" s="242" t="str">
        <f t="shared" si="68"/>
        <v xml:space="preserve"> </v>
      </c>
      <c r="M780" s="242" t="str">
        <f t="shared" si="69"/>
        <v xml:space="preserve"> </v>
      </c>
    </row>
    <row r="781" spans="6:13" x14ac:dyDescent="0.2">
      <c r="F781" s="216" t="str">
        <f t="shared" si="65"/>
        <v xml:space="preserve"> </v>
      </c>
      <c r="G781" s="50"/>
      <c r="H781" s="242" t="str">
        <f ca="1">IF(F781=1,PERCENTILE(INDIRECT("g"&amp;$D$8):INDIRECT("g"&amp;$E$8),0.5),IF(F781=2,PERCENTILE(INDIRECT("g"&amp;$D$9):INDIRECT("g"&amp;$E$9),0.5),IF(F781=3,PERCENTILE(INDIRECT("g"&amp;$D$10):INDIRECT("g"&amp;$E$10),0.5),IF(F781=4,PERCENTILE(INDIRECT("g"&amp;$D$11):INDIRECT("g"&amp;$E$11),0.5),IF(F781=5,PERCENTILE(INDIRECT("g"&amp;$D$12):INDIRECT("g"&amp;$E$12),0.5),IF(F781=6,PERCENTILE(INDIRECT("g"&amp;$D$13):INDIRECT("g"&amp;$E$13),0.5)," "))))))</f>
        <v xml:space="preserve"> </v>
      </c>
      <c r="I781" s="242" t="str">
        <f t="shared" si="66"/>
        <v xml:space="preserve"> </v>
      </c>
      <c r="J781" s="242" t="str">
        <f ca="1">IF(F781=1,AVERAGE(INDIRECT("I"&amp;$D$8):INDIRECT("I"&amp;$E$8)),IF(F781=2,AVERAGE(INDIRECT("I"&amp;$D$9):INDIRECT("I"&amp;$E$9)),IF(F781=3,AVERAGE(INDIRECT("I"&amp;$D$10):INDIRECT("I"&amp;$E$10)),IF(F781=4,AVERAGE(INDIRECT("I"&amp;$D$11):INDIRECT("I"&amp;$E$11)),IF(F781=5,AVERAGE(INDIRECT("I"&amp;$D$12):INDIRECT("I"&amp;$E$12)),IF(F781=6,AVERAGE(INDIRECT("I"&amp;$D$13):INDIRECT("I"&amp;$E$13))," "))))))</f>
        <v xml:space="preserve"> </v>
      </c>
      <c r="K781" s="242" t="str">
        <f t="shared" si="67"/>
        <v xml:space="preserve"> </v>
      </c>
      <c r="L781" s="242" t="str">
        <f t="shared" si="68"/>
        <v xml:space="preserve"> </v>
      </c>
      <c r="M781" s="242" t="str">
        <f t="shared" si="69"/>
        <v xml:space="preserve"> </v>
      </c>
    </row>
    <row r="782" spans="6:13" x14ac:dyDescent="0.2">
      <c r="F782" s="216" t="str">
        <f t="shared" si="65"/>
        <v xml:space="preserve"> </v>
      </c>
      <c r="G782" s="50"/>
      <c r="H782" s="242" t="str">
        <f ca="1">IF(F782=1,PERCENTILE(INDIRECT("g"&amp;$D$8):INDIRECT("g"&amp;$E$8),0.5),IF(F782=2,PERCENTILE(INDIRECT("g"&amp;$D$9):INDIRECT("g"&amp;$E$9),0.5),IF(F782=3,PERCENTILE(INDIRECT("g"&amp;$D$10):INDIRECT("g"&amp;$E$10),0.5),IF(F782=4,PERCENTILE(INDIRECT("g"&amp;$D$11):INDIRECT("g"&amp;$E$11),0.5),IF(F782=5,PERCENTILE(INDIRECT("g"&amp;$D$12):INDIRECT("g"&amp;$E$12),0.5),IF(F782=6,PERCENTILE(INDIRECT("g"&amp;$D$13):INDIRECT("g"&amp;$E$13),0.5)," "))))))</f>
        <v xml:space="preserve"> </v>
      </c>
      <c r="I782" s="242" t="str">
        <f t="shared" si="66"/>
        <v xml:space="preserve"> </v>
      </c>
      <c r="J782" s="242" t="str">
        <f ca="1">IF(F782=1,AVERAGE(INDIRECT("I"&amp;$D$8):INDIRECT("I"&amp;$E$8)),IF(F782=2,AVERAGE(INDIRECT("I"&amp;$D$9):INDIRECT("I"&amp;$E$9)),IF(F782=3,AVERAGE(INDIRECT("I"&amp;$D$10):INDIRECT("I"&amp;$E$10)),IF(F782=4,AVERAGE(INDIRECT("I"&amp;$D$11):INDIRECT("I"&amp;$E$11)),IF(F782=5,AVERAGE(INDIRECT("I"&amp;$D$12):INDIRECT("I"&amp;$E$12)),IF(F782=6,AVERAGE(INDIRECT("I"&amp;$D$13):INDIRECT("I"&amp;$E$13))," "))))))</f>
        <v xml:space="preserve"> </v>
      </c>
      <c r="K782" s="242" t="str">
        <f t="shared" si="67"/>
        <v xml:space="preserve"> </v>
      </c>
      <c r="L782" s="242" t="str">
        <f t="shared" si="68"/>
        <v xml:space="preserve"> </v>
      </c>
      <c r="M782" s="242" t="str">
        <f t="shared" si="69"/>
        <v xml:space="preserve"> </v>
      </c>
    </row>
    <row r="783" spans="6:13" x14ac:dyDescent="0.2">
      <c r="F783" s="216" t="str">
        <f t="shared" si="65"/>
        <v xml:space="preserve"> </v>
      </c>
      <c r="G783" s="50"/>
      <c r="H783" s="242" t="str">
        <f ca="1">IF(F783=1,PERCENTILE(INDIRECT("g"&amp;$D$8):INDIRECT("g"&amp;$E$8),0.5),IF(F783=2,PERCENTILE(INDIRECT("g"&amp;$D$9):INDIRECT("g"&amp;$E$9),0.5),IF(F783=3,PERCENTILE(INDIRECT("g"&amp;$D$10):INDIRECT("g"&amp;$E$10),0.5),IF(F783=4,PERCENTILE(INDIRECT("g"&amp;$D$11):INDIRECT("g"&amp;$E$11),0.5),IF(F783=5,PERCENTILE(INDIRECT("g"&amp;$D$12):INDIRECT("g"&amp;$E$12),0.5),IF(F783=6,PERCENTILE(INDIRECT("g"&amp;$D$13):INDIRECT("g"&amp;$E$13),0.5)," "))))))</f>
        <v xml:space="preserve"> </v>
      </c>
      <c r="I783" s="242" t="str">
        <f t="shared" si="66"/>
        <v xml:space="preserve"> </v>
      </c>
      <c r="J783" s="242" t="str">
        <f ca="1">IF(F783=1,AVERAGE(INDIRECT("I"&amp;$D$8):INDIRECT("I"&amp;$E$8)),IF(F783=2,AVERAGE(INDIRECT("I"&amp;$D$9):INDIRECT("I"&amp;$E$9)),IF(F783=3,AVERAGE(INDIRECT("I"&amp;$D$10):INDIRECT("I"&amp;$E$10)),IF(F783=4,AVERAGE(INDIRECT("I"&amp;$D$11):INDIRECT("I"&amp;$E$11)),IF(F783=5,AVERAGE(INDIRECT("I"&amp;$D$12):INDIRECT("I"&amp;$E$12)),IF(F783=6,AVERAGE(INDIRECT("I"&amp;$D$13):INDIRECT("I"&amp;$E$13))," "))))))</f>
        <v xml:space="preserve"> </v>
      </c>
      <c r="K783" s="242" t="str">
        <f t="shared" si="67"/>
        <v xml:space="preserve"> </v>
      </c>
      <c r="L783" s="242" t="str">
        <f t="shared" si="68"/>
        <v xml:space="preserve"> </v>
      </c>
      <c r="M783" s="242" t="str">
        <f t="shared" si="69"/>
        <v xml:space="preserve"> </v>
      </c>
    </row>
    <row r="784" spans="6:13" x14ac:dyDescent="0.2">
      <c r="F784" s="216" t="str">
        <f t="shared" si="65"/>
        <v xml:space="preserve"> </v>
      </c>
      <c r="G784" s="50"/>
      <c r="H784" s="242" t="str">
        <f ca="1">IF(F784=1,PERCENTILE(INDIRECT("g"&amp;$D$8):INDIRECT("g"&amp;$E$8),0.5),IF(F784=2,PERCENTILE(INDIRECT("g"&amp;$D$9):INDIRECT("g"&amp;$E$9),0.5),IF(F784=3,PERCENTILE(INDIRECT("g"&amp;$D$10):INDIRECT("g"&amp;$E$10),0.5),IF(F784=4,PERCENTILE(INDIRECT("g"&amp;$D$11):INDIRECT("g"&amp;$E$11),0.5),IF(F784=5,PERCENTILE(INDIRECT("g"&amp;$D$12):INDIRECT("g"&amp;$E$12),0.5),IF(F784=6,PERCENTILE(INDIRECT("g"&amp;$D$13):INDIRECT("g"&amp;$E$13),0.5)," "))))))</f>
        <v xml:space="preserve"> </v>
      </c>
      <c r="I784" s="242" t="str">
        <f t="shared" si="66"/>
        <v xml:space="preserve"> </v>
      </c>
      <c r="J784" s="242" t="str">
        <f ca="1">IF(F784=1,AVERAGE(INDIRECT("I"&amp;$D$8):INDIRECT("I"&amp;$E$8)),IF(F784=2,AVERAGE(INDIRECT("I"&amp;$D$9):INDIRECT("I"&amp;$E$9)),IF(F784=3,AVERAGE(INDIRECT("I"&amp;$D$10):INDIRECT("I"&amp;$E$10)),IF(F784=4,AVERAGE(INDIRECT("I"&amp;$D$11):INDIRECT("I"&amp;$E$11)),IF(F784=5,AVERAGE(INDIRECT("I"&amp;$D$12):INDIRECT("I"&amp;$E$12)),IF(F784=6,AVERAGE(INDIRECT("I"&amp;$D$13):INDIRECT("I"&amp;$E$13))," "))))))</f>
        <v xml:space="preserve"> </v>
      </c>
      <c r="K784" s="242" t="str">
        <f t="shared" si="67"/>
        <v xml:space="preserve"> </v>
      </c>
      <c r="L784" s="242" t="str">
        <f t="shared" si="68"/>
        <v xml:space="preserve"> </v>
      </c>
      <c r="M784" s="242" t="str">
        <f t="shared" si="69"/>
        <v xml:space="preserve"> </v>
      </c>
    </row>
    <row r="785" spans="6:13" x14ac:dyDescent="0.2">
      <c r="F785" s="216" t="str">
        <f t="shared" si="65"/>
        <v xml:space="preserve"> </v>
      </c>
      <c r="G785" s="50"/>
      <c r="H785" s="242" t="str">
        <f ca="1">IF(F785=1,PERCENTILE(INDIRECT("g"&amp;$D$8):INDIRECT("g"&amp;$E$8),0.5),IF(F785=2,PERCENTILE(INDIRECT("g"&amp;$D$9):INDIRECT("g"&amp;$E$9),0.5),IF(F785=3,PERCENTILE(INDIRECT("g"&amp;$D$10):INDIRECT("g"&amp;$E$10),0.5),IF(F785=4,PERCENTILE(INDIRECT("g"&amp;$D$11):INDIRECT("g"&amp;$E$11),0.5),IF(F785=5,PERCENTILE(INDIRECT("g"&amp;$D$12):INDIRECT("g"&amp;$E$12),0.5),IF(F785=6,PERCENTILE(INDIRECT("g"&amp;$D$13):INDIRECT("g"&amp;$E$13),0.5)," "))))))</f>
        <v xml:space="preserve"> </v>
      </c>
      <c r="I785" s="242" t="str">
        <f t="shared" si="66"/>
        <v xml:space="preserve"> </v>
      </c>
      <c r="J785" s="242" t="str">
        <f ca="1">IF(F785=1,AVERAGE(INDIRECT("I"&amp;$D$8):INDIRECT("I"&amp;$E$8)),IF(F785=2,AVERAGE(INDIRECT("I"&amp;$D$9):INDIRECT("I"&amp;$E$9)),IF(F785=3,AVERAGE(INDIRECT("I"&amp;$D$10):INDIRECT("I"&amp;$E$10)),IF(F785=4,AVERAGE(INDIRECT("I"&amp;$D$11):INDIRECT("I"&amp;$E$11)),IF(F785=5,AVERAGE(INDIRECT("I"&amp;$D$12):INDIRECT("I"&amp;$E$12)),IF(F785=6,AVERAGE(INDIRECT("I"&amp;$D$13):INDIRECT("I"&amp;$E$13))," "))))))</f>
        <v xml:space="preserve"> </v>
      </c>
      <c r="K785" s="242" t="str">
        <f t="shared" si="67"/>
        <v xml:space="preserve"> </v>
      </c>
      <c r="L785" s="242" t="str">
        <f t="shared" si="68"/>
        <v xml:space="preserve"> </v>
      </c>
      <c r="M785" s="242" t="str">
        <f t="shared" si="69"/>
        <v xml:space="preserve"> </v>
      </c>
    </row>
    <row r="786" spans="6:13" x14ac:dyDescent="0.2">
      <c r="F786" s="216" t="str">
        <f t="shared" si="65"/>
        <v xml:space="preserve"> </v>
      </c>
      <c r="G786" s="50"/>
      <c r="H786" s="242" t="str">
        <f ca="1">IF(F786=1,PERCENTILE(INDIRECT("g"&amp;$D$8):INDIRECT("g"&amp;$E$8),0.5),IF(F786=2,PERCENTILE(INDIRECT("g"&amp;$D$9):INDIRECT("g"&amp;$E$9),0.5),IF(F786=3,PERCENTILE(INDIRECT("g"&amp;$D$10):INDIRECT("g"&amp;$E$10),0.5),IF(F786=4,PERCENTILE(INDIRECT("g"&amp;$D$11):INDIRECT("g"&amp;$E$11),0.5),IF(F786=5,PERCENTILE(INDIRECT("g"&amp;$D$12):INDIRECT("g"&amp;$E$12),0.5),IF(F786=6,PERCENTILE(INDIRECT("g"&amp;$D$13):INDIRECT("g"&amp;$E$13),0.5)," "))))))</f>
        <v xml:space="preserve"> </v>
      </c>
      <c r="I786" s="242" t="str">
        <f t="shared" si="66"/>
        <v xml:space="preserve"> </v>
      </c>
      <c r="J786" s="242" t="str">
        <f ca="1">IF(F786=1,AVERAGE(INDIRECT("I"&amp;$D$8):INDIRECT("I"&amp;$E$8)),IF(F786=2,AVERAGE(INDIRECT("I"&amp;$D$9):INDIRECT("I"&amp;$E$9)),IF(F786=3,AVERAGE(INDIRECT("I"&amp;$D$10):INDIRECT("I"&amp;$E$10)),IF(F786=4,AVERAGE(INDIRECT("I"&amp;$D$11):INDIRECT("I"&amp;$E$11)),IF(F786=5,AVERAGE(INDIRECT("I"&amp;$D$12):INDIRECT("I"&amp;$E$12)),IF(F786=6,AVERAGE(INDIRECT("I"&amp;$D$13):INDIRECT("I"&amp;$E$13))," "))))))</f>
        <v xml:space="preserve"> </v>
      </c>
      <c r="K786" s="242" t="str">
        <f t="shared" si="67"/>
        <v xml:space="preserve"> </v>
      </c>
      <c r="L786" s="242" t="str">
        <f t="shared" si="68"/>
        <v xml:space="preserve"> </v>
      </c>
      <c r="M786" s="242" t="str">
        <f t="shared" si="69"/>
        <v xml:space="preserve"> </v>
      </c>
    </row>
    <row r="787" spans="6:13" x14ac:dyDescent="0.2">
      <c r="F787" s="216" t="str">
        <f t="shared" si="65"/>
        <v xml:space="preserve"> </v>
      </c>
      <c r="G787" s="50"/>
      <c r="H787" s="242" t="str">
        <f ca="1">IF(F787=1,PERCENTILE(INDIRECT("g"&amp;$D$8):INDIRECT("g"&amp;$E$8),0.5),IF(F787=2,PERCENTILE(INDIRECT("g"&amp;$D$9):INDIRECT("g"&amp;$E$9),0.5),IF(F787=3,PERCENTILE(INDIRECT("g"&amp;$D$10):INDIRECT("g"&amp;$E$10),0.5),IF(F787=4,PERCENTILE(INDIRECT("g"&amp;$D$11):INDIRECT("g"&amp;$E$11),0.5),IF(F787=5,PERCENTILE(INDIRECT("g"&amp;$D$12):INDIRECT("g"&amp;$E$12),0.5),IF(F787=6,PERCENTILE(INDIRECT("g"&amp;$D$13):INDIRECT("g"&amp;$E$13),0.5)," "))))))</f>
        <v xml:space="preserve"> </v>
      </c>
      <c r="I787" s="242" t="str">
        <f t="shared" si="66"/>
        <v xml:space="preserve"> </v>
      </c>
      <c r="J787" s="242" t="str">
        <f ca="1">IF(F787=1,AVERAGE(INDIRECT("I"&amp;$D$8):INDIRECT("I"&amp;$E$8)),IF(F787=2,AVERAGE(INDIRECT("I"&amp;$D$9):INDIRECT("I"&amp;$E$9)),IF(F787=3,AVERAGE(INDIRECT("I"&amp;$D$10):INDIRECT("I"&amp;$E$10)),IF(F787=4,AVERAGE(INDIRECT("I"&amp;$D$11):INDIRECT("I"&amp;$E$11)),IF(F787=5,AVERAGE(INDIRECT("I"&amp;$D$12):INDIRECT("I"&amp;$E$12)),IF(F787=6,AVERAGE(INDIRECT("I"&amp;$D$13):INDIRECT("I"&amp;$E$13))," "))))))</f>
        <v xml:space="preserve"> </v>
      </c>
      <c r="K787" s="242" t="str">
        <f t="shared" si="67"/>
        <v xml:space="preserve"> </v>
      </c>
      <c r="L787" s="242" t="str">
        <f t="shared" si="68"/>
        <v xml:space="preserve"> </v>
      </c>
      <c r="M787" s="242" t="str">
        <f t="shared" si="69"/>
        <v xml:space="preserve"> </v>
      </c>
    </row>
    <row r="788" spans="6:13" x14ac:dyDescent="0.2">
      <c r="F788" s="216" t="str">
        <f t="shared" si="65"/>
        <v xml:space="preserve"> </v>
      </c>
      <c r="G788" s="50"/>
      <c r="H788" s="242" t="str">
        <f ca="1">IF(F788=1,PERCENTILE(INDIRECT("g"&amp;$D$8):INDIRECT("g"&amp;$E$8),0.5),IF(F788=2,PERCENTILE(INDIRECT("g"&amp;$D$9):INDIRECT("g"&amp;$E$9),0.5),IF(F788=3,PERCENTILE(INDIRECT("g"&amp;$D$10):INDIRECT("g"&amp;$E$10),0.5),IF(F788=4,PERCENTILE(INDIRECT("g"&amp;$D$11):INDIRECT("g"&amp;$E$11),0.5),IF(F788=5,PERCENTILE(INDIRECT("g"&amp;$D$12):INDIRECT("g"&amp;$E$12),0.5),IF(F788=6,PERCENTILE(INDIRECT("g"&amp;$D$13):INDIRECT("g"&amp;$E$13),0.5)," "))))))</f>
        <v xml:space="preserve"> </v>
      </c>
      <c r="I788" s="242" t="str">
        <f t="shared" si="66"/>
        <v xml:space="preserve"> </v>
      </c>
      <c r="J788" s="242" t="str">
        <f ca="1">IF(F788=1,AVERAGE(INDIRECT("I"&amp;$D$8):INDIRECT("I"&amp;$E$8)),IF(F788=2,AVERAGE(INDIRECT("I"&amp;$D$9):INDIRECT("I"&amp;$E$9)),IF(F788=3,AVERAGE(INDIRECT("I"&amp;$D$10):INDIRECT("I"&amp;$E$10)),IF(F788=4,AVERAGE(INDIRECT("I"&amp;$D$11):INDIRECT("I"&amp;$E$11)),IF(F788=5,AVERAGE(INDIRECT("I"&amp;$D$12):INDIRECT("I"&amp;$E$12)),IF(F788=6,AVERAGE(INDIRECT("I"&amp;$D$13):INDIRECT("I"&amp;$E$13))," "))))))</f>
        <v xml:space="preserve"> </v>
      </c>
      <c r="K788" s="242" t="str">
        <f t="shared" si="67"/>
        <v xml:space="preserve"> </v>
      </c>
      <c r="L788" s="242" t="str">
        <f t="shared" si="68"/>
        <v xml:space="preserve"> </v>
      </c>
      <c r="M788" s="242" t="str">
        <f t="shared" si="69"/>
        <v xml:space="preserve"> </v>
      </c>
    </row>
    <row r="789" spans="6:13" x14ac:dyDescent="0.2">
      <c r="F789" s="216" t="str">
        <f t="shared" si="65"/>
        <v xml:space="preserve"> </v>
      </c>
      <c r="G789" s="50"/>
      <c r="H789" s="242" t="str">
        <f ca="1">IF(F789=1,PERCENTILE(INDIRECT("g"&amp;$D$8):INDIRECT("g"&amp;$E$8),0.5),IF(F789=2,PERCENTILE(INDIRECT("g"&amp;$D$9):INDIRECT("g"&amp;$E$9),0.5),IF(F789=3,PERCENTILE(INDIRECT("g"&amp;$D$10):INDIRECT("g"&amp;$E$10),0.5),IF(F789=4,PERCENTILE(INDIRECT("g"&amp;$D$11):INDIRECT("g"&amp;$E$11),0.5),IF(F789=5,PERCENTILE(INDIRECT("g"&amp;$D$12):INDIRECT("g"&amp;$E$12),0.5),IF(F789=6,PERCENTILE(INDIRECT("g"&amp;$D$13):INDIRECT("g"&amp;$E$13),0.5)," "))))))</f>
        <v xml:space="preserve"> </v>
      </c>
      <c r="I789" s="242" t="str">
        <f t="shared" si="66"/>
        <v xml:space="preserve"> </v>
      </c>
      <c r="J789" s="242" t="str">
        <f ca="1">IF(F789=1,AVERAGE(INDIRECT("I"&amp;$D$8):INDIRECT("I"&amp;$E$8)),IF(F789=2,AVERAGE(INDIRECT("I"&amp;$D$9):INDIRECT("I"&amp;$E$9)),IF(F789=3,AVERAGE(INDIRECT("I"&amp;$D$10):INDIRECT("I"&amp;$E$10)),IF(F789=4,AVERAGE(INDIRECT("I"&amp;$D$11):INDIRECT("I"&amp;$E$11)),IF(F789=5,AVERAGE(INDIRECT("I"&amp;$D$12):INDIRECT("I"&amp;$E$12)),IF(F789=6,AVERAGE(INDIRECT("I"&amp;$D$13):INDIRECT("I"&amp;$E$13))," "))))))</f>
        <v xml:space="preserve"> </v>
      </c>
      <c r="K789" s="242" t="str">
        <f t="shared" si="67"/>
        <v xml:space="preserve"> </v>
      </c>
      <c r="L789" s="242" t="str">
        <f t="shared" si="68"/>
        <v xml:space="preserve"> </v>
      </c>
      <c r="M789" s="242" t="str">
        <f t="shared" si="69"/>
        <v xml:space="preserve"> </v>
      </c>
    </row>
    <row r="790" spans="6:13" x14ac:dyDescent="0.2">
      <c r="F790" s="216" t="str">
        <f t="shared" si="65"/>
        <v xml:space="preserve"> </v>
      </c>
      <c r="G790" s="50"/>
      <c r="H790" s="242" t="str">
        <f ca="1">IF(F790=1,PERCENTILE(INDIRECT("g"&amp;$D$8):INDIRECT("g"&amp;$E$8),0.5),IF(F790=2,PERCENTILE(INDIRECT("g"&amp;$D$9):INDIRECT("g"&amp;$E$9),0.5),IF(F790=3,PERCENTILE(INDIRECT("g"&amp;$D$10):INDIRECT("g"&amp;$E$10),0.5),IF(F790=4,PERCENTILE(INDIRECT("g"&amp;$D$11):INDIRECT("g"&amp;$E$11),0.5),IF(F790=5,PERCENTILE(INDIRECT("g"&amp;$D$12):INDIRECT("g"&amp;$E$12),0.5),IF(F790=6,PERCENTILE(INDIRECT("g"&amp;$D$13):INDIRECT("g"&amp;$E$13),0.5)," "))))))</f>
        <v xml:space="preserve"> </v>
      </c>
      <c r="I790" s="242" t="str">
        <f t="shared" si="66"/>
        <v xml:space="preserve"> </v>
      </c>
      <c r="J790" s="242" t="str">
        <f ca="1">IF(F790=1,AVERAGE(INDIRECT("I"&amp;$D$8):INDIRECT("I"&amp;$E$8)),IF(F790=2,AVERAGE(INDIRECT("I"&amp;$D$9):INDIRECT("I"&amp;$E$9)),IF(F790=3,AVERAGE(INDIRECT("I"&amp;$D$10):INDIRECT("I"&amp;$E$10)),IF(F790=4,AVERAGE(INDIRECT("I"&amp;$D$11):INDIRECT("I"&amp;$E$11)),IF(F790=5,AVERAGE(INDIRECT("I"&amp;$D$12):INDIRECT("I"&amp;$E$12)),IF(F790=6,AVERAGE(INDIRECT("I"&amp;$D$13):INDIRECT("I"&amp;$E$13))," "))))))</f>
        <v xml:space="preserve"> </v>
      </c>
      <c r="K790" s="242" t="str">
        <f t="shared" si="67"/>
        <v xml:space="preserve"> </v>
      </c>
      <c r="L790" s="242" t="str">
        <f t="shared" si="68"/>
        <v xml:space="preserve"> </v>
      </c>
      <c r="M790" s="242" t="str">
        <f t="shared" si="69"/>
        <v xml:space="preserve"> </v>
      </c>
    </row>
    <row r="791" spans="6:13" x14ac:dyDescent="0.2">
      <c r="F791" s="216" t="str">
        <f t="shared" si="65"/>
        <v xml:space="preserve"> </v>
      </c>
      <c r="G791" s="50"/>
      <c r="H791" s="242" t="str">
        <f ca="1">IF(F791=1,PERCENTILE(INDIRECT("g"&amp;$D$8):INDIRECT("g"&amp;$E$8),0.5),IF(F791=2,PERCENTILE(INDIRECT("g"&amp;$D$9):INDIRECT("g"&amp;$E$9),0.5),IF(F791=3,PERCENTILE(INDIRECT("g"&amp;$D$10):INDIRECT("g"&amp;$E$10),0.5),IF(F791=4,PERCENTILE(INDIRECT("g"&amp;$D$11):INDIRECT("g"&amp;$E$11),0.5),IF(F791=5,PERCENTILE(INDIRECT("g"&amp;$D$12):INDIRECT("g"&amp;$E$12),0.5),IF(F791=6,PERCENTILE(INDIRECT("g"&amp;$D$13):INDIRECT("g"&amp;$E$13),0.5)," "))))))</f>
        <v xml:space="preserve"> </v>
      </c>
      <c r="I791" s="242" t="str">
        <f t="shared" si="66"/>
        <v xml:space="preserve"> </v>
      </c>
      <c r="J791" s="242" t="str">
        <f ca="1">IF(F791=1,AVERAGE(INDIRECT("I"&amp;$D$8):INDIRECT("I"&amp;$E$8)),IF(F791=2,AVERAGE(INDIRECT("I"&amp;$D$9):INDIRECT("I"&amp;$E$9)),IF(F791=3,AVERAGE(INDIRECT("I"&amp;$D$10):INDIRECT("I"&amp;$E$10)),IF(F791=4,AVERAGE(INDIRECT("I"&amp;$D$11):INDIRECT("I"&amp;$E$11)),IF(F791=5,AVERAGE(INDIRECT("I"&amp;$D$12):INDIRECT("I"&amp;$E$12)),IF(F791=6,AVERAGE(INDIRECT("I"&amp;$D$13):INDIRECT("I"&amp;$E$13))," "))))))</f>
        <v xml:space="preserve"> </v>
      </c>
      <c r="K791" s="242" t="str">
        <f t="shared" si="67"/>
        <v xml:space="preserve"> </v>
      </c>
      <c r="L791" s="242" t="str">
        <f t="shared" si="68"/>
        <v xml:space="preserve"> </v>
      </c>
      <c r="M791" s="242" t="str">
        <f t="shared" si="69"/>
        <v xml:space="preserve"> </v>
      </c>
    </row>
    <row r="792" spans="6:13" x14ac:dyDescent="0.2">
      <c r="F792" s="216" t="str">
        <f t="shared" si="65"/>
        <v xml:space="preserve"> </v>
      </c>
      <c r="G792" s="50"/>
      <c r="H792" s="242" t="str">
        <f ca="1">IF(F792=1,PERCENTILE(INDIRECT("g"&amp;$D$8):INDIRECT("g"&amp;$E$8),0.5),IF(F792=2,PERCENTILE(INDIRECT("g"&amp;$D$9):INDIRECT("g"&amp;$E$9),0.5),IF(F792=3,PERCENTILE(INDIRECT("g"&amp;$D$10):INDIRECT("g"&amp;$E$10),0.5),IF(F792=4,PERCENTILE(INDIRECT("g"&amp;$D$11):INDIRECT("g"&amp;$E$11),0.5),IF(F792=5,PERCENTILE(INDIRECT("g"&amp;$D$12):INDIRECT("g"&amp;$E$12),0.5),IF(F792=6,PERCENTILE(INDIRECT("g"&amp;$D$13):INDIRECT("g"&amp;$E$13),0.5)," "))))))</f>
        <v xml:space="preserve"> </v>
      </c>
      <c r="I792" s="242" t="str">
        <f t="shared" si="66"/>
        <v xml:space="preserve"> </v>
      </c>
      <c r="J792" s="242" t="str">
        <f ca="1">IF(F792=1,AVERAGE(INDIRECT("I"&amp;$D$8):INDIRECT("I"&amp;$E$8)),IF(F792=2,AVERAGE(INDIRECT("I"&amp;$D$9):INDIRECT("I"&amp;$E$9)),IF(F792=3,AVERAGE(INDIRECT("I"&amp;$D$10):INDIRECT("I"&amp;$E$10)),IF(F792=4,AVERAGE(INDIRECT("I"&amp;$D$11):INDIRECT("I"&amp;$E$11)),IF(F792=5,AVERAGE(INDIRECT("I"&amp;$D$12):INDIRECT("I"&amp;$E$12)),IF(F792=6,AVERAGE(INDIRECT("I"&amp;$D$13):INDIRECT("I"&amp;$E$13))," "))))))</f>
        <v xml:space="preserve"> </v>
      </c>
      <c r="K792" s="242" t="str">
        <f t="shared" si="67"/>
        <v xml:space="preserve"> </v>
      </c>
      <c r="L792" s="242" t="str">
        <f t="shared" si="68"/>
        <v xml:space="preserve"> </v>
      </c>
      <c r="M792" s="242" t="str">
        <f t="shared" si="69"/>
        <v xml:space="preserve"> </v>
      </c>
    </row>
    <row r="793" spans="6:13" x14ac:dyDescent="0.2">
      <c r="F793" s="216" t="str">
        <f t="shared" si="65"/>
        <v xml:space="preserve"> </v>
      </c>
      <c r="G793" s="50"/>
      <c r="H793" s="242" t="str">
        <f ca="1">IF(F793=1,PERCENTILE(INDIRECT("g"&amp;$D$8):INDIRECT("g"&amp;$E$8),0.5),IF(F793=2,PERCENTILE(INDIRECT("g"&amp;$D$9):INDIRECT("g"&amp;$E$9),0.5),IF(F793=3,PERCENTILE(INDIRECT("g"&amp;$D$10):INDIRECT("g"&amp;$E$10),0.5),IF(F793=4,PERCENTILE(INDIRECT("g"&amp;$D$11):INDIRECT("g"&amp;$E$11),0.5),IF(F793=5,PERCENTILE(INDIRECT("g"&amp;$D$12):INDIRECT("g"&amp;$E$12),0.5),IF(F793=6,PERCENTILE(INDIRECT("g"&amp;$D$13):INDIRECT("g"&amp;$E$13),0.5)," "))))))</f>
        <v xml:space="preserve"> </v>
      </c>
      <c r="I793" s="242" t="str">
        <f t="shared" si="66"/>
        <v xml:space="preserve"> </v>
      </c>
      <c r="J793" s="242" t="str">
        <f ca="1">IF(F793=1,AVERAGE(INDIRECT("I"&amp;$D$8):INDIRECT("I"&amp;$E$8)),IF(F793=2,AVERAGE(INDIRECT("I"&amp;$D$9):INDIRECT("I"&amp;$E$9)),IF(F793=3,AVERAGE(INDIRECT("I"&amp;$D$10):INDIRECT("I"&amp;$E$10)),IF(F793=4,AVERAGE(INDIRECT("I"&amp;$D$11):INDIRECT("I"&amp;$E$11)),IF(F793=5,AVERAGE(INDIRECT("I"&amp;$D$12):INDIRECT("I"&amp;$E$12)),IF(F793=6,AVERAGE(INDIRECT("I"&amp;$D$13):INDIRECT("I"&amp;$E$13))," "))))))</f>
        <v xml:space="preserve"> </v>
      </c>
      <c r="K793" s="242" t="str">
        <f t="shared" si="67"/>
        <v xml:space="preserve"> </v>
      </c>
      <c r="L793" s="242" t="str">
        <f t="shared" si="68"/>
        <v xml:space="preserve"> </v>
      </c>
      <c r="M793" s="242" t="str">
        <f t="shared" si="69"/>
        <v xml:space="preserve"> </v>
      </c>
    </row>
    <row r="794" spans="6:13" x14ac:dyDescent="0.2">
      <c r="F794" s="216" t="str">
        <f t="shared" si="65"/>
        <v xml:space="preserve"> </v>
      </c>
      <c r="G794" s="50"/>
      <c r="H794" s="242" t="str">
        <f ca="1">IF(F794=1,PERCENTILE(INDIRECT("g"&amp;$D$8):INDIRECT("g"&amp;$E$8),0.5),IF(F794=2,PERCENTILE(INDIRECT("g"&amp;$D$9):INDIRECT("g"&amp;$E$9),0.5),IF(F794=3,PERCENTILE(INDIRECT("g"&amp;$D$10):INDIRECT("g"&amp;$E$10),0.5),IF(F794=4,PERCENTILE(INDIRECT("g"&amp;$D$11):INDIRECT("g"&amp;$E$11),0.5),IF(F794=5,PERCENTILE(INDIRECT("g"&amp;$D$12):INDIRECT("g"&amp;$E$12),0.5),IF(F794=6,PERCENTILE(INDIRECT("g"&amp;$D$13):INDIRECT("g"&amp;$E$13),0.5)," "))))))</f>
        <v xml:space="preserve"> </v>
      </c>
      <c r="I794" s="242" t="str">
        <f t="shared" si="66"/>
        <v xml:space="preserve"> </v>
      </c>
      <c r="J794" s="242" t="str">
        <f ca="1">IF(F794=1,AVERAGE(INDIRECT("I"&amp;$D$8):INDIRECT("I"&amp;$E$8)),IF(F794=2,AVERAGE(INDIRECT("I"&amp;$D$9):INDIRECT("I"&amp;$E$9)),IF(F794=3,AVERAGE(INDIRECT("I"&amp;$D$10):INDIRECT("I"&amp;$E$10)),IF(F794=4,AVERAGE(INDIRECT("I"&amp;$D$11):INDIRECT("I"&amp;$E$11)),IF(F794=5,AVERAGE(INDIRECT("I"&amp;$D$12):INDIRECT("I"&amp;$E$12)),IF(F794=6,AVERAGE(INDIRECT("I"&amp;$D$13):INDIRECT("I"&amp;$E$13))," "))))))</f>
        <v xml:space="preserve"> </v>
      </c>
      <c r="K794" s="242" t="str">
        <f t="shared" si="67"/>
        <v xml:space="preserve"> </v>
      </c>
      <c r="L794" s="242" t="str">
        <f t="shared" si="68"/>
        <v xml:space="preserve"> </v>
      </c>
      <c r="M794" s="242" t="str">
        <f t="shared" si="69"/>
        <v xml:space="preserve"> </v>
      </c>
    </row>
    <row r="795" spans="6:13" x14ac:dyDescent="0.2">
      <c r="F795" s="216" t="str">
        <f t="shared" si="65"/>
        <v xml:space="preserve"> </v>
      </c>
      <c r="G795" s="50"/>
      <c r="H795" s="242" t="str">
        <f ca="1">IF(F795=1,PERCENTILE(INDIRECT("g"&amp;$D$8):INDIRECT("g"&amp;$E$8),0.5),IF(F795=2,PERCENTILE(INDIRECT("g"&amp;$D$9):INDIRECT("g"&amp;$E$9),0.5),IF(F795=3,PERCENTILE(INDIRECT("g"&amp;$D$10):INDIRECT("g"&amp;$E$10),0.5),IF(F795=4,PERCENTILE(INDIRECT("g"&amp;$D$11):INDIRECT("g"&amp;$E$11),0.5),IF(F795=5,PERCENTILE(INDIRECT("g"&amp;$D$12):INDIRECT("g"&amp;$E$12),0.5),IF(F795=6,PERCENTILE(INDIRECT("g"&amp;$D$13):INDIRECT("g"&amp;$E$13),0.5)," "))))))</f>
        <v xml:space="preserve"> </v>
      </c>
      <c r="I795" s="242" t="str">
        <f t="shared" si="66"/>
        <v xml:space="preserve"> </v>
      </c>
      <c r="J795" s="242" t="str">
        <f ca="1">IF(F795=1,AVERAGE(INDIRECT("I"&amp;$D$8):INDIRECT("I"&amp;$E$8)),IF(F795=2,AVERAGE(INDIRECT("I"&amp;$D$9):INDIRECT("I"&amp;$E$9)),IF(F795=3,AVERAGE(INDIRECT("I"&amp;$D$10):INDIRECT("I"&amp;$E$10)),IF(F795=4,AVERAGE(INDIRECT("I"&amp;$D$11):INDIRECT("I"&amp;$E$11)),IF(F795=5,AVERAGE(INDIRECT("I"&amp;$D$12):INDIRECT("I"&amp;$E$12)),IF(F795=6,AVERAGE(INDIRECT("I"&amp;$D$13):INDIRECT("I"&amp;$E$13))," "))))))</f>
        <v xml:space="preserve"> </v>
      </c>
      <c r="K795" s="242" t="str">
        <f t="shared" si="67"/>
        <v xml:space="preserve"> </v>
      </c>
      <c r="L795" s="242" t="str">
        <f t="shared" si="68"/>
        <v xml:space="preserve"> </v>
      </c>
      <c r="M795" s="242" t="str">
        <f t="shared" si="69"/>
        <v xml:space="preserve"> </v>
      </c>
    </row>
    <row r="796" spans="6:13" x14ac:dyDescent="0.2">
      <c r="F796" s="216" t="str">
        <f t="shared" si="65"/>
        <v xml:space="preserve"> </v>
      </c>
      <c r="G796" s="50"/>
      <c r="H796" s="242" t="str">
        <f ca="1">IF(F796=1,PERCENTILE(INDIRECT("g"&amp;$D$8):INDIRECT("g"&amp;$E$8),0.5),IF(F796=2,PERCENTILE(INDIRECT("g"&amp;$D$9):INDIRECT("g"&amp;$E$9),0.5),IF(F796=3,PERCENTILE(INDIRECT("g"&amp;$D$10):INDIRECT("g"&amp;$E$10),0.5),IF(F796=4,PERCENTILE(INDIRECT("g"&amp;$D$11):INDIRECT("g"&amp;$E$11),0.5),IF(F796=5,PERCENTILE(INDIRECT("g"&amp;$D$12):INDIRECT("g"&amp;$E$12),0.5),IF(F796=6,PERCENTILE(INDIRECT("g"&amp;$D$13):INDIRECT("g"&amp;$E$13),0.5)," "))))))</f>
        <v xml:space="preserve"> </v>
      </c>
      <c r="I796" s="242" t="str">
        <f t="shared" si="66"/>
        <v xml:space="preserve"> </v>
      </c>
      <c r="J796" s="242" t="str">
        <f ca="1">IF(F796=1,AVERAGE(INDIRECT("I"&amp;$D$8):INDIRECT("I"&amp;$E$8)),IF(F796=2,AVERAGE(INDIRECT("I"&amp;$D$9):INDIRECT("I"&amp;$E$9)),IF(F796=3,AVERAGE(INDIRECT("I"&amp;$D$10):INDIRECT("I"&amp;$E$10)),IF(F796=4,AVERAGE(INDIRECT("I"&amp;$D$11):INDIRECT("I"&amp;$E$11)),IF(F796=5,AVERAGE(INDIRECT("I"&amp;$D$12):INDIRECT("I"&amp;$E$12)),IF(F796=6,AVERAGE(INDIRECT("I"&amp;$D$13):INDIRECT("I"&amp;$E$13))," "))))))</f>
        <v xml:space="preserve"> </v>
      </c>
      <c r="K796" s="242" t="str">
        <f t="shared" si="67"/>
        <v xml:space="preserve"> </v>
      </c>
      <c r="L796" s="242" t="str">
        <f t="shared" si="68"/>
        <v xml:space="preserve"> </v>
      </c>
      <c r="M796" s="242" t="str">
        <f t="shared" si="69"/>
        <v xml:space="preserve"> </v>
      </c>
    </row>
    <row r="797" spans="6:13" x14ac:dyDescent="0.2">
      <c r="F797" s="216" t="str">
        <f t="shared" si="65"/>
        <v xml:space="preserve"> </v>
      </c>
      <c r="G797" s="50"/>
      <c r="H797" s="242" t="str">
        <f ca="1">IF(F797=1,PERCENTILE(INDIRECT("g"&amp;$D$8):INDIRECT("g"&amp;$E$8),0.5),IF(F797=2,PERCENTILE(INDIRECT("g"&amp;$D$9):INDIRECT("g"&amp;$E$9),0.5),IF(F797=3,PERCENTILE(INDIRECT("g"&amp;$D$10):INDIRECT("g"&amp;$E$10),0.5),IF(F797=4,PERCENTILE(INDIRECT("g"&amp;$D$11):INDIRECT("g"&amp;$E$11),0.5),IF(F797=5,PERCENTILE(INDIRECT("g"&amp;$D$12):INDIRECT("g"&amp;$E$12),0.5),IF(F797=6,PERCENTILE(INDIRECT("g"&amp;$D$13):INDIRECT("g"&amp;$E$13),0.5)," "))))))</f>
        <v xml:space="preserve"> </v>
      </c>
      <c r="I797" s="242" t="str">
        <f t="shared" si="66"/>
        <v xml:space="preserve"> </v>
      </c>
      <c r="J797" s="242" t="str">
        <f ca="1">IF(F797=1,AVERAGE(INDIRECT("I"&amp;$D$8):INDIRECT("I"&amp;$E$8)),IF(F797=2,AVERAGE(INDIRECT("I"&amp;$D$9):INDIRECT("I"&amp;$E$9)),IF(F797=3,AVERAGE(INDIRECT("I"&amp;$D$10):INDIRECT("I"&amp;$E$10)),IF(F797=4,AVERAGE(INDIRECT("I"&amp;$D$11):INDIRECT("I"&amp;$E$11)),IF(F797=5,AVERAGE(INDIRECT("I"&amp;$D$12):INDIRECT("I"&amp;$E$12)),IF(F797=6,AVERAGE(INDIRECT("I"&amp;$D$13):INDIRECT("I"&amp;$E$13))," "))))))</f>
        <v xml:space="preserve"> </v>
      </c>
      <c r="K797" s="242" t="str">
        <f t="shared" si="67"/>
        <v xml:space="preserve"> </v>
      </c>
      <c r="L797" s="242" t="str">
        <f t="shared" si="68"/>
        <v xml:space="preserve"> </v>
      </c>
      <c r="M797" s="242" t="str">
        <f t="shared" si="69"/>
        <v xml:space="preserve"> </v>
      </c>
    </row>
    <row r="798" spans="6:13" x14ac:dyDescent="0.2">
      <c r="F798" s="216" t="str">
        <f t="shared" si="65"/>
        <v xml:space="preserve"> </v>
      </c>
      <c r="G798" s="50"/>
      <c r="H798" s="242" t="str">
        <f ca="1">IF(F798=1,PERCENTILE(INDIRECT("g"&amp;$D$8):INDIRECT("g"&amp;$E$8),0.5),IF(F798=2,PERCENTILE(INDIRECT("g"&amp;$D$9):INDIRECT("g"&amp;$E$9),0.5),IF(F798=3,PERCENTILE(INDIRECT("g"&amp;$D$10):INDIRECT("g"&amp;$E$10),0.5),IF(F798=4,PERCENTILE(INDIRECT("g"&amp;$D$11):INDIRECT("g"&amp;$E$11),0.5),IF(F798=5,PERCENTILE(INDIRECT("g"&amp;$D$12):INDIRECT("g"&amp;$E$12),0.5),IF(F798=6,PERCENTILE(INDIRECT("g"&amp;$D$13):INDIRECT("g"&amp;$E$13),0.5)," "))))))</f>
        <v xml:space="preserve"> </v>
      </c>
      <c r="I798" s="242" t="str">
        <f t="shared" si="66"/>
        <v xml:space="preserve"> </v>
      </c>
      <c r="J798" s="242" t="str">
        <f ca="1">IF(F798=1,AVERAGE(INDIRECT("I"&amp;$D$8):INDIRECT("I"&amp;$E$8)),IF(F798=2,AVERAGE(INDIRECT("I"&amp;$D$9):INDIRECT("I"&amp;$E$9)),IF(F798=3,AVERAGE(INDIRECT("I"&amp;$D$10):INDIRECT("I"&amp;$E$10)),IF(F798=4,AVERAGE(INDIRECT("I"&amp;$D$11):INDIRECT("I"&amp;$E$11)),IF(F798=5,AVERAGE(INDIRECT("I"&amp;$D$12):INDIRECT("I"&amp;$E$12)),IF(F798=6,AVERAGE(INDIRECT("I"&amp;$D$13):INDIRECT("I"&amp;$E$13))," "))))))</f>
        <v xml:space="preserve"> </v>
      </c>
      <c r="K798" s="242" t="str">
        <f t="shared" si="67"/>
        <v xml:space="preserve"> </v>
      </c>
      <c r="L798" s="242" t="str">
        <f t="shared" si="68"/>
        <v xml:space="preserve"> </v>
      </c>
      <c r="M798" s="242" t="str">
        <f t="shared" si="69"/>
        <v xml:space="preserve"> </v>
      </c>
    </row>
    <row r="799" spans="6:13" x14ac:dyDescent="0.2">
      <c r="F799" s="216" t="str">
        <f t="shared" si="65"/>
        <v xml:space="preserve"> </v>
      </c>
      <c r="G799" s="50"/>
      <c r="H799" s="242" t="str">
        <f ca="1">IF(F799=1,PERCENTILE(INDIRECT("g"&amp;$D$8):INDIRECT("g"&amp;$E$8),0.5),IF(F799=2,PERCENTILE(INDIRECT("g"&amp;$D$9):INDIRECT("g"&amp;$E$9),0.5),IF(F799=3,PERCENTILE(INDIRECT("g"&amp;$D$10):INDIRECT("g"&amp;$E$10),0.5),IF(F799=4,PERCENTILE(INDIRECT("g"&amp;$D$11):INDIRECT("g"&amp;$E$11),0.5),IF(F799=5,PERCENTILE(INDIRECT("g"&amp;$D$12):INDIRECT("g"&amp;$E$12),0.5),IF(F799=6,PERCENTILE(INDIRECT("g"&amp;$D$13):INDIRECT("g"&amp;$E$13),0.5)," "))))))</f>
        <v xml:space="preserve"> </v>
      </c>
      <c r="I799" s="242" t="str">
        <f t="shared" si="66"/>
        <v xml:space="preserve"> </v>
      </c>
      <c r="J799" s="242" t="str">
        <f ca="1">IF(F799=1,AVERAGE(INDIRECT("I"&amp;$D$8):INDIRECT("I"&amp;$E$8)),IF(F799=2,AVERAGE(INDIRECT("I"&amp;$D$9):INDIRECT("I"&amp;$E$9)),IF(F799=3,AVERAGE(INDIRECT("I"&amp;$D$10):INDIRECT("I"&amp;$E$10)),IF(F799=4,AVERAGE(INDIRECT("I"&amp;$D$11):INDIRECT("I"&amp;$E$11)),IF(F799=5,AVERAGE(INDIRECT("I"&amp;$D$12):INDIRECT("I"&amp;$E$12)),IF(F799=6,AVERAGE(INDIRECT("I"&amp;$D$13):INDIRECT("I"&amp;$E$13))," "))))))</f>
        <v xml:space="preserve"> </v>
      </c>
      <c r="K799" s="242" t="str">
        <f t="shared" si="67"/>
        <v xml:space="preserve"> </v>
      </c>
      <c r="L799" s="242" t="str">
        <f t="shared" si="68"/>
        <v xml:space="preserve"> </v>
      </c>
      <c r="M799" s="242" t="str">
        <f t="shared" si="69"/>
        <v xml:space="preserve"> </v>
      </c>
    </row>
    <row r="800" spans="6:13" x14ac:dyDescent="0.2">
      <c r="F800" s="216" t="str">
        <f t="shared" si="65"/>
        <v xml:space="preserve"> </v>
      </c>
      <c r="G800" s="50"/>
      <c r="H800" s="242" t="str">
        <f ca="1">IF(F800=1,PERCENTILE(INDIRECT("g"&amp;$D$8):INDIRECT("g"&amp;$E$8),0.5),IF(F800=2,PERCENTILE(INDIRECT("g"&amp;$D$9):INDIRECT("g"&amp;$E$9),0.5),IF(F800=3,PERCENTILE(INDIRECT("g"&amp;$D$10):INDIRECT("g"&amp;$E$10),0.5),IF(F800=4,PERCENTILE(INDIRECT("g"&amp;$D$11):INDIRECT("g"&amp;$E$11),0.5),IF(F800=5,PERCENTILE(INDIRECT("g"&amp;$D$12):INDIRECT("g"&amp;$E$12),0.5),IF(F800=6,PERCENTILE(INDIRECT("g"&amp;$D$13):INDIRECT("g"&amp;$E$13),0.5)," "))))))</f>
        <v xml:space="preserve"> </v>
      </c>
      <c r="I800" s="242" t="str">
        <f t="shared" si="66"/>
        <v xml:space="preserve"> </v>
      </c>
      <c r="J800" s="242" t="str">
        <f ca="1">IF(F800=1,AVERAGE(INDIRECT("I"&amp;$D$8):INDIRECT("I"&amp;$E$8)),IF(F800=2,AVERAGE(INDIRECT("I"&amp;$D$9):INDIRECT("I"&amp;$E$9)),IF(F800=3,AVERAGE(INDIRECT("I"&amp;$D$10):INDIRECT("I"&amp;$E$10)),IF(F800=4,AVERAGE(INDIRECT("I"&amp;$D$11):INDIRECT("I"&amp;$E$11)),IF(F800=5,AVERAGE(INDIRECT("I"&amp;$D$12):INDIRECT("I"&amp;$E$12)),IF(F800=6,AVERAGE(INDIRECT("I"&amp;$D$13):INDIRECT("I"&amp;$E$13))," "))))))</f>
        <v xml:space="preserve"> </v>
      </c>
      <c r="K800" s="242" t="str">
        <f t="shared" si="67"/>
        <v xml:space="preserve"> </v>
      </c>
      <c r="L800" s="242" t="str">
        <f t="shared" si="68"/>
        <v xml:space="preserve"> </v>
      </c>
      <c r="M800" s="242" t="str">
        <f t="shared" si="69"/>
        <v xml:space="preserve"> </v>
      </c>
    </row>
    <row r="801" spans="6:13" x14ac:dyDescent="0.2">
      <c r="F801" s="216" t="str">
        <f t="shared" si="65"/>
        <v xml:space="preserve"> </v>
      </c>
      <c r="G801" s="50"/>
      <c r="H801" s="242" t="str">
        <f ca="1">IF(F801=1,PERCENTILE(INDIRECT("g"&amp;$D$8):INDIRECT("g"&amp;$E$8),0.5),IF(F801=2,PERCENTILE(INDIRECT("g"&amp;$D$9):INDIRECT("g"&amp;$E$9),0.5),IF(F801=3,PERCENTILE(INDIRECT("g"&amp;$D$10):INDIRECT("g"&amp;$E$10),0.5),IF(F801=4,PERCENTILE(INDIRECT("g"&amp;$D$11):INDIRECT("g"&amp;$E$11),0.5),IF(F801=5,PERCENTILE(INDIRECT("g"&amp;$D$12):INDIRECT("g"&amp;$E$12),0.5),IF(F801=6,PERCENTILE(INDIRECT("g"&amp;$D$13):INDIRECT("g"&amp;$E$13),0.5)," "))))))</f>
        <v xml:space="preserve"> </v>
      </c>
      <c r="I801" s="242" t="str">
        <f t="shared" si="66"/>
        <v xml:space="preserve"> </v>
      </c>
      <c r="J801" s="242" t="str">
        <f ca="1">IF(F801=1,AVERAGE(INDIRECT("I"&amp;$D$8):INDIRECT("I"&amp;$E$8)),IF(F801=2,AVERAGE(INDIRECT("I"&amp;$D$9):INDIRECT("I"&amp;$E$9)),IF(F801=3,AVERAGE(INDIRECT("I"&amp;$D$10):INDIRECT("I"&amp;$E$10)),IF(F801=4,AVERAGE(INDIRECT("I"&amp;$D$11):INDIRECT("I"&amp;$E$11)),IF(F801=5,AVERAGE(INDIRECT("I"&amp;$D$12):INDIRECT("I"&amp;$E$12)),IF(F801=6,AVERAGE(INDIRECT("I"&amp;$D$13):INDIRECT("I"&amp;$E$13))," "))))))</f>
        <v xml:space="preserve"> </v>
      </c>
      <c r="K801" s="242" t="str">
        <f t="shared" si="67"/>
        <v xml:space="preserve"> </v>
      </c>
      <c r="L801" s="242" t="str">
        <f t="shared" si="68"/>
        <v xml:space="preserve"> </v>
      </c>
      <c r="M801" s="242" t="str">
        <f t="shared" si="69"/>
        <v xml:space="preserve"> </v>
      </c>
    </row>
    <row r="802" spans="6:13" x14ac:dyDescent="0.2">
      <c r="F802" s="216" t="str">
        <f t="shared" si="65"/>
        <v xml:space="preserve"> </v>
      </c>
      <c r="G802" s="50"/>
      <c r="H802" s="242" t="str">
        <f ca="1">IF(F802=1,PERCENTILE(INDIRECT("g"&amp;$D$8):INDIRECT("g"&amp;$E$8),0.5),IF(F802=2,PERCENTILE(INDIRECT("g"&amp;$D$9):INDIRECT("g"&amp;$E$9),0.5),IF(F802=3,PERCENTILE(INDIRECT("g"&amp;$D$10):INDIRECT("g"&amp;$E$10),0.5),IF(F802=4,PERCENTILE(INDIRECT("g"&amp;$D$11):INDIRECT("g"&amp;$E$11),0.5),IF(F802=5,PERCENTILE(INDIRECT("g"&amp;$D$12):INDIRECT("g"&amp;$E$12),0.5),IF(F802=6,PERCENTILE(INDIRECT("g"&amp;$D$13):INDIRECT("g"&amp;$E$13),0.5)," "))))))</f>
        <v xml:space="preserve"> </v>
      </c>
      <c r="I802" s="242" t="str">
        <f t="shared" si="66"/>
        <v xml:space="preserve"> </v>
      </c>
      <c r="J802" s="242" t="str">
        <f ca="1">IF(F802=1,AVERAGE(INDIRECT("I"&amp;$D$8):INDIRECT("I"&amp;$E$8)),IF(F802=2,AVERAGE(INDIRECT("I"&amp;$D$9):INDIRECT("I"&amp;$E$9)),IF(F802=3,AVERAGE(INDIRECT("I"&amp;$D$10):INDIRECT("I"&amp;$E$10)),IF(F802=4,AVERAGE(INDIRECT("I"&amp;$D$11):INDIRECT("I"&amp;$E$11)),IF(F802=5,AVERAGE(INDIRECT("I"&amp;$D$12):INDIRECT("I"&amp;$E$12)),IF(F802=6,AVERAGE(INDIRECT("I"&amp;$D$13):INDIRECT("I"&amp;$E$13))," "))))))</f>
        <v xml:space="preserve"> </v>
      </c>
      <c r="K802" s="242" t="str">
        <f t="shared" si="67"/>
        <v xml:space="preserve"> </v>
      </c>
      <c r="L802" s="242" t="str">
        <f t="shared" si="68"/>
        <v xml:space="preserve"> </v>
      </c>
      <c r="M802" s="242" t="str">
        <f t="shared" si="69"/>
        <v xml:space="preserve"> </v>
      </c>
    </row>
    <row r="803" spans="6:13" x14ac:dyDescent="0.2">
      <c r="F803" s="216" t="str">
        <f t="shared" si="65"/>
        <v xml:space="preserve"> </v>
      </c>
      <c r="G803" s="50"/>
      <c r="H803" s="242" t="str">
        <f ca="1">IF(F803=1,PERCENTILE(INDIRECT("g"&amp;$D$8):INDIRECT("g"&amp;$E$8),0.5),IF(F803=2,PERCENTILE(INDIRECT("g"&amp;$D$9):INDIRECT("g"&amp;$E$9),0.5),IF(F803=3,PERCENTILE(INDIRECT("g"&amp;$D$10):INDIRECT("g"&amp;$E$10),0.5),IF(F803=4,PERCENTILE(INDIRECT("g"&amp;$D$11):INDIRECT("g"&amp;$E$11),0.5),IF(F803=5,PERCENTILE(INDIRECT("g"&amp;$D$12):INDIRECT("g"&amp;$E$12),0.5),IF(F803=6,PERCENTILE(INDIRECT("g"&amp;$D$13):INDIRECT("g"&amp;$E$13),0.5)," "))))))</f>
        <v xml:space="preserve"> </v>
      </c>
      <c r="I803" s="242" t="str">
        <f t="shared" si="66"/>
        <v xml:space="preserve"> </v>
      </c>
      <c r="J803" s="242" t="str">
        <f ca="1">IF(F803=1,AVERAGE(INDIRECT("I"&amp;$D$8):INDIRECT("I"&amp;$E$8)),IF(F803=2,AVERAGE(INDIRECT("I"&amp;$D$9):INDIRECT("I"&amp;$E$9)),IF(F803=3,AVERAGE(INDIRECT("I"&amp;$D$10):INDIRECT("I"&amp;$E$10)),IF(F803=4,AVERAGE(INDIRECT("I"&amp;$D$11):INDIRECT("I"&amp;$E$11)),IF(F803=5,AVERAGE(INDIRECT("I"&amp;$D$12):INDIRECT("I"&amp;$E$12)),IF(F803=6,AVERAGE(INDIRECT("I"&amp;$D$13):INDIRECT("I"&amp;$E$13))," "))))))</f>
        <v xml:space="preserve"> </v>
      </c>
      <c r="K803" s="242" t="str">
        <f t="shared" si="67"/>
        <v xml:space="preserve"> </v>
      </c>
      <c r="L803" s="242" t="str">
        <f t="shared" si="68"/>
        <v xml:space="preserve"> </v>
      </c>
      <c r="M803" s="242" t="str">
        <f t="shared" si="69"/>
        <v xml:space="preserve"> </v>
      </c>
    </row>
    <row r="804" spans="6:13" x14ac:dyDescent="0.2">
      <c r="F804" s="216" t="str">
        <f t="shared" si="65"/>
        <v xml:space="preserve"> </v>
      </c>
      <c r="G804" s="50"/>
      <c r="H804" s="242" t="str">
        <f ca="1">IF(F804=1,PERCENTILE(INDIRECT("g"&amp;$D$8):INDIRECT("g"&amp;$E$8),0.5),IF(F804=2,PERCENTILE(INDIRECT("g"&amp;$D$9):INDIRECT("g"&amp;$E$9),0.5),IF(F804=3,PERCENTILE(INDIRECT("g"&amp;$D$10):INDIRECT("g"&amp;$E$10),0.5),IF(F804=4,PERCENTILE(INDIRECT("g"&amp;$D$11):INDIRECT("g"&amp;$E$11),0.5),IF(F804=5,PERCENTILE(INDIRECT("g"&amp;$D$12):INDIRECT("g"&amp;$E$12),0.5),IF(F804=6,PERCENTILE(INDIRECT("g"&amp;$D$13):INDIRECT("g"&amp;$E$13),0.5)," "))))))</f>
        <v xml:space="preserve"> </v>
      </c>
      <c r="I804" s="242" t="str">
        <f t="shared" si="66"/>
        <v xml:space="preserve"> </v>
      </c>
      <c r="J804" s="242" t="str">
        <f ca="1">IF(F804=1,AVERAGE(INDIRECT("I"&amp;$D$8):INDIRECT("I"&amp;$E$8)),IF(F804=2,AVERAGE(INDIRECT("I"&amp;$D$9):INDIRECT("I"&amp;$E$9)),IF(F804=3,AVERAGE(INDIRECT("I"&amp;$D$10):INDIRECT("I"&amp;$E$10)),IF(F804=4,AVERAGE(INDIRECT("I"&amp;$D$11):INDIRECT("I"&amp;$E$11)),IF(F804=5,AVERAGE(INDIRECT("I"&amp;$D$12):INDIRECT("I"&amp;$E$12)),IF(F804=6,AVERAGE(INDIRECT("I"&amp;$D$13):INDIRECT("I"&amp;$E$13))," "))))))</f>
        <v xml:space="preserve"> </v>
      </c>
      <c r="K804" s="242" t="str">
        <f t="shared" si="67"/>
        <v xml:space="preserve"> </v>
      </c>
      <c r="L804" s="242" t="str">
        <f t="shared" si="68"/>
        <v xml:space="preserve"> </v>
      </c>
      <c r="M804" s="242" t="str">
        <f t="shared" si="69"/>
        <v xml:space="preserve"> </v>
      </c>
    </row>
    <row r="805" spans="6:13" x14ac:dyDescent="0.2">
      <c r="F805" s="216" t="str">
        <f t="shared" si="65"/>
        <v xml:space="preserve"> </v>
      </c>
      <c r="G805" s="50"/>
      <c r="H805" s="242" t="str">
        <f ca="1">IF(F805=1,PERCENTILE(INDIRECT("g"&amp;$D$8):INDIRECT("g"&amp;$E$8),0.5),IF(F805=2,PERCENTILE(INDIRECT("g"&amp;$D$9):INDIRECT("g"&amp;$E$9),0.5),IF(F805=3,PERCENTILE(INDIRECT("g"&amp;$D$10):INDIRECT("g"&amp;$E$10),0.5),IF(F805=4,PERCENTILE(INDIRECT("g"&amp;$D$11):INDIRECT("g"&amp;$E$11),0.5),IF(F805=5,PERCENTILE(INDIRECT("g"&amp;$D$12):INDIRECT("g"&amp;$E$12),0.5),IF(F805=6,PERCENTILE(INDIRECT("g"&amp;$D$13):INDIRECT("g"&amp;$E$13),0.5)," "))))))</f>
        <v xml:space="preserve"> </v>
      </c>
      <c r="I805" s="242" t="str">
        <f t="shared" si="66"/>
        <v xml:space="preserve"> </v>
      </c>
      <c r="J805" s="242" t="str">
        <f ca="1">IF(F805=1,AVERAGE(INDIRECT("I"&amp;$D$8):INDIRECT("I"&amp;$E$8)),IF(F805=2,AVERAGE(INDIRECT("I"&amp;$D$9):INDIRECT("I"&amp;$E$9)),IF(F805=3,AVERAGE(INDIRECT("I"&amp;$D$10):INDIRECT("I"&amp;$E$10)),IF(F805=4,AVERAGE(INDIRECT("I"&amp;$D$11):INDIRECT("I"&amp;$E$11)),IF(F805=5,AVERAGE(INDIRECT("I"&amp;$D$12):INDIRECT("I"&amp;$E$12)),IF(F805=6,AVERAGE(INDIRECT("I"&amp;$D$13):INDIRECT("I"&amp;$E$13))," "))))))</f>
        <v xml:space="preserve"> </v>
      </c>
      <c r="K805" s="242" t="str">
        <f t="shared" si="67"/>
        <v xml:space="preserve"> </v>
      </c>
      <c r="L805" s="242" t="str">
        <f t="shared" si="68"/>
        <v xml:space="preserve"> </v>
      </c>
      <c r="M805" s="242" t="str">
        <f t="shared" si="69"/>
        <v xml:space="preserve"> </v>
      </c>
    </row>
    <row r="806" spans="6:13" x14ac:dyDescent="0.2">
      <c r="F806" s="216" t="str">
        <f t="shared" si="65"/>
        <v xml:space="preserve"> </v>
      </c>
      <c r="G806" s="50"/>
      <c r="H806" s="242" t="str">
        <f ca="1">IF(F806=1,PERCENTILE(INDIRECT("g"&amp;$D$8):INDIRECT("g"&amp;$E$8),0.5),IF(F806=2,PERCENTILE(INDIRECT("g"&amp;$D$9):INDIRECT("g"&amp;$E$9),0.5),IF(F806=3,PERCENTILE(INDIRECT("g"&amp;$D$10):INDIRECT("g"&amp;$E$10),0.5),IF(F806=4,PERCENTILE(INDIRECT("g"&amp;$D$11):INDIRECT("g"&amp;$E$11),0.5),IF(F806=5,PERCENTILE(INDIRECT("g"&amp;$D$12):INDIRECT("g"&amp;$E$12),0.5),IF(F806=6,PERCENTILE(INDIRECT("g"&amp;$D$13):INDIRECT("g"&amp;$E$13),0.5)," "))))))</f>
        <v xml:space="preserve"> </v>
      </c>
      <c r="I806" s="242" t="str">
        <f t="shared" si="66"/>
        <v xml:space="preserve"> </v>
      </c>
      <c r="J806" s="242" t="str">
        <f ca="1">IF(F806=1,AVERAGE(INDIRECT("I"&amp;$D$8):INDIRECT("I"&amp;$E$8)),IF(F806=2,AVERAGE(INDIRECT("I"&amp;$D$9):INDIRECT("I"&amp;$E$9)),IF(F806=3,AVERAGE(INDIRECT("I"&amp;$D$10):INDIRECT("I"&amp;$E$10)),IF(F806=4,AVERAGE(INDIRECT("I"&amp;$D$11):INDIRECT("I"&amp;$E$11)),IF(F806=5,AVERAGE(INDIRECT("I"&amp;$D$12):INDIRECT("I"&amp;$E$12)),IF(F806=6,AVERAGE(INDIRECT("I"&amp;$D$13):INDIRECT("I"&amp;$E$13))," "))))))</f>
        <v xml:space="preserve"> </v>
      </c>
      <c r="K806" s="242" t="str">
        <f t="shared" si="67"/>
        <v xml:space="preserve"> </v>
      </c>
      <c r="L806" s="242" t="str">
        <f t="shared" si="68"/>
        <v xml:space="preserve"> </v>
      </c>
      <c r="M806" s="242" t="str">
        <f t="shared" si="69"/>
        <v xml:space="preserve"> </v>
      </c>
    </row>
    <row r="807" spans="6:13" x14ac:dyDescent="0.2">
      <c r="F807" s="216" t="str">
        <f t="shared" si="65"/>
        <v xml:space="preserve"> </v>
      </c>
      <c r="G807" s="50"/>
      <c r="H807" s="242" t="str">
        <f ca="1">IF(F807=1,PERCENTILE(INDIRECT("g"&amp;$D$8):INDIRECT("g"&amp;$E$8),0.5),IF(F807=2,PERCENTILE(INDIRECT("g"&amp;$D$9):INDIRECT("g"&amp;$E$9),0.5),IF(F807=3,PERCENTILE(INDIRECT("g"&amp;$D$10):INDIRECT("g"&amp;$E$10),0.5),IF(F807=4,PERCENTILE(INDIRECT("g"&amp;$D$11):INDIRECT("g"&amp;$E$11),0.5),IF(F807=5,PERCENTILE(INDIRECT("g"&amp;$D$12):INDIRECT("g"&amp;$E$12),0.5),IF(F807=6,PERCENTILE(INDIRECT("g"&amp;$D$13):INDIRECT("g"&amp;$E$13),0.5)," "))))))</f>
        <v xml:space="preserve"> </v>
      </c>
      <c r="I807" s="242" t="str">
        <f t="shared" si="66"/>
        <v xml:space="preserve"> </v>
      </c>
      <c r="J807" s="242" t="str">
        <f ca="1">IF(F807=1,AVERAGE(INDIRECT("I"&amp;$D$8):INDIRECT("I"&amp;$E$8)),IF(F807=2,AVERAGE(INDIRECT("I"&amp;$D$9):INDIRECT("I"&amp;$E$9)),IF(F807=3,AVERAGE(INDIRECT("I"&amp;$D$10):INDIRECT("I"&amp;$E$10)),IF(F807=4,AVERAGE(INDIRECT("I"&amp;$D$11):INDIRECT("I"&amp;$E$11)),IF(F807=5,AVERAGE(INDIRECT("I"&amp;$D$12):INDIRECT("I"&amp;$E$12)),IF(F807=6,AVERAGE(INDIRECT("I"&amp;$D$13):INDIRECT("I"&amp;$E$13))," "))))))</f>
        <v xml:space="preserve"> </v>
      </c>
      <c r="K807" s="242" t="str">
        <f t="shared" si="67"/>
        <v xml:space="preserve"> </v>
      </c>
      <c r="L807" s="242" t="str">
        <f t="shared" si="68"/>
        <v xml:space="preserve"> </v>
      </c>
      <c r="M807" s="242" t="str">
        <f t="shared" si="69"/>
        <v xml:space="preserve"> </v>
      </c>
    </row>
    <row r="808" spans="6:13" x14ac:dyDescent="0.2">
      <c r="F808" s="216" t="str">
        <f t="shared" si="65"/>
        <v xml:space="preserve"> </v>
      </c>
      <c r="G808" s="50"/>
      <c r="H808" s="242" t="str">
        <f ca="1">IF(F808=1,PERCENTILE(INDIRECT("g"&amp;$D$8):INDIRECT("g"&amp;$E$8),0.5),IF(F808=2,PERCENTILE(INDIRECT("g"&amp;$D$9):INDIRECT("g"&amp;$E$9),0.5),IF(F808=3,PERCENTILE(INDIRECT("g"&amp;$D$10):INDIRECT("g"&amp;$E$10),0.5),IF(F808=4,PERCENTILE(INDIRECT("g"&amp;$D$11):INDIRECT("g"&amp;$E$11),0.5),IF(F808=5,PERCENTILE(INDIRECT("g"&amp;$D$12):INDIRECT("g"&amp;$E$12),0.5),IF(F808=6,PERCENTILE(INDIRECT("g"&amp;$D$13):INDIRECT("g"&amp;$E$13),0.5)," "))))))</f>
        <v xml:space="preserve"> </v>
      </c>
      <c r="I808" s="242" t="str">
        <f t="shared" si="66"/>
        <v xml:space="preserve"> </v>
      </c>
      <c r="J808" s="242" t="str">
        <f ca="1">IF(F808=1,AVERAGE(INDIRECT("I"&amp;$D$8):INDIRECT("I"&amp;$E$8)),IF(F808=2,AVERAGE(INDIRECT("I"&amp;$D$9):INDIRECT("I"&amp;$E$9)),IF(F808=3,AVERAGE(INDIRECT("I"&amp;$D$10):INDIRECT("I"&amp;$E$10)),IF(F808=4,AVERAGE(INDIRECT("I"&amp;$D$11):INDIRECT("I"&amp;$E$11)),IF(F808=5,AVERAGE(INDIRECT("I"&amp;$D$12):INDIRECT("I"&amp;$E$12)),IF(F808=6,AVERAGE(INDIRECT("I"&amp;$D$13):INDIRECT("I"&amp;$E$13))," "))))))</f>
        <v xml:space="preserve"> </v>
      </c>
      <c r="K808" s="242" t="str">
        <f t="shared" si="67"/>
        <v xml:space="preserve"> </v>
      </c>
      <c r="L808" s="242" t="str">
        <f t="shared" si="68"/>
        <v xml:space="preserve"> </v>
      </c>
      <c r="M808" s="242" t="str">
        <f t="shared" si="69"/>
        <v xml:space="preserve"> </v>
      </c>
    </row>
    <row r="809" spans="6:13" x14ac:dyDescent="0.2">
      <c r="F809" s="216" t="str">
        <f t="shared" si="65"/>
        <v xml:space="preserve"> </v>
      </c>
      <c r="G809" s="50"/>
      <c r="H809" s="242" t="str">
        <f ca="1">IF(F809=1,PERCENTILE(INDIRECT("g"&amp;$D$8):INDIRECT("g"&amp;$E$8),0.5),IF(F809=2,PERCENTILE(INDIRECT("g"&amp;$D$9):INDIRECT("g"&amp;$E$9),0.5),IF(F809=3,PERCENTILE(INDIRECT("g"&amp;$D$10):INDIRECT("g"&amp;$E$10),0.5),IF(F809=4,PERCENTILE(INDIRECT("g"&amp;$D$11):INDIRECT("g"&amp;$E$11),0.5),IF(F809=5,PERCENTILE(INDIRECT("g"&amp;$D$12):INDIRECT("g"&amp;$E$12),0.5),IF(F809=6,PERCENTILE(INDIRECT("g"&amp;$D$13):INDIRECT("g"&amp;$E$13),0.5)," "))))))</f>
        <v xml:space="preserve"> </v>
      </c>
      <c r="I809" s="242" t="str">
        <f t="shared" si="66"/>
        <v xml:space="preserve"> </v>
      </c>
      <c r="J809" s="242" t="str">
        <f ca="1">IF(F809=1,AVERAGE(INDIRECT("I"&amp;$D$8):INDIRECT("I"&amp;$E$8)),IF(F809=2,AVERAGE(INDIRECT("I"&amp;$D$9):INDIRECT("I"&amp;$E$9)),IF(F809=3,AVERAGE(INDIRECT("I"&amp;$D$10):INDIRECT("I"&amp;$E$10)),IF(F809=4,AVERAGE(INDIRECT("I"&amp;$D$11):INDIRECT("I"&amp;$E$11)),IF(F809=5,AVERAGE(INDIRECT("I"&amp;$D$12):INDIRECT("I"&amp;$E$12)),IF(F809=6,AVERAGE(INDIRECT("I"&amp;$D$13):INDIRECT("I"&amp;$E$13))," "))))))</f>
        <v xml:space="preserve"> </v>
      </c>
      <c r="K809" s="242" t="str">
        <f t="shared" si="67"/>
        <v xml:space="preserve"> </v>
      </c>
      <c r="L809" s="242" t="str">
        <f t="shared" si="68"/>
        <v xml:space="preserve"> </v>
      </c>
      <c r="M809" s="242" t="str">
        <f t="shared" si="69"/>
        <v xml:space="preserve"> </v>
      </c>
    </row>
    <row r="810" spans="6:13" x14ac:dyDescent="0.2">
      <c r="F810" s="216" t="str">
        <f t="shared" si="65"/>
        <v xml:space="preserve"> </v>
      </c>
      <c r="G810" s="50"/>
      <c r="H810" s="242" t="str">
        <f ca="1">IF(F810=1,PERCENTILE(INDIRECT("g"&amp;$D$8):INDIRECT("g"&amp;$E$8),0.5),IF(F810=2,PERCENTILE(INDIRECT("g"&amp;$D$9):INDIRECT("g"&amp;$E$9),0.5),IF(F810=3,PERCENTILE(INDIRECT("g"&amp;$D$10):INDIRECT("g"&amp;$E$10),0.5),IF(F810=4,PERCENTILE(INDIRECT("g"&amp;$D$11):INDIRECT("g"&amp;$E$11),0.5),IF(F810=5,PERCENTILE(INDIRECT("g"&amp;$D$12):INDIRECT("g"&amp;$E$12),0.5),IF(F810=6,PERCENTILE(INDIRECT("g"&amp;$D$13):INDIRECT("g"&amp;$E$13),0.5)," "))))))</f>
        <v xml:space="preserve"> </v>
      </c>
      <c r="I810" s="242" t="str">
        <f t="shared" si="66"/>
        <v xml:space="preserve"> </v>
      </c>
      <c r="J810" s="242" t="str">
        <f ca="1">IF(F810=1,AVERAGE(INDIRECT("I"&amp;$D$8):INDIRECT("I"&amp;$E$8)),IF(F810=2,AVERAGE(INDIRECT("I"&amp;$D$9):INDIRECT("I"&amp;$E$9)),IF(F810=3,AVERAGE(INDIRECT("I"&amp;$D$10):INDIRECT("I"&amp;$E$10)),IF(F810=4,AVERAGE(INDIRECT("I"&amp;$D$11):INDIRECT("I"&amp;$E$11)),IF(F810=5,AVERAGE(INDIRECT("I"&amp;$D$12):INDIRECT("I"&amp;$E$12)),IF(F810=6,AVERAGE(INDIRECT("I"&amp;$D$13):INDIRECT("I"&amp;$E$13))," "))))))</f>
        <v xml:space="preserve"> </v>
      </c>
      <c r="K810" s="242" t="str">
        <f t="shared" si="67"/>
        <v xml:space="preserve"> </v>
      </c>
      <c r="L810" s="242" t="str">
        <f t="shared" si="68"/>
        <v xml:space="preserve"> </v>
      </c>
      <c r="M810" s="242" t="str">
        <f t="shared" si="69"/>
        <v xml:space="preserve"> </v>
      </c>
    </row>
    <row r="811" spans="6:13" x14ac:dyDescent="0.2">
      <c r="F811" s="216" t="str">
        <f t="shared" si="65"/>
        <v xml:space="preserve"> </v>
      </c>
      <c r="G811" s="50"/>
      <c r="H811" s="242" t="str">
        <f ca="1">IF(F811=1,PERCENTILE(INDIRECT("g"&amp;$D$8):INDIRECT("g"&amp;$E$8),0.5),IF(F811=2,PERCENTILE(INDIRECT("g"&amp;$D$9):INDIRECT("g"&amp;$E$9),0.5),IF(F811=3,PERCENTILE(INDIRECT("g"&amp;$D$10):INDIRECT("g"&amp;$E$10),0.5),IF(F811=4,PERCENTILE(INDIRECT("g"&amp;$D$11):INDIRECT("g"&amp;$E$11),0.5),IF(F811=5,PERCENTILE(INDIRECT("g"&amp;$D$12):INDIRECT("g"&amp;$E$12),0.5),IF(F811=6,PERCENTILE(INDIRECT("g"&amp;$D$13):INDIRECT("g"&amp;$E$13),0.5)," "))))))</f>
        <v xml:space="preserve"> </v>
      </c>
      <c r="I811" s="242" t="str">
        <f t="shared" si="66"/>
        <v xml:space="preserve"> </v>
      </c>
      <c r="J811" s="242" t="str">
        <f ca="1">IF(F811=1,AVERAGE(INDIRECT("I"&amp;$D$8):INDIRECT("I"&amp;$E$8)),IF(F811=2,AVERAGE(INDIRECT("I"&amp;$D$9):INDIRECT("I"&amp;$E$9)),IF(F811=3,AVERAGE(INDIRECT("I"&amp;$D$10):INDIRECT("I"&amp;$E$10)),IF(F811=4,AVERAGE(INDIRECT("I"&amp;$D$11):INDIRECT("I"&amp;$E$11)),IF(F811=5,AVERAGE(INDIRECT("I"&amp;$D$12):INDIRECT("I"&amp;$E$12)),IF(F811=6,AVERAGE(INDIRECT("I"&amp;$D$13):INDIRECT("I"&amp;$E$13))," "))))))</f>
        <v xml:space="preserve"> </v>
      </c>
      <c r="K811" s="242" t="str">
        <f t="shared" si="67"/>
        <v xml:space="preserve"> </v>
      </c>
      <c r="L811" s="242" t="str">
        <f t="shared" si="68"/>
        <v xml:space="preserve"> </v>
      </c>
      <c r="M811" s="242" t="str">
        <f t="shared" si="69"/>
        <v xml:space="preserve"> </v>
      </c>
    </row>
    <row r="812" spans="6:13" x14ac:dyDescent="0.2">
      <c r="F812" s="216" t="str">
        <f t="shared" si="65"/>
        <v xml:space="preserve"> </v>
      </c>
      <c r="G812" s="50"/>
      <c r="H812" s="242" t="str">
        <f ca="1">IF(F812=1,PERCENTILE(INDIRECT("g"&amp;$D$8):INDIRECT("g"&amp;$E$8),0.5),IF(F812=2,PERCENTILE(INDIRECT("g"&amp;$D$9):INDIRECT("g"&amp;$E$9),0.5),IF(F812=3,PERCENTILE(INDIRECT("g"&amp;$D$10):INDIRECT("g"&amp;$E$10),0.5),IF(F812=4,PERCENTILE(INDIRECT("g"&amp;$D$11):INDIRECT("g"&amp;$E$11),0.5),IF(F812=5,PERCENTILE(INDIRECT("g"&amp;$D$12):INDIRECT("g"&amp;$E$12),0.5),IF(F812=6,PERCENTILE(INDIRECT("g"&amp;$D$13):INDIRECT("g"&amp;$E$13),0.5)," "))))))</f>
        <v xml:space="preserve"> </v>
      </c>
      <c r="I812" s="242" t="str">
        <f t="shared" si="66"/>
        <v xml:space="preserve"> </v>
      </c>
      <c r="J812" s="242" t="str">
        <f ca="1">IF(F812=1,AVERAGE(INDIRECT("I"&amp;$D$8):INDIRECT("I"&amp;$E$8)),IF(F812=2,AVERAGE(INDIRECT("I"&amp;$D$9):INDIRECT("I"&amp;$E$9)),IF(F812=3,AVERAGE(INDIRECT("I"&amp;$D$10):INDIRECT("I"&amp;$E$10)),IF(F812=4,AVERAGE(INDIRECT("I"&amp;$D$11):INDIRECT("I"&amp;$E$11)),IF(F812=5,AVERAGE(INDIRECT("I"&amp;$D$12):INDIRECT("I"&amp;$E$12)),IF(F812=6,AVERAGE(INDIRECT("I"&amp;$D$13):INDIRECT("I"&amp;$E$13))," "))))))</f>
        <v xml:space="preserve"> </v>
      </c>
      <c r="K812" s="242" t="str">
        <f t="shared" si="67"/>
        <v xml:space="preserve"> </v>
      </c>
      <c r="L812" s="242" t="str">
        <f t="shared" si="68"/>
        <v xml:space="preserve"> </v>
      </c>
      <c r="M812" s="242" t="str">
        <f t="shared" si="69"/>
        <v xml:space="preserve"> </v>
      </c>
    </row>
    <row r="813" spans="6:13" x14ac:dyDescent="0.2">
      <c r="F813" s="216" t="str">
        <f t="shared" si="65"/>
        <v xml:space="preserve"> </v>
      </c>
      <c r="G813" s="50"/>
      <c r="H813" s="242" t="str">
        <f ca="1">IF(F813=1,PERCENTILE(INDIRECT("g"&amp;$D$8):INDIRECT("g"&amp;$E$8),0.5),IF(F813=2,PERCENTILE(INDIRECT("g"&amp;$D$9):INDIRECT("g"&amp;$E$9),0.5),IF(F813=3,PERCENTILE(INDIRECT("g"&amp;$D$10):INDIRECT("g"&amp;$E$10),0.5),IF(F813=4,PERCENTILE(INDIRECT("g"&amp;$D$11):INDIRECT("g"&amp;$E$11),0.5),IF(F813=5,PERCENTILE(INDIRECT("g"&amp;$D$12):INDIRECT("g"&amp;$E$12),0.5),IF(F813=6,PERCENTILE(INDIRECT("g"&amp;$D$13):INDIRECT("g"&amp;$E$13),0.5)," "))))))</f>
        <v xml:space="preserve"> </v>
      </c>
      <c r="I813" s="242" t="str">
        <f t="shared" si="66"/>
        <v xml:space="preserve"> </v>
      </c>
      <c r="J813" s="242" t="str">
        <f ca="1">IF(F813=1,AVERAGE(INDIRECT("I"&amp;$D$8):INDIRECT("I"&amp;$E$8)),IF(F813=2,AVERAGE(INDIRECT("I"&amp;$D$9):INDIRECT("I"&amp;$E$9)),IF(F813=3,AVERAGE(INDIRECT("I"&amp;$D$10):INDIRECT("I"&amp;$E$10)),IF(F813=4,AVERAGE(INDIRECT("I"&amp;$D$11):INDIRECT("I"&amp;$E$11)),IF(F813=5,AVERAGE(INDIRECT("I"&amp;$D$12):INDIRECT("I"&amp;$E$12)),IF(F813=6,AVERAGE(INDIRECT("I"&amp;$D$13):INDIRECT("I"&amp;$E$13))," "))))))</f>
        <v xml:space="preserve"> </v>
      </c>
      <c r="K813" s="242" t="str">
        <f t="shared" si="67"/>
        <v xml:space="preserve"> </v>
      </c>
      <c r="L813" s="242" t="str">
        <f t="shared" si="68"/>
        <v xml:space="preserve"> </v>
      </c>
      <c r="M813" s="242" t="str">
        <f t="shared" si="69"/>
        <v xml:space="preserve"> </v>
      </c>
    </row>
    <row r="814" spans="6:13" x14ac:dyDescent="0.2">
      <c r="F814" s="216" t="str">
        <f t="shared" si="65"/>
        <v xml:space="preserve"> </v>
      </c>
      <c r="G814" s="50"/>
      <c r="H814" s="242" t="str">
        <f ca="1">IF(F814=1,PERCENTILE(INDIRECT("g"&amp;$D$8):INDIRECT("g"&amp;$E$8),0.5),IF(F814=2,PERCENTILE(INDIRECT("g"&amp;$D$9):INDIRECT("g"&amp;$E$9),0.5),IF(F814=3,PERCENTILE(INDIRECT("g"&amp;$D$10):INDIRECT("g"&amp;$E$10),0.5),IF(F814=4,PERCENTILE(INDIRECT("g"&amp;$D$11):INDIRECT("g"&amp;$E$11),0.5),IF(F814=5,PERCENTILE(INDIRECT("g"&amp;$D$12):INDIRECT("g"&amp;$E$12),0.5),IF(F814=6,PERCENTILE(INDIRECT("g"&amp;$D$13):INDIRECT("g"&amp;$E$13),0.5)," "))))))</f>
        <v xml:space="preserve"> </v>
      </c>
      <c r="I814" s="242" t="str">
        <f t="shared" si="66"/>
        <v xml:space="preserve"> </v>
      </c>
      <c r="J814" s="242" t="str">
        <f ca="1">IF(F814=1,AVERAGE(INDIRECT("I"&amp;$D$8):INDIRECT("I"&amp;$E$8)),IF(F814=2,AVERAGE(INDIRECT("I"&amp;$D$9):INDIRECT("I"&amp;$E$9)),IF(F814=3,AVERAGE(INDIRECT("I"&amp;$D$10):INDIRECT("I"&amp;$E$10)),IF(F814=4,AVERAGE(INDIRECT("I"&amp;$D$11):INDIRECT("I"&amp;$E$11)),IF(F814=5,AVERAGE(INDIRECT("I"&amp;$D$12):INDIRECT("I"&amp;$E$12)),IF(F814=6,AVERAGE(INDIRECT("I"&amp;$D$13):INDIRECT("I"&amp;$E$13))," "))))))</f>
        <v xml:space="preserve"> </v>
      </c>
      <c r="K814" s="242" t="str">
        <f t="shared" si="67"/>
        <v xml:space="preserve"> </v>
      </c>
      <c r="L814" s="242" t="str">
        <f t="shared" si="68"/>
        <v xml:space="preserve"> </v>
      </c>
      <c r="M814" s="242" t="str">
        <f t="shared" si="69"/>
        <v xml:space="preserve"> </v>
      </c>
    </row>
    <row r="815" spans="6:13" x14ac:dyDescent="0.2">
      <c r="F815" s="216" t="str">
        <f t="shared" si="65"/>
        <v xml:space="preserve"> </v>
      </c>
      <c r="G815" s="50"/>
      <c r="H815" s="242" t="str">
        <f ca="1">IF(F815=1,PERCENTILE(INDIRECT("g"&amp;$D$8):INDIRECT("g"&amp;$E$8),0.5),IF(F815=2,PERCENTILE(INDIRECT("g"&amp;$D$9):INDIRECT("g"&amp;$E$9),0.5),IF(F815=3,PERCENTILE(INDIRECT("g"&amp;$D$10):INDIRECT("g"&amp;$E$10),0.5),IF(F815=4,PERCENTILE(INDIRECT("g"&amp;$D$11):INDIRECT("g"&amp;$E$11),0.5),IF(F815=5,PERCENTILE(INDIRECT("g"&amp;$D$12):INDIRECT("g"&amp;$E$12),0.5),IF(F815=6,PERCENTILE(INDIRECT("g"&amp;$D$13):INDIRECT("g"&amp;$E$13),0.5)," "))))))</f>
        <v xml:space="preserve"> </v>
      </c>
      <c r="I815" s="242" t="str">
        <f t="shared" si="66"/>
        <v xml:space="preserve"> </v>
      </c>
      <c r="J815" s="242" t="str">
        <f ca="1">IF(F815=1,AVERAGE(INDIRECT("I"&amp;$D$8):INDIRECT("I"&amp;$E$8)),IF(F815=2,AVERAGE(INDIRECT("I"&amp;$D$9):INDIRECT("I"&amp;$E$9)),IF(F815=3,AVERAGE(INDIRECT("I"&amp;$D$10):INDIRECT("I"&amp;$E$10)),IF(F815=4,AVERAGE(INDIRECT("I"&amp;$D$11):INDIRECT("I"&amp;$E$11)),IF(F815=5,AVERAGE(INDIRECT("I"&amp;$D$12):INDIRECT("I"&amp;$E$12)),IF(F815=6,AVERAGE(INDIRECT("I"&amp;$D$13):INDIRECT("I"&amp;$E$13))," "))))))</f>
        <v xml:space="preserve"> </v>
      </c>
      <c r="K815" s="242" t="str">
        <f t="shared" si="67"/>
        <v xml:space="preserve"> </v>
      </c>
      <c r="L815" s="242" t="str">
        <f t="shared" si="68"/>
        <v xml:space="preserve"> </v>
      </c>
      <c r="M815" s="242" t="str">
        <f t="shared" si="69"/>
        <v xml:space="preserve"> </v>
      </c>
    </row>
    <row r="816" spans="6:13" x14ac:dyDescent="0.2">
      <c r="F816" s="216" t="str">
        <f t="shared" si="65"/>
        <v xml:space="preserve"> </v>
      </c>
      <c r="G816" s="50"/>
      <c r="H816" s="242" t="str">
        <f ca="1">IF(F816=1,PERCENTILE(INDIRECT("g"&amp;$D$8):INDIRECT("g"&amp;$E$8),0.5),IF(F816=2,PERCENTILE(INDIRECT("g"&amp;$D$9):INDIRECT("g"&amp;$E$9),0.5),IF(F816=3,PERCENTILE(INDIRECT("g"&amp;$D$10):INDIRECT("g"&amp;$E$10),0.5),IF(F816=4,PERCENTILE(INDIRECT("g"&amp;$D$11):INDIRECT("g"&amp;$E$11),0.5),IF(F816=5,PERCENTILE(INDIRECT("g"&amp;$D$12):INDIRECT("g"&amp;$E$12),0.5),IF(F816=6,PERCENTILE(INDIRECT("g"&amp;$D$13):INDIRECT("g"&amp;$E$13),0.5)," "))))))</f>
        <v xml:space="preserve"> </v>
      </c>
      <c r="I816" s="242" t="str">
        <f t="shared" si="66"/>
        <v xml:space="preserve"> </v>
      </c>
      <c r="J816" s="242" t="str">
        <f ca="1">IF(F816=1,AVERAGE(INDIRECT("I"&amp;$D$8):INDIRECT("I"&amp;$E$8)),IF(F816=2,AVERAGE(INDIRECT("I"&amp;$D$9):INDIRECT("I"&amp;$E$9)),IF(F816=3,AVERAGE(INDIRECT("I"&amp;$D$10):INDIRECT("I"&amp;$E$10)),IF(F816=4,AVERAGE(INDIRECT("I"&amp;$D$11):INDIRECT("I"&amp;$E$11)),IF(F816=5,AVERAGE(INDIRECT("I"&amp;$D$12):INDIRECT("I"&amp;$E$12)),IF(F816=6,AVERAGE(INDIRECT("I"&amp;$D$13):INDIRECT("I"&amp;$E$13))," "))))))</f>
        <v xml:space="preserve"> </v>
      </c>
      <c r="K816" s="242" t="str">
        <f t="shared" si="67"/>
        <v xml:space="preserve"> </v>
      </c>
      <c r="L816" s="242" t="str">
        <f t="shared" si="68"/>
        <v xml:space="preserve"> </v>
      </c>
      <c r="M816" s="242" t="str">
        <f t="shared" si="69"/>
        <v xml:space="preserve"> </v>
      </c>
    </row>
    <row r="817" spans="6:13" x14ac:dyDescent="0.2">
      <c r="F817" s="216" t="str">
        <f t="shared" si="65"/>
        <v xml:space="preserve"> </v>
      </c>
      <c r="G817" s="50"/>
      <c r="H817" s="242" t="str">
        <f ca="1">IF(F817=1,PERCENTILE(INDIRECT("g"&amp;$D$8):INDIRECT("g"&amp;$E$8),0.5),IF(F817=2,PERCENTILE(INDIRECT("g"&amp;$D$9):INDIRECT("g"&amp;$E$9),0.5),IF(F817=3,PERCENTILE(INDIRECT("g"&amp;$D$10):INDIRECT("g"&amp;$E$10),0.5),IF(F817=4,PERCENTILE(INDIRECT("g"&amp;$D$11):INDIRECT("g"&amp;$E$11),0.5),IF(F817=5,PERCENTILE(INDIRECT("g"&amp;$D$12):INDIRECT("g"&amp;$E$12),0.5),IF(F817=6,PERCENTILE(INDIRECT("g"&amp;$D$13):INDIRECT("g"&amp;$E$13),0.5)," "))))))</f>
        <v xml:space="preserve"> </v>
      </c>
      <c r="I817" s="242" t="str">
        <f t="shared" si="66"/>
        <v xml:space="preserve"> </v>
      </c>
      <c r="J817" s="242" t="str">
        <f ca="1">IF(F817=1,AVERAGE(INDIRECT("I"&amp;$D$8):INDIRECT("I"&amp;$E$8)),IF(F817=2,AVERAGE(INDIRECT("I"&amp;$D$9):INDIRECT("I"&amp;$E$9)),IF(F817=3,AVERAGE(INDIRECT("I"&amp;$D$10):INDIRECT("I"&amp;$E$10)),IF(F817=4,AVERAGE(INDIRECT("I"&amp;$D$11):INDIRECT("I"&amp;$E$11)),IF(F817=5,AVERAGE(INDIRECT("I"&amp;$D$12):INDIRECT("I"&amp;$E$12)),IF(F817=6,AVERAGE(INDIRECT("I"&amp;$D$13):INDIRECT("I"&amp;$E$13))," "))))))</f>
        <v xml:space="preserve"> </v>
      </c>
      <c r="K817" s="242" t="str">
        <f t="shared" si="67"/>
        <v xml:space="preserve"> </v>
      </c>
      <c r="L817" s="242" t="str">
        <f t="shared" si="68"/>
        <v xml:space="preserve"> </v>
      </c>
      <c r="M817" s="242" t="str">
        <f t="shared" si="69"/>
        <v xml:space="preserve"> </v>
      </c>
    </row>
    <row r="818" spans="6:13" x14ac:dyDescent="0.2">
      <c r="F818" s="216" t="str">
        <f t="shared" si="65"/>
        <v xml:space="preserve"> </v>
      </c>
      <c r="G818" s="50"/>
      <c r="H818" s="242" t="str">
        <f ca="1">IF(F818=1,PERCENTILE(INDIRECT("g"&amp;$D$8):INDIRECT("g"&amp;$E$8),0.5),IF(F818=2,PERCENTILE(INDIRECT("g"&amp;$D$9):INDIRECT("g"&amp;$E$9),0.5),IF(F818=3,PERCENTILE(INDIRECT("g"&amp;$D$10):INDIRECT("g"&amp;$E$10),0.5),IF(F818=4,PERCENTILE(INDIRECT("g"&amp;$D$11):INDIRECT("g"&amp;$E$11),0.5),IF(F818=5,PERCENTILE(INDIRECT("g"&amp;$D$12):INDIRECT("g"&amp;$E$12),0.5),IF(F818=6,PERCENTILE(INDIRECT("g"&amp;$D$13):INDIRECT("g"&amp;$E$13),0.5)," "))))))</f>
        <v xml:space="preserve"> </v>
      </c>
      <c r="I818" s="242" t="str">
        <f t="shared" si="66"/>
        <v xml:space="preserve"> </v>
      </c>
      <c r="J818" s="242" t="str">
        <f ca="1">IF(F818=1,AVERAGE(INDIRECT("I"&amp;$D$8):INDIRECT("I"&amp;$E$8)),IF(F818=2,AVERAGE(INDIRECT("I"&amp;$D$9):INDIRECT("I"&amp;$E$9)),IF(F818=3,AVERAGE(INDIRECT("I"&amp;$D$10):INDIRECT("I"&amp;$E$10)),IF(F818=4,AVERAGE(INDIRECT("I"&amp;$D$11):INDIRECT("I"&amp;$E$11)),IF(F818=5,AVERAGE(INDIRECT("I"&amp;$D$12):INDIRECT("I"&amp;$E$12)),IF(F818=6,AVERAGE(INDIRECT("I"&amp;$D$13):INDIRECT("I"&amp;$E$13))," "))))))</f>
        <v xml:space="preserve"> </v>
      </c>
      <c r="K818" s="242" t="str">
        <f t="shared" si="67"/>
        <v xml:space="preserve"> </v>
      </c>
      <c r="L818" s="242" t="str">
        <f t="shared" si="68"/>
        <v xml:space="preserve"> </v>
      </c>
      <c r="M818" s="242" t="str">
        <f t="shared" si="69"/>
        <v xml:space="preserve"> </v>
      </c>
    </row>
    <row r="819" spans="6:13" x14ac:dyDescent="0.2">
      <c r="F819" s="216" t="str">
        <f t="shared" si="65"/>
        <v xml:space="preserve"> </v>
      </c>
      <c r="G819" s="50"/>
      <c r="H819" s="242" t="str">
        <f ca="1">IF(F819=1,PERCENTILE(INDIRECT("g"&amp;$D$8):INDIRECT("g"&amp;$E$8),0.5),IF(F819=2,PERCENTILE(INDIRECT("g"&amp;$D$9):INDIRECT("g"&amp;$E$9),0.5),IF(F819=3,PERCENTILE(INDIRECT("g"&amp;$D$10):INDIRECT("g"&amp;$E$10),0.5),IF(F819=4,PERCENTILE(INDIRECT("g"&amp;$D$11):INDIRECT("g"&amp;$E$11),0.5),IF(F819=5,PERCENTILE(INDIRECT("g"&amp;$D$12):INDIRECT("g"&amp;$E$12),0.5),IF(F819=6,PERCENTILE(INDIRECT("g"&amp;$D$13):INDIRECT("g"&amp;$E$13),0.5)," "))))))</f>
        <v xml:space="preserve"> </v>
      </c>
      <c r="I819" s="242" t="str">
        <f t="shared" si="66"/>
        <v xml:space="preserve"> </v>
      </c>
      <c r="J819" s="242" t="str">
        <f ca="1">IF(F819=1,AVERAGE(INDIRECT("I"&amp;$D$8):INDIRECT("I"&amp;$E$8)),IF(F819=2,AVERAGE(INDIRECT("I"&amp;$D$9):INDIRECT("I"&amp;$E$9)),IF(F819=3,AVERAGE(INDIRECT("I"&amp;$D$10):INDIRECT("I"&amp;$E$10)),IF(F819=4,AVERAGE(INDIRECT("I"&amp;$D$11):INDIRECT("I"&amp;$E$11)),IF(F819=5,AVERAGE(INDIRECT("I"&amp;$D$12):INDIRECT("I"&amp;$E$12)),IF(F819=6,AVERAGE(INDIRECT("I"&amp;$D$13):INDIRECT("I"&amp;$E$13))," "))))))</f>
        <v xml:space="preserve"> </v>
      </c>
      <c r="K819" s="242" t="str">
        <f t="shared" si="67"/>
        <v xml:space="preserve"> </v>
      </c>
      <c r="L819" s="242" t="str">
        <f t="shared" si="68"/>
        <v xml:space="preserve"> </v>
      </c>
      <c r="M819" s="242" t="str">
        <f t="shared" si="69"/>
        <v xml:space="preserve"> </v>
      </c>
    </row>
    <row r="820" spans="6:13" x14ac:dyDescent="0.2">
      <c r="F820" s="216" t="str">
        <f t="shared" si="65"/>
        <v xml:space="preserve"> </v>
      </c>
      <c r="G820" s="50"/>
      <c r="H820" s="242" t="str">
        <f ca="1">IF(F820=1,PERCENTILE(INDIRECT("g"&amp;$D$8):INDIRECT("g"&amp;$E$8),0.5),IF(F820=2,PERCENTILE(INDIRECT("g"&amp;$D$9):INDIRECT("g"&amp;$E$9),0.5),IF(F820=3,PERCENTILE(INDIRECT("g"&amp;$D$10):INDIRECT("g"&amp;$E$10),0.5),IF(F820=4,PERCENTILE(INDIRECT("g"&amp;$D$11):INDIRECT("g"&amp;$E$11),0.5),IF(F820=5,PERCENTILE(INDIRECT("g"&amp;$D$12):INDIRECT("g"&amp;$E$12),0.5),IF(F820=6,PERCENTILE(INDIRECT("g"&amp;$D$13):INDIRECT("g"&amp;$E$13),0.5)," "))))))</f>
        <v xml:space="preserve"> </v>
      </c>
      <c r="I820" s="242" t="str">
        <f t="shared" si="66"/>
        <v xml:space="preserve"> </v>
      </c>
      <c r="J820" s="242" t="str">
        <f ca="1">IF(F820=1,AVERAGE(INDIRECT("I"&amp;$D$8):INDIRECT("I"&amp;$E$8)),IF(F820=2,AVERAGE(INDIRECT("I"&amp;$D$9):INDIRECT("I"&amp;$E$9)),IF(F820=3,AVERAGE(INDIRECT("I"&amp;$D$10):INDIRECT("I"&amp;$E$10)),IF(F820=4,AVERAGE(INDIRECT("I"&amp;$D$11):INDIRECT("I"&amp;$E$11)),IF(F820=5,AVERAGE(INDIRECT("I"&amp;$D$12):INDIRECT("I"&amp;$E$12)),IF(F820=6,AVERAGE(INDIRECT("I"&amp;$D$13):INDIRECT("I"&amp;$E$13))," "))))))</f>
        <v xml:space="preserve"> </v>
      </c>
      <c r="K820" s="242" t="str">
        <f t="shared" si="67"/>
        <v xml:space="preserve"> </v>
      </c>
      <c r="L820" s="242" t="str">
        <f t="shared" si="68"/>
        <v xml:space="preserve"> </v>
      </c>
      <c r="M820" s="242" t="str">
        <f t="shared" si="69"/>
        <v xml:space="preserve"> </v>
      </c>
    </row>
    <row r="821" spans="6:13" x14ac:dyDescent="0.2">
      <c r="F821" s="216" t="str">
        <f t="shared" si="65"/>
        <v xml:space="preserve"> </v>
      </c>
      <c r="G821" s="50"/>
      <c r="H821" s="242" t="str">
        <f ca="1">IF(F821=1,PERCENTILE(INDIRECT("g"&amp;$D$8):INDIRECT("g"&amp;$E$8),0.5),IF(F821=2,PERCENTILE(INDIRECT("g"&amp;$D$9):INDIRECT("g"&amp;$E$9),0.5),IF(F821=3,PERCENTILE(INDIRECT("g"&amp;$D$10):INDIRECT("g"&amp;$E$10),0.5),IF(F821=4,PERCENTILE(INDIRECT("g"&amp;$D$11):INDIRECT("g"&amp;$E$11),0.5),IF(F821=5,PERCENTILE(INDIRECT("g"&amp;$D$12):INDIRECT("g"&amp;$E$12),0.5),IF(F821=6,PERCENTILE(INDIRECT("g"&amp;$D$13):INDIRECT("g"&amp;$E$13),0.5)," "))))))</f>
        <v xml:space="preserve"> </v>
      </c>
      <c r="I821" s="242" t="str">
        <f t="shared" si="66"/>
        <v xml:space="preserve"> </v>
      </c>
      <c r="J821" s="242" t="str">
        <f ca="1">IF(F821=1,AVERAGE(INDIRECT("I"&amp;$D$8):INDIRECT("I"&amp;$E$8)),IF(F821=2,AVERAGE(INDIRECT("I"&amp;$D$9):INDIRECT("I"&amp;$E$9)),IF(F821=3,AVERAGE(INDIRECT("I"&amp;$D$10):INDIRECT("I"&amp;$E$10)),IF(F821=4,AVERAGE(INDIRECT("I"&amp;$D$11):INDIRECT("I"&amp;$E$11)),IF(F821=5,AVERAGE(INDIRECT("I"&amp;$D$12):INDIRECT("I"&amp;$E$12)),IF(F821=6,AVERAGE(INDIRECT("I"&amp;$D$13):INDIRECT("I"&amp;$E$13))," "))))))</f>
        <v xml:space="preserve"> </v>
      </c>
      <c r="K821" s="242" t="str">
        <f t="shared" si="67"/>
        <v xml:space="preserve"> </v>
      </c>
      <c r="L821" s="242" t="str">
        <f t="shared" si="68"/>
        <v xml:space="preserve"> </v>
      </c>
      <c r="M821" s="242" t="str">
        <f t="shared" si="69"/>
        <v xml:space="preserve"> </v>
      </c>
    </row>
    <row r="822" spans="6:13" x14ac:dyDescent="0.2">
      <c r="F822" s="216" t="str">
        <f t="shared" si="65"/>
        <v xml:space="preserve"> </v>
      </c>
      <c r="G822" s="50"/>
      <c r="H822" s="242" t="str">
        <f ca="1">IF(F822=1,PERCENTILE(INDIRECT("g"&amp;$D$8):INDIRECT("g"&amp;$E$8),0.5),IF(F822=2,PERCENTILE(INDIRECT("g"&amp;$D$9):INDIRECT("g"&amp;$E$9),0.5),IF(F822=3,PERCENTILE(INDIRECT("g"&amp;$D$10):INDIRECT("g"&amp;$E$10),0.5),IF(F822=4,PERCENTILE(INDIRECT("g"&amp;$D$11):INDIRECT("g"&amp;$E$11),0.5),IF(F822=5,PERCENTILE(INDIRECT("g"&amp;$D$12):INDIRECT("g"&amp;$E$12),0.5),IF(F822=6,PERCENTILE(INDIRECT("g"&amp;$D$13):INDIRECT("g"&amp;$E$13),0.5)," "))))))</f>
        <v xml:space="preserve"> </v>
      </c>
      <c r="I822" s="242" t="str">
        <f t="shared" si="66"/>
        <v xml:space="preserve"> </v>
      </c>
      <c r="J822" s="242" t="str">
        <f ca="1">IF(F822=1,AVERAGE(INDIRECT("I"&amp;$D$8):INDIRECT("I"&amp;$E$8)),IF(F822=2,AVERAGE(INDIRECT("I"&amp;$D$9):INDIRECT("I"&amp;$E$9)),IF(F822=3,AVERAGE(INDIRECT("I"&amp;$D$10):INDIRECT("I"&amp;$E$10)),IF(F822=4,AVERAGE(INDIRECT("I"&amp;$D$11):INDIRECT("I"&amp;$E$11)),IF(F822=5,AVERAGE(INDIRECT("I"&amp;$D$12):INDIRECT("I"&amp;$E$12)),IF(F822=6,AVERAGE(INDIRECT("I"&amp;$D$13):INDIRECT("I"&amp;$E$13))," "))))))</f>
        <v xml:space="preserve"> </v>
      </c>
      <c r="K822" s="242" t="str">
        <f t="shared" si="67"/>
        <v xml:space="preserve"> </v>
      </c>
      <c r="L822" s="242" t="str">
        <f t="shared" si="68"/>
        <v xml:space="preserve"> </v>
      </c>
      <c r="M822" s="242" t="str">
        <f t="shared" si="69"/>
        <v xml:space="preserve"> </v>
      </c>
    </row>
    <row r="823" spans="6:13" x14ac:dyDescent="0.2">
      <c r="F823" s="216" t="str">
        <f t="shared" si="65"/>
        <v xml:space="preserve"> </v>
      </c>
      <c r="G823" s="50"/>
      <c r="H823" s="242" t="str">
        <f ca="1">IF(F823=1,PERCENTILE(INDIRECT("g"&amp;$D$8):INDIRECT("g"&amp;$E$8),0.5),IF(F823=2,PERCENTILE(INDIRECT("g"&amp;$D$9):INDIRECT("g"&amp;$E$9),0.5),IF(F823=3,PERCENTILE(INDIRECT("g"&amp;$D$10):INDIRECT("g"&amp;$E$10),0.5),IF(F823=4,PERCENTILE(INDIRECT("g"&amp;$D$11):INDIRECT("g"&amp;$E$11),0.5),IF(F823=5,PERCENTILE(INDIRECT("g"&amp;$D$12):INDIRECT("g"&amp;$E$12),0.5),IF(F823=6,PERCENTILE(INDIRECT("g"&amp;$D$13):INDIRECT("g"&amp;$E$13),0.5)," "))))))</f>
        <v xml:space="preserve"> </v>
      </c>
      <c r="I823" s="242" t="str">
        <f t="shared" si="66"/>
        <v xml:space="preserve"> </v>
      </c>
      <c r="J823" s="242" t="str">
        <f ca="1">IF(F823=1,AVERAGE(INDIRECT("I"&amp;$D$8):INDIRECT("I"&amp;$E$8)),IF(F823=2,AVERAGE(INDIRECT("I"&amp;$D$9):INDIRECT("I"&amp;$E$9)),IF(F823=3,AVERAGE(INDIRECT("I"&amp;$D$10):INDIRECT("I"&amp;$E$10)),IF(F823=4,AVERAGE(INDIRECT("I"&amp;$D$11):INDIRECT("I"&amp;$E$11)),IF(F823=5,AVERAGE(INDIRECT("I"&amp;$D$12):INDIRECT("I"&amp;$E$12)),IF(F823=6,AVERAGE(INDIRECT("I"&amp;$D$13):INDIRECT("I"&amp;$E$13))," "))))))</f>
        <v xml:space="preserve"> </v>
      </c>
      <c r="K823" s="242" t="str">
        <f t="shared" si="67"/>
        <v xml:space="preserve"> </v>
      </c>
      <c r="L823" s="242" t="str">
        <f t="shared" si="68"/>
        <v xml:space="preserve"> </v>
      </c>
      <c r="M823" s="242" t="str">
        <f t="shared" si="69"/>
        <v xml:space="preserve"> </v>
      </c>
    </row>
    <row r="824" spans="6:13" x14ac:dyDescent="0.2">
      <c r="F824" s="216" t="str">
        <f t="shared" si="65"/>
        <v xml:space="preserve"> </v>
      </c>
      <c r="G824" s="50"/>
      <c r="H824" s="242" t="str">
        <f ca="1">IF(F824=1,PERCENTILE(INDIRECT("g"&amp;$D$8):INDIRECT("g"&amp;$E$8),0.5),IF(F824=2,PERCENTILE(INDIRECT("g"&amp;$D$9):INDIRECT("g"&amp;$E$9),0.5),IF(F824=3,PERCENTILE(INDIRECT("g"&amp;$D$10):INDIRECT("g"&amp;$E$10),0.5),IF(F824=4,PERCENTILE(INDIRECT("g"&amp;$D$11):INDIRECT("g"&amp;$E$11),0.5),IF(F824=5,PERCENTILE(INDIRECT("g"&amp;$D$12):INDIRECT("g"&amp;$E$12),0.5),IF(F824=6,PERCENTILE(INDIRECT("g"&amp;$D$13):INDIRECT("g"&amp;$E$13),0.5)," "))))))</f>
        <v xml:space="preserve"> </v>
      </c>
      <c r="I824" s="242" t="str">
        <f t="shared" si="66"/>
        <v xml:space="preserve"> </v>
      </c>
      <c r="J824" s="242" t="str">
        <f ca="1">IF(F824=1,AVERAGE(INDIRECT("I"&amp;$D$8):INDIRECT("I"&amp;$E$8)),IF(F824=2,AVERAGE(INDIRECT("I"&amp;$D$9):INDIRECT("I"&amp;$E$9)),IF(F824=3,AVERAGE(INDIRECT("I"&amp;$D$10):INDIRECT("I"&amp;$E$10)),IF(F824=4,AVERAGE(INDIRECT("I"&amp;$D$11):INDIRECT("I"&amp;$E$11)),IF(F824=5,AVERAGE(INDIRECT("I"&amp;$D$12):INDIRECT("I"&amp;$E$12)),IF(F824=6,AVERAGE(INDIRECT("I"&amp;$D$13):INDIRECT("I"&amp;$E$13))," "))))))</f>
        <v xml:space="preserve"> </v>
      </c>
      <c r="K824" s="242" t="str">
        <f t="shared" si="67"/>
        <v xml:space="preserve"> </v>
      </c>
      <c r="L824" s="242" t="str">
        <f t="shared" si="68"/>
        <v xml:space="preserve"> </v>
      </c>
      <c r="M824" s="242" t="str">
        <f t="shared" si="69"/>
        <v xml:space="preserve"> </v>
      </c>
    </row>
    <row r="825" spans="6:13" x14ac:dyDescent="0.2">
      <c r="F825" s="216" t="str">
        <f t="shared" si="65"/>
        <v xml:space="preserve"> </v>
      </c>
      <c r="G825" s="50"/>
      <c r="H825" s="242" t="str">
        <f ca="1">IF(F825=1,PERCENTILE(INDIRECT("g"&amp;$D$8):INDIRECT("g"&amp;$E$8),0.5),IF(F825=2,PERCENTILE(INDIRECT("g"&amp;$D$9):INDIRECT("g"&amp;$E$9),0.5),IF(F825=3,PERCENTILE(INDIRECT("g"&amp;$D$10):INDIRECT("g"&amp;$E$10),0.5),IF(F825=4,PERCENTILE(INDIRECT("g"&amp;$D$11):INDIRECT("g"&amp;$E$11),0.5),IF(F825=5,PERCENTILE(INDIRECT("g"&amp;$D$12):INDIRECT("g"&amp;$E$12),0.5),IF(F825=6,PERCENTILE(INDIRECT("g"&amp;$D$13):INDIRECT("g"&amp;$E$13),0.5)," "))))))</f>
        <v xml:space="preserve"> </v>
      </c>
      <c r="I825" s="242" t="str">
        <f t="shared" si="66"/>
        <v xml:space="preserve"> </v>
      </c>
      <c r="J825" s="242" t="str">
        <f ca="1">IF(F825=1,AVERAGE(INDIRECT("I"&amp;$D$8):INDIRECT("I"&amp;$E$8)),IF(F825=2,AVERAGE(INDIRECT("I"&amp;$D$9):INDIRECT("I"&amp;$E$9)),IF(F825=3,AVERAGE(INDIRECT("I"&amp;$D$10):INDIRECT("I"&amp;$E$10)),IF(F825=4,AVERAGE(INDIRECT("I"&amp;$D$11):INDIRECT("I"&amp;$E$11)),IF(F825=5,AVERAGE(INDIRECT("I"&amp;$D$12):INDIRECT("I"&amp;$E$12)),IF(F825=6,AVERAGE(INDIRECT("I"&amp;$D$13):INDIRECT("I"&amp;$E$13))," "))))))</f>
        <v xml:space="preserve"> </v>
      </c>
      <c r="K825" s="242" t="str">
        <f t="shared" si="67"/>
        <v xml:space="preserve"> </v>
      </c>
      <c r="L825" s="242" t="str">
        <f t="shared" si="68"/>
        <v xml:space="preserve"> </v>
      </c>
      <c r="M825" s="242" t="str">
        <f t="shared" si="69"/>
        <v xml:space="preserve"> </v>
      </c>
    </row>
    <row r="826" spans="6:13" x14ac:dyDescent="0.2">
      <c r="F826" s="216" t="str">
        <f t="shared" si="65"/>
        <v xml:space="preserve"> </v>
      </c>
      <c r="G826" s="50"/>
      <c r="H826" s="242" t="str">
        <f ca="1">IF(F826=1,PERCENTILE(INDIRECT("g"&amp;$D$8):INDIRECT("g"&amp;$E$8),0.5),IF(F826=2,PERCENTILE(INDIRECT("g"&amp;$D$9):INDIRECT("g"&amp;$E$9),0.5),IF(F826=3,PERCENTILE(INDIRECT("g"&amp;$D$10):INDIRECT("g"&amp;$E$10),0.5),IF(F826=4,PERCENTILE(INDIRECT("g"&amp;$D$11):INDIRECT("g"&amp;$E$11),0.5),IF(F826=5,PERCENTILE(INDIRECT("g"&amp;$D$12):INDIRECT("g"&amp;$E$12),0.5),IF(F826=6,PERCENTILE(INDIRECT("g"&amp;$D$13):INDIRECT("g"&amp;$E$13),0.5)," "))))))</f>
        <v xml:space="preserve"> </v>
      </c>
      <c r="I826" s="242" t="str">
        <f t="shared" si="66"/>
        <v xml:space="preserve"> </v>
      </c>
      <c r="J826" s="242" t="str">
        <f ca="1">IF(F826=1,AVERAGE(INDIRECT("I"&amp;$D$8):INDIRECT("I"&amp;$E$8)),IF(F826=2,AVERAGE(INDIRECT("I"&amp;$D$9):INDIRECT("I"&amp;$E$9)),IF(F826=3,AVERAGE(INDIRECT("I"&amp;$D$10):INDIRECT("I"&amp;$E$10)),IF(F826=4,AVERAGE(INDIRECT("I"&amp;$D$11):INDIRECT("I"&amp;$E$11)),IF(F826=5,AVERAGE(INDIRECT("I"&amp;$D$12):INDIRECT("I"&amp;$E$12)),IF(F826=6,AVERAGE(INDIRECT("I"&amp;$D$13):INDIRECT("I"&amp;$E$13))," "))))))</f>
        <v xml:space="preserve"> </v>
      </c>
      <c r="K826" s="242" t="str">
        <f t="shared" si="67"/>
        <v xml:space="preserve"> </v>
      </c>
      <c r="L826" s="242" t="str">
        <f t="shared" si="68"/>
        <v xml:space="preserve"> </v>
      </c>
      <c r="M826" s="242" t="str">
        <f t="shared" si="69"/>
        <v xml:space="preserve"> </v>
      </c>
    </row>
    <row r="827" spans="6:13" x14ac:dyDescent="0.2">
      <c r="F827" s="216" t="str">
        <f t="shared" si="65"/>
        <v xml:space="preserve"> </v>
      </c>
      <c r="G827" s="50"/>
      <c r="H827" s="242" t="str">
        <f ca="1">IF(F827=1,PERCENTILE(INDIRECT("g"&amp;$D$8):INDIRECT("g"&amp;$E$8),0.5),IF(F827=2,PERCENTILE(INDIRECT("g"&amp;$D$9):INDIRECT("g"&amp;$E$9),0.5),IF(F827=3,PERCENTILE(INDIRECT("g"&amp;$D$10):INDIRECT("g"&amp;$E$10),0.5),IF(F827=4,PERCENTILE(INDIRECT("g"&amp;$D$11):INDIRECT("g"&amp;$E$11),0.5),IF(F827=5,PERCENTILE(INDIRECT("g"&amp;$D$12):INDIRECT("g"&amp;$E$12),0.5),IF(F827=6,PERCENTILE(INDIRECT("g"&amp;$D$13):INDIRECT("g"&amp;$E$13),0.5)," "))))))</f>
        <v xml:space="preserve"> </v>
      </c>
      <c r="I827" s="242" t="str">
        <f t="shared" si="66"/>
        <v xml:space="preserve"> </v>
      </c>
      <c r="J827" s="242" t="str">
        <f ca="1">IF(F827=1,AVERAGE(INDIRECT("I"&amp;$D$8):INDIRECT("I"&amp;$E$8)),IF(F827=2,AVERAGE(INDIRECT("I"&amp;$D$9):INDIRECT("I"&amp;$E$9)),IF(F827=3,AVERAGE(INDIRECT("I"&amp;$D$10):INDIRECT("I"&amp;$E$10)),IF(F827=4,AVERAGE(INDIRECT("I"&amp;$D$11):INDIRECT("I"&amp;$E$11)),IF(F827=5,AVERAGE(INDIRECT("I"&amp;$D$12):INDIRECT("I"&amp;$E$12)),IF(F827=6,AVERAGE(INDIRECT("I"&amp;$D$13):INDIRECT("I"&amp;$E$13))," "))))))</f>
        <v xml:space="preserve"> </v>
      </c>
      <c r="K827" s="242" t="str">
        <f t="shared" si="67"/>
        <v xml:space="preserve"> </v>
      </c>
      <c r="L827" s="242" t="str">
        <f t="shared" si="68"/>
        <v xml:space="preserve"> </v>
      </c>
      <c r="M827" s="242" t="str">
        <f t="shared" si="69"/>
        <v xml:space="preserve"> </v>
      </c>
    </row>
    <row r="828" spans="6:13" x14ac:dyDescent="0.2">
      <c r="F828" s="216" t="str">
        <f t="shared" si="65"/>
        <v xml:space="preserve"> </v>
      </c>
      <c r="G828" s="50"/>
      <c r="H828" s="242" t="str">
        <f ca="1">IF(F828=1,PERCENTILE(INDIRECT("g"&amp;$D$8):INDIRECT("g"&amp;$E$8),0.5),IF(F828=2,PERCENTILE(INDIRECT("g"&amp;$D$9):INDIRECT("g"&amp;$E$9),0.5),IF(F828=3,PERCENTILE(INDIRECT("g"&amp;$D$10):INDIRECT("g"&amp;$E$10),0.5),IF(F828=4,PERCENTILE(INDIRECT("g"&amp;$D$11):INDIRECT("g"&amp;$E$11),0.5),IF(F828=5,PERCENTILE(INDIRECT("g"&amp;$D$12):INDIRECT("g"&amp;$E$12),0.5),IF(F828=6,PERCENTILE(INDIRECT("g"&amp;$D$13):INDIRECT("g"&amp;$E$13),0.5)," "))))))</f>
        <v xml:space="preserve"> </v>
      </c>
      <c r="I828" s="242" t="str">
        <f t="shared" si="66"/>
        <v xml:space="preserve"> </v>
      </c>
      <c r="J828" s="242" t="str">
        <f ca="1">IF(F828=1,AVERAGE(INDIRECT("I"&amp;$D$8):INDIRECT("I"&amp;$E$8)),IF(F828=2,AVERAGE(INDIRECT("I"&amp;$D$9):INDIRECT("I"&amp;$E$9)),IF(F828=3,AVERAGE(INDIRECT("I"&amp;$D$10):INDIRECT("I"&amp;$E$10)),IF(F828=4,AVERAGE(INDIRECT("I"&amp;$D$11):INDIRECT("I"&amp;$E$11)),IF(F828=5,AVERAGE(INDIRECT("I"&amp;$D$12):INDIRECT("I"&amp;$E$12)),IF(F828=6,AVERAGE(INDIRECT("I"&amp;$D$13):INDIRECT("I"&amp;$E$13))," "))))))</f>
        <v xml:space="preserve"> </v>
      </c>
      <c r="K828" s="242" t="str">
        <f t="shared" si="67"/>
        <v xml:space="preserve"> </v>
      </c>
      <c r="L828" s="242" t="str">
        <f t="shared" si="68"/>
        <v xml:space="preserve"> </v>
      </c>
      <c r="M828" s="242" t="str">
        <f t="shared" si="69"/>
        <v xml:space="preserve"> </v>
      </c>
    </row>
    <row r="829" spans="6:13" x14ac:dyDescent="0.2">
      <c r="F829" s="216" t="str">
        <f t="shared" si="65"/>
        <v xml:space="preserve"> </v>
      </c>
      <c r="G829" s="50"/>
      <c r="H829" s="242" t="str">
        <f ca="1">IF(F829=1,PERCENTILE(INDIRECT("g"&amp;$D$8):INDIRECT("g"&amp;$E$8),0.5),IF(F829=2,PERCENTILE(INDIRECT("g"&amp;$D$9):INDIRECT("g"&amp;$E$9),0.5),IF(F829=3,PERCENTILE(INDIRECT("g"&amp;$D$10):INDIRECT("g"&amp;$E$10),0.5),IF(F829=4,PERCENTILE(INDIRECT("g"&amp;$D$11):INDIRECT("g"&amp;$E$11),0.5),IF(F829=5,PERCENTILE(INDIRECT("g"&amp;$D$12):INDIRECT("g"&amp;$E$12),0.5),IF(F829=6,PERCENTILE(INDIRECT("g"&amp;$D$13):INDIRECT("g"&amp;$E$13),0.5)," "))))))</f>
        <v xml:space="preserve"> </v>
      </c>
      <c r="I829" s="242" t="str">
        <f t="shared" si="66"/>
        <v xml:space="preserve"> </v>
      </c>
      <c r="J829" s="242" t="str">
        <f ca="1">IF(F829=1,AVERAGE(INDIRECT("I"&amp;$D$8):INDIRECT("I"&amp;$E$8)),IF(F829=2,AVERAGE(INDIRECT("I"&amp;$D$9):INDIRECT("I"&amp;$E$9)),IF(F829=3,AVERAGE(INDIRECT("I"&amp;$D$10):INDIRECT("I"&amp;$E$10)),IF(F829=4,AVERAGE(INDIRECT("I"&amp;$D$11):INDIRECT("I"&amp;$E$11)),IF(F829=5,AVERAGE(INDIRECT("I"&amp;$D$12):INDIRECT("I"&amp;$E$12)),IF(F829=6,AVERAGE(INDIRECT("I"&amp;$D$13):INDIRECT("I"&amp;$E$13))," "))))))</f>
        <v xml:space="preserve"> </v>
      </c>
      <c r="K829" s="242" t="str">
        <f t="shared" si="67"/>
        <v xml:space="preserve"> </v>
      </c>
      <c r="L829" s="242" t="str">
        <f t="shared" si="68"/>
        <v xml:space="preserve"> </v>
      </c>
      <c r="M829" s="242" t="str">
        <f t="shared" si="69"/>
        <v xml:space="preserve"> </v>
      </c>
    </row>
    <row r="830" spans="6:13" x14ac:dyDescent="0.2">
      <c r="F830" s="216" t="str">
        <f t="shared" si="65"/>
        <v xml:space="preserve"> </v>
      </c>
      <c r="G830" s="50"/>
      <c r="H830" s="242" t="str">
        <f ca="1">IF(F830=1,PERCENTILE(INDIRECT("g"&amp;$D$8):INDIRECT("g"&amp;$E$8),0.5),IF(F830=2,PERCENTILE(INDIRECT("g"&amp;$D$9):INDIRECT("g"&amp;$E$9),0.5),IF(F830=3,PERCENTILE(INDIRECT("g"&amp;$D$10):INDIRECT("g"&amp;$E$10),0.5),IF(F830=4,PERCENTILE(INDIRECT("g"&amp;$D$11):INDIRECT("g"&amp;$E$11),0.5),IF(F830=5,PERCENTILE(INDIRECT("g"&amp;$D$12):INDIRECT("g"&amp;$E$12),0.5),IF(F830=6,PERCENTILE(INDIRECT("g"&amp;$D$13):INDIRECT("g"&amp;$E$13),0.5)," "))))))</f>
        <v xml:space="preserve"> </v>
      </c>
      <c r="I830" s="242" t="str">
        <f t="shared" si="66"/>
        <v xml:space="preserve"> </v>
      </c>
      <c r="J830" s="242" t="str">
        <f ca="1">IF(F830=1,AVERAGE(INDIRECT("I"&amp;$D$8):INDIRECT("I"&amp;$E$8)),IF(F830=2,AVERAGE(INDIRECT("I"&amp;$D$9):INDIRECT("I"&amp;$E$9)),IF(F830=3,AVERAGE(INDIRECT("I"&amp;$D$10):INDIRECT("I"&amp;$E$10)),IF(F830=4,AVERAGE(INDIRECT("I"&amp;$D$11):INDIRECT("I"&amp;$E$11)),IF(F830=5,AVERAGE(INDIRECT("I"&amp;$D$12):INDIRECT("I"&amp;$E$12)),IF(F830=6,AVERAGE(INDIRECT("I"&amp;$D$13):INDIRECT("I"&amp;$E$13))," "))))))</f>
        <v xml:space="preserve"> </v>
      </c>
      <c r="K830" s="242" t="str">
        <f t="shared" si="67"/>
        <v xml:space="preserve"> </v>
      </c>
      <c r="L830" s="242" t="str">
        <f t="shared" si="68"/>
        <v xml:space="preserve"> </v>
      </c>
      <c r="M830" s="242" t="str">
        <f t="shared" si="69"/>
        <v xml:space="preserve"> </v>
      </c>
    </row>
    <row r="831" spans="6:13" x14ac:dyDescent="0.2">
      <c r="F831" s="216" t="str">
        <f t="shared" si="65"/>
        <v xml:space="preserve"> </v>
      </c>
      <c r="G831" s="50"/>
      <c r="H831" s="242" t="str">
        <f ca="1">IF(F831=1,PERCENTILE(INDIRECT("g"&amp;$D$8):INDIRECT("g"&amp;$E$8),0.5),IF(F831=2,PERCENTILE(INDIRECT("g"&amp;$D$9):INDIRECT("g"&amp;$E$9),0.5),IF(F831=3,PERCENTILE(INDIRECT("g"&amp;$D$10):INDIRECT("g"&amp;$E$10),0.5),IF(F831=4,PERCENTILE(INDIRECT("g"&amp;$D$11):INDIRECT("g"&amp;$E$11),0.5),IF(F831=5,PERCENTILE(INDIRECT("g"&amp;$D$12):INDIRECT("g"&amp;$E$12),0.5),IF(F831=6,PERCENTILE(INDIRECT("g"&amp;$D$13):INDIRECT("g"&amp;$E$13),0.5)," "))))))</f>
        <v xml:space="preserve"> </v>
      </c>
      <c r="I831" s="242" t="str">
        <f t="shared" si="66"/>
        <v xml:space="preserve"> </v>
      </c>
      <c r="J831" s="242" t="str">
        <f ca="1">IF(F831=1,AVERAGE(INDIRECT("I"&amp;$D$8):INDIRECT("I"&amp;$E$8)),IF(F831=2,AVERAGE(INDIRECT("I"&amp;$D$9):INDIRECT("I"&amp;$E$9)),IF(F831=3,AVERAGE(INDIRECT("I"&amp;$D$10):INDIRECT("I"&amp;$E$10)),IF(F831=4,AVERAGE(INDIRECT("I"&amp;$D$11):INDIRECT("I"&amp;$E$11)),IF(F831=5,AVERAGE(INDIRECT("I"&amp;$D$12):INDIRECT("I"&amp;$E$12)),IF(F831=6,AVERAGE(INDIRECT("I"&amp;$D$13):INDIRECT("I"&amp;$E$13))," "))))))</f>
        <v xml:space="preserve"> </v>
      </c>
      <c r="K831" s="242" t="str">
        <f t="shared" si="67"/>
        <v xml:space="preserve"> </v>
      </c>
      <c r="L831" s="242" t="str">
        <f t="shared" si="68"/>
        <v xml:space="preserve"> </v>
      </c>
      <c r="M831" s="242" t="str">
        <f t="shared" si="69"/>
        <v xml:space="preserve"> </v>
      </c>
    </row>
    <row r="832" spans="6:13" x14ac:dyDescent="0.2">
      <c r="F832" s="216" t="str">
        <f t="shared" si="65"/>
        <v xml:space="preserve"> </v>
      </c>
      <c r="G832" s="50"/>
      <c r="H832" s="242" t="str">
        <f ca="1">IF(F832=1,PERCENTILE(INDIRECT("g"&amp;$D$8):INDIRECT("g"&amp;$E$8),0.5),IF(F832=2,PERCENTILE(INDIRECT("g"&amp;$D$9):INDIRECT("g"&amp;$E$9),0.5),IF(F832=3,PERCENTILE(INDIRECT("g"&amp;$D$10):INDIRECT("g"&amp;$E$10),0.5),IF(F832=4,PERCENTILE(INDIRECT("g"&amp;$D$11):INDIRECT("g"&amp;$E$11),0.5),IF(F832=5,PERCENTILE(INDIRECT("g"&amp;$D$12):INDIRECT("g"&amp;$E$12),0.5),IF(F832=6,PERCENTILE(INDIRECT("g"&amp;$D$13):INDIRECT("g"&amp;$E$13),0.5)," "))))))</f>
        <v xml:space="preserve"> </v>
      </c>
      <c r="I832" s="242" t="str">
        <f t="shared" si="66"/>
        <v xml:space="preserve"> </v>
      </c>
      <c r="J832" s="242" t="str">
        <f ca="1">IF(F832=1,AVERAGE(INDIRECT("I"&amp;$D$8):INDIRECT("I"&amp;$E$8)),IF(F832=2,AVERAGE(INDIRECT("I"&amp;$D$9):INDIRECT("I"&amp;$E$9)),IF(F832=3,AVERAGE(INDIRECT("I"&amp;$D$10):INDIRECT("I"&amp;$E$10)),IF(F832=4,AVERAGE(INDIRECT("I"&amp;$D$11):INDIRECT("I"&amp;$E$11)),IF(F832=5,AVERAGE(INDIRECT("I"&amp;$D$12):INDIRECT("I"&amp;$E$12)),IF(F832=6,AVERAGE(INDIRECT("I"&amp;$D$13):INDIRECT("I"&amp;$E$13))," "))))))</f>
        <v xml:space="preserve"> </v>
      </c>
      <c r="K832" s="242" t="str">
        <f t="shared" si="67"/>
        <v xml:space="preserve"> </v>
      </c>
      <c r="L832" s="242" t="str">
        <f t="shared" si="68"/>
        <v xml:space="preserve"> </v>
      </c>
      <c r="M832" s="242" t="str">
        <f t="shared" si="69"/>
        <v xml:space="preserve"> </v>
      </c>
    </row>
    <row r="833" spans="6:13" x14ac:dyDescent="0.2">
      <c r="F833" s="216" t="str">
        <f t="shared" si="65"/>
        <v xml:space="preserve"> </v>
      </c>
      <c r="G833" s="50"/>
      <c r="H833" s="242" t="str">
        <f ca="1">IF(F833=1,PERCENTILE(INDIRECT("g"&amp;$D$8):INDIRECT("g"&amp;$E$8),0.5),IF(F833=2,PERCENTILE(INDIRECT("g"&amp;$D$9):INDIRECT("g"&amp;$E$9),0.5),IF(F833=3,PERCENTILE(INDIRECT("g"&amp;$D$10):INDIRECT("g"&amp;$E$10),0.5),IF(F833=4,PERCENTILE(INDIRECT("g"&amp;$D$11):INDIRECT("g"&amp;$E$11),0.5),IF(F833=5,PERCENTILE(INDIRECT("g"&amp;$D$12):INDIRECT("g"&amp;$E$12),0.5),IF(F833=6,PERCENTILE(INDIRECT("g"&amp;$D$13):INDIRECT("g"&amp;$E$13),0.5)," "))))))</f>
        <v xml:space="preserve"> </v>
      </c>
      <c r="I833" s="242" t="str">
        <f t="shared" si="66"/>
        <v xml:space="preserve"> </v>
      </c>
      <c r="J833" s="242" t="str">
        <f ca="1">IF(F833=1,AVERAGE(INDIRECT("I"&amp;$D$8):INDIRECT("I"&amp;$E$8)),IF(F833=2,AVERAGE(INDIRECT("I"&amp;$D$9):INDIRECT("I"&amp;$E$9)),IF(F833=3,AVERAGE(INDIRECT("I"&amp;$D$10):INDIRECT("I"&amp;$E$10)),IF(F833=4,AVERAGE(INDIRECT("I"&amp;$D$11):INDIRECT("I"&amp;$E$11)),IF(F833=5,AVERAGE(INDIRECT("I"&amp;$D$12):INDIRECT("I"&amp;$E$12)),IF(F833=6,AVERAGE(INDIRECT("I"&amp;$D$13):INDIRECT("I"&amp;$E$13))," "))))))</f>
        <v xml:space="preserve"> </v>
      </c>
      <c r="K833" s="242" t="str">
        <f t="shared" si="67"/>
        <v xml:space="preserve"> </v>
      </c>
      <c r="L833" s="242" t="str">
        <f t="shared" si="68"/>
        <v xml:space="preserve"> </v>
      </c>
      <c r="M833" s="242" t="str">
        <f t="shared" si="69"/>
        <v xml:space="preserve"> </v>
      </c>
    </row>
    <row r="834" spans="6:13" x14ac:dyDescent="0.2">
      <c r="F834" s="216" t="str">
        <f t="shared" si="65"/>
        <v xml:space="preserve"> </v>
      </c>
      <c r="G834" s="50"/>
      <c r="H834" s="242" t="str">
        <f ca="1">IF(F834=1,PERCENTILE(INDIRECT("g"&amp;$D$8):INDIRECT("g"&amp;$E$8),0.5),IF(F834=2,PERCENTILE(INDIRECT("g"&amp;$D$9):INDIRECT("g"&amp;$E$9),0.5),IF(F834=3,PERCENTILE(INDIRECT("g"&amp;$D$10):INDIRECT("g"&amp;$E$10),0.5),IF(F834=4,PERCENTILE(INDIRECT("g"&amp;$D$11):INDIRECT("g"&amp;$E$11),0.5),IF(F834=5,PERCENTILE(INDIRECT("g"&amp;$D$12):INDIRECT("g"&amp;$E$12),0.5),IF(F834=6,PERCENTILE(INDIRECT("g"&amp;$D$13):INDIRECT("g"&amp;$E$13),0.5)," "))))))</f>
        <v xml:space="preserve"> </v>
      </c>
      <c r="I834" s="242" t="str">
        <f t="shared" si="66"/>
        <v xml:space="preserve"> </v>
      </c>
      <c r="J834" s="242" t="str">
        <f ca="1">IF(F834=1,AVERAGE(INDIRECT("I"&amp;$D$8):INDIRECT("I"&amp;$E$8)),IF(F834=2,AVERAGE(INDIRECT("I"&amp;$D$9):INDIRECT("I"&amp;$E$9)),IF(F834=3,AVERAGE(INDIRECT("I"&amp;$D$10):INDIRECT("I"&amp;$E$10)),IF(F834=4,AVERAGE(INDIRECT("I"&amp;$D$11):INDIRECT("I"&amp;$E$11)),IF(F834=5,AVERAGE(INDIRECT("I"&amp;$D$12):INDIRECT("I"&amp;$E$12)),IF(F834=6,AVERAGE(INDIRECT("I"&amp;$D$13):INDIRECT("I"&amp;$E$13))," "))))))</f>
        <v xml:space="preserve"> </v>
      </c>
      <c r="K834" s="242" t="str">
        <f t="shared" si="67"/>
        <v xml:space="preserve"> </v>
      </c>
      <c r="L834" s="242" t="str">
        <f t="shared" si="68"/>
        <v xml:space="preserve"> </v>
      </c>
      <c r="M834" s="242" t="str">
        <f t="shared" si="69"/>
        <v xml:space="preserve"> </v>
      </c>
    </row>
    <row r="835" spans="6:13" x14ac:dyDescent="0.2">
      <c r="F835" s="216" t="str">
        <f t="shared" si="65"/>
        <v xml:space="preserve"> </v>
      </c>
      <c r="G835" s="50"/>
      <c r="H835" s="242" t="str">
        <f ca="1">IF(F835=1,PERCENTILE(INDIRECT("g"&amp;$D$8):INDIRECT("g"&amp;$E$8),0.5),IF(F835=2,PERCENTILE(INDIRECT("g"&amp;$D$9):INDIRECT("g"&amp;$E$9),0.5),IF(F835=3,PERCENTILE(INDIRECT("g"&amp;$D$10):INDIRECT("g"&amp;$E$10),0.5),IF(F835=4,PERCENTILE(INDIRECT("g"&amp;$D$11):INDIRECT("g"&amp;$E$11),0.5),IF(F835=5,PERCENTILE(INDIRECT("g"&amp;$D$12):INDIRECT("g"&amp;$E$12),0.5),IF(F835=6,PERCENTILE(INDIRECT("g"&amp;$D$13):INDIRECT("g"&amp;$E$13),0.5)," "))))))</f>
        <v xml:space="preserve"> </v>
      </c>
      <c r="I835" s="242" t="str">
        <f t="shared" si="66"/>
        <v xml:space="preserve"> </v>
      </c>
      <c r="J835" s="242" t="str">
        <f ca="1">IF(F835=1,AVERAGE(INDIRECT("I"&amp;$D$8):INDIRECT("I"&amp;$E$8)),IF(F835=2,AVERAGE(INDIRECT("I"&amp;$D$9):INDIRECT("I"&amp;$E$9)),IF(F835=3,AVERAGE(INDIRECT("I"&amp;$D$10):INDIRECT("I"&amp;$E$10)),IF(F835=4,AVERAGE(INDIRECT("I"&amp;$D$11):INDIRECT("I"&amp;$E$11)),IF(F835=5,AVERAGE(INDIRECT("I"&amp;$D$12):INDIRECT("I"&amp;$E$12)),IF(F835=6,AVERAGE(INDIRECT("I"&amp;$D$13):INDIRECT("I"&amp;$E$13))," "))))))</f>
        <v xml:space="preserve"> </v>
      </c>
      <c r="K835" s="242" t="str">
        <f t="shared" si="67"/>
        <v xml:space="preserve"> </v>
      </c>
      <c r="L835" s="242" t="str">
        <f t="shared" si="68"/>
        <v xml:space="preserve"> </v>
      </c>
      <c r="M835" s="242" t="str">
        <f t="shared" si="69"/>
        <v xml:space="preserve"> </v>
      </c>
    </row>
    <row r="836" spans="6:13" x14ac:dyDescent="0.2">
      <c r="F836" s="216" t="str">
        <f t="shared" si="65"/>
        <v xml:space="preserve"> </v>
      </c>
      <c r="G836" s="50"/>
      <c r="H836" s="242" t="str">
        <f ca="1">IF(F836=1,PERCENTILE(INDIRECT("g"&amp;$D$8):INDIRECT("g"&amp;$E$8),0.5),IF(F836=2,PERCENTILE(INDIRECT("g"&amp;$D$9):INDIRECT("g"&amp;$E$9),0.5),IF(F836=3,PERCENTILE(INDIRECT("g"&amp;$D$10):INDIRECT("g"&amp;$E$10),0.5),IF(F836=4,PERCENTILE(INDIRECT("g"&amp;$D$11):INDIRECT("g"&amp;$E$11),0.5),IF(F836=5,PERCENTILE(INDIRECT("g"&amp;$D$12):INDIRECT("g"&amp;$E$12),0.5),IF(F836=6,PERCENTILE(INDIRECT("g"&amp;$D$13):INDIRECT("g"&amp;$E$13),0.5)," "))))))</f>
        <v xml:space="preserve"> </v>
      </c>
      <c r="I836" s="242" t="str">
        <f t="shared" si="66"/>
        <v xml:space="preserve"> </v>
      </c>
      <c r="J836" s="242" t="str">
        <f ca="1">IF(F836=1,AVERAGE(INDIRECT("I"&amp;$D$8):INDIRECT("I"&amp;$E$8)),IF(F836=2,AVERAGE(INDIRECT("I"&amp;$D$9):INDIRECT("I"&amp;$E$9)),IF(F836=3,AVERAGE(INDIRECT("I"&amp;$D$10):INDIRECT("I"&amp;$E$10)),IF(F836=4,AVERAGE(INDIRECT("I"&amp;$D$11):INDIRECT("I"&amp;$E$11)),IF(F836=5,AVERAGE(INDIRECT("I"&amp;$D$12):INDIRECT("I"&amp;$E$12)),IF(F836=6,AVERAGE(INDIRECT("I"&amp;$D$13):INDIRECT("I"&amp;$E$13))," "))))))</f>
        <v xml:space="preserve"> </v>
      </c>
      <c r="K836" s="242" t="str">
        <f t="shared" si="67"/>
        <v xml:space="preserve"> </v>
      </c>
      <c r="L836" s="242" t="str">
        <f t="shared" si="68"/>
        <v xml:space="preserve"> </v>
      </c>
      <c r="M836" s="242" t="str">
        <f t="shared" si="69"/>
        <v xml:space="preserve"> </v>
      </c>
    </row>
    <row r="837" spans="6:13" x14ac:dyDescent="0.2">
      <c r="F837" s="216" t="str">
        <f t="shared" si="65"/>
        <v xml:space="preserve"> </v>
      </c>
      <c r="G837" s="50"/>
      <c r="H837" s="242" t="str">
        <f ca="1">IF(F837=1,PERCENTILE(INDIRECT("g"&amp;$D$8):INDIRECT("g"&amp;$E$8),0.5),IF(F837=2,PERCENTILE(INDIRECT("g"&amp;$D$9):INDIRECT("g"&amp;$E$9),0.5),IF(F837=3,PERCENTILE(INDIRECT("g"&amp;$D$10):INDIRECT("g"&amp;$E$10),0.5),IF(F837=4,PERCENTILE(INDIRECT("g"&amp;$D$11):INDIRECT("g"&amp;$E$11),0.5),IF(F837=5,PERCENTILE(INDIRECT("g"&amp;$D$12):INDIRECT("g"&amp;$E$12),0.5),IF(F837=6,PERCENTILE(INDIRECT("g"&amp;$D$13):INDIRECT("g"&amp;$E$13),0.5)," "))))))</f>
        <v xml:space="preserve"> </v>
      </c>
      <c r="I837" s="242" t="str">
        <f t="shared" si="66"/>
        <v xml:space="preserve"> </v>
      </c>
      <c r="J837" s="242" t="str">
        <f ca="1">IF(F837=1,AVERAGE(INDIRECT("I"&amp;$D$8):INDIRECT("I"&amp;$E$8)),IF(F837=2,AVERAGE(INDIRECT("I"&amp;$D$9):INDIRECT("I"&amp;$E$9)),IF(F837=3,AVERAGE(INDIRECT("I"&amp;$D$10):INDIRECT("I"&amp;$E$10)),IF(F837=4,AVERAGE(INDIRECT("I"&amp;$D$11):INDIRECT("I"&amp;$E$11)),IF(F837=5,AVERAGE(INDIRECT("I"&amp;$D$12):INDIRECT("I"&amp;$E$12)),IF(F837=6,AVERAGE(INDIRECT("I"&amp;$D$13):INDIRECT("I"&amp;$E$13))," "))))))</f>
        <v xml:space="preserve"> </v>
      </c>
      <c r="K837" s="242" t="str">
        <f t="shared" si="67"/>
        <v xml:space="preserve"> </v>
      </c>
      <c r="L837" s="242" t="str">
        <f t="shared" si="68"/>
        <v xml:space="preserve"> </v>
      </c>
      <c r="M837" s="242" t="str">
        <f t="shared" si="69"/>
        <v xml:space="preserve"> </v>
      </c>
    </row>
    <row r="838" spans="6:13" x14ac:dyDescent="0.2">
      <c r="F838" s="216" t="str">
        <f t="shared" ref="F838:F901" si="70">IF(AND(ROW()&gt;=$D$8,ROW()&lt;=$E$8),1,IF(AND(ROW()&gt;=$D$9,ROW()&lt;=$E$9),2,IF(AND(ROW()&gt;=$D$10,ROW()&lt;=$E$10),3,IF(AND(ROW()&gt;=$D$11,ROW()&lt;=$E$11),4,IF(AND(ROW()&gt;=$D$12,ROW()&lt;=$E$12),5,IF(AND(ROW()&gt;=$D$13,ROW()&lt;=$E$13),6," "))))))</f>
        <v xml:space="preserve"> </v>
      </c>
      <c r="G838" s="50"/>
      <c r="H838" s="242" t="str">
        <f ca="1">IF(F838=1,PERCENTILE(INDIRECT("g"&amp;$D$8):INDIRECT("g"&amp;$E$8),0.5),IF(F838=2,PERCENTILE(INDIRECT("g"&amp;$D$9):INDIRECT("g"&amp;$E$9),0.5),IF(F838=3,PERCENTILE(INDIRECT("g"&amp;$D$10):INDIRECT("g"&amp;$E$10),0.5),IF(F838=4,PERCENTILE(INDIRECT("g"&amp;$D$11):INDIRECT("g"&amp;$E$11),0.5),IF(F838=5,PERCENTILE(INDIRECT("g"&amp;$D$12):INDIRECT("g"&amp;$E$12),0.5),IF(F838=6,PERCENTILE(INDIRECT("g"&amp;$D$13):INDIRECT("g"&amp;$E$13),0.5)," "))))))</f>
        <v xml:space="preserve"> </v>
      </c>
      <c r="I838" s="242" t="str">
        <f t="shared" ref="I838:I901" si="71">IF(ROW()&lt;=MAX($E$8:$E$13),ABS(G838-H838)," ")</f>
        <v xml:space="preserve"> </v>
      </c>
      <c r="J838" s="242" t="str">
        <f ca="1">IF(F838=1,AVERAGE(INDIRECT("I"&amp;$D$8):INDIRECT("I"&amp;$E$8)),IF(F838=2,AVERAGE(INDIRECT("I"&amp;$D$9):INDIRECT("I"&amp;$E$9)),IF(F838=3,AVERAGE(INDIRECT("I"&amp;$D$10):INDIRECT("I"&amp;$E$10)),IF(F838=4,AVERAGE(INDIRECT("I"&amp;$D$11):INDIRECT("I"&amp;$E$11)),IF(F838=5,AVERAGE(INDIRECT("I"&amp;$D$12):INDIRECT("I"&amp;$E$12)),IF(F838=6,AVERAGE(INDIRECT("I"&amp;$D$13):INDIRECT("I"&amp;$E$13))," "))))))</f>
        <v xml:space="preserve"> </v>
      </c>
      <c r="K838" s="242" t="str">
        <f t="shared" ref="K838:K901" si="72">IF(ROW()&lt;=MAX($E$8:$E$13),AVERAGE($I$6:$I$1005)," ")</f>
        <v xml:space="preserve"> </v>
      </c>
      <c r="L838" s="242" t="str">
        <f t="shared" ref="L838:L901" si="73">IF(ROW()&lt;=MAX($E$8:$E$13),(I838-J838)^2," ")</f>
        <v xml:space="preserve"> </v>
      </c>
      <c r="M838" s="242" t="str">
        <f t="shared" ref="M838:M901" si="74">IF(ROW()&lt;=MAX($E$8:$E$13),(J838-K838)^2," ")</f>
        <v xml:space="preserve"> </v>
      </c>
    </row>
    <row r="839" spans="6:13" x14ac:dyDescent="0.2">
      <c r="F839" s="216" t="str">
        <f t="shared" si="70"/>
        <v xml:space="preserve"> </v>
      </c>
      <c r="G839" s="50"/>
      <c r="H839" s="242" t="str">
        <f ca="1">IF(F839=1,PERCENTILE(INDIRECT("g"&amp;$D$8):INDIRECT("g"&amp;$E$8),0.5),IF(F839=2,PERCENTILE(INDIRECT("g"&amp;$D$9):INDIRECT("g"&amp;$E$9),0.5),IF(F839=3,PERCENTILE(INDIRECT("g"&amp;$D$10):INDIRECT("g"&amp;$E$10),0.5),IF(F839=4,PERCENTILE(INDIRECT("g"&amp;$D$11):INDIRECT("g"&amp;$E$11),0.5),IF(F839=5,PERCENTILE(INDIRECT("g"&amp;$D$12):INDIRECT("g"&amp;$E$12),0.5),IF(F839=6,PERCENTILE(INDIRECT("g"&amp;$D$13):INDIRECT("g"&amp;$E$13),0.5)," "))))))</f>
        <v xml:space="preserve"> </v>
      </c>
      <c r="I839" s="242" t="str">
        <f t="shared" si="71"/>
        <v xml:space="preserve"> </v>
      </c>
      <c r="J839" s="242" t="str">
        <f ca="1">IF(F839=1,AVERAGE(INDIRECT("I"&amp;$D$8):INDIRECT("I"&amp;$E$8)),IF(F839=2,AVERAGE(INDIRECT("I"&amp;$D$9):INDIRECT("I"&amp;$E$9)),IF(F839=3,AVERAGE(INDIRECT("I"&amp;$D$10):INDIRECT("I"&amp;$E$10)),IF(F839=4,AVERAGE(INDIRECT("I"&amp;$D$11):INDIRECT("I"&amp;$E$11)),IF(F839=5,AVERAGE(INDIRECT("I"&amp;$D$12):INDIRECT("I"&amp;$E$12)),IF(F839=6,AVERAGE(INDIRECT("I"&amp;$D$13):INDIRECT("I"&amp;$E$13))," "))))))</f>
        <v xml:space="preserve"> </v>
      </c>
      <c r="K839" s="242" t="str">
        <f t="shared" si="72"/>
        <v xml:space="preserve"> </v>
      </c>
      <c r="L839" s="242" t="str">
        <f t="shared" si="73"/>
        <v xml:space="preserve"> </v>
      </c>
      <c r="M839" s="242" t="str">
        <f t="shared" si="74"/>
        <v xml:space="preserve"> </v>
      </c>
    </row>
    <row r="840" spans="6:13" x14ac:dyDescent="0.2">
      <c r="F840" s="216" t="str">
        <f t="shared" si="70"/>
        <v xml:space="preserve"> </v>
      </c>
      <c r="G840" s="50"/>
      <c r="H840" s="242" t="str">
        <f ca="1">IF(F840=1,PERCENTILE(INDIRECT("g"&amp;$D$8):INDIRECT("g"&amp;$E$8),0.5),IF(F840=2,PERCENTILE(INDIRECT("g"&amp;$D$9):INDIRECT("g"&amp;$E$9),0.5),IF(F840=3,PERCENTILE(INDIRECT("g"&amp;$D$10):INDIRECT("g"&amp;$E$10),0.5),IF(F840=4,PERCENTILE(INDIRECT("g"&amp;$D$11):INDIRECT("g"&amp;$E$11),0.5),IF(F840=5,PERCENTILE(INDIRECT("g"&amp;$D$12):INDIRECT("g"&amp;$E$12),0.5),IF(F840=6,PERCENTILE(INDIRECT("g"&amp;$D$13):INDIRECT("g"&amp;$E$13),0.5)," "))))))</f>
        <v xml:space="preserve"> </v>
      </c>
      <c r="I840" s="242" t="str">
        <f t="shared" si="71"/>
        <v xml:space="preserve"> </v>
      </c>
      <c r="J840" s="242" t="str">
        <f ca="1">IF(F840=1,AVERAGE(INDIRECT("I"&amp;$D$8):INDIRECT("I"&amp;$E$8)),IF(F840=2,AVERAGE(INDIRECT("I"&amp;$D$9):INDIRECT("I"&amp;$E$9)),IF(F840=3,AVERAGE(INDIRECT("I"&amp;$D$10):INDIRECT("I"&amp;$E$10)),IF(F840=4,AVERAGE(INDIRECT("I"&amp;$D$11):INDIRECT("I"&amp;$E$11)),IF(F840=5,AVERAGE(INDIRECT("I"&amp;$D$12):INDIRECT("I"&amp;$E$12)),IF(F840=6,AVERAGE(INDIRECT("I"&amp;$D$13):INDIRECT("I"&amp;$E$13))," "))))))</f>
        <v xml:space="preserve"> </v>
      </c>
      <c r="K840" s="242" t="str">
        <f t="shared" si="72"/>
        <v xml:space="preserve"> </v>
      </c>
      <c r="L840" s="242" t="str">
        <f t="shared" si="73"/>
        <v xml:space="preserve"> </v>
      </c>
      <c r="M840" s="242" t="str">
        <f t="shared" si="74"/>
        <v xml:space="preserve"> </v>
      </c>
    </row>
    <row r="841" spans="6:13" x14ac:dyDescent="0.2">
      <c r="F841" s="216" t="str">
        <f t="shared" si="70"/>
        <v xml:space="preserve"> </v>
      </c>
      <c r="G841" s="50"/>
      <c r="H841" s="242" t="str">
        <f ca="1">IF(F841=1,PERCENTILE(INDIRECT("g"&amp;$D$8):INDIRECT("g"&amp;$E$8),0.5),IF(F841=2,PERCENTILE(INDIRECT("g"&amp;$D$9):INDIRECT("g"&amp;$E$9),0.5),IF(F841=3,PERCENTILE(INDIRECT("g"&amp;$D$10):INDIRECT("g"&amp;$E$10),0.5),IF(F841=4,PERCENTILE(INDIRECT("g"&amp;$D$11):INDIRECT("g"&amp;$E$11),0.5),IF(F841=5,PERCENTILE(INDIRECT("g"&amp;$D$12):INDIRECT("g"&amp;$E$12),0.5),IF(F841=6,PERCENTILE(INDIRECT("g"&amp;$D$13):INDIRECT("g"&amp;$E$13),0.5)," "))))))</f>
        <v xml:space="preserve"> </v>
      </c>
      <c r="I841" s="242" t="str">
        <f t="shared" si="71"/>
        <v xml:space="preserve"> </v>
      </c>
      <c r="J841" s="242" t="str">
        <f ca="1">IF(F841=1,AVERAGE(INDIRECT("I"&amp;$D$8):INDIRECT("I"&amp;$E$8)),IF(F841=2,AVERAGE(INDIRECT("I"&amp;$D$9):INDIRECT("I"&amp;$E$9)),IF(F841=3,AVERAGE(INDIRECT("I"&amp;$D$10):INDIRECT("I"&amp;$E$10)),IF(F841=4,AVERAGE(INDIRECT("I"&amp;$D$11):INDIRECT("I"&amp;$E$11)),IF(F841=5,AVERAGE(INDIRECT("I"&amp;$D$12):INDIRECT("I"&amp;$E$12)),IF(F841=6,AVERAGE(INDIRECT("I"&amp;$D$13):INDIRECT("I"&amp;$E$13))," "))))))</f>
        <v xml:space="preserve"> </v>
      </c>
      <c r="K841" s="242" t="str">
        <f t="shared" si="72"/>
        <v xml:space="preserve"> </v>
      </c>
      <c r="L841" s="242" t="str">
        <f t="shared" si="73"/>
        <v xml:space="preserve"> </v>
      </c>
      <c r="M841" s="242" t="str">
        <f t="shared" si="74"/>
        <v xml:space="preserve"> </v>
      </c>
    </row>
    <row r="842" spans="6:13" x14ac:dyDescent="0.2">
      <c r="F842" s="216" t="str">
        <f t="shared" si="70"/>
        <v xml:space="preserve"> </v>
      </c>
      <c r="G842" s="50"/>
      <c r="H842" s="242" t="str">
        <f ca="1">IF(F842=1,PERCENTILE(INDIRECT("g"&amp;$D$8):INDIRECT("g"&amp;$E$8),0.5),IF(F842=2,PERCENTILE(INDIRECT("g"&amp;$D$9):INDIRECT("g"&amp;$E$9),0.5),IF(F842=3,PERCENTILE(INDIRECT("g"&amp;$D$10):INDIRECT("g"&amp;$E$10),0.5),IF(F842=4,PERCENTILE(INDIRECT("g"&amp;$D$11):INDIRECT("g"&amp;$E$11),0.5),IF(F842=5,PERCENTILE(INDIRECT("g"&amp;$D$12):INDIRECT("g"&amp;$E$12),0.5),IF(F842=6,PERCENTILE(INDIRECT("g"&amp;$D$13):INDIRECT("g"&amp;$E$13),0.5)," "))))))</f>
        <v xml:space="preserve"> </v>
      </c>
      <c r="I842" s="242" t="str">
        <f t="shared" si="71"/>
        <v xml:space="preserve"> </v>
      </c>
      <c r="J842" s="242" t="str">
        <f ca="1">IF(F842=1,AVERAGE(INDIRECT("I"&amp;$D$8):INDIRECT("I"&amp;$E$8)),IF(F842=2,AVERAGE(INDIRECT("I"&amp;$D$9):INDIRECT("I"&amp;$E$9)),IF(F842=3,AVERAGE(INDIRECT("I"&amp;$D$10):INDIRECT("I"&amp;$E$10)),IF(F842=4,AVERAGE(INDIRECT("I"&amp;$D$11):INDIRECT("I"&amp;$E$11)),IF(F842=5,AVERAGE(INDIRECT("I"&amp;$D$12):INDIRECT("I"&amp;$E$12)),IF(F842=6,AVERAGE(INDIRECT("I"&amp;$D$13):INDIRECT("I"&amp;$E$13))," "))))))</f>
        <v xml:space="preserve"> </v>
      </c>
      <c r="K842" s="242" t="str">
        <f t="shared" si="72"/>
        <v xml:space="preserve"> </v>
      </c>
      <c r="L842" s="242" t="str">
        <f t="shared" si="73"/>
        <v xml:space="preserve"> </v>
      </c>
      <c r="M842" s="242" t="str">
        <f t="shared" si="74"/>
        <v xml:space="preserve"> </v>
      </c>
    </row>
    <row r="843" spans="6:13" x14ac:dyDescent="0.2">
      <c r="F843" s="216" t="str">
        <f t="shared" si="70"/>
        <v xml:space="preserve"> </v>
      </c>
      <c r="G843" s="50"/>
      <c r="H843" s="242" t="str">
        <f ca="1">IF(F843=1,PERCENTILE(INDIRECT("g"&amp;$D$8):INDIRECT("g"&amp;$E$8),0.5),IF(F843=2,PERCENTILE(INDIRECT("g"&amp;$D$9):INDIRECT("g"&amp;$E$9),0.5),IF(F843=3,PERCENTILE(INDIRECT("g"&amp;$D$10):INDIRECT("g"&amp;$E$10),0.5),IF(F843=4,PERCENTILE(INDIRECT("g"&amp;$D$11):INDIRECT("g"&amp;$E$11),0.5),IF(F843=5,PERCENTILE(INDIRECT("g"&amp;$D$12):INDIRECT("g"&amp;$E$12),0.5),IF(F843=6,PERCENTILE(INDIRECT("g"&amp;$D$13):INDIRECT("g"&amp;$E$13),0.5)," "))))))</f>
        <v xml:space="preserve"> </v>
      </c>
      <c r="I843" s="242" t="str">
        <f t="shared" si="71"/>
        <v xml:space="preserve"> </v>
      </c>
      <c r="J843" s="242" t="str">
        <f ca="1">IF(F843=1,AVERAGE(INDIRECT("I"&amp;$D$8):INDIRECT("I"&amp;$E$8)),IF(F843=2,AVERAGE(INDIRECT("I"&amp;$D$9):INDIRECT("I"&amp;$E$9)),IF(F843=3,AVERAGE(INDIRECT("I"&amp;$D$10):INDIRECT("I"&amp;$E$10)),IF(F843=4,AVERAGE(INDIRECT("I"&amp;$D$11):INDIRECT("I"&amp;$E$11)),IF(F843=5,AVERAGE(INDIRECT("I"&amp;$D$12):INDIRECT("I"&amp;$E$12)),IF(F843=6,AVERAGE(INDIRECT("I"&amp;$D$13):INDIRECT("I"&amp;$E$13))," "))))))</f>
        <v xml:space="preserve"> </v>
      </c>
      <c r="K843" s="242" t="str">
        <f t="shared" si="72"/>
        <v xml:space="preserve"> </v>
      </c>
      <c r="L843" s="242" t="str">
        <f t="shared" si="73"/>
        <v xml:space="preserve"> </v>
      </c>
      <c r="M843" s="242" t="str">
        <f t="shared" si="74"/>
        <v xml:space="preserve"> </v>
      </c>
    </row>
    <row r="844" spans="6:13" x14ac:dyDescent="0.2">
      <c r="F844" s="216" t="str">
        <f t="shared" si="70"/>
        <v xml:space="preserve"> </v>
      </c>
      <c r="G844" s="50"/>
      <c r="H844" s="242" t="str">
        <f ca="1">IF(F844=1,PERCENTILE(INDIRECT("g"&amp;$D$8):INDIRECT("g"&amp;$E$8),0.5),IF(F844=2,PERCENTILE(INDIRECT("g"&amp;$D$9):INDIRECT("g"&amp;$E$9),0.5),IF(F844=3,PERCENTILE(INDIRECT("g"&amp;$D$10):INDIRECT("g"&amp;$E$10),0.5),IF(F844=4,PERCENTILE(INDIRECT("g"&amp;$D$11):INDIRECT("g"&amp;$E$11),0.5),IF(F844=5,PERCENTILE(INDIRECT("g"&amp;$D$12):INDIRECT("g"&amp;$E$12),0.5),IF(F844=6,PERCENTILE(INDIRECT("g"&amp;$D$13):INDIRECT("g"&amp;$E$13),0.5)," "))))))</f>
        <v xml:space="preserve"> </v>
      </c>
      <c r="I844" s="242" t="str">
        <f t="shared" si="71"/>
        <v xml:space="preserve"> </v>
      </c>
      <c r="J844" s="242" t="str">
        <f ca="1">IF(F844=1,AVERAGE(INDIRECT("I"&amp;$D$8):INDIRECT("I"&amp;$E$8)),IF(F844=2,AVERAGE(INDIRECT("I"&amp;$D$9):INDIRECT("I"&amp;$E$9)),IF(F844=3,AVERAGE(INDIRECT("I"&amp;$D$10):INDIRECT("I"&amp;$E$10)),IF(F844=4,AVERAGE(INDIRECT("I"&amp;$D$11):INDIRECT("I"&amp;$E$11)),IF(F844=5,AVERAGE(INDIRECT("I"&amp;$D$12):INDIRECT("I"&amp;$E$12)),IF(F844=6,AVERAGE(INDIRECT("I"&amp;$D$13):INDIRECT("I"&amp;$E$13))," "))))))</f>
        <v xml:space="preserve"> </v>
      </c>
      <c r="K844" s="242" t="str">
        <f t="shared" si="72"/>
        <v xml:space="preserve"> </v>
      </c>
      <c r="L844" s="242" t="str">
        <f t="shared" si="73"/>
        <v xml:space="preserve"> </v>
      </c>
      <c r="M844" s="242" t="str">
        <f t="shared" si="74"/>
        <v xml:space="preserve"> </v>
      </c>
    </row>
    <row r="845" spans="6:13" x14ac:dyDescent="0.2">
      <c r="F845" s="216" t="str">
        <f t="shared" si="70"/>
        <v xml:space="preserve"> </v>
      </c>
      <c r="G845" s="50"/>
      <c r="H845" s="242" t="str">
        <f ca="1">IF(F845=1,PERCENTILE(INDIRECT("g"&amp;$D$8):INDIRECT("g"&amp;$E$8),0.5),IF(F845=2,PERCENTILE(INDIRECT("g"&amp;$D$9):INDIRECT("g"&amp;$E$9),0.5),IF(F845=3,PERCENTILE(INDIRECT("g"&amp;$D$10):INDIRECT("g"&amp;$E$10),0.5),IF(F845=4,PERCENTILE(INDIRECT("g"&amp;$D$11):INDIRECT("g"&amp;$E$11),0.5),IF(F845=5,PERCENTILE(INDIRECT("g"&amp;$D$12):INDIRECT("g"&amp;$E$12),0.5),IF(F845=6,PERCENTILE(INDIRECT("g"&amp;$D$13):INDIRECT("g"&amp;$E$13),0.5)," "))))))</f>
        <v xml:space="preserve"> </v>
      </c>
      <c r="I845" s="242" t="str">
        <f t="shared" si="71"/>
        <v xml:space="preserve"> </v>
      </c>
      <c r="J845" s="242" t="str">
        <f ca="1">IF(F845=1,AVERAGE(INDIRECT("I"&amp;$D$8):INDIRECT("I"&amp;$E$8)),IF(F845=2,AVERAGE(INDIRECT("I"&amp;$D$9):INDIRECT("I"&amp;$E$9)),IF(F845=3,AVERAGE(INDIRECT("I"&amp;$D$10):INDIRECT("I"&amp;$E$10)),IF(F845=4,AVERAGE(INDIRECT("I"&amp;$D$11):INDIRECT("I"&amp;$E$11)),IF(F845=5,AVERAGE(INDIRECT("I"&amp;$D$12):INDIRECT("I"&amp;$E$12)),IF(F845=6,AVERAGE(INDIRECT("I"&amp;$D$13):INDIRECT("I"&amp;$E$13))," "))))))</f>
        <v xml:space="preserve"> </v>
      </c>
      <c r="K845" s="242" t="str">
        <f t="shared" si="72"/>
        <v xml:space="preserve"> </v>
      </c>
      <c r="L845" s="242" t="str">
        <f t="shared" si="73"/>
        <v xml:space="preserve"> </v>
      </c>
      <c r="M845" s="242" t="str">
        <f t="shared" si="74"/>
        <v xml:space="preserve"> </v>
      </c>
    </row>
    <row r="846" spans="6:13" x14ac:dyDescent="0.2">
      <c r="F846" s="216" t="str">
        <f t="shared" si="70"/>
        <v xml:space="preserve"> </v>
      </c>
      <c r="G846" s="50"/>
      <c r="H846" s="242" t="str">
        <f ca="1">IF(F846=1,PERCENTILE(INDIRECT("g"&amp;$D$8):INDIRECT("g"&amp;$E$8),0.5),IF(F846=2,PERCENTILE(INDIRECT("g"&amp;$D$9):INDIRECT("g"&amp;$E$9),0.5),IF(F846=3,PERCENTILE(INDIRECT("g"&amp;$D$10):INDIRECT("g"&amp;$E$10),0.5),IF(F846=4,PERCENTILE(INDIRECT("g"&amp;$D$11):INDIRECT("g"&amp;$E$11),0.5),IF(F846=5,PERCENTILE(INDIRECT("g"&amp;$D$12):INDIRECT("g"&amp;$E$12),0.5),IF(F846=6,PERCENTILE(INDIRECT("g"&amp;$D$13):INDIRECT("g"&amp;$E$13),0.5)," "))))))</f>
        <v xml:space="preserve"> </v>
      </c>
      <c r="I846" s="242" t="str">
        <f t="shared" si="71"/>
        <v xml:space="preserve"> </v>
      </c>
      <c r="J846" s="242" t="str">
        <f ca="1">IF(F846=1,AVERAGE(INDIRECT("I"&amp;$D$8):INDIRECT("I"&amp;$E$8)),IF(F846=2,AVERAGE(INDIRECT("I"&amp;$D$9):INDIRECT("I"&amp;$E$9)),IF(F846=3,AVERAGE(INDIRECT("I"&amp;$D$10):INDIRECT("I"&amp;$E$10)),IF(F846=4,AVERAGE(INDIRECT("I"&amp;$D$11):INDIRECT("I"&amp;$E$11)),IF(F846=5,AVERAGE(INDIRECT("I"&amp;$D$12):INDIRECT("I"&amp;$E$12)),IF(F846=6,AVERAGE(INDIRECT("I"&amp;$D$13):INDIRECT("I"&amp;$E$13))," "))))))</f>
        <v xml:space="preserve"> </v>
      </c>
      <c r="K846" s="242" t="str">
        <f t="shared" si="72"/>
        <v xml:space="preserve"> </v>
      </c>
      <c r="L846" s="242" t="str">
        <f t="shared" si="73"/>
        <v xml:space="preserve"> </v>
      </c>
      <c r="M846" s="242" t="str">
        <f t="shared" si="74"/>
        <v xml:space="preserve"> </v>
      </c>
    </row>
    <row r="847" spans="6:13" x14ac:dyDescent="0.2">
      <c r="F847" s="216" t="str">
        <f t="shared" si="70"/>
        <v xml:space="preserve"> </v>
      </c>
      <c r="G847" s="50"/>
      <c r="H847" s="242" t="str">
        <f ca="1">IF(F847=1,PERCENTILE(INDIRECT("g"&amp;$D$8):INDIRECT("g"&amp;$E$8),0.5),IF(F847=2,PERCENTILE(INDIRECT("g"&amp;$D$9):INDIRECT("g"&amp;$E$9),0.5),IF(F847=3,PERCENTILE(INDIRECT("g"&amp;$D$10):INDIRECT("g"&amp;$E$10),0.5),IF(F847=4,PERCENTILE(INDIRECT("g"&amp;$D$11):INDIRECT("g"&amp;$E$11),0.5),IF(F847=5,PERCENTILE(INDIRECT("g"&amp;$D$12):INDIRECT("g"&amp;$E$12),0.5),IF(F847=6,PERCENTILE(INDIRECT("g"&amp;$D$13):INDIRECT("g"&amp;$E$13),0.5)," "))))))</f>
        <v xml:space="preserve"> </v>
      </c>
      <c r="I847" s="242" t="str">
        <f t="shared" si="71"/>
        <v xml:space="preserve"> </v>
      </c>
      <c r="J847" s="242" t="str">
        <f ca="1">IF(F847=1,AVERAGE(INDIRECT("I"&amp;$D$8):INDIRECT("I"&amp;$E$8)),IF(F847=2,AVERAGE(INDIRECT("I"&amp;$D$9):INDIRECT("I"&amp;$E$9)),IF(F847=3,AVERAGE(INDIRECT("I"&amp;$D$10):INDIRECT("I"&amp;$E$10)),IF(F847=4,AVERAGE(INDIRECT("I"&amp;$D$11):INDIRECT("I"&amp;$E$11)),IF(F847=5,AVERAGE(INDIRECT("I"&amp;$D$12):INDIRECT("I"&amp;$E$12)),IF(F847=6,AVERAGE(INDIRECT("I"&amp;$D$13):INDIRECT("I"&amp;$E$13))," "))))))</f>
        <v xml:space="preserve"> </v>
      </c>
      <c r="K847" s="242" t="str">
        <f t="shared" si="72"/>
        <v xml:space="preserve"> </v>
      </c>
      <c r="L847" s="242" t="str">
        <f t="shared" si="73"/>
        <v xml:space="preserve"> </v>
      </c>
      <c r="M847" s="242" t="str">
        <f t="shared" si="74"/>
        <v xml:space="preserve"> </v>
      </c>
    </row>
    <row r="848" spans="6:13" x14ac:dyDescent="0.2">
      <c r="F848" s="216" t="str">
        <f t="shared" si="70"/>
        <v xml:space="preserve"> </v>
      </c>
      <c r="G848" s="50"/>
      <c r="H848" s="242" t="str">
        <f ca="1">IF(F848=1,PERCENTILE(INDIRECT("g"&amp;$D$8):INDIRECT("g"&amp;$E$8),0.5),IF(F848=2,PERCENTILE(INDIRECT("g"&amp;$D$9):INDIRECT("g"&amp;$E$9),0.5),IF(F848=3,PERCENTILE(INDIRECT("g"&amp;$D$10):INDIRECT("g"&amp;$E$10),0.5),IF(F848=4,PERCENTILE(INDIRECT("g"&amp;$D$11):INDIRECT("g"&amp;$E$11),0.5),IF(F848=5,PERCENTILE(INDIRECT("g"&amp;$D$12):INDIRECT("g"&amp;$E$12),0.5),IF(F848=6,PERCENTILE(INDIRECT("g"&amp;$D$13):INDIRECT("g"&amp;$E$13),0.5)," "))))))</f>
        <v xml:space="preserve"> </v>
      </c>
      <c r="I848" s="242" t="str">
        <f t="shared" si="71"/>
        <v xml:space="preserve"> </v>
      </c>
      <c r="J848" s="242" t="str">
        <f ca="1">IF(F848=1,AVERAGE(INDIRECT("I"&amp;$D$8):INDIRECT("I"&amp;$E$8)),IF(F848=2,AVERAGE(INDIRECT("I"&amp;$D$9):INDIRECT("I"&amp;$E$9)),IF(F848=3,AVERAGE(INDIRECT("I"&amp;$D$10):INDIRECT("I"&amp;$E$10)),IF(F848=4,AVERAGE(INDIRECT("I"&amp;$D$11):INDIRECT("I"&amp;$E$11)),IF(F848=5,AVERAGE(INDIRECT("I"&amp;$D$12):INDIRECT("I"&amp;$E$12)),IF(F848=6,AVERAGE(INDIRECT("I"&amp;$D$13):INDIRECT("I"&amp;$E$13))," "))))))</f>
        <v xml:space="preserve"> </v>
      </c>
      <c r="K848" s="242" t="str">
        <f t="shared" si="72"/>
        <v xml:space="preserve"> </v>
      </c>
      <c r="L848" s="242" t="str">
        <f t="shared" si="73"/>
        <v xml:space="preserve"> </v>
      </c>
      <c r="M848" s="242" t="str">
        <f t="shared" si="74"/>
        <v xml:space="preserve"> </v>
      </c>
    </row>
    <row r="849" spans="6:13" x14ac:dyDescent="0.2">
      <c r="F849" s="216" t="str">
        <f t="shared" si="70"/>
        <v xml:space="preserve"> </v>
      </c>
      <c r="G849" s="50"/>
      <c r="H849" s="242" t="str">
        <f ca="1">IF(F849=1,PERCENTILE(INDIRECT("g"&amp;$D$8):INDIRECT("g"&amp;$E$8),0.5),IF(F849=2,PERCENTILE(INDIRECT("g"&amp;$D$9):INDIRECT("g"&amp;$E$9),0.5),IF(F849=3,PERCENTILE(INDIRECT("g"&amp;$D$10):INDIRECT("g"&amp;$E$10),0.5),IF(F849=4,PERCENTILE(INDIRECT("g"&amp;$D$11):INDIRECT("g"&amp;$E$11),0.5),IF(F849=5,PERCENTILE(INDIRECT("g"&amp;$D$12):INDIRECT("g"&amp;$E$12),0.5),IF(F849=6,PERCENTILE(INDIRECT("g"&amp;$D$13):INDIRECT("g"&amp;$E$13),0.5)," "))))))</f>
        <v xml:space="preserve"> </v>
      </c>
      <c r="I849" s="242" t="str">
        <f t="shared" si="71"/>
        <v xml:space="preserve"> </v>
      </c>
      <c r="J849" s="242" t="str">
        <f ca="1">IF(F849=1,AVERAGE(INDIRECT("I"&amp;$D$8):INDIRECT("I"&amp;$E$8)),IF(F849=2,AVERAGE(INDIRECT("I"&amp;$D$9):INDIRECT("I"&amp;$E$9)),IF(F849=3,AVERAGE(INDIRECT("I"&amp;$D$10):INDIRECT("I"&amp;$E$10)),IF(F849=4,AVERAGE(INDIRECT("I"&amp;$D$11):INDIRECT("I"&amp;$E$11)),IF(F849=5,AVERAGE(INDIRECT("I"&amp;$D$12):INDIRECT("I"&amp;$E$12)),IF(F849=6,AVERAGE(INDIRECT("I"&amp;$D$13):INDIRECT("I"&amp;$E$13))," "))))))</f>
        <v xml:space="preserve"> </v>
      </c>
      <c r="K849" s="242" t="str">
        <f t="shared" si="72"/>
        <v xml:space="preserve"> </v>
      </c>
      <c r="L849" s="242" t="str">
        <f t="shared" si="73"/>
        <v xml:space="preserve"> </v>
      </c>
      <c r="M849" s="242" t="str">
        <f t="shared" si="74"/>
        <v xml:space="preserve"> </v>
      </c>
    </row>
    <row r="850" spans="6:13" x14ac:dyDescent="0.2">
      <c r="F850" s="216" t="str">
        <f t="shared" si="70"/>
        <v xml:space="preserve"> </v>
      </c>
      <c r="G850" s="50"/>
      <c r="H850" s="242" t="str">
        <f ca="1">IF(F850=1,PERCENTILE(INDIRECT("g"&amp;$D$8):INDIRECT("g"&amp;$E$8),0.5),IF(F850=2,PERCENTILE(INDIRECT("g"&amp;$D$9):INDIRECT("g"&amp;$E$9),0.5),IF(F850=3,PERCENTILE(INDIRECT("g"&amp;$D$10):INDIRECT("g"&amp;$E$10),0.5),IF(F850=4,PERCENTILE(INDIRECT("g"&amp;$D$11):INDIRECT("g"&amp;$E$11),0.5),IF(F850=5,PERCENTILE(INDIRECT("g"&amp;$D$12):INDIRECT("g"&amp;$E$12),0.5),IF(F850=6,PERCENTILE(INDIRECT("g"&amp;$D$13):INDIRECT("g"&amp;$E$13),0.5)," "))))))</f>
        <v xml:space="preserve"> </v>
      </c>
      <c r="I850" s="242" t="str">
        <f t="shared" si="71"/>
        <v xml:space="preserve"> </v>
      </c>
      <c r="J850" s="242" t="str">
        <f ca="1">IF(F850=1,AVERAGE(INDIRECT("I"&amp;$D$8):INDIRECT("I"&amp;$E$8)),IF(F850=2,AVERAGE(INDIRECT("I"&amp;$D$9):INDIRECT("I"&amp;$E$9)),IF(F850=3,AVERAGE(INDIRECT("I"&amp;$D$10):INDIRECT("I"&amp;$E$10)),IF(F850=4,AVERAGE(INDIRECT("I"&amp;$D$11):INDIRECT("I"&amp;$E$11)),IF(F850=5,AVERAGE(INDIRECT("I"&amp;$D$12):INDIRECT("I"&amp;$E$12)),IF(F850=6,AVERAGE(INDIRECT("I"&amp;$D$13):INDIRECT("I"&amp;$E$13))," "))))))</f>
        <v xml:space="preserve"> </v>
      </c>
      <c r="K850" s="242" t="str">
        <f t="shared" si="72"/>
        <v xml:space="preserve"> </v>
      </c>
      <c r="L850" s="242" t="str">
        <f t="shared" si="73"/>
        <v xml:space="preserve"> </v>
      </c>
      <c r="M850" s="242" t="str">
        <f t="shared" si="74"/>
        <v xml:space="preserve"> </v>
      </c>
    </row>
    <row r="851" spans="6:13" x14ac:dyDescent="0.2">
      <c r="F851" s="216" t="str">
        <f t="shared" si="70"/>
        <v xml:space="preserve"> </v>
      </c>
      <c r="G851" s="50"/>
      <c r="H851" s="242" t="str">
        <f ca="1">IF(F851=1,PERCENTILE(INDIRECT("g"&amp;$D$8):INDIRECT("g"&amp;$E$8),0.5),IF(F851=2,PERCENTILE(INDIRECT("g"&amp;$D$9):INDIRECT("g"&amp;$E$9),0.5),IF(F851=3,PERCENTILE(INDIRECT("g"&amp;$D$10):INDIRECT("g"&amp;$E$10),0.5),IF(F851=4,PERCENTILE(INDIRECT("g"&amp;$D$11):INDIRECT("g"&amp;$E$11),0.5),IF(F851=5,PERCENTILE(INDIRECT("g"&amp;$D$12):INDIRECT("g"&amp;$E$12),0.5),IF(F851=6,PERCENTILE(INDIRECT("g"&amp;$D$13):INDIRECT("g"&amp;$E$13),0.5)," "))))))</f>
        <v xml:space="preserve"> </v>
      </c>
      <c r="I851" s="242" t="str">
        <f t="shared" si="71"/>
        <v xml:space="preserve"> </v>
      </c>
      <c r="J851" s="242" t="str">
        <f ca="1">IF(F851=1,AVERAGE(INDIRECT("I"&amp;$D$8):INDIRECT("I"&amp;$E$8)),IF(F851=2,AVERAGE(INDIRECT("I"&amp;$D$9):INDIRECT("I"&amp;$E$9)),IF(F851=3,AVERAGE(INDIRECT("I"&amp;$D$10):INDIRECT("I"&amp;$E$10)),IF(F851=4,AVERAGE(INDIRECT("I"&amp;$D$11):INDIRECT("I"&amp;$E$11)),IF(F851=5,AVERAGE(INDIRECT("I"&amp;$D$12):INDIRECT("I"&amp;$E$12)),IF(F851=6,AVERAGE(INDIRECT("I"&amp;$D$13):INDIRECT("I"&amp;$E$13))," "))))))</f>
        <v xml:space="preserve"> </v>
      </c>
      <c r="K851" s="242" t="str">
        <f t="shared" si="72"/>
        <v xml:space="preserve"> </v>
      </c>
      <c r="L851" s="242" t="str">
        <f t="shared" si="73"/>
        <v xml:space="preserve"> </v>
      </c>
      <c r="M851" s="242" t="str">
        <f t="shared" si="74"/>
        <v xml:space="preserve"> </v>
      </c>
    </row>
    <row r="852" spans="6:13" x14ac:dyDescent="0.2">
      <c r="F852" s="216" t="str">
        <f t="shared" si="70"/>
        <v xml:space="preserve"> </v>
      </c>
      <c r="G852" s="50"/>
      <c r="H852" s="242" t="str">
        <f ca="1">IF(F852=1,PERCENTILE(INDIRECT("g"&amp;$D$8):INDIRECT("g"&amp;$E$8),0.5),IF(F852=2,PERCENTILE(INDIRECT("g"&amp;$D$9):INDIRECT("g"&amp;$E$9),0.5),IF(F852=3,PERCENTILE(INDIRECT("g"&amp;$D$10):INDIRECT("g"&amp;$E$10),0.5),IF(F852=4,PERCENTILE(INDIRECT("g"&amp;$D$11):INDIRECT("g"&amp;$E$11),0.5),IF(F852=5,PERCENTILE(INDIRECT("g"&amp;$D$12):INDIRECT("g"&amp;$E$12),0.5),IF(F852=6,PERCENTILE(INDIRECT("g"&amp;$D$13):INDIRECT("g"&amp;$E$13),0.5)," "))))))</f>
        <v xml:space="preserve"> </v>
      </c>
      <c r="I852" s="242" t="str">
        <f t="shared" si="71"/>
        <v xml:space="preserve"> </v>
      </c>
      <c r="J852" s="242" t="str">
        <f ca="1">IF(F852=1,AVERAGE(INDIRECT("I"&amp;$D$8):INDIRECT("I"&amp;$E$8)),IF(F852=2,AVERAGE(INDIRECT("I"&amp;$D$9):INDIRECT("I"&amp;$E$9)),IF(F852=3,AVERAGE(INDIRECT("I"&amp;$D$10):INDIRECT("I"&amp;$E$10)),IF(F852=4,AVERAGE(INDIRECT("I"&amp;$D$11):INDIRECT("I"&amp;$E$11)),IF(F852=5,AVERAGE(INDIRECT("I"&amp;$D$12):INDIRECT("I"&amp;$E$12)),IF(F852=6,AVERAGE(INDIRECT("I"&amp;$D$13):INDIRECT("I"&amp;$E$13))," "))))))</f>
        <v xml:space="preserve"> </v>
      </c>
      <c r="K852" s="242" t="str">
        <f t="shared" si="72"/>
        <v xml:space="preserve"> </v>
      </c>
      <c r="L852" s="242" t="str">
        <f t="shared" si="73"/>
        <v xml:space="preserve"> </v>
      </c>
      <c r="M852" s="242" t="str">
        <f t="shared" si="74"/>
        <v xml:space="preserve"> </v>
      </c>
    </row>
    <row r="853" spans="6:13" x14ac:dyDescent="0.2">
      <c r="F853" s="216" t="str">
        <f t="shared" si="70"/>
        <v xml:space="preserve"> </v>
      </c>
      <c r="G853" s="50"/>
      <c r="H853" s="242" t="str">
        <f ca="1">IF(F853=1,PERCENTILE(INDIRECT("g"&amp;$D$8):INDIRECT("g"&amp;$E$8),0.5),IF(F853=2,PERCENTILE(INDIRECT("g"&amp;$D$9):INDIRECT("g"&amp;$E$9),0.5),IF(F853=3,PERCENTILE(INDIRECT("g"&amp;$D$10):INDIRECT("g"&amp;$E$10),0.5),IF(F853=4,PERCENTILE(INDIRECT("g"&amp;$D$11):INDIRECT("g"&amp;$E$11),0.5),IF(F853=5,PERCENTILE(INDIRECT("g"&amp;$D$12):INDIRECT("g"&amp;$E$12),0.5),IF(F853=6,PERCENTILE(INDIRECT("g"&amp;$D$13):INDIRECT("g"&amp;$E$13),0.5)," "))))))</f>
        <v xml:space="preserve"> </v>
      </c>
      <c r="I853" s="242" t="str">
        <f t="shared" si="71"/>
        <v xml:space="preserve"> </v>
      </c>
      <c r="J853" s="242" t="str">
        <f ca="1">IF(F853=1,AVERAGE(INDIRECT("I"&amp;$D$8):INDIRECT("I"&amp;$E$8)),IF(F853=2,AVERAGE(INDIRECT("I"&amp;$D$9):INDIRECT("I"&amp;$E$9)),IF(F853=3,AVERAGE(INDIRECT("I"&amp;$D$10):INDIRECT("I"&amp;$E$10)),IF(F853=4,AVERAGE(INDIRECT("I"&amp;$D$11):INDIRECT("I"&amp;$E$11)),IF(F853=5,AVERAGE(INDIRECT("I"&amp;$D$12):INDIRECT("I"&amp;$E$12)),IF(F853=6,AVERAGE(INDIRECT("I"&amp;$D$13):INDIRECT("I"&amp;$E$13))," "))))))</f>
        <v xml:space="preserve"> </v>
      </c>
      <c r="K853" s="242" t="str">
        <f t="shared" si="72"/>
        <v xml:space="preserve"> </v>
      </c>
      <c r="L853" s="242" t="str">
        <f t="shared" si="73"/>
        <v xml:space="preserve"> </v>
      </c>
      <c r="M853" s="242" t="str">
        <f t="shared" si="74"/>
        <v xml:space="preserve"> </v>
      </c>
    </row>
    <row r="854" spans="6:13" x14ac:dyDescent="0.2">
      <c r="F854" s="216" t="str">
        <f t="shared" si="70"/>
        <v xml:space="preserve"> </v>
      </c>
      <c r="G854" s="50"/>
      <c r="H854" s="242" t="str">
        <f ca="1">IF(F854=1,PERCENTILE(INDIRECT("g"&amp;$D$8):INDIRECT("g"&amp;$E$8),0.5),IF(F854=2,PERCENTILE(INDIRECT("g"&amp;$D$9):INDIRECT("g"&amp;$E$9),0.5),IF(F854=3,PERCENTILE(INDIRECT("g"&amp;$D$10):INDIRECT("g"&amp;$E$10),0.5),IF(F854=4,PERCENTILE(INDIRECT("g"&amp;$D$11):INDIRECT("g"&amp;$E$11),0.5),IF(F854=5,PERCENTILE(INDIRECT("g"&amp;$D$12):INDIRECT("g"&amp;$E$12),0.5),IF(F854=6,PERCENTILE(INDIRECT("g"&amp;$D$13):INDIRECT("g"&amp;$E$13),0.5)," "))))))</f>
        <v xml:space="preserve"> </v>
      </c>
      <c r="I854" s="242" t="str">
        <f t="shared" si="71"/>
        <v xml:space="preserve"> </v>
      </c>
      <c r="J854" s="242" t="str">
        <f ca="1">IF(F854=1,AVERAGE(INDIRECT("I"&amp;$D$8):INDIRECT("I"&amp;$E$8)),IF(F854=2,AVERAGE(INDIRECT("I"&amp;$D$9):INDIRECT("I"&amp;$E$9)),IF(F854=3,AVERAGE(INDIRECT("I"&amp;$D$10):INDIRECT("I"&amp;$E$10)),IF(F854=4,AVERAGE(INDIRECT("I"&amp;$D$11):INDIRECT("I"&amp;$E$11)),IF(F854=5,AVERAGE(INDIRECT("I"&amp;$D$12):INDIRECT("I"&amp;$E$12)),IF(F854=6,AVERAGE(INDIRECT("I"&amp;$D$13):INDIRECT("I"&amp;$E$13))," "))))))</f>
        <v xml:space="preserve"> </v>
      </c>
      <c r="K854" s="242" t="str">
        <f t="shared" si="72"/>
        <v xml:space="preserve"> </v>
      </c>
      <c r="L854" s="242" t="str">
        <f t="shared" si="73"/>
        <v xml:space="preserve"> </v>
      </c>
      <c r="M854" s="242" t="str">
        <f t="shared" si="74"/>
        <v xml:space="preserve"> </v>
      </c>
    </row>
    <row r="855" spans="6:13" x14ac:dyDescent="0.2">
      <c r="F855" s="216" t="str">
        <f t="shared" si="70"/>
        <v xml:space="preserve"> </v>
      </c>
      <c r="G855" s="50"/>
      <c r="H855" s="242" t="str">
        <f ca="1">IF(F855=1,PERCENTILE(INDIRECT("g"&amp;$D$8):INDIRECT("g"&amp;$E$8),0.5),IF(F855=2,PERCENTILE(INDIRECT("g"&amp;$D$9):INDIRECT("g"&amp;$E$9),0.5),IF(F855=3,PERCENTILE(INDIRECT("g"&amp;$D$10):INDIRECT("g"&amp;$E$10),0.5),IF(F855=4,PERCENTILE(INDIRECT("g"&amp;$D$11):INDIRECT("g"&amp;$E$11),0.5),IF(F855=5,PERCENTILE(INDIRECT("g"&amp;$D$12):INDIRECT("g"&amp;$E$12),0.5),IF(F855=6,PERCENTILE(INDIRECT("g"&amp;$D$13):INDIRECT("g"&amp;$E$13),0.5)," "))))))</f>
        <v xml:space="preserve"> </v>
      </c>
      <c r="I855" s="242" t="str">
        <f t="shared" si="71"/>
        <v xml:space="preserve"> </v>
      </c>
      <c r="J855" s="242" t="str">
        <f ca="1">IF(F855=1,AVERAGE(INDIRECT("I"&amp;$D$8):INDIRECT("I"&amp;$E$8)),IF(F855=2,AVERAGE(INDIRECT("I"&amp;$D$9):INDIRECT("I"&amp;$E$9)),IF(F855=3,AVERAGE(INDIRECT("I"&amp;$D$10):INDIRECT("I"&amp;$E$10)),IF(F855=4,AVERAGE(INDIRECT("I"&amp;$D$11):INDIRECT("I"&amp;$E$11)),IF(F855=5,AVERAGE(INDIRECT("I"&amp;$D$12):INDIRECT("I"&amp;$E$12)),IF(F855=6,AVERAGE(INDIRECT("I"&amp;$D$13):INDIRECT("I"&amp;$E$13))," "))))))</f>
        <v xml:space="preserve"> </v>
      </c>
      <c r="K855" s="242" t="str">
        <f t="shared" si="72"/>
        <v xml:space="preserve"> </v>
      </c>
      <c r="L855" s="242" t="str">
        <f t="shared" si="73"/>
        <v xml:space="preserve"> </v>
      </c>
      <c r="M855" s="242" t="str">
        <f t="shared" si="74"/>
        <v xml:space="preserve"> </v>
      </c>
    </row>
    <row r="856" spans="6:13" x14ac:dyDescent="0.2">
      <c r="F856" s="216" t="str">
        <f t="shared" si="70"/>
        <v xml:space="preserve"> </v>
      </c>
      <c r="G856" s="50"/>
      <c r="H856" s="242" t="str">
        <f ca="1">IF(F856=1,PERCENTILE(INDIRECT("g"&amp;$D$8):INDIRECT("g"&amp;$E$8),0.5),IF(F856=2,PERCENTILE(INDIRECT("g"&amp;$D$9):INDIRECT("g"&amp;$E$9),0.5),IF(F856=3,PERCENTILE(INDIRECT("g"&amp;$D$10):INDIRECT("g"&amp;$E$10),0.5),IF(F856=4,PERCENTILE(INDIRECT("g"&amp;$D$11):INDIRECT("g"&amp;$E$11),0.5),IF(F856=5,PERCENTILE(INDIRECT("g"&amp;$D$12):INDIRECT("g"&amp;$E$12),0.5),IF(F856=6,PERCENTILE(INDIRECT("g"&amp;$D$13):INDIRECT("g"&amp;$E$13),0.5)," "))))))</f>
        <v xml:space="preserve"> </v>
      </c>
      <c r="I856" s="242" t="str">
        <f t="shared" si="71"/>
        <v xml:space="preserve"> </v>
      </c>
      <c r="J856" s="242" t="str">
        <f ca="1">IF(F856=1,AVERAGE(INDIRECT("I"&amp;$D$8):INDIRECT("I"&amp;$E$8)),IF(F856=2,AVERAGE(INDIRECT("I"&amp;$D$9):INDIRECT("I"&amp;$E$9)),IF(F856=3,AVERAGE(INDIRECT("I"&amp;$D$10):INDIRECT("I"&amp;$E$10)),IF(F856=4,AVERAGE(INDIRECT("I"&amp;$D$11):INDIRECT("I"&amp;$E$11)),IF(F856=5,AVERAGE(INDIRECT("I"&amp;$D$12):INDIRECT("I"&amp;$E$12)),IF(F856=6,AVERAGE(INDIRECT("I"&amp;$D$13):INDIRECT("I"&amp;$E$13))," "))))))</f>
        <v xml:space="preserve"> </v>
      </c>
      <c r="K856" s="242" t="str">
        <f t="shared" si="72"/>
        <v xml:space="preserve"> </v>
      </c>
      <c r="L856" s="242" t="str">
        <f t="shared" si="73"/>
        <v xml:space="preserve"> </v>
      </c>
      <c r="M856" s="242" t="str">
        <f t="shared" si="74"/>
        <v xml:space="preserve"> </v>
      </c>
    </row>
    <row r="857" spans="6:13" x14ac:dyDescent="0.2">
      <c r="F857" s="216" t="str">
        <f t="shared" si="70"/>
        <v xml:space="preserve"> </v>
      </c>
      <c r="G857" s="50"/>
      <c r="H857" s="242" t="str">
        <f ca="1">IF(F857=1,PERCENTILE(INDIRECT("g"&amp;$D$8):INDIRECT("g"&amp;$E$8),0.5),IF(F857=2,PERCENTILE(INDIRECT("g"&amp;$D$9):INDIRECT("g"&amp;$E$9),0.5),IF(F857=3,PERCENTILE(INDIRECT("g"&amp;$D$10):INDIRECT("g"&amp;$E$10),0.5),IF(F857=4,PERCENTILE(INDIRECT("g"&amp;$D$11):INDIRECT("g"&amp;$E$11),0.5),IF(F857=5,PERCENTILE(INDIRECT("g"&amp;$D$12):INDIRECT("g"&amp;$E$12),0.5),IF(F857=6,PERCENTILE(INDIRECT("g"&amp;$D$13):INDIRECT("g"&amp;$E$13),0.5)," "))))))</f>
        <v xml:space="preserve"> </v>
      </c>
      <c r="I857" s="242" t="str">
        <f t="shared" si="71"/>
        <v xml:space="preserve"> </v>
      </c>
      <c r="J857" s="242" t="str">
        <f ca="1">IF(F857=1,AVERAGE(INDIRECT("I"&amp;$D$8):INDIRECT("I"&amp;$E$8)),IF(F857=2,AVERAGE(INDIRECT("I"&amp;$D$9):INDIRECT("I"&amp;$E$9)),IF(F857=3,AVERAGE(INDIRECT("I"&amp;$D$10):INDIRECT("I"&amp;$E$10)),IF(F857=4,AVERAGE(INDIRECT("I"&amp;$D$11):INDIRECT("I"&amp;$E$11)),IF(F857=5,AVERAGE(INDIRECT("I"&amp;$D$12):INDIRECT("I"&amp;$E$12)),IF(F857=6,AVERAGE(INDIRECT("I"&amp;$D$13):INDIRECT("I"&amp;$E$13))," "))))))</f>
        <v xml:space="preserve"> </v>
      </c>
      <c r="K857" s="242" t="str">
        <f t="shared" si="72"/>
        <v xml:space="preserve"> </v>
      </c>
      <c r="L857" s="242" t="str">
        <f t="shared" si="73"/>
        <v xml:space="preserve"> </v>
      </c>
      <c r="M857" s="242" t="str">
        <f t="shared" si="74"/>
        <v xml:space="preserve"> </v>
      </c>
    </row>
    <row r="858" spans="6:13" x14ac:dyDescent="0.2">
      <c r="F858" s="216" t="str">
        <f t="shared" si="70"/>
        <v xml:space="preserve"> </v>
      </c>
      <c r="G858" s="50"/>
      <c r="H858" s="242" t="str">
        <f ca="1">IF(F858=1,PERCENTILE(INDIRECT("g"&amp;$D$8):INDIRECT("g"&amp;$E$8),0.5),IF(F858=2,PERCENTILE(INDIRECT("g"&amp;$D$9):INDIRECT("g"&amp;$E$9),0.5),IF(F858=3,PERCENTILE(INDIRECT("g"&amp;$D$10):INDIRECT("g"&amp;$E$10),0.5),IF(F858=4,PERCENTILE(INDIRECT("g"&amp;$D$11):INDIRECT("g"&amp;$E$11),0.5),IF(F858=5,PERCENTILE(INDIRECT("g"&amp;$D$12):INDIRECT("g"&amp;$E$12),0.5),IF(F858=6,PERCENTILE(INDIRECT("g"&amp;$D$13):INDIRECT("g"&amp;$E$13),0.5)," "))))))</f>
        <v xml:space="preserve"> </v>
      </c>
      <c r="I858" s="242" t="str">
        <f t="shared" si="71"/>
        <v xml:space="preserve"> </v>
      </c>
      <c r="J858" s="242" t="str">
        <f ca="1">IF(F858=1,AVERAGE(INDIRECT("I"&amp;$D$8):INDIRECT("I"&amp;$E$8)),IF(F858=2,AVERAGE(INDIRECT("I"&amp;$D$9):INDIRECT("I"&amp;$E$9)),IF(F858=3,AVERAGE(INDIRECT("I"&amp;$D$10):INDIRECT("I"&amp;$E$10)),IF(F858=4,AVERAGE(INDIRECT("I"&amp;$D$11):INDIRECT("I"&amp;$E$11)),IF(F858=5,AVERAGE(INDIRECT("I"&amp;$D$12):INDIRECT("I"&amp;$E$12)),IF(F858=6,AVERAGE(INDIRECT("I"&amp;$D$13):INDIRECT("I"&amp;$E$13))," "))))))</f>
        <v xml:space="preserve"> </v>
      </c>
      <c r="K858" s="242" t="str">
        <f t="shared" si="72"/>
        <v xml:space="preserve"> </v>
      </c>
      <c r="L858" s="242" t="str">
        <f t="shared" si="73"/>
        <v xml:space="preserve"> </v>
      </c>
      <c r="M858" s="242" t="str">
        <f t="shared" si="74"/>
        <v xml:space="preserve"> </v>
      </c>
    </row>
    <row r="859" spans="6:13" x14ac:dyDescent="0.2">
      <c r="F859" s="216" t="str">
        <f t="shared" si="70"/>
        <v xml:space="preserve"> </v>
      </c>
      <c r="G859" s="50"/>
      <c r="H859" s="242" t="str">
        <f ca="1">IF(F859=1,PERCENTILE(INDIRECT("g"&amp;$D$8):INDIRECT("g"&amp;$E$8),0.5),IF(F859=2,PERCENTILE(INDIRECT("g"&amp;$D$9):INDIRECT("g"&amp;$E$9),0.5),IF(F859=3,PERCENTILE(INDIRECT("g"&amp;$D$10):INDIRECT("g"&amp;$E$10),0.5),IF(F859=4,PERCENTILE(INDIRECT("g"&amp;$D$11):INDIRECT("g"&amp;$E$11),0.5),IF(F859=5,PERCENTILE(INDIRECT("g"&amp;$D$12):INDIRECT("g"&amp;$E$12),0.5),IF(F859=6,PERCENTILE(INDIRECT("g"&amp;$D$13):INDIRECT("g"&amp;$E$13),0.5)," "))))))</f>
        <v xml:space="preserve"> </v>
      </c>
      <c r="I859" s="242" t="str">
        <f t="shared" si="71"/>
        <v xml:space="preserve"> </v>
      </c>
      <c r="J859" s="242" t="str">
        <f ca="1">IF(F859=1,AVERAGE(INDIRECT("I"&amp;$D$8):INDIRECT("I"&amp;$E$8)),IF(F859=2,AVERAGE(INDIRECT("I"&amp;$D$9):INDIRECT("I"&amp;$E$9)),IF(F859=3,AVERAGE(INDIRECT("I"&amp;$D$10):INDIRECT("I"&amp;$E$10)),IF(F859=4,AVERAGE(INDIRECT("I"&amp;$D$11):INDIRECT("I"&amp;$E$11)),IF(F859=5,AVERAGE(INDIRECT("I"&amp;$D$12):INDIRECT("I"&amp;$E$12)),IF(F859=6,AVERAGE(INDIRECT("I"&amp;$D$13):INDIRECT("I"&amp;$E$13))," "))))))</f>
        <v xml:space="preserve"> </v>
      </c>
      <c r="K859" s="242" t="str">
        <f t="shared" si="72"/>
        <v xml:space="preserve"> </v>
      </c>
      <c r="L859" s="242" t="str">
        <f t="shared" si="73"/>
        <v xml:space="preserve"> </v>
      </c>
      <c r="M859" s="242" t="str">
        <f t="shared" si="74"/>
        <v xml:space="preserve"> </v>
      </c>
    </row>
    <row r="860" spans="6:13" x14ac:dyDescent="0.2">
      <c r="F860" s="216" t="str">
        <f t="shared" si="70"/>
        <v xml:space="preserve"> </v>
      </c>
      <c r="G860" s="50"/>
      <c r="H860" s="242" t="str">
        <f ca="1">IF(F860=1,PERCENTILE(INDIRECT("g"&amp;$D$8):INDIRECT("g"&amp;$E$8),0.5),IF(F860=2,PERCENTILE(INDIRECT("g"&amp;$D$9):INDIRECT("g"&amp;$E$9),0.5),IF(F860=3,PERCENTILE(INDIRECT("g"&amp;$D$10):INDIRECT("g"&amp;$E$10),0.5),IF(F860=4,PERCENTILE(INDIRECT("g"&amp;$D$11):INDIRECT("g"&amp;$E$11),0.5),IF(F860=5,PERCENTILE(INDIRECT("g"&amp;$D$12):INDIRECT("g"&amp;$E$12),0.5),IF(F860=6,PERCENTILE(INDIRECT("g"&amp;$D$13):INDIRECT("g"&amp;$E$13),0.5)," "))))))</f>
        <v xml:space="preserve"> </v>
      </c>
      <c r="I860" s="242" t="str">
        <f t="shared" si="71"/>
        <v xml:space="preserve"> </v>
      </c>
      <c r="J860" s="242" t="str">
        <f ca="1">IF(F860=1,AVERAGE(INDIRECT("I"&amp;$D$8):INDIRECT("I"&amp;$E$8)),IF(F860=2,AVERAGE(INDIRECT("I"&amp;$D$9):INDIRECT("I"&amp;$E$9)),IF(F860=3,AVERAGE(INDIRECT("I"&amp;$D$10):INDIRECT("I"&amp;$E$10)),IF(F860=4,AVERAGE(INDIRECT("I"&amp;$D$11):INDIRECT("I"&amp;$E$11)),IF(F860=5,AVERAGE(INDIRECT("I"&amp;$D$12):INDIRECT("I"&amp;$E$12)),IF(F860=6,AVERAGE(INDIRECT("I"&amp;$D$13):INDIRECT("I"&amp;$E$13))," "))))))</f>
        <v xml:space="preserve"> </v>
      </c>
      <c r="K860" s="242" t="str">
        <f t="shared" si="72"/>
        <v xml:space="preserve"> </v>
      </c>
      <c r="L860" s="242" t="str">
        <f t="shared" si="73"/>
        <v xml:space="preserve"> </v>
      </c>
      <c r="M860" s="242" t="str">
        <f t="shared" si="74"/>
        <v xml:space="preserve"> </v>
      </c>
    </row>
    <row r="861" spans="6:13" x14ac:dyDescent="0.2">
      <c r="F861" s="216" t="str">
        <f t="shared" si="70"/>
        <v xml:space="preserve"> </v>
      </c>
      <c r="G861" s="50"/>
      <c r="H861" s="242" t="str">
        <f ca="1">IF(F861=1,PERCENTILE(INDIRECT("g"&amp;$D$8):INDIRECT("g"&amp;$E$8),0.5),IF(F861=2,PERCENTILE(INDIRECT("g"&amp;$D$9):INDIRECT("g"&amp;$E$9),0.5),IF(F861=3,PERCENTILE(INDIRECT("g"&amp;$D$10):INDIRECT("g"&amp;$E$10),0.5),IF(F861=4,PERCENTILE(INDIRECT("g"&amp;$D$11):INDIRECT("g"&amp;$E$11),0.5),IF(F861=5,PERCENTILE(INDIRECT("g"&amp;$D$12):INDIRECT("g"&amp;$E$12),0.5),IF(F861=6,PERCENTILE(INDIRECT("g"&amp;$D$13):INDIRECT("g"&amp;$E$13),0.5)," "))))))</f>
        <v xml:space="preserve"> </v>
      </c>
      <c r="I861" s="242" t="str">
        <f t="shared" si="71"/>
        <v xml:space="preserve"> </v>
      </c>
      <c r="J861" s="242" t="str">
        <f ca="1">IF(F861=1,AVERAGE(INDIRECT("I"&amp;$D$8):INDIRECT("I"&amp;$E$8)),IF(F861=2,AVERAGE(INDIRECT("I"&amp;$D$9):INDIRECT("I"&amp;$E$9)),IF(F861=3,AVERAGE(INDIRECT("I"&amp;$D$10):INDIRECT("I"&amp;$E$10)),IF(F861=4,AVERAGE(INDIRECT("I"&amp;$D$11):INDIRECT("I"&amp;$E$11)),IF(F861=5,AVERAGE(INDIRECT("I"&amp;$D$12):INDIRECT("I"&amp;$E$12)),IF(F861=6,AVERAGE(INDIRECT("I"&amp;$D$13):INDIRECT("I"&amp;$E$13))," "))))))</f>
        <v xml:space="preserve"> </v>
      </c>
      <c r="K861" s="242" t="str">
        <f t="shared" si="72"/>
        <v xml:space="preserve"> </v>
      </c>
      <c r="L861" s="242" t="str">
        <f t="shared" si="73"/>
        <v xml:space="preserve"> </v>
      </c>
      <c r="M861" s="242" t="str">
        <f t="shared" si="74"/>
        <v xml:space="preserve"> </v>
      </c>
    </row>
    <row r="862" spans="6:13" x14ac:dyDescent="0.2">
      <c r="F862" s="216" t="str">
        <f t="shared" si="70"/>
        <v xml:space="preserve"> </v>
      </c>
      <c r="G862" s="50"/>
      <c r="H862" s="242" t="str">
        <f ca="1">IF(F862=1,PERCENTILE(INDIRECT("g"&amp;$D$8):INDIRECT("g"&amp;$E$8),0.5),IF(F862=2,PERCENTILE(INDIRECT("g"&amp;$D$9):INDIRECT("g"&amp;$E$9),0.5),IF(F862=3,PERCENTILE(INDIRECT("g"&amp;$D$10):INDIRECT("g"&amp;$E$10),0.5),IF(F862=4,PERCENTILE(INDIRECT("g"&amp;$D$11):INDIRECT("g"&amp;$E$11),0.5),IF(F862=5,PERCENTILE(INDIRECT("g"&amp;$D$12):INDIRECT("g"&amp;$E$12),0.5),IF(F862=6,PERCENTILE(INDIRECT("g"&amp;$D$13):INDIRECT("g"&amp;$E$13),0.5)," "))))))</f>
        <v xml:space="preserve"> </v>
      </c>
      <c r="I862" s="242" t="str">
        <f t="shared" si="71"/>
        <v xml:space="preserve"> </v>
      </c>
      <c r="J862" s="242" t="str">
        <f ca="1">IF(F862=1,AVERAGE(INDIRECT("I"&amp;$D$8):INDIRECT("I"&amp;$E$8)),IF(F862=2,AVERAGE(INDIRECT("I"&amp;$D$9):INDIRECT("I"&amp;$E$9)),IF(F862=3,AVERAGE(INDIRECT("I"&amp;$D$10):INDIRECT("I"&amp;$E$10)),IF(F862=4,AVERAGE(INDIRECT("I"&amp;$D$11):INDIRECT("I"&amp;$E$11)),IF(F862=5,AVERAGE(INDIRECT("I"&amp;$D$12):INDIRECT("I"&amp;$E$12)),IF(F862=6,AVERAGE(INDIRECT("I"&amp;$D$13):INDIRECT("I"&amp;$E$13))," "))))))</f>
        <v xml:space="preserve"> </v>
      </c>
      <c r="K862" s="242" t="str">
        <f t="shared" si="72"/>
        <v xml:space="preserve"> </v>
      </c>
      <c r="L862" s="242" t="str">
        <f t="shared" si="73"/>
        <v xml:space="preserve"> </v>
      </c>
      <c r="M862" s="242" t="str">
        <f t="shared" si="74"/>
        <v xml:space="preserve"> </v>
      </c>
    </row>
    <row r="863" spans="6:13" x14ac:dyDescent="0.2">
      <c r="F863" s="216" t="str">
        <f t="shared" si="70"/>
        <v xml:space="preserve"> </v>
      </c>
      <c r="G863" s="50"/>
      <c r="H863" s="242" t="str">
        <f ca="1">IF(F863=1,PERCENTILE(INDIRECT("g"&amp;$D$8):INDIRECT("g"&amp;$E$8),0.5),IF(F863=2,PERCENTILE(INDIRECT("g"&amp;$D$9):INDIRECT("g"&amp;$E$9),0.5),IF(F863=3,PERCENTILE(INDIRECT("g"&amp;$D$10):INDIRECT("g"&amp;$E$10),0.5),IF(F863=4,PERCENTILE(INDIRECT("g"&amp;$D$11):INDIRECT("g"&amp;$E$11),0.5),IF(F863=5,PERCENTILE(INDIRECT("g"&amp;$D$12):INDIRECT("g"&amp;$E$12),0.5),IF(F863=6,PERCENTILE(INDIRECT("g"&amp;$D$13):INDIRECT("g"&amp;$E$13),0.5)," "))))))</f>
        <v xml:space="preserve"> </v>
      </c>
      <c r="I863" s="242" t="str">
        <f t="shared" si="71"/>
        <v xml:space="preserve"> </v>
      </c>
      <c r="J863" s="242" t="str">
        <f ca="1">IF(F863=1,AVERAGE(INDIRECT("I"&amp;$D$8):INDIRECT("I"&amp;$E$8)),IF(F863=2,AVERAGE(INDIRECT("I"&amp;$D$9):INDIRECT("I"&amp;$E$9)),IF(F863=3,AVERAGE(INDIRECT("I"&amp;$D$10):INDIRECT("I"&amp;$E$10)),IF(F863=4,AVERAGE(INDIRECT("I"&amp;$D$11):INDIRECT("I"&amp;$E$11)),IF(F863=5,AVERAGE(INDIRECT("I"&amp;$D$12):INDIRECT("I"&amp;$E$12)),IF(F863=6,AVERAGE(INDIRECT("I"&amp;$D$13):INDIRECT("I"&amp;$E$13))," "))))))</f>
        <v xml:space="preserve"> </v>
      </c>
      <c r="K863" s="242" t="str">
        <f t="shared" si="72"/>
        <v xml:space="preserve"> </v>
      </c>
      <c r="L863" s="242" t="str">
        <f t="shared" si="73"/>
        <v xml:space="preserve"> </v>
      </c>
      <c r="M863" s="242" t="str">
        <f t="shared" si="74"/>
        <v xml:space="preserve"> </v>
      </c>
    </row>
    <row r="864" spans="6:13" x14ac:dyDescent="0.2">
      <c r="F864" s="216" t="str">
        <f t="shared" si="70"/>
        <v xml:space="preserve"> </v>
      </c>
      <c r="G864" s="50"/>
      <c r="H864" s="242" t="str">
        <f ca="1">IF(F864=1,PERCENTILE(INDIRECT("g"&amp;$D$8):INDIRECT("g"&amp;$E$8),0.5),IF(F864=2,PERCENTILE(INDIRECT("g"&amp;$D$9):INDIRECT("g"&amp;$E$9),0.5),IF(F864=3,PERCENTILE(INDIRECT("g"&amp;$D$10):INDIRECT("g"&amp;$E$10),0.5),IF(F864=4,PERCENTILE(INDIRECT("g"&amp;$D$11):INDIRECT("g"&amp;$E$11),0.5),IF(F864=5,PERCENTILE(INDIRECT("g"&amp;$D$12):INDIRECT("g"&amp;$E$12),0.5),IF(F864=6,PERCENTILE(INDIRECT("g"&amp;$D$13):INDIRECT("g"&amp;$E$13),0.5)," "))))))</f>
        <v xml:space="preserve"> </v>
      </c>
      <c r="I864" s="242" t="str">
        <f t="shared" si="71"/>
        <v xml:space="preserve"> </v>
      </c>
      <c r="J864" s="242" t="str">
        <f ca="1">IF(F864=1,AVERAGE(INDIRECT("I"&amp;$D$8):INDIRECT("I"&amp;$E$8)),IF(F864=2,AVERAGE(INDIRECT("I"&amp;$D$9):INDIRECT("I"&amp;$E$9)),IF(F864=3,AVERAGE(INDIRECT("I"&amp;$D$10):INDIRECT("I"&amp;$E$10)),IF(F864=4,AVERAGE(INDIRECT("I"&amp;$D$11):INDIRECT("I"&amp;$E$11)),IF(F864=5,AVERAGE(INDIRECT("I"&amp;$D$12):INDIRECT("I"&amp;$E$12)),IF(F864=6,AVERAGE(INDIRECT("I"&amp;$D$13):INDIRECT("I"&amp;$E$13))," "))))))</f>
        <v xml:space="preserve"> </v>
      </c>
      <c r="K864" s="242" t="str">
        <f t="shared" si="72"/>
        <v xml:space="preserve"> </v>
      </c>
      <c r="L864" s="242" t="str">
        <f t="shared" si="73"/>
        <v xml:space="preserve"> </v>
      </c>
      <c r="M864" s="242" t="str">
        <f t="shared" si="74"/>
        <v xml:space="preserve"> </v>
      </c>
    </row>
    <row r="865" spans="6:13" x14ac:dyDescent="0.2">
      <c r="F865" s="216" t="str">
        <f t="shared" si="70"/>
        <v xml:space="preserve"> </v>
      </c>
      <c r="G865" s="50"/>
      <c r="H865" s="242" t="str">
        <f ca="1">IF(F865=1,PERCENTILE(INDIRECT("g"&amp;$D$8):INDIRECT("g"&amp;$E$8),0.5),IF(F865=2,PERCENTILE(INDIRECT("g"&amp;$D$9):INDIRECT("g"&amp;$E$9),0.5),IF(F865=3,PERCENTILE(INDIRECT("g"&amp;$D$10):INDIRECT("g"&amp;$E$10),0.5),IF(F865=4,PERCENTILE(INDIRECT("g"&amp;$D$11):INDIRECT("g"&amp;$E$11),0.5),IF(F865=5,PERCENTILE(INDIRECT("g"&amp;$D$12):INDIRECT("g"&amp;$E$12),0.5),IF(F865=6,PERCENTILE(INDIRECT("g"&amp;$D$13):INDIRECT("g"&amp;$E$13),0.5)," "))))))</f>
        <v xml:space="preserve"> </v>
      </c>
      <c r="I865" s="242" t="str">
        <f t="shared" si="71"/>
        <v xml:space="preserve"> </v>
      </c>
      <c r="J865" s="242" t="str">
        <f ca="1">IF(F865=1,AVERAGE(INDIRECT("I"&amp;$D$8):INDIRECT("I"&amp;$E$8)),IF(F865=2,AVERAGE(INDIRECT("I"&amp;$D$9):INDIRECT("I"&amp;$E$9)),IF(F865=3,AVERAGE(INDIRECT("I"&amp;$D$10):INDIRECT("I"&amp;$E$10)),IF(F865=4,AVERAGE(INDIRECT("I"&amp;$D$11):INDIRECT("I"&amp;$E$11)),IF(F865=5,AVERAGE(INDIRECT("I"&amp;$D$12):INDIRECT("I"&amp;$E$12)),IF(F865=6,AVERAGE(INDIRECT("I"&amp;$D$13):INDIRECT("I"&amp;$E$13))," "))))))</f>
        <v xml:space="preserve"> </v>
      </c>
      <c r="K865" s="242" t="str">
        <f t="shared" si="72"/>
        <v xml:space="preserve"> </v>
      </c>
      <c r="L865" s="242" t="str">
        <f t="shared" si="73"/>
        <v xml:space="preserve"> </v>
      </c>
      <c r="M865" s="242" t="str">
        <f t="shared" si="74"/>
        <v xml:space="preserve"> </v>
      </c>
    </row>
    <row r="866" spans="6:13" x14ac:dyDescent="0.2">
      <c r="F866" s="216" t="str">
        <f t="shared" si="70"/>
        <v xml:space="preserve"> </v>
      </c>
      <c r="G866" s="50"/>
      <c r="H866" s="242" t="str">
        <f ca="1">IF(F866=1,PERCENTILE(INDIRECT("g"&amp;$D$8):INDIRECT("g"&amp;$E$8),0.5),IF(F866=2,PERCENTILE(INDIRECT("g"&amp;$D$9):INDIRECT("g"&amp;$E$9),0.5),IF(F866=3,PERCENTILE(INDIRECT("g"&amp;$D$10):INDIRECT("g"&amp;$E$10),0.5),IF(F866=4,PERCENTILE(INDIRECT("g"&amp;$D$11):INDIRECT("g"&amp;$E$11),0.5),IF(F866=5,PERCENTILE(INDIRECT("g"&amp;$D$12):INDIRECT("g"&amp;$E$12),0.5),IF(F866=6,PERCENTILE(INDIRECT("g"&amp;$D$13):INDIRECT("g"&amp;$E$13),0.5)," "))))))</f>
        <v xml:space="preserve"> </v>
      </c>
      <c r="I866" s="242" t="str">
        <f t="shared" si="71"/>
        <v xml:space="preserve"> </v>
      </c>
      <c r="J866" s="242" t="str">
        <f ca="1">IF(F866=1,AVERAGE(INDIRECT("I"&amp;$D$8):INDIRECT("I"&amp;$E$8)),IF(F866=2,AVERAGE(INDIRECT("I"&amp;$D$9):INDIRECT("I"&amp;$E$9)),IF(F866=3,AVERAGE(INDIRECT("I"&amp;$D$10):INDIRECT("I"&amp;$E$10)),IF(F866=4,AVERAGE(INDIRECT("I"&amp;$D$11):INDIRECT("I"&amp;$E$11)),IF(F866=5,AVERAGE(INDIRECT("I"&amp;$D$12):INDIRECT("I"&amp;$E$12)),IF(F866=6,AVERAGE(INDIRECT("I"&amp;$D$13):INDIRECT("I"&amp;$E$13))," "))))))</f>
        <v xml:space="preserve"> </v>
      </c>
      <c r="K866" s="242" t="str">
        <f t="shared" si="72"/>
        <v xml:space="preserve"> </v>
      </c>
      <c r="L866" s="242" t="str">
        <f t="shared" si="73"/>
        <v xml:space="preserve"> </v>
      </c>
      <c r="M866" s="242" t="str">
        <f t="shared" si="74"/>
        <v xml:space="preserve"> </v>
      </c>
    </row>
    <row r="867" spans="6:13" x14ac:dyDescent="0.2">
      <c r="F867" s="216" t="str">
        <f t="shared" si="70"/>
        <v xml:space="preserve"> </v>
      </c>
      <c r="G867" s="50"/>
      <c r="H867" s="242" t="str">
        <f ca="1">IF(F867=1,PERCENTILE(INDIRECT("g"&amp;$D$8):INDIRECT("g"&amp;$E$8),0.5),IF(F867=2,PERCENTILE(INDIRECT("g"&amp;$D$9):INDIRECT("g"&amp;$E$9),0.5),IF(F867=3,PERCENTILE(INDIRECT("g"&amp;$D$10):INDIRECT("g"&amp;$E$10),0.5),IF(F867=4,PERCENTILE(INDIRECT("g"&amp;$D$11):INDIRECT("g"&amp;$E$11),0.5),IF(F867=5,PERCENTILE(INDIRECT("g"&amp;$D$12):INDIRECT("g"&amp;$E$12),0.5),IF(F867=6,PERCENTILE(INDIRECT("g"&amp;$D$13):INDIRECT("g"&amp;$E$13),0.5)," "))))))</f>
        <v xml:space="preserve"> </v>
      </c>
      <c r="I867" s="242" t="str">
        <f t="shared" si="71"/>
        <v xml:space="preserve"> </v>
      </c>
      <c r="J867" s="242" t="str">
        <f ca="1">IF(F867=1,AVERAGE(INDIRECT("I"&amp;$D$8):INDIRECT("I"&amp;$E$8)),IF(F867=2,AVERAGE(INDIRECT("I"&amp;$D$9):INDIRECT("I"&amp;$E$9)),IF(F867=3,AVERAGE(INDIRECT("I"&amp;$D$10):INDIRECT("I"&amp;$E$10)),IF(F867=4,AVERAGE(INDIRECT("I"&amp;$D$11):INDIRECT("I"&amp;$E$11)),IF(F867=5,AVERAGE(INDIRECT("I"&amp;$D$12):INDIRECT("I"&amp;$E$12)),IF(F867=6,AVERAGE(INDIRECT("I"&amp;$D$13):INDIRECT("I"&amp;$E$13))," "))))))</f>
        <v xml:space="preserve"> </v>
      </c>
      <c r="K867" s="242" t="str">
        <f t="shared" si="72"/>
        <v xml:space="preserve"> </v>
      </c>
      <c r="L867" s="242" t="str">
        <f t="shared" si="73"/>
        <v xml:space="preserve"> </v>
      </c>
      <c r="M867" s="242" t="str">
        <f t="shared" si="74"/>
        <v xml:space="preserve"> </v>
      </c>
    </row>
    <row r="868" spans="6:13" x14ac:dyDescent="0.2">
      <c r="F868" s="216" t="str">
        <f t="shared" si="70"/>
        <v xml:space="preserve"> </v>
      </c>
      <c r="G868" s="50"/>
      <c r="H868" s="242" t="str">
        <f ca="1">IF(F868=1,PERCENTILE(INDIRECT("g"&amp;$D$8):INDIRECT("g"&amp;$E$8),0.5),IF(F868=2,PERCENTILE(INDIRECT("g"&amp;$D$9):INDIRECT("g"&amp;$E$9),0.5),IF(F868=3,PERCENTILE(INDIRECT("g"&amp;$D$10):INDIRECT("g"&amp;$E$10),0.5),IF(F868=4,PERCENTILE(INDIRECT("g"&amp;$D$11):INDIRECT("g"&amp;$E$11),0.5),IF(F868=5,PERCENTILE(INDIRECT("g"&amp;$D$12):INDIRECT("g"&amp;$E$12),0.5),IF(F868=6,PERCENTILE(INDIRECT("g"&amp;$D$13):INDIRECT("g"&amp;$E$13),0.5)," "))))))</f>
        <v xml:space="preserve"> </v>
      </c>
      <c r="I868" s="242" t="str">
        <f t="shared" si="71"/>
        <v xml:space="preserve"> </v>
      </c>
      <c r="J868" s="242" t="str">
        <f ca="1">IF(F868=1,AVERAGE(INDIRECT("I"&amp;$D$8):INDIRECT("I"&amp;$E$8)),IF(F868=2,AVERAGE(INDIRECT("I"&amp;$D$9):INDIRECT("I"&amp;$E$9)),IF(F868=3,AVERAGE(INDIRECT("I"&amp;$D$10):INDIRECT("I"&amp;$E$10)),IF(F868=4,AVERAGE(INDIRECT("I"&amp;$D$11):INDIRECT("I"&amp;$E$11)),IF(F868=5,AVERAGE(INDIRECT("I"&amp;$D$12):INDIRECT("I"&amp;$E$12)),IF(F868=6,AVERAGE(INDIRECT("I"&amp;$D$13):INDIRECT("I"&amp;$E$13))," "))))))</f>
        <v xml:space="preserve"> </v>
      </c>
      <c r="K868" s="242" t="str">
        <f t="shared" si="72"/>
        <v xml:space="preserve"> </v>
      </c>
      <c r="L868" s="242" t="str">
        <f t="shared" si="73"/>
        <v xml:space="preserve"> </v>
      </c>
      <c r="M868" s="242" t="str">
        <f t="shared" si="74"/>
        <v xml:space="preserve"> </v>
      </c>
    </row>
    <row r="869" spans="6:13" x14ac:dyDescent="0.2">
      <c r="F869" s="216" t="str">
        <f t="shared" si="70"/>
        <v xml:space="preserve"> </v>
      </c>
      <c r="G869" s="50"/>
      <c r="H869" s="242" t="str">
        <f ca="1">IF(F869=1,PERCENTILE(INDIRECT("g"&amp;$D$8):INDIRECT("g"&amp;$E$8),0.5),IF(F869=2,PERCENTILE(INDIRECT("g"&amp;$D$9):INDIRECT("g"&amp;$E$9),0.5),IF(F869=3,PERCENTILE(INDIRECT("g"&amp;$D$10):INDIRECT("g"&amp;$E$10),0.5),IF(F869=4,PERCENTILE(INDIRECT("g"&amp;$D$11):INDIRECT("g"&amp;$E$11),0.5),IF(F869=5,PERCENTILE(INDIRECT("g"&amp;$D$12):INDIRECT("g"&amp;$E$12),0.5),IF(F869=6,PERCENTILE(INDIRECT("g"&amp;$D$13):INDIRECT("g"&amp;$E$13),0.5)," "))))))</f>
        <v xml:space="preserve"> </v>
      </c>
      <c r="I869" s="242" t="str">
        <f t="shared" si="71"/>
        <v xml:space="preserve"> </v>
      </c>
      <c r="J869" s="242" t="str">
        <f ca="1">IF(F869=1,AVERAGE(INDIRECT("I"&amp;$D$8):INDIRECT("I"&amp;$E$8)),IF(F869=2,AVERAGE(INDIRECT("I"&amp;$D$9):INDIRECT("I"&amp;$E$9)),IF(F869=3,AVERAGE(INDIRECT("I"&amp;$D$10):INDIRECT("I"&amp;$E$10)),IF(F869=4,AVERAGE(INDIRECT("I"&amp;$D$11):INDIRECT("I"&amp;$E$11)),IF(F869=5,AVERAGE(INDIRECT("I"&amp;$D$12):INDIRECT("I"&amp;$E$12)),IF(F869=6,AVERAGE(INDIRECT("I"&amp;$D$13):INDIRECT("I"&amp;$E$13))," "))))))</f>
        <v xml:space="preserve"> </v>
      </c>
      <c r="K869" s="242" t="str">
        <f t="shared" si="72"/>
        <v xml:space="preserve"> </v>
      </c>
      <c r="L869" s="242" t="str">
        <f t="shared" si="73"/>
        <v xml:space="preserve"> </v>
      </c>
      <c r="M869" s="242" t="str">
        <f t="shared" si="74"/>
        <v xml:space="preserve"> </v>
      </c>
    </row>
    <row r="870" spans="6:13" x14ac:dyDescent="0.2">
      <c r="F870" s="216" t="str">
        <f t="shared" si="70"/>
        <v xml:space="preserve"> </v>
      </c>
      <c r="G870" s="50"/>
      <c r="H870" s="242" t="str">
        <f ca="1">IF(F870=1,PERCENTILE(INDIRECT("g"&amp;$D$8):INDIRECT("g"&amp;$E$8),0.5),IF(F870=2,PERCENTILE(INDIRECT("g"&amp;$D$9):INDIRECT("g"&amp;$E$9),0.5),IF(F870=3,PERCENTILE(INDIRECT("g"&amp;$D$10):INDIRECT("g"&amp;$E$10),0.5),IF(F870=4,PERCENTILE(INDIRECT("g"&amp;$D$11):INDIRECT("g"&amp;$E$11),0.5),IF(F870=5,PERCENTILE(INDIRECT("g"&amp;$D$12):INDIRECT("g"&amp;$E$12),0.5),IF(F870=6,PERCENTILE(INDIRECT("g"&amp;$D$13):INDIRECT("g"&amp;$E$13),0.5)," "))))))</f>
        <v xml:space="preserve"> </v>
      </c>
      <c r="I870" s="242" t="str">
        <f t="shared" si="71"/>
        <v xml:space="preserve"> </v>
      </c>
      <c r="J870" s="242" t="str">
        <f ca="1">IF(F870=1,AVERAGE(INDIRECT("I"&amp;$D$8):INDIRECT("I"&amp;$E$8)),IF(F870=2,AVERAGE(INDIRECT("I"&amp;$D$9):INDIRECT("I"&amp;$E$9)),IF(F870=3,AVERAGE(INDIRECT("I"&amp;$D$10):INDIRECT("I"&amp;$E$10)),IF(F870=4,AVERAGE(INDIRECT("I"&amp;$D$11):INDIRECT("I"&amp;$E$11)),IF(F870=5,AVERAGE(INDIRECT("I"&amp;$D$12):INDIRECT("I"&amp;$E$12)),IF(F870=6,AVERAGE(INDIRECT("I"&amp;$D$13):INDIRECT("I"&amp;$E$13))," "))))))</f>
        <v xml:space="preserve"> </v>
      </c>
      <c r="K870" s="242" t="str">
        <f t="shared" si="72"/>
        <v xml:space="preserve"> </v>
      </c>
      <c r="L870" s="242" t="str">
        <f t="shared" si="73"/>
        <v xml:space="preserve"> </v>
      </c>
      <c r="M870" s="242" t="str">
        <f t="shared" si="74"/>
        <v xml:space="preserve"> </v>
      </c>
    </row>
    <row r="871" spans="6:13" x14ac:dyDescent="0.2">
      <c r="F871" s="216" t="str">
        <f t="shared" si="70"/>
        <v xml:space="preserve"> </v>
      </c>
      <c r="G871" s="50"/>
      <c r="H871" s="242" t="str">
        <f ca="1">IF(F871=1,PERCENTILE(INDIRECT("g"&amp;$D$8):INDIRECT("g"&amp;$E$8),0.5),IF(F871=2,PERCENTILE(INDIRECT("g"&amp;$D$9):INDIRECT("g"&amp;$E$9),0.5),IF(F871=3,PERCENTILE(INDIRECT("g"&amp;$D$10):INDIRECT("g"&amp;$E$10),0.5),IF(F871=4,PERCENTILE(INDIRECT("g"&amp;$D$11):INDIRECT("g"&amp;$E$11),0.5),IF(F871=5,PERCENTILE(INDIRECT("g"&amp;$D$12):INDIRECT("g"&amp;$E$12),0.5),IF(F871=6,PERCENTILE(INDIRECT("g"&amp;$D$13):INDIRECT("g"&amp;$E$13),0.5)," "))))))</f>
        <v xml:space="preserve"> </v>
      </c>
      <c r="I871" s="242" t="str">
        <f t="shared" si="71"/>
        <v xml:space="preserve"> </v>
      </c>
      <c r="J871" s="242" t="str">
        <f ca="1">IF(F871=1,AVERAGE(INDIRECT("I"&amp;$D$8):INDIRECT("I"&amp;$E$8)),IF(F871=2,AVERAGE(INDIRECT("I"&amp;$D$9):INDIRECT("I"&amp;$E$9)),IF(F871=3,AVERAGE(INDIRECT("I"&amp;$D$10):INDIRECT("I"&amp;$E$10)),IF(F871=4,AVERAGE(INDIRECT("I"&amp;$D$11):INDIRECT("I"&amp;$E$11)),IF(F871=5,AVERAGE(INDIRECT("I"&amp;$D$12):INDIRECT("I"&amp;$E$12)),IF(F871=6,AVERAGE(INDIRECT("I"&amp;$D$13):INDIRECT("I"&amp;$E$13))," "))))))</f>
        <v xml:space="preserve"> </v>
      </c>
      <c r="K871" s="242" t="str">
        <f t="shared" si="72"/>
        <v xml:space="preserve"> </v>
      </c>
      <c r="L871" s="242" t="str">
        <f t="shared" si="73"/>
        <v xml:space="preserve"> </v>
      </c>
      <c r="M871" s="242" t="str">
        <f t="shared" si="74"/>
        <v xml:space="preserve"> </v>
      </c>
    </row>
    <row r="872" spans="6:13" x14ac:dyDescent="0.2">
      <c r="F872" s="216" t="str">
        <f t="shared" si="70"/>
        <v xml:space="preserve"> </v>
      </c>
      <c r="G872" s="50"/>
      <c r="H872" s="242" t="str">
        <f ca="1">IF(F872=1,PERCENTILE(INDIRECT("g"&amp;$D$8):INDIRECT("g"&amp;$E$8),0.5),IF(F872=2,PERCENTILE(INDIRECT("g"&amp;$D$9):INDIRECT("g"&amp;$E$9),0.5),IF(F872=3,PERCENTILE(INDIRECT("g"&amp;$D$10):INDIRECT("g"&amp;$E$10),0.5),IF(F872=4,PERCENTILE(INDIRECT("g"&amp;$D$11):INDIRECT("g"&amp;$E$11),0.5),IF(F872=5,PERCENTILE(INDIRECT("g"&amp;$D$12):INDIRECT("g"&amp;$E$12),0.5),IF(F872=6,PERCENTILE(INDIRECT("g"&amp;$D$13):INDIRECT("g"&amp;$E$13),0.5)," "))))))</f>
        <v xml:space="preserve"> </v>
      </c>
      <c r="I872" s="242" t="str">
        <f t="shared" si="71"/>
        <v xml:space="preserve"> </v>
      </c>
      <c r="J872" s="242" t="str">
        <f ca="1">IF(F872=1,AVERAGE(INDIRECT("I"&amp;$D$8):INDIRECT("I"&amp;$E$8)),IF(F872=2,AVERAGE(INDIRECT("I"&amp;$D$9):INDIRECT("I"&amp;$E$9)),IF(F872=3,AVERAGE(INDIRECT("I"&amp;$D$10):INDIRECT("I"&amp;$E$10)),IF(F872=4,AVERAGE(INDIRECT("I"&amp;$D$11):INDIRECT("I"&amp;$E$11)),IF(F872=5,AVERAGE(INDIRECT("I"&amp;$D$12):INDIRECT("I"&amp;$E$12)),IF(F872=6,AVERAGE(INDIRECT("I"&amp;$D$13):INDIRECT("I"&amp;$E$13))," "))))))</f>
        <v xml:space="preserve"> </v>
      </c>
      <c r="K872" s="242" t="str">
        <f t="shared" si="72"/>
        <v xml:space="preserve"> </v>
      </c>
      <c r="L872" s="242" t="str">
        <f t="shared" si="73"/>
        <v xml:space="preserve"> </v>
      </c>
      <c r="M872" s="242" t="str">
        <f t="shared" si="74"/>
        <v xml:space="preserve"> </v>
      </c>
    </row>
    <row r="873" spans="6:13" x14ac:dyDescent="0.2">
      <c r="F873" s="216" t="str">
        <f t="shared" si="70"/>
        <v xml:space="preserve"> </v>
      </c>
      <c r="G873" s="50"/>
      <c r="H873" s="242" t="str">
        <f ca="1">IF(F873=1,PERCENTILE(INDIRECT("g"&amp;$D$8):INDIRECT("g"&amp;$E$8),0.5),IF(F873=2,PERCENTILE(INDIRECT("g"&amp;$D$9):INDIRECT("g"&amp;$E$9),0.5),IF(F873=3,PERCENTILE(INDIRECT("g"&amp;$D$10):INDIRECT("g"&amp;$E$10),0.5),IF(F873=4,PERCENTILE(INDIRECT("g"&amp;$D$11):INDIRECT("g"&amp;$E$11),0.5),IF(F873=5,PERCENTILE(INDIRECT("g"&amp;$D$12):INDIRECT("g"&amp;$E$12),0.5),IF(F873=6,PERCENTILE(INDIRECT("g"&amp;$D$13):INDIRECT("g"&amp;$E$13),0.5)," "))))))</f>
        <v xml:space="preserve"> </v>
      </c>
      <c r="I873" s="242" t="str">
        <f t="shared" si="71"/>
        <v xml:space="preserve"> </v>
      </c>
      <c r="J873" s="242" t="str">
        <f ca="1">IF(F873=1,AVERAGE(INDIRECT("I"&amp;$D$8):INDIRECT("I"&amp;$E$8)),IF(F873=2,AVERAGE(INDIRECT("I"&amp;$D$9):INDIRECT("I"&amp;$E$9)),IF(F873=3,AVERAGE(INDIRECT("I"&amp;$D$10):INDIRECT("I"&amp;$E$10)),IF(F873=4,AVERAGE(INDIRECT("I"&amp;$D$11):INDIRECT("I"&amp;$E$11)),IF(F873=5,AVERAGE(INDIRECT("I"&amp;$D$12):INDIRECT("I"&amp;$E$12)),IF(F873=6,AVERAGE(INDIRECT("I"&amp;$D$13):INDIRECT("I"&amp;$E$13))," "))))))</f>
        <v xml:space="preserve"> </v>
      </c>
      <c r="K873" s="242" t="str">
        <f t="shared" si="72"/>
        <v xml:space="preserve"> </v>
      </c>
      <c r="L873" s="242" t="str">
        <f t="shared" si="73"/>
        <v xml:space="preserve"> </v>
      </c>
      <c r="M873" s="242" t="str">
        <f t="shared" si="74"/>
        <v xml:space="preserve"> </v>
      </c>
    </row>
    <row r="874" spans="6:13" x14ac:dyDescent="0.2">
      <c r="F874" s="216" t="str">
        <f t="shared" si="70"/>
        <v xml:space="preserve"> </v>
      </c>
      <c r="G874" s="50"/>
      <c r="H874" s="242" t="str">
        <f ca="1">IF(F874=1,PERCENTILE(INDIRECT("g"&amp;$D$8):INDIRECT("g"&amp;$E$8),0.5),IF(F874=2,PERCENTILE(INDIRECT("g"&amp;$D$9):INDIRECT("g"&amp;$E$9),0.5),IF(F874=3,PERCENTILE(INDIRECT("g"&amp;$D$10):INDIRECT("g"&amp;$E$10),0.5),IF(F874=4,PERCENTILE(INDIRECT("g"&amp;$D$11):INDIRECT("g"&amp;$E$11),0.5),IF(F874=5,PERCENTILE(INDIRECT("g"&amp;$D$12):INDIRECT("g"&amp;$E$12),0.5),IF(F874=6,PERCENTILE(INDIRECT("g"&amp;$D$13):INDIRECT("g"&amp;$E$13),0.5)," "))))))</f>
        <v xml:space="preserve"> </v>
      </c>
      <c r="I874" s="242" t="str">
        <f t="shared" si="71"/>
        <v xml:space="preserve"> </v>
      </c>
      <c r="J874" s="242" t="str">
        <f ca="1">IF(F874=1,AVERAGE(INDIRECT("I"&amp;$D$8):INDIRECT("I"&amp;$E$8)),IF(F874=2,AVERAGE(INDIRECT("I"&amp;$D$9):INDIRECT("I"&amp;$E$9)),IF(F874=3,AVERAGE(INDIRECT("I"&amp;$D$10):INDIRECT("I"&amp;$E$10)),IF(F874=4,AVERAGE(INDIRECT("I"&amp;$D$11):INDIRECT("I"&amp;$E$11)),IF(F874=5,AVERAGE(INDIRECT("I"&amp;$D$12):INDIRECT("I"&amp;$E$12)),IF(F874=6,AVERAGE(INDIRECT("I"&amp;$D$13):INDIRECT("I"&amp;$E$13))," "))))))</f>
        <v xml:space="preserve"> </v>
      </c>
      <c r="K874" s="242" t="str">
        <f t="shared" si="72"/>
        <v xml:space="preserve"> </v>
      </c>
      <c r="L874" s="242" t="str">
        <f t="shared" si="73"/>
        <v xml:space="preserve"> </v>
      </c>
      <c r="M874" s="242" t="str">
        <f t="shared" si="74"/>
        <v xml:space="preserve"> </v>
      </c>
    </row>
    <row r="875" spans="6:13" x14ac:dyDescent="0.2">
      <c r="F875" s="216" t="str">
        <f t="shared" si="70"/>
        <v xml:space="preserve"> </v>
      </c>
      <c r="G875" s="50"/>
      <c r="H875" s="242" t="str">
        <f ca="1">IF(F875=1,PERCENTILE(INDIRECT("g"&amp;$D$8):INDIRECT("g"&amp;$E$8),0.5),IF(F875=2,PERCENTILE(INDIRECT("g"&amp;$D$9):INDIRECT("g"&amp;$E$9),0.5),IF(F875=3,PERCENTILE(INDIRECT("g"&amp;$D$10):INDIRECT("g"&amp;$E$10),0.5),IF(F875=4,PERCENTILE(INDIRECT("g"&amp;$D$11):INDIRECT("g"&amp;$E$11),0.5),IF(F875=5,PERCENTILE(INDIRECT("g"&amp;$D$12):INDIRECT("g"&amp;$E$12),0.5),IF(F875=6,PERCENTILE(INDIRECT("g"&amp;$D$13):INDIRECT("g"&amp;$E$13),0.5)," "))))))</f>
        <v xml:space="preserve"> </v>
      </c>
      <c r="I875" s="242" t="str">
        <f t="shared" si="71"/>
        <v xml:space="preserve"> </v>
      </c>
      <c r="J875" s="242" t="str">
        <f ca="1">IF(F875=1,AVERAGE(INDIRECT("I"&amp;$D$8):INDIRECT("I"&amp;$E$8)),IF(F875=2,AVERAGE(INDIRECT("I"&amp;$D$9):INDIRECT("I"&amp;$E$9)),IF(F875=3,AVERAGE(INDIRECT("I"&amp;$D$10):INDIRECT("I"&amp;$E$10)),IF(F875=4,AVERAGE(INDIRECT("I"&amp;$D$11):INDIRECT("I"&amp;$E$11)),IF(F875=5,AVERAGE(INDIRECT("I"&amp;$D$12):INDIRECT("I"&amp;$E$12)),IF(F875=6,AVERAGE(INDIRECT("I"&amp;$D$13):INDIRECT("I"&amp;$E$13))," "))))))</f>
        <v xml:space="preserve"> </v>
      </c>
      <c r="K875" s="242" t="str">
        <f t="shared" si="72"/>
        <v xml:space="preserve"> </v>
      </c>
      <c r="L875" s="242" t="str">
        <f t="shared" si="73"/>
        <v xml:space="preserve"> </v>
      </c>
      <c r="M875" s="242" t="str">
        <f t="shared" si="74"/>
        <v xml:space="preserve"> </v>
      </c>
    </row>
    <row r="876" spans="6:13" x14ac:dyDescent="0.2">
      <c r="F876" s="216" t="str">
        <f t="shared" si="70"/>
        <v xml:space="preserve"> </v>
      </c>
      <c r="G876" s="50"/>
      <c r="H876" s="242" t="str">
        <f ca="1">IF(F876=1,PERCENTILE(INDIRECT("g"&amp;$D$8):INDIRECT("g"&amp;$E$8),0.5),IF(F876=2,PERCENTILE(INDIRECT("g"&amp;$D$9):INDIRECT("g"&amp;$E$9),0.5),IF(F876=3,PERCENTILE(INDIRECT("g"&amp;$D$10):INDIRECT("g"&amp;$E$10),0.5),IF(F876=4,PERCENTILE(INDIRECT("g"&amp;$D$11):INDIRECT("g"&amp;$E$11),0.5),IF(F876=5,PERCENTILE(INDIRECT("g"&amp;$D$12):INDIRECT("g"&amp;$E$12),0.5),IF(F876=6,PERCENTILE(INDIRECT("g"&amp;$D$13):INDIRECT("g"&amp;$E$13),0.5)," "))))))</f>
        <v xml:space="preserve"> </v>
      </c>
      <c r="I876" s="242" t="str">
        <f t="shared" si="71"/>
        <v xml:space="preserve"> </v>
      </c>
      <c r="J876" s="242" t="str">
        <f ca="1">IF(F876=1,AVERAGE(INDIRECT("I"&amp;$D$8):INDIRECT("I"&amp;$E$8)),IF(F876=2,AVERAGE(INDIRECT("I"&amp;$D$9):INDIRECT("I"&amp;$E$9)),IF(F876=3,AVERAGE(INDIRECT("I"&amp;$D$10):INDIRECT("I"&amp;$E$10)),IF(F876=4,AVERAGE(INDIRECT("I"&amp;$D$11):INDIRECT("I"&amp;$E$11)),IF(F876=5,AVERAGE(INDIRECT("I"&amp;$D$12):INDIRECT("I"&amp;$E$12)),IF(F876=6,AVERAGE(INDIRECT("I"&amp;$D$13):INDIRECT("I"&amp;$E$13))," "))))))</f>
        <v xml:space="preserve"> </v>
      </c>
      <c r="K876" s="242" t="str">
        <f t="shared" si="72"/>
        <v xml:space="preserve"> </v>
      </c>
      <c r="L876" s="242" t="str">
        <f t="shared" si="73"/>
        <v xml:space="preserve"> </v>
      </c>
      <c r="M876" s="242" t="str">
        <f t="shared" si="74"/>
        <v xml:space="preserve"> </v>
      </c>
    </row>
    <row r="877" spans="6:13" x14ac:dyDescent="0.2">
      <c r="F877" s="216" t="str">
        <f t="shared" si="70"/>
        <v xml:space="preserve"> </v>
      </c>
      <c r="G877" s="50"/>
      <c r="H877" s="242" t="str">
        <f ca="1">IF(F877=1,PERCENTILE(INDIRECT("g"&amp;$D$8):INDIRECT("g"&amp;$E$8),0.5),IF(F877=2,PERCENTILE(INDIRECT("g"&amp;$D$9):INDIRECT("g"&amp;$E$9),0.5),IF(F877=3,PERCENTILE(INDIRECT("g"&amp;$D$10):INDIRECT("g"&amp;$E$10),0.5),IF(F877=4,PERCENTILE(INDIRECT("g"&amp;$D$11):INDIRECT("g"&amp;$E$11),0.5),IF(F877=5,PERCENTILE(INDIRECT("g"&amp;$D$12):INDIRECT("g"&amp;$E$12),0.5),IF(F877=6,PERCENTILE(INDIRECT("g"&amp;$D$13):INDIRECT("g"&amp;$E$13),0.5)," "))))))</f>
        <v xml:space="preserve"> </v>
      </c>
      <c r="I877" s="242" t="str">
        <f t="shared" si="71"/>
        <v xml:space="preserve"> </v>
      </c>
      <c r="J877" s="242" t="str">
        <f ca="1">IF(F877=1,AVERAGE(INDIRECT("I"&amp;$D$8):INDIRECT("I"&amp;$E$8)),IF(F877=2,AVERAGE(INDIRECT("I"&amp;$D$9):INDIRECT("I"&amp;$E$9)),IF(F877=3,AVERAGE(INDIRECT("I"&amp;$D$10):INDIRECT("I"&amp;$E$10)),IF(F877=4,AVERAGE(INDIRECT("I"&amp;$D$11):INDIRECT("I"&amp;$E$11)),IF(F877=5,AVERAGE(INDIRECT("I"&amp;$D$12):INDIRECT("I"&amp;$E$12)),IF(F877=6,AVERAGE(INDIRECT("I"&amp;$D$13):INDIRECT("I"&amp;$E$13))," "))))))</f>
        <v xml:space="preserve"> </v>
      </c>
      <c r="K877" s="242" t="str">
        <f t="shared" si="72"/>
        <v xml:space="preserve"> </v>
      </c>
      <c r="L877" s="242" t="str">
        <f t="shared" si="73"/>
        <v xml:space="preserve"> </v>
      </c>
      <c r="M877" s="242" t="str">
        <f t="shared" si="74"/>
        <v xml:space="preserve"> </v>
      </c>
    </row>
    <row r="878" spans="6:13" x14ac:dyDescent="0.2">
      <c r="F878" s="216" t="str">
        <f t="shared" si="70"/>
        <v xml:space="preserve"> </v>
      </c>
      <c r="G878" s="50"/>
      <c r="H878" s="242" t="str">
        <f ca="1">IF(F878=1,PERCENTILE(INDIRECT("g"&amp;$D$8):INDIRECT("g"&amp;$E$8),0.5),IF(F878=2,PERCENTILE(INDIRECT("g"&amp;$D$9):INDIRECT("g"&amp;$E$9),0.5),IF(F878=3,PERCENTILE(INDIRECT("g"&amp;$D$10):INDIRECT("g"&amp;$E$10),0.5),IF(F878=4,PERCENTILE(INDIRECT("g"&amp;$D$11):INDIRECT("g"&amp;$E$11),0.5),IF(F878=5,PERCENTILE(INDIRECT("g"&amp;$D$12):INDIRECT("g"&amp;$E$12),0.5),IF(F878=6,PERCENTILE(INDIRECT("g"&amp;$D$13):INDIRECT("g"&amp;$E$13),0.5)," "))))))</f>
        <v xml:space="preserve"> </v>
      </c>
      <c r="I878" s="242" t="str">
        <f t="shared" si="71"/>
        <v xml:space="preserve"> </v>
      </c>
      <c r="J878" s="242" t="str">
        <f ca="1">IF(F878=1,AVERAGE(INDIRECT("I"&amp;$D$8):INDIRECT("I"&amp;$E$8)),IF(F878=2,AVERAGE(INDIRECT("I"&amp;$D$9):INDIRECT("I"&amp;$E$9)),IF(F878=3,AVERAGE(INDIRECT("I"&amp;$D$10):INDIRECT("I"&amp;$E$10)),IF(F878=4,AVERAGE(INDIRECT("I"&amp;$D$11):INDIRECT("I"&amp;$E$11)),IF(F878=5,AVERAGE(INDIRECT("I"&amp;$D$12):INDIRECT("I"&amp;$E$12)),IF(F878=6,AVERAGE(INDIRECT("I"&amp;$D$13):INDIRECT("I"&amp;$E$13))," "))))))</f>
        <v xml:space="preserve"> </v>
      </c>
      <c r="K878" s="242" t="str">
        <f t="shared" si="72"/>
        <v xml:space="preserve"> </v>
      </c>
      <c r="L878" s="242" t="str">
        <f t="shared" si="73"/>
        <v xml:space="preserve"> </v>
      </c>
      <c r="M878" s="242" t="str">
        <f t="shared" si="74"/>
        <v xml:space="preserve"> </v>
      </c>
    </row>
    <row r="879" spans="6:13" x14ac:dyDescent="0.2">
      <c r="F879" s="216" t="str">
        <f t="shared" si="70"/>
        <v xml:space="preserve"> </v>
      </c>
      <c r="G879" s="50"/>
      <c r="H879" s="242" t="str">
        <f ca="1">IF(F879=1,PERCENTILE(INDIRECT("g"&amp;$D$8):INDIRECT("g"&amp;$E$8),0.5),IF(F879=2,PERCENTILE(INDIRECT("g"&amp;$D$9):INDIRECT("g"&amp;$E$9),0.5),IF(F879=3,PERCENTILE(INDIRECT("g"&amp;$D$10):INDIRECT("g"&amp;$E$10),0.5),IF(F879=4,PERCENTILE(INDIRECT("g"&amp;$D$11):INDIRECT("g"&amp;$E$11),0.5),IF(F879=5,PERCENTILE(INDIRECT("g"&amp;$D$12):INDIRECT("g"&amp;$E$12),0.5),IF(F879=6,PERCENTILE(INDIRECT("g"&amp;$D$13):INDIRECT("g"&amp;$E$13),0.5)," "))))))</f>
        <v xml:space="preserve"> </v>
      </c>
      <c r="I879" s="242" t="str">
        <f t="shared" si="71"/>
        <v xml:space="preserve"> </v>
      </c>
      <c r="J879" s="242" t="str">
        <f ca="1">IF(F879=1,AVERAGE(INDIRECT("I"&amp;$D$8):INDIRECT("I"&amp;$E$8)),IF(F879=2,AVERAGE(INDIRECT("I"&amp;$D$9):INDIRECT("I"&amp;$E$9)),IF(F879=3,AVERAGE(INDIRECT("I"&amp;$D$10):INDIRECT("I"&amp;$E$10)),IF(F879=4,AVERAGE(INDIRECT("I"&amp;$D$11):INDIRECT("I"&amp;$E$11)),IF(F879=5,AVERAGE(INDIRECT("I"&amp;$D$12):INDIRECT("I"&amp;$E$12)),IF(F879=6,AVERAGE(INDIRECT("I"&amp;$D$13):INDIRECT("I"&amp;$E$13))," "))))))</f>
        <v xml:space="preserve"> </v>
      </c>
      <c r="K879" s="242" t="str">
        <f t="shared" si="72"/>
        <v xml:space="preserve"> </v>
      </c>
      <c r="L879" s="242" t="str">
        <f t="shared" si="73"/>
        <v xml:space="preserve"> </v>
      </c>
      <c r="M879" s="242" t="str">
        <f t="shared" si="74"/>
        <v xml:space="preserve"> </v>
      </c>
    </row>
    <row r="880" spans="6:13" x14ac:dyDescent="0.2">
      <c r="F880" s="216" t="str">
        <f t="shared" si="70"/>
        <v xml:space="preserve"> </v>
      </c>
      <c r="G880" s="50"/>
      <c r="H880" s="242" t="str">
        <f ca="1">IF(F880=1,PERCENTILE(INDIRECT("g"&amp;$D$8):INDIRECT("g"&amp;$E$8),0.5),IF(F880=2,PERCENTILE(INDIRECT("g"&amp;$D$9):INDIRECT("g"&amp;$E$9),0.5),IF(F880=3,PERCENTILE(INDIRECT("g"&amp;$D$10):INDIRECT("g"&amp;$E$10),0.5),IF(F880=4,PERCENTILE(INDIRECT("g"&amp;$D$11):INDIRECT("g"&amp;$E$11),0.5),IF(F880=5,PERCENTILE(INDIRECT("g"&amp;$D$12):INDIRECT("g"&amp;$E$12),0.5),IF(F880=6,PERCENTILE(INDIRECT("g"&amp;$D$13):INDIRECT("g"&amp;$E$13),0.5)," "))))))</f>
        <v xml:space="preserve"> </v>
      </c>
      <c r="I880" s="242" t="str">
        <f t="shared" si="71"/>
        <v xml:space="preserve"> </v>
      </c>
      <c r="J880" s="242" t="str">
        <f ca="1">IF(F880=1,AVERAGE(INDIRECT("I"&amp;$D$8):INDIRECT("I"&amp;$E$8)),IF(F880=2,AVERAGE(INDIRECT("I"&amp;$D$9):INDIRECT("I"&amp;$E$9)),IF(F880=3,AVERAGE(INDIRECT("I"&amp;$D$10):INDIRECT("I"&amp;$E$10)),IF(F880=4,AVERAGE(INDIRECT("I"&amp;$D$11):INDIRECT("I"&amp;$E$11)),IF(F880=5,AVERAGE(INDIRECT("I"&amp;$D$12):INDIRECT("I"&amp;$E$12)),IF(F880=6,AVERAGE(INDIRECT("I"&amp;$D$13):INDIRECT("I"&amp;$E$13))," "))))))</f>
        <v xml:space="preserve"> </v>
      </c>
      <c r="K880" s="242" t="str">
        <f t="shared" si="72"/>
        <v xml:space="preserve"> </v>
      </c>
      <c r="L880" s="242" t="str">
        <f t="shared" si="73"/>
        <v xml:space="preserve"> </v>
      </c>
      <c r="M880" s="242" t="str">
        <f t="shared" si="74"/>
        <v xml:space="preserve"> </v>
      </c>
    </row>
    <row r="881" spans="6:13" x14ac:dyDescent="0.2">
      <c r="F881" s="216" t="str">
        <f t="shared" si="70"/>
        <v xml:space="preserve"> </v>
      </c>
      <c r="G881" s="50"/>
      <c r="H881" s="242" t="str">
        <f ca="1">IF(F881=1,PERCENTILE(INDIRECT("g"&amp;$D$8):INDIRECT("g"&amp;$E$8),0.5),IF(F881=2,PERCENTILE(INDIRECT("g"&amp;$D$9):INDIRECT("g"&amp;$E$9),0.5),IF(F881=3,PERCENTILE(INDIRECT("g"&amp;$D$10):INDIRECT("g"&amp;$E$10),0.5),IF(F881=4,PERCENTILE(INDIRECT("g"&amp;$D$11):INDIRECT("g"&amp;$E$11),0.5),IF(F881=5,PERCENTILE(INDIRECT("g"&amp;$D$12):INDIRECT("g"&amp;$E$12),0.5),IF(F881=6,PERCENTILE(INDIRECT("g"&amp;$D$13):INDIRECT("g"&amp;$E$13),0.5)," "))))))</f>
        <v xml:space="preserve"> </v>
      </c>
      <c r="I881" s="242" t="str">
        <f t="shared" si="71"/>
        <v xml:space="preserve"> </v>
      </c>
      <c r="J881" s="242" t="str">
        <f ca="1">IF(F881=1,AVERAGE(INDIRECT("I"&amp;$D$8):INDIRECT("I"&amp;$E$8)),IF(F881=2,AVERAGE(INDIRECT("I"&amp;$D$9):INDIRECT("I"&amp;$E$9)),IF(F881=3,AVERAGE(INDIRECT("I"&amp;$D$10):INDIRECT("I"&amp;$E$10)),IF(F881=4,AVERAGE(INDIRECT("I"&amp;$D$11):INDIRECT("I"&amp;$E$11)),IF(F881=5,AVERAGE(INDIRECT("I"&amp;$D$12):INDIRECT("I"&amp;$E$12)),IF(F881=6,AVERAGE(INDIRECT("I"&amp;$D$13):INDIRECT("I"&amp;$E$13))," "))))))</f>
        <v xml:space="preserve"> </v>
      </c>
      <c r="K881" s="242" t="str">
        <f t="shared" si="72"/>
        <v xml:space="preserve"> </v>
      </c>
      <c r="L881" s="242" t="str">
        <f t="shared" si="73"/>
        <v xml:space="preserve"> </v>
      </c>
      <c r="M881" s="242" t="str">
        <f t="shared" si="74"/>
        <v xml:space="preserve"> </v>
      </c>
    </row>
    <row r="882" spans="6:13" x14ac:dyDescent="0.2">
      <c r="F882" s="216" t="str">
        <f t="shared" si="70"/>
        <v xml:space="preserve"> </v>
      </c>
      <c r="G882" s="50"/>
      <c r="H882" s="242" t="str">
        <f ca="1">IF(F882=1,PERCENTILE(INDIRECT("g"&amp;$D$8):INDIRECT("g"&amp;$E$8),0.5),IF(F882=2,PERCENTILE(INDIRECT("g"&amp;$D$9):INDIRECT("g"&amp;$E$9),0.5),IF(F882=3,PERCENTILE(INDIRECT("g"&amp;$D$10):INDIRECT("g"&amp;$E$10),0.5),IF(F882=4,PERCENTILE(INDIRECT("g"&amp;$D$11):INDIRECT("g"&amp;$E$11),0.5),IF(F882=5,PERCENTILE(INDIRECT("g"&amp;$D$12):INDIRECT("g"&amp;$E$12),0.5),IF(F882=6,PERCENTILE(INDIRECT("g"&amp;$D$13):INDIRECT("g"&amp;$E$13),0.5)," "))))))</f>
        <v xml:space="preserve"> </v>
      </c>
      <c r="I882" s="242" t="str">
        <f t="shared" si="71"/>
        <v xml:space="preserve"> </v>
      </c>
      <c r="J882" s="242" t="str">
        <f ca="1">IF(F882=1,AVERAGE(INDIRECT("I"&amp;$D$8):INDIRECT("I"&amp;$E$8)),IF(F882=2,AVERAGE(INDIRECT("I"&amp;$D$9):INDIRECT("I"&amp;$E$9)),IF(F882=3,AVERAGE(INDIRECT("I"&amp;$D$10):INDIRECT("I"&amp;$E$10)),IF(F882=4,AVERAGE(INDIRECT("I"&amp;$D$11):INDIRECT("I"&amp;$E$11)),IF(F882=5,AVERAGE(INDIRECT("I"&amp;$D$12):INDIRECT("I"&amp;$E$12)),IF(F882=6,AVERAGE(INDIRECT("I"&amp;$D$13):INDIRECT("I"&amp;$E$13))," "))))))</f>
        <v xml:space="preserve"> </v>
      </c>
      <c r="K882" s="242" t="str">
        <f t="shared" si="72"/>
        <v xml:space="preserve"> </v>
      </c>
      <c r="L882" s="242" t="str">
        <f t="shared" si="73"/>
        <v xml:space="preserve"> </v>
      </c>
      <c r="M882" s="242" t="str">
        <f t="shared" si="74"/>
        <v xml:space="preserve"> </v>
      </c>
    </row>
    <row r="883" spans="6:13" x14ac:dyDescent="0.2">
      <c r="F883" s="216" t="str">
        <f t="shared" si="70"/>
        <v xml:space="preserve"> </v>
      </c>
      <c r="G883" s="50"/>
      <c r="H883" s="242" t="str">
        <f ca="1">IF(F883=1,PERCENTILE(INDIRECT("g"&amp;$D$8):INDIRECT("g"&amp;$E$8),0.5),IF(F883=2,PERCENTILE(INDIRECT("g"&amp;$D$9):INDIRECT("g"&amp;$E$9),0.5),IF(F883=3,PERCENTILE(INDIRECT("g"&amp;$D$10):INDIRECT("g"&amp;$E$10),0.5),IF(F883=4,PERCENTILE(INDIRECT("g"&amp;$D$11):INDIRECT("g"&amp;$E$11),0.5),IF(F883=5,PERCENTILE(INDIRECT("g"&amp;$D$12):INDIRECT("g"&amp;$E$12),0.5),IF(F883=6,PERCENTILE(INDIRECT("g"&amp;$D$13):INDIRECT("g"&amp;$E$13),0.5)," "))))))</f>
        <v xml:space="preserve"> </v>
      </c>
      <c r="I883" s="242" t="str">
        <f t="shared" si="71"/>
        <v xml:space="preserve"> </v>
      </c>
      <c r="J883" s="242" t="str">
        <f ca="1">IF(F883=1,AVERAGE(INDIRECT("I"&amp;$D$8):INDIRECT("I"&amp;$E$8)),IF(F883=2,AVERAGE(INDIRECT("I"&amp;$D$9):INDIRECT("I"&amp;$E$9)),IF(F883=3,AVERAGE(INDIRECT("I"&amp;$D$10):INDIRECT("I"&amp;$E$10)),IF(F883=4,AVERAGE(INDIRECT("I"&amp;$D$11):INDIRECT("I"&amp;$E$11)),IF(F883=5,AVERAGE(INDIRECT("I"&amp;$D$12):INDIRECT("I"&amp;$E$12)),IF(F883=6,AVERAGE(INDIRECT("I"&amp;$D$13):INDIRECT("I"&amp;$E$13))," "))))))</f>
        <v xml:space="preserve"> </v>
      </c>
      <c r="K883" s="242" t="str">
        <f t="shared" si="72"/>
        <v xml:space="preserve"> </v>
      </c>
      <c r="L883" s="242" t="str">
        <f t="shared" si="73"/>
        <v xml:space="preserve"> </v>
      </c>
      <c r="M883" s="242" t="str">
        <f t="shared" si="74"/>
        <v xml:space="preserve"> </v>
      </c>
    </row>
    <row r="884" spans="6:13" x14ac:dyDescent="0.2">
      <c r="F884" s="216" t="str">
        <f t="shared" si="70"/>
        <v xml:space="preserve"> </v>
      </c>
      <c r="G884" s="50"/>
      <c r="H884" s="242" t="str">
        <f ca="1">IF(F884=1,PERCENTILE(INDIRECT("g"&amp;$D$8):INDIRECT("g"&amp;$E$8),0.5),IF(F884=2,PERCENTILE(INDIRECT("g"&amp;$D$9):INDIRECT("g"&amp;$E$9),0.5),IF(F884=3,PERCENTILE(INDIRECT("g"&amp;$D$10):INDIRECT("g"&amp;$E$10),0.5),IF(F884=4,PERCENTILE(INDIRECT("g"&amp;$D$11):INDIRECT("g"&amp;$E$11),0.5),IF(F884=5,PERCENTILE(INDIRECT("g"&amp;$D$12):INDIRECT("g"&amp;$E$12),0.5),IF(F884=6,PERCENTILE(INDIRECT("g"&amp;$D$13):INDIRECT("g"&amp;$E$13),0.5)," "))))))</f>
        <v xml:space="preserve"> </v>
      </c>
      <c r="I884" s="242" t="str">
        <f t="shared" si="71"/>
        <v xml:space="preserve"> </v>
      </c>
      <c r="J884" s="242" t="str">
        <f ca="1">IF(F884=1,AVERAGE(INDIRECT("I"&amp;$D$8):INDIRECT("I"&amp;$E$8)),IF(F884=2,AVERAGE(INDIRECT("I"&amp;$D$9):INDIRECT("I"&amp;$E$9)),IF(F884=3,AVERAGE(INDIRECT("I"&amp;$D$10):INDIRECT("I"&amp;$E$10)),IF(F884=4,AVERAGE(INDIRECT("I"&amp;$D$11):INDIRECT("I"&amp;$E$11)),IF(F884=5,AVERAGE(INDIRECT("I"&amp;$D$12):INDIRECT("I"&amp;$E$12)),IF(F884=6,AVERAGE(INDIRECT("I"&amp;$D$13):INDIRECT("I"&amp;$E$13))," "))))))</f>
        <v xml:space="preserve"> </v>
      </c>
      <c r="K884" s="242" t="str">
        <f t="shared" si="72"/>
        <v xml:space="preserve"> </v>
      </c>
      <c r="L884" s="242" t="str">
        <f t="shared" si="73"/>
        <v xml:space="preserve"> </v>
      </c>
      <c r="M884" s="242" t="str">
        <f t="shared" si="74"/>
        <v xml:space="preserve"> </v>
      </c>
    </row>
    <row r="885" spans="6:13" x14ac:dyDescent="0.2">
      <c r="F885" s="216" t="str">
        <f t="shared" si="70"/>
        <v xml:space="preserve"> </v>
      </c>
      <c r="G885" s="50"/>
      <c r="H885" s="242" t="str">
        <f ca="1">IF(F885=1,PERCENTILE(INDIRECT("g"&amp;$D$8):INDIRECT("g"&amp;$E$8),0.5),IF(F885=2,PERCENTILE(INDIRECT("g"&amp;$D$9):INDIRECT("g"&amp;$E$9),0.5),IF(F885=3,PERCENTILE(INDIRECT("g"&amp;$D$10):INDIRECT("g"&amp;$E$10),0.5),IF(F885=4,PERCENTILE(INDIRECT("g"&amp;$D$11):INDIRECT("g"&amp;$E$11),0.5),IF(F885=5,PERCENTILE(INDIRECT("g"&amp;$D$12):INDIRECT("g"&amp;$E$12),0.5),IF(F885=6,PERCENTILE(INDIRECT("g"&amp;$D$13):INDIRECT("g"&amp;$E$13),0.5)," "))))))</f>
        <v xml:space="preserve"> </v>
      </c>
      <c r="I885" s="242" t="str">
        <f t="shared" si="71"/>
        <v xml:space="preserve"> </v>
      </c>
      <c r="J885" s="242" t="str">
        <f ca="1">IF(F885=1,AVERAGE(INDIRECT("I"&amp;$D$8):INDIRECT("I"&amp;$E$8)),IF(F885=2,AVERAGE(INDIRECT("I"&amp;$D$9):INDIRECT("I"&amp;$E$9)),IF(F885=3,AVERAGE(INDIRECT("I"&amp;$D$10):INDIRECT("I"&amp;$E$10)),IF(F885=4,AVERAGE(INDIRECT("I"&amp;$D$11):INDIRECT("I"&amp;$E$11)),IF(F885=5,AVERAGE(INDIRECT("I"&amp;$D$12):INDIRECT("I"&amp;$E$12)),IF(F885=6,AVERAGE(INDIRECT("I"&amp;$D$13):INDIRECT("I"&amp;$E$13))," "))))))</f>
        <v xml:space="preserve"> </v>
      </c>
      <c r="K885" s="242" t="str">
        <f t="shared" si="72"/>
        <v xml:space="preserve"> </v>
      </c>
      <c r="L885" s="242" t="str">
        <f t="shared" si="73"/>
        <v xml:space="preserve"> </v>
      </c>
      <c r="M885" s="242" t="str">
        <f t="shared" si="74"/>
        <v xml:space="preserve"> </v>
      </c>
    </row>
    <row r="886" spans="6:13" x14ac:dyDescent="0.2">
      <c r="F886" s="216" t="str">
        <f t="shared" si="70"/>
        <v xml:space="preserve"> </v>
      </c>
      <c r="G886" s="50"/>
      <c r="H886" s="242" t="str">
        <f ca="1">IF(F886=1,PERCENTILE(INDIRECT("g"&amp;$D$8):INDIRECT("g"&amp;$E$8),0.5),IF(F886=2,PERCENTILE(INDIRECT("g"&amp;$D$9):INDIRECT("g"&amp;$E$9),0.5),IF(F886=3,PERCENTILE(INDIRECT("g"&amp;$D$10):INDIRECT("g"&amp;$E$10),0.5),IF(F886=4,PERCENTILE(INDIRECT("g"&amp;$D$11):INDIRECT("g"&amp;$E$11),0.5),IF(F886=5,PERCENTILE(INDIRECT("g"&amp;$D$12):INDIRECT("g"&amp;$E$12),0.5),IF(F886=6,PERCENTILE(INDIRECT("g"&amp;$D$13):INDIRECT("g"&amp;$E$13),0.5)," "))))))</f>
        <v xml:space="preserve"> </v>
      </c>
      <c r="I886" s="242" t="str">
        <f t="shared" si="71"/>
        <v xml:space="preserve"> </v>
      </c>
      <c r="J886" s="242" t="str">
        <f ca="1">IF(F886=1,AVERAGE(INDIRECT("I"&amp;$D$8):INDIRECT("I"&amp;$E$8)),IF(F886=2,AVERAGE(INDIRECT("I"&amp;$D$9):INDIRECT("I"&amp;$E$9)),IF(F886=3,AVERAGE(INDIRECT("I"&amp;$D$10):INDIRECT("I"&amp;$E$10)),IF(F886=4,AVERAGE(INDIRECT("I"&amp;$D$11):INDIRECT("I"&amp;$E$11)),IF(F886=5,AVERAGE(INDIRECT("I"&amp;$D$12):INDIRECT("I"&amp;$E$12)),IF(F886=6,AVERAGE(INDIRECT("I"&amp;$D$13):INDIRECT("I"&amp;$E$13))," "))))))</f>
        <v xml:space="preserve"> </v>
      </c>
      <c r="K886" s="242" t="str">
        <f t="shared" si="72"/>
        <v xml:space="preserve"> </v>
      </c>
      <c r="L886" s="242" t="str">
        <f t="shared" si="73"/>
        <v xml:space="preserve"> </v>
      </c>
      <c r="M886" s="242" t="str">
        <f t="shared" si="74"/>
        <v xml:space="preserve"> </v>
      </c>
    </row>
    <row r="887" spans="6:13" x14ac:dyDescent="0.2">
      <c r="F887" s="216" t="str">
        <f t="shared" si="70"/>
        <v xml:space="preserve"> </v>
      </c>
      <c r="G887" s="50"/>
      <c r="H887" s="242" t="str">
        <f ca="1">IF(F887=1,PERCENTILE(INDIRECT("g"&amp;$D$8):INDIRECT("g"&amp;$E$8),0.5),IF(F887=2,PERCENTILE(INDIRECT("g"&amp;$D$9):INDIRECT("g"&amp;$E$9),0.5),IF(F887=3,PERCENTILE(INDIRECT("g"&amp;$D$10):INDIRECT("g"&amp;$E$10),0.5),IF(F887=4,PERCENTILE(INDIRECT("g"&amp;$D$11):INDIRECT("g"&amp;$E$11),0.5),IF(F887=5,PERCENTILE(INDIRECT("g"&amp;$D$12):INDIRECT("g"&amp;$E$12),0.5),IF(F887=6,PERCENTILE(INDIRECT("g"&amp;$D$13):INDIRECT("g"&amp;$E$13),0.5)," "))))))</f>
        <v xml:space="preserve"> </v>
      </c>
      <c r="I887" s="242" t="str">
        <f t="shared" si="71"/>
        <v xml:space="preserve"> </v>
      </c>
      <c r="J887" s="242" t="str">
        <f ca="1">IF(F887=1,AVERAGE(INDIRECT("I"&amp;$D$8):INDIRECT("I"&amp;$E$8)),IF(F887=2,AVERAGE(INDIRECT("I"&amp;$D$9):INDIRECT("I"&amp;$E$9)),IF(F887=3,AVERAGE(INDIRECT("I"&amp;$D$10):INDIRECT("I"&amp;$E$10)),IF(F887=4,AVERAGE(INDIRECT("I"&amp;$D$11):INDIRECT("I"&amp;$E$11)),IF(F887=5,AVERAGE(INDIRECT("I"&amp;$D$12):INDIRECT("I"&amp;$E$12)),IF(F887=6,AVERAGE(INDIRECT("I"&amp;$D$13):INDIRECT("I"&amp;$E$13))," "))))))</f>
        <v xml:space="preserve"> </v>
      </c>
      <c r="K887" s="242" t="str">
        <f t="shared" si="72"/>
        <v xml:space="preserve"> </v>
      </c>
      <c r="L887" s="242" t="str">
        <f t="shared" si="73"/>
        <v xml:space="preserve"> </v>
      </c>
      <c r="M887" s="242" t="str">
        <f t="shared" si="74"/>
        <v xml:space="preserve"> </v>
      </c>
    </row>
    <row r="888" spans="6:13" x14ac:dyDescent="0.2">
      <c r="F888" s="216" t="str">
        <f t="shared" si="70"/>
        <v xml:space="preserve"> </v>
      </c>
      <c r="G888" s="50"/>
      <c r="H888" s="242" t="str">
        <f ca="1">IF(F888=1,PERCENTILE(INDIRECT("g"&amp;$D$8):INDIRECT("g"&amp;$E$8),0.5),IF(F888=2,PERCENTILE(INDIRECT("g"&amp;$D$9):INDIRECT("g"&amp;$E$9),0.5),IF(F888=3,PERCENTILE(INDIRECT("g"&amp;$D$10):INDIRECT("g"&amp;$E$10),0.5),IF(F888=4,PERCENTILE(INDIRECT("g"&amp;$D$11):INDIRECT("g"&amp;$E$11),0.5),IF(F888=5,PERCENTILE(INDIRECT("g"&amp;$D$12):INDIRECT("g"&amp;$E$12),0.5),IF(F888=6,PERCENTILE(INDIRECT("g"&amp;$D$13):INDIRECT("g"&amp;$E$13),0.5)," "))))))</f>
        <v xml:space="preserve"> </v>
      </c>
      <c r="I888" s="242" t="str">
        <f t="shared" si="71"/>
        <v xml:space="preserve"> </v>
      </c>
      <c r="J888" s="242" t="str">
        <f ca="1">IF(F888=1,AVERAGE(INDIRECT("I"&amp;$D$8):INDIRECT("I"&amp;$E$8)),IF(F888=2,AVERAGE(INDIRECT("I"&amp;$D$9):INDIRECT("I"&amp;$E$9)),IF(F888=3,AVERAGE(INDIRECT("I"&amp;$D$10):INDIRECT("I"&amp;$E$10)),IF(F888=4,AVERAGE(INDIRECT("I"&amp;$D$11):INDIRECT("I"&amp;$E$11)),IF(F888=5,AVERAGE(INDIRECT("I"&amp;$D$12):INDIRECT("I"&amp;$E$12)),IF(F888=6,AVERAGE(INDIRECT("I"&amp;$D$13):INDIRECT("I"&amp;$E$13))," "))))))</f>
        <v xml:space="preserve"> </v>
      </c>
      <c r="K888" s="242" t="str">
        <f t="shared" si="72"/>
        <v xml:space="preserve"> </v>
      </c>
      <c r="L888" s="242" t="str">
        <f t="shared" si="73"/>
        <v xml:space="preserve"> </v>
      </c>
      <c r="M888" s="242" t="str">
        <f t="shared" si="74"/>
        <v xml:space="preserve"> </v>
      </c>
    </row>
    <row r="889" spans="6:13" x14ac:dyDescent="0.2">
      <c r="F889" s="216" t="str">
        <f t="shared" si="70"/>
        <v xml:space="preserve"> </v>
      </c>
      <c r="G889" s="50"/>
      <c r="H889" s="242" t="str">
        <f ca="1">IF(F889=1,PERCENTILE(INDIRECT("g"&amp;$D$8):INDIRECT("g"&amp;$E$8),0.5),IF(F889=2,PERCENTILE(INDIRECT("g"&amp;$D$9):INDIRECT("g"&amp;$E$9),0.5),IF(F889=3,PERCENTILE(INDIRECT("g"&amp;$D$10):INDIRECT("g"&amp;$E$10),0.5),IF(F889=4,PERCENTILE(INDIRECT("g"&amp;$D$11):INDIRECT("g"&amp;$E$11),0.5),IF(F889=5,PERCENTILE(INDIRECT("g"&amp;$D$12):INDIRECT("g"&amp;$E$12),0.5),IF(F889=6,PERCENTILE(INDIRECT("g"&amp;$D$13):INDIRECT("g"&amp;$E$13),0.5)," "))))))</f>
        <v xml:space="preserve"> </v>
      </c>
      <c r="I889" s="242" t="str">
        <f t="shared" si="71"/>
        <v xml:space="preserve"> </v>
      </c>
      <c r="J889" s="242" t="str">
        <f ca="1">IF(F889=1,AVERAGE(INDIRECT("I"&amp;$D$8):INDIRECT("I"&amp;$E$8)),IF(F889=2,AVERAGE(INDIRECT("I"&amp;$D$9):INDIRECT("I"&amp;$E$9)),IF(F889=3,AVERAGE(INDIRECT("I"&amp;$D$10):INDIRECT("I"&amp;$E$10)),IF(F889=4,AVERAGE(INDIRECT("I"&amp;$D$11):INDIRECT("I"&amp;$E$11)),IF(F889=5,AVERAGE(INDIRECT("I"&amp;$D$12):INDIRECT("I"&amp;$E$12)),IF(F889=6,AVERAGE(INDIRECT("I"&amp;$D$13):INDIRECT("I"&amp;$E$13))," "))))))</f>
        <v xml:space="preserve"> </v>
      </c>
      <c r="K889" s="242" t="str">
        <f t="shared" si="72"/>
        <v xml:space="preserve"> </v>
      </c>
      <c r="L889" s="242" t="str">
        <f t="shared" si="73"/>
        <v xml:space="preserve"> </v>
      </c>
      <c r="M889" s="242" t="str">
        <f t="shared" si="74"/>
        <v xml:space="preserve"> </v>
      </c>
    </row>
    <row r="890" spans="6:13" x14ac:dyDescent="0.2">
      <c r="F890" s="216" t="str">
        <f t="shared" si="70"/>
        <v xml:space="preserve"> </v>
      </c>
      <c r="G890" s="50"/>
      <c r="H890" s="242" t="str">
        <f ca="1">IF(F890=1,PERCENTILE(INDIRECT("g"&amp;$D$8):INDIRECT("g"&amp;$E$8),0.5),IF(F890=2,PERCENTILE(INDIRECT("g"&amp;$D$9):INDIRECT("g"&amp;$E$9),0.5),IF(F890=3,PERCENTILE(INDIRECT("g"&amp;$D$10):INDIRECT("g"&amp;$E$10),0.5),IF(F890=4,PERCENTILE(INDIRECT("g"&amp;$D$11):INDIRECT("g"&amp;$E$11),0.5),IF(F890=5,PERCENTILE(INDIRECT("g"&amp;$D$12):INDIRECT("g"&amp;$E$12),0.5),IF(F890=6,PERCENTILE(INDIRECT("g"&amp;$D$13):INDIRECT("g"&amp;$E$13),0.5)," "))))))</f>
        <v xml:space="preserve"> </v>
      </c>
      <c r="I890" s="242" t="str">
        <f t="shared" si="71"/>
        <v xml:space="preserve"> </v>
      </c>
      <c r="J890" s="242" t="str">
        <f ca="1">IF(F890=1,AVERAGE(INDIRECT("I"&amp;$D$8):INDIRECT("I"&amp;$E$8)),IF(F890=2,AVERAGE(INDIRECT("I"&amp;$D$9):INDIRECT("I"&amp;$E$9)),IF(F890=3,AVERAGE(INDIRECT("I"&amp;$D$10):INDIRECT("I"&amp;$E$10)),IF(F890=4,AVERAGE(INDIRECT("I"&amp;$D$11):INDIRECT("I"&amp;$E$11)),IF(F890=5,AVERAGE(INDIRECT("I"&amp;$D$12):INDIRECT("I"&amp;$E$12)),IF(F890=6,AVERAGE(INDIRECT("I"&amp;$D$13):INDIRECT("I"&amp;$E$13))," "))))))</f>
        <v xml:space="preserve"> </v>
      </c>
      <c r="K890" s="242" t="str">
        <f t="shared" si="72"/>
        <v xml:space="preserve"> </v>
      </c>
      <c r="L890" s="242" t="str">
        <f t="shared" si="73"/>
        <v xml:space="preserve"> </v>
      </c>
      <c r="M890" s="242" t="str">
        <f t="shared" si="74"/>
        <v xml:space="preserve"> </v>
      </c>
    </row>
    <row r="891" spans="6:13" x14ac:dyDescent="0.2">
      <c r="F891" s="216" t="str">
        <f t="shared" si="70"/>
        <v xml:space="preserve"> </v>
      </c>
      <c r="G891" s="50"/>
      <c r="H891" s="242" t="str">
        <f ca="1">IF(F891=1,PERCENTILE(INDIRECT("g"&amp;$D$8):INDIRECT("g"&amp;$E$8),0.5),IF(F891=2,PERCENTILE(INDIRECT("g"&amp;$D$9):INDIRECT("g"&amp;$E$9),0.5),IF(F891=3,PERCENTILE(INDIRECT("g"&amp;$D$10):INDIRECT("g"&amp;$E$10),0.5),IF(F891=4,PERCENTILE(INDIRECT("g"&amp;$D$11):INDIRECT("g"&amp;$E$11),0.5),IF(F891=5,PERCENTILE(INDIRECT("g"&amp;$D$12):INDIRECT("g"&amp;$E$12),0.5),IF(F891=6,PERCENTILE(INDIRECT("g"&amp;$D$13):INDIRECT("g"&amp;$E$13),0.5)," "))))))</f>
        <v xml:space="preserve"> </v>
      </c>
      <c r="I891" s="242" t="str">
        <f t="shared" si="71"/>
        <v xml:space="preserve"> </v>
      </c>
      <c r="J891" s="242" t="str">
        <f ca="1">IF(F891=1,AVERAGE(INDIRECT("I"&amp;$D$8):INDIRECT("I"&amp;$E$8)),IF(F891=2,AVERAGE(INDIRECT("I"&amp;$D$9):INDIRECT("I"&amp;$E$9)),IF(F891=3,AVERAGE(INDIRECT("I"&amp;$D$10):INDIRECT("I"&amp;$E$10)),IF(F891=4,AVERAGE(INDIRECT("I"&amp;$D$11):INDIRECT("I"&amp;$E$11)),IF(F891=5,AVERAGE(INDIRECT("I"&amp;$D$12):INDIRECT("I"&amp;$E$12)),IF(F891=6,AVERAGE(INDIRECT("I"&amp;$D$13):INDIRECT("I"&amp;$E$13))," "))))))</f>
        <v xml:space="preserve"> </v>
      </c>
      <c r="K891" s="242" t="str">
        <f t="shared" si="72"/>
        <v xml:space="preserve"> </v>
      </c>
      <c r="L891" s="242" t="str">
        <f t="shared" si="73"/>
        <v xml:space="preserve"> </v>
      </c>
      <c r="M891" s="242" t="str">
        <f t="shared" si="74"/>
        <v xml:space="preserve"> </v>
      </c>
    </row>
    <row r="892" spans="6:13" x14ac:dyDescent="0.2">
      <c r="F892" s="216" t="str">
        <f t="shared" si="70"/>
        <v xml:space="preserve"> </v>
      </c>
      <c r="G892" s="50"/>
      <c r="H892" s="242" t="str">
        <f ca="1">IF(F892=1,PERCENTILE(INDIRECT("g"&amp;$D$8):INDIRECT("g"&amp;$E$8),0.5),IF(F892=2,PERCENTILE(INDIRECT("g"&amp;$D$9):INDIRECT("g"&amp;$E$9),0.5),IF(F892=3,PERCENTILE(INDIRECT("g"&amp;$D$10):INDIRECT("g"&amp;$E$10),0.5),IF(F892=4,PERCENTILE(INDIRECT("g"&amp;$D$11):INDIRECT("g"&amp;$E$11),0.5),IF(F892=5,PERCENTILE(INDIRECT("g"&amp;$D$12):INDIRECT("g"&amp;$E$12),0.5),IF(F892=6,PERCENTILE(INDIRECT("g"&amp;$D$13):INDIRECT("g"&amp;$E$13),0.5)," "))))))</f>
        <v xml:space="preserve"> </v>
      </c>
      <c r="I892" s="242" t="str">
        <f t="shared" si="71"/>
        <v xml:space="preserve"> </v>
      </c>
      <c r="J892" s="242" t="str">
        <f ca="1">IF(F892=1,AVERAGE(INDIRECT("I"&amp;$D$8):INDIRECT("I"&amp;$E$8)),IF(F892=2,AVERAGE(INDIRECT("I"&amp;$D$9):INDIRECT("I"&amp;$E$9)),IF(F892=3,AVERAGE(INDIRECT("I"&amp;$D$10):INDIRECT("I"&amp;$E$10)),IF(F892=4,AVERAGE(INDIRECT("I"&amp;$D$11):INDIRECT("I"&amp;$E$11)),IF(F892=5,AVERAGE(INDIRECT("I"&amp;$D$12):INDIRECT("I"&amp;$E$12)),IF(F892=6,AVERAGE(INDIRECT("I"&amp;$D$13):INDIRECT("I"&amp;$E$13))," "))))))</f>
        <v xml:space="preserve"> </v>
      </c>
      <c r="K892" s="242" t="str">
        <f t="shared" si="72"/>
        <v xml:space="preserve"> </v>
      </c>
      <c r="L892" s="242" t="str">
        <f t="shared" si="73"/>
        <v xml:space="preserve"> </v>
      </c>
      <c r="M892" s="242" t="str">
        <f t="shared" si="74"/>
        <v xml:space="preserve"> </v>
      </c>
    </row>
    <row r="893" spans="6:13" x14ac:dyDescent="0.2">
      <c r="F893" s="216" t="str">
        <f t="shared" si="70"/>
        <v xml:space="preserve"> </v>
      </c>
      <c r="G893" s="50"/>
      <c r="H893" s="242" t="str">
        <f ca="1">IF(F893=1,PERCENTILE(INDIRECT("g"&amp;$D$8):INDIRECT("g"&amp;$E$8),0.5),IF(F893=2,PERCENTILE(INDIRECT("g"&amp;$D$9):INDIRECT("g"&amp;$E$9),0.5),IF(F893=3,PERCENTILE(INDIRECT("g"&amp;$D$10):INDIRECT("g"&amp;$E$10),0.5),IF(F893=4,PERCENTILE(INDIRECT("g"&amp;$D$11):INDIRECT("g"&amp;$E$11),0.5),IF(F893=5,PERCENTILE(INDIRECT("g"&amp;$D$12):INDIRECT("g"&amp;$E$12),0.5),IF(F893=6,PERCENTILE(INDIRECT("g"&amp;$D$13):INDIRECT("g"&amp;$E$13),0.5)," "))))))</f>
        <v xml:space="preserve"> </v>
      </c>
      <c r="I893" s="242" t="str">
        <f t="shared" si="71"/>
        <v xml:space="preserve"> </v>
      </c>
      <c r="J893" s="242" t="str">
        <f ca="1">IF(F893=1,AVERAGE(INDIRECT("I"&amp;$D$8):INDIRECT("I"&amp;$E$8)),IF(F893=2,AVERAGE(INDIRECT("I"&amp;$D$9):INDIRECT("I"&amp;$E$9)),IF(F893=3,AVERAGE(INDIRECT("I"&amp;$D$10):INDIRECT("I"&amp;$E$10)),IF(F893=4,AVERAGE(INDIRECT("I"&amp;$D$11):INDIRECT("I"&amp;$E$11)),IF(F893=5,AVERAGE(INDIRECT("I"&amp;$D$12):INDIRECT("I"&amp;$E$12)),IF(F893=6,AVERAGE(INDIRECT("I"&amp;$D$13):INDIRECT("I"&amp;$E$13))," "))))))</f>
        <v xml:space="preserve"> </v>
      </c>
      <c r="K893" s="242" t="str">
        <f t="shared" si="72"/>
        <v xml:space="preserve"> </v>
      </c>
      <c r="L893" s="242" t="str">
        <f t="shared" si="73"/>
        <v xml:space="preserve"> </v>
      </c>
      <c r="M893" s="242" t="str">
        <f t="shared" si="74"/>
        <v xml:space="preserve"> </v>
      </c>
    </row>
    <row r="894" spans="6:13" x14ac:dyDescent="0.2">
      <c r="F894" s="216" t="str">
        <f t="shared" si="70"/>
        <v xml:space="preserve"> </v>
      </c>
      <c r="G894" s="50"/>
      <c r="H894" s="242" t="str">
        <f ca="1">IF(F894=1,PERCENTILE(INDIRECT("g"&amp;$D$8):INDIRECT("g"&amp;$E$8),0.5),IF(F894=2,PERCENTILE(INDIRECT("g"&amp;$D$9):INDIRECT("g"&amp;$E$9),0.5),IF(F894=3,PERCENTILE(INDIRECT("g"&amp;$D$10):INDIRECT("g"&amp;$E$10),0.5),IF(F894=4,PERCENTILE(INDIRECT("g"&amp;$D$11):INDIRECT("g"&amp;$E$11),0.5),IF(F894=5,PERCENTILE(INDIRECT("g"&amp;$D$12):INDIRECT("g"&amp;$E$12),0.5),IF(F894=6,PERCENTILE(INDIRECT("g"&amp;$D$13):INDIRECT("g"&amp;$E$13),0.5)," "))))))</f>
        <v xml:space="preserve"> </v>
      </c>
      <c r="I894" s="242" t="str">
        <f t="shared" si="71"/>
        <v xml:space="preserve"> </v>
      </c>
      <c r="J894" s="242" t="str">
        <f ca="1">IF(F894=1,AVERAGE(INDIRECT("I"&amp;$D$8):INDIRECT("I"&amp;$E$8)),IF(F894=2,AVERAGE(INDIRECT("I"&amp;$D$9):INDIRECT("I"&amp;$E$9)),IF(F894=3,AVERAGE(INDIRECT("I"&amp;$D$10):INDIRECT("I"&amp;$E$10)),IF(F894=4,AVERAGE(INDIRECT("I"&amp;$D$11):INDIRECT("I"&amp;$E$11)),IF(F894=5,AVERAGE(INDIRECT("I"&amp;$D$12):INDIRECT("I"&amp;$E$12)),IF(F894=6,AVERAGE(INDIRECT("I"&amp;$D$13):INDIRECT("I"&amp;$E$13))," "))))))</f>
        <v xml:space="preserve"> </v>
      </c>
      <c r="K894" s="242" t="str">
        <f t="shared" si="72"/>
        <v xml:space="preserve"> </v>
      </c>
      <c r="L894" s="242" t="str">
        <f t="shared" si="73"/>
        <v xml:space="preserve"> </v>
      </c>
      <c r="M894" s="242" t="str">
        <f t="shared" si="74"/>
        <v xml:space="preserve"> </v>
      </c>
    </row>
    <row r="895" spans="6:13" x14ac:dyDescent="0.2">
      <c r="F895" s="216" t="str">
        <f t="shared" si="70"/>
        <v xml:space="preserve"> </v>
      </c>
      <c r="G895" s="50"/>
      <c r="H895" s="242" t="str">
        <f ca="1">IF(F895=1,PERCENTILE(INDIRECT("g"&amp;$D$8):INDIRECT("g"&amp;$E$8),0.5),IF(F895=2,PERCENTILE(INDIRECT("g"&amp;$D$9):INDIRECT("g"&amp;$E$9),0.5),IF(F895=3,PERCENTILE(INDIRECT("g"&amp;$D$10):INDIRECT("g"&amp;$E$10),0.5),IF(F895=4,PERCENTILE(INDIRECT("g"&amp;$D$11):INDIRECT("g"&amp;$E$11),0.5),IF(F895=5,PERCENTILE(INDIRECT("g"&amp;$D$12):INDIRECT("g"&amp;$E$12),0.5),IF(F895=6,PERCENTILE(INDIRECT("g"&amp;$D$13):INDIRECT("g"&amp;$E$13),0.5)," "))))))</f>
        <v xml:space="preserve"> </v>
      </c>
      <c r="I895" s="242" t="str">
        <f t="shared" si="71"/>
        <v xml:space="preserve"> </v>
      </c>
      <c r="J895" s="242" t="str">
        <f ca="1">IF(F895=1,AVERAGE(INDIRECT("I"&amp;$D$8):INDIRECT("I"&amp;$E$8)),IF(F895=2,AVERAGE(INDIRECT("I"&amp;$D$9):INDIRECT("I"&amp;$E$9)),IF(F895=3,AVERAGE(INDIRECT("I"&amp;$D$10):INDIRECT("I"&amp;$E$10)),IF(F895=4,AVERAGE(INDIRECT("I"&amp;$D$11):INDIRECT("I"&amp;$E$11)),IF(F895=5,AVERAGE(INDIRECT("I"&amp;$D$12):INDIRECT("I"&amp;$E$12)),IF(F895=6,AVERAGE(INDIRECT("I"&amp;$D$13):INDIRECT("I"&amp;$E$13))," "))))))</f>
        <v xml:space="preserve"> </v>
      </c>
      <c r="K895" s="242" t="str">
        <f t="shared" si="72"/>
        <v xml:space="preserve"> </v>
      </c>
      <c r="L895" s="242" t="str">
        <f t="shared" si="73"/>
        <v xml:space="preserve"> </v>
      </c>
      <c r="M895" s="242" t="str">
        <f t="shared" si="74"/>
        <v xml:space="preserve"> </v>
      </c>
    </row>
    <row r="896" spans="6:13" x14ac:dyDescent="0.2">
      <c r="F896" s="216" t="str">
        <f t="shared" si="70"/>
        <v xml:space="preserve"> </v>
      </c>
      <c r="G896" s="50"/>
      <c r="H896" s="242" t="str">
        <f ca="1">IF(F896=1,PERCENTILE(INDIRECT("g"&amp;$D$8):INDIRECT("g"&amp;$E$8),0.5),IF(F896=2,PERCENTILE(INDIRECT("g"&amp;$D$9):INDIRECT("g"&amp;$E$9),0.5),IF(F896=3,PERCENTILE(INDIRECT("g"&amp;$D$10):INDIRECT("g"&amp;$E$10),0.5),IF(F896=4,PERCENTILE(INDIRECT("g"&amp;$D$11):INDIRECT("g"&amp;$E$11),0.5),IF(F896=5,PERCENTILE(INDIRECT("g"&amp;$D$12):INDIRECT("g"&amp;$E$12),0.5),IF(F896=6,PERCENTILE(INDIRECT("g"&amp;$D$13):INDIRECT("g"&amp;$E$13),0.5)," "))))))</f>
        <v xml:space="preserve"> </v>
      </c>
      <c r="I896" s="242" t="str">
        <f t="shared" si="71"/>
        <v xml:space="preserve"> </v>
      </c>
      <c r="J896" s="242" t="str">
        <f ca="1">IF(F896=1,AVERAGE(INDIRECT("I"&amp;$D$8):INDIRECT("I"&amp;$E$8)),IF(F896=2,AVERAGE(INDIRECT("I"&amp;$D$9):INDIRECT("I"&amp;$E$9)),IF(F896=3,AVERAGE(INDIRECT("I"&amp;$D$10):INDIRECT("I"&amp;$E$10)),IF(F896=4,AVERAGE(INDIRECT("I"&amp;$D$11):INDIRECT("I"&amp;$E$11)),IF(F896=5,AVERAGE(INDIRECT("I"&amp;$D$12):INDIRECT("I"&amp;$E$12)),IF(F896=6,AVERAGE(INDIRECT("I"&amp;$D$13):INDIRECT("I"&amp;$E$13))," "))))))</f>
        <v xml:space="preserve"> </v>
      </c>
      <c r="K896" s="242" t="str">
        <f t="shared" si="72"/>
        <v xml:space="preserve"> </v>
      </c>
      <c r="L896" s="242" t="str">
        <f t="shared" si="73"/>
        <v xml:space="preserve"> </v>
      </c>
      <c r="M896" s="242" t="str">
        <f t="shared" si="74"/>
        <v xml:space="preserve"> </v>
      </c>
    </row>
    <row r="897" spans="6:13" x14ac:dyDescent="0.2">
      <c r="F897" s="216" t="str">
        <f t="shared" si="70"/>
        <v xml:space="preserve"> </v>
      </c>
      <c r="G897" s="50"/>
      <c r="H897" s="242" t="str">
        <f ca="1">IF(F897=1,PERCENTILE(INDIRECT("g"&amp;$D$8):INDIRECT("g"&amp;$E$8),0.5),IF(F897=2,PERCENTILE(INDIRECT("g"&amp;$D$9):INDIRECT("g"&amp;$E$9),0.5),IF(F897=3,PERCENTILE(INDIRECT("g"&amp;$D$10):INDIRECT("g"&amp;$E$10),0.5),IF(F897=4,PERCENTILE(INDIRECT("g"&amp;$D$11):INDIRECT("g"&amp;$E$11),0.5),IF(F897=5,PERCENTILE(INDIRECT("g"&amp;$D$12):INDIRECT("g"&amp;$E$12),0.5),IF(F897=6,PERCENTILE(INDIRECT("g"&amp;$D$13):INDIRECT("g"&amp;$E$13),0.5)," "))))))</f>
        <v xml:space="preserve"> </v>
      </c>
      <c r="I897" s="242" t="str">
        <f t="shared" si="71"/>
        <v xml:space="preserve"> </v>
      </c>
      <c r="J897" s="242" t="str">
        <f ca="1">IF(F897=1,AVERAGE(INDIRECT("I"&amp;$D$8):INDIRECT("I"&amp;$E$8)),IF(F897=2,AVERAGE(INDIRECT("I"&amp;$D$9):INDIRECT("I"&amp;$E$9)),IF(F897=3,AVERAGE(INDIRECT("I"&amp;$D$10):INDIRECT("I"&amp;$E$10)),IF(F897=4,AVERAGE(INDIRECT("I"&amp;$D$11):INDIRECT("I"&amp;$E$11)),IF(F897=5,AVERAGE(INDIRECT("I"&amp;$D$12):INDIRECT("I"&amp;$E$12)),IF(F897=6,AVERAGE(INDIRECT("I"&amp;$D$13):INDIRECT("I"&amp;$E$13))," "))))))</f>
        <v xml:space="preserve"> </v>
      </c>
      <c r="K897" s="242" t="str">
        <f t="shared" si="72"/>
        <v xml:space="preserve"> </v>
      </c>
      <c r="L897" s="242" t="str">
        <f t="shared" si="73"/>
        <v xml:space="preserve"> </v>
      </c>
      <c r="M897" s="242" t="str">
        <f t="shared" si="74"/>
        <v xml:space="preserve"> </v>
      </c>
    </row>
    <row r="898" spans="6:13" x14ac:dyDescent="0.2">
      <c r="F898" s="216" t="str">
        <f t="shared" si="70"/>
        <v xml:space="preserve"> </v>
      </c>
      <c r="G898" s="50"/>
      <c r="H898" s="242" t="str">
        <f ca="1">IF(F898=1,PERCENTILE(INDIRECT("g"&amp;$D$8):INDIRECT("g"&amp;$E$8),0.5),IF(F898=2,PERCENTILE(INDIRECT("g"&amp;$D$9):INDIRECT("g"&amp;$E$9),0.5),IF(F898=3,PERCENTILE(INDIRECT("g"&amp;$D$10):INDIRECT("g"&amp;$E$10),0.5),IF(F898=4,PERCENTILE(INDIRECT("g"&amp;$D$11):INDIRECT("g"&amp;$E$11),0.5),IF(F898=5,PERCENTILE(INDIRECT("g"&amp;$D$12):INDIRECT("g"&amp;$E$12),0.5),IF(F898=6,PERCENTILE(INDIRECT("g"&amp;$D$13):INDIRECT("g"&amp;$E$13),0.5)," "))))))</f>
        <v xml:space="preserve"> </v>
      </c>
      <c r="I898" s="242" t="str">
        <f t="shared" si="71"/>
        <v xml:space="preserve"> </v>
      </c>
      <c r="J898" s="242" t="str">
        <f ca="1">IF(F898=1,AVERAGE(INDIRECT("I"&amp;$D$8):INDIRECT("I"&amp;$E$8)),IF(F898=2,AVERAGE(INDIRECT("I"&amp;$D$9):INDIRECT("I"&amp;$E$9)),IF(F898=3,AVERAGE(INDIRECT("I"&amp;$D$10):INDIRECT("I"&amp;$E$10)),IF(F898=4,AVERAGE(INDIRECT("I"&amp;$D$11):INDIRECT("I"&amp;$E$11)),IF(F898=5,AVERAGE(INDIRECT("I"&amp;$D$12):INDIRECT("I"&amp;$E$12)),IF(F898=6,AVERAGE(INDIRECT("I"&amp;$D$13):INDIRECT("I"&amp;$E$13))," "))))))</f>
        <v xml:space="preserve"> </v>
      </c>
      <c r="K898" s="242" t="str">
        <f t="shared" si="72"/>
        <v xml:space="preserve"> </v>
      </c>
      <c r="L898" s="242" t="str">
        <f t="shared" si="73"/>
        <v xml:space="preserve"> </v>
      </c>
      <c r="M898" s="242" t="str">
        <f t="shared" si="74"/>
        <v xml:space="preserve"> </v>
      </c>
    </row>
    <row r="899" spans="6:13" x14ac:dyDescent="0.2">
      <c r="F899" s="216" t="str">
        <f t="shared" si="70"/>
        <v xml:space="preserve"> </v>
      </c>
      <c r="G899" s="50"/>
      <c r="H899" s="242" t="str">
        <f ca="1">IF(F899=1,PERCENTILE(INDIRECT("g"&amp;$D$8):INDIRECT("g"&amp;$E$8),0.5),IF(F899=2,PERCENTILE(INDIRECT("g"&amp;$D$9):INDIRECT("g"&amp;$E$9),0.5),IF(F899=3,PERCENTILE(INDIRECT("g"&amp;$D$10):INDIRECT("g"&amp;$E$10),0.5),IF(F899=4,PERCENTILE(INDIRECT("g"&amp;$D$11):INDIRECT("g"&amp;$E$11),0.5),IF(F899=5,PERCENTILE(INDIRECT("g"&amp;$D$12):INDIRECT("g"&amp;$E$12),0.5),IF(F899=6,PERCENTILE(INDIRECT("g"&amp;$D$13):INDIRECT("g"&amp;$E$13),0.5)," "))))))</f>
        <v xml:space="preserve"> </v>
      </c>
      <c r="I899" s="242" t="str">
        <f t="shared" si="71"/>
        <v xml:space="preserve"> </v>
      </c>
      <c r="J899" s="242" t="str">
        <f ca="1">IF(F899=1,AVERAGE(INDIRECT("I"&amp;$D$8):INDIRECT("I"&amp;$E$8)),IF(F899=2,AVERAGE(INDIRECT("I"&amp;$D$9):INDIRECT("I"&amp;$E$9)),IF(F899=3,AVERAGE(INDIRECT("I"&amp;$D$10):INDIRECT("I"&amp;$E$10)),IF(F899=4,AVERAGE(INDIRECT("I"&amp;$D$11):INDIRECT("I"&amp;$E$11)),IF(F899=5,AVERAGE(INDIRECT("I"&amp;$D$12):INDIRECT("I"&amp;$E$12)),IF(F899=6,AVERAGE(INDIRECT("I"&amp;$D$13):INDIRECT("I"&amp;$E$13))," "))))))</f>
        <v xml:space="preserve"> </v>
      </c>
      <c r="K899" s="242" t="str">
        <f t="shared" si="72"/>
        <v xml:space="preserve"> </v>
      </c>
      <c r="L899" s="242" t="str">
        <f t="shared" si="73"/>
        <v xml:space="preserve"> </v>
      </c>
      <c r="M899" s="242" t="str">
        <f t="shared" si="74"/>
        <v xml:space="preserve"> </v>
      </c>
    </row>
    <row r="900" spans="6:13" x14ac:dyDescent="0.2">
      <c r="F900" s="216" t="str">
        <f t="shared" si="70"/>
        <v xml:space="preserve"> </v>
      </c>
      <c r="G900" s="50"/>
      <c r="H900" s="242" t="str">
        <f ca="1">IF(F900=1,PERCENTILE(INDIRECT("g"&amp;$D$8):INDIRECT("g"&amp;$E$8),0.5),IF(F900=2,PERCENTILE(INDIRECT("g"&amp;$D$9):INDIRECT("g"&amp;$E$9),0.5),IF(F900=3,PERCENTILE(INDIRECT("g"&amp;$D$10):INDIRECT("g"&amp;$E$10),0.5),IF(F900=4,PERCENTILE(INDIRECT("g"&amp;$D$11):INDIRECT("g"&amp;$E$11),0.5),IF(F900=5,PERCENTILE(INDIRECT("g"&amp;$D$12):INDIRECT("g"&amp;$E$12),0.5),IF(F900=6,PERCENTILE(INDIRECT("g"&amp;$D$13):INDIRECT("g"&amp;$E$13),0.5)," "))))))</f>
        <v xml:space="preserve"> </v>
      </c>
      <c r="I900" s="242" t="str">
        <f t="shared" si="71"/>
        <v xml:space="preserve"> </v>
      </c>
      <c r="J900" s="242" t="str">
        <f ca="1">IF(F900=1,AVERAGE(INDIRECT("I"&amp;$D$8):INDIRECT("I"&amp;$E$8)),IF(F900=2,AVERAGE(INDIRECT("I"&amp;$D$9):INDIRECT("I"&amp;$E$9)),IF(F900=3,AVERAGE(INDIRECT("I"&amp;$D$10):INDIRECT("I"&amp;$E$10)),IF(F900=4,AVERAGE(INDIRECT("I"&amp;$D$11):INDIRECT("I"&amp;$E$11)),IF(F900=5,AVERAGE(INDIRECT("I"&amp;$D$12):INDIRECT("I"&amp;$E$12)),IF(F900=6,AVERAGE(INDIRECT("I"&amp;$D$13):INDIRECT("I"&amp;$E$13))," "))))))</f>
        <v xml:space="preserve"> </v>
      </c>
      <c r="K900" s="242" t="str">
        <f t="shared" si="72"/>
        <v xml:space="preserve"> </v>
      </c>
      <c r="L900" s="242" t="str">
        <f t="shared" si="73"/>
        <v xml:space="preserve"> </v>
      </c>
      <c r="M900" s="242" t="str">
        <f t="shared" si="74"/>
        <v xml:space="preserve"> </v>
      </c>
    </row>
    <row r="901" spans="6:13" x14ac:dyDescent="0.2">
      <c r="F901" s="216" t="str">
        <f t="shared" si="70"/>
        <v xml:space="preserve"> </v>
      </c>
      <c r="G901" s="50"/>
      <c r="H901" s="242" t="str">
        <f ca="1">IF(F901=1,PERCENTILE(INDIRECT("g"&amp;$D$8):INDIRECT("g"&amp;$E$8),0.5),IF(F901=2,PERCENTILE(INDIRECT("g"&amp;$D$9):INDIRECT("g"&amp;$E$9),0.5),IF(F901=3,PERCENTILE(INDIRECT("g"&amp;$D$10):INDIRECT("g"&amp;$E$10),0.5),IF(F901=4,PERCENTILE(INDIRECT("g"&amp;$D$11):INDIRECT("g"&amp;$E$11),0.5),IF(F901=5,PERCENTILE(INDIRECT("g"&amp;$D$12):INDIRECT("g"&amp;$E$12),0.5),IF(F901=6,PERCENTILE(INDIRECT("g"&amp;$D$13):INDIRECT("g"&amp;$E$13),0.5)," "))))))</f>
        <v xml:space="preserve"> </v>
      </c>
      <c r="I901" s="242" t="str">
        <f t="shared" si="71"/>
        <v xml:space="preserve"> </v>
      </c>
      <c r="J901" s="242" t="str">
        <f ca="1">IF(F901=1,AVERAGE(INDIRECT("I"&amp;$D$8):INDIRECT("I"&amp;$E$8)),IF(F901=2,AVERAGE(INDIRECT("I"&amp;$D$9):INDIRECT("I"&amp;$E$9)),IF(F901=3,AVERAGE(INDIRECT("I"&amp;$D$10):INDIRECT("I"&amp;$E$10)),IF(F901=4,AVERAGE(INDIRECT("I"&amp;$D$11):INDIRECT("I"&amp;$E$11)),IF(F901=5,AVERAGE(INDIRECT("I"&amp;$D$12):INDIRECT("I"&amp;$E$12)),IF(F901=6,AVERAGE(INDIRECT("I"&amp;$D$13):INDIRECT("I"&amp;$E$13))," "))))))</f>
        <v xml:space="preserve"> </v>
      </c>
      <c r="K901" s="242" t="str">
        <f t="shared" si="72"/>
        <v xml:space="preserve"> </v>
      </c>
      <c r="L901" s="242" t="str">
        <f t="shared" si="73"/>
        <v xml:space="preserve"> </v>
      </c>
      <c r="M901" s="242" t="str">
        <f t="shared" si="74"/>
        <v xml:space="preserve"> </v>
      </c>
    </row>
    <row r="902" spans="6:13" x14ac:dyDescent="0.2">
      <c r="F902" s="216" t="str">
        <f t="shared" ref="F902:F965" si="75">IF(AND(ROW()&gt;=$D$8,ROW()&lt;=$E$8),1,IF(AND(ROW()&gt;=$D$9,ROW()&lt;=$E$9),2,IF(AND(ROW()&gt;=$D$10,ROW()&lt;=$E$10),3,IF(AND(ROW()&gt;=$D$11,ROW()&lt;=$E$11),4,IF(AND(ROW()&gt;=$D$12,ROW()&lt;=$E$12),5,IF(AND(ROW()&gt;=$D$13,ROW()&lt;=$E$13),6," "))))))</f>
        <v xml:space="preserve"> </v>
      </c>
      <c r="G902" s="50"/>
      <c r="H902" s="242" t="str">
        <f ca="1">IF(F902=1,PERCENTILE(INDIRECT("g"&amp;$D$8):INDIRECT("g"&amp;$E$8),0.5),IF(F902=2,PERCENTILE(INDIRECT("g"&amp;$D$9):INDIRECT("g"&amp;$E$9),0.5),IF(F902=3,PERCENTILE(INDIRECT("g"&amp;$D$10):INDIRECT("g"&amp;$E$10),0.5),IF(F902=4,PERCENTILE(INDIRECT("g"&amp;$D$11):INDIRECT("g"&amp;$E$11),0.5),IF(F902=5,PERCENTILE(INDIRECT("g"&amp;$D$12):INDIRECT("g"&amp;$E$12),0.5),IF(F902=6,PERCENTILE(INDIRECT("g"&amp;$D$13):INDIRECT("g"&amp;$E$13),0.5)," "))))))</f>
        <v xml:space="preserve"> </v>
      </c>
      <c r="I902" s="242" t="str">
        <f t="shared" ref="I902:I965" si="76">IF(ROW()&lt;=MAX($E$8:$E$13),ABS(G902-H902)," ")</f>
        <v xml:space="preserve"> </v>
      </c>
      <c r="J902" s="242" t="str">
        <f ca="1">IF(F902=1,AVERAGE(INDIRECT("I"&amp;$D$8):INDIRECT("I"&amp;$E$8)),IF(F902=2,AVERAGE(INDIRECT("I"&amp;$D$9):INDIRECT("I"&amp;$E$9)),IF(F902=3,AVERAGE(INDIRECT("I"&amp;$D$10):INDIRECT("I"&amp;$E$10)),IF(F902=4,AVERAGE(INDIRECT("I"&amp;$D$11):INDIRECT("I"&amp;$E$11)),IF(F902=5,AVERAGE(INDIRECT("I"&amp;$D$12):INDIRECT("I"&amp;$E$12)),IF(F902=6,AVERAGE(INDIRECT("I"&amp;$D$13):INDIRECT("I"&amp;$E$13))," "))))))</f>
        <v xml:space="preserve"> </v>
      </c>
      <c r="K902" s="242" t="str">
        <f t="shared" ref="K902:K965" si="77">IF(ROW()&lt;=MAX($E$8:$E$13),AVERAGE($I$6:$I$1005)," ")</f>
        <v xml:space="preserve"> </v>
      </c>
      <c r="L902" s="242" t="str">
        <f t="shared" ref="L902:L965" si="78">IF(ROW()&lt;=MAX($E$8:$E$13),(I902-J902)^2," ")</f>
        <v xml:space="preserve"> </v>
      </c>
      <c r="M902" s="242" t="str">
        <f t="shared" ref="M902:M965" si="79">IF(ROW()&lt;=MAX($E$8:$E$13),(J902-K902)^2," ")</f>
        <v xml:space="preserve"> </v>
      </c>
    </row>
    <row r="903" spans="6:13" x14ac:dyDescent="0.2">
      <c r="F903" s="216" t="str">
        <f t="shared" si="75"/>
        <v xml:space="preserve"> </v>
      </c>
      <c r="G903" s="50"/>
      <c r="H903" s="242" t="str">
        <f ca="1">IF(F903=1,PERCENTILE(INDIRECT("g"&amp;$D$8):INDIRECT("g"&amp;$E$8),0.5),IF(F903=2,PERCENTILE(INDIRECT("g"&amp;$D$9):INDIRECT("g"&amp;$E$9),0.5),IF(F903=3,PERCENTILE(INDIRECT("g"&amp;$D$10):INDIRECT("g"&amp;$E$10),0.5),IF(F903=4,PERCENTILE(INDIRECT("g"&amp;$D$11):INDIRECT("g"&amp;$E$11),0.5),IF(F903=5,PERCENTILE(INDIRECT("g"&amp;$D$12):INDIRECT("g"&amp;$E$12),0.5),IF(F903=6,PERCENTILE(INDIRECT("g"&amp;$D$13):INDIRECT("g"&amp;$E$13),0.5)," "))))))</f>
        <v xml:space="preserve"> </v>
      </c>
      <c r="I903" s="242" t="str">
        <f t="shared" si="76"/>
        <v xml:space="preserve"> </v>
      </c>
      <c r="J903" s="242" t="str">
        <f ca="1">IF(F903=1,AVERAGE(INDIRECT("I"&amp;$D$8):INDIRECT("I"&amp;$E$8)),IF(F903=2,AVERAGE(INDIRECT("I"&amp;$D$9):INDIRECT("I"&amp;$E$9)),IF(F903=3,AVERAGE(INDIRECT("I"&amp;$D$10):INDIRECT("I"&amp;$E$10)),IF(F903=4,AVERAGE(INDIRECT("I"&amp;$D$11):INDIRECT("I"&amp;$E$11)),IF(F903=5,AVERAGE(INDIRECT("I"&amp;$D$12):INDIRECT("I"&amp;$E$12)),IF(F903=6,AVERAGE(INDIRECT("I"&amp;$D$13):INDIRECT("I"&amp;$E$13))," "))))))</f>
        <v xml:space="preserve"> </v>
      </c>
      <c r="K903" s="242" t="str">
        <f t="shared" si="77"/>
        <v xml:space="preserve"> </v>
      </c>
      <c r="L903" s="242" t="str">
        <f t="shared" si="78"/>
        <v xml:space="preserve"> </v>
      </c>
      <c r="M903" s="242" t="str">
        <f t="shared" si="79"/>
        <v xml:space="preserve"> </v>
      </c>
    </row>
    <row r="904" spans="6:13" x14ac:dyDescent="0.2">
      <c r="F904" s="216" t="str">
        <f t="shared" si="75"/>
        <v xml:space="preserve"> </v>
      </c>
      <c r="G904" s="50"/>
      <c r="H904" s="242" t="str">
        <f ca="1">IF(F904=1,PERCENTILE(INDIRECT("g"&amp;$D$8):INDIRECT("g"&amp;$E$8),0.5),IF(F904=2,PERCENTILE(INDIRECT("g"&amp;$D$9):INDIRECT("g"&amp;$E$9),0.5),IF(F904=3,PERCENTILE(INDIRECT("g"&amp;$D$10):INDIRECT("g"&amp;$E$10),0.5),IF(F904=4,PERCENTILE(INDIRECT("g"&amp;$D$11):INDIRECT("g"&amp;$E$11),0.5),IF(F904=5,PERCENTILE(INDIRECT("g"&amp;$D$12):INDIRECT("g"&amp;$E$12),0.5),IF(F904=6,PERCENTILE(INDIRECT("g"&amp;$D$13):INDIRECT("g"&amp;$E$13),0.5)," "))))))</f>
        <v xml:space="preserve"> </v>
      </c>
      <c r="I904" s="242" t="str">
        <f t="shared" si="76"/>
        <v xml:space="preserve"> </v>
      </c>
      <c r="J904" s="242" t="str">
        <f ca="1">IF(F904=1,AVERAGE(INDIRECT("I"&amp;$D$8):INDIRECT("I"&amp;$E$8)),IF(F904=2,AVERAGE(INDIRECT("I"&amp;$D$9):INDIRECT("I"&amp;$E$9)),IF(F904=3,AVERAGE(INDIRECT("I"&amp;$D$10):INDIRECT("I"&amp;$E$10)),IF(F904=4,AVERAGE(INDIRECT("I"&amp;$D$11):INDIRECT("I"&amp;$E$11)),IF(F904=5,AVERAGE(INDIRECT("I"&amp;$D$12):INDIRECT("I"&amp;$E$12)),IF(F904=6,AVERAGE(INDIRECT("I"&amp;$D$13):INDIRECT("I"&amp;$E$13))," "))))))</f>
        <v xml:space="preserve"> </v>
      </c>
      <c r="K904" s="242" t="str">
        <f t="shared" si="77"/>
        <v xml:space="preserve"> </v>
      </c>
      <c r="L904" s="242" t="str">
        <f t="shared" si="78"/>
        <v xml:space="preserve"> </v>
      </c>
      <c r="M904" s="242" t="str">
        <f t="shared" si="79"/>
        <v xml:space="preserve"> </v>
      </c>
    </row>
    <row r="905" spans="6:13" x14ac:dyDescent="0.2">
      <c r="F905" s="216" t="str">
        <f t="shared" si="75"/>
        <v xml:space="preserve"> </v>
      </c>
      <c r="G905" s="50"/>
      <c r="H905" s="242" t="str">
        <f ca="1">IF(F905=1,PERCENTILE(INDIRECT("g"&amp;$D$8):INDIRECT("g"&amp;$E$8),0.5),IF(F905=2,PERCENTILE(INDIRECT("g"&amp;$D$9):INDIRECT("g"&amp;$E$9),0.5),IF(F905=3,PERCENTILE(INDIRECT("g"&amp;$D$10):INDIRECT("g"&amp;$E$10),0.5),IF(F905=4,PERCENTILE(INDIRECT("g"&amp;$D$11):INDIRECT("g"&amp;$E$11),0.5),IF(F905=5,PERCENTILE(INDIRECT("g"&amp;$D$12):INDIRECT("g"&amp;$E$12),0.5),IF(F905=6,PERCENTILE(INDIRECT("g"&amp;$D$13):INDIRECT("g"&amp;$E$13),0.5)," "))))))</f>
        <v xml:space="preserve"> </v>
      </c>
      <c r="I905" s="242" t="str">
        <f t="shared" si="76"/>
        <v xml:space="preserve"> </v>
      </c>
      <c r="J905" s="242" t="str">
        <f ca="1">IF(F905=1,AVERAGE(INDIRECT("I"&amp;$D$8):INDIRECT("I"&amp;$E$8)),IF(F905=2,AVERAGE(INDIRECT("I"&amp;$D$9):INDIRECT("I"&amp;$E$9)),IF(F905=3,AVERAGE(INDIRECT("I"&amp;$D$10):INDIRECT("I"&amp;$E$10)),IF(F905=4,AVERAGE(INDIRECT("I"&amp;$D$11):INDIRECT("I"&amp;$E$11)),IF(F905=5,AVERAGE(INDIRECT("I"&amp;$D$12):INDIRECT("I"&amp;$E$12)),IF(F905=6,AVERAGE(INDIRECT("I"&amp;$D$13):INDIRECT("I"&amp;$E$13))," "))))))</f>
        <v xml:space="preserve"> </v>
      </c>
      <c r="K905" s="242" t="str">
        <f t="shared" si="77"/>
        <v xml:space="preserve"> </v>
      </c>
      <c r="L905" s="242" t="str">
        <f t="shared" si="78"/>
        <v xml:space="preserve"> </v>
      </c>
      <c r="M905" s="242" t="str">
        <f t="shared" si="79"/>
        <v xml:space="preserve"> </v>
      </c>
    </row>
    <row r="906" spans="6:13" x14ac:dyDescent="0.2">
      <c r="F906" s="216" t="str">
        <f t="shared" si="75"/>
        <v xml:space="preserve"> </v>
      </c>
      <c r="G906" s="50"/>
      <c r="H906" s="242" t="str">
        <f ca="1">IF(F906=1,PERCENTILE(INDIRECT("g"&amp;$D$8):INDIRECT("g"&amp;$E$8),0.5),IF(F906=2,PERCENTILE(INDIRECT("g"&amp;$D$9):INDIRECT("g"&amp;$E$9),0.5),IF(F906=3,PERCENTILE(INDIRECT("g"&amp;$D$10):INDIRECT("g"&amp;$E$10),0.5),IF(F906=4,PERCENTILE(INDIRECT("g"&amp;$D$11):INDIRECT("g"&amp;$E$11),0.5),IF(F906=5,PERCENTILE(INDIRECT("g"&amp;$D$12):INDIRECT("g"&amp;$E$12),0.5),IF(F906=6,PERCENTILE(INDIRECT("g"&amp;$D$13):INDIRECT("g"&amp;$E$13),0.5)," "))))))</f>
        <v xml:space="preserve"> </v>
      </c>
      <c r="I906" s="242" t="str">
        <f t="shared" si="76"/>
        <v xml:space="preserve"> </v>
      </c>
      <c r="J906" s="242" t="str">
        <f ca="1">IF(F906=1,AVERAGE(INDIRECT("I"&amp;$D$8):INDIRECT("I"&amp;$E$8)),IF(F906=2,AVERAGE(INDIRECT("I"&amp;$D$9):INDIRECT("I"&amp;$E$9)),IF(F906=3,AVERAGE(INDIRECT("I"&amp;$D$10):INDIRECT("I"&amp;$E$10)),IF(F906=4,AVERAGE(INDIRECT("I"&amp;$D$11):INDIRECT("I"&amp;$E$11)),IF(F906=5,AVERAGE(INDIRECT("I"&amp;$D$12):INDIRECT("I"&amp;$E$12)),IF(F906=6,AVERAGE(INDIRECT("I"&amp;$D$13):INDIRECT("I"&amp;$E$13))," "))))))</f>
        <v xml:space="preserve"> </v>
      </c>
      <c r="K906" s="242" t="str">
        <f t="shared" si="77"/>
        <v xml:space="preserve"> </v>
      </c>
      <c r="L906" s="242" t="str">
        <f t="shared" si="78"/>
        <v xml:space="preserve"> </v>
      </c>
      <c r="M906" s="242" t="str">
        <f t="shared" si="79"/>
        <v xml:space="preserve"> </v>
      </c>
    </row>
    <row r="907" spans="6:13" x14ac:dyDescent="0.2">
      <c r="F907" s="216" t="str">
        <f t="shared" si="75"/>
        <v xml:space="preserve"> </v>
      </c>
      <c r="G907" s="50"/>
      <c r="H907" s="242" t="str">
        <f ca="1">IF(F907=1,PERCENTILE(INDIRECT("g"&amp;$D$8):INDIRECT("g"&amp;$E$8),0.5),IF(F907=2,PERCENTILE(INDIRECT("g"&amp;$D$9):INDIRECT("g"&amp;$E$9),0.5),IF(F907=3,PERCENTILE(INDIRECT("g"&amp;$D$10):INDIRECT("g"&amp;$E$10),0.5),IF(F907=4,PERCENTILE(INDIRECT("g"&amp;$D$11):INDIRECT("g"&amp;$E$11),0.5),IF(F907=5,PERCENTILE(INDIRECT("g"&amp;$D$12):INDIRECT("g"&amp;$E$12),0.5),IF(F907=6,PERCENTILE(INDIRECT("g"&amp;$D$13):INDIRECT("g"&amp;$E$13),0.5)," "))))))</f>
        <v xml:space="preserve"> </v>
      </c>
      <c r="I907" s="242" t="str">
        <f t="shared" si="76"/>
        <v xml:space="preserve"> </v>
      </c>
      <c r="J907" s="242" t="str">
        <f ca="1">IF(F907=1,AVERAGE(INDIRECT("I"&amp;$D$8):INDIRECT("I"&amp;$E$8)),IF(F907=2,AVERAGE(INDIRECT("I"&amp;$D$9):INDIRECT("I"&amp;$E$9)),IF(F907=3,AVERAGE(INDIRECT("I"&amp;$D$10):INDIRECT("I"&amp;$E$10)),IF(F907=4,AVERAGE(INDIRECT("I"&amp;$D$11):INDIRECT("I"&amp;$E$11)),IF(F907=5,AVERAGE(INDIRECT("I"&amp;$D$12):INDIRECT("I"&amp;$E$12)),IF(F907=6,AVERAGE(INDIRECT("I"&amp;$D$13):INDIRECT("I"&amp;$E$13))," "))))))</f>
        <v xml:space="preserve"> </v>
      </c>
      <c r="K907" s="242" t="str">
        <f t="shared" si="77"/>
        <v xml:space="preserve"> </v>
      </c>
      <c r="L907" s="242" t="str">
        <f t="shared" si="78"/>
        <v xml:space="preserve"> </v>
      </c>
      <c r="M907" s="242" t="str">
        <f t="shared" si="79"/>
        <v xml:space="preserve"> </v>
      </c>
    </row>
    <row r="908" spans="6:13" x14ac:dyDescent="0.2">
      <c r="F908" s="216" t="str">
        <f t="shared" si="75"/>
        <v xml:space="preserve"> </v>
      </c>
      <c r="G908" s="50"/>
      <c r="H908" s="242" t="str">
        <f ca="1">IF(F908=1,PERCENTILE(INDIRECT("g"&amp;$D$8):INDIRECT("g"&amp;$E$8),0.5),IF(F908=2,PERCENTILE(INDIRECT("g"&amp;$D$9):INDIRECT("g"&amp;$E$9),0.5),IF(F908=3,PERCENTILE(INDIRECT("g"&amp;$D$10):INDIRECT("g"&amp;$E$10),0.5),IF(F908=4,PERCENTILE(INDIRECT("g"&amp;$D$11):INDIRECT("g"&amp;$E$11),0.5),IF(F908=5,PERCENTILE(INDIRECT("g"&amp;$D$12):INDIRECT("g"&amp;$E$12),0.5),IF(F908=6,PERCENTILE(INDIRECT("g"&amp;$D$13):INDIRECT("g"&amp;$E$13),0.5)," "))))))</f>
        <v xml:space="preserve"> </v>
      </c>
      <c r="I908" s="242" t="str">
        <f t="shared" si="76"/>
        <v xml:space="preserve"> </v>
      </c>
      <c r="J908" s="242" t="str">
        <f ca="1">IF(F908=1,AVERAGE(INDIRECT("I"&amp;$D$8):INDIRECT("I"&amp;$E$8)),IF(F908=2,AVERAGE(INDIRECT("I"&amp;$D$9):INDIRECT("I"&amp;$E$9)),IF(F908=3,AVERAGE(INDIRECT("I"&amp;$D$10):INDIRECT("I"&amp;$E$10)),IF(F908=4,AVERAGE(INDIRECT("I"&amp;$D$11):INDIRECT("I"&amp;$E$11)),IF(F908=5,AVERAGE(INDIRECT("I"&amp;$D$12):INDIRECT("I"&amp;$E$12)),IF(F908=6,AVERAGE(INDIRECT("I"&amp;$D$13):INDIRECT("I"&amp;$E$13))," "))))))</f>
        <v xml:space="preserve"> </v>
      </c>
      <c r="K908" s="242" t="str">
        <f t="shared" si="77"/>
        <v xml:space="preserve"> </v>
      </c>
      <c r="L908" s="242" t="str">
        <f t="shared" si="78"/>
        <v xml:space="preserve"> </v>
      </c>
      <c r="M908" s="242" t="str">
        <f t="shared" si="79"/>
        <v xml:space="preserve"> </v>
      </c>
    </row>
    <row r="909" spans="6:13" x14ac:dyDescent="0.2">
      <c r="F909" s="216" t="str">
        <f t="shared" si="75"/>
        <v xml:space="preserve"> </v>
      </c>
      <c r="G909" s="50"/>
      <c r="H909" s="242" t="str">
        <f ca="1">IF(F909=1,PERCENTILE(INDIRECT("g"&amp;$D$8):INDIRECT("g"&amp;$E$8),0.5),IF(F909=2,PERCENTILE(INDIRECT("g"&amp;$D$9):INDIRECT("g"&amp;$E$9),0.5),IF(F909=3,PERCENTILE(INDIRECT("g"&amp;$D$10):INDIRECT("g"&amp;$E$10),0.5),IF(F909=4,PERCENTILE(INDIRECT("g"&amp;$D$11):INDIRECT("g"&amp;$E$11),0.5),IF(F909=5,PERCENTILE(INDIRECT("g"&amp;$D$12):INDIRECT("g"&amp;$E$12),0.5),IF(F909=6,PERCENTILE(INDIRECT("g"&amp;$D$13):INDIRECT("g"&amp;$E$13),0.5)," "))))))</f>
        <v xml:space="preserve"> </v>
      </c>
      <c r="I909" s="242" t="str">
        <f t="shared" si="76"/>
        <v xml:space="preserve"> </v>
      </c>
      <c r="J909" s="242" t="str">
        <f ca="1">IF(F909=1,AVERAGE(INDIRECT("I"&amp;$D$8):INDIRECT("I"&amp;$E$8)),IF(F909=2,AVERAGE(INDIRECT("I"&amp;$D$9):INDIRECT("I"&amp;$E$9)),IF(F909=3,AVERAGE(INDIRECT("I"&amp;$D$10):INDIRECT("I"&amp;$E$10)),IF(F909=4,AVERAGE(INDIRECT("I"&amp;$D$11):INDIRECT("I"&amp;$E$11)),IF(F909=5,AVERAGE(INDIRECT("I"&amp;$D$12):INDIRECT("I"&amp;$E$12)),IF(F909=6,AVERAGE(INDIRECT("I"&amp;$D$13):INDIRECT("I"&amp;$E$13))," "))))))</f>
        <v xml:space="preserve"> </v>
      </c>
      <c r="K909" s="242" t="str">
        <f t="shared" si="77"/>
        <v xml:space="preserve"> </v>
      </c>
      <c r="L909" s="242" t="str">
        <f t="shared" si="78"/>
        <v xml:space="preserve"> </v>
      </c>
      <c r="M909" s="242" t="str">
        <f t="shared" si="79"/>
        <v xml:space="preserve"> </v>
      </c>
    </row>
    <row r="910" spans="6:13" x14ac:dyDescent="0.2">
      <c r="F910" s="216" t="str">
        <f t="shared" si="75"/>
        <v xml:space="preserve"> </v>
      </c>
      <c r="G910" s="50"/>
      <c r="H910" s="242" t="str">
        <f ca="1">IF(F910=1,PERCENTILE(INDIRECT("g"&amp;$D$8):INDIRECT("g"&amp;$E$8),0.5),IF(F910=2,PERCENTILE(INDIRECT("g"&amp;$D$9):INDIRECT("g"&amp;$E$9),0.5),IF(F910=3,PERCENTILE(INDIRECT("g"&amp;$D$10):INDIRECT("g"&amp;$E$10),0.5),IF(F910=4,PERCENTILE(INDIRECT("g"&amp;$D$11):INDIRECT("g"&amp;$E$11),0.5),IF(F910=5,PERCENTILE(INDIRECT("g"&amp;$D$12):INDIRECT("g"&amp;$E$12),0.5),IF(F910=6,PERCENTILE(INDIRECT("g"&amp;$D$13):INDIRECT("g"&amp;$E$13),0.5)," "))))))</f>
        <v xml:space="preserve"> </v>
      </c>
      <c r="I910" s="242" t="str">
        <f t="shared" si="76"/>
        <v xml:space="preserve"> </v>
      </c>
      <c r="J910" s="242" t="str">
        <f ca="1">IF(F910=1,AVERAGE(INDIRECT("I"&amp;$D$8):INDIRECT("I"&amp;$E$8)),IF(F910=2,AVERAGE(INDIRECT("I"&amp;$D$9):INDIRECT("I"&amp;$E$9)),IF(F910=3,AVERAGE(INDIRECT("I"&amp;$D$10):INDIRECT("I"&amp;$E$10)),IF(F910=4,AVERAGE(INDIRECT("I"&amp;$D$11):INDIRECT("I"&amp;$E$11)),IF(F910=5,AVERAGE(INDIRECT("I"&amp;$D$12):INDIRECT("I"&amp;$E$12)),IF(F910=6,AVERAGE(INDIRECT("I"&amp;$D$13):INDIRECT("I"&amp;$E$13))," "))))))</f>
        <v xml:space="preserve"> </v>
      </c>
      <c r="K910" s="242" t="str">
        <f t="shared" si="77"/>
        <v xml:space="preserve"> </v>
      </c>
      <c r="L910" s="242" t="str">
        <f t="shared" si="78"/>
        <v xml:space="preserve"> </v>
      </c>
      <c r="M910" s="242" t="str">
        <f t="shared" si="79"/>
        <v xml:space="preserve"> </v>
      </c>
    </row>
    <row r="911" spans="6:13" x14ac:dyDescent="0.2">
      <c r="F911" s="216" t="str">
        <f t="shared" si="75"/>
        <v xml:space="preserve"> </v>
      </c>
      <c r="G911" s="50"/>
      <c r="H911" s="242" t="str">
        <f ca="1">IF(F911=1,PERCENTILE(INDIRECT("g"&amp;$D$8):INDIRECT("g"&amp;$E$8),0.5),IF(F911=2,PERCENTILE(INDIRECT("g"&amp;$D$9):INDIRECT("g"&amp;$E$9),0.5),IF(F911=3,PERCENTILE(INDIRECT("g"&amp;$D$10):INDIRECT("g"&amp;$E$10),0.5),IF(F911=4,PERCENTILE(INDIRECT("g"&amp;$D$11):INDIRECT("g"&amp;$E$11),0.5),IF(F911=5,PERCENTILE(INDIRECT("g"&amp;$D$12):INDIRECT("g"&amp;$E$12),0.5),IF(F911=6,PERCENTILE(INDIRECT("g"&amp;$D$13):INDIRECT("g"&amp;$E$13),0.5)," "))))))</f>
        <v xml:space="preserve"> </v>
      </c>
      <c r="I911" s="242" t="str">
        <f t="shared" si="76"/>
        <v xml:space="preserve"> </v>
      </c>
      <c r="J911" s="242" t="str">
        <f ca="1">IF(F911=1,AVERAGE(INDIRECT("I"&amp;$D$8):INDIRECT("I"&amp;$E$8)),IF(F911=2,AVERAGE(INDIRECT("I"&amp;$D$9):INDIRECT("I"&amp;$E$9)),IF(F911=3,AVERAGE(INDIRECT("I"&amp;$D$10):INDIRECT("I"&amp;$E$10)),IF(F911=4,AVERAGE(INDIRECT("I"&amp;$D$11):INDIRECT("I"&amp;$E$11)),IF(F911=5,AVERAGE(INDIRECT("I"&amp;$D$12):INDIRECT("I"&amp;$E$12)),IF(F911=6,AVERAGE(INDIRECT("I"&amp;$D$13):INDIRECT("I"&amp;$E$13))," "))))))</f>
        <v xml:space="preserve"> </v>
      </c>
      <c r="K911" s="242" t="str">
        <f t="shared" si="77"/>
        <v xml:space="preserve"> </v>
      </c>
      <c r="L911" s="242" t="str">
        <f t="shared" si="78"/>
        <v xml:space="preserve"> </v>
      </c>
      <c r="M911" s="242" t="str">
        <f t="shared" si="79"/>
        <v xml:space="preserve"> </v>
      </c>
    </row>
    <row r="912" spans="6:13" x14ac:dyDescent="0.2">
      <c r="F912" s="216" t="str">
        <f t="shared" si="75"/>
        <v xml:space="preserve"> </v>
      </c>
      <c r="G912" s="50"/>
      <c r="H912" s="242" t="str">
        <f ca="1">IF(F912=1,PERCENTILE(INDIRECT("g"&amp;$D$8):INDIRECT("g"&amp;$E$8),0.5),IF(F912=2,PERCENTILE(INDIRECT("g"&amp;$D$9):INDIRECT("g"&amp;$E$9),0.5),IF(F912=3,PERCENTILE(INDIRECT("g"&amp;$D$10):INDIRECT("g"&amp;$E$10),0.5),IF(F912=4,PERCENTILE(INDIRECT("g"&amp;$D$11):INDIRECT("g"&amp;$E$11),0.5),IF(F912=5,PERCENTILE(INDIRECT("g"&amp;$D$12):INDIRECT("g"&amp;$E$12),0.5),IF(F912=6,PERCENTILE(INDIRECT("g"&amp;$D$13):INDIRECT("g"&amp;$E$13),0.5)," "))))))</f>
        <v xml:space="preserve"> </v>
      </c>
      <c r="I912" s="242" t="str">
        <f t="shared" si="76"/>
        <v xml:space="preserve"> </v>
      </c>
      <c r="J912" s="242" t="str">
        <f ca="1">IF(F912=1,AVERAGE(INDIRECT("I"&amp;$D$8):INDIRECT("I"&amp;$E$8)),IF(F912=2,AVERAGE(INDIRECT("I"&amp;$D$9):INDIRECT("I"&amp;$E$9)),IF(F912=3,AVERAGE(INDIRECT("I"&amp;$D$10):INDIRECT("I"&amp;$E$10)),IF(F912=4,AVERAGE(INDIRECT("I"&amp;$D$11):INDIRECT("I"&amp;$E$11)),IF(F912=5,AVERAGE(INDIRECT("I"&amp;$D$12):INDIRECT("I"&amp;$E$12)),IF(F912=6,AVERAGE(INDIRECT("I"&amp;$D$13):INDIRECT("I"&amp;$E$13))," "))))))</f>
        <v xml:space="preserve"> </v>
      </c>
      <c r="K912" s="242" t="str">
        <f t="shared" si="77"/>
        <v xml:space="preserve"> </v>
      </c>
      <c r="L912" s="242" t="str">
        <f t="shared" si="78"/>
        <v xml:space="preserve"> </v>
      </c>
      <c r="M912" s="242" t="str">
        <f t="shared" si="79"/>
        <v xml:space="preserve"> </v>
      </c>
    </row>
    <row r="913" spans="6:13" x14ac:dyDescent="0.2">
      <c r="F913" s="216" t="str">
        <f t="shared" si="75"/>
        <v xml:space="preserve"> </v>
      </c>
      <c r="G913" s="50"/>
      <c r="H913" s="242" t="str">
        <f ca="1">IF(F913=1,PERCENTILE(INDIRECT("g"&amp;$D$8):INDIRECT("g"&amp;$E$8),0.5),IF(F913=2,PERCENTILE(INDIRECT("g"&amp;$D$9):INDIRECT("g"&amp;$E$9),0.5),IF(F913=3,PERCENTILE(INDIRECT("g"&amp;$D$10):INDIRECT("g"&amp;$E$10),0.5),IF(F913=4,PERCENTILE(INDIRECT("g"&amp;$D$11):INDIRECT("g"&amp;$E$11),0.5),IF(F913=5,PERCENTILE(INDIRECT("g"&amp;$D$12):INDIRECT("g"&amp;$E$12),0.5),IF(F913=6,PERCENTILE(INDIRECT("g"&amp;$D$13):INDIRECT("g"&amp;$E$13),0.5)," "))))))</f>
        <v xml:space="preserve"> </v>
      </c>
      <c r="I913" s="242" t="str">
        <f t="shared" si="76"/>
        <v xml:space="preserve"> </v>
      </c>
      <c r="J913" s="242" t="str">
        <f ca="1">IF(F913=1,AVERAGE(INDIRECT("I"&amp;$D$8):INDIRECT("I"&amp;$E$8)),IF(F913=2,AVERAGE(INDIRECT("I"&amp;$D$9):INDIRECT("I"&amp;$E$9)),IF(F913=3,AVERAGE(INDIRECT("I"&amp;$D$10):INDIRECT("I"&amp;$E$10)),IF(F913=4,AVERAGE(INDIRECT("I"&amp;$D$11):INDIRECT("I"&amp;$E$11)),IF(F913=5,AVERAGE(INDIRECT("I"&amp;$D$12):INDIRECT("I"&amp;$E$12)),IF(F913=6,AVERAGE(INDIRECT("I"&amp;$D$13):INDIRECT("I"&amp;$E$13))," "))))))</f>
        <v xml:space="preserve"> </v>
      </c>
      <c r="K913" s="242" t="str">
        <f t="shared" si="77"/>
        <v xml:space="preserve"> </v>
      </c>
      <c r="L913" s="242" t="str">
        <f t="shared" si="78"/>
        <v xml:space="preserve"> </v>
      </c>
      <c r="M913" s="242" t="str">
        <f t="shared" si="79"/>
        <v xml:space="preserve"> </v>
      </c>
    </row>
    <row r="914" spans="6:13" x14ac:dyDescent="0.2">
      <c r="F914" s="216" t="str">
        <f t="shared" si="75"/>
        <v xml:space="preserve"> </v>
      </c>
      <c r="G914" s="50"/>
      <c r="H914" s="242" t="str">
        <f ca="1">IF(F914=1,PERCENTILE(INDIRECT("g"&amp;$D$8):INDIRECT("g"&amp;$E$8),0.5),IF(F914=2,PERCENTILE(INDIRECT("g"&amp;$D$9):INDIRECT("g"&amp;$E$9),0.5),IF(F914=3,PERCENTILE(INDIRECT("g"&amp;$D$10):INDIRECT("g"&amp;$E$10),0.5),IF(F914=4,PERCENTILE(INDIRECT("g"&amp;$D$11):INDIRECT("g"&amp;$E$11),0.5),IF(F914=5,PERCENTILE(INDIRECT("g"&amp;$D$12):INDIRECT("g"&amp;$E$12),0.5),IF(F914=6,PERCENTILE(INDIRECT("g"&amp;$D$13):INDIRECT("g"&amp;$E$13),0.5)," "))))))</f>
        <v xml:space="preserve"> </v>
      </c>
      <c r="I914" s="242" t="str">
        <f t="shared" si="76"/>
        <v xml:space="preserve"> </v>
      </c>
      <c r="J914" s="242" t="str">
        <f ca="1">IF(F914=1,AVERAGE(INDIRECT("I"&amp;$D$8):INDIRECT("I"&amp;$E$8)),IF(F914=2,AVERAGE(INDIRECT("I"&amp;$D$9):INDIRECT("I"&amp;$E$9)),IF(F914=3,AVERAGE(INDIRECT("I"&amp;$D$10):INDIRECT("I"&amp;$E$10)),IF(F914=4,AVERAGE(INDIRECT("I"&amp;$D$11):INDIRECT("I"&amp;$E$11)),IF(F914=5,AVERAGE(INDIRECT("I"&amp;$D$12):INDIRECT("I"&amp;$E$12)),IF(F914=6,AVERAGE(INDIRECT("I"&amp;$D$13):INDIRECT("I"&amp;$E$13))," "))))))</f>
        <v xml:space="preserve"> </v>
      </c>
      <c r="K914" s="242" t="str">
        <f t="shared" si="77"/>
        <v xml:space="preserve"> </v>
      </c>
      <c r="L914" s="242" t="str">
        <f t="shared" si="78"/>
        <v xml:space="preserve"> </v>
      </c>
      <c r="M914" s="242" t="str">
        <f t="shared" si="79"/>
        <v xml:space="preserve"> </v>
      </c>
    </row>
    <row r="915" spans="6:13" x14ac:dyDescent="0.2">
      <c r="F915" s="216" t="str">
        <f t="shared" si="75"/>
        <v xml:space="preserve"> </v>
      </c>
      <c r="G915" s="50"/>
      <c r="H915" s="242" t="str">
        <f ca="1">IF(F915=1,PERCENTILE(INDIRECT("g"&amp;$D$8):INDIRECT("g"&amp;$E$8),0.5),IF(F915=2,PERCENTILE(INDIRECT("g"&amp;$D$9):INDIRECT("g"&amp;$E$9),0.5),IF(F915=3,PERCENTILE(INDIRECT("g"&amp;$D$10):INDIRECT("g"&amp;$E$10),0.5),IF(F915=4,PERCENTILE(INDIRECT("g"&amp;$D$11):INDIRECT("g"&amp;$E$11),0.5),IF(F915=5,PERCENTILE(INDIRECT("g"&amp;$D$12):INDIRECT("g"&amp;$E$12),0.5),IF(F915=6,PERCENTILE(INDIRECT("g"&amp;$D$13):INDIRECT("g"&amp;$E$13),0.5)," "))))))</f>
        <v xml:space="preserve"> </v>
      </c>
      <c r="I915" s="242" t="str">
        <f t="shared" si="76"/>
        <v xml:space="preserve"> </v>
      </c>
      <c r="J915" s="242" t="str">
        <f ca="1">IF(F915=1,AVERAGE(INDIRECT("I"&amp;$D$8):INDIRECT("I"&amp;$E$8)),IF(F915=2,AVERAGE(INDIRECT("I"&amp;$D$9):INDIRECT("I"&amp;$E$9)),IF(F915=3,AVERAGE(INDIRECT("I"&amp;$D$10):INDIRECT("I"&amp;$E$10)),IF(F915=4,AVERAGE(INDIRECT("I"&amp;$D$11):INDIRECT("I"&amp;$E$11)),IF(F915=5,AVERAGE(INDIRECT("I"&amp;$D$12):INDIRECT("I"&amp;$E$12)),IF(F915=6,AVERAGE(INDIRECT("I"&amp;$D$13):INDIRECT("I"&amp;$E$13))," "))))))</f>
        <v xml:space="preserve"> </v>
      </c>
      <c r="K915" s="242" t="str">
        <f t="shared" si="77"/>
        <v xml:space="preserve"> </v>
      </c>
      <c r="L915" s="242" t="str">
        <f t="shared" si="78"/>
        <v xml:space="preserve"> </v>
      </c>
      <c r="M915" s="242" t="str">
        <f t="shared" si="79"/>
        <v xml:space="preserve"> </v>
      </c>
    </row>
    <row r="916" spans="6:13" x14ac:dyDescent="0.2">
      <c r="F916" s="216" t="str">
        <f t="shared" si="75"/>
        <v xml:space="preserve"> </v>
      </c>
      <c r="G916" s="50"/>
      <c r="H916" s="242" t="str">
        <f ca="1">IF(F916=1,PERCENTILE(INDIRECT("g"&amp;$D$8):INDIRECT("g"&amp;$E$8),0.5),IF(F916=2,PERCENTILE(INDIRECT("g"&amp;$D$9):INDIRECT("g"&amp;$E$9),0.5),IF(F916=3,PERCENTILE(INDIRECT("g"&amp;$D$10):INDIRECT("g"&amp;$E$10),0.5),IF(F916=4,PERCENTILE(INDIRECT("g"&amp;$D$11):INDIRECT("g"&amp;$E$11),0.5),IF(F916=5,PERCENTILE(INDIRECT("g"&amp;$D$12):INDIRECT("g"&amp;$E$12),0.5),IF(F916=6,PERCENTILE(INDIRECT("g"&amp;$D$13):INDIRECT("g"&amp;$E$13),0.5)," "))))))</f>
        <v xml:space="preserve"> </v>
      </c>
      <c r="I916" s="242" t="str">
        <f t="shared" si="76"/>
        <v xml:space="preserve"> </v>
      </c>
      <c r="J916" s="242" t="str">
        <f ca="1">IF(F916=1,AVERAGE(INDIRECT("I"&amp;$D$8):INDIRECT("I"&amp;$E$8)),IF(F916=2,AVERAGE(INDIRECT("I"&amp;$D$9):INDIRECT("I"&amp;$E$9)),IF(F916=3,AVERAGE(INDIRECT("I"&amp;$D$10):INDIRECT("I"&amp;$E$10)),IF(F916=4,AVERAGE(INDIRECT("I"&amp;$D$11):INDIRECT("I"&amp;$E$11)),IF(F916=5,AVERAGE(INDIRECT("I"&amp;$D$12):INDIRECT("I"&amp;$E$12)),IF(F916=6,AVERAGE(INDIRECT("I"&amp;$D$13):INDIRECT("I"&amp;$E$13))," "))))))</f>
        <v xml:space="preserve"> </v>
      </c>
      <c r="K916" s="242" t="str">
        <f t="shared" si="77"/>
        <v xml:space="preserve"> </v>
      </c>
      <c r="L916" s="242" t="str">
        <f t="shared" si="78"/>
        <v xml:space="preserve"> </v>
      </c>
      <c r="M916" s="242" t="str">
        <f t="shared" si="79"/>
        <v xml:space="preserve"> </v>
      </c>
    </row>
    <row r="917" spans="6:13" x14ac:dyDescent="0.2">
      <c r="F917" s="216" t="str">
        <f t="shared" si="75"/>
        <v xml:space="preserve"> </v>
      </c>
      <c r="G917" s="50"/>
      <c r="H917" s="242" t="str">
        <f ca="1">IF(F917=1,PERCENTILE(INDIRECT("g"&amp;$D$8):INDIRECT("g"&amp;$E$8),0.5),IF(F917=2,PERCENTILE(INDIRECT("g"&amp;$D$9):INDIRECT("g"&amp;$E$9),0.5),IF(F917=3,PERCENTILE(INDIRECT("g"&amp;$D$10):INDIRECT("g"&amp;$E$10),0.5),IF(F917=4,PERCENTILE(INDIRECT("g"&amp;$D$11):INDIRECT("g"&amp;$E$11),0.5),IF(F917=5,PERCENTILE(INDIRECT("g"&amp;$D$12):INDIRECT("g"&amp;$E$12),0.5),IF(F917=6,PERCENTILE(INDIRECT("g"&amp;$D$13):INDIRECT("g"&amp;$E$13),0.5)," "))))))</f>
        <v xml:space="preserve"> </v>
      </c>
      <c r="I917" s="242" t="str">
        <f t="shared" si="76"/>
        <v xml:space="preserve"> </v>
      </c>
      <c r="J917" s="242" t="str">
        <f ca="1">IF(F917=1,AVERAGE(INDIRECT("I"&amp;$D$8):INDIRECT("I"&amp;$E$8)),IF(F917=2,AVERAGE(INDIRECT("I"&amp;$D$9):INDIRECT("I"&amp;$E$9)),IF(F917=3,AVERAGE(INDIRECT("I"&amp;$D$10):INDIRECT("I"&amp;$E$10)),IF(F917=4,AVERAGE(INDIRECT("I"&amp;$D$11):INDIRECT("I"&amp;$E$11)),IF(F917=5,AVERAGE(INDIRECT("I"&amp;$D$12):INDIRECT("I"&amp;$E$12)),IF(F917=6,AVERAGE(INDIRECT("I"&amp;$D$13):INDIRECT("I"&amp;$E$13))," "))))))</f>
        <v xml:space="preserve"> </v>
      </c>
      <c r="K917" s="242" t="str">
        <f t="shared" si="77"/>
        <v xml:space="preserve"> </v>
      </c>
      <c r="L917" s="242" t="str">
        <f t="shared" si="78"/>
        <v xml:space="preserve"> </v>
      </c>
      <c r="M917" s="242" t="str">
        <f t="shared" si="79"/>
        <v xml:space="preserve"> </v>
      </c>
    </row>
    <row r="918" spans="6:13" x14ac:dyDescent="0.2">
      <c r="F918" s="216" t="str">
        <f t="shared" si="75"/>
        <v xml:space="preserve"> </v>
      </c>
      <c r="G918" s="50"/>
      <c r="H918" s="242" t="str">
        <f ca="1">IF(F918=1,PERCENTILE(INDIRECT("g"&amp;$D$8):INDIRECT("g"&amp;$E$8),0.5),IF(F918=2,PERCENTILE(INDIRECT("g"&amp;$D$9):INDIRECT("g"&amp;$E$9),0.5),IF(F918=3,PERCENTILE(INDIRECT("g"&amp;$D$10):INDIRECT("g"&amp;$E$10),0.5),IF(F918=4,PERCENTILE(INDIRECT("g"&amp;$D$11):INDIRECT("g"&amp;$E$11),0.5),IF(F918=5,PERCENTILE(INDIRECT("g"&amp;$D$12):INDIRECT("g"&amp;$E$12),0.5),IF(F918=6,PERCENTILE(INDIRECT("g"&amp;$D$13):INDIRECT("g"&amp;$E$13),0.5)," "))))))</f>
        <v xml:space="preserve"> </v>
      </c>
      <c r="I918" s="242" t="str">
        <f t="shared" si="76"/>
        <v xml:space="preserve"> </v>
      </c>
      <c r="J918" s="242" t="str">
        <f ca="1">IF(F918=1,AVERAGE(INDIRECT("I"&amp;$D$8):INDIRECT("I"&amp;$E$8)),IF(F918=2,AVERAGE(INDIRECT("I"&amp;$D$9):INDIRECT("I"&amp;$E$9)),IF(F918=3,AVERAGE(INDIRECT("I"&amp;$D$10):INDIRECT("I"&amp;$E$10)),IF(F918=4,AVERAGE(INDIRECT("I"&amp;$D$11):INDIRECT("I"&amp;$E$11)),IF(F918=5,AVERAGE(INDIRECT("I"&amp;$D$12):INDIRECT("I"&amp;$E$12)),IF(F918=6,AVERAGE(INDIRECT("I"&amp;$D$13):INDIRECT("I"&amp;$E$13))," "))))))</f>
        <v xml:space="preserve"> </v>
      </c>
      <c r="K918" s="242" t="str">
        <f t="shared" si="77"/>
        <v xml:space="preserve"> </v>
      </c>
      <c r="L918" s="242" t="str">
        <f t="shared" si="78"/>
        <v xml:space="preserve"> </v>
      </c>
      <c r="M918" s="242" t="str">
        <f t="shared" si="79"/>
        <v xml:space="preserve"> </v>
      </c>
    </row>
    <row r="919" spans="6:13" x14ac:dyDescent="0.2">
      <c r="F919" s="216" t="str">
        <f t="shared" si="75"/>
        <v xml:space="preserve"> </v>
      </c>
      <c r="G919" s="50"/>
      <c r="H919" s="242" t="str">
        <f ca="1">IF(F919=1,PERCENTILE(INDIRECT("g"&amp;$D$8):INDIRECT("g"&amp;$E$8),0.5),IF(F919=2,PERCENTILE(INDIRECT("g"&amp;$D$9):INDIRECT("g"&amp;$E$9),0.5),IF(F919=3,PERCENTILE(INDIRECT("g"&amp;$D$10):INDIRECT("g"&amp;$E$10),0.5),IF(F919=4,PERCENTILE(INDIRECT("g"&amp;$D$11):INDIRECT("g"&amp;$E$11),0.5),IF(F919=5,PERCENTILE(INDIRECT("g"&amp;$D$12):INDIRECT("g"&amp;$E$12),0.5),IF(F919=6,PERCENTILE(INDIRECT("g"&amp;$D$13):INDIRECT("g"&amp;$E$13),0.5)," "))))))</f>
        <v xml:space="preserve"> </v>
      </c>
      <c r="I919" s="242" t="str">
        <f t="shared" si="76"/>
        <v xml:space="preserve"> </v>
      </c>
      <c r="J919" s="242" t="str">
        <f ca="1">IF(F919=1,AVERAGE(INDIRECT("I"&amp;$D$8):INDIRECT("I"&amp;$E$8)),IF(F919=2,AVERAGE(INDIRECT("I"&amp;$D$9):INDIRECT("I"&amp;$E$9)),IF(F919=3,AVERAGE(INDIRECT("I"&amp;$D$10):INDIRECT("I"&amp;$E$10)),IF(F919=4,AVERAGE(INDIRECT("I"&amp;$D$11):INDIRECT("I"&amp;$E$11)),IF(F919=5,AVERAGE(INDIRECT("I"&amp;$D$12):INDIRECT("I"&amp;$E$12)),IF(F919=6,AVERAGE(INDIRECT("I"&amp;$D$13):INDIRECT("I"&amp;$E$13))," "))))))</f>
        <v xml:space="preserve"> </v>
      </c>
      <c r="K919" s="242" t="str">
        <f t="shared" si="77"/>
        <v xml:space="preserve"> </v>
      </c>
      <c r="L919" s="242" t="str">
        <f t="shared" si="78"/>
        <v xml:space="preserve"> </v>
      </c>
      <c r="M919" s="242" t="str">
        <f t="shared" si="79"/>
        <v xml:space="preserve"> </v>
      </c>
    </row>
    <row r="920" spans="6:13" x14ac:dyDescent="0.2">
      <c r="F920" s="216" t="str">
        <f t="shared" si="75"/>
        <v xml:space="preserve"> </v>
      </c>
      <c r="G920" s="50"/>
      <c r="H920" s="242" t="str">
        <f ca="1">IF(F920=1,PERCENTILE(INDIRECT("g"&amp;$D$8):INDIRECT("g"&amp;$E$8),0.5),IF(F920=2,PERCENTILE(INDIRECT("g"&amp;$D$9):INDIRECT("g"&amp;$E$9),0.5),IF(F920=3,PERCENTILE(INDIRECT("g"&amp;$D$10):INDIRECT("g"&amp;$E$10),0.5),IF(F920=4,PERCENTILE(INDIRECT("g"&amp;$D$11):INDIRECT("g"&amp;$E$11),0.5),IF(F920=5,PERCENTILE(INDIRECT("g"&amp;$D$12):INDIRECT("g"&amp;$E$12),0.5),IF(F920=6,PERCENTILE(INDIRECT("g"&amp;$D$13):INDIRECT("g"&amp;$E$13),0.5)," "))))))</f>
        <v xml:space="preserve"> </v>
      </c>
      <c r="I920" s="242" t="str">
        <f t="shared" si="76"/>
        <v xml:space="preserve"> </v>
      </c>
      <c r="J920" s="242" t="str">
        <f ca="1">IF(F920=1,AVERAGE(INDIRECT("I"&amp;$D$8):INDIRECT("I"&amp;$E$8)),IF(F920=2,AVERAGE(INDIRECT("I"&amp;$D$9):INDIRECT("I"&amp;$E$9)),IF(F920=3,AVERAGE(INDIRECT("I"&amp;$D$10):INDIRECT("I"&amp;$E$10)),IF(F920=4,AVERAGE(INDIRECT("I"&amp;$D$11):INDIRECT("I"&amp;$E$11)),IF(F920=5,AVERAGE(INDIRECT("I"&amp;$D$12):INDIRECT("I"&amp;$E$12)),IF(F920=6,AVERAGE(INDIRECT("I"&amp;$D$13):INDIRECT("I"&amp;$E$13))," "))))))</f>
        <v xml:space="preserve"> </v>
      </c>
      <c r="K920" s="242" t="str">
        <f t="shared" si="77"/>
        <v xml:space="preserve"> </v>
      </c>
      <c r="L920" s="242" t="str">
        <f t="shared" si="78"/>
        <v xml:space="preserve"> </v>
      </c>
      <c r="M920" s="242" t="str">
        <f t="shared" si="79"/>
        <v xml:space="preserve"> </v>
      </c>
    </row>
    <row r="921" spans="6:13" x14ac:dyDescent="0.2">
      <c r="F921" s="216" t="str">
        <f t="shared" si="75"/>
        <v xml:space="preserve"> </v>
      </c>
      <c r="G921" s="50"/>
      <c r="H921" s="242" t="str">
        <f ca="1">IF(F921=1,PERCENTILE(INDIRECT("g"&amp;$D$8):INDIRECT("g"&amp;$E$8),0.5),IF(F921=2,PERCENTILE(INDIRECT("g"&amp;$D$9):INDIRECT("g"&amp;$E$9),0.5),IF(F921=3,PERCENTILE(INDIRECT("g"&amp;$D$10):INDIRECT("g"&amp;$E$10),0.5),IF(F921=4,PERCENTILE(INDIRECT("g"&amp;$D$11):INDIRECT("g"&amp;$E$11),0.5),IF(F921=5,PERCENTILE(INDIRECT("g"&amp;$D$12):INDIRECT("g"&amp;$E$12),0.5),IF(F921=6,PERCENTILE(INDIRECT("g"&amp;$D$13):INDIRECT("g"&amp;$E$13),0.5)," "))))))</f>
        <v xml:space="preserve"> </v>
      </c>
      <c r="I921" s="242" t="str">
        <f t="shared" si="76"/>
        <v xml:space="preserve"> </v>
      </c>
      <c r="J921" s="242" t="str">
        <f ca="1">IF(F921=1,AVERAGE(INDIRECT("I"&amp;$D$8):INDIRECT("I"&amp;$E$8)),IF(F921=2,AVERAGE(INDIRECT("I"&amp;$D$9):INDIRECT("I"&amp;$E$9)),IF(F921=3,AVERAGE(INDIRECT("I"&amp;$D$10):INDIRECT("I"&amp;$E$10)),IF(F921=4,AVERAGE(INDIRECT("I"&amp;$D$11):INDIRECT("I"&amp;$E$11)),IF(F921=5,AVERAGE(INDIRECT("I"&amp;$D$12):INDIRECT("I"&amp;$E$12)),IF(F921=6,AVERAGE(INDIRECT("I"&amp;$D$13):INDIRECT("I"&amp;$E$13))," "))))))</f>
        <v xml:space="preserve"> </v>
      </c>
      <c r="K921" s="242" t="str">
        <f t="shared" si="77"/>
        <v xml:space="preserve"> </v>
      </c>
      <c r="L921" s="242" t="str">
        <f t="shared" si="78"/>
        <v xml:space="preserve"> </v>
      </c>
      <c r="M921" s="242" t="str">
        <f t="shared" si="79"/>
        <v xml:space="preserve"> </v>
      </c>
    </row>
    <row r="922" spans="6:13" x14ac:dyDescent="0.2">
      <c r="F922" s="216" t="str">
        <f t="shared" si="75"/>
        <v xml:space="preserve"> </v>
      </c>
      <c r="G922" s="50"/>
      <c r="H922" s="242" t="str">
        <f ca="1">IF(F922=1,PERCENTILE(INDIRECT("g"&amp;$D$8):INDIRECT("g"&amp;$E$8),0.5),IF(F922=2,PERCENTILE(INDIRECT("g"&amp;$D$9):INDIRECT("g"&amp;$E$9),0.5),IF(F922=3,PERCENTILE(INDIRECT("g"&amp;$D$10):INDIRECT("g"&amp;$E$10),0.5),IF(F922=4,PERCENTILE(INDIRECT("g"&amp;$D$11):INDIRECT("g"&amp;$E$11),0.5),IF(F922=5,PERCENTILE(INDIRECT("g"&amp;$D$12):INDIRECT("g"&amp;$E$12),0.5),IF(F922=6,PERCENTILE(INDIRECT("g"&amp;$D$13):INDIRECT("g"&amp;$E$13),0.5)," "))))))</f>
        <v xml:space="preserve"> </v>
      </c>
      <c r="I922" s="242" t="str">
        <f t="shared" si="76"/>
        <v xml:space="preserve"> </v>
      </c>
      <c r="J922" s="242" t="str">
        <f ca="1">IF(F922=1,AVERAGE(INDIRECT("I"&amp;$D$8):INDIRECT("I"&amp;$E$8)),IF(F922=2,AVERAGE(INDIRECT("I"&amp;$D$9):INDIRECT("I"&amp;$E$9)),IF(F922=3,AVERAGE(INDIRECT("I"&amp;$D$10):INDIRECT("I"&amp;$E$10)),IF(F922=4,AVERAGE(INDIRECT("I"&amp;$D$11):INDIRECT("I"&amp;$E$11)),IF(F922=5,AVERAGE(INDIRECT("I"&amp;$D$12):INDIRECT("I"&amp;$E$12)),IF(F922=6,AVERAGE(INDIRECT("I"&amp;$D$13):INDIRECT("I"&amp;$E$13))," "))))))</f>
        <v xml:space="preserve"> </v>
      </c>
      <c r="K922" s="242" t="str">
        <f t="shared" si="77"/>
        <v xml:space="preserve"> </v>
      </c>
      <c r="L922" s="242" t="str">
        <f t="shared" si="78"/>
        <v xml:space="preserve"> </v>
      </c>
      <c r="M922" s="242" t="str">
        <f t="shared" si="79"/>
        <v xml:space="preserve"> </v>
      </c>
    </row>
    <row r="923" spans="6:13" x14ac:dyDescent="0.2">
      <c r="F923" s="216" t="str">
        <f t="shared" si="75"/>
        <v xml:space="preserve"> </v>
      </c>
      <c r="G923" s="50"/>
      <c r="H923" s="242" t="str">
        <f ca="1">IF(F923=1,PERCENTILE(INDIRECT("g"&amp;$D$8):INDIRECT("g"&amp;$E$8),0.5),IF(F923=2,PERCENTILE(INDIRECT("g"&amp;$D$9):INDIRECT("g"&amp;$E$9),0.5),IF(F923=3,PERCENTILE(INDIRECT("g"&amp;$D$10):INDIRECT("g"&amp;$E$10),0.5),IF(F923=4,PERCENTILE(INDIRECT("g"&amp;$D$11):INDIRECT("g"&amp;$E$11),0.5),IF(F923=5,PERCENTILE(INDIRECT("g"&amp;$D$12):INDIRECT("g"&amp;$E$12),0.5),IF(F923=6,PERCENTILE(INDIRECT("g"&amp;$D$13):INDIRECT("g"&amp;$E$13),0.5)," "))))))</f>
        <v xml:space="preserve"> </v>
      </c>
      <c r="I923" s="242" t="str">
        <f t="shared" si="76"/>
        <v xml:space="preserve"> </v>
      </c>
      <c r="J923" s="242" t="str">
        <f ca="1">IF(F923=1,AVERAGE(INDIRECT("I"&amp;$D$8):INDIRECT("I"&amp;$E$8)),IF(F923=2,AVERAGE(INDIRECT("I"&amp;$D$9):INDIRECT("I"&amp;$E$9)),IF(F923=3,AVERAGE(INDIRECT("I"&amp;$D$10):INDIRECT("I"&amp;$E$10)),IF(F923=4,AVERAGE(INDIRECT("I"&amp;$D$11):INDIRECT("I"&amp;$E$11)),IF(F923=5,AVERAGE(INDIRECT("I"&amp;$D$12):INDIRECT("I"&amp;$E$12)),IF(F923=6,AVERAGE(INDIRECT("I"&amp;$D$13):INDIRECT("I"&amp;$E$13))," "))))))</f>
        <v xml:space="preserve"> </v>
      </c>
      <c r="K923" s="242" t="str">
        <f t="shared" si="77"/>
        <v xml:space="preserve"> </v>
      </c>
      <c r="L923" s="242" t="str">
        <f t="shared" si="78"/>
        <v xml:space="preserve"> </v>
      </c>
      <c r="M923" s="242" t="str">
        <f t="shared" si="79"/>
        <v xml:space="preserve"> </v>
      </c>
    </row>
    <row r="924" spans="6:13" x14ac:dyDescent="0.2">
      <c r="F924" s="216" t="str">
        <f t="shared" si="75"/>
        <v xml:space="preserve"> </v>
      </c>
      <c r="G924" s="50"/>
      <c r="H924" s="242" t="str">
        <f ca="1">IF(F924=1,PERCENTILE(INDIRECT("g"&amp;$D$8):INDIRECT("g"&amp;$E$8),0.5),IF(F924=2,PERCENTILE(INDIRECT("g"&amp;$D$9):INDIRECT("g"&amp;$E$9),0.5),IF(F924=3,PERCENTILE(INDIRECT("g"&amp;$D$10):INDIRECT("g"&amp;$E$10),0.5),IF(F924=4,PERCENTILE(INDIRECT("g"&amp;$D$11):INDIRECT("g"&amp;$E$11),0.5),IF(F924=5,PERCENTILE(INDIRECT("g"&amp;$D$12):INDIRECT("g"&amp;$E$12),0.5),IF(F924=6,PERCENTILE(INDIRECT("g"&amp;$D$13):INDIRECT("g"&amp;$E$13),0.5)," "))))))</f>
        <v xml:space="preserve"> </v>
      </c>
      <c r="I924" s="242" t="str">
        <f t="shared" si="76"/>
        <v xml:space="preserve"> </v>
      </c>
      <c r="J924" s="242" t="str">
        <f ca="1">IF(F924=1,AVERAGE(INDIRECT("I"&amp;$D$8):INDIRECT("I"&amp;$E$8)),IF(F924=2,AVERAGE(INDIRECT("I"&amp;$D$9):INDIRECT("I"&amp;$E$9)),IF(F924=3,AVERAGE(INDIRECT("I"&amp;$D$10):INDIRECT("I"&amp;$E$10)),IF(F924=4,AVERAGE(INDIRECT("I"&amp;$D$11):INDIRECT("I"&amp;$E$11)),IF(F924=5,AVERAGE(INDIRECT("I"&amp;$D$12):INDIRECT("I"&amp;$E$12)),IF(F924=6,AVERAGE(INDIRECT("I"&amp;$D$13):INDIRECT("I"&amp;$E$13))," "))))))</f>
        <v xml:space="preserve"> </v>
      </c>
      <c r="K924" s="242" t="str">
        <f t="shared" si="77"/>
        <v xml:space="preserve"> </v>
      </c>
      <c r="L924" s="242" t="str">
        <f t="shared" si="78"/>
        <v xml:space="preserve"> </v>
      </c>
      <c r="M924" s="242" t="str">
        <f t="shared" si="79"/>
        <v xml:space="preserve"> </v>
      </c>
    </row>
    <row r="925" spans="6:13" x14ac:dyDescent="0.2">
      <c r="F925" s="216" t="str">
        <f t="shared" si="75"/>
        <v xml:space="preserve"> </v>
      </c>
      <c r="G925" s="50"/>
      <c r="H925" s="242" t="str">
        <f ca="1">IF(F925=1,PERCENTILE(INDIRECT("g"&amp;$D$8):INDIRECT("g"&amp;$E$8),0.5),IF(F925=2,PERCENTILE(INDIRECT("g"&amp;$D$9):INDIRECT("g"&amp;$E$9),0.5),IF(F925=3,PERCENTILE(INDIRECT("g"&amp;$D$10):INDIRECT("g"&amp;$E$10),0.5),IF(F925=4,PERCENTILE(INDIRECT("g"&amp;$D$11):INDIRECT("g"&amp;$E$11),0.5),IF(F925=5,PERCENTILE(INDIRECT("g"&amp;$D$12):INDIRECT("g"&amp;$E$12),0.5),IF(F925=6,PERCENTILE(INDIRECT("g"&amp;$D$13):INDIRECT("g"&amp;$E$13),0.5)," "))))))</f>
        <v xml:space="preserve"> </v>
      </c>
      <c r="I925" s="242" t="str">
        <f t="shared" si="76"/>
        <v xml:space="preserve"> </v>
      </c>
      <c r="J925" s="242" t="str">
        <f ca="1">IF(F925=1,AVERAGE(INDIRECT("I"&amp;$D$8):INDIRECT("I"&amp;$E$8)),IF(F925=2,AVERAGE(INDIRECT("I"&amp;$D$9):INDIRECT("I"&amp;$E$9)),IF(F925=3,AVERAGE(INDIRECT("I"&amp;$D$10):INDIRECT("I"&amp;$E$10)),IF(F925=4,AVERAGE(INDIRECT("I"&amp;$D$11):INDIRECT("I"&amp;$E$11)),IF(F925=5,AVERAGE(INDIRECT("I"&amp;$D$12):INDIRECT("I"&amp;$E$12)),IF(F925=6,AVERAGE(INDIRECT("I"&amp;$D$13):INDIRECT("I"&amp;$E$13))," "))))))</f>
        <v xml:space="preserve"> </v>
      </c>
      <c r="K925" s="242" t="str">
        <f t="shared" si="77"/>
        <v xml:space="preserve"> </v>
      </c>
      <c r="L925" s="242" t="str">
        <f t="shared" si="78"/>
        <v xml:space="preserve"> </v>
      </c>
      <c r="M925" s="242" t="str">
        <f t="shared" si="79"/>
        <v xml:space="preserve"> </v>
      </c>
    </row>
    <row r="926" spans="6:13" x14ac:dyDescent="0.2">
      <c r="F926" s="216" t="str">
        <f t="shared" si="75"/>
        <v xml:space="preserve"> </v>
      </c>
      <c r="G926" s="50"/>
      <c r="H926" s="242" t="str">
        <f ca="1">IF(F926=1,PERCENTILE(INDIRECT("g"&amp;$D$8):INDIRECT("g"&amp;$E$8),0.5),IF(F926=2,PERCENTILE(INDIRECT("g"&amp;$D$9):INDIRECT("g"&amp;$E$9),0.5),IF(F926=3,PERCENTILE(INDIRECT("g"&amp;$D$10):INDIRECT("g"&amp;$E$10),0.5),IF(F926=4,PERCENTILE(INDIRECT("g"&amp;$D$11):INDIRECT("g"&amp;$E$11),0.5),IF(F926=5,PERCENTILE(INDIRECT("g"&amp;$D$12):INDIRECT("g"&amp;$E$12),0.5),IF(F926=6,PERCENTILE(INDIRECT("g"&amp;$D$13):INDIRECT("g"&amp;$E$13),0.5)," "))))))</f>
        <v xml:space="preserve"> </v>
      </c>
      <c r="I926" s="242" t="str">
        <f t="shared" si="76"/>
        <v xml:space="preserve"> </v>
      </c>
      <c r="J926" s="242" t="str">
        <f ca="1">IF(F926=1,AVERAGE(INDIRECT("I"&amp;$D$8):INDIRECT("I"&amp;$E$8)),IF(F926=2,AVERAGE(INDIRECT("I"&amp;$D$9):INDIRECT("I"&amp;$E$9)),IF(F926=3,AVERAGE(INDIRECT("I"&amp;$D$10):INDIRECT("I"&amp;$E$10)),IF(F926=4,AVERAGE(INDIRECT("I"&amp;$D$11):INDIRECT("I"&amp;$E$11)),IF(F926=5,AVERAGE(INDIRECT("I"&amp;$D$12):INDIRECT("I"&amp;$E$12)),IF(F926=6,AVERAGE(INDIRECT("I"&amp;$D$13):INDIRECT("I"&amp;$E$13))," "))))))</f>
        <v xml:space="preserve"> </v>
      </c>
      <c r="K926" s="242" t="str">
        <f t="shared" si="77"/>
        <v xml:space="preserve"> </v>
      </c>
      <c r="L926" s="242" t="str">
        <f t="shared" si="78"/>
        <v xml:space="preserve"> </v>
      </c>
      <c r="M926" s="242" t="str">
        <f t="shared" si="79"/>
        <v xml:space="preserve"> </v>
      </c>
    </row>
    <row r="927" spans="6:13" x14ac:dyDescent="0.2">
      <c r="F927" s="216" t="str">
        <f t="shared" si="75"/>
        <v xml:space="preserve"> </v>
      </c>
      <c r="G927" s="50"/>
      <c r="H927" s="242" t="str">
        <f ca="1">IF(F927=1,PERCENTILE(INDIRECT("g"&amp;$D$8):INDIRECT("g"&amp;$E$8),0.5),IF(F927=2,PERCENTILE(INDIRECT("g"&amp;$D$9):INDIRECT("g"&amp;$E$9),0.5),IF(F927=3,PERCENTILE(INDIRECT("g"&amp;$D$10):INDIRECT("g"&amp;$E$10),0.5),IF(F927=4,PERCENTILE(INDIRECT("g"&amp;$D$11):INDIRECT("g"&amp;$E$11),0.5),IF(F927=5,PERCENTILE(INDIRECT("g"&amp;$D$12):INDIRECT("g"&amp;$E$12),0.5),IF(F927=6,PERCENTILE(INDIRECT("g"&amp;$D$13):INDIRECT("g"&amp;$E$13),0.5)," "))))))</f>
        <v xml:space="preserve"> </v>
      </c>
      <c r="I927" s="242" t="str">
        <f t="shared" si="76"/>
        <v xml:space="preserve"> </v>
      </c>
      <c r="J927" s="242" t="str">
        <f ca="1">IF(F927=1,AVERAGE(INDIRECT("I"&amp;$D$8):INDIRECT("I"&amp;$E$8)),IF(F927=2,AVERAGE(INDIRECT("I"&amp;$D$9):INDIRECT("I"&amp;$E$9)),IF(F927=3,AVERAGE(INDIRECT("I"&amp;$D$10):INDIRECT("I"&amp;$E$10)),IF(F927=4,AVERAGE(INDIRECT("I"&amp;$D$11):INDIRECT("I"&amp;$E$11)),IF(F927=5,AVERAGE(INDIRECT("I"&amp;$D$12):INDIRECT("I"&amp;$E$12)),IF(F927=6,AVERAGE(INDIRECT("I"&amp;$D$13):INDIRECT("I"&amp;$E$13))," "))))))</f>
        <v xml:space="preserve"> </v>
      </c>
      <c r="K927" s="242" t="str">
        <f t="shared" si="77"/>
        <v xml:space="preserve"> </v>
      </c>
      <c r="L927" s="242" t="str">
        <f t="shared" si="78"/>
        <v xml:space="preserve"> </v>
      </c>
      <c r="M927" s="242" t="str">
        <f t="shared" si="79"/>
        <v xml:space="preserve"> </v>
      </c>
    </row>
    <row r="928" spans="6:13" x14ac:dyDescent="0.2">
      <c r="F928" s="216" t="str">
        <f t="shared" si="75"/>
        <v xml:space="preserve"> </v>
      </c>
      <c r="G928" s="50"/>
      <c r="H928" s="242" t="str">
        <f ca="1">IF(F928=1,PERCENTILE(INDIRECT("g"&amp;$D$8):INDIRECT("g"&amp;$E$8),0.5),IF(F928=2,PERCENTILE(INDIRECT("g"&amp;$D$9):INDIRECT("g"&amp;$E$9),0.5),IF(F928=3,PERCENTILE(INDIRECT("g"&amp;$D$10):INDIRECT("g"&amp;$E$10),0.5),IF(F928=4,PERCENTILE(INDIRECT("g"&amp;$D$11):INDIRECT("g"&amp;$E$11),0.5),IF(F928=5,PERCENTILE(INDIRECT("g"&amp;$D$12):INDIRECT("g"&amp;$E$12),0.5),IF(F928=6,PERCENTILE(INDIRECT("g"&amp;$D$13):INDIRECT("g"&amp;$E$13),0.5)," "))))))</f>
        <v xml:space="preserve"> </v>
      </c>
      <c r="I928" s="242" t="str">
        <f t="shared" si="76"/>
        <v xml:space="preserve"> </v>
      </c>
      <c r="J928" s="242" t="str">
        <f ca="1">IF(F928=1,AVERAGE(INDIRECT("I"&amp;$D$8):INDIRECT("I"&amp;$E$8)),IF(F928=2,AVERAGE(INDIRECT("I"&amp;$D$9):INDIRECT("I"&amp;$E$9)),IF(F928=3,AVERAGE(INDIRECT("I"&amp;$D$10):INDIRECT("I"&amp;$E$10)),IF(F928=4,AVERAGE(INDIRECT("I"&amp;$D$11):INDIRECT("I"&amp;$E$11)),IF(F928=5,AVERAGE(INDIRECT("I"&amp;$D$12):INDIRECT("I"&amp;$E$12)),IF(F928=6,AVERAGE(INDIRECT("I"&amp;$D$13):INDIRECT("I"&amp;$E$13))," "))))))</f>
        <v xml:space="preserve"> </v>
      </c>
      <c r="K928" s="242" t="str">
        <f t="shared" si="77"/>
        <v xml:space="preserve"> </v>
      </c>
      <c r="L928" s="242" t="str">
        <f t="shared" si="78"/>
        <v xml:space="preserve"> </v>
      </c>
      <c r="M928" s="242" t="str">
        <f t="shared" si="79"/>
        <v xml:space="preserve"> </v>
      </c>
    </row>
    <row r="929" spans="6:13" x14ac:dyDescent="0.2">
      <c r="F929" s="216" t="str">
        <f t="shared" si="75"/>
        <v xml:space="preserve"> </v>
      </c>
      <c r="G929" s="50"/>
      <c r="H929" s="242" t="str">
        <f ca="1">IF(F929=1,PERCENTILE(INDIRECT("g"&amp;$D$8):INDIRECT("g"&amp;$E$8),0.5),IF(F929=2,PERCENTILE(INDIRECT("g"&amp;$D$9):INDIRECT("g"&amp;$E$9),0.5),IF(F929=3,PERCENTILE(INDIRECT("g"&amp;$D$10):INDIRECT("g"&amp;$E$10),0.5),IF(F929=4,PERCENTILE(INDIRECT("g"&amp;$D$11):INDIRECT("g"&amp;$E$11),0.5),IF(F929=5,PERCENTILE(INDIRECT("g"&amp;$D$12):INDIRECT("g"&amp;$E$12),0.5),IF(F929=6,PERCENTILE(INDIRECT("g"&amp;$D$13):INDIRECT("g"&amp;$E$13),0.5)," "))))))</f>
        <v xml:space="preserve"> </v>
      </c>
      <c r="I929" s="242" t="str">
        <f t="shared" si="76"/>
        <v xml:space="preserve"> </v>
      </c>
      <c r="J929" s="242" t="str">
        <f ca="1">IF(F929=1,AVERAGE(INDIRECT("I"&amp;$D$8):INDIRECT("I"&amp;$E$8)),IF(F929=2,AVERAGE(INDIRECT("I"&amp;$D$9):INDIRECT("I"&amp;$E$9)),IF(F929=3,AVERAGE(INDIRECT("I"&amp;$D$10):INDIRECT("I"&amp;$E$10)),IF(F929=4,AVERAGE(INDIRECT("I"&amp;$D$11):INDIRECT("I"&amp;$E$11)),IF(F929=5,AVERAGE(INDIRECT("I"&amp;$D$12):INDIRECT("I"&amp;$E$12)),IF(F929=6,AVERAGE(INDIRECT("I"&amp;$D$13):INDIRECT("I"&amp;$E$13))," "))))))</f>
        <v xml:space="preserve"> </v>
      </c>
      <c r="K929" s="242" t="str">
        <f t="shared" si="77"/>
        <v xml:space="preserve"> </v>
      </c>
      <c r="L929" s="242" t="str">
        <f t="shared" si="78"/>
        <v xml:space="preserve"> </v>
      </c>
      <c r="M929" s="242" t="str">
        <f t="shared" si="79"/>
        <v xml:space="preserve"> </v>
      </c>
    </row>
    <row r="930" spans="6:13" x14ac:dyDescent="0.2">
      <c r="F930" s="216" t="str">
        <f t="shared" si="75"/>
        <v xml:space="preserve"> </v>
      </c>
      <c r="G930" s="50"/>
      <c r="H930" s="242" t="str">
        <f ca="1">IF(F930=1,PERCENTILE(INDIRECT("g"&amp;$D$8):INDIRECT("g"&amp;$E$8),0.5),IF(F930=2,PERCENTILE(INDIRECT("g"&amp;$D$9):INDIRECT("g"&amp;$E$9),0.5),IF(F930=3,PERCENTILE(INDIRECT("g"&amp;$D$10):INDIRECT("g"&amp;$E$10),0.5),IF(F930=4,PERCENTILE(INDIRECT("g"&amp;$D$11):INDIRECT("g"&amp;$E$11),0.5),IF(F930=5,PERCENTILE(INDIRECT("g"&amp;$D$12):INDIRECT("g"&amp;$E$12),0.5),IF(F930=6,PERCENTILE(INDIRECT("g"&amp;$D$13):INDIRECT("g"&amp;$E$13),0.5)," "))))))</f>
        <v xml:space="preserve"> </v>
      </c>
      <c r="I930" s="242" t="str">
        <f t="shared" si="76"/>
        <v xml:space="preserve"> </v>
      </c>
      <c r="J930" s="242" t="str">
        <f ca="1">IF(F930=1,AVERAGE(INDIRECT("I"&amp;$D$8):INDIRECT("I"&amp;$E$8)),IF(F930=2,AVERAGE(INDIRECT("I"&amp;$D$9):INDIRECT("I"&amp;$E$9)),IF(F930=3,AVERAGE(INDIRECT("I"&amp;$D$10):INDIRECT("I"&amp;$E$10)),IF(F930=4,AVERAGE(INDIRECT("I"&amp;$D$11):INDIRECT("I"&amp;$E$11)),IF(F930=5,AVERAGE(INDIRECT("I"&amp;$D$12):INDIRECT("I"&amp;$E$12)),IF(F930=6,AVERAGE(INDIRECT("I"&amp;$D$13):INDIRECT("I"&amp;$E$13))," "))))))</f>
        <v xml:space="preserve"> </v>
      </c>
      <c r="K930" s="242" t="str">
        <f t="shared" si="77"/>
        <v xml:space="preserve"> </v>
      </c>
      <c r="L930" s="242" t="str">
        <f t="shared" si="78"/>
        <v xml:space="preserve"> </v>
      </c>
      <c r="M930" s="242" t="str">
        <f t="shared" si="79"/>
        <v xml:space="preserve"> </v>
      </c>
    </row>
    <row r="931" spans="6:13" x14ac:dyDescent="0.2">
      <c r="F931" s="216" t="str">
        <f t="shared" si="75"/>
        <v xml:space="preserve"> </v>
      </c>
      <c r="G931" s="50"/>
      <c r="H931" s="242" t="str">
        <f ca="1">IF(F931=1,PERCENTILE(INDIRECT("g"&amp;$D$8):INDIRECT("g"&amp;$E$8),0.5),IF(F931=2,PERCENTILE(INDIRECT("g"&amp;$D$9):INDIRECT("g"&amp;$E$9),0.5),IF(F931=3,PERCENTILE(INDIRECT("g"&amp;$D$10):INDIRECT("g"&amp;$E$10),0.5),IF(F931=4,PERCENTILE(INDIRECT("g"&amp;$D$11):INDIRECT("g"&amp;$E$11),0.5),IF(F931=5,PERCENTILE(INDIRECT("g"&amp;$D$12):INDIRECT("g"&amp;$E$12),0.5),IF(F931=6,PERCENTILE(INDIRECT("g"&amp;$D$13):INDIRECT("g"&amp;$E$13),0.5)," "))))))</f>
        <v xml:space="preserve"> </v>
      </c>
      <c r="I931" s="242" t="str">
        <f t="shared" si="76"/>
        <v xml:space="preserve"> </v>
      </c>
      <c r="J931" s="242" t="str">
        <f ca="1">IF(F931=1,AVERAGE(INDIRECT("I"&amp;$D$8):INDIRECT("I"&amp;$E$8)),IF(F931=2,AVERAGE(INDIRECT("I"&amp;$D$9):INDIRECT("I"&amp;$E$9)),IF(F931=3,AVERAGE(INDIRECT("I"&amp;$D$10):INDIRECT("I"&amp;$E$10)),IF(F931=4,AVERAGE(INDIRECT("I"&amp;$D$11):INDIRECT("I"&amp;$E$11)),IF(F931=5,AVERAGE(INDIRECT("I"&amp;$D$12):INDIRECT("I"&amp;$E$12)),IF(F931=6,AVERAGE(INDIRECT("I"&amp;$D$13):INDIRECT("I"&amp;$E$13))," "))))))</f>
        <v xml:space="preserve"> </v>
      </c>
      <c r="K931" s="242" t="str">
        <f t="shared" si="77"/>
        <v xml:space="preserve"> </v>
      </c>
      <c r="L931" s="242" t="str">
        <f t="shared" si="78"/>
        <v xml:space="preserve"> </v>
      </c>
      <c r="M931" s="242" t="str">
        <f t="shared" si="79"/>
        <v xml:space="preserve"> </v>
      </c>
    </row>
    <row r="932" spans="6:13" x14ac:dyDescent="0.2">
      <c r="F932" s="216" t="str">
        <f t="shared" si="75"/>
        <v xml:space="preserve"> </v>
      </c>
      <c r="G932" s="50"/>
      <c r="H932" s="242" t="str">
        <f ca="1">IF(F932=1,PERCENTILE(INDIRECT("g"&amp;$D$8):INDIRECT("g"&amp;$E$8),0.5),IF(F932=2,PERCENTILE(INDIRECT("g"&amp;$D$9):INDIRECT("g"&amp;$E$9),0.5),IF(F932=3,PERCENTILE(INDIRECT("g"&amp;$D$10):INDIRECT("g"&amp;$E$10),0.5),IF(F932=4,PERCENTILE(INDIRECT("g"&amp;$D$11):INDIRECT("g"&amp;$E$11),0.5),IF(F932=5,PERCENTILE(INDIRECT("g"&amp;$D$12):INDIRECT("g"&amp;$E$12),0.5),IF(F932=6,PERCENTILE(INDIRECT("g"&amp;$D$13):INDIRECT("g"&amp;$E$13),0.5)," "))))))</f>
        <v xml:space="preserve"> </v>
      </c>
      <c r="I932" s="242" t="str">
        <f t="shared" si="76"/>
        <v xml:space="preserve"> </v>
      </c>
      <c r="J932" s="242" t="str">
        <f ca="1">IF(F932=1,AVERAGE(INDIRECT("I"&amp;$D$8):INDIRECT("I"&amp;$E$8)),IF(F932=2,AVERAGE(INDIRECT("I"&amp;$D$9):INDIRECT("I"&amp;$E$9)),IF(F932=3,AVERAGE(INDIRECT("I"&amp;$D$10):INDIRECT("I"&amp;$E$10)),IF(F932=4,AVERAGE(INDIRECT("I"&amp;$D$11):INDIRECT("I"&amp;$E$11)),IF(F932=5,AVERAGE(INDIRECT("I"&amp;$D$12):INDIRECT("I"&amp;$E$12)),IF(F932=6,AVERAGE(INDIRECT("I"&amp;$D$13):INDIRECT("I"&amp;$E$13))," "))))))</f>
        <v xml:space="preserve"> </v>
      </c>
      <c r="K932" s="242" t="str">
        <f t="shared" si="77"/>
        <v xml:space="preserve"> </v>
      </c>
      <c r="L932" s="242" t="str">
        <f t="shared" si="78"/>
        <v xml:space="preserve"> </v>
      </c>
      <c r="M932" s="242" t="str">
        <f t="shared" si="79"/>
        <v xml:space="preserve"> </v>
      </c>
    </row>
    <row r="933" spans="6:13" x14ac:dyDescent="0.2">
      <c r="F933" s="216" t="str">
        <f t="shared" si="75"/>
        <v xml:space="preserve"> </v>
      </c>
      <c r="G933" s="50"/>
      <c r="H933" s="242" t="str">
        <f ca="1">IF(F933=1,PERCENTILE(INDIRECT("g"&amp;$D$8):INDIRECT("g"&amp;$E$8),0.5),IF(F933=2,PERCENTILE(INDIRECT("g"&amp;$D$9):INDIRECT("g"&amp;$E$9),0.5),IF(F933=3,PERCENTILE(INDIRECT("g"&amp;$D$10):INDIRECT("g"&amp;$E$10),0.5),IF(F933=4,PERCENTILE(INDIRECT("g"&amp;$D$11):INDIRECT("g"&amp;$E$11),0.5),IF(F933=5,PERCENTILE(INDIRECT("g"&amp;$D$12):INDIRECT("g"&amp;$E$12),0.5),IF(F933=6,PERCENTILE(INDIRECT("g"&amp;$D$13):INDIRECT("g"&amp;$E$13),0.5)," "))))))</f>
        <v xml:space="preserve"> </v>
      </c>
      <c r="I933" s="242" t="str">
        <f t="shared" si="76"/>
        <v xml:space="preserve"> </v>
      </c>
      <c r="J933" s="242" t="str">
        <f ca="1">IF(F933=1,AVERAGE(INDIRECT("I"&amp;$D$8):INDIRECT("I"&amp;$E$8)),IF(F933=2,AVERAGE(INDIRECT("I"&amp;$D$9):INDIRECT("I"&amp;$E$9)),IF(F933=3,AVERAGE(INDIRECT("I"&amp;$D$10):INDIRECT("I"&amp;$E$10)),IF(F933=4,AVERAGE(INDIRECT("I"&amp;$D$11):INDIRECT("I"&amp;$E$11)),IF(F933=5,AVERAGE(INDIRECT("I"&amp;$D$12):INDIRECT("I"&amp;$E$12)),IF(F933=6,AVERAGE(INDIRECT("I"&amp;$D$13):INDIRECT("I"&amp;$E$13))," "))))))</f>
        <v xml:space="preserve"> </v>
      </c>
      <c r="K933" s="242" t="str">
        <f t="shared" si="77"/>
        <v xml:space="preserve"> </v>
      </c>
      <c r="L933" s="242" t="str">
        <f t="shared" si="78"/>
        <v xml:space="preserve"> </v>
      </c>
      <c r="M933" s="242" t="str">
        <f t="shared" si="79"/>
        <v xml:space="preserve"> </v>
      </c>
    </row>
    <row r="934" spans="6:13" x14ac:dyDescent="0.2">
      <c r="F934" s="216" t="str">
        <f t="shared" si="75"/>
        <v xml:space="preserve"> </v>
      </c>
      <c r="G934" s="50"/>
      <c r="H934" s="242" t="str">
        <f ca="1">IF(F934=1,PERCENTILE(INDIRECT("g"&amp;$D$8):INDIRECT("g"&amp;$E$8),0.5),IF(F934=2,PERCENTILE(INDIRECT("g"&amp;$D$9):INDIRECT("g"&amp;$E$9),0.5),IF(F934=3,PERCENTILE(INDIRECT("g"&amp;$D$10):INDIRECT("g"&amp;$E$10),0.5),IF(F934=4,PERCENTILE(INDIRECT("g"&amp;$D$11):INDIRECT("g"&amp;$E$11),0.5),IF(F934=5,PERCENTILE(INDIRECT("g"&amp;$D$12):INDIRECT("g"&amp;$E$12),0.5),IF(F934=6,PERCENTILE(INDIRECT("g"&amp;$D$13):INDIRECT("g"&amp;$E$13),0.5)," "))))))</f>
        <v xml:space="preserve"> </v>
      </c>
      <c r="I934" s="242" t="str">
        <f t="shared" si="76"/>
        <v xml:space="preserve"> </v>
      </c>
      <c r="J934" s="242" t="str">
        <f ca="1">IF(F934=1,AVERAGE(INDIRECT("I"&amp;$D$8):INDIRECT("I"&amp;$E$8)),IF(F934=2,AVERAGE(INDIRECT("I"&amp;$D$9):INDIRECT("I"&amp;$E$9)),IF(F934=3,AVERAGE(INDIRECT("I"&amp;$D$10):INDIRECT("I"&amp;$E$10)),IF(F934=4,AVERAGE(INDIRECT("I"&amp;$D$11):INDIRECT("I"&amp;$E$11)),IF(F934=5,AVERAGE(INDIRECT("I"&amp;$D$12):INDIRECT("I"&amp;$E$12)),IF(F934=6,AVERAGE(INDIRECT("I"&amp;$D$13):INDIRECT("I"&amp;$E$13))," "))))))</f>
        <v xml:space="preserve"> </v>
      </c>
      <c r="K934" s="242" t="str">
        <f t="shared" si="77"/>
        <v xml:space="preserve"> </v>
      </c>
      <c r="L934" s="242" t="str">
        <f t="shared" si="78"/>
        <v xml:space="preserve"> </v>
      </c>
      <c r="M934" s="242" t="str">
        <f t="shared" si="79"/>
        <v xml:space="preserve"> </v>
      </c>
    </row>
    <row r="935" spans="6:13" x14ac:dyDescent="0.2">
      <c r="F935" s="216" t="str">
        <f t="shared" si="75"/>
        <v xml:space="preserve"> </v>
      </c>
      <c r="G935" s="50"/>
      <c r="H935" s="242" t="str">
        <f ca="1">IF(F935=1,PERCENTILE(INDIRECT("g"&amp;$D$8):INDIRECT("g"&amp;$E$8),0.5),IF(F935=2,PERCENTILE(INDIRECT("g"&amp;$D$9):INDIRECT("g"&amp;$E$9),0.5),IF(F935=3,PERCENTILE(INDIRECT("g"&amp;$D$10):INDIRECT("g"&amp;$E$10),0.5),IF(F935=4,PERCENTILE(INDIRECT("g"&amp;$D$11):INDIRECT("g"&amp;$E$11),0.5),IF(F935=5,PERCENTILE(INDIRECT("g"&amp;$D$12):INDIRECT("g"&amp;$E$12),0.5),IF(F935=6,PERCENTILE(INDIRECT("g"&amp;$D$13):INDIRECT("g"&amp;$E$13),0.5)," "))))))</f>
        <v xml:space="preserve"> </v>
      </c>
      <c r="I935" s="242" t="str">
        <f t="shared" si="76"/>
        <v xml:space="preserve"> </v>
      </c>
      <c r="J935" s="242" t="str">
        <f ca="1">IF(F935=1,AVERAGE(INDIRECT("I"&amp;$D$8):INDIRECT("I"&amp;$E$8)),IF(F935=2,AVERAGE(INDIRECT("I"&amp;$D$9):INDIRECT("I"&amp;$E$9)),IF(F935=3,AVERAGE(INDIRECT("I"&amp;$D$10):INDIRECT("I"&amp;$E$10)),IF(F935=4,AVERAGE(INDIRECT("I"&amp;$D$11):INDIRECT("I"&amp;$E$11)),IF(F935=5,AVERAGE(INDIRECT("I"&amp;$D$12):INDIRECT("I"&amp;$E$12)),IF(F935=6,AVERAGE(INDIRECT("I"&amp;$D$13):INDIRECT("I"&amp;$E$13))," "))))))</f>
        <v xml:space="preserve"> </v>
      </c>
      <c r="K935" s="242" t="str">
        <f t="shared" si="77"/>
        <v xml:space="preserve"> </v>
      </c>
      <c r="L935" s="242" t="str">
        <f t="shared" si="78"/>
        <v xml:space="preserve"> </v>
      </c>
      <c r="M935" s="242" t="str">
        <f t="shared" si="79"/>
        <v xml:space="preserve"> </v>
      </c>
    </row>
    <row r="936" spans="6:13" x14ac:dyDescent="0.2">
      <c r="F936" s="216" t="str">
        <f t="shared" si="75"/>
        <v xml:space="preserve"> </v>
      </c>
      <c r="G936" s="50"/>
      <c r="H936" s="242" t="str">
        <f ca="1">IF(F936=1,PERCENTILE(INDIRECT("g"&amp;$D$8):INDIRECT("g"&amp;$E$8),0.5),IF(F936=2,PERCENTILE(INDIRECT("g"&amp;$D$9):INDIRECT("g"&amp;$E$9),0.5),IF(F936=3,PERCENTILE(INDIRECT("g"&amp;$D$10):INDIRECT("g"&amp;$E$10),0.5),IF(F936=4,PERCENTILE(INDIRECT("g"&amp;$D$11):INDIRECT("g"&amp;$E$11),0.5),IF(F936=5,PERCENTILE(INDIRECT("g"&amp;$D$12):INDIRECT("g"&amp;$E$12),0.5),IF(F936=6,PERCENTILE(INDIRECT("g"&amp;$D$13):INDIRECT("g"&amp;$E$13),0.5)," "))))))</f>
        <v xml:space="preserve"> </v>
      </c>
      <c r="I936" s="242" t="str">
        <f t="shared" si="76"/>
        <v xml:space="preserve"> </v>
      </c>
      <c r="J936" s="242" t="str">
        <f ca="1">IF(F936=1,AVERAGE(INDIRECT("I"&amp;$D$8):INDIRECT("I"&amp;$E$8)),IF(F936=2,AVERAGE(INDIRECT("I"&amp;$D$9):INDIRECT("I"&amp;$E$9)),IF(F936=3,AVERAGE(INDIRECT("I"&amp;$D$10):INDIRECT("I"&amp;$E$10)),IF(F936=4,AVERAGE(INDIRECT("I"&amp;$D$11):INDIRECT("I"&amp;$E$11)),IF(F936=5,AVERAGE(INDIRECT("I"&amp;$D$12):INDIRECT("I"&amp;$E$12)),IF(F936=6,AVERAGE(INDIRECT("I"&amp;$D$13):INDIRECT("I"&amp;$E$13))," "))))))</f>
        <v xml:space="preserve"> </v>
      </c>
      <c r="K936" s="242" t="str">
        <f t="shared" si="77"/>
        <v xml:space="preserve"> </v>
      </c>
      <c r="L936" s="242" t="str">
        <f t="shared" si="78"/>
        <v xml:space="preserve"> </v>
      </c>
      <c r="M936" s="242" t="str">
        <f t="shared" si="79"/>
        <v xml:space="preserve"> </v>
      </c>
    </row>
    <row r="937" spans="6:13" x14ac:dyDescent="0.2">
      <c r="F937" s="216" t="str">
        <f t="shared" si="75"/>
        <v xml:space="preserve"> </v>
      </c>
      <c r="G937" s="50"/>
      <c r="H937" s="242" t="str">
        <f ca="1">IF(F937=1,PERCENTILE(INDIRECT("g"&amp;$D$8):INDIRECT("g"&amp;$E$8),0.5),IF(F937=2,PERCENTILE(INDIRECT("g"&amp;$D$9):INDIRECT("g"&amp;$E$9),0.5),IF(F937=3,PERCENTILE(INDIRECT("g"&amp;$D$10):INDIRECT("g"&amp;$E$10),0.5),IF(F937=4,PERCENTILE(INDIRECT("g"&amp;$D$11):INDIRECT("g"&amp;$E$11),0.5),IF(F937=5,PERCENTILE(INDIRECT("g"&amp;$D$12):INDIRECT("g"&amp;$E$12),0.5),IF(F937=6,PERCENTILE(INDIRECT("g"&amp;$D$13):INDIRECT("g"&amp;$E$13),0.5)," "))))))</f>
        <v xml:space="preserve"> </v>
      </c>
      <c r="I937" s="242" t="str">
        <f t="shared" si="76"/>
        <v xml:space="preserve"> </v>
      </c>
      <c r="J937" s="242" t="str">
        <f ca="1">IF(F937=1,AVERAGE(INDIRECT("I"&amp;$D$8):INDIRECT("I"&amp;$E$8)),IF(F937=2,AVERAGE(INDIRECT("I"&amp;$D$9):INDIRECT("I"&amp;$E$9)),IF(F937=3,AVERAGE(INDIRECT("I"&amp;$D$10):INDIRECT("I"&amp;$E$10)),IF(F937=4,AVERAGE(INDIRECT("I"&amp;$D$11):INDIRECT("I"&amp;$E$11)),IF(F937=5,AVERAGE(INDIRECT("I"&amp;$D$12):INDIRECT("I"&amp;$E$12)),IF(F937=6,AVERAGE(INDIRECT("I"&amp;$D$13):INDIRECT("I"&amp;$E$13))," "))))))</f>
        <v xml:space="preserve"> </v>
      </c>
      <c r="K937" s="242" t="str">
        <f t="shared" si="77"/>
        <v xml:space="preserve"> </v>
      </c>
      <c r="L937" s="242" t="str">
        <f t="shared" si="78"/>
        <v xml:space="preserve"> </v>
      </c>
      <c r="M937" s="242" t="str">
        <f t="shared" si="79"/>
        <v xml:space="preserve"> </v>
      </c>
    </row>
    <row r="938" spans="6:13" x14ac:dyDescent="0.2">
      <c r="F938" s="216" t="str">
        <f t="shared" si="75"/>
        <v xml:space="preserve"> </v>
      </c>
      <c r="G938" s="50"/>
      <c r="H938" s="242" t="str">
        <f ca="1">IF(F938=1,PERCENTILE(INDIRECT("g"&amp;$D$8):INDIRECT("g"&amp;$E$8),0.5),IF(F938=2,PERCENTILE(INDIRECT("g"&amp;$D$9):INDIRECT("g"&amp;$E$9),0.5),IF(F938=3,PERCENTILE(INDIRECT("g"&amp;$D$10):INDIRECT("g"&amp;$E$10),0.5),IF(F938=4,PERCENTILE(INDIRECT("g"&amp;$D$11):INDIRECT("g"&amp;$E$11),0.5),IF(F938=5,PERCENTILE(INDIRECT("g"&amp;$D$12):INDIRECT("g"&amp;$E$12),0.5),IF(F938=6,PERCENTILE(INDIRECT("g"&amp;$D$13):INDIRECT("g"&amp;$E$13),0.5)," "))))))</f>
        <v xml:space="preserve"> </v>
      </c>
      <c r="I938" s="242" t="str">
        <f t="shared" si="76"/>
        <v xml:space="preserve"> </v>
      </c>
      <c r="J938" s="242" t="str">
        <f ca="1">IF(F938=1,AVERAGE(INDIRECT("I"&amp;$D$8):INDIRECT("I"&amp;$E$8)),IF(F938=2,AVERAGE(INDIRECT("I"&amp;$D$9):INDIRECT("I"&amp;$E$9)),IF(F938=3,AVERAGE(INDIRECT("I"&amp;$D$10):INDIRECT("I"&amp;$E$10)),IF(F938=4,AVERAGE(INDIRECT("I"&amp;$D$11):INDIRECT("I"&amp;$E$11)),IF(F938=5,AVERAGE(INDIRECT("I"&amp;$D$12):INDIRECT("I"&amp;$E$12)),IF(F938=6,AVERAGE(INDIRECT("I"&amp;$D$13):INDIRECT("I"&amp;$E$13))," "))))))</f>
        <v xml:space="preserve"> </v>
      </c>
      <c r="K938" s="242" t="str">
        <f t="shared" si="77"/>
        <v xml:space="preserve"> </v>
      </c>
      <c r="L938" s="242" t="str">
        <f t="shared" si="78"/>
        <v xml:space="preserve"> </v>
      </c>
      <c r="M938" s="242" t="str">
        <f t="shared" si="79"/>
        <v xml:space="preserve"> </v>
      </c>
    </row>
    <row r="939" spans="6:13" x14ac:dyDescent="0.2">
      <c r="F939" s="216" t="str">
        <f t="shared" si="75"/>
        <v xml:space="preserve"> </v>
      </c>
      <c r="G939" s="50"/>
      <c r="H939" s="242" t="str">
        <f ca="1">IF(F939=1,PERCENTILE(INDIRECT("g"&amp;$D$8):INDIRECT("g"&amp;$E$8),0.5),IF(F939=2,PERCENTILE(INDIRECT("g"&amp;$D$9):INDIRECT("g"&amp;$E$9),0.5),IF(F939=3,PERCENTILE(INDIRECT("g"&amp;$D$10):INDIRECT("g"&amp;$E$10),0.5),IF(F939=4,PERCENTILE(INDIRECT("g"&amp;$D$11):INDIRECT("g"&amp;$E$11),0.5),IF(F939=5,PERCENTILE(INDIRECT("g"&amp;$D$12):INDIRECT("g"&amp;$E$12),0.5),IF(F939=6,PERCENTILE(INDIRECT("g"&amp;$D$13):INDIRECT("g"&amp;$E$13),0.5)," "))))))</f>
        <v xml:space="preserve"> </v>
      </c>
      <c r="I939" s="242" t="str">
        <f t="shared" si="76"/>
        <v xml:space="preserve"> </v>
      </c>
      <c r="J939" s="242" t="str">
        <f ca="1">IF(F939=1,AVERAGE(INDIRECT("I"&amp;$D$8):INDIRECT("I"&amp;$E$8)),IF(F939=2,AVERAGE(INDIRECT("I"&amp;$D$9):INDIRECT("I"&amp;$E$9)),IF(F939=3,AVERAGE(INDIRECT("I"&amp;$D$10):INDIRECT("I"&amp;$E$10)),IF(F939=4,AVERAGE(INDIRECT("I"&amp;$D$11):INDIRECT("I"&amp;$E$11)),IF(F939=5,AVERAGE(INDIRECT("I"&amp;$D$12):INDIRECT("I"&amp;$E$12)),IF(F939=6,AVERAGE(INDIRECT("I"&amp;$D$13):INDIRECT("I"&amp;$E$13))," "))))))</f>
        <v xml:space="preserve"> </v>
      </c>
      <c r="K939" s="242" t="str">
        <f t="shared" si="77"/>
        <v xml:space="preserve"> </v>
      </c>
      <c r="L939" s="242" t="str">
        <f t="shared" si="78"/>
        <v xml:space="preserve"> </v>
      </c>
      <c r="M939" s="242" t="str">
        <f t="shared" si="79"/>
        <v xml:space="preserve"> </v>
      </c>
    </row>
    <row r="940" spans="6:13" x14ac:dyDescent="0.2">
      <c r="F940" s="216" t="str">
        <f t="shared" si="75"/>
        <v xml:space="preserve"> </v>
      </c>
      <c r="G940" s="50"/>
      <c r="H940" s="242" t="str">
        <f ca="1">IF(F940=1,PERCENTILE(INDIRECT("g"&amp;$D$8):INDIRECT("g"&amp;$E$8),0.5),IF(F940=2,PERCENTILE(INDIRECT("g"&amp;$D$9):INDIRECT("g"&amp;$E$9),0.5),IF(F940=3,PERCENTILE(INDIRECT("g"&amp;$D$10):INDIRECT("g"&amp;$E$10),0.5),IF(F940=4,PERCENTILE(INDIRECT("g"&amp;$D$11):INDIRECT("g"&amp;$E$11),0.5),IF(F940=5,PERCENTILE(INDIRECT("g"&amp;$D$12):INDIRECT("g"&amp;$E$12),0.5),IF(F940=6,PERCENTILE(INDIRECT("g"&amp;$D$13):INDIRECT("g"&amp;$E$13),0.5)," "))))))</f>
        <v xml:space="preserve"> </v>
      </c>
      <c r="I940" s="242" t="str">
        <f t="shared" si="76"/>
        <v xml:space="preserve"> </v>
      </c>
      <c r="J940" s="242" t="str">
        <f ca="1">IF(F940=1,AVERAGE(INDIRECT("I"&amp;$D$8):INDIRECT("I"&amp;$E$8)),IF(F940=2,AVERAGE(INDIRECT("I"&amp;$D$9):INDIRECT("I"&amp;$E$9)),IF(F940=3,AVERAGE(INDIRECT("I"&amp;$D$10):INDIRECT("I"&amp;$E$10)),IF(F940=4,AVERAGE(INDIRECT("I"&amp;$D$11):INDIRECT("I"&amp;$E$11)),IF(F940=5,AVERAGE(INDIRECT("I"&amp;$D$12):INDIRECT("I"&amp;$E$12)),IF(F940=6,AVERAGE(INDIRECT("I"&amp;$D$13):INDIRECT("I"&amp;$E$13))," "))))))</f>
        <v xml:space="preserve"> </v>
      </c>
      <c r="K940" s="242" t="str">
        <f t="shared" si="77"/>
        <v xml:space="preserve"> </v>
      </c>
      <c r="L940" s="242" t="str">
        <f t="shared" si="78"/>
        <v xml:space="preserve"> </v>
      </c>
      <c r="M940" s="242" t="str">
        <f t="shared" si="79"/>
        <v xml:space="preserve"> </v>
      </c>
    </row>
    <row r="941" spans="6:13" x14ac:dyDescent="0.2">
      <c r="F941" s="216" t="str">
        <f t="shared" si="75"/>
        <v xml:space="preserve"> </v>
      </c>
      <c r="G941" s="50"/>
      <c r="H941" s="242" t="str">
        <f ca="1">IF(F941=1,PERCENTILE(INDIRECT("g"&amp;$D$8):INDIRECT("g"&amp;$E$8),0.5),IF(F941=2,PERCENTILE(INDIRECT("g"&amp;$D$9):INDIRECT("g"&amp;$E$9),0.5),IF(F941=3,PERCENTILE(INDIRECT("g"&amp;$D$10):INDIRECT("g"&amp;$E$10),0.5),IF(F941=4,PERCENTILE(INDIRECT("g"&amp;$D$11):INDIRECT("g"&amp;$E$11),0.5),IF(F941=5,PERCENTILE(INDIRECT("g"&amp;$D$12):INDIRECT("g"&amp;$E$12),0.5),IF(F941=6,PERCENTILE(INDIRECT("g"&amp;$D$13):INDIRECT("g"&amp;$E$13),0.5)," "))))))</f>
        <v xml:space="preserve"> </v>
      </c>
      <c r="I941" s="242" t="str">
        <f t="shared" si="76"/>
        <v xml:space="preserve"> </v>
      </c>
      <c r="J941" s="242" t="str">
        <f ca="1">IF(F941=1,AVERAGE(INDIRECT("I"&amp;$D$8):INDIRECT("I"&amp;$E$8)),IF(F941=2,AVERAGE(INDIRECT("I"&amp;$D$9):INDIRECT("I"&amp;$E$9)),IF(F941=3,AVERAGE(INDIRECT("I"&amp;$D$10):INDIRECT("I"&amp;$E$10)),IF(F941=4,AVERAGE(INDIRECT("I"&amp;$D$11):INDIRECT("I"&amp;$E$11)),IF(F941=5,AVERAGE(INDIRECT("I"&amp;$D$12):INDIRECT("I"&amp;$E$12)),IF(F941=6,AVERAGE(INDIRECT("I"&amp;$D$13):INDIRECT("I"&amp;$E$13))," "))))))</f>
        <v xml:space="preserve"> </v>
      </c>
      <c r="K941" s="242" t="str">
        <f t="shared" si="77"/>
        <v xml:space="preserve"> </v>
      </c>
      <c r="L941" s="242" t="str">
        <f t="shared" si="78"/>
        <v xml:space="preserve"> </v>
      </c>
      <c r="M941" s="242" t="str">
        <f t="shared" si="79"/>
        <v xml:space="preserve"> </v>
      </c>
    </row>
    <row r="942" spans="6:13" x14ac:dyDescent="0.2">
      <c r="F942" s="216" t="str">
        <f t="shared" si="75"/>
        <v xml:space="preserve"> </v>
      </c>
      <c r="G942" s="50"/>
      <c r="H942" s="242" t="str">
        <f ca="1">IF(F942=1,PERCENTILE(INDIRECT("g"&amp;$D$8):INDIRECT("g"&amp;$E$8),0.5),IF(F942=2,PERCENTILE(INDIRECT("g"&amp;$D$9):INDIRECT("g"&amp;$E$9),0.5),IF(F942=3,PERCENTILE(INDIRECT("g"&amp;$D$10):INDIRECT("g"&amp;$E$10),0.5),IF(F942=4,PERCENTILE(INDIRECT("g"&amp;$D$11):INDIRECT("g"&amp;$E$11),0.5),IF(F942=5,PERCENTILE(INDIRECT("g"&amp;$D$12):INDIRECT("g"&amp;$E$12),0.5),IF(F942=6,PERCENTILE(INDIRECT("g"&amp;$D$13):INDIRECT("g"&amp;$E$13),0.5)," "))))))</f>
        <v xml:space="preserve"> </v>
      </c>
      <c r="I942" s="242" t="str">
        <f t="shared" si="76"/>
        <v xml:space="preserve"> </v>
      </c>
      <c r="J942" s="242" t="str">
        <f ca="1">IF(F942=1,AVERAGE(INDIRECT("I"&amp;$D$8):INDIRECT("I"&amp;$E$8)),IF(F942=2,AVERAGE(INDIRECT("I"&amp;$D$9):INDIRECT("I"&amp;$E$9)),IF(F942=3,AVERAGE(INDIRECT("I"&amp;$D$10):INDIRECT("I"&amp;$E$10)),IF(F942=4,AVERAGE(INDIRECT("I"&amp;$D$11):INDIRECT("I"&amp;$E$11)),IF(F942=5,AVERAGE(INDIRECT("I"&amp;$D$12):INDIRECT("I"&amp;$E$12)),IF(F942=6,AVERAGE(INDIRECT("I"&amp;$D$13):INDIRECT("I"&amp;$E$13))," "))))))</f>
        <v xml:space="preserve"> </v>
      </c>
      <c r="K942" s="242" t="str">
        <f t="shared" si="77"/>
        <v xml:space="preserve"> </v>
      </c>
      <c r="L942" s="242" t="str">
        <f t="shared" si="78"/>
        <v xml:space="preserve"> </v>
      </c>
      <c r="M942" s="242" t="str">
        <f t="shared" si="79"/>
        <v xml:space="preserve"> </v>
      </c>
    </row>
    <row r="943" spans="6:13" x14ac:dyDescent="0.2">
      <c r="F943" s="216" t="str">
        <f t="shared" si="75"/>
        <v xml:space="preserve"> </v>
      </c>
      <c r="G943" s="50"/>
      <c r="H943" s="242" t="str">
        <f ca="1">IF(F943=1,PERCENTILE(INDIRECT("g"&amp;$D$8):INDIRECT("g"&amp;$E$8),0.5),IF(F943=2,PERCENTILE(INDIRECT("g"&amp;$D$9):INDIRECT("g"&amp;$E$9),0.5),IF(F943=3,PERCENTILE(INDIRECT("g"&amp;$D$10):INDIRECT("g"&amp;$E$10),0.5),IF(F943=4,PERCENTILE(INDIRECT("g"&amp;$D$11):INDIRECT("g"&amp;$E$11),0.5),IF(F943=5,PERCENTILE(INDIRECT("g"&amp;$D$12):INDIRECT("g"&amp;$E$12),0.5),IF(F943=6,PERCENTILE(INDIRECT("g"&amp;$D$13):INDIRECT("g"&amp;$E$13),0.5)," "))))))</f>
        <v xml:space="preserve"> </v>
      </c>
      <c r="I943" s="242" t="str">
        <f t="shared" si="76"/>
        <v xml:space="preserve"> </v>
      </c>
      <c r="J943" s="242" t="str">
        <f ca="1">IF(F943=1,AVERAGE(INDIRECT("I"&amp;$D$8):INDIRECT("I"&amp;$E$8)),IF(F943=2,AVERAGE(INDIRECT("I"&amp;$D$9):INDIRECT("I"&amp;$E$9)),IF(F943=3,AVERAGE(INDIRECT("I"&amp;$D$10):INDIRECT("I"&amp;$E$10)),IF(F943=4,AVERAGE(INDIRECT("I"&amp;$D$11):INDIRECT("I"&amp;$E$11)),IF(F943=5,AVERAGE(INDIRECT("I"&amp;$D$12):INDIRECT("I"&amp;$E$12)),IF(F943=6,AVERAGE(INDIRECT("I"&amp;$D$13):INDIRECT("I"&amp;$E$13))," "))))))</f>
        <v xml:space="preserve"> </v>
      </c>
      <c r="K943" s="242" t="str">
        <f t="shared" si="77"/>
        <v xml:space="preserve"> </v>
      </c>
      <c r="L943" s="242" t="str">
        <f t="shared" si="78"/>
        <v xml:space="preserve"> </v>
      </c>
      <c r="M943" s="242" t="str">
        <f t="shared" si="79"/>
        <v xml:space="preserve"> </v>
      </c>
    </row>
    <row r="944" spans="6:13" x14ac:dyDescent="0.2">
      <c r="F944" s="216" t="str">
        <f t="shared" si="75"/>
        <v xml:space="preserve"> </v>
      </c>
      <c r="G944" s="50"/>
      <c r="H944" s="242" t="str">
        <f ca="1">IF(F944=1,PERCENTILE(INDIRECT("g"&amp;$D$8):INDIRECT("g"&amp;$E$8),0.5),IF(F944=2,PERCENTILE(INDIRECT("g"&amp;$D$9):INDIRECT("g"&amp;$E$9),0.5),IF(F944=3,PERCENTILE(INDIRECT("g"&amp;$D$10):INDIRECT("g"&amp;$E$10),0.5),IF(F944=4,PERCENTILE(INDIRECT("g"&amp;$D$11):INDIRECT("g"&amp;$E$11),0.5),IF(F944=5,PERCENTILE(INDIRECT("g"&amp;$D$12):INDIRECT("g"&amp;$E$12),0.5),IF(F944=6,PERCENTILE(INDIRECT("g"&amp;$D$13):INDIRECT("g"&amp;$E$13),0.5)," "))))))</f>
        <v xml:space="preserve"> </v>
      </c>
      <c r="I944" s="242" t="str">
        <f t="shared" si="76"/>
        <v xml:space="preserve"> </v>
      </c>
      <c r="J944" s="242" t="str">
        <f ca="1">IF(F944=1,AVERAGE(INDIRECT("I"&amp;$D$8):INDIRECT("I"&amp;$E$8)),IF(F944=2,AVERAGE(INDIRECT("I"&amp;$D$9):INDIRECT("I"&amp;$E$9)),IF(F944=3,AVERAGE(INDIRECT("I"&amp;$D$10):INDIRECT("I"&amp;$E$10)),IF(F944=4,AVERAGE(INDIRECT("I"&amp;$D$11):INDIRECT("I"&amp;$E$11)),IF(F944=5,AVERAGE(INDIRECT("I"&amp;$D$12):INDIRECT("I"&amp;$E$12)),IF(F944=6,AVERAGE(INDIRECT("I"&amp;$D$13):INDIRECT("I"&amp;$E$13))," "))))))</f>
        <v xml:space="preserve"> </v>
      </c>
      <c r="K944" s="242" t="str">
        <f t="shared" si="77"/>
        <v xml:space="preserve"> </v>
      </c>
      <c r="L944" s="242" t="str">
        <f t="shared" si="78"/>
        <v xml:space="preserve"> </v>
      </c>
      <c r="M944" s="242" t="str">
        <f t="shared" si="79"/>
        <v xml:space="preserve"> </v>
      </c>
    </row>
    <row r="945" spans="6:13" x14ac:dyDescent="0.2">
      <c r="F945" s="216" t="str">
        <f t="shared" si="75"/>
        <v xml:space="preserve"> </v>
      </c>
      <c r="G945" s="50"/>
      <c r="H945" s="242" t="str">
        <f ca="1">IF(F945=1,PERCENTILE(INDIRECT("g"&amp;$D$8):INDIRECT("g"&amp;$E$8),0.5),IF(F945=2,PERCENTILE(INDIRECT("g"&amp;$D$9):INDIRECT("g"&amp;$E$9),0.5),IF(F945=3,PERCENTILE(INDIRECT("g"&amp;$D$10):INDIRECT("g"&amp;$E$10),0.5),IF(F945=4,PERCENTILE(INDIRECT("g"&amp;$D$11):INDIRECT("g"&amp;$E$11),0.5),IF(F945=5,PERCENTILE(INDIRECT("g"&amp;$D$12):INDIRECT("g"&amp;$E$12),0.5),IF(F945=6,PERCENTILE(INDIRECT("g"&amp;$D$13):INDIRECT("g"&amp;$E$13),0.5)," "))))))</f>
        <v xml:space="preserve"> </v>
      </c>
      <c r="I945" s="242" t="str">
        <f t="shared" si="76"/>
        <v xml:space="preserve"> </v>
      </c>
      <c r="J945" s="242" t="str">
        <f ca="1">IF(F945=1,AVERAGE(INDIRECT("I"&amp;$D$8):INDIRECT("I"&amp;$E$8)),IF(F945=2,AVERAGE(INDIRECT("I"&amp;$D$9):INDIRECT("I"&amp;$E$9)),IF(F945=3,AVERAGE(INDIRECT("I"&amp;$D$10):INDIRECT("I"&amp;$E$10)),IF(F945=4,AVERAGE(INDIRECT("I"&amp;$D$11):INDIRECT("I"&amp;$E$11)),IF(F945=5,AVERAGE(INDIRECT("I"&amp;$D$12):INDIRECT("I"&amp;$E$12)),IF(F945=6,AVERAGE(INDIRECT("I"&amp;$D$13):INDIRECT("I"&amp;$E$13))," "))))))</f>
        <v xml:space="preserve"> </v>
      </c>
      <c r="K945" s="242" t="str">
        <f t="shared" si="77"/>
        <v xml:space="preserve"> </v>
      </c>
      <c r="L945" s="242" t="str">
        <f t="shared" si="78"/>
        <v xml:space="preserve"> </v>
      </c>
      <c r="M945" s="242" t="str">
        <f t="shared" si="79"/>
        <v xml:space="preserve"> </v>
      </c>
    </row>
    <row r="946" spans="6:13" x14ac:dyDescent="0.2">
      <c r="F946" s="216" t="str">
        <f t="shared" si="75"/>
        <v xml:space="preserve"> </v>
      </c>
      <c r="G946" s="50"/>
      <c r="H946" s="242" t="str">
        <f ca="1">IF(F946=1,PERCENTILE(INDIRECT("g"&amp;$D$8):INDIRECT("g"&amp;$E$8),0.5),IF(F946=2,PERCENTILE(INDIRECT("g"&amp;$D$9):INDIRECT("g"&amp;$E$9),0.5),IF(F946=3,PERCENTILE(INDIRECT("g"&amp;$D$10):INDIRECT("g"&amp;$E$10),0.5),IF(F946=4,PERCENTILE(INDIRECT("g"&amp;$D$11):INDIRECT("g"&amp;$E$11),0.5),IF(F946=5,PERCENTILE(INDIRECT("g"&amp;$D$12):INDIRECT("g"&amp;$E$12),0.5),IF(F946=6,PERCENTILE(INDIRECT("g"&amp;$D$13):INDIRECT("g"&amp;$E$13),0.5)," "))))))</f>
        <v xml:space="preserve"> </v>
      </c>
      <c r="I946" s="242" t="str">
        <f t="shared" si="76"/>
        <v xml:space="preserve"> </v>
      </c>
      <c r="J946" s="242" t="str">
        <f ca="1">IF(F946=1,AVERAGE(INDIRECT("I"&amp;$D$8):INDIRECT("I"&amp;$E$8)),IF(F946=2,AVERAGE(INDIRECT("I"&amp;$D$9):INDIRECT("I"&amp;$E$9)),IF(F946=3,AVERAGE(INDIRECT("I"&amp;$D$10):INDIRECT("I"&amp;$E$10)),IF(F946=4,AVERAGE(INDIRECT("I"&amp;$D$11):INDIRECT("I"&amp;$E$11)),IF(F946=5,AVERAGE(INDIRECT("I"&amp;$D$12):INDIRECT("I"&amp;$E$12)),IF(F946=6,AVERAGE(INDIRECT("I"&amp;$D$13):INDIRECT("I"&amp;$E$13))," "))))))</f>
        <v xml:space="preserve"> </v>
      </c>
      <c r="K946" s="242" t="str">
        <f t="shared" si="77"/>
        <v xml:space="preserve"> </v>
      </c>
      <c r="L946" s="242" t="str">
        <f t="shared" si="78"/>
        <v xml:space="preserve"> </v>
      </c>
      <c r="M946" s="242" t="str">
        <f t="shared" si="79"/>
        <v xml:space="preserve"> </v>
      </c>
    </row>
    <row r="947" spans="6:13" x14ac:dyDescent="0.2">
      <c r="F947" s="216" t="str">
        <f t="shared" si="75"/>
        <v xml:space="preserve"> </v>
      </c>
      <c r="G947" s="50"/>
      <c r="H947" s="242" t="str">
        <f ca="1">IF(F947=1,PERCENTILE(INDIRECT("g"&amp;$D$8):INDIRECT("g"&amp;$E$8),0.5),IF(F947=2,PERCENTILE(INDIRECT("g"&amp;$D$9):INDIRECT("g"&amp;$E$9),0.5),IF(F947=3,PERCENTILE(INDIRECT("g"&amp;$D$10):INDIRECT("g"&amp;$E$10),0.5),IF(F947=4,PERCENTILE(INDIRECT("g"&amp;$D$11):INDIRECT("g"&amp;$E$11),0.5),IF(F947=5,PERCENTILE(INDIRECT("g"&amp;$D$12):INDIRECT("g"&amp;$E$12),0.5),IF(F947=6,PERCENTILE(INDIRECT("g"&amp;$D$13):INDIRECT("g"&amp;$E$13),0.5)," "))))))</f>
        <v xml:space="preserve"> </v>
      </c>
      <c r="I947" s="242" t="str">
        <f t="shared" si="76"/>
        <v xml:space="preserve"> </v>
      </c>
      <c r="J947" s="242" t="str">
        <f ca="1">IF(F947=1,AVERAGE(INDIRECT("I"&amp;$D$8):INDIRECT("I"&amp;$E$8)),IF(F947=2,AVERAGE(INDIRECT("I"&amp;$D$9):INDIRECT("I"&amp;$E$9)),IF(F947=3,AVERAGE(INDIRECT("I"&amp;$D$10):INDIRECT("I"&amp;$E$10)),IF(F947=4,AVERAGE(INDIRECT("I"&amp;$D$11):INDIRECT("I"&amp;$E$11)),IF(F947=5,AVERAGE(INDIRECT("I"&amp;$D$12):INDIRECT("I"&amp;$E$12)),IF(F947=6,AVERAGE(INDIRECT("I"&amp;$D$13):INDIRECT("I"&amp;$E$13))," "))))))</f>
        <v xml:space="preserve"> </v>
      </c>
      <c r="K947" s="242" t="str">
        <f t="shared" si="77"/>
        <v xml:space="preserve"> </v>
      </c>
      <c r="L947" s="242" t="str">
        <f t="shared" si="78"/>
        <v xml:space="preserve"> </v>
      </c>
      <c r="M947" s="242" t="str">
        <f t="shared" si="79"/>
        <v xml:space="preserve"> </v>
      </c>
    </row>
    <row r="948" spans="6:13" x14ac:dyDescent="0.2">
      <c r="F948" s="216" t="str">
        <f t="shared" si="75"/>
        <v xml:space="preserve"> </v>
      </c>
      <c r="G948" s="50"/>
      <c r="H948" s="242" t="str">
        <f ca="1">IF(F948=1,PERCENTILE(INDIRECT("g"&amp;$D$8):INDIRECT("g"&amp;$E$8),0.5),IF(F948=2,PERCENTILE(INDIRECT("g"&amp;$D$9):INDIRECT("g"&amp;$E$9),0.5),IF(F948=3,PERCENTILE(INDIRECT("g"&amp;$D$10):INDIRECT("g"&amp;$E$10),0.5),IF(F948=4,PERCENTILE(INDIRECT("g"&amp;$D$11):INDIRECT("g"&amp;$E$11),0.5),IF(F948=5,PERCENTILE(INDIRECT("g"&amp;$D$12):INDIRECT("g"&amp;$E$12),0.5),IF(F948=6,PERCENTILE(INDIRECT("g"&amp;$D$13):INDIRECT("g"&amp;$E$13),0.5)," "))))))</f>
        <v xml:space="preserve"> </v>
      </c>
      <c r="I948" s="242" t="str">
        <f t="shared" si="76"/>
        <v xml:space="preserve"> </v>
      </c>
      <c r="J948" s="242" t="str">
        <f ca="1">IF(F948=1,AVERAGE(INDIRECT("I"&amp;$D$8):INDIRECT("I"&amp;$E$8)),IF(F948=2,AVERAGE(INDIRECT("I"&amp;$D$9):INDIRECT("I"&amp;$E$9)),IF(F948=3,AVERAGE(INDIRECT("I"&amp;$D$10):INDIRECT("I"&amp;$E$10)),IF(F948=4,AVERAGE(INDIRECT("I"&amp;$D$11):INDIRECT("I"&amp;$E$11)),IF(F948=5,AVERAGE(INDIRECT("I"&amp;$D$12):INDIRECT("I"&amp;$E$12)),IF(F948=6,AVERAGE(INDIRECT("I"&amp;$D$13):INDIRECT("I"&amp;$E$13))," "))))))</f>
        <v xml:space="preserve"> </v>
      </c>
      <c r="K948" s="242" t="str">
        <f t="shared" si="77"/>
        <v xml:space="preserve"> </v>
      </c>
      <c r="L948" s="242" t="str">
        <f t="shared" si="78"/>
        <v xml:space="preserve"> </v>
      </c>
      <c r="M948" s="242" t="str">
        <f t="shared" si="79"/>
        <v xml:space="preserve"> </v>
      </c>
    </row>
    <row r="949" spans="6:13" x14ac:dyDescent="0.2">
      <c r="F949" s="216" t="str">
        <f t="shared" si="75"/>
        <v xml:space="preserve"> </v>
      </c>
      <c r="G949" s="50"/>
      <c r="H949" s="242" t="str">
        <f ca="1">IF(F949=1,PERCENTILE(INDIRECT("g"&amp;$D$8):INDIRECT("g"&amp;$E$8),0.5),IF(F949=2,PERCENTILE(INDIRECT("g"&amp;$D$9):INDIRECT("g"&amp;$E$9),0.5),IF(F949=3,PERCENTILE(INDIRECT("g"&amp;$D$10):INDIRECT("g"&amp;$E$10),0.5),IF(F949=4,PERCENTILE(INDIRECT("g"&amp;$D$11):INDIRECT("g"&amp;$E$11),0.5),IF(F949=5,PERCENTILE(INDIRECT("g"&amp;$D$12):INDIRECT("g"&amp;$E$12),0.5),IF(F949=6,PERCENTILE(INDIRECT("g"&amp;$D$13):INDIRECT("g"&amp;$E$13),0.5)," "))))))</f>
        <v xml:space="preserve"> </v>
      </c>
      <c r="I949" s="242" t="str">
        <f t="shared" si="76"/>
        <v xml:space="preserve"> </v>
      </c>
      <c r="J949" s="242" t="str">
        <f ca="1">IF(F949=1,AVERAGE(INDIRECT("I"&amp;$D$8):INDIRECT("I"&amp;$E$8)),IF(F949=2,AVERAGE(INDIRECT("I"&amp;$D$9):INDIRECT("I"&amp;$E$9)),IF(F949=3,AVERAGE(INDIRECT("I"&amp;$D$10):INDIRECT("I"&amp;$E$10)),IF(F949=4,AVERAGE(INDIRECT("I"&amp;$D$11):INDIRECT("I"&amp;$E$11)),IF(F949=5,AVERAGE(INDIRECT("I"&amp;$D$12):INDIRECT("I"&amp;$E$12)),IF(F949=6,AVERAGE(INDIRECT("I"&amp;$D$13):INDIRECT("I"&amp;$E$13))," "))))))</f>
        <v xml:space="preserve"> </v>
      </c>
      <c r="K949" s="242" t="str">
        <f t="shared" si="77"/>
        <v xml:space="preserve"> </v>
      </c>
      <c r="L949" s="242" t="str">
        <f t="shared" si="78"/>
        <v xml:space="preserve"> </v>
      </c>
      <c r="M949" s="242" t="str">
        <f t="shared" si="79"/>
        <v xml:space="preserve"> </v>
      </c>
    </row>
    <row r="950" spans="6:13" x14ac:dyDescent="0.2">
      <c r="F950" s="216" t="str">
        <f t="shared" si="75"/>
        <v xml:space="preserve"> </v>
      </c>
      <c r="G950" s="50"/>
      <c r="H950" s="242" t="str">
        <f ca="1">IF(F950=1,PERCENTILE(INDIRECT("g"&amp;$D$8):INDIRECT("g"&amp;$E$8),0.5),IF(F950=2,PERCENTILE(INDIRECT("g"&amp;$D$9):INDIRECT("g"&amp;$E$9),0.5),IF(F950=3,PERCENTILE(INDIRECT("g"&amp;$D$10):INDIRECT("g"&amp;$E$10),0.5),IF(F950=4,PERCENTILE(INDIRECT("g"&amp;$D$11):INDIRECT("g"&amp;$E$11),0.5),IF(F950=5,PERCENTILE(INDIRECT("g"&amp;$D$12):INDIRECT("g"&amp;$E$12),0.5),IF(F950=6,PERCENTILE(INDIRECT("g"&amp;$D$13):INDIRECT("g"&amp;$E$13),0.5)," "))))))</f>
        <v xml:space="preserve"> </v>
      </c>
      <c r="I950" s="242" t="str">
        <f t="shared" si="76"/>
        <v xml:space="preserve"> </v>
      </c>
      <c r="J950" s="242" t="str">
        <f ca="1">IF(F950=1,AVERAGE(INDIRECT("I"&amp;$D$8):INDIRECT("I"&amp;$E$8)),IF(F950=2,AVERAGE(INDIRECT("I"&amp;$D$9):INDIRECT("I"&amp;$E$9)),IF(F950=3,AVERAGE(INDIRECT("I"&amp;$D$10):INDIRECT("I"&amp;$E$10)),IF(F950=4,AVERAGE(INDIRECT("I"&amp;$D$11):INDIRECT("I"&amp;$E$11)),IF(F950=5,AVERAGE(INDIRECT("I"&amp;$D$12):INDIRECT("I"&amp;$E$12)),IF(F950=6,AVERAGE(INDIRECT("I"&amp;$D$13):INDIRECT("I"&amp;$E$13))," "))))))</f>
        <v xml:space="preserve"> </v>
      </c>
      <c r="K950" s="242" t="str">
        <f t="shared" si="77"/>
        <v xml:space="preserve"> </v>
      </c>
      <c r="L950" s="242" t="str">
        <f t="shared" si="78"/>
        <v xml:space="preserve"> </v>
      </c>
      <c r="M950" s="242" t="str">
        <f t="shared" si="79"/>
        <v xml:space="preserve"> </v>
      </c>
    </row>
    <row r="951" spans="6:13" x14ac:dyDescent="0.2">
      <c r="F951" s="216" t="str">
        <f t="shared" si="75"/>
        <v xml:space="preserve"> </v>
      </c>
      <c r="G951" s="50"/>
      <c r="H951" s="242" t="str">
        <f ca="1">IF(F951=1,PERCENTILE(INDIRECT("g"&amp;$D$8):INDIRECT("g"&amp;$E$8),0.5),IF(F951=2,PERCENTILE(INDIRECT("g"&amp;$D$9):INDIRECT("g"&amp;$E$9),0.5),IF(F951=3,PERCENTILE(INDIRECT("g"&amp;$D$10):INDIRECT("g"&amp;$E$10),0.5),IF(F951=4,PERCENTILE(INDIRECT("g"&amp;$D$11):INDIRECT("g"&amp;$E$11),0.5),IF(F951=5,PERCENTILE(INDIRECT("g"&amp;$D$12):INDIRECT("g"&amp;$E$12),0.5),IF(F951=6,PERCENTILE(INDIRECT("g"&amp;$D$13):INDIRECT("g"&amp;$E$13),0.5)," "))))))</f>
        <v xml:space="preserve"> </v>
      </c>
      <c r="I951" s="242" t="str">
        <f t="shared" si="76"/>
        <v xml:space="preserve"> </v>
      </c>
      <c r="J951" s="242" t="str">
        <f ca="1">IF(F951=1,AVERAGE(INDIRECT("I"&amp;$D$8):INDIRECT("I"&amp;$E$8)),IF(F951=2,AVERAGE(INDIRECT("I"&amp;$D$9):INDIRECT("I"&amp;$E$9)),IF(F951=3,AVERAGE(INDIRECT("I"&amp;$D$10):INDIRECT("I"&amp;$E$10)),IF(F951=4,AVERAGE(INDIRECT("I"&amp;$D$11):INDIRECT("I"&amp;$E$11)),IF(F951=5,AVERAGE(INDIRECT("I"&amp;$D$12):INDIRECT("I"&amp;$E$12)),IF(F951=6,AVERAGE(INDIRECT("I"&amp;$D$13):INDIRECT("I"&amp;$E$13))," "))))))</f>
        <v xml:space="preserve"> </v>
      </c>
      <c r="K951" s="242" t="str">
        <f t="shared" si="77"/>
        <v xml:space="preserve"> </v>
      </c>
      <c r="L951" s="242" t="str">
        <f t="shared" si="78"/>
        <v xml:space="preserve"> </v>
      </c>
      <c r="M951" s="242" t="str">
        <f t="shared" si="79"/>
        <v xml:space="preserve"> </v>
      </c>
    </row>
    <row r="952" spans="6:13" x14ac:dyDescent="0.2">
      <c r="F952" s="216" t="str">
        <f t="shared" si="75"/>
        <v xml:space="preserve"> </v>
      </c>
      <c r="G952" s="50"/>
      <c r="H952" s="242" t="str">
        <f ca="1">IF(F952=1,PERCENTILE(INDIRECT("g"&amp;$D$8):INDIRECT("g"&amp;$E$8),0.5),IF(F952=2,PERCENTILE(INDIRECT("g"&amp;$D$9):INDIRECT("g"&amp;$E$9),0.5),IF(F952=3,PERCENTILE(INDIRECT("g"&amp;$D$10):INDIRECT("g"&amp;$E$10),0.5),IF(F952=4,PERCENTILE(INDIRECT("g"&amp;$D$11):INDIRECT("g"&amp;$E$11),0.5),IF(F952=5,PERCENTILE(INDIRECT("g"&amp;$D$12):INDIRECT("g"&amp;$E$12),0.5),IF(F952=6,PERCENTILE(INDIRECT("g"&amp;$D$13):INDIRECT("g"&amp;$E$13),0.5)," "))))))</f>
        <v xml:space="preserve"> </v>
      </c>
      <c r="I952" s="242" t="str">
        <f t="shared" si="76"/>
        <v xml:space="preserve"> </v>
      </c>
      <c r="J952" s="242" t="str">
        <f ca="1">IF(F952=1,AVERAGE(INDIRECT("I"&amp;$D$8):INDIRECT("I"&amp;$E$8)),IF(F952=2,AVERAGE(INDIRECT("I"&amp;$D$9):INDIRECT("I"&amp;$E$9)),IF(F952=3,AVERAGE(INDIRECT("I"&amp;$D$10):INDIRECT("I"&amp;$E$10)),IF(F952=4,AVERAGE(INDIRECT("I"&amp;$D$11):INDIRECT("I"&amp;$E$11)),IF(F952=5,AVERAGE(INDIRECT("I"&amp;$D$12):INDIRECT("I"&amp;$E$12)),IF(F952=6,AVERAGE(INDIRECT("I"&amp;$D$13):INDIRECT("I"&amp;$E$13))," "))))))</f>
        <v xml:space="preserve"> </v>
      </c>
      <c r="K952" s="242" t="str">
        <f t="shared" si="77"/>
        <v xml:space="preserve"> </v>
      </c>
      <c r="L952" s="242" t="str">
        <f t="shared" si="78"/>
        <v xml:space="preserve"> </v>
      </c>
      <c r="M952" s="242" t="str">
        <f t="shared" si="79"/>
        <v xml:space="preserve"> </v>
      </c>
    </row>
    <row r="953" spans="6:13" x14ac:dyDescent="0.2">
      <c r="F953" s="216" t="str">
        <f t="shared" si="75"/>
        <v xml:space="preserve"> </v>
      </c>
      <c r="G953" s="50"/>
      <c r="H953" s="242" t="str">
        <f ca="1">IF(F953=1,PERCENTILE(INDIRECT("g"&amp;$D$8):INDIRECT("g"&amp;$E$8),0.5),IF(F953=2,PERCENTILE(INDIRECT("g"&amp;$D$9):INDIRECT("g"&amp;$E$9),0.5),IF(F953=3,PERCENTILE(INDIRECT("g"&amp;$D$10):INDIRECT("g"&amp;$E$10),0.5),IF(F953=4,PERCENTILE(INDIRECT("g"&amp;$D$11):INDIRECT("g"&amp;$E$11),0.5),IF(F953=5,PERCENTILE(INDIRECT("g"&amp;$D$12):INDIRECT("g"&amp;$E$12),0.5),IF(F953=6,PERCENTILE(INDIRECT("g"&amp;$D$13):INDIRECT("g"&amp;$E$13),0.5)," "))))))</f>
        <v xml:space="preserve"> </v>
      </c>
      <c r="I953" s="242" t="str">
        <f t="shared" si="76"/>
        <v xml:space="preserve"> </v>
      </c>
      <c r="J953" s="242" t="str">
        <f ca="1">IF(F953=1,AVERAGE(INDIRECT("I"&amp;$D$8):INDIRECT("I"&amp;$E$8)),IF(F953=2,AVERAGE(INDIRECT("I"&amp;$D$9):INDIRECT("I"&amp;$E$9)),IF(F953=3,AVERAGE(INDIRECT("I"&amp;$D$10):INDIRECT("I"&amp;$E$10)),IF(F953=4,AVERAGE(INDIRECT("I"&amp;$D$11):INDIRECT("I"&amp;$E$11)),IF(F953=5,AVERAGE(INDIRECT("I"&amp;$D$12):INDIRECT("I"&amp;$E$12)),IF(F953=6,AVERAGE(INDIRECT("I"&amp;$D$13):INDIRECT("I"&amp;$E$13))," "))))))</f>
        <v xml:space="preserve"> </v>
      </c>
      <c r="K953" s="242" t="str">
        <f t="shared" si="77"/>
        <v xml:space="preserve"> </v>
      </c>
      <c r="L953" s="242" t="str">
        <f t="shared" si="78"/>
        <v xml:space="preserve"> </v>
      </c>
      <c r="M953" s="242" t="str">
        <f t="shared" si="79"/>
        <v xml:space="preserve"> </v>
      </c>
    </row>
    <row r="954" spans="6:13" x14ac:dyDescent="0.2">
      <c r="F954" s="216" t="str">
        <f t="shared" si="75"/>
        <v xml:space="preserve"> </v>
      </c>
      <c r="G954" s="50"/>
      <c r="H954" s="242" t="str">
        <f ca="1">IF(F954=1,PERCENTILE(INDIRECT("g"&amp;$D$8):INDIRECT("g"&amp;$E$8),0.5),IF(F954=2,PERCENTILE(INDIRECT("g"&amp;$D$9):INDIRECT("g"&amp;$E$9),0.5),IF(F954=3,PERCENTILE(INDIRECT("g"&amp;$D$10):INDIRECT("g"&amp;$E$10),0.5),IF(F954=4,PERCENTILE(INDIRECT("g"&amp;$D$11):INDIRECT("g"&amp;$E$11),0.5),IF(F954=5,PERCENTILE(INDIRECT("g"&amp;$D$12):INDIRECT("g"&amp;$E$12),0.5),IF(F954=6,PERCENTILE(INDIRECT("g"&amp;$D$13):INDIRECT("g"&amp;$E$13),0.5)," "))))))</f>
        <v xml:space="preserve"> </v>
      </c>
      <c r="I954" s="242" t="str">
        <f t="shared" si="76"/>
        <v xml:space="preserve"> </v>
      </c>
      <c r="J954" s="242" t="str">
        <f ca="1">IF(F954=1,AVERAGE(INDIRECT("I"&amp;$D$8):INDIRECT("I"&amp;$E$8)),IF(F954=2,AVERAGE(INDIRECT("I"&amp;$D$9):INDIRECT("I"&amp;$E$9)),IF(F954=3,AVERAGE(INDIRECT("I"&amp;$D$10):INDIRECT("I"&amp;$E$10)),IF(F954=4,AVERAGE(INDIRECT("I"&amp;$D$11):INDIRECT("I"&amp;$E$11)),IF(F954=5,AVERAGE(INDIRECT("I"&amp;$D$12):INDIRECT("I"&amp;$E$12)),IF(F954=6,AVERAGE(INDIRECT("I"&amp;$D$13):INDIRECT("I"&amp;$E$13))," "))))))</f>
        <v xml:space="preserve"> </v>
      </c>
      <c r="K954" s="242" t="str">
        <f t="shared" si="77"/>
        <v xml:space="preserve"> </v>
      </c>
      <c r="L954" s="242" t="str">
        <f t="shared" si="78"/>
        <v xml:space="preserve"> </v>
      </c>
      <c r="M954" s="242" t="str">
        <f t="shared" si="79"/>
        <v xml:space="preserve"> </v>
      </c>
    </row>
    <row r="955" spans="6:13" x14ac:dyDescent="0.2">
      <c r="F955" s="216" t="str">
        <f t="shared" si="75"/>
        <v xml:space="preserve"> </v>
      </c>
      <c r="G955" s="50"/>
      <c r="H955" s="242" t="str">
        <f ca="1">IF(F955=1,PERCENTILE(INDIRECT("g"&amp;$D$8):INDIRECT("g"&amp;$E$8),0.5),IF(F955=2,PERCENTILE(INDIRECT("g"&amp;$D$9):INDIRECT("g"&amp;$E$9),0.5),IF(F955=3,PERCENTILE(INDIRECT("g"&amp;$D$10):INDIRECT("g"&amp;$E$10),0.5),IF(F955=4,PERCENTILE(INDIRECT("g"&amp;$D$11):INDIRECT("g"&amp;$E$11),0.5),IF(F955=5,PERCENTILE(INDIRECT("g"&amp;$D$12):INDIRECT("g"&amp;$E$12),0.5),IF(F955=6,PERCENTILE(INDIRECT("g"&amp;$D$13):INDIRECT("g"&amp;$E$13),0.5)," "))))))</f>
        <v xml:space="preserve"> </v>
      </c>
      <c r="I955" s="242" t="str">
        <f t="shared" si="76"/>
        <v xml:space="preserve"> </v>
      </c>
      <c r="J955" s="242" t="str">
        <f ca="1">IF(F955=1,AVERAGE(INDIRECT("I"&amp;$D$8):INDIRECT("I"&amp;$E$8)),IF(F955=2,AVERAGE(INDIRECT("I"&amp;$D$9):INDIRECT("I"&amp;$E$9)),IF(F955=3,AVERAGE(INDIRECT("I"&amp;$D$10):INDIRECT("I"&amp;$E$10)),IF(F955=4,AVERAGE(INDIRECT("I"&amp;$D$11):INDIRECT("I"&amp;$E$11)),IF(F955=5,AVERAGE(INDIRECT("I"&amp;$D$12):INDIRECT("I"&amp;$E$12)),IF(F955=6,AVERAGE(INDIRECT("I"&amp;$D$13):INDIRECT("I"&amp;$E$13))," "))))))</f>
        <v xml:space="preserve"> </v>
      </c>
      <c r="K955" s="242" t="str">
        <f t="shared" si="77"/>
        <v xml:space="preserve"> </v>
      </c>
      <c r="L955" s="242" t="str">
        <f t="shared" si="78"/>
        <v xml:space="preserve"> </v>
      </c>
      <c r="M955" s="242" t="str">
        <f t="shared" si="79"/>
        <v xml:space="preserve"> </v>
      </c>
    </row>
    <row r="956" spans="6:13" x14ac:dyDescent="0.2">
      <c r="F956" s="216" t="str">
        <f t="shared" si="75"/>
        <v xml:space="preserve"> </v>
      </c>
      <c r="G956" s="50"/>
      <c r="H956" s="242" t="str">
        <f ca="1">IF(F956=1,PERCENTILE(INDIRECT("g"&amp;$D$8):INDIRECT("g"&amp;$E$8),0.5),IF(F956=2,PERCENTILE(INDIRECT("g"&amp;$D$9):INDIRECT("g"&amp;$E$9),0.5),IF(F956=3,PERCENTILE(INDIRECT("g"&amp;$D$10):INDIRECT("g"&amp;$E$10),0.5),IF(F956=4,PERCENTILE(INDIRECT("g"&amp;$D$11):INDIRECT("g"&amp;$E$11),0.5),IF(F956=5,PERCENTILE(INDIRECT("g"&amp;$D$12):INDIRECT("g"&amp;$E$12),0.5),IF(F956=6,PERCENTILE(INDIRECT("g"&amp;$D$13):INDIRECT("g"&amp;$E$13),0.5)," "))))))</f>
        <v xml:space="preserve"> </v>
      </c>
      <c r="I956" s="242" t="str">
        <f t="shared" si="76"/>
        <v xml:space="preserve"> </v>
      </c>
      <c r="J956" s="242" t="str">
        <f ca="1">IF(F956=1,AVERAGE(INDIRECT("I"&amp;$D$8):INDIRECT("I"&amp;$E$8)),IF(F956=2,AVERAGE(INDIRECT("I"&amp;$D$9):INDIRECT("I"&amp;$E$9)),IF(F956=3,AVERAGE(INDIRECT("I"&amp;$D$10):INDIRECT("I"&amp;$E$10)),IF(F956=4,AVERAGE(INDIRECT("I"&amp;$D$11):INDIRECT("I"&amp;$E$11)),IF(F956=5,AVERAGE(INDIRECT("I"&amp;$D$12):INDIRECT("I"&amp;$E$12)),IF(F956=6,AVERAGE(INDIRECT("I"&amp;$D$13):INDIRECT("I"&amp;$E$13))," "))))))</f>
        <v xml:space="preserve"> </v>
      </c>
      <c r="K956" s="242" t="str">
        <f t="shared" si="77"/>
        <v xml:space="preserve"> </v>
      </c>
      <c r="L956" s="242" t="str">
        <f t="shared" si="78"/>
        <v xml:space="preserve"> </v>
      </c>
      <c r="M956" s="242" t="str">
        <f t="shared" si="79"/>
        <v xml:space="preserve"> </v>
      </c>
    </row>
    <row r="957" spans="6:13" x14ac:dyDescent="0.2">
      <c r="F957" s="216" t="str">
        <f t="shared" si="75"/>
        <v xml:space="preserve"> </v>
      </c>
      <c r="G957" s="50"/>
      <c r="H957" s="242" t="str">
        <f ca="1">IF(F957=1,PERCENTILE(INDIRECT("g"&amp;$D$8):INDIRECT("g"&amp;$E$8),0.5),IF(F957=2,PERCENTILE(INDIRECT("g"&amp;$D$9):INDIRECT("g"&amp;$E$9),0.5),IF(F957=3,PERCENTILE(INDIRECT("g"&amp;$D$10):INDIRECT("g"&amp;$E$10),0.5),IF(F957=4,PERCENTILE(INDIRECT("g"&amp;$D$11):INDIRECT("g"&amp;$E$11),0.5),IF(F957=5,PERCENTILE(INDIRECT("g"&amp;$D$12):INDIRECT("g"&amp;$E$12),0.5),IF(F957=6,PERCENTILE(INDIRECT("g"&amp;$D$13):INDIRECT("g"&amp;$E$13),0.5)," "))))))</f>
        <v xml:space="preserve"> </v>
      </c>
      <c r="I957" s="242" t="str">
        <f t="shared" si="76"/>
        <v xml:space="preserve"> </v>
      </c>
      <c r="J957" s="242" t="str">
        <f ca="1">IF(F957=1,AVERAGE(INDIRECT("I"&amp;$D$8):INDIRECT("I"&amp;$E$8)),IF(F957=2,AVERAGE(INDIRECT("I"&amp;$D$9):INDIRECT("I"&amp;$E$9)),IF(F957=3,AVERAGE(INDIRECT("I"&amp;$D$10):INDIRECT("I"&amp;$E$10)),IF(F957=4,AVERAGE(INDIRECT("I"&amp;$D$11):INDIRECT("I"&amp;$E$11)),IF(F957=5,AVERAGE(INDIRECT("I"&amp;$D$12):INDIRECT("I"&amp;$E$12)),IF(F957=6,AVERAGE(INDIRECT("I"&amp;$D$13):INDIRECT("I"&amp;$E$13))," "))))))</f>
        <v xml:space="preserve"> </v>
      </c>
      <c r="K957" s="242" t="str">
        <f t="shared" si="77"/>
        <v xml:space="preserve"> </v>
      </c>
      <c r="L957" s="242" t="str">
        <f t="shared" si="78"/>
        <v xml:space="preserve"> </v>
      </c>
      <c r="M957" s="242" t="str">
        <f t="shared" si="79"/>
        <v xml:space="preserve"> </v>
      </c>
    </row>
    <row r="958" spans="6:13" x14ac:dyDescent="0.2">
      <c r="F958" s="216" t="str">
        <f t="shared" si="75"/>
        <v xml:space="preserve"> </v>
      </c>
      <c r="G958" s="50"/>
      <c r="H958" s="242" t="str">
        <f ca="1">IF(F958=1,PERCENTILE(INDIRECT("g"&amp;$D$8):INDIRECT("g"&amp;$E$8),0.5),IF(F958=2,PERCENTILE(INDIRECT("g"&amp;$D$9):INDIRECT("g"&amp;$E$9),0.5),IF(F958=3,PERCENTILE(INDIRECT("g"&amp;$D$10):INDIRECT("g"&amp;$E$10),0.5),IF(F958=4,PERCENTILE(INDIRECT("g"&amp;$D$11):INDIRECT("g"&amp;$E$11),0.5),IF(F958=5,PERCENTILE(INDIRECT("g"&amp;$D$12):INDIRECT("g"&amp;$E$12),0.5),IF(F958=6,PERCENTILE(INDIRECT("g"&amp;$D$13):INDIRECT("g"&amp;$E$13),0.5)," "))))))</f>
        <v xml:space="preserve"> </v>
      </c>
      <c r="I958" s="242" t="str">
        <f t="shared" si="76"/>
        <v xml:space="preserve"> </v>
      </c>
      <c r="J958" s="242" t="str">
        <f ca="1">IF(F958=1,AVERAGE(INDIRECT("I"&amp;$D$8):INDIRECT("I"&amp;$E$8)),IF(F958=2,AVERAGE(INDIRECT("I"&amp;$D$9):INDIRECT("I"&amp;$E$9)),IF(F958=3,AVERAGE(INDIRECT("I"&amp;$D$10):INDIRECT("I"&amp;$E$10)),IF(F958=4,AVERAGE(INDIRECT("I"&amp;$D$11):INDIRECT("I"&amp;$E$11)),IF(F958=5,AVERAGE(INDIRECT("I"&amp;$D$12):INDIRECT("I"&amp;$E$12)),IF(F958=6,AVERAGE(INDIRECT("I"&amp;$D$13):INDIRECT("I"&amp;$E$13))," "))))))</f>
        <v xml:space="preserve"> </v>
      </c>
      <c r="K958" s="242" t="str">
        <f t="shared" si="77"/>
        <v xml:space="preserve"> </v>
      </c>
      <c r="L958" s="242" t="str">
        <f t="shared" si="78"/>
        <v xml:space="preserve"> </v>
      </c>
      <c r="M958" s="242" t="str">
        <f t="shared" si="79"/>
        <v xml:space="preserve"> </v>
      </c>
    </row>
    <row r="959" spans="6:13" x14ac:dyDescent="0.2">
      <c r="F959" s="216" t="str">
        <f t="shared" si="75"/>
        <v xml:space="preserve"> </v>
      </c>
      <c r="G959" s="50"/>
      <c r="H959" s="242" t="str">
        <f ca="1">IF(F959=1,PERCENTILE(INDIRECT("g"&amp;$D$8):INDIRECT("g"&amp;$E$8),0.5),IF(F959=2,PERCENTILE(INDIRECT("g"&amp;$D$9):INDIRECT("g"&amp;$E$9),0.5),IF(F959=3,PERCENTILE(INDIRECT("g"&amp;$D$10):INDIRECT("g"&amp;$E$10),0.5),IF(F959=4,PERCENTILE(INDIRECT("g"&amp;$D$11):INDIRECT("g"&amp;$E$11),0.5),IF(F959=5,PERCENTILE(INDIRECT("g"&amp;$D$12):INDIRECT("g"&amp;$E$12),0.5),IF(F959=6,PERCENTILE(INDIRECT("g"&amp;$D$13):INDIRECT("g"&amp;$E$13),0.5)," "))))))</f>
        <v xml:space="preserve"> </v>
      </c>
      <c r="I959" s="242" t="str">
        <f t="shared" si="76"/>
        <v xml:space="preserve"> </v>
      </c>
      <c r="J959" s="242" t="str">
        <f ca="1">IF(F959=1,AVERAGE(INDIRECT("I"&amp;$D$8):INDIRECT("I"&amp;$E$8)),IF(F959=2,AVERAGE(INDIRECT("I"&amp;$D$9):INDIRECT("I"&amp;$E$9)),IF(F959=3,AVERAGE(INDIRECT("I"&amp;$D$10):INDIRECT("I"&amp;$E$10)),IF(F959=4,AVERAGE(INDIRECT("I"&amp;$D$11):INDIRECT("I"&amp;$E$11)),IF(F959=5,AVERAGE(INDIRECT("I"&amp;$D$12):INDIRECT("I"&amp;$E$12)),IF(F959=6,AVERAGE(INDIRECT("I"&amp;$D$13):INDIRECT("I"&amp;$E$13))," "))))))</f>
        <v xml:space="preserve"> </v>
      </c>
      <c r="K959" s="242" t="str">
        <f t="shared" si="77"/>
        <v xml:space="preserve"> </v>
      </c>
      <c r="L959" s="242" t="str">
        <f t="shared" si="78"/>
        <v xml:space="preserve"> </v>
      </c>
      <c r="M959" s="242" t="str">
        <f t="shared" si="79"/>
        <v xml:space="preserve"> </v>
      </c>
    </row>
    <row r="960" spans="6:13" x14ac:dyDescent="0.2">
      <c r="F960" s="216" t="str">
        <f t="shared" si="75"/>
        <v xml:space="preserve"> </v>
      </c>
      <c r="G960" s="50"/>
      <c r="H960" s="242" t="str">
        <f ca="1">IF(F960=1,PERCENTILE(INDIRECT("g"&amp;$D$8):INDIRECT("g"&amp;$E$8),0.5),IF(F960=2,PERCENTILE(INDIRECT("g"&amp;$D$9):INDIRECT("g"&amp;$E$9),0.5),IF(F960=3,PERCENTILE(INDIRECT("g"&amp;$D$10):INDIRECT("g"&amp;$E$10),0.5),IF(F960=4,PERCENTILE(INDIRECT("g"&amp;$D$11):INDIRECT("g"&amp;$E$11),0.5),IF(F960=5,PERCENTILE(INDIRECT("g"&amp;$D$12):INDIRECT("g"&amp;$E$12),0.5),IF(F960=6,PERCENTILE(INDIRECT("g"&amp;$D$13):INDIRECT("g"&amp;$E$13),0.5)," "))))))</f>
        <v xml:space="preserve"> </v>
      </c>
      <c r="I960" s="242" t="str">
        <f t="shared" si="76"/>
        <v xml:space="preserve"> </v>
      </c>
      <c r="J960" s="242" t="str">
        <f ca="1">IF(F960=1,AVERAGE(INDIRECT("I"&amp;$D$8):INDIRECT("I"&amp;$E$8)),IF(F960=2,AVERAGE(INDIRECT("I"&amp;$D$9):INDIRECT("I"&amp;$E$9)),IF(F960=3,AVERAGE(INDIRECT("I"&amp;$D$10):INDIRECT("I"&amp;$E$10)),IF(F960=4,AVERAGE(INDIRECT("I"&amp;$D$11):INDIRECT("I"&amp;$E$11)),IF(F960=5,AVERAGE(INDIRECT("I"&amp;$D$12):INDIRECT("I"&amp;$E$12)),IF(F960=6,AVERAGE(INDIRECT("I"&amp;$D$13):INDIRECT("I"&amp;$E$13))," "))))))</f>
        <v xml:space="preserve"> </v>
      </c>
      <c r="K960" s="242" t="str">
        <f t="shared" si="77"/>
        <v xml:space="preserve"> </v>
      </c>
      <c r="L960" s="242" t="str">
        <f t="shared" si="78"/>
        <v xml:space="preserve"> </v>
      </c>
      <c r="M960" s="242" t="str">
        <f t="shared" si="79"/>
        <v xml:space="preserve"> </v>
      </c>
    </row>
    <row r="961" spans="6:13" x14ac:dyDescent="0.2">
      <c r="F961" s="216" t="str">
        <f t="shared" si="75"/>
        <v xml:space="preserve"> </v>
      </c>
      <c r="G961" s="50"/>
      <c r="H961" s="242" t="str">
        <f ca="1">IF(F961=1,PERCENTILE(INDIRECT("g"&amp;$D$8):INDIRECT("g"&amp;$E$8),0.5),IF(F961=2,PERCENTILE(INDIRECT("g"&amp;$D$9):INDIRECT("g"&amp;$E$9),0.5),IF(F961=3,PERCENTILE(INDIRECT("g"&amp;$D$10):INDIRECT("g"&amp;$E$10),0.5),IF(F961=4,PERCENTILE(INDIRECT("g"&amp;$D$11):INDIRECT("g"&amp;$E$11),0.5),IF(F961=5,PERCENTILE(INDIRECT("g"&amp;$D$12):INDIRECT("g"&amp;$E$12),0.5),IF(F961=6,PERCENTILE(INDIRECT("g"&amp;$D$13):INDIRECT("g"&amp;$E$13),0.5)," "))))))</f>
        <v xml:space="preserve"> </v>
      </c>
      <c r="I961" s="242" t="str">
        <f t="shared" si="76"/>
        <v xml:space="preserve"> </v>
      </c>
      <c r="J961" s="242" t="str">
        <f ca="1">IF(F961=1,AVERAGE(INDIRECT("I"&amp;$D$8):INDIRECT("I"&amp;$E$8)),IF(F961=2,AVERAGE(INDIRECT("I"&amp;$D$9):INDIRECT("I"&amp;$E$9)),IF(F961=3,AVERAGE(INDIRECT("I"&amp;$D$10):INDIRECT("I"&amp;$E$10)),IF(F961=4,AVERAGE(INDIRECT("I"&amp;$D$11):INDIRECT("I"&amp;$E$11)),IF(F961=5,AVERAGE(INDIRECT("I"&amp;$D$12):INDIRECT("I"&amp;$E$12)),IF(F961=6,AVERAGE(INDIRECT("I"&amp;$D$13):INDIRECT("I"&amp;$E$13))," "))))))</f>
        <v xml:space="preserve"> </v>
      </c>
      <c r="K961" s="242" t="str">
        <f t="shared" si="77"/>
        <v xml:space="preserve"> </v>
      </c>
      <c r="L961" s="242" t="str">
        <f t="shared" si="78"/>
        <v xml:space="preserve"> </v>
      </c>
      <c r="M961" s="242" t="str">
        <f t="shared" si="79"/>
        <v xml:space="preserve"> </v>
      </c>
    </row>
    <row r="962" spans="6:13" x14ac:dyDescent="0.2">
      <c r="F962" s="216" t="str">
        <f t="shared" si="75"/>
        <v xml:space="preserve"> </v>
      </c>
      <c r="G962" s="50"/>
      <c r="H962" s="242" t="str">
        <f ca="1">IF(F962=1,PERCENTILE(INDIRECT("g"&amp;$D$8):INDIRECT("g"&amp;$E$8),0.5),IF(F962=2,PERCENTILE(INDIRECT("g"&amp;$D$9):INDIRECT("g"&amp;$E$9),0.5),IF(F962=3,PERCENTILE(INDIRECT("g"&amp;$D$10):INDIRECT("g"&amp;$E$10),0.5),IF(F962=4,PERCENTILE(INDIRECT("g"&amp;$D$11):INDIRECT("g"&amp;$E$11),0.5),IF(F962=5,PERCENTILE(INDIRECT("g"&amp;$D$12):INDIRECT("g"&amp;$E$12),0.5),IF(F962=6,PERCENTILE(INDIRECT("g"&amp;$D$13):INDIRECT("g"&amp;$E$13),0.5)," "))))))</f>
        <v xml:space="preserve"> </v>
      </c>
      <c r="I962" s="242" t="str">
        <f t="shared" si="76"/>
        <v xml:space="preserve"> </v>
      </c>
      <c r="J962" s="242" t="str">
        <f ca="1">IF(F962=1,AVERAGE(INDIRECT("I"&amp;$D$8):INDIRECT("I"&amp;$E$8)),IF(F962=2,AVERAGE(INDIRECT("I"&amp;$D$9):INDIRECT("I"&amp;$E$9)),IF(F962=3,AVERAGE(INDIRECT("I"&amp;$D$10):INDIRECT("I"&amp;$E$10)),IF(F962=4,AVERAGE(INDIRECT("I"&amp;$D$11):INDIRECT("I"&amp;$E$11)),IF(F962=5,AVERAGE(INDIRECT("I"&amp;$D$12):INDIRECT("I"&amp;$E$12)),IF(F962=6,AVERAGE(INDIRECT("I"&amp;$D$13):INDIRECT("I"&amp;$E$13))," "))))))</f>
        <v xml:space="preserve"> </v>
      </c>
      <c r="K962" s="242" t="str">
        <f t="shared" si="77"/>
        <v xml:space="preserve"> </v>
      </c>
      <c r="L962" s="242" t="str">
        <f t="shared" si="78"/>
        <v xml:space="preserve"> </v>
      </c>
      <c r="M962" s="242" t="str">
        <f t="shared" si="79"/>
        <v xml:space="preserve"> </v>
      </c>
    </row>
    <row r="963" spans="6:13" x14ac:dyDescent="0.2">
      <c r="F963" s="216" t="str">
        <f t="shared" si="75"/>
        <v xml:space="preserve"> </v>
      </c>
      <c r="G963" s="50"/>
      <c r="H963" s="242" t="str">
        <f ca="1">IF(F963=1,PERCENTILE(INDIRECT("g"&amp;$D$8):INDIRECT("g"&amp;$E$8),0.5),IF(F963=2,PERCENTILE(INDIRECT("g"&amp;$D$9):INDIRECT("g"&amp;$E$9),0.5),IF(F963=3,PERCENTILE(INDIRECT("g"&amp;$D$10):INDIRECT("g"&amp;$E$10),0.5),IF(F963=4,PERCENTILE(INDIRECT("g"&amp;$D$11):INDIRECT("g"&amp;$E$11),0.5),IF(F963=5,PERCENTILE(INDIRECT("g"&amp;$D$12):INDIRECT("g"&amp;$E$12),0.5),IF(F963=6,PERCENTILE(INDIRECT("g"&amp;$D$13):INDIRECT("g"&amp;$E$13),0.5)," "))))))</f>
        <v xml:space="preserve"> </v>
      </c>
      <c r="I963" s="242" t="str">
        <f t="shared" si="76"/>
        <v xml:space="preserve"> </v>
      </c>
      <c r="J963" s="242" t="str">
        <f ca="1">IF(F963=1,AVERAGE(INDIRECT("I"&amp;$D$8):INDIRECT("I"&amp;$E$8)),IF(F963=2,AVERAGE(INDIRECT("I"&amp;$D$9):INDIRECT("I"&amp;$E$9)),IF(F963=3,AVERAGE(INDIRECT("I"&amp;$D$10):INDIRECT("I"&amp;$E$10)),IF(F963=4,AVERAGE(INDIRECT("I"&amp;$D$11):INDIRECT("I"&amp;$E$11)),IF(F963=5,AVERAGE(INDIRECT("I"&amp;$D$12):INDIRECT("I"&amp;$E$12)),IF(F963=6,AVERAGE(INDIRECT("I"&amp;$D$13):INDIRECT("I"&amp;$E$13))," "))))))</f>
        <v xml:space="preserve"> </v>
      </c>
      <c r="K963" s="242" t="str">
        <f t="shared" si="77"/>
        <v xml:space="preserve"> </v>
      </c>
      <c r="L963" s="242" t="str">
        <f t="shared" si="78"/>
        <v xml:space="preserve"> </v>
      </c>
      <c r="M963" s="242" t="str">
        <f t="shared" si="79"/>
        <v xml:space="preserve"> </v>
      </c>
    </row>
    <row r="964" spans="6:13" x14ac:dyDescent="0.2">
      <c r="F964" s="216" t="str">
        <f t="shared" si="75"/>
        <v xml:space="preserve"> </v>
      </c>
      <c r="G964" s="50"/>
      <c r="H964" s="242" t="str">
        <f ca="1">IF(F964=1,PERCENTILE(INDIRECT("g"&amp;$D$8):INDIRECT("g"&amp;$E$8),0.5),IF(F964=2,PERCENTILE(INDIRECT("g"&amp;$D$9):INDIRECT("g"&amp;$E$9),0.5),IF(F964=3,PERCENTILE(INDIRECT("g"&amp;$D$10):INDIRECT("g"&amp;$E$10),0.5),IF(F964=4,PERCENTILE(INDIRECT("g"&amp;$D$11):INDIRECT("g"&amp;$E$11),0.5),IF(F964=5,PERCENTILE(INDIRECT("g"&amp;$D$12):INDIRECT("g"&amp;$E$12),0.5),IF(F964=6,PERCENTILE(INDIRECT("g"&amp;$D$13):INDIRECT("g"&amp;$E$13),0.5)," "))))))</f>
        <v xml:space="preserve"> </v>
      </c>
      <c r="I964" s="242" t="str">
        <f t="shared" si="76"/>
        <v xml:space="preserve"> </v>
      </c>
      <c r="J964" s="242" t="str">
        <f ca="1">IF(F964=1,AVERAGE(INDIRECT("I"&amp;$D$8):INDIRECT("I"&amp;$E$8)),IF(F964=2,AVERAGE(INDIRECT("I"&amp;$D$9):INDIRECT("I"&amp;$E$9)),IF(F964=3,AVERAGE(INDIRECT("I"&amp;$D$10):INDIRECT("I"&amp;$E$10)),IF(F964=4,AVERAGE(INDIRECT("I"&amp;$D$11):INDIRECT("I"&amp;$E$11)),IF(F964=5,AVERAGE(INDIRECT("I"&amp;$D$12):INDIRECT("I"&amp;$E$12)),IF(F964=6,AVERAGE(INDIRECT("I"&amp;$D$13):INDIRECT("I"&amp;$E$13))," "))))))</f>
        <v xml:space="preserve"> </v>
      </c>
      <c r="K964" s="242" t="str">
        <f t="shared" si="77"/>
        <v xml:space="preserve"> </v>
      </c>
      <c r="L964" s="242" t="str">
        <f t="shared" si="78"/>
        <v xml:space="preserve"> </v>
      </c>
      <c r="M964" s="242" t="str">
        <f t="shared" si="79"/>
        <v xml:space="preserve"> </v>
      </c>
    </row>
    <row r="965" spans="6:13" x14ac:dyDescent="0.2">
      <c r="F965" s="216" t="str">
        <f t="shared" si="75"/>
        <v xml:space="preserve"> </v>
      </c>
      <c r="G965" s="50"/>
      <c r="H965" s="242" t="str">
        <f ca="1">IF(F965=1,PERCENTILE(INDIRECT("g"&amp;$D$8):INDIRECT("g"&amp;$E$8),0.5),IF(F965=2,PERCENTILE(INDIRECT("g"&amp;$D$9):INDIRECT("g"&amp;$E$9),0.5),IF(F965=3,PERCENTILE(INDIRECT("g"&amp;$D$10):INDIRECT("g"&amp;$E$10),0.5),IF(F965=4,PERCENTILE(INDIRECT("g"&amp;$D$11):INDIRECT("g"&amp;$E$11),0.5),IF(F965=5,PERCENTILE(INDIRECT("g"&amp;$D$12):INDIRECT("g"&amp;$E$12),0.5),IF(F965=6,PERCENTILE(INDIRECT("g"&amp;$D$13):INDIRECT("g"&amp;$E$13),0.5)," "))))))</f>
        <v xml:space="preserve"> </v>
      </c>
      <c r="I965" s="242" t="str">
        <f t="shared" si="76"/>
        <v xml:space="preserve"> </v>
      </c>
      <c r="J965" s="242" t="str">
        <f ca="1">IF(F965=1,AVERAGE(INDIRECT("I"&amp;$D$8):INDIRECT("I"&amp;$E$8)),IF(F965=2,AVERAGE(INDIRECT("I"&amp;$D$9):INDIRECT("I"&amp;$E$9)),IF(F965=3,AVERAGE(INDIRECT("I"&amp;$D$10):INDIRECT("I"&amp;$E$10)),IF(F965=4,AVERAGE(INDIRECT("I"&amp;$D$11):INDIRECT("I"&amp;$E$11)),IF(F965=5,AVERAGE(INDIRECT("I"&amp;$D$12):INDIRECT("I"&amp;$E$12)),IF(F965=6,AVERAGE(INDIRECT("I"&amp;$D$13):INDIRECT("I"&amp;$E$13))," "))))))</f>
        <v xml:space="preserve"> </v>
      </c>
      <c r="K965" s="242" t="str">
        <f t="shared" si="77"/>
        <v xml:space="preserve"> </v>
      </c>
      <c r="L965" s="242" t="str">
        <f t="shared" si="78"/>
        <v xml:space="preserve"> </v>
      </c>
      <c r="M965" s="242" t="str">
        <f t="shared" si="79"/>
        <v xml:space="preserve"> </v>
      </c>
    </row>
    <row r="966" spans="6:13" x14ac:dyDescent="0.2">
      <c r="F966" s="216" t="str">
        <f t="shared" ref="F966:F1005" si="80">IF(AND(ROW()&gt;=$D$8,ROW()&lt;=$E$8),1,IF(AND(ROW()&gt;=$D$9,ROW()&lt;=$E$9),2,IF(AND(ROW()&gt;=$D$10,ROW()&lt;=$E$10),3,IF(AND(ROW()&gt;=$D$11,ROW()&lt;=$E$11),4,IF(AND(ROW()&gt;=$D$12,ROW()&lt;=$E$12),5,IF(AND(ROW()&gt;=$D$13,ROW()&lt;=$E$13),6," "))))))</f>
        <v xml:space="preserve"> </v>
      </c>
      <c r="G966" s="50"/>
      <c r="H966" s="242" t="str">
        <f ca="1">IF(F966=1,PERCENTILE(INDIRECT("g"&amp;$D$8):INDIRECT("g"&amp;$E$8),0.5),IF(F966=2,PERCENTILE(INDIRECT("g"&amp;$D$9):INDIRECT("g"&amp;$E$9),0.5),IF(F966=3,PERCENTILE(INDIRECT("g"&amp;$D$10):INDIRECT("g"&amp;$E$10),0.5),IF(F966=4,PERCENTILE(INDIRECT("g"&amp;$D$11):INDIRECT("g"&amp;$E$11),0.5),IF(F966=5,PERCENTILE(INDIRECT("g"&amp;$D$12):INDIRECT("g"&amp;$E$12),0.5),IF(F966=6,PERCENTILE(INDIRECT("g"&amp;$D$13):INDIRECT("g"&amp;$E$13),0.5)," "))))))</f>
        <v xml:space="preserve"> </v>
      </c>
      <c r="I966" s="242" t="str">
        <f t="shared" ref="I966:I1005" si="81">IF(ROW()&lt;=MAX($E$8:$E$13),ABS(G966-H966)," ")</f>
        <v xml:space="preserve"> </v>
      </c>
      <c r="J966" s="242" t="str">
        <f ca="1">IF(F966=1,AVERAGE(INDIRECT("I"&amp;$D$8):INDIRECT("I"&amp;$E$8)),IF(F966=2,AVERAGE(INDIRECT("I"&amp;$D$9):INDIRECT("I"&amp;$E$9)),IF(F966=3,AVERAGE(INDIRECT("I"&amp;$D$10):INDIRECT("I"&amp;$E$10)),IF(F966=4,AVERAGE(INDIRECT("I"&amp;$D$11):INDIRECT("I"&amp;$E$11)),IF(F966=5,AVERAGE(INDIRECT("I"&amp;$D$12):INDIRECT("I"&amp;$E$12)),IF(F966=6,AVERAGE(INDIRECT("I"&amp;$D$13):INDIRECT("I"&amp;$E$13))," "))))))</f>
        <v xml:space="preserve"> </v>
      </c>
      <c r="K966" s="242" t="str">
        <f t="shared" ref="K966:K1005" si="82">IF(ROW()&lt;=MAX($E$8:$E$13),AVERAGE($I$6:$I$1005)," ")</f>
        <v xml:space="preserve"> </v>
      </c>
      <c r="L966" s="242" t="str">
        <f t="shared" ref="L966:L1005" si="83">IF(ROW()&lt;=MAX($E$8:$E$13),(I966-J966)^2," ")</f>
        <v xml:space="preserve"> </v>
      </c>
      <c r="M966" s="242" t="str">
        <f t="shared" ref="M966:M1005" si="84">IF(ROW()&lt;=MAX($E$8:$E$13),(J966-K966)^2," ")</f>
        <v xml:space="preserve"> </v>
      </c>
    </row>
    <row r="967" spans="6:13" x14ac:dyDescent="0.2">
      <c r="F967" s="216" t="str">
        <f t="shared" si="80"/>
        <v xml:space="preserve"> </v>
      </c>
      <c r="G967" s="50"/>
      <c r="H967" s="242" t="str">
        <f ca="1">IF(F967=1,PERCENTILE(INDIRECT("g"&amp;$D$8):INDIRECT("g"&amp;$E$8),0.5),IF(F967=2,PERCENTILE(INDIRECT("g"&amp;$D$9):INDIRECT("g"&amp;$E$9),0.5),IF(F967=3,PERCENTILE(INDIRECT("g"&amp;$D$10):INDIRECT("g"&amp;$E$10),0.5),IF(F967=4,PERCENTILE(INDIRECT("g"&amp;$D$11):INDIRECT("g"&amp;$E$11),0.5),IF(F967=5,PERCENTILE(INDIRECT("g"&amp;$D$12):INDIRECT("g"&amp;$E$12),0.5),IF(F967=6,PERCENTILE(INDIRECT("g"&amp;$D$13):INDIRECT("g"&amp;$E$13),0.5)," "))))))</f>
        <v xml:space="preserve"> </v>
      </c>
      <c r="I967" s="242" t="str">
        <f t="shared" si="81"/>
        <v xml:space="preserve"> </v>
      </c>
      <c r="J967" s="242" t="str">
        <f ca="1">IF(F967=1,AVERAGE(INDIRECT("I"&amp;$D$8):INDIRECT("I"&amp;$E$8)),IF(F967=2,AVERAGE(INDIRECT("I"&amp;$D$9):INDIRECT("I"&amp;$E$9)),IF(F967=3,AVERAGE(INDIRECT("I"&amp;$D$10):INDIRECT("I"&amp;$E$10)),IF(F967=4,AVERAGE(INDIRECT("I"&amp;$D$11):INDIRECT("I"&amp;$E$11)),IF(F967=5,AVERAGE(INDIRECT("I"&amp;$D$12):INDIRECT("I"&amp;$E$12)),IF(F967=6,AVERAGE(INDIRECT("I"&amp;$D$13):INDIRECT("I"&amp;$E$13))," "))))))</f>
        <v xml:space="preserve"> </v>
      </c>
      <c r="K967" s="242" t="str">
        <f t="shared" si="82"/>
        <v xml:space="preserve"> </v>
      </c>
      <c r="L967" s="242" t="str">
        <f t="shared" si="83"/>
        <v xml:space="preserve"> </v>
      </c>
      <c r="M967" s="242" t="str">
        <f t="shared" si="84"/>
        <v xml:space="preserve"> </v>
      </c>
    </row>
    <row r="968" spans="6:13" x14ac:dyDescent="0.2">
      <c r="F968" s="216" t="str">
        <f t="shared" si="80"/>
        <v xml:space="preserve"> </v>
      </c>
      <c r="G968" s="50"/>
      <c r="H968" s="242" t="str">
        <f ca="1">IF(F968=1,PERCENTILE(INDIRECT("g"&amp;$D$8):INDIRECT("g"&amp;$E$8),0.5),IF(F968=2,PERCENTILE(INDIRECT("g"&amp;$D$9):INDIRECT("g"&amp;$E$9),0.5),IF(F968=3,PERCENTILE(INDIRECT("g"&amp;$D$10):INDIRECT("g"&amp;$E$10),0.5),IF(F968=4,PERCENTILE(INDIRECT("g"&amp;$D$11):INDIRECT("g"&amp;$E$11),0.5),IF(F968=5,PERCENTILE(INDIRECT("g"&amp;$D$12):INDIRECT("g"&amp;$E$12),0.5),IF(F968=6,PERCENTILE(INDIRECT("g"&amp;$D$13):INDIRECT("g"&amp;$E$13),0.5)," "))))))</f>
        <v xml:space="preserve"> </v>
      </c>
      <c r="I968" s="242" t="str">
        <f t="shared" si="81"/>
        <v xml:space="preserve"> </v>
      </c>
      <c r="J968" s="242" t="str">
        <f ca="1">IF(F968=1,AVERAGE(INDIRECT("I"&amp;$D$8):INDIRECT("I"&amp;$E$8)),IF(F968=2,AVERAGE(INDIRECT("I"&amp;$D$9):INDIRECT("I"&amp;$E$9)),IF(F968=3,AVERAGE(INDIRECT("I"&amp;$D$10):INDIRECT("I"&amp;$E$10)),IF(F968=4,AVERAGE(INDIRECT("I"&amp;$D$11):INDIRECT("I"&amp;$E$11)),IF(F968=5,AVERAGE(INDIRECT("I"&amp;$D$12):INDIRECT("I"&amp;$E$12)),IF(F968=6,AVERAGE(INDIRECT("I"&amp;$D$13):INDIRECT("I"&amp;$E$13))," "))))))</f>
        <v xml:space="preserve"> </v>
      </c>
      <c r="K968" s="242" t="str">
        <f t="shared" si="82"/>
        <v xml:space="preserve"> </v>
      </c>
      <c r="L968" s="242" t="str">
        <f t="shared" si="83"/>
        <v xml:space="preserve"> </v>
      </c>
      <c r="M968" s="242" t="str">
        <f t="shared" si="84"/>
        <v xml:space="preserve"> </v>
      </c>
    </row>
    <row r="969" spans="6:13" x14ac:dyDescent="0.2">
      <c r="F969" s="216" t="str">
        <f t="shared" si="80"/>
        <v xml:space="preserve"> </v>
      </c>
      <c r="G969" s="50"/>
      <c r="H969" s="242" t="str">
        <f ca="1">IF(F969=1,PERCENTILE(INDIRECT("g"&amp;$D$8):INDIRECT("g"&amp;$E$8),0.5),IF(F969=2,PERCENTILE(INDIRECT("g"&amp;$D$9):INDIRECT("g"&amp;$E$9),0.5),IF(F969=3,PERCENTILE(INDIRECT("g"&amp;$D$10):INDIRECT("g"&amp;$E$10),0.5),IF(F969=4,PERCENTILE(INDIRECT("g"&amp;$D$11):INDIRECT("g"&amp;$E$11),0.5),IF(F969=5,PERCENTILE(INDIRECT("g"&amp;$D$12):INDIRECT("g"&amp;$E$12),0.5),IF(F969=6,PERCENTILE(INDIRECT("g"&amp;$D$13):INDIRECT("g"&amp;$E$13),0.5)," "))))))</f>
        <v xml:space="preserve"> </v>
      </c>
      <c r="I969" s="242" t="str">
        <f t="shared" si="81"/>
        <v xml:space="preserve"> </v>
      </c>
      <c r="J969" s="242" t="str">
        <f ca="1">IF(F969=1,AVERAGE(INDIRECT("I"&amp;$D$8):INDIRECT("I"&amp;$E$8)),IF(F969=2,AVERAGE(INDIRECT("I"&amp;$D$9):INDIRECT("I"&amp;$E$9)),IF(F969=3,AVERAGE(INDIRECT("I"&amp;$D$10):INDIRECT("I"&amp;$E$10)),IF(F969=4,AVERAGE(INDIRECT("I"&amp;$D$11):INDIRECT("I"&amp;$E$11)),IF(F969=5,AVERAGE(INDIRECT("I"&amp;$D$12):INDIRECT("I"&amp;$E$12)),IF(F969=6,AVERAGE(INDIRECT("I"&amp;$D$13):INDIRECT("I"&amp;$E$13))," "))))))</f>
        <v xml:space="preserve"> </v>
      </c>
      <c r="K969" s="242" t="str">
        <f t="shared" si="82"/>
        <v xml:space="preserve"> </v>
      </c>
      <c r="L969" s="242" t="str">
        <f t="shared" si="83"/>
        <v xml:space="preserve"> </v>
      </c>
      <c r="M969" s="242" t="str">
        <f t="shared" si="84"/>
        <v xml:space="preserve"> </v>
      </c>
    </row>
    <row r="970" spans="6:13" x14ac:dyDescent="0.2">
      <c r="F970" s="216" t="str">
        <f t="shared" si="80"/>
        <v xml:space="preserve"> </v>
      </c>
      <c r="G970" s="50"/>
      <c r="H970" s="242" t="str">
        <f ca="1">IF(F970=1,PERCENTILE(INDIRECT("g"&amp;$D$8):INDIRECT("g"&amp;$E$8),0.5),IF(F970=2,PERCENTILE(INDIRECT("g"&amp;$D$9):INDIRECT("g"&amp;$E$9),0.5),IF(F970=3,PERCENTILE(INDIRECT("g"&amp;$D$10):INDIRECT("g"&amp;$E$10),0.5),IF(F970=4,PERCENTILE(INDIRECT("g"&amp;$D$11):INDIRECT("g"&amp;$E$11),0.5),IF(F970=5,PERCENTILE(INDIRECT("g"&amp;$D$12):INDIRECT("g"&amp;$E$12),0.5),IF(F970=6,PERCENTILE(INDIRECT("g"&amp;$D$13):INDIRECT("g"&amp;$E$13),0.5)," "))))))</f>
        <v xml:space="preserve"> </v>
      </c>
      <c r="I970" s="242" t="str">
        <f t="shared" si="81"/>
        <v xml:space="preserve"> </v>
      </c>
      <c r="J970" s="242" t="str">
        <f ca="1">IF(F970=1,AVERAGE(INDIRECT("I"&amp;$D$8):INDIRECT("I"&amp;$E$8)),IF(F970=2,AVERAGE(INDIRECT("I"&amp;$D$9):INDIRECT("I"&amp;$E$9)),IF(F970=3,AVERAGE(INDIRECT("I"&amp;$D$10):INDIRECT("I"&amp;$E$10)),IF(F970=4,AVERAGE(INDIRECT("I"&amp;$D$11):INDIRECT("I"&amp;$E$11)),IF(F970=5,AVERAGE(INDIRECT("I"&amp;$D$12):INDIRECT("I"&amp;$E$12)),IF(F970=6,AVERAGE(INDIRECT("I"&amp;$D$13):INDIRECT("I"&amp;$E$13))," "))))))</f>
        <v xml:space="preserve"> </v>
      </c>
      <c r="K970" s="242" t="str">
        <f t="shared" si="82"/>
        <v xml:space="preserve"> </v>
      </c>
      <c r="L970" s="242" t="str">
        <f t="shared" si="83"/>
        <v xml:space="preserve"> </v>
      </c>
      <c r="M970" s="242" t="str">
        <f t="shared" si="84"/>
        <v xml:space="preserve"> </v>
      </c>
    </row>
    <row r="971" spans="6:13" x14ac:dyDescent="0.2">
      <c r="F971" s="216" t="str">
        <f t="shared" si="80"/>
        <v xml:space="preserve"> </v>
      </c>
      <c r="G971" s="50"/>
      <c r="H971" s="242" t="str">
        <f ca="1">IF(F971=1,PERCENTILE(INDIRECT("g"&amp;$D$8):INDIRECT("g"&amp;$E$8),0.5),IF(F971=2,PERCENTILE(INDIRECT("g"&amp;$D$9):INDIRECT("g"&amp;$E$9),0.5),IF(F971=3,PERCENTILE(INDIRECT("g"&amp;$D$10):INDIRECT("g"&amp;$E$10),0.5),IF(F971=4,PERCENTILE(INDIRECT("g"&amp;$D$11):INDIRECT("g"&amp;$E$11),0.5),IF(F971=5,PERCENTILE(INDIRECT("g"&amp;$D$12):INDIRECT("g"&amp;$E$12),0.5),IF(F971=6,PERCENTILE(INDIRECT("g"&amp;$D$13):INDIRECT("g"&amp;$E$13),0.5)," "))))))</f>
        <v xml:space="preserve"> </v>
      </c>
      <c r="I971" s="242" t="str">
        <f t="shared" si="81"/>
        <v xml:space="preserve"> </v>
      </c>
      <c r="J971" s="242" t="str">
        <f ca="1">IF(F971=1,AVERAGE(INDIRECT("I"&amp;$D$8):INDIRECT("I"&amp;$E$8)),IF(F971=2,AVERAGE(INDIRECT("I"&amp;$D$9):INDIRECT("I"&amp;$E$9)),IF(F971=3,AVERAGE(INDIRECT("I"&amp;$D$10):INDIRECT("I"&amp;$E$10)),IF(F971=4,AVERAGE(INDIRECT("I"&amp;$D$11):INDIRECT("I"&amp;$E$11)),IF(F971=5,AVERAGE(INDIRECT("I"&amp;$D$12):INDIRECT("I"&amp;$E$12)),IF(F971=6,AVERAGE(INDIRECT("I"&amp;$D$13):INDIRECT("I"&amp;$E$13))," "))))))</f>
        <v xml:space="preserve"> </v>
      </c>
      <c r="K971" s="242" t="str">
        <f t="shared" si="82"/>
        <v xml:space="preserve"> </v>
      </c>
      <c r="L971" s="242" t="str">
        <f t="shared" si="83"/>
        <v xml:space="preserve"> </v>
      </c>
      <c r="M971" s="242" t="str">
        <f t="shared" si="84"/>
        <v xml:space="preserve"> </v>
      </c>
    </row>
    <row r="972" spans="6:13" x14ac:dyDescent="0.2">
      <c r="F972" s="216" t="str">
        <f t="shared" si="80"/>
        <v xml:space="preserve"> </v>
      </c>
      <c r="G972" s="50"/>
      <c r="H972" s="242" t="str">
        <f ca="1">IF(F972=1,PERCENTILE(INDIRECT("g"&amp;$D$8):INDIRECT("g"&amp;$E$8),0.5),IF(F972=2,PERCENTILE(INDIRECT("g"&amp;$D$9):INDIRECT("g"&amp;$E$9),0.5),IF(F972=3,PERCENTILE(INDIRECT("g"&amp;$D$10):INDIRECT("g"&amp;$E$10),0.5),IF(F972=4,PERCENTILE(INDIRECT("g"&amp;$D$11):INDIRECT("g"&amp;$E$11),0.5),IF(F972=5,PERCENTILE(INDIRECT("g"&amp;$D$12):INDIRECT("g"&amp;$E$12),0.5),IF(F972=6,PERCENTILE(INDIRECT("g"&amp;$D$13):INDIRECT("g"&amp;$E$13),0.5)," "))))))</f>
        <v xml:space="preserve"> </v>
      </c>
      <c r="I972" s="242" t="str">
        <f t="shared" si="81"/>
        <v xml:space="preserve"> </v>
      </c>
      <c r="J972" s="242" t="str">
        <f ca="1">IF(F972=1,AVERAGE(INDIRECT("I"&amp;$D$8):INDIRECT("I"&amp;$E$8)),IF(F972=2,AVERAGE(INDIRECT("I"&amp;$D$9):INDIRECT("I"&amp;$E$9)),IF(F972=3,AVERAGE(INDIRECT("I"&amp;$D$10):INDIRECT("I"&amp;$E$10)),IF(F972=4,AVERAGE(INDIRECT("I"&amp;$D$11):INDIRECT("I"&amp;$E$11)),IF(F972=5,AVERAGE(INDIRECT("I"&amp;$D$12):INDIRECT("I"&amp;$E$12)),IF(F972=6,AVERAGE(INDIRECT("I"&amp;$D$13):INDIRECT("I"&amp;$E$13))," "))))))</f>
        <v xml:space="preserve"> </v>
      </c>
      <c r="K972" s="242" t="str">
        <f t="shared" si="82"/>
        <v xml:space="preserve"> </v>
      </c>
      <c r="L972" s="242" t="str">
        <f t="shared" si="83"/>
        <v xml:space="preserve"> </v>
      </c>
      <c r="M972" s="242" t="str">
        <f t="shared" si="84"/>
        <v xml:space="preserve"> </v>
      </c>
    </row>
    <row r="973" spans="6:13" x14ac:dyDescent="0.2">
      <c r="F973" s="216" t="str">
        <f t="shared" si="80"/>
        <v xml:space="preserve"> </v>
      </c>
      <c r="G973" s="50"/>
      <c r="H973" s="242" t="str">
        <f ca="1">IF(F973=1,PERCENTILE(INDIRECT("g"&amp;$D$8):INDIRECT("g"&amp;$E$8),0.5),IF(F973=2,PERCENTILE(INDIRECT("g"&amp;$D$9):INDIRECT("g"&amp;$E$9),0.5),IF(F973=3,PERCENTILE(INDIRECT("g"&amp;$D$10):INDIRECT("g"&amp;$E$10),0.5),IF(F973=4,PERCENTILE(INDIRECT("g"&amp;$D$11):INDIRECT("g"&amp;$E$11),0.5),IF(F973=5,PERCENTILE(INDIRECT("g"&amp;$D$12):INDIRECT("g"&amp;$E$12),0.5),IF(F973=6,PERCENTILE(INDIRECT("g"&amp;$D$13):INDIRECT("g"&amp;$E$13),0.5)," "))))))</f>
        <v xml:space="preserve"> </v>
      </c>
      <c r="I973" s="242" t="str">
        <f t="shared" si="81"/>
        <v xml:space="preserve"> </v>
      </c>
      <c r="J973" s="242" t="str">
        <f ca="1">IF(F973=1,AVERAGE(INDIRECT("I"&amp;$D$8):INDIRECT("I"&amp;$E$8)),IF(F973=2,AVERAGE(INDIRECT("I"&amp;$D$9):INDIRECT("I"&amp;$E$9)),IF(F973=3,AVERAGE(INDIRECT("I"&amp;$D$10):INDIRECT("I"&amp;$E$10)),IF(F973=4,AVERAGE(INDIRECT("I"&amp;$D$11):INDIRECT("I"&amp;$E$11)),IF(F973=5,AVERAGE(INDIRECT("I"&amp;$D$12):INDIRECT("I"&amp;$E$12)),IF(F973=6,AVERAGE(INDIRECT("I"&amp;$D$13):INDIRECT("I"&amp;$E$13))," "))))))</f>
        <v xml:space="preserve"> </v>
      </c>
      <c r="K973" s="242" t="str">
        <f t="shared" si="82"/>
        <v xml:space="preserve"> </v>
      </c>
      <c r="L973" s="242" t="str">
        <f t="shared" si="83"/>
        <v xml:space="preserve"> </v>
      </c>
      <c r="M973" s="242" t="str">
        <f t="shared" si="84"/>
        <v xml:space="preserve"> </v>
      </c>
    </row>
    <row r="974" spans="6:13" x14ac:dyDescent="0.2">
      <c r="F974" s="216" t="str">
        <f t="shared" si="80"/>
        <v xml:space="preserve"> </v>
      </c>
      <c r="G974" s="50"/>
      <c r="H974" s="242" t="str">
        <f ca="1">IF(F974=1,PERCENTILE(INDIRECT("g"&amp;$D$8):INDIRECT("g"&amp;$E$8),0.5),IF(F974=2,PERCENTILE(INDIRECT("g"&amp;$D$9):INDIRECT("g"&amp;$E$9),0.5),IF(F974=3,PERCENTILE(INDIRECT("g"&amp;$D$10):INDIRECT("g"&amp;$E$10),0.5),IF(F974=4,PERCENTILE(INDIRECT("g"&amp;$D$11):INDIRECT("g"&amp;$E$11),0.5),IF(F974=5,PERCENTILE(INDIRECT("g"&amp;$D$12):INDIRECT("g"&amp;$E$12),0.5),IF(F974=6,PERCENTILE(INDIRECT("g"&amp;$D$13):INDIRECT("g"&amp;$E$13),0.5)," "))))))</f>
        <v xml:space="preserve"> </v>
      </c>
      <c r="I974" s="242" t="str">
        <f t="shared" si="81"/>
        <v xml:space="preserve"> </v>
      </c>
      <c r="J974" s="242" t="str">
        <f ca="1">IF(F974=1,AVERAGE(INDIRECT("I"&amp;$D$8):INDIRECT("I"&amp;$E$8)),IF(F974=2,AVERAGE(INDIRECT("I"&amp;$D$9):INDIRECT("I"&amp;$E$9)),IF(F974=3,AVERAGE(INDIRECT("I"&amp;$D$10):INDIRECT("I"&amp;$E$10)),IF(F974=4,AVERAGE(INDIRECT("I"&amp;$D$11):INDIRECT("I"&amp;$E$11)),IF(F974=5,AVERAGE(INDIRECT("I"&amp;$D$12):INDIRECT("I"&amp;$E$12)),IF(F974=6,AVERAGE(INDIRECT("I"&amp;$D$13):INDIRECT("I"&amp;$E$13))," "))))))</f>
        <v xml:space="preserve"> </v>
      </c>
      <c r="K974" s="242" t="str">
        <f t="shared" si="82"/>
        <v xml:space="preserve"> </v>
      </c>
      <c r="L974" s="242" t="str">
        <f t="shared" si="83"/>
        <v xml:space="preserve"> </v>
      </c>
      <c r="M974" s="242" t="str">
        <f t="shared" si="84"/>
        <v xml:space="preserve"> </v>
      </c>
    </row>
    <row r="975" spans="6:13" x14ac:dyDescent="0.2">
      <c r="F975" s="216" t="str">
        <f t="shared" si="80"/>
        <v xml:space="preserve"> </v>
      </c>
      <c r="G975" s="50"/>
      <c r="H975" s="242" t="str">
        <f ca="1">IF(F975=1,PERCENTILE(INDIRECT("g"&amp;$D$8):INDIRECT("g"&amp;$E$8),0.5),IF(F975=2,PERCENTILE(INDIRECT("g"&amp;$D$9):INDIRECT("g"&amp;$E$9),0.5),IF(F975=3,PERCENTILE(INDIRECT("g"&amp;$D$10):INDIRECT("g"&amp;$E$10),0.5),IF(F975=4,PERCENTILE(INDIRECT("g"&amp;$D$11):INDIRECT("g"&amp;$E$11),0.5),IF(F975=5,PERCENTILE(INDIRECT("g"&amp;$D$12):INDIRECT("g"&amp;$E$12),0.5),IF(F975=6,PERCENTILE(INDIRECT("g"&amp;$D$13):INDIRECT("g"&amp;$E$13),0.5)," "))))))</f>
        <v xml:space="preserve"> </v>
      </c>
      <c r="I975" s="242" t="str">
        <f t="shared" si="81"/>
        <v xml:space="preserve"> </v>
      </c>
      <c r="J975" s="242" t="str">
        <f ca="1">IF(F975=1,AVERAGE(INDIRECT("I"&amp;$D$8):INDIRECT("I"&amp;$E$8)),IF(F975=2,AVERAGE(INDIRECT("I"&amp;$D$9):INDIRECT("I"&amp;$E$9)),IF(F975=3,AVERAGE(INDIRECT("I"&amp;$D$10):INDIRECT("I"&amp;$E$10)),IF(F975=4,AVERAGE(INDIRECT("I"&amp;$D$11):INDIRECT("I"&amp;$E$11)),IF(F975=5,AVERAGE(INDIRECT("I"&amp;$D$12):INDIRECT("I"&amp;$E$12)),IF(F975=6,AVERAGE(INDIRECT("I"&amp;$D$13):INDIRECT("I"&amp;$E$13))," "))))))</f>
        <v xml:space="preserve"> </v>
      </c>
      <c r="K975" s="242" t="str">
        <f t="shared" si="82"/>
        <v xml:space="preserve"> </v>
      </c>
      <c r="L975" s="242" t="str">
        <f t="shared" si="83"/>
        <v xml:space="preserve"> </v>
      </c>
      <c r="M975" s="242" t="str">
        <f t="shared" si="84"/>
        <v xml:space="preserve"> </v>
      </c>
    </row>
    <row r="976" spans="6:13" x14ac:dyDescent="0.2">
      <c r="F976" s="216" t="str">
        <f t="shared" si="80"/>
        <v xml:space="preserve"> </v>
      </c>
      <c r="G976" s="50"/>
      <c r="H976" s="242" t="str">
        <f ca="1">IF(F976=1,PERCENTILE(INDIRECT("g"&amp;$D$8):INDIRECT("g"&amp;$E$8),0.5),IF(F976=2,PERCENTILE(INDIRECT("g"&amp;$D$9):INDIRECT("g"&amp;$E$9),0.5),IF(F976=3,PERCENTILE(INDIRECT("g"&amp;$D$10):INDIRECT("g"&amp;$E$10),0.5),IF(F976=4,PERCENTILE(INDIRECT("g"&amp;$D$11):INDIRECT("g"&amp;$E$11),0.5),IF(F976=5,PERCENTILE(INDIRECT("g"&amp;$D$12):INDIRECT("g"&amp;$E$12),0.5),IF(F976=6,PERCENTILE(INDIRECT("g"&amp;$D$13):INDIRECT("g"&amp;$E$13),0.5)," "))))))</f>
        <v xml:space="preserve"> </v>
      </c>
      <c r="I976" s="242" t="str">
        <f t="shared" si="81"/>
        <v xml:space="preserve"> </v>
      </c>
      <c r="J976" s="242" t="str">
        <f ca="1">IF(F976=1,AVERAGE(INDIRECT("I"&amp;$D$8):INDIRECT("I"&amp;$E$8)),IF(F976=2,AVERAGE(INDIRECT("I"&amp;$D$9):INDIRECT("I"&amp;$E$9)),IF(F976=3,AVERAGE(INDIRECT("I"&amp;$D$10):INDIRECT("I"&amp;$E$10)),IF(F976=4,AVERAGE(INDIRECT("I"&amp;$D$11):INDIRECT("I"&amp;$E$11)),IF(F976=5,AVERAGE(INDIRECT("I"&amp;$D$12):INDIRECT("I"&amp;$E$12)),IF(F976=6,AVERAGE(INDIRECT("I"&amp;$D$13):INDIRECT("I"&amp;$E$13))," "))))))</f>
        <v xml:space="preserve"> </v>
      </c>
      <c r="K976" s="242" t="str">
        <f t="shared" si="82"/>
        <v xml:space="preserve"> </v>
      </c>
      <c r="L976" s="242" t="str">
        <f t="shared" si="83"/>
        <v xml:space="preserve"> </v>
      </c>
      <c r="M976" s="242" t="str">
        <f t="shared" si="84"/>
        <v xml:space="preserve"> </v>
      </c>
    </row>
    <row r="977" spans="6:13" x14ac:dyDescent="0.2">
      <c r="F977" s="216" t="str">
        <f t="shared" si="80"/>
        <v xml:space="preserve"> </v>
      </c>
      <c r="G977" s="50"/>
      <c r="H977" s="242" t="str">
        <f ca="1">IF(F977=1,PERCENTILE(INDIRECT("g"&amp;$D$8):INDIRECT("g"&amp;$E$8),0.5),IF(F977=2,PERCENTILE(INDIRECT("g"&amp;$D$9):INDIRECT("g"&amp;$E$9),0.5),IF(F977=3,PERCENTILE(INDIRECT("g"&amp;$D$10):INDIRECT("g"&amp;$E$10),0.5),IF(F977=4,PERCENTILE(INDIRECT("g"&amp;$D$11):INDIRECT("g"&amp;$E$11),0.5),IF(F977=5,PERCENTILE(INDIRECT("g"&amp;$D$12):INDIRECT("g"&amp;$E$12),0.5),IF(F977=6,PERCENTILE(INDIRECT("g"&amp;$D$13):INDIRECT("g"&amp;$E$13),0.5)," "))))))</f>
        <v xml:space="preserve"> </v>
      </c>
      <c r="I977" s="242" t="str">
        <f t="shared" si="81"/>
        <v xml:space="preserve"> </v>
      </c>
      <c r="J977" s="242" t="str">
        <f ca="1">IF(F977=1,AVERAGE(INDIRECT("I"&amp;$D$8):INDIRECT("I"&amp;$E$8)),IF(F977=2,AVERAGE(INDIRECT("I"&amp;$D$9):INDIRECT("I"&amp;$E$9)),IF(F977=3,AVERAGE(INDIRECT("I"&amp;$D$10):INDIRECT("I"&amp;$E$10)),IF(F977=4,AVERAGE(INDIRECT("I"&amp;$D$11):INDIRECT("I"&amp;$E$11)),IF(F977=5,AVERAGE(INDIRECT("I"&amp;$D$12):INDIRECT("I"&amp;$E$12)),IF(F977=6,AVERAGE(INDIRECT("I"&amp;$D$13):INDIRECT("I"&amp;$E$13))," "))))))</f>
        <v xml:space="preserve"> </v>
      </c>
      <c r="K977" s="242" t="str">
        <f t="shared" si="82"/>
        <v xml:space="preserve"> </v>
      </c>
      <c r="L977" s="242" t="str">
        <f t="shared" si="83"/>
        <v xml:space="preserve"> </v>
      </c>
      <c r="M977" s="242" t="str">
        <f t="shared" si="84"/>
        <v xml:space="preserve"> </v>
      </c>
    </row>
    <row r="978" spans="6:13" x14ac:dyDescent="0.2">
      <c r="F978" s="216" t="str">
        <f t="shared" si="80"/>
        <v xml:space="preserve"> </v>
      </c>
      <c r="G978" s="50"/>
      <c r="H978" s="242" t="str">
        <f ca="1">IF(F978=1,PERCENTILE(INDIRECT("g"&amp;$D$8):INDIRECT("g"&amp;$E$8),0.5),IF(F978=2,PERCENTILE(INDIRECT("g"&amp;$D$9):INDIRECT("g"&amp;$E$9),0.5),IF(F978=3,PERCENTILE(INDIRECT("g"&amp;$D$10):INDIRECT("g"&amp;$E$10),0.5),IF(F978=4,PERCENTILE(INDIRECT("g"&amp;$D$11):INDIRECT("g"&amp;$E$11),0.5),IF(F978=5,PERCENTILE(INDIRECT("g"&amp;$D$12):INDIRECT("g"&amp;$E$12),0.5),IF(F978=6,PERCENTILE(INDIRECT("g"&amp;$D$13):INDIRECT("g"&amp;$E$13),0.5)," "))))))</f>
        <v xml:space="preserve"> </v>
      </c>
      <c r="I978" s="242" t="str">
        <f t="shared" si="81"/>
        <v xml:space="preserve"> </v>
      </c>
      <c r="J978" s="242" t="str">
        <f ca="1">IF(F978=1,AVERAGE(INDIRECT("I"&amp;$D$8):INDIRECT("I"&amp;$E$8)),IF(F978=2,AVERAGE(INDIRECT("I"&amp;$D$9):INDIRECT("I"&amp;$E$9)),IF(F978=3,AVERAGE(INDIRECT("I"&amp;$D$10):INDIRECT("I"&amp;$E$10)),IF(F978=4,AVERAGE(INDIRECT("I"&amp;$D$11):INDIRECT("I"&amp;$E$11)),IF(F978=5,AVERAGE(INDIRECT("I"&amp;$D$12):INDIRECT("I"&amp;$E$12)),IF(F978=6,AVERAGE(INDIRECT("I"&amp;$D$13):INDIRECT("I"&amp;$E$13))," "))))))</f>
        <v xml:space="preserve"> </v>
      </c>
      <c r="K978" s="242" t="str">
        <f t="shared" si="82"/>
        <v xml:space="preserve"> </v>
      </c>
      <c r="L978" s="242" t="str">
        <f t="shared" si="83"/>
        <v xml:space="preserve"> </v>
      </c>
      <c r="M978" s="242" t="str">
        <f t="shared" si="84"/>
        <v xml:space="preserve"> </v>
      </c>
    </row>
    <row r="979" spans="6:13" x14ac:dyDescent="0.2">
      <c r="F979" s="216" t="str">
        <f t="shared" si="80"/>
        <v xml:space="preserve"> </v>
      </c>
      <c r="G979" s="50"/>
      <c r="H979" s="242" t="str">
        <f ca="1">IF(F979=1,PERCENTILE(INDIRECT("g"&amp;$D$8):INDIRECT("g"&amp;$E$8),0.5),IF(F979=2,PERCENTILE(INDIRECT("g"&amp;$D$9):INDIRECT("g"&amp;$E$9),0.5),IF(F979=3,PERCENTILE(INDIRECT("g"&amp;$D$10):INDIRECT("g"&amp;$E$10),0.5),IF(F979=4,PERCENTILE(INDIRECT("g"&amp;$D$11):INDIRECT("g"&amp;$E$11),0.5),IF(F979=5,PERCENTILE(INDIRECT("g"&amp;$D$12):INDIRECT("g"&amp;$E$12),0.5),IF(F979=6,PERCENTILE(INDIRECT("g"&amp;$D$13):INDIRECT("g"&amp;$E$13),0.5)," "))))))</f>
        <v xml:space="preserve"> </v>
      </c>
      <c r="I979" s="242" t="str">
        <f t="shared" si="81"/>
        <v xml:space="preserve"> </v>
      </c>
      <c r="J979" s="242" t="str">
        <f ca="1">IF(F979=1,AVERAGE(INDIRECT("I"&amp;$D$8):INDIRECT("I"&amp;$E$8)),IF(F979=2,AVERAGE(INDIRECT("I"&amp;$D$9):INDIRECT("I"&amp;$E$9)),IF(F979=3,AVERAGE(INDIRECT("I"&amp;$D$10):INDIRECT("I"&amp;$E$10)),IF(F979=4,AVERAGE(INDIRECT("I"&amp;$D$11):INDIRECT("I"&amp;$E$11)),IF(F979=5,AVERAGE(INDIRECT("I"&amp;$D$12):INDIRECT("I"&amp;$E$12)),IF(F979=6,AVERAGE(INDIRECT("I"&amp;$D$13):INDIRECT("I"&amp;$E$13))," "))))))</f>
        <v xml:space="preserve"> </v>
      </c>
      <c r="K979" s="242" t="str">
        <f t="shared" si="82"/>
        <v xml:space="preserve"> </v>
      </c>
      <c r="L979" s="242" t="str">
        <f t="shared" si="83"/>
        <v xml:space="preserve"> </v>
      </c>
      <c r="M979" s="242" t="str">
        <f t="shared" si="84"/>
        <v xml:space="preserve"> </v>
      </c>
    </row>
    <row r="980" spans="6:13" x14ac:dyDescent="0.2">
      <c r="F980" s="216" t="str">
        <f t="shared" si="80"/>
        <v xml:space="preserve"> </v>
      </c>
      <c r="G980" s="50"/>
      <c r="H980" s="242" t="str">
        <f ca="1">IF(F980=1,PERCENTILE(INDIRECT("g"&amp;$D$8):INDIRECT("g"&amp;$E$8),0.5),IF(F980=2,PERCENTILE(INDIRECT("g"&amp;$D$9):INDIRECT("g"&amp;$E$9),0.5),IF(F980=3,PERCENTILE(INDIRECT("g"&amp;$D$10):INDIRECT("g"&amp;$E$10),0.5),IF(F980=4,PERCENTILE(INDIRECT("g"&amp;$D$11):INDIRECT("g"&amp;$E$11),0.5),IF(F980=5,PERCENTILE(INDIRECT("g"&amp;$D$12):INDIRECT("g"&amp;$E$12),0.5),IF(F980=6,PERCENTILE(INDIRECT("g"&amp;$D$13):INDIRECT("g"&amp;$E$13),0.5)," "))))))</f>
        <v xml:space="preserve"> </v>
      </c>
      <c r="I980" s="242" t="str">
        <f t="shared" si="81"/>
        <v xml:space="preserve"> </v>
      </c>
      <c r="J980" s="242" t="str">
        <f ca="1">IF(F980=1,AVERAGE(INDIRECT("I"&amp;$D$8):INDIRECT("I"&amp;$E$8)),IF(F980=2,AVERAGE(INDIRECT("I"&amp;$D$9):INDIRECT("I"&amp;$E$9)),IF(F980=3,AVERAGE(INDIRECT("I"&amp;$D$10):INDIRECT("I"&amp;$E$10)),IF(F980=4,AVERAGE(INDIRECT("I"&amp;$D$11):INDIRECT("I"&amp;$E$11)),IF(F980=5,AVERAGE(INDIRECT("I"&amp;$D$12):INDIRECT("I"&amp;$E$12)),IF(F980=6,AVERAGE(INDIRECT("I"&amp;$D$13):INDIRECT("I"&amp;$E$13))," "))))))</f>
        <v xml:space="preserve"> </v>
      </c>
      <c r="K980" s="242" t="str">
        <f t="shared" si="82"/>
        <v xml:space="preserve"> </v>
      </c>
      <c r="L980" s="242" t="str">
        <f t="shared" si="83"/>
        <v xml:space="preserve"> </v>
      </c>
      <c r="M980" s="242" t="str">
        <f t="shared" si="84"/>
        <v xml:space="preserve"> </v>
      </c>
    </row>
    <row r="981" spans="6:13" x14ac:dyDescent="0.2">
      <c r="F981" s="216" t="str">
        <f t="shared" si="80"/>
        <v xml:space="preserve"> </v>
      </c>
      <c r="G981" s="50"/>
      <c r="H981" s="242" t="str">
        <f ca="1">IF(F981=1,PERCENTILE(INDIRECT("g"&amp;$D$8):INDIRECT("g"&amp;$E$8),0.5),IF(F981=2,PERCENTILE(INDIRECT("g"&amp;$D$9):INDIRECT("g"&amp;$E$9),0.5),IF(F981=3,PERCENTILE(INDIRECT("g"&amp;$D$10):INDIRECT("g"&amp;$E$10),0.5),IF(F981=4,PERCENTILE(INDIRECT("g"&amp;$D$11):INDIRECT("g"&amp;$E$11),0.5),IF(F981=5,PERCENTILE(INDIRECT("g"&amp;$D$12):INDIRECT("g"&amp;$E$12),0.5),IF(F981=6,PERCENTILE(INDIRECT("g"&amp;$D$13):INDIRECT("g"&amp;$E$13),0.5)," "))))))</f>
        <v xml:space="preserve"> </v>
      </c>
      <c r="I981" s="242" t="str">
        <f t="shared" si="81"/>
        <v xml:space="preserve"> </v>
      </c>
      <c r="J981" s="242" t="str">
        <f ca="1">IF(F981=1,AVERAGE(INDIRECT("I"&amp;$D$8):INDIRECT("I"&amp;$E$8)),IF(F981=2,AVERAGE(INDIRECT("I"&amp;$D$9):INDIRECT("I"&amp;$E$9)),IF(F981=3,AVERAGE(INDIRECT("I"&amp;$D$10):INDIRECT("I"&amp;$E$10)),IF(F981=4,AVERAGE(INDIRECT("I"&amp;$D$11):INDIRECT("I"&amp;$E$11)),IF(F981=5,AVERAGE(INDIRECT("I"&amp;$D$12):INDIRECT("I"&amp;$E$12)),IF(F981=6,AVERAGE(INDIRECT("I"&amp;$D$13):INDIRECT("I"&amp;$E$13))," "))))))</f>
        <v xml:space="preserve"> </v>
      </c>
      <c r="K981" s="242" t="str">
        <f t="shared" si="82"/>
        <v xml:space="preserve"> </v>
      </c>
      <c r="L981" s="242" t="str">
        <f t="shared" si="83"/>
        <v xml:space="preserve"> </v>
      </c>
      <c r="M981" s="242" t="str">
        <f t="shared" si="84"/>
        <v xml:space="preserve"> </v>
      </c>
    </row>
    <row r="982" spans="6:13" x14ac:dyDescent="0.2">
      <c r="F982" s="216" t="str">
        <f t="shared" si="80"/>
        <v xml:space="preserve"> </v>
      </c>
      <c r="G982" s="50"/>
      <c r="H982" s="242" t="str">
        <f ca="1">IF(F982=1,PERCENTILE(INDIRECT("g"&amp;$D$8):INDIRECT("g"&amp;$E$8),0.5),IF(F982=2,PERCENTILE(INDIRECT("g"&amp;$D$9):INDIRECT("g"&amp;$E$9),0.5),IF(F982=3,PERCENTILE(INDIRECT("g"&amp;$D$10):INDIRECT("g"&amp;$E$10),0.5),IF(F982=4,PERCENTILE(INDIRECT("g"&amp;$D$11):INDIRECT("g"&amp;$E$11),0.5),IF(F982=5,PERCENTILE(INDIRECT("g"&amp;$D$12):INDIRECT("g"&amp;$E$12),0.5),IF(F982=6,PERCENTILE(INDIRECT("g"&amp;$D$13):INDIRECT("g"&amp;$E$13),0.5)," "))))))</f>
        <v xml:space="preserve"> </v>
      </c>
      <c r="I982" s="242" t="str">
        <f t="shared" si="81"/>
        <v xml:space="preserve"> </v>
      </c>
      <c r="J982" s="242" t="str">
        <f ca="1">IF(F982=1,AVERAGE(INDIRECT("I"&amp;$D$8):INDIRECT("I"&amp;$E$8)),IF(F982=2,AVERAGE(INDIRECT("I"&amp;$D$9):INDIRECT("I"&amp;$E$9)),IF(F982=3,AVERAGE(INDIRECT("I"&amp;$D$10):INDIRECT("I"&amp;$E$10)),IF(F982=4,AVERAGE(INDIRECT("I"&amp;$D$11):INDIRECT("I"&amp;$E$11)),IF(F982=5,AVERAGE(INDIRECT("I"&amp;$D$12):INDIRECT("I"&amp;$E$12)),IF(F982=6,AVERAGE(INDIRECT("I"&amp;$D$13):INDIRECT("I"&amp;$E$13))," "))))))</f>
        <v xml:space="preserve"> </v>
      </c>
      <c r="K982" s="242" t="str">
        <f t="shared" si="82"/>
        <v xml:space="preserve"> </v>
      </c>
      <c r="L982" s="242" t="str">
        <f t="shared" si="83"/>
        <v xml:space="preserve"> </v>
      </c>
      <c r="M982" s="242" t="str">
        <f t="shared" si="84"/>
        <v xml:space="preserve"> </v>
      </c>
    </row>
    <row r="983" spans="6:13" x14ac:dyDescent="0.2">
      <c r="F983" s="216" t="str">
        <f t="shared" si="80"/>
        <v xml:space="preserve"> </v>
      </c>
      <c r="G983" s="50"/>
      <c r="H983" s="242" t="str">
        <f ca="1">IF(F983=1,PERCENTILE(INDIRECT("g"&amp;$D$8):INDIRECT("g"&amp;$E$8),0.5),IF(F983=2,PERCENTILE(INDIRECT("g"&amp;$D$9):INDIRECT("g"&amp;$E$9),0.5),IF(F983=3,PERCENTILE(INDIRECT("g"&amp;$D$10):INDIRECT("g"&amp;$E$10),0.5),IF(F983=4,PERCENTILE(INDIRECT("g"&amp;$D$11):INDIRECT("g"&amp;$E$11),0.5),IF(F983=5,PERCENTILE(INDIRECT("g"&amp;$D$12):INDIRECT("g"&amp;$E$12),0.5),IF(F983=6,PERCENTILE(INDIRECT("g"&amp;$D$13):INDIRECT("g"&amp;$E$13),0.5)," "))))))</f>
        <v xml:space="preserve"> </v>
      </c>
      <c r="I983" s="242" t="str">
        <f t="shared" si="81"/>
        <v xml:space="preserve"> </v>
      </c>
      <c r="J983" s="242" t="str">
        <f ca="1">IF(F983=1,AVERAGE(INDIRECT("I"&amp;$D$8):INDIRECT("I"&amp;$E$8)),IF(F983=2,AVERAGE(INDIRECT("I"&amp;$D$9):INDIRECT("I"&amp;$E$9)),IF(F983=3,AVERAGE(INDIRECT("I"&amp;$D$10):INDIRECT("I"&amp;$E$10)),IF(F983=4,AVERAGE(INDIRECT("I"&amp;$D$11):INDIRECT("I"&amp;$E$11)),IF(F983=5,AVERAGE(INDIRECT("I"&amp;$D$12):INDIRECT("I"&amp;$E$12)),IF(F983=6,AVERAGE(INDIRECT("I"&amp;$D$13):INDIRECT("I"&amp;$E$13))," "))))))</f>
        <v xml:space="preserve"> </v>
      </c>
      <c r="K983" s="242" t="str">
        <f t="shared" si="82"/>
        <v xml:space="preserve"> </v>
      </c>
      <c r="L983" s="242" t="str">
        <f t="shared" si="83"/>
        <v xml:space="preserve"> </v>
      </c>
      <c r="M983" s="242" t="str">
        <f t="shared" si="84"/>
        <v xml:space="preserve"> </v>
      </c>
    </row>
    <row r="984" spans="6:13" x14ac:dyDescent="0.2">
      <c r="F984" s="216" t="str">
        <f t="shared" si="80"/>
        <v xml:space="preserve"> </v>
      </c>
      <c r="G984" s="50"/>
      <c r="H984" s="242" t="str">
        <f ca="1">IF(F984=1,PERCENTILE(INDIRECT("g"&amp;$D$8):INDIRECT("g"&amp;$E$8),0.5),IF(F984=2,PERCENTILE(INDIRECT("g"&amp;$D$9):INDIRECT("g"&amp;$E$9),0.5),IF(F984=3,PERCENTILE(INDIRECT("g"&amp;$D$10):INDIRECT("g"&amp;$E$10),0.5),IF(F984=4,PERCENTILE(INDIRECT("g"&amp;$D$11):INDIRECT("g"&amp;$E$11),0.5),IF(F984=5,PERCENTILE(INDIRECT("g"&amp;$D$12):INDIRECT("g"&amp;$E$12),0.5),IF(F984=6,PERCENTILE(INDIRECT("g"&amp;$D$13):INDIRECT("g"&amp;$E$13),0.5)," "))))))</f>
        <v xml:space="preserve"> </v>
      </c>
      <c r="I984" s="242" t="str">
        <f t="shared" si="81"/>
        <v xml:space="preserve"> </v>
      </c>
      <c r="J984" s="242" t="str">
        <f ca="1">IF(F984=1,AVERAGE(INDIRECT("I"&amp;$D$8):INDIRECT("I"&amp;$E$8)),IF(F984=2,AVERAGE(INDIRECT("I"&amp;$D$9):INDIRECT("I"&amp;$E$9)),IF(F984=3,AVERAGE(INDIRECT("I"&amp;$D$10):INDIRECT("I"&amp;$E$10)),IF(F984=4,AVERAGE(INDIRECT("I"&amp;$D$11):INDIRECT("I"&amp;$E$11)),IF(F984=5,AVERAGE(INDIRECT("I"&amp;$D$12):INDIRECT("I"&amp;$E$12)),IF(F984=6,AVERAGE(INDIRECT("I"&amp;$D$13):INDIRECT("I"&amp;$E$13))," "))))))</f>
        <v xml:space="preserve"> </v>
      </c>
      <c r="K984" s="242" t="str">
        <f t="shared" si="82"/>
        <v xml:space="preserve"> </v>
      </c>
      <c r="L984" s="242" t="str">
        <f t="shared" si="83"/>
        <v xml:space="preserve"> </v>
      </c>
      <c r="M984" s="242" t="str">
        <f t="shared" si="84"/>
        <v xml:space="preserve"> </v>
      </c>
    </row>
    <row r="985" spans="6:13" x14ac:dyDescent="0.2">
      <c r="F985" s="216" t="str">
        <f t="shared" si="80"/>
        <v xml:space="preserve"> </v>
      </c>
      <c r="G985" s="50"/>
      <c r="H985" s="242" t="str">
        <f ca="1">IF(F985=1,PERCENTILE(INDIRECT("g"&amp;$D$8):INDIRECT("g"&amp;$E$8),0.5),IF(F985=2,PERCENTILE(INDIRECT("g"&amp;$D$9):INDIRECT("g"&amp;$E$9),0.5),IF(F985=3,PERCENTILE(INDIRECT("g"&amp;$D$10):INDIRECT("g"&amp;$E$10),0.5),IF(F985=4,PERCENTILE(INDIRECT("g"&amp;$D$11):INDIRECT("g"&amp;$E$11),0.5),IF(F985=5,PERCENTILE(INDIRECT("g"&amp;$D$12):INDIRECT("g"&amp;$E$12),0.5),IF(F985=6,PERCENTILE(INDIRECT("g"&amp;$D$13):INDIRECT("g"&amp;$E$13),0.5)," "))))))</f>
        <v xml:space="preserve"> </v>
      </c>
      <c r="I985" s="242" t="str">
        <f t="shared" si="81"/>
        <v xml:space="preserve"> </v>
      </c>
      <c r="J985" s="242" t="str">
        <f ca="1">IF(F985=1,AVERAGE(INDIRECT("I"&amp;$D$8):INDIRECT("I"&amp;$E$8)),IF(F985=2,AVERAGE(INDIRECT("I"&amp;$D$9):INDIRECT("I"&amp;$E$9)),IF(F985=3,AVERAGE(INDIRECT("I"&amp;$D$10):INDIRECT("I"&amp;$E$10)),IF(F985=4,AVERAGE(INDIRECT("I"&amp;$D$11):INDIRECT("I"&amp;$E$11)),IF(F985=5,AVERAGE(INDIRECT("I"&amp;$D$12):INDIRECT("I"&amp;$E$12)),IF(F985=6,AVERAGE(INDIRECT("I"&amp;$D$13):INDIRECT("I"&amp;$E$13))," "))))))</f>
        <v xml:space="preserve"> </v>
      </c>
      <c r="K985" s="242" t="str">
        <f t="shared" si="82"/>
        <v xml:space="preserve"> </v>
      </c>
      <c r="L985" s="242" t="str">
        <f t="shared" si="83"/>
        <v xml:space="preserve"> </v>
      </c>
      <c r="M985" s="242" t="str">
        <f t="shared" si="84"/>
        <v xml:space="preserve"> </v>
      </c>
    </row>
    <row r="986" spans="6:13" x14ac:dyDescent="0.2">
      <c r="F986" s="216" t="str">
        <f t="shared" si="80"/>
        <v xml:space="preserve"> </v>
      </c>
      <c r="G986" s="50"/>
      <c r="H986" s="242" t="str">
        <f ca="1">IF(F986=1,PERCENTILE(INDIRECT("g"&amp;$D$8):INDIRECT("g"&amp;$E$8),0.5),IF(F986=2,PERCENTILE(INDIRECT("g"&amp;$D$9):INDIRECT("g"&amp;$E$9),0.5),IF(F986=3,PERCENTILE(INDIRECT("g"&amp;$D$10):INDIRECT("g"&amp;$E$10),0.5),IF(F986=4,PERCENTILE(INDIRECT("g"&amp;$D$11):INDIRECT("g"&amp;$E$11),0.5),IF(F986=5,PERCENTILE(INDIRECT("g"&amp;$D$12):INDIRECT("g"&amp;$E$12),0.5),IF(F986=6,PERCENTILE(INDIRECT("g"&amp;$D$13):INDIRECT("g"&amp;$E$13),0.5)," "))))))</f>
        <v xml:space="preserve"> </v>
      </c>
      <c r="I986" s="242" t="str">
        <f t="shared" si="81"/>
        <v xml:space="preserve"> </v>
      </c>
      <c r="J986" s="242" t="str">
        <f ca="1">IF(F986=1,AVERAGE(INDIRECT("I"&amp;$D$8):INDIRECT("I"&amp;$E$8)),IF(F986=2,AVERAGE(INDIRECT("I"&amp;$D$9):INDIRECT("I"&amp;$E$9)),IF(F986=3,AVERAGE(INDIRECT("I"&amp;$D$10):INDIRECT("I"&amp;$E$10)),IF(F986=4,AVERAGE(INDIRECT("I"&amp;$D$11):INDIRECT("I"&amp;$E$11)),IF(F986=5,AVERAGE(INDIRECT("I"&amp;$D$12):INDIRECT("I"&amp;$E$12)),IF(F986=6,AVERAGE(INDIRECT("I"&amp;$D$13):INDIRECT("I"&amp;$E$13))," "))))))</f>
        <v xml:space="preserve"> </v>
      </c>
      <c r="K986" s="242" t="str">
        <f t="shared" si="82"/>
        <v xml:space="preserve"> </v>
      </c>
      <c r="L986" s="242" t="str">
        <f t="shared" si="83"/>
        <v xml:space="preserve"> </v>
      </c>
      <c r="M986" s="242" t="str">
        <f t="shared" si="84"/>
        <v xml:space="preserve"> </v>
      </c>
    </row>
    <row r="987" spans="6:13" x14ac:dyDescent="0.2">
      <c r="F987" s="216" t="str">
        <f t="shared" si="80"/>
        <v xml:space="preserve"> </v>
      </c>
      <c r="G987" s="50"/>
      <c r="H987" s="242" t="str">
        <f ca="1">IF(F987=1,PERCENTILE(INDIRECT("g"&amp;$D$8):INDIRECT("g"&amp;$E$8),0.5),IF(F987=2,PERCENTILE(INDIRECT("g"&amp;$D$9):INDIRECT("g"&amp;$E$9),0.5),IF(F987=3,PERCENTILE(INDIRECT("g"&amp;$D$10):INDIRECT("g"&amp;$E$10),0.5),IF(F987=4,PERCENTILE(INDIRECT("g"&amp;$D$11):INDIRECT("g"&amp;$E$11),0.5),IF(F987=5,PERCENTILE(INDIRECT("g"&amp;$D$12):INDIRECT("g"&amp;$E$12),0.5),IF(F987=6,PERCENTILE(INDIRECT("g"&amp;$D$13):INDIRECT("g"&amp;$E$13),0.5)," "))))))</f>
        <v xml:space="preserve"> </v>
      </c>
      <c r="I987" s="242" t="str">
        <f t="shared" si="81"/>
        <v xml:space="preserve"> </v>
      </c>
      <c r="J987" s="242" t="str">
        <f ca="1">IF(F987=1,AVERAGE(INDIRECT("I"&amp;$D$8):INDIRECT("I"&amp;$E$8)),IF(F987=2,AVERAGE(INDIRECT("I"&amp;$D$9):INDIRECT("I"&amp;$E$9)),IF(F987=3,AVERAGE(INDIRECT("I"&amp;$D$10):INDIRECT("I"&amp;$E$10)),IF(F987=4,AVERAGE(INDIRECT("I"&amp;$D$11):INDIRECT("I"&amp;$E$11)),IF(F987=5,AVERAGE(INDIRECT("I"&amp;$D$12):INDIRECT("I"&amp;$E$12)),IF(F987=6,AVERAGE(INDIRECT("I"&amp;$D$13):INDIRECT("I"&amp;$E$13))," "))))))</f>
        <v xml:space="preserve"> </v>
      </c>
      <c r="K987" s="242" t="str">
        <f t="shared" si="82"/>
        <v xml:space="preserve"> </v>
      </c>
      <c r="L987" s="242" t="str">
        <f t="shared" si="83"/>
        <v xml:space="preserve"> </v>
      </c>
      <c r="M987" s="242" t="str">
        <f t="shared" si="84"/>
        <v xml:space="preserve"> </v>
      </c>
    </row>
    <row r="988" spans="6:13" x14ac:dyDescent="0.2">
      <c r="F988" s="216" t="str">
        <f t="shared" si="80"/>
        <v xml:space="preserve"> </v>
      </c>
      <c r="G988" s="50"/>
      <c r="H988" s="242" t="str">
        <f ca="1">IF(F988=1,PERCENTILE(INDIRECT("g"&amp;$D$8):INDIRECT("g"&amp;$E$8),0.5),IF(F988=2,PERCENTILE(INDIRECT("g"&amp;$D$9):INDIRECT("g"&amp;$E$9),0.5),IF(F988=3,PERCENTILE(INDIRECT("g"&amp;$D$10):INDIRECT("g"&amp;$E$10),0.5),IF(F988=4,PERCENTILE(INDIRECT("g"&amp;$D$11):INDIRECT("g"&amp;$E$11),0.5),IF(F988=5,PERCENTILE(INDIRECT("g"&amp;$D$12):INDIRECT("g"&amp;$E$12),0.5),IF(F988=6,PERCENTILE(INDIRECT("g"&amp;$D$13):INDIRECT("g"&amp;$E$13),0.5)," "))))))</f>
        <v xml:space="preserve"> </v>
      </c>
      <c r="I988" s="242" t="str">
        <f t="shared" si="81"/>
        <v xml:space="preserve"> </v>
      </c>
      <c r="J988" s="242" t="str">
        <f ca="1">IF(F988=1,AVERAGE(INDIRECT("I"&amp;$D$8):INDIRECT("I"&amp;$E$8)),IF(F988=2,AVERAGE(INDIRECT("I"&amp;$D$9):INDIRECT("I"&amp;$E$9)),IF(F988=3,AVERAGE(INDIRECT("I"&amp;$D$10):INDIRECT("I"&amp;$E$10)),IF(F988=4,AVERAGE(INDIRECT("I"&amp;$D$11):INDIRECT("I"&amp;$E$11)),IF(F988=5,AVERAGE(INDIRECT("I"&amp;$D$12):INDIRECT("I"&amp;$E$12)),IF(F988=6,AVERAGE(INDIRECT("I"&amp;$D$13):INDIRECT("I"&amp;$E$13))," "))))))</f>
        <v xml:space="preserve"> </v>
      </c>
      <c r="K988" s="242" t="str">
        <f t="shared" si="82"/>
        <v xml:space="preserve"> </v>
      </c>
      <c r="L988" s="242" t="str">
        <f t="shared" si="83"/>
        <v xml:space="preserve"> </v>
      </c>
      <c r="M988" s="242" t="str">
        <f t="shared" si="84"/>
        <v xml:space="preserve"> </v>
      </c>
    </row>
    <row r="989" spans="6:13" x14ac:dyDescent="0.2">
      <c r="F989" s="216" t="str">
        <f t="shared" si="80"/>
        <v xml:space="preserve"> </v>
      </c>
      <c r="G989" s="50"/>
      <c r="H989" s="242" t="str">
        <f ca="1">IF(F989=1,PERCENTILE(INDIRECT("g"&amp;$D$8):INDIRECT("g"&amp;$E$8),0.5),IF(F989=2,PERCENTILE(INDIRECT("g"&amp;$D$9):INDIRECT("g"&amp;$E$9),0.5),IF(F989=3,PERCENTILE(INDIRECT("g"&amp;$D$10):INDIRECT("g"&amp;$E$10),0.5),IF(F989=4,PERCENTILE(INDIRECT("g"&amp;$D$11):INDIRECT("g"&amp;$E$11),0.5),IF(F989=5,PERCENTILE(INDIRECT("g"&amp;$D$12):INDIRECT("g"&amp;$E$12),0.5),IF(F989=6,PERCENTILE(INDIRECT("g"&amp;$D$13):INDIRECT("g"&amp;$E$13),0.5)," "))))))</f>
        <v xml:space="preserve"> </v>
      </c>
      <c r="I989" s="242" t="str">
        <f t="shared" si="81"/>
        <v xml:space="preserve"> </v>
      </c>
      <c r="J989" s="242" t="str">
        <f ca="1">IF(F989=1,AVERAGE(INDIRECT("I"&amp;$D$8):INDIRECT("I"&amp;$E$8)),IF(F989=2,AVERAGE(INDIRECT("I"&amp;$D$9):INDIRECT("I"&amp;$E$9)),IF(F989=3,AVERAGE(INDIRECT("I"&amp;$D$10):INDIRECT("I"&amp;$E$10)),IF(F989=4,AVERAGE(INDIRECT("I"&amp;$D$11):INDIRECT("I"&amp;$E$11)),IF(F989=5,AVERAGE(INDIRECT("I"&amp;$D$12):INDIRECT("I"&amp;$E$12)),IF(F989=6,AVERAGE(INDIRECT("I"&amp;$D$13):INDIRECT("I"&amp;$E$13))," "))))))</f>
        <v xml:space="preserve"> </v>
      </c>
      <c r="K989" s="242" t="str">
        <f t="shared" si="82"/>
        <v xml:space="preserve"> </v>
      </c>
      <c r="L989" s="242" t="str">
        <f t="shared" si="83"/>
        <v xml:space="preserve"> </v>
      </c>
      <c r="M989" s="242" t="str">
        <f t="shared" si="84"/>
        <v xml:space="preserve"> </v>
      </c>
    </row>
    <row r="990" spans="6:13" x14ac:dyDescent="0.2">
      <c r="F990" s="216" t="str">
        <f t="shared" si="80"/>
        <v xml:space="preserve"> </v>
      </c>
      <c r="G990" s="50"/>
      <c r="H990" s="242" t="str">
        <f ca="1">IF(F990=1,PERCENTILE(INDIRECT("g"&amp;$D$8):INDIRECT("g"&amp;$E$8),0.5),IF(F990=2,PERCENTILE(INDIRECT("g"&amp;$D$9):INDIRECT("g"&amp;$E$9),0.5),IF(F990=3,PERCENTILE(INDIRECT("g"&amp;$D$10):INDIRECT("g"&amp;$E$10),0.5),IF(F990=4,PERCENTILE(INDIRECT("g"&amp;$D$11):INDIRECT("g"&amp;$E$11),0.5),IF(F990=5,PERCENTILE(INDIRECT("g"&amp;$D$12):INDIRECT("g"&amp;$E$12),0.5),IF(F990=6,PERCENTILE(INDIRECT("g"&amp;$D$13):INDIRECT("g"&amp;$E$13),0.5)," "))))))</f>
        <v xml:space="preserve"> </v>
      </c>
      <c r="I990" s="242" t="str">
        <f t="shared" si="81"/>
        <v xml:space="preserve"> </v>
      </c>
      <c r="J990" s="242" t="str">
        <f ca="1">IF(F990=1,AVERAGE(INDIRECT("I"&amp;$D$8):INDIRECT("I"&amp;$E$8)),IF(F990=2,AVERAGE(INDIRECT("I"&amp;$D$9):INDIRECT("I"&amp;$E$9)),IF(F990=3,AVERAGE(INDIRECT("I"&amp;$D$10):INDIRECT("I"&amp;$E$10)),IF(F990=4,AVERAGE(INDIRECT("I"&amp;$D$11):INDIRECT("I"&amp;$E$11)),IF(F990=5,AVERAGE(INDIRECT("I"&amp;$D$12):INDIRECT("I"&amp;$E$12)),IF(F990=6,AVERAGE(INDIRECT("I"&amp;$D$13):INDIRECT("I"&amp;$E$13))," "))))))</f>
        <v xml:space="preserve"> </v>
      </c>
      <c r="K990" s="242" t="str">
        <f t="shared" si="82"/>
        <v xml:space="preserve"> </v>
      </c>
      <c r="L990" s="242" t="str">
        <f t="shared" si="83"/>
        <v xml:space="preserve"> </v>
      </c>
      <c r="M990" s="242" t="str">
        <f t="shared" si="84"/>
        <v xml:space="preserve"> </v>
      </c>
    </row>
    <row r="991" spans="6:13" x14ac:dyDescent="0.2">
      <c r="F991" s="216" t="str">
        <f t="shared" si="80"/>
        <v xml:space="preserve"> </v>
      </c>
      <c r="G991" s="50"/>
      <c r="H991" s="242" t="str">
        <f ca="1">IF(F991=1,PERCENTILE(INDIRECT("g"&amp;$D$8):INDIRECT("g"&amp;$E$8),0.5),IF(F991=2,PERCENTILE(INDIRECT("g"&amp;$D$9):INDIRECT("g"&amp;$E$9),0.5),IF(F991=3,PERCENTILE(INDIRECT("g"&amp;$D$10):INDIRECT("g"&amp;$E$10),0.5),IF(F991=4,PERCENTILE(INDIRECT("g"&amp;$D$11):INDIRECT("g"&amp;$E$11),0.5),IF(F991=5,PERCENTILE(INDIRECT("g"&amp;$D$12):INDIRECT("g"&amp;$E$12),0.5),IF(F991=6,PERCENTILE(INDIRECT("g"&amp;$D$13):INDIRECT("g"&amp;$E$13),0.5)," "))))))</f>
        <v xml:space="preserve"> </v>
      </c>
      <c r="I991" s="242" t="str">
        <f t="shared" si="81"/>
        <v xml:space="preserve"> </v>
      </c>
      <c r="J991" s="242" t="str">
        <f ca="1">IF(F991=1,AVERAGE(INDIRECT("I"&amp;$D$8):INDIRECT("I"&amp;$E$8)),IF(F991=2,AVERAGE(INDIRECT("I"&amp;$D$9):INDIRECT("I"&amp;$E$9)),IF(F991=3,AVERAGE(INDIRECT("I"&amp;$D$10):INDIRECT("I"&amp;$E$10)),IF(F991=4,AVERAGE(INDIRECT("I"&amp;$D$11):INDIRECT("I"&amp;$E$11)),IF(F991=5,AVERAGE(INDIRECT("I"&amp;$D$12):INDIRECT("I"&amp;$E$12)),IF(F991=6,AVERAGE(INDIRECT("I"&amp;$D$13):INDIRECT("I"&amp;$E$13))," "))))))</f>
        <v xml:space="preserve"> </v>
      </c>
      <c r="K991" s="242" t="str">
        <f t="shared" si="82"/>
        <v xml:space="preserve"> </v>
      </c>
      <c r="L991" s="242" t="str">
        <f t="shared" si="83"/>
        <v xml:space="preserve"> </v>
      </c>
      <c r="M991" s="242" t="str">
        <f t="shared" si="84"/>
        <v xml:space="preserve"> </v>
      </c>
    </row>
    <row r="992" spans="6:13" x14ac:dyDescent="0.2">
      <c r="F992" s="216" t="str">
        <f t="shared" si="80"/>
        <v xml:space="preserve"> </v>
      </c>
      <c r="G992" s="50"/>
      <c r="H992" s="242" t="str">
        <f ca="1">IF(F992=1,PERCENTILE(INDIRECT("g"&amp;$D$8):INDIRECT("g"&amp;$E$8),0.5),IF(F992=2,PERCENTILE(INDIRECT("g"&amp;$D$9):INDIRECT("g"&amp;$E$9),0.5),IF(F992=3,PERCENTILE(INDIRECT("g"&amp;$D$10):INDIRECT("g"&amp;$E$10),0.5),IF(F992=4,PERCENTILE(INDIRECT("g"&amp;$D$11):INDIRECT("g"&amp;$E$11),0.5),IF(F992=5,PERCENTILE(INDIRECT("g"&amp;$D$12):INDIRECT("g"&amp;$E$12),0.5),IF(F992=6,PERCENTILE(INDIRECT("g"&amp;$D$13):INDIRECT("g"&amp;$E$13),0.5)," "))))))</f>
        <v xml:space="preserve"> </v>
      </c>
      <c r="I992" s="242" t="str">
        <f t="shared" si="81"/>
        <v xml:space="preserve"> </v>
      </c>
      <c r="J992" s="242" t="str">
        <f ca="1">IF(F992=1,AVERAGE(INDIRECT("I"&amp;$D$8):INDIRECT("I"&amp;$E$8)),IF(F992=2,AVERAGE(INDIRECT("I"&amp;$D$9):INDIRECT("I"&amp;$E$9)),IF(F992=3,AVERAGE(INDIRECT("I"&amp;$D$10):INDIRECT("I"&amp;$E$10)),IF(F992=4,AVERAGE(INDIRECT("I"&amp;$D$11):INDIRECT("I"&amp;$E$11)),IF(F992=5,AVERAGE(INDIRECT("I"&amp;$D$12):INDIRECT("I"&amp;$E$12)),IF(F992=6,AVERAGE(INDIRECT("I"&amp;$D$13):INDIRECT("I"&amp;$E$13))," "))))))</f>
        <v xml:space="preserve"> </v>
      </c>
      <c r="K992" s="242" t="str">
        <f t="shared" si="82"/>
        <v xml:space="preserve"> </v>
      </c>
      <c r="L992" s="242" t="str">
        <f t="shared" si="83"/>
        <v xml:space="preserve"> </v>
      </c>
      <c r="M992" s="242" t="str">
        <f t="shared" si="84"/>
        <v xml:space="preserve"> </v>
      </c>
    </row>
    <row r="993" spans="6:13" x14ac:dyDescent="0.2">
      <c r="F993" s="216" t="str">
        <f t="shared" si="80"/>
        <v xml:space="preserve"> </v>
      </c>
      <c r="G993" s="50"/>
      <c r="H993" s="242" t="str">
        <f ca="1">IF(F993=1,PERCENTILE(INDIRECT("g"&amp;$D$8):INDIRECT("g"&amp;$E$8),0.5),IF(F993=2,PERCENTILE(INDIRECT("g"&amp;$D$9):INDIRECT("g"&amp;$E$9),0.5),IF(F993=3,PERCENTILE(INDIRECT("g"&amp;$D$10):INDIRECT("g"&amp;$E$10),0.5),IF(F993=4,PERCENTILE(INDIRECT("g"&amp;$D$11):INDIRECT("g"&amp;$E$11),0.5),IF(F993=5,PERCENTILE(INDIRECT("g"&amp;$D$12):INDIRECT("g"&amp;$E$12),0.5),IF(F993=6,PERCENTILE(INDIRECT("g"&amp;$D$13):INDIRECT("g"&amp;$E$13),0.5)," "))))))</f>
        <v xml:space="preserve"> </v>
      </c>
      <c r="I993" s="242" t="str">
        <f t="shared" si="81"/>
        <v xml:space="preserve"> </v>
      </c>
      <c r="J993" s="242" t="str">
        <f ca="1">IF(F993=1,AVERAGE(INDIRECT("I"&amp;$D$8):INDIRECT("I"&amp;$E$8)),IF(F993=2,AVERAGE(INDIRECT("I"&amp;$D$9):INDIRECT("I"&amp;$E$9)),IF(F993=3,AVERAGE(INDIRECT("I"&amp;$D$10):INDIRECT("I"&amp;$E$10)),IF(F993=4,AVERAGE(INDIRECT("I"&amp;$D$11):INDIRECT("I"&amp;$E$11)),IF(F993=5,AVERAGE(INDIRECT("I"&amp;$D$12):INDIRECT("I"&amp;$E$12)),IF(F993=6,AVERAGE(INDIRECT("I"&amp;$D$13):INDIRECT("I"&amp;$E$13))," "))))))</f>
        <v xml:space="preserve"> </v>
      </c>
      <c r="K993" s="242" t="str">
        <f t="shared" si="82"/>
        <v xml:space="preserve"> </v>
      </c>
      <c r="L993" s="242" t="str">
        <f t="shared" si="83"/>
        <v xml:space="preserve"> </v>
      </c>
      <c r="M993" s="242" t="str">
        <f t="shared" si="84"/>
        <v xml:space="preserve"> </v>
      </c>
    </row>
    <row r="994" spans="6:13" x14ac:dyDescent="0.2">
      <c r="F994" s="216" t="str">
        <f t="shared" si="80"/>
        <v xml:space="preserve"> </v>
      </c>
      <c r="G994" s="50"/>
      <c r="H994" s="242" t="str">
        <f ca="1">IF(F994=1,PERCENTILE(INDIRECT("g"&amp;$D$8):INDIRECT("g"&amp;$E$8),0.5),IF(F994=2,PERCENTILE(INDIRECT("g"&amp;$D$9):INDIRECT("g"&amp;$E$9),0.5),IF(F994=3,PERCENTILE(INDIRECT("g"&amp;$D$10):INDIRECT("g"&amp;$E$10),0.5),IF(F994=4,PERCENTILE(INDIRECT("g"&amp;$D$11):INDIRECT("g"&amp;$E$11),0.5),IF(F994=5,PERCENTILE(INDIRECT("g"&amp;$D$12):INDIRECT("g"&amp;$E$12),0.5),IF(F994=6,PERCENTILE(INDIRECT("g"&amp;$D$13):INDIRECT("g"&amp;$E$13),0.5)," "))))))</f>
        <v xml:space="preserve"> </v>
      </c>
      <c r="I994" s="242" t="str">
        <f t="shared" si="81"/>
        <v xml:space="preserve"> </v>
      </c>
      <c r="J994" s="242" t="str">
        <f ca="1">IF(F994=1,AVERAGE(INDIRECT("I"&amp;$D$8):INDIRECT("I"&amp;$E$8)),IF(F994=2,AVERAGE(INDIRECT("I"&amp;$D$9):INDIRECT("I"&amp;$E$9)),IF(F994=3,AVERAGE(INDIRECT("I"&amp;$D$10):INDIRECT("I"&amp;$E$10)),IF(F994=4,AVERAGE(INDIRECT("I"&amp;$D$11):INDIRECT("I"&amp;$E$11)),IF(F994=5,AVERAGE(INDIRECT("I"&amp;$D$12):INDIRECT("I"&amp;$E$12)),IF(F994=6,AVERAGE(INDIRECT("I"&amp;$D$13):INDIRECT("I"&amp;$E$13))," "))))))</f>
        <v xml:space="preserve"> </v>
      </c>
      <c r="K994" s="242" t="str">
        <f t="shared" si="82"/>
        <v xml:space="preserve"> </v>
      </c>
      <c r="L994" s="242" t="str">
        <f t="shared" si="83"/>
        <v xml:space="preserve"> </v>
      </c>
      <c r="M994" s="242" t="str">
        <f t="shared" si="84"/>
        <v xml:space="preserve"> </v>
      </c>
    </row>
    <row r="995" spans="6:13" x14ac:dyDescent="0.2">
      <c r="F995" s="216" t="str">
        <f t="shared" si="80"/>
        <v xml:space="preserve"> </v>
      </c>
      <c r="G995" s="50"/>
      <c r="H995" s="242" t="str">
        <f ca="1">IF(F995=1,PERCENTILE(INDIRECT("g"&amp;$D$8):INDIRECT("g"&amp;$E$8),0.5),IF(F995=2,PERCENTILE(INDIRECT("g"&amp;$D$9):INDIRECT("g"&amp;$E$9),0.5),IF(F995=3,PERCENTILE(INDIRECT("g"&amp;$D$10):INDIRECT("g"&amp;$E$10),0.5),IF(F995=4,PERCENTILE(INDIRECT("g"&amp;$D$11):INDIRECT("g"&amp;$E$11),0.5),IF(F995=5,PERCENTILE(INDIRECT("g"&amp;$D$12):INDIRECT("g"&amp;$E$12),0.5),IF(F995=6,PERCENTILE(INDIRECT("g"&amp;$D$13):INDIRECT("g"&amp;$E$13),0.5)," "))))))</f>
        <v xml:space="preserve"> </v>
      </c>
      <c r="I995" s="242" t="str">
        <f t="shared" si="81"/>
        <v xml:space="preserve"> </v>
      </c>
      <c r="J995" s="242" t="str">
        <f ca="1">IF(F995=1,AVERAGE(INDIRECT("I"&amp;$D$8):INDIRECT("I"&amp;$E$8)),IF(F995=2,AVERAGE(INDIRECT("I"&amp;$D$9):INDIRECT("I"&amp;$E$9)),IF(F995=3,AVERAGE(INDIRECT("I"&amp;$D$10):INDIRECT("I"&amp;$E$10)),IF(F995=4,AVERAGE(INDIRECT("I"&amp;$D$11):INDIRECT("I"&amp;$E$11)),IF(F995=5,AVERAGE(INDIRECT("I"&amp;$D$12):INDIRECT("I"&amp;$E$12)),IF(F995=6,AVERAGE(INDIRECT("I"&amp;$D$13):INDIRECT("I"&amp;$E$13))," "))))))</f>
        <v xml:space="preserve"> </v>
      </c>
      <c r="K995" s="242" t="str">
        <f t="shared" si="82"/>
        <v xml:space="preserve"> </v>
      </c>
      <c r="L995" s="242" t="str">
        <f t="shared" si="83"/>
        <v xml:space="preserve"> </v>
      </c>
      <c r="M995" s="242" t="str">
        <f t="shared" si="84"/>
        <v xml:space="preserve"> </v>
      </c>
    </row>
    <row r="996" spans="6:13" x14ac:dyDescent="0.2">
      <c r="F996" s="216" t="str">
        <f t="shared" si="80"/>
        <v xml:space="preserve"> </v>
      </c>
      <c r="G996" s="50"/>
      <c r="H996" s="242" t="str">
        <f ca="1">IF(F996=1,PERCENTILE(INDIRECT("g"&amp;$D$8):INDIRECT("g"&amp;$E$8),0.5),IF(F996=2,PERCENTILE(INDIRECT("g"&amp;$D$9):INDIRECT("g"&amp;$E$9),0.5),IF(F996=3,PERCENTILE(INDIRECT("g"&amp;$D$10):INDIRECT("g"&amp;$E$10),0.5),IF(F996=4,PERCENTILE(INDIRECT("g"&amp;$D$11):INDIRECT("g"&amp;$E$11),0.5),IF(F996=5,PERCENTILE(INDIRECT("g"&amp;$D$12):INDIRECT("g"&amp;$E$12),0.5),IF(F996=6,PERCENTILE(INDIRECT("g"&amp;$D$13):INDIRECT("g"&amp;$E$13),0.5)," "))))))</f>
        <v xml:space="preserve"> </v>
      </c>
      <c r="I996" s="242" t="str">
        <f t="shared" si="81"/>
        <v xml:space="preserve"> </v>
      </c>
      <c r="J996" s="242" t="str">
        <f ca="1">IF(F996=1,AVERAGE(INDIRECT("I"&amp;$D$8):INDIRECT("I"&amp;$E$8)),IF(F996=2,AVERAGE(INDIRECT("I"&amp;$D$9):INDIRECT("I"&amp;$E$9)),IF(F996=3,AVERAGE(INDIRECT("I"&amp;$D$10):INDIRECT("I"&amp;$E$10)),IF(F996=4,AVERAGE(INDIRECT("I"&amp;$D$11):INDIRECT("I"&amp;$E$11)),IF(F996=5,AVERAGE(INDIRECT("I"&amp;$D$12):INDIRECT("I"&amp;$E$12)),IF(F996=6,AVERAGE(INDIRECT("I"&amp;$D$13):INDIRECT("I"&amp;$E$13))," "))))))</f>
        <v xml:space="preserve"> </v>
      </c>
      <c r="K996" s="242" t="str">
        <f t="shared" si="82"/>
        <v xml:space="preserve"> </v>
      </c>
      <c r="L996" s="242" t="str">
        <f t="shared" si="83"/>
        <v xml:space="preserve"> </v>
      </c>
      <c r="M996" s="242" t="str">
        <f t="shared" si="84"/>
        <v xml:space="preserve"> </v>
      </c>
    </row>
    <row r="997" spans="6:13" x14ac:dyDescent="0.2">
      <c r="F997" s="216" t="str">
        <f t="shared" si="80"/>
        <v xml:space="preserve"> </v>
      </c>
      <c r="G997" s="50"/>
      <c r="H997" s="242" t="str">
        <f ca="1">IF(F997=1,PERCENTILE(INDIRECT("g"&amp;$D$8):INDIRECT("g"&amp;$E$8),0.5),IF(F997=2,PERCENTILE(INDIRECT("g"&amp;$D$9):INDIRECT("g"&amp;$E$9),0.5),IF(F997=3,PERCENTILE(INDIRECT("g"&amp;$D$10):INDIRECT("g"&amp;$E$10),0.5),IF(F997=4,PERCENTILE(INDIRECT("g"&amp;$D$11):INDIRECT("g"&amp;$E$11),0.5),IF(F997=5,PERCENTILE(INDIRECT("g"&amp;$D$12):INDIRECT("g"&amp;$E$12),0.5),IF(F997=6,PERCENTILE(INDIRECT("g"&amp;$D$13):INDIRECT("g"&amp;$E$13),0.5)," "))))))</f>
        <v xml:space="preserve"> </v>
      </c>
      <c r="I997" s="242" t="str">
        <f t="shared" si="81"/>
        <v xml:space="preserve"> </v>
      </c>
      <c r="J997" s="242" t="str">
        <f ca="1">IF(F997=1,AVERAGE(INDIRECT("I"&amp;$D$8):INDIRECT("I"&amp;$E$8)),IF(F997=2,AVERAGE(INDIRECT("I"&amp;$D$9):INDIRECT("I"&amp;$E$9)),IF(F997=3,AVERAGE(INDIRECT("I"&amp;$D$10):INDIRECT("I"&amp;$E$10)),IF(F997=4,AVERAGE(INDIRECT("I"&amp;$D$11):INDIRECT("I"&amp;$E$11)),IF(F997=5,AVERAGE(INDIRECT("I"&amp;$D$12):INDIRECT("I"&amp;$E$12)),IF(F997=6,AVERAGE(INDIRECT("I"&amp;$D$13):INDIRECT("I"&amp;$E$13))," "))))))</f>
        <v xml:space="preserve"> </v>
      </c>
      <c r="K997" s="242" t="str">
        <f t="shared" si="82"/>
        <v xml:space="preserve"> </v>
      </c>
      <c r="L997" s="242" t="str">
        <f t="shared" si="83"/>
        <v xml:space="preserve"> </v>
      </c>
      <c r="M997" s="242" t="str">
        <f t="shared" si="84"/>
        <v xml:space="preserve"> </v>
      </c>
    </row>
    <row r="998" spans="6:13" x14ac:dyDescent="0.2">
      <c r="F998" s="216" t="str">
        <f t="shared" si="80"/>
        <v xml:space="preserve"> </v>
      </c>
      <c r="G998" s="50"/>
      <c r="H998" s="242" t="str">
        <f ca="1">IF(F998=1,PERCENTILE(INDIRECT("g"&amp;$D$8):INDIRECT("g"&amp;$E$8),0.5),IF(F998=2,PERCENTILE(INDIRECT("g"&amp;$D$9):INDIRECT("g"&amp;$E$9),0.5),IF(F998=3,PERCENTILE(INDIRECT("g"&amp;$D$10):INDIRECT("g"&amp;$E$10),0.5),IF(F998=4,PERCENTILE(INDIRECT("g"&amp;$D$11):INDIRECT("g"&amp;$E$11),0.5),IF(F998=5,PERCENTILE(INDIRECT("g"&amp;$D$12):INDIRECT("g"&amp;$E$12),0.5),IF(F998=6,PERCENTILE(INDIRECT("g"&amp;$D$13):INDIRECT("g"&amp;$E$13),0.5)," "))))))</f>
        <v xml:space="preserve"> </v>
      </c>
      <c r="I998" s="242" t="str">
        <f t="shared" si="81"/>
        <v xml:space="preserve"> </v>
      </c>
      <c r="J998" s="242" t="str">
        <f ca="1">IF(F998=1,AVERAGE(INDIRECT("I"&amp;$D$8):INDIRECT("I"&amp;$E$8)),IF(F998=2,AVERAGE(INDIRECT("I"&amp;$D$9):INDIRECT("I"&amp;$E$9)),IF(F998=3,AVERAGE(INDIRECT("I"&amp;$D$10):INDIRECT("I"&amp;$E$10)),IF(F998=4,AVERAGE(INDIRECT("I"&amp;$D$11):INDIRECT("I"&amp;$E$11)),IF(F998=5,AVERAGE(INDIRECT("I"&amp;$D$12):INDIRECT("I"&amp;$E$12)),IF(F998=6,AVERAGE(INDIRECT("I"&amp;$D$13):INDIRECT("I"&amp;$E$13))," "))))))</f>
        <v xml:space="preserve"> </v>
      </c>
      <c r="K998" s="242" t="str">
        <f t="shared" si="82"/>
        <v xml:space="preserve"> </v>
      </c>
      <c r="L998" s="242" t="str">
        <f t="shared" si="83"/>
        <v xml:space="preserve"> </v>
      </c>
      <c r="M998" s="242" t="str">
        <f t="shared" si="84"/>
        <v xml:space="preserve"> </v>
      </c>
    </row>
    <row r="999" spans="6:13" x14ac:dyDescent="0.2">
      <c r="F999" s="216" t="str">
        <f t="shared" si="80"/>
        <v xml:space="preserve"> </v>
      </c>
      <c r="G999" s="50"/>
      <c r="H999" s="242" t="str">
        <f ca="1">IF(F999=1,PERCENTILE(INDIRECT("g"&amp;$D$8):INDIRECT("g"&amp;$E$8),0.5),IF(F999=2,PERCENTILE(INDIRECT("g"&amp;$D$9):INDIRECT("g"&amp;$E$9),0.5),IF(F999=3,PERCENTILE(INDIRECT("g"&amp;$D$10):INDIRECT("g"&amp;$E$10),0.5),IF(F999=4,PERCENTILE(INDIRECT("g"&amp;$D$11):INDIRECT("g"&amp;$E$11),0.5),IF(F999=5,PERCENTILE(INDIRECT("g"&amp;$D$12):INDIRECT("g"&amp;$E$12),0.5),IF(F999=6,PERCENTILE(INDIRECT("g"&amp;$D$13):INDIRECT("g"&amp;$E$13),0.5)," "))))))</f>
        <v xml:space="preserve"> </v>
      </c>
      <c r="I999" s="242" t="str">
        <f t="shared" si="81"/>
        <v xml:space="preserve"> </v>
      </c>
      <c r="J999" s="242" t="str">
        <f ca="1">IF(F999=1,AVERAGE(INDIRECT("I"&amp;$D$8):INDIRECT("I"&amp;$E$8)),IF(F999=2,AVERAGE(INDIRECT("I"&amp;$D$9):INDIRECT("I"&amp;$E$9)),IF(F999=3,AVERAGE(INDIRECT("I"&amp;$D$10):INDIRECT("I"&amp;$E$10)),IF(F999=4,AVERAGE(INDIRECT("I"&amp;$D$11):INDIRECT("I"&amp;$E$11)),IF(F999=5,AVERAGE(INDIRECT("I"&amp;$D$12):INDIRECT("I"&amp;$E$12)),IF(F999=6,AVERAGE(INDIRECT("I"&amp;$D$13):INDIRECT("I"&amp;$E$13))," "))))))</f>
        <v xml:space="preserve"> </v>
      </c>
      <c r="K999" s="242" t="str">
        <f t="shared" si="82"/>
        <v xml:space="preserve"> </v>
      </c>
      <c r="L999" s="242" t="str">
        <f t="shared" si="83"/>
        <v xml:space="preserve"> </v>
      </c>
      <c r="M999" s="242" t="str">
        <f t="shared" si="84"/>
        <v xml:space="preserve"> </v>
      </c>
    </row>
    <row r="1000" spans="6:13" x14ac:dyDescent="0.2">
      <c r="F1000" s="216" t="str">
        <f t="shared" si="80"/>
        <v xml:space="preserve"> </v>
      </c>
      <c r="G1000" s="50"/>
      <c r="H1000" s="242" t="str">
        <f ca="1">IF(F1000=1,PERCENTILE(INDIRECT("g"&amp;$D$8):INDIRECT("g"&amp;$E$8),0.5),IF(F1000=2,PERCENTILE(INDIRECT("g"&amp;$D$9):INDIRECT("g"&amp;$E$9),0.5),IF(F1000=3,PERCENTILE(INDIRECT("g"&amp;$D$10):INDIRECT("g"&amp;$E$10),0.5),IF(F1000=4,PERCENTILE(INDIRECT("g"&amp;$D$11):INDIRECT("g"&amp;$E$11),0.5),IF(F1000=5,PERCENTILE(INDIRECT("g"&amp;$D$12):INDIRECT("g"&amp;$E$12),0.5),IF(F1000=6,PERCENTILE(INDIRECT("g"&amp;$D$13):INDIRECT("g"&amp;$E$13),0.5)," "))))))</f>
        <v xml:space="preserve"> </v>
      </c>
      <c r="I1000" s="242" t="str">
        <f t="shared" si="81"/>
        <v xml:space="preserve"> </v>
      </c>
      <c r="J1000" s="242" t="str">
        <f ca="1">IF(F1000=1,AVERAGE(INDIRECT("I"&amp;$D$8):INDIRECT("I"&amp;$E$8)),IF(F1000=2,AVERAGE(INDIRECT("I"&amp;$D$9):INDIRECT("I"&amp;$E$9)),IF(F1000=3,AVERAGE(INDIRECT("I"&amp;$D$10):INDIRECT("I"&amp;$E$10)),IF(F1000=4,AVERAGE(INDIRECT("I"&amp;$D$11):INDIRECT("I"&amp;$E$11)),IF(F1000=5,AVERAGE(INDIRECT("I"&amp;$D$12):INDIRECT("I"&amp;$E$12)),IF(F1000=6,AVERAGE(INDIRECT("I"&amp;$D$13):INDIRECT("I"&amp;$E$13))," "))))))</f>
        <v xml:space="preserve"> </v>
      </c>
      <c r="K1000" s="242" t="str">
        <f t="shared" si="82"/>
        <v xml:space="preserve"> </v>
      </c>
      <c r="L1000" s="242" t="str">
        <f t="shared" si="83"/>
        <v xml:space="preserve"> </v>
      </c>
      <c r="M1000" s="242" t="str">
        <f t="shared" si="84"/>
        <v xml:space="preserve"> </v>
      </c>
    </row>
    <row r="1001" spans="6:13" x14ac:dyDescent="0.2">
      <c r="F1001" s="216" t="str">
        <f t="shared" si="80"/>
        <v xml:space="preserve"> </v>
      </c>
      <c r="G1001" s="50"/>
      <c r="H1001" s="242" t="str">
        <f ca="1">IF(F1001=1,PERCENTILE(INDIRECT("g"&amp;$D$8):INDIRECT("g"&amp;$E$8),0.5),IF(F1001=2,PERCENTILE(INDIRECT("g"&amp;$D$9):INDIRECT("g"&amp;$E$9),0.5),IF(F1001=3,PERCENTILE(INDIRECT("g"&amp;$D$10):INDIRECT("g"&amp;$E$10),0.5),IF(F1001=4,PERCENTILE(INDIRECT("g"&amp;$D$11):INDIRECT("g"&amp;$E$11),0.5),IF(F1001=5,PERCENTILE(INDIRECT("g"&amp;$D$12):INDIRECT("g"&amp;$E$12),0.5),IF(F1001=6,PERCENTILE(INDIRECT("g"&amp;$D$13):INDIRECT("g"&amp;$E$13),0.5)," "))))))</f>
        <v xml:space="preserve"> </v>
      </c>
      <c r="I1001" s="242" t="str">
        <f t="shared" si="81"/>
        <v xml:space="preserve"> </v>
      </c>
      <c r="J1001" s="242" t="str">
        <f ca="1">IF(F1001=1,AVERAGE(INDIRECT("I"&amp;$D$8):INDIRECT("I"&amp;$E$8)),IF(F1001=2,AVERAGE(INDIRECT("I"&amp;$D$9):INDIRECT("I"&amp;$E$9)),IF(F1001=3,AVERAGE(INDIRECT("I"&amp;$D$10):INDIRECT("I"&amp;$E$10)),IF(F1001=4,AVERAGE(INDIRECT("I"&amp;$D$11):INDIRECT("I"&amp;$E$11)),IF(F1001=5,AVERAGE(INDIRECT("I"&amp;$D$12):INDIRECT("I"&amp;$E$12)),IF(F1001=6,AVERAGE(INDIRECT("I"&amp;$D$13):INDIRECT("I"&amp;$E$13))," "))))))</f>
        <v xml:space="preserve"> </v>
      </c>
      <c r="K1001" s="242" t="str">
        <f t="shared" si="82"/>
        <v xml:space="preserve"> </v>
      </c>
      <c r="L1001" s="242" t="str">
        <f t="shared" si="83"/>
        <v xml:space="preserve"> </v>
      </c>
      <c r="M1001" s="242" t="str">
        <f t="shared" si="84"/>
        <v xml:space="preserve"> </v>
      </c>
    </row>
    <row r="1002" spans="6:13" x14ac:dyDescent="0.2">
      <c r="F1002" s="216" t="str">
        <f t="shared" si="80"/>
        <v xml:space="preserve"> </v>
      </c>
      <c r="G1002" s="50"/>
      <c r="H1002" s="242" t="str">
        <f ca="1">IF(F1002=1,PERCENTILE(INDIRECT("g"&amp;$D$8):INDIRECT("g"&amp;$E$8),0.5),IF(F1002=2,PERCENTILE(INDIRECT("g"&amp;$D$9):INDIRECT("g"&amp;$E$9),0.5),IF(F1002=3,PERCENTILE(INDIRECT("g"&amp;$D$10):INDIRECT("g"&amp;$E$10),0.5),IF(F1002=4,PERCENTILE(INDIRECT("g"&amp;$D$11):INDIRECT("g"&amp;$E$11),0.5),IF(F1002=5,PERCENTILE(INDIRECT("g"&amp;$D$12):INDIRECT("g"&amp;$E$12),0.5),IF(F1002=6,PERCENTILE(INDIRECT("g"&amp;$D$13):INDIRECT("g"&amp;$E$13),0.5)," "))))))</f>
        <v xml:space="preserve"> </v>
      </c>
      <c r="I1002" s="242" t="str">
        <f t="shared" si="81"/>
        <v xml:space="preserve"> </v>
      </c>
      <c r="J1002" s="242" t="str">
        <f ca="1">IF(F1002=1,AVERAGE(INDIRECT("I"&amp;$D$8):INDIRECT("I"&amp;$E$8)),IF(F1002=2,AVERAGE(INDIRECT("I"&amp;$D$9):INDIRECT("I"&amp;$E$9)),IF(F1002=3,AVERAGE(INDIRECT("I"&amp;$D$10):INDIRECT("I"&amp;$E$10)),IF(F1002=4,AVERAGE(INDIRECT("I"&amp;$D$11):INDIRECT("I"&amp;$E$11)),IF(F1002=5,AVERAGE(INDIRECT("I"&amp;$D$12):INDIRECT("I"&amp;$E$12)),IF(F1002=6,AVERAGE(INDIRECT("I"&amp;$D$13):INDIRECT("I"&amp;$E$13))," "))))))</f>
        <v xml:space="preserve"> </v>
      </c>
      <c r="K1002" s="242" t="str">
        <f t="shared" si="82"/>
        <v xml:space="preserve"> </v>
      </c>
      <c r="L1002" s="242" t="str">
        <f t="shared" si="83"/>
        <v xml:space="preserve"> </v>
      </c>
      <c r="M1002" s="242" t="str">
        <f t="shared" si="84"/>
        <v xml:space="preserve"> </v>
      </c>
    </row>
    <row r="1003" spans="6:13" x14ac:dyDescent="0.2">
      <c r="F1003" s="216" t="str">
        <f t="shared" si="80"/>
        <v xml:space="preserve"> </v>
      </c>
      <c r="G1003" s="50"/>
      <c r="H1003" s="242" t="str">
        <f ca="1">IF(F1003=1,PERCENTILE(INDIRECT("g"&amp;$D$8):INDIRECT("g"&amp;$E$8),0.5),IF(F1003=2,PERCENTILE(INDIRECT("g"&amp;$D$9):INDIRECT("g"&amp;$E$9),0.5),IF(F1003=3,PERCENTILE(INDIRECT("g"&amp;$D$10):INDIRECT("g"&amp;$E$10),0.5),IF(F1003=4,PERCENTILE(INDIRECT("g"&amp;$D$11):INDIRECT("g"&amp;$E$11),0.5),IF(F1003=5,PERCENTILE(INDIRECT("g"&amp;$D$12):INDIRECT("g"&amp;$E$12),0.5),IF(F1003=6,PERCENTILE(INDIRECT("g"&amp;$D$13):INDIRECT("g"&amp;$E$13),0.5)," "))))))</f>
        <v xml:space="preserve"> </v>
      </c>
      <c r="I1003" s="242" t="str">
        <f t="shared" si="81"/>
        <v xml:space="preserve"> </v>
      </c>
      <c r="J1003" s="242" t="str">
        <f ca="1">IF(F1003=1,AVERAGE(INDIRECT("I"&amp;$D$8):INDIRECT("I"&amp;$E$8)),IF(F1003=2,AVERAGE(INDIRECT("I"&amp;$D$9):INDIRECT("I"&amp;$E$9)),IF(F1003=3,AVERAGE(INDIRECT("I"&amp;$D$10):INDIRECT("I"&amp;$E$10)),IF(F1003=4,AVERAGE(INDIRECT("I"&amp;$D$11):INDIRECT("I"&amp;$E$11)),IF(F1003=5,AVERAGE(INDIRECT("I"&amp;$D$12):INDIRECT("I"&amp;$E$12)),IF(F1003=6,AVERAGE(INDIRECT("I"&amp;$D$13):INDIRECT("I"&amp;$E$13))," "))))))</f>
        <v xml:space="preserve"> </v>
      </c>
      <c r="K1003" s="242" t="str">
        <f t="shared" si="82"/>
        <v xml:space="preserve"> </v>
      </c>
      <c r="L1003" s="242" t="str">
        <f t="shared" si="83"/>
        <v xml:space="preserve"> </v>
      </c>
      <c r="M1003" s="242" t="str">
        <f t="shared" si="84"/>
        <v xml:space="preserve"> </v>
      </c>
    </row>
    <row r="1004" spans="6:13" x14ac:dyDescent="0.2">
      <c r="F1004" s="216" t="str">
        <f t="shared" si="80"/>
        <v xml:space="preserve"> </v>
      </c>
      <c r="G1004" s="50"/>
      <c r="H1004" s="242" t="str">
        <f ca="1">IF(F1004=1,PERCENTILE(INDIRECT("g"&amp;$D$8):INDIRECT("g"&amp;$E$8),0.5),IF(F1004=2,PERCENTILE(INDIRECT("g"&amp;$D$9):INDIRECT("g"&amp;$E$9),0.5),IF(F1004=3,PERCENTILE(INDIRECT("g"&amp;$D$10):INDIRECT("g"&amp;$E$10),0.5),IF(F1004=4,PERCENTILE(INDIRECT("g"&amp;$D$11):INDIRECT("g"&amp;$E$11),0.5),IF(F1004=5,PERCENTILE(INDIRECT("g"&amp;$D$12):INDIRECT("g"&amp;$E$12),0.5),IF(F1004=6,PERCENTILE(INDIRECT("g"&amp;$D$13):INDIRECT("g"&amp;$E$13),0.5)," "))))))</f>
        <v xml:space="preserve"> </v>
      </c>
      <c r="I1004" s="242" t="str">
        <f t="shared" si="81"/>
        <v xml:space="preserve"> </v>
      </c>
      <c r="J1004" s="242" t="str">
        <f ca="1">IF(F1004=1,AVERAGE(INDIRECT("I"&amp;$D$8):INDIRECT("I"&amp;$E$8)),IF(F1004=2,AVERAGE(INDIRECT("I"&amp;$D$9):INDIRECT("I"&amp;$E$9)),IF(F1004=3,AVERAGE(INDIRECT("I"&amp;$D$10):INDIRECT("I"&amp;$E$10)),IF(F1004=4,AVERAGE(INDIRECT("I"&amp;$D$11):INDIRECT("I"&amp;$E$11)),IF(F1004=5,AVERAGE(INDIRECT("I"&amp;$D$12):INDIRECT("I"&amp;$E$12)),IF(F1004=6,AVERAGE(INDIRECT("I"&amp;$D$13):INDIRECT("I"&amp;$E$13))," "))))))</f>
        <v xml:space="preserve"> </v>
      </c>
      <c r="K1004" s="242" t="str">
        <f t="shared" si="82"/>
        <v xml:space="preserve"> </v>
      </c>
      <c r="L1004" s="242" t="str">
        <f t="shared" si="83"/>
        <v xml:space="preserve"> </v>
      </c>
      <c r="M1004" s="242" t="str">
        <f t="shared" si="84"/>
        <v xml:space="preserve"> </v>
      </c>
    </row>
    <row r="1005" spans="6:13" x14ac:dyDescent="0.2">
      <c r="F1005" s="216" t="str">
        <f t="shared" si="80"/>
        <v xml:space="preserve"> </v>
      </c>
      <c r="G1005" s="50"/>
      <c r="H1005" s="242" t="str">
        <f ca="1">IF(F1005=1,PERCENTILE(INDIRECT("g"&amp;$D$8):INDIRECT("g"&amp;$E$8),0.5),IF(F1005=2,PERCENTILE(INDIRECT("g"&amp;$D$9):INDIRECT("g"&amp;$E$9),0.5),IF(F1005=3,PERCENTILE(INDIRECT("g"&amp;$D$10):INDIRECT("g"&amp;$E$10),0.5),IF(F1005=4,PERCENTILE(INDIRECT("g"&amp;$D$11):INDIRECT("g"&amp;$E$11),0.5),IF(F1005=5,PERCENTILE(INDIRECT("g"&amp;$D$12):INDIRECT("g"&amp;$E$12),0.5),IF(F1005=6,PERCENTILE(INDIRECT("g"&amp;$D$13):INDIRECT("g"&amp;$E$13),0.5)," "))))))</f>
        <v xml:space="preserve"> </v>
      </c>
      <c r="I1005" s="242" t="str">
        <f t="shared" si="81"/>
        <v xml:space="preserve"> </v>
      </c>
      <c r="J1005" s="242" t="str">
        <f ca="1">IF(F1005=1,AVERAGE(INDIRECT("I"&amp;$D$8):INDIRECT("I"&amp;$E$8)),IF(F1005=2,AVERAGE(INDIRECT("I"&amp;$D$9):INDIRECT("I"&amp;$E$9)),IF(F1005=3,AVERAGE(INDIRECT("I"&amp;$D$10):INDIRECT("I"&amp;$E$10)),IF(F1005=4,AVERAGE(INDIRECT("I"&amp;$D$11):INDIRECT("I"&amp;$E$11)),IF(F1005=5,AVERAGE(INDIRECT("I"&amp;$D$12):INDIRECT("I"&amp;$E$12)),IF(F1005=6,AVERAGE(INDIRECT("I"&amp;$D$13):INDIRECT("I"&amp;$E$13))," "))))))</f>
        <v xml:space="preserve"> </v>
      </c>
      <c r="K1005" s="242" t="str">
        <f t="shared" si="82"/>
        <v xml:space="preserve"> </v>
      </c>
      <c r="L1005" s="242" t="str">
        <f t="shared" si="83"/>
        <v xml:space="preserve"> </v>
      </c>
      <c r="M1005" s="242" t="str">
        <f t="shared" si="84"/>
        <v xml:space="preserve"> </v>
      </c>
    </row>
    <row r="1006" spans="6:13" x14ac:dyDescent="0.2">
      <c r="F1006" s="108"/>
      <c r="G1006" s="108"/>
    </row>
    <row r="1007" spans="6:13" x14ac:dyDescent="0.2">
      <c r="F1007" s="108"/>
      <c r="G1007" s="108"/>
    </row>
    <row r="1008" spans="6:13" x14ac:dyDescent="0.2">
      <c r="F1008" s="108"/>
      <c r="G1008" s="108"/>
    </row>
    <row r="1009" spans="6:7" x14ac:dyDescent="0.2">
      <c r="F1009" s="108"/>
      <c r="G1009" s="108"/>
    </row>
    <row r="1010" spans="6:7" x14ac:dyDescent="0.2">
      <c r="F1010" s="108"/>
      <c r="G1010" s="108"/>
    </row>
    <row r="1011" spans="6:7" x14ac:dyDescent="0.2">
      <c r="F1011" s="108"/>
      <c r="G1011" s="108"/>
    </row>
    <row r="1012" spans="6:7" x14ac:dyDescent="0.2">
      <c r="F1012" s="108"/>
      <c r="G1012" s="108"/>
    </row>
    <row r="1013" spans="6:7" x14ac:dyDescent="0.2">
      <c r="F1013" s="108"/>
      <c r="G1013" s="108"/>
    </row>
    <row r="1014" spans="6:7" x14ac:dyDescent="0.2">
      <c r="F1014" s="108"/>
      <c r="G1014" s="108"/>
    </row>
    <row r="1015" spans="6:7" x14ac:dyDescent="0.2">
      <c r="F1015" s="108"/>
      <c r="G1015" s="108"/>
    </row>
    <row r="1016" spans="6:7" x14ac:dyDescent="0.2">
      <c r="F1016" s="108"/>
      <c r="G1016" s="108"/>
    </row>
    <row r="1017" spans="6:7" x14ac:dyDescent="0.2">
      <c r="F1017" s="108"/>
      <c r="G1017" s="108"/>
    </row>
    <row r="1018" spans="6:7" x14ac:dyDescent="0.2">
      <c r="F1018" s="108"/>
      <c r="G1018" s="108"/>
    </row>
    <row r="1019" spans="6:7" x14ac:dyDescent="0.2">
      <c r="F1019" s="108"/>
      <c r="G1019" s="108"/>
    </row>
    <row r="1020" spans="6:7" x14ac:dyDescent="0.2">
      <c r="F1020" s="108"/>
      <c r="G1020" s="108"/>
    </row>
    <row r="1021" spans="6:7" x14ac:dyDescent="0.2">
      <c r="F1021" s="108"/>
      <c r="G1021" s="108"/>
    </row>
    <row r="1022" spans="6:7" x14ac:dyDescent="0.2">
      <c r="F1022" s="108"/>
      <c r="G1022" s="108"/>
    </row>
    <row r="1023" spans="6:7" x14ac:dyDescent="0.2">
      <c r="F1023" s="108"/>
      <c r="G1023" s="108"/>
    </row>
    <row r="1024" spans="6:7" x14ac:dyDescent="0.2">
      <c r="F1024" s="108"/>
      <c r="G1024" s="108"/>
    </row>
    <row r="1025" spans="6:7" x14ac:dyDescent="0.2">
      <c r="F1025" s="108"/>
      <c r="G1025" s="108"/>
    </row>
    <row r="1026" spans="6:7" x14ac:dyDescent="0.2">
      <c r="F1026" s="108"/>
      <c r="G1026" s="108"/>
    </row>
    <row r="1027" spans="6:7" x14ac:dyDescent="0.2">
      <c r="F1027" s="108"/>
      <c r="G1027" s="108"/>
    </row>
    <row r="1028" spans="6:7" x14ac:dyDescent="0.2">
      <c r="F1028" s="108"/>
      <c r="G1028" s="108"/>
    </row>
    <row r="1029" spans="6:7" x14ac:dyDescent="0.2">
      <c r="F1029" s="108"/>
      <c r="G1029" s="108"/>
    </row>
    <row r="1030" spans="6:7" x14ac:dyDescent="0.2">
      <c r="F1030" s="108"/>
      <c r="G1030" s="108"/>
    </row>
    <row r="1031" spans="6:7" x14ac:dyDescent="0.2">
      <c r="F1031" s="108"/>
      <c r="G1031" s="108"/>
    </row>
    <row r="1032" spans="6:7" x14ac:dyDescent="0.2">
      <c r="F1032" s="108"/>
      <c r="G1032" s="108"/>
    </row>
    <row r="1033" spans="6:7" x14ac:dyDescent="0.2">
      <c r="F1033" s="108"/>
      <c r="G1033" s="108"/>
    </row>
    <row r="1034" spans="6:7" x14ac:dyDescent="0.2">
      <c r="F1034" s="108"/>
      <c r="G1034" s="108"/>
    </row>
    <row r="1035" spans="6:7" x14ac:dyDescent="0.2">
      <c r="F1035" s="108"/>
      <c r="G1035" s="108"/>
    </row>
    <row r="1036" spans="6:7" x14ac:dyDescent="0.2">
      <c r="F1036" s="108"/>
      <c r="G1036" s="108"/>
    </row>
    <row r="1037" spans="6:7" x14ac:dyDescent="0.2">
      <c r="F1037" s="108"/>
      <c r="G1037" s="108"/>
    </row>
    <row r="1038" spans="6:7" x14ac:dyDescent="0.2">
      <c r="F1038" s="108"/>
      <c r="G1038" s="108"/>
    </row>
    <row r="1039" spans="6:7" x14ac:dyDescent="0.2">
      <c r="F1039" s="108"/>
      <c r="G1039" s="108"/>
    </row>
    <row r="1040" spans="6:7" x14ac:dyDescent="0.2">
      <c r="F1040" s="108"/>
      <c r="G1040" s="108"/>
    </row>
    <row r="1041" spans="6:7" x14ac:dyDescent="0.2">
      <c r="F1041" s="108"/>
      <c r="G1041" s="108"/>
    </row>
    <row r="1042" spans="6:7" x14ac:dyDescent="0.2">
      <c r="F1042" s="108"/>
      <c r="G1042" s="108"/>
    </row>
    <row r="1043" spans="6:7" x14ac:dyDescent="0.2">
      <c r="F1043" s="108"/>
      <c r="G1043" s="108"/>
    </row>
    <row r="1044" spans="6:7" x14ac:dyDescent="0.2">
      <c r="F1044" s="108"/>
      <c r="G1044" s="108"/>
    </row>
    <row r="1045" spans="6:7" x14ac:dyDescent="0.2">
      <c r="F1045" s="108"/>
      <c r="G1045" s="108"/>
    </row>
    <row r="1046" spans="6:7" x14ac:dyDescent="0.2">
      <c r="F1046" s="108"/>
      <c r="G1046" s="108"/>
    </row>
    <row r="1047" spans="6:7" x14ac:dyDescent="0.2">
      <c r="F1047" s="108"/>
      <c r="G1047" s="108"/>
    </row>
    <row r="1048" spans="6:7" x14ac:dyDescent="0.2">
      <c r="F1048" s="108"/>
      <c r="G1048" s="108"/>
    </row>
    <row r="1049" spans="6:7" x14ac:dyDescent="0.2">
      <c r="F1049" s="108"/>
      <c r="G1049" s="108"/>
    </row>
    <row r="1050" spans="6:7" x14ac:dyDescent="0.2">
      <c r="F1050" s="108"/>
      <c r="G1050" s="108"/>
    </row>
    <row r="1051" spans="6:7" x14ac:dyDescent="0.2">
      <c r="F1051" s="108"/>
      <c r="G1051" s="108"/>
    </row>
    <row r="1052" spans="6:7" x14ac:dyDescent="0.2">
      <c r="F1052" s="108"/>
      <c r="G1052" s="108"/>
    </row>
    <row r="1053" spans="6:7" x14ac:dyDescent="0.2">
      <c r="F1053" s="108"/>
      <c r="G1053" s="108"/>
    </row>
    <row r="1054" spans="6:7" x14ac:dyDescent="0.2">
      <c r="F1054" s="108"/>
      <c r="G1054" s="108"/>
    </row>
    <row r="1055" spans="6:7" x14ac:dyDescent="0.2">
      <c r="F1055" s="108"/>
      <c r="G1055" s="108"/>
    </row>
    <row r="1056" spans="6:7" x14ac:dyDescent="0.2">
      <c r="F1056" s="108"/>
      <c r="G1056" s="108"/>
    </row>
    <row r="1057" spans="6:7" x14ac:dyDescent="0.2">
      <c r="F1057" s="108"/>
      <c r="G1057" s="108"/>
    </row>
    <row r="1058" spans="6:7" x14ac:dyDescent="0.2">
      <c r="F1058" s="108"/>
      <c r="G1058" s="108"/>
    </row>
    <row r="1059" spans="6:7" x14ac:dyDescent="0.2">
      <c r="F1059" s="108"/>
      <c r="G1059" s="108"/>
    </row>
    <row r="1060" spans="6:7" x14ac:dyDescent="0.2">
      <c r="F1060" s="108"/>
      <c r="G1060" s="108"/>
    </row>
    <row r="1061" spans="6:7" x14ac:dyDescent="0.2">
      <c r="F1061" s="108"/>
      <c r="G1061" s="108"/>
    </row>
    <row r="1062" spans="6:7" x14ac:dyDescent="0.2">
      <c r="F1062" s="108"/>
      <c r="G1062" s="108"/>
    </row>
    <row r="1063" spans="6:7" x14ac:dyDescent="0.2">
      <c r="F1063" s="108"/>
      <c r="G1063" s="108"/>
    </row>
    <row r="1064" spans="6:7" x14ac:dyDescent="0.2">
      <c r="F1064" s="108"/>
      <c r="G1064" s="108"/>
    </row>
    <row r="1065" spans="6:7" x14ac:dyDescent="0.2">
      <c r="F1065" s="108"/>
      <c r="G1065" s="108"/>
    </row>
    <row r="1066" spans="6:7" x14ac:dyDescent="0.2">
      <c r="F1066" s="108"/>
      <c r="G1066" s="108"/>
    </row>
    <row r="1067" spans="6:7" x14ac:dyDescent="0.2">
      <c r="F1067" s="108"/>
      <c r="G1067" s="108"/>
    </row>
    <row r="1068" spans="6:7" x14ac:dyDescent="0.2">
      <c r="F1068" s="108"/>
      <c r="G1068" s="108"/>
    </row>
    <row r="1069" spans="6:7" x14ac:dyDescent="0.2">
      <c r="F1069" s="108"/>
      <c r="G1069" s="108"/>
    </row>
    <row r="1070" spans="6:7" x14ac:dyDescent="0.2">
      <c r="F1070" s="108"/>
      <c r="G1070" s="108"/>
    </row>
    <row r="1071" spans="6:7" x14ac:dyDescent="0.2">
      <c r="F1071" s="108"/>
      <c r="G1071" s="108"/>
    </row>
    <row r="1072" spans="6:7" x14ac:dyDescent="0.2">
      <c r="F1072" s="108"/>
      <c r="G1072" s="108"/>
    </row>
    <row r="1073" spans="6:7" x14ac:dyDescent="0.2">
      <c r="F1073" s="108"/>
      <c r="G1073" s="108"/>
    </row>
    <row r="1074" spans="6:7" x14ac:dyDescent="0.2">
      <c r="F1074" s="108"/>
      <c r="G1074" s="108"/>
    </row>
    <row r="1075" spans="6:7" x14ac:dyDescent="0.2">
      <c r="F1075" s="108"/>
      <c r="G1075" s="108"/>
    </row>
    <row r="1076" spans="6:7" x14ac:dyDescent="0.2">
      <c r="F1076" s="108"/>
      <c r="G1076" s="108"/>
    </row>
    <row r="1077" spans="6:7" x14ac:dyDescent="0.2">
      <c r="F1077" s="108"/>
      <c r="G1077" s="108"/>
    </row>
    <row r="1078" spans="6:7" x14ac:dyDescent="0.2">
      <c r="F1078" s="108"/>
      <c r="G1078" s="108"/>
    </row>
    <row r="1079" spans="6:7" x14ac:dyDescent="0.2">
      <c r="F1079" s="108"/>
      <c r="G1079" s="108"/>
    </row>
    <row r="1080" spans="6:7" x14ac:dyDescent="0.2">
      <c r="F1080" s="108"/>
      <c r="G1080" s="108"/>
    </row>
    <row r="1081" spans="6:7" x14ac:dyDescent="0.2">
      <c r="F1081" s="108"/>
      <c r="G1081" s="108"/>
    </row>
    <row r="1082" spans="6:7" x14ac:dyDescent="0.2">
      <c r="F1082" s="108"/>
      <c r="G1082" s="108"/>
    </row>
    <row r="1083" spans="6:7" x14ac:dyDescent="0.2">
      <c r="F1083" s="108"/>
      <c r="G1083" s="108"/>
    </row>
    <row r="1084" spans="6:7" x14ac:dyDescent="0.2">
      <c r="F1084" s="108"/>
      <c r="G1084" s="108"/>
    </row>
    <row r="1085" spans="6:7" x14ac:dyDescent="0.2">
      <c r="F1085" s="108"/>
      <c r="G1085" s="108"/>
    </row>
    <row r="1086" spans="6:7" x14ac:dyDescent="0.2">
      <c r="F1086" s="108"/>
      <c r="G1086" s="108"/>
    </row>
    <row r="1087" spans="6:7" x14ac:dyDescent="0.2">
      <c r="F1087" s="108"/>
      <c r="G1087" s="108"/>
    </row>
    <row r="1088" spans="6:7" x14ac:dyDescent="0.2">
      <c r="F1088" s="108"/>
      <c r="G1088" s="108"/>
    </row>
    <row r="1089" spans="6:7" x14ac:dyDescent="0.2">
      <c r="F1089" s="108"/>
      <c r="G1089" s="108"/>
    </row>
    <row r="1090" spans="6:7" x14ac:dyDescent="0.2">
      <c r="F1090" s="108"/>
      <c r="G1090" s="108"/>
    </row>
    <row r="1091" spans="6:7" x14ac:dyDescent="0.2">
      <c r="F1091" s="108"/>
      <c r="G1091" s="108"/>
    </row>
    <row r="1092" spans="6:7" x14ac:dyDescent="0.2">
      <c r="F1092" s="108"/>
      <c r="G1092" s="108"/>
    </row>
    <row r="1093" spans="6:7" x14ac:dyDescent="0.2">
      <c r="F1093" s="108"/>
      <c r="G1093" s="108"/>
    </row>
    <row r="1094" spans="6:7" x14ac:dyDescent="0.2">
      <c r="F1094" s="108"/>
      <c r="G1094" s="108"/>
    </row>
    <row r="1095" spans="6:7" x14ac:dyDescent="0.2">
      <c r="F1095" s="108"/>
      <c r="G1095" s="108"/>
    </row>
    <row r="1096" spans="6:7" x14ac:dyDescent="0.2">
      <c r="F1096" s="108"/>
      <c r="G1096" s="108"/>
    </row>
    <row r="1097" spans="6:7" x14ac:dyDescent="0.2">
      <c r="F1097" s="108"/>
      <c r="G1097" s="108"/>
    </row>
    <row r="1098" spans="6:7" x14ac:dyDescent="0.2">
      <c r="F1098" s="108"/>
      <c r="G1098" s="108"/>
    </row>
    <row r="1099" spans="6:7" x14ac:dyDescent="0.2">
      <c r="F1099" s="108"/>
      <c r="G1099" s="108"/>
    </row>
    <row r="1100" spans="6:7" x14ac:dyDescent="0.2">
      <c r="F1100" s="108"/>
      <c r="G1100" s="108"/>
    </row>
    <row r="1101" spans="6:7" x14ac:dyDescent="0.2">
      <c r="F1101" s="108"/>
      <c r="G1101" s="108"/>
    </row>
    <row r="1102" spans="6:7" x14ac:dyDescent="0.2">
      <c r="F1102" s="108"/>
      <c r="G1102" s="108"/>
    </row>
    <row r="1103" spans="6:7" x14ac:dyDescent="0.2">
      <c r="F1103" s="108"/>
      <c r="G1103" s="108"/>
    </row>
    <row r="1104" spans="6:7" x14ac:dyDescent="0.2">
      <c r="F1104" s="108"/>
      <c r="G1104" s="108"/>
    </row>
    <row r="1105" spans="6:7" x14ac:dyDescent="0.2">
      <c r="F1105" s="108"/>
      <c r="G1105" s="108"/>
    </row>
    <row r="1106" spans="6:7" x14ac:dyDescent="0.2">
      <c r="F1106" s="108"/>
      <c r="G1106" s="108"/>
    </row>
    <row r="1107" spans="6:7" x14ac:dyDescent="0.2">
      <c r="F1107" s="108"/>
      <c r="G1107" s="108"/>
    </row>
    <row r="1108" spans="6:7" x14ac:dyDescent="0.2">
      <c r="F1108" s="108"/>
      <c r="G1108" s="108"/>
    </row>
    <row r="1109" spans="6:7" x14ac:dyDescent="0.2">
      <c r="F1109" s="108"/>
      <c r="G1109" s="108"/>
    </row>
    <row r="1110" spans="6:7" x14ac:dyDescent="0.2">
      <c r="F1110" s="108"/>
      <c r="G1110" s="108"/>
    </row>
    <row r="1111" spans="6:7" x14ac:dyDescent="0.2">
      <c r="F1111" s="108"/>
      <c r="G1111" s="108"/>
    </row>
    <row r="1112" spans="6:7" x14ac:dyDescent="0.2">
      <c r="F1112" s="108"/>
      <c r="G1112" s="108"/>
    </row>
    <row r="1113" spans="6:7" x14ac:dyDescent="0.2">
      <c r="F1113" s="108"/>
      <c r="G1113" s="108"/>
    </row>
    <row r="1114" spans="6:7" x14ac:dyDescent="0.2">
      <c r="F1114" s="108"/>
      <c r="G1114" s="108"/>
    </row>
    <row r="1115" spans="6:7" x14ac:dyDescent="0.2">
      <c r="F1115" s="108"/>
      <c r="G1115" s="108"/>
    </row>
    <row r="1116" spans="6:7" x14ac:dyDescent="0.2">
      <c r="F1116" s="108"/>
      <c r="G1116" s="108"/>
    </row>
    <row r="1117" spans="6:7" x14ac:dyDescent="0.2">
      <c r="F1117" s="108"/>
      <c r="G1117" s="108"/>
    </row>
    <row r="1118" spans="6:7" x14ac:dyDescent="0.2">
      <c r="F1118" s="108"/>
      <c r="G1118" s="108"/>
    </row>
    <row r="1119" spans="6:7" x14ac:dyDescent="0.2">
      <c r="F1119" s="108"/>
      <c r="G1119" s="108"/>
    </row>
    <row r="1120" spans="6:7" x14ac:dyDescent="0.2">
      <c r="F1120" s="108"/>
      <c r="G1120" s="108"/>
    </row>
    <row r="1121" spans="6:7" x14ac:dyDescent="0.2">
      <c r="F1121" s="108"/>
      <c r="G1121" s="108"/>
    </row>
    <row r="1122" spans="6:7" x14ac:dyDescent="0.2">
      <c r="F1122" s="108"/>
      <c r="G1122" s="108"/>
    </row>
    <row r="1123" spans="6:7" x14ac:dyDescent="0.2">
      <c r="F1123" s="108"/>
      <c r="G1123" s="108"/>
    </row>
    <row r="1124" spans="6:7" x14ac:dyDescent="0.2">
      <c r="F1124" s="108"/>
      <c r="G1124" s="108"/>
    </row>
    <row r="1125" spans="6:7" x14ac:dyDescent="0.2">
      <c r="F1125" s="108"/>
      <c r="G1125" s="108"/>
    </row>
    <row r="1126" spans="6:7" x14ac:dyDescent="0.2">
      <c r="F1126" s="108"/>
      <c r="G1126" s="108"/>
    </row>
    <row r="1127" spans="6:7" x14ac:dyDescent="0.2">
      <c r="F1127" s="108"/>
      <c r="G1127" s="108"/>
    </row>
    <row r="1128" spans="6:7" x14ac:dyDescent="0.2">
      <c r="F1128" s="108"/>
      <c r="G1128" s="108"/>
    </row>
    <row r="1129" spans="6:7" x14ac:dyDescent="0.2">
      <c r="F1129" s="108"/>
      <c r="G1129" s="108"/>
    </row>
    <row r="1130" spans="6:7" x14ac:dyDescent="0.2">
      <c r="F1130" s="108"/>
      <c r="G1130" s="108"/>
    </row>
    <row r="1131" spans="6:7" x14ac:dyDescent="0.2">
      <c r="F1131" s="108"/>
      <c r="G1131" s="108"/>
    </row>
    <row r="1132" spans="6:7" x14ac:dyDescent="0.2">
      <c r="F1132" s="108"/>
      <c r="G1132" s="108"/>
    </row>
    <row r="1133" spans="6:7" x14ac:dyDescent="0.2">
      <c r="F1133" s="108"/>
      <c r="G1133" s="108"/>
    </row>
    <row r="1134" spans="6:7" x14ac:dyDescent="0.2">
      <c r="F1134" s="108"/>
      <c r="G1134" s="108"/>
    </row>
    <row r="1135" spans="6:7" x14ac:dyDescent="0.2">
      <c r="F1135" s="108"/>
      <c r="G1135" s="108"/>
    </row>
    <row r="1136" spans="6:7" x14ac:dyDescent="0.2">
      <c r="F1136" s="108"/>
      <c r="G1136" s="108"/>
    </row>
    <row r="1137" spans="6:7" x14ac:dyDescent="0.2">
      <c r="F1137" s="108"/>
      <c r="G1137" s="108"/>
    </row>
    <row r="1138" spans="6:7" x14ac:dyDescent="0.2">
      <c r="F1138" s="108"/>
      <c r="G1138" s="108"/>
    </row>
    <row r="1139" spans="6:7" x14ac:dyDescent="0.2">
      <c r="F1139" s="108"/>
      <c r="G1139" s="108"/>
    </row>
    <row r="1140" spans="6:7" x14ac:dyDescent="0.2">
      <c r="F1140" s="108"/>
      <c r="G1140" s="108"/>
    </row>
    <row r="1141" spans="6:7" x14ac:dyDescent="0.2">
      <c r="F1141" s="108"/>
      <c r="G1141" s="108"/>
    </row>
    <row r="1142" spans="6:7" x14ac:dyDescent="0.2">
      <c r="F1142" s="108"/>
      <c r="G1142" s="108"/>
    </row>
    <row r="1143" spans="6:7" x14ac:dyDescent="0.2">
      <c r="F1143" s="108"/>
      <c r="G1143" s="108"/>
    </row>
    <row r="1144" spans="6:7" x14ac:dyDescent="0.2">
      <c r="F1144" s="108"/>
      <c r="G1144" s="108"/>
    </row>
    <row r="1145" spans="6:7" x14ac:dyDescent="0.2">
      <c r="F1145" s="108"/>
      <c r="G1145" s="108"/>
    </row>
    <row r="1146" spans="6:7" x14ac:dyDescent="0.2">
      <c r="F1146" s="108"/>
      <c r="G1146" s="108"/>
    </row>
    <row r="1147" spans="6:7" x14ac:dyDescent="0.2">
      <c r="F1147" s="108"/>
      <c r="G1147" s="108"/>
    </row>
    <row r="1148" spans="6:7" x14ac:dyDescent="0.2">
      <c r="F1148" s="108"/>
      <c r="G1148" s="108"/>
    </row>
    <row r="1149" spans="6:7" x14ac:dyDescent="0.2">
      <c r="F1149" s="108"/>
      <c r="G1149" s="108"/>
    </row>
    <row r="1150" spans="6:7" x14ac:dyDescent="0.2">
      <c r="F1150" s="108"/>
      <c r="G1150" s="108"/>
    </row>
    <row r="1151" spans="6:7" x14ac:dyDescent="0.2">
      <c r="F1151" s="108"/>
      <c r="G1151" s="108"/>
    </row>
    <row r="1152" spans="6:7" x14ac:dyDescent="0.2">
      <c r="F1152" s="108"/>
      <c r="G1152" s="108"/>
    </row>
    <row r="1153" spans="6:7" x14ac:dyDescent="0.2">
      <c r="F1153" s="108"/>
      <c r="G1153" s="108"/>
    </row>
    <row r="1154" spans="6:7" x14ac:dyDescent="0.2">
      <c r="F1154" s="108"/>
      <c r="G1154" s="108"/>
    </row>
    <row r="1155" spans="6:7" x14ac:dyDescent="0.2">
      <c r="F1155" s="108"/>
      <c r="G1155" s="108"/>
    </row>
    <row r="1156" spans="6:7" x14ac:dyDescent="0.2">
      <c r="F1156" s="108"/>
      <c r="G1156" s="108"/>
    </row>
    <row r="1157" spans="6:7" x14ac:dyDescent="0.2">
      <c r="F1157" s="108"/>
      <c r="G1157" s="108"/>
    </row>
    <row r="1158" spans="6:7" x14ac:dyDescent="0.2">
      <c r="F1158" s="108"/>
      <c r="G1158" s="108"/>
    </row>
    <row r="1159" spans="6:7" x14ac:dyDescent="0.2">
      <c r="F1159" s="108"/>
      <c r="G1159" s="108"/>
    </row>
    <row r="1160" spans="6:7" x14ac:dyDescent="0.2">
      <c r="F1160" s="108"/>
      <c r="G1160" s="108"/>
    </row>
    <row r="1161" spans="6:7" x14ac:dyDescent="0.2">
      <c r="F1161" s="108"/>
      <c r="G1161" s="108"/>
    </row>
    <row r="1162" spans="6:7" x14ac:dyDescent="0.2">
      <c r="F1162" s="108"/>
      <c r="G1162" s="108"/>
    </row>
    <row r="1163" spans="6:7" x14ac:dyDescent="0.2">
      <c r="F1163" s="108"/>
      <c r="G1163" s="108"/>
    </row>
    <row r="1164" spans="6:7" x14ac:dyDescent="0.2">
      <c r="F1164" s="108"/>
      <c r="G1164" s="108"/>
    </row>
    <row r="1165" spans="6:7" x14ac:dyDescent="0.2">
      <c r="F1165" s="108"/>
      <c r="G1165" s="108"/>
    </row>
    <row r="1166" spans="6:7" x14ac:dyDescent="0.2">
      <c r="F1166" s="108"/>
      <c r="G1166" s="108"/>
    </row>
    <row r="1167" spans="6:7" x14ac:dyDescent="0.2">
      <c r="F1167" s="108"/>
      <c r="G1167" s="108"/>
    </row>
    <row r="1168" spans="6:7" x14ac:dyDescent="0.2">
      <c r="F1168" s="108"/>
      <c r="G1168" s="108"/>
    </row>
    <row r="1169" spans="6:7" x14ac:dyDescent="0.2">
      <c r="F1169" s="108"/>
      <c r="G1169" s="108"/>
    </row>
    <row r="1170" spans="6:7" x14ac:dyDescent="0.2">
      <c r="F1170" s="108"/>
      <c r="G1170" s="108"/>
    </row>
    <row r="1171" spans="6:7" x14ac:dyDescent="0.2">
      <c r="F1171" s="108"/>
      <c r="G1171" s="108"/>
    </row>
    <row r="1172" spans="6:7" x14ac:dyDescent="0.2">
      <c r="F1172" s="108"/>
      <c r="G1172" s="108"/>
    </row>
    <row r="1173" spans="6:7" x14ac:dyDescent="0.2">
      <c r="F1173" s="108"/>
      <c r="G1173" s="108"/>
    </row>
    <row r="1174" spans="6:7" x14ac:dyDescent="0.2">
      <c r="F1174" s="108"/>
      <c r="G1174" s="108"/>
    </row>
    <row r="1175" spans="6:7" x14ac:dyDescent="0.2">
      <c r="F1175" s="108"/>
      <c r="G1175" s="108"/>
    </row>
    <row r="1176" spans="6:7" x14ac:dyDescent="0.2">
      <c r="F1176" s="108"/>
      <c r="G1176" s="108"/>
    </row>
    <row r="1177" spans="6:7" x14ac:dyDescent="0.2">
      <c r="F1177" s="108"/>
      <c r="G1177" s="108"/>
    </row>
    <row r="1178" spans="6:7" x14ac:dyDescent="0.2">
      <c r="F1178" s="108"/>
      <c r="G1178" s="108"/>
    </row>
    <row r="1179" spans="6:7" x14ac:dyDescent="0.2">
      <c r="F1179" s="108"/>
      <c r="G1179" s="108"/>
    </row>
    <row r="1180" spans="6:7" x14ac:dyDescent="0.2">
      <c r="F1180" s="108"/>
      <c r="G1180" s="108"/>
    </row>
    <row r="1181" spans="6:7" x14ac:dyDescent="0.2">
      <c r="F1181" s="108"/>
      <c r="G1181" s="108"/>
    </row>
    <row r="1182" spans="6:7" x14ac:dyDescent="0.2">
      <c r="F1182" s="108"/>
      <c r="G1182" s="108"/>
    </row>
    <row r="1183" spans="6:7" x14ac:dyDescent="0.2">
      <c r="F1183" s="108"/>
      <c r="G1183" s="108"/>
    </row>
    <row r="1184" spans="6:7" x14ac:dyDescent="0.2">
      <c r="F1184" s="108"/>
      <c r="G1184" s="108"/>
    </row>
    <row r="1185" spans="6:7" x14ac:dyDescent="0.2">
      <c r="F1185" s="108"/>
      <c r="G1185" s="108"/>
    </row>
    <row r="1186" spans="6:7" x14ac:dyDescent="0.2">
      <c r="F1186" s="108"/>
      <c r="G1186" s="108"/>
    </row>
    <row r="1187" spans="6:7" x14ac:dyDescent="0.2">
      <c r="F1187" s="108"/>
      <c r="G1187" s="108"/>
    </row>
    <row r="1188" spans="6:7" x14ac:dyDescent="0.2">
      <c r="F1188" s="108"/>
      <c r="G1188" s="108"/>
    </row>
    <row r="1189" spans="6:7" x14ac:dyDescent="0.2">
      <c r="F1189" s="108"/>
      <c r="G1189" s="108"/>
    </row>
    <row r="1190" spans="6:7" x14ac:dyDescent="0.2">
      <c r="F1190" s="108"/>
      <c r="G1190" s="108"/>
    </row>
    <row r="1191" spans="6:7" x14ac:dyDescent="0.2">
      <c r="F1191" s="108"/>
      <c r="G1191" s="108"/>
    </row>
    <row r="1192" spans="6:7" x14ac:dyDescent="0.2">
      <c r="F1192" s="108"/>
      <c r="G1192" s="108"/>
    </row>
    <row r="1193" spans="6:7" x14ac:dyDescent="0.2">
      <c r="F1193" s="108"/>
      <c r="G1193" s="108"/>
    </row>
    <row r="1194" spans="6:7" x14ac:dyDescent="0.2">
      <c r="F1194" s="108"/>
      <c r="G1194" s="108"/>
    </row>
    <row r="1195" spans="6:7" x14ac:dyDescent="0.2">
      <c r="F1195" s="108"/>
      <c r="G1195" s="108"/>
    </row>
    <row r="1196" spans="6:7" x14ac:dyDescent="0.2">
      <c r="F1196" s="108"/>
      <c r="G1196" s="108"/>
    </row>
    <row r="1197" spans="6:7" x14ac:dyDescent="0.2">
      <c r="F1197" s="108"/>
      <c r="G1197" s="108"/>
    </row>
    <row r="1198" spans="6:7" x14ac:dyDescent="0.2">
      <c r="F1198" s="108"/>
      <c r="G1198" s="108"/>
    </row>
    <row r="1199" spans="6:7" x14ac:dyDescent="0.2">
      <c r="F1199" s="108"/>
      <c r="G1199" s="108"/>
    </row>
    <row r="1200" spans="6:7" x14ac:dyDescent="0.2">
      <c r="F1200" s="108"/>
      <c r="G1200" s="108"/>
    </row>
    <row r="1201" spans="6:7" x14ac:dyDescent="0.2">
      <c r="F1201" s="108"/>
      <c r="G1201" s="108"/>
    </row>
    <row r="1202" spans="6:7" x14ac:dyDescent="0.2">
      <c r="F1202" s="108"/>
      <c r="G1202" s="108"/>
    </row>
    <row r="1203" spans="6:7" x14ac:dyDescent="0.2">
      <c r="F1203" s="108"/>
      <c r="G1203" s="108"/>
    </row>
    <row r="1204" spans="6:7" x14ac:dyDescent="0.2">
      <c r="F1204" s="108"/>
      <c r="G1204" s="108"/>
    </row>
    <row r="1205" spans="6:7" x14ac:dyDescent="0.2">
      <c r="F1205" s="108"/>
      <c r="G1205" s="108"/>
    </row>
    <row r="1206" spans="6:7" x14ac:dyDescent="0.2">
      <c r="F1206" s="108"/>
      <c r="G1206" s="108"/>
    </row>
    <row r="1207" spans="6:7" x14ac:dyDescent="0.2">
      <c r="F1207" s="108"/>
      <c r="G1207" s="108"/>
    </row>
    <row r="1208" spans="6:7" x14ac:dyDescent="0.2">
      <c r="F1208" s="108"/>
      <c r="G1208" s="108"/>
    </row>
    <row r="1209" spans="6:7" x14ac:dyDescent="0.2">
      <c r="F1209" s="108"/>
      <c r="G1209" s="108"/>
    </row>
    <row r="1210" spans="6:7" x14ac:dyDescent="0.2">
      <c r="F1210" s="108"/>
      <c r="G1210" s="108"/>
    </row>
    <row r="1211" spans="6:7" x14ac:dyDescent="0.2">
      <c r="F1211" s="108"/>
      <c r="G1211" s="108"/>
    </row>
    <row r="1212" spans="6:7" x14ac:dyDescent="0.2">
      <c r="F1212" s="108"/>
      <c r="G1212" s="108"/>
    </row>
    <row r="1213" spans="6:7" x14ac:dyDescent="0.2">
      <c r="F1213" s="108"/>
      <c r="G1213" s="108"/>
    </row>
    <row r="1214" spans="6:7" x14ac:dyDescent="0.2">
      <c r="F1214" s="108"/>
      <c r="G1214" s="108"/>
    </row>
    <row r="1215" spans="6:7" x14ac:dyDescent="0.2">
      <c r="F1215" s="108"/>
      <c r="G1215" s="108"/>
    </row>
    <row r="1216" spans="6:7" x14ac:dyDescent="0.2">
      <c r="F1216" s="108"/>
      <c r="G1216" s="108"/>
    </row>
    <row r="1217" spans="6:7" x14ac:dyDescent="0.2">
      <c r="F1217" s="108"/>
      <c r="G1217" s="108"/>
    </row>
    <row r="1218" spans="6:7" x14ac:dyDescent="0.2">
      <c r="F1218" s="108"/>
      <c r="G1218" s="108"/>
    </row>
    <row r="1219" spans="6:7" x14ac:dyDescent="0.2">
      <c r="F1219" s="108"/>
      <c r="G1219" s="108"/>
    </row>
    <row r="1220" spans="6:7" x14ac:dyDescent="0.2">
      <c r="F1220" s="108"/>
      <c r="G1220" s="108"/>
    </row>
    <row r="1221" spans="6:7" x14ac:dyDescent="0.2">
      <c r="F1221" s="108"/>
      <c r="G1221" s="108"/>
    </row>
    <row r="1222" spans="6:7" x14ac:dyDescent="0.2">
      <c r="F1222" s="108"/>
      <c r="G1222" s="108"/>
    </row>
    <row r="1223" spans="6:7" x14ac:dyDescent="0.2">
      <c r="F1223" s="108"/>
      <c r="G1223" s="108"/>
    </row>
    <row r="1224" spans="6:7" x14ac:dyDescent="0.2">
      <c r="F1224" s="108"/>
      <c r="G1224" s="108"/>
    </row>
    <row r="1225" spans="6:7" x14ac:dyDescent="0.2">
      <c r="F1225" s="108"/>
      <c r="G1225" s="108"/>
    </row>
    <row r="1226" spans="6:7" x14ac:dyDescent="0.2">
      <c r="F1226" s="108"/>
      <c r="G1226" s="108"/>
    </row>
    <row r="1227" spans="6:7" x14ac:dyDescent="0.2">
      <c r="F1227" s="108"/>
      <c r="G1227" s="108"/>
    </row>
    <row r="1228" spans="6:7" x14ac:dyDescent="0.2">
      <c r="F1228" s="108"/>
      <c r="G1228" s="108"/>
    </row>
    <row r="1229" spans="6:7" x14ac:dyDescent="0.2">
      <c r="F1229" s="108"/>
      <c r="G1229" s="108"/>
    </row>
    <row r="1230" spans="6:7" x14ac:dyDescent="0.2">
      <c r="F1230" s="108"/>
      <c r="G1230" s="108"/>
    </row>
    <row r="1231" spans="6:7" x14ac:dyDescent="0.2">
      <c r="F1231" s="108"/>
      <c r="G1231" s="108"/>
    </row>
    <row r="1232" spans="6:7" x14ac:dyDescent="0.2">
      <c r="F1232" s="108"/>
      <c r="G1232" s="108"/>
    </row>
    <row r="1233" spans="6:7" x14ac:dyDescent="0.2">
      <c r="F1233" s="108"/>
      <c r="G1233" s="108"/>
    </row>
    <row r="1234" spans="6:7" x14ac:dyDescent="0.2">
      <c r="F1234" s="108"/>
      <c r="G1234" s="108"/>
    </row>
    <row r="1235" spans="6:7" x14ac:dyDescent="0.2">
      <c r="F1235" s="108"/>
      <c r="G1235" s="108"/>
    </row>
    <row r="1236" spans="6:7" x14ac:dyDescent="0.2">
      <c r="F1236" s="108"/>
      <c r="G1236" s="108"/>
    </row>
    <row r="1237" spans="6:7" x14ac:dyDescent="0.2">
      <c r="F1237" s="108"/>
      <c r="G1237" s="108"/>
    </row>
    <row r="1238" spans="6:7" x14ac:dyDescent="0.2">
      <c r="F1238" s="108"/>
      <c r="G1238" s="108"/>
    </row>
    <row r="1239" spans="6:7" x14ac:dyDescent="0.2">
      <c r="F1239" s="108"/>
      <c r="G1239" s="108"/>
    </row>
    <row r="1240" spans="6:7" x14ac:dyDescent="0.2">
      <c r="F1240" s="108"/>
      <c r="G1240" s="108"/>
    </row>
    <row r="1241" spans="6:7" x14ac:dyDescent="0.2">
      <c r="F1241" s="108"/>
      <c r="G1241" s="108"/>
    </row>
  </sheetData>
  <mergeCells count="2">
    <mergeCell ref="P5:Q5"/>
    <mergeCell ref="P18:R18"/>
  </mergeCells>
  <conditionalFormatting sqref="B22">
    <cfRule type="cellIs" dxfId="32" priority="5" operator="equal">
      <formula>"heterogeneity"</formula>
    </cfRule>
    <cfRule type="cellIs" dxfId="31" priority="6" operator="equal">
      <formula>"homogeneity"</formula>
    </cfRule>
  </conditionalFormatting>
  <conditionalFormatting sqref="Q14">
    <cfRule type="cellIs" dxfId="30" priority="3" operator="equal">
      <formula>"heterogeneity"</formula>
    </cfRule>
    <cfRule type="cellIs" dxfId="29" priority="4" operator="equal">
      <formula>"homogeneity"</formula>
    </cfRule>
  </conditionalFormatting>
  <conditionalFormatting sqref="Q30">
    <cfRule type="cellIs" dxfId="28" priority="1" operator="equal">
      <formula>"heterogeneity"</formula>
    </cfRule>
    <cfRule type="cellIs" dxfId="27" priority="2" operator="equal">
      <formula>"homogeneity"</formula>
    </cfRule>
  </conditionalFormatting>
  <pageMargins left="0.78740157499999996" right="0.78740157499999996" top="0.984251969" bottom="0.984251969" header="0.5" footer="0.5"/>
  <pageSetup paperSize="9" orientation="portrait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U38"/>
  <sheetViews>
    <sheetView showGridLines="0" zoomScale="70" zoomScaleNormal="70" zoomScaleSheetLayoutView="85" workbookViewId="0">
      <selection activeCell="K35" sqref="K35"/>
    </sheetView>
  </sheetViews>
  <sheetFormatPr baseColWidth="10" defaultRowHeight="12.75" x14ac:dyDescent="0.2"/>
  <cols>
    <col min="1" max="1" width="11.42578125" style="43" customWidth="1"/>
    <col min="2" max="2" width="13.140625" style="43" customWidth="1"/>
    <col min="3" max="3" width="10.28515625" style="43" customWidth="1"/>
    <col min="4" max="4" width="15.5703125" style="43" customWidth="1"/>
    <col min="5" max="5" width="14.85546875" style="43" customWidth="1"/>
    <col min="6" max="6" width="13.42578125" style="43" customWidth="1"/>
    <col min="7" max="8" width="9.7109375" style="43" customWidth="1"/>
    <col min="9" max="9" width="8.85546875" style="43" customWidth="1"/>
    <col min="10" max="10" width="8.28515625" style="43" customWidth="1"/>
    <col min="11" max="11" width="6.7109375" style="43" customWidth="1"/>
    <col min="12" max="12" width="3.5703125" style="43" customWidth="1"/>
    <col min="13" max="13" width="7.85546875" style="43" customWidth="1"/>
    <col min="14" max="14" width="8.28515625" style="43" customWidth="1"/>
    <col min="15" max="15" width="6.85546875" style="43" bestFit="1" customWidth="1"/>
    <col min="16" max="16" width="7.42578125" style="43" customWidth="1"/>
    <col min="17" max="17" width="7.28515625" style="43" customWidth="1"/>
    <col min="18" max="18" width="3.85546875" style="43" customWidth="1"/>
    <col min="19" max="19" width="8" style="43" customWidth="1"/>
    <col min="20" max="20" width="7.5703125" style="43" customWidth="1"/>
    <col min="21" max="21" width="3.85546875" style="43" customWidth="1"/>
    <col min="22" max="253" width="11.42578125" style="43"/>
    <col min="254" max="254" width="11.42578125" style="43" customWidth="1"/>
    <col min="255" max="255" width="19.28515625" style="43" customWidth="1"/>
    <col min="256" max="256" width="9.28515625" style="43" customWidth="1"/>
    <col min="257" max="257" width="11" style="43" customWidth="1"/>
    <col min="258" max="258" width="11.85546875" style="43" customWidth="1"/>
    <col min="259" max="259" width="11.28515625" style="43" customWidth="1"/>
    <col min="260" max="260" width="9.7109375" style="43" customWidth="1"/>
    <col min="261" max="261" width="8.85546875" style="43" customWidth="1"/>
    <col min="262" max="262" width="8.28515625" style="43" customWidth="1"/>
    <col min="263" max="263" width="11.42578125" style="43" customWidth="1"/>
    <col min="264" max="264" width="16.7109375" style="43" customWidth="1"/>
    <col min="265" max="265" width="18.7109375" style="43" customWidth="1"/>
    <col min="266" max="266" width="10.85546875" style="43" customWidth="1"/>
    <col min="267" max="509" width="11.42578125" style="43"/>
    <col min="510" max="510" width="11.42578125" style="43" customWidth="1"/>
    <col min="511" max="511" width="19.28515625" style="43" customWidth="1"/>
    <col min="512" max="512" width="9.28515625" style="43" customWidth="1"/>
    <col min="513" max="513" width="11" style="43" customWidth="1"/>
    <col min="514" max="514" width="11.85546875" style="43" customWidth="1"/>
    <col min="515" max="515" width="11.28515625" style="43" customWidth="1"/>
    <col min="516" max="516" width="9.7109375" style="43" customWidth="1"/>
    <col min="517" max="517" width="8.85546875" style="43" customWidth="1"/>
    <col min="518" max="518" width="8.28515625" style="43" customWidth="1"/>
    <col min="519" max="519" width="11.42578125" style="43" customWidth="1"/>
    <col min="520" max="520" width="16.7109375" style="43" customWidth="1"/>
    <col min="521" max="521" width="18.7109375" style="43" customWidth="1"/>
    <col min="522" max="522" width="10.85546875" style="43" customWidth="1"/>
    <col min="523" max="765" width="11.42578125" style="43"/>
    <col min="766" max="766" width="11.42578125" style="43" customWidth="1"/>
    <col min="767" max="767" width="19.28515625" style="43" customWidth="1"/>
    <col min="768" max="768" width="9.28515625" style="43" customWidth="1"/>
    <col min="769" max="769" width="11" style="43" customWidth="1"/>
    <col min="770" max="770" width="11.85546875" style="43" customWidth="1"/>
    <col min="771" max="771" width="11.28515625" style="43" customWidth="1"/>
    <col min="772" max="772" width="9.7109375" style="43" customWidth="1"/>
    <col min="773" max="773" width="8.85546875" style="43" customWidth="1"/>
    <col min="774" max="774" width="8.28515625" style="43" customWidth="1"/>
    <col min="775" max="775" width="11.42578125" style="43" customWidth="1"/>
    <col min="776" max="776" width="16.7109375" style="43" customWidth="1"/>
    <col min="777" max="777" width="18.7109375" style="43" customWidth="1"/>
    <col min="778" max="778" width="10.85546875" style="43" customWidth="1"/>
    <col min="779" max="1021" width="11.42578125" style="43"/>
    <col min="1022" max="1022" width="11.42578125" style="43" customWidth="1"/>
    <col min="1023" max="1023" width="19.28515625" style="43" customWidth="1"/>
    <col min="1024" max="1024" width="9.28515625" style="43" customWidth="1"/>
    <col min="1025" max="1025" width="11" style="43" customWidth="1"/>
    <col min="1026" max="1026" width="11.85546875" style="43" customWidth="1"/>
    <col min="1027" max="1027" width="11.28515625" style="43" customWidth="1"/>
    <col min="1028" max="1028" width="9.7109375" style="43" customWidth="1"/>
    <col min="1029" max="1029" width="8.85546875" style="43" customWidth="1"/>
    <col min="1030" max="1030" width="8.28515625" style="43" customWidth="1"/>
    <col min="1031" max="1031" width="11.42578125" style="43" customWidth="1"/>
    <col min="1032" max="1032" width="16.7109375" style="43" customWidth="1"/>
    <col min="1033" max="1033" width="18.7109375" style="43" customWidth="1"/>
    <col min="1034" max="1034" width="10.85546875" style="43" customWidth="1"/>
    <col min="1035" max="1277" width="11.42578125" style="43"/>
    <col min="1278" max="1278" width="11.42578125" style="43" customWidth="1"/>
    <col min="1279" max="1279" width="19.28515625" style="43" customWidth="1"/>
    <col min="1280" max="1280" width="9.28515625" style="43" customWidth="1"/>
    <col min="1281" max="1281" width="11" style="43" customWidth="1"/>
    <col min="1282" max="1282" width="11.85546875" style="43" customWidth="1"/>
    <col min="1283" max="1283" width="11.28515625" style="43" customWidth="1"/>
    <col min="1284" max="1284" width="9.7109375" style="43" customWidth="1"/>
    <col min="1285" max="1285" width="8.85546875" style="43" customWidth="1"/>
    <col min="1286" max="1286" width="8.28515625" style="43" customWidth="1"/>
    <col min="1287" max="1287" width="11.42578125" style="43" customWidth="1"/>
    <col min="1288" max="1288" width="16.7109375" style="43" customWidth="1"/>
    <col min="1289" max="1289" width="18.7109375" style="43" customWidth="1"/>
    <col min="1290" max="1290" width="10.85546875" style="43" customWidth="1"/>
    <col min="1291" max="1533" width="11.42578125" style="43"/>
    <col min="1534" max="1534" width="11.42578125" style="43" customWidth="1"/>
    <col min="1535" max="1535" width="19.28515625" style="43" customWidth="1"/>
    <col min="1536" max="1536" width="9.28515625" style="43" customWidth="1"/>
    <col min="1537" max="1537" width="11" style="43" customWidth="1"/>
    <col min="1538" max="1538" width="11.85546875" style="43" customWidth="1"/>
    <col min="1539" max="1539" width="11.28515625" style="43" customWidth="1"/>
    <col min="1540" max="1540" width="9.7109375" style="43" customWidth="1"/>
    <col min="1541" max="1541" width="8.85546875" style="43" customWidth="1"/>
    <col min="1542" max="1542" width="8.28515625" style="43" customWidth="1"/>
    <col min="1543" max="1543" width="11.42578125" style="43" customWidth="1"/>
    <col min="1544" max="1544" width="16.7109375" style="43" customWidth="1"/>
    <col min="1545" max="1545" width="18.7109375" style="43" customWidth="1"/>
    <col min="1546" max="1546" width="10.85546875" style="43" customWidth="1"/>
    <col min="1547" max="1789" width="11.42578125" style="43"/>
    <col min="1790" max="1790" width="11.42578125" style="43" customWidth="1"/>
    <col min="1791" max="1791" width="19.28515625" style="43" customWidth="1"/>
    <col min="1792" max="1792" width="9.28515625" style="43" customWidth="1"/>
    <col min="1793" max="1793" width="11" style="43" customWidth="1"/>
    <col min="1794" max="1794" width="11.85546875" style="43" customWidth="1"/>
    <col min="1795" max="1795" width="11.28515625" style="43" customWidth="1"/>
    <col min="1796" max="1796" width="9.7109375" style="43" customWidth="1"/>
    <col min="1797" max="1797" width="8.85546875" style="43" customWidth="1"/>
    <col min="1798" max="1798" width="8.28515625" style="43" customWidth="1"/>
    <col min="1799" max="1799" width="11.42578125" style="43" customWidth="1"/>
    <col min="1800" max="1800" width="16.7109375" style="43" customWidth="1"/>
    <col min="1801" max="1801" width="18.7109375" style="43" customWidth="1"/>
    <col min="1802" max="1802" width="10.85546875" style="43" customWidth="1"/>
    <col min="1803" max="2045" width="11.42578125" style="43"/>
    <col min="2046" max="2046" width="11.42578125" style="43" customWidth="1"/>
    <col min="2047" max="2047" width="19.28515625" style="43" customWidth="1"/>
    <col min="2048" max="2048" width="9.28515625" style="43" customWidth="1"/>
    <col min="2049" max="2049" width="11" style="43" customWidth="1"/>
    <col min="2050" max="2050" width="11.85546875" style="43" customWidth="1"/>
    <col min="2051" max="2051" width="11.28515625" style="43" customWidth="1"/>
    <col min="2052" max="2052" width="9.7109375" style="43" customWidth="1"/>
    <col min="2053" max="2053" width="8.85546875" style="43" customWidth="1"/>
    <col min="2054" max="2054" width="8.28515625" style="43" customWidth="1"/>
    <col min="2055" max="2055" width="11.42578125" style="43" customWidth="1"/>
    <col min="2056" max="2056" width="16.7109375" style="43" customWidth="1"/>
    <col min="2057" max="2057" width="18.7109375" style="43" customWidth="1"/>
    <col min="2058" max="2058" width="10.85546875" style="43" customWidth="1"/>
    <col min="2059" max="2301" width="11.42578125" style="43"/>
    <col min="2302" max="2302" width="11.42578125" style="43" customWidth="1"/>
    <col min="2303" max="2303" width="19.28515625" style="43" customWidth="1"/>
    <col min="2304" max="2304" width="9.28515625" style="43" customWidth="1"/>
    <col min="2305" max="2305" width="11" style="43" customWidth="1"/>
    <col min="2306" max="2306" width="11.85546875" style="43" customWidth="1"/>
    <col min="2307" max="2307" width="11.28515625" style="43" customWidth="1"/>
    <col min="2308" max="2308" width="9.7109375" style="43" customWidth="1"/>
    <col min="2309" max="2309" width="8.85546875" style="43" customWidth="1"/>
    <col min="2310" max="2310" width="8.28515625" style="43" customWidth="1"/>
    <col min="2311" max="2311" width="11.42578125" style="43" customWidth="1"/>
    <col min="2312" max="2312" width="16.7109375" style="43" customWidth="1"/>
    <col min="2313" max="2313" width="18.7109375" style="43" customWidth="1"/>
    <col min="2314" max="2314" width="10.85546875" style="43" customWidth="1"/>
    <col min="2315" max="2557" width="11.42578125" style="43"/>
    <col min="2558" max="2558" width="11.42578125" style="43" customWidth="1"/>
    <col min="2559" max="2559" width="19.28515625" style="43" customWidth="1"/>
    <col min="2560" max="2560" width="9.28515625" style="43" customWidth="1"/>
    <col min="2561" max="2561" width="11" style="43" customWidth="1"/>
    <col min="2562" max="2562" width="11.85546875" style="43" customWidth="1"/>
    <col min="2563" max="2563" width="11.28515625" style="43" customWidth="1"/>
    <col min="2564" max="2564" width="9.7109375" style="43" customWidth="1"/>
    <col min="2565" max="2565" width="8.85546875" style="43" customWidth="1"/>
    <col min="2566" max="2566" width="8.28515625" style="43" customWidth="1"/>
    <col min="2567" max="2567" width="11.42578125" style="43" customWidth="1"/>
    <col min="2568" max="2568" width="16.7109375" style="43" customWidth="1"/>
    <col min="2569" max="2569" width="18.7109375" style="43" customWidth="1"/>
    <col min="2570" max="2570" width="10.85546875" style="43" customWidth="1"/>
    <col min="2571" max="2813" width="11.42578125" style="43"/>
    <col min="2814" max="2814" width="11.42578125" style="43" customWidth="1"/>
    <col min="2815" max="2815" width="19.28515625" style="43" customWidth="1"/>
    <col min="2816" max="2816" width="9.28515625" style="43" customWidth="1"/>
    <col min="2817" max="2817" width="11" style="43" customWidth="1"/>
    <col min="2818" max="2818" width="11.85546875" style="43" customWidth="1"/>
    <col min="2819" max="2819" width="11.28515625" style="43" customWidth="1"/>
    <col min="2820" max="2820" width="9.7109375" style="43" customWidth="1"/>
    <col min="2821" max="2821" width="8.85546875" style="43" customWidth="1"/>
    <col min="2822" max="2822" width="8.28515625" style="43" customWidth="1"/>
    <col min="2823" max="2823" width="11.42578125" style="43" customWidth="1"/>
    <col min="2824" max="2824" width="16.7109375" style="43" customWidth="1"/>
    <col min="2825" max="2825" width="18.7109375" style="43" customWidth="1"/>
    <col min="2826" max="2826" width="10.85546875" style="43" customWidth="1"/>
    <col min="2827" max="3069" width="11.42578125" style="43"/>
    <col min="3070" max="3070" width="11.42578125" style="43" customWidth="1"/>
    <col min="3071" max="3071" width="19.28515625" style="43" customWidth="1"/>
    <col min="3072" max="3072" width="9.28515625" style="43" customWidth="1"/>
    <col min="3073" max="3073" width="11" style="43" customWidth="1"/>
    <col min="3074" max="3074" width="11.85546875" style="43" customWidth="1"/>
    <col min="3075" max="3075" width="11.28515625" style="43" customWidth="1"/>
    <col min="3076" max="3076" width="9.7109375" style="43" customWidth="1"/>
    <col min="3077" max="3077" width="8.85546875" style="43" customWidth="1"/>
    <col min="3078" max="3078" width="8.28515625" style="43" customWidth="1"/>
    <col min="3079" max="3079" width="11.42578125" style="43" customWidth="1"/>
    <col min="3080" max="3080" width="16.7109375" style="43" customWidth="1"/>
    <col min="3081" max="3081" width="18.7109375" style="43" customWidth="1"/>
    <col min="3082" max="3082" width="10.85546875" style="43" customWidth="1"/>
    <col min="3083" max="3325" width="11.42578125" style="43"/>
    <col min="3326" max="3326" width="11.42578125" style="43" customWidth="1"/>
    <col min="3327" max="3327" width="19.28515625" style="43" customWidth="1"/>
    <col min="3328" max="3328" width="9.28515625" style="43" customWidth="1"/>
    <col min="3329" max="3329" width="11" style="43" customWidth="1"/>
    <col min="3330" max="3330" width="11.85546875" style="43" customWidth="1"/>
    <col min="3331" max="3331" width="11.28515625" style="43" customWidth="1"/>
    <col min="3332" max="3332" width="9.7109375" style="43" customWidth="1"/>
    <col min="3333" max="3333" width="8.85546875" style="43" customWidth="1"/>
    <col min="3334" max="3334" width="8.28515625" style="43" customWidth="1"/>
    <col min="3335" max="3335" width="11.42578125" style="43" customWidth="1"/>
    <col min="3336" max="3336" width="16.7109375" style="43" customWidth="1"/>
    <col min="3337" max="3337" width="18.7109375" style="43" customWidth="1"/>
    <col min="3338" max="3338" width="10.85546875" style="43" customWidth="1"/>
    <col min="3339" max="3581" width="11.42578125" style="43"/>
    <col min="3582" max="3582" width="11.42578125" style="43" customWidth="1"/>
    <col min="3583" max="3583" width="19.28515625" style="43" customWidth="1"/>
    <col min="3584" max="3584" width="9.28515625" style="43" customWidth="1"/>
    <col min="3585" max="3585" width="11" style="43" customWidth="1"/>
    <col min="3586" max="3586" width="11.85546875" style="43" customWidth="1"/>
    <col min="3587" max="3587" width="11.28515625" style="43" customWidth="1"/>
    <col min="3588" max="3588" width="9.7109375" style="43" customWidth="1"/>
    <col min="3589" max="3589" width="8.85546875" style="43" customWidth="1"/>
    <col min="3590" max="3590" width="8.28515625" style="43" customWidth="1"/>
    <col min="3591" max="3591" width="11.42578125" style="43" customWidth="1"/>
    <col min="3592" max="3592" width="16.7109375" style="43" customWidth="1"/>
    <col min="3593" max="3593" width="18.7109375" style="43" customWidth="1"/>
    <col min="3594" max="3594" width="10.85546875" style="43" customWidth="1"/>
    <col min="3595" max="3837" width="11.42578125" style="43"/>
    <col min="3838" max="3838" width="11.42578125" style="43" customWidth="1"/>
    <col min="3839" max="3839" width="19.28515625" style="43" customWidth="1"/>
    <col min="3840" max="3840" width="9.28515625" style="43" customWidth="1"/>
    <col min="3841" max="3841" width="11" style="43" customWidth="1"/>
    <col min="3842" max="3842" width="11.85546875" style="43" customWidth="1"/>
    <col min="3843" max="3843" width="11.28515625" style="43" customWidth="1"/>
    <col min="3844" max="3844" width="9.7109375" style="43" customWidth="1"/>
    <col min="3845" max="3845" width="8.85546875" style="43" customWidth="1"/>
    <col min="3846" max="3846" width="8.28515625" style="43" customWidth="1"/>
    <col min="3847" max="3847" width="11.42578125" style="43" customWidth="1"/>
    <col min="3848" max="3848" width="16.7109375" style="43" customWidth="1"/>
    <col min="3849" max="3849" width="18.7109375" style="43" customWidth="1"/>
    <col min="3850" max="3850" width="10.85546875" style="43" customWidth="1"/>
    <col min="3851" max="4093" width="11.42578125" style="43"/>
    <col min="4094" max="4094" width="11.42578125" style="43" customWidth="1"/>
    <col min="4095" max="4095" width="19.28515625" style="43" customWidth="1"/>
    <col min="4096" max="4096" width="9.28515625" style="43" customWidth="1"/>
    <col min="4097" max="4097" width="11" style="43" customWidth="1"/>
    <col min="4098" max="4098" width="11.85546875" style="43" customWidth="1"/>
    <col min="4099" max="4099" width="11.28515625" style="43" customWidth="1"/>
    <col min="4100" max="4100" width="9.7109375" style="43" customWidth="1"/>
    <col min="4101" max="4101" width="8.85546875" style="43" customWidth="1"/>
    <col min="4102" max="4102" width="8.28515625" style="43" customWidth="1"/>
    <col min="4103" max="4103" width="11.42578125" style="43" customWidth="1"/>
    <col min="4104" max="4104" width="16.7109375" style="43" customWidth="1"/>
    <col min="4105" max="4105" width="18.7109375" style="43" customWidth="1"/>
    <col min="4106" max="4106" width="10.85546875" style="43" customWidth="1"/>
    <col min="4107" max="4349" width="11.42578125" style="43"/>
    <col min="4350" max="4350" width="11.42578125" style="43" customWidth="1"/>
    <col min="4351" max="4351" width="19.28515625" style="43" customWidth="1"/>
    <col min="4352" max="4352" width="9.28515625" style="43" customWidth="1"/>
    <col min="4353" max="4353" width="11" style="43" customWidth="1"/>
    <col min="4354" max="4354" width="11.85546875" style="43" customWidth="1"/>
    <col min="4355" max="4355" width="11.28515625" style="43" customWidth="1"/>
    <col min="4356" max="4356" width="9.7109375" style="43" customWidth="1"/>
    <col min="4357" max="4357" width="8.85546875" style="43" customWidth="1"/>
    <col min="4358" max="4358" width="8.28515625" style="43" customWidth="1"/>
    <col min="4359" max="4359" width="11.42578125" style="43" customWidth="1"/>
    <col min="4360" max="4360" width="16.7109375" style="43" customWidth="1"/>
    <col min="4361" max="4361" width="18.7109375" style="43" customWidth="1"/>
    <col min="4362" max="4362" width="10.85546875" style="43" customWidth="1"/>
    <col min="4363" max="4605" width="11.42578125" style="43"/>
    <col min="4606" max="4606" width="11.42578125" style="43" customWidth="1"/>
    <col min="4607" max="4607" width="19.28515625" style="43" customWidth="1"/>
    <col min="4608" max="4608" width="9.28515625" style="43" customWidth="1"/>
    <col min="4609" max="4609" width="11" style="43" customWidth="1"/>
    <col min="4610" max="4610" width="11.85546875" style="43" customWidth="1"/>
    <col min="4611" max="4611" width="11.28515625" style="43" customWidth="1"/>
    <col min="4612" max="4612" width="9.7109375" style="43" customWidth="1"/>
    <col min="4613" max="4613" width="8.85546875" style="43" customWidth="1"/>
    <col min="4614" max="4614" width="8.28515625" style="43" customWidth="1"/>
    <col min="4615" max="4615" width="11.42578125" style="43" customWidth="1"/>
    <col min="4616" max="4616" width="16.7109375" style="43" customWidth="1"/>
    <col min="4617" max="4617" width="18.7109375" style="43" customWidth="1"/>
    <col min="4618" max="4618" width="10.85546875" style="43" customWidth="1"/>
    <col min="4619" max="4861" width="11.42578125" style="43"/>
    <col min="4862" max="4862" width="11.42578125" style="43" customWidth="1"/>
    <col min="4863" max="4863" width="19.28515625" style="43" customWidth="1"/>
    <col min="4864" max="4864" width="9.28515625" style="43" customWidth="1"/>
    <col min="4865" max="4865" width="11" style="43" customWidth="1"/>
    <col min="4866" max="4866" width="11.85546875" style="43" customWidth="1"/>
    <col min="4867" max="4867" width="11.28515625" style="43" customWidth="1"/>
    <col min="4868" max="4868" width="9.7109375" style="43" customWidth="1"/>
    <col min="4869" max="4869" width="8.85546875" style="43" customWidth="1"/>
    <col min="4870" max="4870" width="8.28515625" style="43" customWidth="1"/>
    <col min="4871" max="4871" width="11.42578125" style="43" customWidth="1"/>
    <col min="4872" max="4872" width="16.7109375" style="43" customWidth="1"/>
    <col min="4873" max="4873" width="18.7109375" style="43" customWidth="1"/>
    <col min="4874" max="4874" width="10.85546875" style="43" customWidth="1"/>
    <col min="4875" max="5117" width="11.42578125" style="43"/>
    <col min="5118" max="5118" width="11.42578125" style="43" customWidth="1"/>
    <col min="5119" max="5119" width="19.28515625" style="43" customWidth="1"/>
    <col min="5120" max="5120" width="9.28515625" style="43" customWidth="1"/>
    <col min="5121" max="5121" width="11" style="43" customWidth="1"/>
    <col min="5122" max="5122" width="11.85546875" style="43" customWidth="1"/>
    <col min="5123" max="5123" width="11.28515625" style="43" customWidth="1"/>
    <col min="5124" max="5124" width="9.7109375" style="43" customWidth="1"/>
    <col min="5125" max="5125" width="8.85546875" style="43" customWidth="1"/>
    <col min="5126" max="5126" width="8.28515625" style="43" customWidth="1"/>
    <col min="5127" max="5127" width="11.42578125" style="43" customWidth="1"/>
    <col min="5128" max="5128" width="16.7109375" style="43" customWidth="1"/>
    <col min="5129" max="5129" width="18.7109375" style="43" customWidth="1"/>
    <col min="5130" max="5130" width="10.85546875" style="43" customWidth="1"/>
    <col min="5131" max="5373" width="11.42578125" style="43"/>
    <col min="5374" max="5374" width="11.42578125" style="43" customWidth="1"/>
    <col min="5375" max="5375" width="19.28515625" style="43" customWidth="1"/>
    <col min="5376" max="5376" width="9.28515625" style="43" customWidth="1"/>
    <col min="5377" max="5377" width="11" style="43" customWidth="1"/>
    <col min="5378" max="5378" width="11.85546875" style="43" customWidth="1"/>
    <col min="5379" max="5379" width="11.28515625" style="43" customWidth="1"/>
    <col min="5380" max="5380" width="9.7109375" style="43" customWidth="1"/>
    <col min="5381" max="5381" width="8.85546875" style="43" customWidth="1"/>
    <col min="5382" max="5382" width="8.28515625" style="43" customWidth="1"/>
    <col min="5383" max="5383" width="11.42578125" style="43" customWidth="1"/>
    <col min="5384" max="5384" width="16.7109375" style="43" customWidth="1"/>
    <col min="5385" max="5385" width="18.7109375" style="43" customWidth="1"/>
    <col min="5386" max="5386" width="10.85546875" style="43" customWidth="1"/>
    <col min="5387" max="5629" width="11.42578125" style="43"/>
    <col min="5630" max="5630" width="11.42578125" style="43" customWidth="1"/>
    <col min="5631" max="5631" width="19.28515625" style="43" customWidth="1"/>
    <col min="5632" max="5632" width="9.28515625" style="43" customWidth="1"/>
    <col min="5633" max="5633" width="11" style="43" customWidth="1"/>
    <col min="5634" max="5634" width="11.85546875" style="43" customWidth="1"/>
    <col min="5635" max="5635" width="11.28515625" style="43" customWidth="1"/>
    <col min="5636" max="5636" width="9.7109375" style="43" customWidth="1"/>
    <col min="5637" max="5637" width="8.85546875" style="43" customWidth="1"/>
    <col min="5638" max="5638" width="8.28515625" style="43" customWidth="1"/>
    <col min="5639" max="5639" width="11.42578125" style="43" customWidth="1"/>
    <col min="5640" max="5640" width="16.7109375" style="43" customWidth="1"/>
    <col min="5641" max="5641" width="18.7109375" style="43" customWidth="1"/>
    <col min="5642" max="5642" width="10.85546875" style="43" customWidth="1"/>
    <col min="5643" max="5885" width="11.42578125" style="43"/>
    <col min="5886" max="5886" width="11.42578125" style="43" customWidth="1"/>
    <col min="5887" max="5887" width="19.28515625" style="43" customWidth="1"/>
    <col min="5888" max="5888" width="9.28515625" style="43" customWidth="1"/>
    <col min="5889" max="5889" width="11" style="43" customWidth="1"/>
    <col min="5890" max="5890" width="11.85546875" style="43" customWidth="1"/>
    <col min="5891" max="5891" width="11.28515625" style="43" customWidth="1"/>
    <col min="5892" max="5892" width="9.7109375" style="43" customWidth="1"/>
    <col min="5893" max="5893" width="8.85546875" style="43" customWidth="1"/>
    <col min="5894" max="5894" width="8.28515625" style="43" customWidth="1"/>
    <col min="5895" max="5895" width="11.42578125" style="43" customWidth="1"/>
    <col min="5896" max="5896" width="16.7109375" style="43" customWidth="1"/>
    <col min="5897" max="5897" width="18.7109375" style="43" customWidth="1"/>
    <col min="5898" max="5898" width="10.85546875" style="43" customWidth="1"/>
    <col min="5899" max="6141" width="11.42578125" style="43"/>
    <col min="6142" max="6142" width="11.42578125" style="43" customWidth="1"/>
    <col min="6143" max="6143" width="19.28515625" style="43" customWidth="1"/>
    <col min="6144" max="6144" width="9.28515625" style="43" customWidth="1"/>
    <col min="6145" max="6145" width="11" style="43" customWidth="1"/>
    <col min="6146" max="6146" width="11.85546875" style="43" customWidth="1"/>
    <col min="6147" max="6147" width="11.28515625" style="43" customWidth="1"/>
    <col min="6148" max="6148" width="9.7109375" style="43" customWidth="1"/>
    <col min="6149" max="6149" width="8.85546875" style="43" customWidth="1"/>
    <col min="6150" max="6150" width="8.28515625" style="43" customWidth="1"/>
    <col min="6151" max="6151" width="11.42578125" style="43" customWidth="1"/>
    <col min="6152" max="6152" width="16.7109375" style="43" customWidth="1"/>
    <col min="6153" max="6153" width="18.7109375" style="43" customWidth="1"/>
    <col min="6154" max="6154" width="10.85546875" style="43" customWidth="1"/>
    <col min="6155" max="6397" width="11.42578125" style="43"/>
    <col min="6398" max="6398" width="11.42578125" style="43" customWidth="1"/>
    <col min="6399" max="6399" width="19.28515625" style="43" customWidth="1"/>
    <col min="6400" max="6400" width="9.28515625" style="43" customWidth="1"/>
    <col min="6401" max="6401" width="11" style="43" customWidth="1"/>
    <col min="6402" max="6402" width="11.85546875" style="43" customWidth="1"/>
    <col min="6403" max="6403" width="11.28515625" style="43" customWidth="1"/>
    <col min="6404" max="6404" width="9.7109375" style="43" customWidth="1"/>
    <col min="6405" max="6405" width="8.85546875" style="43" customWidth="1"/>
    <col min="6406" max="6406" width="8.28515625" style="43" customWidth="1"/>
    <col min="6407" max="6407" width="11.42578125" style="43" customWidth="1"/>
    <col min="6408" max="6408" width="16.7109375" style="43" customWidth="1"/>
    <col min="6409" max="6409" width="18.7109375" style="43" customWidth="1"/>
    <col min="6410" max="6410" width="10.85546875" style="43" customWidth="1"/>
    <col min="6411" max="6653" width="11.42578125" style="43"/>
    <col min="6654" max="6654" width="11.42578125" style="43" customWidth="1"/>
    <col min="6655" max="6655" width="19.28515625" style="43" customWidth="1"/>
    <col min="6656" max="6656" width="9.28515625" style="43" customWidth="1"/>
    <col min="6657" max="6657" width="11" style="43" customWidth="1"/>
    <col min="6658" max="6658" width="11.85546875" style="43" customWidth="1"/>
    <col min="6659" max="6659" width="11.28515625" style="43" customWidth="1"/>
    <col min="6660" max="6660" width="9.7109375" style="43" customWidth="1"/>
    <col min="6661" max="6661" width="8.85546875" style="43" customWidth="1"/>
    <col min="6662" max="6662" width="8.28515625" style="43" customWidth="1"/>
    <col min="6663" max="6663" width="11.42578125" style="43" customWidth="1"/>
    <col min="6664" max="6664" width="16.7109375" style="43" customWidth="1"/>
    <col min="6665" max="6665" width="18.7109375" style="43" customWidth="1"/>
    <col min="6666" max="6666" width="10.85546875" style="43" customWidth="1"/>
    <col min="6667" max="6909" width="11.42578125" style="43"/>
    <col min="6910" max="6910" width="11.42578125" style="43" customWidth="1"/>
    <col min="6911" max="6911" width="19.28515625" style="43" customWidth="1"/>
    <col min="6912" max="6912" width="9.28515625" style="43" customWidth="1"/>
    <col min="6913" max="6913" width="11" style="43" customWidth="1"/>
    <col min="6914" max="6914" width="11.85546875" style="43" customWidth="1"/>
    <col min="6915" max="6915" width="11.28515625" style="43" customWidth="1"/>
    <col min="6916" max="6916" width="9.7109375" style="43" customWidth="1"/>
    <col min="6917" max="6917" width="8.85546875" style="43" customWidth="1"/>
    <col min="6918" max="6918" width="8.28515625" style="43" customWidth="1"/>
    <col min="6919" max="6919" width="11.42578125" style="43" customWidth="1"/>
    <col min="6920" max="6920" width="16.7109375" style="43" customWidth="1"/>
    <col min="6921" max="6921" width="18.7109375" style="43" customWidth="1"/>
    <col min="6922" max="6922" width="10.85546875" style="43" customWidth="1"/>
    <col min="6923" max="7165" width="11.42578125" style="43"/>
    <col min="7166" max="7166" width="11.42578125" style="43" customWidth="1"/>
    <col min="7167" max="7167" width="19.28515625" style="43" customWidth="1"/>
    <col min="7168" max="7168" width="9.28515625" style="43" customWidth="1"/>
    <col min="7169" max="7169" width="11" style="43" customWidth="1"/>
    <col min="7170" max="7170" width="11.85546875" style="43" customWidth="1"/>
    <col min="7171" max="7171" width="11.28515625" style="43" customWidth="1"/>
    <col min="7172" max="7172" width="9.7109375" style="43" customWidth="1"/>
    <col min="7173" max="7173" width="8.85546875" style="43" customWidth="1"/>
    <col min="7174" max="7174" width="8.28515625" style="43" customWidth="1"/>
    <col min="7175" max="7175" width="11.42578125" style="43" customWidth="1"/>
    <col min="7176" max="7176" width="16.7109375" style="43" customWidth="1"/>
    <col min="7177" max="7177" width="18.7109375" style="43" customWidth="1"/>
    <col min="7178" max="7178" width="10.85546875" style="43" customWidth="1"/>
    <col min="7179" max="7421" width="11.42578125" style="43"/>
    <col min="7422" max="7422" width="11.42578125" style="43" customWidth="1"/>
    <col min="7423" max="7423" width="19.28515625" style="43" customWidth="1"/>
    <col min="7424" max="7424" width="9.28515625" style="43" customWidth="1"/>
    <col min="7425" max="7425" width="11" style="43" customWidth="1"/>
    <col min="7426" max="7426" width="11.85546875" style="43" customWidth="1"/>
    <col min="7427" max="7427" width="11.28515625" style="43" customWidth="1"/>
    <col min="7428" max="7428" width="9.7109375" style="43" customWidth="1"/>
    <col min="7429" max="7429" width="8.85546875" style="43" customWidth="1"/>
    <col min="7430" max="7430" width="8.28515625" style="43" customWidth="1"/>
    <col min="7431" max="7431" width="11.42578125" style="43" customWidth="1"/>
    <col min="7432" max="7432" width="16.7109375" style="43" customWidth="1"/>
    <col min="7433" max="7433" width="18.7109375" style="43" customWidth="1"/>
    <col min="7434" max="7434" width="10.85546875" style="43" customWidth="1"/>
    <col min="7435" max="7677" width="11.42578125" style="43"/>
    <col min="7678" max="7678" width="11.42578125" style="43" customWidth="1"/>
    <col min="7679" max="7679" width="19.28515625" style="43" customWidth="1"/>
    <col min="7680" max="7680" width="9.28515625" style="43" customWidth="1"/>
    <col min="7681" max="7681" width="11" style="43" customWidth="1"/>
    <col min="7682" max="7682" width="11.85546875" style="43" customWidth="1"/>
    <col min="7683" max="7683" width="11.28515625" style="43" customWidth="1"/>
    <col min="7684" max="7684" width="9.7109375" style="43" customWidth="1"/>
    <col min="7685" max="7685" width="8.85546875" style="43" customWidth="1"/>
    <col min="7686" max="7686" width="8.28515625" style="43" customWidth="1"/>
    <col min="7687" max="7687" width="11.42578125" style="43" customWidth="1"/>
    <col min="7688" max="7688" width="16.7109375" style="43" customWidth="1"/>
    <col min="7689" max="7689" width="18.7109375" style="43" customWidth="1"/>
    <col min="7690" max="7690" width="10.85546875" style="43" customWidth="1"/>
    <col min="7691" max="7933" width="11.42578125" style="43"/>
    <col min="7934" max="7934" width="11.42578125" style="43" customWidth="1"/>
    <col min="7935" max="7935" width="19.28515625" style="43" customWidth="1"/>
    <col min="7936" max="7936" width="9.28515625" style="43" customWidth="1"/>
    <col min="7937" max="7937" width="11" style="43" customWidth="1"/>
    <col min="7938" max="7938" width="11.85546875" style="43" customWidth="1"/>
    <col min="7939" max="7939" width="11.28515625" style="43" customWidth="1"/>
    <col min="7940" max="7940" width="9.7109375" style="43" customWidth="1"/>
    <col min="7941" max="7941" width="8.85546875" style="43" customWidth="1"/>
    <col min="7942" max="7942" width="8.28515625" style="43" customWidth="1"/>
    <col min="7943" max="7943" width="11.42578125" style="43" customWidth="1"/>
    <col min="7944" max="7944" width="16.7109375" style="43" customWidth="1"/>
    <col min="7945" max="7945" width="18.7109375" style="43" customWidth="1"/>
    <col min="7946" max="7946" width="10.85546875" style="43" customWidth="1"/>
    <col min="7947" max="8189" width="11.42578125" style="43"/>
    <col min="8190" max="8190" width="11.42578125" style="43" customWidth="1"/>
    <col min="8191" max="8191" width="19.28515625" style="43" customWidth="1"/>
    <col min="8192" max="8192" width="9.28515625" style="43" customWidth="1"/>
    <col min="8193" max="8193" width="11" style="43" customWidth="1"/>
    <col min="8194" max="8194" width="11.85546875" style="43" customWidth="1"/>
    <col min="8195" max="8195" width="11.28515625" style="43" customWidth="1"/>
    <col min="8196" max="8196" width="9.7109375" style="43" customWidth="1"/>
    <col min="8197" max="8197" width="8.85546875" style="43" customWidth="1"/>
    <col min="8198" max="8198" width="8.28515625" style="43" customWidth="1"/>
    <col min="8199" max="8199" width="11.42578125" style="43" customWidth="1"/>
    <col min="8200" max="8200" width="16.7109375" style="43" customWidth="1"/>
    <col min="8201" max="8201" width="18.7109375" style="43" customWidth="1"/>
    <col min="8202" max="8202" width="10.85546875" style="43" customWidth="1"/>
    <col min="8203" max="8445" width="11.42578125" style="43"/>
    <col min="8446" max="8446" width="11.42578125" style="43" customWidth="1"/>
    <col min="8447" max="8447" width="19.28515625" style="43" customWidth="1"/>
    <col min="8448" max="8448" width="9.28515625" style="43" customWidth="1"/>
    <col min="8449" max="8449" width="11" style="43" customWidth="1"/>
    <col min="8450" max="8450" width="11.85546875" style="43" customWidth="1"/>
    <col min="8451" max="8451" width="11.28515625" style="43" customWidth="1"/>
    <col min="8452" max="8452" width="9.7109375" style="43" customWidth="1"/>
    <col min="8453" max="8453" width="8.85546875" style="43" customWidth="1"/>
    <col min="8454" max="8454" width="8.28515625" style="43" customWidth="1"/>
    <col min="8455" max="8455" width="11.42578125" style="43" customWidth="1"/>
    <col min="8456" max="8456" width="16.7109375" style="43" customWidth="1"/>
    <col min="8457" max="8457" width="18.7109375" style="43" customWidth="1"/>
    <col min="8458" max="8458" width="10.85546875" style="43" customWidth="1"/>
    <col min="8459" max="8701" width="11.42578125" style="43"/>
    <col min="8702" max="8702" width="11.42578125" style="43" customWidth="1"/>
    <col min="8703" max="8703" width="19.28515625" style="43" customWidth="1"/>
    <col min="8704" max="8704" width="9.28515625" style="43" customWidth="1"/>
    <col min="8705" max="8705" width="11" style="43" customWidth="1"/>
    <col min="8706" max="8706" width="11.85546875" style="43" customWidth="1"/>
    <col min="8707" max="8707" width="11.28515625" style="43" customWidth="1"/>
    <col min="8708" max="8708" width="9.7109375" style="43" customWidth="1"/>
    <col min="8709" max="8709" width="8.85546875" style="43" customWidth="1"/>
    <col min="8710" max="8710" width="8.28515625" style="43" customWidth="1"/>
    <col min="8711" max="8711" width="11.42578125" style="43" customWidth="1"/>
    <col min="8712" max="8712" width="16.7109375" style="43" customWidth="1"/>
    <col min="8713" max="8713" width="18.7109375" style="43" customWidth="1"/>
    <col min="8714" max="8714" width="10.85546875" style="43" customWidth="1"/>
    <col min="8715" max="8957" width="11.42578125" style="43"/>
    <col min="8958" max="8958" width="11.42578125" style="43" customWidth="1"/>
    <col min="8959" max="8959" width="19.28515625" style="43" customWidth="1"/>
    <col min="8960" max="8960" width="9.28515625" style="43" customWidth="1"/>
    <col min="8961" max="8961" width="11" style="43" customWidth="1"/>
    <col min="8962" max="8962" width="11.85546875" style="43" customWidth="1"/>
    <col min="8963" max="8963" width="11.28515625" style="43" customWidth="1"/>
    <col min="8964" max="8964" width="9.7109375" style="43" customWidth="1"/>
    <col min="8965" max="8965" width="8.85546875" style="43" customWidth="1"/>
    <col min="8966" max="8966" width="8.28515625" style="43" customWidth="1"/>
    <col min="8967" max="8967" width="11.42578125" style="43" customWidth="1"/>
    <col min="8968" max="8968" width="16.7109375" style="43" customWidth="1"/>
    <col min="8969" max="8969" width="18.7109375" style="43" customWidth="1"/>
    <col min="8970" max="8970" width="10.85546875" style="43" customWidth="1"/>
    <col min="8971" max="9213" width="11.42578125" style="43"/>
    <col min="9214" max="9214" width="11.42578125" style="43" customWidth="1"/>
    <col min="9215" max="9215" width="19.28515625" style="43" customWidth="1"/>
    <col min="9216" max="9216" width="9.28515625" style="43" customWidth="1"/>
    <col min="9217" max="9217" width="11" style="43" customWidth="1"/>
    <col min="9218" max="9218" width="11.85546875" style="43" customWidth="1"/>
    <col min="9219" max="9219" width="11.28515625" style="43" customWidth="1"/>
    <col min="9220" max="9220" width="9.7109375" style="43" customWidth="1"/>
    <col min="9221" max="9221" width="8.85546875" style="43" customWidth="1"/>
    <col min="9222" max="9222" width="8.28515625" style="43" customWidth="1"/>
    <col min="9223" max="9223" width="11.42578125" style="43" customWidth="1"/>
    <col min="9224" max="9224" width="16.7109375" style="43" customWidth="1"/>
    <col min="9225" max="9225" width="18.7109375" style="43" customWidth="1"/>
    <col min="9226" max="9226" width="10.85546875" style="43" customWidth="1"/>
    <col min="9227" max="9469" width="11.42578125" style="43"/>
    <col min="9470" max="9470" width="11.42578125" style="43" customWidth="1"/>
    <col min="9471" max="9471" width="19.28515625" style="43" customWidth="1"/>
    <col min="9472" max="9472" width="9.28515625" style="43" customWidth="1"/>
    <col min="9473" max="9473" width="11" style="43" customWidth="1"/>
    <col min="9474" max="9474" width="11.85546875" style="43" customWidth="1"/>
    <col min="9475" max="9475" width="11.28515625" style="43" customWidth="1"/>
    <col min="9476" max="9476" width="9.7109375" style="43" customWidth="1"/>
    <col min="9477" max="9477" width="8.85546875" style="43" customWidth="1"/>
    <col min="9478" max="9478" width="8.28515625" style="43" customWidth="1"/>
    <col min="9479" max="9479" width="11.42578125" style="43" customWidth="1"/>
    <col min="9480" max="9480" width="16.7109375" style="43" customWidth="1"/>
    <col min="9481" max="9481" width="18.7109375" style="43" customWidth="1"/>
    <col min="9482" max="9482" width="10.85546875" style="43" customWidth="1"/>
    <col min="9483" max="9725" width="11.42578125" style="43"/>
    <col min="9726" max="9726" width="11.42578125" style="43" customWidth="1"/>
    <col min="9727" max="9727" width="19.28515625" style="43" customWidth="1"/>
    <col min="9728" max="9728" width="9.28515625" style="43" customWidth="1"/>
    <col min="9729" max="9729" width="11" style="43" customWidth="1"/>
    <col min="9730" max="9730" width="11.85546875" style="43" customWidth="1"/>
    <col min="9731" max="9731" width="11.28515625" style="43" customWidth="1"/>
    <col min="9732" max="9732" width="9.7109375" style="43" customWidth="1"/>
    <col min="9733" max="9733" width="8.85546875" style="43" customWidth="1"/>
    <col min="9734" max="9734" width="8.28515625" style="43" customWidth="1"/>
    <col min="9735" max="9735" width="11.42578125" style="43" customWidth="1"/>
    <col min="9736" max="9736" width="16.7109375" style="43" customWidth="1"/>
    <col min="9737" max="9737" width="18.7109375" style="43" customWidth="1"/>
    <col min="9738" max="9738" width="10.85546875" style="43" customWidth="1"/>
    <col min="9739" max="9981" width="11.42578125" style="43"/>
    <col min="9982" max="9982" width="11.42578125" style="43" customWidth="1"/>
    <col min="9983" max="9983" width="19.28515625" style="43" customWidth="1"/>
    <col min="9984" max="9984" width="9.28515625" style="43" customWidth="1"/>
    <col min="9985" max="9985" width="11" style="43" customWidth="1"/>
    <col min="9986" max="9986" width="11.85546875" style="43" customWidth="1"/>
    <col min="9987" max="9987" width="11.28515625" style="43" customWidth="1"/>
    <col min="9988" max="9988" width="9.7109375" style="43" customWidth="1"/>
    <col min="9989" max="9989" width="8.85546875" style="43" customWidth="1"/>
    <col min="9990" max="9990" width="8.28515625" style="43" customWidth="1"/>
    <col min="9991" max="9991" width="11.42578125" style="43" customWidth="1"/>
    <col min="9992" max="9992" width="16.7109375" style="43" customWidth="1"/>
    <col min="9993" max="9993" width="18.7109375" style="43" customWidth="1"/>
    <col min="9994" max="9994" width="10.85546875" style="43" customWidth="1"/>
    <col min="9995" max="10237" width="11.42578125" style="43"/>
    <col min="10238" max="10238" width="11.42578125" style="43" customWidth="1"/>
    <col min="10239" max="10239" width="19.28515625" style="43" customWidth="1"/>
    <col min="10240" max="10240" width="9.28515625" style="43" customWidth="1"/>
    <col min="10241" max="10241" width="11" style="43" customWidth="1"/>
    <col min="10242" max="10242" width="11.85546875" style="43" customWidth="1"/>
    <col min="10243" max="10243" width="11.28515625" style="43" customWidth="1"/>
    <col min="10244" max="10244" width="9.7109375" style="43" customWidth="1"/>
    <col min="10245" max="10245" width="8.85546875" style="43" customWidth="1"/>
    <col min="10246" max="10246" width="8.28515625" style="43" customWidth="1"/>
    <col min="10247" max="10247" width="11.42578125" style="43" customWidth="1"/>
    <col min="10248" max="10248" width="16.7109375" style="43" customWidth="1"/>
    <col min="10249" max="10249" width="18.7109375" style="43" customWidth="1"/>
    <col min="10250" max="10250" width="10.85546875" style="43" customWidth="1"/>
    <col min="10251" max="10493" width="11.42578125" style="43"/>
    <col min="10494" max="10494" width="11.42578125" style="43" customWidth="1"/>
    <col min="10495" max="10495" width="19.28515625" style="43" customWidth="1"/>
    <col min="10496" max="10496" width="9.28515625" style="43" customWidth="1"/>
    <col min="10497" max="10497" width="11" style="43" customWidth="1"/>
    <col min="10498" max="10498" width="11.85546875" style="43" customWidth="1"/>
    <col min="10499" max="10499" width="11.28515625" style="43" customWidth="1"/>
    <col min="10500" max="10500" width="9.7109375" style="43" customWidth="1"/>
    <col min="10501" max="10501" width="8.85546875" style="43" customWidth="1"/>
    <col min="10502" max="10502" width="8.28515625" style="43" customWidth="1"/>
    <col min="10503" max="10503" width="11.42578125" style="43" customWidth="1"/>
    <col min="10504" max="10504" width="16.7109375" style="43" customWidth="1"/>
    <col min="10505" max="10505" width="18.7109375" style="43" customWidth="1"/>
    <col min="10506" max="10506" width="10.85546875" style="43" customWidth="1"/>
    <col min="10507" max="10749" width="11.42578125" style="43"/>
    <col min="10750" max="10750" width="11.42578125" style="43" customWidth="1"/>
    <col min="10751" max="10751" width="19.28515625" style="43" customWidth="1"/>
    <col min="10752" max="10752" width="9.28515625" style="43" customWidth="1"/>
    <col min="10753" max="10753" width="11" style="43" customWidth="1"/>
    <col min="10754" max="10754" width="11.85546875" style="43" customWidth="1"/>
    <col min="10755" max="10755" width="11.28515625" style="43" customWidth="1"/>
    <col min="10756" max="10756" width="9.7109375" style="43" customWidth="1"/>
    <col min="10757" max="10757" width="8.85546875" style="43" customWidth="1"/>
    <col min="10758" max="10758" width="8.28515625" style="43" customWidth="1"/>
    <col min="10759" max="10759" width="11.42578125" style="43" customWidth="1"/>
    <col min="10760" max="10760" width="16.7109375" style="43" customWidth="1"/>
    <col min="10761" max="10761" width="18.7109375" style="43" customWidth="1"/>
    <col min="10762" max="10762" width="10.85546875" style="43" customWidth="1"/>
    <col min="10763" max="11005" width="11.42578125" style="43"/>
    <col min="11006" max="11006" width="11.42578125" style="43" customWidth="1"/>
    <col min="11007" max="11007" width="19.28515625" style="43" customWidth="1"/>
    <col min="11008" max="11008" width="9.28515625" style="43" customWidth="1"/>
    <col min="11009" max="11009" width="11" style="43" customWidth="1"/>
    <col min="11010" max="11010" width="11.85546875" style="43" customWidth="1"/>
    <col min="11011" max="11011" width="11.28515625" style="43" customWidth="1"/>
    <col min="11012" max="11012" width="9.7109375" style="43" customWidth="1"/>
    <col min="11013" max="11013" width="8.85546875" style="43" customWidth="1"/>
    <col min="11014" max="11014" width="8.28515625" style="43" customWidth="1"/>
    <col min="11015" max="11015" width="11.42578125" style="43" customWidth="1"/>
    <col min="11016" max="11016" width="16.7109375" style="43" customWidth="1"/>
    <col min="11017" max="11017" width="18.7109375" style="43" customWidth="1"/>
    <col min="11018" max="11018" width="10.85546875" style="43" customWidth="1"/>
    <col min="11019" max="11261" width="11.42578125" style="43"/>
    <col min="11262" max="11262" width="11.42578125" style="43" customWidth="1"/>
    <col min="11263" max="11263" width="19.28515625" style="43" customWidth="1"/>
    <col min="11264" max="11264" width="9.28515625" style="43" customWidth="1"/>
    <col min="11265" max="11265" width="11" style="43" customWidth="1"/>
    <col min="11266" max="11266" width="11.85546875" style="43" customWidth="1"/>
    <col min="11267" max="11267" width="11.28515625" style="43" customWidth="1"/>
    <col min="11268" max="11268" width="9.7109375" style="43" customWidth="1"/>
    <col min="11269" max="11269" width="8.85546875" style="43" customWidth="1"/>
    <col min="11270" max="11270" width="8.28515625" style="43" customWidth="1"/>
    <col min="11271" max="11271" width="11.42578125" style="43" customWidth="1"/>
    <col min="11272" max="11272" width="16.7109375" style="43" customWidth="1"/>
    <col min="11273" max="11273" width="18.7109375" style="43" customWidth="1"/>
    <col min="11274" max="11274" width="10.85546875" style="43" customWidth="1"/>
    <col min="11275" max="11517" width="11.42578125" style="43"/>
    <col min="11518" max="11518" width="11.42578125" style="43" customWidth="1"/>
    <col min="11519" max="11519" width="19.28515625" style="43" customWidth="1"/>
    <col min="11520" max="11520" width="9.28515625" style="43" customWidth="1"/>
    <col min="11521" max="11521" width="11" style="43" customWidth="1"/>
    <col min="11522" max="11522" width="11.85546875" style="43" customWidth="1"/>
    <col min="11523" max="11523" width="11.28515625" style="43" customWidth="1"/>
    <col min="11524" max="11524" width="9.7109375" style="43" customWidth="1"/>
    <col min="11525" max="11525" width="8.85546875" style="43" customWidth="1"/>
    <col min="11526" max="11526" width="8.28515625" style="43" customWidth="1"/>
    <col min="11527" max="11527" width="11.42578125" style="43" customWidth="1"/>
    <col min="11528" max="11528" width="16.7109375" style="43" customWidth="1"/>
    <col min="11529" max="11529" width="18.7109375" style="43" customWidth="1"/>
    <col min="11530" max="11530" width="10.85546875" style="43" customWidth="1"/>
    <col min="11531" max="11773" width="11.42578125" style="43"/>
    <col min="11774" max="11774" width="11.42578125" style="43" customWidth="1"/>
    <col min="11775" max="11775" width="19.28515625" style="43" customWidth="1"/>
    <col min="11776" max="11776" width="9.28515625" style="43" customWidth="1"/>
    <col min="11777" max="11777" width="11" style="43" customWidth="1"/>
    <col min="11778" max="11778" width="11.85546875" style="43" customWidth="1"/>
    <col min="11779" max="11779" width="11.28515625" style="43" customWidth="1"/>
    <col min="11780" max="11780" width="9.7109375" style="43" customWidth="1"/>
    <col min="11781" max="11781" width="8.85546875" style="43" customWidth="1"/>
    <col min="11782" max="11782" width="8.28515625" style="43" customWidth="1"/>
    <col min="11783" max="11783" width="11.42578125" style="43" customWidth="1"/>
    <col min="11784" max="11784" width="16.7109375" style="43" customWidth="1"/>
    <col min="11785" max="11785" width="18.7109375" style="43" customWidth="1"/>
    <col min="11786" max="11786" width="10.85546875" style="43" customWidth="1"/>
    <col min="11787" max="12029" width="11.42578125" style="43"/>
    <col min="12030" max="12030" width="11.42578125" style="43" customWidth="1"/>
    <col min="12031" max="12031" width="19.28515625" style="43" customWidth="1"/>
    <col min="12032" max="12032" width="9.28515625" style="43" customWidth="1"/>
    <col min="12033" max="12033" width="11" style="43" customWidth="1"/>
    <col min="12034" max="12034" width="11.85546875" style="43" customWidth="1"/>
    <col min="12035" max="12035" width="11.28515625" style="43" customWidth="1"/>
    <col min="12036" max="12036" width="9.7109375" style="43" customWidth="1"/>
    <col min="12037" max="12037" width="8.85546875" style="43" customWidth="1"/>
    <col min="12038" max="12038" width="8.28515625" style="43" customWidth="1"/>
    <col min="12039" max="12039" width="11.42578125" style="43" customWidth="1"/>
    <col min="12040" max="12040" width="16.7109375" style="43" customWidth="1"/>
    <col min="12041" max="12041" width="18.7109375" style="43" customWidth="1"/>
    <col min="12042" max="12042" width="10.85546875" style="43" customWidth="1"/>
    <col min="12043" max="12285" width="11.42578125" style="43"/>
    <col min="12286" max="12286" width="11.42578125" style="43" customWidth="1"/>
    <col min="12287" max="12287" width="19.28515625" style="43" customWidth="1"/>
    <col min="12288" max="12288" width="9.28515625" style="43" customWidth="1"/>
    <col min="12289" max="12289" width="11" style="43" customWidth="1"/>
    <col min="12290" max="12290" width="11.85546875" style="43" customWidth="1"/>
    <col min="12291" max="12291" width="11.28515625" style="43" customWidth="1"/>
    <col min="12292" max="12292" width="9.7109375" style="43" customWidth="1"/>
    <col min="12293" max="12293" width="8.85546875" style="43" customWidth="1"/>
    <col min="12294" max="12294" width="8.28515625" style="43" customWidth="1"/>
    <col min="12295" max="12295" width="11.42578125" style="43" customWidth="1"/>
    <col min="12296" max="12296" width="16.7109375" style="43" customWidth="1"/>
    <col min="12297" max="12297" width="18.7109375" style="43" customWidth="1"/>
    <col min="12298" max="12298" width="10.85546875" style="43" customWidth="1"/>
    <col min="12299" max="12541" width="11.42578125" style="43"/>
    <col min="12542" max="12542" width="11.42578125" style="43" customWidth="1"/>
    <col min="12543" max="12543" width="19.28515625" style="43" customWidth="1"/>
    <col min="12544" max="12544" width="9.28515625" style="43" customWidth="1"/>
    <col min="12545" max="12545" width="11" style="43" customWidth="1"/>
    <col min="12546" max="12546" width="11.85546875" style="43" customWidth="1"/>
    <col min="12547" max="12547" width="11.28515625" style="43" customWidth="1"/>
    <col min="12548" max="12548" width="9.7109375" style="43" customWidth="1"/>
    <col min="12549" max="12549" width="8.85546875" style="43" customWidth="1"/>
    <col min="12550" max="12550" width="8.28515625" style="43" customWidth="1"/>
    <col min="12551" max="12551" width="11.42578125" style="43" customWidth="1"/>
    <col min="12552" max="12552" width="16.7109375" style="43" customWidth="1"/>
    <col min="12553" max="12553" width="18.7109375" style="43" customWidth="1"/>
    <col min="12554" max="12554" width="10.85546875" style="43" customWidth="1"/>
    <col min="12555" max="12797" width="11.42578125" style="43"/>
    <col min="12798" max="12798" width="11.42578125" style="43" customWidth="1"/>
    <col min="12799" max="12799" width="19.28515625" style="43" customWidth="1"/>
    <col min="12800" max="12800" width="9.28515625" style="43" customWidth="1"/>
    <col min="12801" max="12801" width="11" style="43" customWidth="1"/>
    <col min="12802" max="12802" width="11.85546875" style="43" customWidth="1"/>
    <col min="12803" max="12803" width="11.28515625" style="43" customWidth="1"/>
    <col min="12804" max="12804" width="9.7109375" style="43" customWidth="1"/>
    <col min="12805" max="12805" width="8.85546875" style="43" customWidth="1"/>
    <col min="12806" max="12806" width="8.28515625" style="43" customWidth="1"/>
    <col min="12807" max="12807" width="11.42578125" style="43" customWidth="1"/>
    <col min="12808" max="12808" width="16.7109375" style="43" customWidth="1"/>
    <col min="12809" max="12809" width="18.7109375" style="43" customWidth="1"/>
    <col min="12810" max="12810" width="10.85546875" style="43" customWidth="1"/>
    <col min="12811" max="13053" width="11.42578125" style="43"/>
    <col min="13054" max="13054" width="11.42578125" style="43" customWidth="1"/>
    <col min="13055" max="13055" width="19.28515625" style="43" customWidth="1"/>
    <col min="13056" max="13056" width="9.28515625" style="43" customWidth="1"/>
    <col min="13057" max="13057" width="11" style="43" customWidth="1"/>
    <col min="13058" max="13058" width="11.85546875" style="43" customWidth="1"/>
    <col min="13059" max="13059" width="11.28515625" style="43" customWidth="1"/>
    <col min="13060" max="13060" width="9.7109375" style="43" customWidth="1"/>
    <col min="13061" max="13061" width="8.85546875" style="43" customWidth="1"/>
    <col min="13062" max="13062" width="8.28515625" style="43" customWidth="1"/>
    <col min="13063" max="13063" width="11.42578125" style="43" customWidth="1"/>
    <col min="13064" max="13064" width="16.7109375" style="43" customWidth="1"/>
    <col min="13065" max="13065" width="18.7109375" style="43" customWidth="1"/>
    <col min="13066" max="13066" width="10.85546875" style="43" customWidth="1"/>
    <col min="13067" max="13309" width="11.42578125" style="43"/>
    <col min="13310" max="13310" width="11.42578125" style="43" customWidth="1"/>
    <col min="13311" max="13311" width="19.28515625" style="43" customWidth="1"/>
    <col min="13312" max="13312" width="9.28515625" style="43" customWidth="1"/>
    <col min="13313" max="13313" width="11" style="43" customWidth="1"/>
    <col min="13314" max="13314" width="11.85546875" style="43" customWidth="1"/>
    <col min="13315" max="13315" width="11.28515625" style="43" customWidth="1"/>
    <col min="13316" max="13316" width="9.7109375" style="43" customWidth="1"/>
    <col min="13317" max="13317" width="8.85546875" style="43" customWidth="1"/>
    <col min="13318" max="13318" width="8.28515625" style="43" customWidth="1"/>
    <col min="13319" max="13319" width="11.42578125" style="43" customWidth="1"/>
    <col min="13320" max="13320" width="16.7109375" style="43" customWidth="1"/>
    <col min="13321" max="13321" width="18.7109375" style="43" customWidth="1"/>
    <col min="13322" max="13322" width="10.85546875" style="43" customWidth="1"/>
    <col min="13323" max="13565" width="11.42578125" style="43"/>
    <col min="13566" max="13566" width="11.42578125" style="43" customWidth="1"/>
    <col min="13567" max="13567" width="19.28515625" style="43" customWidth="1"/>
    <col min="13568" max="13568" width="9.28515625" style="43" customWidth="1"/>
    <col min="13569" max="13569" width="11" style="43" customWidth="1"/>
    <col min="13570" max="13570" width="11.85546875" style="43" customWidth="1"/>
    <col min="13571" max="13571" width="11.28515625" style="43" customWidth="1"/>
    <col min="13572" max="13572" width="9.7109375" style="43" customWidth="1"/>
    <col min="13573" max="13573" width="8.85546875" style="43" customWidth="1"/>
    <col min="13574" max="13574" width="8.28515625" style="43" customWidth="1"/>
    <col min="13575" max="13575" width="11.42578125" style="43" customWidth="1"/>
    <col min="13576" max="13576" width="16.7109375" style="43" customWidth="1"/>
    <col min="13577" max="13577" width="18.7109375" style="43" customWidth="1"/>
    <col min="13578" max="13578" width="10.85546875" style="43" customWidth="1"/>
    <col min="13579" max="13821" width="11.42578125" style="43"/>
    <col min="13822" max="13822" width="11.42578125" style="43" customWidth="1"/>
    <col min="13823" max="13823" width="19.28515625" style="43" customWidth="1"/>
    <col min="13824" max="13824" width="9.28515625" style="43" customWidth="1"/>
    <col min="13825" max="13825" width="11" style="43" customWidth="1"/>
    <col min="13826" max="13826" width="11.85546875" style="43" customWidth="1"/>
    <col min="13827" max="13827" width="11.28515625" style="43" customWidth="1"/>
    <col min="13828" max="13828" width="9.7109375" style="43" customWidth="1"/>
    <col min="13829" max="13829" width="8.85546875" style="43" customWidth="1"/>
    <col min="13830" max="13830" width="8.28515625" style="43" customWidth="1"/>
    <col min="13831" max="13831" width="11.42578125" style="43" customWidth="1"/>
    <col min="13832" max="13832" width="16.7109375" style="43" customWidth="1"/>
    <col min="13833" max="13833" width="18.7109375" style="43" customWidth="1"/>
    <col min="13834" max="13834" width="10.85546875" style="43" customWidth="1"/>
    <col min="13835" max="14077" width="11.42578125" style="43"/>
    <col min="14078" max="14078" width="11.42578125" style="43" customWidth="1"/>
    <col min="14079" max="14079" width="19.28515625" style="43" customWidth="1"/>
    <col min="14080" max="14080" width="9.28515625" style="43" customWidth="1"/>
    <col min="14081" max="14081" width="11" style="43" customWidth="1"/>
    <col min="14082" max="14082" width="11.85546875" style="43" customWidth="1"/>
    <col min="14083" max="14083" width="11.28515625" style="43" customWidth="1"/>
    <col min="14084" max="14084" width="9.7109375" style="43" customWidth="1"/>
    <col min="14085" max="14085" width="8.85546875" style="43" customWidth="1"/>
    <col min="14086" max="14086" width="8.28515625" style="43" customWidth="1"/>
    <col min="14087" max="14087" width="11.42578125" style="43" customWidth="1"/>
    <col min="14088" max="14088" width="16.7109375" style="43" customWidth="1"/>
    <col min="14089" max="14089" width="18.7109375" style="43" customWidth="1"/>
    <col min="14090" max="14090" width="10.85546875" style="43" customWidth="1"/>
    <col min="14091" max="14333" width="11.42578125" style="43"/>
    <col min="14334" max="14334" width="11.42578125" style="43" customWidth="1"/>
    <col min="14335" max="14335" width="19.28515625" style="43" customWidth="1"/>
    <col min="14336" max="14336" width="9.28515625" style="43" customWidth="1"/>
    <col min="14337" max="14337" width="11" style="43" customWidth="1"/>
    <col min="14338" max="14338" width="11.85546875" style="43" customWidth="1"/>
    <col min="14339" max="14339" width="11.28515625" style="43" customWidth="1"/>
    <col min="14340" max="14340" width="9.7109375" style="43" customWidth="1"/>
    <col min="14341" max="14341" width="8.85546875" style="43" customWidth="1"/>
    <col min="14342" max="14342" width="8.28515625" style="43" customWidth="1"/>
    <col min="14343" max="14343" width="11.42578125" style="43" customWidth="1"/>
    <col min="14344" max="14344" width="16.7109375" style="43" customWidth="1"/>
    <col min="14345" max="14345" width="18.7109375" style="43" customWidth="1"/>
    <col min="14346" max="14346" width="10.85546875" style="43" customWidth="1"/>
    <col min="14347" max="14589" width="11.42578125" style="43"/>
    <col min="14590" max="14590" width="11.42578125" style="43" customWidth="1"/>
    <col min="14591" max="14591" width="19.28515625" style="43" customWidth="1"/>
    <col min="14592" max="14592" width="9.28515625" style="43" customWidth="1"/>
    <col min="14593" max="14593" width="11" style="43" customWidth="1"/>
    <col min="14594" max="14594" width="11.85546875" style="43" customWidth="1"/>
    <col min="14595" max="14595" width="11.28515625" style="43" customWidth="1"/>
    <col min="14596" max="14596" width="9.7109375" style="43" customWidth="1"/>
    <col min="14597" max="14597" width="8.85546875" style="43" customWidth="1"/>
    <col min="14598" max="14598" width="8.28515625" style="43" customWidth="1"/>
    <col min="14599" max="14599" width="11.42578125" style="43" customWidth="1"/>
    <col min="14600" max="14600" width="16.7109375" style="43" customWidth="1"/>
    <col min="14601" max="14601" width="18.7109375" style="43" customWidth="1"/>
    <col min="14602" max="14602" width="10.85546875" style="43" customWidth="1"/>
    <col min="14603" max="14845" width="11.42578125" style="43"/>
    <col min="14846" max="14846" width="11.42578125" style="43" customWidth="1"/>
    <col min="14847" max="14847" width="19.28515625" style="43" customWidth="1"/>
    <col min="14848" max="14848" width="9.28515625" style="43" customWidth="1"/>
    <col min="14849" max="14849" width="11" style="43" customWidth="1"/>
    <col min="14850" max="14850" width="11.85546875" style="43" customWidth="1"/>
    <col min="14851" max="14851" width="11.28515625" style="43" customWidth="1"/>
    <col min="14852" max="14852" width="9.7109375" style="43" customWidth="1"/>
    <col min="14853" max="14853" width="8.85546875" style="43" customWidth="1"/>
    <col min="14854" max="14854" width="8.28515625" style="43" customWidth="1"/>
    <col min="14855" max="14855" width="11.42578125" style="43" customWidth="1"/>
    <col min="14856" max="14856" width="16.7109375" style="43" customWidth="1"/>
    <col min="14857" max="14857" width="18.7109375" style="43" customWidth="1"/>
    <col min="14858" max="14858" width="10.85546875" style="43" customWidth="1"/>
    <col min="14859" max="15101" width="11.42578125" style="43"/>
    <col min="15102" max="15102" width="11.42578125" style="43" customWidth="1"/>
    <col min="15103" max="15103" width="19.28515625" style="43" customWidth="1"/>
    <col min="15104" max="15104" width="9.28515625" style="43" customWidth="1"/>
    <col min="15105" max="15105" width="11" style="43" customWidth="1"/>
    <col min="15106" max="15106" width="11.85546875" style="43" customWidth="1"/>
    <col min="15107" max="15107" width="11.28515625" style="43" customWidth="1"/>
    <col min="15108" max="15108" width="9.7109375" style="43" customWidth="1"/>
    <col min="15109" max="15109" width="8.85546875" style="43" customWidth="1"/>
    <col min="15110" max="15110" width="8.28515625" style="43" customWidth="1"/>
    <col min="15111" max="15111" width="11.42578125" style="43" customWidth="1"/>
    <col min="15112" max="15112" width="16.7109375" style="43" customWidth="1"/>
    <col min="15113" max="15113" width="18.7109375" style="43" customWidth="1"/>
    <col min="15114" max="15114" width="10.85546875" style="43" customWidth="1"/>
    <col min="15115" max="15357" width="11.42578125" style="43"/>
    <col min="15358" max="15358" width="11.42578125" style="43" customWidth="1"/>
    <col min="15359" max="15359" width="19.28515625" style="43" customWidth="1"/>
    <col min="15360" max="15360" width="9.28515625" style="43" customWidth="1"/>
    <col min="15361" max="15361" width="11" style="43" customWidth="1"/>
    <col min="15362" max="15362" width="11.85546875" style="43" customWidth="1"/>
    <col min="15363" max="15363" width="11.28515625" style="43" customWidth="1"/>
    <col min="15364" max="15364" width="9.7109375" style="43" customWidth="1"/>
    <col min="15365" max="15365" width="8.85546875" style="43" customWidth="1"/>
    <col min="15366" max="15366" width="8.28515625" style="43" customWidth="1"/>
    <col min="15367" max="15367" width="11.42578125" style="43" customWidth="1"/>
    <col min="15368" max="15368" width="16.7109375" style="43" customWidth="1"/>
    <col min="15369" max="15369" width="18.7109375" style="43" customWidth="1"/>
    <col min="15370" max="15370" width="10.85546875" style="43" customWidth="1"/>
    <col min="15371" max="15613" width="11.42578125" style="43"/>
    <col min="15614" max="15614" width="11.42578125" style="43" customWidth="1"/>
    <col min="15615" max="15615" width="19.28515625" style="43" customWidth="1"/>
    <col min="15616" max="15616" width="9.28515625" style="43" customWidth="1"/>
    <col min="15617" max="15617" width="11" style="43" customWidth="1"/>
    <col min="15618" max="15618" width="11.85546875" style="43" customWidth="1"/>
    <col min="15619" max="15619" width="11.28515625" style="43" customWidth="1"/>
    <col min="15620" max="15620" width="9.7109375" style="43" customWidth="1"/>
    <col min="15621" max="15621" width="8.85546875" style="43" customWidth="1"/>
    <col min="15622" max="15622" width="8.28515625" style="43" customWidth="1"/>
    <col min="15623" max="15623" width="11.42578125" style="43" customWidth="1"/>
    <col min="15624" max="15624" width="16.7109375" style="43" customWidth="1"/>
    <col min="15625" max="15625" width="18.7109375" style="43" customWidth="1"/>
    <col min="15626" max="15626" width="10.85546875" style="43" customWidth="1"/>
    <col min="15627" max="15869" width="11.42578125" style="43"/>
    <col min="15870" max="15870" width="11.42578125" style="43" customWidth="1"/>
    <col min="15871" max="15871" width="19.28515625" style="43" customWidth="1"/>
    <col min="15872" max="15872" width="9.28515625" style="43" customWidth="1"/>
    <col min="15873" max="15873" width="11" style="43" customWidth="1"/>
    <col min="15874" max="15874" width="11.85546875" style="43" customWidth="1"/>
    <col min="15875" max="15875" width="11.28515625" style="43" customWidth="1"/>
    <col min="15876" max="15876" width="9.7109375" style="43" customWidth="1"/>
    <col min="15877" max="15877" width="8.85546875" style="43" customWidth="1"/>
    <col min="15878" max="15878" width="8.28515625" style="43" customWidth="1"/>
    <col min="15879" max="15879" width="11.42578125" style="43" customWidth="1"/>
    <col min="15880" max="15880" width="16.7109375" style="43" customWidth="1"/>
    <col min="15881" max="15881" width="18.7109375" style="43" customWidth="1"/>
    <col min="15882" max="15882" width="10.85546875" style="43" customWidth="1"/>
    <col min="15883" max="16125" width="11.42578125" style="43"/>
    <col min="16126" max="16126" width="11.42578125" style="43" customWidth="1"/>
    <col min="16127" max="16127" width="19.28515625" style="43" customWidth="1"/>
    <col min="16128" max="16128" width="9.28515625" style="43" customWidth="1"/>
    <col min="16129" max="16129" width="11" style="43" customWidth="1"/>
    <col min="16130" max="16130" width="11.85546875" style="43" customWidth="1"/>
    <col min="16131" max="16131" width="11.28515625" style="43" customWidth="1"/>
    <col min="16132" max="16132" width="9.7109375" style="43" customWidth="1"/>
    <col min="16133" max="16133" width="8.85546875" style="43" customWidth="1"/>
    <col min="16134" max="16134" width="8.28515625" style="43" customWidth="1"/>
    <col min="16135" max="16135" width="11.42578125" style="43" customWidth="1"/>
    <col min="16136" max="16136" width="16.7109375" style="43" customWidth="1"/>
    <col min="16137" max="16137" width="18.7109375" style="43" customWidth="1"/>
    <col min="16138" max="16138" width="10.85546875" style="43" customWidth="1"/>
    <col min="16139" max="16384" width="11.42578125" style="43"/>
  </cols>
  <sheetData>
    <row r="2" spans="1:21" ht="16.5" customHeight="1" x14ac:dyDescent="0.25">
      <c r="B2" s="434" t="s">
        <v>168</v>
      </c>
      <c r="C2" s="434"/>
      <c r="D2" s="434"/>
      <c r="E2" s="434"/>
      <c r="F2" s="434"/>
      <c r="G2" s="434"/>
      <c r="H2" s="369"/>
      <c r="I2" s="59"/>
      <c r="J2" s="440" t="s">
        <v>410</v>
      </c>
      <c r="K2" s="440"/>
      <c r="L2" s="440"/>
      <c r="M2" s="440"/>
      <c r="N2" s="440"/>
      <c r="O2" s="440"/>
      <c r="P2" s="440"/>
      <c r="Q2" s="440"/>
      <c r="R2" s="440"/>
      <c r="S2" s="440"/>
      <c r="T2" s="440"/>
      <c r="U2" s="440"/>
    </row>
    <row r="3" spans="1:21" ht="16.5" customHeight="1" x14ac:dyDescent="0.2">
      <c r="B3" s="43" t="s">
        <v>178</v>
      </c>
      <c r="H3" s="375"/>
      <c r="J3" s="438" t="s">
        <v>411</v>
      </c>
      <c r="K3" s="442"/>
      <c r="L3" s="442"/>
      <c r="M3" s="442"/>
      <c r="N3" s="439"/>
      <c r="O3" s="356"/>
      <c r="P3" s="441" t="s">
        <v>420</v>
      </c>
      <c r="Q3" s="441"/>
      <c r="R3" s="441"/>
      <c r="S3" s="441"/>
      <c r="T3" s="441"/>
      <c r="U3" s="441"/>
    </row>
    <row r="4" spans="1:21" x14ac:dyDescent="0.2">
      <c r="B4" s="60"/>
      <c r="C4" s="61"/>
      <c r="D4" s="60"/>
      <c r="E4" s="60"/>
      <c r="F4" s="60"/>
      <c r="H4" s="375"/>
      <c r="I4" s="44"/>
      <c r="J4" s="438" t="s">
        <v>412</v>
      </c>
      <c r="K4" s="442"/>
      <c r="L4" s="442"/>
      <c r="M4" s="442"/>
      <c r="N4" s="439"/>
      <c r="O4" s="356"/>
      <c r="P4" s="441" t="s">
        <v>421</v>
      </c>
      <c r="Q4" s="441"/>
      <c r="R4" s="441"/>
      <c r="S4" s="441"/>
      <c r="T4" s="441"/>
      <c r="U4" s="441"/>
    </row>
    <row r="5" spans="1:21" ht="15" customHeight="1" x14ac:dyDescent="0.2">
      <c r="B5" s="436" t="s">
        <v>162</v>
      </c>
      <c r="C5" s="436"/>
      <c r="D5" s="436"/>
      <c r="E5" s="110" t="s">
        <v>88</v>
      </c>
      <c r="F5" s="110" t="s">
        <v>89</v>
      </c>
      <c r="G5" s="113" t="s">
        <v>163</v>
      </c>
      <c r="H5" s="376"/>
      <c r="J5" s="443" t="s">
        <v>413</v>
      </c>
      <c r="K5" s="444" t="s">
        <v>414</v>
      </c>
      <c r="L5" s="446"/>
      <c r="M5" s="438" t="s">
        <v>415</v>
      </c>
      <c r="N5" s="439"/>
      <c r="O5" s="356"/>
      <c r="P5" s="438" t="s">
        <v>418</v>
      </c>
      <c r="Q5" s="439"/>
      <c r="R5" s="356"/>
      <c r="S5" s="438" t="s">
        <v>419</v>
      </c>
      <c r="T5" s="439"/>
      <c r="U5" s="358"/>
    </row>
    <row r="6" spans="1:21" ht="12.75" customHeight="1" x14ac:dyDescent="0.2">
      <c r="B6" s="437" t="s">
        <v>161</v>
      </c>
      <c r="C6" s="437"/>
      <c r="D6" s="109" t="s">
        <v>88</v>
      </c>
      <c r="E6" s="62">
        <v>50</v>
      </c>
      <c r="F6" s="46">
        <v>12</v>
      </c>
      <c r="G6" s="113">
        <f>E6+F6</f>
        <v>62</v>
      </c>
      <c r="H6" s="376"/>
      <c r="J6" s="443"/>
      <c r="K6" s="445"/>
      <c r="L6" s="447"/>
      <c r="M6" s="91" t="s">
        <v>416</v>
      </c>
      <c r="N6" s="91" t="s">
        <v>417</v>
      </c>
      <c r="O6" s="358"/>
      <c r="P6" s="91" t="s">
        <v>416</v>
      </c>
      <c r="Q6" s="91" t="s">
        <v>417</v>
      </c>
      <c r="R6" s="358"/>
      <c r="S6" s="91" t="s">
        <v>416</v>
      </c>
      <c r="T6" s="91" t="s">
        <v>417</v>
      </c>
      <c r="U6" s="358"/>
    </row>
    <row r="7" spans="1:21" x14ac:dyDescent="0.2">
      <c r="B7" s="437"/>
      <c r="C7" s="437"/>
      <c r="D7" s="109" t="s">
        <v>89</v>
      </c>
      <c r="E7" s="46">
        <v>1</v>
      </c>
      <c r="F7" s="62">
        <v>50</v>
      </c>
      <c r="G7" s="113">
        <f>E7+F7</f>
        <v>51</v>
      </c>
      <c r="H7" s="376"/>
      <c r="J7" s="91">
        <v>1</v>
      </c>
      <c r="K7" s="357" t="s">
        <v>303</v>
      </c>
      <c r="L7" s="365">
        <f>IF(ISTEXT(K7),IF(K7="A",1,0),"")</f>
        <v>1</v>
      </c>
      <c r="M7" s="357" t="s">
        <v>303</v>
      </c>
      <c r="N7" s="91">
        <f>IF(ISTEXT(M7),IF(M7=$K7,IF(M7="A",1,1),IF(M7="A",3,4)))</f>
        <v>1</v>
      </c>
      <c r="O7" s="358"/>
      <c r="P7" s="357" t="s">
        <v>303</v>
      </c>
      <c r="Q7" s="91">
        <f>IF(ISTEXT(P7),IF(P7=$K7,IF(P7="A",1,1),IF(P7="A",3,4)))</f>
        <v>1</v>
      </c>
      <c r="R7" s="358"/>
      <c r="S7" s="357" t="s">
        <v>303</v>
      </c>
      <c r="T7" s="91">
        <f>IF(ISTEXT(S7),IF(S7=$K7,IF(S7="A",1,1),IF(S7="A",3,4)))</f>
        <v>1</v>
      </c>
      <c r="U7" s="358"/>
    </row>
    <row r="8" spans="1:21" x14ac:dyDescent="0.2">
      <c r="A8" s="111"/>
      <c r="B8" s="112"/>
      <c r="C8" s="112"/>
      <c r="D8" s="113" t="s">
        <v>163</v>
      </c>
      <c r="E8" s="113">
        <f>E6+E7</f>
        <v>51</v>
      </c>
      <c r="F8" s="113">
        <f>F6+F7</f>
        <v>62</v>
      </c>
      <c r="G8" s="113">
        <f>G6+G7</f>
        <v>113</v>
      </c>
      <c r="H8" s="376"/>
      <c r="J8" s="91">
        <v>2</v>
      </c>
      <c r="K8" s="357" t="s">
        <v>422</v>
      </c>
      <c r="L8" s="365">
        <f t="shared" ref="L8:L26" si="0">IF(ISTEXT(K8),IF(K8="A",1,0),"")</f>
        <v>0</v>
      </c>
      <c r="M8" s="357" t="s">
        <v>422</v>
      </c>
      <c r="N8" s="91">
        <f>IF(ISTEXT(M8),IF(M8=$K8,IF(M8="A",1,1),IF(M8="A",3,4)))</f>
        <v>1</v>
      </c>
      <c r="O8" s="358"/>
      <c r="P8" s="357" t="s">
        <v>422</v>
      </c>
      <c r="Q8" s="91">
        <f>IF(ISTEXT(P8),IF(P8=$K8,IF(P8="A",1,1),IF(P8="A",3,4)))</f>
        <v>1</v>
      </c>
      <c r="R8" s="358"/>
      <c r="S8" s="357" t="s">
        <v>422</v>
      </c>
      <c r="T8" s="91">
        <f>IF(ISTEXT(S8),IF(S8=$K8,IF(S8="A",1,1),IF(S8="A",3,4)))</f>
        <v>1</v>
      </c>
      <c r="U8" s="358"/>
    </row>
    <row r="9" spans="1:21" x14ac:dyDescent="0.2">
      <c r="H9" s="375"/>
      <c r="J9" s="91">
        <v>3</v>
      </c>
      <c r="K9" s="357" t="s">
        <v>303</v>
      </c>
      <c r="L9" s="365">
        <f t="shared" si="0"/>
        <v>1</v>
      </c>
      <c r="M9" s="357" t="s">
        <v>422</v>
      </c>
      <c r="N9" s="91">
        <f t="shared" ref="N9:N26" si="1">IF(ISTEXT(M9),IF(M9=$K9,IF(M9="A",1,1),IF(M9="A",3,4)))</f>
        <v>4</v>
      </c>
      <c r="O9" s="358"/>
      <c r="P9" s="357" t="s">
        <v>422</v>
      </c>
      <c r="Q9" s="91">
        <f t="shared" ref="Q9:Q26" si="2">IF(ISTEXT(P9),IF(P9=$K9,IF(P9="A",1,1),IF(P9="A",3,4)))</f>
        <v>4</v>
      </c>
      <c r="R9" s="358"/>
      <c r="S9" s="357" t="s">
        <v>422</v>
      </c>
      <c r="T9" s="91">
        <f t="shared" ref="T9:T26" si="3">IF(ISTEXT(S9),IF(S9=$K9,IF(S9="A",1,1),IF(S9="A",3,4)))</f>
        <v>4</v>
      </c>
      <c r="U9" s="358"/>
    </row>
    <row r="10" spans="1:21" x14ac:dyDescent="0.2">
      <c r="A10" s="41"/>
      <c r="C10" s="80" t="s">
        <v>164</v>
      </c>
      <c r="D10" s="48">
        <f>(E6+F7)/G8</f>
        <v>0.88495575221238942</v>
      </c>
      <c r="H10" s="375"/>
      <c r="J10" s="91">
        <v>4</v>
      </c>
      <c r="K10" s="357" t="s">
        <v>422</v>
      </c>
      <c r="L10" s="365">
        <f t="shared" si="0"/>
        <v>0</v>
      </c>
      <c r="M10" s="357" t="s">
        <v>303</v>
      </c>
      <c r="N10" s="91">
        <f t="shared" si="1"/>
        <v>3</v>
      </c>
      <c r="O10" s="358"/>
      <c r="P10" s="357" t="s">
        <v>303</v>
      </c>
      <c r="Q10" s="91">
        <f t="shared" si="2"/>
        <v>3</v>
      </c>
      <c r="R10" s="358"/>
      <c r="S10" s="357" t="s">
        <v>303</v>
      </c>
      <c r="T10" s="91">
        <f t="shared" si="3"/>
        <v>3</v>
      </c>
      <c r="U10" s="358"/>
    </row>
    <row r="11" spans="1:21" x14ac:dyDescent="0.2">
      <c r="B11" s="81" t="s">
        <v>165</v>
      </c>
      <c r="C11" s="80" t="s">
        <v>246</v>
      </c>
      <c r="D11" s="48">
        <f>F7/G7</f>
        <v>0.98039215686274506</v>
      </c>
      <c r="E11" s="80" t="s">
        <v>244</v>
      </c>
      <c r="F11" s="48">
        <f>1-D11</f>
        <v>1.9607843137254943E-2</v>
      </c>
      <c r="H11" s="375"/>
      <c r="J11" s="91">
        <v>5</v>
      </c>
      <c r="K11" s="357" t="s">
        <v>303</v>
      </c>
      <c r="L11" s="365">
        <f t="shared" si="0"/>
        <v>1</v>
      </c>
      <c r="M11" s="357" t="s">
        <v>303</v>
      </c>
      <c r="N11" s="91">
        <f t="shared" si="1"/>
        <v>1</v>
      </c>
      <c r="O11" s="358"/>
      <c r="P11" s="357" t="s">
        <v>303</v>
      </c>
      <c r="Q11" s="91">
        <f t="shared" si="2"/>
        <v>1</v>
      </c>
      <c r="R11" s="358"/>
      <c r="S11" s="357" t="s">
        <v>303</v>
      </c>
      <c r="T11" s="91">
        <f t="shared" si="3"/>
        <v>1</v>
      </c>
      <c r="U11" s="358"/>
    </row>
    <row r="12" spans="1:21" x14ac:dyDescent="0.2">
      <c r="B12" s="81" t="s">
        <v>272</v>
      </c>
      <c r="C12" s="80" t="s">
        <v>247</v>
      </c>
      <c r="D12" s="48">
        <f>E6/G6</f>
        <v>0.80645161290322576</v>
      </c>
      <c r="E12" s="80" t="s">
        <v>245</v>
      </c>
      <c r="F12" s="48">
        <f>1-D12</f>
        <v>0.19354838709677424</v>
      </c>
      <c r="H12" s="375"/>
      <c r="J12" s="91">
        <v>6</v>
      </c>
      <c r="K12" s="357" t="s">
        <v>422</v>
      </c>
      <c r="L12" s="365">
        <f t="shared" si="0"/>
        <v>0</v>
      </c>
      <c r="M12" s="357" t="s">
        <v>422</v>
      </c>
      <c r="N12" s="91">
        <f t="shared" si="1"/>
        <v>1</v>
      </c>
      <c r="O12" s="358"/>
      <c r="P12" s="357" t="s">
        <v>422</v>
      </c>
      <c r="Q12" s="91">
        <f t="shared" si="2"/>
        <v>1</v>
      </c>
      <c r="R12" s="358"/>
      <c r="S12" s="357" t="s">
        <v>422</v>
      </c>
      <c r="T12" s="91">
        <f t="shared" si="3"/>
        <v>1</v>
      </c>
      <c r="U12" s="359"/>
    </row>
    <row r="13" spans="1:21" x14ac:dyDescent="0.2">
      <c r="A13" s="41"/>
      <c r="F13" s="45"/>
      <c r="G13" s="49"/>
      <c r="H13" s="377"/>
      <c r="J13" s="91">
        <v>7</v>
      </c>
      <c r="K13" s="357" t="s">
        <v>303</v>
      </c>
      <c r="L13" s="365">
        <f t="shared" si="0"/>
        <v>1</v>
      </c>
      <c r="M13" s="357" t="s">
        <v>422</v>
      </c>
      <c r="N13" s="91">
        <f t="shared" si="1"/>
        <v>4</v>
      </c>
      <c r="O13" s="358"/>
      <c r="P13" s="357" t="s">
        <v>422</v>
      </c>
      <c r="Q13" s="91">
        <f t="shared" si="2"/>
        <v>4</v>
      </c>
      <c r="R13" s="358"/>
      <c r="S13" s="357" t="s">
        <v>422</v>
      </c>
      <c r="T13" s="91">
        <f t="shared" si="3"/>
        <v>4</v>
      </c>
      <c r="U13" s="358"/>
    </row>
    <row r="14" spans="1:21" x14ac:dyDescent="0.2">
      <c r="B14" s="435" t="s">
        <v>167</v>
      </c>
      <c r="C14" s="435"/>
      <c r="F14" s="45"/>
      <c r="G14" s="49"/>
      <c r="H14" s="377"/>
      <c r="J14" s="91">
        <v>8</v>
      </c>
      <c r="K14" s="357" t="s">
        <v>422</v>
      </c>
      <c r="L14" s="365">
        <f t="shared" si="0"/>
        <v>0</v>
      </c>
      <c r="M14" s="357" t="s">
        <v>303</v>
      </c>
      <c r="N14" s="91">
        <f t="shared" si="1"/>
        <v>3</v>
      </c>
      <c r="O14" s="358"/>
      <c r="P14" s="357" t="s">
        <v>303</v>
      </c>
      <c r="Q14" s="91">
        <f t="shared" si="2"/>
        <v>3</v>
      </c>
      <c r="R14" s="358"/>
      <c r="S14" s="357" t="s">
        <v>303</v>
      </c>
      <c r="T14" s="91">
        <f t="shared" si="3"/>
        <v>3</v>
      </c>
      <c r="U14" s="358"/>
    </row>
    <row r="15" spans="1:21" x14ac:dyDescent="0.2">
      <c r="B15" s="80" t="s">
        <v>166</v>
      </c>
      <c r="C15" s="80" t="s">
        <v>136</v>
      </c>
      <c r="F15" s="45"/>
      <c r="G15" s="49"/>
      <c r="H15" s="377"/>
      <c r="J15" s="91">
        <v>9</v>
      </c>
      <c r="K15" s="357" t="s">
        <v>303</v>
      </c>
      <c r="L15" s="365">
        <f t="shared" si="0"/>
        <v>1</v>
      </c>
      <c r="M15" s="357" t="s">
        <v>303</v>
      </c>
      <c r="N15" s="91">
        <f t="shared" si="1"/>
        <v>1</v>
      </c>
      <c r="O15" s="358"/>
      <c r="P15" s="357" t="s">
        <v>303</v>
      </c>
      <c r="Q15" s="91">
        <f t="shared" si="2"/>
        <v>1</v>
      </c>
      <c r="R15" s="358"/>
      <c r="S15" s="357" t="s">
        <v>303</v>
      </c>
      <c r="T15" s="91">
        <f t="shared" si="3"/>
        <v>1</v>
      </c>
      <c r="U15" s="360"/>
    </row>
    <row r="16" spans="1:21" x14ac:dyDescent="0.2">
      <c r="B16" s="48">
        <f>D11+D12-1</f>
        <v>0.7868437697659707</v>
      </c>
      <c r="C16" s="40" t="str">
        <f>IF(B16&gt;=0.8,"very strong",IF(AND(B16&gt;=0.6,B16&lt;0.8),"strong",IF(AND(B16&gt;=0.4,B16&lt;0.6),"moderate",IF(AND(B16&gt;=0.1,B16&lt;0.4),"weak","null"))))</f>
        <v>strong</v>
      </c>
      <c r="D16" s="43" t="s">
        <v>325</v>
      </c>
      <c r="F16" s="45"/>
      <c r="G16" s="49"/>
      <c r="H16" s="377"/>
      <c r="J16" s="91">
        <v>10</v>
      </c>
      <c r="K16" s="357" t="s">
        <v>422</v>
      </c>
      <c r="L16" s="365">
        <f t="shared" si="0"/>
        <v>0</v>
      </c>
      <c r="M16" s="357" t="s">
        <v>422</v>
      </c>
      <c r="N16" s="91">
        <f t="shared" si="1"/>
        <v>1</v>
      </c>
      <c r="O16" s="358"/>
      <c r="P16" s="357" t="s">
        <v>422</v>
      </c>
      <c r="Q16" s="91">
        <f t="shared" si="2"/>
        <v>1</v>
      </c>
      <c r="R16" s="358"/>
      <c r="S16" s="357" t="s">
        <v>422</v>
      </c>
      <c r="T16" s="91">
        <f t="shared" si="3"/>
        <v>1</v>
      </c>
      <c r="U16" s="360"/>
    </row>
    <row r="17" spans="1:21" x14ac:dyDescent="0.2">
      <c r="B17" s="45"/>
      <c r="C17" s="47"/>
      <c r="H17" s="375"/>
      <c r="J17" s="91">
        <v>11</v>
      </c>
      <c r="K17" s="357" t="s">
        <v>303</v>
      </c>
      <c r="L17" s="365">
        <f t="shared" si="0"/>
        <v>1</v>
      </c>
      <c r="M17" s="357" t="s">
        <v>422</v>
      </c>
      <c r="N17" s="91">
        <f t="shared" si="1"/>
        <v>4</v>
      </c>
      <c r="O17" s="358"/>
      <c r="P17" s="357" t="s">
        <v>422</v>
      </c>
      <c r="Q17" s="91">
        <f t="shared" si="2"/>
        <v>4</v>
      </c>
      <c r="R17" s="358"/>
      <c r="S17" s="357" t="s">
        <v>422</v>
      </c>
      <c r="T17" s="91">
        <f t="shared" si="3"/>
        <v>4</v>
      </c>
      <c r="U17" s="360"/>
    </row>
    <row r="18" spans="1:21" x14ac:dyDescent="0.2">
      <c r="H18" s="375"/>
      <c r="I18" s="101"/>
      <c r="J18" s="91">
        <v>12</v>
      </c>
      <c r="K18" s="357" t="s">
        <v>422</v>
      </c>
      <c r="L18" s="365">
        <f t="shared" si="0"/>
        <v>0</v>
      </c>
      <c r="M18" s="357" t="s">
        <v>303</v>
      </c>
      <c r="N18" s="91">
        <f t="shared" si="1"/>
        <v>3</v>
      </c>
      <c r="O18" s="358"/>
      <c r="P18" s="357" t="s">
        <v>303</v>
      </c>
      <c r="Q18" s="91">
        <f t="shared" si="2"/>
        <v>3</v>
      </c>
      <c r="R18" s="358"/>
      <c r="S18" s="357" t="s">
        <v>303</v>
      </c>
      <c r="T18" s="91">
        <f t="shared" si="3"/>
        <v>3</v>
      </c>
      <c r="U18" s="360"/>
    </row>
    <row r="19" spans="1:21" x14ac:dyDescent="0.2">
      <c r="H19" s="375"/>
      <c r="I19" s="101"/>
      <c r="J19" s="91">
        <v>13</v>
      </c>
      <c r="K19" s="357" t="s">
        <v>303</v>
      </c>
      <c r="L19" s="365">
        <f t="shared" si="0"/>
        <v>1</v>
      </c>
      <c r="M19" s="357" t="s">
        <v>303</v>
      </c>
      <c r="N19" s="91">
        <f t="shared" si="1"/>
        <v>1</v>
      </c>
      <c r="O19" s="358"/>
      <c r="P19" s="357" t="s">
        <v>303</v>
      </c>
      <c r="Q19" s="91">
        <f t="shared" si="2"/>
        <v>1</v>
      </c>
      <c r="R19" s="358"/>
      <c r="S19" s="357" t="s">
        <v>303</v>
      </c>
      <c r="T19" s="91">
        <f t="shared" si="3"/>
        <v>1</v>
      </c>
      <c r="U19" s="360"/>
    </row>
    <row r="20" spans="1:21" x14ac:dyDescent="0.2">
      <c r="H20" s="375"/>
      <c r="I20" s="101"/>
      <c r="J20" s="91">
        <v>14</v>
      </c>
      <c r="K20" s="357" t="s">
        <v>422</v>
      </c>
      <c r="L20" s="365">
        <f t="shared" si="0"/>
        <v>0</v>
      </c>
      <c r="M20" s="357" t="s">
        <v>422</v>
      </c>
      <c r="N20" s="91">
        <f t="shared" si="1"/>
        <v>1</v>
      </c>
      <c r="O20" s="358"/>
      <c r="P20" s="357" t="s">
        <v>422</v>
      </c>
      <c r="Q20" s="91">
        <f t="shared" si="2"/>
        <v>1</v>
      </c>
      <c r="R20" s="358"/>
      <c r="S20" s="357" t="s">
        <v>422</v>
      </c>
      <c r="T20" s="91">
        <f t="shared" si="3"/>
        <v>1</v>
      </c>
      <c r="U20" s="360"/>
    </row>
    <row r="21" spans="1:21" x14ac:dyDescent="0.2">
      <c r="H21" s="375"/>
      <c r="I21" s="101"/>
      <c r="J21" s="91">
        <v>15</v>
      </c>
      <c r="K21" s="357" t="s">
        <v>303</v>
      </c>
      <c r="L21" s="365">
        <f t="shared" si="0"/>
        <v>1</v>
      </c>
      <c r="M21" s="357" t="s">
        <v>422</v>
      </c>
      <c r="N21" s="91">
        <f t="shared" si="1"/>
        <v>4</v>
      </c>
      <c r="O21" s="358"/>
      <c r="P21" s="357" t="s">
        <v>422</v>
      </c>
      <c r="Q21" s="91">
        <f t="shared" si="2"/>
        <v>4</v>
      </c>
      <c r="R21" s="358"/>
      <c r="S21" s="357" t="s">
        <v>422</v>
      </c>
      <c r="T21" s="91">
        <f t="shared" si="3"/>
        <v>4</v>
      </c>
      <c r="U21" s="360"/>
    </row>
    <row r="22" spans="1:21" x14ac:dyDescent="0.2">
      <c r="H22" s="375"/>
      <c r="I22" s="101"/>
      <c r="J22" s="91">
        <v>16</v>
      </c>
      <c r="K22" s="357" t="s">
        <v>422</v>
      </c>
      <c r="L22" s="365">
        <f t="shared" si="0"/>
        <v>0</v>
      </c>
      <c r="M22" s="357" t="s">
        <v>303</v>
      </c>
      <c r="N22" s="91">
        <f t="shared" si="1"/>
        <v>3</v>
      </c>
      <c r="O22" s="358"/>
      <c r="P22" s="357" t="s">
        <v>303</v>
      </c>
      <c r="Q22" s="91">
        <f t="shared" si="2"/>
        <v>3</v>
      </c>
      <c r="R22" s="358"/>
      <c r="S22" s="357" t="s">
        <v>303</v>
      </c>
      <c r="T22" s="91">
        <f t="shared" si="3"/>
        <v>3</v>
      </c>
      <c r="U22" s="360"/>
    </row>
    <row r="23" spans="1:21" x14ac:dyDescent="0.2">
      <c r="H23" s="375"/>
      <c r="I23" s="101"/>
      <c r="J23" s="91">
        <v>17</v>
      </c>
      <c r="K23" s="357" t="s">
        <v>303</v>
      </c>
      <c r="L23" s="365">
        <f t="shared" si="0"/>
        <v>1</v>
      </c>
      <c r="M23" s="357" t="s">
        <v>303</v>
      </c>
      <c r="N23" s="91">
        <f t="shared" si="1"/>
        <v>1</v>
      </c>
      <c r="O23" s="358"/>
      <c r="P23" s="357" t="s">
        <v>303</v>
      </c>
      <c r="Q23" s="91">
        <f t="shared" si="2"/>
        <v>1</v>
      </c>
      <c r="R23" s="358"/>
      <c r="S23" s="357" t="s">
        <v>303</v>
      </c>
      <c r="T23" s="91">
        <f t="shared" si="3"/>
        <v>1</v>
      </c>
      <c r="U23" s="360"/>
    </row>
    <row r="24" spans="1:21" x14ac:dyDescent="0.2">
      <c r="A24" s="111"/>
      <c r="H24" s="375"/>
      <c r="I24" s="101"/>
      <c r="J24" s="91">
        <v>18</v>
      </c>
      <c r="K24" s="357" t="s">
        <v>422</v>
      </c>
      <c r="L24" s="365">
        <f t="shared" si="0"/>
        <v>0</v>
      </c>
      <c r="M24" s="357" t="s">
        <v>422</v>
      </c>
      <c r="N24" s="91">
        <f t="shared" si="1"/>
        <v>1</v>
      </c>
      <c r="O24" s="358"/>
      <c r="P24" s="357" t="s">
        <v>422</v>
      </c>
      <c r="Q24" s="91">
        <f t="shared" si="2"/>
        <v>1</v>
      </c>
      <c r="R24" s="358"/>
      <c r="S24" s="357" t="s">
        <v>422</v>
      </c>
      <c r="T24" s="91">
        <f t="shared" si="3"/>
        <v>1</v>
      </c>
      <c r="U24" s="360"/>
    </row>
    <row r="25" spans="1:21" x14ac:dyDescent="0.2">
      <c r="H25" s="375"/>
      <c r="I25" s="101"/>
      <c r="J25" s="91">
        <v>19</v>
      </c>
      <c r="K25" s="357" t="s">
        <v>303</v>
      </c>
      <c r="L25" s="365">
        <f t="shared" si="0"/>
        <v>1</v>
      </c>
      <c r="M25" s="357" t="s">
        <v>422</v>
      </c>
      <c r="N25" s="91">
        <f t="shared" si="1"/>
        <v>4</v>
      </c>
      <c r="O25" s="358"/>
      <c r="P25" s="357" t="s">
        <v>422</v>
      </c>
      <c r="Q25" s="91">
        <f t="shared" si="2"/>
        <v>4</v>
      </c>
      <c r="R25" s="358"/>
      <c r="S25" s="357" t="s">
        <v>422</v>
      </c>
      <c r="T25" s="91">
        <f t="shared" si="3"/>
        <v>4</v>
      </c>
      <c r="U25" s="360"/>
    </row>
    <row r="26" spans="1:21" x14ac:dyDescent="0.2">
      <c r="H26" s="375"/>
      <c r="I26" s="101"/>
      <c r="J26" s="91">
        <v>20</v>
      </c>
      <c r="K26" s="357" t="s">
        <v>422</v>
      </c>
      <c r="L26" s="365">
        <f t="shared" si="0"/>
        <v>0</v>
      </c>
      <c r="M26" s="357" t="s">
        <v>303</v>
      </c>
      <c r="N26" s="91">
        <f t="shared" si="1"/>
        <v>3</v>
      </c>
      <c r="O26" s="358"/>
      <c r="P26" s="357" t="s">
        <v>303</v>
      </c>
      <c r="Q26" s="91">
        <f t="shared" si="2"/>
        <v>3</v>
      </c>
      <c r="R26" s="358"/>
      <c r="S26" s="357" t="s">
        <v>303</v>
      </c>
      <c r="T26" s="91">
        <f t="shared" si="3"/>
        <v>3</v>
      </c>
      <c r="U26" s="361"/>
    </row>
    <row r="27" spans="1:21" x14ac:dyDescent="0.2">
      <c r="H27" s="375"/>
      <c r="I27" s="101"/>
      <c r="L27" s="42"/>
    </row>
    <row r="28" spans="1:21" x14ac:dyDescent="0.2">
      <c r="H28" s="375"/>
      <c r="I28" s="101"/>
    </row>
    <row r="29" spans="1:21" x14ac:dyDescent="0.2">
      <c r="H29" s="375"/>
      <c r="I29" s="101"/>
      <c r="J29" s="93" t="s">
        <v>384</v>
      </c>
      <c r="K29" s="357">
        <v>3</v>
      </c>
      <c r="N29" s="364" t="s">
        <v>429</v>
      </c>
      <c r="O29" s="363">
        <f>(COUNTIF(T7:T26,1)+COUNTIF(Q7:Q26,1)+COUNTIF(N7:N26,1))/K32</f>
        <v>0.5</v>
      </c>
      <c r="P29" s="363">
        <f>1-O29</f>
        <v>0.5</v>
      </c>
      <c r="Q29" s="43" t="s">
        <v>430</v>
      </c>
    </row>
    <row r="30" spans="1:21" x14ac:dyDescent="0.2">
      <c r="H30" s="375"/>
      <c r="I30" s="101"/>
      <c r="J30" s="93" t="s">
        <v>303</v>
      </c>
      <c r="K30" s="229">
        <f>SUM(L7:L26)*K29</f>
        <v>30</v>
      </c>
      <c r="N30" s="364" t="s">
        <v>431</v>
      </c>
      <c r="O30" s="363">
        <f>SUM(L36:Q36)/K30</f>
        <v>0.5</v>
      </c>
      <c r="P30" s="363">
        <f>SUM(L37:Q37)/K31</f>
        <v>0.5</v>
      </c>
      <c r="Q30" s="43" t="s">
        <v>432</v>
      </c>
    </row>
    <row r="31" spans="1:21" x14ac:dyDescent="0.2">
      <c r="H31" s="375"/>
      <c r="J31" s="93" t="s">
        <v>422</v>
      </c>
      <c r="K31" s="229">
        <f>3*COUNT(L7:L26)-K30</f>
        <v>30</v>
      </c>
      <c r="N31" s="364" t="s">
        <v>99</v>
      </c>
      <c r="O31" s="366">
        <f>O30/P30</f>
        <v>1</v>
      </c>
    </row>
    <row r="32" spans="1:21" x14ac:dyDescent="0.2">
      <c r="H32" s="375"/>
      <c r="J32" s="362" t="s">
        <v>105</v>
      </c>
      <c r="K32" s="93">
        <f>3*COUNT(L7:L26)</f>
        <v>60</v>
      </c>
    </row>
    <row r="33" spans="8:18" x14ac:dyDescent="0.2">
      <c r="H33" s="375"/>
    </row>
    <row r="34" spans="8:18" x14ac:dyDescent="0.2">
      <c r="H34" s="375"/>
    </row>
    <row r="35" spans="8:18" x14ac:dyDescent="0.2">
      <c r="H35" s="375"/>
      <c r="K35" s="405" t="s">
        <v>423</v>
      </c>
      <c r="L35" s="441" t="s">
        <v>424</v>
      </c>
      <c r="M35" s="441"/>
      <c r="N35" s="441" t="s">
        <v>425</v>
      </c>
      <c r="O35" s="441"/>
      <c r="P35" s="441" t="s">
        <v>426</v>
      </c>
      <c r="Q35" s="441"/>
    </row>
    <row r="36" spans="8:18" x14ac:dyDescent="0.2">
      <c r="H36" s="375"/>
      <c r="K36" s="93" t="s">
        <v>303</v>
      </c>
      <c r="L36" s="448">
        <f>COUNTIF(N7:N26,4)</f>
        <v>5</v>
      </c>
      <c r="M36" s="449"/>
      <c r="N36" s="448">
        <f>COUNTIF(Q7:Q26,4)</f>
        <v>5</v>
      </c>
      <c r="O36" s="449"/>
      <c r="P36" s="448">
        <f>COUNTIF(T7:T26,4)</f>
        <v>5</v>
      </c>
      <c r="Q36" s="449"/>
      <c r="R36" s="43" t="s">
        <v>427</v>
      </c>
    </row>
    <row r="37" spans="8:18" x14ac:dyDescent="0.2">
      <c r="H37" s="375"/>
      <c r="K37" s="93" t="s">
        <v>422</v>
      </c>
      <c r="L37" s="448">
        <f>COUNTIF(N7:N26,3)</f>
        <v>5</v>
      </c>
      <c r="M37" s="449"/>
      <c r="N37" s="448">
        <f>COUNTIF(Q7:Q26,3)</f>
        <v>5</v>
      </c>
      <c r="O37" s="449"/>
      <c r="P37" s="448">
        <f>COUNTIF(T7:T26,3)</f>
        <v>5</v>
      </c>
      <c r="Q37" s="449"/>
      <c r="R37" s="43" t="s">
        <v>428</v>
      </c>
    </row>
    <row r="38" spans="8:18" x14ac:dyDescent="0.2">
      <c r="H38" s="375"/>
    </row>
  </sheetData>
  <protectedRanges>
    <protectedRange sqref="E6:F7 M7 L6:L26 P7 S7 M11 M15 M19 M23 P11 P15 P19 P23 S11 S15 S19 S23" name="Plage1"/>
  </protectedRanges>
  <mergeCells count="24">
    <mergeCell ref="L35:M35"/>
    <mergeCell ref="N35:O35"/>
    <mergeCell ref="P35:Q35"/>
    <mergeCell ref="L36:M36"/>
    <mergeCell ref="L37:M37"/>
    <mergeCell ref="N36:O36"/>
    <mergeCell ref="P36:Q36"/>
    <mergeCell ref="N37:O37"/>
    <mergeCell ref="P37:Q37"/>
    <mergeCell ref="S5:T5"/>
    <mergeCell ref="J2:U2"/>
    <mergeCell ref="P3:U3"/>
    <mergeCell ref="P4:U4"/>
    <mergeCell ref="M5:N5"/>
    <mergeCell ref="J3:N3"/>
    <mergeCell ref="J4:N4"/>
    <mergeCell ref="J5:J6"/>
    <mergeCell ref="K5:K6"/>
    <mergeCell ref="L5:L6"/>
    <mergeCell ref="B2:G2"/>
    <mergeCell ref="B14:C14"/>
    <mergeCell ref="B5:D5"/>
    <mergeCell ref="B6:C7"/>
    <mergeCell ref="P5:Q5"/>
  </mergeCells>
  <conditionalFormatting sqref="C16">
    <cfRule type="containsText" dxfId="26" priority="4" operator="containsText" text="moderate">
      <formula>NOT(ISERROR(SEARCH("moderate",C16)))</formula>
    </cfRule>
    <cfRule type="containsText" dxfId="25" priority="7" operator="containsText" text="strong">
      <formula>NOT(ISERROR(SEARCH("strong",C16)))</formula>
    </cfRule>
  </conditionalFormatting>
  <pageMargins left="0.18" right="0.18" top="0.17" bottom="0.984251969" header="0.4921259845" footer="0.4921259845"/>
  <pageSetup paperSize="9" scale="5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AM100"/>
  <sheetViews>
    <sheetView showGridLines="0" zoomScale="85" zoomScaleNormal="85" workbookViewId="0">
      <selection activeCell="AL32" sqref="AL32"/>
    </sheetView>
  </sheetViews>
  <sheetFormatPr baseColWidth="10" defaultRowHeight="12.75" x14ac:dyDescent="0.2"/>
  <cols>
    <col min="1" max="1" width="11.42578125" style="74" customWidth="1"/>
    <col min="2" max="2" width="6.140625" style="74" customWidth="1"/>
    <col min="3" max="4" width="21" style="74" customWidth="1"/>
    <col min="5" max="5" width="3" style="74" hidden="1" customWidth="1"/>
    <col min="6" max="6" width="11.7109375" style="74" hidden="1" customWidth="1"/>
    <col min="7" max="7" width="11.140625" style="74" hidden="1" customWidth="1"/>
    <col min="8" max="8" width="12" style="74" hidden="1" customWidth="1"/>
    <col min="9" max="9" width="11.7109375" style="74" hidden="1" customWidth="1"/>
    <col min="10" max="10" width="10.140625" style="74" hidden="1" customWidth="1"/>
    <col min="11" max="11" width="7.140625" style="74" hidden="1" customWidth="1"/>
    <col min="12" max="12" width="8.7109375" style="74" hidden="1" customWidth="1"/>
    <col min="13" max="13" width="11.28515625" style="74" hidden="1" customWidth="1"/>
    <col min="14" max="14" width="9.85546875" style="74" hidden="1" customWidth="1"/>
    <col min="15" max="15" width="11" style="74" hidden="1" customWidth="1"/>
    <col min="16" max="16" width="12.28515625" style="74" hidden="1" customWidth="1"/>
    <col min="17" max="17" width="11.85546875" style="74" hidden="1" customWidth="1"/>
    <col min="18" max="29" width="11.7109375" style="74" hidden="1" customWidth="1"/>
    <col min="30" max="30" width="3.7109375" style="74" hidden="1" customWidth="1"/>
    <col min="31" max="31" width="5.7109375" style="74" customWidth="1"/>
    <col min="32" max="32" width="21.5703125" style="74" customWidth="1"/>
    <col min="33" max="33" width="12.42578125" style="74" customWidth="1"/>
    <col min="34" max="34" width="11.5703125" style="74" customWidth="1"/>
    <col min="35" max="35" width="5" style="74" customWidth="1"/>
    <col min="36" max="36" width="19.5703125" style="74" customWidth="1"/>
    <col min="37" max="37" width="14" style="74" customWidth="1"/>
    <col min="38" max="38" width="13.7109375" style="74" customWidth="1"/>
    <col min="39" max="256" width="11.42578125" style="74"/>
    <col min="257" max="257" width="11.42578125" style="74" customWidth="1"/>
    <col min="258" max="258" width="16.85546875" style="74" customWidth="1"/>
    <col min="259" max="260" width="21" style="74" customWidth="1"/>
    <col min="261" max="286" width="0" style="74" hidden="1" customWidth="1"/>
    <col min="287" max="287" width="5.7109375" style="74" customWidth="1"/>
    <col min="288" max="288" width="35.28515625" style="74" bestFit="1" customWidth="1"/>
    <col min="289" max="290" width="21" style="74" customWidth="1"/>
    <col min="291" max="291" width="5" style="74" customWidth="1"/>
    <col min="292" max="292" width="31.7109375" style="74" bestFit="1" customWidth="1"/>
    <col min="293" max="294" width="21" style="74" customWidth="1"/>
    <col min="295" max="512" width="11.42578125" style="74"/>
    <col min="513" max="513" width="11.42578125" style="74" customWidth="1"/>
    <col min="514" max="514" width="16.85546875" style="74" customWidth="1"/>
    <col min="515" max="516" width="21" style="74" customWidth="1"/>
    <col min="517" max="542" width="0" style="74" hidden="1" customWidth="1"/>
    <col min="543" max="543" width="5.7109375" style="74" customWidth="1"/>
    <col min="544" max="544" width="35.28515625" style="74" bestFit="1" customWidth="1"/>
    <col min="545" max="546" width="21" style="74" customWidth="1"/>
    <col min="547" max="547" width="5" style="74" customWidth="1"/>
    <col min="548" max="548" width="31.7109375" style="74" bestFit="1" customWidth="1"/>
    <col min="549" max="550" width="21" style="74" customWidth="1"/>
    <col min="551" max="768" width="11.42578125" style="74"/>
    <col min="769" max="769" width="11.42578125" style="74" customWidth="1"/>
    <col min="770" max="770" width="16.85546875" style="74" customWidth="1"/>
    <col min="771" max="772" width="21" style="74" customWidth="1"/>
    <col min="773" max="798" width="0" style="74" hidden="1" customWidth="1"/>
    <col min="799" max="799" width="5.7109375" style="74" customWidth="1"/>
    <col min="800" max="800" width="35.28515625" style="74" bestFit="1" customWidth="1"/>
    <col min="801" max="802" width="21" style="74" customWidth="1"/>
    <col min="803" max="803" width="5" style="74" customWidth="1"/>
    <col min="804" max="804" width="31.7109375" style="74" bestFit="1" customWidth="1"/>
    <col min="805" max="806" width="21" style="74" customWidth="1"/>
    <col min="807" max="1024" width="11.42578125" style="74"/>
    <col min="1025" max="1025" width="11.42578125" style="74" customWidth="1"/>
    <col min="1026" max="1026" width="16.85546875" style="74" customWidth="1"/>
    <col min="1027" max="1028" width="21" style="74" customWidth="1"/>
    <col min="1029" max="1054" width="0" style="74" hidden="1" customWidth="1"/>
    <col min="1055" max="1055" width="5.7109375" style="74" customWidth="1"/>
    <col min="1056" max="1056" width="35.28515625" style="74" bestFit="1" customWidth="1"/>
    <col min="1057" max="1058" width="21" style="74" customWidth="1"/>
    <col min="1059" max="1059" width="5" style="74" customWidth="1"/>
    <col min="1060" max="1060" width="31.7109375" style="74" bestFit="1" customWidth="1"/>
    <col min="1061" max="1062" width="21" style="74" customWidth="1"/>
    <col min="1063" max="1280" width="11.42578125" style="74"/>
    <col min="1281" max="1281" width="11.42578125" style="74" customWidth="1"/>
    <col min="1282" max="1282" width="16.85546875" style="74" customWidth="1"/>
    <col min="1283" max="1284" width="21" style="74" customWidth="1"/>
    <col min="1285" max="1310" width="0" style="74" hidden="1" customWidth="1"/>
    <col min="1311" max="1311" width="5.7109375" style="74" customWidth="1"/>
    <col min="1312" max="1312" width="35.28515625" style="74" bestFit="1" customWidth="1"/>
    <col min="1313" max="1314" width="21" style="74" customWidth="1"/>
    <col min="1315" max="1315" width="5" style="74" customWidth="1"/>
    <col min="1316" max="1316" width="31.7109375" style="74" bestFit="1" customWidth="1"/>
    <col min="1317" max="1318" width="21" style="74" customWidth="1"/>
    <col min="1319" max="1536" width="11.42578125" style="74"/>
    <col min="1537" max="1537" width="11.42578125" style="74" customWidth="1"/>
    <col min="1538" max="1538" width="16.85546875" style="74" customWidth="1"/>
    <col min="1539" max="1540" width="21" style="74" customWidth="1"/>
    <col min="1541" max="1566" width="0" style="74" hidden="1" customWidth="1"/>
    <col min="1567" max="1567" width="5.7109375" style="74" customWidth="1"/>
    <col min="1568" max="1568" width="35.28515625" style="74" bestFit="1" customWidth="1"/>
    <col min="1569" max="1570" width="21" style="74" customWidth="1"/>
    <col min="1571" max="1571" width="5" style="74" customWidth="1"/>
    <col min="1572" max="1572" width="31.7109375" style="74" bestFit="1" customWidth="1"/>
    <col min="1573" max="1574" width="21" style="74" customWidth="1"/>
    <col min="1575" max="1792" width="11.42578125" style="74"/>
    <col min="1793" max="1793" width="11.42578125" style="74" customWidth="1"/>
    <col min="1794" max="1794" width="16.85546875" style="74" customWidth="1"/>
    <col min="1795" max="1796" width="21" style="74" customWidth="1"/>
    <col min="1797" max="1822" width="0" style="74" hidden="1" customWidth="1"/>
    <col min="1823" max="1823" width="5.7109375" style="74" customWidth="1"/>
    <col min="1824" max="1824" width="35.28515625" style="74" bestFit="1" customWidth="1"/>
    <col min="1825" max="1826" width="21" style="74" customWidth="1"/>
    <col min="1827" max="1827" width="5" style="74" customWidth="1"/>
    <col min="1828" max="1828" width="31.7109375" style="74" bestFit="1" customWidth="1"/>
    <col min="1829" max="1830" width="21" style="74" customWidth="1"/>
    <col min="1831" max="2048" width="11.42578125" style="74"/>
    <col min="2049" max="2049" width="11.42578125" style="74" customWidth="1"/>
    <col min="2050" max="2050" width="16.85546875" style="74" customWidth="1"/>
    <col min="2051" max="2052" width="21" style="74" customWidth="1"/>
    <col min="2053" max="2078" width="0" style="74" hidden="1" customWidth="1"/>
    <col min="2079" max="2079" width="5.7109375" style="74" customWidth="1"/>
    <col min="2080" max="2080" width="35.28515625" style="74" bestFit="1" customWidth="1"/>
    <col min="2081" max="2082" width="21" style="74" customWidth="1"/>
    <col min="2083" max="2083" width="5" style="74" customWidth="1"/>
    <col min="2084" max="2084" width="31.7109375" style="74" bestFit="1" customWidth="1"/>
    <col min="2085" max="2086" width="21" style="74" customWidth="1"/>
    <col min="2087" max="2304" width="11.42578125" style="74"/>
    <col min="2305" max="2305" width="11.42578125" style="74" customWidth="1"/>
    <col min="2306" max="2306" width="16.85546875" style="74" customWidth="1"/>
    <col min="2307" max="2308" width="21" style="74" customWidth="1"/>
    <col min="2309" max="2334" width="0" style="74" hidden="1" customWidth="1"/>
    <col min="2335" max="2335" width="5.7109375" style="74" customWidth="1"/>
    <col min="2336" max="2336" width="35.28515625" style="74" bestFit="1" customWidth="1"/>
    <col min="2337" max="2338" width="21" style="74" customWidth="1"/>
    <col min="2339" max="2339" width="5" style="74" customWidth="1"/>
    <col min="2340" max="2340" width="31.7109375" style="74" bestFit="1" customWidth="1"/>
    <col min="2341" max="2342" width="21" style="74" customWidth="1"/>
    <col min="2343" max="2560" width="11.42578125" style="74"/>
    <col min="2561" max="2561" width="11.42578125" style="74" customWidth="1"/>
    <col min="2562" max="2562" width="16.85546875" style="74" customWidth="1"/>
    <col min="2563" max="2564" width="21" style="74" customWidth="1"/>
    <col min="2565" max="2590" width="0" style="74" hidden="1" customWidth="1"/>
    <col min="2591" max="2591" width="5.7109375" style="74" customWidth="1"/>
    <col min="2592" max="2592" width="35.28515625" style="74" bestFit="1" customWidth="1"/>
    <col min="2593" max="2594" width="21" style="74" customWidth="1"/>
    <col min="2595" max="2595" width="5" style="74" customWidth="1"/>
    <col min="2596" max="2596" width="31.7109375" style="74" bestFit="1" customWidth="1"/>
    <col min="2597" max="2598" width="21" style="74" customWidth="1"/>
    <col min="2599" max="2816" width="11.42578125" style="74"/>
    <col min="2817" max="2817" width="11.42578125" style="74" customWidth="1"/>
    <col min="2818" max="2818" width="16.85546875" style="74" customWidth="1"/>
    <col min="2819" max="2820" width="21" style="74" customWidth="1"/>
    <col min="2821" max="2846" width="0" style="74" hidden="1" customWidth="1"/>
    <col min="2847" max="2847" width="5.7109375" style="74" customWidth="1"/>
    <col min="2848" max="2848" width="35.28515625" style="74" bestFit="1" customWidth="1"/>
    <col min="2849" max="2850" width="21" style="74" customWidth="1"/>
    <col min="2851" max="2851" width="5" style="74" customWidth="1"/>
    <col min="2852" max="2852" width="31.7109375" style="74" bestFit="1" customWidth="1"/>
    <col min="2853" max="2854" width="21" style="74" customWidth="1"/>
    <col min="2855" max="3072" width="11.42578125" style="74"/>
    <col min="3073" max="3073" width="11.42578125" style="74" customWidth="1"/>
    <col min="3074" max="3074" width="16.85546875" style="74" customWidth="1"/>
    <col min="3075" max="3076" width="21" style="74" customWidth="1"/>
    <col min="3077" max="3102" width="0" style="74" hidden="1" customWidth="1"/>
    <col min="3103" max="3103" width="5.7109375" style="74" customWidth="1"/>
    <col min="3104" max="3104" width="35.28515625" style="74" bestFit="1" customWidth="1"/>
    <col min="3105" max="3106" width="21" style="74" customWidth="1"/>
    <col min="3107" max="3107" width="5" style="74" customWidth="1"/>
    <col min="3108" max="3108" width="31.7109375" style="74" bestFit="1" customWidth="1"/>
    <col min="3109" max="3110" width="21" style="74" customWidth="1"/>
    <col min="3111" max="3328" width="11.42578125" style="74"/>
    <col min="3329" max="3329" width="11.42578125" style="74" customWidth="1"/>
    <col min="3330" max="3330" width="16.85546875" style="74" customWidth="1"/>
    <col min="3331" max="3332" width="21" style="74" customWidth="1"/>
    <col min="3333" max="3358" width="0" style="74" hidden="1" customWidth="1"/>
    <col min="3359" max="3359" width="5.7109375" style="74" customWidth="1"/>
    <col min="3360" max="3360" width="35.28515625" style="74" bestFit="1" customWidth="1"/>
    <col min="3361" max="3362" width="21" style="74" customWidth="1"/>
    <col min="3363" max="3363" width="5" style="74" customWidth="1"/>
    <col min="3364" max="3364" width="31.7109375" style="74" bestFit="1" customWidth="1"/>
    <col min="3365" max="3366" width="21" style="74" customWidth="1"/>
    <col min="3367" max="3584" width="11.42578125" style="74"/>
    <col min="3585" max="3585" width="11.42578125" style="74" customWidth="1"/>
    <col min="3586" max="3586" width="16.85546875" style="74" customWidth="1"/>
    <col min="3587" max="3588" width="21" style="74" customWidth="1"/>
    <col min="3589" max="3614" width="0" style="74" hidden="1" customWidth="1"/>
    <col min="3615" max="3615" width="5.7109375" style="74" customWidth="1"/>
    <col min="3616" max="3616" width="35.28515625" style="74" bestFit="1" customWidth="1"/>
    <col min="3617" max="3618" width="21" style="74" customWidth="1"/>
    <col min="3619" max="3619" width="5" style="74" customWidth="1"/>
    <col min="3620" max="3620" width="31.7109375" style="74" bestFit="1" customWidth="1"/>
    <col min="3621" max="3622" width="21" style="74" customWidth="1"/>
    <col min="3623" max="3840" width="11.42578125" style="74"/>
    <col min="3841" max="3841" width="11.42578125" style="74" customWidth="1"/>
    <col min="3842" max="3842" width="16.85546875" style="74" customWidth="1"/>
    <col min="3843" max="3844" width="21" style="74" customWidth="1"/>
    <col min="3845" max="3870" width="0" style="74" hidden="1" customWidth="1"/>
    <col min="3871" max="3871" width="5.7109375" style="74" customWidth="1"/>
    <col min="3872" max="3872" width="35.28515625" style="74" bestFit="1" customWidth="1"/>
    <col min="3873" max="3874" width="21" style="74" customWidth="1"/>
    <col min="3875" max="3875" width="5" style="74" customWidth="1"/>
    <col min="3876" max="3876" width="31.7109375" style="74" bestFit="1" customWidth="1"/>
    <col min="3877" max="3878" width="21" style="74" customWidth="1"/>
    <col min="3879" max="4096" width="11.42578125" style="74"/>
    <col min="4097" max="4097" width="11.42578125" style="74" customWidth="1"/>
    <col min="4098" max="4098" width="16.85546875" style="74" customWidth="1"/>
    <col min="4099" max="4100" width="21" style="74" customWidth="1"/>
    <col min="4101" max="4126" width="0" style="74" hidden="1" customWidth="1"/>
    <col min="4127" max="4127" width="5.7109375" style="74" customWidth="1"/>
    <col min="4128" max="4128" width="35.28515625" style="74" bestFit="1" customWidth="1"/>
    <col min="4129" max="4130" width="21" style="74" customWidth="1"/>
    <col min="4131" max="4131" width="5" style="74" customWidth="1"/>
    <col min="4132" max="4132" width="31.7109375" style="74" bestFit="1" customWidth="1"/>
    <col min="4133" max="4134" width="21" style="74" customWidth="1"/>
    <col min="4135" max="4352" width="11.42578125" style="74"/>
    <col min="4353" max="4353" width="11.42578125" style="74" customWidth="1"/>
    <col min="4354" max="4354" width="16.85546875" style="74" customWidth="1"/>
    <col min="4355" max="4356" width="21" style="74" customWidth="1"/>
    <col min="4357" max="4382" width="0" style="74" hidden="1" customWidth="1"/>
    <col min="4383" max="4383" width="5.7109375" style="74" customWidth="1"/>
    <col min="4384" max="4384" width="35.28515625" style="74" bestFit="1" customWidth="1"/>
    <col min="4385" max="4386" width="21" style="74" customWidth="1"/>
    <col min="4387" max="4387" width="5" style="74" customWidth="1"/>
    <col min="4388" max="4388" width="31.7109375" style="74" bestFit="1" customWidth="1"/>
    <col min="4389" max="4390" width="21" style="74" customWidth="1"/>
    <col min="4391" max="4608" width="11.42578125" style="74"/>
    <col min="4609" max="4609" width="11.42578125" style="74" customWidth="1"/>
    <col min="4610" max="4610" width="16.85546875" style="74" customWidth="1"/>
    <col min="4611" max="4612" width="21" style="74" customWidth="1"/>
    <col min="4613" max="4638" width="0" style="74" hidden="1" customWidth="1"/>
    <col min="4639" max="4639" width="5.7109375" style="74" customWidth="1"/>
    <col min="4640" max="4640" width="35.28515625" style="74" bestFit="1" customWidth="1"/>
    <col min="4641" max="4642" width="21" style="74" customWidth="1"/>
    <col min="4643" max="4643" width="5" style="74" customWidth="1"/>
    <col min="4644" max="4644" width="31.7109375" style="74" bestFit="1" customWidth="1"/>
    <col min="4645" max="4646" width="21" style="74" customWidth="1"/>
    <col min="4647" max="4864" width="11.42578125" style="74"/>
    <col min="4865" max="4865" width="11.42578125" style="74" customWidth="1"/>
    <col min="4866" max="4866" width="16.85546875" style="74" customWidth="1"/>
    <col min="4867" max="4868" width="21" style="74" customWidth="1"/>
    <col min="4869" max="4894" width="0" style="74" hidden="1" customWidth="1"/>
    <col min="4895" max="4895" width="5.7109375" style="74" customWidth="1"/>
    <col min="4896" max="4896" width="35.28515625" style="74" bestFit="1" customWidth="1"/>
    <col min="4897" max="4898" width="21" style="74" customWidth="1"/>
    <col min="4899" max="4899" width="5" style="74" customWidth="1"/>
    <col min="4900" max="4900" width="31.7109375" style="74" bestFit="1" customWidth="1"/>
    <col min="4901" max="4902" width="21" style="74" customWidth="1"/>
    <col min="4903" max="5120" width="11.42578125" style="74"/>
    <col min="5121" max="5121" width="11.42578125" style="74" customWidth="1"/>
    <col min="5122" max="5122" width="16.85546875" style="74" customWidth="1"/>
    <col min="5123" max="5124" width="21" style="74" customWidth="1"/>
    <col min="5125" max="5150" width="0" style="74" hidden="1" customWidth="1"/>
    <col min="5151" max="5151" width="5.7109375" style="74" customWidth="1"/>
    <col min="5152" max="5152" width="35.28515625" style="74" bestFit="1" customWidth="1"/>
    <col min="5153" max="5154" width="21" style="74" customWidth="1"/>
    <col min="5155" max="5155" width="5" style="74" customWidth="1"/>
    <col min="5156" max="5156" width="31.7109375" style="74" bestFit="1" customWidth="1"/>
    <col min="5157" max="5158" width="21" style="74" customWidth="1"/>
    <col min="5159" max="5376" width="11.42578125" style="74"/>
    <col min="5377" max="5377" width="11.42578125" style="74" customWidth="1"/>
    <col min="5378" max="5378" width="16.85546875" style="74" customWidth="1"/>
    <col min="5379" max="5380" width="21" style="74" customWidth="1"/>
    <col min="5381" max="5406" width="0" style="74" hidden="1" customWidth="1"/>
    <col min="5407" max="5407" width="5.7109375" style="74" customWidth="1"/>
    <col min="5408" max="5408" width="35.28515625" style="74" bestFit="1" customWidth="1"/>
    <col min="5409" max="5410" width="21" style="74" customWidth="1"/>
    <col min="5411" max="5411" width="5" style="74" customWidth="1"/>
    <col min="5412" max="5412" width="31.7109375" style="74" bestFit="1" customWidth="1"/>
    <col min="5413" max="5414" width="21" style="74" customWidth="1"/>
    <col min="5415" max="5632" width="11.42578125" style="74"/>
    <col min="5633" max="5633" width="11.42578125" style="74" customWidth="1"/>
    <col min="5634" max="5634" width="16.85546875" style="74" customWidth="1"/>
    <col min="5635" max="5636" width="21" style="74" customWidth="1"/>
    <col min="5637" max="5662" width="0" style="74" hidden="1" customWidth="1"/>
    <col min="5663" max="5663" width="5.7109375" style="74" customWidth="1"/>
    <col min="5664" max="5664" width="35.28515625" style="74" bestFit="1" customWidth="1"/>
    <col min="5665" max="5666" width="21" style="74" customWidth="1"/>
    <col min="5667" max="5667" width="5" style="74" customWidth="1"/>
    <col min="5668" max="5668" width="31.7109375" style="74" bestFit="1" customWidth="1"/>
    <col min="5669" max="5670" width="21" style="74" customWidth="1"/>
    <col min="5671" max="5888" width="11.42578125" style="74"/>
    <col min="5889" max="5889" width="11.42578125" style="74" customWidth="1"/>
    <col min="5890" max="5890" width="16.85546875" style="74" customWidth="1"/>
    <col min="5891" max="5892" width="21" style="74" customWidth="1"/>
    <col min="5893" max="5918" width="0" style="74" hidden="1" customWidth="1"/>
    <col min="5919" max="5919" width="5.7109375" style="74" customWidth="1"/>
    <col min="5920" max="5920" width="35.28515625" style="74" bestFit="1" customWidth="1"/>
    <col min="5921" max="5922" width="21" style="74" customWidth="1"/>
    <col min="5923" max="5923" width="5" style="74" customWidth="1"/>
    <col min="5924" max="5924" width="31.7109375" style="74" bestFit="1" customWidth="1"/>
    <col min="5925" max="5926" width="21" style="74" customWidth="1"/>
    <col min="5927" max="6144" width="11.42578125" style="74"/>
    <col min="6145" max="6145" width="11.42578125" style="74" customWidth="1"/>
    <col min="6146" max="6146" width="16.85546875" style="74" customWidth="1"/>
    <col min="6147" max="6148" width="21" style="74" customWidth="1"/>
    <col min="6149" max="6174" width="0" style="74" hidden="1" customWidth="1"/>
    <col min="6175" max="6175" width="5.7109375" style="74" customWidth="1"/>
    <col min="6176" max="6176" width="35.28515625" style="74" bestFit="1" customWidth="1"/>
    <col min="6177" max="6178" width="21" style="74" customWidth="1"/>
    <col min="6179" max="6179" width="5" style="74" customWidth="1"/>
    <col min="6180" max="6180" width="31.7109375" style="74" bestFit="1" customWidth="1"/>
    <col min="6181" max="6182" width="21" style="74" customWidth="1"/>
    <col min="6183" max="6400" width="11.42578125" style="74"/>
    <col min="6401" max="6401" width="11.42578125" style="74" customWidth="1"/>
    <col min="6402" max="6402" width="16.85546875" style="74" customWidth="1"/>
    <col min="6403" max="6404" width="21" style="74" customWidth="1"/>
    <col min="6405" max="6430" width="0" style="74" hidden="1" customWidth="1"/>
    <col min="6431" max="6431" width="5.7109375" style="74" customWidth="1"/>
    <col min="6432" max="6432" width="35.28515625" style="74" bestFit="1" customWidth="1"/>
    <col min="6433" max="6434" width="21" style="74" customWidth="1"/>
    <col min="6435" max="6435" width="5" style="74" customWidth="1"/>
    <col min="6436" max="6436" width="31.7109375" style="74" bestFit="1" customWidth="1"/>
    <col min="6437" max="6438" width="21" style="74" customWidth="1"/>
    <col min="6439" max="6656" width="11.42578125" style="74"/>
    <col min="6657" max="6657" width="11.42578125" style="74" customWidth="1"/>
    <col min="6658" max="6658" width="16.85546875" style="74" customWidth="1"/>
    <col min="6659" max="6660" width="21" style="74" customWidth="1"/>
    <col min="6661" max="6686" width="0" style="74" hidden="1" customWidth="1"/>
    <col min="6687" max="6687" width="5.7109375" style="74" customWidth="1"/>
    <col min="6688" max="6688" width="35.28515625" style="74" bestFit="1" customWidth="1"/>
    <col min="6689" max="6690" width="21" style="74" customWidth="1"/>
    <col min="6691" max="6691" width="5" style="74" customWidth="1"/>
    <col min="6692" max="6692" width="31.7109375" style="74" bestFit="1" customWidth="1"/>
    <col min="6693" max="6694" width="21" style="74" customWidth="1"/>
    <col min="6695" max="6912" width="11.42578125" style="74"/>
    <col min="6913" max="6913" width="11.42578125" style="74" customWidth="1"/>
    <col min="6914" max="6914" width="16.85546875" style="74" customWidth="1"/>
    <col min="6915" max="6916" width="21" style="74" customWidth="1"/>
    <col min="6917" max="6942" width="0" style="74" hidden="1" customWidth="1"/>
    <col min="6943" max="6943" width="5.7109375" style="74" customWidth="1"/>
    <col min="6944" max="6944" width="35.28515625" style="74" bestFit="1" customWidth="1"/>
    <col min="6945" max="6946" width="21" style="74" customWidth="1"/>
    <col min="6947" max="6947" width="5" style="74" customWidth="1"/>
    <col min="6948" max="6948" width="31.7109375" style="74" bestFit="1" customWidth="1"/>
    <col min="6949" max="6950" width="21" style="74" customWidth="1"/>
    <col min="6951" max="7168" width="11.42578125" style="74"/>
    <col min="7169" max="7169" width="11.42578125" style="74" customWidth="1"/>
    <col min="7170" max="7170" width="16.85546875" style="74" customWidth="1"/>
    <col min="7171" max="7172" width="21" style="74" customWidth="1"/>
    <col min="7173" max="7198" width="0" style="74" hidden="1" customWidth="1"/>
    <col min="7199" max="7199" width="5.7109375" style="74" customWidth="1"/>
    <col min="7200" max="7200" width="35.28515625" style="74" bestFit="1" customWidth="1"/>
    <col min="7201" max="7202" width="21" style="74" customWidth="1"/>
    <col min="7203" max="7203" width="5" style="74" customWidth="1"/>
    <col min="7204" max="7204" width="31.7109375" style="74" bestFit="1" customWidth="1"/>
    <col min="7205" max="7206" width="21" style="74" customWidth="1"/>
    <col min="7207" max="7424" width="11.42578125" style="74"/>
    <col min="7425" max="7425" width="11.42578125" style="74" customWidth="1"/>
    <col min="7426" max="7426" width="16.85546875" style="74" customWidth="1"/>
    <col min="7427" max="7428" width="21" style="74" customWidth="1"/>
    <col min="7429" max="7454" width="0" style="74" hidden="1" customWidth="1"/>
    <col min="7455" max="7455" width="5.7109375" style="74" customWidth="1"/>
    <col min="7456" max="7456" width="35.28515625" style="74" bestFit="1" customWidth="1"/>
    <col min="7457" max="7458" width="21" style="74" customWidth="1"/>
    <col min="7459" max="7459" width="5" style="74" customWidth="1"/>
    <col min="7460" max="7460" width="31.7109375" style="74" bestFit="1" customWidth="1"/>
    <col min="7461" max="7462" width="21" style="74" customWidth="1"/>
    <col min="7463" max="7680" width="11.42578125" style="74"/>
    <col min="7681" max="7681" width="11.42578125" style="74" customWidth="1"/>
    <col min="7682" max="7682" width="16.85546875" style="74" customWidth="1"/>
    <col min="7683" max="7684" width="21" style="74" customWidth="1"/>
    <col min="7685" max="7710" width="0" style="74" hidden="1" customWidth="1"/>
    <col min="7711" max="7711" width="5.7109375" style="74" customWidth="1"/>
    <col min="7712" max="7712" width="35.28515625" style="74" bestFit="1" customWidth="1"/>
    <col min="7713" max="7714" width="21" style="74" customWidth="1"/>
    <col min="7715" max="7715" width="5" style="74" customWidth="1"/>
    <col min="7716" max="7716" width="31.7109375" style="74" bestFit="1" customWidth="1"/>
    <col min="7717" max="7718" width="21" style="74" customWidth="1"/>
    <col min="7719" max="7936" width="11.42578125" style="74"/>
    <col min="7937" max="7937" width="11.42578125" style="74" customWidth="1"/>
    <col min="7938" max="7938" width="16.85546875" style="74" customWidth="1"/>
    <col min="7939" max="7940" width="21" style="74" customWidth="1"/>
    <col min="7941" max="7966" width="0" style="74" hidden="1" customWidth="1"/>
    <col min="7967" max="7967" width="5.7109375" style="74" customWidth="1"/>
    <col min="7968" max="7968" width="35.28515625" style="74" bestFit="1" customWidth="1"/>
    <col min="7969" max="7970" width="21" style="74" customWidth="1"/>
    <col min="7971" max="7971" width="5" style="74" customWidth="1"/>
    <col min="7972" max="7972" width="31.7109375" style="74" bestFit="1" customWidth="1"/>
    <col min="7973" max="7974" width="21" style="74" customWidth="1"/>
    <col min="7975" max="8192" width="11.42578125" style="74"/>
    <col min="8193" max="8193" width="11.42578125" style="74" customWidth="1"/>
    <col min="8194" max="8194" width="16.85546875" style="74" customWidth="1"/>
    <col min="8195" max="8196" width="21" style="74" customWidth="1"/>
    <col min="8197" max="8222" width="0" style="74" hidden="1" customWidth="1"/>
    <col min="8223" max="8223" width="5.7109375" style="74" customWidth="1"/>
    <col min="8224" max="8224" width="35.28515625" style="74" bestFit="1" customWidth="1"/>
    <col min="8225" max="8226" width="21" style="74" customWidth="1"/>
    <col min="8227" max="8227" width="5" style="74" customWidth="1"/>
    <col min="8228" max="8228" width="31.7109375" style="74" bestFit="1" customWidth="1"/>
    <col min="8229" max="8230" width="21" style="74" customWidth="1"/>
    <col min="8231" max="8448" width="11.42578125" style="74"/>
    <col min="8449" max="8449" width="11.42578125" style="74" customWidth="1"/>
    <col min="8450" max="8450" width="16.85546875" style="74" customWidth="1"/>
    <col min="8451" max="8452" width="21" style="74" customWidth="1"/>
    <col min="8453" max="8478" width="0" style="74" hidden="1" customWidth="1"/>
    <col min="8479" max="8479" width="5.7109375" style="74" customWidth="1"/>
    <col min="8480" max="8480" width="35.28515625" style="74" bestFit="1" customWidth="1"/>
    <col min="8481" max="8482" width="21" style="74" customWidth="1"/>
    <col min="8483" max="8483" width="5" style="74" customWidth="1"/>
    <col min="8484" max="8484" width="31.7109375" style="74" bestFit="1" customWidth="1"/>
    <col min="8485" max="8486" width="21" style="74" customWidth="1"/>
    <col min="8487" max="8704" width="11.42578125" style="74"/>
    <col min="8705" max="8705" width="11.42578125" style="74" customWidth="1"/>
    <col min="8706" max="8706" width="16.85546875" style="74" customWidth="1"/>
    <col min="8707" max="8708" width="21" style="74" customWidth="1"/>
    <col min="8709" max="8734" width="0" style="74" hidden="1" customWidth="1"/>
    <col min="8735" max="8735" width="5.7109375" style="74" customWidth="1"/>
    <col min="8736" max="8736" width="35.28515625" style="74" bestFit="1" customWidth="1"/>
    <col min="8737" max="8738" width="21" style="74" customWidth="1"/>
    <col min="8739" max="8739" width="5" style="74" customWidth="1"/>
    <col min="8740" max="8740" width="31.7109375" style="74" bestFit="1" customWidth="1"/>
    <col min="8741" max="8742" width="21" style="74" customWidth="1"/>
    <col min="8743" max="8960" width="11.42578125" style="74"/>
    <col min="8961" max="8961" width="11.42578125" style="74" customWidth="1"/>
    <col min="8962" max="8962" width="16.85546875" style="74" customWidth="1"/>
    <col min="8963" max="8964" width="21" style="74" customWidth="1"/>
    <col min="8965" max="8990" width="0" style="74" hidden="1" customWidth="1"/>
    <col min="8991" max="8991" width="5.7109375" style="74" customWidth="1"/>
    <col min="8992" max="8992" width="35.28515625" style="74" bestFit="1" customWidth="1"/>
    <col min="8993" max="8994" width="21" style="74" customWidth="1"/>
    <col min="8995" max="8995" width="5" style="74" customWidth="1"/>
    <col min="8996" max="8996" width="31.7109375" style="74" bestFit="1" customWidth="1"/>
    <col min="8997" max="8998" width="21" style="74" customWidth="1"/>
    <col min="8999" max="9216" width="11.42578125" style="74"/>
    <col min="9217" max="9217" width="11.42578125" style="74" customWidth="1"/>
    <col min="9218" max="9218" width="16.85546875" style="74" customWidth="1"/>
    <col min="9219" max="9220" width="21" style="74" customWidth="1"/>
    <col min="9221" max="9246" width="0" style="74" hidden="1" customWidth="1"/>
    <col min="9247" max="9247" width="5.7109375" style="74" customWidth="1"/>
    <col min="9248" max="9248" width="35.28515625" style="74" bestFit="1" customWidth="1"/>
    <col min="9249" max="9250" width="21" style="74" customWidth="1"/>
    <col min="9251" max="9251" width="5" style="74" customWidth="1"/>
    <col min="9252" max="9252" width="31.7109375" style="74" bestFit="1" customWidth="1"/>
    <col min="9253" max="9254" width="21" style="74" customWidth="1"/>
    <col min="9255" max="9472" width="11.42578125" style="74"/>
    <col min="9473" max="9473" width="11.42578125" style="74" customWidth="1"/>
    <col min="9474" max="9474" width="16.85546875" style="74" customWidth="1"/>
    <col min="9475" max="9476" width="21" style="74" customWidth="1"/>
    <col min="9477" max="9502" width="0" style="74" hidden="1" customWidth="1"/>
    <col min="9503" max="9503" width="5.7109375" style="74" customWidth="1"/>
    <col min="9504" max="9504" width="35.28515625" style="74" bestFit="1" customWidth="1"/>
    <col min="9505" max="9506" width="21" style="74" customWidth="1"/>
    <col min="9507" max="9507" width="5" style="74" customWidth="1"/>
    <col min="9508" max="9508" width="31.7109375" style="74" bestFit="1" customWidth="1"/>
    <col min="9509" max="9510" width="21" style="74" customWidth="1"/>
    <col min="9511" max="9728" width="11.42578125" style="74"/>
    <col min="9729" max="9729" width="11.42578125" style="74" customWidth="1"/>
    <col min="9730" max="9730" width="16.85546875" style="74" customWidth="1"/>
    <col min="9731" max="9732" width="21" style="74" customWidth="1"/>
    <col min="9733" max="9758" width="0" style="74" hidden="1" customWidth="1"/>
    <col min="9759" max="9759" width="5.7109375" style="74" customWidth="1"/>
    <col min="9760" max="9760" width="35.28515625" style="74" bestFit="1" customWidth="1"/>
    <col min="9761" max="9762" width="21" style="74" customWidth="1"/>
    <col min="9763" max="9763" width="5" style="74" customWidth="1"/>
    <col min="9764" max="9764" width="31.7109375" style="74" bestFit="1" customWidth="1"/>
    <col min="9765" max="9766" width="21" style="74" customWidth="1"/>
    <col min="9767" max="9984" width="11.42578125" style="74"/>
    <col min="9985" max="9985" width="11.42578125" style="74" customWidth="1"/>
    <col min="9986" max="9986" width="16.85546875" style="74" customWidth="1"/>
    <col min="9987" max="9988" width="21" style="74" customWidth="1"/>
    <col min="9989" max="10014" width="0" style="74" hidden="1" customWidth="1"/>
    <col min="10015" max="10015" width="5.7109375" style="74" customWidth="1"/>
    <col min="10016" max="10016" width="35.28515625" style="74" bestFit="1" customWidth="1"/>
    <col min="10017" max="10018" width="21" style="74" customWidth="1"/>
    <col min="10019" max="10019" width="5" style="74" customWidth="1"/>
    <col min="10020" max="10020" width="31.7109375" style="74" bestFit="1" customWidth="1"/>
    <col min="10021" max="10022" width="21" style="74" customWidth="1"/>
    <col min="10023" max="10240" width="11.42578125" style="74"/>
    <col min="10241" max="10241" width="11.42578125" style="74" customWidth="1"/>
    <col min="10242" max="10242" width="16.85546875" style="74" customWidth="1"/>
    <col min="10243" max="10244" width="21" style="74" customWidth="1"/>
    <col min="10245" max="10270" width="0" style="74" hidden="1" customWidth="1"/>
    <col min="10271" max="10271" width="5.7109375" style="74" customWidth="1"/>
    <col min="10272" max="10272" width="35.28515625" style="74" bestFit="1" customWidth="1"/>
    <col min="10273" max="10274" width="21" style="74" customWidth="1"/>
    <col min="10275" max="10275" width="5" style="74" customWidth="1"/>
    <col min="10276" max="10276" width="31.7109375" style="74" bestFit="1" customWidth="1"/>
    <col min="10277" max="10278" width="21" style="74" customWidth="1"/>
    <col min="10279" max="10496" width="11.42578125" style="74"/>
    <col min="10497" max="10497" width="11.42578125" style="74" customWidth="1"/>
    <col min="10498" max="10498" width="16.85546875" style="74" customWidth="1"/>
    <col min="10499" max="10500" width="21" style="74" customWidth="1"/>
    <col min="10501" max="10526" width="0" style="74" hidden="1" customWidth="1"/>
    <col min="10527" max="10527" width="5.7109375" style="74" customWidth="1"/>
    <col min="10528" max="10528" width="35.28515625" style="74" bestFit="1" customWidth="1"/>
    <col min="10529" max="10530" width="21" style="74" customWidth="1"/>
    <col min="10531" max="10531" width="5" style="74" customWidth="1"/>
    <col min="10532" max="10532" width="31.7109375" style="74" bestFit="1" customWidth="1"/>
    <col min="10533" max="10534" width="21" style="74" customWidth="1"/>
    <col min="10535" max="10752" width="11.42578125" style="74"/>
    <col min="10753" max="10753" width="11.42578125" style="74" customWidth="1"/>
    <col min="10754" max="10754" width="16.85546875" style="74" customWidth="1"/>
    <col min="10755" max="10756" width="21" style="74" customWidth="1"/>
    <col min="10757" max="10782" width="0" style="74" hidden="1" customWidth="1"/>
    <col min="10783" max="10783" width="5.7109375" style="74" customWidth="1"/>
    <col min="10784" max="10784" width="35.28515625" style="74" bestFit="1" customWidth="1"/>
    <col min="10785" max="10786" width="21" style="74" customWidth="1"/>
    <col min="10787" max="10787" width="5" style="74" customWidth="1"/>
    <col min="10788" max="10788" width="31.7109375" style="74" bestFit="1" customWidth="1"/>
    <col min="10789" max="10790" width="21" style="74" customWidth="1"/>
    <col min="10791" max="11008" width="11.42578125" style="74"/>
    <col min="11009" max="11009" width="11.42578125" style="74" customWidth="1"/>
    <col min="11010" max="11010" width="16.85546875" style="74" customWidth="1"/>
    <col min="11011" max="11012" width="21" style="74" customWidth="1"/>
    <col min="11013" max="11038" width="0" style="74" hidden="1" customWidth="1"/>
    <col min="11039" max="11039" width="5.7109375" style="74" customWidth="1"/>
    <col min="11040" max="11040" width="35.28515625" style="74" bestFit="1" customWidth="1"/>
    <col min="11041" max="11042" width="21" style="74" customWidth="1"/>
    <col min="11043" max="11043" width="5" style="74" customWidth="1"/>
    <col min="11044" max="11044" width="31.7109375" style="74" bestFit="1" customWidth="1"/>
    <col min="11045" max="11046" width="21" style="74" customWidth="1"/>
    <col min="11047" max="11264" width="11.42578125" style="74"/>
    <col min="11265" max="11265" width="11.42578125" style="74" customWidth="1"/>
    <col min="11266" max="11266" width="16.85546875" style="74" customWidth="1"/>
    <col min="11267" max="11268" width="21" style="74" customWidth="1"/>
    <col min="11269" max="11294" width="0" style="74" hidden="1" customWidth="1"/>
    <col min="11295" max="11295" width="5.7109375" style="74" customWidth="1"/>
    <col min="11296" max="11296" width="35.28515625" style="74" bestFit="1" customWidth="1"/>
    <col min="11297" max="11298" width="21" style="74" customWidth="1"/>
    <col min="11299" max="11299" width="5" style="74" customWidth="1"/>
    <col min="11300" max="11300" width="31.7109375" style="74" bestFit="1" customWidth="1"/>
    <col min="11301" max="11302" width="21" style="74" customWidth="1"/>
    <col min="11303" max="11520" width="11.42578125" style="74"/>
    <col min="11521" max="11521" width="11.42578125" style="74" customWidth="1"/>
    <col min="11522" max="11522" width="16.85546875" style="74" customWidth="1"/>
    <col min="11523" max="11524" width="21" style="74" customWidth="1"/>
    <col min="11525" max="11550" width="0" style="74" hidden="1" customWidth="1"/>
    <col min="11551" max="11551" width="5.7109375" style="74" customWidth="1"/>
    <col min="11552" max="11552" width="35.28515625" style="74" bestFit="1" customWidth="1"/>
    <col min="11553" max="11554" width="21" style="74" customWidth="1"/>
    <col min="11555" max="11555" width="5" style="74" customWidth="1"/>
    <col min="11556" max="11556" width="31.7109375" style="74" bestFit="1" customWidth="1"/>
    <col min="11557" max="11558" width="21" style="74" customWidth="1"/>
    <col min="11559" max="11776" width="11.42578125" style="74"/>
    <col min="11777" max="11777" width="11.42578125" style="74" customWidth="1"/>
    <col min="11778" max="11778" width="16.85546875" style="74" customWidth="1"/>
    <col min="11779" max="11780" width="21" style="74" customWidth="1"/>
    <col min="11781" max="11806" width="0" style="74" hidden="1" customWidth="1"/>
    <col min="11807" max="11807" width="5.7109375" style="74" customWidth="1"/>
    <col min="11808" max="11808" width="35.28515625" style="74" bestFit="1" customWidth="1"/>
    <col min="11809" max="11810" width="21" style="74" customWidth="1"/>
    <col min="11811" max="11811" width="5" style="74" customWidth="1"/>
    <col min="11812" max="11812" width="31.7109375" style="74" bestFit="1" customWidth="1"/>
    <col min="11813" max="11814" width="21" style="74" customWidth="1"/>
    <col min="11815" max="12032" width="11.42578125" style="74"/>
    <col min="12033" max="12033" width="11.42578125" style="74" customWidth="1"/>
    <col min="12034" max="12034" width="16.85546875" style="74" customWidth="1"/>
    <col min="12035" max="12036" width="21" style="74" customWidth="1"/>
    <col min="12037" max="12062" width="0" style="74" hidden="1" customWidth="1"/>
    <col min="12063" max="12063" width="5.7109375" style="74" customWidth="1"/>
    <col min="12064" max="12064" width="35.28515625" style="74" bestFit="1" customWidth="1"/>
    <col min="12065" max="12066" width="21" style="74" customWidth="1"/>
    <col min="12067" max="12067" width="5" style="74" customWidth="1"/>
    <col min="12068" max="12068" width="31.7109375" style="74" bestFit="1" customWidth="1"/>
    <col min="12069" max="12070" width="21" style="74" customWidth="1"/>
    <col min="12071" max="12288" width="11.42578125" style="74"/>
    <col min="12289" max="12289" width="11.42578125" style="74" customWidth="1"/>
    <col min="12290" max="12290" width="16.85546875" style="74" customWidth="1"/>
    <col min="12291" max="12292" width="21" style="74" customWidth="1"/>
    <col min="12293" max="12318" width="0" style="74" hidden="1" customWidth="1"/>
    <col min="12319" max="12319" width="5.7109375" style="74" customWidth="1"/>
    <col min="12320" max="12320" width="35.28515625" style="74" bestFit="1" customWidth="1"/>
    <col min="12321" max="12322" width="21" style="74" customWidth="1"/>
    <col min="12323" max="12323" width="5" style="74" customWidth="1"/>
    <col min="12324" max="12324" width="31.7109375" style="74" bestFit="1" customWidth="1"/>
    <col min="12325" max="12326" width="21" style="74" customWidth="1"/>
    <col min="12327" max="12544" width="11.42578125" style="74"/>
    <col min="12545" max="12545" width="11.42578125" style="74" customWidth="1"/>
    <col min="12546" max="12546" width="16.85546875" style="74" customWidth="1"/>
    <col min="12547" max="12548" width="21" style="74" customWidth="1"/>
    <col min="12549" max="12574" width="0" style="74" hidden="1" customWidth="1"/>
    <col min="12575" max="12575" width="5.7109375" style="74" customWidth="1"/>
    <col min="12576" max="12576" width="35.28515625" style="74" bestFit="1" customWidth="1"/>
    <col min="12577" max="12578" width="21" style="74" customWidth="1"/>
    <col min="12579" max="12579" width="5" style="74" customWidth="1"/>
    <col min="12580" max="12580" width="31.7109375" style="74" bestFit="1" customWidth="1"/>
    <col min="12581" max="12582" width="21" style="74" customWidth="1"/>
    <col min="12583" max="12800" width="11.42578125" style="74"/>
    <col min="12801" max="12801" width="11.42578125" style="74" customWidth="1"/>
    <col min="12802" max="12802" width="16.85546875" style="74" customWidth="1"/>
    <col min="12803" max="12804" width="21" style="74" customWidth="1"/>
    <col min="12805" max="12830" width="0" style="74" hidden="1" customWidth="1"/>
    <col min="12831" max="12831" width="5.7109375" style="74" customWidth="1"/>
    <col min="12832" max="12832" width="35.28515625" style="74" bestFit="1" customWidth="1"/>
    <col min="12833" max="12834" width="21" style="74" customWidth="1"/>
    <col min="12835" max="12835" width="5" style="74" customWidth="1"/>
    <col min="12836" max="12836" width="31.7109375" style="74" bestFit="1" customWidth="1"/>
    <col min="12837" max="12838" width="21" style="74" customWidth="1"/>
    <col min="12839" max="13056" width="11.42578125" style="74"/>
    <col min="13057" max="13057" width="11.42578125" style="74" customWidth="1"/>
    <col min="13058" max="13058" width="16.85546875" style="74" customWidth="1"/>
    <col min="13059" max="13060" width="21" style="74" customWidth="1"/>
    <col min="13061" max="13086" width="0" style="74" hidden="1" customWidth="1"/>
    <col min="13087" max="13087" width="5.7109375" style="74" customWidth="1"/>
    <col min="13088" max="13088" width="35.28515625" style="74" bestFit="1" customWidth="1"/>
    <col min="13089" max="13090" width="21" style="74" customWidth="1"/>
    <col min="13091" max="13091" width="5" style="74" customWidth="1"/>
    <col min="13092" max="13092" width="31.7109375" style="74" bestFit="1" customWidth="1"/>
    <col min="13093" max="13094" width="21" style="74" customWidth="1"/>
    <col min="13095" max="13312" width="11.42578125" style="74"/>
    <col min="13313" max="13313" width="11.42578125" style="74" customWidth="1"/>
    <col min="13314" max="13314" width="16.85546875" style="74" customWidth="1"/>
    <col min="13315" max="13316" width="21" style="74" customWidth="1"/>
    <col min="13317" max="13342" width="0" style="74" hidden="1" customWidth="1"/>
    <col min="13343" max="13343" width="5.7109375" style="74" customWidth="1"/>
    <col min="13344" max="13344" width="35.28515625" style="74" bestFit="1" customWidth="1"/>
    <col min="13345" max="13346" width="21" style="74" customWidth="1"/>
    <col min="13347" max="13347" width="5" style="74" customWidth="1"/>
    <col min="13348" max="13348" width="31.7109375" style="74" bestFit="1" customWidth="1"/>
    <col min="13349" max="13350" width="21" style="74" customWidth="1"/>
    <col min="13351" max="13568" width="11.42578125" style="74"/>
    <col min="13569" max="13569" width="11.42578125" style="74" customWidth="1"/>
    <col min="13570" max="13570" width="16.85546875" style="74" customWidth="1"/>
    <col min="13571" max="13572" width="21" style="74" customWidth="1"/>
    <col min="13573" max="13598" width="0" style="74" hidden="1" customWidth="1"/>
    <col min="13599" max="13599" width="5.7109375" style="74" customWidth="1"/>
    <col min="13600" max="13600" width="35.28515625" style="74" bestFit="1" customWidth="1"/>
    <col min="13601" max="13602" width="21" style="74" customWidth="1"/>
    <col min="13603" max="13603" width="5" style="74" customWidth="1"/>
    <col min="13604" max="13604" width="31.7109375" style="74" bestFit="1" customWidth="1"/>
    <col min="13605" max="13606" width="21" style="74" customWidth="1"/>
    <col min="13607" max="13824" width="11.42578125" style="74"/>
    <col min="13825" max="13825" width="11.42578125" style="74" customWidth="1"/>
    <col min="13826" max="13826" width="16.85546875" style="74" customWidth="1"/>
    <col min="13827" max="13828" width="21" style="74" customWidth="1"/>
    <col min="13829" max="13854" width="0" style="74" hidden="1" customWidth="1"/>
    <col min="13855" max="13855" width="5.7109375" style="74" customWidth="1"/>
    <col min="13856" max="13856" width="35.28515625" style="74" bestFit="1" customWidth="1"/>
    <col min="13857" max="13858" width="21" style="74" customWidth="1"/>
    <col min="13859" max="13859" width="5" style="74" customWidth="1"/>
    <col min="13860" max="13860" width="31.7109375" style="74" bestFit="1" customWidth="1"/>
    <col min="13861" max="13862" width="21" style="74" customWidth="1"/>
    <col min="13863" max="14080" width="11.42578125" style="74"/>
    <col min="14081" max="14081" width="11.42578125" style="74" customWidth="1"/>
    <col min="14082" max="14082" width="16.85546875" style="74" customWidth="1"/>
    <col min="14083" max="14084" width="21" style="74" customWidth="1"/>
    <col min="14085" max="14110" width="0" style="74" hidden="1" customWidth="1"/>
    <col min="14111" max="14111" width="5.7109375" style="74" customWidth="1"/>
    <col min="14112" max="14112" width="35.28515625" style="74" bestFit="1" customWidth="1"/>
    <col min="14113" max="14114" width="21" style="74" customWidth="1"/>
    <col min="14115" max="14115" width="5" style="74" customWidth="1"/>
    <col min="14116" max="14116" width="31.7109375" style="74" bestFit="1" customWidth="1"/>
    <col min="14117" max="14118" width="21" style="74" customWidth="1"/>
    <col min="14119" max="14336" width="11.42578125" style="74"/>
    <col min="14337" max="14337" width="11.42578125" style="74" customWidth="1"/>
    <col min="14338" max="14338" width="16.85546875" style="74" customWidth="1"/>
    <col min="14339" max="14340" width="21" style="74" customWidth="1"/>
    <col min="14341" max="14366" width="0" style="74" hidden="1" customWidth="1"/>
    <col min="14367" max="14367" width="5.7109375" style="74" customWidth="1"/>
    <col min="14368" max="14368" width="35.28515625" style="74" bestFit="1" customWidth="1"/>
    <col min="14369" max="14370" width="21" style="74" customWidth="1"/>
    <col min="14371" max="14371" width="5" style="74" customWidth="1"/>
    <col min="14372" max="14372" width="31.7109375" style="74" bestFit="1" customWidth="1"/>
    <col min="14373" max="14374" width="21" style="74" customWidth="1"/>
    <col min="14375" max="14592" width="11.42578125" style="74"/>
    <col min="14593" max="14593" width="11.42578125" style="74" customWidth="1"/>
    <col min="14594" max="14594" width="16.85546875" style="74" customWidth="1"/>
    <col min="14595" max="14596" width="21" style="74" customWidth="1"/>
    <col min="14597" max="14622" width="0" style="74" hidden="1" customWidth="1"/>
    <col min="14623" max="14623" width="5.7109375" style="74" customWidth="1"/>
    <col min="14624" max="14624" width="35.28515625" style="74" bestFit="1" customWidth="1"/>
    <col min="14625" max="14626" width="21" style="74" customWidth="1"/>
    <col min="14627" max="14627" width="5" style="74" customWidth="1"/>
    <col min="14628" max="14628" width="31.7109375" style="74" bestFit="1" customWidth="1"/>
    <col min="14629" max="14630" width="21" style="74" customWidth="1"/>
    <col min="14631" max="14848" width="11.42578125" style="74"/>
    <col min="14849" max="14849" width="11.42578125" style="74" customWidth="1"/>
    <col min="14850" max="14850" width="16.85546875" style="74" customWidth="1"/>
    <col min="14851" max="14852" width="21" style="74" customWidth="1"/>
    <col min="14853" max="14878" width="0" style="74" hidden="1" customWidth="1"/>
    <col min="14879" max="14879" width="5.7109375" style="74" customWidth="1"/>
    <col min="14880" max="14880" width="35.28515625" style="74" bestFit="1" customWidth="1"/>
    <col min="14881" max="14882" width="21" style="74" customWidth="1"/>
    <col min="14883" max="14883" width="5" style="74" customWidth="1"/>
    <col min="14884" max="14884" width="31.7109375" style="74" bestFit="1" customWidth="1"/>
    <col min="14885" max="14886" width="21" style="74" customWidth="1"/>
    <col min="14887" max="15104" width="11.42578125" style="74"/>
    <col min="15105" max="15105" width="11.42578125" style="74" customWidth="1"/>
    <col min="15106" max="15106" width="16.85546875" style="74" customWidth="1"/>
    <col min="15107" max="15108" width="21" style="74" customWidth="1"/>
    <col min="15109" max="15134" width="0" style="74" hidden="1" customWidth="1"/>
    <col min="15135" max="15135" width="5.7109375" style="74" customWidth="1"/>
    <col min="15136" max="15136" width="35.28515625" style="74" bestFit="1" customWidth="1"/>
    <col min="15137" max="15138" width="21" style="74" customWidth="1"/>
    <col min="15139" max="15139" width="5" style="74" customWidth="1"/>
    <col min="15140" max="15140" width="31.7109375" style="74" bestFit="1" customWidth="1"/>
    <col min="15141" max="15142" width="21" style="74" customWidth="1"/>
    <col min="15143" max="15360" width="11.42578125" style="74"/>
    <col min="15361" max="15361" width="11.42578125" style="74" customWidth="1"/>
    <col min="15362" max="15362" width="16.85546875" style="74" customWidth="1"/>
    <col min="15363" max="15364" width="21" style="74" customWidth="1"/>
    <col min="15365" max="15390" width="0" style="74" hidden="1" customWidth="1"/>
    <col min="15391" max="15391" width="5.7109375" style="74" customWidth="1"/>
    <col min="15392" max="15392" width="35.28515625" style="74" bestFit="1" customWidth="1"/>
    <col min="15393" max="15394" width="21" style="74" customWidth="1"/>
    <col min="15395" max="15395" width="5" style="74" customWidth="1"/>
    <col min="15396" max="15396" width="31.7109375" style="74" bestFit="1" customWidth="1"/>
    <col min="15397" max="15398" width="21" style="74" customWidth="1"/>
    <col min="15399" max="15616" width="11.42578125" style="74"/>
    <col min="15617" max="15617" width="11.42578125" style="74" customWidth="1"/>
    <col min="15618" max="15618" width="16.85546875" style="74" customWidth="1"/>
    <col min="15619" max="15620" width="21" style="74" customWidth="1"/>
    <col min="15621" max="15646" width="0" style="74" hidden="1" customWidth="1"/>
    <col min="15647" max="15647" width="5.7109375" style="74" customWidth="1"/>
    <col min="15648" max="15648" width="35.28515625" style="74" bestFit="1" customWidth="1"/>
    <col min="15649" max="15650" width="21" style="74" customWidth="1"/>
    <col min="15651" max="15651" width="5" style="74" customWidth="1"/>
    <col min="15652" max="15652" width="31.7109375" style="74" bestFit="1" customWidth="1"/>
    <col min="15653" max="15654" width="21" style="74" customWidth="1"/>
    <col min="15655" max="15872" width="11.42578125" style="74"/>
    <col min="15873" max="15873" width="11.42578125" style="74" customWidth="1"/>
    <col min="15874" max="15874" width="16.85546875" style="74" customWidth="1"/>
    <col min="15875" max="15876" width="21" style="74" customWidth="1"/>
    <col min="15877" max="15902" width="0" style="74" hidden="1" customWidth="1"/>
    <col min="15903" max="15903" width="5.7109375" style="74" customWidth="1"/>
    <col min="15904" max="15904" width="35.28515625" style="74" bestFit="1" customWidth="1"/>
    <col min="15905" max="15906" width="21" style="74" customWidth="1"/>
    <col min="15907" max="15907" width="5" style="74" customWidth="1"/>
    <col min="15908" max="15908" width="31.7109375" style="74" bestFit="1" customWidth="1"/>
    <col min="15909" max="15910" width="21" style="74" customWidth="1"/>
    <col min="15911" max="16128" width="11.42578125" style="74"/>
    <col min="16129" max="16129" width="11.42578125" style="74" customWidth="1"/>
    <col min="16130" max="16130" width="16.85546875" style="74" customWidth="1"/>
    <col min="16131" max="16132" width="21" style="74" customWidth="1"/>
    <col min="16133" max="16158" width="0" style="74" hidden="1" customWidth="1"/>
    <col min="16159" max="16159" width="5.7109375" style="74" customWidth="1"/>
    <col min="16160" max="16160" width="35.28515625" style="74" bestFit="1" customWidth="1"/>
    <col min="16161" max="16162" width="21" style="74" customWidth="1"/>
    <col min="16163" max="16163" width="5" style="74" customWidth="1"/>
    <col min="16164" max="16164" width="31.7109375" style="74" bestFit="1" customWidth="1"/>
    <col min="16165" max="16166" width="21" style="74" customWidth="1"/>
    <col min="16167" max="16384" width="11.42578125" style="74"/>
  </cols>
  <sheetData>
    <row r="2" spans="2:38" x14ac:dyDescent="0.2">
      <c r="B2" s="317" t="s">
        <v>368</v>
      </c>
      <c r="C2" s="317"/>
      <c r="D2" s="317"/>
      <c r="E2" s="317"/>
      <c r="F2" s="317"/>
      <c r="G2" s="317"/>
      <c r="H2" s="317"/>
      <c r="I2" s="317"/>
      <c r="J2" s="317"/>
      <c r="K2" s="317"/>
      <c r="L2" s="317"/>
      <c r="M2" s="317"/>
      <c r="N2" s="317"/>
      <c r="O2" s="317"/>
      <c r="P2" s="317"/>
      <c r="Q2" s="317"/>
      <c r="R2" s="317"/>
      <c r="S2" s="317"/>
      <c r="T2" s="317"/>
      <c r="U2" s="317"/>
      <c r="V2" s="317"/>
      <c r="W2" s="317"/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317"/>
      <c r="AL2" s="317"/>
    </row>
    <row r="4" spans="2:38" x14ac:dyDescent="0.2">
      <c r="B4" s="74" t="s">
        <v>304</v>
      </c>
    </row>
    <row r="6" spans="2:38" ht="13.5" thickBot="1" x14ac:dyDescent="0.25"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F6" s="74" t="s">
        <v>363</v>
      </c>
      <c r="AJ6" s="74" t="s">
        <v>364</v>
      </c>
    </row>
    <row r="7" spans="2:38" ht="13.5" thickBot="1" x14ac:dyDescent="0.25">
      <c r="C7" s="455" t="s">
        <v>273</v>
      </c>
      <c r="D7" s="456"/>
      <c r="E7" s="115"/>
      <c r="G7" s="457" t="s">
        <v>221</v>
      </c>
      <c r="H7" s="457"/>
      <c r="I7" s="457"/>
      <c r="J7" s="457"/>
      <c r="K7" s="457"/>
      <c r="L7" s="457"/>
      <c r="M7" s="457"/>
      <c r="N7" s="457"/>
      <c r="O7" s="457"/>
      <c r="P7" s="457"/>
      <c r="Q7" s="116"/>
      <c r="R7" s="457" t="s">
        <v>222</v>
      </c>
      <c r="S7" s="457"/>
      <c r="T7" s="457"/>
      <c r="U7" s="457"/>
      <c r="V7" s="457"/>
      <c r="W7" s="457"/>
      <c r="X7" s="457"/>
      <c r="Y7" s="457"/>
      <c r="Z7" s="457"/>
      <c r="AA7" s="457"/>
      <c r="AB7" s="116"/>
      <c r="AF7" s="458" t="s">
        <v>326</v>
      </c>
      <c r="AG7" s="459"/>
      <c r="AH7" s="460"/>
      <c r="AJ7" s="461" t="s">
        <v>327</v>
      </c>
      <c r="AK7" s="462"/>
      <c r="AL7" s="463"/>
    </row>
    <row r="8" spans="2:38" ht="13.5" thickBot="1" x14ac:dyDescent="0.25">
      <c r="B8" s="158" t="s">
        <v>59</v>
      </c>
      <c r="C8" s="117" t="s">
        <v>366</v>
      </c>
      <c r="D8" s="118" t="s">
        <v>367</v>
      </c>
      <c r="G8" s="128" t="s">
        <v>49</v>
      </c>
      <c r="H8" s="128" t="s">
        <v>50</v>
      </c>
      <c r="I8" s="128" t="s">
        <v>51</v>
      </c>
      <c r="J8" s="128" t="s">
        <v>52</v>
      </c>
      <c r="K8" s="128" t="s">
        <v>53</v>
      </c>
      <c r="L8" s="128" t="s">
        <v>54</v>
      </c>
      <c r="M8" s="128" t="s">
        <v>55</v>
      </c>
      <c r="N8" s="128" t="s">
        <v>56</v>
      </c>
      <c r="O8" s="128" t="s">
        <v>57</v>
      </c>
      <c r="P8" s="128" t="s">
        <v>58</v>
      </c>
      <c r="Q8" s="115"/>
      <c r="R8" s="128" t="s">
        <v>49</v>
      </c>
      <c r="S8" s="128" t="s">
        <v>50</v>
      </c>
      <c r="T8" s="128" t="s">
        <v>51</v>
      </c>
      <c r="U8" s="128" t="s">
        <v>52</v>
      </c>
      <c r="V8" s="128" t="s">
        <v>53</v>
      </c>
      <c r="W8" s="128" t="s">
        <v>54</v>
      </c>
      <c r="X8" s="128" t="s">
        <v>55</v>
      </c>
      <c r="Y8" s="159" t="s">
        <v>56</v>
      </c>
      <c r="Z8" s="128" t="s">
        <v>57</v>
      </c>
      <c r="AA8" s="128" t="s">
        <v>58</v>
      </c>
      <c r="AB8" s="115"/>
      <c r="AF8" s="77" t="s">
        <v>59</v>
      </c>
      <c r="AG8" s="119">
        <f ca="1">COUNT(C9:C38)</f>
        <v>10</v>
      </c>
      <c r="AH8" s="120">
        <f ca="1">COUNT(D9:D38)</f>
        <v>10</v>
      </c>
      <c r="AJ8" s="121" t="s">
        <v>292</v>
      </c>
      <c r="AK8" s="122" t="s">
        <v>223</v>
      </c>
      <c r="AL8" s="75" t="s">
        <v>224</v>
      </c>
    </row>
    <row r="9" spans="2:38" x14ac:dyDescent="0.2">
      <c r="B9" s="123">
        <v>1</v>
      </c>
      <c r="C9" s="124">
        <f ca="1">RAND()*20</f>
        <v>16.098736546247082</v>
      </c>
      <c r="D9" s="125">
        <f ca="1">RAND()*20</f>
        <v>8.4848450657009238</v>
      </c>
      <c r="G9" s="128">
        <f t="shared" ref="G9:G38" ca="1" si="0">IF(ISNUMBER(C9),RANK(C9,C$9:C$38,1),"")</f>
        <v>10</v>
      </c>
      <c r="H9" s="160">
        <f ca="1">IF(ISNUMBER(C9),G9/(MAX($G$9:$G$39)+1),"")</f>
        <v>0.90909090909090906</v>
      </c>
      <c r="I9" s="161">
        <f t="shared" ref="I9:I38" ca="1" si="1">IF(ISNUMBER(C9),NORMSINV(H9),"")</f>
        <v>1.3351777361189361</v>
      </c>
      <c r="J9" s="161">
        <f t="shared" ref="J9:J38" ca="1" si="2">IF(ISNUMBER(C9),((C9-AVERAGE($C$9:$C$38))/STDEV($C$9:$C$38)),"")</f>
        <v>1.3408970048534257</v>
      </c>
      <c r="K9" s="161">
        <f t="shared" ref="K9:K38" ca="1" si="3">IF(ISNUMBER(C9),NORMSDIST(J9),"")</f>
        <v>0.91002305259216509</v>
      </c>
      <c r="L9" s="161">
        <f t="shared" ref="L9:L38" ca="1" si="4">IF(ISNUMBER(C9),G9/COUNT($C$9:$C$38)-K9,"")</f>
        <v>8.9976947407834906E-2</v>
      </c>
      <c r="M9" s="161">
        <f t="shared" ref="M9:M38" ca="1" si="5">IF(ISNUMBER(C9),K9-(G9-1)/COUNT($C$9:$C$38),"")</f>
        <v>1.0023052592165071E-2</v>
      </c>
      <c r="N9" s="162">
        <f ca="1">MAX(L9:L39)</f>
        <v>0.12783752747077504</v>
      </c>
      <c r="O9" s="161">
        <f ca="1">MAX(M9:M39)</f>
        <v>0.19327393450938002</v>
      </c>
      <c r="P9" s="161">
        <f ca="1">MAX(N9:O9)</f>
        <v>0.19327393450938002</v>
      </c>
      <c r="Q9" s="126"/>
      <c r="R9" s="128">
        <f t="shared" ref="R9:R38" ca="1" si="6">IF(ISNUMBER(D9),RANK(D9,D$9:D$38,1),"")</f>
        <v>5</v>
      </c>
      <c r="S9" s="161">
        <f t="shared" ref="S9:S38" ca="1" si="7">IF(ISNUMBER(D9),R9/(MAX($R$9:$R$39)+1),"")</f>
        <v>0.45454545454545453</v>
      </c>
      <c r="T9" s="161">
        <f t="shared" ref="T9:T38" ca="1" si="8">IF(ISNUMBER(D9),NORMSINV(S9),"")</f>
        <v>-0.11418529432142839</v>
      </c>
      <c r="U9" s="161">
        <f t="shared" ref="U9:U38" ca="1" si="9">IF(ISNUMBER(D9),((D9-AVERAGE($D$9:$D$38))/STDEV($D$9:$D$38)),"")</f>
        <v>-0.4227220810940498</v>
      </c>
      <c r="V9" s="161">
        <f t="shared" ref="V9:V38" ca="1" si="10">IF(ISNUMBER(D9),NORMSDIST(U9),"")</f>
        <v>0.3362490216072237</v>
      </c>
      <c r="W9" s="161">
        <f t="shared" ref="W9:W38" ca="1" si="11">IF(ISNUMBER(D9),R9/COUNT($D$9:$D$38)-V9,"")</f>
        <v>0.1637509783927763</v>
      </c>
      <c r="X9" s="161">
        <f t="shared" ref="X9:X38" ca="1" si="12">IF(ISNUMBER(D9),V9-(R9-1)/COUNT($D$9:$D$38),"")</f>
        <v>-6.3750978392776325E-2</v>
      </c>
      <c r="Y9" s="162">
        <f ca="1">MAX(W9:W39)</f>
        <v>0.19903024057837265</v>
      </c>
      <c r="Z9" s="161">
        <f ca="1">MAX(X9:X39)</f>
        <v>0.16974846138124355</v>
      </c>
      <c r="AA9" s="161">
        <f ca="1">MAX(Y9:Z9)</f>
        <v>0.19903024057837265</v>
      </c>
      <c r="AB9" s="126"/>
      <c r="AF9" s="76" t="s">
        <v>274</v>
      </c>
      <c r="AG9" s="94">
        <f ca="1">AVERAGE(C9:C38)</f>
        <v>10.008030115208083</v>
      </c>
      <c r="AH9" s="127">
        <f ca="1">AVERAGE(D9:D38)</f>
        <v>10.6919890774577</v>
      </c>
      <c r="AJ9" s="76" t="s">
        <v>276</v>
      </c>
      <c r="AK9" s="370" t="str">
        <f ca="1">IF(M82&lt;=O82,"yes","no")</f>
        <v>yes</v>
      </c>
      <c r="AL9" s="450" t="s">
        <v>328</v>
      </c>
    </row>
    <row r="10" spans="2:38" x14ac:dyDescent="0.2">
      <c r="B10" s="129">
        <v>2</v>
      </c>
      <c r="C10" s="124">
        <f t="shared" ref="C10:D18" ca="1" si="13">RAND()*20</f>
        <v>11.079890192799455</v>
      </c>
      <c r="D10" s="125">
        <f t="shared" ca="1" si="13"/>
        <v>16.56697145402655</v>
      </c>
      <c r="G10" s="128">
        <f ca="1">IF(ISNUMBER(C10),RANK(C10,C$9:C$38,1),"")</f>
        <v>5</v>
      </c>
      <c r="H10" s="160">
        <f t="shared" ref="H10:H38" ca="1" si="14">IF(ISNUMBER(C10),G10/(MAX($G$9:$G$39)+1),"")</f>
        <v>0.45454545454545453</v>
      </c>
      <c r="I10" s="161">
        <f t="shared" ca="1" si="1"/>
        <v>-0.11418529432142839</v>
      </c>
      <c r="J10" s="161">
        <f t="shared" ca="1" si="2"/>
        <v>0.23597492079733257</v>
      </c>
      <c r="K10" s="161">
        <f t="shared" ca="1" si="3"/>
        <v>0.59327393450938004</v>
      </c>
      <c r="L10" s="161">
        <f t="shared" ca="1" si="4"/>
        <v>-9.3273934509380041E-2</v>
      </c>
      <c r="M10" s="161">
        <f t="shared" ca="1" si="5"/>
        <v>0.19327393450938002</v>
      </c>
      <c r="N10" s="114"/>
      <c r="O10" s="114"/>
      <c r="P10" s="115"/>
      <c r="Q10" s="126"/>
      <c r="R10" s="128">
        <f t="shared" ca="1" si="6"/>
        <v>8</v>
      </c>
      <c r="S10" s="161">
        <f t="shared" ca="1" si="7"/>
        <v>0.72727272727272729</v>
      </c>
      <c r="T10" s="161">
        <f t="shared" ca="1" si="8"/>
        <v>0.60458534658323715</v>
      </c>
      <c r="U10" s="161">
        <f t="shared" ca="1" si="9"/>
        <v>1.1252028700371577</v>
      </c>
      <c r="V10" s="161">
        <f t="shared" ca="1" si="10"/>
        <v>0.86974846138124351</v>
      </c>
      <c r="W10" s="161">
        <f t="shared" ca="1" si="11"/>
        <v>-6.9748461381243465E-2</v>
      </c>
      <c r="X10" s="161">
        <f t="shared" ca="1" si="12"/>
        <v>0.16974846138124355</v>
      </c>
      <c r="Y10" s="115"/>
      <c r="Z10" s="115"/>
      <c r="AA10" s="115"/>
      <c r="AB10" s="126"/>
      <c r="AF10" s="76" t="s">
        <v>275</v>
      </c>
      <c r="AG10" s="453">
        <f ca="1">ABS(AG9-AH9)</f>
        <v>0.68395896224961739</v>
      </c>
      <c r="AH10" s="454"/>
      <c r="AJ10" s="76" t="s">
        <v>293</v>
      </c>
      <c r="AK10" s="130">
        <f ca="1">AVERAGE(L49:L78)</f>
        <v>-0.68395896224961716</v>
      </c>
      <c r="AL10" s="451"/>
    </row>
    <row r="11" spans="2:38" x14ac:dyDescent="0.2">
      <c r="B11" s="129">
        <v>3</v>
      </c>
      <c r="C11" s="124">
        <f t="shared" ca="1" si="13"/>
        <v>12.907834221666761</v>
      </c>
      <c r="D11" s="125">
        <f t="shared" ca="1" si="13"/>
        <v>17.997064220584992</v>
      </c>
      <c r="G11" s="128">
        <f t="shared" ca="1" si="0"/>
        <v>7</v>
      </c>
      <c r="H11" s="160">
        <f t="shared" ca="1" si="14"/>
        <v>0.63636363636363635</v>
      </c>
      <c r="I11" s="161">
        <f t="shared" ca="1" si="1"/>
        <v>0.34875569551704472</v>
      </c>
      <c r="J11" s="161">
        <f t="shared" ca="1" si="2"/>
        <v>0.63840519733419543</v>
      </c>
      <c r="K11" s="161">
        <f t="shared" ca="1" si="3"/>
        <v>0.73839502570790017</v>
      </c>
      <c r="L11" s="161">
        <f t="shared" ca="1" si="4"/>
        <v>-3.839502570790021E-2</v>
      </c>
      <c r="M11" s="161">
        <f t="shared" ca="1" si="5"/>
        <v>0.13839502570790019</v>
      </c>
      <c r="R11" s="128">
        <f t="shared" ca="1" si="6"/>
        <v>10</v>
      </c>
      <c r="S11" s="161">
        <f t="shared" ca="1" si="7"/>
        <v>0.90909090909090906</v>
      </c>
      <c r="T11" s="161">
        <f t="shared" ca="1" si="8"/>
        <v>1.3351777361189361</v>
      </c>
      <c r="U11" s="161">
        <f t="shared" ca="1" si="9"/>
        <v>1.3991006253340377</v>
      </c>
      <c r="V11" s="161">
        <f t="shared" ca="1" si="10"/>
        <v>0.91910859488187491</v>
      </c>
      <c r="W11" s="161">
        <f t="shared" ca="1" si="11"/>
        <v>8.0891405118125093E-2</v>
      </c>
      <c r="X11" s="161">
        <f t="shared" ca="1" si="12"/>
        <v>1.9108594881874885E-2</v>
      </c>
      <c r="Y11" s="115"/>
      <c r="Z11" s="115"/>
      <c r="AA11" s="115"/>
      <c r="AB11" s="126"/>
      <c r="AF11" s="76" t="s">
        <v>170</v>
      </c>
      <c r="AG11" s="94">
        <f ca="1">VAR(C9:C38)</f>
        <v>20.632150309468859</v>
      </c>
      <c r="AH11" s="127">
        <f ca="1">VAR(D9:D38)</f>
        <v>27.261608324067691</v>
      </c>
      <c r="AJ11" s="76" t="s">
        <v>294</v>
      </c>
      <c r="AK11" s="130">
        <f ca="1">STDEV(L49:L78)</f>
        <v>6.5244920970084221</v>
      </c>
      <c r="AL11" s="451"/>
    </row>
    <row r="12" spans="2:38" x14ac:dyDescent="0.2">
      <c r="B12" s="129">
        <v>4</v>
      </c>
      <c r="C12" s="124">
        <f t="shared" ca="1" si="13"/>
        <v>7.8126322332002989</v>
      </c>
      <c r="D12" s="125">
        <f t="shared" ca="1" si="13"/>
        <v>5.994355802734388</v>
      </c>
      <c r="G12" s="128">
        <f t="shared" ca="1" si="0"/>
        <v>3</v>
      </c>
      <c r="H12" s="160">
        <f t="shared" ca="1" si="14"/>
        <v>0.27272727272727271</v>
      </c>
      <c r="I12" s="161">
        <f t="shared" ca="1" si="1"/>
        <v>-0.60458534658323715</v>
      </c>
      <c r="J12" s="161">
        <f t="shared" ca="1" si="2"/>
        <v>-0.48332693059113929</v>
      </c>
      <c r="K12" s="161">
        <f t="shared" ca="1" si="3"/>
        <v>0.31443181059588876</v>
      </c>
      <c r="L12" s="161">
        <f t="shared" ca="1" si="4"/>
        <v>-1.4431810595888772E-2</v>
      </c>
      <c r="M12" s="161">
        <f t="shared" ca="1" si="5"/>
        <v>0.11443181059588875</v>
      </c>
      <c r="R12" s="128">
        <f t="shared" ca="1" si="6"/>
        <v>3</v>
      </c>
      <c r="S12" s="161">
        <f t="shared" ca="1" si="7"/>
        <v>0.27272727272727271</v>
      </c>
      <c r="T12" s="161">
        <f t="shared" ca="1" si="8"/>
        <v>-0.60458534658323715</v>
      </c>
      <c r="U12" s="161">
        <f t="shared" ca="1" si="9"/>
        <v>-0.89971171048648624</v>
      </c>
      <c r="V12" s="161">
        <f t="shared" ca="1" si="10"/>
        <v>0.18413684488536022</v>
      </c>
      <c r="W12" s="161">
        <f t="shared" ca="1" si="11"/>
        <v>0.11586315511463977</v>
      </c>
      <c r="X12" s="161">
        <f t="shared" ca="1" si="12"/>
        <v>-1.5863155114639788E-2</v>
      </c>
      <c r="Y12" s="115"/>
      <c r="Z12" s="115"/>
      <c r="AA12" s="115"/>
      <c r="AB12" s="126"/>
      <c r="AF12" s="76" t="s">
        <v>276</v>
      </c>
      <c r="AG12" s="128" t="str">
        <f ca="1">IF(G44&lt;=I44,"OK","NOK")</f>
        <v>OK</v>
      </c>
      <c r="AH12" s="131" t="str">
        <f ca="1">IF(S44&lt;=U44,"OK","NOK")</f>
        <v>OK</v>
      </c>
      <c r="AJ12" s="76" t="s">
        <v>280</v>
      </c>
      <c r="AK12" s="130">
        <f ca="1">IF(AG9=AH9,0,AK10/AK11*SQRT(COUNT(L49:L78)))</f>
        <v>-0.3314998492810835</v>
      </c>
      <c r="AL12" s="451"/>
    </row>
    <row r="13" spans="2:38" x14ac:dyDescent="0.2">
      <c r="B13" s="129">
        <v>5</v>
      </c>
      <c r="C13" s="124">
        <f t="shared" ca="1" si="13"/>
        <v>11.123022933059838</v>
      </c>
      <c r="D13" s="125">
        <f t="shared" ca="1" si="13"/>
        <v>16.845026996666281</v>
      </c>
      <c r="G13" s="128">
        <f t="shared" ca="1" si="0"/>
        <v>6</v>
      </c>
      <c r="H13" s="160">
        <f t="shared" ca="1" si="14"/>
        <v>0.54545454545454541</v>
      </c>
      <c r="I13" s="161">
        <f t="shared" ca="1" si="1"/>
        <v>0.11418529432142825</v>
      </c>
      <c r="J13" s="161">
        <f t="shared" ca="1" si="2"/>
        <v>0.24547079174122269</v>
      </c>
      <c r="K13" s="161">
        <f t="shared" ca="1" si="3"/>
        <v>0.59695403937270242</v>
      </c>
      <c r="L13" s="161">
        <f t="shared" ca="1" si="4"/>
        <v>3.0459606272975615E-3</v>
      </c>
      <c r="M13" s="161">
        <f t="shared" ca="1" si="5"/>
        <v>9.6954039372702416E-2</v>
      </c>
      <c r="R13" s="128">
        <f t="shared" ca="1" si="6"/>
        <v>9</v>
      </c>
      <c r="S13" s="161">
        <f t="shared" ca="1" si="7"/>
        <v>0.81818181818181823</v>
      </c>
      <c r="T13" s="161">
        <f t="shared" ca="1" si="8"/>
        <v>0.90845786853738464</v>
      </c>
      <c r="U13" s="161">
        <f t="shared" ca="1" si="9"/>
        <v>1.1784573097195261</v>
      </c>
      <c r="V13" s="161">
        <f t="shared" ca="1" si="10"/>
        <v>0.88069282906464208</v>
      </c>
      <c r="W13" s="161">
        <f t="shared" ca="1" si="11"/>
        <v>1.9307170935357942E-2</v>
      </c>
      <c r="X13" s="161">
        <f t="shared" ca="1" si="12"/>
        <v>8.0692829064642035E-2</v>
      </c>
      <c r="Y13" s="115"/>
      <c r="Z13" s="115"/>
      <c r="AA13" s="115"/>
      <c r="AB13" s="126"/>
      <c r="AF13" s="76" t="s">
        <v>277</v>
      </c>
      <c r="AG13" s="163" t="str">
        <f ca="1">IF(N44&lt;O44,"OK",M44)</f>
        <v>OK</v>
      </c>
      <c r="AH13" s="164" t="str">
        <f ca="1">IF(Z44&lt;AA44,"OK",Y44)</f>
        <v>OK</v>
      </c>
      <c r="AJ13" s="76" t="s">
        <v>114</v>
      </c>
      <c r="AK13" s="132">
        <v>0.05</v>
      </c>
      <c r="AL13" s="451"/>
    </row>
    <row r="14" spans="2:38" x14ac:dyDescent="0.2">
      <c r="B14" s="129">
        <v>6</v>
      </c>
      <c r="C14" s="124">
        <f t="shared" ca="1" si="13"/>
        <v>3.5181275867558326</v>
      </c>
      <c r="D14" s="125">
        <f t="shared" ca="1" si="13"/>
        <v>4.2780949342906034</v>
      </c>
      <c r="G14" s="128">
        <f t="shared" ca="1" si="0"/>
        <v>2</v>
      </c>
      <c r="H14" s="160">
        <f t="shared" ca="1" si="14"/>
        <v>0.18181818181818182</v>
      </c>
      <c r="I14" s="161">
        <f t="shared" ca="1" si="1"/>
        <v>-0.9084578685373853</v>
      </c>
      <c r="J14" s="161">
        <f t="shared" ca="1" si="2"/>
        <v>-1.4287818598257072</v>
      </c>
      <c r="K14" s="161">
        <f t="shared" ca="1" si="3"/>
        <v>7.6533470493237304E-2</v>
      </c>
      <c r="L14" s="161">
        <f t="shared" ca="1" si="4"/>
        <v>0.12346652950676271</v>
      </c>
      <c r="M14" s="161">
        <f t="shared" ca="1" si="5"/>
        <v>-2.3466529506762701E-2</v>
      </c>
      <c r="R14" s="128">
        <f t="shared" ca="1" si="6"/>
        <v>1</v>
      </c>
      <c r="S14" s="161">
        <f t="shared" ca="1" si="7"/>
        <v>9.0909090909090912E-2</v>
      </c>
      <c r="T14" s="161">
        <f t="shared" ca="1" si="8"/>
        <v>-1.3351777361189361</v>
      </c>
      <c r="U14" s="161">
        <f t="shared" ca="1" si="9"/>
        <v>-1.2284176590536462</v>
      </c>
      <c r="V14" s="161">
        <f t="shared" ca="1" si="10"/>
        <v>0.1096451110701485</v>
      </c>
      <c r="W14" s="161">
        <f t="shared" ca="1" si="11"/>
        <v>-9.645111070148496E-3</v>
      </c>
      <c r="X14" s="161">
        <f t="shared" ca="1" si="12"/>
        <v>0.1096451110701485</v>
      </c>
      <c r="Y14" s="115"/>
      <c r="Z14" s="115"/>
      <c r="AA14" s="115"/>
      <c r="AB14" s="126"/>
      <c r="AF14" s="76" t="s">
        <v>278</v>
      </c>
      <c r="AG14" s="163" t="str">
        <f ca="1">IF(N45&lt;O44,"OK",M45)</f>
        <v>OK</v>
      </c>
      <c r="AH14" s="165" t="str">
        <f ca="1">IF(Z45&lt;AA44,"OK",Y45)</f>
        <v>OK</v>
      </c>
      <c r="AJ14" s="76" t="s">
        <v>295</v>
      </c>
      <c r="AK14" s="133">
        <f ca="1">TINV(AK13*2,COUNT(L49:L78)-1)</f>
        <v>1.8331129326562374</v>
      </c>
      <c r="AL14" s="452"/>
    </row>
    <row r="15" spans="2:38" ht="13.5" thickBot="1" x14ac:dyDescent="0.25">
      <c r="B15" s="129">
        <v>7</v>
      </c>
      <c r="C15" s="124">
        <f t="shared" ca="1" si="13"/>
        <v>9.1650700754084369</v>
      </c>
      <c r="D15" s="125">
        <f t="shared" ca="1" si="13"/>
        <v>8.1896911245559227</v>
      </c>
      <c r="G15" s="128">
        <f t="shared" ca="1" si="0"/>
        <v>4</v>
      </c>
      <c r="H15" s="160">
        <f t="shared" ca="1" si="14"/>
        <v>0.36363636363636365</v>
      </c>
      <c r="I15" s="161">
        <f t="shared" ca="1" si="1"/>
        <v>-0.34875569551704472</v>
      </c>
      <c r="J15" s="161">
        <f t="shared" ca="1" si="2"/>
        <v>-0.18558152578462903</v>
      </c>
      <c r="K15" s="161">
        <f t="shared" ca="1" si="3"/>
        <v>0.42638647108667216</v>
      </c>
      <c r="L15" s="161">
        <f t="shared" ca="1" si="4"/>
        <v>-2.6386471086672136E-2</v>
      </c>
      <c r="M15" s="161">
        <f t="shared" ca="1" si="5"/>
        <v>0.12638647108667217</v>
      </c>
      <c r="R15" s="128">
        <f t="shared" ca="1" si="6"/>
        <v>4</v>
      </c>
      <c r="S15" s="161">
        <f t="shared" ca="1" si="7"/>
        <v>0.36363636363636365</v>
      </c>
      <c r="T15" s="161">
        <f t="shared" ca="1" si="8"/>
        <v>-0.34875569551704472</v>
      </c>
      <c r="U15" s="161">
        <f t="shared" ca="1" si="9"/>
        <v>-0.47925128244173004</v>
      </c>
      <c r="V15" s="161">
        <f t="shared" ca="1" si="10"/>
        <v>0.31587993777659445</v>
      </c>
      <c r="W15" s="161">
        <f t="shared" ca="1" si="11"/>
        <v>8.4120062223405567E-2</v>
      </c>
      <c r="X15" s="161">
        <f t="shared" ca="1" si="12"/>
        <v>1.5879937776594466E-2</v>
      </c>
      <c r="Y15" s="115"/>
      <c r="Z15" s="115"/>
      <c r="AA15" s="115"/>
      <c r="AB15" s="126"/>
      <c r="AF15" s="79" t="s">
        <v>279</v>
      </c>
      <c r="AG15" s="466" t="str">
        <f ca="1">IF(H63&lt;H64,"variance equivalence","difference")</f>
        <v>variance equivalence</v>
      </c>
      <c r="AH15" s="467"/>
      <c r="AJ15" s="76" t="s">
        <v>46</v>
      </c>
      <c r="AK15" s="166" t="str">
        <f ca="1">IF(ABS(AK12)&lt;AK14,"H0 accepted","H0 rejected")</f>
        <v>H0 accepted</v>
      </c>
      <c r="AL15" s="134">
        <f ca="1">SQRT(AK14^2*AK11^2/COUNT(L49:L78))</f>
        <v>3.7821254574472509</v>
      </c>
    </row>
    <row r="16" spans="2:38" ht="13.5" thickBot="1" x14ac:dyDescent="0.25">
      <c r="B16" s="129">
        <v>8</v>
      </c>
      <c r="C16" s="124">
        <f t="shared" ca="1" si="13"/>
        <v>13.396500632485042</v>
      </c>
      <c r="D16" s="125">
        <f t="shared" ca="1" si="13"/>
        <v>9.3822984715122626</v>
      </c>
      <c r="G16" s="128">
        <f t="shared" ca="1" si="0"/>
        <v>9</v>
      </c>
      <c r="H16" s="160">
        <f t="shared" ca="1" si="14"/>
        <v>0.81818181818181823</v>
      </c>
      <c r="I16" s="161">
        <f t="shared" ca="1" si="1"/>
        <v>0.90845786853738464</v>
      </c>
      <c r="J16" s="161">
        <f t="shared" ca="1" si="2"/>
        <v>0.7459873528784956</v>
      </c>
      <c r="K16" s="161">
        <f t="shared" ca="1" si="3"/>
        <v>0.77216247252922499</v>
      </c>
      <c r="L16" s="161">
        <f t="shared" ca="1" si="4"/>
        <v>0.12783752747077504</v>
      </c>
      <c r="M16" s="161">
        <f t="shared" ca="1" si="5"/>
        <v>-2.7837527470775059E-2</v>
      </c>
      <c r="N16" s="114"/>
      <c r="O16" s="114"/>
      <c r="P16" s="115"/>
      <c r="Q16" s="126"/>
      <c r="R16" s="128">
        <f t="shared" ca="1" si="6"/>
        <v>6</v>
      </c>
      <c r="S16" s="161">
        <f t="shared" ca="1" si="7"/>
        <v>0.54545454545454541</v>
      </c>
      <c r="T16" s="161">
        <f t="shared" ca="1" si="8"/>
        <v>0.11418529432142825</v>
      </c>
      <c r="U16" s="161">
        <f t="shared" ca="1" si="9"/>
        <v>-0.25083779562436281</v>
      </c>
      <c r="V16" s="161">
        <f t="shared" ca="1" si="10"/>
        <v>0.40096975942162733</v>
      </c>
      <c r="W16" s="161">
        <f t="shared" ca="1" si="11"/>
        <v>0.19903024057837265</v>
      </c>
      <c r="X16" s="161">
        <f t="shared" ca="1" si="12"/>
        <v>-9.9030240578372675E-2</v>
      </c>
      <c r="Y16" s="115"/>
      <c r="Z16" s="115"/>
      <c r="AA16" s="115"/>
      <c r="AB16" s="126"/>
      <c r="AJ16" s="378" t="s">
        <v>225</v>
      </c>
      <c r="AK16" s="468">
        <f ca="1">MAX(ABS(AK12),AK14)-MIN(ABS(AK12),AK14)</f>
        <v>1.501613083375154</v>
      </c>
      <c r="AL16" s="469"/>
    </row>
    <row r="17" spans="2:39" ht="13.5" thickBot="1" x14ac:dyDescent="0.25">
      <c r="B17" s="129">
        <v>9</v>
      </c>
      <c r="C17" s="124">
        <f t="shared" ca="1" si="13"/>
        <v>13.232595911541196</v>
      </c>
      <c r="D17" s="125">
        <f t="shared" ca="1" si="13"/>
        <v>5.0555959492237594</v>
      </c>
      <c r="G17" s="128">
        <f t="shared" ca="1" si="0"/>
        <v>8</v>
      </c>
      <c r="H17" s="160">
        <f t="shared" ca="1" si="14"/>
        <v>0.72727272727272729</v>
      </c>
      <c r="I17" s="161">
        <f t="shared" ca="1" si="1"/>
        <v>0.60458534658323715</v>
      </c>
      <c r="J17" s="161">
        <f t="shared" ca="1" si="2"/>
        <v>0.70990297549413894</v>
      </c>
      <c r="K17" s="161">
        <f t="shared" ca="1" si="3"/>
        <v>0.76111784742792843</v>
      </c>
      <c r="L17" s="161">
        <f t="shared" ca="1" si="4"/>
        <v>3.8882152572071615E-2</v>
      </c>
      <c r="M17" s="161">
        <f t="shared" ca="1" si="5"/>
        <v>6.1117847427928473E-2</v>
      </c>
      <c r="N17" s="114"/>
      <c r="O17" s="114"/>
      <c r="P17" s="115"/>
      <c r="Q17" s="126"/>
      <c r="R17" s="128">
        <f t="shared" ca="1" si="6"/>
        <v>2</v>
      </c>
      <c r="S17" s="161">
        <f t="shared" ca="1" si="7"/>
        <v>0.18181818181818182</v>
      </c>
      <c r="T17" s="161">
        <f t="shared" ca="1" si="8"/>
        <v>-0.9084578685373853</v>
      </c>
      <c r="U17" s="161">
        <f t="shared" ca="1" si="9"/>
        <v>-1.0795071913476095</v>
      </c>
      <c r="V17" s="161">
        <f t="shared" ca="1" si="10"/>
        <v>0.14018084485998059</v>
      </c>
      <c r="W17" s="161">
        <f t="shared" ca="1" si="11"/>
        <v>5.9819155140019425E-2</v>
      </c>
      <c r="X17" s="161">
        <f t="shared" ca="1" si="12"/>
        <v>4.018084485998058E-2</v>
      </c>
      <c r="Y17" s="115"/>
      <c r="Z17" s="115"/>
      <c r="AA17" s="115"/>
      <c r="AB17" s="126"/>
      <c r="AF17" s="470" t="s">
        <v>306</v>
      </c>
      <c r="AG17" s="471"/>
      <c r="AH17" s="472"/>
    </row>
    <row r="18" spans="2:39" ht="13.5" thickBot="1" x14ac:dyDescent="0.25">
      <c r="B18" s="129">
        <v>10</v>
      </c>
      <c r="C18" s="124">
        <f t="shared" ca="1" si="13"/>
        <v>1.7458908189168798</v>
      </c>
      <c r="D18" s="125">
        <f t="shared" ca="1" si="13"/>
        <v>14.125946755281312</v>
      </c>
      <c r="G18" s="128">
        <f t="shared" ca="1" si="0"/>
        <v>1</v>
      </c>
      <c r="H18" s="160">
        <f t="shared" ca="1" si="14"/>
        <v>9.0909090909090912E-2</v>
      </c>
      <c r="I18" s="161">
        <f t="shared" ca="1" si="1"/>
        <v>-1.3351777361189361</v>
      </c>
      <c r="J18" s="161">
        <f t="shared" ca="1" si="2"/>
        <v>-1.8189479268973368</v>
      </c>
      <c r="K18" s="161">
        <f t="shared" ca="1" si="3"/>
        <v>3.4459687464867002E-2</v>
      </c>
      <c r="L18" s="161">
        <f t="shared" ca="1" si="4"/>
        <v>6.5540312535133011E-2</v>
      </c>
      <c r="M18" s="161">
        <f t="shared" ca="1" si="5"/>
        <v>3.4459687464867002E-2</v>
      </c>
      <c r="N18" s="114"/>
      <c r="O18" s="114"/>
      <c r="P18" s="115"/>
      <c r="Q18" s="126"/>
      <c r="R18" s="128">
        <f t="shared" ca="1" si="6"/>
        <v>7</v>
      </c>
      <c r="S18" s="161">
        <f t="shared" ca="1" si="7"/>
        <v>0.63636363636363635</v>
      </c>
      <c r="T18" s="161">
        <f t="shared" ca="1" si="8"/>
        <v>0.34875569551704472</v>
      </c>
      <c r="U18" s="161">
        <f t="shared" ca="1" si="9"/>
        <v>0.65768691495716169</v>
      </c>
      <c r="V18" s="161">
        <f t="shared" ca="1" si="10"/>
        <v>0.74463033391413525</v>
      </c>
      <c r="W18" s="161">
        <f t="shared" ca="1" si="11"/>
        <v>-4.4630333914135289E-2</v>
      </c>
      <c r="X18" s="161">
        <f t="shared" ca="1" si="12"/>
        <v>0.14463033391413527</v>
      </c>
      <c r="Y18" s="115"/>
      <c r="Z18" s="115"/>
      <c r="AA18" s="115"/>
      <c r="AB18" s="126"/>
      <c r="AF18" s="135" t="s">
        <v>292</v>
      </c>
      <c r="AG18" s="136" t="s">
        <v>227</v>
      </c>
      <c r="AH18" s="78" t="s">
        <v>224</v>
      </c>
      <c r="AJ18" s="477" t="s">
        <v>307</v>
      </c>
      <c r="AK18" s="478"/>
      <c r="AL18" s="479"/>
    </row>
    <row r="19" spans="2:39" ht="15.75" customHeight="1" x14ac:dyDescent="0.2">
      <c r="B19" s="129">
        <v>11</v>
      </c>
      <c r="C19" s="124"/>
      <c r="D19" s="125"/>
      <c r="G19" s="128" t="str">
        <f t="shared" si="0"/>
        <v/>
      </c>
      <c r="H19" s="161" t="str">
        <f t="shared" si="14"/>
        <v/>
      </c>
      <c r="I19" s="161" t="str">
        <f t="shared" si="1"/>
        <v/>
      </c>
      <c r="J19" s="161" t="str">
        <f t="shared" si="2"/>
        <v/>
      </c>
      <c r="K19" s="161" t="str">
        <f t="shared" si="3"/>
        <v/>
      </c>
      <c r="L19" s="161" t="str">
        <f t="shared" si="4"/>
        <v/>
      </c>
      <c r="M19" s="161" t="str">
        <f t="shared" si="5"/>
        <v/>
      </c>
      <c r="N19" s="114"/>
      <c r="O19" s="114"/>
      <c r="P19" s="115"/>
      <c r="Q19" s="126"/>
      <c r="R19" s="128" t="str">
        <f t="shared" si="6"/>
        <v/>
      </c>
      <c r="S19" s="161" t="str">
        <f t="shared" si="7"/>
        <v/>
      </c>
      <c r="T19" s="161" t="str">
        <f t="shared" si="8"/>
        <v/>
      </c>
      <c r="U19" s="161" t="str">
        <f t="shared" si="9"/>
        <v/>
      </c>
      <c r="V19" s="161" t="str">
        <f t="shared" si="10"/>
        <v/>
      </c>
      <c r="W19" s="161" t="str">
        <f t="shared" si="11"/>
        <v/>
      </c>
      <c r="X19" s="161" t="str">
        <f t="shared" si="12"/>
        <v/>
      </c>
      <c r="Y19" s="115"/>
      <c r="Z19" s="115"/>
      <c r="AA19" s="115"/>
      <c r="AB19" s="126"/>
      <c r="AF19" s="77" t="s">
        <v>282</v>
      </c>
      <c r="AG19" s="137">
        <f ca="1">(DEVSQ(C9:C38)+DEVSQ(D9:D38))/(AG8-1+AH8-1)</f>
        <v>23.94687931676825</v>
      </c>
      <c r="AH19" s="473" t="s">
        <v>296</v>
      </c>
      <c r="AJ19" s="77" t="s">
        <v>226</v>
      </c>
      <c r="AK19" s="486">
        <f ca="1">IF(AK12&lt;AK14,TDIST(ABS(AK16),AG8-1,1),1-TDIST(ABS(AK16),AG8-1,1))</f>
        <v>8.3720442871953529E-2</v>
      </c>
      <c r="AL19" s="487"/>
      <c r="AM19" s="74" t="s">
        <v>290</v>
      </c>
    </row>
    <row r="20" spans="2:39" ht="15.75" customHeight="1" thickBot="1" x14ac:dyDescent="0.25">
      <c r="B20" s="129">
        <v>12</v>
      </c>
      <c r="C20" s="124"/>
      <c r="D20" s="125"/>
      <c r="G20" s="128" t="str">
        <f t="shared" si="0"/>
        <v/>
      </c>
      <c r="H20" s="161" t="str">
        <f t="shared" si="14"/>
        <v/>
      </c>
      <c r="I20" s="161" t="str">
        <f t="shared" si="1"/>
        <v/>
      </c>
      <c r="J20" s="161" t="str">
        <f t="shared" si="2"/>
        <v/>
      </c>
      <c r="K20" s="161" t="str">
        <f t="shared" si="3"/>
        <v/>
      </c>
      <c r="L20" s="161" t="str">
        <f t="shared" si="4"/>
        <v/>
      </c>
      <c r="M20" s="161" t="str">
        <f t="shared" si="5"/>
        <v/>
      </c>
      <c r="N20" s="114"/>
      <c r="O20" s="114"/>
      <c r="P20" s="115"/>
      <c r="Q20" s="126"/>
      <c r="R20" s="128" t="str">
        <f t="shared" si="6"/>
        <v/>
      </c>
      <c r="S20" s="161" t="str">
        <f t="shared" si="7"/>
        <v/>
      </c>
      <c r="T20" s="161" t="str">
        <f t="shared" si="8"/>
        <v/>
      </c>
      <c r="U20" s="161" t="str">
        <f t="shared" si="9"/>
        <v/>
      </c>
      <c r="V20" s="161" t="str">
        <f t="shared" si="10"/>
        <v/>
      </c>
      <c r="W20" s="161" t="str">
        <f t="shared" si="11"/>
        <v/>
      </c>
      <c r="X20" s="161" t="str">
        <f t="shared" si="12"/>
        <v/>
      </c>
      <c r="Y20" s="115"/>
      <c r="Z20" s="115"/>
      <c r="AA20" s="115"/>
      <c r="AB20" s="126"/>
      <c r="AF20" s="76" t="s">
        <v>283</v>
      </c>
      <c r="AG20" s="94">
        <f ca="1">(AG9-AH9)/SQRT(AG19)*SQRT((AG8*AH8)/(AG8+AH8))</f>
        <v>-0.31252918837295696</v>
      </c>
      <c r="AH20" s="451"/>
      <c r="AJ20" s="79" t="s">
        <v>289</v>
      </c>
      <c r="AK20" s="488">
        <f ca="1">1-AK19</f>
        <v>0.91627955712804643</v>
      </c>
      <c r="AL20" s="489"/>
      <c r="AM20" s="74" t="s">
        <v>291</v>
      </c>
    </row>
    <row r="21" spans="2:39" x14ac:dyDescent="0.2">
      <c r="B21" s="129">
        <v>13</v>
      </c>
      <c r="C21" s="124"/>
      <c r="D21" s="125"/>
      <c r="G21" s="128" t="str">
        <f t="shared" si="0"/>
        <v/>
      </c>
      <c r="H21" s="161" t="str">
        <f t="shared" si="14"/>
        <v/>
      </c>
      <c r="I21" s="161" t="str">
        <f t="shared" si="1"/>
        <v/>
      </c>
      <c r="J21" s="161" t="str">
        <f t="shared" si="2"/>
        <v/>
      </c>
      <c r="K21" s="161" t="str">
        <f t="shared" si="3"/>
        <v/>
      </c>
      <c r="L21" s="161" t="str">
        <f t="shared" si="4"/>
        <v/>
      </c>
      <c r="M21" s="161" t="str">
        <f t="shared" si="5"/>
        <v/>
      </c>
      <c r="N21" s="114"/>
      <c r="O21" s="114"/>
      <c r="P21" s="115"/>
      <c r="Q21" s="126"/>
      <c r="R21" s="128" t="str">
        <f t="shared" si="6"/>
        <v/>
      </c>
      <c r="S21" s="161" t="str">
        <f t="shared" si="7"/>
        <v/>
      </c>
      <c r="T21" s="161" t="str">
        <f t="shared" si="8"/>
        <v/>
      </c>
      <c r="U21" s="161" t="str">
        <f t="shared" si="9"/>
        <v/>
      </c>
      <c r="V21" s="161" t="str">
        <f t="shared" si="10"/>
        <v/>
      </c>
      <c r="W21" s="161" t="str">
        <f t="shared" si="11"/>
        <v/>
      </c>
      <c r="X21" s="161" t="str">
        <f t="shared" si="12"/>
        <v/>
      </c>
      <c r="Y21" s="115"/>
      <c r="Z21" s="115"/>
      <c r="AA21" s="115"/>
      <c r="AB21" s="126"/>
      <c r="AF21" s="76" t="s">
        <v>284</v>
      </c>
      <c r="AG21" s="130">
        <f ca="1">TINV(0.05,COUNT(C9:D38)-2)</f>
        <v>2.1009220402410378</v>
      </c>
      <c r="AH21" s="452"/>
      <c r="AJ21" s="74" t="s">
        <v>365</v>
      </c>
    </row>
    <row r="22" spans="2:39" ht="13.5" thickBot="1" x14ac:dyDescent="0.25">
      <c r="B22" s="129">
        <v>14</v>
      </c>
      <c r="C22" s="124"/>
      <c r="D22" s="125"/>
      <c r="G22" s="128" t="str">
        <f t="shared" si="0"/>
        <v/>
      </c>
      <c r="H22" s="161" t="str">
        <f t="shared" si="14"/>
        <v/>
      </c>
      <c r="I22" s="161" t="str">
        <f t="shared" si="1"/>
        <v/>
      </c>
      <c r="J22" s="161" t="str">
        <f t="shared" si="2"/>
        <v/>
      </c>
      <c r="K22" s="161" t="str">
        <f t="shared" si="3"/>
        <v/>
      </c>
      <c r="L22" s="161" t="str">
        <f t="shared" si="4"/>
        <v/>
      </c>
      <c r="M22" s="161" t="str">
        <f t="shared" si="5"/>
        <v/>
      </c>
      <c r="N22" s="114"/>
      <c r="O22" s="114"/>
      <c r="P22" s="115"/>
      <c r="Q22" s="126"/>
      <c r="R22" s="128" t="str">
        <f t="shared" si="6"/>
        <v/>
      </c>
      <c r="S22" s="161" t="str">
        <f t="shared" si="7"/>
        <v/>
      </c>
      <c r="T22" s="161" t="str">
        <f t="shared" si="8"/>
        <v/>
      </c>
      <c r="U22" s="161" t="str">
        <f t="shared" si="9"/>
        <v/>
      </c>
      <c r="V22" s="161" t="str">
        <f t="shared" si="10"/>
        <v/>
      </c>
      <c r="W22" s="161" t="str">
        <f t="shared" si="11"/>
        <v/>
      </c>
      <c r="X22" s="161" t="str">
        <f t="shared" si="12"/>
        <v/>
      </c>
      <c r="Y22" s="115"/>
      <c r="Z22" s="115"/>
      <c r="AA22" s="115"/>
      <c r="AB22" s="126"/>
      <c r="AF22" s="79" t="s">
        <v>46</v>
      </c>
      <c r="AG22" s="167" t="str">
        <f ca="1">IF(ABS(AG20)&lt;AG21,"H0 accepted","H0 rejected")</f>
        <v>H0 accepted</v>
      </c>
      <c r="AH22" s="139">
        <f ca="1">SQRT(2*AG21^2*AG19/AG8)</f>
        <v>4.5977928202207794</v>
      </c>
      <c r="AJ22" s="74" t="s">
        <v>456</v>
      </c>
      <c r="AK22" s="138"/>
    </row>
    <row r="23" spans="2:39" ht="13.5" thickBot="1" x14ac:dyDescent="0.25">
      <c r="B23" s="129">
        <v>15</v>
      </c>
      <c r="C23" s="124"/>
      <c r="D23" s="125"/>
      <c r="G23" s="128" t="str">
        <f t="shared" si="0"/>
        <v/>
      </c>
      <c r="H23" s="161" t="str">
        <f t="shared" si="14"/>
        <v/>
      </c>
      <c r="I23" s="161" t="str">
        <f t="shared" si="1"/>
        <v/>
      </c>
      <c r="J23" s="161" t="str">
        <f t="shared" si="2"/>
        <v/>
      </c>
      <c r="K23" s="161" t="str">
        <f t="shared" si="3"/>
        <v/>
      </c>
      <c r="L23" s="161" t="str">
        <f t="shared" si="4"/>
        <v/>
      </c>
      <c r="M23" s="161" t="str">
        <f t="shared" si="5"/>
        <v/>
      </c>
      <c r="N23" s="114"/>
      <c r="O23" s="114"/>
      <c r="P23" s="115"/>
      <c r="Q23" s="126"/>
      <c r="R23" s="128" t="str">
        <f t="shared" si="6"/>
        <v/>
      </c>
      <c r="S23" s="161" t="str">
        <f t="shared" si="7"/>
        <v/>
      </c>
      <c r="T23" s="161" t="str">
        <f t="shared" si="8"/>
        <v/>
      </c>
      <c r="U23" s="161" t="str">
        <f t="shared" si="9"/>
        <v/>
      </c>
      <c r="V23" s="161" t="str">
        <f t="shared" si="10"/>
        <v/>
      </c>
      <c r="W23" s="161" t="str">
        <f t="shared" si="11"/>
        <v/>
      </c>
      <c r="X23" s="161" t="str">
        <f t="shared" si="12"/>
        <v/>
      </c>
      <c r="Y23" s="115"/>
      <c r="Z23" s="115"/>
      <c r="AA23" s="115"/>
      <c r="AB23" s="126"/>
    </row>
    <row r="24" spans="2:39" ht="13.5" thickBot="1" x14ac:dyDescent="0.25">
      <c r="B24" s="129">
        <v>16</v>
      </c>
      <c r="C24" s="124"/>
      <c r="D24" s="125"/>
      <c r="G24" s="128" t="str">
        <f t="shared" si="0"/>
        <v/>
      </c>
      <c r="H24" s="161" t="str">
        <f t="shared" si="14"/>
        <v/>
      </c>
      <c r="I24" s="161" t="str">
        <f t="shared" si="1"/>
        <v/>
      </c>
      <c r="J24" s="161" t="str">
        <f t="shared" si="2"/>
        <v/>
      </c>
      <c r="K24" s="161" t="str">
        <f t="shared" si="3"/>
        <v/>
      </c>
      <c r="L24" s="161" t="str">
        <f t="shared" si="4"/>
        <v/>
      </c>
      <c r="M24" s="161" t="str">
        <f t="shared" si="5"/>
        <v/>
      </c>
      <c r="N24" s="114"/>
      <c r="O24" s="114"/>
      <c r="P24" s="115"/>
      <c r="Q24" s="126"/>
      <c r="R24" s="128" t="str">
        <f t="shared" si="6"/>
        <v/>
      </c>
      <c r="S24" s="161" t="str">
        <f t="shared" si="7"/>
        <v/>
      </c>
      <c r="T24" s="161" t="str">
        <f t="shared" si="8"/>
        <v/>
      </c>
      <c r="U24" s="161" t="str">
        <f t="shared" si="9"/>
        <v/>
      </c>
      <c r="V24" s="161" t="str">
        <f t="shared" si="10"/>
        <v/>
      </c>
      <c r="W24" s="161" t="str">
        <f t="shared" si="11"/>
        <v/>
      </c>
      <c r="X24" s="161" t="str">
        <f t="shared" si="12"/>
        <v/>
      </c>
      <c r="Y24" s="115"/>
      <c r="Z24" s="115"/>
      <c r="AA24" s="115"/>
      <c r="AB24" s="126"/>
      <c r="AF24" s="474" t="s">
        <v>361</v>
      </c>
      <c r="AG24" s="475"/>
      <c r="AH24" s="476"/>
    </row>
    <row r="25" spans="2:39" x14ac:dyDescent="0.2">
      <c r="B25" s="129">
        <v>17</v>
      </c>
      <c r="C25" s="124"/>
      <c r="D25" s="125"/>
      <c r="G25" s="128" t="str">
        <f t="shared" si="0"/>
        <v/>
      </c>
      <c r="H25" s="161" t="str">
        <f t="shared" si="14"/>
        <v/>
      </c>
      <c r="I25" s="161" t="str">
        <f t="shared" si="1"/>
        <v/>
      </c>
      <c r="J25" s="161" t="str">
        <f t="shared" si="2"/>
        <v/>
      </c>
      <c r="K25" s="161" t="str">
        <f t="shared" si="3"/>
        <v/>
      </c>
      <c r="L25" s="161" t="str">
        <f t="shared" si="4"/>
        <v/>
      </c>
      <c r="M25" s="161" t="str">
        <f t="shared" si="5"/>
        <v/>
      </c>
      <c r="N25" s="114"/>
      <c r="O25" s="114"/>
      <c r="P25" s="115"/>
      <c r="Q25" s="126"/>
      <c r="R25" s="128" t="str">
        <f t="shared" si="6"/>
        <v/>
      </c>
      <c r="S25" s="161" t="str">
        <f t="shared" si="7"/>
        <v/>
      </c>
      <c r="T25" s="161" t="str">
        <f t="shared" si="8"/>
        <v/>
      </c>
      <c r="U25" s="161" t="str">
        <f t="shared" si="9"/>
        <v/>
      </c>
      <c r="V25" s="161" t="str">
        <f t="shared" si="10"/>
        <v/>
      </c>
      <c r="W25" s="161" t="str">
        <f t="shared" si="11"/>
        <v/>
      </c>
      <c r="X25" s="161" t="str">
        <f t="shared" si="12"/>
        <v/>
      </c>
      <c r="Y25" s="115"/>
      <c r="Z25" s="115"/>
      <c r="AA25" s="115"/>
      <c r="AB25" s="126"/>
      <c r="AF25" s="77" t="s">
        <v>228</v>
      </c>
      <c r="AG25" s="140">
        <f ca="1">VAR(C9:C38)/AG8+VAR(D9:D38)/AH8</f>
        <v>4.7893758633536549</v>
      </c>
      <c r="AH25" s="141"/>
    </row>
    <row r="26" spans="2:39" x14ac:dyDescent="0.2">
      <c r="B26" s="129">
        <v>18</v>
      </c>
      <c r="C26" s="124"/>
      <c r="D26" s="125"/>
      <c r="G26" s="128" t="str">
        <f t="shared" si="0"/>
        <v/>
      </c>
      <c r="H26" s="161" t="str">
        <f t="shared" si="14"/>
        <v/>
      </c>
      <c r="I26" s="161" t="str">
        <f t="shared" si="1"/>
        <v/>
      </c>
      <c r="J26" s="161" t="str">
        <f t="shared" si="2"/>
        <v/>
      </c>
      <c r="K26" s="161" t="str">
        <f t="shared" si="3"/>
        <v/>
      </c>
      <c r="L26" s="161" t="str">
        <f t="shared" si="4"/>
        <v/>
      </c>
      <c r="M26" s="161" t="str">
        <f t="shared" si="5"/>
        <v/>
      </c>
      <c r="N26" s="114"/>
      <c r="O26" s="114"/>
      <c r="P26" s="115"/>
      <c r="Q26" s="126"/>
      <c r="R26" s="128" t="str">
        <f t="shared" si="6"/>
        <v/>
      </c>
      <c r="S26" s="161" t="str">
        <f t="shared" si="7"/>
        <v/>
      </c>
      <c r="T26" s="161" t="str">
        <f t="shared" si="8"/>
        <v/>
      </c>
      <c r="U26" s="161" t="str">
        <f t="shared" si="9"/>
        <v/>
      </c>
      <c r="V26" s="161" t="str">
        <f t="shared" si="10"/>
        <v/>
      </c>
      <c r="W26" s="161" t="str">
        <f t="shared" si="11"/>
        <v/>
      </c>
      <c r="X26" s="161" t="str">
        <f t="shared" si="12"/>
        <v/>
      </c>
      <c r="Y26" s="115"/>
      <c r="Z26" s="115"/>
      <c r="AA26" s="115"/>
      <c r="AB26" s="126"/>
      <c r="AF26" s="76" t="s">
        <v>285</v>
      </c>
      <c r="AG26" s="130">
        <f ca="1">1/(((VAR(C9:C38)/AG8/AG25)^2/(AG8-1))+(VAR(D9:D38)/AH8/AG25)^2/(AH8-1))</f>
        <v>17.661601607918175</v>
      </c>
      <c r="AH26" s="142"/>
    </row>
    <row r="27" spans="2:39" x14ac:dyDescent="0.2">
      <c r="B27" s="129">
        <v>19</v>
      </c>
      <c r="C27" s="124"/>
      <c r="D27" s="125"/>
      <c r="G27" s="128" t="str">
        <f t="shared" si="0"/>
        <v/>
      </c>
      <c r="H27" s="161" t="str">
        <f t="shared" si="14"/>
        <v/>
      </c>
      <c r="I27" s="161" t="str">
        <f t="shared" si="1"/>
        <v/>
      </c>
      <c r="J27" s="161" t="str">
        <f t="shared" si="2"/>
        <v/>
      </c>
      <c r="K27" s="161" t="str">
        <f t="shared" si="3"/>
        <v/>
      </c>
      <c r="L27" s="161" t="str">
        <f t="shared" si="4"/>
        <v/>
      </c>
      <c r="M27" s="161" t="str">
        <f t="shared" si="5"/>
        <v/>
      </c>
      <c r="N27" s="115"/>
      <c r="O27" s="115"/>
      <c r="P27" s="168"/>
      <c r="Q27" s="126"/>
      <c r="R27" s="128" t="str">
        <f t="shared" si="6"/>
        <v/>
      </c>
      <c r="S27" s="161" t="str">
        <f t="shared" si="7"/>
        <v/>
      </c>
      <c r="T27" s="161" t="str">
        <f t="shared" si="8"/>
        <v/>
      </c>
      <c r="U27" s="161" t="str">
        <f t="shared" si="9"/>
        <v/>
      </c>
      <c r="V27" s="161" t="str">
        <f t="shared" si="10"/>
        <v/>
      </c>
      <c r="W27" s="161" t="str">
        <f t="shared" si="11"/>
        <v/>
      </c>
      <c r="X27" s="161" t="str">
        <f t="shared" si="12"/>
        <v/>
      </c>
      <c r="Y27" s="115"/>
      <c r="Z27" s="115"/>
      <c r="AA27" s="168"/>
      <c r="AB27" s="126"/>
      <c r="AF27" s="76" t="s">
        <v>286</v>
      </c>
      <c r="AG27" s="94">
        <f ca="1">(AG9-AH9)/SQRT(AG25)</f>
        <v>-0.31252918837295679</v>
      </c>
      <c r="AH27" s="142"/>
    </row>
    <row r="28" spans="2:39" x14ac:dyDescent="0.2">
      <c r="B28" s="129">
        <v>20</v>
      </c>
      <c r="C28" s="124"/>
      <c r="D28" s="125"/>
      <c r="G28" s="128" t="str">
        <f t="shared" si="0"/>
        <v/>
      </c>
      <c r="H28" s="161" t="str">
        <f t="shared" si="14"/>
        <v/>
      </c>
      <c r="I28" s="161" t="str">
        <f t="shared" si="1"/>
        <v/>
      </c>
      <c r="J28" s="161" t="str">
        <f t="shared" si="2"/>
        <v/>
      </c>
      <c r="K28" s="161" t="str">
        <f t="shared" si="3"/>
        <v/>
      </c>
      <c r="L28" s="161" t="str">
        <f t="shared" si="4"/>
        <v/>
      </c>
      <c r="M28" s="161" t="str">
        <f t="shared" si="5"/>
        <v/>
      </c>
      <c r="N28" s="114"/>
      <c r="O28" s="114"/>
      <c r="P28" s="168"/>
      <c r="Q28" s="126"/>
      <c r="R28" s="128" t="str">
        <f t="shared" si="6"/>
        <v/>
      </c>
      <c r="S28" s="161" t="str">
        <f t="shared" si="7"/>
        <v/>
      </c>
      <c r="T28" s="161" t="str">
        <f t="shared" si="8"/>
        <v/>
      </c>
      <c r="U28" s="161" t="str">
        <f t="shared" si="9"/>
        <v/>
      </c>
      <c r="V28" s="161" t="str">
        <f t="shared" si="10"/>
        <v/>
      </c>
      <c r="W28" s="161" t="str">
        <f t="shared" si="11"/>
        <v/>
      </c>
      <c r="X28" s="161" t="str">
        <f t="shared" si="12"/>
        <v/>
      </c>
      <c r="Y28" s="115"/>
      <c r="Z28" s="115"/>
      <c r="AA28" s="168"/>
      <c r="AB28" s="126"/>
      <c r="AF28" s="76" t="s">
        <v>287</v>
      </c>
      <c r="AG28" s="130">
        <f ca="1">TINV(0.05,INT(AG26))</f>
        <v>2.109815577833317</v>
      </c>
      <c r="AH28" s="142"/>
    </row>
    <row r="29" spans="2:39" ht="13.5" thickBot="1" x14ac:dyDescent="0.25">
      <c r="B29" s="129">
        <v>21</v>
      </c>
      <c r="C29" s="143"/>
      <c r="D29" s="144"/>
      <c r="G29" s="128" t="str">
        <f t="shared" si="0"/>
        <v/>
      </c>
      <c r="H29" s="161" t="str">
        <f t="shared" si="14"/>
        <v/>
      </c>
      <c r="I29" s="161" t="str">
        <f t="shared" si="1"/>
        <v/>
      </c>
      <c r="J29" s="161" t="str">
        <f t="shared" si="2"/>
        <v/>
      </c>
      <c r="K29" s="161" t="str">
        <f t="shared" si="3"/>
        <v/>
      </c>
      <c r="L29" s="161" t="str">
        <f t="shared" si="4"/>
        <v/>
      </c>
      <c r="M29" s="161" t="str">
        <f t="shared" si="5"/>
        <v/>
      </c>
      <c r="N29" s="115"/>
      <c r="O29" s="115"/>
      <c r="P29" s="168"/>
      <c r="Q29" s="126"/>
      <c r="R29" s="128" t="str">
        <f t="shared" si="6"/>
        <v/>
      </c>
      <c r="S29" s="161" t="str">
        <f t="shared" si="7"/>
        <v/>
      </c>
      <c r="T29" s="161" t="str">
        <f t="shared" si="8"/>
        <v/>
      </c>
      <c r="U29" s="161" t="str">
        <f t="shared" si="9"/>
        <v/>
      </c>
      <c r="V29" s="161" t="str">
        <f t="shared" si="10"/>
        <v/>
      </c>
      <c r="W29" s="161" t="str">
        <f t="shared" si="11"/>
        <v/>
      </c>
      <c r="X29" s="161" t="str">
        <f t="shared" si="12"/>
        <v/>
      </c>
      <c r="Y29" s="115"/>
      <c r="Z29" s="115"/>
      <c r="AA29" s="168"/>
      <c r="AB29" s="126"/>
      <c r="AF29" s="79" t="s">
        <v>46</v>
      </c>
      <c r="AG29" s="167" t="str">
        <f ca="1">IF(ABS(AG27)&lt;AG28,"H0 accepted","H0 rejected")</f>
        <v>H0 accepted</v>
      </c>
      <c r="AH29" s="169"/>
    </row>
    <row r="30" spans="2:39" ht="13.5" thickBot="1" x14ac:dyDescent="0.25">
      <c r="B30" s="129">
        <v>22</v>
      </c>
      <c r="C30" s="143"/>
      <c r="D30" s="144"/>
      <c r="G30" s="128" t="str">
        <f t="shared" si="0"/>
        <v/>
      </c>
      <c r="H30" s="161" t="str">
        <f t="shared" si="14"/>
        <v/>
      </c>
      <c r="I30" s="161" t="str">
        <f t="shared" si="1"/>
        <v/>
      </c>
      <c r="J30" s="161" t="str">
        <f t="shared" si="2"/>
        <v/>
      </c>
      <c r="K30" s="161" t="str">
        <f t="shared" si="3"/>
        <v/>
      </c>
      <c r="L30" s="161" t="str">
        <f t="shared" si="4"/>
        <v/>
      </c>
      <c r="M30" s="161" t="str">
        <f t="shared" si="5"/>
        <v/>
      </c>
      <c r="N30" s="115"/>
      <c r="O30" s="115"/>
      <c r="P30" s="168"/>
      <c r="Q30" s="126"/>
      <c r="R30" s="128" t="str">
        <f t="shared" si="6"/>
        <v/>
      </c>
      <c r="S30" s="161" t="str">
        <f t="shared" si="7"/>
        <v/>
      </c>
      <c r="T30" s="161" t="str">
        <f t="shared" si="8"/>
        <v/>
      </c>
      <c r="U30" s="161" t="str">
        <f t="shared" si="9"/>
        <v/>
      </c>
      <c r="V30" s="161" t="str">
        <f t="shared" si="10"/>
        <v/>
      </c>
      <c r="W30" s="161" t="str">
        <f t="shared" si="11"/>
        <v/>
      </c>
      <c r="X30" s="161" t="str">
        <f t="shared" si="12"/>
        <v/>
      </c>
      <c r="Y30" s="116"/>
      <c r="Z30" s="116"/>
      <c r="AA30" s="116"/>
      <c r="AB30" s="126"/>
    </row>
    <row r="31" spans="2:39" ht="13.5" thickBot="1" x14ac:dyDescent="0.25">
      <c r="B31" s="129">
        <v>23</v>
      </c>
      <c r="C31" s="143"/>
      <c r="D31" s="144"/>
      <c r="G31" s="128" t="str">
        <f t="shared" si="0"/>
        <v/>
      </c>
      <c r="H31" s="161" t="str">
        <f t="shared" si="14"/>
        <v/>
      </c>
      <c r="I31" s="161" t="str">
        <f t="shared" si="1"/>
        <v/>
      </c>
      <c r="J31" s="161" t="str">
        <f t="shared" si="2"/>
        <v/>
      </c>
      <c r="K31" s="161" t="str">
        <f t="shared" si="3"/>
        <v/>
      </c>
      <c r="L31" s="161" t="str">
        <f t="shared" si="4"/>
        <v/>
      </c>
      <c r="M31" s="161" t="str">
        <f t="shared" si="5"/>
        <v/>
      </c>
      <c r="N31" s="115"/>
      <c r="O31" s="115"/>
      <c r="P31" s="168"/>
      <c r="Q31" s="126"/>
      <c r="R31" s="128" t="str">
        <f t="shared" si="6"/>
        <v/>
      </c>
      <c r="S31" s="161" t="str">
        <f t="shared" si="7"/>
        <v/>
      </c>
      <c r="T31" s="161" t="str">
        <f t="shared" si="8"/>
        <v/>
      </c>
      <c r="U31" s="161" t="str">
        <f t="shared" si="9"/>
        <v/>
      </c>
      <c r="V31" s="161" t="str">
        <f t="shared" si="10"/>
        <v/>
      </c>
      <c r="W31" s="161" t="str">
        <f t="shared" si="11"/>
        <v/>
      </c>
      <c r="X31" s="161" t="str">
        <f t="shared" si="12"/>
        <v/>
      </c>
      <c r="Y31" s="116"/>
      <c r="Z31" s="116"/>
      <c r="AA31" s="116"/>
      <c r="AB31" s="126"/>
      <c r="AF31" s="477" t="s">
        <v>307</v>
      </c>
      <c r="AG31" s="478"/>
      <c r="AH31" s="479"/>
    </row>
    <row r="32" spans="2:39" x14ac:dyDescent="0.2">
      <c r="B32" s="129">
        <v>24</v>
      </c>
      <c r="C32" s="143"/>
      <c r="D32" s="144"/>
      <c r="G32" s="128" t="str">
        <f t="shared" si="0"/>
        <v/>
      </c>
      <c r="H32" s="161" t="str">
        <f t="shared" si="14"/>
        <v/>
      </c>
      <c r="I32" s="161" t="str">
        <f t="shared" si="1"/>
        <v/>
      </c>
      <c r="J32" s="161" t="str">
        <f t="shared" si="2"/>
        <v/>
      </c>
      <c r="K32" s="161" t="str">
        <f t="shared" si="3"/>
        <v/>
      </c>
      <c r="L32" s="161" t="str">
        <f t="shared" si="4"/>
        <v/>
      </c>
      <c r="M32" s="161" t="str">
        <f t="shared" si="5"/>
        <v/>
      </c>
      <c r="N32" s="115"/>
      <c r="O32" s="115"/>
      <c r="P32" s="168"/>
      <c r="Q32" s="126"/>
      <c r="R32" s="128" t="str">
        <f t="shared" si="6"/>
        <v/>
      </c>
      <c r="S32" s="161" t="str">
        <f t="shared" si="7"/>
        <v/>
      </c>
      <c r="T32" s="161" t="str">
        <f t="shared" si="8"/>
        <v/>
      </c>
      <c r="U32" s="161" t="str">
        <f t="shared" si="9"/>
        <v/>
      </c>
      <c r="V32" s="161" t="str">
        <f t="shared" si="10"/>
        <v/>
      </c>
      <c r="W32" s="161" t="str">
        <f t="shared" si="11"/>
        <v/>
      </c>
      <c r="X32" s="161" t="str">
        <f t="shared" si="12"/>
        <v/>
      </c>
      <c r="Y32" s="116"/>
      <c r="Z32" s="116"/>
      <c r="AA32" s="116"/>
      <c r="AB32" s="126"/>
      <c r="AF32" s="170" t="s">
        <v>288</v>
      </c>
      <c r="AG32" s="480">
        <f ca="1">SQRT(AG19)</f>
        <v>4.8935548752178359</v>
      </c>
      <c r="AH32" s="481"/>
    </row>
    <row r="33" spans="2:35" x14ac:dyDescent="0.2">
      <c r="B33" s="129">
        <v>25</v>
      </c>
      <c r="C33" s="143"/>
      <c r="D33" s="145"/>
      <c r="G33" s="128" t="str">
        <f t="shared" si="0"/>
        <v/>
      </c>
      <c r="H33" s="161" t="str">
        <f t="shared" si="14"/>
        <v/>
      </c>
      <c r="I33" s="161" t="str">
        <f t="shared" si="1"/>
        <v/>
      </c>
      <c r="J33" s="161" t="str">
        <f t="shared" si="2"/>
        <v/>
      </c>
      <c r="K33" s="161" t="str">
        <f t="shared" si="3"/>
        <v/>
      </c>
      <c r="L33" s="161" t="str">
        <f t="shared" si="4"/>
        <v/>
      </c>
      <c r="M33" s="161" t="str">
        <f t="shared" si="5"/>
        <v/>
      </c>
      <c r="N33" s="116"/>
      <c r="O33" s="116"/>
      <c r="P33" s="116"/>
      <c r="Q33" s="126"/>
      <c r="R33" s="128" t="str">
        <f t="shared" si="6"/>
        <v/>
      </c>
      <c r="S33" s="161" t="str">
        <f t="shared" si="7"/>
        <v/>
      </c>
      <c r="T33" s="161" t="str">
        <f t="shared" si="8"/>
        <v/>
      </c>
      <c r="U33" s="161" t="str">
        <f t="shared" si="9"/>
        <v/>
      </c>
      <c r="V33" s="161" t="str">
        <f t="shared" si="10"/>
        <v/>
      </c>
      <c r="W33" s="161" t="str">
        <f t="shared" si="11"/>
        <v/>
      </c>
      <c r="X33" s="161" t="str">
        <f t="shared" si="12"/>
        <v/>
      </c>
      <c r="Y33" s="116"/>
      <c r="Z33" s="116"/>
      <c r="AA33" s="116"/>
      <c r="AB33" s="126"/>
      <c r="AF33" s="76" t="s">
        <v>114</v>
      </c>
      <c r="AG33" s="482">
        <v>0.05</v>
      </c>
      <c r="AH33" s="483"/>
    </row>
    <row r="34" spans="2:35" x14ac:dyDescent="0.2">
      <c r="B34" s="129">
        <v>26</v>
      </c>
      <c r="C34" s="143"/>
      <c r="D34" s="145"/>
      <c r="G34" s="128" t="str">
        <f t="shared" si="0"/>
        <v/>
      </c>
      <c r="H34" s="161" t="str">
        <f t="shared" si="14"/>
        <v/>
      </c>
      <c r="I34" s="161" t="str">
        <f t="shared" si="1"/>
        <v/>
      </c>
      <c r="J34" s="161" t="str">
        <f t="shared" si="2"/>
        <v/>
      </c>
      <c r="K34" s="161" t="str">
        <f t="shared" si="3"/>
        <v/>
      </c>
      <c r="L34" s="161" t="str">
        <f t="shared" si="4"/>
        <v/>
      </c>
      <c r="M34" s="161" t="str">
        <f t="shared" si="5"/>
        <v/>
      </c>
      <c r="N34" s="116"/>
      <c r="O34" s="116"/>
      <c r="P34" s="116"/>
      <c r="Q34" s="126"/>
      <c r="R34" s="128" t="str">
        <f t="shared" si="6"/>
        <v/>
      </c>
      <c r="S34" s="161" t="str">
        <f t="shared" si="7"/>
        <v/>
      </c>
      <c r="T34" s="161" t="str">
        <f t="shared" si="8"/>
        <v/>
      </c>
      <c r="U34" s="161" t="str">
        <f t="shared" si="9"/>
        <v/>
      </c>
      <c r="V34" s="161" t="str">
        <f t="shared" si="10"/>
        <v/>
      </c>
      <c r="W34" s="161" t="str">
        <f t="shared" si="11"/>
        <v/>
      </c>
      <c r="X34" s="161" t="str">
        <f t="shared" si="12"/>
        <v/>
      </c>
      <c r="Y34" s="116"/>
      <c r="Z34" s="116"/>
      <c r="AA34" s="116"/>
      <c r="AB34" s="126"/>
      <c r="AF34" s="171" t="s">
        <v>229</v>
      </c>
      <c r="AG34" s="484">
        <f ca="1">((MAX(AG9,AH9)-MIN(AG9,AH9))/AG32*SQRT((AG8*AH8)/(AG8+AH8)))</f>
        <v>0.31252918837295696</v>
      </c>
      <c r="AH34" s="485" t="e">
        <f>((MAX(AH25,AH28)-MIN(AH25,AH28))/AH32*SQRT((AH26*AH29)/(AH26+AH29)))</f>
        <v>#DIV/0!</v>
      </c>
    </row>
    <row r="35" spans="2:35" x14ac:dyDescent="0.2">
      <c r="B35" s="129">
        <v>27</v>
      </c>
      <c r="C35" s="143"/>
      <c r="D35" s="145"/>
      <c r="G35" s="128" t="str">
        <f t="shared" si="0"/>
        <v/>
      </c>
      <c r="H35" s="161" t="str">
        <f t="shared" si="14"/>
        <v/>
      </c>
      <c r="I35" s="161" t="str">
        <f t="shared" si="1"/>
        <v/>
      </c>
      <c r="J35" s="161" t="str">
        <f t="shared" si="2"/>
        <v/>
      </c>
      <c r="K35" s="161" t="str">
        <f t="shared" si="3"/>
        <v/>
      </c>
      <c r="L35" s="161" t="str">
        <f t="shared" si="4"/>
        <v/>
      </c>
      <c r="M35" s="161" t="str">
        <f t="shared" si="5"/>
        <v/>
      </c>
      <c r="N35" s="116"/>
      <c r="O35" s="116"/>
      <c r="P35" s="116"/>
      <c r="Q35" s="126"/>
      <c r="R35" s="128" t="str">
        <f t="shared" si="6"/>
        <v/>
      </c>
      <c r="S35" s="161" t="str">
        <f t="shared" si="7"/>
        <v/>
      </c>
      <c r="T35" s="161" t="str">
        <f t="shared" si="8"/>
        <v/>
      </c>
      <c r="U35" s="161" t="str">
        <f t="shared" si="9"/>
        <v/>
      </c>
      <c r="V35" s="161" t="str">
        <f t="shared" si="10"/>
        <v/>
      </c>
      <c r="W35" s="161" t="str">
        <f t="shared" si="11"/>
        <v/>
      </c>
      <c r="X35" s="161" t="str">
        <f t="shared" si="12"/>
        <v/>
      </c>
      <c r="Y35" s="116"/>
      <c r="Z35" s="116"/>
      <c r="AA35" s="116"/>
      <c r="AB35" s="126"/>
      <c r="AF35" s="171" t="s">
        <v>230</v>
      </c>
      <c r="AG35" s="464">
        <f ca="1">TINV(AG33*2,AG8+AH8-2)</f>
        <v>1.7340636066175394</v>
      </c>
      <c r="AH35" s="465" t="e">
        <f>TINV(AH33,AH26+AH29-2)</f>
        <v>#NUM!</v>
      </c>
    </row>
    <row r="36" spans="2:35" ht="13.5" thickBot="1" x14ac:dyDescent="0.25">
      <c r="B36" s="129">
        <v>28</v>
      </c>
      <c r="C36" s="143"/>
      <c r="D36" s="145"/>
      <c r="G36" s="128" t="str">
        <f t="shared" si="0"/>
        <v/>
      </c>
      <c r="H36" s="161" t="str">
        <f t="shared" si="14"/>
        <v/>
      </c>
      <c r="I36" s="161" t="str">
        <f t="shared" si="1"/>
        <v/>
      </c>
      <c r="J36" s="161" t="str">
        <f t="shared" si="2"/>
        <v/>
      </c>
      <c r="K36" s="161" t="str">
        <f t="shared" si="3"/>
        <v/>
      </c>
      <c r="L36" s="161" t="str">
        <f t="shared" si="4"/>
        <v/>
      </c>
      <c r="M36" s="161" t="str">
        <f t="shared" si="5"/>
        <v/>
      </c>
      <c r="N36" s="116"/>
      <c r="O36" s="116"/>
      <c r="P36" s="116"/>
      <c r="Q36" s="126"/>
      <c r="R36" s="128" t="str">
        <f t="shared" si="6"/>
        <v/>
      </c>
      <c r="S36" s="161" t="str">
        <f t="shared" si="7"/>
        <v/>
      </c>
      <c r="T36" s="161" t="str">
        <f t="shared" si="8"/>
        <v/>
      </c>
      <c r="U36" s="161" t="str">
        <f t="shared" si="9"/>
        <v/>
      </c>
      <c r="V36" s="161" t="str">
        <f t="shared" si="10"/>
        <v/>
      </c>
      <c r="W36" s="161" t="str">
        <f t="shared" si="11"/>
        <v/>
      </c>
      <c r="X36" s="161" t="str">
        <f t="shared" si="12"/>
        <v/>
      </c>
      <c r="Y36" s="116"/>
      <c r="Z36" s="116"/>
      <c r="AA36" s="116"/>
      <c r="AB36" s="126"/>
      <c r="AF36" s="146" t="s">
        <v>225</v>
      </c>
      <c r="AG36" s="490">
        <f ca="1">ABS(AG34-AG35)</f>
        <v>1.4215344182445824</v>
      </c>
      <c r="AH36" s="491"/>
    </row>
    <row r="37" spans="2:35" x14ac:dyDescent="0.2">
      <c r="B37" s="129">
        <v>29</v>
      </c>
      <c r="C37" s="143"/>
      <c r="D37" s="145"/>
      <c r="G37" s="128" t="str">
        <f t="shared" si="0"/>
        <v/>
      </c>
      <c r="H37" s="161" t="str">
        <f t="shared" si="14"/>
        <v/>
      </c>
      <c r="I37" s="161" t="str">
        <f t="shared" si="1"/>
        <v/>
      </c>
      <c r="J37" s="161" t="str">
        <f t="shared" si="2"/>
        <v/>
      </c>
      <c r="K37" s="161" t="str">
        <f t="shared" si="3"/>
        <v/>
      </c>
      <c r="L37" s="161" t="str">
        <f t="shared" si="4"/>
        <v/>
      </c>
      <c r="M37" s="161" t="str">
        <f t="shared" si="5"/>
        <v/>
      </c>
      <c r="N37" s="116"/>
      <c r="O37" s="116"/>
      <c r="P37" s="116"/>
      <c r="Q37" s="126"/>
      <c r="R37" s="128" t="str">
        <f t="shared" si="6"/>
        <v/>
      </c>
      <c r="S37" s="161" t="str">
        <f t="shared" si="7"/>
        <v/>
      </c>
      <c r="T37" s="161" t="str">
        <f t="shared" si="8"/>
        <v/>
      </c>
      <c r="U37" s="161" t="str">
        <f t="shared" si="9"/>
        <v/>
      </c>
      <c r="V37" s="161" t="str">
        <f t="shared" si="10"/>
        <v/>
      </c>
      <c r="W37" s="161" t="str">
        <f t="shared" si="11"/>
        <v/>
      </c>
      <c r="X37" s="161" t="str">
        <f t="shared" si="12"/>
        <v/>
      </c>
      <c r="Y37" s="116"/>
      <c r="Z37" s="116"/>
      <c r="AA37" s="116"/>
      <c r="AB37" s="126"/>
      <c r="AF37" s="77" t="s">
        <v>226</v>
      </c>
      <c r="AG37" s="492">
        <f ca="1">IF(AG34&gt;AG35,TDIST(AG36,AH8+AG8-2,1),1-TDIST(AG36,AH8+AG8-2,1))</f>
        <v>0.91387169633811316</v>
      </c>
      <c r="AH37" s="493" t="e">
        <f>IF(AH33&gt;AH34,TDIST(AH35,AH28+AH25-2,1),1-TDIST(AH35,AH28+AH25-2,1))</f>
        <v>#DIV/0!</v>
      </c>
      <c r="AI37" s="74" t="s">
        <v>290</v>
      </c>
    </row>
    <row r="38" spans="2:35" ht="13.5" thickBot="1" x14ac:dyDescent="0.25">
      <c r="B38" s="147">
        <v>30</v>
      </c>
      <c r="C38" s="148"/>
      <c r="D38" s="149"/>
      <c r="G38" s="128" t="str">
        <f t="shared" si="0"/>
        <v/>
      </c>
      <c r="H38" s="161" t="str">
        <f t="shared" si="14"/>
        <v/>
      </c>
      <c r="I38" s="161" t="str">
        <f t="shared" si="1"/>
        <v/>
      </c>
      <c r="J38" s="161" t="str">
        <f t="shared" si="2"/>
        <v/>
      </c>
      <c r="K38" s="161" t="str">
        <f t="shared" si="3"/>
        <v/>
      </c>
      <c r="L38" s="161" t="str">
        <f t="shared" si="4"/>
        <v/>
      </c>
      <c r="M38" s="161" t="str">
        <f t="shared" si="5"/>
        <v/>
      </c>
      <c r="N38" s="116"/>
      <c r="O38" s="116"/>
      <c r="P38" s="116"/>
      <c r="Q38" s="126"/>
      <c r="R38" s="128" t="str">
        <f t="shared" si="6"/>
        <v/>
      </c>
      <c r="S38" s="161" t="str">
        <f t="shared" si="7"/>
        <v/>
      </c>
      <c r="T38" s="161" t="str">
        <f t="shared" si="8"/>
        <v/>
      </c>
      <c r="U38" s="161" t="str">
        <f t="shared" si="9"/>
        <v/>
      </c>
      <c r="V38" s="161" t="str">
        <f t="shared" si="10"/>
        <v/>
      </c>
      <c r="W38" s="161" t="str">
        <f t="shared" si="11"/>
        <v/>
      </c>
      <c r="X38" s="161" t="str">
        <f t="shared" si="12"/>
        <v/>
      </c>
      <c r="Y38" s="114"/>
      <c r="Z38" s="114"/>
      <c r="AA38" s="114"/>
      <c r="AB38" s="126"/>
      <c r="AF38" s="79" t="s">
        <v>289</v>
      </c>
      <c r="AG38" s="494">
        <f ca="1">1-AG37</f>
        <v>8.612830366188684E-2</v>
      </c>
      <c r="AH38" s="495" t="e">
        <f>1-AH37</f>
        <v>#DIV/0!</v>
      </c>
      <c r="AI38" s="74" t="s">
        <v>291</v>
      </c>
    </row>
    <row r="39" spans="2:35" ht="15" customHeight="1" x14ac:dyDescent="0.2">
      <c r="G39" s="128" t="str">
        <f>IF(ISNUMBER(#REF!),RANK(#REF!,C$9:C$38,1),"")</f>
        <v/>
      </c>
      <c r="H39" s="161" t="str">
        <f>IF(ISNUMBER(#REF!),G39/(MAX($G$9:$G$39)+1),"")</f>
        <v/>
      </c>
      <c r="I39" s="161" t="str">
        <f>IF(ISNUMBER(#REF!),NORMSINV(H39),"")</f>
        <v/>
      </c>
      <c r="J39" s="161" t="str">
        <f>IF(ISNUMBER(#REF!),((#REF!-AVERAGE($C$9:$C$38))/STDEV($C$9:$C$38)),"")</f>
        <v/>
      </c>
      <c r="K39" s="161" t="str">
        <f>IF(ISNUMBER(#REF!),NORMSDIST(J39),"")</f>
        <v/>
      </c>
      <c r="L39" s="161" t="str">
        <f>IF(ISNUMBER(#REF!),G39/COUNT($C$9:$C$38)-K39,"")</f>
        <v/>
      </c>
      <c r="M39" s="161" t="str">
        <f>IF(ISNUMBER(#REF!),K39-(G39-1)/COUNT($C$9:$C$38),"")</f>
        <v/>
      </c>
      <c r="N39" s="116"/>
      <c r="O39" s="116"/>
      <c r="P39" s="116"/>
      <c r="Q39" s="116"/>
      <c r="R39" s="128" t="str">
        <f>IF(ISNUMBER(#REF!),RANK(#REF!,D$9:D$38,1),"")</f>
        <v/>
      </c>
      <c r="S39" s="161" t="str">
        <f>IF(ISNUMBER(#REF!),R39/(MAX($R$9:$R$39)+1),"")</f>
        <v/>
      </c>
      <c r="T39" s="161" t="str">
        <f>IF(ISNUMBER(#REF!),NORMSINV(S39),"")</f>
        <v/>
      </c>
      <c r="U39" s="161" t="str">
        <f>IF(ISNUMBER(#REF!),((#REF!-AVERAGE($D$9:$D$38))/STDEV($D$9:$D$38)),"")</f>
        <v/>
      </c>
      <c r="V39" s="161" t="str">
        <f>IF(ISNUMBER(#REF!),NORMSDIST(U39),"")</f>
        <v/>
      </c>
      <c r="W39" s="161" t="str">
        <f>IF(ISNUMBER(#REF!),R39/COUNT($D$9:$D$38)-V39,"")</f>
        <v/>
      </c>
      <c r="X39" s="161" t="str">
        <f>IF(ISNUMBER(#REF!),V39-(R39-1)/COUNT($D$9:$D$38),"")</f>
        <v/>
      </c>
      <c r="Y39" s="114"/>
      <c r="Z39" s="114"/>
      <c r="AA39" s="114"/>
      <c r="AB39" s="114"/>
    </row>
    <row r="40" spans="2:35" x14ac:dyDescent="0.2">
      <c r="H40" s="150"/>
      <c r="I40" s="150"/>
      <c r="J40" s="150"/>
      <c r="K40" s="150"/>
      <c r="L40" s="150"/>
      <c r="R40" s="150"/>
    </row>
    <row r="41" spans="2:35" x14ac:dyDescent="0.2">
      <c r="G41" s="115"/>
      <c r="H41" s="172"/>
      <c r="I41" s="172"/>
      <c r="J41" s="172"/>
      <c r="K41" s="172"/>
      <c r="L41" s="172"/>
      <c r="M41" s="172"/>
      <c r="N41" s="116"/>
      <c r="O41" s="116"/>
      <c r="P41" s="116"/>
      <c r="Q41" s="116"/>
      <c r="R41" s="114"/>
      <c r="S41" s="114"/>
      <c r="T41" s="114"/>
      <c r="U41" s="114"/>
      <c r="V41" s="114"/>
      <c r="W41" s="114"/>
      <c r="X41" s="114"/>
      <c r="Y41" s="114"/>
      <c r="Z41" s="114"/>
      <c r="AA41" s="114"/>
      <c r="AB41" s="114"/>
      <c r="AC41" s="114"/>
    </row>
    <row r="42" spans="2:35" x14ac:dyDescent="0.2">
      <c r="G42" s="457" t="s">
        <v>231</v>
      </c>
      <c r="H42" s="457"/>
      <c r="I42" s="457"/>
      <c r="J42" s="457"/>
      <c r="K42" s="116"/>
      <c r="L42" s="496" t="s">
        <v>232</v>
      </c>
      <c r="M42" s="496"/>
      <c r="N42" s="496"/>
      <c r="O42" s="496"/>
      <c r="P42" s="496"/>
      <c r="S42" s="457" t="s">
        <v>231</v>
      </c>
      <c r="T42" s="457"/>
      <c r="U42" s="457"/>
      <c r="V42" s="457"/>
      <c r="W42" s="116"/>
      <c r="X42" s="496" t="s">
        <v>232</v>
      </c>
      <c r="Y42" s="496"/>
      <c r="Z42" s="496"/>
      <c r="AA42" s="496"/>
      <c r="AB42" s="496"/>
      <c r="AC42" s="114"/>
    </row>
    <row r="43" spans="2:35" x14ac:dyDescent="0.2">
      <c r="E43" s="115"/>
      <c r="G43" s="128" t="s">
        <v>66</v>
      </c>
      <c r="H43" s="128" t="s">
        <v>114</v>
      </c>
      <c r="I43" s="128" t="s">
        <v>67</v>
      </c>
      <c r="J43" s="128" t="s">
        <v>68</v>
      </c>
      <c r="L43" s="173"/>
      <c r="M43" s="174" t="s">
        <v>233</v>
      </c>
      <c r="N43" s="175" t="s">
        <v>69</v>
      </c>
      <c r="O43" s="128" t="s">
        <v>60</v>
      </c>
      <c r="P43" s="128" t="s">
        <v>61</v>
      </c>
      <c r="R43" s="116"/>
      <c r="S43" s="128" t="s">
        <v>66</v>
      </c>
      <c r="T43" s="128" t="s">
        <v>114</v>
      </c>
      <c r="U43" s="128" t="s">
        <v>67</v>
      </c>
      <c r="V43" s="128" t="s">
        <v>68</v>
      </c>
      <c r="W43" s="116"/>
      <c r="X43" s="173"/>
      <c r="Y43" s="174" t="s">
        <v>233</v>
      </c>
      <c r="Z43" s="175" t="s">
        <v>69</v>
      </c>
      <c r="AA43" s="128" t="s">
        <v>60</v>
      </c>
      <c r="AB43" s="128" t="s">
        <v>61</v>
      </c>
    </row>
    <row r="44" spans="2:35" x14ac:dyDescent="0.2">
      <c r="E44" s="115"/>
      <c r="G44" s="176">
        <f ca="1">P9*(SQRT(COUNT(C9:C38))-0.01+0.85/SQRT(COUNT(C9:C38)))</f>
        <v>0.66120390290507314</v>
      </c>
      <c r="H44" s="177">
        <v>0.05</v>
      </c>
      <c r="I44" s="128">
        <v>0.89500000000000002</v>
      </c>
      <c r="J44" s="128" t="str">
        <f ca="1">IF(G44&lt;=I44,"oui","non")</f>
        <v>oui</v>
      </c>
      <c r="L44" s="151" t="s">
        <v>71</v>
      </c>
      <c r="M44" s="130">
        <f ca="1">MAX(C9:C38)</f>
        <v>16.098736546247082</v>
      </c>
      <c r="N44" s="133">
        <f ca="1">((MAX(C9:C38)-AVERAGE(C9:C38))/STDEV(C9:C38))</f>
        <v>1.3408970048534257</v>
      </c>
      <c r="O44" s="497">
        <f ca="1">IF(COUNT(C9:C38)=12,2.285,IF(COUNT(C9:C38)=13,2.331,IF(COUNT(C9:C38)=14,2.409,IF(COUNT(C9:C38)=15,2.409,IF(COUNT(C9:C38)&lt;21,2.557,IF(COUNT(C9:C38)&lt;26,2.663,IF(COUNT(C9:C38)&lt;31,2.745,"")))))))</f>
        <v>2.5569999999999999</v>
      </c>
      <c r="P44" s="497" t="str">
        <f ca="1">IF(COUNT(C9:C38)=12,"2.55",IF(COUNT(C9:C38)=13,"2.607",IF(COUNT(C9:C38)=14,"2.705",IF(COUNT(C9:C38)=15,"2.705",IF(COUNT(C9:C38)&lt;21,"2.884",IF(COUNT(C9:C38)&lt;26,"3.009",IF(COUNT(C9:C38)&lt;31,"3.103","")))))))</f>
        <v>2.884</v>
      </c>
      <c r="R44" s="116"/>
      <c r="S44" s="176">
        <f ca="1">AA9*(SQRT(COUNT(D9:D38))-0.01+0.85/SQRT(COUNT(D9:D38)))</f>
        <v>0.68089663616885099</v>
      </c>
      <c r="T44" s="177">
        <v>0.05</v>
      </c>
      <c r="U44" s="128">
        <v>0.89500000000000002</v>
      </c>
      <c r="V44" s="128" t="str">
        <f ca="1">IF(S44&lt;=U44,"oui","non")</f>
        <v>oui</v>
      </c>
      <c r="W44" s="116"/>
      <c r="X44" s="151" t="s">
        <v>71</v>
      </c>
      <c r="Y44" s="130">
        <f ca="1">MAX(D9:D38)</f>
        <v>17.997064220584992</v>
      </c>
      <c r="Z44" s="133">
        <f ca="1">((MAX(D9:D38)-AVERAGE(D9:D38))/STDEV(D9:D38))</f>
        <v>1.3991006253340377</v>
      </c>
      <c r="AA44" s="497">
        <f ca="1">IF(COUNT(S9:S39)=12,2.285,IF(COUNT(S9:S39)=13,2.331,IF(COUNT(S9:S39)=14,2.409,IF(COUNT(S9:S39)=15,2.409,IF(COUNT(S9:S39)&lt;21,2.557,IF(COUNT(S9:S39)&lt;26,2.663,IF(COUNT(S9:S39)&lt;31,2.745,"")))))))</f>
        <v>2.5569999999999999</v>
      </c>
      <c r="AB44" s="497" t="str">
        <f ca="1">IF(COUNT(R9:R39)=12,"2.55",IF(COUNT(R9:R39)=13,"2.607",IF(COUNT(R9:R39)=14,"2.705",IF(COUNT(R9:R39)=15,"2.705",IF(COUNT(R9:R39)&lt;21,"2.884",IF(COUNT(R9:R39)&lt;26,"3.009",IF(COUNT(R9:R39)&lt;31,"3.103","")))))))</f>
        <v>2.884</v>
      </c>
    </row>
    <row r="45" spans="2:35" x14ac:dyDescent="0.2">
      <c r="E45" s="115"/>
      <c r="G45" s="152"/>
      <c r="H45" s="177">
        <v>0.01</v>
      </c>
      <c r="I45" s="128">
        <v>1.0349999999999999</v>
      </c>
      <c r="J45" s="128" t="str">
        <f ca="1">IF(G44&lt;=I45,"oui","non")</f>
        <v>oui</v>
      </c>
      <c r="L45" s="151" t="s">
        <v>73</v>
      </c>
      <c r="M45" s="130">
        <f ca="1">MIN(C9:C38)</f>
        <v>1.7458908189168798</v>
      </c>
      <c r="N45" s="133">
        <f ca="1">(ABS((MIN(C9:C38)-AVERAGE(C9:C38))/STDEV(C9:C38)))</f>
        <v>1.8189479268973368</v>
      </c>
      <c r="O45" s="497"/>
      <c r="P45" s="497"/>
      <c r="R45" s="116"/>
      <c r="S45" s="152"/>
      <c r="T45" s="177">
        <v>0.01</v>
      </c>
      <c r="U45" s="128">
        <v>1.0349999999999999</v>
      </c>
      <c r="V45" s="128" t="str">
        <f ca="1">IF(S44&lt;=U45,"oui","non")</f>
        <v>oui</v>
      </c>
      <c r="W45" s="115"/>
      <c r="X45" s="151" t="s">
        <v>73</v>
      </c>
      <c r="Y45" s="130">
        <f ca="1">MIN(D9:D38)</f>
        <v>4.2780949342906034</v>
      </c>
      <c r="Z45" s="133">
        <f ca="1">(ABS((MIN(D9:D38)-AVERAGE(D9:D38))/STDEV(D9:D38)))</f>
        <v>1.2284176590536462</v>
      </c>
      <c r="AA45" s="497"/>
      <c r="AB45" s="497"/>
    </row>
    <row r="46" spans="2:35" x14ac:dyDescent="0.2">
      <c r="E46" s="115"/>
      <c r="G46" s="498" t="s">
        <v>234</v>
      </c>
      <c r="H46" s="498"/>
      <c r="I46" s="498"/>
      <c r="J46" s="498"/>
      <c r="L46" s="499" t="s">
        <v>235</v>
      </c>
      <c r="M46" s="500"/>
      <c r="N46" s="500"/>
      <c r="O46" s="500"/>
      <c r="P46" s="501"/>
      <c r="R46" s="116"/>
      <c r="S46" s="152"/>
      <c r="T46" s="152" t="s">
        <v>234</v>
      </c>
      <c r="U46" s="152"/>
      <c r="V46" s="152"/>
      <c r="W46" s="116"/>
      <c r="X46" s="502" t="s">
        <v>235</v>
      </c>
      <c r="Y46" s="502"/>
      <c r="Z46" s="502"/>
      <c r="AA46" s="502"/>
      <c r="AB46" s="502"/>
    </row>
    <row r="47" spans="2:35" x14ac:dyDescent="0.2">
      <c r="E47" s="115"/>
      <c r="L47" s="457" t="s">
        <v>236</v>
      </c>
      <c r="M47" s="457"/>
      <c r="N47" s="457"/>
      <c r="O47" s="457"/>
      <c r="P47" s="457"/>
      <c r="Q47" s="457"/>
      <c r="R47" s="457"/>
      <c r="S47" s="457"/>
      <c r="T47" s="457"/>
      <c r="U47" s="457"/>
      <c r="V47" s="114"/>
      <c r="W47" s="114"/>
      <c r="X47" s="114"/>
      <c r="Y47" s="114"/>
      <c r="Z47" s="114"/>
      <c r="AA47" s="114"/>
      <c r="AB47" s="114"/>
      <c r="AC47" s="114"/>
    </row>
    <row r="48" spans="2:35" x14ac:dyDescent="0.2">
      <c r="E48" s="115"/>
      <c r="K48" s="115"/>
      <c r="L48" s="151" t="s">
        <v>237</v>
      </c>
      <c r="M48" s="128" t="s">
        <v>49</v>
      </c>
      <c r="N48" s="128" t="s">
        <v>50</v>
      </c>
      <c r="O48" s="128" t="s">
        <v>51</v>
      </c>
      <c r="P48" s="128" t="s">
        <v>52</v>
      </c>
      <c r="Q48" s="128" t="s">
        <v>53</v>
      </c>
      <c r="R48" s="128" t="s">
        <v>54</v>
      </c>
      <c r="S48" s="128" t="s">
        <v>55</v>
      </c>
      <c r="T48" s="128" t="s">
        <v>56</v>
      </c>
      <c r="U48" s="128" t="s">
        <v>57</v>
      </c>
      <c r="V48" s="128" t="s">
        <v>58</v>
      </c>
    </row>
    <row r="49" spans="5:22" x14ac:dyDescent="0.2">
      <c r="E49" s="115"/>
      <c r="K49" s="115"/>
      <c r="L49" s="130">
        <f t="shared" ref="L49:L78" ca="1" si="15">IF(ISNUMBER(C9),C9-D9,"")</f>
        <v>7.6138914805461582</v>
      </c>
      <c r="M49" s="178">
        <f t="shared" ref="M49:M78" ca="1" si="16">IF(ISNUMBER(L49),RANK(L49,L$49:L$78,1),"")</f>
        <v>9</v>
      </c>
      <c r="N49" s="161">
        <f t="shared" ref="N49:N78" ca="1" si="17">IF(ISNUMBER(L49),M49/(MAX($M$49:$M$78)+1),"")</f>
        <v>0.81818181818181823</v>
      </c>
      <c r="O49" s="161">
        <f ca="1">IF(ISNUMBER(L49),NORMSINV(N49),"")</f>
        <v>0.90845786853738464</v>
      </c>
      <c r="P49" s="161">
        <f t="shared" ref="P49:P78" ca="1" si="18">IF(ISNUMBER(L49),((L49-AVERAGE($L$49:$L$78))/STDEV($L$49:$L$78)),"")</f>
        <v>1.2718002136289606</v>
      </c>
      <c r="Q49" s="161">
        <f ca="1">IF(ISNUMBER(L49),NORMSDIST(P49),"")</f>
        <v>0.89827794347210632</v>
      </c>
      <c r="R49" s="161">
        <f ca="1">IF(ISNUMBER(L49),M49/COUNT($C$9:$C$38)-Q49,"")</f>
        <v>1.7220565278937006E-3</v>
      </c>
      <c r="S49" s="161">
        <f ca="1">IF(ISNUMBER(L49),Q49-(M49-1)/COUNT($C$9:$C$38),"")</f>
        <v>9.8277943472106277E-2</v>
      </c>
      <c r="T49" s="162">
        <f ca="1">MAX(R49:R78)</f>
        <v>0.15022243233816845</v>
      </c>
      <c r="U49" s="161">
        <f ca="1">MAX(S49:S78)</f>
        <v>0.12000560115990183</v>
      </c>
      <c r="V49" s="161">
        <f ca="1">MAX(T49:U49)</f>
        <v>0.15022243233816845</v>
      </c>
    </row>
    <row r="50" spans="5:22" ht="12.75" customHeight="1" x14ac:dyDescent="0.2">
      <c r="K50" s="115"/>
      <c r="L50" s="130">
        <f t="shared" ca="1" si="15"/>
        <v>-5.4870812612270949</v>
      </c>
      <c r="M50" s="178">
        <f t="shared" ca="1" si="16"/>
        <v>3</v>
      </c>
      <c r="N50" s="161">
        <f t="shared" ca="1" si="17"/>
        <v>0.27272727272727271</v>
      </c>
      <c r="O50" s="161">
        <f t="shared" ref="O50:O78" ca="1" si="19">IF(ISNUMBER(L50),NORMSINV(N50),"")</f>
        <v>-0.60458534658323715</v>
      </c>
      <c r="P50" s="161">
        <f t="shared" ca="1" si="18"/>
        <v>-0.73616800013901185</v>
      </c>
      <c r="Q50" s="161">
        <f t="shared" ref="Q50:Q78" ca="1" si="20">IF(ISNUMBER(L50),NORMSDIST(P50),"")</f>
        <v>0.23081423192909248</v>
      </c>
      <c r="R50" s="161">
        <f t="shared" ref="R50:R78" ca="1" si="21">IF(ISNUMBER(L50),M50/COUNT($C$9:$C$38)-Q50,"")</f>
        <v>6.9185768070907511E-2</v>
      </c>
      <c r="S50" s="161">
        <f t="shared" ref="S50:S78" ca="1" si="22">IF(ISNUMBER(L50),Q50-(M50-1)/COUNT($C$9:$C$38),"")</f>
        <v>3.0814231929092467E-2</v>
      </c>
      <c r="T50" s="114"/>
      <c r="U50" s="114"/>
      <c r="V50" s="115"/>
    </row>
    <row r="51" spans="5:22" x14ac:dyDescent="0.2">
      <c r="E51" s="153"/>
      <c r="K51" s="115"/>
      <c r="L51" s="130">
        <f t="shared" ca="1" si="15"/>
        <v>-5.0892299989182312</v>
      </c>
      <c r="M51" s="178">
        <f t="shared" ca="1" si="16"/>
        <v>4</v>
      </c>
      <c r="N51" s="161">
        <f t="shared" ca="1" si="17"/>
        <v>0.36363636363636365</v>
      </c>
      <c r="O51" s="161">
        <f t="shared" ca="1" si="19"/>
        <v>-0.34875569551704472</v>
      </c>
      <c r="P51" s="161">
        <f t="shared" ca="1" si="18"/>
        <v>-0.67518988009633685</v>
      </c>
      <c r="Q51" s="161">
        <f t="shared" ca="1" si="20"/>
        <v>0.24977756766183157</v>
      </c>
      <c r="R51" s="161">
        <f t="shared" ca="1" si="21"/>
        <v>0.15022243233816845</v>
      </c>
      <c r="S51" s="161">
        <f t="shared" ca="1" si="22"/>
        <v>-5.0222432338168421E-2</v>
      </c>
    </row>
    <row r="52" spans="5:22" x14ac:dyDescent="0.2">
      <c r="E52" s="116"/>
      <c r="G52" s="502" t="s">
        <v>238</v>
      </c>
      <c r="H52" s="502"/>
      <c r="I52" s="502"/>
      <c r="K52" s="115"/>
      <c r="L52" s="130">
        <f t="shared" ca="1" si="15"/>
        <v>1.8182764304659109</v>
      </c>
      <c r="M52" s="178">
        <f t="shared" ca="1" si="16"/>
        <v>7</v>
      </c>
      <c r="N52" s="161">
        <f t="shared" ca="1" si="17"/>
        <v>0.63636363636363635</v>
      </c>
      <c r="O52" s="161">
        <f t="shared" ca="1" si="19"/>
        <v>0.34875569551704472</v>
      </c>
      <c r="P52" s="161">
        <f t="shared" ca="1" si="18"/>
        <v>0.38351420394283886</v>
      </c>
      <c r="Q52" s="161">
        <f t="shared" ca="1" si="20"/>
        <v>0.6493307296695654</v>
      </c>
      <c r="R52" s="161">
        <f t="shared" ca="1" si="21"/>
        <v>5.0669270330434557E-2</v>
      </c>
      <c r="S52" s="161">
        <f t="shared" ca="1" si="22"/>
        <v>4.9330729669565421E-2</v>
      </c>
    </row>
    <row r="53" spans="5:22" x14ac:dyDescent="0.2">
      <c r="E53" s="115"/>
      <c r="G53" s="154" t="s">
        <v>59</v>
      </c>
      <c r="H53" s="154" t="s">
        <v>281</v>
      </c>
      <c r="I53" s="154" t="s">
        <v>239</v>
      </c>
      <c r="K53" s="115"/>
      <c r="L53" s="130">
        <f t="shared" ca="1" si="15"/>
        <v>-5.7220040636064429</v>
      </c>
      <c r="M53" s="178">
        <f t="shared" ca="1" si="16"/>
        <v>2</v>
      </c>
      <c r="N53" s="161">
        <f t="shared" ca="1" si="17"/>
        <v>0.18181818181818182</v>
      </c>
      <c r="O53" s="161">
        <f t="shared" ca="1" si="19"/>
        <v>-0.9084578685373853</v>
      </c>
      <c r="P53" s="161">
        <f t="shared" ca="1" si="18"/>
        <v>-0.77217429747011956</v>
      </c>
      <c r="Q53" s="161">
        <f t="shared" ca="1" si="20"/>
        <v>0.22000560115990184</v>
      </c>
      <c r="R53" s="161">
        <f t="shared" ca="1" si="21"/>
        <v>-2.0005601159901826E-2</v>
      </c>
      <c r="S53" s="161">
        <f t="shared" ca="1" si="22"/>
        <v>0.12000560115990183</v>
      </c>
    </row>
    <row r="54" spans="5:22" x14ac:dyDescent="0.2">
      <c r="E54" s="115"/>
      <c r="G54" s="179">
        <v>2</v>
      </c>
      <c r="H54" s="180">
        <v>0.76</v>
      </c>
      <c r="I54" s="180">
        <v>0.5</v>
      </c>
      <c r="K54" s="115"/>
      <c r="L54" s="130">
        <f t="shared" ca="1" si="15"/>
        <v>-0.7599673475347708</v>
      </c>
      <c r="M54" s="178">
        <f t="shared" ca="1" si="16"/>
        <v>5</v>
      </c>
      <c r="N54" s="161">
        <f t="shared" ca="1" si="17"/>
        <v>0.45454545454545453</v>
      </c>
      <c r="O54" s="161">
        <f t="shared" ca="1" si="19"/>
        <v>-0.11418529432142839</v>
      </c>
      <c r="P54" s="161">
        <f t="shared" ca="1" si="18"/>
        <v>-1.1649701487109568E-2</v>
      </c>
      <c r="Q54" s="161">
        <f t="shared" ca="1" si="20"/>
        <v>0.49535254664491829</v>
      </c>
      <c r="R54" s="161">
        <f t="shared" ca="1" si="21"/>
        <v>4.6474533550817099E-3</v>
      </c>
      <c r="S54" s="161">
        <f t="shared" ca="1" si="22"/>
        <v>9.5352546644918268E-2</v>
      </c>
    </row>
    <row r="55" spans="5:22" x14ac:dyDescent="0.2">
      <c r="E55" s="115"/>
      <c r="G55" s="179">
        <v>3</v>
      </c>
      <c r="H55" s="180">
        <v>0.52</v>
      </c>
      <c r="I55" s="180">
        <v>0.41</v>
      </c>
      <c r="K55" s="115"/>
      <c r="L55" s="130">
        <f t="shared" ca="1" si="15"/>
        <v>0.97537895085251414</v>
      </c>
      <c r="M55" s="178">
        <f t="shared" ca="1" si="16"/>
        <v>6</v>
      </c>
      <c r="N55" s="161">
        <f t="shared" ca="1" si="17"/>
        <v>0.54545454545454541</v>
      </c>
      <c r="O55" s="161">
        <f t="shared" ca="1" si="19"/>
        <v>0.11418529432142825</v>
      </c>
      <c r="P55" s="161">
        <f t="shared" ca="1" si="18"/>
        <v>0.25432445751033445</v>
      </c>
      <c r="Q55" s="161">
        <f t="shared" ca="1" si="20"/>
        <v>0.60037754676098465</v>
      </c>
      <c r="R55" s="161">
        <f t="shared" ca="1" si="21"/>
        <v>-3.7754676098467055E-4</v>
      </c>
      <c r="S55" s="161">
        <f t="shared" ca="1" si="22"/>
        <v>0.10037754676098465</v>
      </c>
    </row>
    <row r="56" spans="5:22" x14ac:dyDescent="0.2">
      <c r="E56" s="115"/>
      <c r="G56" s="179">
        <v>4</v>
      </c>
      <c r="H56" s="180">
        <v>0.42</v>
      </c>
      <c r="I56" s="180">
        <v>0.35</v>
      </c>
      <c r="K56" s="115"/>
      <c r="L56" s="130">
        <f t="shared" ca="1" si="15"/>
        <v>4.0142021609727792</v>
      </c>
      <c r="M56" s="178">
        <f t="shared" ca="1" si="16"/>
        <v>8</v>
      </c>
      <c r="N56" s="161">
        <f t="shared" ca="1" si="17"/>
        <v>0.72727272727272729</v>
      </c>
      <c r="O56" s="161">
        <f t="shared" ca="1" si="19"/>
        <v>0.60458534658323715</v>
      </c>
      <c r="P56" s="161">
        <f t="shared" ca="1" si="18"/>
        <v>0.72008074396726973</v>
      </c>
      <c r="Q56" s="161">
        <f t="shared" ca="1" si="20"/>
        <v>0.76426235863029224</v>
      </c>
      <c r="R56" s="161">
        <f t="shared" ca="1" si="21"/>
        <v>3.5737641369707807E-2</v>
      </c>
      <c r="S56" s="161">
        <f t="shared" ca="1" si="22"/>
        <v>6.4262358630292282E-2</v>
      </c>
      <c r="T56" s="114"/>
      <c r="U56" s="114"/>
      <c r="V56" s="115"/>
    </row>
    <row r="57" spans="5:22" x14ac:dyDescent="0.2">
      <c r="G57" s="179">
        <v>5</v>
      </c>
      <c r="H57" s="180">
        <v>0.36</v>
      </c>
      <c r="I57" s="180">
        <v>0.32</v>
      </c>
      <c r="K57" s="115"/>
      <c r="L57" s="130">
        <f t="shared" ca="1" si="15"/>
        <v>8.1769999623174368</v>
      </c>
      <c r="M57" s="178">
        <f t="shared" ca="1" si="16"/>
        <v>10</v>
      </c>
      <c r="N57" s="161">
        <f t="shared" ca="1" si="17"/>
        <v>0.90909090909090906</v>
      </c>
      <c r="O57" s="161">
        <f t="shared" ca="1" si="19"/>
        <v>1.3351777361189361</v>
      </c>
      <c r="P57" s="161">
        <f t="shared" ca="1" si="18"/>
        <v>1.3581070821788468</v>
      </c>
      <c r="Q57" s="161">
        <f t="shared" ca="1" si="20"/>
        <v>0.912785145855603</v>
      </c>
      <c r="R57" s="161">
        <f t="shared" ca="1" si="21"/>
        <v>8.7214854144397003E-2</v>
      </c>
      <c r="S57" s="161">
        <f t="shared" ca="1" si="22"/>
        <v>1.2785145855602975E-2</v>
      </c>
      <c r="T57" s="114"/>
      <c r="U57" s="114"/>
      <c r="V57" s="115"/>
    </row>
    <row r="58" spans="5:22" x14ac:dyDescent="0.2">
      <c r="G58" s="179">
        <v>10</v>
      </c>
      <c r="H58" s="180">
        <v>0.24</v>
      </c>
      <c r="I58" s="180">
        <v>0.22</v>
      </c>
      <c r="K58" s="115"/>
      <c r="L58" s="130">
        <f t="shared" ca="1" si="15"/>
        <v>-12.380055936364432</v>
      </c>
      <c r="M58" s="178">
        <f t="shared" ca="1" si="16"/>
        <v>1</v>
      </c>
      <c r="N58" s="161">
        <f t="shared" ca="1" si="17"/>
        <v>9.0909090909090912E-2</v>
      </c>
      <c r="O58" s="161">
        <f t="shared" ca="1" si="19"/>
        <v>-1.3351777361189361</v>
      </c>
      <c r="P58" s="161">
        <f t="shared" ca="1" si="18"/>
        <v>-1.7926448220356725</v>
      </c>
      <c r="Q58" s="161">
        <f t="shared" ca="1" si="20"/>
        <v>3.65148672965383E-2</v>
      </c>
      <c r="R58" s="161">
        <f t="shared" ca="1" si="21"/>
        <v>6.3485132703461705E-2</v>
      </c>
      <c r="S58" s="161">
        <f t="shared" ca="1" si="22"/>
        <v>3.65148672965383E-2</v>
      </c>
      <c r="T58" s="114"/>
      <c r="U58" s="114"/>
      <c r="V58" s="115"/>
    </row>
    <row r="59" spans="5:22" x14ac:dyDescent="0.2">
      <c r="G59" s="179">
        <v>20</v>
      </c>
      <c r="H59" s="180">
        <v>0.16</v>
      </c>
      <c r="I59" s="180">
        <v>0.16</v>
      </c>
      <c r="K59" s="115"/>
      <c r="L59" s="130" t="str">
        <f t="shared" si="15"/>
        <v/>
      </c>
      <c r="M59" s="178" t="str">
        <f t="shared" si="16"/>
        <v/>
      </c>
      <c r="N59" s="161" t="str">
        <f t="shared" si="17"/>
        <v/>
      </c>
      <c r="O59" s="161" t="str">
        <f t="shared" si="19"/>
        <v/>
      </c>
      <c r="P59" s="161" t="str">
        <f t="shared" si="18"/>
        <v/>
      </c>
      <c r="Q59" s="161" t="str">
        <f t="shared" si="20"/>
        <v/>
      </c>
      <c r="R59" s="161" t="str">
        <f t="shared" si="21"/>
        <v/>
      </c>
      <c r="S59" s="161" t="str">
        <f t="shared" si="22"/>
        <v/>
      </c>
      <c r="T59" s="114"/>
      <c r="U59" s="114"/>
      <c r="V59" s="115"/>
    </row>
    <row r="60" spans="5:22" x14ac:dyDescent="0.2">
      <c r="E60" s="155"/>
      <c r="G60" s="179">
        <v>30</v>
      </c>
      <c r="H60" s="180">
        <v>0.13</v>
      </c>
      <c r="I60" s="180">
        <v>0.13</v>
      </c>
      <c r="K60" s="115"/>
      <c r="L60" s="130" t="str">
        <f t="shared" si="15"/>
        <v/>
      </c>
      <c r="M60" s="178" t="str">
        <f t="shared" si="16"/>
        <v/>
      </c>
      <c r="N60" s="161" t="str">
        <f t="shared" si="17"/>
        <v/>
      </c>
      <c r="O60" s="161" t="str">
        <f t="shared" si="19"/>
        <v/>
      </c>
      <c r="P60" s="161" t="str">
        <f t="shared" si="18"/>
        <v/>
      </c>
      <c r="Q60" s="161" t="str">
        <f t="shared" si="20"/>
        <v/>
      </c>
      <c r="R60" s="161" t="str">
        <f t="shared" si="21"/>
        <v/>
      </c>
      <c r="S60" s="161" t="str">
        <f t="shared" si="22"/>
        <v/>
      </c>
      <c r="T60" s="114"/>
      <c r="U60" s="114"/>
      <c r="V60" s="115"/>
    </row>
    <row r="61" spans="5:22" x14ac:dyDescent="0.2">
      <c r="E61" s="156"/>
      <c r="K61" s="115"/>
      <c r="L61" s="130" t="str">
        <f t="shared" si="15"/>
        <v/>
      </c>
      <c r="M61" s="178" t="str">
        <f t="shared" si="16"/>
        <v/>
      </c>
      <c r="N61" s="161" t="str">
        <f t="shared" si="17"/>
        <v/>
      </c>
      <c r="O61" s="161" t="str">
        <f t="shared" si="19"/>
        <v/>
      </c>
      <c r="P61" s="161" t="str">
        <f t="shared" si="18"/>
        <v/>
      </c>
      <c r="Q61" s="161" t="str">
        <f t="shared" si="20"/>
        <v/>
      </c>
      <c r="R61" s="161" t="str">
        <f t="shared" si="21"/>
        <v/>
      </c>
      <c r="S61" s="161" t="str">
        <f t="shared" si="22"/>
        <v/>
      </c>
      <c r="T61" s="114"/>
      <c r="U61" s="114"/>
      <c r="V61" s="115"/>
    </row>
    <row r="62" spans="5:22" x14ac:dyDescent="0.2">
      <c r="G62" s="499" t="s">
        <v>240</v>
      </c>
      <c r="H62" s="501"/>
      <c r="K62" s="115"/>
      <c r="L62" s="130" t="str">
        <f t="shared" si="15"/>
        <v/>
      </c>
      <c r="M62" s="178" t="str">
        <f t="shared" si="16"/>
        <v/>
      </c>
      <c r="N62" s="161" t="str">
        <f t="shared" si="17"/>
        <v/>
      </c>
      <c r="O62" s="161" t="str">
        <f t="shared" si="19"/>
        <v/>
      </c>
      <c r="P62" s="161" t="str">
        <f t="shared" si="18"/>
        <v/>
      </c>
      <c r="Q62" s="161" t="str">
        <f t="shared" si="20"/>
        <v/>
      </c>
      <c r="R62" s="161" t="str">
        <f t="shared" si="21"/>
        <v/>
      </c>
      <c r="S62" s="161" t="str">
        <f t="shared" si="22"/>
        <v/>
      </c>
      <c r="T62" s="114"/>
      <c r="U62" s="114"/>
      <c r="V62" s="115"/>
    </row>
    <row r="63" spans="5:22" x14ac:dyDescent="0.2">
      <c r="G63" s="161" t="s">
        <v>241</v>
      </c>
      <c r="H63" s="130">
        <f ca="1">IF(AG11&gt;AH11,VAR(C9:C38)/VAR(D9:D38),VAR(D9:D38)/VAR(C9:C38))</f>
        <v>1.3213168727040694</v>
      </c>
      <c r="K63" s="115"/>
      <c r="L63" s="130" t="str">
        <f t="shared" si="15"/>
        <v/>
      </c>
      <c r="M63" s="178" t="str">
        <f t="shared" si="16"/>
        <v/>
      </c>
      <c r="N63" s="161" t="str">
        <f t="shared" si="17"/>
        <v/>
      </c>
      <c r="O63" s="161" t="str">
        <f t="shared" si="19"/>
        <v/>
      </c>
      <c r="P63" s="161" t="str">
        <f t="shared" si="18"/>
        <v/>
      </c>
      <c r="Q63" s="161" t="str">
        <f t="shared" si="20"/>
        <v/>
      </c>
      <c r="R63" s="161" t="str">
        <f t="shared" si="21"/>
        <v/>
      </c>
      <c r="S63" s="161" t="str">
        <f t="shared" si="22"/>
        <v/>
      </c>
      <c r="T63" s="114"/>
      <c r="U63" s="114"/>
      <c r="V63" s="115"/>
    </row>
    <row r="64" spans="5:22" x14ac:dyDescent="0.2">
      <c r="G64" s="151" t="s">
        <v>242</v>
      </c>
      <c r="H64" s="130">
        <f ca="1">IF(AG11&gt;AH11,FINV(0.05,AG8-1,AH8-1),FINV(0.05,AH8-1,AG8-1))</f>
        <v>3.17889310445827</v>
      </c>
      <c r="K64" s="115"/>
      <c r="L64" s="130" t="str">
        <f t="shared" si="15"/>
        <v/>
      </c>
      <c r="M64" s="178" t="str">
        <f t="shared" si="16"/>
        <v/>
      </c>
      <c r="N64" s="161" t="str">
        <f t="shared" si="17"/>
        <v/>
      </c>
      <c r="O64" s="161" t="str">
        <f t="shared" si="19"/>
        <v/>
      </c>
      <c r="P64" s="161" t="str">
        <f t="shared" si="18"/>
        <v/>
      </c>
      <c r="Q64" s="161" t="str">
        <f t="shared" si="20"/>
        <v/>
      </c>
      <c r="R64" s="161" t="str">
        <f t="shared" si="21"/>
        <v/>
      </c>
      <c r="S64" s="161" t="str">
        <f t="shared" si="22"/>
        <v/>
      </c>
      <c r="T64" s="114"/>
      <c r="U64" s="114"/>
      <c r="V64" s="115"/>
    </row>
    <row r="65" spans="6:22" x14ac:dyDescent="0.2">
      <c r="K65" s="115"/>
      <c r="L65" s="130" t="str">
        <f t="shared" si="15"/>
        <v/>
      </c>
      <c r="M65" s="178" t="str">
        <f t="shared" si="16"/>
        <v/>
      </c>
      <c r="N65" s="161" t="str">
        <f t="shared" si="17"/>
        <v/>
      </c>
      <c r="O65" s="161" t="str">
        <f t="shared" si="19"/>
        <v/>
      </c>
      <c r="P65" s="161" t="str">
        <f t="shared" si="18"/>
        <v/>
      </c>
      <c r="Q65" s="161" t="str">
        <f t="shared" si="20"/>
        <v/>
      </c>
      <c r="R65" s="161" t="str">
        <f t="shared" si="21"/>
        <v/>
      </c>
      <c r="S65" s="161" t="str">
        <f t="shared" si="22"/>
        <v/>
      </c>
      <c r="T65" s="114"/>
      <c r="U65" s="114"/>
      <c r="V65" s="115"/>
    </row>
    <row r="66" spans="6:22" x14ac:dyDescent="0.2">
      <c r="F66" s="157"/>
      <c r="K66" s="115"/>
      <c r="L66" s="130" t="str">
        <f t="shared" si="15"/>
        <v/>
      </c>
      <c r="M66" s="178" t="str">
        <f t="shared" si="16"/>
        <v/>
      </c>
      <c r="N66" s="161" t="str">
        <f t="shared" si="17"/>
        <v/>
      </c>
      <c r="O66" s="161" t="str">
        <f t="shared" si="19"/>
        <v/>
      </c>
      <c r="P66" s="161" t="str">
        <f t="shared" si="18"/>
        <v/>
      </c>
      <c r="Q66" s="161" t="str">
        <f t="shared" si="20"/>
        <v/>
      </c>
      <c r="R66" s="161" t="str">
        <f t="shared" si="21"/>
        <v/>
      </c>
      <c r="S66" s="161" t="str">
        <f t="shared" si="22"/>
        <v/>
      </c>
      <c r="T66" s="114"/>
      <c r="U66" s="114"/>
      <c r="V66" s="115"/>
    </row>
    <row r="67" spans="6:22" x14ac:dyDescent="0.2">
      <c r="F67" s="157"/>
      <c r="K67" s="115"/>
      <c r="L67" s="130" t="str">
        <f t="shared" si="15"/>
        <v/>
      </c>
      <c r="M67" s="178" t="str">
        <f t="shared" si="16"/>
        <v/>
      </c>
      <c r="N67" s="161" t="str">
        <f t="shared" si="17"/>
        <v/>
      </c>
      <c r="O67" s="161" t="str">
        <f t="shared" si="19"/>
        <v/>
      </c>
      <c r="P67" s="161" t="str">
        <f t="shared" si="18"/>
        <v/>
      </c>
      <c r="Q67" s="161" t="str">
        <f t="shared" si="20"/>
        <v/>
      </c>
      <c r="R67" s="161" t="str">
        <f t="shared" si="21"/>
        <v/>
      </c>
      <c r="S67" s="161" t="str">
        <f t="shared" si="22"/>
        <v/>
      </c>
      <c r="T67" s="115"/>
      <c r="U67" s="115"/>
      <c r="V67" s="168"/>
    </row>
    <row r="68" spans="6:22" x14ac:dyDescent="0.2">
      <c r="K68" s="115"/>
      <c r="L68" s="130" t="str">
        <f t="shared" si="15"/>
        <v/>
      </c>
      <c r="M68" s="178" t="str">
        <f t="shared" si="16"/>
        <v/>
      </c>
      <c r="N68" s="161" t="str">
        <f t="shared" si="17"/>
        <v/>
      </c>
      <c r="O68" s="161" t="str">
        <f t="shared" si="19"/>
        <v/>
      </c>
      <c r="P68" s="161" t="str">
        <f t="shared" si="18"/>
        <v/>
      </c>
      <c r="Q68" s="161" t="str">
        <f t="shared" si="20"/>
        <v/>
      </c>
      <c r="R68" s="161" t="str">
        <f t="shared" si="21"/>
        <v/>
      </c>
      <c r="S68" s="161" t="str">
        <f t="shared" si="22"/>
        <v/>
      </c>
      <c r="T68" s="114"/>
      <c r="U68" s="114"/>
      <c r="V68" s="168"/>
    </row>
    <row r="69" spans="6:22" x14ac:dyDescent="0.2">
      <c r="K69" s="115"/>
      <c r="L69" s="130" t="str">
        <f t="shared" si="15"/>
        <v/>
      </c>
      <c r="M69" s="178" t="str">
        <f t="shared" si="16"/>
        <v/>
      </c>
      <c r="N69" s="161" t="str">
        <f t="shared" si="17"/>
        <v/>
      </c>
      <c r="O69" s="161" t="str">
        <f t="shared" si="19"/>
        <v/>
      </c>
      <c r="P69" s="161" t="str">
        <f t="shared" si="18"/>
        <v/>
      </c>
      <c r="Q69" s="161" t="str">
        <f t="shared" si="20"/>
        <v/>
      </c>
      <c r="R69" s="161" t="str">
        <f t="shared" si="21"/>
        <v/>
      </c>
      <c r="S69" s="161" t="str">
        <f t="shared" si="22"/>
        <v/>
      </c>
      <c r="T69" s="115"/>
      <c r="U69" s="115"/>
      <c r="V69" s="168"/>
    </row>
    <row r="70" spans="6:22" x14ac:dyDescent="0.2">
      <c r="K70" s="115"/>
      <c r="L70" s="130" t="str">
        <f t="shared" si="15"/>
        <v/>
      </c>
      <c r="M70" s="178" t="str">
        <f t="shared" si="16"/>
        <v/>
      </c>
      <c r="N70" s="161" t="str">
        <f t="shared" si="17"/>
        <v/>
      </c>
      <c r="O70" s="161" t="str">
        <f t="shared" si="19"/>
        <v/>
      </c>
      <c r="P70" s="161" t="str">
        <f t="shared" si="18"/>
        <v/>
      </c>
      <c r="Q70" s="161" t="str">
        <f t="shared" si="20"/>
        <v/>
      </c>
      <c r="R70" s="161" t="str">
        <f t="shared" si="21"/>
        <v/>
      </c>
      <c r="S70" s="161" t="str">
        <f t="shared" si="22"/>
        <v/>
      </c>
      <c r="T70" s="115"/>
      <c r="U70" s="115"/>
      <c r="V70" s="168"/>
    </row>
    <row r="71" spans="6:22" x14ac:dyDescent="0.2">
      <c r="K71" s="115"/>
      <c r="L71" s="130" t="str">
        <f t="shared" si="15"/>
        <v/>
      </c>
      <c r="M71" s="178" t="str">
        <f t="shared" si="16"/>
        <v/>
      </c>
      <c r="N71" s="161" t="str">
        <f t="shared" si="17"/>
        <v/>
      </c>
      <c r="O71" s="161" t="str">
        <f t="shared" si="19"/>
        <v/>
      </c>
      <c r="P71" s="161" t="str">
        <f t="shared" si="18"/>
        <v/>
      </c>
      <c r="Q71" s="161" t="str">
        <f t="shared" si="20"/>
        <v/>
      </c>
      <c r="R71" s="161" t="str">
        <f t="shared" si="21"/>
        <v/>
      </c>
      <c r="S71" s="161" t="str">
        <f t="shared" si="22"/>
        <v/>
      </c>
      <c r="T71" s="115"/>
      <c r="U71" s="115"/>
      <c r="V71" s="168"/>
    </row>
    <row r="72" spans="6:22" ht="15" customHeight="1" x14ac:dyDescent="0.2">
      <c r="K72" s="115"/>
      <c r="L72" s="130" t="str">
        <f t="shared" si="15"/>
        <v/>
      </c>
      <c r="M72" s="178" t="str">
        <f t="shared" si="16"/>
        <v/>
      </c>
      <c r="N72" s="161" t="str">
        <f t="shared" si="17"/>
        <v/>
      </c>
      <c r="O72" s="161" t="str">
        <f t="shared" si="19"/>
        <v/>
      </c>
      <c r="P72" s="161" t="str">
        <f t="shared" si="18"/>
        <v/>
      </c>
      <c r="Q72" s="161" t="str">
        <f t="shared" si="20"/>
        <v/>
      </c>
      <c r="R72" s="161" t="str">
        <f t="shared" si="21"/>
        <v/>
      </c>
      <c r="S72" s="161" t="str">
        <f t="shared" si="22"/>
        <v/>
      </c>
      <c r="T72" s="115"/>
      <c r="U72" s="115"/>
      <c r="V72" s="168"/>
    </row>
    <row r="73" spans="6:22" x14ac:dyDescent="0.2">
      <c r="K73" s="115"/>
      <c r="L73" s="130" t="str">
        <f t="shared" si="15"/>
        <v/>
      </c>
      <c r="M73" s="178" t="str">
        <f t="shared" si="16"/>
        <v/>
      </c>
      <c r="N73" s="161" t="str">
        <f t="shared" si="17"/>
        <v/>
      </c>
      <c r="O73" s="161" t="str">
        <f t="shared" si="19"/>
        <v/>
      </c>
      <c r="P73" s="161" t="str">
        <f t="shared" si="18"/>
        <v/>
      </c>
      <c r="Q73" s="161" t="str">
        <f t="shared" si="20"/>
        <v/>
      </c>
      <c r="R73" s="161" t="str">
        <f t="shared" si="21"/>
        <v/>
      </c>
      <c r="S73" s="161" t="str">
        <f t="shared" si="22"/>
        <v/>
      </c>
      <c r="T73" s="116"/>
      <c r="U73" s="116"/>
      <c r="V73" s="116"/>
    </row>
    <row r="74" spans="6:22" ht="15" customHeight="1" x14ac:dyDescent="0.2">
      <c r="K74" s="115"/>
      <c r="L74" s="130" t="str">
        <f t="shared" si="15"/>
        <v/>
      </c>
      <c r="M74" s="178" t="str">
        <f t="shared" si="16"/>
        <v/>
      </c>
      <c r="N74" s="161" t="str">
        <f t="shared" si="17"/>
        <v/>
      </c>
      <c r="O74" s="161" t="str">
        <f t="shared" si="19"/>
        <v/>
      </c>
      <c r="P74" s="161" t="str">
        <f t="shared" si="18"/>
        <v/>
      </c>
      <c r="Q74" s="161" t="str">
        <f t="shared" si="20"/>
        <v/>
      </c>
      <c r="R74" s="161" t="str">
        <f t="shared" si="21"/>
        <v/>
      </c>
      <c r="S74" s="161" t="str">
        <f t="shared" si="22"/>
        <v/>
      </c>
      <c r="T74" s="116"/>
      <c r="U74" s="116"/>
      <c r="V74" s="116"/>
    </row>
    <row r="75" spans="6:22" x14ac:dyDescent="0.2">
      <c r="K75" s="115"/>
      <c r="L75" s="130" t="str">
        <f t="shared" si="15"/>
        <v/>
      </c>
      <c r="M75" s="178" t="str">
        <f t="shared" si="16"/>
        <v/>
      </c>
      <c r="N75" s="161" t="str">
        <f t="shared" si="17"/>
        <v/>
      </c>
      <c r="O75" s="161" t="str">
        <f t="shared" si="19"/>
        <v/>
      </c>
      <c r="P75" s="161" t="str">
        <f t="shared" si="18"/>
        <v/>
      </c>
      <c r="Q75" s="161" t="str">
        <f t="shared" si="20"/>
        <v/>
      </c>
      <c r="R75" s="161" t="str">
        <f t="shared" si="21"/>
        <v/>
      </c>
      <c r="S75" s="161" t="str">
        <f t="shared" si="22"/>
        <v/>
      </c>
      <c r="T75" s="116"/>
      <c r="U75" s="116"/>
      <c r="V75" s="116"/>
    </row>
    <row r="76" spans="6:22" x14ac:dyDescent="0.2">
      <c r="K76" s="115"/>
      <c r="L76" s="130" t="str">
        <f t="shared" si="15"/>
        <v/>
      </c>
      <c r="M76" s="178" t="str">
        <f t="shared" si="16"/>
        <v/>
      </c>
      <c r="N76" s="161" t="str">
        <f t="shared" si="17"/>
        <v/>
      </c>
      <c r="O76" s="161" t="str">
        <f t="shared" si="19"/>
        <v/>
      </c>
      <c r="P76" s="161" t="str">
        <f t="shared" si="18"/>
        <v/>
      </c>
      <c r="Q76" s="161" t="str">
        <f t="shared" si="20"/>
        <v/>
      </c>
      <c r="R76" s="161" t="str">
        <f t="shared" si="21"/>
        <v/>
      </c>
      <c r="S76" s="161" t="str">
        <f t="shared" si="22"/>
        <v/>
      </c>
      <c r="T76" s="116"/>
      <c r="U76" s="116"/>
      <c r="V76" s="116"/>
    </row>
    <row r="77" spans="6:22" x14ac:dyDescent="0.2">
      <c r="K77" s="115"/>
      <c r="L77" s="130" t="str">
        <f t="shared" si="15"/>
        <v/>
      </c>
      <c r="M77" s="178" t="str">
        <f t="shared" si="16"/>
        <v/>
      </c>
      <c r="N77" s="161" t="str">
        <f t="shared" si="17"/>
        <v/>
      </c>
      <c r="O77" s="161" t="str">
        <f t="shared" si="19"/>
        <v/>
      </c>
      <c r="P77" s="161" t="str">
        <f t="shared" si="18"/>
        <v/>
      </c>
      <c r="Q77" s="161" t="str">
        <f t="shared" si="20"/>
        <v/>
      </c>
      <c r="R77" s="161" t="str">
        <f t="shared" si="21"/>
        <v/>
      </c>
      <c r="S77" s="161" t="str">
        <f t="shared" si="22"/>
        <v/>
      </c>
      <c r="T77" s="116"/>
      <c r="U77" s="116"/>
      <c r="V77" s="116"/>
    </row>
    <row r="78" spans="6:22" x14ac:dyDescent="0.2">
      <c r="K78" s="115"/>
      <c r="L78" s="130" t="str">
        <f t="shared" si="15"/>
        <v/>
      </c>
      <c r="M78" s="178" t="str">
        <f t="shared" si="16"/>
        <v/>
      </c>
      <c r="N78" s="161" t="str">
        <f t="shared" si="17"/>
        <v/>
      </c>
      <c r="O78" s="161" t="str">
        <f t="shared" si="19"/>
        <v/>
      </c>
      <c r="P78" s="161" t="str">
        <f t="shared" si="18"/>
        <v/>
      </c>
      <c r="Q78" s="161" t="str">
        <f t="shared" si="20"/>
        <v/>
      </c>
      <c r="R78" s="161" t="str">
        <f t="shared" si="21"/>
        <v/>
      </c>
      <c r="S78" s="161" t="str">
        <f t="shared" si="22"/>
        <v/>
      </c>
      <c r="T78" s="116"/>
      <c r="U78" s="116"/>
      <c r="V78" s="116"/>
    </row>
    <row r="79" spans="6:22" x14ac:dyDescent="0.2">
      <c r="M79" s="115"/>
      <c r="N79" s="172"/>
      <c r="O79" s="172"/>
      <c r="P79" s="172"/>
      <c r="Q79" s="172"/>
      <c r="R79" s="172"/>
      <c r="S79" s="172"/>
      <c r="T79" s="116"/>
      <c r="U79" s="116"/>
      <c r="V79" s="116"/>
    </row>
    <row r="80" spans="6:22" x14ac:dyDescent="0.2">
      <c r="M80" s="457" t="s">
        <v>231</v>
      </c>
      <c r="N80" s="457"/>
      <c r="O80" s="457"/>
      <c r="P80" s="457"/>
      <c r="Q80" s="116"/>
      <c r="R80" s="496" t="s">
        <v>232</v>
      </c>
      <c r="S80" s="496"/>
      <c r="T80" s="496"/>
      <c r="U80" s="496"/>
      <c r="V80" s="496"/>
    </row>
    <row r="81" spans="2:22" x14ac:dyDescent="0.2">
      <c r="M81" s="128" t="s">
        <v>66</v>
      </c>
      <c r="N81" s="128" t="s">
        <v>114</v>
      </c>
      <c r="O81" s="128" t="s">
        <v>67</v>
      </c>
      <c r="P81" s="128" t="s">
        <v>68</v>
      </c>
      <c r="R81" s="173"/>
      <c r="S81" s="174" t="s">
        <v>233</v>
      </c>
      <c r="T81" s="175" t="s">
        <v>69</v>
      </c>
      <c r="U81" s="128" t="s">
        <v>60</v>
      </c>
      <c r="V81" s="128" t="s">
        <v>61</v>
      </c>
    </row>
    <row r="82" spans="2:22" x14ac:dyDescent="0.2">
      <c r="M82" s="176">
        <f ca="1">V49*(SQRT(COUNT(H49:H78))-0.01+0.85/SQRT(COUNT(H49:H78)))</f>
        <v>0.49172809518693811</v>
      </c>
      <c r="N82" s="177">
        <v>0.05</v>
      </c>
      <c r="O82" s="128">
        <v>0.89500000000000002</v>
      </c>
      <c r="P82" s="128" t="str">
        <f ca="1">IF(M82&lt;=O82,"oui","non")</f>
        <v>oui</v>
      </c>
      <c r="R82" s="151" t="s">
        <v>71</v>
      </c>
      <c r="S82" s="130">
        <f ca="1">MAX(H49:H78)</f>
        <v>3.17889310445827</v>
      </c>
      <c r="T82" s="133">
        <f ca="1">((MAX(H49:H78)-AVERAGE(H49:H78))/STDEV(H49:H78))</f>
        <v>2.4662781243461596</v>
      </c>
      <c r="U82" s="497">
        <f ca="1">IF(COUNT(H49:H78)=12,2.285,IF(COUNT(H49:H78)=13,2.331,IF(COUNT(H49:H78)=14,2.409,IF(COUNT(H49:H78)=15,2.409,IF(COUNT(H49:H78)&lt;21,2.557,IF(COUNT(H49:H78)&lt;26,2.663,IF(COUNT(H49:H78)&lt;31,2.745,"")))))))</f>
        <v>2.5569999999999999</v>
      </c>
      <c r="V82" s="497" t="str">
        <f ca="1">IF(COUNT(H49:H78)=12,"2.55",IF(COUNT(H49:H78)=13,"2.607",IF(COUNT(H49:H78)=14,"2.705",IF(COUNT(H49:H78)=15,"2.705",IF(COUNT(H49:H78)&lt;21,"2.884",IF(COUNT(H49:H78)&lt;26,"3.009",IF(COUNT(H49:H78)&lt;31,"3.103","")))))))</f>
        <v>2.884</v>
      </c>
    </row>
    <row r="83" spans="2:22" x14ac:dyDescent="0.2">
      <c r="M83" s="152"/>
      <c r="N83" s="177">
        <v>0.01</v>
      </c>
      <c r="O83" s="128">
        <v>1.0349999999999999</v>
      </c>
      <c r="P83" s="128" t="str">
        <f ca="1">IF(M82&lt;=O83,"oui","non")</f>
        <v>oui</v>
      </c>
      <c r="R83" s="151" t="s">
        <v>73</v>
      </c>
      <c r="S83" s="130">
        <f ca="1">MIN(H49:H78)</f>
        <v>0.13</v>
      </c>
      <c r="T83" s="133">
        <f ca="1">(ABS((MIN(H49:H78)-AVERAGE(H49:H78))/STDEV(H49:H78)))</f>
        <v>0.67848518042714034</v>
      </c>
      <c r="U83" s="497"/>
      <c r="V83" s="497"/>
    </row>
    <row r="84" spans="2:22" x14ac:dyDescent="0.2">
      <c r="B84" s="153"/>
      <c r="C84" s="157"/>
      <c r="M84" s="498" t="s">
        <v>234</v>
      </c>
      <c r="N84" s="498"/>
      <c r="O84" s="498"/>
      <c r="P84" s="498"/>
      <c r="R84" s="499" t="s">
        <v>235</v>
      </c>
      <c r="S84" s="500"/>
      <c r="T84" s="500"/>
      <c r="U84" s="500"/>
      <c r="V84" s="501"/>
    </row>
    <row r="85" spans="2:22" x14ac:dyDescent="0.2">
      <c r="B85" s="153"/>
      <c r="C85" s="157"/>
    </row>
    <row r="86" spans="2:22" x14ac:dyDescent="0.2">
      <c r="B86" s="153"/>
      <c r="C86" s="157"/>
    </row>
    <row r="87" spans="2:22" x14ac:dyDescent="0.2">
      <c r="B87" s="153"/>
      <c r="C87" s="157"/>
    </row>
    <row r="88" spans="2:22" x14ac:dyDescent="0.2">
      <c r="B88" s="153"/>
    </row>
    <row r="89" spans="2:22" x14ac:dyDescent="0.2">
      <c r="B89" s="153"/>
    </row>
    <row r="90" spans="2:22" x14ac:dyDescent="0.2">
      <c r="B90" s="115"/>
    </row>
    <row r="100" spans="11:11" x14ac:dyDescent="0.2">
      <c r="K100" s="74">
        <v>0</v>
      </c>
    </row>
  </sheetData>
  <protectedRanges>
    <protectedRange sqref="K72:K78 K48:K68 C29:D38" name="Plage3"/>
    <protectedRange sqref="D9:D28" name="Plage3_1"/>
  </protectedRanges>
  <mergeCells count="43">
    <mergeCell ref="M84:P84"/>
    <mergeCell ref="R84:V84"/>
    <mergeCell ref="L47:U47"/>
    <mergeCell ref="G52:I52"/>
    <mergeCell ref="G62:H62"/>
    <mergeCell ref="M80:P80"/>
    <mergeCell ref="R80:V80"/>
    <mergeCell ref="U82:U83"/>
    <mergeCell ref="V82:V83"/>
    <mergeCell ref="O44:O45"/>
    <mergeCell ref="P44:P45"/>
    <mergeCell ref="AA44:AA45"/>
    <mergeCell ref="AB44:AB45"/>
    <mergeCell ref="G46:J46"/>
    <mergeCell ref="L46:P46"/>
    <mergeCell ref="X46:AB46"/>
    <mergeCell ref="AG36:AH36"/>
    <mergeCell ref="AG37:AH37"/>
    <mergeCell ref="AG38:AH38"/>
    <mergeCell ref="G42:J42"/>
    <mergeCell ref="L42:P42"/>
    <mergeCell ref="S42:V42"/>
    <mergeCell ref="X42:AB42"/>
    <mergeCell ref="AG35:AH35"/>
    <mergeCell ref="AG15:AH15"/>
    <mergeCell ref="AK16:AL16"/>
    <mergeCell ref="AF17:AH17"/>
    <mergeCell ref="AH19:AH21"/>
    <mergeCell ref="AF24:AH24"/>
    <mergeCell ref="AF31:AH31"/>
    <mergeCell ref="AG32:AH32"/>
    <mergeCell ref="AG33:AH33"/>
    <mergeCell ref="AG34:AH34"/>
    <mergeCell ref="AK19:AL19"/>
    <mergeCell ref="AJ18:AL18"/>
    <mergeCell ref="AK20:AL20"/>
    <mergeCell ref="AL9:AL14"/>
    <mergeCell ref="AG10:AH10"/>
    <mergeCell ref="C7:D7"/>
    <mergeCell ref="G7:P7"/>
    <mergeCell ref="R7:AA7"/>
    <mergeCell ref="AF7:AH7"/>
    <mergeCell ref="AJ7:AL7"/>
  </mergeCells>
  <conditionalFormatting sqref="J44:J45">
    <cfRule type="cellIs" dxfId="24" priority="16" stopIfTrue="1" operator="equal">
      <formula>"oui"</formula>
    </cfRule>
    <cfRule type="cellIs" dxfId="23" priority="17" stopIfTrue="1" operator="equal">
      <formula>"non"</formula>
    </cfRule>
  </conditionalFormatting>
  <conditionalFormatting sqref="P82:P83">
    <cfRule type="cellIs" dxfId="22" priority="7" stopIfTrue="1" operator="equal">
      <formula>"oui"</formula>
    </cfRule>
    <cfRule type="cellIs" dxfId="21" priority="8" stopIfTrue="1" operator="equal">
      <formula>"non"</formula>
    </cfRule>
  </conditionalFormatting>
  <conditionalFormatting sqref="V44:V45">
    <cfRule type="cellIs" dxfId="20" priority="14" stopIfTrue="1" operator="equal">
      <formula>"oui"</formula>
    </cfRule>
    <cfRule type="cellIs" dxfId="19" priority="15" stopIfTrue="1" operator="equal">
      <formula>"non"</formula>
    </cfRule>
  </conditionalFormatting>
  <conditionalFormatting sqref="AG12:AH14">
    <cfRule type="cellIs" dxfId="18" priority="2" operator="equal">
      <formula>"OK"</formula>
    </cfRule>
  </conditionalFormatting>
  <conditionalFormatting sqref="AK9">
    <cfRule type="cellIs" dxfId="17" priority="5" operator="equal">
      <formula>"no"</formula>
    </cfRule>
    <cfRule type="containsText" dxfId="16" priority="6" operator="containsText" text="non">
      <formula>NOT(ISERROR(SEARCH("non",AK9)))</formula>
    </cfRule>
  </conditionalFormatting>
  <conditionalFormatting sqref="AK15 AG22 AG29">
    <cfRule type="cellIs" dxfId="15" priority="1" operator="equal">
      <formula>"H0 accepted"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J80"/>
  <sheetViews>
    <sheetView showGridLines="0" topLeftCell="A3" zoomScaleNormal="100" workbookViewId="0">
      <selection activeCell="E16" sqref="E16"/>
    </sheetView>
  </sheetViews>
  <sheetFormatPr baseColWidth="10" defaultColWidth="11.42578125" defaultRowHeight="12.75" x14ac:dyDescent="0.2"/>
  <cols>
    <col min="1" max="1" width="9.140625" style="260" customWidth="1"/>
    <col min="2" max="2" width="3.28515625" style="260" bestFit="1" customWidth="1"/>
    <col min="3" max="3" width="11.42578125" style="260"/>
    <col min="4" max="4" width="12.5703125" style="260" bestFit="1" customWidth="1"/>
    <col min="5" max="10" width="11.42578125" style="260"/>
    <col min="11" max="11" width="13.28515625" style="260" customWidth="1"/>
    <col min="12" max="12" width="14.140625" style="260" bestFit="1" customWidth="1"/>
    <col min="13" max="13" width="12.42578125" style="260" customWidth="1"/>
    <col min="14" max="15" width="11.42578125" style="260"/>
    <col min="16" max="16" width="11.85546875" style="260" customWidth="1"/>
    <col min="17" max="16384" width="11.42578125" style="260"/>
  </cols>
  <sheetData>
    <row r="1" spans="2:36" ht="13.5" thickBot="1" x14ac:dyDescent="0.25"/>
    <row r="2" spans="2:36" x14ac:dyDescent="0.2">
      <c r="C2" s="510" t="s">
        <v>333</v>
      </c>
      <c r="D2" s="511"/>
      <c r="E2" s="511"/>
      <c r="F2" s="511"/>
      <c r="G2" s="511"/>
      <c r="H2" s="511"/>
      <c r="I2" s="511"/>
      <c r="J2" s="511"/>
      <c r="K2" s="511"/>
      <c r="L2" s="511"/>
      <c r="M2" s="511"/>
      <c r="N2" s="511"/>
      <c r="O2" s="512"/>
      <c r="P2" s="293"/>
      <c r="Q2" s="293"/>
      <c r="R2" s="293"/>
      <c r="S2" s="293"/>
      <c r="T2" s="293"/>
      <c r="U2" s="293"/>
      <c r="V2" s="293"/>
      <c r="W2" s="293"/>
      <c r="X2" s="293"/>
      <c r="Y2" s="293"/>
      <c r="Z2" s="293"/>
      <c r="AA2" s="293"/>
      <c r="AB2" s="293"/>
      <c r="AC2" s="293"/>
    </row>
    <row r="3" spans="2:36" ht="13.5" thickBot="1" x14ac:dyDescent="0.25">
      <c r="C3" s="513"/>
      <c r="D3" s="514"/>
      <c r="E3" s="514"/>
      <c r="F3" s="514"/>
      <c r="G3" s="514"/>
      <c r="H3" s="514"/>
      <c r="I3" s="514"/>
      <c r="J3" s="514"/>
      <c r="K3" s="514"/>
      <c r="L3" s="514"/>
      <c r="M3" s="514"/>
      <c r="N3" s="514"/>
      <c r="O3" s="515"/>
      <c r="P3" s="293"/>
      <c r="Q3" s="293"/>
      <c r="R3" s="293"/>
      <c r="S3" s="293"/>
      <c r="T3" s="293"/>
      <c r="U3" s="293"/>
      <c r="V3" s="293"/>
      <c r="W3" s="293"/>
      <c r="X3" s="293"/>
      <c r="Y3" s="293"/>
      <c r="Z3" s="293"/>
      <c r="AA3" s="293"/>
      <c r="AB3" s="293"/>
      <c r="AC3" s="293"/>
    </row>
    <row r="4" spans="2:36" x14ac:dyDescent="0.2">
      <c r="C4" s="311"/>
      <c r="D4" s="311"/>
      <c r="E4" s="311"/>
      <c r="F4" s="311"/>
      <c r="G4" s="311"/>
      <c r="H4" s="311"/>
      <c r="I4" s="311"/>
      <c r="J4" s="311"/>
      <c r="K4" s="311"/>
      <c r="L4" s="311"/>
      <c r="M4" s="311"/>
      <c r="P4" s="293"/>
      <c r="Q4" s="293"/>
      <c r="R4" s="293"/>
      <c r="S4" s="293"/>
      <c r="T4" s="293"/>
      <c r="U4" s="293"/>
      <c r="V4" s="293"/>
      <c r="W4" s="293"/>
      <c r="X4" s="293"/>
      <c r="Y4" s="293"/>
      <c r="Z4" s="293"/>
      <c r="AA4" s="293"/>
      <c r="AB4" s="293"/>
      <c r="AC4" s="293"/>
    </row>
    <row r="5" spans="2:36" ht="12.75" customHeight="1" x14ac:dyDescent="0.2">
      <c r="C5" s="274" t="s">
        <v>457</v>
      </c>
      <c r="D5" s="312"/>
      <c r="E5" s="312"/>
      <c r="F5" s="312"/>
      <c r="G5" s="312"/>
      <c r="H5" s="312"/>
      <c r="I5" s="312"/>
      <c r="J5" s="312"/>
      <c r="K5" s="312"/>
      <c r="L5" s="312"/>
      <c r="M5" s="312"/>
      <c r="P5" s="299"/>
      <c r="Q5" s="503">
        <v>1</v>
      </c>
      <c r="R5" s="503"/>
      <c r="S5" s="503">
        <v>2</v>
      </c>
      <c r="T5" s="503"/>
      <c r="U5" s="503">
        <v>3</v>
      </c>
      <c r="V5" s="503"/>
      <c r="W5" s="503">
        <v>4</v>
      </c>
      <c r="X5" s="503"/>
      <c r="Y5" s="503">
        <v>5</v>
      </c>
      <c r="Z5" s="503"/>
      <c r="AA5" s="503">
        <v>6</v>
      </c>
      <c r="AB5" s="503"/>
      <c r="AC5" s="293"/>
    </row>
    <row r="6" spans="2:36" ht="12.75" customHeight="1" x14ac:dyDescent="0.2">
      <c r="C6" s="274" t="s">
        <v>458</v>
      </c>
      <c r="D6" s="312"/>
      <c r="E6" s="312"/>
      <c r="F6" s="312"/>
      <c r="G6" s="312"/>
      <c r="H6" s="312"/>
      <c r="I6" s="312"/>
      <c r="J6" s="312"/>
      <c r="K6" s="312"/>
      <c r="L6" s="312"/>
      <c r="M6" s="312"/>
      <c r="P6" s="299">
        <v>-3</v>
      </c>
      <c r="Q6" s="304">
        <f ca="1">D$29+P6*SQRT(D$30)</f>
        <v>-0.45984443238832989</v>
      </c>
      <c r="R6" s="306">
        <f ca="1">NORMDIST(Q6,D$29,SQRT(D$30),0)</f>
        <v>1.4091909264049586E-2</v>
      </c>
      <c r="S6" s="304">
        <f ca="1">E$29+$P6*SQRT(E$30)</f>
        <v>-0.14536184028308485</v>
      </c>
      <c r="T6" s="306">
        <f ca="1">IF(ISNUMBER(E$10),NORMDIST(S6,E$29,SQRT(E$30),0),"")</f>
        <v>1.8192216138047904E-2</v>
      </c>
      <c r="U6" s="304">
        <f ca="1">F$29+$P6*SQRT(F$30)</f>
        <v>-0.35197393231166979</v>
      </c>
      <c r="V6" s="306">
        <f ca="1">IF(ISNUMBER(F$10),NORMDIST(U6,F$29,SQRT(F$30),0),"")</f>
        <v>1.7144766986200717E-2</v>
      </c>
      <c r="W6" s="304">
        <f ca="1">G$29+$P6*SQRT(G$30)</f>
        <v>-0.54649546794795911</v>
      </c>
      <c r="X6" s="306">
        <f ca="1">IF(ISNUMBER(G$10),NORMDIST(W6,G$29,SQRT(G$30),0),"")</f>
        <v>1.1909535642531255E-2</v>
      </c>
      <c r="Y6" s="304">
        <f ca="1">H$29+$P6*SQRT(H$30)</f>
        <v>-0.31121104439377673</v>
      </c>
      <c r="Z6" s="306">
        <f ca="1">IF(ISNUMBER(H$10),NORMDIST(Y6,H$29,SQRT(H$30),0),"")</f>
        <v>1.729585878461903E-2</v>
      </c>
      <c r="AA6" s="304">
        <f ca="1">I$29+$P6*SQRT(I$30)</f>
        <v>0.52263765368707837</v>
      </c>
      <c r="AB6" s="306">
        <f ca="1">IF(ISNUMBER(I$10),NORMDIST(AA6,I$29,SQRT(I$30),0),"")</f>
        <v>1.5059033294670838E-2</v>
      </c>
      <c r="AC6" s="293"/>
      <c r="AD6" s="286"/>
      <c r="AE6" s="284"/>
      <c r="AF6" s="286"/>
      <c r="AG6" s="284"/>
      <c r="AH6" s="286"/>
      <c r="AI6" s="284"/>
      <c r="AJ6" s="286"/>
    </row>
    <row r="7" spans="2:36" ht="12.75" customHeight="1" x14ac:dyDescent="0.2">
      <c r="C7" s="274"/>
      <c r="D7" s="312"/>
      <c r="E7" s="312"/>
      <c r="F7" s="312"/>
      <c r="G7" s="312"/>
      <c r="H7" s="312"/>
      <c r="I7" s="312"/>
      <c r="J7" s="312"/>
      <c r="K7" s="312"/>
      <c r="L7" s="312"/>
      <c r="M7" s="312"/>
      <c r="P7" s="299"/>
      <c r="Q7" s="304"/>
      <c r="R7" s="306"/>
      <c r="S7" s="304"/>
      <c r="T7" s="306"/>
      <c r="U7" s="304"/>
      <c r="V7" s="306"/>
      <c r="W7" s="304"/>
      <c r="X7" s="306"/>
      <c r="Y7" s="304"/>
      <c r="Z7" s="306"/>
      <c r="AA7" s="304"/>
      <c r="AB7" s="306"/>
      <c r="AC7" s="293"/>
      <c r="AD7" s="286"/>
      <c r="AE7" s="284"/>
      <c r="AF7" s="286"/>
      <c r="AG7" s="284"/>
      <c r="AH7" s="286"/>
      <c r="AI7" s="284"/>
      <c r="AJ7" s="286"/>
    </row>
    <row r="8" spans="2:36" ht="15" x14ac:dyDescent="0.2">
      <c r="D8" s="509" t="s">
        <v>336</v>
      </c>
      <c r="E8" s="509"/>
      <c r="F8" s="509"/>
      <c r="G8" s="509"/>
      <c r="H8" s="509"/>
      <c r="I8" s="509"/>
      <c r="J8" s="262"/>
      <c r="K8" s="262"/>
      <c r="L8" s="262"/>
      <c r="M8" s="262"/>
      <c r="N8" s="262"/>
      <c r="P8" s="299">
        <v>-2.9</v>
      </c>
      <c r="Q8" s="304">
        <f t="shared" ref="Q8:Q40" ca="1" si="0">D$29+P8*SQRT(D$30)</f>
        <v>-0.42839483724195554</v>
      </c>
      <c r="R8" s="306">
        <f t="shared" ref="R8:R40" ca="1" si="1">NORMDIST(Q8,D$29,SQRT(D$30),0)</f>
        <v>1.8927214776760327E-2</v>
      </c>
      <c r="S8" s="304">
        <f t="shared" ref="S8:S39" ca="1" si="2">E$29+$P8*SQRT(E$30)</f>
        <v>-0.12100060590510786</v>
      </c>
      <c r="T8" s="306">
        <f t="shared" ref="T8:T38" ca="1" si="3">NORMDIST(S8,E$29,SQRT(E$30),0)</f>
        <v>2.4434445017929955E-2</v>
      </c>
      <c r="U8" s="304">
        <f t="shared" ref="U8:U41" ca="1" si="4">F$29+$P8*SQRT(F$30)</f>
        <v>-0.32612436307864917</v>
      </c>
      <c r="V8" s="306">
        <f t="shared" ref="V8:V67" ca="1" si="5">IF(ISNUMBER(F$10),NORMDIST(U8,F$29,SQRT(F$30),0),"")</f>
        <v>2.3027588452700462E-2</v>
      </c>
      <c r="W8" s="304">
        <f t="shared" ref="W8:W41" ca="1" si="6">G$29+$P8*SQRT(G$30)</f>
        <v>-0.50928286331784223</v>
      </c>
      <c r="X8" s="306">
        <f t="shared" ref="X8:X67" ca="1" si="7">IF(ISNUMBER(G$10),NORMDIST(W8,G$29,SQRT(G$30),0),"")</f>
        <v>1.5996011241197417E-2</v>
      </c>
      <c r="Y8" s="304">
        <f t="shared" ref="Y8:Y41" ca="1" si="8">H$29+$P8*SQRT(H$30)</f>
        <v>-0.28558728978796794</v>
      </c>
      <c r="Z8" s="306">
        <f t="shared" ref="Z8:Z67" ca="1" si="9">IF(ISNUMBER(H$10),NORMDIST(Y8,H$29,SQRT(H$30),0),"")</f>
        <v>2.323052382973741E-2</v>
      </c>
      <c r="AA8" s="304">
        <f t="shared" ref="AA8:AA41" ca="1" si="10">I$29+$P8*SQRT(I$30)</f>
        <v>0.55206748709814057</v>
      </c>
      <c r="AB8" s="306">
        <f t="shared" ref="AB8:AB67" ca="1" si="11">IF(ISNUMBER(I$10),NORMDIST(AA8,I$29,SQRT(I$30),0),"")</f>
        <v>2.0226184554406647E-2</v>
      </c>
      <c r="AC8" s="293"/>
      <c r="AD8" s="286"/>
      <c r="AE8" s="284"/>
      <c r="AF8" s="286"/>
      <c r="AG8" s="284"/>
      <c r="AH8" s="286"/>
      <c r="AI8" s="284"/>
      <c r="AJ8" s="286"/>
    </row>
    <row r="9" spans="2:36" x14ac:dyDescent="0.2">
      <c r="D9" s="287">
        <v>1</v>
      </c>
      <c r="E9" s="289">
        <v>2</v>
      </c>
      <c r="F9" s="290">
        <v>3</v>
      </c>
      <c r="G9" s="288">
        <v>4</v>
      </c>
      <c r="H9" s="291">
        <v>5</v>
      </c>
      <c r="I9" s="292">
        <v>6</v>
      </c>
      <c r="J9" s="264"/>
      <c r="K9" s="264"/>
      <c r="L9" s="264"/>
      <c r="M9" s="264"/>
      <c r="N9" s="264"/>
      <c r="P9" s="299">
        <v>-2.8</v>
      </c>
      <c r="Q9" s="304">
        <f t="shared" ca="1" si="0"/>
        <v>-0.39694524209558119</v>
      </c>
      <c r="R9" s="306">
        <f t="shared" ca="1" si="1"/>
        <v>2.5168691508235554E-2</v>
      </c>
      <c r="S9" s="304">
        <f t="shared" ca="1" si="2"/>
        <v>-9.6639371527130757E-2</v>
      </c>
      <c r="T9" s="306">
        <f t="shared" ca="1" si="3"/>
        <v>3.2491997163065202E-2</v>
      </c>
      <c r="U9" s="304">
        <f t="shared" ca="1" si="4"/>
        <v>-0.30027479384562855</v>
      </c>
      <c r="V9" s="306">
        <f t="shared" ca="1" si="5"/>
        <v>3.0621212723609615E-2</v>
      </c>
      <c r="W9" s="304">
        <f t="shared" ca="1" si="6"/>
        <v>-0.47207025868772512</v>
      </c>
      <c r="X9" s="306">
        <f t="shared" ca="1" si="7"/>
        <v>2.1270888349948627E-2</v>
      </c>
      <c r="Y9" s="304">
        <f t="shared" ca="1" si="8"/>
        <v>-0.25996353518215903</v>
      </c>
      <c r="Z9" s="306">
        <f t="shared" ca="1" si="9"/>
        <v>3.0891068482155868E-2</v>
      </c>
      <c r="AA9" s="304">
        <f t="shared" ca="1" si="10"/>
        <v>0.58149732050920266</v>
      </c>
      <c r="AB9" s="306">
        <f t="shared" ca="1" si="11"/>
        <v>2.6896012194227024E-2</v>
      </c>
      <c r="AC9" s="293"/>
      <c r="AD9" s="286"/>
      <c r="AE9" s="284"/>
      <c r="AF9" s="286"/>
      <c r="AG9" s="284"/>
      <c r="AH9" s="286"/>
      <c r="AI9" s="284"/>
      <c r="AJ9" s="286"/>
    </row>
    <row r="10" spans="2:36" x14ac:dyDescent="0.2">
      <c r="B10" s="506" t="s">
        <v>350</v>
      </c>
      <c r="C10" s="263">
        <v>1</v>
      </c>
      <c r="D10" s="270">
        <f ca="1">RAND()</f>
        <v>0.10319215800573511</v>
      </c>
      <c r="E10" s="270">
        <f t="shared" ref="E10:H10" ca="1" si="12">RAND()</f>
        <v>0.62969539331136259</v>
      </c>
      <c r="F10" s="270">
        <f t="shared" ca="1" si="12"/>
        <v>0.44230888751868591</v>
      </c>
      <c r="G10" s="270">
        <f t="shared" ca="1" si="12"/>
        <v>9.6343416356360123E-2</v>
      </c>
      <c r="H10" s="270">
        <f t="shared" ca="1" si="12"/>
        <v>0.60415014310882242</v>
      </c>
      <c r="I10" s="270">
        <f ca="1">RAND()+1</f>
        <v>1.8562770489784739</v>
      </c>
      <c r="O10" s="258"/>
      <c r="P10" s="299">
        <v>-2.7</v>
      </c>
      <c r="Q10" s="304">
        <f t="shared" ca="1" si="0"/>
        <v>-0.36549564694920705</v>
      </c>
      <c r="R10" s="306">
        <f t="shared" ca="1" si="1"/>
        <v>3.3135354416872299E-2</v>
      </c>
      <c r="S10" s="304">
        <f t="shared" ca="1" si="2"/>
        <v>-7.2278137149153765E-2</v>
      </c>
      <c r="T10" s="306">
        <f t="shared" ca="1" si="3"/>
        <v>4.2776710952887029E-2</v>
      </c>
      <c r="U10" s="304">
        <f t="shared" ca="1" si="4"/>
        <v>-0.27442522461260815</v>
      </c>
      <c r="V10" s="306">
        <f t="shared" ca="1" si="5"/>
        <v>4.0313765852278728E-2</v>
      </c>
      <c r="W10" s="304">
        <f t="shared" ca="1" si="6"/>
        <v>-0.43485765405760846</v>
      </c>
      <c r="X10" s="306">
        <f t="shared" ca="1" si="7"/>
        <v>2.8003776994391636E-2</v>
      </c>
      <c r="Y10" s="304">
        <f t="shared" ca="1" si="8"/>
        <v>-0.23433978057635035</v>
      </c>
      <c r="Z10" s="306">
        <f t="shared" ca="1" si="9"/>
        <v>4.066903923619454E-2</v>
      </c>
      <c r="AA10" s="304">
        <f t="shared" ca="1" si="10"/>
        <v>0.61092715392026464</v>
      </c>
      <c r="AB10" s="306">
        <f t="shared" ca="1" si="11"/>
        <v>3.5409425085313452E-2</v>
      </c>
      <c r="AC10" s="293"/>
      <c r="AD10" s="286"/>
      <c r="AE10" s="284"/>
      <c r="AF10" s="286"/>
      <c r="AG10" s="284"/>
      <c r="AH10" s="286"/>
      <c r="AI10" s="284"/>
      <c r="AJ10" s="286"/>
    </row>
    <row r="11" spans="2:36" x14ac:dyDescent="0.2">
      <c r="B11" s="507"/>
      <c r="C11" s="263">
        <v>2</v>
      </c>
      <c r="D11" s="270">
        <f t="shared" ref="D11:H28" ca="1" si="13">RAND()</f>
        <v>0.35864589567179916</v>
      </c>
      <c r="E11" s="270">
        <f t="shared" ca="1" si="13"/>
        <v>0.25061574633377592</v>
      </c>
      <c r="F11" s="270">
        <f t="shared" ca="1" si="13"/>
        <v>0.31243818999242812</v>
      </c>
      <c r="G11" s="270">
        <f t="shared" ca="1" si="13"/>
        <v>0.86107188672864043</v>
      </c>
      <c r="H11" s="270">
        <f t="shared" ca="1" si="13"/>
        <v>9.538322916391262E-2</v>
      </c>
      <c r="I11" s="270">
        <f t="shared" ref="I11:I28" ca="1" si="14">RAND()+1</f>
        <v>1.4598236341537991</v>
      </c>
      <c r="O11" s="258"/>
      <c r="P11" s="299">
        <v>-2.6</v>
      </c>
      <c r="Q11" s="304">
        <f t="shared" ca="1" si="0"/>
        <v>-0.3340460518028327</v>
      </c>
      <c r="R11" s="306">
        <f t="shared" ca="1" si="1"/>
        <v>4.318964734034595E-2</v>
      </c>
      <c r="S11" s="304">
        <f t="shared" ca="1" si="2"/>
        <v>-4.7916902771176662E-2</v>
      </c>
      <c r="T11" s="306">
        <f t="shared" ca="1" si="3"/>
        <v>5.5756490097910866E-2</v>
      </c>
      <c r="U11" s="304">
        <f t="shared" ca="1" si="4"/>
        <v>-0.24857565537958753</v>
      </c>
      <c r="V11" s="306">
        <f t="shared" ca="1" si="5"/>
        <v>5.2546211162136355E-2</v>
      </c>
      <c r="W11" s="304">
        <f t="shared" ca="1" si="6"/>
        <v>-0.39764504942749157</v>
      </c>
      <c r="X11" s="306">
        <f t="shared" ca="1" si="7"/>
        <v>3.6500990373279731E-2</v>
      </c>
      <c r="Y11" s="304">
        <f t="shared" ca="1" si="8"/>
        <v>-0.20871602597054145</v>
      </c>
      <c r="Z11" s="306">
        <f t="shared" ca="1" si="9"/>
        <v>5.300928549560182E-2</v>
      </c>
      <c r="AA11" s="304">
        <f t="shared" ca="1" si="10"/>
        <v>0.64035698733132684</v>
      </c>
      <c r="AB11" s="306">
        <f t="shared" ca="1" si="11"/>
        <v>4.6153741490701165E-2</v>
      </c>
      <c r="AC11" s="293"/>
      <c r="AD11" s="286"/>
      <c r="AE11" s="284"/>
      <c r="AF11" s="286"/>
      <c r="AG11" s="284"/>
      <c r="AH11" s="286"/>
      <c r="AI11" s="284"/>
      <c r="AJ11" s="286"/>
    </row>
    <row r="12" spans="2:36" x14ac:dyDescent="0.2">
      <c r="B12" s="507"/>
      <c r="C12" s="263">
        <v>3</v>
      </c>
      <c r="D12" s="270">
        <f t="shared" ca="1" si="13"/>
        <v>0.42869467386817517</v>
      </c>
      <c r="E12" s="270">
        <f t="shared" ca="1" si="13"/>
        <v>0.55091514536723907</v>
      </c>
      <c r="F12" s="270">
        <f t="shared" ca="1" si="13"/>
        <v>0.55944162689363375</v>
      </c>
      <c r="G12" s="270">
        <f t="shared" ca="1" si="13"/>
        <v>0.82934981438096478</v>
      </c>
      <c r="H12" s="270">
        <f t="shared" ca="1" si="13"/>
        <v>0.80894455863275294</v>
      </c>
      <c r="I12" s="270">
        <f t="shared" ca="1" si="14"/>
        <v>1.1888998902148304</v>
      </c>
      <c r="O12" s="258"/>
      <c r="P12" s="299">
        <v>-2.5</v>
      </c>
      <c r="Q12" s="304">
        <f t="shared" ca="1" si="0"/>
        <v>-0.30259645665645835</v>
      </c>
      <c r="R12" s="306">
        <f t="shared" ca="1" si="1"/>
        <v>5.5734582311751359E-2</v>
      </c>
      <c r="S12" s="304">
        <f t="shared" ca="1" si="2"/>
        <v>-2.3555668393199669E-2</v>
      </c>
      <c r="T12" s="306">
        <f t="shared" ca="1" si="3"/>
        <v>7.1951610585933218E-2</v>
      </c>
      <c r="U12" s="304">
        <f t="shared" ca="1" si="4"/>
        <v>-0.22272608614656692</v>
      </c>
      <c r="V12" s="306">
        <f t="shared" ca="1" si="5"/>
        <v>6.7808868827019655E-2</v>
      </c>
      <c r="W12" s="304">
        <f t="shared" ca="1" si="6"/>
        <v>-0.36043244479737457</v>
      </c>
      <c r="X12" s="306">
        <f t="shared" ca="1" si="7"/>
        <v>4.7103127200568334E-2</v>
      </c>
      <c r="Y12" s="304">
        <f t="shared" ca="1" si="8"/>
        <v>-0.18309227136473266</v>
      </c>
      <c r="Z12" s="306">
        <f t="shared" ca="1" si="9"/>
        <v>6.8406448481968113E-2</v>
      </c>
      <c r="AA12" s="304">
        <f t="shared" ca="1" si="10"/>
        <v>0.66978682074238893</v>
      </c>
      <c r="AB12" s="306">
        <f t="shared" ca="1" si="11"/>
        <v>5.9559632053438609E-2</v>
      </c>
      <c r="AC12" s="293"/>
      <c r="AD12" s="286"/>
      <c r="AE12" s="284"/>
      <c r="AF12" s="286"/>
      <c r="AG12" s="284"/>
      <c r="AH12" s="286"/>
      <c r="AI12" s="284"/>
      <c r="AJ12" s="286"/>
    </row>
    <row r="13" spans="2:36" x14ac:dyDescent="0.2">
      <c r="B13" s="507"/>
      <c r="C13" s="263">
        <v>4</v>
      </c>
      <c r="D13" s="270">
        <f t="shared" ca="1" si="13"/>
        <v>0.74076576861090615</v>
      </c>
      <c r="E13" s="270">
        <f t="shared" ca="1" si="13"/>
        <v>0.64171431611822893</v>
      </c>
      <c r="F13" s="270">
        <f t="shared" ca="1" si="13"/>
        <v>0.2910707586168807</v>
      </c>
      <c r="G13" s="270">
        <f t="shared" ca="1" si="13"/>
        <v>0.10370935452669983</v>
      </c>
      <c r="H13" s="270">
        <f t="shared" ca="1" si="13"/>
        <v>0.15646236330690044</v>
      </c>
      <c r="I13" s="270">
        <f t="shared" ca="1" si="14"/>
        <v>1.0361679066142795</v>
      </c>
      <c r="O13" s="258"/>
      <c r="P13" s="299">
        <v>-2.4</v>
      </c>
      <c r="Q13" s="304">
        <f t="shared" ca="1" si="0"/>
        <v>-0.2711468615100841</v>
      </c>
      <c r="R13" s="306">
        <f t="shared" ca="1" si="1"/>
        <v>7.1207690244065619E-2</v>
      </c>
      <c r="S13" s="304">
        <f t="shared" ca="1" si="2"/>
        <v>8.0556598477743435E-4</v>
      </c>
      <c r="T13" s="306">
        <f t="shared" ca="1" si="3"/>
        <v>9.1926911204006617E-2</v>
      </c>
      <c r="U13" s="304">
        <f t="shared" ca="1" si="4"/>
        <v>-0.19687651691354641</v>
      </c>
      <c r="V13" s="306">
        <f t="shared" ca="1" si="5"/>
        <v>8.6634056037714735E-2</v>
      </c>
      <c r="W13" s="304">
        <f t="shared" ca="1" si="6"/>
        <v>-0.32321984016725769</v>
      </c>
      <c r="X13" s="306">
        <f t="shared" ca="1" si="7"/>
        <v>6.0179959230046924E-2</v>
      </c>
      <c r="Y13" s="304">
        <f t="shared" ca="1" si="8"/>
        <v>-0.15746851675892387</v>
      </c>
      <c r="Z13" s="306">
        <f t="shared" ca="1" si="9"/>
        <v>8.7397536541214543E-2</v>
      </c>
      <c r="AA13" s="304">
        <f t="shared" ca="1" si="10"/>
        <v>0.69921665415345113</v>
      </c>
      <c r="AB13" s="306">
        <f t="shared" ca="1" si="11"/>
        <v>7.6094655318114088E-2</v>
      </c>
      <c r="AC13" s="293"/>
      <c r="AD13" s="286"/>
      <c r="AE13" s="284"/>
      <c r="AF13" s="286"/>
      <c r="AG13" s="284"/>
      <c r="AH13" s="286"/>
      <c r="AI13" s="284"/>
      <c r="AJ13" s="286"/>
    </row>
    <row r="14" spans="2:36" x14ac:dyDescent="0.2">
      <c r="B14" s="507"/>
      <c r="C14" s="263">
        <v>5</v>
      </c>
      <c r="D14" s="270">
        <f t="shared" ca="1" si="13"/>
        <v>6.8139736638353043E-2</v>
      </c>
      <c r="E14" s="270">
        <f t="shared" ca="1" si="13"/>
        <v>0.36627135537158051</v>
      </c>
      <c r="F14" s="270">
        <f t="shared" ca="1" si="13"/>
        <v>9.3163133251119135E-2</v>
      </c>
      <c r="G14" s="270">
        <f t="shared" ca="1" si="13"/>
        <v>8.4053997507443134E-2</v>
      </c>
      <c r="H14" s="270">
        <f t="shared" ca="1" si="13"/>
        <v>0.38094587786847411</v>
      </c>
      <c r="I14" s="270">
        <f t="shared" ca="1" si="14"/>
        <v>1.8193613883506874</v>
      </c>
      <c r="O14" s="258"/>
      <c r="P14" s="299">
        <v>-2.2999999999999998</v>
      </c>
      <c r="Q14" s="304">
        <f t="shared" ca="1" si="0"/>
        <v>-0.23969726636370975</v>
      </c>
      <c r="R14" s="306">
        <f t="shared" ca="1" si="1"/>
        <v>9.0071231790934209E-2</v>
      </c>
      <c r="S14" s="304">
        <f t="shared" ca="1" si="2"/>
        <v>2.5166800362754538E-2</v>
      </c>
      <c r="T14" s="306">
        <f t="shared" ca="1" si="3"/>
        <v>0.11627915606447795</v>
      </c>
      <c r="U14" s="304">
        <f t="shared" ca="1" si="4"/>
        <v>-0.17102694768052579</v>
      </c>
      <c r="V14" s="306">
        <f t="shared" ca="1" si="5"/>
        <v>0.10958417715300214</v>
      </c>
      <c r="W14" s="304">
        <f t="shared" ca="1" si="6"/>
        <v>-0.2860072355371408</v>
      </c>
      <c r="X14" s="306">
        <f t="shared" ca="1" si="7"/>
        <v>7.6122158132074319E-2</v>
      </c>
      <c r="Y14" s="304">
        <f t="shared" ca="1" si="8"/>
        <v>-0.13184476215311497</v>
      </c>
      <c r="Z14" s="306">
        <f t="shared" ca="1" si="9"/>
        <v>0.11054991033663564</v>
      </c>
      <c r="AA14" s="304">
        <f t="shared" ca="1" si="10"/>
        <v>0.72864648756451333</v>
      </c>
      <c r="AB14" s="306">
        <f t="shared" ca="1" si="11"/>
        <v>9.625279676558951E-2</v>
      </c>
      <c r="AC14" s="294"/>
      <c r="AD14" s="286"/>
      <c r="AE14" s="284"/>
      <c r="AF14" s="286"/>
      <c r="AG14" s="284"/>
      <c r="AH14" s="286"/>
      <c r="AI14" s="284"/>
      <c r="AJ14" s="286"/>
    </row>
    <row r="15" spans="2:36" x14ac:dyDescent="0.2">
      <c r="B15" s="507"/>
      <c r="C15" s="263">
        <v>6</v>
      </c>
      <c r="D15" s="270">
        <f t="shared" ca="1" si="13"/>
        <v>0.99332329742979675</v>
      </c>
      <c r="E15" s="270">
        <f t="shared" ca="1" si="13"/>
        <v>0.9316863961504207</v>
      </c>
      <c r="F15" s="270">
        <f t="shared" ca="1" si="13"/>
        <v>0.68863657085387842</v>
      </c>
      <c r="G15" s="270">
        <f t="shared" ca="1" si="13"/>
        <v>0.90197166430643894</v>
      </c>
      <c r="H15" s="270">
        <f t="shared" ca="1" si="13"/>
        <v>0.52285235853210077</v>
      </c>
      <c r="I15" s="270">
        <f t="shared" ca="1" si="14"/>
        <v>1.1709034773691216</v>
      </c>
      <c r="O15" s="258"/>
      <c r="P15" s="299">
        <v>-2.2000000000000002</v>
      </c>
      <c r="Q15" s="304">
        <f t="shared" ca="1" si="0"/>
        <v>-0.20824767121733551</v>
      </c>
      <c r="R15" s="306">
        <f t="shared" ca="1" si="1"/>
        <v>0.11279824964716965</v>
      </c>
      <c r="S15" s="304">
        <f t="shared" ca="1" si="2"/>
        <v>4.952803474073153E-2</v>
      </c>
      <c r="T15" s="306">
        <f t="shared" ca="1" si="3"/>
        <v>0.1456190285591647</v>
      </c>
      <c r="U15" s="304">
        <f t="shared" ca="1" si="4"/>
        <v>-0.14517737844750528</v>
      </c>
      <c r="V15" s="306">
        <f t="shared" ca="1" si="5"/>
        <v>0.13723475438389798</v>
      </c>
      <c r="W15" s="304">
        <f t="shared" ca="1" si="6"/>
        <v>-0.24879463090702403</v>
      </c>
      <c r="X15" s="306">
        <f t="shared" ca="1" si="7"/>
        <v>9.5329507834345836E-2</v>
      </c>
      <c r="Y15" s="304">
        <f t="shared" ca="1" si="8"/>
        <v>-0.10622100754730629</v>
      </c>
      <c r="Z15" s="306">
        <f t="shared" ca="1" si="9"/>
        <v>0.1384441639875425</v>
      </c>
      <c r="AA15" s="304">
        <f t="shared" ca="1" si="10"/>
        <v>0.75807632097557531</v>
      </c>
      <c r="AB15" s="306">
        <f t="shared" ca="1" si="11"/>
        <v>0.12053956388654646</v>
      </c>
      <c r="AC15" s="294"/>
      <c r="AD15" s="286"/>
      <c r="AE15" s="284"/>
      <c r="AF15" s="286"/>
      <c r="AG15" s="284"/>
      <c r="AH15" s="286"/>
      <c r="AI15" s="284"/>
      <c r="AJ15" s="286"/>
    </row>
    <row r="16" spans="2:36" x14ac:dyDescent="0.2">
      <c r="B16" s="507"/>
      <c r="C16" s="263">
        <v>7</v>
      </c>
      <c r="D16" s="270">
        <f t="shared" ca="1" si="13"/>
        <v>0.78933025224708198</v>
      </c>
      <c r="E16" s="270">
        <f t="shared" ca="1" si="13"/>
        <v>0.90292278357740086</v>
      </c>
      <c r="F16" s="270">
        <f t="shared" ca="1" si="13"/>
        <v>0.86628915148578778</v>
      </c>
      <c r="G16" s="270">
        <f t="shared" ca="1" si="13"/>
        <v>0.8933719263585348</v>
      </c>
      <c r="H16" s="270">
        <f t="shared" ca="1" si="13"/>
        <v>0.63407590096421962</v>
      </c>
      <c r="I16" s="270">
        <f t="shared" ca="1" si="14"/>
        <v>1.4722059401613692</v>
      </c>
      <c r="P16" s="299">
        <v>-2.1</v>
      </c>
      <c r="Q16" s="304">
        <f t="shared" ca="1" si="0"/>
        <v>-0.17679807607096126</v>
      </c>
      <c r="R16" s="306">
        <f t="shared" ca="1" si="1"/>
        <v>0.13985425178199121</v>
      </c>
      <c r="S16" s="304">
        <f t="shared" ca="1" si="2"/>
        <v>7.3889269118708523E-2</v>
      </c>
      <c r="T16" s="306">
        <f t="shared" ca="1" si="3"/>
        <v>0.18054748498372097</v>
      </c>
      <c r="U16" s="304">
        <f t="shared" ca="1" si="4"/>
        <v>-0.11932780921448477</v>
      </c>
      <c r="V16" s="306">
        <f t="shared" ca="1" si="5"/>
        <v>0.17015214290009137</v>
      </c>
      <c r="W16" s="304">
        <f t="shared" ca="1" si="6"/>
        <v>-0.21158202627690703</v>
      </c>
      <c r="X16" s="306">
        <f t="shared" ca="1" si="7"/>
        <v>0.11819542442033311</v>
      </c>
      <c r="Y16" s="304">
        <f t="shared" ca="1" si="8"/>
        <v>-8.0597252941497388E-2</v>
      </c>
      <c r="Z16" s="306">
        <f t="shared" ca="1" si="9"/>
        <v>0.17165164378547504</v>
      </c>
      <c r="AA16" s="304">
        <f t="shared" ca="1" si="10"/>
        <v>0.7875061543866374</v>
      </c>
      <c r="AB16" s="306">
        <f t="shared" ca="1" si="11"/>
        <v>0.14945241233983533</v>
      </c>
      <c r="AC16" s="294"/>
      <c r="AD16" s="286"/>
      <c r="AE16" s="284"/>
      <c r="AF16" s="286"/>
      <c r="AG16" s="284"/>
      <c r="AH16" s="286"/>
      <c r="AI16" s="284"/>
      <c r="AJ16" s="286"/>
    </row>
    <row r="17" spans="2:36" x14ac:dyDescent="0.2">
      <c r="B17" s="507"/>
      <c r="C17" s="263">
        <v>8</v>
      </c>
      <c r="D17" s="270">
        <f t="shared" ca="1" si="13"/>
        <v>0.20774694700524088</v>
      </c>
      <c r="E17" s="270">
        <f t="shared" ca="1" si="13"/>
        <v>0.54765297613951047</v>
      </c>
      <c r="F17" s="270">
        <f t="shared" ca="1" si="13"/>
        <v>0.66407230395944483</v>
      </c>
      <c r="G17" s="270">
        <f t="shared" ca="1" si="13"/>
        <v>0.99394322129160417</v>
      </c>
      <c r="H17" s="270">
        <f t="shared" ca="1" si="13"/>
        <v>0.34695606568780968</v>
      </c>
      <c r="I17" s="270">
        <f t="shared" ca="1" si="14"/>
        <v>1.6453611833014388</v>
      </c>
      <c r="P17" s="299">
        <v>-2</v>
      </c>
      <c r="Q17" s="304">
        <f t="shared" ca="1" si="0"/>
        <v>-0.14534848092458691</v>
      </c>
      <c r="R17" s="306">
        <f t="shared" ca="1" si="1"/>
        <v>0.17167459950406541</v>
      </c>
      <c r="S17" s="304">
        <f t="shared" ca="1" si="2"/>
        <v>9.8250503496685626E-2</v>
      </c>
      <c r="T17" s="306">
        <f t="shared" ca="1" si="3"/>
        <v>0.22162656323358049</v>
      </c>
      <c r="U17" s="304">
        <f t="shared" ca="1" si="4"/>
        <v>-9.3478239981464151E-2</v>
      </c>
      <c r="V17" s="306">
        <f t="shared" ca="1" si="5"/>
        <v>0.20886602026705858</v>
      </c>
      <c r="W17" s="304">
        <f t="shared" ca="1" si="6"/>
        <v>-0.17436942164679015</v>
      </c>
      <c r="X17" s="306">
        <f t="shared" ca="1" si="7"/>
        <v>0.14508784603991978</v>
      </c>
      <c r="Y17" s="304">
        <f t="shared" ca="1" si="8"/>
        <v>-5.4973498335688598E-2</v>
      </c>
      <c r="Z17" s="306">
        <f t="shared" ca="1" si="9"/>
        <v>0.2107066951888015</v>
      </c>
      <c r="AA17" s="304">
        <f t="shared" ca="1" si="10"/>
        <v>0.8169359877976996</v>
      </c>
      <c r="AB17" s="306">
        <f t="shared" ca="1" si="11"/>
        <v>0.18345658216636002</v>
      </c>
      <c r="AC17" s="294"/>
      <c r="AD17" s="286"/>
      <c r="AE17" s="284"/>
      <c r="AF17" s="286"/>
      <c r="AG17" s="284"/>
      <c r="AH17" s="286"/>
      <c r="AI17" s="284"/>
      <c r="AJ17" s="286"/>
    </row>
    <row r="18" spans="2:36" x14ac:dyDescent="0.2">
      <c r="B18" s="507"/>
      <c r="C18" s="263">
        <v>9</v>
      </c>
      <c r="D18" s="270">
        <f t="shared" ca="1" si="13"/>
        <v>0.76618689055540257</v>
      </c>
      <c r="E18" s="270">
        <f t="shared" ca="1" si="13"/>
        <v>0.78460240703520723</v>
      </c>
      <c r="F18" s="270">
        <f t="shared" ca="1" si="13"/>
        <v>0.27752821032906083</v>
      </c>
      <c r="G18" s="270">
        <f t="shared" ca="1" si="13"/>
        <v>0.89754837481597771</v>
      </c>
      <c r="H18" s="270">
        <f t="shared" ca="1" si="13"/>
        <v>0.21856234646588768</v>
      </c>
      <c r="I18" s="270">
        <f t="shared" ca="1" si="14"/>
        <v>1.407043309138212</v>
      </c>
      <c r="P18" s="299">
        <v>-1.9</v>
      </c>
      <c r="Q18" s="304">
        <f t="shared" ca="1" si="0"/>
        <v>-0.11389888577821256</v>
      </c>
      <c r="R18" s="306">
        <f t="shared" ca="1" si="1"/>
        <v>0.20863802687851518</v>
      </c>
      <c r="S18" s="304">
        <f t="shared" ca="1" si="2"/>
        <v>0.12261173787466267</v>
      </c>
      <c r="T18" s="306">
        <f t="shared" ca="1" si="3"/>
        <v>0.2693451971957313</v>
      </c>
      <c r="U18" s="304">
        <f t="shared" ca="1" si="4"/>
        <v>-6.7628670748443587E-2</v>
      </c>
      <c r="V18" s="306">
        <f t="shared" ca="1" si="5"/>
        <v>0.25383716913494303</v>
      </c>
      <c r="W18" s="304">
        <f t="shared" ca="1" si="6"/>
        <v>-0.13715681701667326</v>
      </c>
      <c r="X18" s="306">
        <f t="shared" ca="1" si="7"/>
        <v>0.17632685329844511</v>
      </c>
      <c r="Y18" s="304">
        <f t="shared" ca="1" si="8"/>
        <v>-2.9349743729879751E-2</v>
      </c>
      <c r="Z18" s="306">
        <f t="shared" ca="1" si="9"/>
        <v>0.25607416158989338</v>
      </c>
      <c r="AA18" s="304">
        <f t="shared" ca="1" si="10"/>
        <v>0.8463658212087618</v>
      </c>
      <c r="AB18" s="306">
        <f t="shared" ca="1" si="11"/>
        <v>0.22295679985063344</v>
      </c>
      <c r="AC18" s="294"/>
      <c r="AD18" s="286"/>
      <c r="AE18" s="284"/>
      <c r="AF18" s="286"/>
      <c r="AG18" s="284"/>
      <c r="AH18" s="286"/>
      <c r="AI18" s="284"/>
      <c r="AJ18" s="286"/>
    </row>
    <row r="19" spans="2:36" x14ac:dyDescent="0.2">
      <c r="B19" s="507"/>
      <c r="C19" s="263">
        <v>10</v>
      </c>
      <c r="D19" s="270">
        <f t="shared" ca="1" si="13"/>
        <v>0.76696991752692145</v>
      </c>
      <c r="E19" s="270">
        <f t="shared" ca="1" si="13"/>
        <v>0.69198500355332349</v>
      </c>
      <c r="F19" s="270">
        <f t="shared" ca="1" si="13"/>
        <v>0.12327390497572055</v>
      </c>
      <c r="G19" s="270">
        <f t="shared" ca="1" si="13"/>
        <v>0.55633456876534471</v>
      </c>
      <c r="H19" s="270">
        <f t="shared" ca="1" si="13"/>
        <v>0.41787783460494587</v>
      </c>
      <c r="I19" s="270">
        <f t="shared" ca="1" si="14"/>
        <v>1.8373589515544366</v>
      </c>
      <c r="P19" s="299">
        <v>-1.8</v>
      </c>
      <c r="Q19" s="304">
        <f t="shared" ca="1" si="0"/>
        <v>-8.2449290631838312E-2</v>
      </c>
      <c r="R19" s="306">
        <f t="shared" ca="1" si="1"/>
        <v>0.25103712125208716</v>
      </c>
      <c r="S19" s="304">
        <f t="shared" ca="1" si="2"/>
        <v>0.14697297225263972</v>
      </c>
      <c r="T19" s="306">
        <f t="shared" ca="1" si="3"/>
        <v>0.32408110802573437</v>
      </c>
      <c r="U19" s="304">
        <f t="shared" ca="1" si="4"/>
        <v>-4.1779101515423023E-2</v>
      </c>
      <c r="V19" s="306">
        <f t="shared" ca="1" si="5"/>
        <v>0.3054215626929761</v>
      </c>
      <c r="W19" s="304">
        <f t="shared" ca="1" si="6"/>
        <v>-9.9944212386556375E-2</v>
      </c>
      <c r="X19" s="306">
        <f t="shared" ca="1" si="7"/>
        <v>0.21215972137838007</v>
      </c>
      <c r="Y19" s="304">
        <f t="shared" ca="1" si="8"/>
        <v>-3.7259891240709608E-3</v>
      </c>
      <c r="Z19" s="306">
        <f t="shared" ca="1" si="9"/>
        <v>0.30811315326519884</v>
      </c>
      <c r="AA19" s="304">
        <f t="shared" ca="1" si="10"/>
        <v>0.87579565461982378</v>
      </c>
      <c r="AB19" s="306">
        <f t="shared" ca="1" si="11"/>
        <v>0.26826573293214168</v>
      </c>
      <c r="AC19" s="294"/>
      <c r="AD19" s="286"/>
      <c r="AE19" s="284"/>
      <c r="AF19" s="286"/>
      <c r="AG19" s="284"/>
      <c r="AH19" s="286"/>
      <c r="AI19" s="284"/>
      <c r="AJ19" s="286"/>
    </row>
    <row r="20" spans="2:36" x14ac:dyDescent="0.2">
      <c r="B20" s="507"/>
      <c r="C20" s="263">
        <v>11</v>
      </c>
      <c r="D20" s="270">
        <f t="shared" ca="1" si="13"/>
        <v>0.49330021813600433</v>
      </c>
      <c r="E20" s="270">
        <f t="shared" ca="1" si="13"/>
        <v>0.49765661051638632</v>
      </c>
      <c r="F20" s="270">
        <f t="shared" ca="1" si="13"/>
        <v>0.42625895361984223</v>
      </c>
      <c r="G20" s="270">
        <f t="shared" ca="1" si="13"/>
        <v>1.1571138142896231E-3</v>
      </c>
      <c r="H20" s="270">
        <f t="shared" ca="1" si="13"/>
        <v>0.32229521466764965</v>
      </c>
      <c r="I20" s="270">
        <f t="shared" ca="1" si="14"/>
        <v>1.0597946132904363</v>
      </c>
      <c r="O20" s="258"/>
      <c r="P20" s="299">
        <v>-1.7</v>
      </c>
      <c r="Q20" s="304">
        <f t="shared" ca="1" si="0"/>
        <v>-5.0999695485464069E-2</v>
      </c>
      <c r="R20" s="306">
        <f t="shared" ca="1" si="1"/>
        <v>0.29904702092080659</v>
      </c>
      <c r="S20" s="304">
        <f t="shared" ca="1" si="2"/>
        <v>0.17133420663061677</v>
      </c>
      <c r="T20" s="306">
        <f t="shared" ca="1" si="3"/>
        <v>0.38606039381119694</v>
      </c>
      <c r="U20" s="304">
        <f t="shared" ca="1" si="4"/>
        <v>-1.5929532282402459E-2</v>
      </c>
      <c r="V20" s="306">
        <f t="shared" ca="1" si="5"/>
        <v>0.36383228102984205</v>
      </c>
      <c r="W20" s="304">
        <f t="shared" ca="1" si="6"/>
        <v>-6.2731607756439489E-2</v>
      </c>
      <c r="X20" s="306">
        <f t="shared" ca="1" si="7"/>
        <v>0.25273446540952732</v>
      </c>
      <c r="Y20" s="304">
        <f t="shared" ca="1" si="8"/>
        <v>2.189776548173783E-2</v>
      </c>
      <c r="Z20" s="306">
        <f t="shared" ca="1" si="9"/>
        <v>0.36703862811567184</v>
      </c>
      <c r="AA20" s="304">
        <f t="shared" ca="1" si="10"/>
        <v>0.90522548803088598</v>
      </c>
      <c r="AB20" s="306">
        <f t="shared" ca="1" si="11"/>
        <v>0.3195705394021553</v>
      </c>
      <c r="AC20" s="294"/>
      <c r="AD20" s="286"/>
      <c r="AE20" s="284"/>
      <c r="AF20" s="286"/>
      <c r="AG20" s="284"/>
      <c r="AH20" s="286"/>
      <c r="AI20" s="284"/>
      <c r="AJ20" s="286"/>
    </row>
    <row r="21" spans="2:36" x14ac:dyDescent="0.2">
      <c r="B21" s="507"/>
      <c r="C21" s="263">
        <v>12</v>
      </c>
      <c r="D21" s="270">
        <f t="shared" ca="1" si="13"/>
        <v>8.3325438529072371E-2</v>
      </c>
      <c r="E21" s="270">
        <f t="shared" ca="1" si="13"/>
        <v>0.54085203474991372</v>
      </c>
      <c r="F21" s="270">
        <f t="shared" ca="1" si="13"/>
        <v>0.2626191257186119</v>
      </c>
      <c r="G21" s="270">
        <f t="shared" ca="1" si="13"/>
        <v>0.98482614042484673</v>
      </c>
      <c r="H21" s="270">
        <f t="shared" ca="1" si="13"/>
        <v>0.627322871364143</v>
      </c>
      <c r="I21" s="270">
        <f t="shared" ca="1" si="14"/>
        <v>1.4184335363426364</v>
      </c>
      <c r="O21" s="258"/>
      <c r="P21" s="299">
        <v>-1.6</v>
      </c>
      <c r="Q21" s="304">
        <f t="shared" ca="1" si="0"/>
        <v>-1.9550100339089715E-2</v>
      </c>
      <c r="R21" s="306">
        <f t="shared" ca="1" si="1"/>
        <v>0.35269399864514073</v>
      </c>
      <c r="S21" s="304">
        <f t="shared" ca="1" si="2"/>
        <v>0.19569544100859382</v>
      </c>
      <c r="T21" s="306">
        <f t="shared" ca="1" si="3"/>
        <v>0.45531697186793524</v>
      </c>
      <c r="U21" s="304">
        <f t="shared" ca="1" si="4"/>
        <v>9.9200369506180497E-3</v>
      </c>
      <c r="V21" s="306">
        <f t="shared" ca="1" si="5"/>
        <v>0.42910128861166441</v>
      </c>
      <c r="W21" s="304">
        <f t="shared" ca="1" si="6"/>
        <v>-2.5519003126322604E-2</v>
      </c>
      <c r="X21" s="306">
        <f t="shared" ca="1" si="7"/>
        <v>0.29807328936519845</v>
      </c>
      <c r="Y21" s="304">
        <f t="shared" ca="1" si="8"/>
        <v>4.752152008754662E-2</v>
      </c>
      <c r="Z21" s="306">
        <f t="shared" ca="1" si="9"/>
        <v>0.43288283230089236</v>
      </c>
      <c r="AA21" s="304">
        <f t="shared" ca="1" si="10"/>
        <v>0.93465532144194807</v>
      </c>
      <c r="AB21" s="306">
        <f t="shared" ca="1" si="11"/>
        <v>0.37689929511378911</v>
      </c>
      <c r="AC21" s="294"/>
      <c r="AD21" s="286"/>
      <c r="AE21" s="284"/>
      <c r="AF21" s="286"/>
      <c r="AG21" s="284"/>
      <c r="AH21" s="286"/>
      <c r="AI21" s="284"/>
      <c r="AJ21" s="286"/>
    </row>
    <row r="22" spans="2:36" x14ac:dyDescent="0.2">
      <c r="B22" s="507"/>
      <c r="C22" s="263">
        <v>13</v>
      </c>
      <c r="D22" s="270">
        <f t="shared" ca="1" si="13"/>
        <v>0.16063418053888867</v>
      </c>
      <c r="E22" s="270">
        <f t="shared" ca="1" si="13"/>
        <v>0.15116141361881119</v>
      </c>
      <c r="F22" s="270">
        <f t="shared" ca="1" si="13"/>
        <v>0.82719948117149988</v>
      </c>
      <c r="G22" s="270">
        <f t="shared" ca="1" si="13"/>
        <v>0.68588403880372806</v>
      </c>
      <c r="H22" s="270">
        <f t="shared" ca="1" si="13"/>
        <v>0.80253290921543741</v>
      </c>
      <c r="I22" s="270">
        <f t="shared" ca="1" si="14"/>
        <v>1.0469834237540889</v>
      </c>
      <c r="O22" s="258"/>
      <c r="P22" s="299">
        <v>-1.5</v>
      </c>
      <c r="Q22" s="304">
        <f t="shared" ca="1" si="0"/>
        <v>1.1899494807284527E-2</v>
      </c>
      <c r="R22" s="306">
        <f t="shared" ca="1" si="1"/>
        <v>0.41182595535199873</v>
      </c>
      <c r="S22" s="304">
        <f t="shared" ca="1" si="2"/>
        <v>0.22005667538657092</v>
      </c>
      <c r="T22" s="306">
        <f t="shared" ca="1" si="3"/>
        <v>0.5316544870278731</v>
      </c>
      <c r="U22" s="304">
        <f t="shared" ca="1" si="4"/>
        <v>3.5769606183638614E-2</v>
      </c>
      <c r="V22" s="306">
        <f t="shared" ca="1" si="5"/>
        <v>0.50104353576787797</v>
      </c>
      <c r="W22" s="304">
        <f t="shared" ca="1" si="6"/>
        <v>1.1693601503794282E-2</v>
      </c>
      <c r="X22" s="306">
        <f t="shared" ca="1" si="7"/>
        <v>0.34804764932006566</v>
      </c>
      <c r="Y22" s="304">
        <f t="shared" ca="1" si="8"/>
        <v>7.3145274693355466E-2</v>
      </c>
      <c r="Z22" s="306">
        <f t="shared" ca="1" si="9"/>
        <v>0.50545908536187178</v>
      </c>
      <c r="AA22" s="304">
        <f t="shared" ca="1" si="10"/>
        <v>0.96408515485301027</v>
      </c>
      <c r="AB22" s="306">
        <f t="shared" ca="1" si="11"/>
        <v>0.44008946247452607</v>
      </c>
      <c r="AC22" s="294"/>
      <c r="AD22" s="286"/>
      <c r="AE22" s="284"/>
      <c r="AF22" s="286"/>
      <c r="AG22" s="284"/>
      <c r="AH22" s="286"/>
      <c r="AI22" s="284"/>
      <c r="AJ22" s="286"/>
    </row>
    <row r="23" spans="2:36" x14ac:dyDescent="0.2">
      <c r="B23" s="507"/>
      <c r="C23" s="263">
        <v>14</v>
      </c>
      <c r="D23" s="270">
        <f t="shared" ca="1" si="13"/>
        <v>0.78582213612457696</v>
      </c>
      <c r="E23" s="270">
        <f t="shared" ca="1" si="13"/>
        <v>0.9042604389767358</v>
      </c>
      <c r="F23" s="270">
        <f t="shared" ca="1" si="13"/>
        <v>0.36120944027820123</v>
      </c>
      <c r="G23" s="270">
        <f t="shared" ca="1" si="13"/>
        <v>0.16774016830969152</v>
      </c>
      <c r="H23" s="270">
        <f t="shared" ca="1" si="13"/>
        <v>0.85676295583226347</v>
      </c>
      <c r="I23" s="270">
        <f t="shared" ca="1" si="14"/>
        <v>1.2921455511532005</v>
      </c>
      <c r="O23" s="258"/>
      <c r="P23" s="299">
        <v>-1.4</v>
      </c>
      <c r="Q23" s="304">
        <f t="shared" ca="1" si="0"/>
        <v>4.3349089953658881E-2</v>
      </c>
      <c r="R23" s="306">
        <f t="shared" ca="1" si="1"/>
        <v>0.47608710045034208</v>
      </c>
      <c r="S23" s="304">
        <f t="shared" ca="1" si="2"/>
        <v>0.24441790976454797</v>
      </c>
      <c r="T23" s="306">
        <f t="shared" ca="1" si="3"/>
        <v>0.61461362471476777</v>
      </c>
      <c r="U23" s="304">
        <f t="shared" ca="1" si="4"/>
        <v>6.1619175416659233E-2</v>
      </c>
      <c r="V23" s="306">
        <f t="shared" ca="1" si="5"/>
        <v>0.5792261537746678</v>
      </c>
      <c r="W23" s="304">
        <f t="shared" ca="1" si="6"/>
        <v>4.8906206133911279E-2</v>
      </c>
      <c r="X23" s="306">
        <f t="shared" ca="1" si="7"/>
        <v>0.40235685495276391</v>
      </c>
      <c r="Y23" s="304">
        <f t="shared" ca="1" si="8"/>
        <v>9.8769029299164313E-2</v>
      </c>
      <c r="Z23" s="306">
        <f t="shared" ca="1" si="9"/>
        <v>0.58433070382980568</v>
      </c>
      <c r="AA23" s="304">
        <f t="shared" ca="1" si="10"/>
        <v>0.99351498826407236</v>
      </c>
      <c r="AB23" s="306">
        <f t="shared" ca="1" si="11"/>
        <v>0.50876083307853559</v>
      </c>
      <c r="AC23" s="294"/>
      <c r="AD23" s="286"/>
      <c r="AE23" s="284"/>
      <c r="AF23" s="286"/>
      <c r="AG23" s="284"/>
      <c r="AH23" s="286"/>
      <c r="AI23" s="284"/>
      <c r="AJ23" s="286"/>
    </row>
    <row r="24" spans="2:36" x14ac:dyDescent="0.2">
      <c r="B24" s="507"/>
      <c r="C24" s="263">
        <v>15</v>
      </c>
      <c r="D24" s="270">
        <f t="shared" ca="1" si="13"/>
        <v>0.1060839211979423</v>
      </c>
      <c r="E24" s="270">
        <f t="shared" ca="1" si="13"/>
        <v>0.28673450872040107</v>
      </c>
      <c r="F24" s="270">
        <f t="shared" ca="1" si="13"/>
        <v>0.80394961377613039</v>
      </c>
      <c r="G24" s="270">
        <f t="shared" ca="1" si="13"/>
        <v>0.81271116903652663</v>
      </c>
      <c r="H24" s="270">
        <f t="shared" ca="1" si="13"/>
        <v>0.48601837602539155</v>
      </c>
      <c r="I24" s="270">
        <f t="shared" ca="1" si="14"/>
        <v>1.5864523357398728</v>
      </c>
      <c r="J24" s="267"/>
      <c r="K24" s="267"/>
      <c r="L24" s="267"/>
      <c r="M24" s="267"/>
      <c r="N24" s="267"/>
      <c r="O24" s="258"/>
      <c r="P24" s="299">
        <v>-1.3</v>
      </c>
      <c r="Q24" s="304">
        <f t="shared" ca="1" si="0"/>
        <v>7.4798685100033124E-2</v>
      </c>
      <c r="R24" s="306">
        <f t="shared" ca="1" si="1"/>
        <v>0.5448991990205756</v>
      </c>
      <c r="S24" s="304">
        <f t="shared" ca="1" si="2"/>
        <v>0.26877914414252502</v>
      </c>
      <c r="T24" s="306">
        <f t="shared" ca="1" si="3"/>
        <v>0.70344790164954596</v>
      </c>
      <c r="U24" s="304">
        <f t="shared" ca="1" si="4"/>
        <v>8.7468744649679742E-2</v>
      </c>
      <c r="V24" s="306">
        <f t="shared" ca="1" si="5"/>
        <v>0.6629456394534381</v>
      </c>
      <c r="W24" s="304">
        <f t="shared" ca="1" si="6"/>
        <v>8.6118810764028053E-2</v>
      </c>
      <c r="X24" s="306">
        <f t="shared" ca="1" si="7"/>
        <v>0.46051222092934435</v>
      </c>
      <c r="Y24" s="304">
        <f t="shared" ca="1" si="8"/>
        <v>0.1243927839049731</v>
      </c>
      <c r="Z24" s="306">
        <f t="shared" ca="1" si="9"/>
        <v>0.66878798475910595</v>
      </c>
      <c r="AA24" s="304">
        <f t="shared" ca="1" si="10"/>
        <v>1.0229448216751345</v>
      </c>
      <c r="AB24" s="306">
        <f t="shared" ca="1" si="11"/>
        <v>0.58229548789560293</v>
      </c>
      <c r="AC24" s="294"/>
      <c r="AD24" s="286"/>
      <c r="AE24" s="284"/>
      <c r="AF24" s="286"/>
      <c r="AG24" s="284"/>
      <c r="AH24" s="286"/>
      <c r="AI24" s="284"/>
      <c r="AJ24" s="286"/>
    </row>
    <row r="25" spans="2:36" x14ac:dyDescent="0.2">
      <c r="B25" s="507"/>
      <c r="C25" s="263">
        <v>16</v>
      </c>
      <c r="D25" s="270">
        <f t="shared" ca="1" si="13"/>
        <v>0.22259008858064555</v>
      </c>
      <c r="E25" s="270">
        <f t="shared" ca="1" si="13"/>
        <v>0.86342496388204226</v>
      </c>
      <c r="F25" s="270">
        <f t="shared" ca="1" si="13"/>
        <v>8.8461088802138765E-2</v>
      </c>
      <c r="G25" s="270">
        <f t="shared" ca="1" si="13"/>
        <v>0.80808018583693209</v>
      </c>
      <c r="H25" s="270">
        <f t="shared" ca="1" si="13"/>
        <v>0.24423829741091674</v>
      </c>
      <c r="I25" s="270">
        <f t="shared" ca="1" si="14"/>
        <v>1.7268962601499409</v>
      </c>
      <c r="J25" s="267"/>
      <c r="K25" s="267"/>
      <c r="L25" s="267"/>
      <c r="M25" s="267"/>
      <c r="N25" s="267"/>
      <c r="O25" s="258"/>
      <c r="P25" s="299">
        <v>-1.2</v>
      </c>
      <c r="Q25" s="304">
        <f t="shared" ca="1" si="0"/>
        <v>0.10624828024640742</v>
      </c>
      <c r="R25" s="306">
        <f t="shared" ca="1" si="1"/>
        <v>0.61745168444751808</v>
      </c>
      <c r="S25" s="304">
        <f t="shared" ca="1" si="2"/>
        <v>0.29314037852050207</v>
      </c>
      <c r="T25" s="306">
        <f t="shared" ca="1" si="3"/>
        <v>0.79711090156728792</v>
      </c>
      <c r="U25" s="304">
        <f t="shared" ca="1" si="4"/>
        <v>0.11331831388270031</v>
      </c>
      <c r="V25" s="306">
        <f t="shared" ca="1" si="5"/>
        <v>0.75121582581406154</v>
      </c>
      <c r="W25" s="304">
        <f t="shared" ca="1" si="6"/>
        <v>0.12333141539414499</v>
      </c>
      <c r="X25" s="306">
        <f t="shared" ca="1" si="7"/>
        <v>0.52182871076445525</v>
      </c>
      <c r="Y25" s="304">
        <f t="shared" ca="1" si="8"/>
        <v>0.15001653851078189</v>
      </c>
      <c r="Z25" s="306">
        <f t="shared" ca="1" si="9"/>
        <v>0.75783607035946121</v>
      </c>
      <c r="AA25" s="304">
        <f t="shared" ca="1" si="10"/>
        <v>1.0523746550861965</v>
      </c>
      <c r="AB25" s="306">
        <f t="shared" ca="1" si="11"/>
        <v>0.6598272313366953</v>
      </c>
      <c r="AC25" s="294"/>
      <c r="AD25" s="286"/>
      <c r="AE25" s="284"/>
      <c r="AF25" s="286"/>
      <c r="AG25" s="284"/>
      <c r="AH25" s="286"/>
      <c r="AI25" s="284"/>
      <c r="AJ25" s="286"/>
    </row>
    <row r="26" spans="2:36" x14ac:dyDescent="0.2">
      <c r="B26" s="507"/>
      <c r="C26" s="263">
        <v>17</v>
      </c>
      <c r="D26" s="270">
        <f t="shared" ca="1" si="13"/>
        <v>0.9146271578809293</v>
      </c>
      <c r="E26" s="270">
        <f t="shared" ca="1" si="13"/>
        <v>0.49426846752286369</v>
      </c>
      <c r="F26" s="270">
        <f t="shared" ca="1" si="13"/>
        <v>2.997444420133577E-2</v>
      </c>
      <c r="G26" s="270">
        <f t="shared" ca="1" si="13"/>
        <v>0.17896707287023117</v>
      </c>
      <c r="H26" s="270">
        <f t="shared" ca="1" si="13"/>
        <v>0.81487801118630077</v>
      </c>
      <c r="I26" s="270">
        <f t="shared" ca="1" si="14"/>
        <v>1.0878454826227646</v>
      </c>
      <c r="J26" s="267"/>
      <c r="K26" s="267"/>
      <c r="L26" s="267"/>
      <c r="M26" s="267"/>
      <c r="N26" s="267"/>
      <c r="O26" s="258"/>
      <c r="P26" s="299">
        <v>-1.1000000000000001</v>
      </c>
      <c r="Q26" s="304">
        <f t="shared" ca="1" si="0"/>
        <v>0.13769787539278172</v>
      </c>
      <c r="R26" s="306">
        <f t="shared" ca="1" si="1"/>
        <v>0.69270264376572088</v>
      </c>
      <c r="S26" s="304">
        <f t="shared" ca="1" si="2"/>
        <v>0.31750161289847911</v>
      </c>
      <c r="T26" s="306">
        <f t="shared" ca="1" si="3"/>
        <v>0.89425754726736029</v>
      </c>
      <c r="U26" s="304">
        <f t="shared" ca="1" si="4"/>
        <v>0.13916788311572087</v>
      </c>
      <c r="V26" s="306">
        <f t="shared" ca="1" si="5"/>
        <v>0.84276908086446367</v>
      </c>
      <c r="W26" s="304">
        <f t="shared" ca="1" si="6"/>
        <v>0.16054402002426182</v>
      </c>
      <c r="X26" s="306">
        <f t="shared" ca="1" si="7"/>
        <v>0.58542576956905212</v>
      </c>
      <c r="Y26" s="304">
        <f t="shared" ca="1" si="8"/>
        <v>0.17564029311659068</v>
      </c>
      <c r="Z26" s="306">
        <f t="shared" ca="1" si="9"/>
        <v>0.85019615737017795</v>
      </c>
      <c r="AA26" s="304">
        <f t="shared" ca="1" si="10"/>
        <v>1.0818044884972586</v>
      </c>
      <c r="AB26" s="306">
        <f t="shared" ca="1" si="11"/>
        <v>0.74024264422327291</v>
      </c>
      <c r="AC26" s="294"/>
      <c r="AD26" s="286"/>
      <c r="AE26" s="284"/>
      <c r="AF26" s="286"/>
      <c r="AG26" s="284"/>
      <c r="AH26" s="286"/>
      <c r="AI26" s="284"/>
      <c r="AJ26" s="286"/>
    </row>
    <row r="27" spans="2:36" x14ac:dyDescent="0.2">
      <c r="B27" s="507"/>
      <c r="C27" s="263">
        <v>18</v>
      </c>
      <c r="D27" s="270">
        <f t="shared" ca="1" si="13"/>
        <v>0.66800877231330391</v>
      </c>
      <c r="E27" s="270">
        <f t="shared" ca="1" si="13"/>
        <v>0.81806747576179129</v>
      </c>
      <c r="F27" s="270">
        <f t="shared" ca="1" si="13"/>
        <v>0.48996756478145065</v>
      </c>
      <c r="G27" s="270">
        <f t="shared" ca="1" si="13"/>
        <v>0.80705537255966686</v>
      </c>
      <c r="H27" s="270">
        <f t="shared" ca="1" si="13"/>
        <v>2.6216745195854818E-2</v>
      </c>
      <c r="I27" s="270">
        <f t="shared" ca="1" si="14"/>
        <v>1.5906901649918088</v>
      </c>
      <c r="J27" s="267"/>
      <c r="K27" s="267"/>
      <c r="L27" s="267"/>
      <c r="M27" s="267"/>
      <c r="N27" s="267"/>
      <c r="O27" s="258"/>
      <c r="P27" s="299">
        <v>-1</v>
      </c>
      <c r="Q27" s="304">
        <f t="shared" ca="1" si="0"/>
        <v>0.16914747053915602</v>
      </c>
      <c r="R27" s="306">
        <f t="shared" ca="1" si="1"/>
        <v>0.76939217625203449</v>
      </c>
      <c r="S27" s="304">
        <f t="shared" ca="1" si="2"/>
        <v>0.34186284727645616</v>
      </c>
      <c r="T27" s="306">
        <f t="shared" ca="1" si="3"/>
        <v>0.99326134614052553</v>
      </c>
      <c r="U27" s="304">
        <f t="shared" ca="1" si="4"/>
        <v>0.16501745234874143</v>
      </c>
      <c r="V27" s="306">
        <f t="shared" ca="1" si="5"/>
        <v>0.93607256019588503</v>
      </c>
      <c r="W27" s="304">
        <f t="shared" ca="1" si="6"/>
        <v>0.19775662465437877</v>
      </c>
      <c r="X27" s="306">
        <f t="shared" ca="1" si="7"/>
        <v>0.65023861383600035</v>
      </c>
      <c r="Y27" s="304">
        <f t="shared" ca="1" si="8"/>
        <v>0.20126404772239953</v>
      </c>
      <c r="Z27" s="306">
        <f t="shared" ca="1" si="9"/>
        <v>0.9443218928747058</v>
      </c>
      <c r="AA27" s="304">
        <f t="shared" ca="1" si="10"/>
        <v>1.1112343219083209</v>
      </c>
      <c r="AB27" s="306">
        <f t="shared" ca="1" si="11"/>
        <v>0.82219535917655306</v>
      </c>
      <c r="AC27" s="294"/>
      <c r="AD27" s="286"/>
      <c r="AE27" s="284"/>
      <c r="AF27" s="286"/>
      <c r="AG27" s="284"/>
      <c r="AH27" s="286"/>
      <c r="AI27" s="284"/>
      <c r="AJ27" s="286"/>
    </row>
    <row r="28" spans="2:36" x14ac:dyDescent="0.2">
      <c r="B28" s="508"/>
      <c r="C28" s="263">
        <v>19</v>
      </c>
      <c r="D28" s="270">
        <f t="shared" ca="1" si="13"/>
        <v>0.53183756719430453</v>
      </c>
      <c r="E28" s="270">
        <f t="shared" ca="1" si="13"/>
        <v>0.26954119336131133</v>
      </c>
      <c r="F28" s="270">
        <f t="shared" ca="1" si="13"/>
        <v>0.43888729867414289</v>
      </c>
      <c r="G28" s="270">
        <f t="shared" ca="1" si="13"/>
        <v>0.16365126146148312</v>
      </c>
      <c r="H28" s="270">
        <f t="shared" ca="1" si="13"/>
        <v>0.32605422259548311</v>
      </c>
      <c r="I28" s="270">
        <f t="shared" ca="1" si="14"/>
        <v>1.0024763664784961</v>
      </c>
      <c r="J28" s="267"/>
      <c r="K28" s="267"/>
      <c r="L28" s="267"/>
      <c r="M28" s="267"/>
      <c r="N28" s="267"/>
      <c r="O28" s="258"/>
      <c r="P28" s="299">
        <v>-0.9</v>
      </c>
      <c r="Q28" s="304">
        <f t="shared" ca="1" si="0"/>
        <v>0.20059706568553032</v>
      </c>
      <c r="R28" s="306">
        <f t="shared" ca="1" si="1"/>
        <v>0.84606891968029296</v>
      </c>
      <c r="S28" s="304">
        <f t="shared" ca="1" si="2"/>
        <v>0.36622408165443321</v>
      </c>
      <c r="T28" s="306">
        <f t="shared" ca="1" si="3"/>
        <v>1.0922486347379021</v>
      </c>
      <c r="U28" s="304">
        <f t="shared" ca="1" si="4"/>
        <v>0.190867021581762</v>
      </c>
      <c r="V28" s="306">
        <f t="shared" ca="1" si="5"/>
        <v>1.0293604798599671</v>
      </c>
      <c r="W28" s="304">
        <f t="shared" ca="1" si="6"/>
        <v>0.23496922928449565</v>
      </c>
      <c r="X28" s="306">
        <f t="shared" ca="1" si="7"/>
        <v>0.71504064964968028</v>
      </c>
      <c r="Y28" s="304">
        <f t="shared" ca="1" si="8"/>
        <v>0.22688780232820835</v>
      </c>
      <c r="Z28" s="306">
        <f t="shared" ca="1" si="9"/>
        <v>1.0384319315891133</v>
      </c>
      <c r="AA28" s="304">
        <f t="shared" ca="1" si="10"/>
        <v>1.1406641553193828</v>
      </c>
      <c r="AB28" s="306">
        <f t="shared" ca="1" si="11"/>
        <v>0.90413440736208261</v>
      </c>
      <c r="AC28" s="294"/>
      <c r="AD28" s="286"/>
      <c r="AE28" s="284"/>
      <c r="AF28" s="286"/>
      <c r="AG28" s="284"/>
      <c r="AH28" s="286"/>
      <c r="AI28" s="284"/>
      <c r="AJ28" s="286"/>
    </row>
    <row r="29" spans="2:36" x14ac:dyDescent="0.2">
      <c r="C29" s="268" t="s">
        <v>358</v>
      </c>
      <c r="D29" s="269">
        <f t="shared" ref="D29:I29" ca="1" si="15">IF(ISNUMBER(D10),AVERAGE(D10:D28),"")</f>
        <v>0.48364342200289895</v>
      </c>
      <c r="E29" s="269">
        <f t="shared" ca="1" si="15"/>
        <v>0.5854751910562267</v>
      </c>
      <c r="F29" s="269">
        <f t="shared" ca="1" si="15"/>
        <v>0.42351314467894702</v>
      </c>
      <c r="G29" s="269">
        <f t="shared" ca="1" si="15"/>
        <v>0.56988267095554768</v>
      </c>
      <c r="H29" s="269">
        <f t="shared" ca="1" si="15"/>
        <v>0.45750159378048766</v>
      </c>
      <c r="I29" s="269">
        <f t="shared" ca="1" si="15"/>
        <v>1.4055326560189421</v>
      </c>
      <c r="J29" s="267"/>
      <c r="K29" s="267"/>
      <c r="L29" s="267"/>
      <c r="M29" s="267"/>
      <c r="N29" s="267"/>
      <c r="O29" s="258"/>
      <c r="P29" s="299">
        <v>-0.8</v>
      </c>
      <c r="Q29" s="304">
        <f t="shared" ca="1" si="0"/>
        <v>0.23204666083190462</v>
      </c>
      <c r="R29" s="306">
        <f t="shared" ca="1" si="1"/>
        <v>0.92112967245901167</v>
      </c>
      <c r="S29" s="304">
        <f t="shared" ca="1" si="2"/>
        <v>0.39058531603241026</v>
      </c>
      <c r="T29" s="306">
        <f t="shared" ca="1" si="3"/>
        <v>1.1891497297171794</v>
      </c>
      <c r="U29" s="304">
        <f t="shared" ca="1" si="4"/>
        <v>0.21671659081478253</v>
      </c>
      <c r="V29" s="306">
        <f t="shared" ca="1" si="5"/>
        <v>1.1206823222083995</v>
      </c>
      <c r="W29" s="304">
        <f t="shared" ca="1" si="6"/>
        <v>0.27218183391461254</v>
      </c>
      <c r="X29" s="306">
        <f t="shared" ca="1" si="7"/>
        <v>0.77847695865671729</v>
      </c>
      <c r="Y29" s="304">
        <f t="shared" ca="1" si="8"/>
        <v>0.25251155693401717</v>
      </c>
      <c r="Z29" s="306">
        <f t="shared" ca="1" si="9"/>
        <v>1.1305585665256517</v>
      </c>
      <c r="AA29" s="304">
        <f t="shared" ca="1" si="10"/>
        <v>1.1700939887304451</v>
      </c>
      <c r="AB29" s="306">
        <f t="shared" ca="1" si="11"/>
        <v>0.98434655988434239</v>
      </c>
      <c r="AC29" s="294"/>
      <c r="AD29" s="286"/>
      <c r="AE29" s="284"/>
      <c r="AF29" s="286"/>
      <c r="AG29" s="284"/>
      <c r="AH29" s="286"/>
      <c r="AI29" s="284"/>
      <c r="AJ29" s="286"/>
    </row>
    <row r="30" spans="2:36" x14ac:dyDescent="0.2">
      <c r="C30" s="268" t="s">
        <v>359</v>
      </c>
      <c r="D30" s="269">
        <f t="shared" ref="D30:I30" ca="1" si="16">IF(ISNUMBER(D10),VAR(D10:D28),"")</f>
        <v>9.8907703487084955E-2</v>
      </c>
      <c r="E30" s="269">
        <f t="shared" ca="1" si="16"/>
        <v>5.9346974041873106E-2</v>
      </c>
      <c r="F30" s="269">
        <f t="shared" ca="1" si="16"/>
        <v>6.6820022953272301E-2</v>
      </c>
      <c r="G30" s="269">
        <f t="shared" ca="1" si="16"/>
        <v>0.1384777943357397</v>
      </c>
      <c r="H30" s="269">
        <f t="shared" ca="1" si="16"/>
        <v>6.5657680009870836E-2</v>
      </c>
      <c r="I30" s="269">
        <f t="shared" ca="1" si="16"/>
        <v>8.661150946028684E-2</v>
      </c>
      <c r="J30" s="266"/>
      <c r="K30" s="266"/>
      <c r="L30" s="266"/>
      <c r="M30" s="266"/>
      <c r="N30" s="266"/>
      <c r="O30" s="258"/>
      <c r="P30" s="299">
        <v>-0.7</v>
      </c>
      <c r="Q30" s="304">
        <f t="shared" ca="1" si="0"/>
        <v>0.26349625597827891</v>
      </c>
      <c r="R30" s="306">
        <f t="shared" ca="1" si="1"/>
        <v>0.99287107485312054</v>
      </c>
      <c r="S30" s="304">
        <f t="shared" ca="1" si="2"/>
        <v>0.4149465504103873</v>
      </c>
      <c r="T30" s="306">
        <f t="shared" ca="1" si="3"/>
        <v>1.2817656466908911</v>
      </c>
      <c r="U30" s="304">
        <f t="shared" ca="1" si="4"/>
        <v>0.24256616004780313</v>
      </c>
      <c r="V30" s="306">
        <f t="shared" ca="1" si="5"/>
        <v>1.2079657132850177</v>
      </c>
      <c r="W30" s="304">
        <f t="shared" ca="1" si="6"/>
        <v>0.30939443854472948</v>
      </c>
      <c r="X30" s="306">
        <f t="shared" ca="1" si="7"/>
        <v>0.83910797556494632</v>
      </c>
      <c r="Y30" s="304">
        <f t="shared" ca="1" si="8"/>
        <v>0.27813531153982596</v>
      </c>
      <c r="Z30" s="306">
        <f t="shared" ca="1" si="9"/>
        <v>1.2186111605048482</v>
      </c>
      <c r="AA30" s="304">
        <f t="shared" ca="1" si="10"/>
        <v>1.1995238221415072</v>
      </c>
      <c r="AB30" s="306">
        <f t="shared" ca="1" si="11"/>
        <v>1.0610115558771422</v>
      </c>
      <c r="AC30" s="294"/>
      <c r="AD30" s="286"/>
      <c r="AE30" s="284"/>
      <c r="AF30" s="286"/>
      <c r="AG30" s="284"/>
      <c r="AH30" s="286"/>
      <c r="AI30" s="284"/>
      <c r="AJ30" s="286"/>
    </row>
    <row r="31" spans="2:36" x14ac:dyDescent="0.2">
      <c r="B31" s="285"/>
      <c r="C31" s="276" t="s">
        <v>329</v>
      </c>
      <c r="D31" s="277">
        <f t="shared" ref="D31:I31" ca="1" si="17">IF(ISNUMBER(D10),SUM(D10:D28)^2,"")</f>
        <v>84.441856432449384</v>
      </c>
      <c r="E31" s="277">
        <f t="shared" ca="1" si="17"/>
        <v>123.74401296257939</v>
      </c>
      <c r="F31" s="277">
        <f t="shared" ca="1" si="17"/>
        <v>64.750181521422093</v>
      </c>
      <c r="G31" s="277">
        <f t="shared" ca="1" si="17"/>
        <v>117.24061937460986</v>
      </c>
      <c r="H31" s="277">
        <f t="shared" ca="1" si="17"/>
        <v>75.560082700518763</v>
      </c>
      <c r="I31" s="277">
        <f t="shared" ca="1" si="17"/>
        <v>713.16345901597401</v>
      </c>
      <c r="J31" s="277"/>
      <c r="K31" s="277"/>
      <c r="L31" s="277"/>
      <c r="M31" s="277"/>
      <c r="N31" s="277"/>
      <c r="O31" s="258"/>
      <c r="P31" s="299">
        <v>-0.6</v>
      </c>
      <c r="Q31" s="304">
        <f t="shared" ca="1" si="0"/>
        <v>0.29494585112465321</v>
      </c>
      <c r="R31" s="306">
        <f t="shared" ca="1" si="1"/>
        <v>1.059551327579541</v>
      </c>
      <c r="S31" s="304">
        <f t="shared" ca="1" si="2"/>
        <v>0.43930778478836441</v>
      </c>
      <c r="T31" s="306">
        <f t="shared" ca="1" si="3"/>
        <v>1.3678477770118254</v>
      </c>
      <c r="U31" s="304">
        <f t="shared" ca="1" si="4"/>
        <v>0.26841572928082369</v>
      </c>
      <c r="V31" s="306">
        <f t="shared" ca="1" si="5"/>
        <v>1.2890915120787949</v>
      </c>
      <c r="W31" s="304">
        <f t="shared" ca="1" si="6"/>
        <v>0.34660704317484636</v>
      </c>
      <c r="X31" s="306">
        <f t="shared" ca="1" si="7"/>
        <v>0.89546164855688315</v>
      </c>
      <c r="Y31" s="304">
        <f t="shared" ca="1" si="8"/>
        <v>0.30375906614563475</v>
      </c>
      <c r="Z31" s="306">
        <f t="shared" ca="1" si="9"/>
        <v>1.3004518971480428</v>
      </c>
      <c r="AA31" s="304">
        <f t="shared" ca="1" si="10"/>
        <v>1.2289536555525693</v>
      </c>
      <c r="AB31" s="306">
        <f t="shared" ca="1" si="11"/>
        <v>1.1322680568302055</v>
      </c>
      <c r="AC31" s="294"/>
      <c r="AD31" s="286"/>
      <c r="AE31" s="284"/>
      <c r="AF31" s="286"/>
      <c r="AG31" s="284"/>
      <c r="AH31" s="286"/>
      <c r="AI31" s="284"/>
      <c r="AJ31" s="286"/>
    </row>
    <row r="32" spans="2:36" x14ac:dyDescent="0.2">
      <c r="B32" s="258"/>
      <c r="C32" s="283" t="s">
        <v>389</v>
      </c>
      <c r="D32" s="280"/>
      <c r="E32" s="280"/>
      <c r="F32" s="280"/>
      <c r="G32" s="280"/>
      <c r="H32" s="280"/>
      <c r="I32" s="280"/>
      <c r="J32" s="280"/>
      <c r="K32" s="280"/>
      <c r="L32" s="280"/>
      <c r="M32" s="280"/>
      <c r="N32" s="280"/>
      <c r="O32" s="280"/>
      <c r="P32" s="299">
        <v>-0.5</v>
      </c>
      <c r="Q32" s="304">
        <f t="shared" ca="1" si="0"/>
        <v>0.32639544627102746</v>
      </c>
      <c r="R32" s="306">
        <f t="shared" ca="1" si="1"/>
        <v>1.119459010921124</v>
      </c>
      <c r="S32" s="304">
        <f t="shared" ca="1" si="2"/>
        <v>0.4636690191663414</v>
      </c>
      <c r="T32" s="306">
        <f t="shared" ca="1" si="3"/>
        <v>1.445186731106582</v>
      </c>
      <c r="U32" s="304">
        <f t="shared" ca="1" si="4"/>
        <v>0.2942652985138442</v>
      </c>
      <c r="V32" s="306">
        <f t="shared" ca="1" si="5"/>
        <v>1.3619775385446922</v>
      </c>
      <c r="W32" s="304">
        <f t="shared" ca="1" si="6"/>
        <v>0.38381964780496325</v>
      </c>
      <c r="X32" s="306">
        <f t="shared" ca="1" si="7"/>
        <v>0.9460916005846205</v>
      </c>
      <c r="Y32" s="304">
        <f t="shared" ca="1" si="8"/>
        <v>0.32938282075144359</v>
      </c>
      <c r="Z32" s="306">
        <f t="shared" ca="1" si="9"/>
        <v>1.3739802467687057</v>
      </c>
      <c r="AA32" s="304">
        <f t="shared" ca="1" si="10"/>
        <v>1.2583834889636314</v>
      </c>
      <c r="AB32" s="306">
        <f t="shared" ca="1" si="11"/>
        <v>1.1962871887408126</v>
      </c>
      <c r="AC32" s="294"/>
      <c r="AD32" s="286"/>
      <c r="AE32" s="284"/>
      <c r="AF32" s="286"/>
      <c r="AG32" s="284"/>
      <c r="AH32" s="286"/>
      <c r="AI32" s="284"/>
      <c r="AJ32" s="286"/>
    </row>
    <row r="33" spans="2:36" x14ac:dyDescent="0.2">
      <c r="O33" s="258"/>
      <c r="P33" s="299">
        <v>-0.4</v>
      </c>
      <c r="Q33" s="304">
        <f t="shared" ca="1" si="0"/>
        <v>0.35784504141740181</v>
      </c>
      <c r="R33" s="306">
        <f t="shared" ca="1" si="1"/>
        <v>1.1709853134493524</v>
      </c>
      <c r="S33" s="304">
        <f t="shared" ca="1" si="2"/>
        <v>0.4880302535443185</v>
      </c>
      <c r="T33" s="306">
        <f t="shared" ca="1" si="3"/>
        <v>1.5117055835078927</v>
      </c>
      <c r="U33" s="304">
        <f t="shared" ca="1" si="4"/>
        <v>0.32011486774686476</v>
      </c>
      <c r="V33" s="306">
        <f t="shared" ca="1" si="5"/>
        <v>1.4246664498876465</v>
      </c>
      <c r="W33" s="304">
        <f t="shared" ca="1" si="6"/>
        <v>0.42103225243508013</v>
      </c>
      <c r="X33" s="306">
        <f t="shared" ca="1" si="7"/>
        <v>0.98963817223714323</v>
      </c>
      <c r="Y33" s="304">
        <f t="shared" ca="1" si="8"/>
        <v>0.35500657535725239</v>
      </c>
      <c r="Z33" s="306">
        <f t="shared" ca="1" si="9"/>
        <v>1.4372216170843199</v>
      </c>
      <c r="AA33" s="304">
        <f t="shared" ca="1" si="10"/>
        <v>1.2878133223746935</v>
      </c>
      <c r="AB33" s="306">
        <f t="shared" ca="1" si="11"/>
        <v>1.2513497278747674</v>
      </c>
      <c r="AC33" s="294"/>
      <c r="AD33" s="286"/>
      <c r="AE33" s="284"/>
      <c r="AF33" s="286"/>
      <c r="AG33" s="284"/>
      <c r="AH33" s="286"/>
      <c r="AI33" s="284"/>
      <c r="AJ33" s="286"/>
    </row>
    <row r="34" spans="2:36" x14ac:dyDescent="0.2">
      <c r="B34" s="258"/>
      <c r="C34" s="258" t="s">
        <v>390</v>
      </c>
      <c r="D34" s="258"/>
      <c r="E34" s="258"/>
      <c r="F34" s="258"/>
      <c r="G34" s="258"/>
      <c r="H34" s="258"/>
      <c r="J34" s="298" t="s">
        <v>330</v>
      </c>
      <c r="K34" s="257">
        <f ca="1">MAX(D30:M30)/SUM(D30:M30)</f>
        <v>0.26846059123483607</v>
      </c>
      <c r="L34" s="258"/>
      <c r="M34" s="258"/>
      <c r="O34" s="258"/>
      <c r="P34" s="299">
        <v>-0.3</v>
      </c>
      <c r="Q34" s="304">
        <f t="shared" ca="1" si="0"/>
        <v>0.38929463656377605</v>
      </c>
      <c r="R34" s="306">
        <f t="shared" ca="1" si="1"/>
        <v>1.2126954693230538</v>
      </c>
      <c r="S34" s="304">
        <f t="shared" ca="1" si="2"/>
        <v>0.5123914879222955</v>
      </c>
      <c r="T34" s="306">
        <f t="shared" ca="1" si="3"/>
        <v>1.5655520961832081</v>
      </c>
      <c r="U34" s="304">
        <f t="shared" ca="1" si="4"/>
        <v>0.34596443697988533</v>
      </c>
      <c r="V34" s="306">
        <f t="shared" ca="1" si="5"/>
        <v>1.4754126539692374</v>
      </c>
      <c r="W34" s="304">
        <f t="shared" ca="1" si="6"/>
        <v>0.45824485706519702</v>
      </c>
      <c r="X34" s="306">
        <f t="shared" ca="1" si="7"/>
        <v>1.0248887957492216</v>
      </c>
      <c r="Y34" s="304">
        <f t="shared" ca="1" si="8"/>
        <v>0.38063032996306123</v>
      </c>
      <c r="Z34" s="306">
        <f t="shared" ca="1" si="9"/>
        <v>1.4884150325653873</v>
      </c>
      <c r="AA34" s="304">
        <f t="shared" ca="1" si="10"/>
        <v>1.3172431557857558</v>
      </c>
      <c r="AB34" s="306">
        <f t="shared" ca="1" si="11"/>
        <v>1.2959224407881547</v>
      </c>
      <c r="AC34" s="294"/>
      <c r="AD34" s="286"/>
      <c r="AE34" s="284"/>
      <c r="AF34" s="286"/>
      <c r="AG34" s="284"/>
      <c r="AH34" s="286"/>
      <c r="AI34" s="284"/>
      <c r="AJ34" s="286"/>
    </row>
    <row r="35" spans="2:36" x14ac:dyDescent="0.2">
      <c r="B35" s="258"/>
      <c r="C35" s="258" t="s">
        <v>337</v>
      </c>
      <c r="D35" s="258"/>
      <c r="E35" s="258"/>
      <c r="F35" s="258"/>
      <c r="G35" s="258"/>
      <c r="H35" s="258"/>
      <c r="J35" s="298" t="s">
        <v>331</v>
      </c>
      <c r="K35" s="275">
        <f ca="1">1/((1+(D67-1)/FINV(0.05/D67,D68-1,(D67-1)*(D68-1))))</f>
        <v>0.30438731893923426</v>
      </c>
      <c r="L35" s="258"/>
      <c r="M35" s="258"/>
      <c r="O35" s="258"/>
      <c r="P35" s="299">
        <v>-0.2</v>
      </c>
      <c r="Q35" s="304">
        <f t="shared" ca="1" si="0"/>
        <v>0.42074423171015035</v>
      </c>
      <c r="R35" s="306">
        <f t="shared" ca="1" si="1"/>
        <v>1.2433950012883959</v>
      </c>
      <c r="S35" s="304">
        <f t="shared" ca="1" si="2"/>
        <v>0.5367527223002726</v>
      </c>
      <c r="T35" s="306">
        <f t="shared" ca="1" si="3"/>
        <v>1.6051842361853583</v>
      </c>
      <c r="U35" s="304">
        <f t="shared" ca="1" si="4"/>
        <v>0.37181400621290589</v>
      </c>
      <c r="V35" s="306">
        <f t="shared" ca="1" si="5"/>
        <v>1.5127629031277363</v>
      </c>
      <c r="W35" s="304">
        <f t="shared" ca="1" si="6"/>
        <v>0.49545746169531391</v>
      </c>
      <c r="X35" s="306">
        <f t="shared" ca="1" si="7"/>
        <v>1.0508339791377499</v>
      </c>
      <c r="Y35" s="304">
        <f t="shared" ca="1" si="8"/>
        <v>0.40625408456887002</v>
      </c>
      <c r="Z35" s="306">
        <f t="shared" ca="1" si="9"/>
        <v>1.5260944385051514</v>
      </c>
      <c r="AA35" s="304">
        <f t="shared" ca="1" si="10"/>
        <v>1.3466729891968179</v>
      </c>
      <c r="AB35" s="306">
        <f t="shared" ca="1" si="11"/>
        <v>1.3287288735670189</v>
      </c>
      <c r="AC35" s="294"/>
      <c r="AD35" s="286"/>
      <c r="AE35" s="284"/>
      <c r="AF35" s="286"/>
      <c r="AG35" s="284"/>
      <c r="AH35" s="286"/>
      <c r="AI35" s="284"/>
      <c r="AJ35" s="286"/>
    </row>
    <row r="36" spans="2:36" x14ac:dyDescent="0.2">
      <c r="B36" s="258"/>
      <c r="C36" s="258"/>
      <c r="D36" s="258"/>
      <c r="E36" s="258"/>
      <c r="F36" s="258"/>
      <c r="G36" s="258"/>
      <c r="H36" s="258"/>
      <c r="J36" s="288" t="s">
        <v>46</v>
      </c>
      <c r="K36" s="263" t="str">
        <f ca="1">IF(ABS(K34)&lt;K35,"homogeneity","heterogeneity")</f>
        <v>homogeneity</v>
      </c>
      <c r="L36" s="258"/>
      <c r="M36" s="258"/>
      <c r="O36" s="258"/>
      <c r="P36" s="299">
        <v>-0.1</v>
      </c>
      <c r="Q36" s="304">
        <f t="shared" ca="1" si="0"/>
        <v>0.45219382685652465</v>
      </c>
      <c r="R36" s="306">
        <f t="shared" ca="1" si="1"/>
        <v>1.2621865102857293</v>
      </c>
      <c r="S36" s="304">
        <f t="shared" ca="1" si="2"/>
        <v>0.56111395667824959</v>
      </c>
      <c r="T36" s="306">
        <f t="shared" ca="1" si="3"/>
        <v>1.6294434892669614</v>
      </c>
      <c r="U36" s="304">
        <f t="shared" ca="1" si="4"/>
        <v>0.39766357544592645</v>
      </c>
      <c r="V36" s="306">
        <f t="shared" ca="1" si="5"/>
        <v>1.5356253866309684</v>
      </c>
      <c r="W36" s="304">
        <f t="shared" ca="1" si="6"/>
        <v>0.53267006632543079</v>
      </c>
      <c r="X36" s="306">
        <f t="shared" ca="1" si="7"/>
        <v>1.066715300964852</v>
      </c>
      <c r="Y36" s="304">
        <f t="shared" ca="1" si="8"/>
        <v>0.43187783917467887</v>
      </c>
      <c r="Z36" s="306">
        <f t="shared" ca="1" si="9"/>
        <v>1.5491584023639693</v>
      </c>
      <c r="AA36" s="304">
        <f t="shared" ca="1" si="10"/>
        <v>1.37610282260788</v>
      </c>
      <c r="AB36" s="306">
        <f t="shared" ca="1" si="11"/>
        <v>1.3488100388900086</v>
      </c>
      <c r="AC36" s="294"/>
      <c r="AD36" s="286"/>
      <c r="AE36" s="284"/>
      <c r="AF36" s="286"/>
      <c r="AG36" s="284"/>
      <c r="AH36" s="286"/>
      <c r="AI36" s="284"/>
      <c r="AJ36" s="286"/>
    </row>
    <row r="37" spans="2:36" ht="15" customHeight="1" x14ac:dyDescent="0.2">
      <c r="B37" s="258"/>
      <c r="C37" s="258" t="s">
        <v>335</v>
      </c>
      <c r="D37" s="258"/>
      <c r="E37" s="258"/>
      <c r="F37" s="258"/>
      <c r="G37" s="258"/>
      <c r="H37" s="258"/>
      <c r="J37" s="258" t="s">
        <v>351</v>
      </c>
      <c r="K37" s="258"/>
      <c r="L37" s="258"/>
      <c r="M37" s="258"/>
      <c r="O37" s="258"/>
      <c r="P37" s="299">
        <v>0</v>
      </c>
      <c r="Q37" s="304">
        <f t="shared" ca="1" si="0"/>
        <v>0.48364342200289895</v>
      </c>
      <c r="R37" s="306">
        <f t="shared" ca="1" si="1"/>
        <v>1.268513246496991</v>
      </c>
      <c r="S37" s="304">
        <f t="shared" ca="1" si="2"/>
        <v>0.5854751910562267</v>
      </c>
      <c r="T37" s="306">
        <f t="shared" ca="1" si="3"/>
        <v>1.6376111087461271</v>
      </c>
      <c r="U37" s="304">
        <f t="shared" ca="1" si="4"/>
        <v>0.42351314467894702</v>
      </c>
      <c r="V37" s="306">
        <f t="shared" ca="1" si="5"/>
        <v>1.543322740913682</v>
      </c>
      <c r="W37" s="304">
        <f t="shared" ca="1" si="6"/>
        <v>0.56988267095554768</v>
      </c>
      <c r="X37" s="306">
        <f t="shared" ca="1" si="7"/>
        <v>1.0720622336619805</v>
      </c>
      <c r="Y37" s="304">
        <f t="shared" ca="1" si="8"/>
        <v>0.45750159378048766</v>
      </c>
      <c r="Z37" s="306">
        <f t="shared" ca="1" si="9"/>
        <v>1.5569235911703352</v>
      </c>
      <c r="AA37" s="304">
        <f t="shared" ca="1" si="10"/>
        <v>1.4055326560189421</v>
      </c>
      <c r="AB37" s="306">
        <f t="shared" ca="1" si="11"/>
        <v>1.3555709773453144</v>
      </c>
      <c r="AC37" s="294"/>
      <c r="AD37" s="286"/>
      <c r="AE37" s="284"/>
      <c r="AF37" s="286"/>
      <c r="AG37" s="284"/>
      <c r="AH37" s="286"/>
      <c r="AI37" s="284"/>
      <c r="AJ37" s="286"/>
    </row>
    <row r="38" spans="2:36" ht="15" customHeight="1" x14ac:dyDescent="0.2">
      <c r="B38" s="258"/>
      <c r="C38" s="258" t="s">
        <v>341</v>
      </c>
      <c r="D38" s="258"/>
      <c r="E38" s="258"/>
      <c r="F38" s="258"/>
      <c r="G38" s="258"/>
      <c r="H38" s="258"/>
      <c r="I38" s="258"/>
      <c r="J38" s="258"/>
      <c r="K38" s="258"/>
      <c r="L38" s="258"/>
      <c r="M38" s="258"/>
      <c r="O38" s="258"/>
      <c r="P38" s="299">
        <v>0.1</v>
      </c>
      <c r="Q38" s="304">
        <f t="shared" ca="1" si="0"/>
        <v>0.51509301714927325</v>
      </c>
      <c r="R38" s="306">
        <f t="shared" ca="1" si="1"/>
        <v>1.2621865102857293</v>
      </c>
      <c r="S38" s="304">
        <f t="shared" ca="1" si="2"/>
        <v>0.6098364254342038</v>
      </c>
      <c r="T38" s="306">
        <f t="shared" ca="1" si="3"/>
        <v>1.6294434892669614</v>
      </c>
      <c r="U38" s="304">
        <f t="shared" ca="1" si="4"/>
        <v>0.44936271391196758</v>
      </c>
      <c r="V38" s="306">
        <f t="shared" ca="1" si="5"/>
        <v>1.5356253866309684</v>
      </c>
      <c r="W38" s="304">
        <f t="shared" ca="1" si="6"/>
        <v>0.60709527558566456</v>
      </c>
      <c r="X38" s="306">
        <f t="shared" ca="1" si="7"/>
        <v>1.066715300964852</v>
      </c>
      <c r="Y38" s="304">
        <f t="shared" ca="1" si="8"/>
        <v>0.48312534838629645</v>
      </c>
      <c r="Z38" s="306">
        <f t="shared" ca="1" si="9"/>
        <v>1.5491584023639693</v>
      </c>
      <c r="AA38" s="304">
        <f t="shared" ca="1" si="10"/>
        <v>1.4349624894300042</v>
      </c>
      <c r="AB38" s="306">
        <f t="shared" ca="1" si="11"/>
        <v>1.3488100388900086</v>
      </c>
      <c r="AC38" s="294"/>
      <c r="AD38" s="286"/>
      <c r="AE38" s="284"/>
      <c r="AF38" s="286"/>
      <c r="AG38" s="284"/>
      <c r="AH38" s="286"/>
      <c r="AI38" s="284"/>
      <c r="AJ38" s="286"/>
    </row>
    <row r="39" spans="2:36" x14ac:dyDescent="0.2">
      <c r="B39" s="258"/>
      <c r="C39" s="258"/>
      <c r="D39" s="258"/>
      <c r="E39" s="258"/>
      <c r="F39" s="258"/>
      <c r="G39" s="258"/>
      <c r="H39" s="258"/>
      <c r="I39" s="258"/>
      <c r="J39" s="258"/>
      <c r="K39" s="258"/>
      <c r="L39" s="258"/>
      <c r="M39" s="258"/>
      <c r="N39" s="258"/>
      <c r="O39" s="258"/>
      <c r="P39" s="299">
        <v>0.2</v>
      </c>
      <c r="Q39" s="304">
        <f t="shared" ca="1" si="0"/>
        <v>0.54654261229564749</v>
      </c>
      <c r="R39" s="306">
        <f t="shared" ca="1" si="1"/>
        <v>1.2433950012883959</v>
      </c>
      <c r="S39" s="304">
        <f t="shared" ca="1" si="2"/>
        <v>0.63419765981218079</v>
      </c>
      <c r="T39" s="306">
        <f t="shared" ref="T39:T47" ca="1" si="18">NORMDIST(S39,E$29,SQRT(E$30),0)</f>
        <v>1.6051842361853583</v>
      </c>
      <c r="U39" s="304">
        <f t="shared" ca="1" si="4"/>
        <v>0.47521228314498815</v>
      </c>
      <c r="V39" s="306">
        <f t="shared" ca="1" si="5"/>
        <v>1.5127629031277363</v>
      </c>
      <c r="W39" s="304">
        <f t="shared" ca="1" si="6"/>
        <v>0.64430788021578145</v>
      </c>
      <c r="X39" s="306">
        <f t="shared" ca="1" si="7"/>
        <v>1.0508339791377499</v>
      </c>
      <c r="Y39" s="304">
        <f t="shared" ca="1" si="8"/>
        <v>0.5087491029921053</v>
      </c>
      <c r="Z39" s="306">
        <f t="shared" ca="1" si="9"/>
        <v>1.5260944385051514</v>
      </c>
      <c r="AA39" s="304">
        <f t="shared" ca="1" si="10"/>
        <v>1.4643923228410662</v>
      </c>
      <c r="AB39" s="306">
        <f t="shared" ca="1" si="11"/>
        <v>1.3287288735670189</v>
      </c>
      <c r="AC39" s="294"/>
      <c r="AD39" s="286"/>
      <c r="AE39" s="284"/>
      <c r="AF39" s="286"/>
      <c r="AG39" s="284"/>
      <c r="AH39" s="286"/>
      <c r="AI39" s="284"/>
      <c r="AJ39" s="286"/>
    </row>
    <row r="40" spans="2:36" x14ac:dyDescent="0.2">
      <c r="B40" s="258"/>
      <c r="C40" s="281" t="s">
        <v>342</v>
      </c>
      <c r="D40" s="282"/>
      <c r="E40" s="282"/>
      <c r="F40" s="282"/>
      <c r="G40" s="282"/>
      <c r="H40" s="282"/>
      <c r="I40" s="281" t="s">
        <v>219</v>
      </c>
      <c r="J40" s="282"/>
      <c r="K40" s="282"/>
      <c r="L40" s="282"/>
      <c r="M40" s="282"/>
      <c r="N40" s="282"/>
      <c r="O40" s="282"/>
      <c r="P40" s="299">
        <v>0.3</v>
      </c>
      <c r="Q40" s="304">
        <f t="shared" ca="1" si="0"/>
        <v>0.57799220744202184</v>
      </c>
      <c r="R40" s="306">
        <f t="shared" ca="1" si="1"/>
        <v>1.2126954693230538</v>
      </c>
      <c r="S40" s="304">
        <f t="shared" ref="S40:S47" ca="1" si="19">E$29+$P40*SQRT(E$30)</f>
        <v>0.6585588941901579</v>
      </c>
      <c r="T40" s="306">
        <f t="shared" ca="1" si="18"/>
        <v>1.5655520961832081</v>
      </c>
      <c r="U40" s="304">
        <f t="shared" ca="1" si="4"/>
        <v>0.50106185237800871</v>
      </c>
      <c r="V40" s="306">
        <f t="shared" ca="1" si="5"/>
        <v>1.4754126539692374</v>
      </c>
      <c r="W40" s="304">
        <f t="shared" ca="1" si="6"/>
        <v>0.68152048484589833</v>
      </c>
      <c r="X40" s="306">
        <f t="shared" ca="1" si="7"/>
        <v>1.0248887957492216</v>
      </c>
      <c r="Y40" s="304">
        <f t="shared" ca="1" si="8"/>
        <v>0.53437285759791409</v>
      </c>
      <c r="Z40" s="306">
        <f t="shared" ca="1" si="9"/>
        <v>1.4884150325653873</v>
      </c>
      <c r="AA40" s="304">
        <f t="shared" ca="1" si="10"/>
        <v>1.4938221562521283</v>
      </c>
      <c r="AB40" s="306">
        <f t="shared" ca="1" si="11"/>
        <v>1.2959224407881547</v>
      </c>
      <c r="AC40" s="294"/>
      <c r="AD40" s="286"/>
      <c r="AE40" s="284"/>
      <c r="AF40" s="286"/>
      <c r="AG40" s="284"/>
      <c r="AH40" s="286"/>
      <c r="AI40" s="284"/>
      <c r="AJ40" s="286"/>
    </row>
    <row r="41" spans="2:36" x14ac:dyDescent="0.2">
      <c r="C41" s="260" t="s">
        <v>352</v>
      </c>
      <c r="K41" s="258"/>
      <c r="P41" s="299">
        <v>0.4</v>
      </c>
      <c r="Q41" s="304">
        <f t="shared" ref="Q41:Q46" ca="1" si="20">D$29+P41*SQRT(D$30)</f>
        <v>0.60944180258839609</v>
      </c>
      <c r="R41" s="306">
        <f t="shared" ref="R41:R46" ca="1" si="21">NORMDIST(Q41,D$29,SQRT(D$30),0)</f>
        <v>1.1709853134493524</v>
      </c>
      <c r="S41" s="304">
        <f t="shared" ca="1" si="19"/>
        <v>0.68292012856813489</v>
      </c>
      <c r="T41" s="306">
        <f t="shared" ca="1" si="18"/>
        <v>1.5117055835078927</v>
      </c>
      <c r="U41" s="304">
        <f t="shared" ca="1" si="4"/>
        <v>0.52691142161102922</v>
      </c>
      <c r="V41" s="306">
        <f t="shared" ca="1" si="5"/>
        <v>1.4246664498876467</v>
      </c>
      <c r="W41" s="304">
        <f t="shared" ca="1" si="6"/>
        <v>0.71873308947601522</v>
      </c>
      <c r="X41" s="306">
        <f t="shared" ca="1" si="7"/>
        <v>0.98963817223714323</v>
      </c>
      <c r="Y41" s="304">
        <f t="shared" ca="1" si="8"/>
        <v>0.55999661220372288</v>
      </c>
      <c r="Z41" s="306">
        <f t="shared" ca="1" si="9"/>
        <v>1.4372216170843199</v>
      </c>
      <c r="AA41" s="304">
        <f t="shared" ca="1" si="10"/>
        <v>1.5232519896631906</v>
      </c>
      <c r="AB41" s="306">
        <f t="shared" ca="1" si="11"/>
        <v>1.2513497278747674</v>
      </c>
      <c r="AC41" s="294"/>
      <c r="AD41" s="286"/>
      <c r="AE41" s="284"/>
      <c r="AF41" s="286"/>
      <c r="AG41" s="284"/>
      <c r="AH41" s="286"/>
      <c r="AI41" s="284"/>
      <c r="AJ41" s="286"/>
    </row>
    <row r="42" spans="2:36" x14ac:dyDescent="0.2">
      <c r="B42" s="258"/>
      <c r="C42" s="288" t="s">
        <v>36</v>
      </c>
      <c r="D42" s="273">
        <f ca="1">J67</f>
        <v>30.822884644187653</v>
      </c>
      <c r="I42" s="288" t="s">
        <v>44</v>
      </c>
      <c r="J42" s="310">
        <f ca="1">F50-1.5</f>
        <v>-0.69931291362356107</v>
      </c>
      <c r="K42" s="265"/>
      <c r="P42" s="299">
        <v>0.5</v>
      </c>
      <c r="Q42" s="304">
        <f t="shared" ca="1" si="20"/>
        <v>0.64089139773477044</v>
      </c>
      <c r="R42" s="306">
        <f t="shared" ca="1" si="21"/>
        <v>1.119459010921124</v>
      </c>
      <c r="S42" s="304">
        <f t="shared" ca="1" si="19"/>
        <v>0.70728136294611199</v>
      </c>
      <c r="T42" s="306">
        <f t="shared" ca="1" si="18"/>
        <v>1.445186731106582</v>
      </c>
      <c r="U42" s="304">
        <f t="shared" ref="U42:U44" ca="1" si="22">F$29+$P42*SQRT(F$30)</f>
        <v>0.55276099084404984</v>
      </c>
      <c r="V42" s="306">
        <f t="shared" ref="V42:V44" ca="1" si="23">IF(ISNUMBER(F$10),NORMDIST(U42,F$29,SQRT(F$30),0),"")</f>
        <v>1.3619775385446922</v>
      </c>
      <c r="W42" s="304">
        <f t="shared" ref="W42:W44" ca="1" si="24">G$29+$P42*SQRT(G$30)</f>
        <v>0.7559456941061321</v>
      </c>
      <c r="X42" s="306">
        <f t="shared" ref="X42:X44" ca="1" si="25">IF(ISNUMBER(G$10),NORMDIST(W42,G$29,SQRT(G$30),0),"")</f>
        <v>0.9460916005846205</v>
      </c>
      <c r="Y42" s="304">
        <f t="shared" ref="Y42:Y44" ca="1" si="26">H$29+$P42*SQRT(H$30)</f>
        <v>0.58562036680953167</v>
      </c>
      <c r="Z42" s="306">
        <f t="shared" ref="Z42:Z44" ca="1" si="27">IF(ISNUMBER(H$10),NORMDIST(Y42,H$29,SQRT(H$30),0),"")</f>
        <v>1.3739802467687057</v>
      </c>
      <c r="AA42" s="304">
        <f t="shared" ref="AA42:AA44" ca="1" si="28">I$29+$P42*SQRT(I$30)</f>
        <v>1.5526818230742527</v>
      </c>
      <c r="AB42" s="306">
        <f t="shared" ref="AB42:AB44" ca="1" si="29">IF(ISNUMBER(I$10),NORMDIST(AA42,I$29,SQRT(I$30),0),"")</f>
        <v>1.1962871887408126</v>
      </c>
      <c r="AC42" s="294"/>
      <c r="AD42" s="286"/>
      <c r="AE42" s="284"/>
      <c r="AF42" s="286"/>
      <c r="AG42" s="284"/>
      <c r="AH42" s="286"/>
      <c r="AI42" s="284"/>
      <c r="AJ42" s="286"/>
    </row>
    <row r="43" spans="2:36" x14ac:dyDescent="0.2">
      <c r="B43" s="258"/>
      <c r="C43" s="288" t="s">
        <v>8</v>
      </c>
      <c r="D43" s="273">
        <f ca="1">K67</f>
        <v>2.2984308130118758</v>
      </c>
      <c r="I43" s="288" t="s">
        <v>43</v>
      </c>
      <c r="J43" s="310">
        <f ca="1">F50+1.5</f>
        <v>2.3006870863764388</v>
      </c>
      <c r="L43" s="519" t="s">
        <v>397</v>
      </c>
      <c r="M43" s="520"/>
      <c r="P43" s="299">
        <v>0.6</v>
      </c>
      <c r="Q43" s="304">
        <f t="shared" ca="1" si="20"/>
        <v>0.67234099288114468</v>
      </c>
      <c r="R43" s="306">
        <f t="shared" ca="1" si="21"/>
        <v>1.059551327579541</v>
      </c>
      <c r="S43" s="304">
        <f t="shared" ca="1" si="19"/>
        <v>0.73164259732408898</v>
      </c>
      <c r="T43" s="306">
        <f t="shared" ca="1" si="18"/>
        <v>1.3678477770118254</v>
      </c>
      <c r="U43" s="304">
        <f t="shared" ca="1" si="22"/>
        <v>0.57861056007707035</v>
      </c>
      <c r="V43" s="306">
        <f t="shared" ca="1" si="23"/>
        <v>1.2890915120787949</v>
      </c>
      <c r="W43" s="304">
        <f t="shared" ca="1" si="24"/>
        <v>0.79315829873624899</v>
      </c>
      <c r="X43" s="306">
        <f t="shared" ca="1" si="25"/>
        <v>0.89546164855688315</v>
      </c>
      <c r="Y43" s="304">
        <f t="shared" ca="1" si="26"/>
        <v>0.61124412141534057</v>
      </c>
      <c r="Z43" s="306">
        <f t="shared" ca="1" si="27"/>
        <v>1.3004518971480428</v>
      </c>
      <c r="AA43" s="304">
        <f t="shared" ca="1" si="28"/>
        <v>1.5821116564853148</v>
      </c>
      <c r="AB43" s="306">
        <f t="shared" ca="1" si="29"/>
        <v>1.1322680568302055</v>
      </c>
      <c r="AC43" s="294"/>
      <c r="AD43" s="286"/>
      <c r="AE43" s="284"/>
      <c r="AF43" s="286"/>
      <c r="AG43" s="284"/>
      <c r="AH43" s="286"/>
      <c r="AI43" s="284"/>
      <c r="AJ43" s="286"/>
    </row>
    <row r="44" spans="2:36" x14ac:dyDescent="0.2">
      <c r="B44" s="258"/>
      <c r="C44" s="295" t="s">
        <v>46</v>
      </c>
      <c r="D44" s="261" t="str">
        <f ca="1">IF(D42&lt;D43,"equivalence","difference")</f>
        <v>difference</v>
      </c>
      <c r="I44" s="288" t="s">
        <v>42</v>
      </c>
      <c r="J44" s="273">
        <f ca="1">MIN((C50-J42)/(3*SQRT(I66)),(J43-C50)/(3*SQRT(I66)))</f>
        <v>1.0103675386796809</v>
      </c>
      <c r="K44" s="260" t="s">
        <v>398</v>
      </c>
      <c r="L44" s="273">
        <f ca="1">J44*SQRT(_xlfn.CHISQ.INV(0.025,H66)/H66)</f>
        <v>0.87872707214755164</v>
      </c>
      <c r="M44" s="273">
        <f ca="1">J44*SQRT(_xlfn.CHISQ.INV(0.975,H66)/H66)</f>
        <v>1.14179961684689</v>
      </c>
      <c r="N44" s="258"/>
      <c r="P44" s="299">
        <v>0.7</v>
      </c>
      <c r="Q44" s="304">
        <f t="shared" ca="1" si="20"/>
        <v>0.70379058802751904</v>
      </c>
      <c r="R44" s="306">
        <f t="shared" ca="1" si="21"/>
        <v>0.99287107485312032</v>
      </c>
      <c r="S44" s="304">
        <f t="shared" ca="1" si="19"/>
        <v>0.75600383170206609</v>
      </c>
      <c r="T44" s="306">
        <f t="shared" ca="1" si="18"/>
        <v>1.2817656466908911</v>
      </c>
      <c r="U44" s="304">
        <f t="shared" ca="1" si="22"/>
        <v>0.60446012931009085</v>
      </c>
      <c r="V44" s="306">
        <f t="shared" ca="1" si="23"/>
        <v>1.2079657132850181</v>
      </c>
      <c r="W44" s="304">
        <f t="shared" ca="1" si="24"/>
        <v>0.83037090336636588</v>
      </c>
      <c r="X44" s="306">
        <f t="shared" ca="1" si="25"/>
        <v>0.83910797556494632</v>
      </c>
      <c r="Y44" s="304">
        <f t="shared" ca="1" si="26"/>
        <v>0.63686787602114936</v>
      </c>
      <c r="Z44" s="306">
        <f t="shared" ca="1" si="27"/>
        <v>1.2186111605048482</v>
      </c>
      <c r="AA44" s="304">
        <f t="shared" ca="1" si="28"/>
        <v>1.6115414898963769</v>
      </c>
      <c r="AB44" s="306">
        <f t="shared" ca="1" si="29"/>
        <v>1.0610115558771422</v>
      </c>
      <c r="AC44" s="294"/>
      <c r="AD44" s="286"/>
      <c r="AE44" s="284"/>
      <c r="AF44" s="286"/>
      <c r="AG44" s="284"/>
      <c r="AH44" s="286"/>
      <c r="AI44" s="284"/>
      <c r="AJ44" s="286"/>
    </row>
    <row r="45" spans="2:36" x14ac:dyDescent="0.2">
      <c r="B45" s="258"/>
      <c r="P45" s="299">
        <v>0.8</v>
      </c>
      <c r="Q45" s="304">
        <f t="shared" ca="1" si="20"/>
        <v>0.73524018317389328</v>
      </c>
      <c r="R45" s="306">
        <f t="shared" ca="1" si="21"/>
        <v>0.92112967245901167</v>
      </c>
      <c r="S45" s="304">
        <f t="shared" ca="1" si="19"/>
        <v>0.78036506608004319</v>
      </c>
      <c r="T45" s="306">
        <f t="shared" ca="1" si="18"/>
        <v>1.1891497297171794</v>
      </c>
      <c r="U45" s="304">
        <f t="shared" ref="U45:U67" ca="1" si="30">F$29+$P45*SQRT(F$30)</f>
        <v>0.63030969854311147</v>
      </c>
      <c r="V45" s="306">
        <f t="shared" ca="1" si="5"/>
        <v>1.1206823222083995</v>
      </c>
      <c r="W45" s="304">
        <f t="shared" ref="W45:W67" ca="1" si="31">G$29+$P45*SQRT(G$30)</f>
        <v>0.86758350799648287</v>
      </c>
      <c r="X45" s="306">
        <f t="shared" ca="1" si="7"/>
        <v>0.77847695865671729</v>
      </c>
      <c r="Y45" s="304">
        <f t="shared" ref="Y45:Y67" ca="1" si="32">H$29+$P45*SQRT(H$30)</f>
        <v>0.66249163062695815</v>
      </c>
      <c r="Z45" s="306">
        <f t="shared" ca="1" si="9"/>
        <v>1.1305585665256517</v>
      </c>
      <c r="AA45" s="304">
        <f t="shared" ref="AA45:AA67" ca="1" si="33">I$29+$P45*SQRT(I$30)</f>
        <v>1.640971323307439</v>
      </c>
      <c r="AB45" s="306">
        <f t="shared" ca="1" si="11"/>
        <v>0.98434655988434239</v>
      </c>
      <c r="AC45" s="294"/>
      <c r="AD45" s="286"/>
      <c r="AE45" s="284"/>
      <c r="AF45" s="286"/>
      <c r="AG45" s="284"/>
      <c r="AH45" s="286"/>
      <c r="AI45" s="284"/>
      <c r="AJ45" s="286"/>
    </row>
    <row r="46" spans="2:36" x14ac:dyDescent="0.2">
      <c r="B46" s="258"/>
      <c r="C46" s="283" t="s">
        <v>353</v>
      </c>
      <c r="D46" s="280"/>
      <c r="E46" s="280"/>
      <c r="F46" s="280"/>
      <c r="G46" s="280"/>
      <c r="H46" s="280"/>
      <c r="I46" s="280"/>
      <c r="J46" s="280"/>
      <c r="K46" s="280"/>
      <c r="L46" s="280"/>
      <c r="M46" s="280"/>
      <c r="N46" s="280"/>
      <c r="O46" s="280"/>
      <c r="P46" s="299">
        <v>0.9</v>
      </c>
      <c r="Q46" s="304">
        <f t="shared" ca="1" si="20"/>
        <v>0.76668977832026752</v>
      </c>
      <c r="R46" s="306">
        <f t="shared" ca="1" si="21"/>
        <v>0.84606891968029296</v>
      </c>
      <c r="S46" s="304">
        <f t="shared" ca="1" si="19"/>
        <v>0.80472630045802018</v>
      </c>
      <c r="T46" s="306">
        <f t="shared" ca="1" si="18"/>
        <v>1.0922486347379021</v>
      </c>
      <c r="U46" s="304">
        <f t="shared" ca="1" si="30"/>
        <v>0.65615926777613209</v>
      </c>
      <c r="V46" s="306">
        <f t="shared" ca="1" si="5"/>
        <v>1.0293604798599669</v>
      </c>
      <c r="W46" s="304">
        <f t="shared" ca="1" si="31"/>
        <v>0.90479611262659976</v>
      </c>
      <c r="X46" s="306">
        <f t="shared" ca="1" si="7"/>
        <v>0.71504064964968017</v>
      </c>
      <c r="Y46" s="304">
        <f t="shared" ca="1" si="32"/>
        <v>0.68811538523276694</v>
      </c>
      <c r="Z46" s="306">
        <f t="shared" ca="1" si="9"/>
        <v>1.0384319315891133</v>
      </c>
      <c r="AA46" s="304">
        <f t="shared" ca="1" si="33"/>
        <v>1.6704011567185013</v>
      </c>
      <c r="AB46" s="306">
        <f t="shared" ca="1" si="11"/>
        <v>0.90413440736208261</v>
      </c>
      <c r="AC46" s="294"/>
      <c r="AD46" s="286"/>
      <c r="AE46" s="284"/>
      <c r="AF46" s="286"/>
      <c r="AG46" s="284"/>
      <c r="AH46" s="286"/>
      <c r="AI46" s="284"/>
      <c r="AJ46" s="286"/>
    </row>
    <row r="47" spans="2:36" ht="15" customHeight="1" x14ac:dyDescent="0.2">
      <c r="B47" s="258"/>
      <c r="C47" s="260" t="s">
        <v>392</v>
      </c>
      <c r="J47" s="260" t="s">
        <v>391</v>
      </c>
      <c r="P47" s="299">
        <v>1</v>
      </c>
      <c r="Q47" s="304">
        <f t="shared" ref="Q47:Q67" ca="1" si="34">D$29+P47*SQRT(D$30)</f>
        <v>0.79813937346664188</v>
      </c>
      <c r="R47" s="306">
        <f t="shared" ref="R47:R67" ca="1" si="35">NORMDIST(Q47,D$29,SQRT(D$30),0)</f>
        <v>0.76939217625203449</v>
      </c>
      <c r="S47" s="304">
        <f t="shared" ca="1" si="19"/>
        <v>0.82908753483599718</v>
      </c>
      <c r="T47" s="306">
        <f t="shared" ca="1" si="18"/>
        <v>0.99326134614052564</v>
      </c>
      <c r="U47" s="304">
        <f t="shared" ca="1" si="30"/>
        <v>0.6820088370091526</v>
      </c>
      <c r="V47" s="306">
        <f t="shared" ca="1" si="5"/>
        <v>0.93607256019588503</v>
      </c>
      <c r="W47" s="304">
        <f t="shared" ca="1" si="31"/>
        <v>0.94200871725671664</v>
      </c>
      <c r="X47" s="306">
        <f t="shared" ca="1" si="7"/>
        <v>0.65023861383600023</v>
      </c>
      <c r="Y47" s="304">
        <f t="shared" ca="1" si="32"/>
        <v>0.71373913983857573</v>
      </c>
      <c r="Z47" s="306">
        <f t="shared" ca="1" si="9"/>
        <v>0.94432189287470591</v>
      </c>
      <c r="AA47" s="304">
        <f t="shared" ca="1" si="33"/>
        <v>1.6998309901295632</v>
      </c>
      <c r="AB47" s="306">
        <f t="shared" ca="1" si="11"/>
        <v>0.82219535917655306</v>
      </c>
      <c r="AC47" s="294"/>
      <c r="AD47" s="286"/>
      <c r="AE47" s="284"/>
      <c r="AF47" s="286"/>
      <c r="AG47" s="284"/>
      <c r="AH47" s="286"/>
      <c r="AI47" s="284"/>
      <c r="AJ47" s="286"/>
    </row>
    <row r="48" spans="2:36" ht="15" customHeight="1" x14ac:dyDescent="0.2">
      <c r="B48" s="258"/>
      <c r="C48" s="516" t="s">
        <v>183</v>
      </c>
      <c r="D48" s="517"/>
      <c r="E48" s="517"/>
      <c r="F48" s="517"/>
      <c r="G48" s="517"/>
      <c r="H48" s="518"/>
      <c r="J48" s="296" t="s">
        <v>338</v>
      </c>
      <c r="K48" s="288" t="s">
        <v>216</v>
      </c>
      <c r="L48" s="297" t="s">
        <v>339</v>
      </c>
      <c r="M48" s="288" t="s">
        <v>394</v>
      </c>
      <c r="N48" s="295" t="s">
        <v>46</v>
      </c>
      <c r="O48" s="258"/>
      <c r="P48" s="299">
        <v>1.1000000000000001</v>
      </c>
      <c r="Q48" s="304">
        <f t="shared" ca="1" si="34"/>
        <v>0.82958896861301623</v>
      </c>
      <c r="R48" s="306">
        <f t="shared" ca="1" si="35"/>
        <v>0.69270264376572088</v>
      </c>
      <c r="S48" s="304">
        <f t="shared" ref="S48:S67" ca="1" si="36">E$29+$P48*SQRT(E$30)</f>
        <v>0.85344876921397428</v>
      </c>
      <c r="T48" s="306">
        <f t="shared" ref="T48:T67" ca="1" si="37">NORMDIST(S48,E$29,SQRT(E$30),0)</f>
        <v>0.89425754726736029</v>
      </c>
      <c r="U48" s="304">
        <f t="shared" ca="1" si="30"/>
        <v>0.70785840624217311</v>
      </c>
      <c r="V48" s="306">
        <f t="shared" ca="1" si="5"/>
        <v>0.84276908086446378</v>
      </c>
      <c r="W48" s="304">
        <f t="shared" ca="1" si="31"/>
        <v>0.97922132188683353</v>
      </c>
      <c r="X48" s="306">
        <f t="shared" ca="1" si="7"/>
        <v>0.58542576956905212</v>
      </c>
      <c r="Y48" s="304">
        <f t="shared" ca="1" si="32"/>
        <v>0.73936289444438463</v>
      </c>
      <c r="Z48" s="306">
        <f t="shared" ca="1" si="9"/>
        <v>0.85019615737017795</v>
      </c>
      <c r="AA48" s="304">
        <f t="shared" ca="1" si="33"/>
        <v>1.7292608235406255</v>
      </c>
      <c r="AB48" s="306">
        <f t="shared" ca="1" si="11"/>
        <v>0.74024264422327291</v>
      </c>
      <c r="AC48" s="294"/>
      <c r="AD48" s="286"/>
      <c r="AE48" s="284"/>
      <c r="AF48" s="286"/>
      <c r="AG48" s="284"/>
      <c r="AH48" s="286"/>
      <c r="AI48" s="284"/>
      <c r="AJ48" s="286"/>
    </row>
    <row r="49" spans="2:36" ht="15" customHeight="1" x14ac:dyDescent="0.2">
      <c r="B49" s="258"/>
      <c r="C49" s="295" t="s">
        <v>360</v>
      </c>
      <c r="D49" s="504" t="s">
        <v>354</v>
      </c>
      <c r="E49" s="505"/>
      <c r="F49" s="288" t="s">
        <v>355</v>
      </c>
      <c r="G49" s="295" t="s">
        <v>46</v>
      </c>
      <c r="H49" s="288" t="s">
        <v>356</v>
      </c>
      <c r="J49" s="288" t="s">
        <v>340</v>
      </c>
      <c r="K49" s="271">
        <f ca="1">SQRT(M68)/C50</f>
        <v>0.44815170766739876</v>
      </c>
      <c r="L49" s="272">
        <v>0.5</v>
      </c>
      <c r="M49" s="271">
        <f ca="1">SQRT(_xlfn.CHISQ.INV(0.95,H66)/H66)*L49</f>
        <v>0.55417035686995497</v>
      </c>
      <c r="N49" s="278" t="str">
        <f ca="1">IF(K49&lt;M49,"accepted","rejected")</f>
        <v>accepted</v>
      </c>
      <c r="O49" s="258"/>
      <c r="P49" s="299">
        <v>1.2</v>
      </c>
      <c r="Q49" s="304">
        <f t="shared" ca="1" si="34"/>
        <v>0.86103856375939047</v>
      </c>
      <c r="R49" s="306">
        <f t="shared" ca="1" si="35"/>
        <v>0.61745168444751808</v>
      </c>
      <c r="S49" s="304">
        <f t="shared" ca="1" si="36"/>
        <v>0.87781000359195138</v>
      </c>
      <c r="T49" s="306">
        <f t="shared" ca="1" si="37"/>
        <v>0.7971109015672877</v>
      </c>
      <c r="U49" s="304">
        <f t="shared" ca="1" si="30"/>
        <v>0.73370797547519373</v>
      </c>
      <c r="V49" s="306">
        <f t="shared" ca="1" si="5"/>
        <v>0.75121582581406154</v>
      </c>
      <c r="W49" s="304">
        <f t="shared" ca="1" si="31"/>
        <v>1.0164339265169504</v>
      </c>
      <c r="X49" s="306">
        <f t="shared" ca="1" si="7"/>
        <v>0.52182871076445514</v>
      </c>
      <c r="Y49" s="304">
        <f t="shared" ca="1" si="32"/>
        <v>0.76498664905019342</v>
      </c>
      <c r="Z49" s="306">
        <f t="shared" ca="1" si="9"/>
        <v>0.75783607035946121</v>
      </c>
      <c r="AA49" s="304">
        <f t="shared" ca="1" si="33"/>
        <v>1.7586906569516876</v>
      </c>
      <c r="AB49" s="306">
        <f t="shared" ca="1" si="11"/>
        <v>0.6598272313366953</v>
      </c>
      <c r="AC49" s="294"/>
      <c r="AD49" s="286"/>
      <c r="AE49" s="284"/>
      <c r="AF49" s="286"/>
      <c r="AG49" s="284"/>
      <c r="AH49" s="286"/>
      <c r="AI49" s="284"/>
      <c r="AJ49" s="286"/>
    </row>
    <row r="50" spans="2:36" ht="15" customHeight="1" x14ac:dyDescent="0.2">
      <c r="C50" s="259">
        <f ca="1">AVERAGE(D29:M29)</f>
        <v>0.65425811308217507</v>
      </c>
      <c r="D50" s="261">
        <f ca="1">C50-H52*G52</f>
        <v>0.57139676424706276</v>
      </c>
      <c r="E50" s="261">
        <f ca="1">C50+H52*G52</f>
        <v>0.73711946191728739</v>
      </c>
      <c r="F50" s="270">
        <f ca="1">RAND()</f>
        <v>0.80068708637643893</v>
      </c>
      <c r="G50" s="406" t="str">
        <f ca="1">IF(D50&lt;F50,IF(E50&gt;F50,"no bias","bias"),"bias")</f>
        <v>bias</v>
      </c>
      <c r="H50" s="273">
        <f ca="1">F50-C50</f>
        <v>0.14642897329426385</v>
      </c>
      <c r="J50" s="288" t="s">
        <v>10</v>
      </c>
      <c r="K50" s="271">
        <f ca="1">SQRT(M66)/C50</f>
        <v>0.71838949490557502</v>
      </c>
      <c r="L50" s="272">
        <v>0.5</v>
      </c>
      <c r="M50" s="271">
        <f ca="1">SQRT(_xlfn.CHISQ.INV(0.95,H66)/H66)*L50</f>
        <v>0.55417035686995497</v>
      </c>
      <c r="N50" s="278" t="str">
        <f ca="1">IF(K50&lt;M50,"accepted","rejected")</f>
        <v>rejected</v>
      </c>
      <c r="O50" s="258"/>
      <c r="P50" s="299">
        <v>1.3</v>
      </c>
      <c r="Q50" s="304">
        <f t="shared" ca="1" si="34"/>
        <v>0.89248815890576472</v>
      </c>
      <c r="R50" s="306">
        <f t="shared" ca="1" si="35"/>
        <v>0.54489919902057582</v>
      </c>
      <c r="S50" s="304">
        <f t="shared" ca="1" si="36"/>
        <v>0.90217123796992837</v>
      </c>
      <c r="T50" s="306">
        <f t="shared" ca="1" si="37"/>
        <v>0.70344790164954596</v>
      </c>
      <c r="U50" s="304">
        <f t="shared" ca="1" si="30"/>
        <v>0.75955754470821435</v>
      </c>
      <c r="V50" s="306">
        <f t="shared" ca="1" si="5"/>
        <v>0.6629456394534381</v>
      </c>
      <c r="W50" s="304">
        <f t="shared" ca="1" si="31"/>
        <v>1.0536465311470673</v>
      </c>
      <c r="X50" s="306">
        <f t="shared" ca="1" si="7"/>
        <v>0.46051222092934435</v>
      </c>
      <c r="Y50" s="304">
        <f t="shared" ca="1" si="32"/>
        <v>0.79061040365600221</v>
      </c>
      <c r="Z50" s="306">
        <f t="shared" ca="1" si="9"/>
        <v>0.66878798475910595</v>
      </c>
      <c r="AA50" s="304">
        <f t="shared" ca="1" si="33"/>
        <v>1.7881204903627497</v>
      </c>
      <c r="AB50" s="306">
        <f t="shared" ca="1" si="11"/>
        <v>0.58229548789560293</v>
      </c>
      <c r="AC50" s="294"/>
      <c r="AD50" s="286"/>
      <c r="AE50" s="284"/>
      <c r="AF50" s="286"/>
      <c r="AG50" s="284"/>
      <c r="AH50" s="286"/>
      <c r="AI50" s="284"/>
      <c r="AJ50" s="286"/>
    </row>
    <row r="51" spans="2:36" ht="15" customHeight="1" x14ac:dyDescent="0.2">
      <c r="C51" s="258" t="s">
        <v>357</v>
      </c>
      <c r="E51" s="299"/>
      <c r="G51" s="342" t="s">
        <v>334</v>
      </c>
      <c r="H51" s="305" t="s">
        <v>332</v>
      </c>
      <c r="J51" s="258" t="s">
        <v>393</v>
      </c>
      <c r="K51" s="258"/>
      <c r="L51" s="258"/>
      <c r="M51" s="258"/>
      <c r="N51" s="258"/>
      <c r="O51" s="258"/>
      <c r="P51" s="299">
        <v>1.4</v>
      </c>
      <c r="Q51" s="304">
        <f t="shared" ca="1" si="34"/>
        <v>0.92393775405213896</v>
      </c>
      <c r="R51" s="306">
        <f t="shared" ca="1" si="35"/>
        <v>0.47608710045034225</v>
      </c>
      <c r="S51" s="304">
        <f t="shared" ca="1" si="36"/>
        <v>0.92653247234790537</v>
      </c>
      <c r="T51" s="306">
        <f t="shared" ca="1" si="37"/>
        <v>0.61461362471476799</v>
      </c>
      <c r="U51" s="304">
        <f t="shared" ca="1" si="30"/>
        <v>0.78540711394123486</v>
      </c>
      <c r="V51" s="306">
        <f t="shared" ca="1" si="5"/>
        <v>0.57922615377466757</v>
      </c>
      <c r="W51" s="304">
        <f t="shared" ca="1" si="31"/>
        <v>1.0908591357771842</v>
      </c>
      <c r="X51" s="306">
        <f t="shared" ca="1" si="7"/>
        <v>0.40235685495276363</v>
      </c>
      <c r="Y51" s="304">
        <f t="shared" ca="1" si="32"/>
        <v>0.816234158261811</v>
      </c>
      <c r="Z51" s="306">
        <f t="shared" ca="1" si="9"/>
        <v>0.58433070382980568</v>
      </c>
      <c r="AA51" s="304">
        <f t="shared" ca="1" si="33"/>
        <v>1.8175503237738118</v>
      </c>
      <c r="AB51" s="306">
        <f t="shared" ca="1" si="11"/>
        <v>0.50876083307853559</v>
      </c>
      <c r="AC51" s="294"/>
      <c r="AD51" s="286"/>
      <c r="AE51" s="284"/>
      <c r="AF51" s="286"/>
      <c r="AG51" s="284"/>
      <c r="AH51" s="286"/>
      <c r="AI51" s="284"/>
      <c r="AJ51" s="286"/>
    </row>
    <row r="52" spans="2:36" ht="15" customHeight="1" x14ac:dyDescent="0.2">
      <c r="B52" s="258"/>
      <c r="C52" s="279" t="s">
        <v>362</v>
      </c>
      <c r="E52" s="299"/>
      <c r="G52" s="304">
        <f ca="1">SQRT(I66/D66)</f>
        <v>4.1824232933337605E-2</v>
      </c>
      <c r="H52" s="313">
        <f ca="1">TINV(0.05,H66)</f>
        <v>1.9811803594146622</v>
      </c>
      <c r="J52" s="258" t="s">
        <v>395</v>
      </c>
      <c r="K52" s="258"/>
      <c r="L52" s="258"/>
      <c r="M52" s="258"/>
      <c r="N52" s="258"/>
      <c r="O52" s="258"/>
      <c r="P52" s="299">
        <v>1.5</v>
      </c>
      <c r="Q52" s="304">
        <f t="shared" ca="1" si="34"/>
        <v>0.95538734919851342</v>
      </c>
      <c r="R52" s="306">
        <f t="shared" ca="1" si="35"/>
        <v>0.41182595535199845</v>
      </c>
      <c r="S52" s="304">
        <f t="shared" ca="1" si="36"/>
        <v>0.95089370672588247</v>
      </c>
      <c r="T52" s="306">
        <f t="shared" ca="1" si="37"/>
        <v>0.5316544870278731</v>
      </c>
      <c r="U52" s="304">
        <f t="shared" ca="1" si="30"/>
        <v>0.81125668317425537</v>
      </c>
      <c r="V52" s="306">
        <f t="shared" ca="1" si="5"/>
        <v>0.50104353576787797</v>
      </c>
      <c r="W52" s="304">
        <f t="shared" ca="1" si="31"/>
        <v>1.1280717404073011</v>
      </c>
      <c r="X52" s="306">
        <f t="shared" ca="1" si="7"/>
        <v>0.34804764932006566</v>
      </c>
      <c r="Y52" s="304">
        <f t="shared" ca="1" si="32"/>
        <v>0.8418579128676198</v>
      </c>
      <c r="Z52" s="306">
        <f t="shared" ca="1" si="9"/>
        <v>0.50545908536187201</v>
      </c>
      <c r="AA52" s="304">
        <f t="shared" ca="1" si="33"/>
        <v>1.8469801571848738</v>
      </c>
      <c r="AB52" s="306">
        <f t="shared" ca="1" si="11"/>
        <v>0.44008946247452607</v>
      </c>
      <c r="AC52" s="294"/>
      <c r="AD52" s="286"/>
      <c r="AE52" s="284"/>
      <c r="AF52" s="286"/>
      <c r="AG52" s="284"/>
      <c r="AH52" s="286"/>
      <c r="AI52" s="284"/>
      <c r="AJ52" s="286"/>
    </row>
    <row r="53" spans="2:36" ht="15" customHeight="1" x14ac:dyDescent="0.2">
      <c r="B53" s="258"/>
      <c r="J53" s="260" t="s">
        <v>396</v>
      </c>
      <c r="K53" s="258"/>
      <c r="L53" s="258"/>
      <c r="M53" s="258"/>
      <c r="N53" s="258"/>
      <c r="O53" s="258"/>
      <c r="P53" s="299">
        <v>1.6</v>
      </c>
      <c r="Q53" s="304">
        <f t="shared" ca="1" si="34"/>
        <v>0.98683694434488767</v>
      </c>
      <c r="R53" s="306">
        <f t="shared" ca="1" si="35"/>
        <v>0.35269399864514051</v>
      </c>
      <c r="S53" s="304">
        <f t="shared" ca="1" si="36"/>
        <v>0.97525494110385957</v>
      </c>
      <c r="T53" s="306">
        <f t="shared" ca="1" si="37"/>
        <v>0.45531697186793524</v>
      </c>
      <c r="U53" s="304">
        <f t="shared" ca="1" si="30"/>
        <v>0.83710625240727599</v>
      </c>
      <c r="V53" s="306">
        <f t="shared" ca="1" si="5"/>
        <v>0.42910128861166441</v>
      </c>
      <c r="W53" s="304">
        <f t="shared" ca="1" si="31"/>
        <v>1.165284345037418</v>
      </c>
      <c r="X53" s="306">
        <f t="shared" ca="1" si="7"/>
        <v>0.29807328936519845</v>
      </c>
      <c r="Y53" s="304">
        <f t="shared" ca="1" si="32"/>
        <v>0.8674816674734287</v>
      </c>
      <c r="Z53" s="306">
        <f t="shared" ca="1" si="9"/>
        <v>0.43288283230089236</v>
      </c>
      <c r="AA53" s="304">
        <f t="shared" ca="1" si="33"/>
        <v>1.8764099905959362</v>
      </c>
      <c r="AB53" s="306">
        <f t="shared" ca="1" si="11"/>
        <v>0.37689929511378883</v>
      </c>
      <c r="AC53" s="294"/>
      <c r="AD53" s="286"/>
      <c r="AE53" s="284"/>
      <c r="AF53" s="286"/>
      <c r="AG53" s="284"/>
      <c r="AH53" s="286"/>
      <c r="AI53" s="284"/>
      <c r="AJ53" s="286"/>
    </row>
    <row r="54" spans="2:36" ht="15" customHeight="1" x14ac:dyDescent="0.2">
      <c r="B54" s="258"/>
      <c r="P54" s="299">
        <v>1.7</v>
      </c>
      <c r="Q54" s="304">
        <f t="shared" ca="1" si="34"/>
        <v>1.0182865394912619</v>
      </c>
      <c r="R54" s="306">
        <f t="shared" ca="1" si="35"/>
        <v>0.29904702092080659</v>
      </c>
      <c r="S54" s="304">
        <f t="shared" ca="1" si="36"/>
        <v>0.99961617548183668</v>
      </c>
      <c r="T54" s="306">
        <f t="shared" ca="1" si="37"/>
        <v>0.38606039381119672</v>
      </c>
      <c r="U54" s="304">
        <f t="shared" ca="1" si="30"/>
        <v>0.86295582164029649</v>
      </c>
      <c r="V54" s="306">
        <f t="shared" ca="1" si="5"/>
        <v>0.36383228102984205</v>
      </c>
      <c r="W54" s="304">
        <f t="shared" ca="1" si="31"/>
        <v>1.2024969496675348</v>
      </c>
      <c r="X54" s="306">
        <f t="shared" ca="1" si="7"/>
        <v>0.25273446540952732</v>
      </c>
      <c r="Y54" s="304">
        <f t="shared" ca="1" si="32"/>
        <v>0.89310542207923749</v>
      </c>
      <c r="Z54" s="306">
        <f t="shared" ca="1" si="9"/>
        <v>0.36703862811567184</v>
      </c>
      <c r="AA54" s="304">
        <f t="shared" ca="1" si="33"/>
        <v>1.905839824006998</v>
      </c>
      <c r="AB54" s="306">
        <f t="shared" ca="1" si="11"/>
        <v>0.31957053940215546</v>
      </c>
      <c r="AC54" s="294"/>
      <c r="AD54" s="286"/>
      <c r="AE54" s="284"/>
      <c r="AF54" s="286"/>
      <c r="AG54" s="284"/>
      <c r="AH54" s="286"/>
      <c r="AI54" s="284"/>
      <c r="AJ54" s="286"/>
    </row>
    <row r="55" spans="2:36" ht="15" customHeight="1" x14ac:dyDescent="0.2">
      <c r="B55" s="258"/>
      <c r="P55" s="299">
        <v>1.8</v>
      </c>
      <c r="Q55" s="304">
        <f t="shared" ca="1" si="34"/>
        <v>1.0497361346376362</v>
      </c>
      <c r="R55" s="306">
        <f t="shared" ca="1" si="35"/>
        <v>0.25103712125208716</v>
      </c>
      <c r="S55" s="304">
        <f t="shared" ca="1" si="36"/>
        <v>1.0239774098598136</v>
      </c>
      <c r="T55" s="306">
        <f t="shared" ca="1" si="37"/>
        <v>0.32408110802573459</v>
      </c>
      <c r="U55" s="304">
        <f t="shared" ca="1" si="30"/>
        <v>0.88880539087331711</v>
      </c>
      <c r="V55" s="306">
        <f t="shared" ca="1" si="5"/>
        <v>0.30542156269297599</v>
      </c>
      <c r="W55" s="304">
        <f t="shared" ca="1" si="31"/>
        <v>1.2397095542976517</v>
      </c>
      <c r="X55" s="306">
        <f t="shared" ca="1" si="7"/>
        <v>0.21215972137838007</v>
      </c>
      <c r="Y55" s="304">
        <f t="shared" ca="1" si="32"/>
        <v>0.91872917668504628</v>
      </c>
      <c r="Z55" s="306">
        <f t="shared" ca="1" si="9"/>
        <v>0.30811315326519884</v>
      </c>
      <c r="AA55" s="304">
        <f t="shared" ca="1" si="33"/>
        <v>1.9352696574180603</v>
      </c>
      <c r="AB55" s="306">
        <f t="shared" ca="1" si="11"/>
        <v>0.26826573293214168</v>
      </c>
      <c r="AC55" s="294"/>
      <c r="AD55" s="286"/>
      <c r="AE55" s="284"/>
      <c r="AF55" s="286"/>
      <c r="AG55" s="284"/>
      <c r="AH55" s="286"/>
      <c r="AI55" s="284"/>
      <c r="AJ55" s="286"/>
    </row>
    <row r="56" spans="2:36" x14ac:dyDescent="0.2">
      <c r="B56" s="301"/>
      <c r="P56" s="299">
        <v>1.9</v>
      </c>
      <c r="Q56" s="304">
        <f t="shared" ca="1" si="34"/>
        <v>1.0811857297840104</v>
      </c>
      <c r="R56" s="306">
        <f t="shared" ca="1" si="35"/>
        <v>0.20863802687851518</v>
      </c>
      <c r="S56" s="304">
        <f t="shared" ca="1" si="36"/>
        <v>1.0483386442377907</v>
      </c>
      <c r="T56" s="306">
        <f t="shared" ca="1" si="37"/>
        <v>0.26934519719573152</v>
      </c>
      <c r="U56" s="304">
        <f t="shared" ca="1" si="30"/>
        <v>0.91465496010633762</v>
      </c>
      <c r="V56" s="306">
        <f t="shared" ca="1" si="5"/>
        <v>0.25383716913494303</v>
      </c>
      <c r="W56" s="304">
        <f t="shared" ca="1" si="31"/>
        <v>1.2769221589277686</v>
      </c>
      <c r="X56" s="306">
        <f t="shared" ca="1" si="7"/>
        <v>0.17632685329844511</v>
      </c>
      <c r="Y56" s="304">
        <f t="shared" ca="1" si="32"/>
        <v>0.94435293129085507</v>
      </c>
      <c r="Z56" s="306">
        <f t="shared" ca="1" si="9"/>
        <v>0.25607416158989338</v>
      </c>
      <c r="AA56" s="304">
        <f t="shared" ca="1" si="33"/>
        <v>1.9646994908291222</v>
      </c>
      <c r="AB56" s="306">
        <f t="shared" ca="1" si="11"/>
        <v>0.22295679985063357</v>
      </c>
      <c r="AC56" s="294"/>
      <c r="AD56" s="286"/>
      <c r="AE56" s="284"/>
      <c r="AF56" s="286"/>
      <c r="AG56" s="284"/>
      <c r="AH56" s="286"/>
      <c r="AI56" s="284"/>
      <c r="AJ56" s="286"/>
    </row>
    <row r="57" spans="2:36" x14ac:dyDescent="0.2">
      <c r="B57" s="301"/>
      <c r="P57" s="299">
        <v>2</v>
      </c>
      <c r="Q57" s="304">
        <f t="shared" ca="1" si="34"/>
        <v>1.1126353249303849</v>
      </c>
      <c r="R57" s="306">
        <f t="shared" ca="1" si="35"/>
        <v>0.17167459950406525</v>
      </c>
      <c r="S57" s="304">
        <f t="shared" ca="1" si="36"/>
        <v>1.0726998786157678</v>
      </c>
      <c r="T57" s="306">
        <f t="shared" ca="1" si="37"/>
        <v>0.22162656323358049</v>
      </c>
      <c r="U57" s="304">
        <f t="shared" ca="1" si="30"/>
        <v>0.94050452933935813</v>
      </c>
      <c r="V57" s="306">
        <f t="shared" ca="1" si="5"/>
        <v>0.20886602026705875</v>
      </c>
      <c r="W57" s="304">
        <f t="shared" ca="1" si="31"/>
        <v>1.3141347635578855</v>
      </c>
      <c r="X57" s="306">
        <f t="shared" ca="1" si="7"/>
        <v>0.14508784603991978</v>
      </c>
      <c r="Y57" s="304">
        <f t="shared" ca="1" si="32"/>
        <v>0.96997668589666386</v>
      </c>
      <c r="Z57" s="306">
        <f t="shared" ca="1" si="9"/>
        <v>0.2107066951888015</v>
      </c>
      <c r="AA57" s="304">
        <f t="shared" ca="1" si="33"/>
        <v>1.9941293242401845</v>
      </c>
      <c r="AB57" s="306">
        <f t="shared" ca="1" si="11"/>
        <v>0.18345658216636002</v>
      </c>
      <c r="AC57" s="294"/>
      <c r="AD57" s="286"/>
      <c r="AE57" s="284"/>
      <c r="AF57" s="286"/>
      <c r="AG57" s="284"/>
      <c r="AH57" s="286"/>
      <c r="AI57" s="284"/>
      <c r="AJ57" s="286"/>
    </row>
    <row r="58" spans="2:36" ht="15" customHeight="1" x14ac:dyDescent="0.2">
      <c r="B58" s="301"/>
      <c r="P58" s="299">
        <v>2.1</v>
      </c>
      <c r="Q58" s="304">
        <f t="shared" ca="1" si="34"/>
        <v>1.1440849200767591</v>
      </c>
      <c r="R58" s="306">
        <f t="shared" ca="1" si="35"/>
        <v>0.13985425178199121</v>
      </c>
      <c r="S58" s="304">
        <f t="shared" ca="1" si="36"/>
        <v>1.0970611129937449</v>
      </c>
      <c r="T58" s="306">
        <f t="shared" ca="1" si="37"/>
        <v>0.18054748498372097</v>
      </c>
      <c r="U58" s="304">
        <f t="shared" ca="1" si="30"/>
        <v>0.96635409857237886</v>
      </c>
      <c r="V58" s="306">
        <f t="shared" ca="1" si="5"/>
        <v>0.17015214290009137</v>
      </c>
      <c r="W58" s="304">
        <f t="shared" ca="1" si="31"/>
        <v>1.3513473681880024</v>
      </c>
      <c r="X58" s="306">
        <f t="shared" ca="1" si="7"/>
        <v>0.11819542442033311</v>
      </c>
      <c r="Y58" s="304">
        <f t="shared" ca="1" si="32"/>
        <v>0.99560044050247276</v>
      </c>
      <c r="Z58" s="306">
        <f t="shared" ca="1" si="9"/>
        <v>0.17165164378547487</v>
      </c>
      <c r="AA58" s="304">
        <f t="shared" ca="1" si="33"/>
        <v>2.0235591576512468</v>
      </c>
      <c r="AB58" s="306">
        <f t="shared" ca="1" si="11"/>
        <v>0.14945241233983522</v>
      </c>
      <c r="AC58" s="294"/>
      <c r="AD58" s="286"/>
      <c r="AE58" s="284"/>
      <c r="AF58" s="286"/>
      <c r="AG58" s="284"/>
      <c r="AH58" s="286"/>
      <c r="AI58" s="284"/>
      <c r="AJ58" s="286"/>
    </row>
    <row r="59" spans="2:36" x14ac:dyDescent="0.2">
      <c r="B59" s="301"/>
      <c r="P59" s="299">
        <v>2.2000000000000002</v>
      </c>
      <c r="Q59" s="304">
        <f t="shared" ca="1" si="34"/>
        <v>1.1755345152231333</v>
      </c>
      <c r="R59" s="306">
        <f t="shared" ca="1" si="35"/>
        <v>0.11279824964716965</v>
      </c>
      <c r="S59" s="304">
        <f t="shared" ca="1" si="36"/>
        <v>1.121422347371722</v>
      </c>
      <c r="T59" s="306">
        <f t="shared" ca="1" si="37"/>
        <v>0.14561902855916445</v>
      </c>
      <c r="U59" s="304">
        <f t="shared" ca="1" si="30"/>
        <v>0.99220366780539937</v>
      </c>
      <c r="V59" s="306">
        <f t="shared" ca="1" si="5"/>
        <v>0.13723475438389798</v>
      </c>
      <c r="W59" s="304">
        <f t="shared" ca="1" si="31"/>
        <v>1.3885599728181193</v>
      </c>
      <c r="X59" s="306">
        <f t="shared" ca="1" si="7"/>
        <v>9.5329507834345836E-2</v>
      </c>
      <c r="Y59" s="304">
        <f t="shared" ca="1" si="32"/>
        <v>1.0212241951082817</v>
      </c>
      <c r="Z59" s="306">
        <f t="shared" ca="1" si="9"/>
        <v>0.13844416398754236</v>
      </c>
      <c r="AA59" s="304">
        <f t="shared" ca="1" si="33"/>
        <v>2.0529889910623087</v>
      </c>
      <c r="AB59" s="306">
        <f t="shared" ca="1" si="11"/>
        <v>0.12053956388654657</v>
      </c>
      <c r="AC59" s="294"/>
      <c r="AD59" s="286"/>
      <c r="AE59" s="284"/>
      <c r="AF59" s="286"/>
      <c r="AG59" s="284"/>
      <c r="AH59" s="286"/>
      <c r="AI59" s="284"/>
      <c r="AJ59" s="286"/>
    </row>
    <row r="60" spans="2:36" x14ac:dyDescent="0.2">
      <c r="B60" s="301"/>
      <c r="P60" s="299">
        <v>2.2999999999999998</v>
      </c>
      <c r="Q60" s="304">
        <f t="shared" ca="1" si="34"/>
        <v>1.2069841103695076</v>
      </c>
      <c r="R60" s="306">
        <f t="shared" ca="1" si="35"/>
        <v>9.0071231790934209E-2</v>
      </c>
      <c r="S60" s="304">
        <f t="shared" ca="1" si="36"/>
        <v>1.1457835817496989</v>
      </c>
      <c r="T60" s="306">
        <f t="shared" ca="1" si="37"/>
        <v>0.11627915606447795</v>
      </c>
      <c r="U60" s="304">
        <f t="shared" ca="1" si="30"/>
        <v>1.0180532370384199</v>
      </c>
      <c r="V60" s="306">
        <f t="shared" ca="1" si="5"/>
        <v>0.10958417715300214</v>
      </c>
      <c r="W60" s="304">
        <f t="shared" ca="1" si="31"/>
        <v>1.4257725774482362</v>
      </c>
      <c r="X60" s="306">
        <f t="shared" ca="1" si="7"/>
        <v>7.6122158132074319E-2</v>
      </c>
      <c r="Y60" s="304">
        <f t="shared" ca="1" si="32"/>
        <v>1.0468479497140903</v>
      </c>
      <c r="Z60" s="306">
        <f t="shared" ca="1" si="9"/>
        <v>0.11054991033663553</v>
      </c>
      <c r="AA60" s="304">
        <f t="shared" ca="1" si="33"/>
        <v>2.082418824473371</v>
      </c>
      <c r="AB60" s="306">
        <f t="shared" ca="1" si="11"/>
        <v>9.6252796765589427E-2</v>
      </c>
      <c r="AC60" s="294"/>
      <c r="AD60" s="286"/>
      <c r="AE60" s="284"/>
      <c r="AF60" s="286"/>
      <c r="AG60" s="284"/>
      <c r="AH60" s="286"/>
      <c r="AI60" s="284"/>
      <c r="AJ60" s="286"/>
    </row>
    <row r="61" spans="2:36" x14ac:dyDescent="0.2">
      <c r="B61" s="301"/>
      <c r="P61" s="299">
        <v>2.4</v>
      </c>
      <c r="Q61" s="304">
        <f t="shared" ca="1" si="34"/>
        <v>1.2384337055158821</v>
      </c>
      <c r="R61" s="306">
        <f t="shared" ca="1" si="35"/>
        <v>7.120769024406555E-2</v>
      </c>
      <c r="S61" s="304">
        <f t="shared" ca="1" si="36"/>
        <v>1.170144816127676</v>
      </c>
      <c r="T61" s="306">
        <f t="shared" ca="1" si="37"/>
        <v>9.1926911204006617E-2</v>
      </c>
      <c r="U61" s="304">
        <f t="shared" ca="1" si="30"/>
        <v>1.0439028062714404</v>
      </c>
      <c r="V61" s="306">
        <f t="shared" ca="1" si="5"/>
        <v>8.663405603771486E-2</v>
      </c>
      <c r="W61" s="304">
        <f t="shared" ca="1" si="31"/>
        <v>1.462985182078353</v>
      </c>
      <c r="X61" s="306">
        <f t="shared" ca="1" si="7"/>
        <v>6.0179959230046924E-2</v>
      </c>
      <c r="Y61" s="304">
        <f t="shared" ca="1" si="32"/>
        <v>1.0724717043198992</v>
      </c>
      <c r="Z61" s="306">
        <f t="shared" ca="1" si="9"/>
        <v>8.739753654121446E-2</v>
      </c>
      <c r="AA61" s="304">
        <f t="shared" ca="1" si="33"/>
        <v>2.1118486578844329</v>
      </c>
      <c r="AB61" s="306">
        <f t="shared" ca="1" si="11"/>
        <v>7.6094655318114199E-2</v>
      </c>
      <c r="AC61" s="294"/>
      <c r="AD61" s="286"/>
      <c r="AE61" s="284"/>
      <c r="AF61" s="286"/>
      <c r="AG61" s="284"/>
      <c r="AH61" s="286"/>
      <c r="AI61" s="284"/>
      <c r="AJ61" s="286"/>
    </row>
    <row r="62" spans="2:36" ht="15.75" customHeight="1" x14ac:dyDescent="0.2">
      <c r="B62" s="301"/>
      <c r="C62" s="285"/>
      <c r="D62" s="285"/>
      <c r="E62" s="285"/>
      <c r="F62" s="285"/>
      <c r="G62" s="285"/>
      <c r="H62" s="285"/>
      <c r="I62" s="285"/>
      <c r="J62" s="285"/>
      <c r="K62" s="285"/>
      <c r="L62" s="285"/>
      <c r="M62" s="285"/>
      <c r="N62" s="258"/>
      <c r="P62" s="299">
        <v>2.5000000000000102</v>
      </c>
      <c r="Q62" s="304">
        <f t="shared" ca="1" si="34"/>
        <v>1.2698833006622594</v>
      </c>
      <c r="R62" s="306">
        <f t="shared" ca="1" si="35"/>
        <v>5.5734582311749908E-2</v>
      </c>
      <c r="S62" s="304">
        <f t="shared" ca="1" si="36"/>
        <v>1.1945060505056555</v>
      </c>
      <c r="T62" s="306">
        <f t="shared" ca="1" si="37"/>
        <v>7.1951610585931358E-2</v>
      </c>
      <c r="U62" s="304">
        <f t="shared" ca="1" si="30"/>
        <v>1.0697523755044636</v>
      </c>
      <c r="V62" s="306">
        <f t="shared" ca="1" si="5"/>
        <v>6.780886882701799E-2</v>
      </c>
      <c r="W62" s="304">
        <f t="shared" ca="1" si="31"/>
        <v>1.5001977867084737</v>
      </c>
      <c r="X62" s="306">
        <f t="shared" ca="1" si="7"/>
        <v>4.7103127200567113E-2</v>
      </c>
      <c r="Y62" s="304">
        <f t="shared" ca="1" si="32"/>
        <v>1.0980954589257106</v>
      </c>
      <c r="Z62" s="306">
        <f t="shared" ca="1" si="9"/>
        <v>6.840644848196635E-2</v>
      </c>
      <c r="AA62" s="304">
        <f t="shared" ca="1" si="33"/>
        <v>2.1412784912954983</v>
      </c>
      <c r="AB62" s="306">
        <f t="shared" ca="1" si="11"/>
        <v>5.9559632053437013E-2</v>
      </c>
      <c r="AC62" s="294"/>
      <c r="AD62" s="286"/>
      <c r="AE62" s="284"/>
      <c r="AF62" s="286"/>
      <c r="AG62" s="284"/>
      <c r="AH62" s="286"/>
      <c r="AI62" s="284"/>
      <c r="AJ62" s="286"/>
    </row>
    <row r="63" spans="2:36" x14ac:dyDescent="0.2">
      <c r="B63" s="301"/>
      <c r="C63" s="301"/>
      <c r="D63" s="301"/>
      <c r="E63" s="301"/>
      <c r="F63" s="301"/>
      <c r="G63" s="301"/>
      <c r="H63" s="301"/>
      <c r="I63" s="301"/>
      <c r="J63" s="301"/>
      <c r="K63" s="301"/>
      <c r="L63" s="301"/>
      <c r="M63" s="301"/>
      <c r="N63" s="258"/>
      <c r="P63" s="299">
        <v>2.6</v>
      </c>
      <c r="Q63" s="304">
        <f t="shared" ca="1" si="34"/>
        <v>1.3013328958086305</v>
      </c>
      <c r="R63" s="306">
        <f t="shared" ca="1" si="35"/>
        <v>4.318964734034595E-2</v>
      </c>
      <c r="S63" s="304">
        <f t="shared" ca="1" si="36"/>
        <v>1.2188672848836299</v>
      </c>
      <c r="T63" s="306">
        <f t="shared" ca="1" si="37"/>
        <v>5.5756490097910907E-2</v>
      </c>
      <c r="U63" s="304">
        <f t="shared" ca="1" si="30"/>
        <v>1.0956019447374816</v>
      </c>
      <c r="V63" s="306">
        <f t="shared" ca="1" si="5"/>
        <v>5.2546211162136355E-2</v>
      </c>
      <c r="W63" s="304">
        <f t="shared" ca="1" si="31"/>
        <v>1.5374103913385868</v>
      </c>
      <c r="X63" s="306">
        <f t="shared" ca="1" si="7"/>
        <v>3.6500990373279731E-2</v>
      </c>
      <c r="Y63" s="304">
        <f t="shared" ca="1" si="32"/>
        <v>1.1237192135315168</v>
      </c>
      <c r="Z63" s="306">
        <f t="shared" ca="1" si="9"/>
        <v>5.3009285495601778E-2</v>
      </c>
      <c r="AA63" s="304">
        <f t="shared" ca="1" si="33"/>
        <v>2.1707083247065571</v>
      </c>
      <c r="AB63" s="306">
        <f t="shared" ca="1" si="11"/>
        <v>4.6153741490701269E-2</v>
      </c>
      <c r="AC63" s="294"/>
      <c r="AD63" s="286"/>
      <c r="AE63" s="284"/>
      <c r="AF63" s="286"/>
      <c r="AG63" s="284"/>
      <c r="AH63" s="286"/>
      <c r="AI63" s="284"/>
      <c r="AJ63" s="286"/>
    </row>
    <row r="64" spans="2:36" x14ac:dyDescent="0.2">
      <c r="C64" s="342" t="s">
        <v>346</v>
      </c>
      <c r="D64" s="342"/>
      <c r="E64" s="342"/>
      <c r="F64" s="342"/>
      <c r="G64" s="342" t="s">
        <v>31</v>
      </c>
      <c r="H64" s="342"/>
      <c r="I64" s="342"/>
      <c r="J64" s="342"/>
      <c r="K64" s="342"/>
      <c r="L64" s="342"/>
      <c r="M64" s="299"/>
      <c r="N64" s="258"/>
      <c r="P64" s="299">
        <v>2.7</v>
      </c>
      <c r="Q64" s="304">
        <f t="shared" ca="1" si="34"/>
        <v>1.332782490955005</v>
      </c>
      <c r="R64" s="306">
        <f t="shared" ca="1" si="35"/>
        <v>3.3135354416872258E-2</v>
      </c>
      <c r="S64" s="304">
        <f t="shared" ca="1" si="36"/>
        <v>1.2432285192616073</v>
      </c>
      <c r="T64" s="306">
        <f t="shared" ca="1" si="37"/>
        <v>4.2776710952886973E-2</v>
      </c>
      <c r="U64" s="304">
        <f t="shared" ca="1" si="30"/>
        <v>1.1214515139705021</v>
      </c>
      <c r="V64" s="306">
        <f t="shared" ca="1" si="5"/>
        <v>4.0313765852278784E-2</v>
      </c>
      <c r="W64" s="304">
        <f t="shared" ca="1" si="31"/>
        <v>1.5746229959687037</v>
      </c>
      <c r="X64" s="306">
        <f t="shared" ca="1" si="7"/>
        <v>2.8003776994391674E-2</v>
      </c>
      <c r="Y64" s="304">
        <f t="shared" ca="1" si="32"/>
        <v>1.1493429681373257</v>
      </c>
      <c r="Z64" s="306">
        <f t="shared" ca="1" si="9"/>
        <v>4.0669039236194485E-2</v>
      </c>
      <c r="AA64" s="304">
        <f t="shared" ca="1" si="33"/>
        <v>2.2001381581176194</v>
      </c>
      <c r="AB64" s="306">
        <f t="shared" ca="1" si="11"/>
        <v>3.5409425085313452E-2</v>
      </c>
      <c r="AC64" s="294"/>
      <c r="AD64" s="286"/>
      <c r="AE64" s="284"/>
      <c r="AF64" s="286"/>
      <c r="AG64" s="284"/>
      <c r="AH64" s="286"/>
      <c r="AI64" s="284"/>
      <c r="AJ64" s="286"/>
    </row>
    <row r="65" spans="3:36" x14ac:dyDescent="0.2">
      <c r="C65" s="342" t="s">
        <v>204</v>
      </c>
      <c r="D65" s="342" t="s">
        <v>343</v>
      </c>
      <c r="E65" s="342" t="s">
        <v>0</v>
      </c>
      <c r="F65" s="342" t="s">
        <v>1</v>
      </c>
      <c r="G65" s="342" t="s">
        <v>154</v>
      </c>
      <c r="H65" s="342" t="s">
        <v>344</v>
      </c>
      <c r="I65" s="342" t="s">
        <v>345</v>
      </c>
      <c r="J65" s="342" t="s">
        <v>36</v>
      </c>
      <c r="K65" s="342" t="s">
        <v>8</v>
      </c>
      <c r="L65" s="342" t="s">
        <v>349</v>
      </c>
      <c r="M65" s="342" t="s">
        <v>170</v>
      </c>
      <c r="N65" s="258"/>
      <c r="P65" s="299">
        <v>2.80000000000001</v>
      </c>
      <c r="Q65" s="304">
        <f t="shared" ca="1" si="34"/>
        <v>1.3642320861013824</v>
      </c>
      <c r="R65" s="306">
        <f t="shared" ca="1" si="35"/>
        <v>2.5168691508234801E-2</v>
      </c>
      <c r="S65" s="304">
        <f t="shared" ca="1" si="36"/>
        <v>1.2675897536395866</v>
      </c>
      <c r="T65" s="306">
        <f t="shared" ca="1" si="37"/>
        <v>3.2491997163064272E-2</v>
      </c>
      <c r="U65" s="304">
        <f t="shared" ca="1" si="30"/>
        <v>1.1473010832035253</v>
      </c>
      <c r="V65" s="306">
        <f t="shared" ca="1" si="5"/>
        <v>3.0621212723608748E-2</v>
      </c>
      <c r="W65" s="304">
        <f t="shared" ca="1" si="31"/>
        <v>1.6118356005988246</v>
      </c>
      <c r="X65" s="306">
        <f t="shared" ca="1" si="7"/>
        <v>2.1270888349947968E-2</v>
      </c>
      <c r="Y65" s="304">
        <f t="shared" ca="1" si="32"/>
        <v>1.1749667227431371</v>
      </c>
      <c r="Z65" s="306">
        <f t="shared" ca="1" si="9"/>
        <v>3.0891068482154942E-2</v>
      </c>
      <c r="AA65" s="304">
        <f t="shared" ca="1" si="33"/>
        <v>2.2295679915286843</v>
      </c>
      <c r="AB65" s="306">
        <f t="shared" ca="1" si="11"/>
        <v>2.6896012194226285E-2</v>
      </c>
      <c r="AC65" s="294"/>
      <c r="AD65" s="286"/>
      <c r="AE65" s="284"/>
      <c r="AF65" s="286"/>
      <c r="AG65" s="284"/>
      <c r="AH65" s="286"/>
      <c r="AI65" s="284"/>
      <c r="AJ65" s="286"/>
    </row>
    <row r="66" spans="3:36" x14ac:dyDescent="0.2">
      <c r="C66" s="342" t="s">
        <v>10</v>
      </c>
      <c r="D66" s="342">
        <f ca="1">COUNT(D10:I28)</f>
        <v>114</v>
      </c>
      <c r="E66" s="302">
        <f ca="1">SUM(D10:I28)^2</f>
        <v>5562.9856062258878</v>
      </c>
      <c r="F66" s="302">
        <f ca="1">E66/D66</f>
        <v>48.798119352858663</v>
      </c>
      <c r="G66" s="303">
        <f ca="1">DEVSQ(D10:I28)</f>
        <v>22.534050543672535</v>
      </c>
      <c r="H66" s="342">
        <f ca="1">D66-1</f>
        <v>113</v>
      </c>
      <c r="I66" s="304">
        <f ca="1">G66/H66</f>
        <v>0.19941637649267729</v>
      </c>
      <c r="J66" s="342" t="s">
        <v>12</v>
      </c>
      <c r="K66" s="342" t="s">
        <v>12</v>
      </c>
      <c r="L66" s="305">
        <f ca="1">G66/G66</f>
        <v>1</v>
      </c>
      <c r="M66" s="304">
        <f ca="1">M67+M68</f>
        <v>0.22091142621903323</v>
      </c>
      <c r="N66" s="258"/>
      <c r="P66" s="299">
        <v>2.9000000000000101</v>
      </c>
      <c r="Q66" s="304">
        <f t="shared" ca="1" si="34"/>
        <v>1.3956816812477566</v>
      </c>
      <c r="R66" s="306">
        <f t="shared" ca="1" si="35"/>
        <v>1.8927214776759772E-2</v>
      </c>
      <c r="S66" s="304">
        <f t="shared" ca="1" si="36"/>
        <v>1.2919509880175637</v>
      </c>
      <c r="T66" s="306">
        <f t="shared" ca="1" si="37"/>
        <v>2.4434445017929241E-2</v>
      </c>
      <c r="U66" s="304">
        <f t="shared" ca="1" si="30"/>
        <v>1.1731506524365458</v>
      </c>
      <c r="V66" s="306">
        <f t="shared" ca="1" si="5"/>
        <v>2.302758845269981E-2</v>
      </c>
      <c r="W66" s="304">
        <f t="shared" ca="1" si="31"/>
        <v>1.6490482052289415</v>
      </c>
      <c r="X66" s="306">
        <f t="shared" ca="1" si="7"/>
        <v>1.5996011241196963E-2</v>
      </c>
      <c r="Y66" s="304">
        <f t="shared" ca="1" si="32"/>
        <v>1.2005904773489458</v>
      </c>
      <c r="Z66" s="306">
        <f t="shared" ca="1" si="9"/>
        <v>2.3230523829736734E-2</v>
      </c>
      <c r="AA66" s="304">
        <f t="shared" ca="1" si="33"/>
        <v>2.2589978249397467</v>
      </c>
      <c r="AB66" s="306">
        <f t="shared" ca="1" si="11"/>
        <v>2.0226184554406054E-2</v>
      </c>
      <c r="AC66" s="294"/>
      <c r="AD66" s="286"/>
      <c r="AE66" s="284"/>
      <c r="AF66" s="286"/>
      <c r="AG66" s="284"/>
      <c r="AH66" s="286"/>
      <c r="AI66" s="284"/>
      <c r="AJ66" s="286"/>
    </row>
    <row r="67" spans="3:36" x14ac:dyDescent="0.2">
      <c r="C67" s="342" t="s">
        <v>347</v>
      </c>
      <c r="D67" s="342">
        <f ca="1">COUNT(D10:I10)</f>
        <v>6</v>
      </c>
      <c r="E67" s="302">
        <f ca="1">SUM(D31:I31)</f>
        <v>1178.9002120075536</v>
      </c>
      <c r="F67" s="302">
        <f ca="1">E67*D67/D66</f>
        <v>62.04737957934492</v>
      </c>
      <c r="G67" s="304">
        <f ca="1">F67-F66</f>
        <v>13.249260226486257</v>
      </c>
      <c r="H67" s="342">
        <f ca="1">D67-1</f>
        <v>5</v>
      </c>
      <c r="I67" s="304">
        <f ca="1">G67/H67</f>
        <v>2.6498520452972514</v>
      </c>
      <c r="J67" s="304">
        <f ca="1">I67/I68</f>
        <v>30.822884644187653</v>
      </c>
      <c r="K67" s="304">
        <f ca="1">FINV(0.05,H67,H68)</f>
        <v>2.2984308130118758</v>
      </c>
      <c r="L67" s="305">
        <f ca="1">G67/G66</f>
        <v>0.58796620699897173</v>
      </c>
      <c r="M67" s="304">
        <f ca="1">IF((I67-I68)/D68&lt;0,0,(I67-I68)/D68)</f>
        <v>0.13494114550434547</v>
      </c>
      <c r="N67" s="258"/>
      <c r="P67" s="299">
        <v>3.0000000000000102</v>
      </c>
      <c r="Q67" s="304">
        <f t="shared" ca="1" si="34"/>
        <v>1.4271312763941308</v>
      </c>
      <c r="R67" s="306">
        <f t="shared" ca="1" si="35"/>
        <v>1.4091909264049159E-2</v>
      </c>
      <c r="S67" s="304">
        <f t="shared" ca="1" si="36"/>
        <v>1.3163122223955408</v>
      </c>
      <c r="T67" s="306">
        <f t="shared" ca="1" si="37"/>
        <v>1.8192216138047321E-2</v>
      </c>
      <c r="U67" s="304">
        <f t="shared" ca="1" si="30"/>
        <v>1.1990002216695663</v>
      </c>
      <c r="V67" s="306">
        <f t="shared" ca="1" si="5"/>
        <v>1.7144766986200221E-2</v>
      </c>
      <c r="W67" s="304">
        <f t="shared" ca="1" si="31"/>
        <v>1.6862608098590584</v>
      </c>
      <c r="X67" s="306">
        <f t="shared" ca="1" si="7"/>
        <v>1.1909535642530895E-2</v>
      </c>
      <c r="Y67" s="304">
        <f t="shared" ca="1" si="32"/>
        <v>1.2262142319547547</v>
      </c>
      <c r="Z67" s="306">
        <f t="shared" ca="1" si="9"/>
        <v>1.729585878461851E-2</v>
      </c>
      <c r="AA67" s="304">
        <f t="shared" ca="1" si="33"/>
        <v>2.288427658350809</v>
      </c>
      <c r="AB67" s="306">
        <f t="shared" ca="1" si="11"/>
        <v>1.5059033294670328E-2</v>
      </c>
      <c r="AC67" s="294"/>
      <c r="AD67" s="286"/>
      <c r="AE67" s="284"/>
      <c r="AF67" s="286"/>
      <c r="AG67" s="284"/>
      <c r="AH67" s="286"/>
      <c r="AI67" s="284"/>
      <c r="AJ67" s="286"/>
    </row>
    <row r="68" spans="3:36" x14ac:dyDescent="0.2">
      <c r="C68" s="342" t="s">
        <v>348</v>
      </c>
      <c r="D68" s="342">
        <f ca="1">COUNT(D10:D28)</f>
        <v>19</v>
      </c>
      <c r="E68" s="342" t="s">
        <v>12</v>
      </c>
      <c r="F68" s="342" t="s">
        <v>12</v>
      </c>
      <c r="G68" s="304">
        <f ca="1">G66-G67</f>
        <v>9.2847903171862782</v>
      </c>
      <c r="H68" s="342">
        <f ca="1">H66-H67</f>
        <v>108</v>
      </c>
      <c r="I68" s="304">
        <f ca="1">G68/H68</f>
        <v>8.5970280714687763E-2</v>
      </c>
      <c r="J68" s="304" t="s">
        <v>12</v>
      </c>
      <c r="K68" s="342" t="s">
        <v>12</v>
      </c>
      <c r="L68" s="305">
        <f ca="1">G68/G66</f>
        <v>0.41203379300102827</v>
      </c>
      <c r="M68" s="304">
        <f ca="1">I68</f>
        <v>8.5970280714687763E-2</v>
      </c>
      <c r="N68" s="258"/>
      <c r="P68" s="299"/>
      <c r="Q68" s="299"/>
      <c r="R68" s="299"/>
      <c r="S68" s="299"/>
      <c r="T68" s="299"/>
      <c r="U68" s="299"/>
      <c r="V68" s="299"/>
      <c r="W68" s="299"/>
      <c r="X68" s="299"/>
      <c r="Y68" s="299"/>
      <c r="Z68" s="299"/>
      <c r="AA68" s="299"/>
      <c r="AB68" s="299"/>
      <c r="AC68" s="293"/>
    </row>
    <row r="69" spans="3:36" x14ac:dyDescent="0.2">
      <c r="C69" s="301"/>
      <c r="D69" s="301"/>
      <c r="E69" s="301"/>
      <c r="F69" s="301"/>
      <c r="G69" s="301"/>
      <c r="H69" s="301"/>
      <c r="I69" s="301"/>
      <c r="J69" s="301"/>
      <c r="K69" s="301"/>
      <c r="L69" s="301"/>
      <c r="M69" s="301"/>
      <c r="P69" s="299"/>
      <c r="Q69" s="299"/>
      <c r="R69" s="299"/>
      <c r="S69" s="299"/>
      <c r="T69" s="299"/>
      <c r="U69" s="299"/>
      <c r="V69" s="299"/>
      <c r="W69" s="299"/>
      <c r="X69" s="299"/>
      <c r="Y69" s="299"/>
      <c r="Z69" s="299"/>
      <c r="AA69" s="299"/>
      <c r="AB69" s="299"/>
      <c r="AC69" s="293"/>
    </row>
    <row r="70" spans="3:36" x14ac:dyDescent="0.2">
      <c r="C70" s="300"/>
      <c r="D70" s="300"/>
      <c r="E70" s="300"/>
      <c r="F70" s="300"/>
      <c r="G70" s="300"/>
      <c r="H70" s="300"/>
      <c r="I70" s="300"/>
      <c r="J70" s="300"/>
      <c r="K70" s="300"/>
      <c r="L70" s="300"/>
      <c r="M70" s="300"/>
      <c r="P70" s="299"/>
      <c r="Q70" s="307">
        <f ca="1">F50</f>
        <v>0.80068708637643893</v>
      </c>
      <c r="R70" s="299">
        <v>0</v>
      </c>
      <c r="S70" s="299"/>
      <c r="T70" s="299"/>
      <c r="U70" s="299"/>
      <c r="V70" s="299"/>
      <c r="W70" s="299"/>
      <c r="X70" s="299"/>
      <c r="Y70" s="299"/>
      <c r="Z70" s="299"/>
      <c r="AA70" s="299"/>
      <c r="AB70" s="299"/>
      <c r="AC70" s="293"/>
    </row>
    <row r="71" spans="3:36" x14ac:dyDescent="0.2">
      <c r="P71" s="299"/>
      <c r="Q71" s="307">
        <f ca="1">Q70</f>
        <v>0.80068708637643893</v>
      </c>
      <c r="R71" s="308">
        <f ca="1">MAX(R6:R67,T6:T67,V6:V67,X6:X67,Z6:Z67,AB6:AB67)</f>
        <v>1.6376111087461271</v>
      </c>
      <c r="S71" s="299"/>
      <c r="T71" s="299"/>
      <c r="U71" s="299"/>
      <c r="V71" s="299"/>
      <c r="W71" s="299"/>
      <c r="X71" s="299"/>
      <c r="Y71" s="299"/>
      <c r="Z71" s="299"/>
      <c r="AA71" s="299"/>
      <c r="AB71" s="299"/>
      <c r="AC71" s="293"/>
    </row>
    <row r="72" spans="3:36" x14ac:dyDescent="0.2">
      <c r="O72" s="285"/>
      <c r="P72" s="299"/>
      <c r="Q72" s="307">
        <f ca="1">C50</f>
        <v>0.65425811308217507</v>
      </c>
      <c r="R72" s="299">
        <v>0</v>
      </c>
      <c r="S72" s="299"/>
      <c r="T72" s="299"/>
      <c r="U72" s="299"/>
      <c r="V72" s="299"/>
      <c r="W72" s="299"/>
      <c r="X72" s="299"/>
      <c r="Y72" s="299"/>
      <c r="Z72" s="299"/>
      <c r="AA72" s="299"/>
      <c r="AB72" s="299"/>
      <c r="AC72" s="293"/>
    </row>
    <row r="73" spans="3:36" x14ac:dyDescent="0.2">
      <c r="P73" s="299"/>
      <c r="Q73" s="307">
        <f ca="1">Q72</f>
        <v>0.65425811308217507</v>
      </c>
      <c r="R73" s="308">
        <f ca="1">R71</f>
        <v>1.6376111087461271</v>
      </c>
      <c r="S73" s="299"/>
      <c r="T73" s="299"/>
      <c r="U73" s="299"/>
      <c r="V73" s="299"/>
      <c r="W73" s="299"/>
      <c r="X73" s="299"/>
      <c r="Y73" s="299"/>
      <c r="Z73" s="299"/>
      <c r="AA73" s="299"/>
      <c r="AB73" s="299"/>
      <c r="AC73" s="293"/>
    </row>
    <row r="74" spans="3:36" x14ac:dyDescent="0.2">
      <c r="P74" s="299"/>
      <c r="Q74" s="309">
        <f ca="1">J42</f>
        <v>-0.69931291362356107</v>
      </c>
      <c r="R74" s="299">
        <v>0</v>
      </c>
      <c r="S74" s="299"/>
      <c r="T74" s="299"/>
      <c r="U74" s="299"/>
      <c r="V74" s="299"/>
      <c r="W74" s="299"/>
      <c r="X74" s="299"/>
      <c r="Y74" s="299"/>
      <c r="Z74" s="299"/>
      <c r="AA74" s="299"/>
      <c r="AB74" s="299"/>
      <c r="AC74" s="293"/>
    </row>
    <row r="75" spans="3:36" x14ac:dyDescent="0.2">
      <c r="P75" s="299"/>
      <c r="Q75" s="309">
        <f ca="1">Q74</f>
        <v>-0.69931291362356107</v>
      </c>
      <c r="R75" s="308">
        <f ca="1">R73</f>
        <v>1.6376111087461271</v>
      </c>
      <c r="S75" s="299"/>
      <c r="T75" s="299"/>
      <c r="U75" s="299"/>
      <c r="V75" s="299"/>
      <c r="W75" s="299"/>
      <c r="X75" s="299"/>
      <c r="Y75" s="299"/>
      <c r="Z75" s="299"/>
      <c r="AA75" s="299"/>
      <c r="AB75" s="299"/>
      <c r="AC75" s="293"/>
    </row>
    <row r="76" spans="3:36" x14ac:dyDescent="0.2">
      <c r="P76" s="299"/>
      <c r="Q76" s="299">
        <f ca="1">J43</f>
        <v>2.3006870863764388</v>
      </c>
      <c r="R76" s="299">
        <v>0</v>
      </c>
      <c r="S76" s="299"/>
      <c r="T76" s="299"/>
      <c r="U76" s="299"/>
      <c r="V76" s="299"/>
      <c r="W76" s="299"/>
      <c r="X76" s="299"/>
      <c r="Y76" s="299"/>
      <c r="Z76" s="299"/>
      <c r="AA76" s="299"/>
      <c r="AB76" s="299"/>
      <c r="AC76" s="293"/>
    </row>
    <row r="77" spans="3:36" x14ac:dyDescent="0.2">
      <c r="P77" s="299"/>
      <c r="Q77" s="299">
        <f ca="1">Q76</f>
        <v>2.3006870863764388</v>
      </c>
      <c r="R77" s="308">
        <f ca="1">R75</f>
        <v>1.6376111087461271</v>
      </c>
      <c r="S77" s="299"/>
      <c r="T77" s="299"/>
      <c r="U77" s="299"/>
      <c r="V77" s="299"/>
      <c r="W77" s="299"/>
      <c r="X77" s="299"/>
      <c r="Y77" s="299"/>
      <c r="Z77" s="299"/>
      <c r="AA77" s="299"/>
      <c r="AB77" s="299"/>
      <c r="AC77" s="293"/>
    </row>
    <row r="78" spans="3:36" x14ac:dyDescent="0.2">
      <c r="P78" s="299"/>
      <c r="Q78" s="299"/>
      <c r="R78" s="299"/>
      <c r="S78" s="299"/>
      <c r="T78" s="299"/>
      <c r="U78" s="299"/>
      <c r="V78" s="299"/>
      <c r="W78" s="299"/>
      <c r="X78" s="299"/>
      <c r="Y78" s="299"/>
      <c r="Z78" s="299"/>
      <c r="AA78" s="299"/>
      <c r="AB78" s="299"/>
      <c r="AC78" s="293"/>
    </row>
    <row r="79" spans="3:36" x14ac:dyDescent="0.2">
      <c r="P79" s="299"/>
      <c r="Q79" s="299"/>
      <c r="R79" s="299"/>
      <c r="S79" s="299"/>
      <c r="T79" s="299"/>
      <c r="U79" s="299"/>
      <c r="V79" s="299"/>
      <c r="W79" s="299"/>
      <c r="X79" s="299"/>
      <c r="Y79" s="299"/>
      <c r="Z79" s="299"/>
      <c r="AA79" s="299"/>
      <c r="AB79" s="299"/>
      <c r="AC79" s="293"/>
    </row>
    <row r="80" spans="3:36" x14ac:dyDescent="0.2">
      <c r="P80" s="293"/>
      <c r="Q80" s="293"/>
      <c r="R80" s="293"/>
      <c r="S80" s="293"/>
      <c r="T80" s="293"/>
      <c r="U80" s="293"/>
      <c r="V80" s="293"/>
      <c r="W80" s="293"/>
      <c r="X80" s="293"/>
      <c r="Y80" s="293"/>
      <c r="Z80" s="293"/>
      <c r="AA80" s="293"/>
      <c r="AB80" s="293"/>
      <c r="AC80" s="293"/>
    </row>
  </sheetData>
  <mergeCells count="12">
    <mergeCell ref="D49:E49"/>
    <mergeCell ref="B10:B28"/>
    <mergeCell ref="D8:I8"/>
    <mergeCell ref="C2:O3"/>
    <mergeCell ref="C48:H48"/>
    <mergeCell ref="L43:M43"/>
    <mergeCell ref="AA5:AB5"/>
    <mergeCell ref="Q5:R5"/>
    <mergeCell ref="S5:T5"/>
    <mergeCell ref="U5:V5"/>
    <mergeCell ref="W5:X5"/>
    <mergeCell ref="Y5:Z5"/>
  </mergeCells>
  <conditionalFormatting sqref="D44">
    <cfRule type="cellIs" dxfId="14" priority="1" operator="equal">
      <formula>"equivalence"</formula>
    </cfRule>
    <cfRule type="cellIs" dxfId="13" priority="2" operator="equal">
      <formula>"difference"</formula>
    </cfRule>
  </conditionalFormatting>
  <conditionalFormatting sqref="G50">
    <cfRule type="cellIs" dxfId="12" priority="5" operator="equal">
      <formula>"no bias"</formula>
    </cfRule>
    <cfRule type="cellIs" dxfId="11" priority="6" operator="equal">
      <formula>"bias"</formula>
    </cfRule>
  </conditionalFormatting>
  <conditionalFormatting sqref="K36">
    <cfRule type="cellIs" dxfId="10" priority="3" operator="equal">
      <formula>"heterogeneity"</formula>
    </cfRule>
    <cfRule type="cellIs" dxfId="9" priority="4" operator="equal">
      <formula>"homogeneity"</formula>
    </cfRule>
  </conditionalFormatting>
  <pageMargins left="0.7" right="0.7" top="0.75" bottom="0.75" header="0.3" footer="0.3"/>
  <pageSetup paperSize="9" orientation="portrait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G76"/>
  <sheetViews>
    <sheetView showGridLines="0" zoomScale="70" zoomScaleNormal="70" workbookViewId="0">
      <selection activeCell="D60" sqref="D60"/>
    </sheetView>
  </sheetViews>
  <sheetFormatPr baseColWidth="10" defaultColWidth="9.140625" defaultRowHeight="12.75" x14ac:dyDescent="0.2"/>
  <cols>
    <col min="1" max="1" width="8.42578125" style="181" customWidth="1"/>
    <col min="2" max="2" width="13" style="181" customWidth="1"/>
    <col min="3" max="3" width="12" style="181" customWidth="1"/>
    <col min="4" max="4" width="12.5703125" style="181" bestFit="1" customWidth="1"/>
    <col min="5" max="5" width="13.140625" style="181" customWidth="1"/>
    <col min="6" max="7" width="12.5703125" style="181" bestFit="1" customWidth="1"/>
    <col min="8" max="8" width="13.140625" style="181" customWidth="1"/>
    <col min="9" max="11" width="12.5703125" style="181" bestFit="1" customWidth="1"/>
    <col min="12" max="13" width="10.5703125" style="181" bestFit="1" customWidth="1"/>
    <col min="14" max="16384" width="9.140625" style="181"/>
  </cols>
  <sheetData>
    <row r="2" spans="2:33" x14ac:dyDescent="0.2">
      <c r="B2" s="318" t="s">
        <v>297</v>
      </c>
      <c r="C2" s="319"/>
      <c r="D2" s="319"/>
      <c r="E2" s="319"/>
      <c r="F2" s="319"/>
      <c r="G2" s="319"/>
      <c r="H2" s="319"/>
      <c r="I2" s="319"/>
      <c r="J2" s="319"/>
      <c r="K2" s="319"/>
      <c r="L2" s="319"/>
      <c r="M2" s="231"/>
      <c r="N2" s="231"/>
      <c r="O2" s="231"/>
      <c r="P2" s="231"/>
      <c r="Q2" s="231"/>
    </row>
    <row r="3" spans="2:33" x14ac:dyDescent="0.2">
      <c r="B3" s="181" t="s">
        <v>459</v>
      </c>
    </row>
    <row r="4" spans="2:33" x14ac:dyDescent="0.2">
      <c r="B4" s="181" t="s">
        <v>180</v>
      </c>
    </row>
    <row r="5" spans="2:33" x14ac:dyDescent="0.2">
      <c r="G5" s="348" t="s">
        <v>303</v>
      </c>
      <c r="H5" s="348" t="s">
        <v>99</v>
      </c>
      <c r="I5" s="348" t="s">
        <v>369</v>
      </c>
    </row>
    <row r="6" spans="2:33" x14ac:dyDescent="0.2">
      <c r="F6" s="341" t="s">
        <v>387</v>
      </c>
      <c r="G6" s="248" t="s">
        <v>383</v>
      </c>
      <c r="H6" s="248" t="s">
        <v>384</v>
      </c>
      <c r="I6" s="248" t="s">
        <v>243</v>
      </c>
    </row>
    <row r="7" spans="2:33" x14ac:dyDescent="0.2">
      <c r="F7" s="341" t="s">
        <v>343</v>
      </c>
      <c r="G7" s="248">
        <v>3</v>
      </c>
      <c r="H7" s="248">
        <v>3</v>
      </c>
      <c r="I7" s="248">
        <v>3</v>
      </c>
    </row>
    <row r="8" spans="2:33" x14ac:dyDescent="0.2">
      <c r="L8" s="70"/>
      <c r="R8" s="181" t="s">
        <v>435</v>
      </c>
      <c r="X8" s="71"/>
      <c r="Y8" s="71"/>
      <c r="Z8" s="71"/>
      <c r="AA8" s="71"/>
      <c r="AB8" s="71"/>
      <c r="AC8" s="71"/>
      <c r="AD8" s="71"/>
      <c r="AE8" s="71"/>
      <c r="AF8" s="71"/>
    </row>
    <row r="9" spans="2:33" x14ac:dyDescent="0.2">
      <c r="C9" s="526" t="s">
        <v>371</v>
      </c>
      <c r="D9" s="527"/>
      <c r="E9" s="528"/>
      <c r="F9" s="526" t="s">
        <v>372</v>
      </c>
      <c r="G9" s="527"/>
      <c r="H9" s="528"/>
      <c r="I9" s="526" t="s">
        <v>373</v>
      </c>
      <c r="J9" s="527"/>
      <c r="K9" s="528"/>
      <c r="L9" s="70"/>
      <c r="N9" s="332" t="s">
        <v>17</v>
      </c>
      <c r="W9" s="71"/>
      <c r="X9" s="71"/>
      <c r="Y9" s="71"/>
      <c r="Z9" s="71"/>
      <c r="AA9" s="71"/>
      <c r="AB9" s="71"/>
      <c r="AC9" s="71"/>
      <c r="AD9" s="71"/>
      <c r="AE9" s="71"/>
      <c r="AF9" s="71"/>
    </row>
    <row r="10" spans="2:33" x14ac:dyDescent="0.2">
      <c r="C10" s="320" t="s">
        <v>374</v>
      </c>
      <c r="D10" s="320" t="s">
        <v>375</v>
      </c>
      <c r="E10" s="320" t="s">
        <v>376</v>
      </c>
      <c r="F10" s="320" t="s">
        <v>374</v>
      </c>
      <c r="G10" s="320" t="s">
        <v>375</v>
      </c>
      <c r="H10" s="320" t="s">
        <v>376</v>
      </c>
      <c r="I10" s="320" t="s">
        <v>374</v>
      </c>
      <c r="J10" s="320" t="s">
        <v>375</v>
      </c>
      <c r="K10" s="320" t="s">
        <v>376</v>
      </c>
      <c r="L10" s="70"/>
      <c r="N10" s="379"/>
      <c r="O10" s="380"/>
      <c r="P10" s="380"/>
      <c r="Q10" s="380"/>
      <c r="R10" s="380"/>
      <c r="S10" s="380"/>
      <c r="T10" s="380"/>
      <c r="U10" s="380"/>
      <c r="V10" s="381"/>
      <c r="W10" s="71"/>
      <c r="X10" s="71"/>
      <c r="Y10" s="71"/>
      <c r="Z10" s="71"/>
      <c r="AA10" s="71"/>
      <c r="AB10" s="71"/>
      <c r="AC10" s="71"/>
      <c r="AD10" s="71"/>
      <c r="AE10" s="71"/>
      <c r="AF10" s="71"/>
    </row>
    <row r="11" spans="2:33" x14ac:dyDescent="0.2">
      <c r="B11" s="532" t="s">
        <v>377</v>
      </c>
      <c r="C11" s="321">
        <f ca="1">RANDBETWEEN(20,30)+RAND()</f>
        <v>21.900852525024696</v>
      </c>
      <c r="D11" s="321">
        <f ca="1">RANDBETWEEN(20,25)+RAND()</f>
        <v>21.076982066413958</v>
      </c>
      <c r="E11" s="321">
        <f t="shared" ref="E11:E19" ca="1" si="0">RANDBETWEEN(20,25)+RAND()</f>
        <v>24.188903793035347</v>
      </c>
      <c r="F11" s="322">
        <f t="shared" ref="F11" ca="1" si="1">RANDBETWEEN(20,30)+RAND()</f>
        <v>22.295526933943229</v>
      </c>
      <c r="G11" s="322">
        <f t="shared" ref="G11:H19" ca="1" si="2">RANDBETWEEN(20,25)+RAND()</f>
        <v>22.838843540796937</v>
      </c>
      <c r="H11" s="322">
        <f t="shared" ca="1" si="2"/>
        <v>25.761086732601331</v>
      </c>
      <c r="I11" s="321">
        <f t="shared" ref="I11" ca="1" si="3">RANDBETWEEN(20,30)+RAND()</f>
        <v>26.805786669417053</v>
      </c>
      <c r="J11" s="321">
        <f t="shared" ref="J11:K19" ca="1" si="4">RANDBETWEEN(20,25)+RAND()</f>
        <v>25.685717210106255</v>
      </c>
      <c r="K11" s="321">
        <f t="shared" ca="1" si="4"/>
        <v>20.230420889398204</v>
      </c>
      <c r="L11" s="335">
        <f ca="1">SUM(C11:K13)</f>
        <v>633.66347048142484</v>
      </c>
      <c r="M11" s="388" t="s">
        <v>436</v>
      </c>
      <c r="N11" s="382">
        <f ca="1">IF(ISNUMBER(G11),VAR(G11:G13),"")</f>
        <v>1.6937812917613864</v>
      </c>
      <c r="O11" s="383">
        <f ca="1">IF(ISNUMBER(G11),VAR(G11:G13),"")</f>
        <v>1.6937812917613864</v>
      </c>
      <c r="P11" s="383">
        <f ca="1">IF(ISNUMBER(G11),VAR(G11:G13),"")</f>
        <v>1.6937812917613864</v>
      </c>
      <c r="Q11" s="383">
        <f ca="1">IF(ISNUMBER(G11),VAR(G11:G13),"")</f>
        <v>1.6937812917613864</v>
      </c>
      <c r="R11" s="383">
        <f ca="1">IF(ISNUMBER(G11),VAR(G11:G13),"")</f>
        <v>1.6937812917613864</v>
      </c>
      <c r="S11" s="383">
        <f ca="1">IF(ISNUMBER(H11),VAR(H11:H13),"")</f>
        <v>8.0942468085885366</v>
      </c>
      <c r="T11" s="383">
        <f ca="1">IF(ISNUMBER(I11),VAR(I11:I13),"")</f>
        <v>0.39178638246133368</v>
      </c>
      <c r="U11" s="383">
        <f ca="1">IF(ISNUMBER(J11),VAR(J11:J13),"")</f>
        <v>5.1041468959351581</v>
      </c>
      <c r="V11" s="384">
        <f ca="1">IF(ISNUMBER(K11),VAR(K11:K13),"")</f>
        <v>5.3387594235686695</v>
      </c>
      <c r="W11" s="333">
        <f ca="1">MAX(N11:V11)</f>
        <v>8.0942468085885366</v>
      </c>
      <c r="X11" s="334">
        <f ca="1">SUM(C11:C13)</f>
        <v>67.61864748610175</v>
      </c>
      <c r="Y11" s="334">
        <f t="shared" ref="Y11:AF11" ca="1" si="5">SUM(D11:D13)</f>
        <v>66.421295191734231</v>
      </c>
      <c r="Z11" s="334">
        <f t="shared" ca="1" si="5"/>
        <v>70.521868707470361</v>
      </c>
      <c r="AA11" s="334">
        <f t="shared" ca="1" si="5"/>
        <v>68.940973101212265</v>
      </c>
      <c r="AB11" s="334">
        <f t="shared" ca="1" si="5"/>
        <v>73.001498920305991</v>
      </c>
      <c r="AC11" s="334">
        <f t="shared" ca="1" si="5"/>
        <v>67.486975115137838</v>
      </c>
      <c r="AD11" s="334">
        <f t="shared" ca="1" si="5"/>
        <v>82.384373380783046</v>
      </c>
      <c r="AE11" s="334">
        <f t="shared" ca="1" si="5"/>
        <v>72.647859301122779</v>
      </c>
      <c r="AF11" s="334">
        <f t="shared" ca="1" si="5"/>
        <v>64.639979277556719</v>
      </c>
      <c r="AG11" s="323"/>
    </row>
    <row r="12" spans="2:33" x14ac:dyDescent="0.2">
      <c r="B12" s="532"/>
      <c r="C12" s="321">
        <f ca="1">C11+RAND()</f>
        <v>22.54556651053559</v>
      </c>
      <c r="D12" s="321">
        <f t="shared" ref="D12:D19" ca="1" si="6">RANDBETWEEN(20,25)+RAND()</f>
        <v>23.632303105040478</v>
      </c>
      <c r="E12" s="321">
        <f t="shared" ca="1" si="0"/>
        <v>25.991325352575526</v>
      </c>
      <c r="F12" s="322">
        <f t="shared" ref="F12" ca="1" si="7">F11+RAND()</f>
        <v>22.923765591248493</v>
      </c>
      <c r="G12" s="322">
        <f t="shared" ca="1" si="2"/>
        <v>25.213752154964091</v>
      </c>
      <c r="H12" s="322">
        <f t="shared" ca="1" si="2"/>
        <v>20.55152803318342</v>
      </c>
      <c r="I12" s="321">
        <f t="shared" ref="I12" ca="1" si="8">I11+RAND()</f>
        <v>27.525934446300013</v>
      </c>
      <c r="J12" s="321">
        <f t="shared" ca="1" si="4"/>
        <v>21.61452557533001</v>
      </c>
      <c r="K12" s="321">
        <f t="shared" ca="1" si="4"/>
        <v>20.194954362952348</v>
      </c>
      <c r="L12" s="70"/>
      <c r="N12" s="382"/>
      <c r="O12" s="383"/>
      <c r="P12" s="383"/>
      <c r="Q12" s="383"/>
      <c r="R12" s="383"/>
      <c r="S12" s="383"/>
      <c r="T12" s="383"/>
      <c r="U12" s="383"/>
      <c r="V12" s="384"/>
      <c r="W12" s="333"/>
      <c r="X12" s="71"/>
      <c r="Y12" s="71"/>
      <c r="Z12" s="71"/>
      <c r="AA12" s="71"/>
      <c r="AB12" s="71"/>
      <c r="AC12" s="71"/>
      <c r="AD12" s="71"/>
      <c r="AE12" s="71"/>
      <c r="AF12" s="71"/>
    </row>
    <row r="13" spans="2:33" x14ac:dyDescent="0.2">
      <c r="B13" s="532"/>
      <c r="C13" s="321">
        <f ca="1">C12+RAND()</f>
        <v>23.172228450541464</v>
      </c>
      <c r="D13" s="321">
        <f t="shared" ca="1" si="6"/>
        <v>21.712010020279788</v>
      </c>
      <c r="E13" s="321">
        <f t="shared" ca="1" si="0"/>
        <v>20.341639561859484</v>
      </c>
      <c r="F13" s="322">
        <f ca="1">F12+RAND()</f>
        <v>23.721680576020546</v>
      </c>
      <c r="G13" s="322">
        <f t="shared" ca="1" si="2"/>
        <v>24.94890322454496</v>
      </c>
      <c r="H13" s="322">
        <f t="shared" ca="1" si="2"/>
        <v>21.174360349353083</v>
      </c>
      <c r="I13" s="321">
        <f t="shared" ref="I13" ca="1" si="9">I12+RAND()</f>
        <v>28.05265226506598</v>
      </c>
      <c r="J13" s="321">
        <f t="shared" ca="1" si="4"/>
        <v>25.347616515686507</v>
      </c>
      <c r="K13" s="321">
        <f t="shared" ca="1" si="4"/>
        <v>24.214604025206171</v>
      </c>
      <c r="L13" s="70"/>
      <c r="N13" s="382"/>
      <c r="O13" s="383"/>
      <c r="P13" s="383"/>
      <c r="Q13" s="383"/>
      <c r="R13" s="383"/>
      <c r="S13" s="383"/>
      <c r="T13" s="383"/>
      <c r="U13" s="383"/>
      <c r="V13" s="384"/>
      <c r="W13" s="333"/>
      <c r="X13" s="71"/>
      <c r="Y13" s="71"/>
      <c r="Z13" s="71"/>
      <c r="AA13" s="71"/>
      <c r="AB13" s="71"/>
      <c r="AC13" s="71"/>
      <c r="AD13" s="71"/>
      <c r="AE13" s="71"/>
      <c r="AF13" s="71"/>
    </row>
    <row r="14" spans="2:33" x14ac:dyDescent="0.2">
      <c r="B14" s="532" t="s">
        <v>378</v>
      </c>
      <c r="C14" s="322">
        <f ca="1">RANDBETWEEN(20,30)+RAND()</f>
        <v>21.901933113044787</v>
      </c>
      <c r="D14" s="322">
        <f t="shared" ca="1" si="6"/>
        <v>21.697384064919479</v>
      </c>
      <c r="E14" s="322">
        <f t="shared" ca="1" si="0"/>
        <v>20.789857202658684</v>
      </c>
      <c r="F14" s="321">
        <f ca="1">RANDBETWEEN(20,30)+RAND()</f>
        <v>29.976372624217575</v>
      </c>
      <c r="G14" s="321">
        <f t="shared" ca="1" si="2"/>
        <v>25.667506787012343</v>
      </c>
      <c r="H14" s="321">
        <f t="shared" ca="1" si="2"/>
        <v>22.80834152507812</v>
      </c>
      <c r="I14" s="322">
        <f t="shared" ref="I14" ca="1" si="10">RANDBETWEEN(20,30)+RAND()</f>
        <v>26.143851730546775</v>
      </c>
      <c r="J14" s="322">
        <f t="shared" ca="1" si="4"/>
        <v>23.712072718297414</v>
      </c>
      <c r="K14" s="322">
        <f t="shared" ca="1" si="4"/>
        <v>25.300930599225698</v>
      </c>
      <c r="L14" s="335">
        <f ca="1">SUM(C14:K16)</f>
        <v>649.01473116779346</v>
      </c>
      <c r="N14" s="382">
        <f ca="1">IF(ISNUMBER(G11),VAR(G11:G13),"")</f>
        <v>1.6937812917613864</v>
      </c>
      <c r="O14" s="383">
        <f ca="1">IF(ISNUMBER(G11),VAR(G11:G13),"")</f>
        <v>1.6937812917613864</v>
      </c>
      <c r="P14" s="383">
        <f ca="1">IF(ISNUMBER(G11),VAR(G11:G13),"")</f>
        <v>1.6937812917613864</v>
      </c>
      <c r="Q14" s="383">
        <f ca="1">IF(ISNUMBER(G11),VAR(G11:G13),"")</f>
        <v>1.6937812917613864</v>
      </c>
      <c r="R14" s="383">
        <f ca="1">IF(ISNUMBER(G14),VAR(G14:G16),"")</f>
        <v>3.3775472896318446</v>
      </c>
      <c r="S14" s="383">
        <f ca="1">IF(ISNUMBER(H14),VAR(H14:H16),"")</f>
        <v>0.55128082010803792</v>
      </c>
      <c r="T14" s="383">
        <f ca="1">IF(ISNUMBER(I14),VAR(I14:I16),"")</f>
        <v>0.2383864673777791</v>
      </c>
      <c r="U14" s="383">
        <f ca="1">IF(ISNUMBER(J14),VAR(J14:J16),"")</f>
        <v>1.5754448048662573</v>
      </c>
      <c r="V14" s="384">
        <f ca="1">IF(ISNUMBER(K14),VAR(K14:K16),"")</f>
        <v>7.2089459049085844</v>
      </c>
      <c r="W14" s="333">
        <f t="shared" ref="W14:W19" ca="1" si="11">MAX(N14:V14)</f>
        <v>7.2089459049085844</v>
      </c>
      <c r="X14" s="334">
        <f ca="1">SUM(C14:C16)</f>
        <v>67.175231957305243</v>
      </c>
      <c r="Y14" s="334">
        <f t="shared" ref="Y14" ca="1" si="12">SUM(D14:D16)</f>
        <v>67.729486931975359</v>
      </c>
      <c r="Z14" s="334">
        <f t="shared" ref="Z14" ca="1" si="13">SUM(E14:E16)</f>
        <v>68.539743223874922</v>
      </c>
      <c r="AA14" s="334">
        <f t="shared" ref="AA14" ca="1" si="14">SUM(F14:F16)</f>
        <v>90.919307364667119</v>
      </c>
      <c r="AB14" s="334">
        <f t="shared" ref="AB14" ca="1" si="15">SUM(G14:G16)</f>
        <v>70.838081198752903</v>
      </c>
      <c r="AC14" s="334">
        <f t="shared" ref="AC14" ca="1" si="16">SUM(H14:H16)</f>
        <v>66.714064258012513</v>
      </c>
      <c r="AD14" s="334">
        <f t="shared" ref="AD14" ca="1" si="17">SUM(I14:I16)</f>
        <v>79.914086156253077</v>
      </c>
      <c r="AE14" s="334">
        <f t="shared" ref="AE14" ca="1" si="18">SUM(J14:J16)</f>
        <v>70.075061466451814</v>
      </c>
      <c r="AF14" s="334">
        <f t="shared" ref="AF14" ca="1" si="19">SUM(K14:K16)</f>
        <v>67.109668610500535</v>
      </c>
    </row>
    <row r="15" spans="2:33" x14ac:dyDescent="0.2">
      <c r="B15" s="532"/>
      <c r="C15" s="322">
        <f ca="1">C14+RAND()</f>
        <v>22.348247316475707</v>
      </c>
      <c r="D15" s="322">
        <f t="shared" ca="1" si="6"/>
        <v>23.910775288772108</v>
      </c>
      <c r="E15" s="322">
        <f t="shared" ca="1" si="0"/>
        <v>22.390466502518063</v>
      </c>
      <c r="F15" s="321">
        <f ca="1">F14+RAND()</f>
        <v>30.110302219269975</v>
      </c>
      <c r="G15" s="321">
        <f t="shared" ca="1" si="2"/>
        <v>23.044476463337539</v>
      </c>
      <c r="H15" s="321">
        <f t="shared" ca="1" si="2"/>
        <v>22.507236738258772</v>
      </c>
      <c r="I15" s="322">
        <f t="shared" ref="I15" ca="1" si="20">I14+RAND()</f>
        <v>26.650110200990078</v>
      </c>
      <c r="J15" s="322">
        <f t="shared" ca="1" si="4"/>
        <v>24.398707178704139</v>
      </c>
      <c r="K15" s="322">
        <f t="shared" ca="1" si="4"/>
        <v>21.779408789211146</v>
      </c>
      <c r="L15" s="70"/>
      <c r="N15" s="382"/>
      <c r="O15" s="383"/>
      <c r="P15" s="383"/>
      <c r="Q15" s="383"/>
      <c r="R15" s="383"/>
      <c r="S15" s="383"/>
      <c r="T15" s="383"/>
      <c r="U15" s="383"/>
      <c r="V15" s="384"/>
      <c r="W15" s="333"/>
      <c r="X15" s="71"/>
      <c r="Y15" s="71"/>
      <c r="Z15" s="71"/>
      <c r="AA15" s="71"/>
      <c r="AB15" s="71"/>
      <c r="AC15" s="71"/>
      <c r="AD15" s="71"/>
      <c r="AE15" s="71"/>
      <c r="AF15" s="71"/>
    </row>
    <row r="16" spans="2:33" x14ac:dyDescent="0.2">
      <c r="B16" s="532"/>
      <c r="C16" s="322">
        <f ca="1">C15+RAND()</f>
        <v>22.925051527784738</v>
      </c>
      <c r="D16" s="322">
        <f t="shared" ca="1" si="6"/>
        <v>22.121327578283768</v>
      </c>
      <c r="E16" s="322">
        <f t="shared" ca="1" si="0"/>
        <v>25.359419518698182</v>
      </c>
      <c r="F16" s="321">
        <f ca="1">F15+RAND()</f>
        <v>30.832632521179566</v>
      </c>
      <c r="G16" s="321">
        <f t="shared" ca="1" si="2"/>
        <v>22.126097948403025</v>
      </c>
      <c r="H16" s="321">
        <f t="shared" ca="1" si="2"/>
        <v>21.398485994675621</v>
      </c>
      <c r="I16" s="322">
        <f t="shared" ref="I16" ca="1" si="21">I15+RAND()</f>
        <v>27.120124224716225</v>
      </c>
      <c r="J16" s="322">
        <f t="shared" ca="1" si="4"/>
        <v>21.964281569450268</v>
      </c>
      <c r="K16" s="322">
        <f t="shared" ca="1" si="4"/>
        <v>20.029329222063694</v>
      </c>
      <c r="L16" s="70"/>
      <c r="N16" s="382"/>
      <c r="O16" s="383"/>
      <c r="P16" s="383"/>
      <c r="Q16" s="383"/>
      <c r="R16" s="383"/>
      <c r="S16" s="383"/>
      <c r="T16" s="383"/>
      <c r="U16" s="383"/>
      <c r="V16" s="384"/>
      <c r="W16" s="333"/>
      <c r="X16" s="71"/>
      <c r="Y16" s="71"/>
      <c r="Z16" s="71"/>
      <c r="AA16" s="71"/>
      <c r="AB16" s="71"/>
      <c r="AC16" s="71"/>
      <c r="AD16" s="71"/>
      <c r="AE16" s="71"/>
      <c r="AF16" s="71"/>
    </row>
    <row r="17" spans="1:32" x14ac:dyDescent="0.2">
      <c r="B17" s="532" t="s">
        <v>379</v>
      </c>
      <c r="C17" s="321">
        <f t="shared" ref="C17" ca="1" si="22">RANDBETWEEN(20,30)+RAND()</f>
        <v>26.68752587244045</v>
      </c>
      <c r="D17" s="321">
        <f t="shared" ca="1" si="6"/>
        <v>22.85362670216681</v>
      </c>
      <c r="E17" s="321">
        <f t="shared" ca="1" si="0"/>
        <v>24.921027853699407</v>
      </c>
      <c r="F17" s="322">
        <f ca="1">RANDBETWEEN(20,30)+RAND()</f>
        <v>21.329283746804563</v>
      </c>
      <c r="G17" s="322">
        <f t="shared" ca="1" si="2"/>
        <v>22.488849176807648</v>
      </c>
      <c r="H17" s="322">
        <f t="shared" ca="1" si="2"/>
        <v>25.327317102122844</v>
      </c>
      <c r="I17" s="321">
        <f t="shared" ref="I17" ca="1" si="23">RANDBETWEEN(20,30)+RAND()</f>
        <v>29.639452925039368</v>
      </c>
      <c r="J17" s="321">
        <f t="shared" ca="1" si="4"/>
        <v>21.371990076433338</v>
      </c>
      <c r="K17" s="321">
        <f t="shared" ca="1" si="4"/>
        <v>20.024217863292328</v>
      </c>
      <c r="L17" s="335">
        <f ca="1">SUM(C17:K19)</f>
        <v>641.82188320159389</v>
      </c>
      <c r="N17" s="385">
        <f ca="1">IF(ISNUMBER(G11),VAR(G11:G13),"")</f>
        <v>1.6937812917613864</v>
      </c>
      <c r="O17" s="386">
        <f ca="1">IF(ISNUMBER(G11),VAR(G11:G13),"")</f>
        <v>1.6937812917613864</v>
      </c>
      <c r="P17" s="386">
        <f ca="1">IF(ISNUMBER(G11),VAR(G11:G13),"")</f>
        <v>1.6937812917613864</v>
      </c>
      <c r="Q17" s="386">
        <f t="shared" ref="Q17:V17" ca="1" si="24">IF(ISNUMBER(F17),VAR(F17:F19),"")</f>
        <v>0.281638765088978</v>
      </c>
      <c r="R17" s="386">
        <f t="shared" ca="1" si="24"/>
        <v>2.6203784879787917</v>
      </c>
      <c r="S17" s="386">
        <f t="shared" ca="1" si="24"/>
        <v>3.7003292466593765</v>
      </c>
      <c r="T17" s="386">
        <f t="shared" ca="1" si="24"/>
        <v>0.20479751251988365</v>
      </c>
      <c r="U17" s="386">
        <f t="shared" ca="1" si="24"/>
        <v>0.52068226864067302</v>
      </c>
      <c r="V17" s="387">
        <f t="shared" ca="1" si="24"/>
        <v>1.2818478126637911</v>
      </c>
      <c r="W17" s="333">
        <f t="shared" ca="1" si="11"/>
        <v>3.7003292466593765</v>
      </c>
      <c r="X17" s="334">
        <f ca="1">SUM(C17:C19)</f>
        <v>81.164082698164648</v>
      </c>
      <c r="Y17" s="334">
        <f t="shared" ref="Y17" ca="1" si="25">SUM(D17:D19)</f>
        <v>71.836272504137213</v>
      </c>
      <c r="Z17" s="334">
        <f t="shared" ref="Z17" ca="1" si="26">SUM(E17:E19)</f>
        <v>66.809932951965251</v>
      </c>
      <c r="AA17" s="334">
        <f t="shared" ref="AA17" ca="1" si="27">SUM(F17:F19)</f>
        <v>65.788380023741098</v>
      </c>
      <c r="AB17" s="334">
        <f t="shared" ref="AB17" ca="1" si="28">SUM(G17:G19)</f>
        <v>67.22919321979748</v>
      </c>
      <c r="AC17" s="334">
        <f t="shared" ref="AC17" ca="1" si="29">SUM(H17:H19)</f>
        <v>72.428413767743791</v>
      </c>
      <c r="AD17" s="334">
        <f t="shared" ref="AD17" ca="1" si="30">SUM(I17:I19)</f>
        <v>90.202939417278685</v>
      </c>
      <c r="AE17" s="334">
        <f t="shared" ref="AE17" ca="1" si="31">SUM(J17:J19)</f>
        <v>62.481371951046341</v>
      </c>
      <c r="AF17" s="334">
        <f t="shared" ref="AF17" ca="1" si="32">SUM(K17:K19)</f>
        <v>63.881296667719468</v>
      </c>
    </row>
    <row r="18" spans="1:32" x14ac:dyDescent="0.2">
      <c r="B18" s="532"/>
      <c r="C18" s="321">
        <f t="shared" ref="C18" ca="1" si="33">C17+RAND()</f>
        <v>27.120807465402244</v>
      </c>
      <c r="D18" s="321">
        <f t="shared" ca="1" si="6"/>
        <v>25.69185739331855</v>
      </c>
      <c r="E18" s="321">
        <f t="shared" ca="1" si="0"/>
        <v>21.014228563470137</v>
      </c>
      <c r="F18" s="322">
        <f t="shared" ref="F18:F19" ca="1" si="34">F17+RAND()</f>
        <v>22.122402878238187</v>
      </c>
      <c r="G18" s="322">
        <f t="shared" ca="1" si="2"/>
        <v>20.752864465014785</v>
      </c>
      <c r="H18" s="322">
        <f t="shared" ca="1" si="2"/>
        <v>21.923272441392108</v>
      </c>
      <c r="I18" s="321">
        <f t="shared" ref="I18:I19" ca="1" si="35">I17+RAND()</f>
        <v>30.022349285121965</v>
      </c>
      <c r="J18" s="321">
        <f t="shared" ca="1" si="4"/>
        <v>21.10060574235229</v>
      </c>
      <c r="K18" s="321">
        <f t="shared" ca="1" si="4"/>
        <v>22.198788000354867</v>
      </c>
      <c r="L18" s="70"/>
      <c r="W18" s="333"/>
      <c r="X18" s="71"/>
      <c r="Y18" s="71"/>
      <c r="Z18" s="71"/>
      <c r="AA18" s="71"/>
      <c r="AB18" s="71"/>
      <c r="AC18" s="71"/>
      <c r="AD18" s="71"/>
      <c r="AE18" s="71"/>
      <c r="AF18" s="71"/>
    </row>
    <row r="19" spans="1:32" x14ac:dyDescent="0.2">
      <c r="B19" s="532"/>
      <c r="C19" s="321">
        <f ca="1">C18+RAND()</f>
        <v>27.355749360321951</v>
      </c>
      <c r="D19" s="321">
        <f t="shared" ca="1" si="6"/>
        <v>23.290788408651849</v>
      </c>
      <c r="E19" s="321">
        <f t="shared" ca="1" si="0"/>
        <v>20.874676534795707</v>
      </c>
      <c r="F19" s="322">
        <f t="shared" ca="1" si="34"/>
        <v>22.336693398698348</v>
      </c>
      <c r="G19" s="322">
        <f t="shared" ca="1" si="2"/>
        <v>23.987479577975058</v>
      </c>
      <c r="H19" s="322">
        <f t="shared" ca="1" si="2"/>
        <v>25.177824224228846</v>
      </c>
      <c r="I19" s="321">
        <f t="shared" ca="1" si="35"/>
        <v>30.541137207117359</v>
      </c>
      <c r="J19" s="321">
        <f t="shared" ca="1" si="4"/>
        <v>20.00877613226071</v>
      </c>
      <c r="K19" s="321">
        <f t="shared" ca="1" si="4"/>
        <v>21.658290804072273</v>
      </c>
      <c r="L19" s="70"/>
      <c r="M19" s="71"/>
      <c r="N19" s="333">
        <f ca="1">MAX(N11:N17)</f>
        <v>1.6937812917613864</v>
      </c>
      <c r="O19" s="333">
        <f t="shared" ref="O19:V19" ca="1" si="36">MAX(O11:O17)</f>
        <v>1.6937812917613864</v>
      </c>
      <c r="P19" s="333">
        <f t="shared" ca="1" si="36"/>
        <v>1.6937812917613864</v>
      </c>
      <c r="Q19" s="333">
        <f t="shared" ca="1" si="36"/>
        <v>1.6937812917613864</v>
      </c>
      <c r="R19" s="333">
        <f t="shared" ca="1" si="36"/>
        <v>3.3775472896318446</v>
      </c>
      <c r="S19" s="333">
        <f t="shared" ca="1" si="36"/>
        <v>8.0942468085885366</v>
      </c>
      <c r="T19" s="333">
        <f t="shared" ca="1" si="36"/>
        <v>0.39178638246133368</v>
      </c>
      <c r="U19" s="333">
        <f t="shared" ca="1" si="36"/>
        <v>5.1041468959351581</v>
      </c>
      <c r="V19" s="333">
        <f t="shared" ca="1" si="36"/>
        <v>7.2089459049085844</v>
      </c>
      <c r="W19" s="333">
        <f t="shared" ca="1" si="11"/>
        <v>8.0942468085885366</v>
      </c>
      <c r="X19" s="71"/>
      <c r="Y19" s="71"/>
      <c r="Z19" s="71"/>
      <c r="AA19" s="71"/>
      <c r="AB19" s="71"/>
      <c r="AC19" s="71"/>
      <c r="AD19" s="71"/>
      <c r="AE19" s="71"/>
      <c r="AF19" s="71"/>
    </row>
    <row r="20" spans="1:32" x14ac:dyDescent="0.2">
      <c r="A20" s="71"/>
      <c r="B20" s="71"/>
      <c r="C20" s="334">
        <f ca="1">SUM(C11:E19)</f>
        <v>627.81656165272921</v>
      </c>
      <c r="D20" s="71"/>
      <c r="E20" s="71"/>
      <c r="F20" s="334">
        <f ca="1">SUM(F11:H19)</f>
        <v>643.34688696937098</v>
      </c>
      <c r="G20" s="71"/>
      <c r="H20" s="71"/>
      <c r="I20" s="334">
        <f ca="1">SUM(I11:K19)</f>
        <v>653.33663622871245</v>
      </c>
      <c r="J20" s="71"/>
      <c r="K20" s="71"/>
      <c r="L20" s="70"/>
    </row>
    <row r="21" spans="1:32" x14ac:dyDescent="0.2">
      <c r="A21" s="71"/>
      <c r="B21" s="71"/>
      <c r="C21" s="334">
        <f ca="1">SUM(C11:C19)</f>
        <v>215.95796214157161</v>
      </c>
      <c r="D21" s="334">
        <f t="shared" ref="D21:K21" ca="1" si="37">SUM(D11:D19)</f>
        <v>205.98705462784679</v>
      </c>
      <c r="E21" s="334">
        <f t="shared" ca="1" si="37"/>
        <v>205.87154488331052</v>
      </c>
      <c r="F21" s="334">
        <f t="shared" ca="1" si="37"/>
        <v>225.64866048962045</v>
      </c>
      <c r="G21" s="334">
        <f t="shared" ca="1" si="37"/>
        <v>211.0687733388564</v>
      </c>
      <c r="H21" s="334">
        <f t="shared" ca="1" si="37"/>
        <v>206.62945314089413</v>
      </c>
      <c r="I21" s="334">
        <f t="shared" ca="1" si="37"/>
        <v>252.50139895431482</v>
      </c>
      <c r="J21" s="334">
        <f t="shared" ca="1" si="37"/>
        <v>205.20429271862096</v>
      </c>
      <c r="K21" s="334">
        <f t="shared" ca="1" si="37"/>
        <v>195.63094455577672</v>
      </c>
      <c r="L21" s="70"/>
    </row>
    <row r="22" spans="1:32" x14ac:dyDescent="0.2">
      <c r="B22" s="318" t="s">
        <v>181</v>
      </c>
      <c r="C22" s="319"/>
      <c r="D22" s="319"/>
      <c r="E22" s="319"/>
      <c r="F22" s="319"/>
      <c r="G22" s="319"/>
      <c r="H22" s="319"/>
      <c r="I22" s="319"/>
      <c r="J22" s="319"/>
      <c r="K22" s="319"/>
      <c r="L22" s="319"/>
      <c r="M22" s="231"/>
      <c r="N22" s="231"/>
      <c r="O22" s="231"/>
      <c r="P22" s="231"/>
      <c r="Q22" s="231"/>
    </row>
    <row r="23" spans="1:32" x14ac:dyDescent="0.2">
      <c r="A23" s="231"/>
      <c r="B23" s="231"/>
      <c r="C23" s="231"/>
      <c r="D23" s="231"/>
      <c r="E23" s="231"/>
      <c r="F23" s="231"/>
      <c r="G23" s="231"/>
      <c r="H23" s="231"/>
      <c r="I23" s="231"/>
      <c r="J23" s="231"/>
      <c r="K23" s="231"/>
      <c r="L23" s="231"/>
      <c r="M23" s="231"/>
      <c r="N23" s="231"/>
      <c r="O23" s="231"/>
      <c r="P23" s="231"/>
      <c r="Q23" s="231"/>
    </row>
    <row r="24" spans="1:32" x14ac:dyDescent="0.2">
      <c r="B24" s="195" t="s">
        <v>15</v>
      </c>
      <c r="C24" s="196">
        <f ca="1">MAX(N11:V17)/SUM(N11:V17)</f>
        <v>0.13309492227268957</v>
      </c>
      <c r="E24" s="181" t="s">
        <v>434</v>
      </c>
      <c r="L24" s="231"/>
      <c r="M24" s="231"/>
      <c r="N24" s="231"/>
      <c r="O24" s="231"/>
      <c r="P24" s="231"/>
      <c r="Q24" s="231"/>
    </row>
    <row r="25" spans="1:32" x14ac:dyDescent="0.2">
      <c r="B25" s="195" t="s">
        <v>16</v>
      </c>
      <c r="C25" s="196">
        <f ca="1">1/((1+(COUNT(N11:V17))-1)/FINV(0.05/COUNT(N11:V17),COUNT(C11:C13),(COUNT(N11:V17)-1)*(COUNT(C11:C13)-1)))</f>
        <v>0.21171873926060869</v>
      </c>
      <c r="L25" s="231"/>
      <c r="M25" s="231"/>
      <c r="N25" s="231"/>
      <c r="O25" s="231"/>
      <c r="P25" s="231"/>
      <c r="Q25" s="231"/>
    </row>
    <row r="26" spans="1:32" x14ac:dyDescent="0.2">
      <c r="B26" s="325" t="s">
        <v>46</v>
      </c>
      <c r="C26" s="326" t="str">
        <f ca="1">IF(C24&lt;C25,"no outlier","presence of an outlier")</f>
        <v>no outlier</v>
      </c>
      <c r="L26" s="231"/>
      <c r="M26" s="231"/>
      <c r="N26" s="231"/>
      <c r="O26" s="231"/>
      <c r="P26" s="231"/>
      <c r="Q26" s="231"/>
    </row>
    <row r="27" spans="1:32" x14ac:dyDescent="0.2">
      <c r="M27" s="231"/>
      <c r="N27" s="231"/>
      <c r="O27" s="231"/>
      <c r="P27" s="231"/>
      <c r="Q27" s="231"/>
    </row>
    <row r="28" spans="1:32" x14ac:dyDescent="0.2">
      <c r="B28" s="319" t="s">
        <v>386</v>
      </c>
      <c r="C28" s="319"/>
      <c r="D28" s="319"/>
      <c r="E28" s="319"/>
      <c r="F28" s="319"/>
      <c r="G28" s="319"/>
      <c r="H28" s="319"/>
      <c r="I28" s="319"/>
      <c r="J28" s="319"/>
      <c r="K28" s="319"/>
      <c r="L28" s="319"/>
      <c r="M28" s="231"/>
      <c r="N28" s="231"/>
      <c r="O28" s="231"/>
      <c r="P28" s="231"/>
      <c r="Q28" s="231"/>
    </row>
    <row r="29" spans="1:32" x14ac:dyDescent="0.2">
      <c r="M29" s="231"/>
      <c r="N29" s="231"/>
      <c r="O29" s="231"/>
      <c r="P29" s="231"/>
      <c r="Q29" s="231"/>
    </row>
    <row r="30" spans="1:32" x14ac:dyDescent="0.2">
      <c r="M30" s="231"/>
      <c r="N30" s="231"/>
      <c r="O30" s="231"/>
      <c r="P30" s="231"/>
      <c r="Q30" s="231"/>
    </row>
    <row r="31" spans="1:32" x14ac:dyDescent="0.2">
      <c r="L31" s="341" t="s">
        <v>388</v>
      </c>
      <c r="N31" s="231"/>
      <c r="O31" s="231"/>
      <c r="P31" s="231"/>
      <c r="Q31" s="231"/>
    </row>
    <row r="32" spans="1:32" x14ac:dyDescent="0.2">
      <c r="L32" s="349">
        <f ca="1">(H62-H64)/H62</f>
        <v>0.75866168591956551</v>
      </c>
      <c r="M32" s="231"/>
      <c r="N32" s="231"/>
      <c r="O32" s="231"/>
      <c r="P32" s="231"/>
      <c r="Q32" s="231"/>
    </row>
    <row r="33" spans="1:17" x14ac:dyDescent="0.2">
      <c r="M33" s="231"/>
      <c r="N33" s="231"/>
      <c r="O33" s="231"/>
      <c r="P33" s="231"/>
      <c r="Q33" s="231"/>
    </row>
    <row r="34" spans="1:17" x14ac:dyDescent="0.2">
      <c r="L34" s="341" t="s">
        <v>248</v>
      </c>
      <c r="M34" s="231"/>
      <c r="N34" s="231"/>
      <c r="O34" s="231"/>
      <c r="P34" s="231"/>
      <c r="Q34" s="231"/>
    </row>
    <row r="35" spans="1:17" x14ac:dyDescent="0.2">
      <c r="L35" s="350">
        <f ca="1">K63</f>
        <v>0.77676205947559807</v>
      </c>
      <c r="M35" s="231"/>
      <c r="N35" s="231"/>
      <c r="O35" s="231"/>
      <c r="P35" s="231"/>
      <c r="Q35" s="231"/>
    </row>
    <row r="36" spans="1:17" x14ac:dyDescent="0.2">
      <c r="M36" s="231"/>
      <c r="N36" s="231"/>
      <c r="O36" s="231"/>
      <c r="P36" s="231"/>
      <c r="Q36" s="231"/>
    </row>
    <row r="37" spans="1:17" x14ac:dyDescent="0.2">
      <c r="M37" s="231"/>
      <c r="N37" s="231"/>
      <c r="O37" s="231"/>
      <c r="P37" s="231"/>
      <c r="Q37" s="231"/>
    </row>
    <row r="38" spans="1:17" x14ac:dyDescent="0.2">
      <c r="M38" s="231"/>
      <c r="N38" s="231"/>
      <c r="O38" s="231"/>
      <c r="P38" s="231"/>
      <c r="Q38" s="231"/>
    </row>
    <row r="39" spans="1:17" x14ac:dyDescent="0.2">
      <c r="M39" s="231"/>
      <c r="N39" s="231"/>
      <c r="O39" s="231"/>
      <c r="P39" s="231"/>
      <c r="Q39" s="231"/>
    </row>
    <row r="40" spans="1:17" x14ac:dyDescent="0.2">
      <c r="M40" s="231"/>
      <c r="N40" s="231"/>
      <c r="O40" s="231"/>
      <c r="P40" s="231"/>
      <c r="Q40" s="231"/>
    </row>
    <row r="41" spans="1:17" x14ac:dyDescent="0.2">
      <c r="M41" s="231"/>
      <c r="N41" s="231"/>
      <c r="O41" s="231"/>
      <c r="P41" s="231"/>
      <c r="Q41" s="231"/>
    </row>
    <row r="42" spans="1:17" x14ac:dyDescent="0.2">
      <c r="M42" s="231"/>
      <c r="N42" s="231"/>
      <c r="O42" s="231"/>
      <c r="P42" s="231"/>
      <c r="Q42" s="231"/>
    </row>
    <row r="43" spans="1:17" x14ac:dyDescent="0.2">
      <c r="B43" s="181" t="s">
        <v>385</v>
      </c>
      <c r="M43" s="231"/>
      <c r="N43" s="231"/>
      <c r="O43" s="231"/>
      <c r="P43" s="231"/>
      <c r="Q43" s="231"/>
    </row>
    <row r="44" spans="1:17" x14ac:dyDescent="0.2">
      <c r="B44" s="327" t="s">
        <v>164</v>
      </c>
      <c r="C44" s="319"/>
      <c r="D44" s="319"/>
      <c r="E44" s="319"/>
      <c r="F44" s="319"/>
      <c r="G44" s="319"/>
      <c r="H44" s="319"/>
      <c r="I44" s="319"/>
      <c r="J44" s="319"/>
      <c r="K44" s="319"/>
      <c r="L44" s="319"/>
      <c r="M44" s="231"/>
      <c r="N44" s="231"/>
      <c r="O44" s="231"/>
      <c r="P44" s="231"/>
      <c r="Q44" s="231"/>
    </row>
    <row r="45" spans="1:17" x14ac:dyDescent="0.2">
      <c r="A45" s="188"/>
      <c r="M45" s="231"/>
      <c r="N45" s="231"/>
      <c r="O45" s="231"/>
      <c r="P45" s="231"/>
      <c r="Q45" s="231"/>
    </row>
    <row r="46" spans="1:17" x14ac:dyDescent="0.2">
      <c r="A46" s="188"/>
      <c r="B46" s="343" t="s">
        <v>184</v>
      </c>
      <c r="C46" s="328">
        <f ca="1">AVERAGE(C11:K19)</f>
        <v>23.759260306800158</v>
      </c>
      <c r="D46" s="332" t="s">
        <v>401</v>
      </c>
      <c r="E46" s="525" t="s">
        <v>186</v>
      </c>
      <c r="F46" s="525"/>
      <c r="H46" s="525" t="s">
        <v>183</v>
      </c>
      <c r="I46" s="525"/>
      <c r="M46" s="231"/>
      <c r="N46" s="231"/>
      <c r="O46" s="231"/>
      <c r="P46" s="231"/>
      <c r="Q46" s="231"/>
    </row>
    <row r="47" spans="1:17" x14ac:dyDescent="0.2">
      <c r="A47" s="188"/>
      <c r="B47" s="343" t="s">
        <v>185</v>
      </c>
      <c r="C47" s="352">
        <v>20</v>
      </c>
      <c r="E47" s="328">
        <f ca="1">C46-A48*SQRT(A49/C62)</f>
        <v>23.148375285565209</v>
      </c>
      <c r="F47" s="328">
        <f ca="1">C46+A48*SQRT(A49/C62)</f>
        <v>24.370145328035107</v>
      </c>
      <c r="H47" s="529" t="str">
        <f ca="1">IF(E47&lt;C47,IF(F47&gt;C47,"no bias","significante bias"),"significante bias")</f>
        <v>significante bias</v>
      </c>
      <c r="I47" s="529"/>
      <c r="M47" s="231"/>
      <c r="N47" s="231"/>
      <c r="O47" s="231"/>
      <c r="P47" s="231"/>
      <c r="Q47" s="231"/>
    </row>
    <row r="48" spans="1:17" x14ac:dyDescent="0.2">
      <c r="A48" s="214">
        <f ca="1">TINV(0.05,G62)</f>
        <v>1.9900634212544475</v>
      </c>
      <c r="M48" s="231"/>
      <c r="N48" s="231"/>
      <c r="P48" s="231"/>
      <c r="Q48" s="231"/>
    </row>
    <row r="49" spans="1:17" x14ac:dyDescent="0.2">
      <c r="A49" s="353">
        <f ca="1">H62</f>
        <v>7.6325584272152627</v>
      </c>
      <c r="B49" s="343" t="s">
        <v>399</v>
      </c>
      <c r="C49" s="351">
        <f ca="1">A49/C46</f>
        <v>0.32124562501765858</v>
      </c>
      <c r="E49" s="343" t="s">
        <v>403</v>
      </c>
      <c r="H49" s="525" t="s">
        <v>338</v>
      </c>
      <c r="I49" s="525"/>
      <c r="K49" s="329"/>
      <c r="L49" s="329"/>
      <c r="M49" s="231"/>
      <c r="N49" s="231"/>
      <c r="O49" s="231"/>
      <c r="P49" s="231"/>
      <c r="Q49" s="231"/>
    </row>
    <row r="50" spans="1:17" x14ac:dyDescent="0.2">
      <c r="A50" s="188"/>
      <c r="B50" s="343" t="s">
        <v>402</v>
      </c>
      <c r="C50" s="248">
        <v>20</v>
      </c>
      <c r="D50" s="332" t="s">
        <v>401</v>
      </c>
      <c r="E50" s="344">
        <f ca="1">SQRT(_xlfn.CHISQ.INV(0.95,G62)/G62)*C50</f>
        <v>22.569833181199623</v>
      </c>
      <c r="H50" s="521" t="str">
        <f ca="1">IF(C49*100&lt;E50,"CV% accepted","CV% different")</f>
        <v>CV% different</v>
      </c>
      <c r="I50" s="522"/>
      <c r="K50" s="329"/>
      <c r="L50" s="329"/>
      <c r="M50" s="231"/>
      <c r="N50" s="231"/>
      <c r="O50" s="231"/>
      <c r="P50" s="231"/>
      <c r="Q50" s="231"/>
    </row>
    <row r="51" spans="1:17" x14ac:dyDescent="0.2">
      <c r="A51" s="188"/>
      <c r="B51" s="330"/>
      <c r="C51" s="329"/>
      <c r="E51" s="329"/>
      <c r="F51" s="329"/>
      <c r="K51" s="329"/>
      <c r="L51" s="329"/>
      <c r="M51" s="231"/>
      <c r="N51" s="231"/>
      <c r="O51" s="231"/>
      <c r="P51" s="231"/>
      <c r="Q51" s="231"/>
    </row>
    <row r="52" spans="1:17" x14ac:dyDescent="0.2">
      <c r="B52" s="319" t="s">
        <v>187</v>
      </c>
      <c r="C52" s="319"/>
      <c r="D52" s="319"/>
      <c r="E52" s="319"/>
      <c r="F52" s="319"/>
      <c r="G52" s="319"/>
      <c r="H52" s="319" t="s">
        <v>338</v>
      </c>
      <c r="I52" s="319"/>
      <c r="J52" s="319"/>
      <c r="K52" s="319"/>
      <c r="L52" s="319"/>
      <c r="M52" s="231"/>
      <c r="N52" s="231"/>
      <c r="O52" s="231"/>
      <c r="P52" s="231"/>
      <c r="Q52" s="231"/>
    </row>
    <row r="53" spans="1:17" x14ac:dyDescent="0.2">
      <c r="M53" s="231"/>
      <c r="N53" s="231"/>
      <c r="O53" s="231"/>
      <c r="P53" s="231"/>
      <c r="Q53" s="231"/>
    </row>
    <row r="54" spans="1:17" x14ac:dyDescent="0.2">
      <c r="B54" s="195" t="s">
        <v>187</v>
      </c>
      <c r="C54" s="195" t="s">
        <v>188</v>
      </c>
      <c r="E54" s="525" t="s">
        <v>189</v>
      </c>
      <c r="F54" s="525"/>
      <c r="M54" s="231"/>
      <c r="N54" s="231"/>
      <c r="O54" s="231"/>
      <c r="P54" s="231"/>
      <c r="Q54" s="231"/>
    </row>
    <row r="55" spans="1:17" x14ac:dyDescent="0.2">
      <c r="B55" s="195" t="s">
        <v>14</v>
      </c>
      <c r="C55" s="328">
        <f ca="1">SQRT(A49)*8</f>
        <v>22.10166824793497</v>
      </c>
      <c r="E55" s="328">
        <f ca="1">C46-A48*SQRT(C62)</f>
        <v>5.8486895155101308</v>
      </c>
      <c r="F55" s="328">
        <f ca="1">C46+A48*SQRT(A49)</f>
        <v>29.257225497914689</v>
      </c>
      <c r="M55" s="231"/>
      <c r="N55" s="231"/>
      <c r="O55" s="231"/>
      <c r="P55" s="231"/>
      <c r="Q55" s="231"/>
    </row>
    <row r="56" spans="1:17" x14ac:dyDescent="0.2">
      <c r="B56" s="195" t="s">
        <v>13</v>
      </c>
      <c r="C56" s="328">
        <f ca="1">SQRT(A49)*10</f>
        <v>27.627085309918712</v>
      </c>
      <c r="E56" s="523" t="s">
        <v>298</v>
      </c>
      <c r="F56" s="524"/>
      <c r="M56" s="231"/>
      <c r="N56" s="231"/>
      <c r="O56" s="324"/>
      <c r="P56" s="231"/>
      <c r="Q56" s="231"/>
    </row>
    <row r="57" spans="1:17" x14ac:dyDescent="0.2">
      <c r="B57" s="331">
        <f ca="1">C57/(6*SQRT(A49))</f>
        <v>0.90490906729941811</v>
      </c>
      <c r="C57" s="321">
        <v>15</v>
      </c>
      <c r="D57" s="332" t="s">
        <v>400</v>
      </c>
      <c r="E57" s="328">
        <f ca="1">B57*SQRT(CHIINV(0.975,G62)/G62)</f>
        <v>0.76485677708633515</v>
      </c>
      <c r="F57" s="328">
        <f ca="1">B57*SQRT(CHIINV(0.025,G62)/G62)</f>
        <v>1.0447123633167856</v>
      </c>
      <c r="M57" s="231"/>
      <c r="N57" s="231"/>
      <c r="O57" s="231"/>
      <c r="P57" s="231"/>
      <c r="Q57" s="231"/>
    </row>
    <row r="58" spans="1:17" x14ac:dyDescent="0.2">
      <c r="M58" s="231"/>
      <c r="N58" s="231"/>
      <c r="O58" s="231"/>
      <c r="P58" s="231"/>
      <c r="Q58" s="231"/>
    </row>
    <row r="59" spans="1:17" x14ac:dyDescent="0.2">
      <c r="M59" s="231"/>
      <c r="N59" s="231"/>
      <c r="O59" s="231"/>
      <c r="P59" s="231"/>
      <c r="Q59" s="231"/>
    </row>
    <row r="60" spans="1:17" x14ac:dyDescent="0.2">
      <c r="A60" s="233"/>
      <c r="B60" s="345"/>
      <c r="C60" s="345"/>
      <c r="D60" s="345"/>
      <c r="E60" s="345"/>
      <c r="F60" s="345"/>
      <c r="G60" s="345"/>
      <c r="H60" s="345"/>
      <c r="I60" s="345"/>
      <c r="J60" s="345"/>
      <c r="K60" s="345"/>
      <c r="L60" s="345"/>
      <c r="M60" s="345"/>
      <c r="N60" s="233"/>
      <c r="O60" s="233"/>
      <c r="P60" s="231"/>
      <c r="Q60" s="231"/>
    </row>
    <row r="61" spans="1:17" x14ac:dyDescent="0.2">
      <c r="A61" s="233"/>
      <c r="B61" s="336" t="s">
        <v>2</v>
      </c>
      <c r="C61" s="336" t="s">
        <v>3</v>
      </c>
      <c r="D61" s="336" t="s">
        <v>0</v>
      </c>
      <c r="E61" s="336" t="s">
        <v>1</v>
      </c>
      <c r="F61" s="336" t="s">
        <v>4</v>
      </c>
      <c r="G61" s="336" t="s">
        <v>5</v>
      </c>
      <c r="H61" s="336" t="s">
        <v>6</v>
      </c>
      <c r="I61" s="336" t="s">
        <v>7</v>
      </c>
      <c r="J61" s="336" t="s">
        <v>8</v>
      </c>
      <c r="K61" s="336" t="s">
        <v>9</v>
      </c>
      <c r="L61" s="336" t="s">
        <v>220</v>
      </c>
      <c r="M61" s="233"/>
      <c r="N61" s="233"/>
      <c r="O61" s="233"/>
      <c r="P61" s="231"/>
      <c r="Q61" s="231"/>
    </row>
    <row r="62" spans="1:17" x14ac:dyDescent="0.2">
      <c r="A62" s="530" t="s">
        <v>190</v>
      </c>
      <c r="B62" s="336" t="s">
        <v>10</v>
      </c>
      <c r="C62" s="336">
        <f ca="1">COUNT(C11:K19)</f>
        <v>81</v>
      </c>
      <c r="D62" s="337">
        <f ca="1">SUM(C11:K19)^2</f>
        <v>3703700.5765907853</v>
      </c>
      <c r="E62" s="337">
        <f ca="1">D62/C62</f>
        <v>45724.698476429447</v>
      </c>
      <c r="F62" s="338">
        <f ca="1">DEVSQ(C11:K19)</f>
        <v>610.604674177221</v>
      </c>
      <c r="G62" s="336">
        <f ca="1">C62-1</f>
        <v>80</v>
      </c>
      <c r="H62" s="338">
        <f ca="1">F62/G62</f>
        <v>7.6325584272152627</v>
      </c>
      <c r="I62" s="336" t="s">
        <v>12</v>
      </c>
      <c r="J62" s="336" t="s">
        <v>12</v>
      </c>
      <c r="K62" s="339">
        <f ca="1">SUM(K64:K71)</f>
        <v>1</v>
      </c>
      <c r="L62" s="183"/>
      <c r="M62" s="233"/>
      <c r="N62" s="233"/>
      <c r="O62" s="233"/>
      <c r="P62" s="231"/>
      <c r="Q62" s="231"/>
    </row>
    <row r="63" spans="1:17" x14ac:dyDescent="0.2">
      <c r="A63" s="530"/>
      <c r="B63" s="336" t="s">
        <v>11</v>
      </c>
      <c r="C63" s="336" t="s">
        <v>12</v>
      </c>
      <c r="D63" s="337" t="s">
        <v>12</v>
      </c>
      <c r="E63" s="337" t="s">
        <v>12</v>
      </c>
      <c r="F63" s="338">
        <f ca="1">SUM(F65:F71)</f>
        <v>474.29454423932475</v>
      </c>
      <c r="G63" s="336">
        <f>SUM(G65:G67)</f>
        <v>6</v>
      </c>
      <c r="H63" s="338">
        <f t="shared" ref="H63:H71" ca="1" si="38">F63/G63</f>
        <v>79.049090706554125</v>
      </c>
      <c r="I63" s="337">
        <f ca="1">H63/H64</f>
        <v>42.91414522860579</v>
      </c>
      <c r="J63" s="337">
        <f ca="1">FINV(0.05,G63,G$64)</f>
        <v>2.2238259746633351</v>
      </c>
      <c r="K63" s="339">
        <f t="shared" ref="K63:K71" ca="1" si="39">F63/F$62</f>
        <v>0.77676205947559807</v>
      </c>
      <c r="L63" s="183">
        <f ca="1">IF(I63&lt;J63,"NA",FDIST(J63/I63,G63,G$64))</f>
        <v>0.99940194886980738</v>
      </c>
      <c r="M63" s="233"/>
      <c r="N63" s="233"/>
      <c r="O63" s="233"/>
      <c r="P63" s="231"/>
      <c r="Q63" s="231"/>
    </row>
    <row r="64" spans="1:17" x14ac:dyDescent="0.2">
      <c r="A64" s="530"/>
      <c r="B64" s="336" t="s">
        <v>206</v>
      </c>
      <c r="C64" s="336" t="s">
        <v>12</v>
      </c>
      <c r="D64" s="337" t="s">
        <v>12</v>
      </c>
      <c r="E64" s="337" t="s">
        <v>12</v>
      </c>
      <c r="F64" s="338">
        <f ca="1">F62-F63</f>
        <v>136.31012993789625</v>
      </c>
      <c r="G64" s="336">
        <f ca="1">G62-G63</f>
        <v>74</v>
      </c>
      <c r="H64" s="338">
        <f t="shared" ca="1" si="38"/>
        <v>1.8420287829445439</v>
      </c>
      <c r="I64" s="337" t="s">
        <v>12</v>
      </c>
      <c r="J64" s="337" t="s">
        <v>12</v>
      </c>
      <c r="K64" s="339">
        <f t="shared" ca="1" si="39"/>
        <v>0.22323794052440188</v>
      </c>
      <c r="L64" s="183" t="s">
        <v>45</v>
      </c>
      <c r="M64" s="340"/>
      <c r="N64" s="233"/>
      <c r="O64" s="233"/>
      <c r="P64" s="231"/>
      <c r="Q64" s="231"/>
    </row>
    <row r="65" spans="1:17" x14ac:dyDescent="0.2">
      <c r="A65" s="531" t="s">
        <v>182</v>
      </c>
      <c r="B65" s="336" t="s">
        <v>303</v>
      </c>
      <c r="C65" s="336">
        <f>G7</f>
        <v>3</v>
      </c>
      <c r="D65" s="337">
        <f ca="1">C20^2+F20^2+I20^2</f>
        <v>1234897.6122972846</v>
      </c>
      <c r="E65" s="337">
        <f ca="1">D65*C65/C62</f>
        <v>45736.948603603138</v>
      </c>
      <c r="F65" s="338">
        <f ca="1">E65-E62</f>
        <v>12.250127173690998</v>
      </c>
      <c r="G65" s="336">
        <f>C65-1</f>
        <v>2</v>
      </c>
      <c r="H65" s="338">
        <f t="shared" ca="1" si="38"/>
        <v>6.1250635868454992</v>
      </c>
      <c r="I65" s="337">
        <f t="shared" ref="I65:I71" ca="1" si="40">H65/H$64</f>
        <v>3.325172572523206</v>
      </c>
      <c r="J65" s="337">
        <f t="shared" ref="J65:J71" ca="1" si="41">FINV(0.05,G65,G$64)</f>
        <v>3.1203485108573461</v>
      </c>
      <c r="K65" s="339">
        <f t="shared" ca="1" si="39"/>
        <v>2.0062288566981293E-2</v>
      </c>
      <c r="L65" s="183">
        <f t="shared" ref="L65:L71" ca="1" si="42">IF(I65&lt;J65,"NA",FDIST(J65/I65,G65,G$64))</f>
        <v>0.39585810439774971</v>
      </c>
      <c r="M65" s="340">
        <f ca="1">J65*H$64/F$62</f>
        <v>9.4132456119213267E-3</v>
      </c>
      <c r="N65" s="233"/>
      <c r="O65" s="233"/>
      <c r="P65" s="231"/>
      <c r="Q65" s="231"/>
    </row>
    <row r="66" spans="1:17" x14ac:dyDescent="0.2">
      <c r="A66" s="531"/>
      <c r="B66" s="336" t="s">
        <v>99</v>
      </c>
      <c r="C66" s="336">
        <f>H7</f>
        <v>3</v>
      </c>
      <c r="D66" s="337">
        <f ca="1">SUM(C11:C19,F11:F19,I11:I19)^2+SUM(D11:D19,G11:G19,J11:J19)^2+SUM(E11:E19,H11:H19,K11:K19)^2</f>
        <v>1238818.0630107624</v>
      </c>
      <c r="E66" s="337">
        <f ca="1">D66*C66/C62</f>
        <v>45882.15048188009</v>
      </c>
      <c r="F66" s="338">
        <f ca="1">E66-E62</f>
        <v>157.4520054506429</v>
      </c>
      <c r="G66" s="336">
        <f>C66-1</f>
        <v>2</v>
      </c>
      <c r="H66" s="338">
        <f t="shared" ca="1" si="38"/>
        <v>78.72600272532145</v>
      </c>
      <c r="I66" s="337">
        <f ca="1">H66/H$64</f>
        <v>42.738747328082106</v>
      </c>
      <c r="J66" s="337">
        <f t="shared" ca="1" si="41"/>
        <v>3.1203485108573461</v>
      </c>
      <c r="K66" s="339">
        <f t="shared" ca="1" si="39"/>
        <v>0.25786243065172521</v>
      </c>
      <c r="L66" s="183">
        <f t="shared" ca="1" si="42"/>
        <v>0.92965857134037111</v>
      </c>
      <c r="M66" s="340">
        <f ca="1">J66*H$64/F$62</f>
        <v>9.4132456119213267E-3</v>
      </c>
      <c r="N66" s="233"/>
      <c r="O66" s="233"/>
      <c r="P66" s="231"/>
      <c r="Q66" s="231"/>
    </row>
    <row r="67" spans="1:17" x14ac:dyDescent="0.2">
      <c r="A67" s="531"/>
      <c r="B67" s="336" t="s">
        <v>369</v>
      </c>
      <c r="C67" s="336">
        <f>I7</f>
        <v>3</v>
      </c>
      <c r="D67" s="337">
        <f ca="1">L11^2+L14^2+L17^2</f>
        <v>1234684.8448518072</v>
      </c>
      <c r="E67" s="337">
        <f ca="1">D67*C67/C62</f>
        <v>45729.06832784471</v>
      </c>
      <c r="F67" s="338">
        <f ca="1">E67-E62</f>
        <v>4.3698514152638381</v>
      </c>
      <c r="G67" s="336">
        <f>C67-1</f>
        <v>2</v>
      </c>
      <c r="H67" s="338">
        <f t="shared" ca="1" si="38"/>
        <v>2.1849257076319191</v>
      </c>
      <c r="I67" s="337">
        <f ca="1">H67/H$64</f>
        <v>1.1861517734479932</v>
      </c>
      <c r="J67" s="337">
        <f t="shared" ca="1" si="41"/>
        <v>3.1203485108573461</v>
      </c>
      <c r="K67" s="339">
        <f t="shared" ca="1" si="39"/>
        <v>7.1565967311864025E-3</v>
      </c>
      <c r="L67" s="183" t="str">
        <f t="shared" ca="1" si="42"/>
        <v>NA</v>
      </c>
      <c r="M67" s="340">
        <f ca="1">J67*H$64/F$62</f>
        <v>9.4132456119213267E-3</v>
      </c>
      <c r="N67" s="233"/>
      <c r="O67" s="233"/>
      <c r="P67" s="231"/>
      <c r="Q67" s="231"/>
    </row>
    <row r="68" spans="1:17" x14ac:dyDescent="0.2">
      <c r="A68" s="531" t="s">
        <v>191</v>
      </c>
      <c r="B68" s="336" t="s">
        <v>370</v>
      </c>
      <c r="C68" s="336">
        <f>C65*C66</f>
        <v>9</v>
      </c>
      <c r="D68" s="337">
        <f ca="1">SUMSQ(C21:K21)</f>
        <v>413751.9017358924</v>
      </c>
      <c r="E68" s="337">
        <f ca="1">D68*C68/C62</f>
        <v>45972.433526210269</v>
      </c>
      <c r="F68" s="338">
        <f ca="1">E68-E62-F65-F66</f>
        <v>78.032917156488111</v>
      </c>
      <c r="G68" s="336">
        <v>4</v>
      </c>
      <c r="H68" s="338">
        <f t="shared" ca="1" si="38"/>
        <v>19.508229289122028</v>
      </c>
      <c r="I68" s="337">
        <f t="shared" ca="1" si="40"/>
        <v>10.590621313711221</v>
      </c>
      <c r="J68" s="337">
        <f t="shared" ca="1" si="41"/>
        <v>2.4953884783519875</v>
      </c>
      <c r="K68" s="339">
        <f t="shared" ca="1" si="39"/>
        <v>0.12779613464576911</v>
      </c>
      <c r="L68" s="183">
        <f t="shared" ca="1" si="42"/>
        <v>0.91741384500146272</v>
      </c>
      <c r="M68" s="340">
        <f ca="1">J68*H$64/F$62</f>
        <v>7.5279106042651167E-3</v>
      </c>
      <c r="N68" s="233"/>
      <c r="O68" s="233"/>
      <c r="P68" s="231"/>
      <c r="Q68" s="231"/>
    </row>
    <row r="69" spans="1:17" x14ac:dyDescent="0.2">
      <c r="A69" s="531"/>
      <c r="B69" s="336" t="s">
        <v>380</v>
      </c>
      <c r="C69" s="336">
        <f>C65*C67</f>
        <v>9</v>
      </c>
      <c r="D69" s="337">
        <f ca="1">SUM(C11:E13)^2+SUM(F11:H13)^2+SUM(I11:K13)^2+SUM(C14:E16)^2+SUM(F14:H16)^2+SUM(I14:K16)^2+SUM(C17:E19)^2+SUM(F17:H19)^2+SUM(I17:K19)^2</f>
        <v>412108.13758259604</v>
      </c>
      <c r="E69" s="337">
        <f ca="1">D69*C69/C62</f>
        <v>45789.79306473289</v>
      </c>
      <c r="F69" s="338">
        <f ca="1">E69-E62-F65-F67</f>
        <v>48.474609714488906</v>
      </c>
      <c r="G69" s="336">
        <v>4</v>
      </c>
      <c r="H69" s="338">
        <f t="shared" ca="1" si="38"/>
        <v>12.118652428622227</v>
      </c>
      <c r="I69" s="337">
        <f ca="1">H69/H$64</f>
        <v>6.5789701772467204</v>
      </c>
      <c r="J69" s="337">
        <f t="shared" ca="1" si="41"/>
        <v>2.4953884783519875</v>
      </c>
      <c r="K69" s="339">
        <f t="shared" ca="1" si="39"/>
        <v>7.9387878548109025E-2</v>
      </c>
      <c r="L69" s="183">
        <f t="shared" ca="1" si="42"/>
        <v>0.82274227453541415</v>
      </c>
      <c r="M69" s="340">
        <f ca="1">J69*H$64/F$62</f>
        <v>7.5279106042651167E-3</v>
      </c>
      <c r="N69" s="233"/>
      <c r="O69" s="233"/>
      <c r="P69" s="231"/>
      <c r="Q69" s="231"/>
    </row>
    <row r="70" spans="1:17" x14ac:dyDescent="0.2">
      <c r="A70" s="531"/>
      <c r="B70" s="336" t="s">
        <v>381</v>
      </c>
      <c r="C70" s="336">
        <f>C66*C67</f>
        <v>9</v>
      </c>
      <c r="D70" s="337">
        <f ca="1">SUM(C11:C13,F11:F13,I11:I13)^2+SUM(D11:D13,G11:G13,J11:J13)^2+SUM(E11:E13,H11:H13,K11:K13)^2+SUM(C14:C16,F14:F16,I14:I16)^2+SUM(D14:D16,G14:G16,J14:J16)^2+SUM(E14:E16,H14:H16,K14:K16)^2+SUM(C17:C19,F17:F19,I17:I19)^2+SUM(D17:D19,G17:G19,J17:J19)^2+SUM(E17:E19,H17:H19,K17:K19)^2</f>
        <v>413229.2112515443</v>
      </c>
      <c r="E70" s="337">
        <f ca="1">D70*C70/C62</f>
        <v>45914.356805727148</v>
      </c>
      <c r="F70" s="338">
        <f ca="1">E70-E62-F66-F67</f>
        <v>27.836472431794391</v>
      </c>
      <c r="G70" s="336">
        <v>4</v>
      </c>
      <c r="H70" s="338">
        <f t="shared" ca="1" si="38"/>
        <v>6.9591181079485978</v>
      </c>
      <c r="I70" s="337">
        <f ca="1">H70/H$64</f>
        <v>3.777963825746641</v>
      </c>
      <c r="J70" s="337">
        <f t="shared" ca="1" si="41"/>
        <v>2.4953884783519875</v>
      </c>
      <c r="K70" s="339">
        <f t="shared" ca="1" si="39"/>
        <v>4.5588371018128127E-2</v>
      </c>
      <c r="L70" s="183">
        <f t="shared" ca="1" si="42"/>
        <v>0.62139119382626506</v>
      </c>
      <c r="M70" s="340">
        <f t="shared" ref="M70:M71" ca="1" si="43">J70*H$64/F$62</f>
        <v>7.5279106042651167E-3</v>
      </c>
      <c r="N70" s="233"/>
      <c r="O70" s="233"/>
      <c r="P70" s="231"/>
      <c r="Q70" s="231"/>
    </row>
    <row r="71" spans="1:17" x14ac:dyDescent="0.2">
      <c r="A71" s="531"/>
      <c r="B71" s="336" t="s">
        <v>382</v>
      </c>
      <c r="C71" s="336">
        <f>C65*C66*C67</f>
        <v>27</v>
      </c>
      <c r="D71" s="337">
        <f ca="1">SUMSQ(X10:AG18)</f>
        <v>138596.97906200631</v>
      </c>
      <c r="E71" s="337">
        <f ca="1">D71*C71/C62</f>
        <v>46198.993020668771</v>
      </c>
      <c r="F71" s="338">
        <f ca="1">E71-E62-F65-F66-F67-F68-F69-F70</f>
        <v>145.87856089695561</v>
      </c>
      <c r="G71" s="336">
        <v>8</v>
      </c>
      <c r="H71" s="338">
        <f t="shared" ca="1" si="38"/>
        <v>18.234820112119451</v>
      </c>
      <c r="I71" s="337">
        <f t="shared" ca="1" si="40"/>
        <v>9.8993133445887249</v>
      </c>
      <c r="J71" s="337">
        <f t="shared" ca="1" si="41"/>
        <v>2.0661869247882083</v>
      </c>
      <c r="K71" s="339">
        <f t="shared" ca="1" si="39"/>
        <v>0.23890835931369897</v>
      </c>
      <c r="L71" s="183">
        <f t="shared" ca="1" si="42"/>
        <v>0.98848654989865758</v>
      </c>
      <c r="M71" s="340">
        <f t="shared" ca="1" si="43"/>
        <v>6.233125862542795E-3</v>
      </c>
      <c r="N71" s="233"/>
      <c r="O71" s="233"/>
      <c r="P71" s="231"/>
      <c r="Q71" s="231"/>
    </row>
    <row r="72" spans="1:17" x14ac:dyDescent="0.2">
      <c r="A72" s="233"/>
      <c r="B72" s="233"/>
      <c r="C72" s="233"/>
      <c r="D72" s="233"/>
      <c r="E72" s="233"/>
      <c r="F72" s="233"/>
      <c r="G72" s="233"/>
      <c r="H72" s="233"/>
      <c r="I72" s="233"/>
      <c r="J72" s="233"/>
      <c r="K72" s="233"/>
      <c r="L72" s="233"/>
      <c r="M72" s="233"/>
      <c r="N72" s="233"/>
      <c r="O72" s="233"/>
    </row>
    <row r="73" spans="1:17" x14ac:dyDescent="0.2">
      <c r="A73" s="233"/>
      <c r="D73" s="340"/>
      <c r="E73" s="233"/>
      <c r="F73" s="233"/>
      <c r="G73" s="233"/>
      <c r="H73" s="233"/>
      <c r="I73" s="233"/>
      <c r="J73" s="233"/>
      <c r="K73" s="233"/>
      <c r="L73" s="233"/>
      <c r="M73" s="233"/>
      <c r="N73" s="233"/>
      <c r="O73" s="233"/>
    </row>
    <row r="74" spans="1:17" x14ac:dyDescent="0.2">
      <c r="A74" s="233"/>
      <c r="B74" s="345"/>
      <c r="C74" s="345"/>
      <c r="D74" s="345"/>
      <c r="E74" s="345"/>
      <c r="F74" s="345"/>
      <c r="G74" s="345"/>
      <c r="H74" s="345"/>
      <c r="I74" s="345"/>
      <c r="J74" s="345"/>
      <c r="K74" s="345"/>
      <c r="L74" s="345"/>
      <c r="M74" s="345"/>
      <c r="N74" s="233"/>
      <c r="O74" s="233"/>
    </row>
    <row r="75" spans="1:17" x14ac:dyDescent="0.2">
      <c r="A75" s="233"/>
      <c r="B75" s="233"/>
      <c r="C75" s="233"/>
      <c r="D75" s="233"/>
      <c r="E75" s="233"/>
      <c r="F75" s="233"/>
      <c r="G75" s="233"/>
      <c r="H75" s="233"/>
      <c r="I75" s="233"/>
      <c r="J75" s="233"/>
      <c r="K75" s="233"/>
      <c r="L75" s="233"/>
      <c r="M75" s="233"/>
      <c r="N75" s="233"/>
      <c r="O75" s="233"/>
    </row>
    <row r="76" spans="1:17" x14ac:dyDescent="0.2">
      <c r="A76" s="233"/>
      <c r="B76" s="233"/>
      <c r="C76" s="233"/>
      <c r="D76" s="233"/>
      <c r="E76" s="233"/>
      <c r="F76" s="233"/>
      <c r="G76" s="233"/>
      <c r="H76" s="233"/>
      <c r="I76" s="233"/>
      <c r="J76" s="233"/>
      <c r="K76" s="233"/>
      <c r="L76" s="233"/>
      <c r="M76" s="233"/>
      <c r="N76" s="233"/>
      <c r="O76" s="233"/>
    </row>
  </sheetData>
  <mergeCells count="16">
    <mergeCell ref="A62:A64"/>
    <mergeCell ref="A65:A67"/>
    <mergeCell ref="A68:A71"/>
    <mergeCell ref="B11:B13"/>
    <mergeCell ref="B14:B16"/>
    <mergeCell ref="B17:B19"/>
    <mergeCell ref="H50:I50"/>
    <mergeCell ref="E56:F56"/>
    <mergeCell ref="H49:I49"/>
    <mergeCell ref="I9:K9"/>
    <mergeCell ref="E46:F46"/>
    <mergeCell ref="H47:I47"/>
    <mergeCell ref="E54:F54"/>
    <mergeCell ref="H46:I46"/>
    <mergeCell ref="C9:E9"/>
    <mergeCell ref="F9:H9"/>
  </mergeCells>
  <conditionalFormatting sqref="C24">
    <cfRule type="cellIs" dxfId="8" priority="13" operator="lessThan">
      <formula>$C$25</formula>
    </cfRule>
    <cfRule type="cellIs" dxfId="7" priority="14" operator="greaterThan">
      <formula>$C$25</formula>
    </cfRule>
  </conditionalFormatting>
  <conditionalFormatting sqref="H47:I47">
    <cfRule type="cellIs" dxfId="6" priority="7" operator="equal">
      <formula>"significante bias"</formula>
    </cfRule>
    <cfRule type="cellIs" dxfId="5" priority="8" operator="equal">
      <formula>"no bias"</formula>
    </cfRule>
  </conditionalFormatting>
  <conditionalFormatting sqref="H50:I50">
    <cfRule type="cellIs" dxfId="4" priority="1" operator="equal">
      <formula>"CV% accepted"</formula>
    </cfRule>
    <cfRule type="cellIs" dxfId="3" priority="2" operator="equal">
      <formula>"CV% different"</formula>
    </cfRule>
  </conditionalFormatting>
  <pageMargins left="0.7" right="0.7" top="0.75" bottom="0.75" header="0.3" footer="0.3"/>
  <pageSetup paperSize="9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V98"/>
  <sheetViews>
    <sheetView showGridLines="0" zoomScaleNormal="100" workbookViewId="0">
      <selection activeCell="E35" sqref="E35"/>
    </sheetView>
  </sheetViews>
  <sheetFormatPr baseColWidth="10" defaultColWidth="11.42578125" defaultRowHeight="12.75" x14ac:dyDescent="0.2"/>
  <cols>
    <col min="1" max="1" width="11.42578125" style="2"/>
    <col min="2" max="2" width="6.28515625" style="2" customWidth="1"/>
    <col min="3" max="3" width="11.85546875" style="2" customWidth="1"/>
    <col min="4" max="4" width="11.42578125" style="2"/>
    <col min="5" max="5" width="12.7109375" style="2" bestFit="1" customWidth="1"/>
    <col min="6" max="15" width="11.42578125" style="2"/>
    <col min="16" max="16" width="12.5703125" style="2" bestFit="1" customWidth="1"/>
    <col min="17" max="16384" width="11.42578125" style="2"/>
  </cols>
  <sheetData>
    <row r="2" spans="1:20" ht="12" customHeight="1" x14ac:dyDescent="0.25">
      <c r="B2" s="1" t="s">
        <v>192</v>
      </c>
      <c r="C2" s="1"/>
      <c r="D2" s="1"/>
      <c r="E2" s="1"/>
      <c r="F2" s="1"/>
      <c r="G2" s="1"/>
      <c r="H2" s="1"/>
      <c r="I2" s="1"/>
      <c r="J2" s="1"/>
      <c r="K2" s="1"/>
      <c r="L2" s="1"/>
      <c r="M2" s="38"/>
      <c r="N2" s="38"/>
      <c r="O2" s="38"/>
      <c r="P2" s="38"/>
      <c r="Q2" s="38"/>
    </row>
    <row r="3" spans="1:20" x14ac:dyDescent="0.2">
      <c r="A3" s="3"/>
      <c r="B3" s="4" t="s">
        <v>196</v>
      </c>
      <c r="D3" s="3"/>
      <c r="E3" s="3"/>
      <c r="F3" s="3"/>
      <c r="G3" s="3"/>
      <c r="H3" s="3"/>
      <c r="I3" s="3"/>
      <c r="J3" s="3"/>
      <c r="K3" s="5"/>
      <c r="L3" s="5"/>
      <c r="M3" s="17"/>
      <c r="N3" s="17"/>
      <c r="O3" s="17"/>
      <c r="P3" s="17"/>
      <c r="Q3" s="17"/>
    </row>
    <row r="4" spans="1:20" x14ac:dyDescent="0.2">
      <c r="A4" s="3"/>
      <c r="B4" s="2" t="s">
        <v>195</v>
      </c>
      <c r="D4" s="3"/>
      <c r="E4" s="3"/>
      <c r="F4" s="3"/>
      <c r="G4" s="3"/>
      <c r="H4" s="3"/>
      <c r="I4" s="3"/>
      <c r="J4" s="3"/>
      <c r="K4" s="5"/>
      <c r="L4" s="5"/>
      <c r="M4" s="39"/>
      <c r="N4" s="17"/>
      <c r="O4" s="17"/>
      <c r="P4" s="17"/>
      <c r="Q4" s="17"/>
    </row>
    <row r="5" spans="1:20" x14ac:dyDescent="0.2">
      <c r="A5" s="3"/>
      <c r="B5" s="2" t="s">
        <v>217</v>
      </c>
      <c r="D5" s="3"/>
      <c r="E5" s="3"/>
      <c r="F5" s="3"/>
      <c r="G5" s="3"/>
      <c r="H5" s="3"/>
      <c r="I5" s="3"/>
      <c r="J5" s="3"/>
      <c r="K5" s="5"/>
      <c r="L5" s="5"/>
      <c r="M5" s="39"/>
      <c r="N5" s="17"/>
      <c r="O5" s="17"/>
      <c r="P5" s="17"/>
      <c r="Q5" s="17"/>
    </row>
    <row r="6" spans="1:20" x14ac:dyDescent="0.2">
      <c r="A6" s="3"/>
      <c r="B6" s="4" t="s">
        <v>193</v>
      </c>
      <c r="D6" s="3"/>
      <c r="E6" s="3"/>
      <c r="F6" s="3"/>
      <c r="G6" s="3"/>
      <c r="H6" s="3"/>
      <c r="I6" s="3"/>
      <c r="J6" s="3"/>
      <c r="K6" s="5"/>
      <c r="L6" s="5"/>
      <c r="M6" s="39"/>
      <c r="N6" s="17"/>
      <c r="O6" s="17"/>
      <c r="P6" s="17"/>
      <c r="Q6" s="17"/>
    </row>
    <row r="7" spans="1:20" x14ac:dyDescent="0.2">
      <c r="A7" s="3"/>
      <c r="B7" s="4"/>
      <c r="D7" s="3"/>
      <c r="E7" s="3"/>
      <c r="F7" s="3"/>
      <c r="G7" s="3"/>
      <c r="H7" s="3"/>
      <c r="I7" s="3"/>
      <c r="J7" s="3"/>
      <c r="K7" s="5"/>
      <c r="L7" s="5"/>
      <c r="M7" s="39"/>
      <c r="N7" s="17"/>
      <c r="O7" s="17"/>
      <c r="P7" s="17"/>
      <c r="Q7" s="17"/>
    </row>
    <row r="8" spans="1:20" x14ac:dyDescent="0.2">
      <c r="A8" s="3"/>
      <c r="B8" s="31" t="s">
        <v>194</v>
      </c>
      <c r="C8" s="32"/>
      <c r="D8" s="31"/>
      <c r="E8" s="31"/>
      <c r="F8" s="31"/>
      <c r="G8" s="31"/>
      <c r="H8" s="31"/>
      <c r="I8" s="31"/>
      <c r="J8" s="31"/>
      <c r="K8" s="33"/>
      <c r="L8" s="33"/>
      <c r="M8" s="17"/>
      <c r="N8" s="17"/>
      <c r="O8" s="17"/>
      <c r="P8" s="17"/>
      <c r="Q8" s="17"/>
    </row>
    <row r="9" spans="1:20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17"/>
    </row>
    <row r="10" spans="1:20" x14ac:dyDescent="0.2">
      <c r="A10" s="3"/>
      <c r="B10" s="3"/>
      <c r="C10" s="3"/>
      <c r="D10" s="534" t="s">
        <v>197</v>
      </c>
      <c r="E10" s="534"/>
      <c r="F10" s="534"/>
      <c r="G10" s="534"/>
      <c r="H10" s="535" t="s">
        <v>198</v>
      </c>
      <c r="I10" s="536"/>
      <c r="J10" s="537"/>
      <c r="K10" s="3"/>
      <c r="L10" s="3"/>
      <c r="M10" s="39"/>
      <c r="N10" s="39"/>
      <c r="O10" s="39"/>
      <c r="P10" s="39"/>
      <c r="Q10" s="39"/>
      <c r="R10" s="3"/>
      <c r="S10" s="3"/>
      <c r="T10" s="3"/>
    </row>
    <row r="11" spans="1:20" x14ac:dyDescent="0.2">
      <c r="A11" s="3"/>
      <c r="B11" s="3"/>
      <c r="C11" s="13" t="s">
        <v>182</v>
      </c>
      <c r="D11" s="34" t="s">
        <v>441</v>
      </c>
      <c r="E11" s="34" t="s">
        <v>442</v>
      </c>
      <c r="F11" s="34" t="s">
        <v>443</v>
      </c>
      <c r="G11" s="34" t="s">
        <v>444</v>
      </c>
      <c r="H11" s="34" t="s">
        <v>445</v>
      </c>
      <c r="I11" s="34" t="s">
        <v>453</v>
      </c>
      <c r="J11" s="34"/>
      <c r="K11" s="3"/>
      <c r="L11" s="3"/>
      <c r="M11" s="6"/>
      <c r="N11" s="17"/>
      <c r="O11" s="17"/>
      <c r="P11" s="17"/>
      <c r="Q11" s="17"/>
    </row>
    <row r="12" spans="1:20" x14ac:dyDescent="0.2">
      <c r="A12" s="3"/>
      <c r="B12" s="3"/>
      <c r="C12" s="13" t="s">
        <v>404</v>
      </c>
      <c r="D12" s="7" t="s">
        <v>446</v>
      </c>
      <c r="E12" s="7">
        <v>5</v>
      </c>
      <c r="F12" s="7" t="s">
        <v>447</v>
      </c>
      <c r="G12" s="7" t="s">
        <v>448</v>
      </c>
      <c r="H12" s="7">
        <v>100</v>
      </c>
      <c r="I12" s="7"/>
      <c r="J12" s="30"/>
      <c r="K12" s="3"/>
      <c r="L12" s="3"/>
      <c r="M12" s="6"/>
      <c r="N12" s="17"/>
      <c r="O12" s="17"/>
      <c r="P12" s="17"/>
      <c r="Q12" s="17"/>
    </row>
    <row r="13" spans="1:20" x14ac:dyDescent="0.2">
      <c r="A13" s="3"/>
      <c r="B13" s="3"/>
      <c r="C13" s="13" t="s">
        <v>299</v>
      </c>
      <c r="D13" s="7" t="s">
        <v>446</v>
      </c>
      <c r="E13" s="7">
        <v>4</v>
      </c>
      <c r="F13" s="7" t="s">
        <v>447</v>
      </c>
      <c r="G13" s="7" t="s">
        <v>452</v>
      </c>
      <c r="H13" s="7">
        <v>98</v>
      </c>
      <c r="I13" s="7"/>
      <c r="J13" s="30"/>
      <c r="K13" s="3"/>
      <c r="L13" s="3"/>
      <c r="M13" s="8"/>
      <c r="N13" s="17"/>
      <c r="O13" s="17"/>
      <c r="P13" s="17"/>
      <c r="Q13" s="17"/>
    </row>
    <row r="14" spans="1:20" x14ac:dyDescent="0.2">
      <c r="A14" s="3"/>
      <c r="B14" s="3"/>
      <c r="C14" s="13" t="s">
        <v>300</v>
      </c>
      <c r="D14" s="7" t="s">
        <v>449</v>
      </c>
      <c r="E14" s="7">
        <v>6</v>
      </c>
      <c r="F14" s="7" t="s">
        <v>450</v>
      </c>
      <c r="G14" s="7" t="s">
        <v>451</v>
      </c>
      <c r="H14" s="7">
        <v>102</v>
      </c>
      <c r="I14" s="7"/>
      <c r="J14" s="30"/>
      <c r="K14" s="3"/>
      <c r="L14" s="3"/>
      <c r="M14" s="9"/>
      <c r="N14" s="17"/>
      <c r="O14" s="17"/>
      <c r="P14" s="17"/>
      <c r="Q14" s="17"/>
    </row>
    <row r="15" spans="1:20" x14ac:dyDescent="0.2">
      <c r="A15" s="3"/>
      <c r="B15" s="3"/>
      <c r="C15" s="10"/>
      <c r="D15" s="11"/>
      <c r="E15" s="11"/>
      <c r="F15" s="11"/>
      <c r="G15" s="11"/>
      <c r="H15" s="11"/>
      <c r="I15" s="11"/>
      <c r="J15" s="12"/>
      <c r="K15" s="9"/>
      <c r="L15" s="3"/>
      <c r="M15" s="17"/>
      <c r="N15" s="17"/>
      <c r="O15" s="17"/>
      <c r="P15" s="17"/>
      <c r="Q15" s="17"/>
    </row>
    <row r="16" spans="1:20" x14ac:dyDescent="0.2">
      <c r="A16" s="3"/>
      <c r="B16" s="36" t="s">
        <v>179</v>
      </c>
      <c r="C16" s="37"/>
      <c r="D16" s="31"/>
      <c r="E16" s="31"/>
      <c r="F16" s="31"/>
      <c r="G16" s="31"/>
      <c r="H16" s="31"/>
      <c r="I16" s="31"/>
      <c r="J16" s="31"/>
      <c r="K16" s="31"/>
      <c r="L16" s="31"/>
      <c r="M16" s="17"/>
      <c r="N16" s="17"/>
      <c r="O16" s="17"/>
      <c r="P16" s="17"/>
      <c r="Q16" s="17"/>
    </row>
    <row r="17" spans="1:17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17"/>
      <c r="O17" s="17"/>
      <c r="P17" s="17"/>
      <c r="Q17" s="17"/>
    </row>
    <row r="18" spans="1:17" x14ac:dyDescent="0.2">
      <c r="A18" s="3"/>
      <c r="B18" s="3"/>
      <c r="C18" s="539" t="s">
        <v>308</v>
      </c>
      <c r="D18" s="224"/>
      <c r="E18" s="13" t="s">
        <v>17</v>
      </c>
      <c r="F18" s="13" t="s">
        <v>18</v>
      </c>
      <c r="G18" s="13" t="s">
        <v>19</v>
      </c>
      <c r="H18" s="13" t="s">
        <v>20</v>
      </c>
      <c r="I18" s="13" t="s">
        <v>21</v>
      </c>
      <c r="J18" s="13" t="s">
        <v>22</v>
      </c>
      <c r="K18" s="13" t="s">
        <v>23</v>
      </c>
      <c r="L18" s="13" t="s">
        <v>24</v>
      </c>
    </row>
    <row r="19" spans="1:17" x14ac:dyDescent="0.2">
      <c r="A19" s="3"/>
      <c r="B19" s="3"/>
      <c r="C19" s="540"/>
      <c r="D19" s="224" t="s">
        <v>25</v>
      </c>
      <c r="E19" s="13" t="str">
        <f t="shared" ref="E19:K19" si="0">D11</f>
        <v>operateur</v>
      </c>
      <c r="F19" s="13" t="str">
        <f t="shared" si="0"/>
        <v>temps</v>
      </c>
      <c r="G19" s="13" t="str">
        <f t="shared" si="0"/>
        <v>methode</v>
      </c>
      <c r="H19" s="13" t="str">
        <f t="shared" si="0"/>
        <v>position</v>
      </c>
      <c r="I19" s="13" t="str">
        <f t="shared" si="0"/>
        <v>dimension</v>
      </c>
      <c r="J19" s="13" t="str">
        <f t="shared" si="0"/>
        <v>taille piece</v>
      </c>
      <c r="K19" s="13">
        <f t="shared" si="0"/>
        <v>0</v>
      </c>
      <c r="L19" s="13" t="s">
        <v>200</v>
      </c>
      <c r="M19" s="14"/>
    </row>
    <row r="20" spans="1:17" x14ac:dyDescent="0.2">
      <c r="B20" s="541" t="s">
        <v>199</v>
      </c>
      <c r="C20" s="15">
        <v>1</v>
      </c>
      <c r="D20" s="224">
        <v>1</v>
      </c>
      <c r="E20" s="15">
        <v>1</v>
      </c>
      <c r="F20" s="15">
        <v>1</v>
      </c>
      <c r="G20" s="15">
        <v>1</v>
      </c>
      <c r="H20" s="15">
        <v>-1</v>
      </c>
      <c r="I20" s="15">
        <v>1</v>
      </c>
      <c r="J20" s="15">
        <v>-1</v>
      </c>
      <c r="K20" s="15">
        <v>-1</v>
      </c>
      <c r="L20" s="226">
        <v>316</v>
      </c>
    </row>
    <row r="21" spans="1:17" x14ac:dyDescent="0.2">
      <c r="B21" s="542"/>
      <c r="C21" s="105">
        <v>2</v>
      </c>
      <c r="D21" s="224">
        <v>1</v>
      </c>
      <c r="E21" s="16">
        <v>-1</v>
      </c>
      <c r="F21" s="16">
        <v>1</v>
      </c>
      <c r="G21" s="16">
        <v>1</v>
      </c>
      <c r="H21" s="16">
        <v>1</v>
      </c>
      <c r="I21" s="16">
        <v>-1</v>
      </c>
      <c r="J21" s="16">
        <v>1</v>
      </c>
      <c r="K21" s="16">
        <v>-1</v>
      </c>
      <c r="L21" s="226">
        <v>343</v>
      </c>
      <c r="N21" s="17"/>
    </row>
    <row r="22" spans="1:17" x14ac:dyDescent="0.2">
      <c r="B22" s="542"/>
      <c r="C22" s="15">
        <v>3</v>
      </c>
      <c r="D22" s="224">
        <v>1</v>
      </c>
      <c r="E22" s="15">
        <v>-1</v>
      </c>
      <c r="F22" s="15">
        <v>-1</v>
      </c>
      <c r="G22" s="15">
        <v>1</v>
      </c>
      <c r="H22" s="15">
        <v>1</v>
      </c>
      <c r="I22" s="15">
        <v>1</v>
      </c>
      <c r="J22" s="15">
        <v>-1</v>
      </c>
      <c r="K22" s="15">
        <v>1</v>
      </c>
      <c r="L22" s="226">
        <v>348</v>
      </c>
      <c r="N22" s="17"/>
    </row>
    <row r="23" spans="1:17" x14ac:dyDescent="0.2">
      <c r="B23" s="542"/>
      <c r="C23" s="105">
        <v>4</v>
      </c>
      <c r="D23" s="224">
        <v>1</v>
      </c>
      <c r="E23" s="16">
        <v>1</v>
      </c>
      <c r="F23" s="16">
        <v>-1</v>
      </c>
      <c r="G23" s="16">
        <v>-1</v>
      </c>
      <c r="H23" s="16">
        <v>1</v>
      </c>
      <c r="I23" s="16">
        <v>1</v>
      </c>
      <c r="J23" s="16">
        <v>1</v>
      </c>
      <c r="K23" s="16">
        <v>-1</v>
      </c>
      <c r="L23" s="226">
        <v>322</v>
      </c>
      <c r="N23" s="17"/>
    </row>
    <row r="24" spans="1:17" x14ac:dyDescent="0.2">
      <c r="B24" s="542"/>
      <c r="C24" s="15">
        <v>5</v>
      </c>
      <c r="D24" s="224">
        <v>1</v>
      </c>
      <c r="E24" s="15">
        <v>-1</v>
      </c>
      <c r="F24" s="15">
        <v>1</v>
      </c>
      <c r="G24" s="15">
        <v>-1</v>
      </c>
      <c r="H24" s="15">
        <v>-1</v>
      </c>
      <c r="I24" s="15">
        <v>1</v>
      </c>
      <c r="J24" s="15">
        <v>1</v>
      </c>
      <c r="K24" s="15">
        <v>1</v>
      </c>
      <c r="L24" s="226">
        <v>305</v>
      </c>
      <c r="N24" s="17"/>
    </row>
    <row r="25" spans="1:17" x14ac:dyDescent="0.2">
      <c r="B25" s="542"/>
      <c r="C25" s="105">
        <v>6</v>
      </c>
      <c r="D25" s="224">
        <v>1</v>
      </c>
      <c r="E25" s="16">
        <v>1</v>
      </c>
      <c r="F25" s="16">
        <v>-1</v>
      </c>
      <c r="G25" s="16">
        <v>1</v>
      </c>
      <c r="H25" s="16">
        <v>-1</v>
      </c>
      <c r="I25" s="16">
        <v>-1</v>
      </c>
      <c r="J25" s="16">
        <v>1</v>
      </c>
      <c r="K25" s="16">
        <v>1</v>
      </c>
      <c r="L25" s="226">
        <v>370</v>
      </c>
    </row>
    <row r="26" spans="1:17" x14ac:dyDescent="0.2">
      <c r="B26" s="542"/>
      <c r="C26" s="15">
        <v>7</v>
      </c>
      <c r="D26" s="224">
        <v>1</v>
      </c>
      <c r="E26" s="15">
        <v>1</v>
      </c>
      <c r="F26" s="15">
        <v>1</v>
      </c>
      <c r="G26" s="15">
        <v>-1</v>
      </c>
      <c r="H26" s="15">
        <v>1</v>
      </c>
      <c r="I26" s="15">
        <v>-1</v>
      </c>
      <c r="J26" s="15">
        <v>-1</v>
      </c>
      <c r="K26" s="15">
        <v>1</v>
      </c>
      <c r="L26" s="226">
        <v>310</v>
      </c>
    </row>
    <row r="27" spans="1:17" x14ac:dyDescent="0.2">
      <c r="B27" s="543"/>
      <c r="C27" s="105">
        <v>8</v>
      </c>
      <c r="D27" s="224">
        <v>1</v>
      </c>
      <c r="E27" s="16">
        <v>-1</v>
      </c>
      <c r="F27" s="16">
        <v>-1</v>
      </c>
      <c r="G27" s="16">
        <v>-1</v>
      </c>
      <c r="H27" s="16">
        <v>-1</v>
      </c>
      <c r="I27" s="16">
        <v>-1</v>
      </c>
      <c r="J27" s="16">
        <v>-1</v>
      </c>
      <c r="K27" s="16">
        <v>-1</v>
      </c>
      <c r="L27" s="226">
        <v>340</v>
      </c>
    </row>
    <row r="28" spans="1:17" ht="12.75" customHeight="1" x14ac:dyDescent="0.2">
      <c r="A28" s="3"/>
      <c r="B28" s="18"/>
      <c r="C28" s="546" t="s">
        <v>301</v>
      </c>
      <c r="D28" s="547" t="s">
        <v>439</v>
      </c>
      <c r="E28" s="547"/>
      <c r="F28" s="547"/>
      <c r="G28" s="547"/>
      <c r="H28" s="547"/>
      <c r="I28" s="547"/>
      <c r="J28" s="547"/>
      <c r="K28" s="547"/>
      <c r="L28" s="410">
        <v>343</v>
      </c>
    </row>
    <row r="29" spans="1:17" x14ac:dyDescent="0.2">
      <c r="A29" s="3"/>
      <c r="B29" s="18"/>
      <c r="C29" s="546"/>
      <c r="D29" s="547"/>
      <c r="E29" s="547"/>
      <c r="F29" s="547"/>
      <c r="G29" s="547"/>
      <c r="H29" s="547"/>
      <c r="I29" s="547"/>
      <c r="J29" s="547"/>
      <c r="K29" s="547"/>
      <c r="L29" s="410">
        <v>358</v>
      </c>
    </row>
    <row r="30" spans="1:17" ht="12.75" customHeight="1" x14ac:dyDescent="0.2">
      <c r="A30" s="3"/>
      <c r="B30" s="18"/>
      <c r="C30" s="546"/>
      <c r="D30" s="547"/>
      <c r="E30" s="547"/>
      <c r="F30" s="547"/>
      <c r="G30" s="547"/>
      <c r="H30" s="547"/>
      <c r="I30" s="547"/>
      <c r="J30" s="547"/>
      <c r="K30" s="547"/>
      <c r="L30" s="410">
        <v>347</v>
      </c>
    </row>
    <row r="31" spans="1:17" ht="12.75" customHeight="1" x14ac:dyDescent="0.2">
      <c r="A31" s="3"/>
      <c r="B31" s="18"/>
      <c r="C31" s="227" t="s">
        <v>201</v>
      </c>
      <c r="D31" s="225">
        <f t="shared" ref="D31:K31" si="1">SUMPRODUCT(D20:D27,$L$20:$L$27)/8</f>
        <v>331.75</v>
      </c>
      <c r="E31" s="225">
        <f t="shared" si="1"/>
        <v>-2.25</v>
      </c>
      <c r="F31" s="225">
        <f>SUMPRODUCT(F20:F27,$L$20:$L$27)/8</f>
        <v>-13.25</v>
      </c>
      <c r="G31" s="225">
        <f t="shared" si="1"/>
        <v>12.5</v>
      </c>
      <c r="H31" s="225">
        <f t="shared" si="1"/>
        <v>-1</v>
      </c>
      <c r="I31" s="225">
        <f t="shared" si="1"/>
        <v>-9</v>
      </c>
      <c r="J31" s="225">
        <f t="shared" si="1"/>
        <v>3.25</v>
      </c>
      <c r="K31" s="225">
        <f t="shared" si="1"/>
        <v>1.5</v>
      </c>
      <c r="L31" s="19"/>
    </row>
    <row r="32" spans="1:17" ht="12.75" customHeight="1" x14ac:dyDescent="0.2">
      <c r="A32" s="3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</row>
    <row r="33" spans="1:22" ht="12.75" customHeight="1" x14ac:dyDescent="0.2">
      <c r="A33" s="354"/>
      <c r="B33" s="355" t="s">
        <v>302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</row>
    <row r="34" spans="1:22" ht="12.75" customHeight="1" x14ac:dyDescent="0.2">
      <c r="A34" s="3"/>
      <c r="B34" s="221"/>
      <c r="D34" s="223" t="s">
        <v>405</v>
      </c>
      <c r="E34" s="222">
        <v>5</v>
      </c>
      <c r="F34" s="18"/>
      <c r="G34" s="18"/>
      <c r="H34" s="18"/>
      <c r="I34" s="18"/>
      <c r="J34" s="18"/>
      <c r="K34" s="18"/>
      <c r="L34" s="106"/>
    </row>
    <row r="35" spans="1:22" ht="12.75" customHeight="1" x14ac:dyDescent="0.2">
      <c r="A35" s="3"/>
      <c r="D35" s="223" t="s">
        <v>406</v>
      </c>
      <c r="E35" s="27" t="str">
        <f>IF(ISNUMBER(D12),ABS((D12-D13)*$E34/E31),"NA")</f>
        <v>NA</v>
      </c>
      <c r="F35" s="27">
        <f>IF(ISNUMBER(E12),ABS((E12-E13)*$E34/F31),"NA")</f>
        <v>0.37735849056603776</v>
      </c>
      <c r="G35" s="27" t="str">
        <f t="shared" ref="G35:K35" si="2">IF(ISNUMBER(F12),ABS((F12-F13)*$E34/G31),"NA")</f>
        <v>NA</v>
      </c>
      <c r="H35" s="27" t="str">
        <f t="shared" si="2"/>
        <v>NA</v>
      </c>
      <c r="I35" s="27">
        <f t="shared" si="2"/>
        <v>1.1111111111111112</v>
      </c>
      <c r="J35" s="27" t="str">
        <f t="shared" si="2"/>
        <v>NA</v>
      </c>
      <c r="K35" s="27" t="str">
        <f t="shared" si="2"/>
        <v>NA</v>
      </c>
      <c r="V35" s="20"/>
    </row>
    <row r="36" spans="1:22" ht="12.75" customHeight="1" x14ac:dyDescent="0.2">
      <c r="A36" s="3"/>
      <c r="D36" s="223"/>
      <c r="E36" s="22" t="str">
        <f>D11</f>
        <v>operateur</v>
      </c>
      <c r="F36" s="22" t="str">
        <f t="shared" ref="F36:K36" si="3">E11</f>
        <v>temps</v>
      </c>
      <c r="G36" s="22" t="str">
        <f t="shared" si="3"/>
        <v>methode</v>
      </c>
      <c r="H36" s="22" t="str">
        <f t="shared" si="3"/>
        <v>position</v>
      </c>
      <c r="I36" s="22" t="str">
        <f t="shared" si="3"/>
        <v>dimension</v>
      </c>
      <c r="J36" s="22" t="str">
        <f t="shared" si="3"/>
        <v>taille piece</v>
      </c>
      <c r="K36" s="22">
        <f t="shared" si="3"/>
        <v>0</v>
      </c>
      <c r="V36" s="20"/>
    </row>
    <row r="37" spans="1:22" ht="12.75" customHeight="1" x14ac:dyDescent="0.2">
      <c r="A37" s="3"/>
      <c r="B37" s="18"/>
      <c r="C37" s="544" t="s">
        <v>26</v>
      </c>
      <c r="D37" s="544"/>
      <c r="E37" s="83">
        <f t="shared" ref="E37:K37" si="4">E31/$F$39</f>
        <v>-0.81931112419644614</v>
      </c>
      <c r="F37" s="83">
        <f t="shared" si="4"/>
        <v>-4.8248321758235164</v>
      </c>
      <c r="G37" s="83">
        <f t="shared" si="4"/>
        <v>4.5517284677580339</v>
      </c>
      <c r="H37" s="83">
        <f t="shared" si="4"/>
        <v>-0.36413827742064275</v>
      </c>
      <c r="I37" s="83">
        <f t="shared" si="4"/>
        <v>-3.2772444967857846</v>
      </c>
      <c r="J37" s="83">
        <f t="shared" si="4"/>
        <v>1.1834494016170889</v>
      </c>
      <c r="K37" s="83">
        <f t="shared" si="4"/>
        <v>0.54620741613096413</v>
      </c>
      <c r="L37" s="19"/>
    </row>
    <row r="38" spans="1:22" ht="12.75" customHeight="1" x14ac:dyDescent="0.2">
      <c r="A38" s="3"/>
      <c r="B38" s="18"/>
      <c r="C38" s="82" t="s">
        <v>27</v>
      </c>
      <c r="D38" s="83">
        <f>TINV(0.05,COUNT(L28:L30)-1)</f>
        <v>4.3026527297494637</v>
      </c>
      <c r="E38" s="84" t="s">
        <v>202</v>
      </c>
      <c r="F38" s="83">
        <f>STDEV(L28:L30)</f>
        <v>7.7674534651540288</v>
      </c>
      <c r="G38" s="85"/>
      <c r="H38" s="85"/>
      <c r="I38" s="85"/>
      <c r="J38" s="85"/>
      <c r="K38" s="85"/>
      <c r="L38" s="21"/>
    </row>
    <row r="39" spans="1:22" ht="12.75" customHeight="1" x14ac:dyDescent="0.2">
      <c r="A39" s="3"/>
      <c r="B39" s="18"/>
      <c r="C39" s="82" t="s">
        <v>28</v>
      </c>
      <c r="D39" s="83">
        <f>TINV(0.01,COUNT(L28:L30)-1)</f>
        <v>9.9248432009182928</v>
      </c>
      <c r="E39" s="84" t="s">
        <v>203</v>
      </c>
      <c r="F39" s="86">
        <f>F38/SQRT(8)</f>
        <v>2.7462095088806797</v>
      </c>
      <c r="G39" s="85"/>
      <c r="H39" s="85"/>
      <c r="I39" s="85"/>
      <c r="J39" s="85"/>
      <c r="K39" s="85"/>
      <c r="L39" s="21"/>
    </row>
    <row r="40" spans="1:22" ht="12.75" customHeight="1" x14ac:dyDescent="0.2">
      <c r="A40" s="3"/>
      <c r="B40" s="36" t="s">
        <v>213</v>
      </c>
      <c r="C40" s="37"/>
      <c r="D40" s="31"/>
      <c r="E40" s="31"/>
      <c r="F40" s="31"/>
      <c r="G40" s="31"/>
      <c r="H40" s="31"/>
      <c r="I40" s="31"/>
      <c r="J40" s="31"/>
      <c r="K40" s="31"/>
      <c r="L40" s="31"/>
    </row>
    <row r="41" spans="1:22" x14ac:dyDescent="0.2">
      <c r="A41" s="3"/>
      <c r="B41" s="87"/>
      <c r="C41" s="4"/>
      <c r="D41" s="4"/>
      <c r="E41" s="4"/>
      <c r="F41" s="3"/>
      <c r="G41" s="3"/>
      <c r="H41" s="3"/>
      <c r="I41" s="3"/>
      <c r="J41" s="3"/>
      <c r="K41" s="3"/>
      <c r="L41" s="18"/>
      <c r="M41" s="18"/>
    </row>
    <row r="42" spans="1:22" x14ac:dyDescent="0.2">
      <c r="A42" s="3"/>
      <c r="B42" s="65" t="s">
        <v>211</v>
      </c>
      <c r="F42" s="3"/>
      <c r="G42" s="3"/>
      <c r="H42" s="3"/>
      <c r="I42" s="3"/>
      <c r="J42" s="3"/>
      <c r="K42" s="3"/>
      <c r="L42" s="18"/>
      <c r="M42" s="18"/>
    </row>
    <row r="43" spans="1:22" x14ac:dyDescent="0.2">
      <c r="A43" s="3"/>
      <c r="B43" s="66" t="s">
        <v>407</v>
      </c>
      <c r="F43" s="3"/>
      <c r="G43" s="3"/>
      <c r="H43" s="3"/>
      <c r="I43" s="3"/>
      <c r="J43" s="3"/>
      <c r="K43" s="3"/>
      <c r="L43" s="18"/>
      <c r="M43" s="18"/>
    </row>
    <row r="44" spans="1:22" x14ac:dyDescent="0.2">
      <c r="A44" s="3"/>
      <c r="B44" s="65" t="s">
        <v>200</v>
      </c>
      <c r="F44" s="24"/>
      <c r="G44" s="3"/>
      <c r="H44" s="4"/>
      <c r="I44" s="3"/>
      <c r="J44" s="3"/>
      <c r="K44" s="3"/>
      <c r="L44" s="18"/>
      <c r="M44" s="18"/>
      <c r="O44" s="18"/>
      <c r="P44" s="18"/>
      <c r="Q44" s="18"/>
    </row>
    <row r="45" spans="1:22" x14ac:dyDescent="0.2">
      <c r="A45" s="3"/>
      <c r="B45" s="2" t="s">
        <v>408</v>
      </c>
      <c r="F45" s="23"/>
      <c r="G45" s="3"/>
      <c r="H45" s="3"/>
      <c r="I45" s="3"/>
      <c r="J45" s="3"/>
      <c r="K45" s="3"/>
      <c r="L45" s="18"/>
      <c r="M45" s="18"/>
      <c r="O45" s="67"/>
      <c r="P45" s="67"/>
      <c r="Q45" s="67"/>
    </row>
    <row r="46" spans="1:22" x14ac:dyDescent="0.2">
      <c r="A46" s="3"/>
      <c r="B46" s="2" t="s">
        <v>409</v>
      </c>
      <c r="F46" s="25"/>
      <c r="G46" s="10"/>
      <c r="H46" s="3"/>
      <c r="I46" s="3"/>
      <c r="J46" s="3"/>
      <c r="K46" s="3"/>
      <c r="L46" s="18"/>
      <c r="M46" s="18"/>
      <c r="O46" s="67"/>
      <c r="P46" s="67"/>
      <c r="Q46" s="67"/>
    </row>
    <row r="47" spans="1:22" x14ac:dyDescent="0.2">
      <c r="A47" s="3"/>
      <c r="F47" s="25"/>
      <c r="G47" s="26"/>
      <c r="L47" s="18"/>
      <c r="M47" s="18"/>
    </row>
    <row r="48" spans="1:22" x14ac:dyDescent="0.2">
      <c r="A48" s="3"/>
      <c r="B48" s="82" t="s">
        <v>32</v>
      </c>
      <c r="C48" s="82" t="s">
        <v>33</v>
      </c>
      <c r="D48" s="82" t="s">
        <v>34</v>
      </c>
      <c r="E48" s="82" t="s">
        <v>35</v>
      </c>
      <c r="F48" s="25"/>
      <c r="G48" s="22"/>
      <c r="L48" s="18"/>
      <c r="M48" s="18"/>
    </row>
    <row r="49" spans="1:13" x14ac:dyDescent="0.2">
      <c r="A49" s="3"/>
      <c r="B49" s="83">
        <f>-D39*F39</f>
        <v>-27.255698772511579</v>
      </c>
      <c r="C49" s="83">
        <f>-D38*F39</f>
        <v>-11.815985839849391</v>
      </c>
      <c r="D49" s="83">
        <f>-C49</f>
        <v>11.815985839849391</v>
      </c>
      <c r="E49" s="83">
        <f>-B49</f>
        <v>27.255698772511579</v>
      </c>
      <c r="F49" s="25"/>
      <c r="G49" s="22"/>
      <c r="L49" s="18"/>
      <c r="M49" s="18"/>
    </row>
    <row r="50" spans="1:13" x14ac:dyDescent="0.2">
      <c r="A50" s="3"/>
      <c r="B50" s="83">
        <f t="shared" ref="B50:E55" si="5">B49</f>
        <v>-27.255698772511579</v>
      </c>
      <c r="C50" s="83">
        <f t="shared" si="5"/>
        <v>-11.815985839849391</v>
      </c>
      <c r="D50" s="83">
        <f t="shared" si="5"/>
        <v>11.815985839849391</v>
      </c>
      <c r="E50" s="83">
        <f t="shared" si="5"/>
        <v>27.255698772511579</v>
      </c>
      <c r="F50" s="18"/>
      <c r="G50" s="22"/>
      <c r="L50" s="18"/>
      <c r="M50" s="18"/>
    </row>
    <row r="51" spans="1:13" x14ac:dyDescent="0.2">
      <c r="A51" s="3"/>
      <c r="B51" s="83">
        <f t="shared" si="5"/>
        <v>-27.255698772511579</v>
      </c>
      <c r="C51" s="83">
        <f t="shared" si="5"/>
        <v>-11.815985839849391</v>
      </c>
      <c r="D51" s="83">
        <f t="shared" si="5"/>
        <v>11.815985839849391</v>
      </c>
      <c r="E51" s="83">
        <f t="shared" si="5"/>
        <v>27.255698772511579</v>
      </c>
      <c r="F51" s="18"/>
      <c r="G51" s="22"/>
      <c r="L51" s="18"/>
      <c r="M51" s="18"/>
    </row>
    <row r="52" spans="1:13" x14ac:dyDescent="0.2">
      <c r="A52" s="3"/>
      <c r="B52" s="83">
        <f t="shared" si="5"/>
        <v>-27.255698772511579</v>
      </c>
      <c r="C52" s="83">
        <f t="shared" si="5"/>
        <v>-11.815985839849391</v>
      </c>
      <c r="D52" s="83">
        <f t="shared" si="5"/>
        <v>11.815985839849391</v>
      </c>
      <c r="E52" s="83">
        <f t="shared" si="5"/>
        <v>27.255698772511579</v>
      </c>
      <c r="F52" s="18"/>
      <c r="G52" s="22"/>
      <c r="L52" s="18"/>
      <c r="M52" s="18"/>
    </row>
    <row r="53" spans="1:13" x14ac:dyDescent="0.2">
      <c r="A53" s="3"/>
      <c r="B53" s="83">
        <f t="shared" si="5"/>
        <v>-27.255698772511579</v>
      </c>
      <c r="C53" s="83">
        <f t="shared" si="5"/>
        <v>-11.815985839849391</v>
      </c>
      <c r="D53" s="83">
        <f t="shared" si="5"/>
        <v>11.815985839849391</v>
      </c>
      <c r="E53" s="83">
        <f t="shared" si="5"/>
        <v>27.255698772511579</v>
      </c>
      <c r="F53" s="18"/>
      <c r="G53" s="22"/>
      <c r="L53" s="18"/>
      <c r="M53" s="18"/>
    </row>
    <row r="54" spans="1:13" x14ac:dyDescent="0.2">
      <c r="A54" s="3"/>
      <c r="B54" s="83">
        <f t="shared" si="5"/>
        <v>-27.255698772511579</v>
      </c>
      <c r="C54" s="83">
        <f t="shared" si="5"/>
        <v>-11.815985839849391</v>
      </c>
      <c r="D54" s="83">
        <f t="shared" si="5"/>
        <v>11.815985839849391</v>
      </c>
      <c r="E54" s="83">
        <f t="shared" si="5"/>
        <v>27.255698772511579</v>
      </c>
      <c r="F54" s="18"/>
      <c r="G54" s="22"/>
      <c r="L54" s="18"/>
      <c r="M54" s="18"/>
    </row>
    <row r="55" spans="1:13" x14ac:dyDescent="0.2">
      <c r="A55" s="3"/>
      <c r="B55" s="83">
        <f t="shared" si="5"/>
        <v>-27.255698772511579</v>
      </c>
      <c r="C55" s="83">
        <f t="shared" si="5"/>
        <v>-11.815985839849391</v>
      </c>
      <c r="D55" s="83">
        <f t="shared" si="5"/>
        <v>11.815985839849391</v>
      </c>
      <c r="E55" s="83">
        <f t="shared" si="5"/>
        <v>27.255698772511579</v>
      </c>
      <c r="F55" s="18"/>
      <c r="G55" s="18"/>
      <c r="H55" s="3"/>
      <c r="I55" s="28"/>
      <c r="J55" s="3"/>
      <c r="K55" s="3"/>
      <c r="L55" s="18"/>
      <c r="M55" s="18"/>
    </row>
    <row r="56" spans="1:13" x14ac:dyDescent="0.2">
      <c r="A56" s="3"/>
      <c r="B56" s="18"/>
      <c r="C56" s="18"/>
      <c r="D56" s="18"/>
      <c r="E56" s="18"/>
      <c r="F56" s="18"/>
      <c r="G56" s="18"/>
      <c r="H56" s="3"/>
      <c r="I56" s="29"/>
      <c r="J56" s="3"/>
      <c r="K56" s="3"/>
      <c r="L56" s="18"/>
      <c r="M56" s="18"/>
    </row>
    <row r="57" spans="1:13" x14ac:dyDescent="0.2">
      <c r="A57" s="3"/>
      <c r="B57" s="36" t="s">
        <v>214</v>
      </c>
      <c r="C57" s="37"/>
      <c r="D57" s="31"/>
      <c r="E57" s="31"/>
      <c r="F57" s="31"/>
      <c r="G57" s="31"/>
      <c r="H57" s="31"/>
      <c r="I57" s="31"/>
      <c r="J57" s="31"/>
      <c r="K57" s="31"/>
      <c r="L57" s="31"/>
      <c r="M57" s="18"/>
    </row>
    <row r="58" spans="1:13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18"/>
    </row>
    <row r="59" spans="1:13" x14ac:dyDescent="0.2">
      <c r="A59" s="3"/>
      <c r="B59" s="3" t="s">
        <v>208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18"/>
    </row>
    <row r="60" spans="1:13" x14ac:dyDescent="0.2">
      <c r="A60" s="3"/>
      <c r="B60" s="3" t="s">
        <v>212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18"/>
    </row>
    <row r="61" spans="1:13" x14ac:dyDescent="0.2">
      <c r="A61" s="3"/>
      <c r="B61" s="3" t="s">
        <v>209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18"/>
    </row>
    <row r="62" spans="1:13" x14ac:dyDescent="0.2">
      <c r="A62" s="3"/>
      <c r="B62" s="3" t="s">
        <v>210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18"/>
    </row>
    <row r="63" spans="1:13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18"/>
    </row>
    <row r="64" spans="1:13" x14ac:dyDescent="0.2">
      <c r="A64" s="3"/>
      <c r="C64" s="217" t="s">
        <v>454</v>
      </c>
      <c r="D64" s="27">
        <f>H79</f>
        <v>424.87272727272727</v>
      </c>
      <c r="E64" s="3"/>
      <c r="F64" s="3"/>
      <c r="G64" s="3"/>
      <c r="H64" s="3"/>
      <c r="I64" s="3"/>
      <c r="J64" s="3"/>
      <c r="K64" s="3"/>
      <c r="L64" s="3"/>
      <c r="M64" s="18"/>
    </row>
    <row r="65" spans="1:18" x14ac:dyDescent="0.2">
      <c r="A65" s="3"/>
      <c r="C65" s="218" t="s">
        <v>215</v>
      </c>
      <c r="D65" s="64">
        <f>D31</f>
        <v>331.75</v>
      </c>
      <c r="E65" s="18"/>
      <c r="F65" s="18"/>
      <c r="G65" s="18"/>
      <c r="H65" s="35"/>
      <c r="I65" s="35"/>
      <c r="J65" s="35"/>
      <c r="K65" s="35"/>
      <c r="L65" s="18"/>
      <c r="M65" s="18"/>
    </row>
    <row r="66" spans="1:18" x14ac:dyDescent="0.2">
      <c r="A66" s="3"/>
      <c r="C66" s="217" t="s">
        <v>216</v>
      </c>
      <c r="D66" s="68">
        <f>SQRT(D64)/D65</f>
        <v>6.2132452388573248E-2</v>
      </c>
      <c r="F66" s="18"/>
      <c r="G66" s="18"/>
      <c r="H66" s="35"/>
      <c r="I66" s="35"/>
      <c r="J66" s="35"/>
      <c r="K66" s="35"/>
      <c r="L66" s="18"/>
      <c r="M66" s="18"/>
    </row>
    <row r="67" spans="1:18" x14ac:dyDescent="0.2">
      <c r="A67" s="3"/>
      <c r="C67" s="217" t="s">
        <v>248</v>
      </c>
      <c r="D67" s="88">
        <f>K80</f>
        <v>0.97159933812621202</v>
      </c>
      <c r="F67" s="18"/>
      <c r="G67" s="18"/>
      <c r="H67" s="18"/>
      <c r="I67" s="18"/>
      <c r="J67" s="18"/>
      <c r="K67" s="18"/>
      <c r="L67" s="18"/>
      <c r="M67" s="18"/>
    </row>
    <row r="68" spans="1:18" x14ac:dyDescent="0.2">
      <c r="A68" s="3"/>
      <c r="C68" s="217" t="s">
        <v>249</v>
      </c>
      <c r="D68" s="88">
        <f>D93</f>
        <v>0.90533112708737362</v>
      </c>
      <c r="F68" s="18"/>
      <c r="G68" s="18"/>
      <c r="H68" s="18"/>
      <c r="I68" s="18"/>
      <c r="J68" s="18"/>
      <c r="K68" s="18"/>
      <c r="L68" s="18"/>
      <c r="M68" s="18"/>
      <c r="N68" s="18"/>
      <c r="O68" s="18"/>
    </row>
    <row r="69" spans="1:18" x14ac:dyDescent="0.2">
      <c r="A69" s="3"/>
      <c r="F69" s="18"/>
      <c r="G69" s="18"/>
      <c r="H69" s="18"/>
      <c r="I69" s="18"/>
      <c r="J69" s="18"/>
      <c r="K69" s="18"/>
      <c r="L69" s="18"/>
      <c r="M69" s="18"/>
      <c r="N69" s="18"/>
      <c r="O69" s="18"/>
    </row>
    <row r="70" spans="1:18" x14ac:dyDescent="0.2">
      <c r="A70" s="3"/>
      <c r="F70" s="18"/>
      <c r="G70" s="18"/>
      <c r="H70" s="18"/>
      <c r="I70" s="18"/>
      <c r="J70" s="18"/>
      <c r="K70" s="18"/>
      <c r="L70" s="18"/>
      <c r="M70" s="18"/>
      <c r="N70" s="18"/>
      <c r="O70" s="18"/>
      <c r="Q70" s="20"/>
    </row>
    <row r="71" spans="1:18" x14ac:dyDescent="0.2">
      <c r="A71" s="3"/>
      <c r="F71" s="18"/>
      <c r="G71" s="18"/>
      <c r="H71" s="18"/>
      <c r="I71" s="18"/>
      <c r="J71" s="18"/>
      <c r="K71" s="18"/>
      <c r="L71" s="18"/>
      <c r="M71" s="18"/>
      <c r="N71" s="18"/>
      <c r="O71" s="18"/>
    </row>
    <row r="72" spans="1:18" x14ac:dyDescent="0.2">
      <c r="A72" s="3"/>
      <c r="C72" s="346"/>
      <c r="D72" s="346"/>
      <c r="E72" s="346"/>
      <c r="F72" s="347"/>
      <c r="G72" s="347"/>
      <c r="H72" s="347"/>
      <c r="I72" s="347"/>
      <c r="J72" s="347"/>
      <c r="K72" s="347"/>
      <c r="L72" s="347"/>
      <c r="M72" s="347"/>
      <c r="N72" s="347"/>
      <c r="O72" s="347"/>
      <c r="P72" s="346"/>
      <c r="Q72" s="346"/>
      <c r="R72" s="346"/>
    </row>
    <row r="73" spans="1:18" x14ac:dyDescent="0.2">
      <c r="A73" s="3"/>
      <c r="C73" s="346"/>
      <c r="D73" s="346"/>
      <c r="E73" s="346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6"/>
      <c r="Q73" s="346"/>
      <c r="R73" s="346"/>
    </row>
    <row r="74" spans="1:18" x14ac:dyDescent="0.2">
      <c r="A74" s="3"/>
      <c r="C74" s="346"/>
      <c r="D74" s="346"/>
      <c r="E74" s="346"/>
      <c r="F74" s="347"/>
      <c r="G74" s="347"/>
      <c r="H74" s="347"/>
      <c r="I74" s="347"/>
      <c r="J74" s="347"/>
      <c r="K74" s="347"/>
      <c r="L74" s="347"/>
      <c r="M74" s="347"/>
      <c r="N74" s="347"/>
      <c r="O74" s="347"/>
      <c r="P74" s="346"/>
      <c r="Q74" s="346"/>
      <c r="R74" s="346"/>
    </row>
    <row r="75" spans="1:18" x14ac:dyDescent="0.2">
      <c r="A75" s="3"/>
      <c r="B75" s="219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6"/>
      <c r="O75" s="347"/>
      <c r="P75" s="346"/>
      <c r="Q75" s="346"/>
      <c r="R75" s="346"/>
    </row>
    <row r="76" spans="1:18" x14ac:dyDescent="0.2">
      <c r="A76" s="3"/>
      <c r="B76" s="220"/>
      <c r="C76" s="545" t="s">
        <v>29</v>
      </c>
      <c r="D76" s="545"/>
      <c r="E76" s="545"/>
      <c r="F76" s="545"/>
      <c r="G76" s="545"/>
      <c r="H76" s="545"/>
      <c r="I76" s="545"/>
      <c r="J76" s="545"/>
      <c r="K76" s="545"/>
      <c r="L76" s="220"/>
      <c r="M76" s="389"/>
      <c r="N76" s="389"/>
      <c r="O76" s="389"/>
      <c r="P76" s="389"/>
      <c r="Q76" s="346"/>
      <c r="R76" s="346"/>
    </row>
    <row r="77" spans="1:18" ht="15" x14ac:dyDescent="0.25">
      <c r="A77" s="3"/>
      <c r="B77" s="220"/>
      <c r="C77" s="538" t="s">
        <v>30</v>
      </c>
      <c r="D77" s="538"/>
      <c r="E77" s="538"/>
      <c r="F77" s="538" t="s">
        <v>31</v>
      </c>
      <c r="G77" s="538"/>
      <c r="H77" s="538"/>
      <c r="I77" s="538"/>
      <c r="J77" s="538"/>
      <c r="K77" s="538"/>
      <c r="L77" s="220"/>
      <c r="M77" s="390"/>
      <c r="N77" s="389"/>
      <c r="O77" s="389"/>
      <c r="P77" s="389"/>
      <c r="Q77" s="346"/>
      <c r="R77" s="346"/>
    </row>
    <row r="78" spans="1:18" ht="15" x14ac:dyDescent="0.25">
      <c r="A78" s="3"/>
      <c r="B78" s="220"/>
      <c r="C78" s="391" t="s">
        <v>204</v>
      </c>
      <c r="D78" s="391" t="s">
        <v>3</v>
      </c>
      <c r="E78" s="391" t="s">
        <v>201</v>
      </c>
      <c r="F78" s="391" t="s">
        <v>4</v>
      </c>
      <c r="G78" s="391" t="s">
        <v>5</v>
      </c>
      <c r="H78" s="391" t="s">
        <v>6</v>
      </c>
      <c r="I78" s="391" t="s">
        <v>36</v>
      </c>
      <c r="J78" s="391" t="s">
        <v>8</v>
      </c>
      <c r="K78" s="391" t="s">
        <v>37</v>
      </c>
      <c r="L78" s="392" t="s">
        <v>220</v>
      </c>
      <c r="M78" s="390"/>
      <c r="N78" s="389"/>
      <c r="O78" s="389"/>
      <c r="P78" s="389"/>
      <c r="Q78" s="346"/>
      <c r="R78" s="346"/>
    </row>
    <row r="79" spans="1:18" ht="15" x14ac:dyDescent="0.25">
      <c r="B79" s="533" t="s">
        <v>190</v>
      </c>
      <c r="C79" s="391" t="s">
        <v>10</v>
      </c>
      <c r="D79" s="391">
        <f>COUNT(L20:L30)</f>
        <v>11</v>
      </c>
      <c r="E79" s="393" t="s">
        <v>12</v>
      </c>
      <c r="F79" s="394">
        <f>DEVSQ(L20:L30)</f>
        <v>4248.727272727273</v>
      </c>
      <c r="G79" s="391">
        <f>D79-1</f>
        <v>10</v>
      </c>
      <c r="H79" s="393">
        <f t="shared" ref="H79:H88" si="6">F79/G79</f>
        <v>424.87272727272727</v>
      </c>
      <c r="I79" s="391" t="s">
        <v>12</v>
      </c>
      <c r="J79" s="391" t="s">
        <v>12</v>
      </c>
      <c r="K79" s="395">
        <f>SUM(K82:K91)</f>
        <v>1</v>
      </c>
      <c r="L79" s="392"/>
      <c r="M79" s="390"/>
      <c r="N79" s="389"/>
      <c r="O79" s="389"/>
      <c r="P79" s="389"/>
      <c r="Q79" s="346"/>
      <c r="R79" s="346"/>
    </row>
    <row r="80" spans="1:18" ht="15" x14ac:dyDescent="0.25">
      <c r="B80" s="533"/>
      <c r="C80" s="391" t="s">
        <v>38</v>
      </c>
      <c r="D80" s="391">
        <v>8</v>
      </c>
      <c r="E80" s="393" t="s">
        <v>12</v>
      </c>
      <c r="F80" s="393">
        <f>SUM(F82:F88)</f>
        <v>3453.5</v>
      </c>
      <c r="G80" s="391">
        <f>SUM(G82:G88)</f>
        <v>7</v>
      </c>
      <c r="H80" s="393">
        <f t="shared" si="6"/>
        <v>493.35714285714283</v>
      </c>
      <c r="I80" s="393">
        <f>H80/H81</f>
        <v>12.265785319652554</v>
      </c>
      <c r="J80" s="393">
        <f>FINV(0.05,G80,G81)</f>
        <v>8.886742955634281</v>
      </c>
      <c r="K80" s="395">
        <f>(F80+F91)/F79</f>
        <v>0.97159933812621202</v>
      </c>
      <c r="L80" s="396">
        <f>IF(I80&lt;J80,"NA",FDIST(J80/I80,G80,G$81))</f>
        <v>0.67446589736890594</v>
      </c>
      <c r="M80" s="397"/>
      <c r="N80" s="389"/>
      <c r="O80" s="389"/>
      <c r="P80" s="389"/>
      <c r="Q80" s="346"/>
      <c r="R80" s="346"/>
    </row>
    <row r="81" spans="2:18" ht="15" x14ac:dyDescent="0.25">
      <c r="B81" s="533"/>
      <c r="C81" s="391" t="s">
        <v>206</v>
      </c>
      <c r="D81" s="391" t="s">
        <v>12</v>
      </c>
      <c r="E81" s="393" t="s">
        <v>12</v>
      </c>
      <c r="F81" s="393">
        <f>F79-F80-F91</f>
        <v>120.66666666666833</v>
      </c>
      <c r="G81" s="391">
        <f>G79-G80</f>
        <v>3</v>
      </c>
      <c r="H81" s="393">
        <f t="shared" si="6"/>
        <v>40.222222222222776</v>
      </c>
      <c r="I81" s="391" t="s">
        <v>12</v>
      </c>
      <c r="J81" s="391" t="s">
        <v>12</v>
      </c>
      <c r="K81" s="395">
        <f>F81/F79</f>
        <v>2.8400661873787907E-2</v>
      </c>
      <c r="L81" s="396" t="s">
        <v>45</v>
      </c>
      <c r="M81" s="398"/>
      <c r="N81" s="389"/>
      <c r="O81" s="399" t="s">
        <v>207</v>
      </c>
      <c r="P81" s="400">
        <f>J82*H81/F79</f>
        <v>9.58802982790046E-2</v>
      </c>
      <c r="Q81" s="346"/>
      <c r="R81" s="346"/>
    </row>
    <row r="82" spans="2:18" ht="15" x14ac:dyDescent="0.25">
      <c r="B82" s="533" t="s">
        <v>182</v>
      </c>
      <c r="C82" s="391" t="str">
        <f>D11</f>
        <v>operateur</v>
      </c>
      <c r="D82" s="391">
        <v>2</v>
      </c>
      <c r="E82" s="393">
        <f>E31</f>
        <v>-2.25</v>
      </c>
      <c r="F82" s="393">
        <f>E82^2*8</f>
        <v>40.5</v>
      </c>
      <c r="G82" s="391">
        <f>D82-1</f>
        <v>1</v>
      </c>
      <c r="H82" s="393">
        <f t="shared" si="6"/>
        <v>40.5</v>
      </c>
      <c r="I82" s="393">
        <f>H82/$H$81</f>
        <v>1.0069060773480525</v>
      </c>
      <c r="J82" s="393">
        <f>FINV(0.05,G82,$G$81)</f>
        <v>10.127964486013932</v>
      </c>
      <c r="K82" s="395">
        <f>F82/$F$79</f>
        <v>9.5322663471413896E-3</v>
      </c>
      <c r="L82" s="396" t="str">
        <f t="shared" ref="L82:L88" si="7">IF(I82&lt;J82,"NA",FDIST(J82/I82,G82,G$81))</f>
        <v>NA</v>
      </c>
      <c r="M82" s="401"/>
      <c r="N82" s="389"/>
      <c r="O82" s="390"/>
      <c r="P82" s="402">
        <f>P81</f>
        <v>9.58802982790046E-2</v>
      </c>
      <c r="Q82" s="346"/>
      <c r="R82" s="346"/>
    </row>
    <row r="83" spans="2:18" ht="15" x14ac:dyDescent="0.25">
      <c r="B83" s="533"/>
      <c r="C83" s="391" t="str">
        <f>F19</f>
        <v>temps</v>
      </c>
      <c r="D83" s="391">
        <v>2</v>
      </c>
      <c r="E83" s="393">
        <f>F31</f>
        <v>-13.25</v>
      </c>
      <c r="F83" s="393">
        <f>E83^2*8</f>
        <v>1404.5</v>
      </c>
      <c r="G83" s="391">
        <f>D83-1</f>
        <v>1</v>
      </c>
      <c r="H83" s="393">
        <f t="shared" si="6"/>
        <v>1404.5</v>
      </c>
      <c r="I83" s="393">
        <f t="shared" ref="I83:I88" si="8">H83/$H$81</f>
        <v>34.91850828729234</v>
      </c>
      <c r="J83" s="393">
        <f t="shared" ref="J83:J88" si="9">FINV(0.05,G83,$G$81)</f>
        <v>10.127964486013932</v>
      </c>
      <c r="K83" s="395">
        <f t="shared" ref="K83:K88" si="10">F83/$F$79</f>
        <v>0.33056958233481681</v>
      </c>
      <c r="L83" s="396">
        <f t="shared" si="7"/>
        <v>0.62758646852529687</v>
      </c>
      <c r="M83" s="401"/>
      <c r="N83" s="389"/>
      <c r="O83" s="390"/>
      <c r="P83" s="402">
        <f t="shared" ref="P83:P87" si="11">P82</f>
        <v>9.58802982790046E-2</v>
      </c>
      <c r="Q83" s="346"/>
      <c r="R83" s="346"/>
    </row>
    <row r="84" spans="2:18" ht="15" x14ac:dyDescent="0.25">
      <c r="B84" s="533"/>
      <c r="C84" s="391" t="str">
        <f>G19</f>
        <v>methode</v>
      </c>
      <c r="D84" s="391">
        <v>2</v>
      </c>
      <c r="E84" s="394">
        <f>G31</f>
        <v>12.5</v>
      </c>
      <c r="F84" s="393">
        <f t="shared" ref="F84:F88" si="12">E84^2*8</f>
        <v>1250</v>
      </c>
      <c r="G84" s="391">
        <f>D84-1</f>
        <v>1</v>
      </c>
      <c r="H84" s="393">
        <f t="shared" si="6"/>
        <v>1250</v>
      </c>
      <c r="I84" s="393">
        <f t="shared" si="8"/>
        <v>31.077348066297915</v>
      </c>
      <c r="J84" s="393">
        <f t="shared" si="9"/>
        <v>10.127964486013932</v>
      </c>
      <c r="K84" s="395">
        <f t="shared" si="10"/>
        <v>0.29420575145498118</v>
      </c>
      <c r="L84" s="396">
        <f t="shared" si="7"/>
        <v>0.60804704837603496</v>
      </c>
      <c r="M84" s="401"/>
      <c r="N84" s="389"/>
      <c r="O84" s="390"/>
      <c r="P84" s="402">
        <f t="shared" si="11"/>
        <v>9.58802982790046E-2</v>
      </c>
      <c r="Q84" s="346"/>
      <c r="R84" s="346"/>
    </row>
    <row r="85" spans="2:18" ht="15" x14ac:dyDescent="0.25">
      <c r="B85" s="533"/>
      <c r="C85" s="391" t="str">
        <f>H19</f>
        <v>position</v>
      </c>
      <c r="D85" s="391">
        <v>2</v>
      </c>
      <c r="E85" s="393">
        <f>H31</f>
        <v>-1</v>
      </c>
      <c r="F85" s="393">
        <f t="shared" si="12"/>
        <v>8</v>
      </c>
      <c r="G85" s="391">
        <f>D85-1</f>
        <v>1</v>
      </c>
      <c r="H85" s="393">
        <f t="shared" si="6"/>
        <v>8</v>
      </c>
      <c r="I85" s="393">
        <f t="shared" si="8"/>
        <v>0.19889502762430666</v>
      </c>
      <c r="J85" s="393">
        <f t="shared" si="9"/>
        <v>10.127964486013932</v>
      </c>
      <c r="K85" s="395">
        <f t="shared" si="10"/>
        <v>1.8829168093118793E-3</v>
      </c>
      <c r="L85" s="396" t="str">
        <f t="shared" si="7"/>
        <v>NA</v>
      </c>
      <c r="M85" s="401"/>
      <c r="N85" s="389"/>
      <c r="O85" s="390"/>
      <c r="P85" s="402">
        <f t="shared" si="11"/>
        <v>9.58802982790046E-2</v>
      </c>
      <c r="Q85" s="346"/>
      <c r="R85" s="346"/>
    </row>
    <row r="86" spans="2:18" ht="15" x14ac:dyDescent="0.25">
      <c r="B86" s="533"/>
      <c r="C86" s="391" t="str">
        <f>I19</f>
        <v>dimension</v>
      </c>
      <c r="D86" s="391">
        <v>2</v>
      </c>
      <c r="E86" s="393">
        <f>I31</f>
        <v>-9</v>
      </c>
      <c r="F86" s="393">
        <f t="shared" si="12"/>
        <v>648</v>
      </c>
      <c r="G86" s="391">
        <f>G82*G85</f>
        <v>1</v>
      </c>
      <c r="H86" s="393">
        <f t="shared" si="6"/>
        <v>648</v>
      </c>
      <c r="I86" s="393">
        <f t="shared" si="8"/>
        <v>16.11049723756884</v>
      </c>
      <c r="J86" s="393">
        <f t="shared" si="9"/>
        <v>10.127964486013932</v>
      </c>
      <c r="K86" s="395">
        <f t="shared" si="10"/>
        <v>0.15251626155426223</v>
      </c>
      <c r="L86" s="396">
        <f t="shared" si="7"/>
        <v>0.4857661029497139</v>
      </c>
      <c r="M86" s="401"/>
      <c r="N86" s="389"/>
      <c r="O86" s="390"/>
      <c r="P86" s="402">
        <f t="shared" si="11"/>
        <v>9.58802982790046E-2</v>
      </c>
      <c r="Q86" s="346"/>
      <c r="R86" s="346"/>
    </row>
    <row r="87" spans="2:18" ht="15" x14ac:dyDescent="0.25">
      <c r="B87" s="533"/>
      <c r="C87" s="391" t="str">
        <f>J19</f>
        <v>taille piece</v>
      </c>
      <c r="D87" s="391">
        <v>2</v>
      </c>
      <c r="E87" s="393">
        <f>J31</f>
        <v>3.25</v>
      </c>
      <c r="F87" s="393">
        <f t="shared" si="12"/>
        <v>84.5</v>
      </c>
      <c r="G87" s="391">
        <f>D87-1</f>
        <v>1</v>
      </c>
      <c r="H87" s="393">
        <f t="shared" si="6"/>
        <v>84.5</v>
      </c>
      <c r="I87" s="393">
        <f t="shared" si="8"/>
        <v>2.1008287292817389</v>
      </c>
      <c r="J87" s="393">
        <f t="shared" si="9"/>
        <v>10.127964486013932</v>
      </c>
      <c r="K87" s="395">
        <f t="shared" si="10"/>
        <v>1.9888308798356725E-2</v>
      </c>
      <c r="L87" s="396" t="str">
        <f t="shared" si="7"/>
        <v>NA</v>
      </c>
      <c r="M87" s="401"/>
      <c r="N87" s="389"/>
      <c r="O87" s="390"/>
      <c r="P87" s="402">
        <f t="shared" si="11"/>
        <v>9.58802982790046E-2</v>
      </c>
      <c r="Q87" s="346"/>
      <c r="R87" s="346"/>
    </row>
    <row r="88" spans="2:18" ht="15" x14ac:dyDescent="0.25">
      <c r="B88" s="533"/>
      <c r="C88" s="391">
        <f>K19</f>
        <v>0</v>
      </c>
      <c r="D88" s="391">
        <v>2</v>
      </c>
      <c r="E88" s="393">
        <f>K31</f>
        <v>1.5</v>
      </c>
      <c r="F88" s="393">
        <f t="shared" si="12"/>
        <v>18</v>
      </c>
      <c r="G88" s="391">
        <f>D88-1</f>
        <v>1</v>
      </c>
      <c r="H88" s="393">
        <f t="shared" si="6"/>
        <v>18</v>
      </c>
      <c r="I88" s="393">
        <f t="shared" si="8"/>
        <v>0.44751381215468999</v>
      </c>
      <c r="J88" s="393">
        <f t="shared" si="9"/>
        <v>10.127964486013932</v>
      </c>
      <c r="K88" s="395">
        <f t="shared" si="10"/>
        <v>4.2365628209517286E-3</v>
      </c>
      <c r="L88" s="396" t="str">
        <f t="shared" si="7"/>
        <v>NA</v>
      </c>
      <c r="M88" s="401"/>
      <c r="N88" s="389"/>
      <c r="O88" s="399"/>
      <c r="P88" s="400">
        <f>P81</f>
        <v>9.58802982790046E-2</v>
      </c>
      <c r="Q88" s="346"/>
      <c r="R88" s="346"/>
    </row>
    <row r="89" spans="2:18" ht="15" x14ac:dyDescent="0.25">
      <c r="B89" s="533" t="s">
        <v>218</v>
      </c>
      <c r="C89" s="391" t="s">
        <v>39</v>
      </c>
      <c r="D89" s="391">
        <v>3</v>
      </c>
      <c r="E89" s="393" t="s">
        <v>12</v>
      </c>
      <c r="F89" s="393">
        <f>DEVSQ(L28:L30)</f>
        <v>120.66666666666667</v>
      </c>
      <c r="G89" s="391">
        <f>D89-1</f>
        <v>2</v>
      </c>
      <c r="H89" s="393">
        <f>F89/G89</f>
        <v>60.333333333333336</v>
      </c>
      <c r="I89" s="393" t="s">
        <v>12</v>
      </c>
      <c r="J89" s="393" t="s">
        <v>12</v>
      </c>
      <c r="K89" s="395">
        <f>F89/F79</f>
        <v>2.8400661873787515E-2</v>
      </c>
      <c r="L89" s="402" t="s">
        <v>45</v>
      </c>
      <c r="M89" s="393"/>
      <c r="N89" s="389"/>
      <c r="O89" s="389"/>
      <c r="P89" s="389"/>
      <c r="Q89" s="346"/>
      <c r="R89" s="346"/>
    </row>
    <row r="90" spans="2:18" ht="15" x14ac:dyDescent="0.25">
      <c r="B90" s="533"/>
      <c r="C90" s="391" t="s">
        <v>40</v>
      </c>
      <c r="D90" s="391" t="s">
        <v>12</v>
      </c>
      <c r="E90" s="393" t="s">
        <v>12</v>
      </c>
      <c r="F90" s="393">
        <f>F81-F89</f>
        <v>1.6626700016786344E-12</v>
      </c>
      <c r="G90" s="391">
        <f>G81-G89</f>
        <v>1</v>
      </c>
      <c r="H90" s="393">
        <f>F90/G90</f>
        <v>1.6626700016786344E-12</v>
      </c>
      <c r="I90" s="393">
        <f>H90/H89</f>
        <v>2.7558066326165209E-14</v>
      </c>
      <c r="J90" s="393">
        <f>FINV(0.05,G90,G89)</f>
        <v>18.512820512820511</v>
      </c>
      <c r="K90" s="395">
        <f>F90/F79</f>
        <v>3.9133366181241392E-16</v>
      </c>
      <c r="L90" s="402" t="s">
        <v>45</v>
      </c>
      <c r="M90" s="392"/>
      <c r="N90" s="389"/>
      <c r="O90" s="389"/>
      <c r="P90" s="389"/>
      <c r="Q90" s="346"/>
      <c r="R90" s="346"/>
    </row>
    <row r="91" spans="2:18" ht="15" x14ac:dyDescent="0.25">
      <c r="B91" s="533"/>
      <c r="C91" s="393" t="s">
        <v>41</v>
      </c>
      <c r="D91" s="393" t="s">
        <v>12</v>
      </c>
      <c r="E91" s="393" t="s">
        <v>12</v>
      </c>
      <c r="F91" s="393">
        <f>D89*D80*(AVERAGE(L20:L27)-AVERAGE(L28:L30))^2/D79</f>
        <v>674.56060606060464</v>
      </c>
      <c r="G91" s="391">
        <v>1</v>
      </c>
      <c r="H91" s="393">
        <f t="shared" ref="H91" si="13">F91/G91</f>
        <v>674.56060606060464</v>
      </c>
      <c r="I91" s="393">
        <f>H91/H89</f>
        <v>11.180562531391237</v>
      </c>
      <c r="J91" s="393">
        <f>FINV(0.05,G91,G89)</f>
        <v>18.512820512820511</v>
      </c>
      <c r="K91" s="395">
        <f>F91/F79</f>
        <v>0.15876768800639016</v>
      </c>
      <c r="L91" s="402" t="s">
        <v>45</v>
      </c>
      <c r="M91" s="403"/>
      <c r="N91" s="389"/>
      <c r="O91" s="389"/>
      <c r="P91" s="389"/>
      <c r="Q91" s="346"/>
      <c r="R91" s="346"/>
    </row>
    <row r="92" spans="2:18" x14ac:dyDescent="0.2">
      <c r="B92" s="220"/>
      <c r="C92" s="220"/>
      <c r="D92" s="220"/>
      <c r="E92" s="220"/>
      <c r="F92" s="220"/>
      <c r="G92" s="220"/>
      <c r="H92" s="220"/>
      <c r="I92" s="220"/>
      <c r="J92" s="220"/>
      <c r="K92" s="220"/>
      <c r="L92" s="220"/>
      <c r="M92" s="390"/>
      <c r="N92" s="389"/>
      <c r="O92" s="389"/>
      <c r="P92" s="389"/>
      <c r="Q92" s="346"/>
      <c r="R92" s="346"/>
    </row>
    <row r="93" spans="2:18" ht="15" x14ac:dyDescent="0.25">
      <c r="B93" s="220"/>
      <c r="C93" s="391" t="s">
        <v>205</v>
      </c>
      <c r="D93" s="404">
        <f>(H79-H81)/H79</f>
        <v>0.90533112708737362</v>
      </c>
      <c r="E93" s="220"/>
      <c r="F93" s="220"/>
      <c r="G93" s="220"/>
      <c r="H93" s="220"/>
      <c r="I93" s="220"/>
      <c r="J93" s="220"/>
      <c r="K93" s="220"/>
      <c r="L93" s="220"/>
      <c r="M93" s="390"/>
      <c r="N93" s="389"/>
      <c r="O93" s="389"/>
      <c r="P93" s="389"/>
      <c r="Q93" s="346"/>
      <c r="R93" s="346"/>
    </row>
    <row r="94" spans="2:18" x14ac:dyDescent="0.2">
      <c r="C94" s="346"/>
      <c r="D94" s="346"/>
      <c r="E94" s="346"/>
      <c r="F94" s="346"/>
      <c r="G94" s="346"/>
      <c r="H94" s="346"/>
      <c r="I94" s="346"/>
      <c r="J94" s="346"/>
      <c r="K94" s="346"/>
      <c r="L94" s="346"/>
      <c r="M94" s="346"/>
      <c r="N94" s="346"/>
      <c r="O94" s="346"/>
      <c r="P94" s="346"/>
      <c r="Q94" s="346"/>
      <c r="R94" s="346"/>
    </row>
    <row r="95" spans="2:18" x14ac:dyDescent="0.2">
      <c r="C95" s="346"/>
      <c r="D95" s="346"/>
      <c r="E95" s="346"/>
      <c r="F95" s="346"/>
      <c r="G95" s="346"/>
      <c r="H95" s="346"/>
      <c r="I95" s="346"/>
      <c r="J95" s="346"/>
      <c r="K95" s="346"/>
      <c r="L95" s="346"/>
      <c r="M95" s="346"/>
      <c r="N95" s="346"/>
      <c r="O95" s="346"/>
      <c r="P95" s="346"/>
      <c r="Q95" s="346"/>
      <c r="R95" s="346"/>
    </row>
    <row r="96" spans="2:18" x14ac:dyDescent="0.2">
      <c r="C96" s="346"/>
      <c r="D96" s="346"/>
      <c r="E96" s="346"/>
      <c r="F96" s="346"/>
      <c r="G96" s="346"/>
      <c r="H96" s="346"/>
      <c r="I96" s="346"/>
      <c r="J96" s="346"/>
      <c r="K96" s="346"/>
      <c r="L96" s="346"/>
      <c r="M96" s="346"/>
      <c r="N96" s="346"/>
      <c r="O96" s="346"/>
      <c r="P96" s="346"/>
      <c r="Q96" s="346"/>
      <c r="R96" s="346"/>
    </row>
    <row r="97" spans="3:18" x14ac:dyDescent="0.2">
      <c r="C97" s="346"/>
      <c r="D97" s="346"/>
      <c r="E97" s="346"/>
      <c r="F97" s="346"/>
      <c r="G97" s="346"/>
      <c r="H97" s="346"/>
      <c r="I97" s="346"/>
      <c r="J97" s="346"/>
      <c r="K97" s="346"/>
      <c r="L97" s="346"/>
      <c r="M97" s="346"/>
      <c r="N97" s="346"/>
      <c r="O97" s="346"/>
      <c r="P97" s="346"/>
      <c r="Q97" s="346"/>
      <c r="R97" s="346"/>
    </row>
    <row r="98" spans="3:18" x14ac:dyDescent="0.2">
      <c r="C98" s="346"/>
      <c r="D98" s="346"/>
      <c r="E98" s="346"/>
      <c r="F98" s="346"/>
      <c r="G98" s="346"/>
      <c r="H98" s="346"/>
      <c r="I98" s="346"/>
      <c r="J98" s="346"/>
      <c r="K98" s="346"/>
      <c r="L98" s="346"/>
      <c r="M98" s="346"/>
      <c r="N98" s="346"/>
      <c r="O98" s="346"/>
      <c r="P98" s="346"/>
      <c r="Q98" s="346"/>
      <c r="R98" s="346"/>
    </row>
  </sheetData>
  <mergeCells count="13">
    <mergeCell ref="B79:B81"/>
    <mergeCell ref="B82:B88"/>
    <mergeCell ref="B89:B91"/>
    <mergeCell ref="D10:G10"/>
    <mergeCell ref="H10:J10"/>
    <mergeCell ref="C77:E77"/>
    <mergeCell ref="F77:K77"/>
    <mergeCell ref="C18:C19"/>
    <mergeCell ref="B20:B27"/>
    <mergeCell ref="C37:D37"/>
    <mergeCell ref="C76:K76"/>
    <mergeCell ref="C28:C30"/>
    <mergeCell ref="D28:K30"/>
  </mergeCells>
  <pageMargins left="0.78740157499999996" right="0.78740157499999996" top="0.984251969" bottom="0.984251969" header="0.4921259845" footer="0.4921259845"/>
  <pageSetup paperSize="9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10</vt:i4>
      </vt:variant>
      <vt:variant>
        <vt:lpstr>Plages nommées</vt:lpstr>
      </vt:variant>
      <vt:variant>
        <vt:i4>2</vt:i4>
      </vt:variant>
    </vt:vector>
  </HeadingPairs>
  <TitlesOfParts>
    <vt:vector size="12" baseType="lpstr">
      <vt:lpstr>N°1 Shapiro-Wilk</vt:lpstr>
      <vt:lpstr>N°2 Kolmogarov - Capabilité</vt:lpstr>
      <vt:lpstr>N°3 group comparison</vt:lpstr>
      <vt:lpstr>N°4 variance study</vt:lpstr>
      <vt:lpstr>N°5 Correlation Qualitative</vt:lpstr>
      <vt:lpstr>N°6 comparison m1=m2</vt:lpstr>
      <vt:lpstr>N°7 ANOVA 1factor</vt:lpstr>
      <vt:lpstr>N°8 ANOVA 3 factors</vt:lpstr>
      <vt:lpstr>N°9 Robustness</vt:lpstr>
      <vt:lpstr>Feuil1</vt:lpstr>
      <vt:lpstr>'N°2 Kolmogarov - Capabilité'!Zone_d_impression</vt:lpstr>
      <vt:lpstr>'N°5 Correlation Qualitative'!Zone_d_impression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2025-11-17T11:23:41Z</dcterms:modified>
</cp:coreProperties>
</file>