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Excel pro\"/>
    </mc:Choice>
  </mc:AlternateContent>
  <xr:revisionPtr revIDLastSave="0" documentId="13_ncr:1_{A7F247B3-C428-4740-AC97-A8CF3E569CBF}" xr6:coauthVersionLast="47" xr6:coauthVersionMax="47" xr10:uidLastSave="{00000000-0000-0000-0000-000000000000}"/>
  <bookViews>
    <workbookView xWindow="645" yWindow="1875" windowWidth="27300" windowHeight="15105" tabRatio="828" xr2:uid="{00000000-000D-0000-FFFF-FFFF00000000}"/>
  </bookViews>
  <sheets>
    <sheet name="CGL4f4n" sheetId="1" r:id="rId1"/>
    <sheet name="Récapitulatif" sheetId="9" state="hidden" r:id="rId2"/>
    <sheet name="Graph Profil" sheetId="10" state="hidden" r:id="rId3"/>
    <sheet name="80%" sheetId="11" state="hidden" r:id="rId4"/>
    <sheet name="90%" sheetId="12" state="hidden" r:id="rId5"/>
    <sheet name="100%" sheetId="13" state="hidden" r:id="rId6"/>
    <sheet name="110%" sheetId="14" state="hidden" r:id="rId7"/>
    <sheet name="120%" sheetId="15" state="hidden" r:id="rId8"/>
  </sheets>
  <definedNames>
    <definedName name="__123Graph_A" hidden="1">#REF!</definedName>
    <definedName name="__123Graph_ARG" hidden="1">#REF!</definedName>
    <definedName name="__123Graph_B" hidden="1">#REF!</definedName>
    <definedName name="__123Graph_BRG" hidden="1">#REF!</definedName>
    <definedName name="__123Graph_C" hidden="1">#REF!</definedName>
    <definedName name="__123Graph_CRG" hidden="1">#REF!</definedName>
    <definedName name="__123Graph_X" hidden="1">#REF!</definedName>
    <definedName name="__123Graph_XRG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ANALYTES">#REF!</definedName>
    <definedName name="_xlnm.Print_Area" localSheetId="3">'80%'!$A$1:$I$40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" i="1" l="1"/>
  <c r="K13" i="1"/>
  <c r="Q36" i="1"/>
  <c r="M11" i="1" l="1"/>
  <c r="M9" i="1"/>
  <c r="I13" i="1"/>
  <c r="M5" i="1"/>
  <c r="L13" i="1"/>
  <c r="J13" i="1"/>
  <c r="N14" i="1"/>
  <c r="N13" i="1"/>
  <c r="E38" i="1"/>
  <c r="I52" i="1"/>
  <c r="Q10" i="1"/>
  <c r="Q7" i="1"/>
  <c r="Q11" i="1"/>
  <c r="I50" i="1"/>
  <c r="C41" i="1"/>
  <c r="M13" i="1" l="1"/>
  <c r="H41" i="1"/>
  <c r="L54" i="1" l="1"/>
  <c r="I56" i="1"/>
  <c r="L56" i="1"/>
  <c r="K54" i="1"/>
  <c r="L52" i="1"/>
  <c r="J56" i="1"/>
  <c r="K56" i="1"/>
  <c r="L50" i="1"/>
  <c r="J52" i="1"/>
  <c r="K50" i="1"/>
  <c r="I54" i="1" l="1"/>
  <c r="J54" i="1"/>
  <c r="K52" i="1"/>
  <c r="J50" i="1"/>
  <c r="G35" i="1"/>
  <c r="E40" i="1"/>
  <c r="E41" i="1"/>
  <c r="E39" i="1"/>
  <c r="E35" i="1"/>
  <c r="D35" i="1"/>
  <c r="H35" i="1" s="1"/>
  <c r="H39" i="1"/>
  <c r="H40" i="1"/>
  <c r="H38" i="1"/>
  <c r="C40" i="1"/>
  <c r="C39" i="1"/>
  <c r="C38" i="1"/>
  <c r="Q35" i="1" l="1"/>
  <c r="H36" i="1"/>
  <c r="I58" i="1"/>
  <c r="F41" i="1"/>
  <c r="F38" i="1"/>
  <c r="F35" i="1"/>
  <c r="C3" i="9"/>
  <c r="C2" i="9"/>
  <c r="H37" i="1" l="1"/>
  <c r="K41" i="1" s="1"/>
  <c r="F39" i="1"/>
  <c r="F40" i="1"/>
  <c r="G6" i="9"/>
  <c r="F6" i="9"/>
  <c r="E6" i="9"/>
  <c r="D6" i="9"/>
  <c r="C6" i="9"/>
  <c r="I9" i="14"/>
  <c r="I7" i="12"/>
  <c r="B33" i="15"/>
  <c r="B33" i="14"/>
  <c r="B33" i="13"/>
  <c r="I8" i="13"/>
  <c r="B33" i="12"/>
  <c r="B33" i="11"/>
  <c r="G21" i="9"/>
  <c r="F21" i="9"/>
  <c r="E21" i="9"/>
  <c r="D21" i="9"/>
  <c r="C21" i="9"/>
  <c r="G20" i="9"/>
  <c r="F20" i="9"/>
  <c r="E20" i="9"/>
  <c r="D20" i="9"/>
  <c r="C20" i="9"/>
  <c r="F3" i="9"/>
  <c r="K7" i="9"/>
  <c r="G41" i="1" l="1"/>
  <c r="L41" i="1" s="1"/>
  <c r="G38" i="1"/>
  <c r="G39" i="1"/>
  <c r="G40" i="1"/>
  <c r="C8" i="11"/>
  <c r="C8" i="15"/>
  <c r="C8" i="14"/>
  <c r="C5" i="11"/>
  <c r="I41" i="1" l="1"/>
  <c r="G36" i="1"/>
  <c r="B8" i="11"/>
  <c r="H8" i="11" s="1"/>
  <c r="I8" i="11" s="1"/>
  <c r="B8" i="15"/>
  <c r="H8" i="15" s="1"/>
  <c r="I8" i="15" s="1"/>
  <c r="B8" i="14"/>
  <c r="H8" i="14" s="1"/>
  <c r="I8" i="14" s="1"/>
  <c r="C9" i="15"/>
  <c r="B9" i="15"/>
  <c r="C9" i="13"/>
  <c r="B9" i="13"/>
  <c r="C9" i="12"/>
  <c r="B9" i="12"/>
  <c r="C9" i="11"/>
  <c r="B9" i="11"/>
  <c r="C8" i="12"/>
  <c r="B8" i="12"/>
  <c r="C7" i="15"/>
  <c r="B7" i="15"/>
  <c r="C7" i="14"/>
  <c r="B7" i="14"/>
  <c r="C7" i="13"/>
  <c r="B7" i="13"/>
  <c r="C7" i="11"/>
  <c r="B7" i="11"/>
  <c r="C6" i="15"/>
  <c r="B6" i="15"/>
  <c r="C6" i="14"/>
  <c r="B6" i="14"/>
  <c r="C6" i="13"/>
  <c r="B6" i="13"/>
  <c r="C6" i="12"/>
  <c r="B6" i="12"/>
  <c r="C5" i="14"/>
  <c r="B5" i="14"/>
  <c r="C5" i="13"/>
  <c r="B5" i="13"/>
  <c r="C5" i="12"/>
  <c r="B5" i="12"/>
  <c r="B5" i="11"/>
  <c r="G37" i="1" l="1"/>
  <c r="I36" i="1"/>
  <c r="B11" i="11"/>
  <c r="B12" i="11"/>
  <c r="H7" i="15"/>
  <c r="I7" i="15" s="1"/>
  <c r="H9" i="15"/>
  <c r="I9" i="15" s="1"/>
  <c r="B11" i="15"/>
  <c r="B15" i="15"/>
  <c r="B12" i="15"/>
  <c r="H6" i="15"/>
  <c r="B22" i="15"/>
  <c r="G7" i="9" s="1"/>
  <c r="H7" i="14"/>
  <c r="I7" i="14" s="1"/>
  <c r="H6" i="14"/>
  <c r="I6" i="14" s="1"/>
  <c r="B12" i="14"/>
  <c r="B15" i="14"/>
  <c r="B11" i="14"/>
  <c r="H5" i="14"/>
  <c r="B22" i="14"/>
  <c r="H6" i="13"/>
  <c r="I6" i="13" s="1"/>
  <c r="H7" i="13"/>
  <c r="I7" i="13" s="1"/>
  <c r="H9" i="13"/>
  <c r="I9" i="13" s="1"/>
  <c r="B15" i="13"/>
  <c r="B11" i="13"/>
  <c r="B12" i="13"/>
  <c r="H5" i="13"/>
  <c r="B22" i="13"/>
  <c r="E7" i="9" s="1"/>
  <c r="H6" i="12"/>
  <c r="I6" i="12" s="1"/>
  <c r="H7" i="11"/>
  <c r="I7" i="11" s="1"/>
  <c r="H8" i="12"/>
  <c r="I8" i="12" s="1"/>
  <c r="H9" i="11"/>
  <c r="I9" i="11" s="1"/>
  <c r="H9" i="12"/>
  <c r="I9" i="12" s="1"/>
  <c r="B12" i="12"/>
  <c r="H5" i="12"/>
  <c r="B22" i="12"/>
  <c r="D7" i="9" s="1"/>
  <c r="B15" i="12"/>
  <c r="B11" i="12"/>
  <c r="H5" i="11"/>
  <c r="B15" i="11"/>
  <c r="B22" i="11"/>
  <c r="C7" i="9" s="1"/>
  <c r="G17" i="9" l="1"/>
  <c r="F7" i="9"/>
  <c r="F17" i="9" s="1"/>
  <c r="I6" i="15"/>
  <c r="B14" i="15" s="1"/>
  <c r="B18" i="15" s="1"/>
  <c r="B23" i="15" s="1"/>
  <c r="G8" i="9" s="1"/>
  <c r="B13" i="15"/>
  <c r="B13" i="11"/>
  <c r="B27" i="15"/>
  <c r="G16" i="9" s="1"/>
  <c r="B13" i="14"/>
  <c r="I5" i="14"/>
  <c r="B14" i="14" s="1"/>
  <c r="B18" i="14" s="1"/>
  <c r="B27" i="14"/>
  <c r="F16" i="9" s="1"/>
  <c r="E17" i="9"/>
  <c r="B13" i="13"/>
  <c r="I5" i="13"/>
  <c r="B14" i="13" s="1"/>
  <c r="B18" i="13" s="1"/>
  <c r="B27" i="13"/>
  <c r="E16" i="9" s="1"/>
  <c r="D17" i="9"/>
  <c r="B27" i="12"/>
  <c r="D16" i="9" s="1"/>
  <c r="I5" i="12"/>
  <c r="B14" i="12" s="1"/>
  <c r="B18" i="12" s="1"/>
  <c r="B13" i="12"/>
  <c r="C17" i="9"/>
  <c r="I5" i="11"/>
  <c r="B14" i="11" s="1"/>
  <c r="B18" i="11" s="1"/>
  <c r="B27" i="11"/>
  <c r="C16" i="9" s="1"/>
  <c r="B16" i="15" l="1"/>
  <c r="B16" i="14"/>
  <c r="B17" i="14" s="1"/>
  <c r="B19" i="14" s="1"/>
  <c r="B20" i="14" s="1"/>
  <c r="B25" i="14" s="1"/>
  <c r="F10" i="9" s="1"/>
  <c r="B23" i="14"/>
  <c r="F8" i="9" s="1"/>
  <c r="B16" i="13"/>
  <c r="B17" i="13" s="1"/>
  <c r="B19" i="13" s="1"/>
  <c r="B24" i="13" s="1"/>
  <c r="E9" i="9" s="1"/>
  <c r="B23" i="13"/>
  <c r="E8" i="9" s="1"/>
  <c r="B23" i="12"/>
  <c r="D8" i="9" s="1"/>
  <c r="B16" i="12"/>
  <c r="B17" i="12" s="1"/>
  <c r="B19" i="12" s="1"/>
  <c r="B23" i="11"/>
  <c r="C8" i="9" s="1"/>
  <c r="B16" i="11"/>
  <c r="B17" i="11" s="1"/>
  <c r="B19" i="11" s="1"/>
  <c r="B20" i="11" s="1"/>
  <c r="B25" i="11" s="1"/>
  <c r="C10" i="9" s="1"/>
  <c r="B17" i="15" l="1"/>
  <c r="B19" i="15" s="1"/>
  <c r="B24" i="14"/>
  <c r="F9" i="9" s="1"/>
  <c r="B29" i="14"/>
  <c r="F11" i="9" s="1"/>
  <c r="B20" i="13"/>
  <c r="B25" i="13" s="1"/>
  <c r="E10" i="9" s="1"/>
  <c r="B29" i="13"/>
  <c r="B29" i="12"/>
  <c r="D11" i="9" s="1"/>
  <c r="B24" i="12"/>
  <c r="D9" i="9" s="1"/>
  <c r="B20" i="12"/>
  <c r="B25" i="12" s="1"/>
  <c r="D10" i="9" s="1"/>
  <c r="B24" i="11"/>
  <c r="C9" i="9" s="1"/>
  <c r="B29" i="11"/>
  <c r="C11" i="9" s="1"/>
  <c r="B32" i="13" l="1"/>
  <c r="E13" i="9" s="1"/>
  <c r="E11" i="9"/>
  <c r="B24" i="15"/>
  <c r="G9" i="9" s="1"/>
  <c r="B20" i="15"/>
  <c r="B25" i="15" s="1"/>
  <c r="G10" i="9" s="1"/>
  <c r="B29" i="15"/>
  <c r="G11" i="9" s="1"/>
  <c r="B32" i="14"/>
  <c r="F13" i="9" s="1"/>
  <c r="B30" i="14"/>
  <c r="B31" i="14" s="1"/>
  <c r="F12" i="9" s="1"/>
  <c r="F28" i="9" s="1"/>
  <c r="F29" i="9" s="1"/>
  <c r="B30" i="13"/>
  <c r="B31" i="13" s="1"/>
  <c r="E12" i="9" s="1"/>
  <c r="B32" i="12"/>
  <c r="D13" i="9" s="1"/>
  <c r="B30" i="12"/>
  <c r="B31" i="12" s="1"/>
  <c r="D12" i="9" s="1"/>
  <c r="B30" i="11"/>
  <c r="B31" i="11" s="1"/>
  <c r="C12" i="9" s="1"/>
  <c r="B32" i="11"/>
  <c r="C13" i="9" s="1"/>
  <c r="B34" i="13" l="1"/>
  <c r="B35" i="13"/>
  <c r="B30" i="15"/>
  <c r="B31" i="15" s="1"/>
  <c r="G12" i="9" s="1"/>
  <c r="G28" i="9" s="1"/>
  <c r="G29" i="9" s="1"/>
  <c r="B32" i="15"/>
  <c r="G13" i="9" s="1"/>
  <c r="B34" i="14"/>
  <c r="B35" i="14"/>
  <c r="E28" i="9"/>
  <c r="E29" i="9" s="1"/>
  <c r="D28" i="9"/>
  <c r="D29" i="9" s="1"/>
  <c r="B34" i="12"/>
  <c r="B35" i="12"/>
  <c r="C28" i="9"/>
  <c r="C29" i="9" s="1"/>
  <c r="B34" i="11"/>
  <c r="B35" i="11"/>
  <c r="B36" i="13" l="1"/>
  <c r="B37" i="13" s="1"/>
  <c r="B40" i="13" s="1"/>
  <c r="E15" i="9" s="1"/>
  <c r="E19" i="9" s="1"/>
  <c r="B35" i="15"/>
  <c r="B34" i="15"/>
  <c r="B36" i="14"/>
  <c r="B37" i="14" s="1"/>
  <c r="B36" i="12"/>
  <c r="B37" i="12" s="1"/>
  <c r="B40" i="12" s="1"/>
  <c r="D15" i="9" s="1"/>
  <c r="B36" i="11"/>
  <c r="B37" i="11" s="1"/>
  <c r="B39" i="13" l="1"/>
  <c r="E14" i="9" s="1"/>
  <c r="E18" i="9" s="1"/>
  <c r="B36" i="15"/>
  <c r="B37" i="15" s="1"/>
  <c r="B39" i="15" s="1"/>
  <c r="G14" i="9" s="1"/>
  <c r="G18" i="9" s="1"/>
  <c r="B39" i="14"/>
  <c r="F14" i="9" s="1"/>
  <c r="F18" i="9" s="1"/>
  <c r="B40" i="14"/>
  <c r="F15" i="9" s="1"/>
  <c r="F19" i="9" s="1"/>
  <c r="B39" i="12"/>
  <c r="D14" i="9" s="1"/>
  <c r="D19" i="9"/>
  <c r="B40" i="11"/>
  <c r="C15" i="9" s="1"/>
  <c r="B39" i="11"/>
  <c r="C14" i="9" s="1"/>
  <c r="B40" i="15" l="1"/>
  <c r="G15" i="9" s="1"/>
  <c r="G19" i="9" s="1"/>
  <c r="D18" i="9"/>
  <c r="C18" i="9"/>
  <c r="C19" i="9"/>
  <c r="R5" i="1" l="1"/>
  <c r="R4" i="1"/>
  <c r="K36" i="1" l="1"/>
  <c r="K39" i="1" l="1"/>
  <c r="I35" i="1"/>
  <c r="D47" i="1" s="1"/>
  <c r="K38" i="1"/>
  <c r="K40" i="1"/>
  <c r="I38" i="1"/>
  <c r="L40" i="1"/>
  <c r="Q8" i="1" l="1"/>
  <c r="Q9" i="1" s="1"/>
  <c r="I39" i="1"/>
  <c r="L39" i="1"/>
  <c r="L38" i="1"/>
  <c r="I40" i="1"/>
  <c r="Q12" i="1" l="1"/>
  <c r="W32" i="1"/>
  <c r="X32" i="1" s="1"/>
  <c r="W11" i="1"/>
  <c r="X11" i="1" s="1"/>
  <c r="W13" i="1"/>
  <c r="X13" i="1" s="1"/>
  <c r="W51" i="1"/>
  <c r="X51" i="1" s="1"/>
  <c r="W26" i="1"/>
  <c r="X26" i="1" s="1"/>
  <c r="W58" i="1"/>
  <c r="X58" i="1" s="1"/>
  <c r="W48" i="1"/>
  <c r="X48" i="1" s="1"/>
  <c r="W39" i="1"/>
  <c r="X39" i="1" s="1"/>
  <c r="W59" i="1"/>
  <c r="X59" i="1" s="1"/>
  <c r="W34" i="1"/>
  <c r="X34" i="1" s="1"/>
  <c r="W20" i="1"/>
  <c r="X20" i="1" s="1"/>
  <c r="W44" i="1"/>
  <c r="X44" i="1" s="1"/>
  <c r="W37" i="1"/>
  <c r="X37" i="1" s="1"/>
  <c r="W61" i="1"/>
  <c r="X61" i="1" s="1"/>
  <c r="W35" i="1"/>
  <c r="X35" i="1" s="1"/>
  <c r="W31" i="1"/>
  <c r="X31" i="1" s="1"/>
  <c r="W22" i="1"/>
  <c r="X22" i="1" s="1"/>
  <c r="W36" i="1"/>
  <c r="X36" i="1" s="1"/>
  <c r="W52" i="1"/>
  <c r="X52" i="1" s="1"/>
  <c r="W50" i="1"/>
  <c r="X50" i="1" s="1"/>
  <c r="W53" i="1"/>
  <c r="X53" i="1" s="1"/>
  <c r="W55" i="1"/>
  <c r="X55" i="1" s="1"/>
  <c r="W54" i="1"/>
  <c r="X54" i="1" s="1"/>
  <c r="W27" i="1"/>
  <c r="X27" i="1" s="1"/>
  <c r="W16" i="1"/>
  <c r="X16" i="1" s="1"/>
  <c r="W24" i="1"/>
  <c r="X24" i="1" s="1"/>
  <c r="W42" i="1"/>
  <c r="X42" i="1" s="1"/>
  <c r="W66" i="1"/>
  <c r="X66" i="1" s="1"/>
  <c r="W29" i="1"/>
  <c r="X29" i="1" s="1"/>
  <c r="W45" i="1"/>
  <c r="X45" i="1" s="1"/>
  <c r="W15" i="1"/>
  <c r="X15" i="1" s="1"/>
  <c r="W28" i="1"/>
  <c r="X28" i="1" s="1"/>
  <c r="W17" i="1"/>
  <c r="X17" i="1" s="1"/>
  <c r="W43" i="1"/>
  <c r="X43" i="1" s="1"/>
  <c r="W68" i="1"/>
  <c r="X68" i="1" s="1"/>
  <c r="W64" i="1"/>
  <c r="X64" i="1" s="1"/>
  <c r="W18" i="1"/>
  <c r="X18" i="1" s="1"/>
  <c r="W33" i="1"/>
  <c r="X33" i="1" s="1"/>
  <c r="W41" i="1"/>
  <c r="X41" i="1" s="1"/>
  <c r="W21" i="1"/>
  <c r="X21" i="1" s="1"/>
  <c r="W69" i="1"/>
  <c r="X69" i="1" s="1"/>
  <c r="W23" i="1"/>
  <c r="X23" i="1" s="1"/>
  <c r="W60" i="1"/>
  <c r="X60" i="1" s="1"/>
  <c r="W49" i="1"/>
  <c r="X49" i="1" s="1"/>
  <c r="W56" i="1"/>
  <c r="X56" i="1" s="1"/>
  <c r="W47" i="1"/>
  <c r="X47" i="1" s="1"/>
  <c r="W63" i="1"/>
  <c r="X63" i="1" s="1"/>
  <c r="W12" i="1"/>
  <c r="X12" i="1" s="1"/>
  <c r="W14" i="1"/>
  <c r="X14" i="1" s="1"/>
  <c r="W40" i="1"/>
  <c r="X40" i="1" s="1"/>
  <c r="T4" i="1" s="1"/>
  <c r="T5" i="1" s="1"/>
  <c r="W19" i="1"/>
  <c r="X19" i="1" s="1"/>
  <c r="W10" i="1"/>
  <c r="X10" i="1" s="1"/>
  <c r="W62" i="1"/>
  <c r="X62" i="1" s="1"/>
  <c r="W30" i="1"/>
  <c r="X30" i="1" s="1"/>
  <c r="W57" i="1"/>
  <c r="X57" i="1" s="1"/>
  <c r="W65" i="1"/>
  <c r="X65" i="1" s="1"/>
  <c r="W70" i="1"/>
  <c r="X70" i="1" s="1"/>
  <c r="W38" i="1"/>
  <c r="X38" i="1" s="1"/>
  <c r="W46" i="1"/>
  <c r="X46" i="1" s="1"/>
  <c r="W67" i="1"/>
  <c r="X67" i="1" s="1"/>
  <c r="W25" i="1"/>
  <c r="X25" i="1" s="1"/>
  <c r="L36" i="1"/>
  <c r="D43" i="1" s="1"/>
  <c r="L37" i="1" l="1"/>
  <c r="L35" i="1" s="1"/>
  <c r="I37" i="1"/>
  <c r="O38" i="1" s="1"/>
  <c r="O39" i="1" s="1"/>
  <c r="O40" i="1" l="1"/>
  <c r="O41" i="1" s="1"/>
  <c r="O42" i="1" s="1"/>
  <c r="J41" i="1"/>
  <c r="M41" i="1" s="1"/>
  <c r="N41" i="1" s="1"/>
  <c r="D45" i="1"/>
  <c r="J36" i="1"/>
  <c r="J39" i="1"/>
  <c r="J38" i="1"/>
  <c r="M38" i="1" s="1"/>
  <c r="J40" i="1"/>
  <c r="M39" i="1" l="1"/>
  <c r="N39" i="1" s="1"/>
  <c r="M40" i="1"/>
  <c r="N40" i="1" s="1"/>
  <c r="N38" i="1"/>
</calcChain>
</file>

<file path=xl/sharedStrings.xml><?xml version="1.0" encoding="utf-8"?>
<sst xmlns="http://schemas.openxmlformats.org/spreadsheetml/2006/main" count="332" uniqueCount="128">
  <si>
    <t>Origine</t>
  </si>
  <si>
    <t>niveau</t>
  </si>
  <si>
    <t>SCE</t>
  </si>
  <si>
    <t>ddl</t>
  </si>
  <si>
    <t>CM</t>
  </si>
  <si>
    <t>Fobs</t>
  </si>
  <si>
    <t>F5%</t>
  </si>
  <si>
    <t>x</t>
  </si>
  <si>
    <t>résiduel</t>
  </si>
  <si>
    <t>SB²</t>
  </si>
  <si>
    <t>CI</t>
  </si>
  <si>
    <t>contrib%</t>
  </si>
  <si>
    <t>Total</t>
  </si>
  <si>
    <t>jour</t>
  </si>
  <si>
    <t>modèle</t>
  </si>
  <si>
    <t>Tolérance +</t>
  </si>
  <si>
    <t>Tolérance -</t>
  </si>
  <si>
    <t>moyenne</t>
  </si>
  <si>
    <t>Min</t>
  </si>
  <si>
    <t>Max</t>
  </si>
  <si>
    <t>Cpk</t>
  </si>
  <si>
    <t>Niveau A</t>
  </si>
  <si>
    <t>Répétition 1</t>
  </si>
  <si>
    <t>Répétition 2</t>
  </si>
  <si>
    <t>Répétition 3</t>
  </si>
  <si>
    <t>Répétition 4</t>
  </si>
  <si>
    <t>Répétition 5</t>
  </si>
  <si>
    <t>nk</t>
  </si>
  <si>
    <t>SCEk</t>
  </si>
  <si>
    <t>Niveau B</t>
  </si>
  <si>
    <t>Niveau C</t>
  </si>
  <si>
    <t>Niveau D</t>
  </si>
  <si>
    <t>Niveau E</t>
  </si>
  <si>
    <t>Profil d'exactitude</t>
  </si>
  <si>
    <t>Probabilité tolérance (bêta)</t>
  </si>
  <si>
    <t>Limite d'acceptabilité</t>
  </si>
  <si>
    <t>Niveaux</t>
  </si>
  <si>
    <t>Recouvrement (justesse)</t>
  </si>
  <si>
    <t>Limite basse tolérance (%)</t>
  </si>
  <si>
    <t>Limite haute tolérance (%)</t>
  </si>
  <si>
    <t>Limite d'acceptabilité basse</t>
  </si>
  <si>
    <t>Limite d'acceptabilité haute</t>
  </si>
  <si>
    <t>Incertitude</t>
  </si>
  <si>
    <t>Ecart-type de l'IT (sIT)</t>
  </si>
  <si>
    <t>Incertitude élargie relative</t>
  </si>
  <si>
    <t>Valeur cible</t>
  </si>
  <si>
    <t>Moyenne niveau</t>
  </si>
  <si>
    <t>Ecart-type de répétabilité (sr)</t>
  </si>
  <si>
    <t>Ecart-type inter-séries (sL)</t>
  </si>
  <si>
    <t>Ecart-type de fidélité (sFI)</t>
  </si>
  <si>
    <t>Rapport des variances (R)</t>
  </si>
  <si>
    <t>Coefficient intermédiaire</t>
  </si>
  <si>
    <t>Nombre de degrés liberté</t>
  </si>
  <si>
    <t>Valeur basse tolérance</t>
  </si>
  <si>
    <t>Valeur haute tolérance</t>
  </si>
  <si>
    <t>Biais (%)</t>
  </si>
  <si>
    <t>R²</t>
  </si>
  <si>
    <t>étape d'identification</t>
  </si>
  <si>
    <t>ANOVA</t>
  </si>
  <si>
    <t>R²ajusté</t>
  </si>
  <si>
    <t>Y</t>
  </si>
  <si>
    <t>opérateur</t>
  </si>
  <si>
    <t>Catégorie</t>
  </si>
  <si>
    <t>&lt; expliqué par le modèle (ajusté)</t>
  </si>
  <si>
    <t>&lt; nombre de catégorie détectable par la méthode</t>
  </si>
  <si>
    <t>&lt;Coeffcient de détermination : ce qui est expliqué par le modèle</t>
  </si>
  <si>
    <t>S² totale</t>
  </si>
  <si>
    <t>S totale</t>
  </si>
  <si>
    <t>version 1</t>
  </si>
  <si>
    <t>X</t>
  </si>
  <si>
    <t>lundi</t>
  </si>
  <si>
    <t>mercreci</t>
  </si>
  <si>
    <t>jeudi</t>
  </si>
  <si>
    <t>pierre</t>
  </si>
  <si>
    <t>paul</t>
  </si>
  <si>
    <t>jack</t>
  </si>
  <si>
    <t>A</t>
  </si>
  <si>
    <t>B</t>
  </si>
  <si>
    <t>C</t>
  </si>
  <si>
    <t>Facteur qualitatif</t>
  </si>
  <si>
    <t>D</t>
  </si>
  <si>
    <t>sophie</t>
  </si>
  <si>
    <t>samedi</t>
  </si>
  <si>
    <t>Morgan GERMA</t>
  </si>
  <si>
    <t>Prérequis</t>
  </si>
  <si>
    <t>Cochran</t>
  </si>
  <si>
    <t>Cobs</t>
  </si>
  <si>
    <t>C 1%</t>
  </si>
  <si>
    <t>Cobs &lt; C 1% = OK</t>
  </si>
  <si>
    <t>si Fobs &lt; F5% = équivalence</t>
  </si>
  <si>
    <t>β</t>
  </si>
  <si>
    <t>puissance</t>
  </si>
  <si>
    <t>cuve A,B,C,D</t>
  </si>
  <si>
    <t>couleur case</t>
  </si>
  <si>
    <t>couleur chiffre</t>
  </si>
  <si>
    <t>type de sonde</t>
  </si>
  <si>
    <t>P</t>
  </si>
  <si>
    <t>Q</t>
  </si>
  <si>
    <t>R</t>
  </si>
  <si>
    <t>O</t>
  </si>
  <si>
    <t>∑y</t>
  </si>
  <si>
    <t>∑x</t>
  </si>
  <si>
    <t>bloc X</t>
  </si>
  <si>
    <t>bloc Y</t>
  </si>
  <si>
    <t>Jour (Série) 1</t>
  </si>
  <si>
    <t>Jour (Série) 2</t>
  </si>
  <si>
    <t>Jour (Série) 3</t>
  </si>
  <si>
    <t>Jour (Série) 4</t>
  </si>
  <si>
    <t>Jour (Série) 5</t>
  </si>
  <si>
    <t>Nombre de séries (K)</t>
  </si>
  <si>
    <t>Nombre de mesures (IK)</t>
  </si>
  <si>
    <t>Nombre de répétitions (I)</t>
  </si>
  <si>
    <t>SCE résiduelle</t>
  </si>
  <si>
    <t>SCE totale</t>
  </si>
  <si>
    <t>SCE inter-séries</t>
  </si>
  <si>
    <t>Valeur intermédiaire de s²L</t>
  </si>
  <si>
    <t>Variance de répétabilité (s²r)</t>
  </si>
  <si>
    <t>Variance inter-séries (s²L)</t>
  </si>
  <si>
    <t>Variance de fidélité (s²FI)</t>
  </si>
  <si>
    <t>Fidélité</t>
  </si>
  <si>
    <t>Justesse</t>
  </si>
  <si>
    <t>Facteur de couverture</t>
  </si>
  <si>
    <t>Coefficient B²</t>
  </si>
  <si>
    <t>t Student bas</t>
  </si>
  <si>
    <t>t Student haut</t>
  </si>
  <si>
    <t>t Student interpolé</t>
  </si>
  <si>
    <t>Facteur de couverture (ktol)</t>
  </si>
  <si>
    <t>Intervalle de tolérance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</si>
</sst>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"/>
    <numFmt numFmtId="166" formatCode="0.0000"/>
    <numFmt numFmtId="167" formatCode="0.00000"/>
    <numFmt numFmtId="168" formatCode="0.0000000"/>
    <numFmt numFmtId="169" formatCode="0.000000"/>
    <numFmt numFmtId="170" formatCode="0.0%"/>
  </numFmts>
  <fonts count="2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name val="Arial"/>
      <family val="2"/>
    </font>
    <font>
      <b/>
      <sz val="9"/>
      <name val="Verdana"/>
      <family val="2"/>
    </font>
    <font>
      <sz val="9"/>
      <name val="Arial"/>
      <family val="2"/>
    </font>
    <font>
      <sz val="8"/>
      <color indexed="20"/>
      <name val="Verdana"/>
      <family val="2"/>
    </font>
    <font>
      <sz val="8"/>
      <name val="Tahoma"/>
      <family val="2"/>
    </font>
    <font>
      <b/>
      <sz val="9"/>
      <name val="Arial"/>
      <family val="2"/>
    </font>
    <font>
      <sz val="9"/>
      <color indexed="12"/>
      <name val="Arial"/>
      <family val="2"/>
    </font>
    <font>
      <sz val="9"/>
      <color theme="0" tint="-0.249977111117893"/>
      <name val="Arial"/>
      <family val="2"/>
    </font>
    <font>
      <sz val="9"/>
      <color indexed="23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8" tint="-0.249977111117893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0"/>
      <color rgb="FF7030A0"/>
      <name val="Arial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0" fontId="4" fillId="0" borderId="0"/>
    <xf numFmtId="0" fontId="8" fillId="6" borderId="0"/>
    <xf numFmtId="0" fontId="10" fillId="7" borderId="0"/>
    <xf numFmtId="0" fontId="10" fillId="0" borderId="0">
      <alignment horizontal="right"/>
      <protection locked="0"/>
    </xf>
    <xf numFmtId="0" fontId="11" fillId="7" borderId="0"/>
    <xf numFmtId="9" fontId="12" fillId="7" borderId="0" applyFont="0" applyBorder="0" applyAlignment="0"/>
  </cellStyleXfs>
  <cellXfs count="148">
    <xf numFmtId="0" fontId="0" fillId="0" borderId="0" xfId="0"/>
    <xf numFmtId="0" fontId="9" fillId="6" borderId="0" xfId="3" applyFont="1"/>
    <xf numFmtId="0" fontId="10" fillId="7" borderId="0" xfId="4"/>
    <xf numFmtId="0" fontId="8" fillId="6" borderId="0" xfId="3"/>
    <xf numFmtId="0" fontId="10" fillId="0" borderId="2" xfId="5" applyBorder="1">
      <alignment horizontal="right"/>
      <protection locked="0"/>
    </xf>
    <xf numFmtId="1" fontId="10" fillId="7" borderId="0" xfId="4" applyNumberFormat="1"/>
    <xf numFmtId="167" fontId="10" fillId="7" borderId="0" xfId="4" applyNumberFormat="1"/>
    <xf numFmtId="0" fontId="11" fillId="7" borderId="0" xfId="6"/>
    <xf numFmtId="168" fontId="10" fillId="7" borderId="0" xfId="4" applyNumberFormat="1"/>
    <xf numFmtId="10" fontId="0" fillId="7" borderId="0" xfId="7" applyNumberFormat="1" applyFont="1"/>
    <xf numFmtId="0" fontId="8" fillId="6" borderId="0" xfId="3" applyFont="1"/>
    <xf numFmtId="165" fontId="10" fillId="0" borderId="2" xfId="5" applyNumberFormat="1" applyBorder="1">
      <alignment horizontal="right"/>
      <protection locked="0"/>
    </xf>
    <xf numFmtId="169" fontId="10" fillId="7" borderId="0" xfId="4" applyNumberFormat="1"/>
    <xf numFmtId="0" fontId="13" fillId="6" borderId="0" xfId="3" applyFont="1"/>
    <xf numFmtId="0" fontId="10" fillId="7" borderId="0" xfId="4" applyFont="1"/>
    <xf numFmtId="9" fontId="10" fillId="0" borderId="2" xfId="5" applyNumberFormat="1" applyFont="1" applyBorder="1">
      <alignment horizontal="right"/>
      <protection locked="0"/>
    </xf>
    <xf numFmtId="10" fontId="0" fillId="0" borderId="2" xfId="5" applyNumberFormat="1" applyFont="1" applyBorder="1">
      <alignment horizontal="right"/>
      <protection locked="0"/>
    </xf>
    <xf numFmtId="0" fontId="10" fillId="7" borderId="1" xfId="4" applyFont="1" applyBorder="1"/>
    <xf numFmtId="0" fontId="14" fillId="7" borderId="0" xfId="4" applyFont="1"/>
    <xf numFmtId="0" fontId="14" fillId="7" borderId="1" xfId="4" applyFont="1" applyBorder="1"/>
    <xf numFmtId="165" fontId="10" fillId="7" borderId="1" xfId="4" applyNumberFormat="1" applyFont="1" applyBorder="1"/>
    <xf numFmtId="0" fontId="15" fillId="7" borderId="0" xfId="4" applyFont="1"/>
    <xf numFmtId="10" fontId="10" fillId="7" borderId="1" xfId="7" applyNumberFormat="1" applyFont="1" applyBorder="1"/>
    <xf numFmtId="10" fontId="14" fillId="7" borderId="1" xfId="7" applyNumberFormat="1" applyFont="1" applyBorder="1"/>
    <xf numFmtId="10" fontId="14" fillId="7" borderId="1" xfId="4" applyNumberFormat="1" applyFont="1" applyBorder="1"/>
    <xf numFmtId="0" fontId="14" fillId="7" borderId="0" xfId="4" applyFont="1" applyBorder="1"/>
    <xf numFmtId="10" fontId="14" fillId="7" borderId="0" xfId="4" applyNumberFormat="1" applyFont="1" applyBorder="1"/>
    <xf numFmtId="166" fontId="10" fillId="7" borderId="0" xfId="4" applyNumberFormat="1" applyFont="1"/>
    <xf numFmtId="10" fontId="10" fillId="7" borderId="0" xfId="7" applyNumberFormat="1" applyFont="1"/>
    <xf numFmtId="0" fontId="16" fillId="7" borderId="0" xfId="4" applyFont="1"/>
    <xf numFmtId="166" fontId="16" fillId="7" borderId="0" xfId="4" applyNumberFormat="1" applyFont="1"/>
    <xf numFmtId="10" fontId="16" fillId="7" borderId="0" xfId="7" applyNumberFormat="1" applyFont="1"/>
    <xf numFmtId="0" fontId="14" fillId="0" borderId="1" xfId="0" applyFont="1" applyBorder="1"/>
    <xf numFmtId="0" fontId="10" fillId="0" borderId="1" xfId="0" applyFont="1" applyBorder="1"/>
    <xf numFmtId="1" fontId="14" fillId="7" borderId="1" xfId="4" applyNumberFormat="1" applyFont="1" applyBorder="1"/>
    <xf numFmtId="166" fontId="10" fillId="0" borderId="1" xfId="5" applyNumberFormat="1" applyBorder="1" applyAlignment="1">
      <alignment horizontal="center"/>
      <protection locked="0"/>
    </xf>
    <xf numFmtId="165" fontId="10" fillId="0" borderId="1" xfId="5" applyNumberFormat="1" applyBorder="1" applyAlignment="1">
      <alignment horizontal="center"/>
      <protection locked="0"/>
    </xf>
    <xf numFmtId="0" fontId="10" fillId="0" borderId="1" xfId="5" applyBorder="1" applyAlignment="1">
      <alignment horizontal="center"/>
      <protection locked="0"/>
    </xf>
    <xf numFmtId="0" fontId="0" fillId="0" borderId="0" xfId="0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7" xfId="0" applyBorder="1" applyProtection="1">
      <protection hidden="1"/>
    </xf>
    <xf numFmtId="2" fontId="6" fillId="4" borderId="0" xfId="0" applyNumberFormat="1" applyFont="1" applyFill="1" applyBorder="1" applyAlignment="1" applyProtection="1">
      <alignment horizontal="center"/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6" fillId="0" borderId="7" xfId="0" applyFont="1" applyBorder="1" applyProtection="1">
      <protection hidden="1"/>
    </xf>
    <xf numFmtId="0" fontId="6" fillId="0" borderId="0" xfId="0" applyFont="1" applyProtection="1">
      <protection hidden="1"/>
    </xf>
    <xf numFmtId="11" fontId="6" fillId="0" borderId="0" xfId="0" applyNumberFormat="1" applyFont="1" applyProtection="1">
      <protection hidden="1"/>
    </xf>
    <xf numFmtId="0" fontId="5" fillId="0" borderId="0" xfId="0" applyFont="1" applyProtection="1">
      <protection hidden="1"/>
    </xf>
    <xf numFmtId="0" fontId="5" fillId="0" borderId="0" xfId="0" applyFont="1" applyBorder="1" applyProtection="1">
      <protection hidden="1"/>
    </xf>
    <xf numFmtId="0" fontId="5" fillId="0" borderId="7" xfId="0" applyFont="1" applyBorder="1" applyProtection="1">
      <protection hidden="1"/>
    </xf>
    <xf numFmtId="0" fontId="7" fillId="4" borderId="0" xfId="2" applyFont="1" applyFill="1" applyBorder="1" applyProtection="1">
      <protection hidden="1"/>
    </xf>
    <xf numFmtId="0" fontId="6" fillId="4" borderId="0" xfId="0" applyFont="1" applyFill="1" applyBorder="1" applyProtection="1">
      <protection hidden="1"/>
    </xf>
    <xf numFmtId="0" fontId="6" fillId="0" borderId="0" xfId="0" applyFont="1" applyBorder="1" applyProtection="1"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2" borderId="0" xfId="0" applyFill="1" applyBorder="1" applyProtection="1">
      <protection hidden="1"/>
    </xf>
    <xf numFmtId="2" fontId="3" fillId="3" borderId="1" xfId="1" applyNumberFormat="1" applyFont="1" applyFill="1" applyBorder="1" applyAlignment="1" applyProtection="1">
      <alignment horizontal="center"/>
      <protection hidden="1"/>
    </xf>
    <xf numFmtId="2" fontId="17" fillId="5" borderId="1" xfId="1" applyNumberFormat="1" applyFont="1" applyFill="1" applyBorder="1" applyAlignment="1" applyProtection="1">
      <alignment horizontal="center"/>
      <protection hidden="1"/>
    </xf>
    <xf numFmtId="0" fontId="7" fillId="4" borderId="0" xfId="2" applyFont="1" applyFill="1" applyBorder="1" applyAlignment="1" applyProtection="1">
      <alignment horizontal="center"/>
      <protection hidden="1"/>
    </xf>
    <xf numFmtId="2" fontId="7" fillId="4" borderId="0" xfId="2" applyNumberFormat="1" applyFont="1" applyFill="1" applyBorder="1" applyAlignment="1" applyProtection="1">
      <alignment horizontal="center"/>
      <protection hidden="1"/>
    </xf>
    <xf numFmtId="11" fontId="7" fillId="4" borderId="0" xfId="2" applyNumberFormat="1" applyFont="1" applyFill="1" applyBorder="1" applyAlignment="1" applyProtection="1">
      <alignment horizontal="center"/>
      <protection hidden="1"/>
    </xf>
    <xf numFmtId="2" fontId="5" fillId="0" borderId="1" xfId="0" applyNumberFormat="1" applyFont="1" applyBorder="1" applyAlignment="1" applyProtection="1">
      <alignment horizontal="center"/>
      <protection hidden="1"/>
    </xf>
    <xf numFmtId="0" fontId="0" fillId="9" borderId="6" xfId="0" applyFill="1" applyBorder="1" applyProtection="1">
      <protection hidden="1"/>
    </xf>
    <xf numFmtId="0" fontId="0" fillId="9" borderId="0" xfId="0" applyFill="1" applyBorder="1" applyProtection="1">
      <protection hidden="1"/>
    </xf>
    <xf numFmtId="2" fontId="6" fillId="9" borderId="0" xfId="0" applyNumberFormat="1" applyFont="1" applyFill="1" applyBorder="1" applyAlignment="1" applyProtection="1">
      <alignment horizontal="center"/>
      <protection hidden="1"/>
    </xf>
    <xf numFmtId="0" fontId="0" fillId="9" borderId="7" xfId="0" applyFill="1" applyBorder="1" applyProtection="1">
      <protection hidden="1"/>
    </xf>
    <xf numFmtId="0" fontId="0" fillId="0" borderId="8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10" xfId="0" applyBorder="1" applyProtection="1">
      <protection hidden="1"/>
    </xf>
    <xf numFmtId="0" fontId="5" fillId="4" borderId="1" xfId="0" applyFont="1" applyFill="1" applyBorder="1" applyAlignment="1" applyProtection="1">
      <alignment horizontal="center"/>
      <protection hidden="1"/>
    </xf>
    <xf numFmtId="10" fontId="5" fillId="4" borderId="1" xfId="0" applyNumberFormat="1" applyFont="1" applyFill="1" applyBorder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2" fontId="5" fillId="3" borderId="1" xfId="0" applyNumberFormat="1" applyFont="1" applyFill="1" applyBorder="1" applyAlignment="1" applyProtection="1">
      <alignment horizontal="center"/>
      <protection hidden="1"/>
    </xf>
    <xf numFmtId="1" fontId="5" fillId="3" borderId="1" xfId="0" applyNumberFormat="1" applyFont="1" applyFill="1" applyBorder="1" applyAlignment="1" applyProtection="1">
      <alignment horizontal="center"/>
      <protection hidden="1"/>
    </xf>
    <xf numFmtId="0" fontId="5" fillId="5" borderId="1" xfId="0" applyFont="1" applyFill="1" applyBorder="1" applyAlignment="1" applyProtection="1">
      <alignment horizontal="center"/>
      <protection hidden="1"/>
    </xf>
    <xf numFmtId="164" fontId="5" fillId="5" borderId="1" xfId="0" applyNumberFormat="1" applyFont="1" applyFill="1" applyBorder="1" applyAlignment="1" applyProtection="1">
      <alignment horizontal="center"/>
      <protection hidden="1"/>
    </xf>
    <xf numFmtId="2" fontId="5" fillId="5" borderId="1" xfId="0" applyNumberFormat="1" applyFont="1" applyFill="1" applyBorder="1" applyAlignment="1" applyProtection="1">
      <alignment horizontal="center"/>
      <protection hidden="1"/>
    </xf>
    <xf numFmtId="9" fontId="5" fillId="5" borderId="1" xfId="0" applyNumberFormat="1" applyFont="1" applyFill="1" applyBorder="1" applyAlignment="1" applyProtection="1">
      <alignment horizontal="center"/>
      <protection hidden="1"/>
    </xf>
    <xf numFmtId="164" fontId="5" fillId="5" borderId="1" xfId="0" applyNumberFormat="1" applyFont="1" applyFill="1" applyBorder="1" applyAlignment="1" applyProtection="1">
      <alignment horizontal="center" vertical="center"/>
      <protection hidden="1"/>
    </xf>
    <xf numFmtId="0" fontId="18" fillId="0" borderId="1" xfId="2" applyFont="1" applyBorder="1" applyAlignment="1" applyProtection="1">
      <alignment horizontal="center"/>
      <protection hidden="1"/>
    </xf>
    <xf numFmtId="0" fontId="0" fillId="0" borderId="0" xfId="0" applyFont="1" applyProtection="1">
      <protection hidden="1"/>
    </xf>
    <xf numFmtId="0" fontId="2" fillId="0" borderId="0" xfId="0" applyFont="1" applyProtection="1">
      <protection hidden="1"/>
    </xf>
    <xf numFmtId="0" fontId="0" fillId="0" borderId="9" xfId="0" applyFill="1" applyBorder="1" applyProtection="1">
      <protection hidden="1"/>
    </xf>
    <xf numFmtId="0" fontId="0" fillId="3" borderId="0" xfId="0" applyFill="1" applyBorder="1" applyProtection="1">
      <protection hidden="1"/>
    </xf>
    <xf numFmtId="0" fontId="0" fillId="5" borderId="0" xfId="0" applyFill="1" applyBorder="1" applyProtection="1">
      <protection hidden="1"/>
    </xf>
    <xf numFmtId="0" fontId="0" fillId="8" borderId="0" xfId="0" applyFill="1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2" fontId="17" fillId="8" borderId="1" xfId="1" applyNumberFormat="1" applyFont="1" applyFill="1" applyBorder="1" applyAlignment="1" applyProtection="1">
      <alignment horizontal="center"/>
      <protection hidden="1"/>
    </xf>
    <xf numFmtId="2" fontId="3" fillId="0" borderId="1" xfId="1" applyNumberFormat="1" applyFont="1" applyFill="1" applyBorder="1" applyAlignment="1" applyProtection="1">
      <alignment horizontal="center"/>
      <protection hidden="1"/>
    </xf>
    <xf numFmtId="2" fontId="19" fillId="3" borderId="1" xfId="1" applyNumberFormat="1" applyFont="1" applyFill="1" applyBorder="1" applyAlignment="1" applyProtection="1">
      <alignment horizontal="center"/>
      <protection hidden="1"/>
    </xf>
    <xf numFmtId="2" fontId="19" fillId="0" borderId="1" xfId="1" applyNumberFormat="1" applyFont="1" applyFill="1" applyBorder="1" applyAlignment="1" applyProtection="1">
      <alignment horizontal="center"/>
      <protection hidden="1"/>
    </xf>
    <xf numFmtId="2" fontId="20" fillId="5" borderId="1" xfId="1" applyNumberFormat="1" applyFont="1" applyFill="1" applyBorder="1" applyAlignment="1" applyProtection="1">
      <alignment horizontal="center"/>
      <protection hidden="1"/>
    </xf>
    <xf numFmtId="2" fontId="19" fillId="8" borderId="1" xfId="1" applyNumberFormat="1" applyFont="1" applyFill="1" applyBorder="1" applyAlignment="1" applyProtection="1">
      <alignment horizontal="center"/>
      <protection hidden="1"/>
    </xf>
    <xf numFmtId="2" fontId="21" fillId="8" borderId="1" xfId="1" applyNumberFormat="1" applyFont="1" applyFill="1" applyBorder="1" applyAlignment="1" applyProtection="1">
      <alignment horizontal="center"/>
      <protection hidden="1"/>
    </xf>
    <xf numFmtId="2" fontId="22" fillId="0" borderId="1" xfId="1" applyNumberFormat="1" applyFont="1" applyFill="1" applyBorder="1" applyAlignment="1" applyProtection="1">
      <alignment horizontal="center"/>
      <protection hidden="1"/>
    </xf>
    <xf numFmtId="2" fontId="22" fillId="5" borderId="1" xfId="1" applyNumberFormat="1" applyFont="1" applyFill="1" applyBorder="1" applyAlignment="1" applyProtection="1">
      <alignment horizontal="center"/>
      <protection hidden="1"/>
    </xf>
    <xf numFmtId="2" fontId="21" fillId="3" borderId="1" xfId="1" applyNumberFormat="1" applyFont="1" applyFill="1" applyBorder="1" applyAlignment="1" applyProtection="1">
      <alignment horizontal="center"/>
      <protection hidden="1"/>
    </xf>
    <xf numFmtId="2" fontId="23" fillId="0" borderId="1" xfId="1" applyNumberFormat="1" applyFont="1" applyFill="1" applyBorder="1" applyAlignment="1" applyProtection="1">
      <alignment horizontal="center"/>
      <protection hidden="1"/>
    </xf>
    <xf numFmtId="2" fontId="23" fillId="8" borderId="1" xfId="1" applyNumberFormat="1" applyFont="1" applyFill="1" applyBorder="1" applyAlignment="1" applyProtection="1">
      <alignment horizontal="center"/>
      <protection hidden="1"/>
    </xf>
    <xf numFmtId="2" fontId="24" fillId="3" borderId="1" xfId="1" applyNumberFormat="1" applyFont="1" applyFill="1" applyBorder="1" applyAlignment="1" applyProtection="1">
      <alignment horizontal="center"/>
      <protection hidden="1"/>
    </xf>
    <xf numFmtId="2" fontId="23" fillId="5" borderId="1" xfId="1" applyNumberFormat="1" applyFont="1" applyFill="1" applyBorder="1" applyAlignment="1" applyProtection="1">
      <alignment horizontal="center"/>
      <protection hidden="1"/>
    </xf>
    <xf numFmtId="0" fontId="0" fillId="10" borderId="0" xfId="0" applyFill="1" applyBorder="1" applyProtection="1">
      <protection hidden="1"/>
    </xf>
    <xf numFmtId="0" fontId="0" fillId="0" borderId="11" xfId="0" applyBorder="1" applyProtection="1">
      <protection hidden="1"/>
    </xf>
    <xf numFmtId="0" fontId="0" fillId="4" borderId="11" xfId="0" applyFill="1" applyBorder="1" applyProtection="1">
      <protection hidden="1"/>
    </xf>
    <xf numFmtId="0" fontId="0" fillId="0" borderId="13" xfId="0" applyFill="1" applyBorder="1" applyAlignment="1" applyProtection="1">
      <alignment horizontal="center"/>
      <protection hidden="1"/>
    </xf>
    <xf numFmtId="0" fontId="0" fillId="2" borderId="13" xfId="0" applyFill="1" applyBorder="1" applyProtection="1">
      <protection hidden="1"/>
    </xf>
    <xf numFmtId="17" fontId="5" fillId="0" borderId="0" xfId="0" applyNumberFormat="1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5" fillId="0" borderId="1" xfId="0" applyFont="1" applyFill="1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/>
      <protection hidden="1"/>
    </xf>
    <xf numFmtId="164" fontId="5" fillId="2" borderId="1" xfId="0" applyNumberFormat="1" applyFont="1" applyFill="1" applyBorder="1" applyAlignment="1" applyProtection="1">
      <alignment horizontal="center"/>
      <protection hidden="1"/>
    </xf>
    <xf numFmtId="0" fontId="5" fillId="8" borderId="1" xfId="0" applyFont="1" applyFill="1" applyBorder="1" applyAlignment="1" applyProtection="1">
      <alignment horizontal="center"/>
      <protection hidden="1"/>
    </xf>
    <xf numFmtId="0" fontId="0" fillId="8" borderId="1" xfId="0" applyFont="1" applyFill="1" applyBorder="1" applyAlignment="1" applyProtection="1">
      <alignment horizontal="center"/>
      <protection hidden="1"/>
    </xf>
    <xf numFmtId="165" fontId="0" fillId="0" borderId="1" xfId="0" applyNumberFormat="1" applyBorder="1" applyAlignment="1" applyProtection="1">
      <alignment horizontal="center"/>
      <protection hidden="1"/>
    </xf>
    <xf numFmtId="10" fontId="6" fillId="0" borderId="0" xfId="0" applyNumberFormat="1" applyFont="1" applyProtection="1">
      <protection hidden="1"/>
    </xf>
    <xf numFmtId="10" fontId="6" fillId="0" borderId="0" xfId="0" applyNumberFormat="1" applyFont="1" applyBorder="1" applyProtection="1">
      <protection hidden="1"/>
    </xf>
    <xf numFmtId="10" fontId="5" fillId="0" borderId="0" xfId="0" applyNumberFormat="1" applyFont="1" applyBorder="1" applyProtection="1">
      <protection hidden="1"/>
    </xf>
    <xf numFmtId="10" fontId="1" fillId="4" borderId="1" xfId="0" applyNumberFormat="1" applyFont="1" applyFill="1" applyBorder="1" applyAlignment="1" applyProtection="1">
      <alignment horizontal="center"/>
      <protection hidden="1"/>
    </xf>
    <xf numFmtId="165" fontId="5" fillId="3" borderId="1" xfId="0" applyNumberFormat="1" applyFont="1" applyFill="1" applyBorder="1" applyAlignment="1" applyProtection="1">
      <alignment horizontal="center" vertical="center"/>
      <protection hidden="1"/>
    </xf>
    <xf numFmtId="165" fontId="5" fillId="3" borderId="1" xfId="0" applyNumberFormat="1" applyFont="1" applyFill="1" applyBorder="1" applyAlignment="1" applyProtection="1">
      <alignment horizontal="center"/>
      <protection hidden="1"/>
    </xf>
    <xf numFmtId="165" fontId="5" fillId="5" borderId="1" xfId="0" applyNumberFormat="1" applyFont="1" applyFill="1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right"/>
      <protection hidden="1"/>
    </xf>
    <xf numFmtId="0" fontId="0" fillId="2" borderId="0" xfId="0" applyFill="1" applyBorder="1" applyAlignment="1" applyProtection="1">
      <alignment horizontal="left"/>
      <protection hidden="1"/>
    </xf>
    <xf numFmtId="0" fontId="19" fillId="10" borderId="0" xfId="0" applyFont="1" applyFill="1" applyBorder="1" applyAlignment="1" applyProtection="1">
      <alignment horizontal="left"/>
      <protection hidden="1"/>
    </xf>
    <xf numFmtId="0" fontId="3" fillId="10" borderId="0" xfId="0" applyFont="1" applyFill="1" applyBorder="1" applyAlignment="1" applyProtection="1">
      <alignment horizontal="left"/>
      <protection hidden="1"/>
    </xf>
    <xf numFmtId="0" fontId="22" fillId="10" borderId="0" xfId="0" applyFont="1" applyFill="1" applyBorder="1" applyAlignment="1" applyProtection="1">
      <alignment horizontal="left"/>
      <protection hidden="1"/>
    </xf>
    <xf numFmtId="0" fontId="23" fillId="10" borderId="0" xfId="0" applyFont="1" applyFill="1" applyBorder="1" applyAlignment="1" applyProtection="1">
      <alignment horizontal="left"/>
      <protection hidden="1"/>
    </xf>
    <xf numFmtId="0" fontId="0" fillId="0" borderId="14" xfId="0" applyBorder="1" applyProtection="1">
      <protection hidden="1"/>
    </xf>
    <xf numFmtId="0" fontId="25" fillId="0" borderId="1" xfId="0" applyFont="1" applyBorder="1" applyAlignment="1" applyProtection="1">
      <alignment horizontal="center"/>
      <protection hidden="1"/>
    </xf>
    <xf numFmtId="170" fontId="5" fillId="0" borderId="1" xfId="0" applyNumberFormat="1" applyFont="1" applyBorder="1" applyAlignment="1" applyProtection="1">
      <alignment horizontal="center"/>
      <protection hidden="1"/>
    </xf>
    <xf numFmtId="170" fontId="0" fillId="0" borderId="0" xfId="0" applyNumberFormat="1" applyBorder="1" applyProtection="1">
      <protection hidden="1"/>
    </xf>
    <xf numFmtId="9" fontId="5" fillId="3" borderId="1" xfId="0" applyNumberFormat="1" applyFont="1" applyFill="1" applyBorder="1" applyAlignment="1" applyProtection="1">
      <alignment horizontal="center"/>
      <protection hidden="1"/>
    </xf>
    <xf numFmtId="2" fontId="5" fillId="8" borderId="1" xfId="0" applyNumberFormat="1" applyFont="1" applyFill="1" applyBorder="1" applyAlignment="1" applyProtection="1">
      <alignment horizontal="center" vertical="center"/>
      <protection hidden="1"/>
    </xf>
    <xf numFmtId="2" fontId="5" fillId="8" borderId="1" xfId="0" applyNumberFormat="1" applyFont="1" applyFill="1" applyBorder="1" applyAlignment="1" applyProtection="1">
      <alignment horizontal="center"/>
      <protection hidden="1"/>
    </xf>
    <xf numFmtId="0" fontId="0" fillId="8" borderId="1" xfId="0" applyFill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16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5" fillId="0" borderId="1" xfId="0" applyFont="1" applyFill="1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/>
      <protection hidden="1"/>
    </xf>
    <xf numFmtId="2" fontId="5" fillId="0" borderId="14" xfId="0" applyNumberFormat="1" applyFont="1" applyBorder="1" applyAlignment="1" applyProtection="1">
      <alignment horizontal="center" vertical="center"/>
      <protection hidden="1"/>
    </xf>
    <xf numFmtId="2" fontId="5" fillId="0" borderId="18" xfId="0" applyNumberFormat="1" applyFont="1" applyBorder="1" applyAlignment="1" applyProtection="1">
      <alignment horizontal="center" vertical="center"/>
      <protection hidden="1"/>
    </xf>
    <xf numFmtId="0" fontId="4" fillId="4" borderId="0" xfId="2" applyFont="1" applyFill="1" applyBorder="1" applyAlignment="1" applyProtection="1">
      <alignment horizont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</cellXfs>
  <cellStyles count="8">
    <cellStyle name="Formule" xfId="6" xr:uid="{00000000-0005-0000-0000-000000000000}"/>
    <cellStyle name="Normal" xfId="0" builtinId="0"/>
    <cellStyle name="Normal 2" xfId="1" xr:uid="{00000000-0005-0000-0000-000003000000}"/>
    <cellStyle name="Normal 2 2" xfId="2" xr:uid="{00000000-0005-0000-0000-000004000000}"/>
    <cellStyle name="Normal 3" xfId="4" xr:uid="{00000000-0005-0000-0000-000005000000}"/>
    <cellStyle name="Pourcentage 2" xfId="7" xr:uid="{00000000-0005-0000-0000-000006000000}"/>
    <cellStyle name="Saisie" xfId="5" xr:uid="{00000000-0005-0000-0000-000007000000}"/>
    <cellStyle name="Titre 2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Contribution% des facteurs à la dispersion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CGL4f4n!$C$37:$C$41</c:f>
              <c:strCache>
                <c:ptCount val="5"/>
                <c:pt idx="0">
                  <c:v>résiduel</c:v>
                </c:pt>
                <c:pt idx="1">
                  <c:v>opérateur</c:v>
                </c:pt>
                <c:pt idx="2">
                  <c:v>cuve A,B,C,D</c:v>
                </c:pt>
                <c:pt idx="3">
                  <c:v>jour</c:v>
                </c:pt>
                <c:pt idx="4">
                  <c:v>type de sonde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CGL4f4n!$C$37:$C$41</c:f>
              <c:strCache>
                <c:ptCount val="5"/>
                <c:pt idx="0">
                  <c:v>résiduel</c:v>
                </c:pt>
                <c:pt idx="1">
                  <c:v>opérateur</c:v>
                </c:pt>
                <c:pt idx="2">
                  <c:v>cuve A,B,C,D</c:v>
                </c:pt>
                <c:pt idx="3">
                  <c:v>jour</c:v>
                </c:pt>
                <c:pt idx="4">
                  <c:v>type de sonde</c:v>
                </c:pt>
              </c:strCache>
            </c:strRef>
          </c:cat>
          <c:val>
            <c:numRef>
              <c:f>CGL4f4n!$L$37:$L$41</c:f>
              <c:numCache>
                <c:formatCode>0%</c:formatCode>
                <c:ptCount val="5"/>
                <c:pt idx="0">
                  <c:v>0.26692637447830569</c:v>
                </c:pt>
                <c:pt idx="1">
                  <c:v>3.6073495966009667E-3</c:v>
                </c:pt>
                <c:pt idx="2">
                  <c:v>0.38518966155400358</c:v>
                </c:pt>
                <c:pt idx="3">
                  <c:v>1.6416742313291648E-2</c:v>
                </c:pt>
                <c:pt idx="4">
                  <c:v>0.3278598720577981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1-4260-B6B5-6B037966C41D}"/>
            </c:ext>
          </c:extLst>
        </c:ser>
        <c:ser>
          <c:idx val="1"/>
          <c:order val="1"/>
          <c:spPr>
            <a:noFill/>
            <a:ln>
              <a:noFill/>
              <a:prstDash val="sysDash"/>
            </a:ln>
            <a:effectLst/>
          </c:spPr>
          <c:invertIfNegative val="0"/>
          <c:val>
            <c:numRef>
              <c:f>CGL4f4n!$O$38:$O$42</c:f>
              <c:numCache>
                <c:formatCode>0.00%</c:formatCode>
                <c:ptCount val="5"/>
                <c:pt idx="0">
                  <c:v>4.3935378873138455E-2</c:v>
                </c:pt>
                <c:pt idx="1">
                  <c:v>4.3935378873138455E-2</c:v>
                </c:pt>
                <c:pt idx="2">
                  <c:v>4.3935378873138455E-2</c:v>
                </c:pt>
                <c:pt idx="3">
                  <c:v>4.3935378873138455E-2</c:v>
                </c:pt>
                <c:pt idx="4">
                  <c:v>4.3935378873138455E-2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81-4260-B6B5-6B037966C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942896"/>
        <c:axId val="-1542930928"/>
      </c:barChart>
      <c:catAx>
        <c:axId val="-154294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542930928"/>
        <c:crosses val="autoZero"/>
        <c:auto val="1"/>
        <c:lblAlgn val="ctr"/>
        <c:lblOffset val="100"/>
        <c:noMultiLvlLbl val="0"/>
      </c:catAx>
      <c:valAx>
        <c:axId val="-154293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54294289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CGL4f4n!$W$10:$W$70</c:f>
              <c:numCache>
                <c:formatCode>0.00</c:formatCode>
                <c:ptCount val="61"/>
                <c:pt idx="0">
                  <c:v>98.419105026896816</c:v>
                </c:pt>
                <c:pt idx="1">
                  <c:v>98.474849758255971</c:v>
                </c:pt>
                <c:pt idx="2">
                  <c:v>98.53059448961514</c:v>
                </c:pt>
                <c:pt idx="3">
                  <c:v>98.58633922097431</c:v>
                </c:pt>
                <c:pt idx="4">
                  <c:v>98.642083952333479</c:v>
                </c:pt>
                <c:pt idx="5">
                  <c:v>98.697828683692649</c:v>
                </c:pt>
                <c:pt idx="6">
                  <c:v>98.753573415051804</c:v>
                </c:pt>
                <c:pt idx="7">
                  <c:v>98.809318146410973</c:v>
                </c:pt>
                <c:pt idx="8">
                  <c:v>98.865062877770143</c:v>
                </c:pt>
                <c:pt idx="9">
                  <c:v>98.920807609129312</c:v>
                </c:pt>
                <c:pt idx="10">
                  <c:v>98.976552340488468</c:v>
                </c:pt>
                <c:pt idx="11">
                  <c:v>99.032297071847637</c:v>
                </c:pt>
                <c:pt idx="12">
                  <c:v>99.088041803206806</c:v>
                </c:pt>
                <c:pt idx="13">
                  <c:v>99.143786534565976</c:v>
                </c:pt>
                <c:pt idx="14">
                  <c:v>99.199531265925145</c:v>
                </c:pt>
                <c:pt idx="15">
                  <c:v>99.255275997284301</c:v>
                </c:pt>
                <c:pt idx="16">
                  <c:v>99.31102072864347</c:v>
                </c:pt>
                <c:pt idx="17">
                  <c:v>99.36676546000264</c:v>
                </c:pt>
                <c:pt idx="18">
                  <c:v>99.422510191361809</c:v>
                </c:pt>
                <c:pt idx="19">
                  <c:v>99.478254922720964</c:v>
                </c:pt>
                <c:pt idx="20">
                  <c:v>99.533999654080134</c:v>
                </c:pt>
                <c:pt idx="21">
                  <c:v>99.589744385439303</c:v>
                </c:pt>
                <c:pt idx="22">
                  <c:v>99.645489116798473</c:v>
                </c:pt>
                <c:pt idx="23">
                  <c:v>99.701233848157642</c:v>
                </c:pt>
                <c:pt idx="24">
                  <c:v>99.756978579516797</c:v>
                </c:pt>
                <c:pt idx="25">
                  <c:v>99.812723310875967</c:v>
                </c:pt>
                <c:pt idx="26">
                  <c:v>99.868468042235136</c:v>
                </c:pt>
                <c:pt idx="27">
                  <c:v>99.924212773594306</c:v>
                </c:pt>
                <c:pt idx="28">
                  <c:v>99.979957504953461</c:v>
                </c:pt>
                <c:pt idx="29">
                  <c:v>100.03570223631263</c:v>
                </c:pt>
                <c:pt idx="30">
                  <c:v>100.0914469676718</c:v>
                </c:pt>
                <c:pt idx="31">
                  <c:v>100.14719169903097</c:v>
                </c:pt>
                <c:pt idx="32">
                  <c:v>100.20293643039014</c:v>
                </c:pt>
                <c:pt idx="33">
                  <c:v>100.25868116174929</c:v>
                </c:pt>
                <c:pt idx="34">
                  <c:v>100.31442589310846</c:v>
                </c:pt>
                <c:pt idx="35">
                  <c:v>100.37017062446763</c:v>
                </c:pt>
                <c:pt idx="36">
                  <c:v>100.4259153558268</c:v>
                </c:pt>
                <c:pt idx="37">
                  <c:v>100.48166008718596</c:v>
                </c:pt>
                <c:pt idx="38">
                  <c:v>100.53740481854513</c:v>
                </c:pt>
                <c:pt idx="39">
                  <c:v>100.5931495499043</c:v>
                </c:pt>
                <c:pt idx="40">
                  <c:v>100.64889428126347</c:v>
                </c:pt>
                <c:pt idx="41">
                  <c:v>100.70463901262264</c:v>
                </c:pt>
                <c:pt idx="42">
                  <c:v>100.76038374398179</c:v>
                </c:pt>
                <c:pt idx="43">
                  <c:v>100.81612847534096</c:v>
                </c:pt>
                <c:pt idx="44">
                  <c:v>100.87187320670013</c:v>
                </c:pt>
                <c:pt idx="45">
                  <c:v>100.9276179380593</c:v>
                </c:pt>
                <c:pt idx="46">
                  <c:v>100.98336266941845</c:v>
                </c:pt>
                <c:pt idx="47">
                  <c:v>101.03910740077762</c:v>
                </c:pt>
                <c:pt idx="48">
                  <c:v>101.09485213213679</c:v>
                </c:pt>
                <c:pt idx="49">
                  <c:v>101.15059686349596</c:v>
                </c:pt>
                <c:pt idx="50">
                  <c:v>101.20634159485513</c:v>
                </c:pt>
                <c:pt idx="51">
                  <c:v>101.26208632621429</c:v>
                </c:pt>
                <c:pt idx="52">
                  <c:v>101.31783105757346</c:v>
                </c:pt>
                <c:pt idx="53">
                  <c:v>101.37357578893263</c:v>
                </c:pt>
                <c:pt idx="54">
                  <c:v>101.4293205202918</c:v>
                </c:pt>
                <c:pt idx="55">
                  <c:v>101.48506525165097</c:v>
                </c:pt>
                <c:pt idx="56">
                  <c:v>101.54080998301012</c:v>
                </c:pt>
                <c:pt idx="57">
                  <c:v>101.59655471436929</c:v>
                </c:pt>
                <c:pt idx="58">
                  <c:v>101.65229944572846</c:v>
                </c:pt>
                <c:pt idx="59">
                  <c:v>101.70804417708763</c:v>
                </c:pt>
                <c:pt idx="60">
                  <c:v>101.7637889084468</c:v>
                </c:pt>
              </c:numCache>
            </c:numRef>
          </c:xVal>
          <c:yVal>
            <c:numRef>
              <c:f>CGL4f4n!$X$10:$X$70</c:f>
              <c:numCache>
                <c:formatCode>0.00E+00</c:formatCode>
                <c:ptCount val="61"/>
                <c:pt idx="0">
                  <c:v>7.9502552149430476E-3</c:v>
                </c:pt>
                <c:pt idx="1">
                  <c:v>1.067819733747241E-2</c:v>
                </c:pt>
                <c:pt idx="2">
                  <c:v>1.4199461348158882E-2</c:v>
                </c:pt>
                <c:pt idx="3">
                  <c:v>1.8694026431448626E-2</c:v>
                </c:pt>
                <c:pt idx="4">
                  <c:v>2.4366373112770047E-2</c:v>
                </c:pt>
                <c:pt idx="5">
                  <c:v>3.1443869341899279E-2</c:v>
                </c:pt>
                <c:pt idx="6">
                  <c:v>4.0173357640838278E-2</c:v>
                </c:pt>
                <c:pt idx="7">
                  <c:v>5.0815632349339598E-2</c:v>
                </c:pt>
                <c:pt idx="8">
                  <c:v>6.3637570728732898E-2</c:v>
                </c:pt>
                <c:pt idx="9">
                  <c:v>7.8901799162039682E-2</c:v>
                </c:pt>
                <c:pt idx="10">
                  <c:v>9.685393614209041E-2</c:v>
                </c:pt>
                <c:pt idx="11">
                  <c:v>0.11770765267825867</c:v>
                </c:pt>
                <c:pt idx="12">
                  <c:v>0.14162801824662855</c:v>
                </c:pt>
                <c:pt idx="13">
                  <c:v>0.16871384090260388</c:v>
                </c:pt>
                <c:pt idx="14">
                  <c:v>0.19897994299190111</c:v>
                </c:pt>
                <c:pt idx="15">
                  <c:v>0.23234051453473015</c:v>
                </c:pt>
                <c:pt idx="16">
                  <c:v>0.2685948285785828</c:v>
                </c:pt>
                <c:pt idx="17">
                  <c:v>0.30741666139472607</c:v>
                </c:pt>
                <c:pt idx="18">
                  <c:v>0.34834871430640446</c:v>
                </c:pt>
                <c:pt idx="19">
                  <c:v>0.39080316959268224</c:v>
                </c:pt>
                <c:pt idx="20">
                  <c:v>0.43406922702723527</c:v>
                </c:pt>
                <c:pt idx="21">
                  <c:v>0.47732806923824472</c:v>
                </c:pt>
                <c:pt idx="22">
                  <c:v>0.51967521539387429</c:v>
                </c:pt>
                <c:pt idx="23">
                  <c:v>0.56014967828061613</c:v>
                </c:pt>
                <c:pt idx="24">
                  <c:v>0.59776878418305401</c:v>
                </c:pt>
                <c:pt idx="25">
                  <c:v>0.6315669986745891</c:v>
                </c:pt>
                <c:pt idx="26">
                  <c:v>0.66063667601255349</c:v>
                </c:pt>
                <c:pt idx="27">
                  <c:v>0.68416836203447273</c:v>
                </c:pt>
                <c:pt idx="28">
                  <c:v>0.7014881665783731</c:v>
                </c:pt>
                <c:pt idx="29">
                  <c:v>0.71208980256703547</c:v>
                </c:pt>
                <c:pt idx="30">
                  <c:v>0.71565916755616998</c:v>
                </c:pt>
                <c:pt idx="31">
                  <c:v>0.71208980256703547</c:v>
                </c:pt>
                <c:pt idx="32">
                  <c:v>0.7014881665783731</c:v>
                </c:pt>
                <c:pt idx="33">
                  <c:v>0.68416836203447273</c:v>
                </c:pt>
                <c:pt idx="34">
                  <c:v>0.66063667601255349</c:v>
                </c:pt>
                <c:pt idx="35">
                  <c:v>0.6315669986745891</c:v>
                </c:pt>
                <c:pt idx="36">
                  <c:v>0.59776878418305401</c:v>
                </c:pt>
                <c:pt idx="37">
                  <c:v>0.56014967828061613</c:v>
                </c:pt>
                <c:pt idx="38">
                  <c:v>0.51967521539387429</c:v>
                </c:pt>
                <c:pt idx="39">
                  <c:v>0.47732806923824472</c:v>
                </c:pt>
                <c:pt idx="40">
                  <c:v>0.43406922702723527</c:v>
                </c:pt>
                <c:pt idx="41">
                  <c:v>0.39080316959268224</c:v>
                </c:pt>
                <c:pt idx="42">
                  <c:v>0.34834871430640446</c:v>
                </c:pt>
                <c:pt idx="43">
                  <c:v>0.30741666139472607</c:v>
                </c:pt>
                <c:pt idx="44">
                  <c:v>0.2685948285785828</c:v>
                </c:pt>
                <c:pt idx="45">
                  <c:v>0.23234051453473015</c:v>
                </c:pt>
                <c:pt idx="46">
                  <c:v>0.19897994299190111</c:v>
                </c:pt>
                <c:pt idx="47">
                  <c:v>0.16871384090260388</c:v>
                </c:pt>
                <c:pt idx="48">
                  <c:v>0.14162801824662855</c:v>
                </c:pt>
                <c:pt idx="49">
                  <c:v>0.11770765267825867</c:v>
                </c:pt>
                <c:pt idx="50">
                  <c:v>9.685393614209041E-2</c:v>
                </c:pt>
                <c:pt idx="51">
                  <c:v>7.8901799162039682E-2</c:v>
                </c:pt>
                <c:pt idx="52">
                  <c:v>6.3637570728732898E-2</c:v>
                </c:pt>
                <c:pt idx="53">
                  <c:v>5.0815632349339598E-2</c:v>
                </c:pt>
                <c:pt idx="54">
                  <c:v>4.0173357640838278E-2</c:v>
                </c:pt>
                <c:pt idx="55">
                  <c:v>3.144386934189726E-2</c:v>
                </c:pt>
                <c:pt idx="56">
                  <c:v>2.4366373112770047E-2</c:v>
                </c:pt>
                <c:pt idx="57">
                  <c:v>1.8694026431448626E-2</c:v>
                </c:pt>
                <c:pt idx="58">
                  <c:v>1.4199461348158882E-2</c:v>
                </c:pt>
                <c:pt idx="59">
                  <c:v>1.067819733747241E-2</c:v>
                </c:pt>
                <c:pt idx="60">
                  <c:v>7.9502552149424387E-3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B4-44BA-A51E-D061B230B0A6}"/>
            </c:ext>
          </c:extLst>
        </c:ser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9B4-44BA-A51E-D061B230B0A6}"/>
              </c:ext>
            </c:extLst>
          </c:dPt>
          <c:xVal>
            <c:numRef>
              <c:f>CGL4f4n!$Q$4:$R$4</c:f>
              <c:numCache>
                <c:formatCode>General</c:formatCode>
                <c:ptCount val="2"/>
                <c:pt idx="0" formatCode="0.0">
                  <c:v>98</c:v>
                </c:pt>
                <c:pt idx="1">
                  <c:v>98</c:v>
                </c:pt>
              </c:numCache>
            </c:numRef>
          </c:xVal>
          <c:yVal>
            <c:numRef>
              <c:f>CGL4f4n!$S$4:$T$4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0.71565916755616998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B4-44BA-A51E-D061B230B0A6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9B4-44BA-A51E-D061B230B0A6}"/>
              </c:ext>
            </c:extLst>
          </c:dPt>
          <c:xVal>
            <c:numRef>
              <c:f>CGL4f4n!$Q$5:$R$5</c:f>
              <c:numCache>
                <c:formatCode>General</c:formatCode>
                <c:ptCount val="2"/>
                <c:pt idx="0" formatCode="0.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CGL4f4n!$S$5:$T$5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0.71565916755616998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9B4-44BA-A51E-D061B230B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42943984"/>
        <c:axId val="-1542934736"/>
      </c:scatterChart>
      <c:valAx>
        <c:axId val="-154294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542934736"/>
        <c:crosses val="autoZero"/>
        <c:crossBetween val="midCat"/>
      </c:valAx>
      <c:valAx>
        <c:axId val="-1542934736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54294398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Equivalence%</a:t>
            </a:r>
            <a:r>
              <a:rPr lang="en-US" baseline="0"/>
              <a:t> entre les niveaux d'un facteur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CGL4f4n!$C$38:$C$41</c:f>
              <c:strCache>
                <c:ptCount val="4"/>
                <c:pt idx="0">
                  <c:v>opérateur</c:v>
                </c:pt>
                <c:pt idx="1">
                  <c:v>cuve A,B,C,D</c:v>
                </c:pt>
                <c:pt idx="2">
                  <c:v>jour</c:v>
                </c:pt>
                <c:pt idx="3">
                  <c:v>type de sonde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CGL4f4n!$C$38:$C$41</c:f>
              <c:strCache>
                <c:ptCount val="4"/>
                <c:pt idx="0">
                  <c:v>opérateur</c:v>
                </c:pt>
                <c:pt idx="1">
                  <c:v>cuve A,B,C,D</c:v>
                </c:pt>
                <c:pt idx="2">
                  <c:v>jour</c:v>
                </c:pt>
                <c:pt idx="3">
                  <c:v>type de sonde</c:v>
                </c:pt>
              </c:strCache>
            </c:strRef>
          </c:cat>
          <c:val>
            <c:numRef>
              <c:f>CGL4f4n!$M$38:$M$41</c:f>
              <c:numCache>
                <c:formatCode>0%</c:formatCode>
                <c:ptCount val="4"/>
                <c:pt idx="0">
                  <c:v>0.99999995668743613</c:v>
                </c:pt>
                <c:pt idx="1">
                  <c:v>0.20489765671400606</c:v>
                </c:pt>
                <c:pt idx="2">
                  <c:v>0.99882765745268043</c:v>
                </c:pt>
                <c:pt idx="3">
                  <c:v>0.24682398040989928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0-435A-8605-DBC2C54D2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938544"/>
        <c:axId val="-1542938000"/>
      </c:barChart>
      <c:catAx>
        <c:axId val="-154293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542938000"/>
        <c:crosses val="autoZero"/>
        <c:auto val="1"/>
        <c:lblAlgn val="ctr"/>
        <c:lblOffset val="100"/>
        <c:noMultiLvlLbl val="0"/>
      </c:catAx>
      <c:valAx>
        <c:axId val="-15429380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-154293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74999999999998"/>
          <c:y val="2.8619528619528625E-2"/>
          <c:w val="0.85625000000000007"/>
          <c:h val="0.91919191919191923"/>
        </c:manualLayout>
      </c:layout>
      <c:scatterChart>
        <c:scatterStyle val="lineMarker"/>
        <c:varyColors val="0"/>
        <c:ser>
          <c:idx val="0"/>
          <c:order val="0"/>
          <c:tx>
            <c:strRef>
              <c:f>Récapitulatif!$B$17</c:f>
              <c:strCache>
                <c:ptCount val="1"/>
                <c:pt idx="0">
                  <c:v>Recouvrement (justesse)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Récapitulatif!$C$17:$G$17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1-495D-9AEA-7CABE666D130}"/>
            </c:ext>
          </c:extLst>
        </c:ser>
        <c:ser>
          <c:idx val="1"/>
          <c:order val="1"/>
          <c:tx>
            <c:strRef>
              <c:f>Récapitulatif!$B$18</c:f>
              <c:strCache>
                <c:ptCount val="1"/>
                <c:pt idx="0">
                  <c:v>Limite basse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Récapitulatif!$C$18:$G$18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F1-495D-9AEA-7CABE666D130}"/>
            </c:ext>
          </c:extLst>
        </c:ser>
        <c:ser>
          <c:idx val="2"/>
          <c:order val="2"/>
          <c:tx>
            <c:strRef>
              <c:f>Récapitulatif!$B$19</c:f>
              <c:strCache>
                <c:ptCount val="1"/>
                <c:pt idx="0">
                  <c:v>Limite haute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Récapitulatif!$C$19:$G$19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F1-495D-9AEA-7CABE666D130}"/>
            </c:ext>
          </c:extLst>
        </c:ser>
        <c:ser>
          <c:idx val="3"/>
          <c:order val="3"/>
          <c:tx>
            <c:strRef>
              <c:f>Récapitulatif!$B$20</c:f>
              <c:strCache>
                <c:ptCount val="1"/>
                <c:pt idx="0">
                  <c:v>Limite d'acceptabilité basse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Récapitulatif!$C$20:$G$20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F1-495D-9AEA-7CABE666D130}"/>
            </c:ext>
          </c:extLst>
        </c:ser>
        <c:ser>
          <c:idx val="4"/>
          <c:order val="4"/>
          <c:tx>
            <c:strRef>
              <c:f>Récapitulatif!$B$21</c:f>
              <c:strCache>
                <c:ptCount val="1"/>
                <c:pt idx="0">
                  <c:v>Limite d'acceptabilité haute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Récapitulatif!$C$21:$G$21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F1-495D-9AEA-7CABE666D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42943440"/>
        <c:axId val="-1542932560"/>
      </c:scatterChart>
      <c:valAx>
        <c:axId val="-1542943440"/>
        <c:scaling>
          <c:orientation val="minMax"/>
          <c:min val="70"/>
        </c:scaling>
        <c:delete val="0"/>
        <c:axPos val="b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/>
                  <a:t>Niveaux</a:t>
                </a:r>
              </a:p>
            </c:rich>
          </c:tx>
          <c:layout>
            <c:manualLayout>
              <c:xMode val="edge"/>
              <c:yMode val="edge"/>
              <c:x val="0.86875000000000013"/>
              <c:y val="0.922558922558922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-1542932560"/>
        <c:crossesAt val="1"/>
        <c:crossBetween val="midCat"/>
      </c:valAx>
      <c:valAx>
        <c:axId val="-1542932560"/>
        <c:scaling>
          <c:orientation val="minMax"/>
          <c:max val="1.2"/>
          <c:min val="0.8"/>
        </c:scaling>
        <c:delete val="0"/>
        <c:axPos val="l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/>
                  <a:t>Exactitude (%)</a:t>
                </a:r>
              </a:p>
            </c:rich>
          </c:tx>
          <c:layout>
            <c:manualLayout>
              <c:xMode val="edge"/>
              <c:yMode val="edge"/>
              <c:x val="0"/>
              <c:y val="0.3265559953571967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-15429434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249218583788484"/>
          <c:y val="0.74578482160133208"/>
          <c:w val="0.61770833333333341"/>
          <c:h val="0.124579124579124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theme="4" tint="0.59999389629810485"/>
  </sheetPr>
  <sheetViews>
    <sheetView zoomScale="55" workbookViewId="0"/>
  </sheetViews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15</xdr:row>
      <xdr:rowOff>57727</xdr:rowOff>
    </xdr:from>
    <xdr:to>
      <xdr:col>12</xdr:col>
      <xdr:colOff>300181</xdr:colOff>
      <xdr:row>30</xdr:row>
      <xdr:rowOff>136237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46183</xdr:colOff>
      <xdr:row>15</xdr:row>
      <xdr:rowOff>71647</xdr:rowOff>
    </xdr:from>
    <xdr:to>
      <xdr:col>6</xdr:col>
      <xdr:colOff>681182</xdr:colOff>
      <xdr:row>30</xdr:row>
      <xdr:rowOff>150092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357909</xdr:colOff>
      <xdr:row>15</xdr:row>
      <xdr:rowOff>57728</xdr:rowOff>
    </xdr:from>
    <xdr:to>
      <xdr:col>17</xdr:col>
      <xdr:colOff>646547</xdr:colOff>
      <xdr:row>30</xdr:row>
      <xdr:rowOff>127001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9525</xdr:rowOff>
    </xdr:from>
    <xdr:to>
      <xdr:col>7</xdr:col>
      <xdr:colOff>0</xdr:colOff>
      <xdr:row>25</xdr:row>
      <xdr:rowOff>47625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260725"/>
          <a:ext cx="740092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Les données qui servent à construire le graphique du profil sont en bleu. </a:t>
          </a:r>
        </a:p>
        <a:p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Il convient de modifier le graphique en fonction du nombre de niveaux en sélectionnant la zone correcte de données par la commande &lt;Données du graphique…&gt;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155545" cy="564572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P624"/>
  <sheetViews>
    <sheetView showGridLines="0" tabSelected="1" zoomScale="70" zoomScaleNormal="70" workbookViewId="0">
      <selection activeCell="E54" sqref="E54"/>
    </sheetView>
  </sheetViews>
  <sheetFormatPr baseColWidth="10" defaultColWidth="10.85546875" defaultRowHeight="15" x14ac:dyDescent="0.25"/>
  <cols>
    <col min="1" max="1" width="5.5703125" style="38" customWidth="1"/>
    <col min="2" max="2" width="10.85546875" style="38"/>
    <col min="3" max="3" width="15.5703125" style="38" customWidth="1"/>
    <col min="4" max="4" width="10.85546875" style="38"/>
    <col min="5" max="5" width="13.85546875" style="38" customWidth="1"/>
    <col min="6" max="6" width="11.5703125" style="38" bestFit="1" customWidth="1"/>
    <col min="7" max="8" width="10.85546875" style="38"/>
    <col min="9" max="11" width="11" style="38" bestFit="1" customWidth="1"/>
    <col min="12" max="12" width="12.42578125" style="38" bestFit="1" customWidth="1"/>
    <col min="13" max="13" width="10.85546875" style="38"/>
    <col min="14" max="14" width="10" style="38" customWidth="1"/>
    <col min="15" max="15" width="9.42578125" style="38" customWidth="1"/>
    <col min="16" max="16" width="11.42578125" style="38" customWidth="1"/>
    <col min="17" max="16384" width="10.85546875" style="38"/>
  </cols>
  <sheetData>
    <row r="1" spans="2:42" ht="15.75" thickBot="1" x14ac:dyDescent="0.3"/>
    <row r="2" spans="2:42" x14ac:dyDescent="0.25">
      <c r="B2" s="39"/>
      <c r="C2" s="138" t="s">
        <v>79</v>
      </c>
      <c r="D2" s="138"/>
      <c r="E2" s="138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1"/>
    </row>
    <row r="3" spans="2:42" x14ac:dyDescent="0.25">
      <c r="B3" s="42"/>
      <c r="C3" s="106" t="s">
        <v>69</v>
      </c>
      <c r="D3" s="107" t="s">
        <v>61</v>
      </c>
      <c r="E3" s="107"/>
      <c r="F3" s="43"/>
      <c r="G3" s="43"/>
      <c r="H3" s="130"/>
      <c r="I3" s="139" t="s">
        <v>102</v>
      </c>
      <c r="J3" s="140"/>
      <c r="K3" s="140"/>
      <c r="L3" s="141"/>
      <c r="M3" s="43"/>
      <c r="N3" s="43"/>
      <c r="O3" s="51"/>
      <c r="P3" s="51"/>
      <c r="Q3" s="51"/>
      <c r="R3" s="52"/>
      <c r="S3" s="50"/>
      <c r="T3" s="50"/>
    </row>
    <row r="4" spans="2:42" x14ac:dyDescent="0.25">
      <c r="B4" s="42"/>
      <c r="C4" s="110" t="s">
        <v>60</v>
      </c>
      <c r="D4" s="107" t="s">
        <v>92</v>
      </c>
      <c r="E4" s="107"/>
      <c r="F4" s="43"/>
      <c r="G4" s="43"/>
      <c r="H4" s="88" t="s">
        <v>103</v>
      </c>
      <c r="I4" s="46" t="s">
        <v>73</v>
      </c>
      <c r="J4" s="46" t="s">
        <v>74</v>
      </c>
      <c r="K4" s="46" t="s">
        <v>75</v>
      </c>
      <c r="L4" s="46" t="s">
        <v>81</v>
      </c>
      <c r="M4" s="131" t="s">
        <v>100</v>
      </c>
      <c r="N4" s="43"/>
      <c r="O4" s="51"/>
      <c r="P4" s="112" t="s">
        <v>16</v>
      </c>
      <c r="Q4" s="113">
        <v>98</v>
      </c>
      <c r="R4" s="47">
        <f>+Q4</f>
        <v>98</v>
      </c>
      <c r="S4" s="48">
        <v>0</v>
      </c>
      <c r="T4" s="49">
        <f>X40</f>
        <v>0.71565916755616998</v>
      </c>
    </row>
    <row r="5" spans="2:42" x14ac:dyDescent="0.25">
      <c r="B5" s="42"/>
      <c r="C5" s="124" t="s">
        <v>93</v>
      </c>
      <c r="D5" s="57" t="s">
        <v>13</v>
      </c>
      <c r="E5" s="57"/>
      <c r="F5" s="43"/>
      <c r="G5" s="43"/>
      <c r="H5" s="147" t="s">
        <v>76</v>
      </c>
      <c r="I5" s="91">
        <v>100.88988908287412</v>
      </c>
      <c r="J5" s="59">
        <v>100.15521457807462</v>
      </c>
      <c r="K5" s="95">
        <v>99.825843679889175</v>
      </c>
      <c r="L5" s="99">
        <v>100.20353990798824</v>
      </c>
      <c r="M5" s="144">
        <f>SUM(I5:L6)</f>
        <v>801.42346684666188</v>
      </c>
      <c r="N5" s="45"/>
      <c r="O5" s="51"/>
      <c r="P5" s="112" t="s">
        <v>15</v>
      </c>
      <c r="Q5" s="113">
        <v>102</v>
      </c>
      <c r="R5" s="47">
        <f>+Q5</f>
        <v>102</v>
      </c>
      <c r="S5" s="48">
        <v>0</v>
      </c>
      <c r="T5" s="49">
        <f>T4</f>
        <v>0.71565916755616998</v>
      </c>
      <c r="U5" s="50"/>
      <c r="V5" s="50"/>
      <c r="W5" s="50"/>
      <c r="X5" s="50"/>
    </row>
    <row r="6" spans="2:42" x14ac:dyDescent="0.25">
      <c r="B6" s="42"/>
      <c r="C6" s="43"/>
      <c r="D6" s="85" t="s">
        <v>70</v>
      </c>
      <c r="E6" s="85"/>
      <c r="F6" s="43"/>
      <c r="G6" s="43"/>
      <c r="H6" s="147"/>
      <c r="I6" s="91">
        <v>100.3821981363968</v>
      </c>
      <c r="J6" s="59">
        <v>100.75704991280364</v>
      </c>
      <c r="K6" s="95">
        <v>99.062254944117001</v>
      </c>
      <c r="L6" s="99">
        <v>100.14747660451835</v>
      </c>
      <c r="M6" s="145"/>
      <c r="N6" s="45"/>
      <c r="O6" s="51"/>
      <c r="P6" s="51"/>
      <c r="Q6" s="51"/>
      <c r="R6" s="52"/>
      <c r="S6" s="48"/>
      <c r="T6" s="48"/>
      <c r="U6" s="50"/>
      <c r="V6" s="50"/>
      <c r="W6" s="50"/>
      <c r="X6" s="50"/>
    </row>
    <row r="7" spans="2:42" x14ac:dyDescent="0.25">
      <c r="B7" s="42"/>
      <c r="C7" s="43"/>
      <c r="D7" s="86" t="s">
        <v>71</v>
      </c>
      <c r="E7" s="86"/>
      <c r="F7" s="43"/>
      <c r="G7" s="43"/>
      <c r="H7" s="147" t="s">
        <v>77</v>
      </c>
      <c r="I7" s="100">
        <v>100.40440448172336</v>
      </c>
      <c r="J7" s="96">
        <v>100.3191751066927</v>
      </c>
      <c r="K7" s="58">
        <v>101.04923225278856</v>
      </c>
      <c r="L7" s="93">
        <v>100.7476401095567</v>
      </c>
      <c r="M7" s="144">
        <f t="shared" ref="M7" si="0">SUM(I7:L8)</f>
        <v>804.79057822863956</v>
      </c>
      <c r="N7" s="45"/>
      <c r="O7" s="51"/>
      <c r="P7" s="112" t="s">
        <v>17</v>
      </c>
      <c r="Q7" s="63">
        <f>AVERAGE(I5:L12)</f>
        <v>100.0914469676718</v>
      </c>
      <c r="R7" s="52"/>
      <c r="S7" s="50"/>
      <c r="T7" s="50"/>
      <c r="U7" s="50"/>
      <c r="V7" s="53"/>
      <c r="W7" s="146"/>
      <c r="X7" s="146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</row>
    <row r="8" spans="2:42" x14ac:dyDescent="0.25">
      <c r="B8" s="42"/>
      <c r="C8" s="43"/>
      <c r="D8" s="87" t="s">
        <v>72</v>
      </c>
      <c r="E8" s="87"/>
      <c r="F8" s="43"/>
      <c r="G8" s="43"/>
      <c r="H8" s="147"/>
      <c r="I8" s="100">
        <v>100.96028413326057</v>
      </c>
      <c r="J8" s="96">
        <v>100.48332777907083</v>
      </c>
      <c r="K8" s="58">
        <v>100.32299491674316</v>
      </c>
      <c r="L8" s="93">
        <v>100.50351944880366</v>
      </c>
      <c r="M8" s="145"/>
      <c r="N8" s="45"/>
      <c r="O8" s="51"/>
      <c r="P8" s="112" t="s">
        <v>66</v>
      </c>
      <c r="Q8" s="63">
        <f>I35</f>
        <v>0.31074750743056179</v>
      </c>
      <c r="R8" s="52"/>
      <c r="S8" s="50"/>
      <c r="T8" s="50"/>
      <c r="U8" s="50"/>
      <c r="V8" s="54"/>
      <c r="W8" s="55"/>
      <c r="X8" s="55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</row>
    <row r="9" spans="2:42" x14ac:dyDescent="0.25">
      <c r="B9" s="42"/>
      <c r="C9" s="104"/>
      <c r="D9" s="105" t="s">
        <v>82</v>
      </c>
      <c r="E9" s="105"/>
      <c r="F9" s="43"/>
      <c r="G9" s="43"/>
      <c r="H9" s="147" t="s">
        <v>78</v>
      </c>
      <c r="I9" s="97">
        <v>99.346741051605903</v>
      </c>
      <c r="J9" s="101">
        <v>99.624132599442817</v>
      </c>
      <c r="K9" s="92">
        <v>100.68022067638812</v>
      </c>
      <c r="L9" s="89">
        <v>100.30694368104402</v>
      </c>
      <c r="M9" s="144">
        <f t="shared" ref="M9" si="1">SUM(I9:L10)</f>
        <v>799.20615214808151</v>
      </c>
      <c r="N9" s="45"/>
      <c r="O9" s="51"/>
      <c r="P9" s="111" t="s">
        <v>67</v>
      </c>
      <c r="Q9" s="63">
        <f>SQRT(Q8)</f>
        <v>0.55744731359166289</v>
      </c>
      <c r="R9" s="52"/>
      <c r="S9" s="50"/>
      <c r="T9" s="50"/>
      <c r="U9" s="50"/>
      <c r="V9" s="55"/>
      <c r="W9" s="55"/>
      <c r="X9" s="55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</row>
    <row r="10" spans="2:42" x14ac:dyDescent="0.25">
      <c r="B10" s="42"/>
      <c r="C10" s="124" t="s">
        <v>94</v>
      </c>
      <c r="D10" s="125" t="s">
        <v>95</v>
      </c>
      <c r="E10" s="57"/>
      <c r="F10" s="43"/>
      <c r="G10" s="43"/>
      <c r="H10" s="147"/>
      <c r="I10" s="97">
        <v>99.382118178312084</v>
      </c>
      <c r="J10" s="101">
        <v>99.484905989782646</v>
      </c>
      <c r="K10" s="92">
        <v>100.55716725354479</v>
      </c>
      <c r="L10" s="89">
        <v>99.823922717961167</v>
      </c>
      <c r="M10" s="145"/>
      <c r="N10" s="45"/>
      <c r="O10" s="51"/>
      <c r="P10" s="111" t="s">
        <v>18</v>
      </c>
      <c r="Q10" s="63">
        <f>MIN(I5:L12)</f>
        <v>99.006632588365378</v>
      </c>
      <c r="R10" s="52"/>
      <c r="S10" s="50"/>
      <c r="T10" s="50"/>
      <c r="U10" s="50"/>
      <c r="V10" s="60">
        <v>-3</v>
      </c>
      <c r="W10" s="61">
        <f t="shared" ref="W10:W41" si="2">Q$7+V10*SQRT(Q$8)</f>
        <v>98.419105026896816</v>
      </c>
      <c r="X10" s="62">
        <f t="shared" ref="X10:X41" si="3">NORMDIST(W10,Q$7,SQRT(Q$8),0)</f>
        <v>7.9502552149430476E-3</v>
      </c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</row>
    <row r="11" spans="2:42" x14ac:dyDescent="0.25">
      <c r="B11" s="42"/>
      <c r="C11" s="43"/>
      <c r="D11" s="126" t="s">
        <v>99</v>
      </c>
      <c r="E11" s="103"/>
      <c r="F11" s="43"/>
      <c r="G11" s="43"/>
      <c r="H11" s="147" t="s">
        <v>80</v>
      </c>
      <c r="I11" s="90">
        <v>99.420241572658682</v>
      </c>
      <c r="J11" s="94">
        <v>100.16106301212652</v>
      </c>
      <c r="K11" s="102">
        <v>99.554137948473553</v>
      </c>
      <c r="L11" s="98">
        <v>99.006632588365378</v>
      </c>
      <c r="M11" s="144">
        <f t="shared" ref="M11" si="4">SUM(I11:L12)</f>
        <v>797.50610574211555</v>
      </c>
      <c r="N11" s="45"/>
      <c r="O11" s="51"/>
      <c r="P11" s="111" t="s">
        <v>19</v>
      </c>
      <c r="Q11" s="63">
        <f>MAX(I5:L12)</f>
        <v>101.04923225278856</v>
      </c>
      <c r="R11" s="52"/>
      <c r="S11" s="50"/>
      <c r="T11" s="50"/>
      <c r="U11" s="50"/>
      <c r="V11" s="60">
        <v>-2.9</v>
      </c>
      <c r="W11" s="61">
        <f t="shared" si="2"/>
        <v>98.474849758255971</v>
      </c>
      <c r="X11" s="62">
        <f t="shared" si="3"/>
        <v>1.067819733747241E-2</v>
      </c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</row>
    <row r="12" spans="2:42" x14ac:dyDescent="0.25">
      <c r="B12" s="42"/>
      <c r="C12" s="43"/>
      <c r="D12" s="127" t="s">
        <v>96</v>
      </c>
      <c r="E12" s="103"/>
      <c r="F12" s="43"/>
      <c r="G12" s="43"/>
      <c r="H12" s="147"/>
      <c r="I12" s="90">
        <v>99.789970166534644</v>
      </c>
      <c r="J12" s="94">
        <v>100.19625150476135</v>
      </c>
      <c r="K12" s="102">
        <v>99.597992595465016</v>
      </c>
      <c r="L12" s="98">
        <v>99.779816353730268</v>
      </c>
      <c r="M12" s="145"/>
      <c r="N12" s="45"/>
      <c r="O12" s="51"/>
      <c r="P12" s="111" t="s">
        <v>20</v>
      </c>
      <c r="Q12" s="63">
        <f>MIN((Q5-Q7)/(3*SQRT(Q8)),(Q7-Q4)/(3*SQRT(Q8)))</f>
        <v>1.1412456901270727</v>
      </c>
      <c r="R12" s="52"/>
      <c r="S12" s="50"/>
      <c r="T12" s="50"/>
      <c r="U12" s="50"/>
      <c r="V12" s="60">
        <v>-2.8</v>
      </c>
      <c r="W12" s="61">
        <f t="shared" si="2"/>
        <v>98.53059448961514</v>
      </c>
      <c r="X12" s="62">
        <f t="shared" si="3"/>
        <v>1.4199461348158882E-2</v>
      </c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</row>
    <row r="13" spans="2:42" x14ac:dyDescent="0.25">
      <c r="B13" s="42"/>
      <c r="C13" s="43"/>
      <c r="D13" s="128" t="s">
        <v>97</v>
      </c>
      <c r="E13" s="103"/>
      <c r="F13" s="43"/>
      <c r="G13" s="43"/>
      <c r="H13" s="131" t="s">
        <v>101</v>
      </c>
      <c r="I13" s="63">
        <f>SUM(I5:I12)</f>
        <v>800.57584680336629</v>
      </c>
      <c r="J13" s="63">
        <f t="shared" ref="J13:M13" si="5">SUM(J5:J12)</f>
        <v>801.18112048275509</v>
      </c>
      <c r="K13" s="63">
        <f t="shared" si="5"/>
        <v>800.64984426740932</v>
      </c>
      <c r="L13" s="63">
        <f t="shared" si="5"/>
        <v>800.51949141196769</v>
      </c>
      <c r="M13" s="63">
        <f t="shared" si="5"/>
        <v>3202.9263029654985</v>
      </c>
      <c r="N13" s="45">
        <f>SUM(I10:L10)</f>
        <v>399.24811413960072</v>
      </c>
      <c r="O13" s="51"/>
      <c r="P13" s="43"/>
      <c r="Q13" s="43"/>
      <c r="R13" s="44"/>
      <c r="U13" s="50"/>
      <c r="V13" s="60">
        <v>-2.7</v>
      </c>
      <c r="W13" s="61">
        <f t="shared" si="2"/>
        <v>98.58633922097431</v>
      </c>
      <c r="X13" s="62">
        <f t="shared" si="3"/>
        <v>1.8694026431448626E-2</v>
      </c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</row>
    <row r="14" spans="2:42" x14ac:dyDescent="0.25">
      <c r="B14" s="42"/>
      <c r="C14" s="43"/>
      <c r="D14" s="129" t="s">
        <v>98</v>
      </c>
      <c r="E14" s="103"/>
      <c r="F14" s="43"/>
      <c r="G14" s="43"/>
      <c r="H14" s="43"/>
      <c r="I14" s="43"/>
      <c r="J14" s="43"/>
      <c r="K14" s="43"/>
      <c r="L14" s="43"/>
      <c r="M14" s="43"/>
      <c r="N14" s="45">
        <f>SUM(I11:L11)</f>
        <v>398.14207512162415</v>
      </c>
      <c r="O14" s="51"/>
      <c r="P14" s="51"/>
      <c r="Q14" s="51"/>
      <c r="R14" s="52"/>
      <c r="S14" s="50"/>
      <c r="T14" s="50"/>
      <c r="U14" s="50"/>
      <c r="V14" s="60">
        <v>-2.6</v>
      </c>
      <c r="W14" s="61">
        <f t="shared" si="2"/>
        <v>98.642083952333479</v>
      </c>
      <c r="X14" s="62">
        <f t="shared" si="3"/>
        <v>2.4366373112770047E-2</v>
      </c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</row>
    <row r="15" spans="2:42" x14ac:dyDescent="0.25">
      <c r="B15" s="64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6"/>
      <c r="O15" s="65"/>
      <c r="P15" s="65"/>
      <c r="Q15" s="65"/>
      <c r="R15" s="67"/>
      <c r="T15" s="50"/>
      <c r="U15" s="50"/>
      <c r="V15" s="60">
        <v>-2.5</v>
      </c>
      <c r="W15" s="61">
        <f t="shared" si="2"/>
        <v>98.697828683692649</v>
      </c>
      <c r="X15" s="62">
        <f t="shared" si="3"/>
        <v>3.1443869341899279E-2</v>
      </c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</row>
    <row r="16" spans="2:42" x14ac:dyDescent="0.25">
      <c r="B16" s="42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4"/>
      <c r="T16" s="50"/>
      <c r="U16" s="50"/>
      <c r="V16" s="60">
        <v>-2.4</v>
      </c>
      <c r="W16" s="61">
        <f t="shared" si="2"/>
        <v>98.753573415051804</v>
      </c>
      <c r="X16" s="62">
        <f t="shared" si="3"/>
        <v>4.0173357640838278E-2</v>
      </c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</row>
    <row r="17" spans="2:42" x14ac:dyDescent="0.25"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4"/>
      <c r="U17" s="50"/>
      <c r="V17" s="60">
        <v>-2.2999999999999998</v>
      </c>
      <c r="W17" s="61">
        <f t="shared" si="2"/>
        <v>98.809318146410973</v>
      </c>
      <c r="X17" s="62">
        <f t="shared" si="3"/>
        <v>5.0815632349339598E-2</v>
      </c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</row>
    <row r="18" spans="2:42" x14ac:dyDescent="0.25">
      <c r="B18" s="42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  <c r="U18" s="50"/>
      <c r="V18" s="60">
        <v>-2.2000000000000002</v>
      </c>
      <c r="W18" s="61">
        <f t="shared" si="2"/>
        <v>98.865062877770143</v>
      </c>
      <c r="X18" s="62">
        <f t="shared" si="3"/>
        <v>6.3637570728732898E-2</v>
      </c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</row>
    <row r="19" spans="2:42" x14ac:dyDescent="0.25">
      <c r="B19" s="42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4"/>
      <c r="U19" s="50"/>
      <c r="V19" s="60">
        <v>-2.1</v>
      </c>
      <c r="W19" s="61">
        <f t="shared" si="2"/>
        <v>98.920807609129312</v>
      </c>
      <c r="X19" s="62">
        <f t="shared" si="3"/>
        <v>7.8901799162039682E-2</v>
      </c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</row>
    <row r="20" spans="2:42" x14ac:dyDescent="0.25">
      <c r="B20" s="4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4"/>
      <c r="U20" s="50"/>
      <c r="V20" s="60">
        <v>-2</v>
      </c>
      <c r="W20" s="61">
        <f t="shared" si="2"/>
        <v>98.976552340488468</v>
      </c>
      <c r="X20" s="62">
        <f t="shared" si="3"/>
        <v>9.685393614209041E-2</v>
      </c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</row>
    <row r="21" spans="2:42" x14ac:dyDescent="0.25">
      <c r="B21" s="42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4"/>
      <c r="U21" s="50"/>
      <c r="V21" s="60">
        <v>-1.9</v>
      </c>
      <c r="W21" s="61">
        <f t="shared" si="2"/>
        <v>99.032297071847637</v>
      </c>
      <c r="X21" s="62">
        <f t="shared" si="3"/>
        <v>0.11770765267825867</v>
      </c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</row>
    <row r="22" spans="2:42" x14ac:dyDescent="0.25">
      <c r="B22" s="42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4"/>
      <c r="U22" s="50"/>
      <c r="V22" s="60">
        <v>-1.8</v>
      </c>
      <c r="W22" s="61">
        <f t="shared" si="2"/>
        <v>99.088041803206806</v>
      </c>
      <c r="X22" s="62">
        <f t="shared" si="3"/>
        <v>0.14162801824662855</v>
      </c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</row>
    <row r="23" spans="2:42" x14ac:dyDescent="0.25">
      <c r="B23" s="42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4"/>
      <c r="U23" s="50"/>
      <c r="V23" s="60">
        <v>-1.7</v>
      </c>
      <c r="W23" s="61">
        <f t="shared" si="2"/>
        <v>99.143786534565976</v>
      </c>
      <c r="X23" s="62">
        <f t="shared" si="3"/>
        <v>0.16871384090260388</v>
      </c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</row>
    <row r="24" spans="2:42" x14ac:dyDescent="0.25">
      <c r="B24" s="4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4"/>
      <c r="U24" s="50"/>
      <c r="V24" s="60">
        <v>-1.6</v>
      </c>
      <c r="W24" s="61">
        <f t="shared" si="2"/>
        <v>99.199531265925145</v>
      </c>
      <c r="X24" s="62">
        <f t="shared" si="3"/>
        <v>0.19897994299190111</v>
      </c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</row>
    <row r="25" spans="2:42" x14ac:dyDescent="0.25">
      <c r="B25" s="4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4"/>
      <c r="U25" s="50"/>
      <c r="V25" s="60">
        <v>-1.5</v>
      </c>
      <c r="W25" s="61">
        <f t="shared" si="2"/>
        <v>99.255275997284301</v>
      </c>
      <c r="X25" s="62">
        <f t="shared" si="3"/>
        <v>0.23234051453473015</v>
      </c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</row>
    <row r="26" spans="2:42" x14ac:dyDescent="0.25">
      <c r="B26" s="4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51"/>
      <c r="R26" s="52"/>
      <c r="T26" s="50"/>
      <c r="U26" s="50"/>
      <c r="V26" s="60">
        <v>-1.4</v>
      </c>
      <c r="W26" s="61">
        <f t="shared" si="2"/>
        <v>99.31102072864347</v>
      </c>
      <c r="X26" s="62">
        <f t="shared" si="3"/>
        <v>0.2685948285785828</v>
      </c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</row>
    <row r="27" spans="2:42" x14ac:dyDescent="0.25">
      <c r="B27" s="42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51"/>
      <c r="R27" s="52"/>
      <c r="T27" s="50"/>
      <c r="U27" s="50"/>
      <c r="V27" s="60">
        <v>-1.3</v>
      </c>
      <c r="W27" s="61">
        <f t="shared" si="2"/>
        <v>99.36676546000264</v>
      </c>
      <c r="X27" s="62">
        <f t="shared" si="3"/>
        <v>0.30741666139472607</v>
      </c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</row>
    <row r="28" spans="2:42" x14ac:dyDescent="0.25">
      <c r="B28" s="42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51"/>
      <c r="R28" s="52"/>
      <c r="T28" s="50"/>
      <c r="U28" s="50"/>
      <c r="V28" s="60">
        <v>-1.2</v>
      </c>
      <c r="W28" s="61">
        <f t="shared" si="2"/>
        <v>99.422510191361809</v>
      </c>
      <c r="X28" s="62">
        <f t="shared" si="3"/>
        <v>0.34834871430640446</v>
      </c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</row>
    <row r="29" spans="2:42" x14ac:dyDescent="0.25">
      <c r="B29" s="42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T29" s="50"/>
      <c r="U29" s="50"/>
      <c r="V29" s="60">
        <v>-1.1000000000000001</v>
      </c>
      <c r="W29" s="61">
        <f t="shared" si="2"/>
        <v>99.478254922720964</v>
      </c>
      <c r="X29" s="62">
        <f t="shared" si="3"/>
        <v>0.39080316959268224</v>
      </c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</row>
    <row r="30" spans="2:42" x14ac:dyDescent="0.25">
      <c r="B30" s="42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4"/>
      <c r="T30" s="50"/>
      <c r="U30" s="50"/>
      <c r="V30" s="60">
        <v>-1</v>
      </c>
      <c r="W30" s="61">
        <f t="shared" si="2"/>
        <v>99.533999654080134</v>
      </c>
      <c r="X30" s="62">
        <f t="shared" si="3"/>
        <v>0.43406922702723527</v>
      </c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</row>
    <row r="31" spans="2:42" ht="15.75" thickBot="1" x14ac:dyDescent="0.3">
      <c r="B31" s="68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70"/>
      <c r="T31" s="50"/>
      <c r="U31" s="50"/>
      <c r="V31" s="60">
        <v>-0.9</v>
      </c>
      <c r="W31" s="61">
        <f t="shared" si="2"/>
        <v>99.589744385439303</v>
      </c>
      <c r="X31" s="62">
        <f t="shared" si="3"/>
        <v>0.47732806923824472</v>
      </c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</row>
    <row r="32" spans="2:42" x14ac:dyDescent="0.25">
      <c r="B32" s="42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4"/>
      <c r="T32" s="50"/>
      <c r="U32" s="50"/>
      <c r="V32" s="60">
        <v>-0.8</v>
      </c>
      <c r="W32" s="61">
        <f t="shared" si="2"/>
        <v>99.645489116798473</v>
      </c>
      <c r="X32" s="62">
        <f t="shared" si="3"/>
        <v>0.51967521539387429</v>
      </c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</row>
    <row r="33" spans="2:42" x14ac:dyDescent="0.25">
      <c r="B33" s="42"/>
      <c r="C33" s="142" t="s">
        <v>57</v>
      </c>
      <c r="D33" s="142"/>
      <c r="E33" s="142"/>
      <c r="F33" s="142"/>
      <c r="G33" s="143" t="s">
        <v>58</v>
      </c>
      <c r="H33" s="143"/>
      <c r="I33" s="143"/>
      <c r="J33" s="143"/>
      <c r="K33" s="143"/>
      <c r="L33" s="143"/>
      <c r="M33" s="143"/>
      <c r="N33" s="143"/>
      <c r="O33" s="51"/>
      <c r="P33" s="43" t="s">
        <v>84</v>
      </c>
      <c r="Q33" s="43"/>
      <c r="R33" s="52"/>
      <c r="S33" s="50"/>
      <c r="T33" s="50"/>
      <c r="U33" s="50"/>
      <c r="V33" s="60">
        <v>-0.7</v>
      </c>
      <c r="W33" s="61">
        <f t="shared" si="2"/>
        <v>99.701233848157642</v>
      </c>
      <c r="X33" s="62">
        <f t="shared" si="3"/>
        <v>0.56014967828061613</v>
      </c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</row>
    <row r="34" spans="2:42" x14ac:dyDescent="0.25">
      <c r="B34" s="42"/>
      <c r="C34" s="71" t="s">
        <v>0</v>
      </c>
      <c r="D34" s="71" t="s">
        <v>1</v>
      </c>
      <c r="E34" s="71" t="s">
        <v>9</v>
      </c>
      <c r="F34" s="71" t="s">
        <v>10</v>
      </c>
      <c r="G34" s="71" t="s">
        <v>2</v>
      </c>
      <c r="H34" s="71" t="s">
        <v>3</v>
      </c>
      <c r="I34" s="71" t="s">
        <v>4</v>
      </c>
      <c r="J34" s="71" t="s">
        <v>5</v>
      </c>
      <c r="K34" s="71" t="s">
        <v>6</v>
      </c>
      <c r="L34" s="72" t="s">
        <v>11</v>
      </c>
      <c r="M34" s="120" t="s">
        <v>90</v>
      </c>
      <c r="N34" s="71" t="s">
        <v>91</v>
      </c>
      <c r="O34" s="51"/>
      <c r="P34" s="137" t="s">
        <v>85</v>
      </c>
      <c r="Q34" s="137"/>
      <c r="R34" s="52"/>
      <c r="S34" s="50"/>
      <c r="T34" s="50"/>
      <c r="V34" s="60">
        <v>-0.6</v>
      </c>
      <c r="W34" s="61">
        <f t="shared" si="2"/>
        <v>99.756978579516797</v>
      </c>
      <c r="X34" s="62">
        <f t="shared" si="3"/>
        <v>0.59776878418305401</v>
      </c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</row>
    <row r="35" spans="2:42" x14ac:dyDescent="0.25">
      <c r="B35" s="42"/>
      <c r="C35" s="73" t="s">
        <v>12</v>
      </c>
      <c r="D35" s="73">
        <f>COUNT(I5:L12)</f>
        <v>32</v>
      </c>
      <c r="E35" s="74">
        <f>SUM(I5:L12)^2</f>
        <v>10258736.902228231</v>
      </c>
      <c r="F35" s="74">
        <f>E35/D35</f>
        <v>320585.52819463221</v>
      </c>
      <c r="G35" s="121">
        <f>DEVSQ(I5:L12)</f>
        <v>9.6331727303474146</v>
      </c>
      <c r="H35" s="73">
        <f>D35-1</f>
        <v>31</v>
      </c>
      <c r="I35" s="74">
        <f>G35/H35</f>
        <v>0.31074750743056179</v>
      </c>
      <c r="J35" s="114" t="s">
        <v>7</v>
      </c>
      <c r="K35" s="114" t="s">
        <v>7</v>
      </c>
      <c r="L35" s="134">
        <f>SUM(L37:L40)</f>
        <v>0.67214012794220179</v>
      </c>
      <c r="M35" s="114" t="s">
        <v>7</v>
      </c>
      <c r="N35" s="114" t="s">
        <v>7</v>
      </c>
      <c r="O35" s="43"/>
      <c r="P35" s="88" t="s">
        <v>86</v>
      </c>
      <c r="Q35" s="116">
        <f>MAX(I49:L56)/SUM(I49:L56)</f>
        <v>0.19063579113821652</v>
      </c>
      <c r="R35" s="47">
        <v>16</v>
      </c>
      <c r="S35" s="50"/>
      <c r="T35" s="50"/>
      <c r="V35" s="60">
        <v>-0.5</v>
      </c>
      <c r="W35" s="61">
        <f t="shared" si="2"/>
        <v>99.812723310875967</v>
      </c>
      <c r="X35" s="62">
        <f t="shared" si="3"/>
        <v>0.6315669986745891</v>
      </c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</row>
    <row r="36" spans="2:42" x14ac:dyDescent="0.25">
      <c r="B36" s="42"/>
      <c r="C36" s="73" t="s">
        <v>14</v>
      </c>
      <c r="D36" s="114" t="s">
        <v>7</v>
      </c>
      <c r="E36" s="135" t="s">
        <v>7</v>
      </c>
      <c r="F36" s="136" t="s">
        <v>7</v>
      </c>
      <c r="G36" s="122">
        <f>SUM(G38:G41)</f>
        <v>7.0618248587124981</v>
      </c>
      <c r="H36" s="75">
        <f>SUM(H38:H41)</f>
        <v>12</v>
      </c>
      <c r="I36" s="74">
        <f>G36/H36</f>
        <v>0.58848540489270817</v>
      </c>
      <c r="J36" s="74">
        <f>I36/I37</f>
        <v>4.3483897361006232</v>
      </c>
      <c r="K36" s="74">
        <f>FINV(0.05,H36,H37)</f>
        <v>2.3079544239310263</v>
      </c>
      <c r="L36" s="134">
        <f>G36/G35</f>
        <v>0.73307362552169431</v>
      </c>
      <c r="M36" s="114" t="s">
        <v>7</v>
      </c>
      <c r="N36" s="114" t="s">
        <v>7</v>
      </c>
      <c r="O36" s="43"/>
      <c r="P36" s="88" t="s">
        <v>87</v>
      </c>
      <c r="Q36" s="116">
        <f>1/((1+(R35-1)/FINV(0.01/R35,R36-1,(R35)*(R36-1))))</f>
        <v>0.54506394348468179</v>
      </c>
      <c r="R36" s="47">
        <v>2</v>
      </c>
      <c r="S36" s="50"/>
      <c r="T36" s="50"/>
      <c r="V36" s="60">
        <v>-0.4</v>
      </c>
      <c r="W36" s="61">
        <f t="shared" si="2"/>
        <v>99.868468042235136</v>
      </c>
      <c r="X36" s="62">
        <f t="shared" si="3"/>
        <v>0.66063667601255349</v>
      </c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</row>
    <row r="37" spans="2:42" x14ac:dyDescent="0.25">
      <c r="B37" s="42"/>
      <c r="C37" s="73" t="s">
        <v>8</v>
      </c>
      <c r="D37" s="114" t="s">
        <v>7</v>
      </c>
      <c r="E37" s="136" t="s">
        <v>7</v>
      </c>
      <c r="F37" s="136" t="s">
        <v>7</v>
      </c>
      <c r="G37" s="122">
        <f>G35-G36</f>
        <v>2.5713478716349165</v>
      </c>
      <c r="H37" s="75">
        <f>H35-H36</f>
        <v>19</v>
      </c>
      <c r="I37" s="74">
        <f>G37/H37</f>
        <v>0.13533409850710088</v>
      </c>
      <c r="J37" s="136" t="s">
        <v>7</v>
      </c>
      <c r="K37" s="114" t="s">
        <v>7</v>
      </c>
      <c r="L37" s="134">
        <f>G37/G35</f>
        <v>0.26692637447830569</v>
      </c>
      <c r="M37" s="114" t="s">
        <v>7</v>
      </c>
      <c r="N37" s="114" t="s">
        <v>7</v>
      </c>
      <c r="O37" s="43"/>
      <c r="P37" s="43" t="s">
        <v>88</v>
      </c>
      <c r="Q37" s="43"/>
      <c r="R37" s="52"/>
      <c r="T37" s="50"/>
      <c r="V37" s="60">
        <v>-0.3</v>
      </c>
      <c r="W37" s="61">
        <f t="shared" si="2"/>
        <v>99.924212773594306</v>
      </c>
      <c r="X37" s="62">
        <f t="shared" si="3"/>
        <v>0.68416836203447273</v>
      </c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</row>
    <row r="38" spans="2:42" x14ac:dyDescent="0.25">
      <c r="B38" s="42"/>
      <c r="C38" s="76" t="str">
        <f>D3</f>
        <v>opérateur</v>
      </c>
      <c r="D38" s="76">
        <v>4</v>
      </c>
      <c r="E38" s="77">
        <f>SUM(I5:I12)^2+SUM(J5:J12)^2+SUM(K5:K12)^2+SUM(L5:L12)^2</f>
        <v>2564684.5035588318</v>
      </c>
      <c r="F38" s="78">
        <f>E38*D38/$D$35</f>
        <v>320585.56294485397</v>
      </c>
      <c r="G38" s="123">
        <f>F38-$F$35</f>
        <v>3.4750221762806177E-2</v>
      </c>
      <c r="H38" s="76">
        <f>D38-1</f>
        <v>3</v>
      </c>
      <c r="I38" s="78">
        <f>G38/H38</f>
        <v>1.1583407254268726E-2</v>
      </c>
      <c r="J38" s="78">
        <f>I38/I$37</f>
        <v>8.5591195286684935E-2</v>
      </c>
      <c r="K38" s="78">
        <f>FINV(0.05,H38,H$37)</f>
        <v>3.1273500051133998</v>
      </c>
      <c r="L38" s="79">
        <f>G38/$G$35</f>
        <v>3.6073495966009667E-3</v>
      </c>
      <c r="M38" s="79">
        <f>1-FDIST(K38/J38,H38,H$37)</f>
        <v>0.99999995668743613</v>
      </c>
      <c r="N38" s="79">
        <f>1-M38</f>
        <v>4.3312563868802556E-8</v>
      </c>
      <c r="O38" s="117">
        <f>K38*I37/G35</f>
        <v>4.3935378873138455E-2</v>
      </c>
      <c r="P38" s="43"/>
      <c r="Q38" s="43"/>
      <c r="R38" s="52"/>
      <c r="S38" s="50"/>
      <c r="T38" s="50"/>
      <c r="V38" s="60">
        <v>-0.2</v>
      </c>
      <c r="W38" s="61">
        <f t="shared" si="2"/>
        <v>99.979957504953461</v>
      </c>
      <c r="X38" s="62">
        <f t="shared" si="3"/>
        <v>0.7014881665783731</v>
      </c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</row>
    <row r="39" spans="2:42" x14ac:dyDescent="0.25">
      <c r="B39" s="42"/>
      <c r="C39" s="76" t="str">
        <f>D4</f>
        <v>cuve A,B,C,D</v>
      </c>
      <c r="D39" s="76">
        <v>4</v>
      </c>
      <c r="E39" s="77">
        <f>SUM(I5:L6)^2+SUM(I7:L8)^2+SUM(I9:L10)^2+SUM(I11:L12)^2</f>
        <v>2564713.9103454072</v>
      </c>
      <c r="F39" s="78">
        <f>E39*D39/D35</f>
        <v>320589.2387931759</v>
      </c>
      <c r="G39" s="123">
        <f>F39-$F$35</f>
        <v>3.7105985436937772</v>
      </c>
      <c r="H39" s="76">
        <f t="shared" ref="H39:H40" si="6">D39-1</f>
        <v>3</v>
      </c>
      <c r="I39" s="78">
        <f>G39/H39</f>
        <v>1.2368661812312591</v>
      </c>
      <c r="J39" s="78">
        <f>I39/I$37</f>
        <v>9.1393536061893652</v>
      </c>
      <c r="K39" s="78">
        <f>FINV(0.05,H39,H$37)</f>
        <v>3.1273500051133998</v>
      </c>
      <c r="L39" s="79">
        <f>G39/$G$35</f>
        <v>0.38518966155400358</v>
      </c>
      <c r="M39" s="79">
        <f>1-FDIST(K39/J39,H39,H$37)</f>
        <v>0.20489765671400606</v>
      </c>
      <c r="N39" s="79">
        <f>1-M39</f>
        <v>0.79510234328599394</v>
      </c>
      <c r="O39" s="118">
        <f>+O38</f>
        <v>4.3935378873138455E-2</v>
      </c>
      <c r="P39" s="43"/>
      <c r="Q39" s="43"/>
      <c r="R39" s="52"/>
      <c r="S39" s="50"/>
      <c r="T39" s="50"/>
      <c r="V39" s="60">
        <v>-0.1</v>
      </c>
      <c r="W39" s="61">
        <f t="shared" si="2"/>
        <v>100.03570223631263</v>
      </c>
      <c r="X39" s="62">
        <f t="shared" si="3"/>
        <v>0.71208980256703547</v>
      </c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</row>
    <row r="40" spans="2:42" x14ac:dyDescent="0.25">
      <c r="B40" s="42"/>
      <c r="C40" s="76" t="str">
        <f>D5</f>
        <v>jour</v>
      </c>
      <c r="D40" s="76">
        <v>4</v>
      </c>
      <c r="E40" s="80">
        <f>SUM(I5:I6,K7:K8,J9:J10,L11:L12)^2+SUM(J5:J6,L7:L8,I9:I10,K11:K12)^2+SUM(K5:K6,I7:I8,L9:L10,J11:J12)^2+SUM(L5:L6,J7:J8,K9:K10,I11:I12)^2</f>
        <v>2564685.4907195726</v>
      </c>
      <c r="F40" s="78">
        <f>E40*D40/$D$35</f>
        <v>320585.68633994658</v>
      </c>
      <c r="G40" s="123">
        <f>F40-$F$35</f>
        <v>0.15814531437354162</v>
      </c>
      <c r="H40" s="76">
        <f t="shared" si="6"/>
        <v>3</v>
      </c>
      <c r="I40" s="78">
        <f t="shared" ref="I40" si="7">G40/H40</f>
        <v>5.2715104791180543E-2</v>
      </c>
      <c r="J40" s="78">
        <f>I40/I$37</f>
        <v>0.38951827641881859</v>
      </c>
      <c r="K40" s="78">
        <f>FINV(0.05,H40,H$37)</f>
        <v>3.1273500051133998</v>
      </c>
      <c r="L40" s="79">
        <f>G40/$G$35</f>
        <v>1.6416742313291648E-2</v>
      </c>
      <c r="M40" s="79">
        <f>1-FDIST(K40/J40,H40,H$37)</f>
        <v>0.99882765745268043</v>
      </c>
      <c r="N40" s="79">
        <f t="shared" ref="N40" si="8">1-M40</f>
        <v>1.1723425473195714E-3</v>
      </c>
      <c r="O40" s="118">
        <f t="shared" ref="O40:O42" si="9">+O39</f>
        <v>4.3935378873138455E-2</v>
      </c>
      <c r="P40" s="51"/>
      <c r="Q40" s="51"/>
      <c r="R40" s="52"/>
      <c r="S40" s="50"/>
      <c r="T40" s="50"/>
      <c r="V40" s="60">
        <v>0</v>
      </c>
      <c r="W40" s="61">
        <f t="shared" si="2"/>
        <v>100.0914469676718</v>
      </c>
      <c r="X40" s="62">
        <f t="shared" si="3"/>
        <v>0.71565916755616998</v>
      </c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</row>
    <row r="41" spans="2:42" x14ac:dyDescent="0.25">
      <c r="B41" s="42"/>
      <c r="C41" s="76" t="str">
        <f>D10</f>
        <v>type de sonde</v>
      </c>
      <c r="D41" s="76">
        <v>4</v>
      </c>
      <c r="E41" s="80">
        <f>SUM(I5:I6,L7:L8,K9:K10,J11:J12)^2+SUM(J5:J6,K7:K8,L9:L10,I11:I12)^2+SUM(K5:K6,J7:J8,I9:I10,L11:L12)^2+SUM(L5:L6,I7:I8,J9:J10,K11:K12)^2</f>
        <v>2564709.4922032887</v>
      </c>
      <c r="F41" s="78">
        <f>E41*D41/$D$35</f>
        <v>320588.68652541109</v>
      </c>
      <c r="G41" s="123">
        <f>F41-$F$35</f>
        <v>3.1583307788823731</v>
      </c>
      <c r="H41" s="76">
        <f t="shared" ref="H41" si="10">D41-1</f>
        <v>3</v>
      </c>
      <c r="I41" s="78">
        <f>G41/H41</f>
        <v>1.0527769262941244</v>
      </c>
      <c r="J41" s="78">
        <f>I41/I$37</f>
        <v>7.7790958665076273</v>
      </c>
      <c r="K41" s="78">
        <f>FINV(0.05,H41,H$37)</f>
        <v>3.1273500051133998</v>
      </c>
      <c r="L41" s="79">
        <f>G41/$G$35</f>
        <v>0.3278598720577981</v>
      </c>
      <c r="M41" s="79">
        <f>1-FDIST(K41/J41,H41,H$37)</f>
        <v>0.24682398040989928</v>
      </c>
      <c r="N41" s="79">
        <f>1-M41</f>
        <v>0.75317601959010072</v>
      </c>
      <c r="O41" s="118">
        <f t="shared" si="9"/>
        <v>4.3935378873138455E-2</v>
      </c>
      <c r="P41" s="43"/>
      <c r="Q41" s="43"/>
      <c r="R41" s="44"/>
      <c r="T41" s="50"/>
      <c r="V41" s="60">
        <v>0.1</v>
      </c>
      <c r="W41" s="61">
        <f t="shared" si="2"/>
        <v>100.14719169903097</v>
      </c>
      <c r="X41" s="62">
        <f t="shared" si="3"/>
        <v>0.71208980256703547</v>
      </c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</row>
    <row r="42" spans="2:42" x14ac:dyDescent="0.25">
      <c r="B42" s="42"/>
      <c r="C42" s="43"/>
      <c r="D42" s="43"/>
      <c r="E42" s="43"/>
      <c r="F42" s="43"/>
      <c r="G42" s="43"/>
      <c r="H42" s="43"/>
      <c r="I42" s="43"/>
      <c r="J42" s="43" t="s">
        <v>89</v>
      </c>
      <c r="K42" s="43"/>
      <c r="L42" s="43"/>
      <c r="M42" s="43"/>
      <c r="N42" s="43"/>
      <c r="O42" s="118">
        <f t="shared" si="9"/>
        <v>4.3935378873138455E-2</v>
      </c>
      <c r="P42" s="43"/>
      <c r="Q42" s="43"/>
      <c r="R42" s="44"/>
      <c r="T42" s="50"/>
      <c r="V42" s="60">
        <v>0.2</v>
      </c>
      <c r="W42" s="61">
        <f t="shared" ref="W42:W70" si="11">Q$7+V42*SQRT(Q$8)</f>
        <v>100.20293643039014</v>
      </c>
      <c r="X42" s="62">
        <f t="shared" ref="X42:X70" si="12">NORMDIST(W42,Q$7,SQRT(Q$8),0)</f>
        <v>0.7014881665783731</v>
      </c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</row>
    <row r="43" spans="2:42" x14ac:dyDescent="0.25">
      <c r="B43" s="42"/>
      <c r="C43" s="114" t="s">
        <v>56</v>
      </c>
      <c r="D43" s="132">
        <f>L36</f>
        <v>0.73307362552169431</v>
      </c>
      <c r="E43" s="51" t="s">
        <v>65</v>
      </c>
      <c r="F43" s="43"/>
      <c r="G43" s="43"/>
      <c r="H43" s="43"/>
      <c r="I43" s="43"/>
      <c r="J43" s="43"/>
      <c r="K43" s="43"/>
      <c r="L43" s="43"/>
      <c r="M43" s="43"/>
      <c r="N43" s="43"/>
      <c r="O43" s="119"/>
      <c r="P43" s="43"/>
      <c r="Q43" s="43"/>
      <c r="R43" s="44"/>
      <c r="T43" s="50"/>
      <c r="V43" s="60">
        <v>0.3</v>
      </c>
      <c r="W43" s="61">
        <f t="shared" si="11"/>
        <v>100.25868116174929</v>
      </c>
      <c r="X43" s="62">
        <f t="shared" si="12"/>
        <v>0.68416836203447273</v>
      </c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</row>
    <row r="44" spans="2:42" x14ac:dyDescent="0.25">
      <c r="B44" s="42"/>
      <c r="C44" s="43"/>
      <c r="D44" s="133"/>
      <c r="E44" s="51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4"/>
      <c r="T44" s="50"/>
      <c r="V44" s="60">
        <v>0.4</v>
      </c>
      <c r="W44" s="61">
        <f t="shared" si="11"/>
        <v>100.31442589310846</v>
      </c>
      <c r="X44" s="62">
        <f t="shared" si="12"/>
        <v>0.66063667601255349</v>
      </c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</row>
    <row r="45" spans="2:42" x14ac:dyDescent="0.25">
      <c r="B45" s="42"/>
      <c r="C45" s="114" t="s">
        <v>59</v>
      </c>
      <c r="D45" s="132">
        <f>(I35-I37)/I35</f>
        <v>0.564488546903817</v>
      </c>
      <c r="E45" s="51" t="s">
        <v>63</v>
      </c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4"/>
      <c r="T45" s="50"/>
      <c r="U45" s="50"/>
      <c r="V45" s="60">
        <v>0.5</v>
      </c>
      <c r="W45" s="61">
        <f t="shared" si="11"/>
        <v>100.37017062446763</v>
      </c>
      <c r="X45" s="62">
        <f t="shared" si="12"/>
        <v>0.6315669986745891</v>
      </c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</row>
    <row r="46" spans="2:42" x14ac:dyDescent="0.25">
      <c r="B46" s="42"/>
      <c r="C46" s="56"/>
      <c r="D46" s="43"/>
      <c r="E46" s="51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4"/>
      <c r="T46" s="50"/>
      <c r="U46" s="50"/>
      <c r="V46" s="60">
        <v>0.6</v>
      </c>
      <c r="W46" s="61">
        <f t="shared" si="11"/>
        <v>100.4259153558268</v>
      </c>
      <c r="X46" s="62">
        <f t="shared" si="12"/>
        <v>0.59776878418305401</v>
      </c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</row>
    <row r="47" spans="2:42" x14ac:dyDescent="0.25">
      <c r="B47" s="42"/>
      <c r="C47" s="115" t="s">
        <v>62</v>
      </c>
      <c r="D47" s="81">
        <f>TRUNC(SQRT(I35/I58)*SQRT(2),0)</f>
        <v>2</v>
      </c>
      <c r="E47" s="51" t="s">
        <v>64</v>
      </c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4"/>
      <c r="T47" s="50"/>
      <c r="U47" s="50"/>
      <c r="V47" s="60">
        <v>0.7</v>
      </c>
      <c r="W47" s="61">
        <f t="shared" si="11"/>
        <v>100.48166008718596</v>
      </c>
      <c r="X47" s="62">
        <f t="shared" si="12"/>
        <v>0.56014967828061613</v>
      </c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</row>
    <row r="48" spans="2:42" ht="15.75" thickBot="1" x14ac:dyDescent="0.3">
      <c r="B48" s="68"/>
      <c r="C48" s="69"/>
      <c r="D48" s="69"/>
      <c r="E48" s="69"/>
      <c r="F48" s="69"/>
      <c r="G48" s="69"/>
      <c r="H48" s="69"/>
      <c r="I48" s="69"/>
      <c r="J48" s="69"/>
      <c r="K48" s="69"/>
      <c r="L48" s="84"/>
      <c r="M48" s="69"/>
      <c r="N48" s="69"/>
      <c r="O48" s="69"/>
      <c r="P48" s="69"/>
      <c r="Q48" s="69"/>
      <c r="R48" s="70"/>
      <c r="T48" s="50"/>
      <c r="U48" s="50"/>
      <c r="V48" s="60">
        <v>0.8</v>
      </c>
      <c r="W48" s="61">
        <f t="shared" si="11"/>
        <v>100.53740481854513</v>
      </c>
      <c r="X48" s="62">
        <f t="shared" si="12"/>
        <v>0.51967521539387429</v>
      </c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</row>
    <row r="49" spans="2:42" x14ac:dyDescent="0.25">
      <c r="B49" s="50" t="s">
        <v>83</v>
      </c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109" t="s">
        <v>68</v>
      </c>
      <c r="S49" s="50"/>
      <c r="T49" s="50"/>
      <c r="U49" s="50"/>
      <c r="V49" s="60">
        <v>0.9</v>
      </c>
      <c r="W49" s="61">
        <f t="shared" si="11"/>
        <v>100.5931495499043</v>
      </c>
      <c r="X49" s="62">
        <f t="shared" si="12"/>
        <v>0.47732806923824472</v>
      </c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</row>
    <row r="50" spans="2:42" x14ac:dyDescent="0.25">
      <c r="C50" s="50"/>
      <c r="D50" s="50"/>
      <c r="E50" s="50"/>
      <c r="F50" s="50"/>
      <c r="G50" s="50"/>
      <c r="H50" s="50"/>
      <c r="I50" s="55">
        <f>VAR(I5:I6)</f>
        <v>0.12887504856752113</v>
      </c>
      <c r="J50" s="55">
        <f>VAR(J5:J6)</f>
        <v>0.18110288506419414</v>
      </c>
      <c r="K50" s="55">
        <f>VAR(K5:K6)</f>
        <v>0.29153387869907366</v>
      </c>
      <c r="L50" s="55">
        <f>VAR(L5:L6)</f>
        <v>1.5715469979789426E-3</v>
      </c>
      <c r="M50" s="50"/>
      <c r="N50" s="50"/>
      <c r="O50" s="50"/>
      <c r="P50" s="50"/>
      <c r="Q50" s="50"/>
      <c r="R50" s="108">
        <v>42795</v>
      </c>
      <c r="S50" s="50"/>
      <c r="T50" s="50"/>
      <c r="U50" s="50"/>
      <c r="V50" s="60">
        <v>1</v>
      </c>
      <c r="W50" s="61">
        <f t="shared" si="11"/>
        <v>100.64889428126347</v>
      </c>
      <c r="X50" s="62">
        <f t="shared" si="12"/>
        <v>0.43406922702723527</v>
      </c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</row>
    <row r="51" spans="2:42" x14ac:dyDescent="0.25">
      <c r="B51" s="50"/>
      <c r="C51" s="50"/>
      <c r="D51" s="50"/>
      <c r="E51" s="50"/>
      <c r="F51" s="50"/>
      <c r="G51" s="50"/>
      <c r="H51" s="50"/>
      <c r="I51" s="48"/>
      <c r="J51" s="48"/>
      <c r="K51" s="48"/>
      <c r="L51" s="48"/>
      <c r="M51" s="50"/>
      <c r="N51" s="50"/>
      <c r="O51" s="50"/>
      <c r="P51" s="50"/>
      <c r="Q51" s="50"/>
      <c r="R51" s="50"/>
      <c r="S51" s="50"/>
      <c r="T51" s="50"/>
      <c r="U51" s="50"/>
      <c r="V51" s="60">
        <v>1.1000000000000001</v>
      </c>
      <c r="W51" s="61">
        <f t="shared" si="11"/>
        <v>100.70463901262264</v>
      </c>
      <c r="X51" s="62">
        <f t="shared" si="12"/>
        <v>0.39080316959268224</v>
      </c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</row>
    <row r="52" spans="2:42" x14ac:dyDescent="0.25">
      <c r="B52" s="50"/>
      <c r="C52" s="50"/>
      <c r="D52" s="50"/>
      <c r="E52" s="50"/>
      <c r="F52" s="50"/>
      <c r="G52" s="50"/>
      <c r="H52" s="50"/>
      <c r="I52" s="55">
        <f>VAR(I7:I8)</f>
        <v>0.15450109349656549</v>
      </c>
      <c r="J52" s="55">
        <f>VAR(J7:J8)</f>
        <v>1.3473049924441958E-2</v>
      </c>
      <c r="K52" s="55">
        <f>VAR(K7:K8)</f>
        <v>0.26371033413316008</v>
      </c>
      <c r="L52" s="55">
        <f>VAR(L7:L8)</f>
        <v>2.9797448503250518E-2</v>
      </c>
      <c r="M52" s="50"/>
      <c r="N52" s="50"/>
      <c r="O52" s="50"/>
      <c r="P52" s="50"/>
      <c r="Q52" s="50"/>
      <c r="R52" s="50"/>
      <c r="S52" s="50"/>
      <c r="T52" s="50"/>
      <c r="U52" s="50"/>
      <c r="V52" s="60">
        <v>1.2</v>
      </c>
      <c r="W52" s="61">
        <f t="shared" si="11"/>
        <v>100.76038374398179</v>
      </c>
      <c r="X52" s="62">
        <f t="shared" si="12"/>
        <v>0.34834871430640446</v>
      </c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</row>
    <row r="53" spans="2:42" x14ac:dyDescent="0.25">
      <c r="B53" s="50"/>
      <c r="C53" s="50"/>
      <c r="D53" s="50"/>
      <c r="E53" s="50"/>
      <c r="F53" s="50"/>
      <c r="G53" s="50"/>
      <c r="H53" s="50"/>
      <c r="I53" s="48"/>
      <c r="J53" s="48"/>
      <c r="K53" s="48"/>
      <c r="L53" s="48"/>
      <c r="M53" s="50"/>
      <c r="N53" s="50"/>
      <c r="O53" s="50"/>
      <c r="P53" s="50"/>
      <c r="Q53" s="50"/>
      <c r="R53" s="50"/>
      <c r="S53" s="50"/>
      <c r="T53" s="50"/>
      <c r="U53" s="50"/>
      <c r="V53" s="60">
        <v>1.3</v>
      </c>
      <c r="W53" s="61">
        <f t="shared" si="11"/>
        <v>100.81612847534096</v>
      </c>
      <c r="X53" s="62">
        <f t="shared" si="12"/>
        <v>0.30741666139472607</v>
      </c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</row>
    <row r="54" spans="2:42" x14ac:dyDescent="0.25">
      <c r="B54" s="50"/>
      <c r="C54" s="50"/>
      <c r="D54" s="50"/>
      <c r="E54" s="50"/>
      <c r="F54" s="50"/>
      <c r="G54" s="50"/>
      <c r="H54" s="50"/>
      <c r="I54" s="55">
        <f>VAR(I9:I10)</f>
        <v>6.2577054699256441E-4</v>
      </c>
      <c r="J54" s="55">
        <f>VAR(J9:J10)</f>
        <v>9.6920244187326983E-3</v>
      </c>
      <c r="K54" s="55">
        <f>VAR(K9:K10)</f>
        <v>7.5710724367293279E-3</v>
      </c>
      <c r="L54" s="55">
        <f>VAR(L9:L10)</f>
        <v>0.11665462538874226</v>
      </c>
      <c r="M54" s="50"/>
      <c r="N54" s="50"/>
      <c r="O54" s="50"/>
      <c r="P54" s="50"/>
      <c r="Q54" s="50"/>
      <c r="R54" s="50"/>
      <c r="S54" s="50"/>
      <c r="T54" s="50"/>
      <c r="U54" s="50"/>
      <c r="V54" s="60">
        <v>1.4</v>
      </c>
      <c r="W54" s="61">
        <f t="shared" si="11"/>
        <v>100.87187320670013</v>
      </c>
      <c r="X54" s="62">
        <f t="shared" si="12"/>
        <v>0.2685948285785828</v>
      </c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</row>
    <row r="55" spans="2:42" x14ac:dyDescent="0.25">
      <c r="B55" s="50"/>
      <c r="C55" s="50"/>
      <c r="D55" s="50"/>
      <c r="E55" s="50"/>
      <c r="F55" s="50"/>
      <c r="G55" s="50"/>
      <c r="H55" s="50"/>
      <c r="I55" s="48"/>
      <c r="J55" s="48"/>
      <c r="K55" s="48"/>
      <c r="L55" s="48"/>
      <c r="M55" s="50"/>
      <c r="N55" s="50"/>
      <c r="O55" s="50"/>
      <c r="P55" s="50"/>
      <c r="Q55" s="50"/>
      <c r="R55" s="50"/>
      <c r="S55" s="50"/>
      <c r="T55" s="50"/>
      <c r="U55" s="50"/>
      <c r="V55" s="60">
        <v>1.5</v>
      </c>
      <c r="W55" s="61">
        <f t="shared" si="11"/>
        <v>100.9276179380593</v>
      </c>
      <c r="X55" s="62">
        <f t="shared" si="12"/>
        <v>0.23234051453473015</v>
      </c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</row>
    <row r="56" spans="2:42" x14ac:dyDescent="0.25">
      <c r="B56" s="50"/>
      <c r="C56" s="50"/>
      <c r="D56" s="50"/>
      <c r="E56" s="50"/>
      <c r="F56" s="50"/>
      <c r="G56" s="50"/>
      <c r="H56" s="50"/>
      <c r="I56" s="55">
        <f>VAR(I11:I12)</f>
        <v>6.8349616564748028E-2</v>
      </c>
      <c r="J56" s="55">
        <f>VAR(J11:J12)</f>
        <v>6.1911500695575948E-4</v>
      </c>
      <c r="K56" s="55">
        <f>VAR(K11:K12)</f>
        <v>9.616150313729036E-4</v>
      </c>
      <c r="L56" s="55">
        <f>VAR(L11:L12)</f>
        <v>0.29890656751191541</v>
      </c>
      <c r="M56" s="50"/>
      <c r="N56" s="50"/>
      <c r="O56" s="50"/>
      <c r="P56" s="50"/>
      <c r="Q56" s="50"/>
      <c r="R56" s="50"/>
      <c r="S56" s="50"/>
      <c r="T56" s="50"/>
      <c r="U56" s="50"/>
      <c r="V56" s="60">
        <v>1.6</v>
      </c>
      <c r="W56" s="61">
        <f t="shared" si="11"/>
        <v>100.98336266941845</v>
      </c>
      <c r="X56" s="62">
        <f t="shared" si="12"/>
        <v>0.19897994299190111</v>
      </c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</row>
    <row r="57" spans="2:42" x14ac:dyDescent="0.25">
      <c r="B57" s="50"/>
      <c r="C57" s="50"/>
      <c r="D57" s="50"/>
      <c r="E57" s="50"/>
      <c r="F57" s="50"/>
      <c r="G57" s="50"/>
      <c r="H57" s="50"/>
      <c r="I57" s="48"/>
      <c r="J57" s="48"/>
      <c r="K57" s="48"/>
      <c r="L57" s="48"/>
      <c r="M57" s="50"/>
      <c r="N57" s="50"/>
      <c r="O57" s="50"/>
      <c r="P57" s="50"/>
      <c r="Q57" s="50"/>
      <c r="R57" s="50"/>
      <c r="S57" s="50"/>
      <c r="T57" s="50"/>
      <c r="U57" s="50"/>
      <c r="V57" s="60">
        <v>1.7</v>
      </c>
      <c r="W57" s="61">
        <f t="shared" si="11"/>
        <v>101.03910740077762</v>
      </c>
      <c r="X57" s="62">
        <f t="shared" si="12"/>
        <v>0.16871384090260388</v>
      </c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</row>
    <row r="58" spans="2:42" x14ac:dyDescent="0.25">
      <c r="B58" s="50"/>
      <c r="C58" s="50"/>
      <c r="D58" s="50"/>
      <c r="E58" s="50"/>
      <c r="F58" s="50"/>
      <c r="G58" s="50"/>
      <c r="H58" s="50"/>
      <c r="I58" s="48">
        <f>AVERAGE(I50:L56)</f>
        <v>9.7996605768273404E-2</v>
      </c>
      <c r="J58" s="48"/>
      <c r="K58" s="48"/>
      <c r="L58" s="48"/>
      <c r="M58" s="50"/>
      <c r="N58" s="50"/>
      <c r="O58" s="50"/>
      <c r="P58" s="50"/>
      <c r="Q58" s="50"/>
      <c r="R58" s="50"/>
      <c r="S58" s="50"/>
      <c r="T58" s="50"/>
      <c r="U58" s="50"/>
      <c r="V58" s="60">
        <v>1.8</v>
      </c>
      <c r="W58" s="61">
        <f t="shared" si="11"/>
        <v>101.09485213213679</v>
      </c>
      <c r="X58" s="62">
        <f t="shared" si="12"/>
        <v>0.14162801824662855</v>
      </c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</row>
    <row r="59" spans="2:42" x14ac:dyDescent="0.25">
      <c r="B59" s="50"/>
      <c r="C59" s="50"/>
      <c r="D59" s="50"/>
      <c r="E59" s="50"/>
      <c r="F59" s="50"/>
      <c r="G59" s="50"/>
      <c r="H59" s="50"/>
      <c r="I59" s="48"/>
      <c r="J59" s="48"/>
      <c r="K59" s="48"/>
      <c r="L59" s="48"/>
      <c r="M59" s="50"/>
      <c r="N59" s="50"/>
      <c r="O59" s="50"/>
      <c r="P59" s="50"/>
      <c r="Q59" s="50"/>
      <c r="R59" s="50"/>
      <c r="S59" s="50"/>
      <c r="T59" s="50"/>
      <c r="U59" s="50"/>
      <c r="V59" s="60">
        <v>1.9</v>
      </c>
      <c r="W59" s="61">
        <f t="shared" si="11"/>
        <v>101.15059686349596</v>
      </c>
      <c r="X59" s="62">
        <f t="shared" si="12"/>
        <v>0.11770765267825867</v>
      </c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</row>
    <row r="60" spans="2:42" x14ac:dyDescent="0.25">
      <c r="B60" s="50"/>
      <c r="C60" s="50"/>
      <c r="D60" s="50"/>
      <c r="E60" s="50"/>
      <c r="F60" s="50"/>
      <c r="G60" s="50"/>
      <c r="H60" s="50"/>
      <c r="I60" s="48"/>
      <c r="J60" s="48"/>
      <c r="K60" s="48"/>
      <c r="L60" s="48"/>
      <c r="M60" s="50"/>
      <c r="N60" s="50"/>
      <c r="O60" s="50"/>
      <c r="P60" s="50"/>
      <c r="Q60" s="50"/>
      <c r="R60" s="50"/>
      <c r="S60" s="50"/>
      <c r="T60" s="50"/>
      <c r="U60" s="50"/>
      <c r="V60" s="60">
        <v>2</v>
      </c>
      <c r="W60" s="61">
        <f t="shared" si="11"/>
        <v>101.20634159485513</v>
      </c>
      <c r="X60" s="62">
        <f t="shared" si="12"/>
        <v>9.685393614209041E-2</v>
      </c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</row>
    <row r="61" spans="2:42" x14ac:dyDescent="0.25"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60">
        <v>2.1</v>
      </c>
      <c r="W61" s="61">
        <f t="shared" si="11"/>
        <v>101.26208632621429</v>
      </c>
      <c r="X61" s="62">
        <f t="shared" si="12"/>
        <v>7.8901799162039682E-2</v>
      </c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</row>
    <row r="62" spans="2:42" x14ac:dyDescent="0.25"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60">
        <v>2.2000000000000002</v>
      </c>
      <c r="W62" s="61">
        <f t="shared" si="11"/>
        <v>101.31783105757346</v>
      </c>
      <c r="X62" s="62">
        <f t="shared" si="12"/>
        <v>6.3637570728732898E-2</v>
      </c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</row>
    <row r="63" spans="2:42" x14ac:dyDescent="0.25"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60">
        <v>2.2999999999999998</v>
      </c>
      <c r="W63" s="61">
        <f t="shared" si="11"/>
        <v>101.37357578893263</v>
      </c>
      <c r="X63" s="62">
        <f t="shared" si="12"/>
        <v>5.0815632349339598E-2</v>
      </c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</row>
    <row r="64" spans="2:42" x14ac:dyDescent="0.25"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60">
        <v>2.4</v>
      </c>
      <c r="W64" s="61">
        <f t="shared" si="11"/>
        <v>101.4293205202918</v>
      </c>
      <c r="X64" s="62">
        <f t="shared" si="12"/>
        <v>4.0173357640838278E-2</v>
      </c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</row>
    <row r="65" spans="2:42" x14ac:dyDescent="0.25"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60">
        <v>2.5000000000000102</v>
      </c>
      <c r="W65" s="61">
        <f t="shared" si="11"/>
        <v>101.48506525165097</v>
      </c>
      <c r="X65" s="62">
        <f t="shared" si="12"/>
        <v>3.144386934189726E-2</v>
      </c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</row>
    <row r="66" spans="2:42" x14ac:dyDescent="0.25"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60">
        <v>2.6</v>
      </c>
      <c r="W66" s="61">
        <f t="shared" si="11"/>
        <v>101.54080998301012</v>
      </c>
      <c r="X66" s="62">
        <f t="shared" si="12"/>
        <v>2.4366373112770047E-2</v>
      </c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</row>
    <row r="67" spans="2:42" x14ac:dyDescent="0.25"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60">
        <v>2.7</v>
      </c>
      <c r="W67" s="61">
        <f t="shared" si="11"/>
        <v>101.59655471436929</v>
      </c>
      <c r="X67" s="62">
        <f t="shared" si="12"/>
        <v>1.8694026431448626E-2</v>
      </c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</row>
    <row r="68" spans="2:42" x14ac:dyDescent="0.25"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60">
        <v>2.80000000000001</v>
      </c>
      <c r="W68" s="61">
        <f t="shared" si="11"/>
        <v>101.65229944572846</v>
      </c>
      <c r="X68" s="62">
        <f t="shared" si="12"/>
        <v>1.4199461348158882E-2</v>
      </c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</row>
    <row r="69" spans="2:42" x14ac:dyDescent="0.25"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60">
        <v>2.9000000000000101</v>
      </c>
      <c r="W69" s="61">
        <f t="shared" si="11"/>
        <v>101.70804417708763</v>
      </c>
      <c r="X69" s="62">
        <f t="shared" si="12"/>
        <v>1.067819733747241E-2</v>
      </c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</row>
    <row r="70" spans="2:42" x14ac:dyDescent="0.25"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60">
        <v>3.0000000000000102</v>
      </c>
      <c r="W70" s="61">
        <f t="shared" si="11"/>
        <v>101.7637889084468</v>
      </c>
      <c r="X70" s="62">
        <f t="shared" si="12"/>
        <v>7.9502552149424387E-3</v>
      </c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</row>
    <row r="71" spans="2:42" x14ac:dyDescent="0.25"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5"/>
      <c r="W71" s="55"/>
      <c r="X71" s="55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</row>
    <row r="72" spans="2:42" x14ac:dyDescent="0.25"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5"/>
      <c r="W72" s="55"/>
      <c r="X72" s="55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</row>
    <row r="73" spans="2:42" x14ac:dyDescent="0.25"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5"/>
      <c r="W73" s="55"/>
      <c r="X73" s="55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</row>
    <row r="74" spans="2:42" x14ac:dyDescent="0.25"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5"/>
      <c r="W74" s="55"/>
      <c r="X74" s="55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</row>
    <row r="75" spans="2:42" x14ac:dyDescent="0.25"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5"/>
      <c r="W75" s="55"/>
      <c r="X75" s="55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</row>
    <row r="76" spans="2:42" x14ac:dyDescent="0.25"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V76" s="55"/>
      <c r="W76" s="55"/>
      <c r="X76" s="55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</row>
    <row r="77" spans="2:42" x14ac:dyDescent="0.25"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V77" s="55"/>
      <c r="W77" s="55"/>
      <c r="X77" s="55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</row>
    <row r="78" spans="2:42" x14ac:dyDescent="0.25"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V78" s="55"/>
      <c r="W78" s="55"/>
      <c r="X78" s="55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</row>
    <row r="79" spans="2:42" x14ac:dyDescent="0.25"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V79" s="55"/>
      <c r="W79" s="55"/>
      <c r="X79" s="55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</row>
    <row r="80" spans="2:42" x14ac:dyDescent="0.25"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V80" s="55"/>
      <c r="W80" s="55"/>
      <c r="X80" s="55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</row>
    <row r="81" spans="2:42" x14ac:dyDescent="0.25"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V81" s="55"/>
      <c r="W81" s="55"/>
      <c r="X81" s="55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</row>
    <row r="82" spans="2:42" x14ac:dyDescent="0.25">
      <c r="B82" s="82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V82" s="55"/>
      <c r="W82" s="55"/>
      <c r="X82" s="55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</row>
    <row r="83" spans="2:42" x14ac:dyDescent="0.25">
      <c r="B83" s="82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V83" s="55"/>
      <c r="W83" s="55"/>
      <c r="X83" s="55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</row>
    <row r="84" spans="2:42" x14ac:dyDescent="0.25">
      <c r="B84" s="82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V84" s="55"/>
      <c r="W84" s="55"/>
      <c r="X84" s="55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</row>
    <row r="85" spans="2:42" x14ac:dyDescent="0.25">
      <c r="B85" s="82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V85" s="55"/>
      <c r="W85" s="55"/>
      <c r="X85" s="55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</row>
    <row r="86" spans="2:42" x14ac:dyDescent="0.25">
      <c r="B86" s="82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V86" s="55"/>
      <c r="W86" s="55"/>
      <c r="X86" s="55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</row>
    <row r="87" spans="2:42" x14ac:dyDescent="0.25">
      <c r="B87" s="82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V87" s="55"/>
      <c r="W87" s="55"/>
      <c r="X87" s="55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</row>
    <row r="88" spans="2:42" x14ac:dyDescent="0.25">
      <c r="B88" s="82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V88" s="55"/>
      <c r="W88" s="55"/>
      <c r="X88" s="55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</row>
    <row r="89" spans="2:42" x14ac:dyDescent="0.25">
      <c r="B89" s="82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V89" s="55"/>
      <c r="W89" s="55"/>
      <c r="X89" s="55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</row>
    <row r="90" spans="2:42" x14ac:dyDescent="0.25">
      <c r="B90" s="82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V90" s="55"/>
      <c r="W90" s="55"/>
      <c r="X90" s="55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</row>
    <row r="91" spans="2:42" x14ac:dyDescent="0.25">
      <c r="B91" s="82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V91" s="55"/>
      <c r="W91" s="55"/>
      <c r="X91" s="55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</row>
    <row r="92" spans="2:42" x14ac:dyDescent="0.25">
      <c r="B92" s="82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V92" s="55"/>
      <c r="W92" s="55"/>
      <c r="X92" s="55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</row>
    <row r="93" spans="2:42" x14ac:dyDescent="0.25">
      <c r="B93" s="82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V93" s="55"/>
      <c r="W93" s="55"/>
      <c r="X93" s="55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</row>
    <row r="94" spans="2:42" x14ac:dyDescent="0.25">
      <c r="B94" s="82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V94" s="55"/>
      <c r="W94" s="55"/>
      <c r="X94" s="55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</row>
    <row r="95" spans="2:42" x14ac:dyDescent="0.25">
      <c r="B95" s="82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V95" s="55"/>
      <c r="W95" s="55"/>
      <c r="X95" s="55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</row>
    <row r="96" spans="2:42" x14ac:dyDescent="0.25">
      <c r="B96" s="82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V96" s="55"/>
      <c r="W96" s="55"/>
      <c r="X96" s="55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</row>
    <row r="97" spans="2:42" x14ac:dyDescent="0.25">
      <c r="B97" s="82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V97" s="55"/>
      <c r="W97" s="55"/>
      <c r="X97" s="55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</row>
    <row r="98" spans="2:42" x14ac:dyDescent="0.25">
      <c r="B98" s="82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V98" s="55"/>
      <c r="W98" s="55"/>
      <c r="X98" s="55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</row>
    <row r="99" spans="2:42" x14ac:dyDescent="0.25">
      <c r="B99" s="82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V99" s="55"/>
      <c r="W99" s="55"/>
      <c r="X99" s="55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</row>
    <row r="100" spans="2:42" x14ac:dyDescent="0.25">
      <c r="B100" s="82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V100" s="55"/>
      <c r="W100" s="55"/>
      <c r="X100" s="55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</row>
    <row r="101" spans="2:42" x14ac:dyDescent="0.25"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V101" s="55"/>
      <c r="W101" s="55"/>
      <c r="X101" s="55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</row>
    <row r="102" spans="2:42" x14ac:dyDescent="0.25"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V102" s="55"/>
      <c r="W102" s="55"/>
      <c r="X102" s="55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</row>
    <row r="103" spans="2:42" x14ac:dyDescent="0.25"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V103" s="55"/>
      <c r="W103" s="55"/>
      <c r="X103" s="55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</row>
    <row r="104" spans="2:42" x14ac:dyDescent="0.25"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V104" s="55"/>
      <c r="W104" s="55"/>
      <c r="X104" s="55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</row>
    <row r="105" spans="2:42" x14ac:dyDescent="0.25"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V105" s="55"/>
      <c r="W105" s="55"/>
      <c r="X105" s="55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</row>
    <row r="106" spans="2:42" x14ac:dyDescent="0.25"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V106" s="55"/>
      <c r="W106" s="55"/>
      <c r="X106" s="55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</row>
    <row r="107" spans="2:42" x14ac:dyDescent="0.25"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V107" s="55"/>
      <c r="W107" s="55"/>
      <c r="X107" s="55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</row>
    <row r="108" spans="2:42" x14ac:dyDescent="0.25"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V108" s="55"/>
      <c r="W108" s="55"/>
      <c r="X108" s="55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</row>
    <row r="109" spans="2:42" x14ac:dyDescent="0.25"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V109" s="55"/>
      <c r="W109" s="55"/>
      <c r="X109" s="55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</row>
    <row r="110" spans="2:42" x14ac:dyDescent="0.25"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V110" s="55"/>
      <c r="W110" s="55"/>
      <c r="X110" s="55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</row>
    <row r="111" spans="2:42" x14ac:dyDescent="0.25"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V111" s="55"/>
      <c r="W111" s="55"/>
      <c r="X111" s="55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</row>
    <row r="112" spans="2:42" x14ac:dyDescent="0.25"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V112" s="55"/>
      <c r="W112" s="55"/>
      <c r="X112" s="55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</row>
    <row r="113" spans="3:42" x14ac:dyDescent="0.25"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V113" s="55"/>
      <c r="W113" s="55"/>
      <c r="X113" s="55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</row>
    <row r="114" spans="3:42" x14ac:dyDescent="0.25"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V114" s="55"/>
      <c r="W114" s="55"/>
      <c r="X114" s="55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</row>
    <row r="115" spans="3:42" x14ac:dyDescent="0.25"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V115" s="55"/>
      <c r="W115" s="55"/>
      <c r="X115" s="55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</row>
    <row r="116" spans="3:42" x14ac:dyDescent="0.25"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V116" s="55"/>
      <c r="W116" s="55"/>
      <c r="X116" s="55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</row>
    <row r="117" spans="3:42" x14ac:dyDescent="0.25">
      <c r="V117" s="55"/>
      <c r="W117" s="55"/>
      <c r="X117" s="55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</row>
    <row r="118" spans="3:42" x14ac:dyDescent="0.25">
      <c r="V118" s="55"/>
      <c r="W118" s="55"/>
      <c r="X118" s="55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</row>
    <row r="119" spans="3:42" x14ac:dyDescent="0.25">
      <c r="V119" s="55"/>
      <c r="W119" s="55"/>
      <c r="X119" s="55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</row>
    <row r="120" spans="3:42" x14ac:dyDescent="0.25">
      <c r="V120" s="55"/>
      <c r="W120" s="55"/>
      <c r="X120" s="55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</row>
    <row r="121" spans="3:42" x14ac:dyDescent="0.25">
      <c r="V121" s="55"/>
      <c r="W121" s="55"/>
      <c r="X121" s="55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</row>
    <row r="122" spans="3:42" x14ac:dyDescent="0.25">
      <c r="V122" s="55"/>
      <c r="W122" s="55"/>
      <c r="X122" s="55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</row>
    <row r="123" spans="3:42" x14ac:dyDescent="0.25">
      <c r="V123" s="55"/>
      <c r="W123" s="55"/>
      <c r="X123" s="55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</row>
    <row r="124" spans="3:42" x14ac:dyDescent="0.25">
      <c r="V124" s="55"/>
      <c r="W124" s="55"/>
      <c r="X124" s="55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</row>
    <row r="125" spans="3:42" x14ac:dyDescent="0.25">
      <c r="V125" s="55"/>
      <c r="W125" s="55"/>
      <c r="X125" s="55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</row>
    <row r="126" spans="3:42" x14ac:dyDescent="0.25">
      <c r="V126" s="55"/>
      <c r="W126" s="55"/>
      <c r="X126" s="55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</row>
    <row r="127" spans="3:42" x14ac:dyDescent="0.25">
      <c r="V127" s="55"/>
      <c r="W127" s="55"/>
      <c r="X127" s="55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</row>
    <row r="128" spans="3:42" x14ac:dyDescent="0.25">
      <c r="V128" s="55"/>
      <c r="W128" s="55"/>
      <c r="X128" s="55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</row>
    <row r="129" spans="22:42" x14ac:dyDescent="0.25">
      <c r="V129" s="55"/>
      <c r="W129" s="55"/>
      <c r="X129" s="55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</row>
    <row r="130" spans="22:42" x14ac:dyDescent="0.25">
      <c r="V130" s="55"/>
      <c r="W130" s="55"/>
      <c r="X130" s="55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</row>
    <row r="131" spans="22:42" x14ac:dyDescent="0.25">
      <c r="V131" s="55"/>
      <c r="W131" s="55"/>
      <c r="X131" s="55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</row>
    <row r="132" spans="22:42" x14ac:dyDescent="0.25">
      <c r="V132" s="55"/>
      <c r="W132" s="55"/>
      <c r="X132" s="55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</row>
    <row r="133" spans="22:42" x14ac:dyDescent="0.25">
      <c r="V133" s="55"/>
      <c r="W133" s="55"/>
      <c r="X133" s="55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</row>
    <row r="134" spans="22:42" x14ac:dyDescent="0.25">
      <c r="V134" s="55"/>
      <c r="W134" s="55"/>
      <c r="X134" s="55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</row>
    <row r="135" spans="22:42" x14ac:dyDescent="0.25">
      <c r="V135" s="55"/>
      <c r="W135" s="55"/>
      <c r="X135" s="55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</row>
    <row r="136" spans="22:42" x14ac:dyDescent="0.25">
      <c r="V136" s="55"/>
      <c r="W136" s="55"/>
      <c r="X136" s="55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</row>
    <row r="137" spans="22:42" x14ac:dyDescent="0.25">
      <c r="V137" s="55"/>
      <c r="W137" s="55"/>
      <c r="X137" s="55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</row>
    <row r="138" spans="22:42" x14ac:dyDescent="0.25">
      <c r="V138" s="55"/>
      <c r="W138" s="55"/>
      <c r="X138" s="55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</row>
    <row r="139" spans="22:42" x14ac:dyDescent="0.25">
      <c r="V139" s="55"/>
      <c r="W139" s="55"/>
      <c r="X139" s="55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</row>
    <row r="140" spans="22:42" x14ac:dyDescent="0.25">
      <c r="V140" s="55"/>
      <c r="W140" s="55"/>
      <c r="X140" s="55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</row>
    <row r="141" spans="22:42" x14ac:dyDescent="0.25">
      <c r="V141" s="55"/>
      <c r="W141" s="55"/>
      <c r="X141" s="55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</row>
    <row r="142" spans="22:42" x14ac:dyDescent="0.25">
      <c r="V142" s="55"/>
      <c r="W142" s="55"/>
      <c r="X142" s="55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</row>
    <row r="143" spans="22:42" x14ac:dyDescent="0.25">
      <c r="V143" s="55"/>
      <c r="W143" s="55"/>
      <c r="X143" s="55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</row>
    <row r="144" spans="22:42" x14ac:dyDescent="0.25">
      <c r="V144" s="55"/>
      <c r="W144" s="55"/>
      <c r="X144" s="55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</row>
    <row r="145" spans="22:42" x14ac:dyDescent="0.25">
      <c r="V145" s="55"/>
      <c r="W145" s="55"/>
      <c r="X145" s="55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</row>
    <row r="146" spans="22:42" x14ac:dyDescent="0.25">
      <c r="V146" s="55"/>
      <c r="W146" s="55"/>
      <c r="X146" s="55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</row>
    <row r="147" spans="22:42" x14ac:dyDescent="0.25">
      <c r="V147" s="55"/>
      <c r="W147" s="55"/>
      <c r="X147" s="55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</row>
    <row r="148" spans="22:42" x14ac:dyDescent="0.25">
      <c r="V148" s="55"/>
      <c r="W148" s="55"/>
      <c r="X148" s="55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</row>
    <row r="149" spans="22:42" x14ac:dyDescent="0.25">
      <c r="V149" s="55"/>
      <c r="W149" s="55"/>
      <c r="X149" s="55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</row>
    <row r="150" spans="22:42" x14ac:dyDescent="0.25">
      <c r="V150" s="55"/>
      <c r="W150" s="55"/>
      <c r="X150" s="55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</row>
    <row r="151" spans="22:42" x14ac:dyDescent="0.25">
      <c r="V151" s="55"/>
      <c r="W151" s="55"/>
      <c r="X151" s="55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</row>
    <row r="152" spans="22:42" x14ac:dyDescent="0.25">
      <c r="V152" s="55"/>
      <c r="W152" s="55"/>
      <c r="X152" s="55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</row>
    <row r="153" spans="22:42" x14ac:dyDescent="0.25">
      <c r="V153" s="55"/>
      <c r="W153" s="55"/>
      <c r="X153" s="55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</row>
    <row r="154" spans="22:42" x14ac:dyDescent="0.25">
      <c r="V154" s="55"/>
      <c r="W154" s="55"/>
      <c r="X154" s="55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</row>
    <row r="155" spans="22:42" x14ac:dyDescent="0.25">
      <c r="V155" s="55"/>
      <c r="W155" s="55"/>
      <c r="X155" s="55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</row>
    <row r="156" spans="22:42" x14ac:dyDescent="0.25">
      <c r="V156" s="55"/>
      <c r="W156" s="55"/>
      <c r="X156" s="55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</row>
    <row r="157" spans="22:42" x14ac:dyDescent="0.25">
      <c r="V157" s="55"/>
      <c r="W157" s="55"/>
      <c r="X157" s="55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</row>
    <row r="158" spans="22:42" x14ac:dyDescent="0.25">
      <c r="V158" s="55"/>
      <c r="W158" s="55"/>
      <c r="X158" s="55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</row>
    <row r="159" spans="22:42" x14ac:dyDescent="0.25">
      <c r="V159" s="55"/>
      <c r="W159" s="55"/>
      <c r="X159" s="55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</row>
    <row r="160" spans="22:42" x14ac:dyDescent="0.25">
      <c r="V160" s="55"/>
      <c r="W160" s="55"/>
      <c r="X160" s="55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</row>
    <row r="161" spans="22:42" x14ac:dyDescent="0.25">
      <c r="V161" s="55"/>
      <c r="W161" s="55"/>
      <c r="X161" s="55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</row>
    <row r="162" spans="22:42" x14ac:dyDescent="0.25">
      <c r="V162" s="55"/>
      <c r="W162" s="55"/>
      <c r="X162" s="55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</row>
    <row r="163" spans="22:42" x14ac:dyDescent="0.25">
      <c r="V163" s="48"/>
      <c r="W163" s="48"/>
      <c r="X163" s="48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</row>
    <row r="164" spans="22:42" x14ac:dyDescent="0.25">
      <c r="V164" s="48"/>
      <c r="W164" s="48"/>
      <c r="X164" s="48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</row>
    <row r="165" spans="22:42" x14ac:dyDescent="0.25">
      <c r="V165" s="48"/>
      <c r="W165" s="48"/>
      <c r="X165" s="48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</row>
    <row r="166" spans="22:42" x14ac:dyDescent="0.25">
      <c r="V166" s="48"/>
      <c r="W166" s="48"/>
      <c r="X166" s="48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</row>
    <row r="167" spans="22:42" x14ac:dyDescent="0.25">
      <c r="V167" s="48"/>
      <c r="W167" s="48"/>
      <c r="X167" s="48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</row>
    <row r="168" spans="22:42" x14ac:dyDescent="0.25">
      <c r="V168" s="48"/>
      <c r="W168" s="48"/>
      <c r="X168" s="48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</row>
    <row r="169" spans="22:42" x14ac:dyDescent="0.25">
      <c r="V169" s="48"/>
      <c r="W169" s="48"/>
      <c r="X169" s="48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</row>
    <row r="170" spans="22:42" x14ac:dyDescent="0.25">
      <c r="V170" s="48"/>
      <c r="W170" s="48"/>
      <c r="X170" s="48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</row>
    <row r="171" spans="22:42" x14ac:dyDescent="0.25">
      <c r="V171" s="48"/>
      <c r="W171" s="48"/>
      <c r="X171" s="48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</row>
    <row r="172" spans="22:42" x14ac:dyDescent="0.25">
      <c r="V172" s="48"/>
      <c r="W172" s="48"/>
      <c r="X172" s="48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</row>
    <row r="173" spans="22:42" x14ac:dyDescent="0.25">
      <c r="V173" s="48"/>
      <c r="W173" s="48"/>
      <c r="X173" s="48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</row>
    <row r="174" spans="22:42" x14ac:dyDescent="0.25">
      <c r="V174" s="48"/>
      <c r="W174" s="48"/>
      <c r="X174" s="48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</row>
    <row r="175" spans="22:42" x14ac:dyDescent="0.25">
      <c r="V175" s="48"/>
      <c r="W175" s="48"/>
      <c r="X175" s="48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</row>
    <row r="176" spans="22:42" x14ac:dyDescent="0.25">
      <c r="V176" s="48"/>
      <c r="W176" s="48"/>
      <c r="X176" s="48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</row>
    <row r="177" spans="22:42" x14ac:dyDescent="0.25">
      <c r="V177" s="48"/>
      <c r="W177" s="48"/>
      <c r="X177" s="48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</row>
    <row r="178" spans="22:42" x14ac:dyDescent="0.25">
      <c r="V178" s="48"/>
      <c r="W178" s="48"/>
      <c r="X178" s="48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</row>
    <row r="179" spans="22:42" x14ac:dyDescent="0.25">
      <c r="V179" s="48"/>
      <c r="W179" s="48"/>
      <c r="X179" s="48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</row>
    <row r="180" spans="22:42" x14ac:dyDescent="0.25">
      <c r="V180" s="48"/>
      <c r="W180" s="48"/>
      <c r="X180" s="48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</row>
    <row r="181" spans="22:42" x14ac:dyDescent="0.25">
      <c r="V181" s="48"/>
      <c r="W181" s="48"/>
      <c r="X181" s="48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</row>
    <row r="182" spans="22:42" x14ac:dyDescent="0.25">
      <c r="V182" s="48"/>
      <c r="W182" s="48"/>
      <c r="X182" s="48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</row>
    <row r="183" spans="22:42" x14ac:dyDescent="0.25">
      <c r="V183" s="48"/>
      <c r="W183" s="48"/>
      <c r="X183" s="48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</row>
    <row r="184" spans="22:42" x14ac:dyDescent="0.25">
      <c r="V184" s="48"/>
      <c r="W184" s="48"/>
      <c r="X184" s="48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</row>
    <row r="185" spans="22:42" x14ac:dyDescent="0.25">
      <c r="V185" s="48"/>
      <c r="W185" s="48"/>
      <c r="X185" s="48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</row>
    <row r="186" spans="22:42" x14ac:dyDescent="0.25">
      <c r="V186" s="48"/>
      <c r="W186" s="48"/>
      <c r="X186" s="48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</row>
    <row r="187" spans="22:42" x14ac:dyDescent="0.25">
      <c r="V187" s="48"/>
      <c r="W187" s="48"/>
      <c r="X187" s="48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</row>
    <row r="188" spans="22:42" x14ac:dyDescent="0.25">
      <c r="V188" s="48"/>
      <c r="W188" s="48"/>
      <c r="X188" s="48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</row>
    <row r="189" spans="22:42" x14ac:dyDescent="0.25">
      <c r="V189" s="48"/>
      <c r="W189" s="48"/>
      <c r="X189" s="48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</row>
    <row r="190" spans="22:42" x14ac:dyDescent="0.25">
      <c r="V190" s="48"/>
      <c r="W190" s="48"/>
      <c r="X190" s="48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</row>
    <row r="191" spans="22:42" x14ac:dyDescent="0.25">
      <c r="V191" s="48"/>
      <c r="W191" s="48"/>
      <c r="X191" s="48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</row>
    <row r="192" spans="22:42" x14ac:dyDescent="0.25">
      <c r="V192" s="48"/>
      <c r="W192" s="48"/>
      <c r="X192" s="48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</row>
    <row r="193" spans="22:42" x14ac:dyDescent="0.25">
      <c r="V193" s="48"/>
      <c r="W193" s="48"/>
      <c r="X193" s="48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</row>
    <row r="194" spans="22:42" x14ac:dyDescent="0.25">
      <c r="V194" s="48"/>
      <c r="W194" s="48"/>
      <c r="X194" s="48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</row>
    <row r="195" spans="22:42" x14ac:dyDescent="0.25">
      <c r="V195" s="48"/>
      <c r="W195" s="48"/>
      <c r="X195" s="48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</row>
    <row r="196" spans="22:42" x14ac:dyDescent="0.25">
      <c r="V196" s="48"/>
      <c r="W196" s="48"/>
      <c r="X196" s="48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</row>
    <row r="197" spans="22:42" x14ac:dyDescent="0.25">
      <c r="V197" s="48"/>
      <c r="W197" s="48"/>
      <c r="X197" s="48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</row>
    <row r="198" spans="22:42" x14ac:dyDescent="0.25">
      <c r="V198" s="48"/>
      <c r="W198" s="48"/>
      <c r="X198" s="48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</row>
    <row r="199" spans="22:42" x14ac:dyDescent="0.25">
      <c r="V199" s="48"/>
      <c r="W199" s="48"/>
      <c r="X199" s="48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</row>
    <row r="200" spans="22:42" x14ac:dyDescent="0.25">
      <c r="V200" s="48"/>
      <c r="W200" s="48"/>
      <c r="X200" s="48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</row>
    <row r="201" spans="22:42" x14ac:dyDescent="0.25">
      <c r="V201" s="48"/>
      <c r="W201" s="48"/>
      <c r="X201" s="48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</row>
    <row r="202" spans="22:42" x14ac:dyDescent="0.25">
      <c r="V202" s="48"/>
      <c r="W202" s="48"/>
      <c r="X202" s="48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</row>
    <row r="203" spans="22:42" x14ac:dyDescent="0.25">
      <c r="V203" s="48"/>
      <c r="W203" s="48"/>
      <c r="X203" s="48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</row>
    <row r="204" spans="22:42" x14ac:dyDescent="0.25">
      <c r="V204" s="48"/>
      <c r="W204" s="48"/>
      <c r="X204" s="48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</row>
    <row r="205" spans="22:42" x14ac:dyDescent="0.25">
      <c r="V205" s="48"/>
      <c r="W205" s="48"/>
      <c r="X205" s="48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</row>
    <row r="206" spans="22:42" x14ac:dyDescent="0.25">
      <c r="V206" s="48"/>
      <c r="W206" s="48"/>
      <c r="X206" s="48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</row>
    <row r="207" spans="22:42" x14ac:dyDescent="0.25">
      <c r="V207" s="48"/>
      <c r="W207" s="48"/>
      <c r="X207" s="48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</row>
    <row r="208" spans="22:42" x14ac:dyDescent="0.25">
      <c r="V208" s="48"/>
      <c r="W208" s="48"/>
      <c r="X208" s="48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</row>
    <row r="209" spans="22:42" x14ac:dyDescent="0.25">
      <c r="V209" s="48"/>
      <c r="W209" s="48"/>
      <c r="X209" s="48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</row>
    <row r="210" spans="22:42" x14ac:dyDescent="0.25">
      <c r="V210" s="48"/>
      <c r="W210" s="48"/>
      <c r="X210" s="48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</row>
    <row r="211" spans="22:42" x14ac:dyDescent="0.25">
      <c r="V211" s="48"/>
      <c r="W211" s="48"/>
      <c r="X211" s="48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</row>
    <row r="212" spans="22:42" x14ac:dyDescent="0.25">
      <c r="V212" s="48"/>
      <c r="W212" s="48"/>
      <c r="X212" s="48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</row>
    <row r="213" spans="22:42" x14ac:dyDescent="0.25">
      <c r="V213" s="48"/>
      <c r="W213" s="48"/>
      <c r="X213" s="48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</row>
    <row r="214" spans="22:42" x14ac:dyDescent="0.25">
      <c r="V214" s="48"/>
      <c r="W214" s="48"/>
      <c r="X214" s="48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</row>
    <row r="215" spans="22:42" x14ac:dyDescent="0.25">
      <c r="V215" s="48"/>
      <c r="W215" s="48"/>
      <c r="X215" s="48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</row>
    <row r="216" spans="22:42" x14ac:dyDescent="0.25">
      <c r="V216" s="48"/>
      <c r="W216" s="48"/>
      <c r="X216" s="48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</row>
    <row r="217" spans="22:42" x14ac:dyDescent="0.25">
      <c r="V217" s="48"/>
      <c r="W217" s="48"/>
      <c r="X217" s="48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</row>
    <row r="218" spans="22:42" x14ac:dyDescent="0.25">
      <c r="V218" s="48"/>
      <c r="W218" s="48"/>
      <c r="X218" s="48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</row>
    <row r="219" spans="22:42" x14ac:dyDescent="0.25">
      <c r="V219" s="48"/>
      <c r="W219" s="48"/>
      <c r="X219" s="48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</row>
    <row r="220" spans="22:42" x14ac:dyDescent="0.25">
      <c r="V220" s="48"/>
      <c r="W220" s="48"/>
      <c r="X220" s="48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</row>
    <row r="221" spans="22:42" x14ac:dyDescent="0.25">
      <c r="V221" s="48"/>
      <c r="W221" s="48"/>
      <c r="X221" s="48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</row>
    <row r="222" spans="22:42" x14ac:dyDescent="0.25">
      <c r="V222" s="48"/>
      <c r="W222" s="48"/>
      <c r="X222" s="48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</row>
    <row r="223" spans="22:42" x14ac:dyDescent="0.25">
      <c r="V223" s="48"/>
      <c r="W223" s="48"/>
      <c r="X223" s="48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</row>
    <row r="224" spans="22:42" x14ac:dyDescent="0.25">
      <c r="V224" s="48"/>
      <c r="W224" s="48"/>
      <c r="X224" s="48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</row>
    <row r="225" spans="22:42" x14ac:dyDescent="0.25">
      <c r="V225" s="48"/>
      <c r="W225" s="48"/>
      <c r="X225" s="48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</row>
    <row r="226" spans="22:42" x14ac:dyDescent="0.25">
      <c r="V226" s="48"/>
      <c r="W226" s="48"/>
      <c r="X226" s="48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</row>
    <row r="227" spans="22:42" x14ac:dyDescent="0.25">
      <c r="V227" s="48"/>
      <c r="W227" s="48"/>
      <c r="X227" s="48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</row>
    <row r="228" spans="22:42" x14ac:dyDescent="0.25">
      <c r="V228" s="48"/>
      <c r="W228" s="48"/>
      <c r="X228" s="48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</row>
    <row r="229" spans="22:42" x14ac:dyDescent="0.25">
      <c r="V229" s="48"/>
      <c r="W229" s="48"/>
      <c r="X229" s="48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</row>
    <row r="230" spans="22:42" x14ac:dyDescent="0.25">
      <c r="V230" s="48"/>
      <c r="W230" s="48"/>
      <c r="X230" s="48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</row>
    <row r="231" spans="22:42" x14ac:dyDescent="0.25">
      <c r="V231" s="48"/>
      <c r="W231" s="48"/>
      <c r="X231" s="48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</row>
    <row r="232" spans="22:42" x14ac:dyDescent="0.25">
      <c r="V232" s="48"/>
      <c r="W232" s="48"/>
      <c r="X232" s="48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</row>
    <row r="233" spans="22:42" x14ac:dyDescent="0.25">
      <c r="V233" s="48"/>
      <c r="W233" s="48"/>
      <c r="X233" s="48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</row>
    <row r="234" spans="22:42" x14ac:dyDescent="0.25">
      <c r="V234" s="48"/>
      <c r="W234" s="48"/>
      <c r="X234" s="48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</row>
    <row r="235" spans="22:42" x14ac:dyDescent="0.25">
      <c r="V235" s="48"/>
      <c r="W235" s="48"/>
      <c r="X235" s="48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</row>
    <row r="236" spans="22:42" x14ac:dyDescent="0.25">
      <c r="V236" s="48"/>
      <c r="W236" s="48"/>
      <c r="X236" s="48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</row>
    <row r="237" spans="22:42" x14ac:dyDescent="0.25">
      <c r="V237" s="48"/>
      <c r="W237" s="48"/>
      <c r="X237" s="48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</row>
    <row r="238" spans="22:42" x14ac:dyDescent="0.25">
      <c r="V238" s="48"/>
      <c r="W238" s="48"/>
      <c r="X238" s="48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</row>
    <row r="239" spans="22:42" x14ac:dyDescent="0.25">
      <c r="V239" s="48"/>
      <c r="W239" s="48"/>
      <c r="X239" s="48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</row>
    <row r="240" spans="22:42" x14ac:dyDescent="0.25">
      <c r="V240" s="48"/>
      <c r="W240" s="48"/>
      <c r="X240" s="48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</row>
    <row r="241" spans="22:42" x14ac:dyDescent="0.25">
      <c r="V241" s="48"/>
      <c r="W241" s="48"/>
      <c r="X241" s="48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</row>
    <row r="242" spans="22:42" x14ac:dyDescent="0.25">
      <c r="V242" s="48"/>
      <c r="W242" s="48"/>
      <c r="X242" s="48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</row>
    <row r="243" spans="22:42" x14ac:dyDescent="0.25">
      <c r="V243" s="48"/>
      <c r="W243" s="48"/>
      <c r="X243" s="48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</row>
    <row r="244" spans="22:42" x14ac:dyDescent="0.25">
      <c r="V244" s="48"/>
      <c r="W244" s="48"/>
      <c r="X244" s="48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</row>
    <row r="245" spans="22:42" x14ac:dyDescent="0.25">
      <c r="V245" s="48"/>
      <c r="W245" s="48"/>
      <c r="X245" s="48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</row>
    <row r="246" spans="22:42" x14ac:dyDescent="0.25">
      <c r="V246" s="48"/>
      <c r="W246" s="48"/>
      <c r="X246" s="48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</row>
    <row r="247" spans="22:42" x14ac:dyDescent="0.25">
      <c r="V247" s="48"/>
      <c r="W247" s="48"/>
      <c r="X247" s="48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</row>
    <row r="248" spans="22:42" x14ac:dyDescent="0.25">
      <c r="V248" s="48"/>
      <c r="W248" s="48"/>
      <c r="X248" s="48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</row>
    <row r="249" spans="22:42" x14ac:dyDescent="0.25">
      <c r="V249" s="48"/>
      <c r="W249" s="48"/>
      <c r="X249" s="48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</row>
    <row r="250" spans="22:42" x14ac:dyDescent="0.25">
      <c r="V250" s="48"/>
      <c r="W250" s="48"/>
      <c r="X250" s="48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</row>
    <row r="251" spans="22:42" x14ac:dyDescent="0.25">
      <c r="V251" s="48"/>
      <c r="W251" s="48"/>
      <c r="X251" s="48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</row>
    <row r="252" spans="22:42" x14ac:dyDescent="0.25">
      <c r="V252" s="48"/>
      <c r="W252" s="48"/>
      <c r="X252" s="48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</row>
    <row r="253" spans="22:42" x14ac:dyDescent="0.25">
      <c r="V253" s="48"/>
      <c r="W253" s="48"/>
      <c r="X253" s="48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</row>
    <row r="254" spans="22:42" x14ac:dyDescent="0.25">
      <c r="V254" s="48"/>
      <c r="W254" s="48"/>
      <c r="X254" s="48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</row>
    <row r="255" spans="22:42" x14ac:dyDescent="0.25">
      <c r="V255" s="48"/>
      <c r="W255" s="48"/>
      <c r="X255" s="48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</row>
    <row r="256" spans="22:42" x14ac:dyDescent="0.25">
      <c r="V256" s="48"/>
      <c r="W256" s="48"/>
      <c r="X256" s="48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</row>
    <row r="257" spans="22:42" x14ac:dyDescent="0.25">
      <c r="V257" s="48"/>
      <c r="W257" s="48"/>
      <c r="X257" s="48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</row>
    <row r="258" spans="22:42" x14ac:dyDescent="0.25">
      <c r="V258" s="48"/>
      <c r="W258" s="48"/>
      <c r="X258" s="48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</row>
    <row r="259" spans="22:42" x14ac:dyDescent="0.25">
      <c r="V259" s="48"/>
      <c r="W259" s="48"/>
      <c r="X259" s="48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</row>
    <row r="260" spans="22:42" x14ac:dyDescent="0.25">
      <c r="V260" s="48"/>
      <c r="W260" s="48"/>
      <c r="X260" s="48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</row>
    <row r="261" spans="22:42" x14ac:dyDescent="0.25">
      <c r="V261" s="48"/>
      <c r="W261" s="48"/>
      <c r="X261" s="48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</row>
    <row r="262" spans="22:42" x14ac:dyDescent="0.25">
      <c r="V262" s="48"/>
      <c r="W262" s="48"/>
      <c r="X262" s="48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</row>
    <row r="263" spans="22:42" x14ac:dyDescent="0.25">
      <c r="V263" s="48"/>
      <c r="W263" s="48"/>
      <c r="X263" s="48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</row>
    <row r="264" spans="22:42" x14ac:dyDescent="0.25">
      <c r="V264" s="48"/>
      <c r="W264" s="48"/>
      <c r="X264" s="48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</row>
    <row r="265" spans="22:42" x14ac:dyDescent="0.25">
      <c r="V265" s="48"/>
      <c r="W265" s="48"/>
      <c r="X265" s="48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</row>
    <row r="266" spans="22:42" x14ac:dyDescent="0.25">
      <c r="V266" s="48"/>
      <c r="W266" s="48"/>
      <c r="X266" s="48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</row>
    <row r="267" spans="22:42" x14ac:dyDescent="0.25">
      <c r="V267" s="48"/>
      <c r="W267" s="48"/>
      <c r="X267" s="48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</row>
    <row r="268" spans="22:42" x14ac:dyDescent="0.25">
      <c r="V268" s="48"/>
      <c r="W268" s="48"/>
      <c r="X268" s="48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</row>
    <row r="269" spans="22:42" x14ac:dyDescent="0.25">
      <c r="V269" s="48"/>
      <c r="W269" s="48"/>
      <c r="X269" s="48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</row>
    <row r="270" spans="22:42" x14ac:dyDescent="0.25">
      <c r="V270" s="48"/>
      <c r="W270" s="48"/>
      <c r="X270" s="48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</row>
    <row r="271" spans="22:42" x14ac:dyDescent="0.25">
      <c r="V271" s="48"/>
      <c r="W271" s="48"/>
      <c r="X271" s="48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</row>
    <row r="272" spans="22:42" x14ac:dyDescent="0.25">
      <c r="V272" s="48"/>
      <c r="W272" s="48"/>
      <c r="X272" s="48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</row>
    <row r="273" spans="22:42" x14ac:dyDescent="0.25">
      <c r="V273" s="48"/>
      <c r="W273" s="48"/>
      <c r="X273" s="48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</row>
    <row r="274" spans="22:42" x14ac:dyDescent="0.25">
      <c r="V274" s="48"/>
      <c r="W274" s="48"/>
      <c r="X274" s="48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</row>
    <row r="275" spans="22:42" x14ac:dyDescent="0.25">
      <c r="V275" s="48"/>
      <c r="W275" s="48"/>
      <c r="X275" s="48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</row>
    <row r="276" spans="22:42" x14ac:dyDescent="0.25">
      <c r="V276" s="48"/>
      <c r="W276" s="48"/>
      <c r="X276" s="48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</row>
    <row r="277" spans="22:42" x14ac:dyDescent="0.25">
      <c r="V277" s="48"/>
      <c r="W277" s="48"/>
      <c r="X277" s="48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</row>
    <row r="278" spans="22:42" x14ac:dyDescent="0.25">
      <c r="V278" s="48"/>
      <c r="W278" s="48"/>
      <c r="X278" s="48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</row>
    <row r="279" spans="22:42" x14ac:dyDescent="0.25">
      <c r="V279" s="48"/>
      <c r="W279" s="48"/>
      <c r="X279" s="48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</row>
    <row r="280" spans="22:42" x14ac:dyDescent="0.25">
      <c r="V280" s="48"/>
      <c r="W280" s="48"/>
      <c r="X280" s="48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</row>
    <row r="281" spans="22:42" x14ac:dyDescent="0.25">
      <c r="V281" s="48"/>
      <c r="W281" s="48"/>
      <c r="X281" s="48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</row>
    <row r="282" spans="22:42" x14ac:dyDescent="0.25">
      <c r="V282" s="48"/>
      <c r="W282" s="48"/>
      <c r="X282" s="48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</row>
    <row r="283" spans="22:42" x14ac:dyDescent="0.25">
      <c r="V283" s="48"/>
      <c r="W283" s="48"/>
      <c r="X283" s="48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</row>
    <row r="284" spans="22:42" x14ac:dyDescent="0.25">
      <c r="V284" s="48"/>
      <c r="W284" s="48"/>
      <c r="X284" s="48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</row>
    <row r="285" spans="22:42" x14ac:dyDescent="0.25">
      <c r="V285" s="48"/>
      <c r="W285" s="48"/>
      <c r="X285" s="48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</row>
    <row r="286" spans="22:42" x14ac:dyDescent="0.25">
      <c r="V286" s="48"/>
      <c r="W286" s="48"/>
      <c r="X286" s="48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</row>
    <row r="287" spans="22:42" x14ac:dyDescent="0.25">
      <c r="V287" s="48"/>
      <c r="W287" s="48"/>
      <c r="X287" s="48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</row>
    <row r="288" spans="22:42" x14ac:dyDescent="0.25">
      <c r="V288" s="48"/>
      <c r="W288" s="48"/>
      <c r="X288" s="48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</row>
    <row r="289" spans="22:42" x14ac:dyDescent="0.25">
      <c r="V289" s="48"/>
      <c r="W289" s="48"/>
      <c r="X289" s="48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</row>
    <row r="290" spans="22:42" x14ac:dyDescent="0.25">
      <c r="V290" s="48"/>
      <c r="W290" s="48"/>
      <c r="X290" s="48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</row>
    <row r="291" spans="22:42" x14ac:dyDescent="0.25">
      <c r="V291" s="48"/>
      <c r="W291" s="48"/>
      <c r="X291" s="48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</row>
    <row r="292" spans="22:42" x14ac:dyDescent="0.25">
      <c r="V292" s="48"/>
      <c r="W292" s="48"/>
      <c r="X292" s="48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</row>
    <row r="293" spans="22:42" x14ac:dyDescent="0.25">
      <c r="V293" s="48"/>
      <c r="W293" s="48"/>
      <c r="X293" s="48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</row>
    <row r="294" spans="22:42" x14ac:dyDescent="0.25">
      <c r="V294" s="48"/>
      <c r="W294" s="48"/>
      <c r="X294" s="48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</row>
    <row r="295" spans="22:42" x14ac:dyDescent="0.25">
      <c r="V295" s="48"/>
      <c r="W295" s="48"/>
      <c r="X295" s="48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</row>
    <row r="296" spans="22:42" x14ac:dyDescent="0.25">
      <c r="V296" s="48"/>
      <c r="W296" s="48"/>
      <c r="X296" s="48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</row>
    <row r="297" spans="22:42" x14ac:dyDescent="0.25">
      <c r="V297" s="48"/>
      <c r="W297" s="48"/>
      <c r="X297" s="48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</row>
    <row r="298" spans="22:42" x14ac:dyDescent="0.25">
      <c r="V298" s="48"/>
      <c r="W298" s="48"/>
      <c r="X298" s="48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</row>
    <row r="299" spans="22:42" x14ac:dyDescent="0.25">
      <c r="V299" s="48"/>
      <c r="W299" s="48"/>
      <c r="X299" s="48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</row>
    <row r="300" spans="22:42" x14ac:dyDescent="0.25">
      <c r="V300" s="48"/>
      <c r="W300" s="48"/>
      <c r="X300" s="48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</row>
    <row r="301" spans="22:42" x14ac:dyDescent="0.25">
      <c r="V301" s="48"/>
      <c r="W301" s="48"/>
      <c r="X301" s="48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</row>
    <row r="302" spans="22:42" x14ac:dyDescent="0.25">
      <c r="V302" s="48"/>
      <c r="W302" s="48"/>
      <c r="X302" s="48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</row>
    <row r="303" spans="22:42" x14ac:dyDescent="0.25">
      <c r="V303" s="48"/>
      <c r="W303" s="48"/>
      <c r="X303" s="48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</row>
    <row r="304" spans="22:42" x14ac:dyDescent="0.25">
      <c r="V304" s="48"/>
      <c r="W304" s="48"/>
      <c r="X304" s="48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</row>
    <row r="305" spans="22:42" x14ac:dyDescent="0.25">
      <c r="V305" s="48"/>
      <c r="W305" s="48"/>
      <c r="X305" s="48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</row>
    <row r="306" spans="22:42" x14ac:dyDescent="0.25">
      <c r="V306" s="48"/>
      <c r="W306" s="48"/>
      <c r="X306" s="48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</row>
    <row r="307" spans="22:42" x14ac:dyDescent="0.25">
      <c r="V307" s="48"/>
      <c r="W307" s="48"/>
      <c r="X307" s="48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</row>
    <row r="308" spans="22:42" x14ac:dyDescent="0.25">
      <c r="V308" s="48"/>
      <c r="W308" s="48"/>
      <c r="X308" s="48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</row>
    <row r="309" spans="22:42" x14ac:dyDescent="0.25">
      <c r="V309" s="48"/>
      <c r="W309" s="48"/>
      <c r="X309" s="48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</row>
    <row r="310" spans="22:42" x14ac:dyDescent="0.25">
      <c r="V310" s="48"/>
      <c r="W310" s="48"/>
      <c r="X310" s="48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</row>
    <row r="311" spans="22:42" x14ac:dyDescent="0.25">
      <c r="V311" s="48"/>
      <c r="W311" s="48"/>
      <c r="X311" s="48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</row>
    <row r="312" spans="22:42" x14ac:dyDescent="0.25">
      <c r="V312" s="48"/>
      <c r="W312" s="48"/>
      <c r="X312" s="48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</row>
    <row r="313" spans="22:42" x14ac:dyDescent="0.25">
      <c r="V313" s="48"/>
      <c r="W313" s="48"/>
      <c r="X313" s="48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</row>
    <row r="314" spans="22:42" x14ac:dyDescent="0.25">
      <c r="V314" s="48"/>
      <c r="W314" s="48"/>
      <c r="X314" s="48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</row>
    <row r="315" spans="22:42" x14ac:dyDescent="0.25">
      <c r="V315" s="48"/>
      <c r="W315" s="48"/>
      <c r="X315" s="48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</row>
    <row r="316" spans="22:42" x14ac:dyDescent="0.25">
      <c r="V316" s="48"/>
      <c r="W316" s="48"/>
      <c r="X316" s="48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</row>
    <row r="317" spans="22:42" x14ac:dyDescent="0.25">
      <c r="V317" s="48"/>
      <c r="W317" s="48"/>
      <c r="X317" s="48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</row>
    <row r="318" spans="22:42" x14ac:dyDescent="0.25">
      <c r="V318" s="48"/>
      <c r="W318" s="48"/>
      <c r="X318" s="48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</row>
    <row r="319" spans="22:42" x14ac:dyDescent="0.25">
      <c r="V319" s="48"/>
      <c r="W319" s="48"/>
      <c r="X319" s="48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</row>
    <row r="320" spans="22:42" x14ac:dyDescent="0.25">
      <c r="V320" s="48"/>
      <c r="W320" s="48"/>
      <c r="X320" s="48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</row>
    <row r="321" spans="22:42" x14ac:dyDescent="0.25">
      <c r="V321" s="48"/>
      <c r="W321" s="48"/>
      <c r="X321" s="48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</row>
    <row r="322" spans="22:42" x14ac:dyDescent="0.25">
      <c r="V322" s="48"/>
      <c r="W322" s="48"/>
      <c r="X322" s="48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</row>
    <row r="323" spans="22:42" x14ac:dyDescent="0.25">
      <c r="V323" s="48"/>
      <c r="W323" s="48"/>
      <c r="X323" s="48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</row>
    <row r="324" spans="22:42" x14ac:dyDescent="0.25">
      <c r="V324" s="48"/>
      <c r="W324" s="48"/>
      <c r="X324" s="48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</row>
    <row r="325" spans="22:42" x14ac:dyDescent="0.25">
      <c r="V325" s="48"/>
      <c r="W325" s="48"/>
      <c r="X325" s="48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</row>
    <row r="326" spans="22:42" x14ac:dyDescent="0.25">
      <c r="V326" s="48"/>
      <c r="W326" s="48"/>
      <c r="X326" s="48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</row>
    <row r="327" spans="22:42" x14ac:dyDescent="0.25">
      <c r="V327" s="48"/>
      <c r="W327" s="48"/>
      <c r="X327" s="48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</row>
    <row r="328" spans="22:42" x14ac:dyDescent="0.25">
      <c r="V328" s="48"/>
      <c r="W328" s="48"/>
      <c r="X328" s="48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</row>
    <row r="329" spans="22:42" x14ac:dyDescent="0.25">
      <c r="V329" s="48"/>
      <c r="W329" s="48"/>
      <c r="X329" s="48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</row>
    <row r="330" spans="22:42" x14ac:dyDescent="0.25">
      <c r="V330" s="48"/>
      <c r="W330" s="48"/>
      <c r="X330" s="48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</row>
    <row r="331" spans="22:42" x14ac:dyDescent="0.25">
      <c r="V331" s="48"/>
      <c r="W331" s="48"/>
      <c r="X331" s="48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</row>
    <row r="332" spans="22:42" x14ac:dyDescent="0.25">
      <c r="V332" s="48"/>
      <c r="W332" s="48"/>
      <c r="X332" s="48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</row>
    <row r="333" spans="22:42" x14ac:dyDescent="0.25">
      <c r="V333" s="48"/>
      <c r="W333" s="48"/>
      <c r="X333" s="48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</row>
    <row r="334" spans="22:42" x14ac:dyDescent="0.25">
      <c r="V334" s="48"/>
      <c r="W334" s="48"/>
      <c r="X334" s="48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</row>
    <row r="335" spans="22:42" x14ac:dyDescent="0.25">
      <c r="V335" s="48"/>
      <c r="W335" s="48"/>
      <c r="X335" s="48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</row>
    <row r="336" spans="22:42" x14ac:dyDescent="0.25">
      <c r="V336" s="48"/>
      <c r="W336" s="48"/>
      <c r="X336" s="48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</row>
    <row r="337" spans="22:42" x14ac:dyDescent="0.25">
      <c r="V337" s="48"/>
      <c r="W337" s="48"/>
      <c r="X337" s="48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50"/>
    </row>
    <row r="338" spans="22:42" x14ac:dyDescent="0.25">
      <c r="V338" s="48"/>
      <c r="W338" s="48"/>
      <c r="X338" s="48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50"/>
    </row>
    <row r="339" spans="22:42" x14ac:dyDescent="0.25">
      <c r="V339" s="48"/>
      <c r="W339" s="48"/>
      <c r="X339" s="48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50"/>
    </row>
    <row r="340" spans="22:42" x14ac:dyDescent="0.25">
      <c r="V340" s="48"/>
      <c r="W340" s="48"/>
      <c r="X340" s="48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50"/>
    </row>
    <row r="341" spans="22:42" x14ac:dyDescent="0.25">
      <c r="V341" s="48"/>
      <c r="W341" s="48"/>
      <c r="X341" s="48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</row>
    <row r="342" spans="22:42" x14ac:dyDescent="0.25">
      <c r="V342" s="48"/>
      <c r="W342" s="48"/>
      <c r="X342" s="48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</row>
    <row r="343" spans="22:42" x14ac:dyDescent="0.25">
      <c r="V343" s="48"/>
      <c r="W343" s="48"/>
      <c r="X343" s="48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</row>
    <row r="344" spans="22:42" x14ac:dyDescent="0.25">
      <c r="V344" s="48"/>
      <c r="W344" s="48"/>
      <c r="X344" s="48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50"/>
    </row>
    <row r="345" spans="22:42" x14ac:dyDescent="0.25">
      <c r="V345" s="48"/>
      <c r="W345" s="48"/>
      <c r="X345" s="48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50"/>
    </row>
    <row r="346" spans="22:42" x14ac:dyDescent="0.25">
      <c r="V346" s="48"/>
      <c r="W346" s="48"/>
      <c r="X346" s="48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50"/>
    </row>
    <row r="347" spans="22:42" x14ac:dyDescent="0.25">
      <c r="V347" s="48"/>
      <c r="W347" s="48"/>
      <c r="X347" s="48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50"/>
    </row>
    <row r="348" spans="22:42" x14ac:dyDescent="0.25">
      <c r="V348" s="48"/>
      <c r="W348" s="48"/>
      <c r="X348" s="48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50"/>
    </row>
    <row r="349" spans="22:42" x14ac:dyDescent="0.25">
      <c r="V349" s="48"/>
      <c r="W349" s="48"/>
      <c r="X349" s="48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</row>
    <row r="350" spans="22:42" x14ac:dyDescent="0.25">
      <c r="V350" s="48"/>
      <c r="W350" s="48"/>
      <c r="X350" s="48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50"/>
    </row>
    <row r="351" spans="22:42" x14ac:dyDescent="0.25">
      <c r="V351" s="48"/>
      <c r="W351" s="48"/>
      <c r="X351" s="48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</row>
    <row r="352" spans="22:42" x14ac:dyDescent="0.25">
      <c r="V352" s="48"/>
      <c r="W352" s="48"/>
      <c r="X352" s="48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</row>
    <row r="353" spans="22:42" x14ac:dyDescent="0.25">
      <c r="V353" s="48"/>
      <c r="W353" s="48"/>
      <c r="X353" s="48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</row>
    <row r="354" spans="22:42" x14ac:dyDescent="0.25">
      <c r="V354" s="48"/>
      <c r="W354" s="48"/>
      <c r="X354" s="48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</row>
    <row r="355" spans="22:42" x14ac:dyDescent="0.25">
      <c r="V355" s="48"/>
      <c r="W355" s="48"/>
      <c r="X355" s="48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</row>
    <row r="356" spans="22:42" x14ac:dyDescent="0.25">
      <c r="V356" s="48"/>
      <c r="W356" s="48"/>
      <c r="X356" s="48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50"/>
    </row>
    <row r="357" spans="22:42" x14ac:dyDescent="0.25">
      <c r="V357" s="48"/>
      <c r="W357" s="48"/>
      <c r="X357" s="48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</row>
    <row r="358" spans="22:42" x14ac:dyDescent="0.25">
      <c r="V358" s="48"/>
      <c r="W358" s="48"/>
      <c r="X358" s="48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</row>
    <row r="359" spans="22:42" x14ac:dyDescent="0.25">
      <c r="V359" s="48"/>
      <c r="W359" s="48"/>
      <c r="X359" s="48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50"/>
    </row>
    <row r="360" spans="22:42" x14ac:dyDescent="0.25">
      <c r="V360" s="48"/>
      <c r="W360" s="48"/>
      <c r="X360" s="48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</row>
    <row r="361" spans="22:42" x14ac:dyDescent="0.25">
      <c r="V361" s="48"/>
      <c r="W361" s="48"/>
      <c r="X361" s="48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50"/>
    </row>
    <row r="362" spans="22:42" x14ac:dyDescent="0.25">
      <c r="V362" s="48"/>
      <c r="W362" s="48"/>
      <c r="X362" s="48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50"/>
    </row>
    <row r="363" spans="22:42" x14ac:dyDescent="0.25">
      <c r="V363" s="48"/>
      <c r="W363" s="48"/>
      <c r="X363" s="48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50"/>
    </row>
    <row r="364" spans="22:42" x14ac:dyDescent="0.25">
      <c r="V364" s="48"/>
      <c r="W364" s="48"/>
      <c r="X364" s="48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50"/>
    </row>
    <row r="365" spans="22:42" x14ac:dyDescent="0.25">
      <c r="V365" s="48"/>
      <c r="W365" s="48"/>
      <c r="X365" s="48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50"/>
    </row>
    <row r="366" spans="22:42" x14ac:dyDescent="0.25">
      <c r="V366" s="48"/>
      <c r="W366" s="48"/>
      <c r="X366" s="48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50"/>
    </row>
    <row r="367" spans="22:42" x14ac:dyDescent="0.25">
      <c r="V367" s="48"/>
      <c r="W367" s="48"/>
      <c r="X367" s="48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50"/>
    </row>
    <row r="368" spans="22:42" x14ac:dyDescent="0.25">
      <c r="V368" s="48"/>
      <c r="W368" s="48"/>
      <c r="X368" s="48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</row>
    <row r="369" spans="22:42" x14ac:dyDescent="0.25">
      <c r="V369" s="48"/>
      <c r="W369" s="48"/>
      <c r="X369" s="48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50"/>
    </row>
    <row r="370" spans="22:42" x14ac:dyDescent="0.25">
      <c r="V370" s="48"/>
      <c r="W370" s="48"/>
      <c r="X370" s="48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</row>
    <row r="371" spans="22:42" x14ac:dyDescent="0.25">
      <c r="V371" s="48"/>
      <c r="W371" s="48"/>
      <c r="X371" s="48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</row>
    <row r="372" spans="22:42" x14ac:dyDescent="0.25">
      <c r="V372" s="48"/>
      <c r="W372" s="48"/>
      <c r="X372" s="48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</row>
    <row r="373" spans="22:42" x14ac:dyDescent="0.25">
      <c r="V373" s="48"/>
      <c r="W373" s="48"/>
      <c r="X373" s="48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50"/>
    </row>
    <row r="374" spans="22:42" x14ac:dyDescent="0.25">
      <c r="V374" s="48"/>
      <c r="W374" s="48"/>
      <c r="X374" s="48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</row>
    <row r="375" spans="22:42" x14ac:dyDescent="0.25">
      <c r="V375" s="48"/>
      <c r="W375" s="48"/>
      <c r="X375" s="48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50"/>
    </row>
    <row r="376" spans="22:42" x14ac:dyDescent="0.25">
      <c r="V376" s="48"/>
      <c r="W376" s="48"/>
      <c r="X376" s="48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50"/>
    </row>
    <row r="377" spans="22:42" x14ac:dyDescent="0.25">
      <c r="V377" s="48"/>
      <c r="W377" s="48"/>
      <c r="X377" s="48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50"/>
    </row>
    <row r="378" spans="22:42" x14ac:dyDescent="0.25">
      <c r="V378" s="48"/>
      <c r="W378" s="48"/>
      <c r="X378" s="48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50"/>
    </row>
    <row r="379" spans="22:42" x14ac:dyDescent="0.25">
      <c r="V379" s="48"/>
      <c r="W379" s="48"/>
      <c r="X379" s="48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50"/>
    </row>
    <row r="380" spans="22:42" x14ac:dyDescent="0.25">
      <c r="V380" s="48"/>
      <c r="W380" s="48"/>
      <c r="X380" s="48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50"/>
    </row>
    <row r="381" spans="22:42" x14ac:dyDescent="0.25">
      <c r="V381" s="48"/>
      <c r="W381" s="48"/>
      <c r="X381" s="48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50"/>
    </row>
    <row r="382" spans="22:42" x14ac:dyDescent="0.25">
      <c r="V382" s="48"/>
      <c r="W382" s="48"/>
      <c r="X382" s="48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50"/>
    </row>
    <row r="383" spans="22:42" x14ac:dyDescent="0.25">
      <c r="V383" s="48"/>
      <c r="W383" s="48"/>
      <c r="X383" s="48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50"/>
    </row>
    <row r="384" spans="22:42" x14ac:dyDescent="0.25">
      <c r="V384" s="48"/>
      <c r="W384" s="48"/>
      <c r="X384" s="48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50"/>
    </row>
    <row r="385" spans="22:42" x14ac:dyDescent="0.25">
      <c r="V385" s="48"/>
      <c r="W385" s="48"/>
      <c r="X385" s="48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50"/>
    </row>
    <row r="386" spans="22:42" x14ac:dyDescent="0.25">
      <c r="V386" s="48"/>
      <c r="W386" s="48"/>
      <c r="X386" s="48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50"/>
    </row>
    <row r="387" spans="22:42" x14ac:dyDescent="0.25">
      <c r="V387" s="48"/>
      <c r="W387" s="48"/>
      <c r="X387" s="48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</row>
    <row r="388" spans="22:42" x14ac:dyDescent="0.25">
      <c r="V388" s="48"/>
      <c r="W388" s="48"/>
      <c r="X388" s="48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</row>
    <row r="389" spans="22:42" x14ac:dyDescent="0.25">
      <c r="V389" s="48"/>
      <c r="W389" s="48"/>
      <c r="X389" s="48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</row>
    <row r="390" spans="22:42" x14ac:dyDescent="0.25">
      <c r="V390" s="48"/>
      <c r="W390" s="48"/>
      <c r="X390" s="48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</row>
    <row r="391" spans="22:42" x14ac:dyDescent="0.25">
      <c r="V391" s="48"/>
      <c r="W391" s="48"/>
      <c r="X391" s="48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50"/>
    </row>
    <row r="392" spans="22:42" x14ac:dyDescent="0.25">
      <c r="V392" s="48"/>
      <c r="W392" s="48"/>
      <c r="X392" s="48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50"/>
    </row>
    <row r="393" spans="22:42" x14ac:dyDescent="0.25">
      <c r="V393" s="48"/>
      <c r="W393" s="48"/>
      <c r="X393" s="48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50"/>
    </row>
    <row r="394" spans="22:42" x14ac:dyDescent="0.25">
      <c r="V394" s="48"/>
      <c r="W394" s="48"/>
      <c r="X394" s="48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50"/>
    </row>
    <row r="395" spans="22:42" x14ac:dyDescent="0.25">
      <c r="V395" s="48"/>
      <c r="W395" s="48"/>
      <c r="X395" s="48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50"/>
    </row>
    <row r="396" spans="22:42" x14ac:dyDescent="0.25">
      <c r="V396" s="48"/>
      <c r="W396" s="48"/>
      <c r="X396" s="48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50"/>
    </row>
    <row r="397" spans="22:42" x14ac:dyDescent="0.25">
      <c r="V397" s="48"/>
      <c r="W397" s="48"/>
      <c r="X397" s="48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50"/>
    </row>
    <row r="398" spans="22:42" x14ac:dyDescent="0.25">
      <c r="V398" s="48"/>
      <c r="W398" s="48"/>
      <c r="X398" s="48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50"/>
    </row>
    <row r="399" spans="22:42" x14ac:dyDescent="0.25">
      <c r="V399" s="48"/>
      <c r="W399" s="48"/>
      <c r="X399" s="48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</row>
    <row r="400" spans="22:42" x14ac:dyDescent="0.25">
      <c r="V400" s="48"/>
      <c r="W400" s="48"/>
      <c r="X400" s="48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50"/>
    </row>
    <row r="401" spans="22:42" x14ac:dyDescent="0.25">
      <c r="V401" s="48"/>
      <c r="W401" s="48"/>
      <c r="X401" s="48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50"/>
    </row>
    <row r="402" spans="22:42" x14ac:dyDescent="0.25">
      <c r="V402" s="48"/>
      <c r="W402" s="48"/>
      <c r="X402" s="48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50"/>
    </row>
    <row r="403" spans="22:42" x14ac:dyDescent="0.25">
      <c r="V403" s="48"/>
      <c r="W403" s="48"/>
      <c r="X403" s="48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50"/>
    </row>
    <row r="404" spans="22:42" x14ac:dyDescent="0.25">
      <c r="V404" s="48"/>
      <c r="W404" s="48"/>
      <c r="X404" s="48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50"/>
    </row>
    <row r="405" spans="22:42" x14ac:dyDescent="0.25">
      <c r="V405" s="48"/>
      <c r="W405" s="48"/>
      <c r="X405" s="48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50"/>
    </row>
    <row r="406" spans="22:42" x14ac:dyDescent="0.25">
      <c r="V406" s="48"/>
      <c r="W406" s="48"/>
      <c r="X406" s="48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</row>
    <row r="407" spans="22:42" x14ac:dyDescent="0.25">
      <c r="V407" s="48"/>
      <c r="W407" s="48"/>
      <c r="X407" s="48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</row>
    <row r="408" spans="22:42" x14ac:dyDescent="0.25">
      <c r="V408" s="48"/>
      <c r="W408" s="48"/>
      <c r="X408" s="48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</row>
    <row r="409" spans="22:42" x14ac:dyDescent="0.25">
      <c r="V409" s="48"/>
      <c r="W409" s="48"/>
      <c r="X409" s="48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50"/>
    </row>
    <row r="410" spans="22:42" x14ac:dyDescent="0.25">
      <c r="V410" s="48"/>
      <c r="W410" s="48"/>
      <c r="X410" s="48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50"/>
    </row>
    <row r="411" spans="22:42" x14ac:dyDescent="0.25">
      <c r="V411" s="48"/>
      <c r="W411" s="48"/>
      <c r="X411" s="48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50"/>
    </row>
    <row r="412" spans="22:42" x14ac:dyDescent="0.25">
      <c r="V412" s="48"/>
      <c r="W412" s="48"/>
      <c r="X412" s="48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50"/>
    </row>
    <row r="413" spans="22:42" x14ac:dyDescent="0.25">
      <c r="V413" s="48"/>
      <c r="W413" s="48"/>
      <c r="X413" s="48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50"/>
    </row>
    <row r="414" spans="22:42" x14ac:dyDescent="0.25">
      <c r="V414" s="48"/>
      <c r="W414" s="48"/>
      <c r="X414" s="48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50"/>
    </row>
    <row r="415" spans="22:42" x14ac:dyDescent="0.25">
      <c r="V415" s="48"/>
      <c r="W415" s="48"/>
      <c r="X415" s="48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</row>
    <row r="416" spans="22:42" x14ac:dyDescent="0.25">
      <c r="V416" s="48"/>
      <c r="W416" s="48"/>
      <c r="X416" s="48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50"/>
    </row>
    <row r="417" spans="22:42" x14ac:dyDescent="0.25">
      <c r="V417" s="48"/>
      <c r="W417" s="48"/>
      <c r="X417" s="48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50"/>
    </row>
    <row r="418" spans="22:42" x14ac:dyDescent="0.25">
      <c r="V418" s="48"/>
      <c r="W418" s="48"/>
      <c r="X418" s="48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50"/>
    </row>
    <row r="419" spans="22:42" x14ac:dyDescent="0.25">
      <c r="V419" s="48"/>
      <c r="W419" s="48"/>
      <c r="X419" s="48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50"/>
    </row>
    <row r="420" spans="22:42" x14ac:dyDescent="0.25">
      <c r="V420" s="48"/>
      <c r="W420" s="48"/>
      <c r="X420" s="48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50"/>
    </row>
    <row r="421" spans="22:42" x14ac:dyDescent="0.25">
      <c r="V421" s="48"/>
      <c r="W421" s="48"/>
      <c r="X421" s="48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50"/>
    </row>
    <row r="422" spans="22:42" x14ac:dyDescent="0.25">
      <c r="V422" s="48"/>
      <c r="W422" s="48"/>
      <c r="X422" s="48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50"/>
    </row>
    <row r="423" spans="22:42" x14ac:dyDescent="0.25">
      <c r="V423" s="48"/>
      <c r="W423" s="48"/>
      <c r="X423" s="48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50"/>
    </row>
    <row r="424" spans="22:42" x14ac:dyDescent="0.25">
      <c r="V424" s="48"/>
      <c r="W424" s="48"/>
      <c r="X424" s="48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50"/>
    </row>
    <row r="425" spans="22:42" x14ac:dyDescent="0.25">
      <c r="V425" s="48"/>
      <c r="W425" s="48"/>
      <c r="X425" s="48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50"/>
    </row>
    <row r="426" spans="22:42" x14ac:dyDescent="0.25">
      <c r="V426" s="48"/>
      <c r="W426" s="48"/>
      <c r="X426" s="48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</row>
    <row r="427" spans="22:42" x14ac:dyDescent="0.25">
      <c r="V427" s="48"/>
      <c r="W427" s="48"/>
      <c r="X427" s="48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50"/>
    </row>
    <row r="428" spans="22:42" x14ac:dyDescent="0.25">
      <c r="V428" s="48"/>
      <c r="W428" s="48"/>
      <c r="X428" s="48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50"/>
    </row>
    <row r="429" spans="22:42" x14ac:dyDescent="0.25"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50"/>
    </row>
    <row r="430" spans="22:42" x14ac:dyDescent="0.25"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50"/>
    </row>
    <row r="431" spans="22:42" x14ac:dyDescent="0.25"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50"/>
    </row>
    <row r="432" spans="22:42" x14ac:dyDescent="0.25"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50"/>
    </row>
    <row r="433" spans="23:42" x14ac:dyDescent="0.25"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50"/>
    </row>
    <row r="434" spans="23:42" x14ac:dyDescent="0.25"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50"/>
    </row>
    <row r="435" spans="23:42" x14ac:dyDescent="0.25"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50"/>
    </row>
    <row r="436" spans="23:42" x14ac:dyDescent="0.25"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50"/>
    </row>
    <row r="437" spans="23:42" x14ac:dyDescent="0.25"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50"/>
    </row>
    <row r="438" spans="23:42" x14ac:dyDescent="0.25"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50"/>
    </row>
    <row r="439" spans="23:42" x14ac:dyDescent="0.25"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50"/>
    </row>
    <row r="440" spans="23:42" x14ac:dyDescent="0.25"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50"/>
    </row>
    <row r="441" spans="23:42" x14ac:dyDescent="0.25"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50"/>
    </row>
    <row r="442" spans="23:42" x14ac:dyDescent="0.25"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50"/>
    </row>
    <row r="443" spans="23:42" x14ac:dyDescent="0.25"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</row>
    <row r="444" spans="23:42" x14ac:dyDescent="0.25"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50"/>
    </row>
    <row r="445" spans="23:42" x14ac:dyDescent="0.25"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50"/>
    </row>
    <row r="446" spans="23:42" x14ac:dyDescent="0.25"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50"/>
    </row>
    <row r="447" spans="23:42" x14ac:dyDescent="0.25"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50"/>
    </row>
    <row r="448" spans="23:42" x14ac:dyDescent="0.25"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50"/>
    </row>
    <row r="449" spans="23:42" x14ac:dyDescent="0.25"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50"/>
    </row>
    <row r="450" spans="23:42" x14ac:dyDescent="0.25"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50"/>
    </row>
    <row r="451" spans="23:42" x14ac:dyDescent="0.25"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50"/>
    </row>
    <row r="452" spans="23:42" x14ac:dyDescent="0.25"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  <c r="AK452" s="50"/>
      <c r="AL452" s="50"/>
      <c r="AM452" s="50"/>
      <c r="AN452" s="50"/>
      <c r="AO452" s="50"/>
      <c r="AP452" s="50"/>
    </row>
    <row r="453" spans="23:42" x14ac:dyDescent="0.25"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50"/>
      <c r="AL453" s="50"/>
      <c r="AM453" s="50"/>
      <c r="AN453" s="50"/>
      <c r="AO453" s="50"/>
      <c r="AP453" s="50"/>
    </row>
    <row r="454" spans="23:42" x14ac:dyDescent="0.25"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  <c r="AJ454" s="50"/>
      <c r="AK454" s="50"/>
      <c r="AL454" s="50"/>
      <c r="AM454" s="50"/>
      <c r="AN454" s="50"/>
      <c r="AO454" s="50"/>
      <c r="AP454" s="50"/>
    </row>
    <row r="455" spans="23:42" x14ac:dyDescent="0.25"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50"/>
      <c r="AL455" s="50"/>
      <c r="AM455" s="50"/>
      <c r="AN455" s="50"/>
      <c r="AO455" s="50"/>
      <c r="AP455" s="50"/>
    </row>
    <row r="456" spans="23:42" x14ac:dyDescent="0.25"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50"/>
      <c r="AI456" s="50"/>
      <c r="AJ456" s="50"/>
      <c r="AK456" s="50"/>
      <c r="AL456" s="50"/>
      <c r="AM456" s="50"/>
      <c r="AN456" s="50"/>
      <c r="AO456" s="50"/>
      <c r="AP456" s="50"/>
    </row>
    <row r="457" spans="23:42" x14ac:dyDescent="0.25"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/>
      <c r="AI457" s="50"/>
      <c r="AJ457" s="50"/>
      <c r="AK457" s="50"/>
      <c r="AL457" s="50"/>
      <c r="AM457" s="50"/>
      <c r="AN457" s="50"/>
      <c r="AO457" s="50"/>
      <c r="AP457" s="50"/>
    </row>
    <row r="458" spans="23:42" x14ac:dyDescent="0.25"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50"/>
      <c r="AI458" s="50"/>
      <c r="AJ458" s="50"/>
      <c r="AK458" s="50"/>
      <c r="AL458" s="50"/>
      <c r="AM458" s="50"/>
      <c r="AN458" s="50"/>
      <c r="AO458" s="50"/>
      <c r="AP458" s="50"/>
    </row>
    <row r="459" spans="23:42" x14ac:dyDescent="0.25"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  <c r="AJ459" s="50"/>
      <c r="AK459" s="50"/>
      <c r="AL459" s="50"/>
      <c r="AM459" s="50"/>
      <c r="AN459" s="50"/>
      <c r="AO459" s="50"/>
      <c r="AP459" s="50"/>
    </row>
    <row r="460" spans="23:42" x14ac:dyDescent="0.25"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50"/>
      <c r="AL460" s="50"/>
      <c r="AM460" s="50"/>
      <c r="AN460" s="50"/>
      <c r="AO460" s="50"/>
      <c r="AP460" s="50"/>
    </row>
    <row r="461" spans="23:42" x14ac:dyDescent="0.25"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  <c r="AL461" s="50"/>
      <c r="AM461" s="50"/>
      <c r="AN461" s="50"/>
      <c r="AO461" s="50"/>
      <c r="AP461" s="50"/>
    </row>
    <row r="462" spans="23:42" x14ac:dyDescent="0.25"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50"/>
      <c r="AN462" s="50"/>
      <c r="AO462" s="50"/>
      <c r="AP462" s="50"/>
    </row>
    <row r="463" spans="23:42" x14ac:dyDescent="0.25"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  <c r="AI463" s="50"/>
      <c r="AJ463" s="50"/>
      <c r="AK463" s="50"/>
      <c r="AL463" s="50"/>
      <c r="AM463" s="50"/>
      <c r="AN463" s="50"/>
      <c r="AO463" s="50"/>
      <c r="AP463" s="50"/>
    </row>
    <row r="464" spans="23:42" x14ac:dyDescent="0.25"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  <c r="AI464" s="50"/>
      <c r="AJ464" s="50"/>
      <c r="AK464" s="50"/>
      <c r="AL464" s="50"/>
      <c r="AM464" s="50"/>
      <c r="AN464" s="50"/>
      <c r="AO464" s="50"/>
      <c r="AP464" s="50"/>
    </row>
    <row r="465" spans="23:42" x14ac:dyDescent="0.25"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/>
      <c r="AN465" s="50"/>
      <c r="AO465" s="50"/>
      <c r="AP465" s="50"/>
    </row>
    <row r="466" spans="23:42" x14ac:dyDescent="0.25"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  <c r="AJ466" s="50"/>
      <c r="AK466" s="50"/>
      <c r="AL466" s="50"/>
      <c r="AM466" s="50"/>
      <c r="AN466" s="50"/>
      <c r="AO466" s="50"/>
      <c r="AP466" s="50"/>
    </row>
    <row r="467" spans="23:42" x14ac:dyDescent="0.25"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/>
      <c r="AN467" s="50"/>
      <c r="AO467" s="50"/>
      <c r="AP467" s="50"/>
    </row>
    <row r="468" spans="23:42" x14ac:dyDescent="0.25"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  <c r="AH468" s="50"/>
      <c r="AI468" s="50"/>
      <c r="AJ468" s="50"/>
      <c r="AK468" s="50"/>
      <c r="AL468" s="50"/>
      <c r="AM468" s="50"/>
      <c r="AN468" s="50"/>
      <c r="AO468" s="50"/>
      <c r="AP468" s="50"/>
    </row>
    <row r="469" spans="23:42" x14ac:dyDescent="0.25"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/>
      <c r="AN469" s="50"/>
      <c r="AO469" s="50"/>
      <c r="AP469" s="50"/>
    </row>
    <row r="470" spans="23:42" x14ac:dyDescent="0.25"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  <c r="AH470" s="50"/>
      <c r="AI470" s="50"/>
      <c r="AJ470" s="50"/>
      <c r="AK470" s="50"/>
      <c r="AL470" s="50"/>
      <c r="AM470" s="50"/>
      <c r="AN470" s="50"/>
      <c r="AO470" s="50"/>
      <c r="AP470" s="50"/>
    </row>
    <row r="471" spans="23:42" x14ac:dyDescent="0.25"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/>
      <c r="AI471" s="50"/>
      <c r="AJ471" s="50"/>
      <c r="AK471" s="50"/>
      <c r="AL471" s="50"/>
      <c r="AM471" s="50"/>
      <c r="AN471" s="50"/>
      <c r="AO471" s="50"/>
      <c r="AP471" s="50"/>
    </row>
    <row r="472" spans="23:42" x14ac:dyDescent="0.25"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/>
      <c r="AH472" s="50"/>
      <c r="AI472" s="50"/>
      <c r="AJ472" s="50"/>
      <c r="AK472" s="50"/>
      <c r="AL472" s="50"/>
      <c r="AM472" s="50"/>
      <c r="AN472" s="50"/>
      <c r="AO472" s="50"/>
      <c r="AP472" s="50"/>
    </row>
    <row r="473" spans="23:42" x14ac:dyDescent="0.25"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/>
      <c r="AI473" s="50"/>
      <c r="AJ473" s="50"/>
      <c r="AK473" s="50"/>
      <c r="AL473" s="50"/>
      <c r="AM473" s="50"/>
      <c r="AN473" s="50"/>
      <c r="AO473" s="50"/>
      <c r="AP473" s="50"/>
    </row>
    <row r="474" spans="23:42" x14ac:dyDescent="0.25"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/>
      <c r="AH474" s="50"/>
      <c r="AI474" s="50"/>
      <c r="AJ474" s="50"/>
      <c r="AK474" s="50"/>
      <c r="AL474" s="50"/>
      <c r="AM474" s="50"/>
      <c r="AN474" s="50"/>
      <c r="AO474" s="50"/>
      <c r="AP474" s="50"/>
    </row>
    <row r="475" spans="23:42" x14ac:dyDescent="0.25"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/>
      <c r="AI475" s="50"/>
      <c r="AJ475" s="50"/>
      <c r="AK475" s="50"/>
      <c r="AL475" s="50"/>
      <c r="AM475" s="50"/>
      <c r="AN475" s="50"/>
      <c r="AO475" s="50"/>
      <c r="AP475" s="50"/>
    </row>
    <row r="476" spans="23:42" x14ac:dyDescent="0.25"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  <c r="AI476" s="50"/>
      <c r="AJ476" s="50"/>
      <c r="AK476" s="50"/>
      <c r="AL476" s="50"/>
      <c r="AM476" s="50"/>
      <c r="AN476" s="50"/>
      <c r="AO476" s="50"/>
      <c r="AP476" s="50"/>
    </row>
    <row r="477" spans="23:42" x14ac:dyDescent="0.25"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  <c r="AI477" s="50"/>
      <c r="AJ477" s="50"/>
      <c r="AK477" s="50"/>
      <c r="AL477" s="50"/>
      <c r="AM477" s="50"/>
      <c r="AN477" s="50"/>
      <c r="AO477" s="50"/>
      <c r="AP477" s="50"/>
    </row>
    <row r="478" spans="23:42" x14ac:dyDescent="0.25"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  <c r="AJ478" s="50"/>
      <c r="AK478" s="50"/>
      <c r="AL478" s="50"/>
      <c r="AM478" s="50"/>
      <c r="AN478" s="50"/>
      <c r="AO478" s="50"/>
      <c r="AP478" s="50"/>
    </row>
    <row r="479" spans="23:42" x14ac:dyDescent="0.25"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</row>
    <row r="480" spans="23:42" x14ac:dyDescent="0.25"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  <c r="AL480" s="50"/>
      <c r="AM480" s="50"/>
      <c r="AN480" s="50"/>
      <c r="AO480" s="50"/>
      <c r="AP480" s="50"/>
    </row>
    <row r="481" spans="23:42" x14ac:dyDescent="0.25"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/>
      <c r="AI481" s="50"/>
      <c r="AJ481" s="50"/>
      <c r="AK481" s="50"/>
      <c r="AL481" s="50"/>
      <c r="AM481" s="50"/>
      <c r="AN481" s="50"/>
      <c r="AO481" s="50"/>
      <c r="AP481" s="50"/>
    </row>
    <row r="482" spans="23:42" x14ac:dyDescent="0.25"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  <c r="AI482" s="50"/>
      <c r="AJ482" s="50"/>
      <c r="AK482" s="50"/>
      <c r="AL482" s="50"/>
      <c r="AM482" s="50"/>
      <c r="AN482" s="50"/>
      <c r="AO482" s="50"/>
      <c r="AP482" s="50"/>
    </row>
    <row r="483" spans="23:42" x14ac:dyDescent="0.25"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  <c r="AJ483" s="50"/>
      <c r="AK483" s="50"/>
      <c r="AL483" s="50"/>
      <c r="AM483" s="50"/>
      <c r="AN483" s="50"/>
      <c r="AO483" s="50"/>
      <c r="AP483" s="50"/>
    </row>
    <row r="484" spans="23:42" x14ac:dyDescent="0.25"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50"/>
      <c r="AI484" s="50"/>
      <c r="AJ484" s="50"/>
      <c r="AK484" s="50"/>
      <c r="AL484" s="50"/>
      <c r="AM484" s="50"/>
      <c r="AN484" s="50"/>
      <c r="AO484" s="50"/>
      <c r="AP484" s="50"/>
    </row>
    <row r="485" spans="23:42" x14ac:dyDescent="0.25"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/>
      <c r="AI485" s="50"/>
      <c r="AJ485" s="50"/>
      <c r="AK485" s="50"/>
      <c r="AL485" s="50"/>
      <c r="AM485" s="50"/>
      <c r="AN485" s="50"/>
      <c r="AO485" s="50"/>
      <c r="AP485" s="50"/>
    </row>
    <row r="486" spans="23:42" x14ac:dyDescent="0.25"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  <c r="AI486" s="50"/>
      <c r="AJ486" s="50"/>
      <c r="AK486" s="50"/>
      <c r="AL486" s="50"/>
      <c r="AM486" s="50"/>
      <c r="AN486" s="50"/>
      <c r="AO486" s="50"/>
      <c r="AP486" s="50"/>
    </row>
    <row r="487" spans="23:42" x14ac:dyDescent="0.25"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  <c r="AI487" s="50"/>
      <c r="AJ487" s="50"/>
      <c r="AK487" s="50"/>
      <c r="AL487" s="50"/>
      <c r="AM487" s="50"/>
      <c r="AN487" s="50"/>
      <c r="AO487" s="50"/>
      <c r="AP487" s="50"/>
    </row>
    <row r="488" spans="23:42" x14ac:dyDescent="0.25"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/>
      <c r="AL488" s="50"/>
      <c r="AM488" s="50"/>
      <c r="AN488" s="50"/>
      <c r="AO488" s="50"/>
      <c r="AP488" s="50"/>
    </row>
    <row r="489" spans="23:42" x14ac:dyDescent="0.25"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  <c r="AI489" s="50"/>
      <c r="AJ489" s="50"/>
      <c r="AK489" s="50"/>
      <c r="AL489" s="50"/>
      <c r="AM489" s="50"/>
      <c r="AN489" s="50"/>
      <c r="AO489" s="50"/>
      <c r="AP489" s="50"/>
    </row>
    <row r="490" spans="23:42" x14ac:dyDescent="0.25"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50"/>
      <c r="AI490" s="50"/>
      <c r="AJ490" s="50"/>
      <c r="AK490" s="50"/>
      <c r="AL490" s="50"/>
      <c r="AM490" s="50"/>
      <c r="AN490" s="50"/>
      <c r="AO490" s="50"/>
      <c r="AP490" s="50"/>
    </row>
    <row r="491" spans="23:42" x14ac:dyDescent="0.25"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/>
      <c r="AI491" s="50"/>
      <c r="AJ491" s="50"/>
      <c r="AK491" s="50"/>
      <c r="AL491" s="50"/>
      <c r="AM491" s="50"/>
      <c r="AN491" s="50"/>
      <c r="AO491" s="50"/>
      <c r="AP491" s="50"/>
    </row>
    <row r="492" spans="23:42" x14ac:dyDescent="0.25"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  <c r="AI492" s="50"/>
      <c r="AJ492" s="50"/>
      <c r="AK492" s="50"/>
      <c r="AL492" s="50"/>
      <c r="AM492" s="50"/>
      <c r="AN492" s="50"/>
      <c r="AO492" s="50"/>
      <c r="AP492" s="50"/>
    </row>
    <row r="493" spans="23:42" x14ac:dyDescent="0.25"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/>
      <c r="AI493" s="50"/>
      <c r="AJ493" s="50"/>
      <c r="AK493" s="50"/>
      <c r="AL493" s="50"/>
      <c r="AM493" s="50"/>
      <c r="AN493" s="50"/>
      <c r="AO493" s="50"/>
      <c r="AP493" s="50"/>
    </row>
    <row r="494" spans="23:42" x14ac:dyDescent="0.25"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  <c r="AJ494" s="50"/>
      <c r="AK494" s="50"/>
      <c r="AL494" s="50"/>
      <c r="AM494" s="50"/>
      <c r="AN494" s="50"/>
      <c r="AO494" s="50"/>
      <c r="AP494" s="50"/>
    </row>
    <row r="495" spans="23:42" x14ac:dyDescent="0.25"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  <c r="AI495" s="50"/>
      <c r="AJ495" s="50"/>
      <c r="AK495" s="50"/>
      <c r="AL495" s="50"/>
      <c r="AM495" s="50"/>
      <c r="AN495" s="50"/>
      <c r="AO495" s="50"/>
      <c r="AP495" s="50"/>
    </row>
    <row r="496" spans="23:42" x14ac:dyDescent="0.25"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</row>
    <row r="497" spans="23:42" x14ac:dyDescent="0.25"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  <c r="AM497" s="50"/>
      <c r="AN497" s="50"/>
      <c r="AO497" s="50"/>
      <c r="AP497" s="50"/>
    </row>
    <row r="498" spans="23:42" x14ac:dyDescent="0.25"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50"/>
      <c r="AL498" s="50"/>
      <c r="AM498" s="50"/>
      <c r="AN498" s="50"/>
      <c r="AO498" s="50"/>
      <c r="AP498" s="50"/>
    </row>
    <row r="499" spans="23:42" x14ac:dyDescent="0.25"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/>
      <c r="AJ499" s="50"/>
      <c r="AK499" s="50"/>
      <c r="AL499" s="50"/>
      <c r="AM499" s="50"/>
      <c r="AN499" s="50"/>
      <c r="AO499" s="50"/>
      <c r="AP499" s="50"/>
    </row>
    <row r="500" spans="23:42" x14ac:dyDescent="0.25"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/>
      <c r="AJ500" s="50"/>
      <c r="AK500" s="50"/>
      <c r="AL500" s="50"/>
      <c r="AM500" s="50"/>
      <c r="AN500" s="50"/>
      <c r="AO500" s="50"/>
      <c r="AP500" s="50"/>
    </row>
    <row r="501" spans="23:42" x14ac:dyDescent="0.25"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/>
      <c r="AJ501" s="50"/>
      <c r="AK501" s="50"/>
      <c r="AL501" s="50"/>
      <c r="AM501" s="50"/>
      <c r="AN501" s="50"/>
      <c r="AO501" s="50"/>
      <c r="AP501" s="50"/>
    </row>
    <row r="502" spans="23:42" x14ac:dyDescent="0.25"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50"/>
      <c r="AN502" s="50"/>
      <c r="AO502" s="50"/>
      <c r="AP502" s="50"/>
    </row>
    <row r="503" spans="23:42" x14ac:dyDescent="0.25"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  <c r="AJ503" s="50"/>
      <c r="AK503" s="50"/>
      <c r="AL503" s="50"/>
      <c r="AM503" s="50"/>
      <c r="AN503" s="50"/>
      <c r="AO503" s="50"/>
      <c r="AP503" s="50"/>
    </row>
    <row r="504" spans="23:42" x14ac:dyDescent="0.25"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  <c r="AJ504" s="50"/>
      <c r="AK504" s="50"/>
      <c r="AL504" s="50"/>
      <c r="AM504" s="50"/>
      <c r="AN504" s="50"/>
      <c r="AO504" s="50"/>
      <c r="AP504" s="50"/>
    </row>
    <row r="505" spans="23:42" x14ac:dyDescent="0.25"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/>
      <c r="AN505" s="50"/>
      <c r="AO505" s="50"/>
      <c r="AP505" s="50"/>
    </row>
    <row r="506" spans="23:42" x14ac:dyDescent="0.25"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  <c r="AI506" s="50"/>
      <c r="AJ506" s="50"/>
      <c r="AK506" s="50"/>
      <c r="AL506" s="50"/>
      <c r="AM506" s="50"/>
      <c r="AN506" s="50"/>
      <c r="AO506" s="50"/>
      <c r="AP506" s="50"/>
    </row>
    <row r="507" spans="23:42" x14ac:dyDescent="0.25"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/>
      <c r="AN507" s="50"/>
      <c r="AO507" s="50"/>
      <c r="AP507" s="50"/>
    </row>
    <row r="508" spans="23:42" x14ac:dyDescent="0.25"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/>
      <c r="AK508" s="50"/>
      <c r="AL508" s="50"/>
      <c r="AM508" s="50"/>
      <c r="AN508" s="50"/>
      <c r="AO508" s="50"/>
      <c r="AP508" s="50"/>
    </row>
    <row r="509" spans="23:42" x14ac:dyDescent="0.25"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/>
      <c r="AN509" s="50"/>
      <c r="AO509" s="50"/>
      <c r="AP509" s="50"/>
    </row>
    <row r="510" spans="23:42" x14ac:dyDescent="0.25"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/>
      <c r="AK510" s="50"/>
      <c r="AL510" s="50"/>
      <c r="AM510" s="50"/>
      <c r="AN510" s="50"/>
      <c r="AO510" s="50"/>
      <c r="AP510" s="50"/>
    </row>
    <row r="511" spans="23:42" x14ac:dyDescent="0.25"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  <c r="AJ511" s="50"/>
      <c r="AK511" s="50"/>
      <c r="AL511" s="50"/>
      <c r="AM511" s="50"/>
      <c r="AN511" s="50"/>
      <c r="AO511" s="50"/>
      <c r="AP511" s="50"/>
    </row>
    <row r="512" spans="23:42" x14ac:dyDescent="0.25"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/>
      <c r="AK512" s="50"/>
      <c r="AL512" s="50"/>
      <c r="AM512" s="50"/>
      <c r="AN512" s="50"/>
      <c r="AO512" s="50"/>
      <c r="AP512" s="50"/>
    </row>
    <row r="513" spans="23:42" x14ac:dyDescent="0.25"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/>
      <c r="AK513" s="50"/>
      <c r="AL513" s="50"/>
      <c r="AM513" s="50"/>
      <c r="AN513" s="50"/>
      <c r="AO513" s="50"/>
      <c r="AP513" s="50"/>
    </row>
    <row r="514" spans="23:42" x14ac:dyDescent="0.25"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</row>
    <row r="515" spans="23:42" x14ac:dyDescent="0.25"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  <c r="AL515" s="50"/>
      <c r="AM515" s="50"/>
      <c r="AN515" s="50"/>
      <c r="AO515" s="50"/>
      <c r="AP515" s="50"/>
    </row>
    <row r="516" spans="23:42" x14ac:dyDescent="0.25"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  <c r="AL516" s="50"/>
      <c r="AM516" s="50"/>
      <c r="AN516" s="50"/>
      <c r="AO516" s="50"/>
      <c r="AP516" s="50"/>
    </row>
    <row r="517" spans="23:42" x14ac:dyDescent="0.25"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/>
      <c r="AI517" s="50"/>
      <c r="AJ517" s="50"/>
      <c r="AK517" s="50"/>
      <c r="AL517" s="50"/>
      <c r="AM517" s="50"/>
      <c r="AN517" s="50"/>
      <c r="AO517" s="50"/>
      <c r="AP517" s="50"/>
    </row>
    <row r="518" spans="23:42" x14ac:dyDescent="0.25"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/>
      <c r="AL518" s="50"/>
      <c r="AM518" s="50"/>
      <c r="AN518" s="50"/>
      <c r="AO518" s="50"/>
      <c r="AP518" s="50"/>
    </row>
    <row r="519" spans="23:42" x14ac:dyDescent="0.25"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  <c r="AJ519" s="50"/>
      <c r="AK519" s="50"/>
      <c r="AL519" s="50"/>
      <c r="AM519" s="50"/>
      <c r="AN519" s="50"/>
      <c r="AO519" s="50"/>
      <c r="AP519" s="50"/>
    </row>
    <row r="520" spans="23:42" x14ac:dyDescent="0.25"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0"/>
      <c r="AN520" s="50"/>
      <c r="AO520" s="50"/>
      <c r="AP520" s="50"/>
    </row>
    <row r="521" spans="23:42" x14ac:dyDescent="0.25"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/>
      <c r="AL521" s="50"/>
      <c r="AM521" s="50"/>
      <c r="AN521" s="50"/>
      <c r="AO521" s="50"/>
      <c r="AP521" s="50"/>
    </row>
    <row r="522" spans="23:42" x14ac:dyDescent="0.25"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  <c r="AJ522" s="50"/>
      <c r="AK522" s="50"/>
      <c r="AL522" s="50"/>
      <c r="AM522" s="50"/>
      <c r="AN522" s="50"/>
      <c r="AO522" s="50"/>
      <c r="AP522" s="50"/>
    </row>
    <row r="523" spans="23:42" x14ac:dyDescent="0.25"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  <c r="AJ523" s="50"/>
      <c r="AK523" s="50"/>
      <c r="AL523" s="50"/>
      <c r="AM523" s="50"/>
      <c r="AN523" s="50"/>
      <c r="AO523" s="50"/>
      <c r="AP523" s="50"/>
    </row>
    <row r="524" spans="23:42" x14ac:dyDescent="0.25"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  <c r="AH524" s="50"/>
      <c r="AI524" s="50"/>
      <c r="AJ524" s="50"/>
      <c r="AK524" s="50"/>
      <c r="AL524" s="50"/>
      <c r="AM524" s="50"/>
      <c r="AN524" s="50"/>
      <c r="AO524" s="50"/>
      <c r="AP524" s="50"/>
    </row>
    <row r="525" spans="23:42" x14ac:dyDescent="0.25"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/>
      <c r="AI525" s="50"/>
      <c r="AJ525" s="50"/>
      <c r="AK525" s="50"/>
      <c r="AL525" s="50"/>
      <c r="AM525" s="50"/>
      <c r="AN525" s="50"/>
      <c r="AO525" s="50"/>
      <c r="AP525" s="50"/>
    </row>
    <row r="526" spans="23:42" x14ac:dyDescent="0.25"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/>
      <c r="AL526" s="50"/>
      <c r="AM526" s="50"/>
      <c r="AN526" s="50"/>
      <c r="AO526" s="50"/>
      <c r="AP526" s="50"/>
    </row>
    <row r="527" spans="23:42" x14ac:dyDescent="0.25"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50"/>
      <c r="AL527" s="50"/>
      <c r="AM527" s="50"/>
      <c r="AN527" s="50"/>
      <c r="AO527" s="50"/>
      <c r="AP527" s="50"/>
    </row>
    <row r="528" spans="23:42" x14ac:dyDescent="0.25"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  <c r="AH528" s="50"/>
      <c r="AI528" s="50"/>
      <c r="AJ528" s="50"/>
      <c r="AK528" s="50"/>
      <c r="AL528" s="50"/>
      <c r="AM528" s="50"/>
      <c r="AN528" s="50"/>
      <c r="AO528" s="50"/>
      <c r="AP528" s="50"/>
    </row>
    <row r="529" spans="23:42" x14ac:dyDescent="0.25"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50"/>
      <c r="AL529" s="50"/>
      <c r="AM529" s="50"/>
      <c r="AN529" s="50"/>
      <c r="AO529" s="50"/>
      <c r="AP529" s="50"/>
    </row>
    <row r="530" spans="23:42" x14ac:dyDescent="0.25"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50"/>
      <c r="AL530" s="50"/>
      <c r="AM530" s="50"/>
      <c r="AN530" s="50"/>
      <c r="AO530" s="50"/>
      <c r="AP530" s="50"/>
    </row>
    <row r="531" spans="23:42" x14ac:dyDescent="0.25"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50"/>
      <c r="AL531" s="50"/>
      <c r="AM531" s="50"/>
      <c r="AN531" s="50"/>
      <c r="AO531" s="50"/>
      <c r="AP531" s="50"/>
    </row>
    <row r="532" spans="23:42" x14ac:dyDescent="0.25"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/>
      <c r="AM532" s="50"/>
      <c r="AN532" s="50"/>
      <c r="AO532" s="50"/>
      <c r="AP532" s="50"/>
    </row>
    <row r="533" spans="23:42" x14ac:dyDescent="0.25"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/>
      <c r="AM533" s="50"/>
      <c r="AN533" s="50"/>
      <c r="AO533" s="50"/>
      <c r="AP533" s="50"/>
    </row>
    <row r="534" spans="23:42" x14ac:dyDescent="0.25"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  <c r="AI534" s="50"/>
      <c r="AJ534" s="50"/>
      <c r="AK534" s="50"/>
      <c r="AL534" s="50"/>
      <c r="AM534" s="50"/>
      <c r="AN534" s="50"/>
      <c r="AO534" s="50"/>
      <c r="AP534" s="50"/>
    </row>
    <row r="535" spans="23:42" x14ac:dyDescent="0.25"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/>
      <c r="AI535" s="50"/>
      <c r="AJ535" s="50"/>
      <c r="AK535" s="50"/>
      <c r="AL535" s="50"/>
      <c r="AM535" s="50"/>
      <c r="AN535" s="50"/>
      <c r="AO535" s="50"/>
      <c r="AP535" s="50"/>
    </row>
    <row r="536" spans="23:42" x14ac:dyDescent="0.25"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  <c r="AH536" s="50"/>
      <c r="AI536" s="50"/>
      <c r="AJ536" s="50"/>
      <c r="AK536" s="50"/>
      <c r="AL536" s="50"/>
      <c r="AM536" s="50"/>
      <c r="AN536" s="50"/>
      <c r="AO536" s="50"/>
      <c r="AP536" s="50"/>
    </row>
    <row r="537" spans="23:42" x14ac:dyDescent="0.25"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/>
      <c r="AI537" s="50"/>
      <c r="AJ537" s="50"/>
      <c r="AK537" s="50"/>
      <c r="AL537" s="50"/>
      <c r="AM537" s="50"/>
      <c r="AN537" s="50"/>
      <c r="AO537" s="50"/>
      <c r="AP537" s="50"/>
    </row>
    <row r="538" spans="23:42" x14ac:dyDescent="0.25"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  <c r="AJ538" s="50"/>
      <c r="AK538" s="50"/>
      <c r="AL538" s="50"/>
      <c r="AM538" s="50"/>
      <c r="AN538" s="50"/>
      <c r="AO538" s="50"/>
      <c r="AP538" s="50"/>
    </row>
    <row r="539" spans="23:42" x14ac:dyDescent="0.25"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  <c r="AJ539" s="50"/>
      <c r="AK539" s="50"/>
      <c r="AL539" s="50"/>
      <c r="AM539" s="50"/>
      <c r="AN539" s="50"/>
      <c r="AO539" s="50"/>
      <c r="AP539" s="50"/>
    </row>
    <row r="540" spans="23:42" x14ac:dyDescent="0.25"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  <c r="AJ540" s="50"/>
      <c r="AK540" s="50"/>
      <c r="AL540" s="50"/>
      <c r="AM540" s="50"/>
      <c r="AN540" s="50"/>
      <c r="AO540" s="50"/>
      <c r="AP540" s="50"/>
    </row>
    <row r="541" spans="23:42" x14ac:dyDescent="0.25"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  <c r="AJ541" s="50"/>
      <c r="AK541" s="50"/>
      <c r="AL541" s="50"/>
      <c r="AM541" s="50"/>
      <c r="AN541" s="50"/>
      <c r="AO541" s="50"/>
      <c r="AP541" s="50"/>
    </row>
    <row r="542" spans="23:42" x14ac:dyDescent="0.25"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  <c r="AL542" s="50"/>
      <c r="AM542" s="50"/>
      <c r="AN542" s="50"/>
      <c r="AO542" s="50"/>
      <c r="AP542" s="50"/>
    </row>
    <row r="543" spans="23:42" x14ac:dyDescent="0.25"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  <c r="AJ543" s="50"/>
      <c r="AK543" s="50"/>
      <c r="AL543" s="50"/>
      <c r="AM543" s="50"/>
      <c r="AN543" s="50"/>
      <c r="AO543" s="50"/>
      <c r="AP543" s="50"/>
    </row>
    <row r="544" spans="23:42" x14ac:dyDescent="0.25"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  <c r="AJ544" s="50"/>
      <c r="AK544" s="50"/>
      <c r="AL544" s="50"/>
      <c r="AM544" s="50"/>
      <c r="AN544" s="50"/>
      <c r="AO544" s="50"/>
      <c r="AP544" s="50"/>
    </row>
    <row r="545" spans="23:42" x14ac:dyDescent="0.25"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/>
      <c r="AN545" s="50"/>
      <c r="AO545" s="50"/>
      <c r="AP545" s="50"/>
    </row>
    <row r="546" spans="23:42" x14ac:dyDescent="0.25"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50"/>
      <c r="AH546" s="50"/>
      <c r="AI546" s="50"/>
      <c r="AJ546" s="50"/>
      <c r="AK546" s="50"/>
      <c r="AL546" s="50"/>
      <c r="AM546" s="50"/>
      <c r="AN546" s="50"/>
      <c r="AO546" s="50"/>
      <c r="AP546" s="50"/>
    </row>
    <row r="547" spans="23:42" x14ac:dyDescent="0.25"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/>
      <c r="AN547" s="50"/>
      <c r="AO547" s="50"/>
      <c r="AP547" s="50"/>
    </row>
    <row r="548" spans="23:42" x14ac:dyDescent="0.25"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  <c r="AH548" s="50"/>
      <c r="AI548" s="50"/>
      <c r="AJ548" s="50"/>
      <c r="AK548" s="50"/>
      <c r="AL548" s="50"/>
      <c r="AM548" s="50"/>
      <c r="AN548" s="50"/>
      <c r="AO548" s="50"/>
      <c r="AP548" s="50"/>
    </row>
    <row r="549" spans="23:42" x14ac:dyDescent="0.25"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/>
      <c r="AN549" s="50"/>
      <c r="AO549" s="50"/>
      <c r="AP549" s="50"/>
    </row>
    <row r="550" spans="23:42" x14ac:dyDescent="0.25"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50"/>
      <c r="AL550" s="50"/>
      <c r="AM550" s="50"/>
      <c r="AN550" s="50"/>
      <c r="AO550" s="50"/>
      <c r="AP550" s="50"/>
    </row>
    <row r="551" spans="23:42" x14ac:dyDescent="0.25"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0"/>
      <c r="AN551" s="50"/>
      <c r="AO551" s="50"/>
      <c r="AP551" s="50"/>
    </row>
    <row r="552" spans="23:42" x14ac:dyDescent="0.25"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50"/>
      <c r="AL552" s="50"/>
      <c r="AM552" s="50"/>
      <c r="AN552" s="50"/>
      <c r="AO552" s="50"/>
      <c r="AP552" s="50"/>
    </row>
    <row r="553" spans="23:42" x14ac:dyDescent="0.25"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  <c r="AJ553" s="50"/>
      <c r="AK553" s="50"/>
      <c r="AL553" s="50"/>
      <c r="AM553" s="50"/>
      <c r="AN553" s="50"/>
      <c r="AO553" s="50"/>
      <c r="AP553" s="50"/>
    </row>
    <row r="554" spans="23:42" x14ac:dyDescent="0.25"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  <c r="AJ554" s="50"/>
      <c r="AK554" s="50"/>
      <c r="AL554" s="50"/>
      <c r="AM554" s="50"/>
      <c r="AN554" s="50"/>
      <c r="AO554" s="50"/>
      <c r="AP554" s="50"/>
    </row>
    <row r="555" spans="23:42" x14ac:dyDescent="0.25"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  <c r="AJ555" s="50"/>
      <c r="AK555" s="50"/>
      <c r="AL555" s="50"/>
      <c r="AM555" s="50"/>
      <c r="AN555" s="50"/>
      <c r="AO555" s="50"/>
      <c r="AP555" s="50"/>
    </row>
    <row r="556" spans="23:42" x14ac:dyDescent="0.25"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/>
      <c r="AL556" s="50"/>
      <c r="AM556" s="50"/>
      <c r="AN556" s="50"/>
      <c r="AO556" s="50"/>
      <c r="AP556" s="50"/>
    </row>
    <row r="557" spans="23:42" x14ac:dyDescent="0.25"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  <c r="AJ557" s="50"/>
      <c r="AK557" s="50"/>
      <c r="AL557" s="50"/>
      <c r="AM557" s="50"/>
      <c r="AN557" s="50"/>
      <c r="AO557" s="50"/>
      <c r="AP557" s="50"/>
    </row>
    <row r="558" spans="23:42" x14ac:dyDescent="0.25"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  <c r="AJ558" s="50"/>
      <c r="AK558" s="50"/>
      <c r="AL558" s="50"/>
      <c r="AM558" s="50"/>
      <c r="AN558" s="50"/>
      <c r="AO558" s="50"/>
      <c r="AP558" s="50"/>
    </row>
    <row r="559" spans="23:42" x14ac:dyDescent="0.25"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  <c r="AJ559" s="50"/>
      <c r="AK559" s="50"/>
      <c r="AL559" s="50"/>
      <c r="AM559" s="50"/>
      <c r="AN559" s="50"/>
      <c r="AO559" s="50"/>
      <c r="AP559" s="50"/>
    </row>
    <row r="560" spans="23:42" x14ac:dyDescent="0.25"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  <c r="AH560" s="50"/>
      <c r="AI560" s="50"/>
      <c r="AJ560" s="50"/>
      <c r="AK560" s="50"/>
      <c r="AL560" s="50"/>
      <c r="AM560" s="50"/>
      <c r="AN560" s="50"/>
      <c r="AO560" s="50"/>
      <c r="AP560" s="50"/>
    </row>
    <row r="561" spans="23:42" x14ac:dyDescent="0.25"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/>
      <c r="AI561" s="50"/>
      <c r="AJ561" s="50"/>
      <c r="AK561" s="50"/>
      <c r="AL561" s="50"/>
      <c r="AM561" s="50"/>
      <c r="AN561" s="50"/>
      <c r="AO561" s="50"/>
      <c r="AP561" s="50"/>
    </row>
    <row r="562" spans="23:42" x14ac:dyDescent="0.25"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  <c r="AH562" s="50"/>
      <c r="AI562" s="50"/>
      <c r="AJ562" s="50"/>
      <c r="AK562" s="50"/>
      <c r="AL562" s="50"/>
      <c r="AM562" s="50"/>
      <c r="AN562" s="50"/>
      <c r="AO562" s="50"/>
      <c r="AP562" s="50"/>
    </row>
    <row r="563" spans="23:42" x14ac:dyDescent="0.25"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  <c r="AJ563" s="50"/>
      <c r="AK563" s="50"/>
      <c r="AL563" s="50"/>
      <c r="AM563" s="50"/>
      <c r="AN563" s="50"/>
      <c r="AO563" s="50"/>
      <c r="AP563" s="50"/>
    </row>
    <row r="564" spans="23:42" x14ac:dyDescent="0.25"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50"/>
      <c r="AL564" s="50"/>
      <c r="AM564" s="50"/>
      <c r="AN564" s="50"/>
      <c r="AO564" s="50"/>
      <c r="AP564" s="50"/>
    </row>
    <row r="565" spans="23:42" x14ac:dyDescent="0.25"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  <c r="AJ565" s="50"/>
      <c r="AK565" s="50"/>
      <c r="AL565" s="50"/>
      <c r="AM565" s="50"/>
      <c r="AN565" s="50"/>
      <c r="AO565" s="50"/>
      <c r="AP565" s="50"/>
    </row>
    <row r="566" spans="23:42" x14ac:dyDescent="0.25"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  <c r="AJ566" s="50"/>
      <c r="AK566" s="50"/>
      <c r="AL566" s="50"/>
      <c r="AM566" s="50"/>
      <c r="AN566" s="50"/>
      <c r="AO566" s="50"/>
      <c r="AP566" s="50"/>
    </row>
    <row r="567" spans="23:42" x14ac:dyDescent="0.25"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  <c r="AJ567" s="50"/>
      <c r="AK567" s="50"/>
      <c r="AL567" s="50"/>
      <c r="AM567" s="50"/>
      <c r="AN567" s="50"/>
      <c r="AO567" s="50"/>
      <c r="AP567" s="50"/>
    </row>
    <row r="568" spans="23:42" x14ac:dyDescent="0.25"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50"/>
      <c r="AL568" s="50"/>
      <c r="AM568" s="50"/>
      <c r="AN568" s="50"/>
      <c r="AO568" s="50"/>
      <c r="AP568" s="50"/>
    </row>
    <row r="569" spans="23:42" x14ac:dyDescent="0.25"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50"/>
      <c r="AL569" s="50"/>
      <c r="AM569" s="50"/>
      <c r="AN569" s="50"/>
      <c r="AO569" s="50"/>
      <c r="AP569" s="50"/>
    </row>
    <row r="570" spans="23:42" x14ac:dyDescent="0.25"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  <c r="AL570" s="50"/>
      <c r="AM570" s="50"/>
      <c r="AN570" s="50"/>
      <c r="AO570" s="50"/>
      <c r="AP570" s="50"/>
    </row>
    <row r="571" spans="23:42" x14ac:dyDescent="0.25"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/>
      <c r="AI571" s="50"/>
      <c r="AJ571" s="50"/>
      <c r="AK571" s="50"/>
      <c r="AL571" s="50"/>
      <c r="AM571" s="50"/>
      <c r="AN571" s="50"/>
      <c r="AO571" s="50"/>
      <c r="AP571" s="50"/>
    </row>
    <row r="572" spans="23:42" x14ac:dyDescent="0.25"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  <c r="AJ572" s="50"/>
      <c r="AK572" s="50"/>
      <c r="AL572" s="50"/>
      <c r="AM572" s="50"/>
      <c r="AN572" s="50"/>
      <c r="AO572" s="50"/>
      <c r="AP572" s="50"/>
    </row>
    <row r="573" spans="23:42" x14ac:dyDescent="0.25"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/>
      <c r="AI573" s="50"/>
      <c r="AJ573" s="50"/>
      <c r="AK573" s="50"/>
      <c r="AL573" s="50"/>
      <c r="AM573" s="50"/>
      <c r="AN573" s="50"/>
      <c r="AO573" s="50"/>
      <c r="AP573" s="50"/>
    </row>
    <row r="574" spans="23:42" x14ac:dyDescent="0.25"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  <c r="AJ574" s="50"/>
      <c r="AK574" s="50"/>
      <c r="AL574" s="50"/>
      <c r="AM574" s="50"/>
      <c r="AN574" s="50"/>
      <c r="AO574" s="50"/>
      <c r="AP574" s="50"/>
    </row>
    <row r="575" spans="23:42" x14ac:dyDescent="0.25"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/>
      <c r="AI575" s="50"/>
      <c r="AJ575" s="50"/>
      <c r="AK575" s="50"/>
      <c r="AL575" s="50"/>
      <c r="AM575" s="50"/>
      <c r="AN575" s="50"/>
      <c r="AO575" s="50"/>
      <c r="AP575" s="50"/>
    </row>
    <row r="576" spans="23:42" x14ac:dyDescent="0.25"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  <c r="AJ576" s="50"/>
      <c r="AK576" s="50"/>
      <c r="AL576" s="50"/>
      <c r="AM576" s="50"/>
      <c r="AN576" s="50"/>
      <c r="AO576" s="50"/>
      <c r="AP576" s="50"/>
    </row>
    <row r="577" spans="23:42" x14ac:dyDescent="0.25"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50"/>
      <c r="AL577" s="50"/>
      <c r="AM577" s="50"/>
      <c r="AN577" s="50"/>
      <c r="AO577" s="50"/>
      <c r="AP577" s="50"/>
    </row>
    <row r="578" spans="23:42" x14ac:dyDescent="0.25"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  <c r="AL578" s="50"/>
      <c r="AM578" s="50"/>
      <c r="AN578" s="50"/>
      <c r="AO578" s="50"/>
      <c r="AP578" s="50"/>
    </row>
    <row r="579" spans="23:42" x14ac:dyDescent="0.25"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  <c r="AJ579" s="50"/>
      <c r="AK579" s="50"/>
      <c r="AL579" s="50"/>
      <c r="AM579" s="50"/>
      <c r="AN579" s="50"/>
      <c r="AO579" s="50"/>
      <c r="AP579" s="50"/>
    </row>
    <row r="580" spans="23:42" x14ac:dyDescent="0.25"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  <c r="AH580" s="50"/>
      <c r="AI580" s="50"/>
      <c r="AJ580" s="50"/>
      <c r="AK580" s="50"/>
      <c r="AL580" s="50"/>
      <c r="AM580" s="50"/>
      <c r="AN580" s="50"/>
      <c r="AO580" s="50"/>
      <c r="AP580" s="50"/>
    </row>
    <row r="581" spans="23:42" x14ac:dyDescent="0.25"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/>
      <c r="AI581" s="50"/>
      <c r="AJ581" s="50"/>
      <c r="AK581" s="50"/>
      <c r="AL581" s="50"/>
      <c r="AM581" s="50"/>
      <c r="AN581" s="50"/>
      <c r="AO581" s="50"/>
      <c r="AP581" s="50"/>
    </row>
    <row r="582" spans="23:42" x14ac:dyDescent="0.25"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  <c r="AH582" s="50"/>
      <c r="AI582" s="50"/>
      <c r="AJ582" s="50"/>
      <c r="AK582" s="50"/>
      <c r="AL582" s="50"/>
      <c r="AM582" s="50"/>
      <c r="AN582" s="50"/>
      <c r="AO582" s="50"/>
      <c r="AP582" s="50"/>
    </row>
    <row r="583" spans="23:42" x14ac:dyDescent="0.25"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  <c r="AJ583" s="50"/>
      <c r="AK583" s="50"/>
      <c r="AL583" s="50"/>
      <c r="AM583" s="50"/>
      <c r="AN583" s="50"/>
      <c r="AO583" s="50"/>
      <c r="AP583" s="50"/>
    </row>
    <row r="584" spans="23:42" x14ac:dyDescent="0.25"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  <c r="AJ584" s="50"/>
      <c r="AK584" s="50"/>
      <c r="AL584" s="50"/>
      <c r="AM584" s="50"/>
      <c r="AN584" s="50"/>
      <c r="AO584" s="50"/>
      <c r="AP584" s="50"/>
    </row>
    <row r="585" spans="23:42" x14ac:dyDescent="0.25"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/>
      <c r="AN585" s="50"/>
      <c r="AO585" s="50"/>
      <c r="AP585" s="50"/>
    </row>
    <row r="586" spans="23:42" x14ac:dyDescent="0.25"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50"/>
      <c r="AL586" s="50"/>
      <c r="AM586" s="50"/>
      <c r="AN586" s="50"/>
      <c r="AO586" s="50"/>
      <c r="AP586" s="50"/>
    </row>
    <row r="587" spans="23:42" x14ac:dyDescent="0.25"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/>
      <c r="AN587" s="50"/>
      <c r="AO587" s="50"/>
      <c r="AP587" s="50"/>
    </row>
    <row r="588" spans="23:42" x14ac:dyDescent="0.25"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</row>
    <row r="589" spans="23:42" x14ac:dyDescent="0.25"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/>
      <c r="AN589" s="50"/>
      <c r="AO589" s="50"/>
      <c r="AP589" s="50"/>
    </row>
    <row r="590" spans="23:42" x14ac:dyDescent="0.25"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/>
      <c r="AM590" s="50"/>
      <c r="AN590" s="50"/>
      <c r="AO590" s="50"/>
      <c r="AP590" s="50"/>
    </row>
    <row r="591" spans="23:42" x14ac:dyDescent="0.25"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  <c r="AJ591" s="50"/>
      <c r="AK591" s="50"/>
      <c r="AL591" s="50"/>
      <c r="AM591" s="50"/>
      <c r="AN591" s="50"/>
      <c r="AO591" s="50"/>
      <c r="AP591" s="50"/>
    </row>
    <row r="592" spans="23:42" x14ac:dyDescent="0.25"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  <c r="AJ592" s="50"/>
      <c r="AK592" s="50"/>
      <c r="AL592" s="50"/>
      <c r="AM592" s="50"/>
      <c r="AN592" s="50"/>
      <c r="AO592" s="50"/>
      <c r="AP592" s="50"/>
    </row>
    <row r="593" spans="23:42" x14ac:dyDescent="0.25"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/>
      <c r="AI593" s="50"/>
      <c r="AJ593" s="50"/>
      <c r="AK593" s="50"/>
      <c r="AL593" s="50"/>
      <c r="AM593" s="50"/>
      <c r="AN593" s="50"/>
      <c r="AO593" s="50"/>
      <c r="AP593" s="50"/>
    </row>
    <row r="594" spans="23:42" x14ac:dyDescent="0.25"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  <c r="AH594" s="50"/>
      <c r="AI594" s="50"/>
      <c r="AJ594" s="50"/>
      <c r="AK594" s="50"/>
      <c r="AL594" s="50"/>
      <c r="AM594" s="50"/>
      <c r="AN594" s="50"/>
      <c r="AO594" s="50"/>
      <c r="AP594" s="50"/>
    </row>
    <row r="595" spans="23:42" x14ac:dyDescent="0.25"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/>
      <c r="AI595" s="50"/>
      <c r="AJ595" s="50"/>
      <c r="AK595" s="50"/>
      <c r="AL595" s="50"/>
      <c r="AM595" s="50"/>
      <c r="AN595" s="50"/>
      <c r="AO595" s="50"/>
      <c r="AP595" s="50"/>
    </row>
    <row r="596" spans="23:42" x14ac:dyDescent="0.25"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  <c r="AJ596" s="50"/>
      <c r="AK596" s="50"/>
      <c r="AL596" s="50"/>
      <c r="AM596" s="50"/>
      <c r="AN596" s="50"/>
      <c r="AO596" s="50"/>
      <c r="AP596" s="50"/>
    </row>
    <row r="597" spans="23:42" x14ac:dyDescent="0.25"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/>
      <c r="AI597" s="50"/>
      <c r="AJ597" s="50"/>
      <c r="AK597" s="50"/>
      <c r="AL597" s="50"/>
      <c r="AM597" s="50"/>
      <c r="AN597" s="50"/>
      <c r="AO597" s="50"/>
      <c r="AP597" s="50"/>
    </row>
    <row r="598" spans="23:42" x14ac:dyDescent="0.25"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  <c r="AJ598" s="50"/>
      <c r="AK598" s="50"/>
      <c r="AL598" s="50"/>
      <c r="AM598" s="50"/>
      <c r="AN598" s="50"/>
      <c r="AO598" s="50"/>
      <c r="AP598" s="50"/>
    </row>
    <row r="599" spans="23:42" x14ac:dyDescent="0.25"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  <c r="AJ599" s="50"/>
      <c r="AK599" s="50"/>
      <c r="AL599" s="50"/>
      <c r="AM599" s="50"/>
      <c r="AN599" s="50"/>
      <c r="AO599" s="50"/>
      <c r="AP599" s="50"/>
    </row>
    <row r="600" spans="23:42" x14ac:dyDescent="0.25"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  <c r="AJ600" s="50"/>
      <c r="AK600" s="50"/>
      <c r="AL600" s="50"/>
      <c r="AM600" s="50"/>
      <c r="AN600" s="50"/>
      <c r="AO600" s="50"/>
      <c r="AP600" s="50"/>
    </row>
    <row r="601" spans="23:42" x14ac:dyDescent="0.25"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</row>
    <row r="602" spans="23:42" x14ac:dyDescent="0.25"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  <c r="AH602" s="50"/>
      <c r="AI602" s="50"/>
      <c r="AJ602" s="50"/>
      <c r="AK602" s="50"/>
      <c r="AL602" s="50"/>
      <c r="AM602" s="50"/>
      <c r="AN602" s="50"/>
      <c r="AO602" s="50"/>
      <c r="AP602" s="50"/>
    </row>
    <row r="603" spans="23:42" x14ac:dyDescent="0.25"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50"/>
      <c r="AL603" s="50"/>
      <c r="AM603" s="50"/>
      <c r="AN603" s="50"/>
      <c r="AO603" s="50"/>
      <c r="AP603" s="50"/>
    </row>
    <row r="604" spans="23:42" x14ac:dyDescent="0.25"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  <c r="AL604" s="50"/>
      <c r="AM604" s="50"/>
      <c r="AN604" s="50"/>
      <c r="AO604" s="50"/>
      <c r="AP604" s="50"/>
    </row>
    <row r="605" spans="23:42" x14ac:dyDescent="0.25"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</row>
    <row r="606" spans="23:42" x14ac:dyDescent="0.25"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  <c r="AJ606" s="50"/>
      <c r="AK606" s="50"/>
      <c r="AL606" s="50"/>
      <c r="AM606" s="50"/>
      <c r="AN606" s="50"/>
      <c r="AO606" s="50"/>
      <c r="AP606" s="50"/>
    </row>
    <row r="607" spans="23:42" x14ac:dyDescent="0.25"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50"/>
      <c r="AL607" s="50"/>
      <c r="AM607" s="50"/>
      <c r="AN607" s="50"/>
      <c r="AO607" s="50"/>
      <c r="AP607" s="50"/>
    </row>
    <row r="608" spans="23:42" x14ac:dyDescent="0.25"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  <c r="AL608" s="50"/>
      <c r="AM608" s="50"/>
      <c r="AN608" s="50"/>
      <c r="AO608" s="50"/>
      <c r="AP608" s="50"/>
    </row>
    <row r="609" spans="23:42" x14ac:dyDescent="0.25"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</row>
    <row r="610" spans="23:42" x14ac:dyDescent="0.25"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  <c r="AL610" s="50"/>
      <c r="AM610" s="50"/>
      <c r="AN610" s="50"/>
      <c r="AO610" s="50"/>
      <c r="AP610" s="50"/>
    </row>
    <row r="611" spans="23:42" x14ac:dyDescent="0.25"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</row>
    <row r="612" spans="23:42" x14ac:dyDescent="0.25"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</row>
    <row r="613" spans="23:42" x14ac:dyDescent="0.25"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  <c r="AL613" s="50"/>
      <c r="AM613" s="50"/>
      <c r="AN613" s="50"/>
      <c r="AO613" s="50"/>
      <c r="AP613" s="50"/>
    </row>
    <row r="614" spans="23:42" x14ac:dyDescent="0.25"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  <c r="AH614" s="50"/>
      <c r="AI614" s="50"/>
      <c r="AJ614" s="50"/>
      <c r="AK614" s="50"/>
      <c r="AL614" s="50"/>
      <c r="AM614" s="50"/>
      <c r="AN614" s="50"/>
      <c r="AO614" s="50"/>
      <c r="AP614" s="50"/>
    </row>
    <row r="615" spans="23:42" x14ac:dyDescent="0.25"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  <c r="AM615" s="50"/>
      <c r="AN615" s="50"/>
      <c r="AO615" s="50"/>
      <c r="AP615" s="50"/>
    </row>
    <row r="616" spans="23:42" x14ac:dyDescent="0.25"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  <c r="AL616" s="50"/>
      <c r="AM616" s="50"/>
      <c r="AN616" s="50"/>
      <c r="AO616" s="50"/>
      <c r="AP616" s="50"/>
    </row>
    <row r="617" spans="23:42" x14ac:dyDescent="0.25"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</row>
    <row r="618" spans="23:42" x14ac:dyDescent="0.25"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50"/>
      <c r="AL618" s="50"/>
      <c r="AM618" s="50"/>
      <c r="AN618" s="50"/>
      <c r="AO618" s="50"/>
      <c r="AP618" s="50"/>
    </row>
    <row r="619" spans="23:42" x14ac:dyDescent="0.25"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</row>
    <row r="620" spans="23:42" x14ac:dyDescent="0.25"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  <c r="AJ620" s="50"/>
      <c r="AK620" s="50"/>
      <c r="AL620" s="50"/>
      <c r="AM620" s="50"/>
      <c r="AN620" s="50"/>
      <c r="AO620" s="50"/>
      <c r="AP620" s="50"/>
    </row>
    <row r="621" spans="23:42" x14ac:dyDescent="0.25"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  <c r="AL621" s="50"/>
      <c r="AM621" s="50"/>
      <c r="AN621" s="50"/>
      <c r="AO621" s="50"/>
      <c r="AP621" s="50"/>
    </row>
    <row r="622" spans="23:42" x14ac:dyDescent="0.25"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50"/>
      <c r="AN622" s="50"/>
      <c r="AO622" s="50"/>
      <c r="AP622" s="50"/>
    </row>
    <row r="623" spans="23:42" x14ac:dyDescent="0.25"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</row>
    <row r="624" spans="23:42" x14ac:dyDescent="0.25"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</row>
  </sheetData>
  <sheetProtection algorithmName="SHA-512" hashValue="Jt0gt4yIE6t4cnxxj/h3+Hv1oudvX4h2pbEn6h8/ngFwWaROREBBQjD4DGjl28nF/bVeGwP2RloNziCexhP0cg==" saltValue="yfPX0G/J8W/ya1f58NFLAw==" spinCount="100000" sheet="1" objects="1" scenarios="1"/>
  <protectedRanges>
    <protectedRange sqref="D3:E14 I4:L4 Q4:Q5 H5:L12" name="Plage1"/>
  </protectedRanges>
  <mergeCells count="14">
    <mergeCell ref="W7:X7"/>
    <mergeCell ref="H5:H6"/>
    <mergeCell ref="H7:H8"/>
    <mergeCell ref="H9:H10"/>
    <mergeCell ref="H11:H12"/>
    <mergeCell ref="P34:Q34"/>
    <mergeCell ref="C2:E2"/>
    <mergeCell ref="I3:L3"/>
    <mergeCell ref="C33:F33"/>
    <mergeCell ref="G33:N33"/>
    <mergeCell ref="M5:M6"/>
    <mergeCell ref="M7:M8"/>
    <mergeCell ref="M9:M10"/>
    <mergeCell ref="M11:M12"/>
  </mergeCells>
  <pageMargins left="0.7" right="0.7" top="0.75" bottom="0.75" header="0.3" footer="0.3"/>
  <ignoredErrors>
    <ignoredError sqref="F39" formula="1"/>
    <ignoredError sqref="I50:L57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K36"/>
  <sheetViews>
    <sheetView workbookViewId="0">
      <selection activeCell="C4" sqref="C4"/>
    </sheetView>
  </sheetViews>
  <sheetFormatPr baseColWidth="10" defaultColWidth="10.42578125" defaultRowHeight="12" x14ac:dyDescent="0.2"/>
  <cols>
    <col min="1" max="1" width="7.42578125" style="14" customWidth="1"/>
    <col min="2" max="2" width="24.42578125" style="14" customWidth="1"/>
    <col min="3" max="7" width="12.7109375" style="14" bestFit="1" customWidth="1"/>
    <col min="8" max="16384" width="10.42578125" style="14"/>
  </cols>
  <sheetData>
    <row r="1" spans="1:11" s="13" customFormat="1" ht="13.5" thickBot="1" x14ac:dyDescent="0.25">
      <c r="B1" s="3" t="s">
        <v>33</v>
      </c>
    </row>
    <row r="2" spans="1:11" ht="12.75" thickBot="1" x14ac:dyDescent="0.25">
      <c r="B2" s="14" t="s">
        <v>34</v>
      </c>
      <c r="C2" s="15" t="e">
        <f>#REF!</f>
        <v>#REF!</v>
      </c>
      <c r="E2" s="14">
        <v>20</v>
      </c>
      <c r="F2" s="14">
        <v>100</v>
      </c>
    </row>
    <row r="3" spans="1:11" ht="15.75" thickBot="1" x14ac:dyDescent="0.3">
      <c r="B3" s="14" t="s">
        <v>35</v>
      </c>
      <c r="C3" s="16" t="e">
        <f>#REF!</f>
        <v>#REF!</v>
      </c>
      <c r="E3" s="14">
        <v>0.01</v>
      </c>
      <c r="F3" s="14">
        <f>E3*F2/E2</f>
        <v>0.05</v>
      </c>
    </row>
    <row r="5" spans="1:11" x14ac:dyDescent="0.2">
      <c r="B5" s="17" t="s">
        <v>36</v>
      </c>
      <c r="C5" s="17" t="s">
        <v>21</v>
      </c>
      <c r="D5" s="17" t="s">
        <v>29</v>
      </c>
      <c r="E5" s="17" t="s">
        <v>30</v>
      </c>
      <c r="F5" s="17" t="s">
        <v>31</v>
      </c>
      <c r="G5" s="17" t="s">
        <v>32</v>
      </c>
    </row>
    <row r="6" spans="1:11" s="18" customFormat="1" x14ac:dyDescent="0.2">
      <c r="A6" s="18">
        <v>2</v>
      </c>
      <c r="B6" s="32" t="s">
        <v>45</v>
      </c>
      <c r="C6" s="19">
        <f>'80%'!B2</f>
        <v>80</v>
      </c>
      <c r="D6" s="19">
        <f>'90%'!B2</f>
        <v>90</v>
      </c>
      <c r="E6" s="19">
        <f>'100%'!B2</f>
        <v>100</v>
      </c>
      <c r="F6" s="34">
        <f>'110%'!B2</f>
        <v>110</v>
      </c>
      <c r="G6" s="19">
        <f>'120%'!B2</f>
        <v>120</v>
      </c>
    </row>
    <row r="7" spans="1:11" x14ac:dyDescent="0.2">
      <c r="A7" s="14">
        <v>30</v>
      </c>
      <c r="B7" s="33" t="s">
        <v>46</v>
      </c>
      <c r="C7" s="20" t="e">
        <f>'80%'!B22</f>
        <v>#REF!</v>
      </c>
      <c r="D7" s="20" t="e">
        <f>'90%'!B22</f>
        <v>#REF!</v>
      </c>
      <c r="E7" s="20" t="e">
        <f>'100%'!B22</f>
        <v>#REF!</v>
      </c>
      <c r="F7" s="20" t="e">
        <f>'110%'!B22</f>
        <v>#REF!</v>
      </c>
      <c r="G7" s="20" t="e">
        <f>'120%'!B22</f>
        <v>#REF!</v>
      </c>
      <c r="K7" s="21" t="str">
        <f>ADDRESS($A8,2,,,C$5)</f>
        <v>'Niveau A'!$B$31</v>
      </c>
    </row>
    <row r="8" spans="1:11" x14ac:dyDescent="0.2">
      <c r="A8" s="14">
        <v>31</v>
      </c>
      <c r="B8" s="33" t="s">
        <v>47</v>
      </c>
      <c r="C8" s="20" t="e">
        <f>'80%'!B23</f>
        <v>#DIV/0!</v>
      </c>
      <c r="D8" s="20" t="e">
        <f>'90%'!B23</f>
        <v>#DIV/0!</v>
      </c>
      <c r="E8" s="20" t="e">
        <f>'100%'!B23</f>
        <v>#DIV/0!</v>
      </c>
      <c r="F8" s="20" t="e">
        <f>'110%'!B23</f>
        <v>#DIV/0!</v>
      </c>
      <c r="G8" s="20" t="e">
        <f>'120%'!B23</f>
        <v>#DIV/0!</v>
      </c>
    </row>
    <row r="9" spans="1:11" x14ac:dyDescent="0.2">
      <c r="A9" s="14">
        <v>32</v>
      </c>
      <c r="B9" s="33" t="s">
        <v>48</v>
      </c>
      <c r="C9" s="20" t="e">
        <f>'80%'!B24</f>
        <v>#REF!</v>
      </c>
      <c r="D9" s="20" t="e">
        <f>'90%'!B24</f>
        <v>#REF!</v>
      </c>
      <c r="E9" s="20" t="e">
        <f>'100%'!B24</f>
        <v>#REF!</v>
      </c>
      <c r="F9" s="20" t="e">
        <f>'110%'!B24</f>
        <v>#REF!</v>
      </c>
      <c r="G9" s="20" t="e">
        <f>'120%'!B24</f>
        <v>#REF!</v>
      </c>
      <c r="H9" s="2"/>
    </row>
    <row r="10" spans="1:11" x14ac:dyDescent="0.2">
      <c r="A10" s="14">
        <v>33</v>
      </c>
      <c r="B10" s="33" t="s">
        <v>49</v>
      </c>
      <c r="C10" s="20" t="e">
        <f>'80%'!B25</f>
        <v>#DIV/0!</v>
      </c>
      <c r="D10" s="20" t="e">
        <f>'90%'!B25</f>
        <v>#DIV/0!</v>
      </c>
      <c r="E10" s="20" t="e">
        <f>'100%'!B25</f>
        <v>#DIV/0!</v>
      </c>
      <c r="F10" s="20" t="e">
        <f>'110%'!B25</f>
        <v>#DIV/0!</v>
      </c>
      <c r="G10" s="20" t="e">
        <f>'120%'!B25</f>
        <v>#DIV/0!</v>
      </c>
    </row>
    <row r="11" spans="1:11" x14ac:dyDescent="0.2">
      <c r="A11" s="14">
        <v>37</v>
      </c>
      <c r="B11" s="33" t="s">
        <v>50</v>
      </c>
      <c r="C11" s="20" t="e">
        <f>'80%'!B29</f>
        <v>#REF!</v>
      </c>
      <c r="D11" s="20" t="e">
        <f>'90%'!B29</f>
        <v>#REF!</v>
      </c>
      <c r="E11" s="20" t="e">
        <f>'100%'!B29</f>
        <v>#REF!</v>
      </c>
      <c r="F11" s="20" t="e">
        <f>'110%'!B29</f>
        <v>#REF!</v>
      </c>
      <c r="G11" s="20" t="e">
        <f>'120%'!B29</f>
        <v>#REF!</v>
      </c>
    </row>
    <row r="12" spans="1:11" x14ac:dyDescent="0.2">
      <c r="A12" s="14">
        <v>39</v>
      </c>
      <c r="B12" s="33" t="s">
        <v>51</v>
      </c>
      <c r="C12" s="20" t="e">
        <f>'80%'!B31</f>
        <v>#REF!</v>
      </c>
      <c r="D12" s="20" t="e">
        <f>'90%'!B31</f>
        <v>#REF!</v>
      </c>
      <c r="E12" s="20" t="e">
        <f>'100%'!B31</f>
        <v>#REF!</v>
      </c>
      <c r="F12" s="20" t="e">
        <f>'110%'!B31</f>
        <v>#REF!</v>
      </c>
      <c r="G12" s="20" t="e">
        <f>'120%'!B31</f>
        <v>#REF!</v>
      </c>
    </row>
    <row r="13" spans="1:11" x14ac:dyDescent="0.2">
      <c r="A13" s="14">
        <v>40</v>
      </c>
      <c r="B13" s="33" t="s">
        <v>52</v>
      </c>
      <c r="C13" s="20" t="e">
        <f>'80%'!B32</f>
        <v>#REF!</v>
      </c>
      <c r="D13" s="20" t="e">
        <f>'90%'!B32</f>
        <v>#REF!</v>
      </c>
      <c r="E13" s="20" t="e">
        <f>'100%'!B32</f>
        <v>#REF!</v>
      </c>
      <c r="F13" s="20" t="e">
        <f>'110%'!B32</f>
        <v>#REF!</v>
      </c>
      <c r="G13" s="20" t="e">
        <f>'120%'!B32</f>
        <v>#REF!</v>
      </c>
    </row>
    <row r="14" spans="1:11" x14ac:dyDescent="0.2">
      <c r="A14" s="14">
        <v>47</v>
      </c>
      <c r="B14" s="33" t="s">
        <v>53</v>
      </c>
      <c r="C14" s="20" t="e">
        <f>'80%'!B39</f>
        <v>#REF!</v>
      </c>
      <c r="D14" s="20" t="e">
        <f>'90%'!B39</f>
        <v>#REF!</v>
      </c>
      <c r="E14" s="20" t="e">
        <f>'100%'!B39</f>
        <v>#REF!</v>
      </c>
      <c r="F14" s="20" t="e">
        <f>'110%'!B39</f>
        <v>#REF!</v>
      </c>
      <c r="G14" s="20" t="e">
        <f>'120%'!B39</f>
        <v>#REF!</v>
      </c>
    </row>
    <row r="15" spans="1:11" x14ac:dyDescent="0.2">
      <c r="A15" s="14">
        <v>48</v>
      </c>
      <c r="B15" s="33" t="s">
        <v>54</v>
      </c>
      <c r="C15" s="20" t="e">
        <f>'80%'!B40</f>
        <v>#REF!</v>
      </c>
      <c r="D15" s="20" t="e">
        <f>'90%'!B40</f>
        <v>#REF!</v>
      </c>
      <c r="E15" s="20" t="e">
        <f>'100%'!B40</f>
        <v>#REF!</v>
      </c>
      <c r="F15" s="20" t="e">
        <f>'110%'!B40</f>
        <v>#REF!</v>
      </c>
      <c r="G15" s="20" t="e">
        <f>'120%'!B40</f>
        <v>#REF!</v>
      </c>
    </row>
    <row r="16" spans="1:11" x14ac:dyDescent="0.2">
      <c r="A16" s="14">
        <v>35</v>
      </c>
      <c r="B16" s="33" t="s">
        <v>55</v>
      </c>
      <c r="C16" s="22" t="e">
        <f>'80%'!B27</f>
        <v>#REF!</v>
      </c>
      <c r="D16" s="22" t="e">
        <f>'90%'!B27</f>
        <v>#REF!</v>
      </c>
      <c r="E16" s="22" t="e">
        <f>'100%'!B27</f>
        <v>#REF!</v>
      </c>
      <c r="F16" s="22" t="e">
        <f>'110%'!B27</f>
        <v>#REF!</v>
      </c>
      <c r="G16" s="22" t="e">
        <f>'120%'!B27</f>
        <v>#REF!</v>
      </c>
    </row>
    <row r="17" spans="2:7" s="18" customFormat="1" x14ac:dyDescent="0.2">
      <c r="B17" s="19" t="s">
        <v>37</v>
      </c>
      <c r="C17" s="23" t="e">
        <f>C7/C$6</f>
        <v>#REF!</v>
      </c>
      <c r="D17" s="23" t="e">
        <f t="shared" ref="D17:G17" si="0">D7/D$6</f>
        <v>#REF!</v>
      </c>
      <c r="E17" s="23" t="e">
        <f t="shared" si="0"/>
        <v>#REF!</v>
      </c>
      <c r="F17" s="23" t="e">
        <f t="shared" si="0"/>
        <v>#REF!</v>
      </c>
      <c r="G17" s="23" t="e">
        <f t="shared" si="0"/>
        <v>#REF!</v>
      </c>
    </row>
    <row r="18" spans="2:7" s="18" customFormat="1" x14ac:dyDescent="0.2">
      <c r="B18" s="19" t="s">
        <v>38</v>
      </c>
      <c r="C18" s="23" t="e">
        <f>C14/C$6</f>
        <v>#REF!</v>
      </c>
      <c r="D18" s="23" t="e">
        <f>D14/D$6</f>
        <v>#REF!</v>
      </c>
      <c r="E18" s="23" t="e">
        <f t="shared" ref="E18:G19" si="1">E14/E$6</f>
        <v>#REF!</v>
      </c>
      <c r="F18" s="23" t="e">
        <f t="shared" si="1"/>
        <v>#REF!</v>
      </c>
      <c r="G18" s="23" t="e">
        <f t="shared" si="1"/>
        <v>#REF!</v>
      </c>
    </row>
    <row r="19" spans="2:7" s="18" customFormat="1" x14ac:dyDescent="0.2">
      <c r="B19" s="19" t="s">
        <v>39</v>
      </c>
      <c r="C19" s="23" t="e">
        <f>C15/C$6</f>
        <v>#REF!</v>
      </c>
      <c r="D19" s="23" t="e">
        <f>D15/D$6</f>
        <v>#REF!</v>
      </c>
      <c r="E19" s="23" t="e">
        <f t="shared" si="1"/>
        <v>#REF!</v>
      </c>
      <c r="F19" s="23" t="e">
        <f t="shared" si="1"/>
        <v>#REF!</v>
      </c>
      <c r="G19" s="23" t="e">
        <f t="shared" si="1"/>
        <v>#REF!</v>
      </c>
    </row>
    <row r="20" spans="2:7" s="18" customFormat="1" x14ac:dyDescent="0.2">
      <c r="B20" s="19" t="s">
        <v>40</v>
      </c>
      <c r="C20" s="24" t="e">
        <f>1-$C$3</f>
        <v>#REF!</v>
      </c>
      <c r="D20" s="24" t="e">
        <f t="shared" ref="D20:G20" si="2">1-$C$3</f>
        <v>#REF!</v>
      </c>
      <c r="E20" s="24" t="e">
        <f t="shared" si="2"/>
        <v>#REF!</v>
      </c>
      <c r="F20" s="24" t="e">
        <f t="shared" si="2"/>
        <v>#REF!</v>
      </c>
      <c r="G20" s="24" t="e">
        <f t="shared" si="2"/>
        <v>#REF!</v>
      </c>
    </row>
    <row r="21" spans="2:7" s="18" customFormat="1" x14ac:dyDescent="0.2">
      <c r="B21" s="19" t="s">
        <v>41</v>
      </c>
      <c r="C21" s="24" t="e">
        <f t="shared" ref="C21:G21" si="3">1+$C$3</f>
        <v>#REF!</v>
      </c>
      <c r="D21" s="24" t="e">
        <f t="shared" si="3"/>
        <v>#REF!</v>
      </c>
      <c r="E21" s="24" t="e">
        <f t="shared" si="3"/>
        <v>#REF!</v>
      </c>
      <c r="F21" s="24" t="e">
        <f t="shared" si="3"/>
        <v>#REF!</v>
      </c>
      <c r="G21" s="24" t="e">
        <f t="shared" si="3"/>
        <v>#REF!</v>
      </c>
    </row>
    <row r="22" spans="2:7" s="18" customFormat="1" x14ac:dyDescent="0.2">
      <c r="B22" s="25"/>
      <c r="C22" s="26"/>
      <c r="D22" s="26"/>
      <c r="E22" s="26"/>
      <c r="F22" s="26"/>
      <c r="G22" s="26"/>
    </row>
    <row r="23" spans="2:7" s="18" customFormat="1" x14ac:dyDescent="0.2">
      <c r="B23" s="25"/>
      <c r="C23" s="26"/>
      <c r="D23" s="26"/>
      <c r="E23" s="26"/>
      <c r="F23" s="26"/>
      <c r="G23" s="26"/>
    </row>
    <row r="24" spans="2:7" s="18" customFormat="1" x14ac:dyDescent="0.2">
      <c r="B24" s="25"/>
      <c r="C24" s="26"/>
      <c r="D24" s="26"/>
      <c r="E24" s="26"/>
      <c r="F24" s="26"/>
      <c r="G24" s="26"/>
    </row>
    <row r="25" spans="2:7" s="18" customFormat="1" x14ac:dyDescent="0.2">
      <c r="B25" s="25"/>
      <c r="C25" s="26"/>
      <c r="D25" s="26"/>
      <c r="E25" s="26"/>
      <c r="F25" s="26"/>
      <c r="G25" s="26"/>
    </row>
    <row r="26" spans="2:7" s="18" customFormat="1" x14ac:dyDescent="0.2">
      <c r="B26" s="25"/>
      <c r="C26" s="26"/>
      <c r="D26" s="26"/>
      <c r="E26" s="26"/>
      <c r="F26" s="26"/>
      <c r="G26" s="26"/>
    </row>
    <row r="27" spans="2:7" s="13" customFormat="1" x14ac:dyDescent="0.2">
      <c r="B27" s="13" t="s">
        <v>42</v>
      </c>
    </row>
    <row r="28" spans="2:7" x14ac:dyDescent="0.2">
      <c r="B28" s="14" t="s">
        <v>43</v>
      </c>
      <c r="C28" s="27" t="e">
        <f t="shared" ref="C28:G28" si="4">C$12*C$10</f>
        <v>#REF!</v>
      </c>
      <c r="D28" s="27" t="e">
        <f t="shared" si="4"/>
        <v>#REF!</v>
      </c>
      <c r="E28" s="27" t="e">
        <f t="shared" si="4"/>
        <v>#REF!</v>
      </c>
      <c r="F28" s="27" t="e">
        <f t="shared" si="4"/>
        <v>#REF!</v>
      </c>
      <c r="G28" s="27" t="e">
        <f t="shared" si="4"/>
        <v>#REF!</v>
      </c>
    </row>
    <row r="29" spans="2:7" x14ac:dyDescent="0.2">
      <c r="B29" s="14" t="s">
        <v>44</v>
      </c>
      <c r="C29" s="28" t="e">
        <f t="shared" ref="C29:G29" si="5">2*C28/C7</f>
        <v>#REF!</v>
      </c>
      <c r="D29" s="28" t="e">
        <f t="shared" si="5"/>
        <v>#REF!</v>
      </c>
      <c r="E29" s="28" t="e">
        <f t="shared" si="5"/>
        <v>#REF!</v>
      </c>
      <c r="F29" s="28" t="e">
        <f t="shared" si="5"/>
        <v>#REF!</v>
      </c>
      <c r="G29" s="28" t="e">
        <f t="shared" si="5"/>
        <v>#REF!</v>
      </c>
    </row>
    <row r="30" spans="2:7" x14ac:dyDescent="0.2">
      <c r="C30" s="27"/>
      <c r="D30" s="27"/>
      <c r="E30" s="27"/>
      <c r="F30" s="27"/>
      <c r="G30" s="27"/>
    </row>
    <row r="31" spans="2:7" s="29" customFormat="1" x14ac:dyDescent="0.2">
      <c r="F31" s="30"/>
    </row>
    <row r="32" spans="2:7" s="29" customFormat="1" x14ac:dyDescent="0.2">
      <c r="F32" s="30"/>
    </row>
    <row r="33" spans="3:7" s="29" customFormat="1" x14ac:dyDescent="0.2">
      <c r="C33" s="30"/>
      <c r="D33" s="30"/>
      <c r="E33" s="30"/>
      <c r="F33" s="30"/>
      <c r="G33" s="30"/>
    </row>
    <row r="34" spans="3:7" s="29" customFormat="1" x14ac:dyDescent="0.2">
      <c r="C34" s="30"/>
      <c r="D34" s="30"/>
      <c r="E34" s="30"/>
      <c r="F34" s="30"/>
      <c r="G34" s="30"/>
    </row>
    <row r="35" spans="3:7" s="29" customFormat="1" x14ac:dyDescent="0.2">
      <c r="C35" s="31"/>
      <c r="D35" s="31"/>
      <c r="E35" s="31"/>
      <c r="F35" s="31"/>
      <c r="G35" s="31"/>
    </row>
    <row r="36" spans="3:7" s="29" customFormat="1" x14ac:dyDescent="0.2">
      <c r="C36" s="31"/>
      <c r="D36" s="31"/>
      <c r="E36" s="31"/>
      <c r="F36" s="31"/>
      <c r="G36" s="31"/>
    </row>
  </sheetData>
  <sheetProtection pivotTables="0"/>
  <pageMargins left="0.78740157499999996" right="0.78740157499999996" top="0.984251969" bottom="0.984251969" header="0.4921259845" footer="0.4921259845"/>
  <pageSetup paperSize="9" orientation="landscape" verticalDpi="0" r:id="rId1"/>
  <headerFooter alignWithMargins="0">
    <oddFooter>&amp;A&amp;RPage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  <pageSetUpPr fitToPage="1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7.7109375" style="2" bestFit="1" customWidth="1"/>
    <col min="3" max="3" width="11.5703125" style="2" customWidth="1"/>
    <col min="4" max="4" width="11.140625" style="2" customWidth="1"/>
    <col min="5" max="5" width="12.42578125" style="2" customWidth="1"/>
    <col min="6" max="6" width="10.28515625" style="2" customWidth="1"/>
    <col min="7" max="7" width="3.5703125" style="2" customWidth="1"/>
    <col min="8" max="8" width="6.42578125" style="2" customWidth="1"/>
    <col min="9" max="9" width="15" style="2" bestFit="1" customWidth="1"/>
    <col min="10" max="10" width="10.85546875" style="2" customWidth="1"/>
    <col min="11" max="16384" width="10.85546875" style="2"/>
  </cols>
  <sheetData>
    <row r="1" spans="1:9" ht="12.75" thickBot="1" x14ac:dyDescent="0.25">
      <c r="A1" s="1" t="s">
        <v>21</v>
      </c>
    </row>
    <row r="2" spans="1:9" ht="13.5" thickBot="1" x14ac:dyDescent="0.25">
      <c r="A2" s="3" t="s">
        <v>45</v>
      </c>
      <c r="B2" s="4">
        <v>80</v>
      </c>
    </row>
    <row r="4" spans="1:9" x14ac:dyDescent="0.2"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H4" s="2" t="s">
        <v>27</v>
      </c>
      <c r="I4" s="2" t="s">
        <v>28</v>
      </c>
    </row>
    <row r="5" spans="1:9" x14ac:dyDescent="0.2">
      <c r="A5" s="2" t="s">
        <v>104</v>
      </c>
      <c r="B5" s="35" t="e">
        <f>#REF!*$B$2</f>
        <v>#REF!</v>
      </c>
      <c r="C5" s="35" t="e">
        <f>#REF!*$B$2</f>
        <v>#REF!</v>
      </c>
      <c r="D5" s="35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105</v>
      </c>
      <c r="B6" s="35"/>
      <c r="C6" s="35"/>
      <c r="D6" s="35"/>
      <c r="E6" s="36"/>
      <c r="F6" s="37"/>
      <c r="H6" s="5"/>
      <c r="I6" s="6"/>
    </row>
    <row r="7" spans="1:9" x14ac:dyDescent="0.2">
      <c r="A7" s="2" t="s">
        <v>106</v>
      </c>
      <c r="B7" s="35" t="e">
        <f>#REF!*$B$2</f>
        <v>#REF!</v>
      </c>
      <c r="C7" s="35" t="e">
        <f>#REF!*$B$2</f>
        <v>#REF!</v>
      </c>
      <c r="D7" s="35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107</v>
      </c>
      <c r="B8" s="35" t="e">
        <f>#REF!*$B$2</f>
        <v>#REF!</v>
      </c>
      <c r="C8" s="35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108</v>
      </c>
      <c r="B9" s="35" t="e">
        <f>#REF!*$B$2</f>
        <v>#REF!</v>
      </c>
      <c r="C9" s="35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109</v>
      </c>
      <c r="B11" s="2">
        <f>COUNT(B5:B9)</f>
        <v>0</v>
      </c>
      <c r="C11" s="7"/>
    </row>
    <row r="12" spans="1:9" x14ac:dyDescent="0.2">
      <c r="A12" s="2" t="s">
        <v>110</v>
      </c>
      <c r="B12" s="2">
        <f>COUNT(B5:F9)</f>
        <v>0</v>
      </c>
      <c r="C12" s="7"/>
    </row>
    <row r="13" spans="1:9" x14ac:dyDescent="0.2">
      <c r="A13" s="2" t="s">
        <v>111</v>
      </c>
      <c r="B13" s="2">
        <f>IF(H5*B11&lt;&gt;B12,"Calcul impossible",H5)</f>
        <v>0</v>
      </c>
      <c r="C13" s="7"/>
    </row>
    <row r="14" spans="1:9" x14ac:dyDescent="0.2">
      <c r="A14" s="2" t="s">
        <v>112</v>
      </c>
      <c r="B14" s="8">
        <f>SUM(I5:I9)</f>
        <v>0</v>
      </c>
      <c r="C14" s="7"/>
    </row>
    <row r="15" spans="1:9" x14ac:dyDescent="0.2">
      <c r="A15" s="2" t="s">
        <v>113</v>
      </c>
      <c r="B15" s="8" t="e">
        <f>DEVSQ(B5:F9)</f>
        <v>#REF!</v>
      </c>
      <c r="C15" s="7"/>
    </row>
    <row r="16" spans="1:9" x14ac:dyDescent="0.2">
      <c r="A16" s="2" t="s">
        <v>114</v>
      </c>
      <c r="B16" s="8" t="e">
        <f>B15-B14</f>
        <v>#REF!</v>
      </c>
      <c r="C16" s="7"/>
    </row>
    <row r="17" spans="1:9" x14ac:dyDescent="0.2">
      <c r="A17" s="2" t="s">
        <v>115</v>
      </c>
      <c r="B17" s="8" t="e">
        <f>((B16/(B11-1))-B18)/B13</f>
        <v>#REF!</v>
      </c>
      <c r="C17" s="7"/>
    </row>
    <row r="18" spans="1:9" x14ac:dyDescent="0.2">
      <c r="A18" s="2" t="s">
        <v>116</v>
      </c>
      <c r="B18" s="8" t="e">
        <f>B14/(B12-B11)</f>
        <v>#DIV/0!</v>
      </c>
      <c r="C18" s="7"/>
    </row>
    <row r="19" spans="1:9" x14ac:dyDescent="0.2">
      <c r="A19" s="2" t="s">
        <v>117</v>
      </c>
      <c r="B19" s="8" t="e">
        <f>IF(B17&lt;0,0,B17)</f>
        <v>#REF!</v>
      </c>
      <c r="C19" s="7"/>
    </row>
    <row r="20" spans="1:9" x14ac:dyDescent="0.2">
      <c r="A20" s="2" t="s">
        <v>118</v>
      </c>
      <c r="B20" s="8" t="e">
        <f>SUM(B18:B19)</f>
        <v>#DIV/0!</v>
      </c>
      <c r="C20" s="7"/>
    </row>
    <row r="21" spans="1:9" s="3" customFormat="1" ht="12.75" x14ac:dyDescent="0.2">
      <c r="A21" s="3" t="s">
        <v>119</v>
      </c>
    </row>
    <row r="22" spans="1:9" x14ac:dyDescent="0.2">
      <c r="A22" s="2" t="s">
        <v>46</v>
      </c>
      <c r="B22" s="8" t="e">
        <f>AVERAGE(B5:F9)</f>
        <v>#REF!</v>
      </c>
      <c r="C22" s="7"/>
    </row>
    <row r="23" spans="1:9" ht="12" customHeight="1" x14ac:dyDescent="0.2">
      <c r="A23" s="2" t="s">
        <v>47</v>
      </c>
      <c r="B23" s="8" t="e">
        <f>SQRT(B18)</f>
        <v>#DIV/0!</v>
      </c>
      <c r="C23" s="7"/>
    </row>
    <row r="24" spans="1:9" x14ac:dyDescent="0.2">
      <c r="A24" s="2" t="s">
        <v>48</v>
      </c>
      <c r="B24" s="8" t="e">
        <f>SQRT(B19)</f>
        <v>#REF!</v>
      </c>
      <c r="C24" s="7"/>
    </row>
    <row r="25" spans="1:9" x14ac:dyDescent="0.2">
      <c r="A25" s="2" t="s">
        <v>49</v>
      </c>
      <c r="B25" s="8" t="e">
        <f>SQRT(B20)</f>
        <v>#DIV/0!</v>
      </c>
      <c r="C25" s="7"/>
    </row>
    <row r="26" spans="1:9" s="3" customFormat="1" ht="12.75" x14ac:dyDescent="0.2">
      <c r="A26" s="3" t="s">
        <v>120</v>
      </c>
    </row>
    <row r="27" spans="1:9" ht="15" x14ac:dyDescent="0.25">
      <c r="A27" s="2" t="s">
        <v>55</v>
      </c>
      <c r="B27" s="9" t="e">
        <f>B22/B2-1</f>
        <v>#REF!</v>
      </c>
      <c r="C27" s="7"/>
    </row>
    <row r="28" spans="1:9" s="3" customFormat="1" ht="12.75" x14ac:dyDescent="0.2">
      <c r="A28" s="3" t="s">
        <v>121</v>
      </c>
    </row>
    <row r="29" spans="1:9" x14ac:dyDescent="0.2">
      <c r="A29" s="2" t="s">
        <v>50</v>
      </c>
      <c r="B29" s="8" t="e">
        <f>B19/B18</f>
        <v>#REF!</v>
      </c>
      <c r="C29" s="7"/>
    </row>
    <row r="30" spans="1:9" x14ac:dyDescent="0.2">
      <c r="A30" s="2" t="s">
        <v>122</v>
      </c>
      <c r="B30" s="8" t="e">
        <f>(B29+1)/(B13*B29+1)</f>
        <v>#REF!</v>
      </c>
      <c r="C30" s="7"/>
    </row>
    <row r="31" spans="1:9" x14ac:dyDescent="0.2">
      <c r="A31" s="2" t="s">
        <v>51</v>
      </c>
      <c r="B31" s="8" t="e">
        <f>SQRT(1+1/(B12*B30))</f>
        <v>#REF!</v>
      </c>
      <c r="C31" s="7"/>
    </row>
    <row r="32" spans="1:9" x14ac:dyDescent="0.2">
      <c r="A32" s="2" t="s">
        <v>52</v>
      </c>
      <c r="B32" s="8" t="e">
        <f>(B29+1)^2/((B29+1/B13)^2/(B11-1)+(1-1/B13)/B12)</f>
        <v>#REF!</v>
      </c>
      <c r="C32" s="7"/>
      <c r="I32" s="6"/>
    </row>
    <row r="33" spans="1:3" x14ac:dyDescent="0.2">
      <c r="A33" s="2" t="s">
        <v>34</v>
      </c>
      <c r="B33" s="8" t="e">
        <f>Récapitulatif!C2</f>
        <v>#REF!</v>
      </c>
      <c r="C33" s="7"/>
    </row>
    <row r="34" spans="1:3" x14ac:dyDescent="0.2">
      <c r="A34" s="2" t="s">
        <v>123</v>
      </c>
      <c r="B34" s="8" t="e">
        <f>TINV(1-B33,ROUNDDOWN(B32,0))</f>
        <v>#REF!</v>
      </c>
      <c r="C34" s="7"/>
    </row>
    <row r="35" spans="1:3" x14ac:dyDescent="0.2">
      <c r="A35" s="2" t="s">
        <v>124</v>
      </c>
      <c r="B35" s="8" t="e">
        <f>TINV(1-B33,ROUNDUP(B32,0))</f>
        <v>#REF!</v>
      </c>
      <c r="C35" s="7"/>
    </row>
    <row r="36" spans="1:3" x14ac:dyDescent="0.2">
      <c r="A36" s="2" t="s">
        <v>125</v>
      </c>
      <c r="B36" s="8" t="e">
        <f>B34-(B34-B35)*(B32-ROUNDDOWN(B32,0))</f>
        <v>#REF!</v>
      </c>
      <c r="C36" s="7"/>
    </row>
    <row r="37" spans="1:3" x14ac:dyDescent="0.2">
      <c r="A37" s="2" t="s">
        <v>126</v>
      </c>
      <c r="B37" s="8" t="e">
        <f>B36*B31</f>
        <v>#REF!</v>
      </c>
      <c r="C37" s="7"/>
    </row>
    <row r="38" spans="1:3" s="3" customFormat="1" ht="12.75" x14ac:dyDescent="0.2">
      <c r="A38" s="3" t="s">
        <v>127</v>
      </c>
    </row>
    <row r="39" spans="1:3" x14ac:dyDescent="0.2">
      <c r="A39" s="2" t="s">
        <v>53</v>
      </c>
      <c r="B39" s="8" t="e">
        <f>B22-B37*B25</f>
        <v>#REF!</v>
      </c>
      <c r="C39" s="7"/>
    </row>
    <row r="40" spans="1:3" x14ac:dyDescent="0.2">
      <c r="A40" s="2" t="s">
        <v>54</v>
      </c>
      <c r="B40" s="8" t="e">
        <f>B22+B37*B25</f>
        <v>#REF!</v>
      </c>
      <c r="C40" s="7"/>
    </row>
  </sheetData>
  <sheetProtection pivotTables="0"/>
  <printOptions headings="1" gridLines="1"/>
  <pageMargins left="0.78740157499999996" right="0.78740157499999996" top="0.49" bottom="0.76" header="0.28000000000000003" footer="0.4921259845"/>
  <pageSetup paperSize="9" orientation="landscape" horizontalDpi="300" verticalDpi="300" r:id="rId1"/>
  <headerFooter alignWithMargins="0">
    <oddFooter>&amp;A&amp;RPage &amp;P</oddFooter>
  </headerFooter>
  <rowBreaks count="1" manualBreakCount="1"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29</v>
      </c>
    </row>
    <row r="2" spans="1:9" ht="13.5" thickBot="1" x14ac:dyDescent="0.25">
      <c r="A2" s="3" t="s">
        <v>45</v>
      </c>
      <c r="B2" s="11">
        <v>90</v>
      </c>
    </row>
    <row r="4" spans="1:9" x14ac:dyDescent="0.2"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H4" s="2" t="s">
        <v>27</v>
      </c>
      <c r="I4" s="2" t="s">
        <v>28</v>
      </c>
    </row>
    <row r="5" spans="1:9" x14ac:dyDescent="0.2">
      <c r="A5" s="2" t="s">
        <v>104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105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106</v>
      </c>
      <c r="B7" s="36"/>
      <c r="C7" s="36"/>
      <c r="D7" s="36"/>
      <c r="E7" s="36"/>
      <c r="F7" s="37"/>
      <c r="H7" s="5"/>
      <c r="I7" s="6" t="str">
        <f>IF(H7=0,"",DEVSQ(B7:F7))</f>
        <v/>
      </c>
    </row>
    <row r="8" spans="1:9" x14ac:dyDescent="0.2">
      <c r="A8" s="2" t="s">
        <v>107</v>
      </c>
      <c r="B8" s="36" t="e">
        <f>#REF!*$B$2</f>
        <v>#REF!</v>
      </c>
      <c r="C8" s="36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108</v>
      </c>
      <c r="B9" s="36" t="e">
        <f>#REF!*$B$2</f>
        <v>#REF!</v>
      </c>
      <c r="C9" s="36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109</v>
      </c>
      <c r="B11" s="2">
        <f>COUNT(B5:B9)</f>
        <v>0</v>
      </c>
      <c r="C11" s="7"/>
    </row>
    <row r="12" spans="1:9" x14ac:dyDescent="0.2">
      <c r="A12" s="2" t="s">
        <v>110</v>
      </c>
      <c r="B12" s="2">
        <f>COUNT(B5:F9)</f>
        <v>0</v>
      </c>
      <c r="C12" s="7"/>
    </row>
    <row r="13" spans="1:9" x14ac:dyDescent="0.2">
      <c r="A13" s="2" t="s">
        <v>111</v>
      </c>
      <c r="B13" s="2">
        <f>IF(H5*B11&lt;&gt;B12,"Calcul impossible",H5)</f>
        <v>0</v>
      </c>
      <c r="C13" s="7"/>
    </row>
    <row r="14" spans="1:9" x14ac:dyDescent="0.2">
      <c r="A14" s="2" t="s">
        <v>112</v>
      </c>
      <c r="B14" s="12">
        <f>SUM(I5:I9)</f>
        <v>0</v>
      </c>
      <c r="C14" s="7"/>
    </row>
    <row r="15" spans="1:9" x14ac:dyDescent="0.2">
      <c r="A15" s="2" t="s">
        <v>113</v>
      </c>
      <c r="B15" s="12" t="e">
        <f>DEVSQ(B5:F9)</f>
        <v>#REF!</v>
      </c>
      <c r="C15" s="7"/>
    </row>
    <row r="16" spans="1:9" x14ac:dyDescent="0.2">
      <c r="A16" s="2" t="s">
        <v>114</v>
      </c>
      <c r="B16" s="12" t="e">
        <f>B15-B14</f>
        <v>#REF!</v>
      </c>
      <c r="C16" s="7"/>
    </row>
    <row r="17" spans="1:9" x14ac:dyDescent="0.2">
      <c r="A17" s="2" t="s">
        <v>115</v>
      </c>
      <c r="B17" s="12" t="e">
        <f>((B16/(B11-1))-B18)/B13</f>
        <v>#REF!</v>
      </c>
      <c r="C17" s="7"/>
    </row>
    <row r="18" spans="1:9" x14ac:dyDescent="0.2">
      <c r="A18" s="2" t="s">
        <v>116</v>
      </c>
      <c r="B18" s="12" t="e">
        <f>B14/(B12-B11)</f>
        <v>#DIV/0!</v>
      </c>
      <c r="C18" s="7"/>
    </row>
    <row r="19" spans="1:9" x14ac:dyDescent="0.2">
      <c r="A19" s="2" t="s">
        <v>117</v>
      </c>
      <c r="B19" s="12" t="e">
        <f>IF(B17&lt;0,0,B17)</f>
        <v>#REF!</v>
      </c>
      <c r="C19" s="7"/>
    </row>
    <row r="20" spans="1:9" x14ac:dyDescent="0.2">
      <c r="A20" s="2" t="s">
        <v>118</v>
      </c>
      <c r="B20" s="12" t="e">
        <f>SUM(B18:B19)</f>
        <v>#DIV/0!</v>
      </c>
      <c r="C20" s="7"/>
    </row>
    <row r="21" spans="1:9" s="3" customFormat="1" ht="12.75" x14ac:dyDescent="0.2">
      <c r="A21" s="3" t="s">
        <v>119</v>
      </c>
    </row>
    <row r="22" spans="1:9" x14ac:dyDescent="0.2">
      <c r="A22" s="2" t="s">
        <v>46</v>
      </c>
      <c r="B22" s="12" t="e">
        <f>AVERAGE(B5:F9)</f>
        <v>#REF!</v>
      </c>
      <c r="C22" s="7"/>
    </row>
    <row r="23" spans="1:9" ht="12" customHeight="1" x14ac:dyDescent="0.2">
      <c r="A23" s="2" t="s">
        <v>47</v>
      </c>
      <c r="B23" s="12" t="e">
        <f>SQRT(B18)</f>
        <v>#DIV/0!</v>
      </c>
      <c r="C23" s="7"/>
    </row>
    <row r="24" spans="1:9" x14ac:dyDescent="0.2">
      <c r="A24" s="2" t="s">
        <v>48</v>
      </c>
      <c r="B24" s="12" t="e">
        <f>SQRT(B19)</f>
        <v>#REF!</v>
      </c>
      <c r="C24" s="7"/>
    </row>
    <row r="25" spans="1:9" x14ac:dyDescent="0.2">
      <c r="A25" s="2" t="s">
        <v>49</v>
      </c>
      <c r="B25" s="12" t="e">
        <f>SQRT(B20)</f>
        <v>#DIV/0!</v>
      </c>
      <c r="C25" s="7"/>
    </row>
    <row r="26" spans="1:9" s="3" customFormat="1" ht="12.75" x14ac:dyDescent="0.2">
      <c r="A26" s="3" t="s">
        <v>120</v>
      </c>
    </row>
    <row r="27" spans="1:9" ht="15" x14ac:dyDescent="0.25">
      <c r="A27" s="2" t="s">
        <v>55</v>
      </c>
      <c r="B27" s="9" t="e">
        <f>B22/B2-1</f>
        <v>#REF!</v>
      </c>
      <c r="C27" s="7"/>
    </row>
    <row r="28" spans="1:9" s="3" customFormat="1" ht="12.75" x14ac:dyDescent="0.2">
      <c r="A28" s="3" t="s">
        <v>121</v>
      </c>
    </row>
    <row r="29" spans="1:9" x14ac:dyDescent="0.2">
      <c r="A29" s="2" t="s">
        <v>50</v>
      </c>
      <c r="B29" s="6" t="e">
        <f>B19/B18</f>
        <v>#REF!</v>
      </c>
      <c r="C29" s="7"/>
    </row>
    <row r="30" spans="1:9" x14ac:dyDescent="0.2">
      <c r="A30" s="2" t="s">
        <v>122</v>
      </c>
      <c r="B30" s="6" t="e">
        <f>(B29+1)/(B13*B29+1)</f>
        <v>#REF!</v>
      </c>
      <c r="C30" s="7"/>
    </row>
    <row r="31" spans="1:9" x14ac:dyDescent="0.2">
      <c r="A31" s="2" t="s">
        <v>51</v>
      </c>
      <c r="B31" s="6" t="e">
        <f>SQRT(1+1/(B12*B30))</f>
        <v>#REF!</v>
      </c>
      <c r="C31" s="7"/>
    </row>
    <row r="32" spans="1:9" x14ac:dyDescent="0.2">
      <c r="A32" s="2" t="s">
        <v>52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34</v>
      </c>
      <c r="B33" s="6" t="e">
        <f>Récapitulatif!C2</f>
        <v>#REF!</v>
      </c>
      <c r="C33" s="7"/>
    </row>
    <row r="34" spans="1:3" x14ac:dyDescent="0.2">
      <c r="A34" s="2" t="s">
        <v>123</v>
      </c>
      <c r="B34" s="6" t="e">
        <f>TINV(1-B33,ROUNDDOWN(B32,0))</f>
        <v>#REF!</v>
      </c>
      <c r="C34" s="7"/>
    </row>
    <row r="35" spans="1:3" x14ac:dyDescent="0.2">
      <c r="A35" s="2" t="s">
        <v>124</v>
      </c>
      <c r="B35" s="6" t="e">
        <f>TINV(1-B33,ROUNDUP(B32,0))</f>
        <v>#REF!</v>
      </c>
      <c r="C35" s="7"/>
    </row>
    <row r="36" spans="1:3" x14ac:dyDescent="0.2">
      <c r="A36" s="2" t="s">
        <v>125</v>
      </c>
      <c r="B36" s="6" t="e">
        <f>B34-(B34-B35)*(B32-ROUNDDOWN(B32,0))</f>
        <v>#REF!</v>
      </c>
      <c r="C36" s="7"/>
    </row>
    <row r="37" spans="1:3" x14ac:dyDescent="0.2">
      <c r="A37" s="2" t="s">
        <v>126</v>
      </c>
      <c r="B37" s="6" t="e">
        <f>B36*B31</f>
        <v>#REF!</v>
      </c>
      <c r="C37" s="7"/>
    </row>
    <row r="38" spans="1:3" s="3" customFormat="1" ht="12.75" x14ac:dyDescent="0.2">
      <c r="A38" s="3" t="s">
        <v>127</v>
      </c>
    </row>
    <row r="39" spans="1:3" x14ac:dyDescent="0.2">
      <c r="A39" s="2" t="s">
        <v>53</v>
      </c>
      <c r="B39" s="6" t="e">
        <f>B22-B37*B25</f>
        <v>#REF!</v>
      </c>
      <c r="C39" s="7"/>
    </row>
    <row r="40" spans="1:3" x14ac:dyDescent="0.2">
      <c r="A40" s="2" t="s">
        <v>54</v>
      </c>
      <c r="B40" s="6" t="e">
        <f>B22+B37*B25</f>
        <v>#REF!</v>
      </c>
      <c r="C40" s="7"/>
    </row>
  </sheetData>
  <sheetProtection pivotTables="0"/>
  <printOptions headings="1" gridLines="1"/>
  <pageMargins left="0.78740157499999996" right="0.78740157499999996" top="0.54" bottom="0.56999999999999995" header="0.32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30</v>
      </c>
    </row>
    <row r="2" spans="1:9" ht="13.5" thickBot="1" x14ac:dyDescent="0.25">
      <c r="A2" s="3" t="s">
        <v>45</v>
      </c>
      <c r="B2" s="4">
        <v>100</v>
      </c>
    </row>
    <row r="4" spans="1:9" x14ac:dyDescent="0.2"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H4" s="2" t="s">
        <v>27</v>
      </c>
      <c r="I4" s="2" t="s">
        <v>28</v>
      </c>
    </row>
    <row r="5" spans="1:9" x14ac:dyDescent="0.2">
      <c r="A5" s="2" t="s">
        <v>104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105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106</v>
      </c>
      <c r="B7" s="36" t="e">
        <f>#REF!*$B$2</f>
        <v>#REF!</v>
      </c>
      <c r="C7" s="36" t="e">
        <f>#REF!*$B$2</f>
        <v>#REF!</v>
      </c>
      <c r="D7" s="36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107</v>
      </c>
      <c r="B8" s="36"/>
      <c r="C8" s="36"/>
      <c r="D8" s="36"/>
      <c r="E8" s="36"/>
      <c r="F8" s="37"/>
      <c r="H8" s="5"/>
      <c r="I8" s="6" t="str">
        <f>IF(H8=0,"",DEVSQ(B8:F8))</f>
        <v/>
      </c>
    </row>
    <row r="9" spans="1:9" x14ac:dyDescent="0.2">
      <c r="A9" s="2" t="s">
        <v>108</v>
      </c>
      <c r="B9" s="36" t="e">
        <f>#REF!*$B$2</f>
        <v>#REF!</v>
      </c>
      <c r="C9" s="36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109</v>
      </c>
      <c r="B11" s="2">
        <f>COUNT(B5:B9)</f>
        <v>0</v>
      </c>
      <c r="C11" s="7"/>
    </row>
    <row r="12" spans="1:9" x14ac:dyDescent="0.2">
      <c r="A12" s="2" t="s">
        <v>110</v>
      </c>
      <c r="B12" s="2">
        <f>COUNT(B5:F9)</f>
        <v>0</v>
      </c>
      <c r="C12" s="7"/>
    </row>
    <row r="13" spans="1:9" x14ac:dyDescent="0.2">
      <c r="A13" s="2" t="s">
        <v>111</v>
      </c>
      <c r="B13" s="2">
        <f>IF(H5*B11&lt;&gt;B12,"Calcul impossible",H5)</f>
        <v>0</v>
      </c>
      <c r="C13" s="7"/>
    </row>
    <row r="14" spans="1:9" x14ac:dyDescent="0.2">
      <c r="A14" s="2" t="s">
        <v>112</v>
      </c>
      <c r="B14" s="12">
        <f>SUM(I5:I9)</f>
        <v>0</v>
      </c>
      <c r="C14" s="7"/>
    </row>
    <row r="15" spans="1:9" x14ac:dyDescent="0.2">
      <c r="A15" s="2" t="s">
        <v>113</v>
      </c>
      <c r="B15" s="12" t="e">
        <f>DEVSQ(B5:F9)</f>
        <v>#REF!</v>
      </c>
      <c r="C15" s="7"/>
    </row>
    <row r="16" spans="1:9" x14ac:dyDescent="0.2">
      <c r="A16" s="2" t="s">
        <v>114</v>
      </c>
      <c r="B16" s="12" t="e">
        <f>B15-B14</f>
        <v>#REF!</v>
      </c>
      <c r="C16" s="7"/>
    </row>
    <row r="17" spans="1:9" x14ac:dyDescent="0.2">
      <c r="A17" s="2" t="s">
        <v>115</v>
      </c>
      <c r="B17" s="12" t="e">
        <f>((B16/(B11-1))-B18)/B13</f>
        <v>#REF!</v>
      </c>
      <c r="C17" s="7"/>
    </row>
    <row r="18" spans="1:9" x14ac:dyDescent="0.2">
      <c r="A18" s="2" t="s">
        <v>116</v>
      </c>
      <c r="B18" s="12" t="e">
        <f>B14/(B12-B11)</f>
        <v>#DIV/0!</v>
      </c>
      <c r="C18" s="7"/>
    </row>
    <row r="19" spans="1:9" x14ac:dyDescent="0.2">
      <c r="A19" s="2" t="s">
        <v>117</v>
      </c>
      <c r="B19" s="12" t="e">
        <f>IF(B17&lt;0,0,B17)</f>
        <v>#REF!</v>
      </c>
      <c r="C19" s="7"/>
    </row>
    <row r="20" spans="1:9" x14ac:dyDescent="0.2">
      <c r="A20" s="2" t="s">
        <v>118</v>
      </c>
      <c r="B20" s="12" t="e">
        <f>SUM(B18:B19)</f>
        <v>#DIV/0!</v>
      </c>
      <c r="C20" s="7"/>
    </row>
    <row r="21" spans="1:9" s="3" customFormat="1" ht="12.75" x14ac:dyDescent="0.2">
      <c r="A21" s="3" t="s">
        <v>119</v>
      </c>
    </row>
    <row r="22" spans="1:9" x14ac:dyDescent="0.2">
      <c r="A22" s="2" t="s">
        <v>46</v>
      </c>
      <c r="B22" s="12" t="e">
        <f>AVERAGE(B5:F9)</f>
        <v>#REF!</v>
      </c>
      <c r="C22" s="7"/>
    </row>
    <row r="23" spans="1:9" ht="12" customHeight="1" x14ac:dyDescent="0.2">
      <c r="A23" s="2" t="s">
        <v>47</v>
      </c>
      <c r="B23" s="12" t="e">
        <f>SQRT(B18)</f>
        <v>#DIV/0!</v>
      </c>
      <c r="C23" s="7"/>
    </row>
    <row r="24" spans="1:9" x14ac:dyDescent="0.2">
      <c r="A24" s="2" t="s">
        <v>48</v>
      </c>
      <c r="B24" s="12" t="e">
        <f>SQRT(B19)</f>
        <v>#REF!</v>
      </c>
      <c r="C24" s="7"/>
    </row>
    <row r="25" spans="1:9" x14ac:dyDescent="0.2">
      <c r="A25" s="2" t="s">
        <v>49</v>
      </c>
      <c r="B25" s="12" t="e">
        <f>SQRT(B20)</f>
        <v>#DIV/0!</v>
      </c>
      <c r="C25" s="7"/>
    </row>
    <row r="26" spans="1:9" s="3" customFormat="1" ht="12.75" x14ac:dyDescent="0.2">
      <c r="A26" s="3" t="s">
        <v>120</v>
      </c>
    </row>
    <row r="27" spans="1:9" ht="15" x14ac:dyDescent="0.25">
      <c r="A27" s="2" t="s">
        <v>55</v>
      </c>
      <c r="B27" s="9" t="e">
        <f>B22/B2-1</f>
        <v>#REF!</v>
      </c>
      <c r="C27" s="7"/>
    </row>
    <row r="28" spans="1:9" s="3" customFormat="1" ht="12.75" x14ac:dyDescent="0.2">
      <c r="A28" s="3" t="s">
        <v>121</v>
      </c>
    </row>
    <row r="29" spans="1:9" x14ac:dyDescent="0.2">
      <c r="A29" s="2" t="s">
        <v>50</v>
      </c>
      <c r="B29" s="6" t="e">
        <f>B19/B18</f>
        <v>#REF!</v>
      </c>
      <c r="C29" s="7"/>
    </row>
    <row r="30" spans="1:9" x14ac:dyDescent="0.2">
      <c r="A30" s="2" t="s">
        <v>122</v>
      </c>
      <c r="B30" s="6" t="e">
        <f>(B29+1)/(B13*B29+1)</f>
        <v>#REF!</v>
      </c>
      <c r="C30" s="7"/>
    </row>
    <row r="31" spans="1:9" x14ac:dyDescent="0.2">
      <c r="A31" s="2" t="s">
        <v>51</v>
      </c>
      <c r="B31" s="6" t="e">
        <f>SQRT(1+1/(B12*B30))</f>
        <v>#REF!</v>
      </c>
      <c r="C31" s="7"/>
    </row>
    <row r="32" spans="1:9" x14ac:dyDescent="0.2">
      <c r="A32" s="2" t="s">
        <v>52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34</v>
      </c>
      <c r="B33" s="6" t="e">
        <f>Récapitulatif!C2</f>
        <v>#REF!</v>
      </c>
      <c r="C33" s="7"/>
    </row>
    <row r="34" spans="1:3" x14ac:dyDescent="0.2">
      <c r="A34" s="2" t="s">
        <v>123</v>
      </c>
      <c r="B34" s="6" t="e">
        <f>TINV(1-B33,ROUNDDOWN(B32,0))</f>
        <v>#REF!</v>
      </c>
      <c r="C34" s="7"/>
    </row>
    <row r="35" spans="1:3" x14ac:dyDescent="0.2">
      <c r="A35" s="2" t="s">
        <v>124</v>
      </c>
      <c r="B35" s="6" t="e">
        <f>TINV(1-B33,ROUNDUP(B32,0))</f>
        <v>#REF!</v>
      </c>
      <c r="C35" s="7"/>
    </row>
    <row r="36" spans="1:3" x14ac:dyDescent="0.2">
      <c r="A36" s="2" t="s">
        <v>125</v>
      </c>
      <c r="B36" s="6" t="e">
        <f>B34-(B34-B35)*(B32-ROUNDDOWN(B32,0))</f>
        <v>#REF!</v>
      </c>
      <c r="C36" s="7"/>
    </row>
    <row r="37" spans="1:3" x14ac:dyDescent="0.2">
      <c r="A37" s="2" t="s">
        <v>126</v>
      </c>
      <c r="B37" s="6" t="e">
        <f>B36*B31</f>
        <v>#REF!</v>
      </c>
      <c r="C37" s="7"/>
    </row>
    <row r="38" spans="1:3" s="3" customFormat="1" ht="12.75" x14ac:dyDescent="0.2">
      <c r="A38" s="3" t="s">
        <v>127</v>
      </c>
    </row>
    <row r="39" spans="1:3" x14ac:dyDescent="0.2">
      <c r="A39" s="2" t="s">
        <v>53</v>
      </c>
      <c r="B39" s="6" t="e">
        <f>B22-B37*B25</f>
        <v>#REF!</v>
      </c>
      <c r="C39" s="7"/>
    </row>
    <row r="40" spans="1:3" x14ac:dyDescent="0.2">
      <c r="A40" s="2" t="s">
        <v>54</v>
      </c>
      <c r="B40" s="6" t="e">
        <f>B22+B37*B25</f>
        <v>#REF!</v>
      </c>
      <c r="C40" s="7"/>
    </row>
  </sheetData>
  <sheetProtection selectLockedCells="1"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31</v>
      </c>
    </row>
    <row r="2" spans="1:9" ht="13.5" thickBot="1" x14ac:dyDescent="0.25">
      <c r="A2" s="3" t="s">
        <v>45</v>
      </c>
      <c r="B2" s="4">
        <v>110</v>
      </c>
    </row>
    <row r="4" spans="1:9" x14ac:dyDescent="0.2"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H4" s="2" t="s">
        <v>27</v>
      </c>
      <c r="I4" s="2" t="s">
        <v>28</v>
      </c>
    </row>
    <row r="5" spans="1:9" x14ac:dyDescent="0.2">
      <c r="A5" s="2" t="s">
        <v>104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105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106</v>
      </c>
      <c r="B7" s="36" t="e">
        <f>#REF!*$B$2</f>
        <v>#REF!</v>
      </c>
      <c r="C7" s="36" t="e">
        <f>#REF!*$B$2</f>
        <v>#REF!</v>
      </c>
      <c r="D7" s="36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107</v>
      </c>
      <c r="B8" s="36" t="e">
        <f>#REF!*$B$2</f>
        <v>#REF!</v>
      </c>
      <c r="C8" s="36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108</v>
      </c>
      <c r="B9" s="36"/>
      <c r="C9" s="36"/>
      <c r="D9" s="36"/>
      <c r="E9" s="36"/>
      <c r="F9" s="37"/>
      <c r="H9" s="5"/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109</v>
      </c>
      <c r="B11" s="2">
        <f>COUNT(B5:B9)</f>
        <v>0</v>
      </c>
      <c r="C11" s="7"/>
    </row>
    <row r="12" spans="1:9" x14ac:dyDescent="0.2">
      <c r="A12" s="2" t="s">
        <v>110</v>
      </c>
      <c r="B12" s="2">
        <f>COUNT(B5:F9)</f>
        <v>0</v>
      </c>
      <c r="C12" s="7"/>
    </row>
    <row r="13" spans="1:9" x14ac:dyDescent="0.2">
      <c r="A13" s="2" t="s">
        <v>111</v>
      </c>
      <c r="B13" s="2">
        <f>IF(H5*B11&lt;&gt;B12,"Calcul impossible",H5)</f>
        <v>0</v>
      </c>
      <c r="C13" s="7"/>
    </row>
    <row r="14" spans="1:9" x14ac:dyDescent="0.2">
      <c r="A14" s="2" t="s">
        <v>112</v>
      </c>
      <c r="B14" s="12">
        <f>SUM(I5:I9)</f>
        <v>0</v>
      </c>
      <c r="C14" s="7"/>
    </row>
    <row r="15" spans="1:9" x14ac:dyDescent="0.2">
      <c r="A15" s="2" t="s">
        <v>113</v>
      </c>
      <c r="B15" s="12" t="e">
        <f>DEVSQ(B5:F9)</f>
        <v>#REF!</v>
      </c>
      <c r="C15" s="7"/>
    </row>
    <row r="16" spans="1:9" x14ac:dyDescent="0.2">
      <c r="A16" s="2" t="s">
        <v>114</v>
      </c>
      <c r="B16" s="12" t="e">
        <f>B15-B14</f>
        <v>#REF!</v>
      </c>
      <c r="C16" s="7"/>
    </row>
    <row r="17" spans="1:9" x14ac:dyDescent="0.2">
      <c r="A17" s="2" t="s">
        <v>115</v>
      </c>
      <c r="B17" s="12" t="e">
        <f>((B16/(B11-1))-B18)/B13</f>
        <v>#REF!</v>
      </c>
      <c r="C17" s="7"/>
    </row>
    <row r="18" spans="1:9" x14ac:dyDescent="0.2">
      <c r="A18" s="2" t="s">
        <v>116</v>
      </c>
      <c r="B18" s="12" t="e">
        <f>B14/(B12-B11)</f>
        <v>#DIV/0!</v>
      </c>
      <c r="C18" s="7"/>
    </row>
    <row r="19" spans="1:9" x14ac:dyDescent="0.2">
      <c r="A19" s="2" t="s">
        <v>117</v>
      </c>
      <c r="B19" s="12" t="e">
        <f>IF(B17&lt;0,0,B17)</f>
        <v>#REF!</v>
      </c>
      <c r="C19" s="7"/>
    </row>
    <row r="20" spans="1:9" x14ac:dyDescent="0.2">
      <c r="A20" s="2" t="s">
        <v>118</v>
      </c>
      <c r="B20" s="12" t="e">
        <f>SUM(B18:B19)</f>
        <v>#DIV/0!</v>
      </c>
      <c r="C20" s="7"/>
    </row>
    <row r="21" spans="1:9" s="3" customFormat="1" ht="12.75" x14ac:dyDescent="0.2">
      <c r="A21" s="3" t="s">
        <v>119</v>
      </c>
    </row>
    <row r="22" spans="1:9" x14ac:dyDescent="0.2">
      <c r="A22" s="2" t="s">
        <v>46</v>
      </c>
      <c r="B22" s="12" t="e">
        <f>AVERAGE(B5:F9)</f>
        <v>#REF!</v>
      </c>
      <c r="C22" s="7"/>
    </row>
    <row r="23" spans="1:9" ht="12" customHeight="1" x14ac:dyDescent="0.2">
      <c r="A23" s="2" t="s">
        <v>47</v>
      </c>
      <c r="B23" s="12" t="e">
        <f>SQRT(B18)</f>
        <v>#DIV/0!</v>
      </c>
      <c r="C23" s="7"/>
    </row>
    <row r="24" spans="1:9" x14ac:dyDescent="0.2">
      <c r="A24" s="2" t="s">
        <v>48</v>
      </c>
      <c r="B24" s="12" t="e">
        <f>SQRT(B19)</f>
        <v>#REF!</v>
      </c>
      <c r="C24" s="7"/>
    </row>
    <row r="25" spans="1:9" x14ac:dyDescent="0.2">
      <c r="A25" s="2" t="s">
        <v>49</v>
      </c>
      <c r="B25" s="12" t="e">
        <f>SQRT(B20)</f>
        <v>#DIV/0!</v>
      </c>
      <c r="C25" s="7"/>
    </row>
    <row r="26" spans="1:9" s="3" customFormat="1" ht="12.75" x14ac:dyDescent="0.2">
      <c r="A26" s="3" t="s">
        <v>120</v>
      </c>
    </row>
    <row r="27" spans="1:9" ht="15" x14ac:dyDescent="0.25">
      <c r="A27" s="2" t="s">
        <v>55</v>
      </c>
      <c r="B27" s="9" t="e">
        <f>B22/B2-1</f>
        <v>#REF!</v>
      </c>
      <c r="C27" s="7"/>
    </row>
    <row r="28" spans="1:9" s="3" customFormat="1" ht="12.75" x14ac:dyDescent="0.2">
      <c r="A28" s="3" t="s">
        <v>121</v>
      </c>
    </row>
    <row r="29" spans="1:9" x14ac:dyDescent="0.2">
      <c r="A29" s="2" t="s">
        <v>50</v>
      </c>
      <c r="B29" s="6" t="e">
        <f>B19/B18</f>
        <v>#REF!</v>
      </c>
      <c r="C29" s="7"/>
    </row>
    <row r="30" spans="1:9" x14ac:dyDescent="0.2">
      <c r="A30" s="2" t="s">
        <v>122</v>
      </c>
      <c r="B30" s="6" t="e">
        <f>(B29+1)/(B13*B29+1)</f>
        <v>#REF!</v>
      </c>
      <c r="C30" s="7"/>
    </row>
    <row r="31" spans="1:9" x14ac:dyDescent="0.2">
      <c r="A31" s="2" t="s">
        <v>51</v>
      </c>
      <c r="B31" s="6" t="e">
        <f>SQRT(1+1/(B12*B30))</f>
        <v>#REF!</v>
      </c>
      <c r="C31" s="7"/>
    </row>
    <row r="32" spans="1:9" x14ac:dyDescent="0.2">
      <c r="A32" s="2" t="s">
        <v>52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34</v>
      </c>
      <c r="B33" s="6" t="e">
        <f>Récapitulatif!C2</f>
        <v>#REF!</v>
      </c>
      <c r="C33" s="7"/>
    </row>
    <row r="34" spans="1:3" x14ac:dyDescent="0.2">
      <c r="A34" s="2" t="s">
        <v>123</v>
      </c>
      <c r="B34" s="6" t="e">
        <f>TINV(1-B33,ROUNDDOWN(B32,0))</f>
        <v>#REF!</v>
      </c>
      <c r="C34" s="7"/>
    </row>
    <row r="35" spans="1:3" x14ac:dyDescent="0.2">
      <c r="A35" s="2" t="s">
        <v>124</v>
      </c>
      <c r="B35" s="6" t="e">
        <f>TINV(1-B33,ROUNDUP(B32,0))</f>
        <v>#REF!</v>
      </c>
      <c r="C35" s="7"/>
    </row>
    <row r="36" spans="1:3" x14ac:dyDescent="0.2">
      <c r="A36" s="2" t="s">
        <v>125</v>
      </c>
      <c r="B36" s="6" t="e">
        <f>B34-(B34-B35)*(B32-ROUNDDOWN(B32,0))</f>
        <v>#REF!</v>
      </c>
      <c r="C36" s="7"/>
    </row>
    <row r="37" spans="1:3" x14ac:dyDescent="0.2">
      <c r="A37" s="2" t="s">
        <v>126</v>
      </c>
      <c r="B37" s="6" t="e">
        <f>B36*B31</f>
        <v>#REF!</v>
      </c>
      <c r="C37" s="7"/>
    </row>
    <row r="38" spans="1:3" s="3" customFormat="1" ht="12.75" x14ac:dyDescent="0.2">
      <c r="A38" s="3" t="s">
        <v>127</v>
      </c>
    </row>
    <row r="39" spans="1:3" x14ac:dyDescent="0.2">
      <c r="A39" s="2" t="s">
        <v>53</v>
      </c>
      <c r="B39" s="6" t="e">
        <f>B22-B37*B25</f>
        <v>#REF!</v>
      </c>
      <c r="C39" s="7"/>
    </row>
    <row r="40" spans="1:3" x14ac:dyDescent="0.2">
      <c r="A40" s="2" t="s">
        <v>54</v>
      </c>
      <c r="B40" s="6" t="e">
        <f>B22+B37*B25</f>
        <v>#REF!</v>
      </c>
      <c r="C40" s="7"/>
    </row>
  </sheetData>
  <sheetProtection selectLockedCells="1"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3" width="10.85546875" style="2" customWidth="1"/>
    <col min="4" max="4" width="12.140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32</v>
      </c>
    </row>
    <row r="2" spans="1:9" ht="13.5" thickBot="1" x14ac:dyDescent="0.25">
      <c r="A2" s="3" t="s">
        <v>45</v>
      </c>
      <c r="B2" s="4">
        <v>120</v>
      </c>
    </row>
    <row r="4" spans="1:9" x14ac:dyDescent="0.2"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H4" s="2" t="s">
        <v>27</v>
      </c>
      <c r="I4" s="2" t="s">
        <v>28</v>
      </c>
    </row>
    <row r="5" spans="1:9" x14ac:dyDescent="0.2">
      <c r="A5" s="2" t="s">
        <v>104</v>
      </c>
      <c r="B5" s="36"/>
      <c r="C5" s="36"/>
      <c r="D5" s="36"/>
      <c r="E5" s="37"/>
      <c r="F5" s="37"/>
      <c r="H5" s="5"/>
      <c r="I5" s="6"/>
    </row>
    <row r="6" spans="1:9" x14ac:dyDescent="0.2">
      <c r="A6" s="2" t="s">
        <v>105</v>
      </c>
      <c r="B6" s="36" t="e">
        <f>#REF!*$B$2</f>
        <v>#REF!</v>
      </c>
      <c r="C6" s="36" t="e">
        <f>#REF!*$B$2</f>
        <v>#REF!</v>
      </c>
      <c r="D6" s="36"/>
      <c r="E6" s="37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106</v>
      </c>
      <c r="B7" s="36" t="e">
        <f>#REF!*$B$2</f>
        <v>#REF!</v>
      </c>
      <c r="C7" s="36" t="e">
        <f>#REF!*$B$2</f>
        <v>#REF!</v>
      </c>
      <c r="D7" s="36"/>
      <c r="E7" s="37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107</v>
      </c>
      <c r="B8" s="36" t="e">
        <f>#REF!*$B$2</f>
        <v>#REF!</v>
      </c>
      <c r="C8" s="36" t="e">
        <f>#REF!*$B$2</f>
        <v>#REF!</v>
      </c>
      <c r="D8" s="37"/>
      <c r="E8" s="37"/>
      <c r="F8" s="37"/>
      <c r="H8" s="5">
        <f t="shared" ref="H8:H9" si="0">COUNT(B8:F8)</f>
        <v>0</v>
      </c>
      <c r="I8" s="6" t="str">
        <f t="shared" ref="I8:I9" si="1">IF(H8=0,"",DEVSQ(B8:F8))</f>
        <v/>
      </c>
    </row>
    <row r="9" spans="1:9" x14ac:dyDescent="0.2">
      <c r="A9" s="2" t="s">
        <v>108</v>
      </c>
      <c r="B9" s="36" t="e">
        <f>#REF!*$B$2</f>
        <v>#REF!</v>
      </c>
      <c r="C9" s="36" t="e">
        <f>#REF!*$B$2</f>
        <v>#REF!</v>
      </c>
      <c r="D9" s="37"/>
      <c r="E9" s="37"/>
      <c r="F9" s="37"/>
      <c r="H9" s="5">
        <f t="shared" si="0"/>
        <v>0</v>
      </c>
      <c r="I9" s="6" t="str">
        <f t="shared" si="1"/>
        <v/>
      </c>
    </row>
    <row r="10" spans="1:9" s="3" customFormat="1" ht="12.75" x14ac:dyDescent="0.2"/>
    <row r="11" spans="1:9" x14ac:dyDescent="0.2">
      <c r="A11" s="2" t="s">
        <v>109</v>
      </c>
      <c r="B11" s="2">
        <f>COUNT(B5:B9)</f>
        <v>0</v>
      </c>
      <c r="C11" s="7"/>
    </row>
    <row r="12" spans="1:9" x14ac:dyDescent="0.2">
      <c r="A12" s="2" t="s">
        <v>110</v>
      </c>
      <c r="B12" s="2">
        <f>COUNT(B5:F9)</f>
        <v>0</v>
      </c>
      <c r="C12" s="7"/>
    </row>
    <row r="13" spans="1:9" x14ac:dyDescent="0.2">
      <c r="A13" s="2" t="s">
        <v>111</v>
      </c>
      <c r="B13" s="2">
        <f>IF(H6*B11&lt;&gt;B12,"Calcul impossible",H6)</f>
        <v>0</v>
      </c>
      <c r="C13" s="7"/>
    </row>
    <row r="14" spans="1:9" x14ac:dyDescent="0.2">
      <c r="A14" s="2" t="s">
        <v>112</v>
      </c>
      <c r="B14" s="12">
        <f>SUM(I5:I9)</f>
        <v>0</v>
      </c>
      <c r="C14" s="7"/>
    </row>
    <row r="15" spans="1:9" x14ac:dyDescent="0.2">
      <c r="A15" s="2" t="s">
        <v>113</v>
      </c>
      <c r="B15" s="12" t="e">
        <f>DEVSQ(B5:F9)</f>
        <v>#REF!</v>
      </c>
      <c r="C15" s="7"/>
    </row>
    <row r="16" spans="1:9" x14ac:dyDescent="0.2">
      <c r="A16" s="2" t="s">
        <v>114</v>
      </c>
      <c r="B16" s="12" t="e">
        <f>B15-B14</f>
        <v>#REF!</v>
      </c>
      <c r="C16" s="7"/>
    </row>
    <row r="17" spans="1:9" x14ac:dyDescent="0.2">
      <c r="A17" s="2" t="s">
        <v>115</v>
      </c>
      <c r="B17" s="12" t="e">
        <f>((B16/(B11-1))-B18)/B13</f>
        <v>#REF!</v>
      </c>
      <c r="C17" s="7"/>
    </row>
    <row r="18" spans="1:9" x14ac:dyDescent="0.2">
      <c r="A18" s="2" t="s">
        <v>116</v>
      </c>
      <c r="B18" s="12" t="e">
        <f>B14/(B12-B11)</f>
        <v>#DIV/0!</v>
      </c>
      <c r="C18" s="7"/>
    </row>
    <row r="19" spans="1:9" x14ac:dyDescent="0.2">
      <c r="A19" s="2" t="s">
        <v>117</v>
      </c>
      <c r="B19" s="12" t="e">
        <f>IF(B17&lt;0,0,B17)</f>
        <v>#REF!</v>
      </c>
      <c r="C19" s="7"/>
    </row>
    <row r="20" spans="1:9" x14ac:dyDescent="0.2">
      <c r="A20" s="2" t="s">
        <v>118</v>
      </c>
      <c r="B20" s="12" t="e">
        <f>SUM(B18:B19)</f>
        <v>#DIV/0!</v>
      </c>
      <c r="C20" s="7"/>
    </row>
    <row r="21" spans="1:9" s="3" customFormat="1" ht="12.75" x14ac:dyDescent="0.2">
      <c r="A21" s="3" t="s">
        <v>119</v>
      </c>
    </row>
    <row r="22" spans="1:9" x14ac:dyDescent="0.2">
      <c r="A22" s="2" t="s">
        <v>46</v>
      </c>
      <c r="B22" s="12" t="e">
        <f>AVERAGE(B5:F9)</f>
        <v>#REF!</v>
      </c>
      <c r="C22" s="7"/>
    </row>
    <row r="23" spans="1:9" ht="12" customHeight="1" x14ac:dyDescent="0.2">
      <c r="A23" s="2" t="s">
        <v>47</v>
      </c>
      <c r="B23" s="12" t="e">
        <f>SQRT(B18)</f>
        <v>#DIV/0!</v>
      </c>
      <c r="C23" s="7"/>
    </row>
    <row r="24" spans="1:9" x14ac:dyDescent="0.2">
      <c r="A24" s="2" t="s">
        <v>48</v>
      </c>
      <c r="B24" s="12" t="e">
        <f>SQRT(B19)</f>
        <v>#REF!</v>
      </c>
      <c r="C24" s="7"/>
    </row>
    <row r="25" spans="1:9" x14ac:dyDescent="0.2">
      <c r="A25" s="2" t="s">
        <v>49</v>
      </c>
      <c r="B25" s="12" t="e">
        <f>SQRT(B20)</f>
        <v>#DIV/0!</v>
      </c>
      <c r="C25" s="7"/>
    </row>
    <row r="26" spans="1:9" s="3" customFormat="1" ht="12.75" x14ac:dyDescent="0.2">
      <c r="A26" s="3" t="s">
        <v>120</v>
      </c>
    </row>
    <row r="27" spans="1:9" ht="15" x14ac:dyDescent="0.25">
      <c r="A27" s="2" t="s">
        <v>55</v>
      </c>
      <c r="B27" s="9" t="e">
        <f>B22/B2-1</f>
        <v>#REF!</v>
      </c>
      <c r="C27" s="7"/>
    </row>
    <row r="28" spans="1:9" s="3" customFormat="1" ht="12.75" x14ac:dyDescent="0.2">
      <c r="A28" s="3" t="s">
        <v>121</v>
      </c>
    </row>
    <row r="29" spans="1:9" x14ac:dyDescent="0.2">
      <c r="A29" s="2" t="s">
        <v>50</v>
      </c>
      <c r="B29" s="6" t="e">
        <f>B19/B18</f>
        <v>#REF!</v>
      </c>
      <c r="C29" s="7"/>
    </row>
    <row r="30" spans="1:9" x14ac:dyDescent="0.2">
      <c r="A30" s="2" t="s">
        <v>122</v>
      </c>
      <c r="B30" s="6" t="e">
        <f>(B29+1)/(B13*B29+1)</f>
        <v>#REF!</v>
      </c>
      <c r="C30" s="7"/>
    </row>
    <row r="31" spans="1:9" x14ac:dyDescent="0.2">
      <c r="A31" s="2" t="s">
        <v>51</v>
      </c>
      <c r="B31" s="6" t="e">
        <f>SQRT(1+1/(B12*B30))</f>
        <v>#REF!</v>
      </c>
      <c r="C31" s="7"/>
    </row>
    <row r="32" spans="1:9" x14ac:dyDescent="0.2">
      <c r="A32" s="2" t="s">
        <v>52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34</v>
      </c>
      <c r="B33" s="6" t="e">
        <f>Récapitulatif!C2</f>
        <v>#REF!</v>
      </c>
      <c r="C33" s="7"/>
    </row>
    <row r="34" spans="1:3" x14ac:dyDescent="0.2">
      <c r="A34" s="2" t="s">
        <v>123</v>
      </c>
      <c r="B34" s="6" t="e">
        <f>TINV(1-B33,ROUNDDOWN(B32,0))</f>
        <v>#REF!</v>
      </c>
      <c r="C34" s="7"/>
    </row>
    <row r="35" spans="1:3" x14ac:dyDescent="0.2">
      <c r="A35" s="2" t="s">
        <v>124</v>
      </c>
      <c r="B35" s="6" t="e">
        <f>TINV(1-B33,ROUNDUP(B32,0))</f>
        <v>#REF!</v>
      </c>
      <c r="C35" s="7"/>
    </row>
    <row r="36" spans="1:3" x14ac:dyDescent="0.2">
      <c r="A36" s="2" t="s">
        <v>125</v>
      </c>
      <c r="B36" s="6" t="e">
        <f>B34-(B34-B35)*(B32-ROUNDDOWN(B32,0))</f>
        <v>#REF!</v>
      </c>
      <c r="C36" s="7"/>
    </row>
    <row r="37" spans="1:3" x14ac:dyDescent="0.2">
      <c r="A37" s="2" t="s">
        <v>126</v>
      </c>
      <c r="B37" s="6" t="e">
        <f>B36*B31</f>
        <v>#REF!</v>
      </c>
      <c r="C37" s="7"/>
    </row>
    <row r="38" spans="1:3" s="3" customFormat="1" ht="12.75" x14ac:dyDescent="0.2">
      <c r="A38" s="3" t="s">
        <v>127</v>
      </c>
    </row>
    <row r="39" spans="1:3" x14ac:dyDescent="0.2">
      <c r="A39" s="2" t="s">
        <v>53</v>
      </c>
      <c r="B39" s="6" t="e">
        <f>B22-B37*B25</f>
        <v>#REF!</v>
      </c>
      <c r="C39" s="7"/>
    </row>
    <row r="40" spans="1:3" x14ac:dyDescent="0.2">
      <c r="A40" s="2" t="s">
        <v>54</v>
      </c>
      <c r="B40" s="6" t="e">
        <f>B22+B37*B25</f>
        <v>#REF!</v>
      </c>
      <c r="C40" s="7"/>
    </row>
  </sheetData>
  <sheetProtection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7</vt:i4>
      </vt:variant>
      <vt:variant>
        <vt:lpstr>Graphiques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9" baseType="lpstr">
      <vt:lpstr>CGL4f4n</vt:lpstr>
      <vt:lpstr>Récapitulatif</vt:lpstr>
      <vt:lpstr>80%</vt:lpstr>
      <vt:lpstr>90%</vt:lpstr>
      <vt:lpstr>100%</vt:lpstr>
      <vt:lpstr>110%</vt:lpstr>
      <vt:lpstr>120%</vt:lpstr>
      <vt:lpstr>Graph Profil</vt:lpstr>
      <vt:lpstr>'80%'!Zone_d_impression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 Colliou</cp:lastModifiedBy>
  <dcterms:created xsi:type="dcterms:W3CDTF">2017-02-03T08:41:23Z</dcterms:created>
  <dcterms:modified xsi:type="dcterms:W3CDTF">2025-11-17T17:35:21Z</dcterms:modified>
</cp:coreProperties>
</file>