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"/>
    </mc:Choice>
  </mc:AlternateContent>
  <xr:revisionPtr revIDLastSave="0" documentId="13_ncr:1_{6A978EA1-BEFA-4533-83BD-2E28DD8DFA2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arte P" sheetId="1" r:id="rId1"/>
    <sheet name="Carte NP" sheetId="4" r:id="rId2"/>
    <sheet name="Carte C" sheetId="9" r:id="rId3"/>
    <sheet name="Carte U" sheetId="5" r:id="rId4"/>
    <sheet name="Carte D" sheetId="6" r:id="rId5"/>
    <sheet name="Carte DU" sheetId="7" r:id="rId6"/>
    <sheet name="suite homogène" sheetId="3" r:id="rId7"/>
  </sheets>
  <externalReferences>
    <externalReference r:id="rId8"/>
  </externalReferences>
  <definedNames>
    <definedName name="ANALYTES">'[1]données 1'!$T$6:$T$479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9" l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H6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F6" i="9"/>
  <c r="E7" i="9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6" i="9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C7" i="9"/>
  <c r="C8" i="9" s="1"/>
  <c r="I4" i="7"/>
  <c r="F42" i="7"/>
  <c r="E42" i="7"/>
  <c r="D42" i="7"/>
  <c r="C42" i="7"/>
  <c r="C43" i="7" s="1"/>
  <c r="C44" i="7" s="1"/>
  <c r="P9" i="7" s="1"/>
  <c r="O38" i="7"/>
  <c r="I38" i="7"/>
  <c r="H38" i="7"/>
  <c r="O37" i="7"/>
  <c r="I37" i="7"/>
  <c r="H37" i="7"/>
  <c r="O36" i="7"/>
  <c r="H36" i="7"/>
  <c r="I36" i="7" s="1"/>
  <c r="O35" i="7"/>
  <c r="H35" i="7"/>
  <c r="I35" i="7" s="1"/>
  <c r="O34" i="7"/>
  <c r="I34" i="7"/>
  <c r="H34" i="7"/>
  <c r="O33" i="7"/>
  <c r="I33" i="7"/>
  <c r="H33" i="7"/>
  <c r="O32" i="7"/>
  <c r="H32" i="7"/>
  <c r="I32" i="7" s="1"/>
  <c r="O31" i="7"/>
  <c r="H31" i="7"/>
  <c r="I31" i="7" s="1"/>
  <c r="O30" i="7"/>
  <c r="I30" i="7"/>
  <c r="H30" i="7"/>
  <c r="O29" i="7"/>
  <c r="H29" i="7"/>
  <c r="I29" i="7" s="1"/>
  <c r="O28" i="7"/>
  <c r="H28" i="7"/>
  <c r="I28" i="7" s="1"/>
  <c r="O27" i="7"/>
  <c r="H27" i="7"/>
  <c r="I27" i="7" s="1"/>
  <c r="O26" i="7"/>
  <c r="I26" i="7"/>
  <c r="H26" i="7"/>
  <c r="O25" i="7"/>
  <c r="H25" i="7"/>
  <c r="I25" i="7" s="1"/>
  <c r="O24" i="7"/>
  <c r="H24" i="7"/>
  <c r="I24" i="7" s="1"/>
  <c r="O23" i="7"/>
  <c r="H23" i="7"/>
  <c r="I23" i="7" s="1"/>
  <c r="O22" i="7"/>
  <c r="I22" i="7"/>
  <c r="H22" i="7"/>
  <c r="O21" i="7"/>
  <c r="H21" i="7"/>
  <c r="I21" i="7" s="1"/>
  <c r="O20" i="7"/>
  <c r="H20" i="7"/>
  <c r="I20" i="7" s="1"/>
  <c r="O19" i="7"/>
  <c r="H19" i="7"/>
  <c r="I19" i="7" s="1"/>
  <c r="O18" i="7"/>
  <c r="I18" i="7"/>
  <c r="H18" i="7"/>
  <c r="O17" i="7"/>
  <c r="H17" i="7"/>
  <c r="I17" i="7" s="1"/>
  <c r="O16" i="7"/>
  <c r="H16" i="7"/>
  <c r="I16" i="7" s="1"/>
  <c r="O15" i="7"/>
  <c r="H15" i="7"/>
  <c r="I15" i="7" s="1"/>
  <c r="O14" i="7"/>
  <c r="I14" i="7"/>
  <c r="H14" i="7"/>
  <c r="O13" i="7"/>
  <c r="H13" i="7"/>
  <c r="I13" i="7" s="1"/>
  <c r="O12" i="7"/>
  <c r="H12" i="7"/>
  <c r="I12" i="7" s="1"/>
  <c r="O11" i="7"/>
  <c r="H11" i="7"/>
  <c r="O10" i="7"/>
  <c r="I10" i="7"/>
  <c r="H10" i="7"/>
  <c r="O9" i="7"/>
  <c r="J9" i="7"/>
  <c r="N9" i="7" s="1"/>
  <c r="H9" i="7"/>
  <c r="I9" i="7" s="1"/>
  <c r="G6" i="6"/>
  <c r="C65" i="6"/>
  <c r="C66" i="6" s="1"/>
  <c r="N14" i="6"/>
  <c r="F65" i="6"/>
  <c r="E65" i="6"/>
  <c r="D65" i="6"/>
  <c r="N42" i="6"/>
  <c r="H42" i="6"/>
  <c r="G42" i="6"/>
  <c r="N41" i="6"/>
  <c r="H41" i="6"/>
  <c r="G41" i="6"/>
  <c r="N40" i="6"/>
  <c r="H40" i="6"/>
  <c r="G40" i="6"/>
  <c r="N39" i="6"/>
  <c r="H39" i="6"/>
  <c r="G39" i="6"/>
  <c r="N38" i="6"/>
  <c r="H38" i="6"/>
  <c r="G38" i="6"/>
  <c r="N37" i="6"/>
  <c r="H37" i="6"/>
  <c r="G37" i="6"/>
  <c r="N36" i="6"/>
  <c r="H36" i="6"/>
  <c r="G36" i="6"/>
  <c r="N35" i="6"/>
  <c r="H35" i="6"/>
  <c r="G35" i="6"/>
  <c r="N34" i="6"/>
  <c r="H34" i="6"/>
  <c r="G34" i="6"/>
  <c r="N33" i="6"/>
  <c r="H33" i="6"/>
  <c r="G33" i="6"/>
  <c r="N32" i="6"/>
  <c r="H32" i="6"/>
  <c r="G32" i="6"/>
  <c r="N31" i="6"/>
  <c r="H31" i="6"/>
  <c r="G31" i="6"/>
  <c r="N30" i="6"/>
  <c r="H30" i="6"/>
  <c r="G30" i="6"/>
  <c r="N29" i="6"/>
  <c r="H29" i="6"/>
  <c r="G29" i="6"/>
  <c r="N28" i="6"/>
  <c r="H28" i="6"/>
  <c r="G28" i="6"/>
  <c r="N27" i="6"/>
  <c r="H27" i="6"/>
  <c r="G27" i="6"/>
  <c r="N26" i="6"/>
  <c r="H26" i="6"/>
  <c r="G26" i="6"/>
  <c r="N25" i="6"/>
  <c r="H25" i="6"/>
  <c r="G25" i="6"/>
  <c r="N24" i="6"/>
  <c r="H24" i="6"/>
  <c r="G24" i="6"/>
  <c r="N23" i="6"/>
  <c r="H23" i="6"/>
  <c r="G23" i="6"/>
  <c r="N22" i="6"/>
  <c r="H22" i="6"/>
  <c r="G22" i="6"/>
  <c r="N21" i="6"/>
  <c r="H21" i="6"/>
  <c r="G21" i="6"/>
  <c r="N20" i="6"/>
  <c r="H20" i="6"/>
  <c r="G20" i="6"/>
  <c r="N19" i="6"/>
  <c r="H19" i="6"/>
  <c r="G19" i="6"/>
  <c r="N18" i="6"/>
  <c r="H18" i="6"/>
  <c r="G18" i="6"/>
  <c r="N17" i="6"/>
  <c r="H17" i="6"/>
  <c r="G17" i="6"/>
  <c r="N16" i="6"/>
  <c r="H16" i="6"/>
  <c r="G16" i="6"/>
  <c r="N15" i="6"/>
  <c r="H15" i="6"/>
  <c r="H65" i="6" s="1"/>
  <c r="G15" i="6"/>
  <c r="G65" i="6" s="1"/>
  <c r="I14" i="6" s="1"/>
  <c r="H14" i="6"/>
  <c r="G14" i="6"/>
  <c r="D27" i="4"/>
  <c r="E27" i="4"/>
  <c r="F27" i="4"/>
  <c r="H27" i="4" s="1"/>
  <c r="G27" i="4"/>
  <c r="J27" i="4" s="1"/>
  <c r="K27" i="4"/>
  <c r="D28" i="4"/>
  <c r="E28" i="4"/>
  <c r="F28" i="4"/>
  <c r="H28" i="4" s="1"/>
  <c r="G28" i="4"/>
  <c r="J28" i="4" s="1"/>
  <c r="K28" i="4"/>
  <c r="D29" i="4"/>
  <c r="E29" i="4"/>
  <c r="F29" i="4"/>
  <c r="H29" i="4" s="1"/>
  <c r="G29" i="4"/>
  <c r="J29" i="4" s="1"/>
  <c r="K29" i="4"/>
  <c r="D30" i="4"/>
  <c r="E30" i="4"/>
  <c r="F30" i="4"/>
  <c r="H30" i="4" s="1"/>
  <c r="G30" i="4"/>
  <c r="J30" i="4" s="1"/>
  <c r="K30" i="4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H6" i="5" s="1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E7" i="4" s="1"/>
  <c r="J7" i="3"/>
  <c r="C9" i="9" l="1"/>
  <c r="M9" i="7"/>
  <c r="L9" i="7"/>
  <c r="J10" i="7"/>
  <c r="K9" i="7"/>
  <c r="P10" i="7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P37" i="7" s="1"/>
  <c r="P38" i="7" s="1"/>
  <c r="Q9" i="7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T9" i="7"/>
  <c r="T10" i="7" s="1"/>
  <c r="T11" i="7" s="1"/>
  <c r="T12" i="7" s="1"/>
  <c r="T13" i="7" s="1"/>
  <c r="T14" i="7" s="1"/>
  <c r="T15" i="7" s="1"/>
  <c r="T16" i="7" s="1"/>
  <c r="T17" i="7" s="1"/>
  <c r="T18" i="7" s="1"/>
  <c r="T19" i="7" s="1"/>
  <c r="T20" i="7" s="1"/>
  <c r="T21" i="7" s="1"/>
  <c r="T22" i="7" s="1"/>
  <c r="T23" i="7" s="1"/>
  <c r="T24" i="7" s="1"/>
  <c r="T25" i="7" s="1"/>
  <c r="T26" i="7" s="1"/>
  <c r="T27" i="7" s="1"/>
  <c r="T28" i="7" s="1"/>
  <c r="T29" i="7" s="1"/>
  <c r="T30" i="7" s="1"/>
  <c r="T31" i="7" s="1"/>
  <c r="T32" i="7" s="1"/>
  <c r="T33" i="7" s="1"/>
  <c r="T34" i="7" s="1"/>
  <c r="T35" i="7" s="1"/>
  <c r="T36" i="7" s="1"/>
  <c r="T37" i="7" s="1"/>
  <c r="T38" i="7" s="1"/>
  <c r="S9" i="7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I11" i="7"/>
  <c r="H42" i="7"/>
  <c r="I42" i="7"/>
  <c r="R9" i="7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I15" i="6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L14" i="6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K14" i="6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J14" i="6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M14" i="6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C67" i="6"/>
  <c r="O14" i="6" s="1"/>
  <c r="I30" i="4"/>
  <c r="I29" i="4"/>
  <c r="I28" i="4"/>
  <c r="I27" i="4"/>
  <c r="L6" i="5"/>
  <c r="K6" i="5"/>
  <c r="I6" i="5"/>
  <c r="H7" i="5"/>
  <c r="J6" i="5"/>
  <c r="G7" i="4"/>
  <c r="F7" i="4"/>
  <c r="E8" i="4"/>
  <c r="M7" i="3"/>
  <c r="C10" i="9" l="1"/>
  <c r="L10" i="7"/>
  <c r="J11" i="7"/>
  <c r="K10" i="7"/>
  <c r="N10" i="7"/>
  <c r="M10" i="7"/>
  <c r="P14" i="6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Q14" i="6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O15" i="6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H8" i="5"/>
  <c r="J7" i="5"/>
  <c r="I7" i="5"/>
  <c r="K7" i="5"/>
  <c r="L7" i="5"/>
  <c r="G8" i="4"/>
  <c r="F8" i="4"/>
  <c r="E9" i="4"/>
  <c r="K7" i="4"/>
  <c r="H7" i="4"/>
  <c r="J7" i="4"/>
  <c r="I7" i="4"/>
  <c r="G7" i="3"/>
  <c r="H7" i="3"/>
  <c r="I7" i="3"/>
  <c r="D7" i="3" s="1"/>
  <c r="L7" i="3"/>
  <c r="C11" i="9" l="1"/>
  <c r="J12" i="7"/>
  <c r="K11" i="7"/>
  <c r="N11" i="7"/>
  <c r="M11" i="7"/>
  <c r="L11" i="7"/>
  <c r="L8" i="5"/>
  <c r="K8" i="5"/>
  <c r="I8" i="5"/>
  <c r="J8" i="5"/>
  <c r="H9" i="5"/>
  <c r="G9" i="4"/>
  <c r="F9" i="4"/>
  <c r="E10" i="4"/>
  <c r="K8" i="4"/>
  <c r="H8" i="4"/>
  <c r="J8" i="4"/>
  <c r="I8" i="4"/>
  <c r="D60" i="3"/>
  <c r="D49" i="3"/>
  <c r="E49" i="3" s="1"/>
  <c r="D39" i="3"/>
  <c r="D27" i="3"/>
  <c r="D18" i="3"/>
  <c r="D57" i="3"/>
  <c r="D36" i="3"/>
  <c r="D15" i="3"/>
  <c r="D55" i="3"/>
  <c r="D44" i="3"/>
  <c r="D33" i="3"/>
  <c r="D23" i="3"/>
  <c r="D12" i="3"/>
  <c r="D46" i="3"/>
  <c r="D26" i="3"/>
  <c r="D63" i="3"/>
  <c r="D52" i="3"/>
  <c r="D41" i="3"/>
  <c r="D31" i="3"/>
  <c r="D20" i="3"/>
  <c r="D10" i="3"/>
  <c r="D64" i="3"/>
  <c r="D59" i="3"/>
  <c r="D53" i="3"/>
  <c r="D48" i="3"/>
  <c r="D43" i="3"/>
  <c r="D38" i="3"/>
  <c r="D32" i="3"/>
  <c r="E33" i="3" s="1"/>
  <c r="T26" i="3"/>
  <c r="T27" i="3" s="1"/>
  <c r="D22" i="3"/>
  <c r="D16" i="3"/>
  <c r="E16" i="3" s="1"/>
  <c r="D11" i="3"/>
  <c r="D61" i="3"/>
  <c r="D56" i="3"/>
  <c r="D51" i="3"/>
  <c r="D45" i="3"/>
  <c r="E45" i="3" s="1"/>
  <c r="D40" i="3"/>
  <c r="D34" i="3"/>
  <c r="E34" i="3" s="1"/>
  <c r="D29" i="3"/>
  <c r="D24" i="3"/>
  <c r="E24" i="3" s="1"/>
  <c r="D19" i="3"/>
  <c r="D14" i="3"/>
  <c r="D9" i="3"/>
  <c r="E40" i="3"/>
  <c r="E41" i="3" s="1"/>
  <c r="D62" i="3"/>
  <c r="D58" i="3"/>
  <c r="E59" i="3" s="1"/>
  <c r="E60" i="3" s="1"/>
  <c r="D54" i="3"/>
  <c r="D50" i="3"/>
  <c r="D47" i="3"/>
  <c r="E44" i="3"/>
  <c r="D42" i="3"/>
  <c r="D37" i="3"/>
  <c r="D35" i="3"/>
  <c r="D30" i="3"/>
  <c r="E31" i="3" s="1"/>
  <c r="D28" i="3"/>
  <c r="D25" i="3"/>
  <c r="D21" i="3"/>
  <c r="D17" i="3"/>
  <c r="D13" i="3"/>
  <c r="D8" i="3"/>
  <c r="E8" i="3" s="1"/>
  <c r="C12" i="9" l="1"/>
  <c r="N12" i="7"/>
  <c r="M12" i="7"/>
  <c r="L12" i="7"/>
  <c r="J13" i="7"/>
  <c r="K12" i="7"/>
  <c r="H10" i="5"/>
  <c r="J9" i="5"/>
  <c r="I9" i="5"/>
  <c r="K9" i="5"/>
  <c r="L9" i="5"/>
  <c r="G10" i="4"/>
  <c r="F10" i="4"/>
  <c r="E11" i="4"/>
  <c r="K9" i="4"/>
  <c r="J9" i="4"/>
  <c r="H9" i="4"/>
  <c r="I9" i="4"/>
  <c r="E23" i="3"/>
  <c r="E27" i="3"/>
  <c r="E63" i="3"/>
  <c r="E64" i="3" s="1"/>
  <c r="F64" i="3" s="1"/>
  <c r="H64" i="3" s="1"/>
  <c r="E20" i="3"/>
  <c r="E21" i="3" s="1"/>
  <c r="E48" i="3"/>
  <c r="F48" i="3" s="1"/>
  <c r="F33" i="3"/>
  <c r="G33" i="3" s="1"/>
  <c r="E58" i="3"/>
  <c r="F58" i="3" s="1"/>
  <c r="E25" i="3"/>
  <c r="F24" i="3" s="1"/>
  <c r="H33" i="3"/>
  <c r="E46" i="3"/>
  <c r="F45" i="3" s="1"/>
  <c r="E17" i="3"/>
  <c r="E18" i="3" s="1"/>
  <c r="E19" i="3" s="1"/>
  <c r="F19" i="3" s="1"/>
  <c r="H19" i="3" s="1"/>
  <c r="F44" i="3"/>
  <c r="E50" i="3"/>
  <c r="F49" i="3" s="1"/>
  <c r="F40" i="3"/>
  <c r="G40" i="3" s="1"/>
  <c r="E38" i="3"/>
  <c r="E9" i="3"/>
  <c r="F23" i="3"/>
  <c r="H23" i="3" s="1"/>
  <c r="E28" i="3"/>
  <c r="E42" i="3"/>
  <c r="E43" i="3" s="1"/>
  <c r="F43" i="3" s="1"/>
  <c r="E32" i="3"/>
  <c r="F32" i="3" s="1"/>
  <c r="E36" i="3"/>
  <c r="E37" i="3" s="1"/>
  <c r="E35" i="3"/>
  <c r="F59" i="3"/>
  <c r="G64" i="3"/>
  <c r="G49" i="3"/>
  <c r="H49" i="3"/>
  <c r="E61" i="3"/>
  <c r="E51" i="3"/>
  <c r="C13" i="9" l="1"/>
  <c r="M13" i="7"/>
  <c r="L13" i="7"/>
  <c r="J14" i="7"/>
  <c r="K13" i="7"/>
  <c r="N13" i="7"/>
  <c r="L10" i="5"/>
  <c r="K10" i="5"/>
  <c r="H11" i="5"/>
  <c r="J10" i="5"/>
  <c r="I10" i="5"/>
  <c r="G11" i="4"/>
  <c r="F11" i="4"/>
  <c r="E12" i="4"/>
  <c r="K10" i="4"/>
  <c r="J10" i="4"/>
  <c r="H10" i="4"/>
  <c r="I10" i="4"/>
  <c r="E47" i="3"/>
  <c r="F63" i="3"/>
  <c r="G48" i="3"/>
  <c r="H48" i="3"/>
  <c r="F20" i="3"/>
  <c r="E22" i="3"/>
  <c r="F22" i="3" s="1"/>
  <c r="G22" i="3" s="1"/>
  <c r="F18" i="3"/>
  <c r="G18" i="3" s="1"/>
  <c r="F47" i="3"/>
  <c r="G47" i="3" s="1"/>
  <c r="G58" i="3"/>
  <c r="H58" i="3"/>
  <c r="H24" i="3"/>
  <c r="G24" i="3"/>
  <c r="G19" i="3"/>
  <c r="E26" i="3"/>
  <c r="F26" i="3" s="1"/>
  <c r="H26" i="3" s="1"/>
  <c r="F41" i="3"/>
  <c r="G23" i="3"/>
  <c r="F17" i="3"/>
  <c r="H17" i="3" s="1"/>
  <c r="G45" i="3"/>
  <c r="H45" i="3"/>
  <c r="F16" i="3"/>
  <c r="F31" i="3"/>
  <c r="G44" i="3"/>
  <c r="H44" i="3"/>
  <c r="F46" i="3"/>
  <c r="E39" i="3"/>
  <c r="F39" i="3" s="1"/>
  <c r="H47" i="3"/>
  <c r="H31" i="3"/>
  <c r="G31" i="3"/>
  <c r="F27" i="3"/>
  <c r="F35" i="3"/>
  <c r="F34" i="3"/>
  <c r="G26" i="3"/>
  <c r="E29" i="3"/>
  <c r="F28" i="3" s="1"/>
  <c r="F37" i="3"/>
  <c r="H40" i="3"/>
  <c r="F36" i="3"/>
  <c r="H43" i="3"/>
  <c r="G43" i="3"/>
  <c r="F21" i="3"/>
  <c r="H21" i="3" s="1"/>
  <c r="G32" i="3"/>
  <c r="H32" i="3"/>
  <c r="F42" i="3"/>
  <c r="E10" i="3"/>
  <c r="F8" i="3"/>
  <c r="G63" i="3"/>
  <c r="H63" i="3"/>
  <c r="G17" i="3"/>
  <c r="H18" i="3"/>
  <c r="H20" i="3"/>
  <c r="G20" i="3"/>
  <c r="G21" i="3"/>
  <c r="G59" i="3"/>
  <c r="H59" i="3"/>
  <c r="E52" i="3"/>
  <c r="E62" i="3"/>
  <c r="F62" i="3" s="1"/>
  <c r="F50" i="3"/>
  <c r="F60" i="3"/>
  <c r="C14" i="9" l="1"/>
  <c r="L14" i="7"/>
  <c r="J15" i="7"/>
  <c r="K14" i="7"/>
  <c r="N14" i="7"/>
  <c r="M14" i="7"/>
  <c r="H12" i="5"/>
  <c r="J11" i="5"/>
  <c r="I11" i="5"/>
  <c r="L11" i="5"/>
  <c r="K11" i="5"/>
  <c r="G12" i="4"/>
  <c r="F12" i="4"/>
  <c r="E13" i="4"/>
  <c r="K11" i="4"/>
  <c r="J11" i="4"/>
  <c r="H11" i="4"/>
  <c r="I11" i="4"/>
  <c r="F38" i="3"/>
  <c r="H22" i="3"/>
  <c r="F25" i="3"/>
  <c r="H25" i="3" s="1"/>
  <c r="G41" i="3"/>
  <c r="H41" i="3"/>
  <c r="G46" i="3"/>
  <c r="H46" i="3"/>
  <c r="G16" i="3"/>
  <c r="H16" i="3"/>
  <c r="G42" i="3"/>
  <c r="H42" i="3"/>
  <c r="H28" i="3"/>
  <c r="G28" i="3"/>
  <c r="G8" i="3"/>
  <c r="H8" i="3"/>
  <c r="G37" i="3"/>
  <c r="H37" i="3"/>
  <c r="G34" i="3"/>
  <c r="H34" i="3"/>
  <c r="G38" i="3"/>
  <c r="H38" i="3"/>
  <c r="E11" i="3"/>
  <c r="F10" i="3" s="1"/>
  <c r="E30" i="3"/>
  <c r="F30" i="3" s="1"/>
  <c r="H35" i="3"/>
  <c r="G35" i="3"/>
  <c r="H39" i="3"/>
  <c r="G39" i="3"/>
  <c r="F9" i="3"/>
  <c r="G36" i="3"/>
  <c r="H36" i="3"/>
  <c r="G27" i="3"/>
  <c r="H27" i="3"/>
  <c r="H50" i="3"/>
  <c r="G50" i="3"/>
  <c r="E53" i="3"/>
  <c r="H62" i="3"/>
  <c r="G62" i="3"/>
  <c r="F51" i="3"/>
  <c r="G60" i="3"/>
  <c r="H60" i="3"/>
  <c r="F61" i="3"/>
  <c r="E13" i="1"/>
  <c r="C15" i="9" l="1"/>
  <c r="J16" i="7"/>
  <c r="K15" i="7"/>
  <c r="N15" i="7"/>
  <c r="M15" i="7"/>
  <c r="L15" i="7"/>
  <c r="L12" i="5"/>
  <c r="K12" i="5"/>
  <c r="H13" i="5"/>
  <c r="J12" i="5"/>
  <c r="I12" i="5"/>
  <c r="G13" i="4"/>
  <c r="F13" i="4"/>
  <c r="E14" i="4"/>
  <c r="K12" i="4"/>
  <c r="H12" i="4"/>
  <c r="J12" i="4"/>
  <c r="I12" i="4"/>
  <c r="G25" i="3"/>
  <c r="G10" i="3"/>
  <c r="H10" i="3"/>
  <c r="G9" i="3"/>
  <c r="H9" i="3"/>
  <c r="E12" i="3"/>
  <c r="F11" i="3" s="1"/>
  <c r="G30" i="3"/>
  <c r="H30" i="3"/>
  <c r="F29" i="3"/>
  <c r="H61" i="3"/>
  <c r="G61" i="3"/>
  <c r="E54" i="3"/>
  <c r="F53" i="3" s="1"/>
  <c r="G51" i="3"/>
  <c r="H51" i="3"/>
  <c r="F52" i="3"/>
  <c r="C16" i="9" l="1"/>
  <c r="N16" i="7"/>
  <c r="M16" i="7"/>
  <c r="L16" i="7"/>
  <c r="J17" i="7"/>
  <c r="K16" i="7"/>
  <c r="H14" i="5"/>
  <c r="J13" i="5"/>
  <c r="I13" i="5"/>
  <c r="L13" i="5"/>
  <c r="K13" i="5"/>
  <c r="G14" i="4"/>
  <c r="F14" i="4"/>
  <c r="E15" i="4"/>
  <c r="K13" i="4"/>
  <c r="H13" i="4"/>
  <c r="J13" i="4"/>
  <c r="I13" i="4"/>
  <c r="G11" i="3"/>
  <c r="H11" i="3"/>
  <c r="G29" i="3"/>
  <c r="H29" i="3"/>
  <c r="E13" i="3"/>
  <c r="F12" i="3" s="1"/>
  <c r="H52" i="3"/>
  <c r="G52" i="3"/>
  <c r="G53" i="3"/>
  <c r="H53" i="3"/>
  <c r="E55" i="3"/>
  <c r="C17" i="9" l="1"/>
  <c r="M17" i="7"/>
  <c r="L17" i="7"/>
  <c r="J18" i="7"/>
  <c r="K17" i="7"/>
  <c r="N17" i="7"/>
  <c r="L14" i="5"/>
  <c r="K14" i="5"/>
  <c r="H15" i="5"/>
  <c r="J14" i="5"/>
  <c r="I14" i="5"/>
  <c r="G15" i="4"/>
  <c r="F15" i="4"/>
  <c r="E16" i="4"/>
  <c r="K14" i="4"/>
  <c r="H14" i="4"/>
  <c r="J14" i="4"/>
  <c r="I14" i="4"/>
  <c r="G12" i="3"/>
  <c r="H12" i="3"/>
  <c r="E14" i="3"/>
  <c r="F13" i="3" s="1"/>
  <c r="E56" i="3"/>
  <c r="F54" i="3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C18" i="9" l="1"/>
  <c r="L18" i="7"/>
  <c r="J19" i="7"/>
  <c r="K18" i="7"/>
  <c r="N18" i="7"/>
  <c r="M18" i="7"/>
  <c r="H16" i="5"/>
  <c r="J15" i="5"/>
  <c r="I15" i="5"/>
  <c r="L15" i="5"/>
  <c r="K15" i="5"/>
  <c r="G16" i="4"/>
  <c r="F16" i="4"/>
  <c r="E17" i="4"/>
  <c r="K15" i="4"/>
  <c r="J15" i="4"/>
  <c r="I15" i="4"/>
  <c r="H15" i="4"/>
  <c r="F13" i="1"/>
  <c r="G13" i="1" s="1"/>
  <c r="H13" i="3"/>
  <c r="G13" i="3"/>
  <c r="E15" i="3"/>
  <c r="F15" i="3" s="1"/>
  <c r="H54" i="3"/>
  <c r="G54" i="3"/>
  <c r="E57" i="3"/>
  <c r="F57" i="3" s="1"/>
  <c r="F55" i="3"/>
  <c r="C19" i="9" l="1"/>
  <c r="J20" i="7"/>
  <c r="K19" i="7"/>
  <c r="N19" i="7"/>
  <c r="M19" i="7"/>
  <c r="L19" i="7"/>
  <c r="L16" i="5"/>
  <c r="K16" i="5"/>
  <c r="H17" i="5"/>
  <c r="J16" i="5"/>
  <c r="I16" i="5"/>
  <c r="G17" i="4"/>
  <c r="F17" i="4"/>
  <c r="E18" i="4"/>
  <c r="K16" i="4"/>
  <c r="J16" i="4"/>
  <c r="I16" i="4"/>
  <c r="H16" i="4"/>
  <c r="F14" i="3"/>
  <c r="G14" i="3" s="1"/>
  <c r="H15" i="3"/>
  <c r="G15" i="3"/>
  <c r="H57" i="3"/>
  <c r="G57" i="3"/>
  <c r="G55" i="3"/>
  <c r="H55" i="3"/>
  <c r="F56" i="3"/>
  <c r="J13" i="1"/>
  <c r="K13" i="1"/>
  <c r="I13" i="1"/>
  <c r="F14" i="1"/>
  <c r="C20" i="9" l="1"/>
  <c r="N20" i="7"/>
  <c r="M20" i="7"/>
  <c r="L20" i="7"/>
  <c r="J21" i="7"/>
  <c r="K20" i="7"/>
  <c r="H18" i="5"/>
  <c r="J17" i="5"/>
  <c r="I17" i="5"/>
  <c r="L17" i="5"/>
  <c r="K17" i="5"/>
  <c r="G18" i="4"/>
  <c r="F18" i="4"/>
  <c r="E19" i="4"/>
  <c r="K17" i="4"/>
  <c r="J17" i="4"/>
  <c r="I17" i="4"/>
  <c r="H17" i="4"/>
  <c r="H14" i="3"/>
  <c r="J13" i="3" s="1"/>
  <c r="G56" i="3"/>
  <c r="K12" i="3" s="1"/>
  <c r="H56" i="3"/>
  <c r="K11" i="3"/>
  <c r="K14" i="3"/>
  <c r="G14" i="1"/>
  <c r="J14" i="1" s="1"/>
  <c r="F15" i="1"/>
  <c r="H13" i="1"/>
  <c r="C21" i="9" l="1"/>
  <c r="M21" i="7"/>
  <c r="L21" i="7"/>
  <c r="J22" i="7"/>
  <c r="K21" i="7"/>
  <c r="N21" i="7"/>
  <c r="L18" i="5"/>
  <c r="K18" i="5"/>
  <c r="H19" i="5"/>
  <c r="J18" i="5"/>
  <c r="I18" i="5"/>
  <c r="G19" i="4"/>
  <c r="F19" i="4"/>
  <c r="E20" i="4"/>
  <c r="K18" i="4"/>
  <c r="J18" i="4"/>
  <c r="I18" i="4"/>
  <c r="H18" i="4"/>
  <c r="I14" i="1"/>
  <c r="H14" i="1"/>
  <c r="J12" i="3"/>
  <c r="L12" i="3" s="1"/>
  <c r="K14" i="1"/>
  <c r="K13" i="3"/>
  <c r="K17" i="3"/>
  <c r="J11" i="3"/>
  <c r="J14" i="3"/>
  <c r="J17" i="3"/>
  <c r="F16" i="1"/>
  <c r="G15" i="1"/>
  <c r="H15" i="1" s="1"/>
  <c r="C22" i="9" l="1"/>
  <c r="L22" i="7"/>
  <c r="J23" i="7"/>
  <c r="K22" i="7"/>
  <c r="N22" i="7"/>
  <c r="M22" i="7"/>
  <c r="H20" i="5"/>
  <c r="J19" i="5"/>
  <c r="I19" i="5"/>
  <c r="L19" i="5"/>
  <c r="K19" i="5"/>
  <c r="G20" i="4"/>
  <c r="F20" i="4"/>
  <c r="E21" i="4"/>
  <c r="K19" i="4"/>
  <c r="J19" i="4"/>
  <c r="H19" i="4"/>
  <c r="I19" i="4"/>
  <c r="J15" i="1"/>
  <c r="L11" i="3"/>
  <c r="K15" i="3"/>
  <c r="K16" i="3" s="1"/>
  <c r="L13" i="3"/>
  <c r="J15" i="3"/>
  <c r="L14" i="3"/>
  <c r="I15" i="1"/>
  <c r="F17" i="1"/>
  <c r="G16" i="1"/>
  <c r="J16" i="1" s="1"/>
  <c r="K15" i="1"/>
  <c r="C23" i="9" l="1"/>
  <c r="J24" i="7"/>
  <c r="K23" i="7"/>
  <c r="N23" i="7"/>
  <c r="M23" i="7"/>
  <c r="L23" i="7"/>
  <c r="L20" i="5"/>
  <c r="J20" i="5"/>
  <c r="H21" i="5"/>
  <c r="I20" i="5"/>
  <c r="K20" i="5"/>
  <c r="G21" i="4"/>
  <c r="F21" i="4"/>
  <c r="E22" i="4"/>
  <c r="K20" i="4"/>
  <c r="J20" i="4"/>
  <c r="I20" i="4"/>
  <c r="H20" i="4"/>
  <c r="L15" i="3"/>
  <c r="L16" i="3" s="1"/>
  <c r="K7" i="3" s="1"/>
  <c r="J16" i="3"/>
  <c r="K16" i="1"/>
  <c r="H16" i="1"/>
  <c r="I16" i="1"/>
  <c r="G17" i="1"/>
  <c r="J17" i="1" s="1"/>
  <c r="F18" i="1"/>
  <c r="I17" i="1" l="1"/>
  <c r="C24" i="9"/>
  <c r="N24" i="7"/>
  <c r="M24" i="7"/>
  <c r="L24" i="7"/>
  <c r="J25" i="7"/>
  <c r="K24" i="7"/>
  <c r="H22" i="5"/>
  <c r="J21" i="5"/>
  <c r="L21" i="5"/>
  <c r="K21" i="5"/>
  <c r="I21" i="5"/>
  <c r="G22" i="4"/>
  <c r="F22" i="4"/>
  <c r="E23" i="4"/>
  <c r="K21" i="4"/>
  <c r="J21" i="4"/>
  <c r="H21" i="4"/>
  <c r="I21" i="4"/>
  <c r="K17" i="1"/>
  <c r="H17" i="1"/>
  <c r="G18" i="1"/>
  <c r="K18" i="1" s="1"/>
  <c r="F19" i="1"/>
  <c r="C25" i="9" l="1"/>
  <c r="M25" i="7"/>
  <c r="L25" i="7"/>
  <c r="J26" i="7"/>
  <c r="K25" i="7"/>
  <c r="N25" i="7"/>
  <c r="L22" i="5"/>
  <c r="H23" i="5"/>
  <c r="J22" i="5"/>
  <c r="I22" i="5"/>
  <c r="K22" i="5"/>
  <c r="G23" i="4"/>
  <c r="F23" i="4"/>
  <c r="E24" i="4"/>
  <c r="K22" i="4"/>
  <c r="H22" i="4"/>
  <c r="J22" i="4"/>
  <c r="I22" i="4"/>
  <c r="J18" i="1"/>
  <c r="I18" i="1"/>
  <c r="F20" i="1"/>
  <c r="G19" i="1"/>
  <c r="I19" i="1" s="1"/>
  <c r="H18" i="1"/>
  <c r="C26" i="9" l="1"/>
  <c r="L26" i="7"/>
  <c r="J27" i="7"/>
  <c r="K26" i="7"/>
  <c r="N26" i="7"/>
  <c r="M26" i="7"/>
  <c r="H24" i="5"/>
  <c r="J23" i="5"/>
  <c r="I23" i="5"/>
  <c r="L23" i="5"/>
  <c r="K23" i="5"/>
  <c r="G24" i="4"/>
  <c r="F24" i="4"/>
  <c r="E25" i="4"/>
  <c r="K23" i="4"/>
  <c r="H23" i="4"/>
  <c r="J23" i="4"/>
  <c r="I23" i="4"/>
  <c r="K19" i="1"/>
  <c r="H19" i="1"/>
  <c r="J19" i="1"/>
  <c r="F21" i="1"/>
  <c r="G20" i="1"/>
  <c r="J20" i="1" s="1"/>
  <c r="C27" i="9" l="1"/>
  <c r="J28" i="7"/>
  <c r="K27" i="7"/>
  <c r="N27" i="7"/>
  <c r="M27" i="7"/>
  <c r="L27" i="7"/>
  <c r="L24" i="5"/>
  <c r="H25" i="5"/>
  <c r="J24" i="5"/>
  <c r="I24" i="5"/>
  <c r="K24" i="5"/>
  <c r="G25" i="4"/>
  <c r="F25" i="4"/>
  <c r="E26" i="4"/>
  <c r="K24" i="4"/>
  <c r="H24" i="4"/>
  <c r="J24" i="4"/>
  <c r="I24" i="4"/>
  <c r="K20" i="1"/>
  <c r="H20" i="1"/>
  <c r="I20" i="1"/>
  <c r="F22" i="1"/>
  <c r="G21" i="1"/>
  <c r="J21" i="1" s="1"/>
  <c r="F7" i="9" l="1"/>
  <c r="N28" i="7"/>
  <c r="M28" i="7"/>
  <c r="L28" i="7"/>
  <c r="J29" i="7"/>
  <c r="K28" i="7"/>
  <c r="H26" i="5"/>
  <c r="J25" i="5"/>
  <c r="L25" i="5"/>
  <c r="K25" i="5"/>
  <c r="I25" i="5"/>
  <c r="G26" i="4"/>
  <c r="F26" i="4"/>
  <c r="K25" i="4"/>
  <c r="H25" i="4"/>
  <c r="J25" i="4"/>
  <c r="I25" i="4"/>
  <c r="G22" i="1"/>
  <c r="K22" i="1" s="1"/>
  <c r="F23" i="1"/>
  <c r="H21" i="1"/>
  <c r="I21" i="1"/>
  <c r="K21" i="1"/>
  <c r="F8" i="9" l="1"/>
  <c r="M29" i="7"/>
  <c r="L29" i="7"/>
  <c r="J30" i="7"/>
  <c r="K29" i="7"/>
  <c r="N29" i="7"/>
  <c r="L26" i="5"/>
  <c r="J26" i="5"/>
  <c r="I26" i="5"/>
  <c r="K26" i="5"/>
  <c r="K26" i="4"/>
  <c r="H26" i="4"/>
  <c r="J26" i="4"/>
  <c r="I26" i="4"/>
  <c r="H22" i="1"/>
  <c r="I22" i="1"/>
  <c r="J22" i="1"/>
  <c r="F24" i="1"/>
  <c r="G23" i="1"/>
  <c r="K23" i="1" s="1"/>
  <c r="F9" i="9" l="1"/>
  <c r="L30" i="7"/>
  <c r="J31" i="7"/>
  <c r="K30" i="7"/>
  <c r="N30" i="7"/>
  <c r="M30" i="7"/>
  <c r="J23" i="1"/>
  <c r="H23" i="1"/>
  <c r="I23" i="1"/>
  <c r="F25" i="1"/>
  <c r="G24" i="1"/>
  <c r="K24" i="1" s="1"/>
  <c r="F10" i="9" l="1"/>
  <c r="J32" i="7"/>
  <c r="K31" i="7"/>
  <c r="N31" i="7"/>
  <c r="M31" i="7"/>
  <c r="L31" i="7"/>
  <c r="I24" i="1"/>
  <c r="H24" i="1"/>
  <c r="G25" i="1"/>
  <c r="K25" i="1" s="1"/>
  <c r="F26" i="1"/>
  <c r="J24" i="1"/>
  <c r="F11" i="9" l="1"/>
  <c r="N32" i="7"/>
  <c r="M32" i="7"/>
  <c r="L32" i="7"/>
  <c r="J33" i="7"/>
  <c r="K32" i="7"/>
  <c r="I25" i="1"/>
  <c r="H25" i="1"/>
  <c r="J25" i="1"/>
  <c r="G26" i="1"/>
  <c r="I26" i="1" s="1"/>
  <c r="F27" i="1"/>
  <c r="F12" i="9" l="1"/>
  <c r="M33" i="7"/>
  <c r="L33" i="7"/>
  <c r="J34" i="7"/>
  <c r="K33" i="7"/>
  <c r="N33" i="7"/>
  <c r="J26" i="1"/>
  <c r="F28" i="1"/>
  <c r="G27" i="1"/>
  <c r="I27" i="1" s="1"/>
  <c r="H26" i="1"/>
  <c r="K26" i="1"/>
  <c r="F13" i="9" l="1"/>
  <c r="L34" i="7"/>
  <c r="J35" i="7"/>
  <c r="K34" i="7"/>
  <c r="N34" i="7"/>
  <c r="M34" i="7"/>
  <c r="K27" i="1"/>
  <c r="J27" i="1"/>
  <c r="F29" i="1"/>
  <c r="G28" i="1"/>
  <c r="I28" i="1" s="1"/>
  <c r="H27" i="1"/>
  <c r="F14" i="9" l="1"/>
  <c r="J36" i="7"/>
  <c r="K35" i="7"/>
  <c r="N35" i="7"/>
  <c r="M35" i="7"/>
  <c r="L35" i="7"/>
  <c r="J28" i="1"/>
  <c r="K28" i="1"/>
  <c r="H28" i="1"/>
  <c r="F30" i="1"/>
  <c r="G29" i="1"/>
  <c r="I29" i="1" s="1"/>
  <c r="F15" i="9" l="1"/>
  <c r="N36" i="7"/>
  <c r="M36" i="7"/>
  <c r="L36" i="7"/>
  <c r="J37" i="7"/>
  <c r="K36" i="7"/>
  <c r="J29" i="1"/>
  <c r="G30" i="1"/>
  <c r="K30" i="1" s="1"/>
  <c r="F31" i="1"/>
  <c r="H29" i="1"/>
  <c r="K29" i="1"/>
  <c r="H30" i="1" l="1"/>
  <c r="F16" i="9"/>
  <c r="M37" i="7"/>
  <c r="L37" i="7"/>
  <c r="N37" i="7"/>
  <c r="J38" i="7"/>
  <c r="K37" i="7"/>
  <c r="I30" i="1"/>
  <c r="J30" i="1"/>
  <c r="F32" i="1"/>
  <c r="G31" i="1"/>
  <c r="I31" i="1" s="1"/>
  <c r="F17" i="9" l="1"/>
  <c r="L38" i="7"/>
  <c r="M38" i="7"/>
  <c r="K38" i="7"/>
  <c r="N38" i="7"/>
  <c r="H31" i="1"/>
  <c r="J31" i="1"/>
  <c r="K31" i="1"/>
  <c r="F33" i="1"/>
  <c r="G32" i="1"/>
  <c r="H32" i="1" s="1"/>
  <c r="F18" i="9" l="1"/>
  <c r="J32" i="1"/>
  <c r="I32" i="1"/>
  <c r="K32" i="1"/>
  <c r="G33" i="1"/>
  <c r="J33" i="1" s="1"/>
  <c r="F34" i="1"/>
  <c r="F19" i="9" l="1"/>
  <c r="K33" i="1"/>
  <c r="G34" i="1"/>
  <c r="K34" i="1" s="1"/>
  <c r="F35" i="1"/>
  <c r="I33" i="1"/>
  <c r="H33" i="1"/>
  <c r="F20" i="9" l="1"/>
  <c r="I34" i="1"/>
  <c r="J34" i="1"/>
  <c r="F36" i="1"/>
  <c r="G35" i="1"/>
  <c r="J35" i="1" s="1"/>
  <c r="H34" i="1"/>
  <c r="H35" i="1" l="1"/>
  <c r="K35" i="1"/>
  <c r="F21" i="9"/>
  <c r="I35" i="1"/>
  <c r="F37" i="1"/>
  <c r="G36" i="1"/>
  <c r="J36" i="1" s="1"/>
  <c r="F22" i="9" l="1"/>
  <c r="K36" i="1"/>
  <c r="H36" i="1"/>
  <c r="I36" i="1"/>
  <c r="G37" i="1"/>
  <c r="J37" i="1" s="1"/>
  <c r="F23" i="9" l="1"/>
  <c r="I37" i="1"/>
  <c r="K37" i="1"/>
  <c r="H37" i="1"/>
  <c r="F24" i="9" l="1"/>
  <c r="F25" i="9" l="1"/>
  <c r="F26" i="9" l="1"/>
</calcChain>
</file>

<file path=xl/sharedStrings.xml><?xml version="1.0" encoding="utf-8"?>
<sst xmlns="http://schemas.openxmlformats.org/spreadsheetml/2006/main" count="147" uniqueCount="95">
  <si>
    <t>Carte P : échantillonnage différent</t>
  </si>
  <si>
    <t xml:space="preserve">On utilise cette carte pour suivre la proportion p de défectueux contenus dans un échantillon en provenance d'un lot ou d'une machine. </t>
  </si>
  <si>
    <t xml:space="preserve">Sur un prélèvement au hasard, à intervalle régulier, d'un échantillon de n pièces, </t>
  </si>
  <si>
    <r>
      <t xml:space="preserve">on note le nombre de défectueux trouvés que l'on divise par l'effectif de l'échantillon n </t>
    </r>
    <r>
      <rPr>
        <sz val="11"/>
        <color rgb="FFFF0000"/>
        <rFont val="Calibri"/>
        <family val="2"/>
        <scheme val="minor"/>
      </rPr>
      <t>(n &gt; 20)</t>
    </r>
    <r>
      <rPr>
        <sz val="11"/>
        <color theme="1"/>
        <rFont val="Calibri"/>
        <family val="2"/>
        <scheme val="minor"/>
      </rPr>
      <t xml:space="preserve"> pour obtenir p.</t>
    </r>
  </si>
  <si>
    <t>On reporte périodiquement p sur une carte de contrôle où l'on fera apparaître la moyenne de proportion des défectueux et les limites inférieures et supérieures correspondantes.</t>
  </si>
  <si>
    <t>Si le tirage est avec remise --&gt;  loi binomiale  B(n,p)</t>
  </si>
  <si>
    <t>p = nombre de pièces défectueuses / nombre de pièces dans l'échantillon = d / n</t>
  </si>
  <si>
    <t>Echantillon</t>
  </si>
  <si>
    <t>nb de défaut d</t>
  </si>
  <si>
    <t>quantité échantillonée n</t>
  </si>
  <si>
    <t>proportion p%</t>
  </si>
  <si>
    <t>proportion moyenne pm%</t>
  </si>
  <si>
    <t xml:space="preserve">écart-type moyen pm% </t>
  </si>
  <si>
    <t>LCS</t>
  </si>
  <si>
    <t>LCI</t>
  </si>
  <si>
    <t>LSS</t>
  </si>
  <si>
    <t>LSI</t>
  </si>
  <si>
    <t>Carte NP : échantillonnage identique</t>
  </si>
  <si>
    <t>Ici on s'intéresse au nombre d'unité non conforme et non plus à la proportion de non-conformité</t>
  </si>
  <si>
    <t>unités prélevées n</t>
  </si>
  <si>
    <t>nb d'unité non conforme d</t>
  </si>
  <si>
    <t>proportion de non conforme p = d/n</t>
  </si>
  <si>
    <t>proportion moyenne de non conforme pm</t>
  </si>
  <si>
    <t>npm</t>
  </si>
  <si>
    <t>qm=1-pm</t>
  </si>
  <si>
    <t xml:space="preserve">un échantillon est composé de plusieurs unités de contrôle </t>
  </si>
  <si>
    <t>nb de commande</t>
  </si>
  <si>
    <t>délai &gt; 30min</t>
  </si>
  <si>
    <t>erreur commande</t>
  </si>
  <si>
    <t>autres</t>
  </si>
  <si>
    <t>moyenne</t>
  </si>
  <si>
    <t>LC</t>
  </si>
  <si>
    <t>LSC</t>
  </si>
  <si>
    <t>LIC</t>
  </si>
  <si>
    <t>Carte aux démérites D : même échantillonnage</t>
  </si>
  <si>
    <t>les défauts sont classés par type, en fonction de leur gravité</t>
  </si>
  <si>
    <t>Classe</t>
  </si>
  <si>
    <t>avis</t>
  </si>
  <si>
    <t>A</t>
  </si>
  <si>
    <t>défaut critique</t>
  </si>
  <si>
    <t>nb d'échantillon</t>
  </si>
  <si>
    <t>B</t>
  </si>
  <si>
    <t>défaut majeur</t>
  </si>
  <si>
    <t>C</t>
  </si>
  <si>
    <t>défaut mineur</t>
  </si>
  <si>
    <t>D</t>
  </si>
  <si>
    <t>défaut léger</t>
  </si>
  <si>
    <t>Carte au nombre de défaut par échantillon</t>
  </si>
  <si>
    <t>Poids w</t>
  </si>
  <si>
    <t>nombre de défaut d / classe</t>
  </si>
  <si>
    <t>∑w²d</t>
  </si>
  <si>
    <t>total d</t>
  </si>
  <si>
    <t>Total/classe</t>
  </si>
  <si>
    <t>Total</t>
  </si>
  <si>
    <t>Carte de contrôle aux démérites unitaires</t>
  </si>
  <si>
    <t>% de défaut accéptable</t>
  </si>
  <si>
    <t>effectif</t>
  </si>
  <si>
    <t>D unitaire</t>
  </si>
  <si>
    <t>Standard Q</t>
  </si>
  <si>
    <t>LIS</t>
  </si>
  <si>
    <t>Carte aux démérites D unitaire :taille de l'échantillon différente</t>
  </si>
  <si>
    <r>
      <rPr>
        <sz val="11"/>
        <rFont val="Calibri"/>
        <family val="2"/>
      </rPr>
      <t>∑</t>
    </r>
    <r>
      <rPr>
        <sz val="11"/>
        <rFont val="Calibri"/>
        <family val="2"/>
        <scheme val="minor"/>
      </rPr>
      <t>wd</t>
    </r>
  </si>
  <si>
    <t>Carte au démérite</t>
  </si>
  <si>
    <t>nb d'unité contrôlée par échantillon</t>
  </si>
  <si>
    <t>Somme</t>
  </si>
  <si>
    <t>&gt; 8 !!!!!!</t>
  </si>
  <si>
    <t>total</t>
  </si>
  <si>
    <t>5 et +</t>
  </si>
  <si>
    <t>dessus</t>
  </si>
  <si>
    <t>dessous</t>
  </si>
  <si>
    <t>nombre observé</t>
  </si>
  <si>
    <t>longueur de la suite</t>
  </si>
  <si>
    <t>t5%</t>
  </si>
  <si>
    <t>t</t>
  </si>
  <si>
    <t>s</t>
  </si>
  <si>
    <t>médiane</t>
  </si>
  <si>
    <t xml:space="preserve">lg - </t>
  </si>
  <si>
    <t>lg +</t>
  </si>
  <si>
    <t>longueur</t>
  </si>
  <si>
    <t>suite</t>
  </si>
  <si>
    <t>signe / médiane</t>
  </si>
  <si>
    <t>mesure</t>
  </si>
  <si>
    <t>prélèvement</t>
  </si>
  <si>
    <t>Après mélange, on prélève au robinet, situé sous le mélangeur, régulièrement 58 échantillons</t>
  </si>
  <si>
    <t>On teste l'homogénéisation d'un mélange</t>
  </si>
  <si>
    <t>Test basé sur la longueur de suite homogène</t>
  </si>
  <si>
    <t>N</t>
  </si>
  <si>
    <t>Si le tirage est sans remise (destruction du produit contrôlé) --&gt; loi hypergéométrique H(N,pN,n)</t>
  </si>
  <si>
    <t>Carte U : taux de non-conformité par unité de contrôle</t>
  </si>
  <si>
    <t>nb :</t>
  </si>
  <si>
    <t>Carte C : taux de non-conformité par unité de contrôle</t>
  </si>
  <si>
    <t>Cm</t>
  </si>
  <si>
    <t>nb de défaut</t>
  </si>
  <si>
    <t>taille n</t>
  </si>
  <si>
    <t>Suit le nombre de défaut par unité contrôlée (1 pièce, un lot, etc… exemple : nombre de défaut par voiture fabriquée)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</si>
</sst>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"/>
    <numFmt numFmtId="165" formatCode="0.0%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</cellStyleXfs>
  <cellXfs count="109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0" borderId="2" xfId="0" applyBorder="1"/>
    <xf numFmtId="0" fontId="0" fillId="0" borderId="0" xfId="0" applyFont="1"/>
    <xf numFmtId="0" fontId="0" fillId="2" borderId="5" xfId="0" applyFill="1" applyBorder="1" applyAlignment="1">
      <alignment horizontal="center"/>
    </xf>
    <xf numFmtId="0" fontId="0" fillId="0" borderId="0" xfId="0" applyFill="1"/>
    <xf numFmtId="0" fontId="0" fillId="3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NumberFormat="1" applyFont="1" applyBorder="1" applyAlignment="1">
      <alignment horizontal="right" vertical="center"/>
    </xf>
    <xf numFmtId="0" fontId="0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/>
    <xf numFmtId="0" fontId="0" fillId="0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5" fillId="2" borderId="1" xfId="0" applyFont="1" applyFill="1" applyBorder="1" applyAlignment="1">
      <alignment horizontal="center"/>
    </xf>
    <xf numFmtId="0" fontId="5" fillId="0" borderId="0" xfId="0" applyFont="1" applyBorder="1"/>
    <xf numFmtId="0" fontId="2" fillId="0" borderId="0" xfId="0" applyFont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Fill="1" applyBorder="1"/>
    <xf numFmtId="0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0" fillId="4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3" xfId="0" applyFont="1" applyBorder="1"/>
    <xf numFmtId="0" fontId="5" fillId="0" borderId="0" xfId="0" applyFont="1" applyBorder="1" applyAlignment="1"/>
    <xf numFmtId="0" fontId="5" fillId="2" borderId="1" xfId="0" applyNumberFormat="1" applyFont="1" applyFill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7" fillId="0" borderId="0" xfId="1"/>
    <xf numFmtId="0" fontId="7" fillId="0" borderId="1" xfId="1" applyBorder="1" applyAlignment="1">
      <alignment horizontal="center"/>
    </xf>
    <xf numFmtId="0" fontId="7" fillId="2" borderId="1" xfId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165" fontId="7" fillId="0" borderId="0" xfId="1" applyNumberFormat="1"/>
    <xf numFmtId="0" fontId="7" fillId="0" borderId="0" xfId="1" applyBorder="1"/>
    <xf numFmtId="1" fontId="7" fillId="2" borderId="1" xfId="1" applyNumberFormat="1" applyFill="1" applyBorder="1" applyAlignment="1">
      <alignment horizontal="center"/>
    </xf>
    <xf numFmtId="1" fontId="7" fillId="0" borderId="0" xfId="1" applyNumberFormat="1"/>
    <xf numFmtId="0" fontId="7" fillId="0" borderId="0" xfId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1" fontId="7" fillId="0" borderId="1" xfId="1" applyNumberFormat="1" applyBorder="1" applyAlignment="1">
      <alignment horizontal="center"/>
    </xf>
    <xf numFmtId="166" fontId="7" fillId="0" borderId="1" xfId="1" applyNumberFormat="1" applyBorder="1" applyAlignment="1">
      <alignment horizontal="center"/>
    </xf>
    <xf numFmtId="2" fontId="7" fillId="0" borderId="8" xfId="1" applyNumberFormat="1" applyFont="1" applyBorder="1" applyAlignment="1">
      <alignment horizontal="center"/>
    </xf>
    <xf numFmtId="0" fontId="7" fillId="0" borderId="8" xfId="1" applyBorder="1" applyAlignment="1">
      <alignment horizontal="center"/>
    </xf>
    <xf numFmtId="0" fontId="7" fillId="0" borderId="1" xfId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7" fillId="0" borderId="1" xfId="1" applyNumberFormat="1" applyBorder="1" applyAlignment="1">
      <alignment horizontal="center"/>
    </xf>
    <xf numFmtId="0" fontId="7" fillId="0" borderId="1" xfId="1" applyBorder="1"/>
    <xf numFmtId="0" fontId="7" fillId="0" borderId="1" xfId="1" applyFont="1" applyFill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0" xfId="1" applyBorder="1" applyAlignment="1"/>
    <xf numFmtId="0" fontId="7" fillId="0" borderId="0" xfId="1" applyFont="1"/>
    <xf numFmtId="0" fontId="10" fillId="0" borderId="0" xfId="1" applyFont="1"/>
    <xf numFmtId="2" fontId="7" fillId="0" borderId="0" xfId="1" applyNumberFormat="1"/>
    <xf numFmtId="0" fontId="7" fillId="0" borderId="0" xfId="1" applyFont="1" applyBorder="1" applyAlignment="1"/>
    <xf numFmtId="0" fontId="5" fillId="0" borderId="1" xfId="0" applyFont="1" applyBorder="1" applyAlignment="1">
      <alignment horizontal="center"/>
    </xf>
    <xf numFmtId="0" fontId="7" fillId="0" borderId="0" xfId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NumberForma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1" xfId="1" applyBorder="1" applyAlignment="1">
      <alignment horizontal="center"/>
    </xf>
    <xf numFmtId="0" fontId="7" fillId="0" borderId="5" xfId="1" applyFont="1" applyBorder="1" applyAlignment="1">
      <alignment horizontal="center" vertical="top" wrapText="1"/>
    </xf>
    <xf numFmtId="0" fontId="7" fillId="0" borderId="9" xfId="1" applyFont="1" applyBorder="1" applyAlignment="1">
      <alignment horizontal="center" vertical="top" wrapText="1"/>
    </xf>
    <xf numFmtId="0" fontId="0" fillId="4" borderId="1" xfId="0" applyFill="1" applyBorder="1" applyAlignment="1">
      <alignment horizontal="center"/>
    </xf>
    <xf numFmtId="1" fontId="0" fillId="3" borderId="1" xfId="0" quotePrefix="1" applyNumberForma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</cellXfs>
  <cellStyles count="5">
    <cellStyle name="Euro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  <cellStyle name="Normal 2 3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Carte p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'Carte P'!$B$13:$B$37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P'!$H$13:$H$37</c:f>
              <c:numCache>
                <c:formatCode>0.00%</c:formatCode>
                <c:ptCount val="25"/>
                <c:pt idx="0">
                  <c:v>1.1634944919507655E-2</c:v>
                </c:pt>
                <c:pt idx="1">
                  <c:v>1.161623522186073E-2</c:v>
                </c:pt>
                <c:pt idx="2">
                  <c:v>1.1749637681824172E-2</c:v>
                </c:pt>
                <c:pt idx="3">
                  <c:v>1.2370991159729021E-2</c:v>
                </c:pt>
                <c:pt idx="4">
                  <c:v>1.331575433347321E-2</c:v>
                </c:pt>
                <c:pt idx="5">
                  <c:v>1.2277903629739264E-2</c:v>
                </c:pt>
                <c:pt idx="6">
                  <c:v>1.1710935090157358E-2</c:v>
                </c:pt>
                <c:pt idx="7">
                  <c:v>1.1634944919507655E-2</c:v>
                </c:pt>
                <c:pt idx="8">
                  <c:v>1.2540403060342287E-2</c:v>
                </c:pt>
                <c:pt idx="9">
                  <c:v>1.3164274629316353E-2</c:v>
                </c:pt>
                <c:pt idx="10">
                  <c:v>1.1888982248732515E-2</c:v>
                </c:pt>
                <c:pt idx="11">
                  <c:v>1.3882866659639901E-2</c:v>
                </c:pt>
                <c:pt idx="12">
                  <c:v>1.337815629238219E-2</c:v>
                </c:pt>
                <c:pt idx="13">
                  <c:v>1.2013493194317977E-2</c:v>
                </c:pt>
                <c:pt idx="14">
                  <c:v>1.1769170145193651E-2</c:v>
                </c:pt>
                <c:pt idx="15">
                  <c:v>1.4221167277910151E-2</c:v>
                </c:pt>
                <c:pt idx="16">
                  <c:v>1.1808603739361765E-2</c:v>
                </c:pt>
                <c:pt idx="17">
                  <c:v>1.1653768585051164E-2</c:v>
                </c:pt>
                <c:pt idx="18">
                  <c:v>1.1909399599201958E-2</c:v>
                </c:pt>
                <c:pt idx="19">
                  <c:v>1.2962388127931407E-2</c:v>
                </c:pt>
                <c:pt idx="20">
                  <c:v>1.2034723569839574E-2</c:v>
                </c:pt>
                <c:pt idx="21">
                  <c:v>1.3741529190704801E-2</c:v>
                </c:pt>
                <c:pt idx="22">
                  <c:v>1.3047514707843108E-2</c:v>
                </c:pt>
                <c:pt idx="23">
                  <c:v>1.1634944919507655E-2</c:v>
                </c:pt>
                <c:pt idx="24">
                  <c:v>1.3605270023759065E-2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D4-4D4E-BA1A-A72DEC7A88C5}"/>
            </c:ext>
          </c:extLst>
        </c:ser>
        <c:ser>
          <c:idx val="1"/>
          <c:order val="1"/>
          <c:marker>
            <c:symbol val="none"/>
          </c:marker>
          <c:xVal>
            <c:numRef>
              <c:f>'Carte P'!$B$13:$B$37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P'!$I$13:$I$37</c:f>
              <c:numCache>
                <c:formatCode>0.00%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D4-4D4E-BA1A-A72DEC7A88C5}"/>
            </c:ext>
          </c:extLst>
        </c:ser>
        <c:ser>
          <c:idx val="2"/>
          <c:order val="2"/>
          <c:marker>
            <c:symbol val="none"/>
          </c:marker>
          <c:xVal>
            <c:numRef>
              <c:f>'Carte P'!$B$13:$B$37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P'!$E$13:$E$37</c:f>
              <c:numCache>
                <c:formatCode>0.00%</c:formatCode>
                <c:ptCount val="25"/>
                <c:pt idx="0">
                  <c:v>4.048582995951417E-3</c:v>
                </c:pt>
                <c:pt idx="1">
                  <c:v>4.0322580645161289E-3</c:v>
                </c:pt>
                <c:pt idx="2">
                  <c:v>4.1493775933609959E-3</c:v>
                </c:pt>
                <c:pt idx="3">
                  <c:v>0</c:v>
                </c:pt>
                <c:pt idx="4">
                  <c:v>0</c:v>
                </c:pt>
                <c:pt idx="5">
                  <c:v>4.6296296296296294E-3</c:v>
                </c:pt>
                <c:pt idx="6">
                  <c:v>0</c:v>
                </c:pt>
                <c:pt idx="7">
                  <c:v>8.0971659919028341E-3</c:v>
                </c:pt>
                <c:pt idx="8">
                  <c:v>4.8780487804878049E-3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4.3859649122807015E-3</c:v>
                </c:pt>
                <c:pt idx="14">
                  <c:v>0</c:v>
                </c:pt>
                <c:pt idx="15">
                  <c:v>0</c:v>
                </c:pt>
                <c:pt idx="16">
                  <c:v>4.2016806722689074E-3</c:v>
                </c:pt>
                <c:pt idx="17">
                  <c:v>4.0650406504065045E-3</c:v>
                </c:pt>
                <c:pt idx="18">
                  <c:v>0</c:v>
                </c:pt>
                <c:pt idx="19">
                  <c:v>5.2910052910052907E-3</c:v>
                </c:pt>
                <c:pt idx="20">
                  <c:v>0</c:v>
                </c:pt>
                <c:pt idx="21">
                  <c:v>0</c:v>
                </c:pt>
                <c:pt idx="22">
                  <c:v>5.3763440860215058E-3</c:v>
                </c:pt>
                <c:pt idx="23">
                  <c:v>0</c:v>
                </c:pt>
                <c:pt idx="24">
                  <c:v>5.9523809523809521E-3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D4-4D4E-BA1A-A72DEC7A88C5}"/>
            </c:ext>
          </c:extLst>
        </c:ser>
        <c:ser>
          <c:idx val="3"/>
          <c:order val="3"/>
          <c:marker>
            <c:symbol val="none"/>
          </c:marker>
          <c:xVal>
            <c:numRef>
              <c:f>'Carte P'!$B$13:$B$37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P'!$F$13:$F$37</c:f>
              <c:numCache>
                <c:formatCode>0.00%</c:formatCode>
                <c:ptCount val="25"/>
                <c:pt idx="0">
                  <c:v>2.3642991848085069E-3</c:v>
                </c:pt>
                <c:pt idx="1">
                  <c:v>2.3642991848085069E-3</c:v>
                </c:pt>
                <c:pt idx="2">
                  <c:v>2.3642991848085069E-3</c:v>
                </c:pt>
                <c:pt idx="3">
                  <c:v>2.3642991848085069E-3</c:v>
                </c:pt>
                <c:pt idx="4">
                  <c:v>2.3642991848085069E-3</c:v>
                </c:pt>
                <c:pt idx="5">
                  <c:v>2.3642991848085069E-3</c:v>
                </c:pt>
                <c:pt idx="6">
                  <c:v>2.3642991848085069E-3</c:v>
                </c:pt>
                <c:pt idx="7">
                  <c:v>2.3642991848085069E-3</c:v>
                </c:pt>
                <c:pt idx="8">
                  <c:v>2.3642991848085069E-3</c:v>
                </c:pt>
                <c:pt idx="9">
                  <c:v>2.3642991848085069E-3</c:v>
                </c:pt>
                <c:pt idx="10">
                  <c:v>2.3642991848085069E-3</c:v>
                </c:pt>
                <c:pt idx="11">
                  <c:v>2.3642991848085069E-3</c:v>
                </c:pt>
                <c:pt idx="12">
                  <c:v>2.3642991848085069E-3</c:v>
                </c:pt>
                <c:pt idx="13">
                  <c:v>2.3642991848085069E-3</c:v>
                </c:pt>
                <c:pt idx="14">
                  <c:v>2.3642991848085069E-3</c:v>
                </c:pt>
                <c:pt idx="15">
                  <c:v>2.3642991848085069E-3</c:v>
                </c:pt>
                <c:pt idx="16">
                  <c:v>2.3642991848085069E-3</c:v>
                </c:pt>
                <c:pt idx="17">
                  <c:v>2.3642991848085069E-3</c:v>
                </c:pt>
                <c:pt idx="18">
                  <c:v>2.3642991848085069E-3</c:v>
                </c:pt>
                <c:pt idx="19">
                  <c:v>2.3642991848085069E-3</c:v>
                </c:pt>
                <c:pt idx="20">
                  <c:v>2.3642991848085069E-3</c:v>
                </c:pt>
                <c:pt idx="21">
                  <c:v>2.3642991848085069E-3</c:v>
                </c:pt>
                <c:pt idx="22">
                  <c:v>2.3642991848085069E-3</c:v>
                </c:pt>
                <c:pt idx="23">
                  <c:v>2.3642991848085069E-3</c:v>
                </c:pt>
                <c:pt idx="24">
                  <c:v>2.3642991848085069E-3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D4-4D4E-BA1A-A72DEC7A88C5}"/>
            </c:ext>
          </c:extLst>
        </c:ser>
        <c:ser>
          <c:idx val="4"/>
          <c:order val="4"/>
          <c:marker>
            <c:symbol val="none"/>
          </c:marker>
          <c:xVal>
            <c:numRef>
              <c:f>'Carte P'!$B$13:$B$37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P'!$I$13:$I$37</c:f>
              <c:numCache>
                <c:formatCode>0.00%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D4-4D4E-BA1A-A72DEC7A88C5}"/>
            </c:ext>
          </c:extLst>
        </c:ser>
        <c:ser>
          <c:idx val="5"/>
          <c:order val="5"/>
          <c:marker>
            <c:symbol val="none"/>
          </c:marker>
          <c:xVal>
            <c:numRef>
              <c:f>'Carte P'!$B$13:$B$37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P'!$J$13:$J$37</c:f>
              <c:numCache>
                <c:formatCode>0.00%</c:formatCode>
                <c:ptCount val="25"/>
                <c:pt idx="0">
                  <c:v>8.5447296746079381E-3</c:v>
                </c:pt>
                <c:pt idx="1">
                  <c:v>8.5322565428433226E-3</c:v>
                </c:pt>
                <c:pt idx="2">
                  <c:v>8.6211915161522826E-3</c:v>
                </c:pt>
                <c:pt idx="3">
                  <c:v>9.0354271680888488E-3</c:v>
                </c:pt>
                <c:pt idx="4">
                  <c:v>9.6652692839183079E-3</c:v>
                </c:pt>
                <c:pt idx="5">
                  <c:v>8.9733688147623451E-3</c:v>
                </c:pt>
                <c:pt idx="6">
                  <c:v>8.5953897883744076E-3</c:v>
                </c:pt>
                <c:pt idx="7">
                  <c:v>8.5447296746079381E-3</c:v>
                </c:pt>
                <c:pt idx="8">
                  <c:v>9.1483684351643599E-3</c:v>
                </c:pt>
                <c:pt idx="9">
                  <c:v>9.5642828144804036E-3</c:v>
                </c:pt>
                <c:pt idx="10">
                  <c:v>8.7140878940911784E-3</c:v>
                </c:pt>
                <c:pt idx="11">
                  <c:v>1.0043344168029435E-2</c:v>
                </c:pt>
                <c:pt idx="12">
                  <c:v>9.7068705898576291E-3</c:v>
                </c:pt>
                <c:pt idx="13">
                  <c:v>8.7970951911481542E-3</c:v>
                </c:pt>
                <c:pt idx="14">
                  <c:v>8.6342131583986032E-3</c:v>
                </c:pt>
                <c:pt idx="15">
                  <c:v>1.0268877913542937E-2</c:v>
                </c:pt>
                <c:pt idx="16">
                  <c:v>8.660502221177346E-3</c:v>
                </c:pt>
                <c:pt idx="17">
                  <c:v>8.5572787849702778E-3</c:v>
                </c:pt>
                <c:pt idx="18">
                  <c:v>8.7276994610708068E-3</c:v>
                </c:pt>
                <c:pt idx="19">
                  <c:v>9.4296918135571058E-3</c:v>
                </c:pt>
                <c:pt idx="20">
                  <c:v>8.8112487748292171E-3</c:v>
                </c:pt>
                <c:pt idx="21">
                  <c:v>9.9491191887393689E-3</c:v>
                </c:pt>
                <c:pt idx="22">
                  <c:v>9.4864428668315747E-3</c:v>
                </c:pt>
                <c:pt idx="23">
                  <c:v>8.5447296746079381E-3</c:v>
                </c:pt>
                <c:pt idx="24">
                  <c:v>9.8582797441088797E-3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D4-4D4E-BA1A-A72DEC7A88C5}"/>
            </c:ext>
          </c:extLst>
        </c:ser>
        <c:ser>
          <c:idx val="6"/>
          <c:order val="6"/>
          <c:marker>
            <c:symbol val="none"/>
          </c:marker>
          <c:xVal>
            <c:numRef>
              <c:f>'Carte P'!$B$13:$B$37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P'!$K$13:$K$37</c:f>
              <c:numCache>
                <c:formatCode>0.00%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D4-4D4E-BA1A-A72DEC7A8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43236048"/>
        <c:axId val="-1243246384"/>
      </c:scatterChart>
      <c:valAx>
        <c:axId val="-124323604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échantillon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243246384"/>
        <c:crosses val="autoZero"/>
        <c:crossBetween val="midCat"/>
      </c:valAx>
      <c:valAx>
        <c:axId val="-1243246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proportion de NC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-12432360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Carte np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'Carte NP'!$B$7:$B$26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'Carte NP'!$C$7:$C$26</c:f>
              <c:numCache>
                <c:formatCode>General</c:formatCode>
                <c:ptCount val="20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13</c:v>
                </c:pt>
                <c:pt idx="16">
                  <c:v>5</c:v>
                </c:pt>
                <c:pt idx="17">
                  <c:v>11</c:v>
                </c:pt>
                <c:pt idx="18">
                  <c:v>4</c:v>
                </c:pt>
                <c:pt idx="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0-49A4-B970-AD13734523E5}"/>
            </c:ext>
          </c:extLst>
        </c:ser>
        <c:ser>
          <c:idx val="1"/>
          <c:order val="1"/>
          <c:marker>
            <c:symbol val="none"/>
          </c:marker>
          <c:xVal>
            <c:numRef>
              <c:f>'Carte NP'!$B$7:$B$26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'Carte NP'!$E$7:$E$26</c:f>
              <c:numCache>
                <c:formatCode>0.000</c:formatCode>
                <c:ptCount val="20"/>
                <c:pt idx="0">
                  <c:v>1.3800000000000002E-2</c:v>
                </c:pt>
                <c:pt idx="1">
                  <c:v>1.3800000000000002E-2</c:v>
                </c:pt>
                <c:pt idx="2">
                  <c:v>1.3800000000000002E-2</c:v>
                </c:pt>
                <c:pt idx="3">
                  <c:v>1.3800000000000002E-2</c:v>
                </c:pt>
                <c:pt idx="4">
                  <c:v>1.3800000000000002E-2</c:v>
                </c:pt>
                <c:pt idx="5">
                  <c:v>1.3800000000000002E-2</c:v>
                </c:pt>
                <c:pt idx="6">
                  <c:v>1.3800000000000002E-2</c:v>
                </c:pt>
                <c:pt idx="7">
                  <c:v>1.3800000000000002E-2</c:v>
                </c:pt>
                <c:pt idx="8">
                  <c:v>1.3800000000000002E-2</c:v>
                </c:pt>
                <c:pt idx="9">
                  <c:v>1.3800000000000002E-2</c:v>
                </c:pt>
                <c:pt idx="10">
                  <c:v>1.3800000000000002E-2</c:v>
                </c:pt>
                <c:pt idx="11">
                  <c:v>1.3800000000000002E-2</c:v>
                </c:pt>
                <c:pt idx="12">
                  <c:v>1.3800000000000002E-2</c:v>
                </c:pt>
                <c:pt idx="13">
                  <c:v>1.3800000000000002E-2</c:v>
                </c:pt>
                <c:pt idx="14">
                  <c:v>1.3800000000000002E-2</c:v>
                </c:pt>
                <c:pt idx="15">
                  <c:v>1.3800000000000002E-2</c:v>
                </c:pt>
                <c:pt idx="16">
                  <c:v>1.3800000000000002E-2</c:v>
                </c:pt>
                <c:pt idx="17">
                  <c:v>1.3800000000000002E-2</c:v>
                </c:pt>
                <c:pt idx="18">
                  <c:v>1.3800000000000002E-2</c:v>
                </c:pt>
                <c:pt idx="19">
                  <c:v>1.3800000000000002E-2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50-49A4-B970-AD13734523E5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'Carte NP'!$B$7:$B$26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'Carte NP'!$H$7:$H$26</c:f>
              <c:numCache>
                <c:formatCode>0.000</c:formatCode>
                <c:ptCount val="20"/>
                <c:pt idx="0">
                  <c:v>8.9836705720525138</c:v>
                </c:pt>
                <c:pt idx="1">
                  <c:v>8.9836705720525138</c:v>
                </c:pt>
                <c:pt idx="2">
                  <c:v>8.9836705720525138</c:v>
                </c:pt>
                <c:pt idx="3" formatCode="0.00">
                  <c:v>8.9836705720525138</c:v>
                </c:pt>
                <c:pt idx="4" formatCode="0.00">
                  <c:v>8.9836705720525138</c:v>
                </c:pt>
                <c:pt idx="5" formatCode="0.00">
                  <c:v>8.9836705720525138</c:v>
                </c:pt>
                <c:pt idx="6" formatCode="0.00">
                  <c:v>8.9836705720525138</c:v>
                </c:pt>
                <c:pt idx="7" formatCode="0.00">
                  <c:v>8.9836705720525138</c:v>
                </c:pt>
                <c:pt idx="8" formatCode="0.00">
                  <c:v>8.9836705720525138</c:v>
                </c:pt>
                <c:pt idx="9" formatCode="0.00">
                  <c:v>8.9836705720525138</c:v>
                </c:pt>
                <c:pt idx="10" formatCode="0.00">
                  <c:v>8.9836705720525138</c:v>
                </c:pt>
                <c:pt idx="11" formatCode="0.00">
                  <c:v>8.9836705720525138</c:v>
                </c:pt>
                <c:pt idx="12" formatCode="0.00">
                  <c:v>8.9836705720525138</c:v>
                </c:pt>
                <c:pt idx="13" formatCode="0.00">
                  <c:v>8.9836705720525138</c:v>
                </c:pt>
                <c:pt idx="14" formatCode="0.00">
                  <c:v>8.9836705720525138</c:v>
                </c:pt>
                <c:pt idx="15" formatCode="0.00">
                  <c:v>8.9836705720525138</c:v>
                </c:pt>
                <c:pt idx="16" formatCode="0.00">
                  <c:v>8.9836705720525138</c:v>
                </c:pt>
                <c:pt idx="17" formatCode="0.00">
                  <c:v>8.9836705720525138</c:v>
                </c:pt>
                <c:pt idx="18" formatCode="0.00">
                  <c:v>8.9836705720525138</c:v>
                </c:pt>
                <c:pt idx="19" formatCode="0.00">
                  <c:v>8.9836705720525138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50-49A4-B970-AD13734523E5}"/>
            </c:ext>
          </c:extLst>
        </c:ser>
        <c:ser>
          <c:idx val="3"/>
          <c:order val="3"/>
          <c:marker>
            <c:symbol val="none"/>
          </c:marker>
          <c:xVal>
            <c:numRef>
              <c:f>'Carte NP'!$B$7:$B$26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'Carte NP'!$I$7:$I$26</c:f>
              <c:numCache>
                <c:formatCode>0.000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50-49A4-B970-AD13734523E5}"/>
            </c:ext>
          </c:extLst>
        </c:ser>
        <c:ser>
          <c:idx val="4"/>
          <c:order val="4"/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'Carte NP'!$B$7:$B$26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'Carte NP'!$F$7:$F$26</c:f>
              <c:numCache>
                <c:formatCode>0.000</c:formatCode>
                <c:ptCount val="20"/>
                <c:pt idx="0">
                  <c:v>3.45</c:v>
                </c:pt>
                <c:pt idx="1">
                  <c:v>3.45</c:v>
                </c:pt>
                <c:pt idx="2">
                  <c:v>3.45</c:v>
                </c:pt>
                <c:pt idx="3" formatCode="0.00">
                  <c:v>3.45</c:v>
                </c:pt>
                <c:pt idx="4" formatCode="0.00">
                  <c:v>3.45</c:v>
                </c:pt>
                <c:pt idx="5" formatCode="0.00">
                  <c:v>3.45</c:v>
                </c:pt>
                <c:pt idx="6" formatCode="0.00">
                  <c:v>3.45</c:v>
                </c:pt>
                <c:pt idx="7" formatCode="0.00">
                  <c:v>3.45</c:v>
                </c:pt>
                <c:pt idx="8" formatCode="0.00">
                  <c:v>3.45</c:v>
                </c:pt>
                <c:pt idx="9" formatCode="0.00">
                  <c:v>3.45</c:v>
                </c:pt>
                <c:pt idx="10" formatCode="0.00">
                  <c:v>3.45</c:v>
                </c:pt>
                <c:pt idx="11" formatCode="0.00">
                  <c:v>3.45</c:v>
                </c:pt>
                <c:pt idx="12" formatCode="0.00">
                  <c:v>3.45</c:v>
                </c:pt>
                <c:pt idx="13" formatCode="0.00">
                  <c:v>3.45</c:v>
                </c:pt>
                <c:pt idx="14" formatCode="0.00">
                  <c:v>3.45</c:v>
                </c:pt>
                <c:pt idx="15" formatCode="0.00">
                  <c:v>3.45</c:v>
                </c:pt>
                <c:pt idx="16" formatCode="0.00">
                  <c:v>3.45</c:v>
                </c:pt>
                <c:pt idx="17" formatCode="0.00">
                  <c:v>3.45</c:v>
                </c:pt>
                <c:pt idx="18" formatCode="0.00">
                  <c:v>3.45</c:v>
                </c:pt>
                <c:pt idx="19" formatCode="0.0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50-49A4-B970-AD13734523E5}"/>
            </c:ext>
          </c:extLst>
        </c:ser>
        <c:ser>
          <c:idx val="5"/>
          <c:order val="5"/>
          <c:marker>
            <c:symbol val="none"/>
          </c:marker>
          <c:xVal>
            <c:numRef>
              <c:f>'Carte NP'!$B$7:$B$26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'Carte NP'!$J$7:$J$26</c:f>
              <c:numCache>
                <c:formatCode>0.000</c:formatCode>
                <c:ptCount val="20"/>
                <c:pt idx="0">
                  <c:v>7.1391137147016765</c:v>
                </c:pt>
                <c:pt idx="1">
                  <c:v>7.1391137147016765</c:v>
                </c:pt>
                <c:pt idx="2">
                  <c:v>7.1391137147016765</c:v>
                </c:pt>
                <c:pt idx="3" formatCode="0.00">
                  <c:v>7.1391137147016765</c:v>
                </c:pt>
                <c:pt idx="4" formatCode="0.00">
                  <c:v>7.1391137147016765</c:v>
                </c:pt>
                <c:pt idx="5" formatCode="0.00">
                  <c:v>7.1391137147016765</c:v>
                </c:pt>
                <c:pt idx="6" formatCode="0.00">
                  <c:v>7.1391137147016765</c:v>
                </c:pt>
                <c:pt idx="7" formatCode="0.00">
                  <c:v>7.1391137147016765</c:v>
                </c:pt>
                <c:pt idx="8" formatCode="0.00">
                  <c:v>7.1391137147016765</c:v>
                </c:pt>
                <c:pt idx="9" formatCode="0.00">
                  <c:v>7.1391137147016765</c:v>
                </c:pt>
                <c:pt idx="10" formatCode="0.00">
                  <c:v>7.1391137147016765</c:v>
                </c:pt>
                <c:pt idx="11" formatCode="0.00">
                  <c:v>7.1391137147016765</c:v>
                </c:pt>
                <c:pt idx="12" formatCode="0.00">
                  <c:v>7.1391137147016765</c:v>
                </c:pt>
                <c:pt idx="13" formatCode="0.00">
                  <c:v>7.1391137147016765</c:v>
                </c:pt>
                <c:pt idx="14" formatCode="0.00">
                  <c:v>7.1391137147016765</c:v>
                </c:pt>
                <c:pt idx="15" formatCode="0.00">
                  <c:v>7.1391137147016765</c:v>
                </c:pt>
                <c:pt idx="16" formatCode="0.00">
                  <c:v>7.1391137147016765</c:v>
                </c:pt>
                <c:pt idx="17" formatCode="0.00">
                  <c:v>7.1391137147016765</c:v>
                </c:pt>
                <c:pt idx="18" formatCode="0.00">
                  <c:v>7.1391137147016765</c:v>
                </c:pt>
                <c:pt idx="19" formatCode="0.00">
                  <c:v>7.1391137147016765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50-49A4-B970-AD13734523E5}"/>
            </c:ext>
          </c:extLst>
        </c:ser>
        <c:ser>
          <c:idx val="6"/>
          <c:order val="6"/>
          <c:marker>
            <c:symbol val="none"/>
          </c:marker>
          <c:xVal>
            <c:numRef>
              <c:f>'Carte NP'!$B$7:$B$26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'Carte NP'!$K$7:$K$26</c:f>
              <c:numCache>
                <c:formatCode>0.000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C50-49A4-B970-AD1373452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43249104"/>
        <c:axId val="-1243241488"/>
      </c:scatterChart>
      <c:valAx>
        <c:axId val="-12432491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N°lot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243241488"/>
        <c:crosses val="autoZero"/>
        <c:crossBetween val="midCat"/>
      </c:valAx>
      <c:valAx>
        <c:axId val="-1243241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nb de NC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243249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Carte 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'Carte C'!$B$6:$B$30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C'!$E$6:$E$30</c:f>
              <c:numCache>
                <c:formatCode>0.00</c:formatCode>
                <c:ptCount val="25"/>
                <c:pt idx="0">
                  <c:v>5.333333333333333</c:v>
                </c:pt>
                <c:pt idx="1">
                  <c:v>5.333333333333333</c:v>
                </c:pt>
                <c:pt idx="2">
                  <c:v>5.333333333333333</c:v>
                </c:pt>
                <c:pt idx="3">
                  <c:v>5.333333333333333</c:v>
                </c:pt>
                <c:pt idx="4">
                  <c:v>5.333333333333333</c:v>
                </c:pt>
                <c:pt idx="5">
                  <c:v>5.333333333333333</c:v>
                </c:pt>
                <c:pt idx="6">
                  <c:v>5.333333333333333</c:v>
                </c:pt>
                <c:pt idx="7">
                  <c:v>5.333333333333333</c:v>
                </c:pt>
                <c:pt idx="8">
                  <c:v>5.333333333333333</c:v>
                </c:pt>
                <c:pt idx="9">
                  <c:v>5.333333333333333</c:v>
                </c:pt>
                <c:pt idx="10">
                  <c:v>5.333333333333333</c:v>
                </c:pt>
                <c:pt idx="11">
                  <c:v>5.333333333333333</c:v>
                </c:pt>
                <c:pt idx="12">
                  <c:v>5.333333333333333</c:v>
                </c:pt>
                <c:pt idx="13">
                  <c:v>5.333333333333333</c:v>
                </c:pt>
                <c:pt idx="14">
                  <c:v>5.333333333333333</c:v>
                </c:pt>
                <c:pt idx="15">
                  <c:v>5.333333333333333</c:v>
                </c:pt>
                <c:pt idx="16">
                  <c:v>5.333333333333333</c:v>
                </c:pt>
                <c:pt idx="17">
                  <c:v>5.333333333333333</c:v>
                </c:pt>
                <c:pt idx="18">
                  <c:v>5.333333333333333</c:v>
                </c:pt>
                <c:pt idx="19">
                  <c:v>5.333333333333333</c:v>
                </c:pt>
                <c:pt idx="20">
                  <c:v>5.333333333333333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2E-4B3D-A862-E62CDD622184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'Carte C'!$B$6:$B$30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C'!$F$6:$F$30</c:f>
              <c:numCache>
                <c:formatCode>0.000</c:formatCode>
                <c:ptCount val="25"/>
                <c:pt idx="0">
                  <c:v>12.261536563608843</c:v>
                </c:pt>
                <c:pt idx="1">
                  <c:v>12.261536563608843</c:v>
                </c:pt>
                <c:pt idx="2">
                  <c:v>12.261536563608843</c:v>
                </c:pt>
                <c:pt idx="3">
                  <c:v>12.261536563608843</c:v>
                </c:pt>
                <c:pt idx="4">
                  <c:v>12.261536563608843</c:v>
                </c:pt>
                <c:pt idx="5">
                  <c:v>12.261536563608843</c:v>
                </c:pt>
                <c:pt idx="6">
                  <c:v>12.261536563608843</c:v>
                </c:pt>
                <c:pt idx="7">
                  <c:v>12.261536563608843</c:v>
                </c:pt>
                <c:pt idx="8">
                  <c:v>12.261536563608843</c:v>
                </c:pt>
                <c:pt idx="9">
                  <c:v>12.261536563608843</c:v>
                </c:pt>
                <c:pt idx="10">
                  <c:v>12.261536563608843</c:v>
                </c:pt>
                <c:pt idx="11">
                  <c:v>12.261536563608843</c:v>
                </c:pt>
                <c:pt idx="12">
                  <c:v>12.261536563608843</c:v>
                </c:pt>
                <c:pt idx="13">
                  <c:v>12.261536563608843</c:v>
                </c:pt>
                <c:pt idx="14">
                  <c:v>12.261536563608843</c:v>
                </c:pt>
                <c:pt idx="15">
                  <c:v>12.261536563608843</c:v>
                </c:pt>
                <c:pt idx="16">
                  <c:v>12.261536563608843</c:v>
                </c:pt>
                <c:pt idx="17">
                  <c:v>12.261536563608843</c:v>
                </c:pt>
                <c:pt idx="18">
                  <c:v>12.261536563608843</c:v>
                </c:pt>
                <c:pt idx="19">
                  <c:v>12.261536563608843</c:v>
                </c:pt>
                <c:pt idx="20">
                  <c:v>12.261536563608843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2E-4B3D-A862-E62CDD622184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'Carte C'!$B$6:$B$30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C'!$G$6:$G$30</c:f>
              <c:numCache>
                <c:formatCode>0.000</c:formatCode>
                <c:ptCount val="25"/>
                <c:pt idx="0">
                  <c:v>-1.5948698969421757</c:v>
                </c:pt>
                <c:pt idx="1">
                  <c:v>-1.5948698969421757</c:v>
                </c:pt>
                <c:pt idx="2">
                  <c:v>-1.5948698969421757</c:v>
                </c:pt>
                <c:pt idx="3">
                  <c:v>-1.5948698969421757</c:v>
                </c:pt>
                <c:pt idx="4">
                  <c:v>-1.5948698969421757</c:v>
                </c:pt>
                <c:pt idx="5">
                  <c:v>-1.5948698969421757</c:v>
                </c:pt>
                <c:pt idx="6">
                  <c:v>-1.5948698969421757</c:v>
                </c:pt>
                <c:pt idx="7">
                  <c:v>-1.5948698969421757</c:v>
                </c:pt>
                <c:pt idx="8">
                  <c:v>-1.5948698969421757</c:v>
                </c:pt>
                <c:pt idx="9">
                  <c:v>-1.5948698969421757</c:v>
                </c:pt>
                <c:pt idx="10">
                  <c:v>-1.5948698969421757</c:v>
                </c:pt>
                <c:pt idx="11">
                  <c:v>-1.5948698969421757</c:v>
                </c:pt>
                <c:pt idx="12">
                  <c:v>-1.5948698969421757</c:v>
                </c:pt>
                <c:pt idx="13">
                  <c:v>-1.5948698969421757</c:v>
                </c:pt>
                <c:pt idx="14">
                  <c:v>-1.5948698969421757</c:v>
                </c:pt>
                <c:pt idx="15">
                  <c:v>-1.5948698969421757</c:v>
                </c:pt>
                <c:pt idx="16">
                  <c:v>-1.5948698969421757</c:v>
                </c:pt>
                <c:pt idx="17">
                  <c:v>-1.5948698969421757</c:v>
                </c:pt>
                <c:pt idx="18">
                  <c:v>-1.5948698969421757</c:v>
                </c:pt>
                <c:pt idx="19">
                  <c:v>-1.5948698969421757</c:v>
                </c:pt>
                <c:pt idx="20">
                  <c:v>-1.5948698969421757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2E-4B3D-A862-E62CDD622184}"/>
            </c:ext>
          </c:extLst>
        </c:ser>
        <c:ser>
          <c:idx val="3"/>
          <c:order val="3"/>
          <c:marker>
            <c:symbol val="none"/>
          </c:marker>
          <c:xVal>
            <c:numRef>
              <c:f>'Carte C'!$B$6:$B$30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2E-4B3D-A862-E62CDD622184}"/>
            </c:ext>
          </c:extLst>
        </c:ser>
        <c:ser>
          <c:idx val="4"/>
          <c:order val="4"/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'Carte C'!$B$6:$B$30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C'!$H$6:$H$30</c:f>
              <c:numCache>
                <c:formatCode>0.000</c:formatCode>
                <c:ptCount val="25"/>
                <c:pt idx="0">
                  <c:v>9.952135486850338</c:v>
                </c:pt>
                <c:pt idx="1">
                  <c:v>9.952135486850338</c:v>
                </c:pt>
                <c:pt idx="2">
                  <c:v>9.952135486850338</c:v>
                </c:pt>
                <c:pt idx="3">
                  <c:v>9.952135486850338</c:v>
                </c:pt>
                <c:pt idx="4">
                  <c:v>9.952135486850338</c:v>
                </c:pt>
                <c:pt idx="5">
                  <c:v>9.952135486850338</c:v>
                </c:pt>
                <c:pt idx="6">
                  <c:v>9.952135486850338</c:v>
                </c:pt>
                <c:pt idx="7">
                  <c:v>9.952135486850338</c:v>
                </c:pt>
                <c:pt idx="8">
                  <c:v>9.952135486850338</c:v>
                </c:pt>
                <c:pt idx="9">
                  <c:v>9.952135486850338</c:v>
                </c:pt>
                <c:pt idx="10">
                  <c:v>9.952135486850338</c:v>
                </c:pt>
                <c:pt idx="11">
                  <c:v>9.952135486850338</c:v>
                </c:pt>
                <c:pt idx="12">
                  <c:v>9.952135486850338</c:v>
                </c:pt>
                <c:pt idx="13">
                  <c:v>9.952135486850338</c:v>
                </c:pt>
                <c:pt idx="14">
                  <c:v>9.952135486850338</c:v>
                </c:pt>
                <c:pt idx="15">
                  <c:v>9.952135486850338</c:v>
                </c:pt>
                <c:pt idx="16">
                  <c:v>9.952135486850338</c:v>
                </c:pt>
                <c:pt idx="17">
                  <c:v>9.952135486850338</c:v>
                </c:pt>
                <c:pt idx="18">
                  <c:v>9.952135486850338</c:v>
                </c:pt>
                <c:pt idx="19">
                  <c:v>9.952135486850338</c:v>
                </c:pt>
                <c:pt idx="20">
                  <c:v>9.952135486850338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2E-4B3D-A862-E62CDD622184}"/>
            </c:ext>
          </c:extLst>
        </c:ser>
        <c:ser>
          <c:idx val="5"/>
          <c:order val="5"/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'Carte C'!$B$6:$B$30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C'!$I$6:$I$30</c:f>
              <c:numCache>
                <c:formatCode>0.000</c:formatCode>
                <c:ptCount val="25"/>
                <c:pt idx="0">
                  <c:v>0.71453117981632719</c:v>
                </c:pt>
                <c:pt idx="1">
                  <c:v>0.71453117981632719</c:v>
                </c:pt>
                <c:pt idx="2">
                  <c:v>0.71453117981632719</c:v>
                </c:pt>
                <c:pt idx="3">
                  <c:v>0.71453117981632719</c:v>
                </c:pt>
                <c:pt idx="4">
                  <c:v>0.71453117981632719</c:v>
                </c:pt>
                <c:pt idx="5">
                  <c:v>0.71453117981632719</c:v>
                </c:pt>
                <c:pt idx="6">
                  <c:v>0.71453117981632719</c:v>
                </c:pt>
                <c:pt idx="7">
                  <c:v>0.71453117981632719</c:v>
                </c:pt>
                <c:pt idx="8">
                  <c:v>0.71453117981632719</c:v>
                </c:pt>
                <c:pt idx="9">
                  <c:v>0.71453117981632719</c:v>
                </c:pt>
                <c:pt idx="10">
                  <c:v>0.71453117981632719</c:v>
                </c:pt>
                <c:pt idx="11">
                  <c:v>0.71453117981632719</c:v>
                </c:pt>
                <c:pt idx="12">
                  <c:v>0.71453117981632719</c:v>
                </c:pt>
                <c:pt idx="13">
                  <c:v>0.71453117981632719</c:v>
                </c:pt>
                <c:pt idx="14">
                  <c:v>0.71453117981632719</c:v>
                </c:pt>
                <c:pt idx="15">
                  <c:v>0.71453117981632719</c:v>
                </c:pt>
                <c:pt idx="16">
                  <c:v>0.71453117981632719</c:v>
                </c:pt>
                <c:pt idx="17">
                  <c:v>0.71453117981632719</c:v>
                </c:pt>
                <c:pt idx="18">
                  <c:v>0.71453117981632719</c:v>
                </c:pt>
                <c:pt idx="19">
                  <c:v>0.71453117981632719</c:v>
                </c:pt>
                <c:pt idx="20">
                  <c:v>0.71453117981632719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2E-4B3D-A862-E62CDD622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43239312"/>
        <c:axId val="-1243250192"/>
      </c:scatterChart>
      <c:valAx>
        <c:axId val="-124323931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échantillon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243250192"/>
        <c:crosses val="autoZero"/>
        <c:crossBetween val="midCat"/>
      </c:valAx>
      <c:valAx>
        <c:axId val="-1243250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proportion de défaut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-1243239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Carte U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'Carte U'!$B$6:$B$30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U'!$G$6:$G$30</c:f>
              <c:numCache>
                <c:formatCode>0.00%</c:formatCode>
                <c:ptCount val="25"/>
                <c:pt idx="0">
                  <c:v>1.5625E-2</c:v>
                </c:pt>
                <c:pt idx="1">
                  <c:v>3.6363636363636362E-2</c:v>
                </c:pt>
                <c:pt idx="2">
                  <c:v>2.6666666666666665E-2</c:v>
                </c:pt>
                <c:pt idx="3">
                  <c:v>5.2083333333333336E-2</c:v>
                </c:pt>
                <c:pt idx="4">
                  <c:v>3.3333333333333333E-2</c:v>
                </c:pt>
                <c:pt idx="5">
                  <c:v>3.0864197530864199E-2</c:v>
                </c:pt>
                <c:pt idx="6">
                  <c:v>2.1164021164021163E-2</c:v>
                </c:pt>
                <c:pt idx="7">
                  <c:v>2.02020202020202E-2</c:v>
                </c:pt>
                <c:pt idx="8">
                  <c:v>1.3605442176870748E-2</c:v>
                </c:pt>
                <c:pt idx="9">
                  <c:v>3.2679738562091505E-2</c:v>
                </c:pt>
                <c:pt idx="10">
                  <c:v>6.5359477124183E-3</c:v>
                </c:pt>
                <c:pt idx="11">
                  <c:v>3.8461538461538464E-2</c:v>
                </c:pt>
                <c:pt idx="12">
                  <c:v>3.7735849056603772E-2</c:v>
                </c:pt>
                <c:pt idx="13">
                  <c:v>3.4722222222222224E-2</c:v>
                </c:pt>
                <c:pt idx="14">
                  <c:v>1.111111111111111E-2</c:v>
                </c:pt>
                <c:pt idx="15">
                  <c:v>3.5897435897435902E-2</c:v>
                </c:pt>
                <c:pt idx="16">
                  <c:v>6.1224489795918366E-2</c:v>
                </c:pt>
                <c:pt idx="17">
                  <c:v>5.0314465408805027E-2</c:v>
                </c:pt>
                <c:pt idx="18">
                  <c:v>6.5476190476190479E-2</c:v>
                </c:pt>
                <c:pt idx="19">
                  <c:v>5.0505050505050504E-2</c:v>
                </c:pt>
                <c:pt idx="20">
                  <c:v>5.4545454545454543E-2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A6-4AEC-BC5A-BA9F85C79995}"/>
            </c:ext>
          </c:extLst>
        </c:ser>
        <c:ser>
          <c:idx val="1"/>
          <c:order val="1"/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'Carte U'!$B$6:$B$30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U'!$H$6:$H$30</c:f>
              <c:numCache>
                <c:formatCode>0.00%</c:formatCode>
                <c:ptCount val="25"/>
                <c:pt idx="0">
                  <c:v>3.4719864025027913E-2</c:v>
                </c:pt>
                <c:pt idx="1">
                  <c:v>3.4719864025027913E-2</c:v>
                </c:pt>
                <c:pt idx="2">
                  <c:v>3.4719864025027913E-2</c:v>
                </c:pt>
                <c:pt idx="3">
                  <c:v>3.4719864025027913E-2</c:v>
                </c:pt>
                <c:pt idx="4">
                  <c:v>3.4719864025027913E-2</c:v>
                </c:pt>
                <c:pt idx="5">
                  <c:v>3.4719864025027913E-2</c:v>
                </c:pt>
                <c:pt idx="6">
                  <c:v>3.4719864025027913E-2</c:v>
                </c:pt>
                <c:pt idx="7">
                  <c:v>3.4719864025027913E-2</c:v>
                </c:pt>
                <c:pt idx="8">
                  <c:v>3.4719864025027913E-2</c:v>
                </c:pt>
                <c:pt idx="9">
                  <c:v>3.4719864025027913E-2</c:v>
                </c:pt>
                <c:pt idx="10">
                  <c:v>3.4719864025027913E-2</c:v>
                </c:pt>
                <c:pt idx="11">
                  <c:v>3.4719864025027913E-2</c:v>
                </c:pt>
                <c:pt idx="12">
                  <c:v>3.4719864025027913E-2</c:v>
                </c:pt>
                <c:pt idx="13">
                  <c:v>3.4719864025027913E-2</c:v>
                </c:pt>
                <c:pt idx="14">
                  <c:v>3.4719864025027913E-2</c:v>
                </c:pt>
                <c:pt idx="15">
                  <c:v>3.4719864025027913E-2</c:v>
                </c:pt>
                <c:pt idx="16">
                  <c:v>3.4719864025027913E-2</c:v>
                </c:pt>
                <c:pt idx="17">
                  <c:v>3.4719864025027913E-2</c:v>
                </c:pt>
                <c:pt idx="18">
                  <c:v>3.4719864025027913E-2</c:v>
                </c:pt>
                <c:pt idx="19">
                  <c:v>3.4719864025027913E-2</c:v>
                </c:pt>
                <c:pt idx="20">
                  <c:v>3.4719864025027913E-2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A6-4AEC-BC5A-BA9F85C79995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'Carte U'!$B$6:$B$30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U'!$I$6:$I$30</c:f>
              <c:numCache>
                <c:formatCode>0.00%</c:formatCode>
                <c:ptCount val="25"/>
                <c:pt idx="0">
                  <c:v>0.10459461539145176</c:v>
                </c:pt>
                <c:pt idx="1">
                  <c:v>0.11009514044246183</c:v>
                </c:pt>
                <c:pt idx="2">
                  <c:v>0.11377412086490356</c:v>
                </c:pt>
                <c:pt idx="3">
                  <c:v>0.10459461539145176</c:v>
                </c:pt>
                <c:pt idx="4">
                  <c:v>0.10688619692170617</c:v>
                </c:pt>
                <c:pt idx="5">
                  <c:v>0.11078985813684128</c:v>
                </c:pt>
                <c:pt idx="6">
                  <c:v>0.10514699356332435</c:v>
                </c:pt>
                <c:pt idx="7">
                  <c:v>0.10352776264505414</c:v>
                </c:pt>
                <c:pt idx="8">
                  <c:v>0.1145767227295123</c:v>
                </c:pt>
                <c:pt idx="9">
                  <c:v>0.11299524219687773</c:v>
                </c:pt>
                <c:pt idx="10">
                  <c:v>0.11299524219687773</c:v>
                </c:pt>
                <c:pt idx="11">
                  <c:v>0.11223894061331671</c:v>
                </c:pt>
                <c:pt idx="12">
                  <c:v>0.11150414605275918</c:v>
                </c:pt>
                <c:pt idx="13">
                  <c:v>0.11540427704695387</c:v>
                </c:pt>
                <c:pt idx="14">
                  <c:v>0.10688619692170617</c:v>
                </c:pt>
                <c:pt idx="15">
                  <c:v>0.10405503394679841</c:v>
                </c:pt>
                <c:pt idx="16">
                  <c:v>0.1145767227295123</c:v>
                </c:pt>
                <c:pt idx="17">
                  <c:v>0.11150414605275918</c:v>
                </c:pt>
                <c:pt idx="18">
                  <c:v>0.10941911533907714</c:v>
                </c:pt>
                <c:pt idx="19">
                  <c:v>0.10352776264505414</c:v>
                </c:pt>
                <c:pt idx="20">
                  <c:v>0.11009514044246183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A6-4AEC-BC5A-BA9F85C79995}"/>
            </c:ext>
          </c:extLst>
        </c:ser>
        <c:ser>
          <c:idx val="3"/>
          <c:order val="3"/>
          <c:marker>
            <c:symbol val="none"/>
          </c:marker>
          <c:xVal>
            <c:numRef>
              <c:f>'Carte U'!$B$6:$B$30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U'!$J$6:$J$30</c:f>
              <c:numCache>
                <c:formatCode>0.00%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A6-4AEC-BC5A-BA9F85C79995}"/>
            </c:ext>
          </c:extLst>
        </c:ser>
        <c:ser>
          <c:idx val="4"/>
          <c:order val="4"/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'Carte U'!$B$6:$B$30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U'!$K$6:$K$30</c:f>
              <c:numCache>
                <c:formatCode>0.00%</c:formatCode>
                <c:ptCount val="25"/>
                <c:pt idx="0">
                  <c:v>8.1303031602643808E-2</c:v>
                </c:pt>
                <c:pt idx="1">
                  <c:v>8.4970048303317183E-2</c:v>
                </c:pt>
                <c:pt idx="2">
                  <c:v>8.7422701918278334E-2</c:v>
                </c:pt>
                <c:pt idx="3">
                  <c:v>8.1303031602643808E-2</c:v>
                </c:pt>
                <c:pt idx="4">
                  <c:v>8.2830752622813419E-2</c:v>
                </c:pt>
                <c:pt idx="5">
                  <c:v>8.5433193432903481E-2</c:v>
                </c:pt>
                <c:pt idx="6">
                  <c:v>8.167128371722554E-2</c:v>
                </c:pt>
                <c:pt idx="7">
                  <c:v>8.0591796438378729E-2</c:v>
                </c:pt>
                <c:pt idx="8">
                  <c:v>8.7957769828017507E-2</c:v>
                </c:pt>
                <c:pt idx="9">
                  <c:v>8.6903449472927788E-2</c:v>
                </c:pt>
                <c:pt idx="10">
                  <c:v>8.6903449472927788E-2</c:v>
                </c:pt>
                <c:pt idx="11">
                  <c:v>8.6399248417220451E-2</c:v>
                </c:pt>
                <c:pt idx="12">
                  <c:v>8.5909385376848751E-2</c:v>
                </c:pt>
                <c:pt idx="13">
                  <c:v>8.8509472706311876E-2</c:v>
                </c:pt>
                <c:pt idx="14">
                  <c:v>8.2830752622813419E-2</c:v>
                </c:pt>
                <c:pt idx="15">
                  <c:v>8.0943310639541577E-2</c:v>
                </c:pt>
                <c:pt idx="16">
                  <c:v>8.7957769828017507E-2</c:v>
                </c:pt>
                <c:pt idx="17">
                  <c:v>8.5909385376848751E-2</c:v>
                </c:pt>
                <c:pt idx="18">
                  <c:v>8.451936490106074E-2</c:v>
                </c:pt>
                <c:pt idx="19">
                  <c:v>8.0591796438378729E-2</c:v>
                </c:pt>
                <c:pt idx="20">
                  <c:v>8.4970048303317183E-2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A6-4AEC-BC5A-BA9F85C79995}"/>
            </c:ext>
          </c:extLst>
        </c:ser>
        <c:ser>
          <c:idx val="5"/>
          <c:order val="5"/>
          <c:marker>
            <c:symbol val="none"/>
          </c:marker>
          <c:xVal>
            <c:numRef>
              <c:f>'Carte U'!$B$6:$B$30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'Carte U'!$L$6:$L$30</c:f>
              <c:numCache>
                <c:formatCode>0.00%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A6-4AEC-BC5A-BA9F85C79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43239312"/>
        <c:axId val="-1243250192"/>
      </c:scatterChart>
      <c:valAx>
        <c:axId val="-124323931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échantillon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243250192"/>
        <c:crosses val="autoZero"/>
        <c:crossBetween val="midCat"/>
      </c:valAx>
      <c:valAx>
        <c:axId val="-1243250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proportion de défaut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-1243239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Carte aux démérites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'Carte D'!$B$14:$B$43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D'!$G$14:$G$43</c:f>
              <c:numCache>
                <c:formatCode>General</c:formatCode>
                <c:ptCount val="30"/>
                <c:pt idx="0">
                  <c:v>301</c:v>
                </c:pt>
                <c:pt idx="1">
                  <c:v>322</c:v>
                </c:pt>
                <c:pt idx="2">
                  <c:v>13</c:v>
                </c:pt>
                <c:pt idx="3">
                  <c:v>258</c:v>
                </c:pt>
                <c:pt idx="4">
                  <c:v>462</c:v>
                </c:pt>
                <c:pt idx="5">
                  <c:v>312</c:v>
                </c:pt>
                <c:pt idx="6">
                  <c:v>22</c:v>
                </c:pt>
                <c:pt idx="7">
                  <c:v>13</c:v>
                </c:pt>
                <c:pt idx="8">
                  <c:v>151</c:v>
                </c:pt>
                <c:pt idx="9">
                  <c:v>321</c:v>
                </c:pt>
                <c:pt idx="10">
                  <c:v>1</c:v>
                </c:pt>
                <c:pt idx="11">
                  <c:v>480</c:v>
                </c:pt>
                <c:pt idx="12">
                  <c:v>480</c:v>
                </c:pt>
                <c:pt idx="13">
                  <c:v>163</c:v>
                </c:pt>
                <c:pt idx="14">
                  <c:v>160</c:v>
                </c:pt>
                <c:pt idx="15">
                  <c:v>481</c:v>
                </c:pt>
                <c:pt idx="16">
                  <c:v>483</c:v>
                </c:pt>
                <c:pt idx="17">
                  <c:v>640</c:v>
                </c:pt>
                <c:pt idx="18">
                  <c:v>801</c:v>
                </c:pt>
                <c:pt idx="19">
                  <c:v>642</c:v>
                </c:pt>
                <c:pt idx="20">
                  <c:v>641</c:v>
                </c:pt>
                <c:pt idx="21">
                  <c:v>643</c:v>
                </c:pt>
                <c:pt idx="22">
                  <c:v>261</c:v>
                </c:pt>
                <c:pt idx="23">
                  <c:v>481</c:v>
                </c:pt>
                <c:pt idx="24">
                  <c:v>481</c:v>
                </c:pt>
                <c:pt idx="25">
                  <c:v>461</c:v>
                </c:pt>
                <c:pt idx="26">
                  <c:v>483</c:v>
                </c:pt>
                <c:pt idx="27">
                  <c:v>640</c:v>
                </c:pt>
                <c:pt idx="28">
                  <c:v>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9-40A7-9D88-8224E1C3E5DF}"/>
            </c:ext>
          </c:extLst>
        </c:ser>
        <c:ser>
          <c:idx val="1"/>
          <c:order val="1"/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'Carte D'!$B$14:$B$43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D'!$I$14:$I$43</c:f>
              <c:numCache>
                <c:formatCode>0.00</c:formatCode>
                <c:ptCount val="30"/>
                <c:pt idx="0">
                  <c:v>375.79310344827587</c:v>
                </c:pt>
                <c:pt idx="1">
                  <c:v>375.79310344827587</c:v>
                </c:pt>
                <c:pt idx="2">
                  <c:v>375.79310344827587</c:v>
                </c:pt>
                <c:pt idx="3">
                  <c:v>375.79310344827587</c:v>
                </c:pt>
                <c:pt idx="4">
                  <c:v>375.79310344827587</c:v>
                </c:pt>
                <c:pt idx="5">
                  <c:v>375.79310344827587</c:v>
                </c:pt>
                <c:pt idx="6">
                  <c:v>375.79310344827587</c:v>
                </c:pt>
                <c:pt idx="7">
                  <c:v>375.79310344827587</c:v>
                </c:pt>
                <c:pt idx="8">
                  <c:v>375.79310344827587</c:v>
                </c:pt>
                <c:pt idx="9">
                  <c:v>375.79310344827587</c:v>
                </c:pt>
                <c:pt idx="10">
                  <c:v>375.79310344827587</c:v>
                </c:pt>
                <c:pt idx="11">
                  <c:v>375.79310344827587</c:v>
                </c:pt>
                <c:pt idx="12">
                  <c:v>375.79310344827587</c:v>
                </c:pt>
                <c:pt idx="13">
                  <c:v>375.79310344827587</c:v>
                </c:pt>
                <c:pt idx="14">
                  <c:v>375.79310344827587</c:v>
                </c:pt>
                <c:pt idx="15">
                  <c:v>375.79310344827587</c:v>
                </c:pt>
                <c:pt idx="16">
                  <c:v>375.79310344827587</c:v>
                </c:pt>
                <c:pt idx="17">
                  <c:v>375.79310344827587</c:v>
                </c:pt>
                <c:pt idx="18">
                  <c:v>375.79310344827587</c:v>
                </c:pt>
                <c:pt idx="19">
                  <c:v>375.79310344827587</c:v>
                </c:pt>
                <c:pt idx="20">
                  <c:v>375.79310344827587</c:v>
                </c:pt>
                <c:pt idx="21">
                  <c:v>375.79310344827587</c:v>
                </c:pt>
                <c:pt idx="22">
                  <c:v>375.79310344827587</c:v>
                </c:pt>
                <c:pt idx="23">
                  <c:v>375.79310344827587</c:v>
                </c:pt>
                <c:pt idx="24">
                  <c:v>375.79310344827587</c:v>
                </c:pt>
                <c:pt idx="25">
                  <c:v>375.79310344827587</c:v>
                </c:pt>
                <c:pt idx="26">
                  <c:v>375.79310344827587</c:v>
                </c:pt>
                <c:pt idx="27">
                  <c:v>375.79310344827587</c:v>
                </c:pt>
                <c:pt idx="28">
                  <c:v>375.79310344827587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E9-40A7-9D88-8224E1C3E5DF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'Carte D'!$B$14:$B$43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D'!$J$14:$J$43</c:f>
              <c:numCache>
                <c:formatCode>0.00</c:formatCode>
                <c:ptCount val="30"/>
                <c:pt idx="0">
                  <c:v>888.6596922713677</c:v>
                </c:pt>
                <c:pt idx="1">
                  <c:v>888.6596922713677</c:v>
                </c:pt>
                <c:pt idx="2">
                  <c:v>888.6596922713677</c:v>
                </c:pt>
                <c:pt idx="3">
                  <c:v>888.6596922713677</c:v>
                </c:pt>
                <c:pt idx="4">
                  <c:v>888.6596922713677</c:v>
                </c:pt>
                <c:pt idx="5">
                  <c:v>888.6596922713677</c:v>
                </c:pt>
                <c:pt idx="6">
                  <c:v>888.6596922713677</c:v>
                </c:pt>
                <c:pt idx="7">
                  <c:v>888.6596922713677</c:v>
                </c:pt>
                <c:pt idx="8">
                  <c:v>888.6596922713677</c:v>
                </c:pt>
                <c:pt idx="9">
                  <c:v>888.6596922713677</c:v>
                </c:pt>
                <c:pt idx="10">
                  <c:v>888.6596922713677</c:v>
                </c:pt>
                <c:pt idx="11">
                  <c:v>888.6596922713677</c:v>
                </c:pt>
                <c:pt idx="12">
                  <c:v>888.6596922713677</c:v>
                </c:pt>
                <c:pt idx="13">
                  <c:v>888.6596922713677</c:v>
                </c:pt>
                <c:pt idx="14">
                  <c:v>888.6596922713677</c:v>
                </c:pt>
                <c:pt idx="15">
                  <c:v>888.6596922713677</c:v>
                </c:pt>
                <c:pt idx="16">
                  <c:v>888.6596922713677</c:v>
                </c:pt>
                <c:pt idx="17">
                  <c:v>888.6596922713677</c:v>
                </c:pt>
                <c:pt idx="18">
                  <c:v>888.6596922713677</c:v>
                </c:pt>
                <c:pt idx="19">
                  <c:v>888.6596922713677</c:v>
                </c:pt>
                <c:pt idx="20">
                  <c:v>888.6596922713677</c:v>
                </c:pt>
                <c:pt idx="21">
                  <c:v>888.6596922713677</c:v>
                </c:pt>
                <c:pt idx="22">
                  <c:v>888.6596922713677</c:v>
                </c:pt>
                <c:pt idx="23">
                  <c:v>888.6596922713677</c:v>
                </c:pt>
                <c:pt idx="24">
                  <c:v>888.6596922713677</c:v>
                </c:pt>
                <c:pt idx="25">
                  <c:v>888.6596922713677</c:v>
                </c:pt>
                <c:pt idx="26">
                  <c:v>888.6596922713677</c:v>
                </c:pt>
                <c:pt idx="27">
                  <c:v>888.6596922713677</c:v>
                </c:pt>
                <c:pt idx="28">
                  <c:v>888.6596922713677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E9-40A7-9D88-8224E1C3E5DF}"/>
            </c:ext>
          </c:extLst>
        </c:ser>
        <c:ser>
          <c:idx val="3"/>
          <c:order val="3"/>
          <c:marker>
            <c:symbol val="none"/>
          </c:marker>
          <c:xVal>
            <c:numRef>
              <c:f>'Carte D'!$B$14:$B$43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D'!$L$14:$L$43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E9-40A7-9D88-8224E1C3E5DF}"/>
            </c:ext>
          </c:extLst>
        </c:ser>
        <c:ser>
          <c:idx val="4"/>
          <c:order val="4"/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'Carte D'!$B$14:$B$43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D'!$K$14:$K$43</c:f>
              <c:numCache>
                <c:formatCode>0.00</c:formatCode>
                <c:ptCount val="30"/>
                <c:pt idx="0">
                  <c:v>717.70416266367056</c:v>
                </c:pt>
                <c:pt idx="1">
                  <c:v>717.70416266367056</c:v>
                </c:pt>
                <c:pt idx="2">
                  <c:v>717.70416266367056</c:v>
                </c:pt>
                <c:pt idx="3">
                  <c:v>717.70416266367056</c:v>
                </c:pt>
                <c:pt idx="4">
                  <c:v>717.70416266367056</c:v>
                </c:pt>
                <c:pt idx="5">
                  <c:v>717.70416266367056</c:v>
                </c:pt>
                <c:pt idx="6">
                  <c:v>717.70416266367056</c:v>
                </c:pt>
                <c:pt idx="7">
                  <c:v>717.70416266367056</c:v>
                </c:pt>
                <c:pt idx="8">
                  <c:v>717.70416266367056</c:v>
                </c:pt>
                <c:pt idx="9">
                  <c:v>717.70416266367056</c:v>
                </c:pt>
                <c:pt idx="10">
                  <c:v>717.70416266367056</c:v>
                </c:pt>
                <c:pt idx="11">
                  <c:v>717.70416266367056</c:v>
                </c:pt>
                <c:pt idx="12">
                  <c:v>717.70416266367056</c:v>
                </c:pt>
                <c:pt idx="13">
                  <c:v>717.70416266367056</c:v>
                </c:pt>
                <c:pt idx="14">
                  <c:v>717.70416266367056</c:v>
                </c:pt>
                <c:pt idx="15">
                  <c:v>717.70416266367056</c:v>
                </c:pt>
                <c:pt idx="16">
                  <c:v>717.70416266367056</c:v>
                </c:pt>
                <c:pt idx="17">
                  <c:v>717.70416266367056</c:v>
                </c:pt>
                <c:pt idx="18">
                  <c:v>717.70416266367056</c:v>
                </c:pt>
                <c:pt idx="19">
                  <c:v>717.70416266367056</c:v>
                </c:pt>
                <c:pt idx="20">
                  <c:v>717.70416266367056</c:v>
                </c:pt>
                <c:pt idx="21">
                  <c:v>717.70416266367056</c:v>
                </c:pt>
                <c:pt idx="22">
                  <c:v>717.70416266367056</c:v>
                </c:pt>
                <c:pt idx="23">
                  <c:v>717.70416266367056</c:v>
                </c:pt>
                <c:pt idx="24">
                  <c:v>717.70416266367056</c:v>
                </c:pt>
                <c:pt idx="25">
                  <c:v>717.70416266367056</c:v>
                </c:pt>
                <c:pt idx="26">
                  <c:v>717.70416266367056</c:v>
                </c:pt>
                <c:pt idx="27">
                  <c:v>717.70416266367056</c:v>
                </c:pt>
                <c:pt idx="28">
                  <c:v>717.70416266367056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E9-40A7-9D88-8224E1C3E5DF}"/>
            </c:ext>
          </c:extLst>
        </c:ser>
        <c:ser>
          <c:idx val="5"/>
          <c:order val="5"/>
          <c:marker>
            <c:symbol val="none"/>
          </c:marker>
          <c:xVal>
            <c:numRef>
              <c:f>'Carte D'!$B$14:$B$43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D'!$M$14:$M$43</c:f>
              <c:numCache>
                <c:formatCode>0.00</c:formatCode>
                <c:ptCount val="30"/>
                <c:pt idx="0">
                  <c:v>33.882044232881242</c:v>
                </c:pt>
                <c:pt idx="1">
                  <c:v>33.882044232881242</c:v>
                </c:pt>
                <c:pt idx="2">
                  <c:v>33.882044232881242</c:v>
                </c:pt>
                <c:pt idx="3">
                  <c:v>33.882044232881242</c:v>
                </c:pt>
                <c:pt idx="4">
                  <c:v>33.882044232881242</c:v>
                </c:pt>
                <c:pt idx="5">
                  <c:v>33.882044232881242</c:v>
                </c:pt>
                <c:pt idx="6">
                  <c:v>33.882044232881242</c:v>
                </c:pt>
                <c:pt idx="7">
                  <c:v>33.882044232881242</c:v>
                </c:pt>
                <c:pt idx="8">
                  <c:v>33.882044232881242</c:v>
                </c:pt>
                <c:pt idx="9">
                  <c:v>33.882044232881242</c:v>
                </c:pt>
                <c:pt idx="10">
                  <c:v>33.882044232881242</c:v>
                </c:pt>
                <c:pt idx="11">
                  <c:v>33.882044232881242</c:v>
                </c:pt>
                <c:pt idx="12">
                  <c:v>33.882044232881242</c:v>
                </c:pt>
                <c:pt idx="13">
                  <c:v>33.882044232881242</c:v>
                </c:pt>
                <c:pt idx="14">
                  <c:v>33.882044232881242</c:v>
                </c:pt>
                <c:pt idx="15">
                  <c:v>33.882044232881242</c:v>
                </c:pt>
                <c:pt idx="16">
                  <c:v>33.882044232881242</c:v>
                </c:pt>
                <c:pt idx="17">
                  <c:v>33.882044232881242</c:v>
                </c:pt>
                <c:pt idx="18">
                  <c:v>33.882044232881242</c:v>
                </c:pt>
                <c:pt idx="19">
                  <c:v>33.882044232881242</c:v>
                </c:pt>
                <c:pt idx="20">
                  <c:v>33.882044232881242</c:v>
                </c:pt>
                <c:pt idx="21">
                  <c:v>33.882044232881242</c:v>
                </c:pt>
                <c:pt idx="22">
                  <c:v>33.882044232881242</c:v>
                </c:pt>
                <c:pt idx="23">
                  <c:v>33.882044232881242</c:v>
                </c:pt>
                <c:pt idx="24">
                  <c:v>33.882044232881242</c:v>
                </c:pt>
                <c:pt idx="25">
                  <c:v>33.882044232881242</c:v>
                </c:pt>
                <c:pt idx="26">
                  <c:v>33.882044232881242</c:v>
                </c:pt>
                <c:pt idx="27">
                  <c:v>33.882044232881242</c:v>
                </c:pt>
                <c:pt idx="28">
                  <c:v>33.882044232881242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E9-40A7-9D88-8224E1C3E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43237680"/>
        <c:axId val="-1243243120"/>
      </c:scatterChart>
      <c:valAx>
        <c:axId val="-124323768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echantillon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243243120"/>
        <c:crosses val="autoZero"/>
        <c:crossBetween val="midCat"/>
      </c:valAx>
      <c:valAx>
        <c:axId val="-1243243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Démérite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243237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Carte au défaut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'Carte D'!$B$14:$B$43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D'!$N$14:$N$43</c:f>
              <c:numCache>
                <c:formatCode>General</c:formatCode>
                <c:ptCount val="30"/>
                <c:pt idx="0" formatCode="0">
                  <c:v>5</c:v>
                </c:pt>
                <c:pt idx="1">
                  <c:v>8</c:v>
                </c:pt>
                <c:pt idx="2">
                  <c:v>4</c:v>
                </c:pt>
                <c:pt idx="3">
                  <c:v>20</c:v>
                </c:pt>
                <c:pt idx="4">
                  <c:v>9</c:v>
                </c:pt>
                <c:pt idx="5">
                  <c:v>7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7</c:v>
                </c:pt>
                <c:pt idx="10">
                  <c:v>1</c:v>
                </c:pt>
                <c:pt idx="11">
                  <c:v>9</c:v>
                </c:pt>
                <c:pt idx="12">
                  <c:v>9</c:v>
                </c:pt>
                <c:pt idx="13">
                  <c:v>6</c:v>
                </c:pt>
                <c:pt idx="14">
                  <c:v>3</c:v>
                </c:pt>
                <c:pt idx="15">
                  <c:v>10</c:v>
                </c:pt>
                <c:pt idx="16">
                  <c:v>12</c:v>
                </c:pt>
                <c:pt idx="17">
                  <c:v>12</c:v>
                </c:pt>
                <c:pt idx="18">
                  <c:v>16</c:v>
                </c:pt>
                <c:pt idx="19">
                  <c:v>14</c:v>
                </c:pt>
                <c:pt idx="20">
                  <c:v>13</c:v>
                </c:pt>
                <c:pt idx="21">
                  <c:v>15</c:v>
                </c:pt>
                <c:pt idx="22">
                  <c:v>6</c:v>
                </c:pt>
                <c:pt idx="23">
                  <c:v>10</c:v>
                </c:pt>
                <c:pt idx="24">
                  <c:v>10</c:v>
                </c:pt>
                <c:pt idx="25">
                  <c:v>8</c:v>
                </c:pt>
                <c:pt idx="26">
                  <c:v>12</c:v>
                </c:pt>
                <c:pt idx="27">
                  <c:v>12</c:v>
                </c:pt>
                <c:pt idx="2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B3-48B9-A0F1-3427EA6FFAE7}"/>
            </c:ext>
          </c:extLst>
        </c:ser>
        <c:ser>
          <c:idx val="1"/>
          <c:order val="1"/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'Carte D'!$B$14:$B$43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D'!$O$14:$O$43</c:f>
              <c:numCache>
                <c:formatCode>0.00</c:formatCode>
                <c:ptCount val="30"/>
                <c:pt idx="0">
                  <c:v>8.8965517241379306</c:v>
                </c:pt>
                <c:pt idx="1">
                  <c:v>8.8965517241379306</c:v>
                </c:pt>
                <c:pt idx="2">
                  <c:v>8.8965517241379306</c:v>
                </c:pt>
                <c:pt idx="3">
                  <c:v>8.8965517241379306</c:v>
                </c:pt>
                <c:pt idx="4">
                  <c:v>8.8965517241379306</c:v>
                </c:pt>
                <c:pt idx="5">
                  <c:v>8.8965517241379306</c:v>
                </c:pt>
                <c:pt idx="6">
                  <c:v>8.8965517241379306</c:v>
                </c:pt>
                <c:pt idx="7">
                  <c:v>8.8965517241379306</c:v>
                </c:pt>
                <c:pt idx="8">
                  <c:v>8.8965517241379306</c:v>
                </c:pt>
                <c:pt idx="9">
                  <c:v>8.8965517241379306</c:v>
                </c:pt>
                <c:pt idx="10">
                  <c:v>8.8965517241379306</c:v>
                </c:pt>
                <c:pt idx="11">
                  <c:v>8.8965517241379306</c:v>
                </c:pt>
                <c:pt idx="12">
                  <c:v>8.8965517241379306</c:v>
                </c:pt>
                <c:pt idx="13">
                  <c:v>8.8965517241379306</c:v>
                </c:pt>
                <c:pt idx="14">
                  <c:v>8.8965517241379306</c:v>
                </c:pt>
                <c:pt idx="15">
                  <c:v>8.8965517241379306</c:v>
                </c:pt>
                <c:pt idx="16">
                  <c:v>8.8965517241379306</c:v>
                </c:pt>
                <c:pt idx="17">
                  <c:v>8.8965517241379306</c:v>
                </c:pt>
                <c:pt idx="18">
                  <c:v>8.8965517241379306</c:v>
                </c:pt>
                <c:pt idx="19">
                  <c:v>8.8965517241379306</c:v>
                </c:pt>
                <c:pt idx="20">
                  <c:v>8.8965517241379306</c:v>
                </c:pt>
                <c:pt idx="21">
                  <c:v>8.8965517241379306</c:v>
                </c:pt>
                <c:pt idx="22">
                  <c:v>8.8965517241379306</c:v>
                </c:pt>
                <c:pt idx="23">
                  <c:v>8.8965517241379306</c:v>
                </c:pt>
                <c:pt idx="24">
                  <c:v>8.8965517241379306</c:v>
                </c:pt>
                <c:pt idx="25">
                  <c:v>8.8965517241379306</c:v>
                </c:pt>
                <c:pt idx="26">
                  <c:v>8.8965517241379306</c:v>
                </c:pt>
                <c:pt idx="27">
                  <c:v>8.8965517241379306</c:v>
                </c:pt>
                <c:pt idx="28">
                  <c:v>8.8965517241379306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B3-48B9-A0F1-3427EA6FFAE7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'Carte D'!$B$14:$B$43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D'!$P$14:$P$43</c:f>
              <c:numCache>
                <c:formatCode>0.00</c:formatCode>
                <c:ptCount val="30"/>
                <c:pt idx="0">
                  <c:v>17.84467809323003</c:v>
                </c:pt>
                <c:pt idx="1">
                  <c:v>17.84467809323003</c:v>
                </c:pt>
                <c:pt idx="2">
                  <c:v>17.84467809323003</c:v>
                </c:pt>
                <c:pt idx="3">
                  <c:v>17.84467809323003</c:v>
                </c:pt>
                <c:pt idx="4">
                  <c:v>17.84467809323003</c:v>
                </c:pt>
                <c:pt idx="5">
                  <c:v>17.84467809323003</c:v>
                </c:pt>
                <c:pt idx="6">
                  <c:v>17.84467809323003</c:v>
                </c:pt>
                <c:pt idx="7">
                  <c:v>17.84467809323003</c:v>
                </c:pt>
                <c:pt idx="8">
                  <c:v>17.84467809323003</c:v>
                </c:pt>
                <c:pt idx="9">
                  <c:v>17.84467809323003</c:v>
                </c:pt>
                <c:pt idx="10">
                  <c:v>17.84467809323003</c:v>
                </c:pt>
                <c:pt idx="11">
                  <c:v>17.84467809323003</c:v>
                </c:pt>
                <c:pt idx="12">
                  <c:v>17.84467809323003</c:v>
                </c:pt>
                <c:pt idx="13">
                  <c:v>17.84467809323003</c:v>
                </c:pt>
                <c:pt idx="14">
                  <c:v>17.84467809323003</c:v>
                </c:pt>
                <c:pt idx="15">
                  <c:v>17.84467809323003</c:v>
                </c:pt>
                <c:pt idx="16">
                  <c:v>17.84467809323003</c:v>
                </c:pt>
                <c:pt idx="17">
                  <c:v>17.84467809323003</c:v>
                </c:pt>
                <c:pt idx="18">
                  <c:v>17.84467809323003</c:v>
                </c:pt>
                <c:pt idx="19">
                  <c:v>17.84467809323003</c:v>
                </c:pt>
                <c:pt idx="20">
                  <c:v>17.84467809323003</c:v>
                </c:pt>
                <c:pt idx="21">
                  <c:v>17.84467809323003</c:v>
                </c:pt>
                <c:pt idx="22">
                  <c:v>17.84467809323003</c:v>
                </c:pt>
                <c:pt idx="23">
                  <c:v>17.84467809323003</c:v>
                </c:pt>
                <c:pt idx="24">
                  <c:v>17.84467809323003</c:v>
                </c:pt>
                <c:pt idx="25">
                  <c:v>17.84467809323003</c:v>
                </c:pt>
                <c:pt idx="26">
                  <c:v>17.84467809323003</c:v>
                </c:pt>
                <c:pt idx="27">
                  <c:v>17.84467809323003</c:v>
                </c:pt>
                <c:pt idx="28">
                  <c:v>17.84467809323003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B3-48B9-A0F1-3427EA6FFAE7}"/>
            </c:ext>
          </c:extLst>
        </c:ser>
        <c:ser>
          <c:idx val="3"/>
          <c:order val="3"/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'Carte D'!$B$14:$B$43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D'!$Q$14:$Q$43</c:f>
              <c:numCache>
                <c:formatCode>0.00</c:formatCode>
                <c:ptCount val="30"/>
                <c:pt idx="0">
                  <c:v>14.861969303532664</c:v>
                </c:pt>
                <c:pt idx="1">
                  <c:v>14.861969303532664</c:v>
                </c:pt>
                <c:pt idx="2">
                  <c:v>14.861969303532664</c:v>
                </c:pt>
                <c:pt idx="3">
                  <c:v>14.861969303532664</c:v>
                </c:pt>
                <c:pt idx="4">
                  <c:v>14.861969303532664</c:v>
                </c:pt>
                <c:pt idx="5">
                  <c:v>14.861969303532664</c:v>
                </c:pt>
                <c:pt idx="6">
                  <c:v>14.861969303532664</c:v>
                </c:pt>
                <c:pt idx="7">
                  <c:v>14.861969303532664</c:v>
                </c:pt>
                <c:pt idx="8">
                  <c:v>14.861969303532664</c:v>
                </c:pt>
                <c:pt idx="9">
                  <c:v>14.861969303532664</c:v>
                </c:pt>
                <c:pt idx="10">
                  <c:v>14.861969303532664</c:v>
                </c:pt>
                <c:pt idx="11">
                  <c:v>14.861969303532664</c:v>
                </c:pt>
                <c:pt idx="12">
                  <c:v>14.861969303532664</c:v>
                </c:pt>
                <c:pt idx="13">
                  <c:v>14.861969303532664</c:v>
                </c:pt>
                <c:pt idx="14">
                  <c:v>14.861969303532664</c:v>
                </c:pt>
                <c:pt idx="15">
                  <c:v>14.861969303532664</c:v>
                </c:pt>
                <c:pt idx="16">
                  <c:v>14.861969303532664</c:v>
                </c:pt>
                <c:pt idx="17">
                  <c:v>14.861969303532664</c:v>
                </c:pt>
                <c:pt idx="18">
                  <c:v>14.861969303532664</c:v>
                </c:pt>
                <c:pt idx="19">
                  <c:v>14.861969303532664</c:v>
                </c:pt>
                <c:pt idx="20">
                  <c:v>14.861969303532664</c:v>
                </c:pt>
                <c:pt idx="21">
                  <c:v>14.861969303532664</c:v>
                </c:pt>
                <c:pt idx="22">
                  <c:v>14.861969303532664</c:v>
                </c:pt>
                <c:pt idx="23">
                  <c:v>14.861969303532664</c:v>
                </c:pt>
                <c:pt idx="24">
                  <c:v>14.861969303532664</c:v>
                </c:pt>
                <c:pt idx="25">
                  <c:v>14.861969303532664</c:v>
                </c:pt>
                <c:pt idx="26">
                  <c:v>14.861969303532664</c:v>
                </c:pt>
                <c:pt idx="27">
                  <c:v>14.861969303532664</c:v>
                </c:pt>
                <c:pt idx="28">
                  <c:v>14.861969303532664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B3-48B9-A0F1-3427EA6FF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43246928"/>
        <c:axId val="-1243248560"/>
      </c:scatterChart>
      <c:valAx>
        <c:axId val="-124324692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échantillon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243248560"/>
        <c:crosses val="autoZero"/>
        <c:crossBetween val="midCat"/>
      </c:valAx>
      <c:valAx>
        <c:axId val="-1243248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nombre de défaut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-12432469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Carte aux démérites unitaires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'Carte DU'!$B$9:$B$38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DU'!$I$9:$I$38</c:f>
              <c:numCache>
                <c:formatCode>0.00</c:formatCode>
                <c:ptCount val="30"/>
                <c:pt idx="0">
                  <c:v>1.0416666666666666E-2</c:v>
                </c:pt>
                <c:pt idx="1">
                  <c:v>1.6666666666666666E-2</c:v>
                </c:pt>
                <c:pt idx="2">
                  <c:v>7.2072072072072073E-3</c:v>
                </c:pt>
                <c:pt idx="3">
                  <c:v>3.007518796992481E-2</c:v>
                </c:pt>
                <c:pt idx="4">
                  <c:v>1.8711018711018712E-2</c:v>
                </c:pt>
                <c:pt idx="5">
                  <c:v>1.4492753623188406E-2</c:v>
                </c:pt>
                <c:pt idx="6">
                  <c:v>6.2500000000000003E-3</c:v>
                </c:pt>
                <c:pt idx="7">
                  <c:v>8.3333333333333332E-3</c:v>
                </c:pt>
                <c:pt idx="8">
                  <c:v>6.2500000000000003E-3</c:v>
                </c:pt>
                <c:pt idx="9">
                  <c:v>1.5350877192982455E-2</c:v>
                </c:pt>
                <c:pt idx="10">
                  <c:v>1.8315018315018315E-3</c:v>
                </c:pt>
                <c:pt idx="11">
                  <c:v>1.8711018711018712E-2</c:v>
                </c:pt>
                <c:pt idx="12">
                  <c:v>1.8633540372670808E-2</c:v>
                </c:pt>
                <c:pt idx="13">
                  <c:v>9.3749999999999997E-3</c:v>
                </c:pt>
                <c:pt idx="14">
                  <c:v>3.937007874015748E-3</c:v>
                </c:pt>
                <c:pt idx="15">
                  <c:v>2.0790020790020791E-2</c:v>
                </c:pt>
                <c:pt idx="16">
                  <c:v>1.8749999999999999E-2</c:v>
                </c:pt>
                <c:pt idx="17">
                  <c:v>2.5000000000000001E-2</c:v>
                </c:pt>
                <c:pt idx="18">
                  <c:v>3.3333333333333333E-2</c:v>
                </c:pt>
                <c:pt idx="19">
                  <c:v>2.1874999999999999E-2</c:v>
                </c:pt>
                <c:pt idx="20">
                  <c:v>2.7083333333333334E-2</c:v>
                </c:pt>
                <c:pt idx="21">
                  <c:v>3.125E-2</c:v>
                </c:pt>
                <c:pt idx="22">
                  <c:v>1.2E-2</c:v>
                </c:pt>
                <c:pt idx="23">
                  <c:v>2.2222222222222223E-2</c:v>
                </c:pt>
                <c:pt idx="24">
                  <c:v>2.3094688221709007E-2</c:v>
                </c:pt>
                <c:pt idx="25">
                  <c:v>1.7094017094017096E-2</c:v>
                </c:pt>
                <c:pt idx="26">
                  <c:v>2.4948024948024949E-2</c:v>
                </c:pt>
                <c:pt idx="27">
                  <c:v>2.4844720496894408E-2</c:v>
                </c:pt>
                <c:pt idx="28">
                  <c:v>1.40625E-2</c:v>
                </c:pt>
                <c:pt idx="29">
                  <c:v>2.1806853582554516E-2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C-4DB2-87EA-B3C9CE4443C0}"/>
            </c:ext>
          </c:extLst>
        </c:ser>
        <c:ser>
          <c:idx val="1"/>
          <c:order val="1"/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'Carte DU'!$B$9:$B$38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DU'!$J$9:$J$38</c:f>
              <c:numCache>
                <c:formatCode>0.00</c:formatCode>
                <c:ptCount val="30"/>
                <c:pt idx="0">
                  <c:v>3.5000000000000003E-2</c:v>
                </c:pt>
                <c:pt idx="1">
                  <c:v>3.5000000000000003E-2</c:v>
                </c:pt>
                <c:pt idx="2">
                  <c:v>3.5000000000000003E-2</c:v>
                </c:pt>
                <c:pt idx="3">
                  <c:v>3.5000000000000003E-2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C-4DB2-87EA-B3C9CE4443C0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'Carte DU'!$B$9:$B$38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DU'!$K$9:$K$38</c:f>
              <c:numCache>
                <c:formatCode>0.00</c:formatCode>
                <c:ptCount val="30"/>
                <c:pt idx="0">
                  <c:v>6.0617376914899004E-2</c:v>
                </c:pt>
                <c:pt idx="1">
                  <c:v>6.0617376914899004E-2</c:v>
                </c:pt>
                <c:pt idx="2">
                  <c:v>5.8823676617339477E-2</c:v>
                </c:pt>
                <c:pt idx="3">
                  <c:v>5.9333213169614388E-2</c:v>
                </c:pt>
                <c:pt idx="4">
                  <c:v>6.0590733769973364E-2</c:v>
                </c:pt>
                <c:pt idx="5">
                  <c:v>6.0537695922762466E-2</c:v>
                </c:pt>
                <c:pt idx="6">
                  <c:v>5.7185299186623559E-2</c:v>
                </c:pt>
                <c:pt idx="7">
                  <c:v>6.0617376914899004E-2</c:v>
                </c:pt>
                <c:pt idx="8">
                  <c:v>6.0617376914899004E-2</c:v>
                </c:pt>
                <c:pt idx="9">
                  <c:v>6.1282874151892347E-2</c:v>
                </c:pt>
                <c:pt idx="10">
                  <c:v>5.9019223070763072E-2</c:v>
                </c:pt>
                <c:pt idx="11">
                  <c:v>6.0590733769973364E-2</c:v>
                </c:pt>
                <c:pt idx="12">
                  <c:v>6.0537695922762466E-2</c:v>
                </c:pt>
                <c:pt idx="13">
                  <c:v>5.7185299186623559E-2</c:v>
                </c:pt>
                <c:pt idx="14">
                  <c:v>5.5331891864055682E-2</c:v>
                </c:pt>
                <c:pt idx="15">
                  <c:v>6.0590733769973364E-2</c:v>
                </c:pt>
                <c:pt idx="16">
                  <c:v>5.7185299186623559E-2</c:v>
                </c:pt>
                <c:pt idx="17">
                  <c:v>6.0617376914899004E-2</c:v>
                </c:pt>
                <c:pt idx="18">
                  <c:v>6.0617376914899004E-2</c:v>
                </c:pt>
                <c:pt idx="19">
                  <c:v>5.7185299186623559E-2</c:v>
                </c:pt>
                <c:pt idx="20">
                  <c:v>6.0617376914899004E-2</c:v>
                </c:pt>
                <c:pt idx="21">
                  <c:v>6.0617376914899004E-2</c:v>
                </c:pt>
                <c:pt idx="22">
                  <c:v>6.0099800796022271E-2</c:v>
                </c:pt>
                <c:pt idx="23">
                  <c:v>6.1457513110645907E-2</c:v>
                </c:pt>
                <c:pt idx="24">
                  <c:v>6.197188682654281E-2</c:v>
                </c:pt>
                <c:pt idx="25">
                  <c:v>6.0943726083138541E-2</c:v>
                </c:pt>
                <c:pt idx="26">
                  <c:v>6.0590733769973364E-2</c:v>
                </c:pt>
                <c:pt idx="27">
                  <c:v>6.0537695922762466E-2</c:v>
                </c:pt>
                <c:pt idx="28">
                  <c:v>5.7185299186623559E-2</c:v>
                </c:pt>
                <c:pt idx="29">
                  <c:v>5.715071569063801E-2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DC-4DB2-87EA-B3C9CE4443C0}"/>
            </c:ext>
          </c:extLst>
        </c:ser>
        <c:ser>
          <c:idx val="3"/>
          <c:order val="3"/>
          <c:marker>
            <c:symbol val="none"/>
          </c:marker>
          <c:xVal>
            <c:numRef>
              <c:f>'Carte DU'!$B$9:$B$38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DU'!$L$9:$L$38</c:f>
              <c:numCache>
                <c:formatCode>0.00</c:formatCode>
                <c:ptCount val="30"/>
                <c:pt idx="0">
                  <c:v>9.3826230851010058E-3</c:v>
                </c:pt>
                <c:pt idx="1">
                  <c:v>9.3826230851010058E-3</c:v>
                </c:pt>
                <c:pt idx="2">
                  <c:v>1.117632338266053E-2</c:v>
                </c:pt>
                <c:pt idx="3">
                  <c:v>1.0666786830385622E-2</c:v>
                </c:pt>
                <c:pt idx="4">
                  <c:v>9.409266230026643E-3</c:v>
                </c:pt>
                <c:pt idx="5">
                  <c:v>9.462304077237544E-3</c:v>
                </c:pt>
                <c:pt idx="6">
                  <c:v>1.2814700813376444E-2</c:v>
                </c:pt>
                <c:pt idx="7">
                  <c:v>9.3826230851010058E-3</c:v>
                </c:pt>
                <c:pt idx="8">
                  <c:v>9.3826230851010058E-3</c:v>
                </c:pt>
                <c:pt idx="9">
                  <c:v>8.7171258481076631E-3</c:v>
                </c:pt>
                <c:pt idx="10">
                  <c:v>1.0980776929236935E-2</c:v>
                </c:pt>
                <c:pt idx="11">
                  <c:v>9.409266230026643E-3</c:v>
                </c:pt>
                <c:pt idx="12">
                  <c:v>9.462304077237544E-3</c:v>
                </c:pt>
                <c:pt idx="13">
                  <c:v>1.2814700813376444E-2</c:v>
                </c:pt>
                <c:pt idx="14">
                  <c:v>1.4668108135944321E-2</c:v>
                </c:pt>
                <c:pt idx="15">
                  <c:v>9.409266230026643E-3</c:v>
                </c:pt>
                <c:pt idx="16">
                  <c:v>1.2814700813376444E-2</c:v>
                </c:pt>
                <c:pt idx="17">
                  <c:v>9.3826230851010058E-3</c:v>
                </c:pt>
                <c:pt idx="18">
                  <c:v>9.3826230851010058E-3</c:v>
                </c:pt>
                <c:pt idx="19">
                  <c:v>1.2814700813376444E-2</c:v>
                </c:pt>
                <c:pt idx="20">
                  <c:v>9.3826230851010058E-3</c:v>
                </c:pt>
                <c:pt idx="21">
                  <c:v>9.3826230851010058E-3</c:v>
                </c:pt>
                <c:pt idx="22">
                  <c:v>9.9001992039777359E-3</c:v>
                </c:pt>
                <c:pt idx="23">
                  <c:v>8.5424868893540992E-3</c:v>
                </c:pt>
                <c:pt idx="24">
                  <c:v>8.028113173457193E-3</c:v>
                </c:pt>
                <c:pt idx="25">
                  <c:v>9.0562739168614619E-3</c:v>
                </c:pt>
                <c:pt idx="26">
                  <c:v>9.409266230026643E-3</c:v>
                </c:pt>
                <c:pt idx="27">
                  <c:v>9.462304077237544E-3</c:v>
                </c:pt>
                <c:pt idx="28">
                  <c:v>1.2814700813376444E-2</c:v>
                </c:pt>
                <c:pt idx="29">
                  <c:v>1.2849284309362E-2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DC-4DB2-87EA-B3C9CE4443C0}"/>
            </c:ext>
          </c:extLst>
        </c:ser>
        <c:ser>
          <c:idx val="4"/>
          <c:order val="4"/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'Carte DU'!$B$9:$B$38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DU'!$M$9:$M$38</c:f>
              <c:numCache>
                <c:formatCode>0.00</c:formatCode>
                <c:ptCount val="30"/>
                <c:pt idx="0">
                  <c:v>5.2078251276599333E-2</c:v>
                </c:pt>
                <c:pt idx="1">
                  <c:v>5.2078251276599333E-2</c:v>
                </c:pt>
                <c:pt idx="2">
                  <c:v>5.0882451078226323E-2</c:v>
                </c:pt>
                <c:pt idx="3">
                  <c:v>5.1222142113076255E-2</c:v>
                </c:pt>
                <c:pt idx="4">
                  <c:v>5.2060489179982239E-2</c:v>
                </c:pt>
                <c:pt idx="5">
                  <c:v>5.2025130615174976E-2</c:v>
                </c:pt>
                <c:pt idx="6">
                  <c:v>4.979019945774904E-2</c:v>
                </c:pt>
                <c:pt idx="7">
                  <c:v>5.2078251276599333E-2</c:v>
                </c:pt>
                <c:pt idx="8">
                  <c:v>5.2078251276599333E-2</c:v>
                </c:pt>
                <c:pt idx="9">
                  <c:v>5.2521916101261563E-2</c:v>
                </c:pt>
                <c:pt idx="10">
                  <c:v>5.1012815380508718E-2</c:v>
                </c:pt>
                <c:pt idx="11">
                  <c:v>5.2060489179982239E-2</c:v>
                </c:pt>
                <c:pt idx="12">
                  <c:v>5.2025130615174976E-2</c:v>
                </c:pt>
                <c:pt idx="13">
                  <c:v>4.979019945774904E-2</c:v>
                </c:pt>
                <c:pt idx="14">
                  <c:v>4.8554594576037127E-2</c:v>
                </c:pt>
                <c:pt idx="15">
                  <c:v>5.2060489179982239E-2</c:v>
                </c:pt>
                <c:pt idx="16">
                  <c:v>4.979019945774904E-2</c:v>
                </c:pt>
                <c:pt idx="17">
                  <c:v>5.2078251276599333E-2</c:v>
                </c:pt>
                <c:pt idx="18">
                  <c:v>5.2078251276599333E-2</c:v>
                </c:pt>
                <c:pt idx="19">
                  <c:v>4.979019945774904E-2</c:v>
                </c:pt>
                <c:pt idx="20">
                  <c:v>5.2078251276599333E-2</c:v>
                </c:pt>
                <c:pt idx="21">
                  <c:v>5.2078251276599333E-2</c:v>
                </c:pt>
                <c:pt idx="22">
                  <c:v>5.173320053068152E-2</c:v>
                </c:pt>
                <c:pt idx="23">
                  <c:v>5.2638342073763944E-2</c:v>
                </c:pt>
                <c:pt idx="24">
                  <c:v>5.2981257884361879E-2</c:v>
                </c:pt>
                <c:pt idx="25">
                  <c:v>5.2295817388759033E-2</c:v>
                </c:pt>
                <c:pt idx="26">
                  <c:v>5.2060489179982239E-2</c:v>
                </c:pt>
                <c:pt idx="27">
                  <c:v>5.2025130615174976E-2</c:v>
                </c:pt>
                <c:pt idx="28">
                  <c:v>4.979019945774904E-2</c:v>
                </c:pt>
                <c:pt idx="29">
                  <c:v>4.976714379375867E-2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DC-4DB2-87EA-B3C9CE4443C0}"/>
            </c:ext>
          </c:extLst>
        </c:ser>
        <c:ser>
          <c:idx val="5"/>
          <c:order val="5"/>
          <c:marker>
            <c:symbol val="none"/>
          </c:marker>
          <c:xVal>
            <c:numRef>
              <c:f>'Carte DU'!$B$9:$B$38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DU'!$N$9:$N$38</c:f>
              <c:numCache>
                <c:formatCode>0.00</c:formatCode>
                <c:ptCount val="30"/>
                <c:pt idx="0">
                  <c:v>1.792174872340067E-2</c:v>
                </c:pt>
                <c:pt idx="1">
                  <c:v>1.792174872340067E-2</c:v>
                </c:pt>
                <c:pt idx="2">
                  <c:v>1.9117548921773687E-2</c:v>
                </c:pt>
                <c:pt idx="3">
                  <c:v>1.8777857886923748E-2</c:v>
                </c:pt>
                <c:pt idx="4">
                  <c:v>1.7939510820017764E-2</c:v>
                </c:pt>
                <c:pt idx="5">
                  <c:v>1.797486938482503E-2</c:v>
                </c:pt>
                <c:pt idx="6">
                  <c:v>2.0209800542250963E-2</c:v>
                </c:pt>
                <c:pt idx="7">
                  <c:v>1.792174872340067E-2</c:v>
                </c:pt>
                <c:pt idx="8">
                  <c:v>1.792174872340067E-2</c:v>
                </c:pt>
                <c:pt idx="9">
                  <c:v>1.7478083898738443E-2</c:v>
                </c:pt>
                <c:pt idx="10">
                  <c:v>1.8987184619491289E-2</c:v>
                </c:pt>
                <c:pt idx="11">
                  <c:v>1.7939510820017764E-2</c:v>
                </c:pt>
                <c:pt idx="12">
                  <c:v>1.797486938482503E-2</c:v>
                </c:pt>
                <c:pt idx="13">
                  <c:v>2.0209800542250963E-2</c:v>
                </c:pt>
                <c:pt idx="14">
                  <c:v>2.1445405423962879E-2</c:v>
                </c:pt>
                <c:pt idx="15">
                  <c:v>1.7939510820017764E-2</c:v>
                </c:pt>
                <c:pt idx="16">
                  <c:v>2.0209800542250963E-2</c:v>
                </c:pt>
                <c:pt idx="17">
                  <c:v>1.792174872340067E-2</c:v>
                </c:pt>
                <c:pt idx="18">
                  <c:v>1.792174872340067E-2</c:v>
                </c:pt>
                <c:pt idx="19">
                  <c:v>2.0209800542250963E-2</c:v>
                </c:pt>
                <c:pt idx="20">
                  <c:v>1.792174872340067E-2</c:v>
                </c:pt>
                <c:pt idx="21">
                  <c:v>1.792174872340067E-2</c:v>
                </c:pt>
                <c:pt idx="22">
                  <c:v>1.8266799469318491E-2</c:v>
                </c:pt>
                <c:pt idx="23">
                  <c:v>1.7361657926236066E-2</c:v>
                </c:pt>
                <c:pt idx="24">
                  <c:v>1.7018742115638127E-2</c:v>
                </c:pt>
                <c:pt idx="25">
                  <c:v>1.7704182611240977E-2</c:v>
                </c:pt>
                <c:pt idx="26">
                  <c:v>1.7939510820017764E-2</c:v>
                </c:pt>
                <c:pt idx="27">
                  <c:v>1.797486938482503E-2</c:v>
                </c:pt>
                <c:pt idx="28">
                  <c:v>2.0209800542250963E-2</c:v>
                </c:pt>
                <c:pt idx="29">
                  <c:v>2.0232856206241333E-2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DC-4DB2-87EA-B3C9CE444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43242032"/>
        <c:axId val="-1203956048"/>
      </c:scatterChart>
      <c:valAx>
        <c:axId val="-124324203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échantillon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203956048"/>
        <c:crosses val="autoZero"/>
        <c:crossBetween val="midCat"/>
      </c:valAx>
      <c:valAx>
        <c:axId val="-12039560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Démérite unitaire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-1243242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Carte au défaut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'Carte DU'!$B$9:$B$38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DU'!$P$9:$P$38</c:f>
              <c:numCache>
                <c:formatCode>0.00</c:formatCode>
                <c:ptCount val="30"/>
                <c:pt idx="0">
                  <c:v>8.9333333333333336</c:v>
                </c:pt>
                <c:pt idx="1">
                  <c:v>8.9333333333333336</c:v>
                </c:pt>
                <c:pt idx="2">
                  <c:v>8.9333333333333336</c:v>
                </c:pt>
                <c:pt idx="3">
                  <c:v>8.9333333333333336</c:v>
                </c:pt>
                <c:pt idx="4">
                  <c:v>8.9333333333333336</c:v>
                </c:pt>
                <c:pt idx="5">
                  <c:v>8.9333333333333336</c:v>
                </c:pt>
                <c:pt idx="6">
                  <c:v>8.9333333333333336</c:v>
                </c:pt>
                <c:pt idx="7">
                  <c:v>8.9333333333333336</c:v>
                </c:pt>
                <c:pt idx="8">
                  <c:v>8.9333333333333336</c:v>
                </c:pt>
                <c:pt idx="9">
                  <c:v>8.9333333333333336</c:v>
                </c:pt>
                <c:pt idx="10">
                  <c:v>8.9333333333333336</c:v>
                </c:pt>
                <c:pt idx="11">
                  <c:v>8.9333333333333336</c:v>
                </c:pt>
                <c:pt idx="12">
                  <c:v>8.9333333333333336</c:v>
                </c:pt>
                <c:pt idx="13">
                  <c:v>8.9333333333333336</c:v>
                </c:pt>
                <c:pt idx="14">
                  <c:v>8.9333333333333336</c:v>
                </c:pt>
                <c:pt idx="15">
                  <c:v>8.9333333333333336</c:v>
                </c:pt>
                <c:pt idx="16">
                  <c:v>8.9333333333333336</c:v>
                </c:pt>
                <c:pt idx="17">
                  <c:v>8.9333333333333336</c:v>
                </c:pt>
                <c:pt idx="18">
                  <c:v>8.9333333333333336</c:v>
                </c:pt>
                <c:pt idx="19">
                  <c:v>8.9333333333333336</c:v>
                </c:pt>
                <c:pt idx="20">
                  <c:v>8.9333333333333336</c:v>
                </c:pt>
                <c:pt idx="21">
                  <c:v>8.9333333333333336</c:v>
                </c:pt>
                <c:pt idx="22">
                  <c:v>8.9333333333333336</c:v>
                </c:pt>
                <c:pt idx="23">
                  <c:v>8.9333333333333336</c:v>
                </c:pt>
                <c:pt idx="24">
                  <c:v>8.9333333333333336</c:v>
                </c:pt>
                <c:pt idx="25">
                  <c:v>8.9333333333333336</c:v>
                </c:pt>
                <c:pt idx="26">
                  <c:v>8.9333333333333336</c:v>
                </c:pt>
                <c:pt idx="27">
                  <c:v>8.9333333333333336</c:v>
                </c:pt>
                <c:pt idx="28">
                  <c:v>8.9333333333333336</c:v>
                </c:pt>
                <c:pt idx="29">
                  <c:v>8.9333333333333336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CF-4BF5-B24F-7761E87461A1}"/>
            </c:ext>
          </c:extLst>
        </c:ser>
        <c:ser>
          <c:idx val="1"/>
          <c:order val="1"/>
          <c:marker>
            <c:symbol val="none"/>
          </c:marker>
          <c:xVal>
            <c:numRef>
              <c:f>'Carte DU'!$B$9:$B$38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DU'!$Q$9:$Q$38</c:f>
              <c:numCache>
                <c:formatCode>0.00</c:formatCode>
                <c:ptCount val="30"/>
                <c:pt idx="0">
                  <c:v>17.899938041917292</c:v>
                </c:pt>
                <c:pt idx="1">
                  <c:v>17.899938041917292</c:v>
                </c:pt>
                <c:pt idx="2">
                  <c:v>17.899938041917292</c:v>
                </c:pt>
                <c:pt idx="3">
                  <c:v>17.899938041917292</c:v>
                </c:pt>
                <c:pt idx="4">
                  <c:v>17.899938041917292</c:v>
                </c:pt>
                <c:pt idx="5">
                  <c:v>17.899938041917292</c:v>
                </c:pt>
                <c:pt idx="6">
                  <c:v>17.899938041917292</c:v>
                </c:pt>
                <c:pt idx="7">
                  <c:v>17.899938041917292</c:v>
                </c:pt>
                <c:pt idx="8">
                  <c:v>17.899938041917292</c:v>
                </c:pt>
                <c:pt idx="9">
                  <c:v>17.899938041917292</c:v>
                </c:pt>
                <c:pt idx="10">
                  <c:v>17.899938041917292</c:v>
                </c:pt>
                <c:pt idx="11">
                  <c:v>17.899938041917292</c:v>
                </c:pt>
                <c:pt idx="12">
                  <c:v>17.899938041917292</c:v>
                </c:pt>
                <c:pt idx="13">
                  <c:v>17.899938041917292</c:v>
                </c:pt>
                <c:pt idx="14">
                  <c:v>17.899938041917292</c:v>
                </c:pt>
                <c:pt idx="15">
                  <c:v>17.899938041917292</c:v>
                </c:pt>
                <c:pt idx="16">
                  <c:v>17.899938041917292</c:v>
                </c:pt>
                <c:pt idx="17">
                  <c:v>17.899938041917292</c:v>
                </c:pt>
                <c:pt idx="18">
                  <c:v>17.899938041917292</c:v>
                </c:pt>
                <c:pt idx="19">
                  <c:v>17.899938041917292</c:v>
                </c:pt>
                <c:pt idx="20">
                  <c:v>17.899938041917292</c:v>
                </c:pt>
                <c:pt idx="21">
                  <c:v>17.899938041917292</c:v>
                </c:pt>
                <c:pt idx="22">
                  <c:v>17.899938041917292</c:v>
                </c:pt>
                <c:pt idx="23">
                  <c:v>17.899938041917292</c:v>
                </c:pt>
                <c:pt idx="24">
                  <c:v>17.899938041917292</c:v>
                </c:pt>
                <c:pt idx="25">
                  <c:v>17.899938041917292</c:v>
                </c:pt>
                <c:pt idx="26">
                  <c:v>17.899938041917292</c:v>
                </c:pt>
                <c:pt idx="27">
                  <c:v>17.899938041917292</c:v>
                </c:pt>
                <c:pt idx="28">
                  <c:v>17.899938041917292</c:v>
                </c:pt>
                <c:pt idx="29">
                  <c:v>17.899938041917292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CF-4BF5-B24F-7761E87461A1}"/>
            </c:ext>
          </c:extLst>
        </c:ser>
        <c:ser>
          <c:idx val="2"/>
          <c:order val="2"/>
          <c:marker>
            <c:symbol val="none"/>
          </c:marker>
          <c:xVal>
            <c:numRef>
              <c:f>'Carte DU'!$B$9:$B$38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DU'!$O$9:$O$38</c:f>
              <c:numCache>
                <c:formatCode>0</c:formatCode>
                <c:ptCount val="30"/>
                <c:pt idx="0">
                  <c:v>5</c:v>
                </c:pt>
                <c:pt idx="1">
                  <c:v>8</c:v>
                </c:pt>
                <c:pt idx="2">
                  <c:v>4</c:v>
                </c:pt>
                <c:pt idx="3">
                  <c:v>16</c:v>
                </c:pt>
                <c:pt idx="4">
                  <c:v>9</c:v>
                </c:pt>
                <c:pt idx="5">
                  <c:v>7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7</c:v>
                </c:pt>
                <c:pt idx="10">
                  <c:v>1</c:v>
                </c:pt>
                <c:pt idx="11">
                  <c:v>9</c:v>
                </c:pt>
                <c:pt idx="12">
                  <c:v>9</c:v>
                </c:pt>
                <c:pt idx="13">
                  <c:v>6</c:v>
                </c:pt>
                <c:pt idx="14">
                  <c:v>3</c:v>
                </c:pt>
                <c:pt idx="15">
                  <c:v>10</c:v>
                </c:pt>
                <c:pt idx="16">
                  <c:v>12</c:v>
                </c:pt>
                <c:pt idx="17">
                  <c:v>12</c:v>
                </c:pt>
                <c:pt idx="18">
                  <c:v>16</c:v>
                </c:pt>
                <c:pt idx="19">
                  <c:v>14</c:v>
                </c:pt>
                <c:pt idx="20">
                  <c:v>13</c:v>
                </c:pt>
                <c:pt idx="21">
                  <c:v>15</c:v>
                </c:pt>
                <c:pt idx="22">
                  <c:v>6</c:v>
                </c:pt>
                <c:pt idx="23">
                  <c:v>10</c:v>
                </c:pt>
                <c:pt idx="24">
                  <c:v>10</c:v>
                </c:pt>
                <c:pt idx="25">
                  <c:v>8</c:v>
                </c:pt>
                <c:pt idx="26">
                  <c:v>12</c:v>
                </c:pt>
                <c:pt idx="27">
                  <c:v>12</c:v>
                </c:pt>
                <c:pt idx="28">
                  <c:v>9</c:v>
                </c:pt>
                <c:pt idx="29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CF-4BF5-B24F-7761E87461A1}"/>
            </c:ext>
          </c:extLst>
        </c:ser>
        <c:ser>
          <c:idx val="3"/>
          <c:order val="3"/>
          <c:marker>
            <c:symbol val="none"/>
          </c:marker>
          <c:xVal>
            <c:numRef>
              <c:f>'Carte DU'!$B$9:$B$38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DU'!$R$9:$R$38</c:f>
              <c:numCache>
                <c:formatCode>0.00</c:formatCode>
                <c:ptCount val="30"/>
                <c:pt idx="0">
                  <c:v>14.91106980572264</c:v>
                </c:pt>
                <c:pt idx="1">
                  <c:v>14.91106980572264</c:v>
                </c:pt>
                <c:pt idx="2">
                  <c:v>14.91106980572264</c:v>
                </c:pt>
                <c:pt idx="3">
                  <c:v>14.91106980572264</c:v>
                </c:pt>
                <c:pt idx="4">
                  <c:v>14.91106980572264</c:v>
                </c:pt>
                <c:pt idx="5">
                  <c:v>14.91106980572264</c:v>
                </c:pt>
                <c:pt idx="6">
                  <c:v>14.91106980572264</c:v>
                </c:pt>
                <c:pt idx="7">
                  <c:v>14.91106980572264</c:v>
                </c:pt>
                <c:pt idx="8">
                  <c:v>14.91106980572264</c:v>
                </c:pt>
                <c:pt idx="9">
                  <c:v>14.91106980572264</c:v>
                </c:pt>
                <c:pt idx="10">
                  <c:v>14.91106980572264</c:v>
                </c:pt>
                <c:pt idx="11">
                  <c:v>14.91106980572264</c:v>
                </c:pt>
                <c:pt idx="12">
                  <c:v>14.91106980572264</c:v>
                </c:pt>
                <c:pt idx="13">
                  <c:v>14.91106980572264</c:v>
                </c:pt>
                <c:pt idx="14">
                  <c:v>14.91106980572264</c:v>
                </c:pt>
                <c:pt idx="15">
                  <c:v>14.91106980572264</c:v>
                </c:pt>
                <c:pt idx="16">
                  <c:v>14.91106980572264</c:v>
                </c:pt>
                <c:pt idx="17">
                  <c:v>14.91106980572264</c:v>
                </c:pt>
                <c:pt idx="18">
                  <c:v>14.91106980572264</c:v>
                </c:pt>
                <c:pt idx="19">
                  <c:v>14.91106980572264</c:v>
                </c:pt>
                <c:pt idx="20">
                  <c:v>14.91106980572264</c:v>
                </c:pt>
                <c:pt idx="21">
                  <c:v>14.91106980572264</c:v>
                </c:pt>
                <c:pt idx="22">
                  <c:v>14.91106980572264</c:v>
                </c:pt>
                <c:pt idx="23">
                  <c:v>14.91106980572264</c:v>
                </c:pt>
                <c:pt idx="24">
                  <c:v>14.91106980572264</c:v>
                </c:pt>
                <c:pt idx="25">
                  <c:v>14.91106980572264</c:v>
                </c:pt>
                <c:pt idx="26">
                  <c:v>14.91106980572264</c:v>
                </c:pt>
                <c:pt idx="27">
                  <c:v>14.91106980572264</c:v>
                </c:pt>
                <c:pt idx="28">
                  <c:v>14.91106980572264</c:v>
                </c:pt>
                <c:pt idx="29">
                  <c:v>14.91106980572264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CF-4BF5-B24F-7761E87461A1}"/>
            </c:ext>
          </c:extLst>
        </c:ser>
        <c:ser>
          <c:idx val="4"/>
          <c:order val="4"/>
          <c:marker>
            <c:symbol val="none"/>
          </c:marker>
          <c:xVal>
            <c:numRef>
              <c:f>'Carte DU'!$B$9:$B$38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DU'!$S$9:$S$38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CF-4BF5-B24F-7761E87461A1}"/>
            </c:ext>
          </c:extLst>
        </c:ser>
        <c:ser>
          <c:idx val="5"/>
          <c:order val="5"/>
          <c:tx>
            <c:strRef>
              <c:f>'Carte P'!$A$131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'Carte DU'!$B$9:$B$38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'Carte DU'!$T$9:$T$38</c:f>
              <c:numCache>
                <c:formatCode>0.00</c:formatCode>
                <c:ptCount val="30"/>
                <c:pt idx="0">
                  <c:v>2.955596860944028</c:v>
                </c:pt>
                <c:pt idx="1">
                  <c:v>2.955596860944028</c:v>
                </c:pt>
                <c:pt idx="2">
                  <c:v>2.955596860944028</c:v>
                </c:pt>
                <c:pt idx="3">
                  <c:v>2.955596860944028</c:v>
                </c:pt>
                <c:pt idx="4">
                  <c:v>2.955596860944028</c:v>
                </c:pt>
                <c:pt idx="5">
                  <c:v>2.955596860944028</c:v>
                </c:pt>
                <c:pt idx="6">
                  <c:v>2.955596860944028</c:v>
                </c:pt>
                <c:pt idx="7">
                  <c:v>2.955596860944028</c:v>
                </c:pt>
                <c:pt idx="8">
                  <c:v>2.955596860944028</c:v>
                </c:pt>
                <c:pt idx="9">
                  <c:v>2.955596860944028</c:v>
                </c:pt>
                <c:pt idx="10">
                  <c:v>2.955596860944028</c:v>
                </c:pt>
                <c:pt idx="11">
                  <c:v>2.955596860944028</c:v>
                </c:pt>
                <c:pt idx="12">
                  <c:v>2.955596860944028</c:v>
                </c:pt>
                <c:pt idx="13">
                  <c:v>2.955596860944028</c:v>
                </c:pt>
                <c:pt idx="14">
                  <c:v>2.955596860944028</c:v>
                </c:pt>
                <c:pt idx="15">
                  <c:v>2.955596860944028</c:v>
                </c:pt>
                <c:pt idx="16">
                  <c:v>2.955596860944028</c:v>
                </c:pt>
                <c:pt idx="17">
                  <c:v>2.955596860944028</c:v>
                </c:pt>
                <c:pt idx="18">
                  <c:v>2.955596860944028</c:v>
                </c:pt>
                <c:pt idx="19">
                  <c:v>2.955596860944028</c:v>
                </c:pt>
                <c:pt idx="20">
                  <c:v>2.955596860944028</c:v>
                </c:pt>
                <c:pt idx="21">
                  <c:v>2.955596860944028</c:v>
                </c:pt>
                <c:pt idx="22">
                  <c:v>2.955596860944028</c:v>
                </c:pt>
                <c:pt idx="23">
                  <c:v>2.955596860944028</c:v>
                </c:pt>
                <c:pt idx="24">
                  <c:v>2.955596860944028</c:v>
                </c:pt>
                <c:pt idx="25">
                  <c:v>2.955596860944028</c:v>
                </c:pt>
                <c:pt idx="26">
                  <c:v>2.955596860944028</c:v>
                </c:pt>
                <c:pt idx="27">
                  <c:v>2.955596860944028</c:v>
                </c:pt>
                <c:pt idx="28">
                  <c:v>2.955596860944028</c:v>
                </c:pt>
                <c:pt idx="29">
                  <c:v>2.955596860944028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CF-4BF5-B24F-7761E8746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03954416"/>
        <c:axId val="-1203952784"/>
      </c:scatterChart>
      <c:valAx>
        <c:axId val="-1203954416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échantillon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203952784"/>
        <c:crosses val="autoZero"/>
        <c:crossBetween val="midCat"/>
      </c:valAx>
      <c:valAx>
        <c:axId val="-1203952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nombre de défaut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-12039544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0"/>
          </c:trendline>
          <c:xVal>
            <c:numRef>
              <c:f>'suite homogène'!$B$7:$B$64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'suite homogène'!$C$7:$C$64</c:f>
              <c:numCache>
                <c:formatCode>General</c:formatCode>
                <c:ptCount val="58"/>
                <c:pt idx="0">
                  <c:v>38</c:v>
                </c:pt>
                <c:pt idx="1">
                  <c:v>33</c:v>
                </c:pt>
                <c:pt idx="2">
                  <c:v>29</c:v>
                </c:pt>
                <c:pt idx="3">
                  <c:v>16</c:v>
                </c:pt>
                <c:pt idx="4">
                  <c:v>44</c:v>
                </c:pt>
                <c:pt idx="5">
                  <c:v>21</c:v>
                </c:pt>
                <c:pt idx="6">
                  <c:v>16</c:v>
                </c:pt>
                <c:pt idx="7">
                  <c:v>17</c:v>
                </c:pt>
                <c:pt idx="8" formatCode="0">
                  <c:v>19</c:v>
                </c:pt>
                <c:pt idx="9" formatCode="0">
                  <c:v>1</c:v>
                </c:pt>
                <c:pt idx="10" formatCode="0">
                  <c:v>22</c:v>
                </c:pt>
                <c:pt idx="11" formatCode="0">
                  <c:v>28</c:v>
                </c:pt>
                <c:pt idx="12" formatCode="0">
                  <c:v>22</c:v>
                </c:pt>
                <c:pt idx="13" formatCode="0">
                  <c:v>14</c:v>
                </c:pt>
                <c:pt idx="14">
                  <c:v>7</c:v>
                </c:pt>
                <c:pt idx="15">
                  <c:v>13</c:v>
                </c:pt>
                <c:pt idx="16">
                  <c:v>21</c:v>
                </c:pt>
                <c:pt idx="17">
                  <c:v>15</c:v>
                </c:pt>
                <c:pt idx="18">
                  <c:v>34</c:v>
                </c:pt>
                <c:pt idx="19">
                  <c:v>23</c:v>
                </c:pt>
                <c:pt idx="20">
                  <c:v>15</c:v>
                </c:pt>
                <c:pt idx="21">
                  <c:v>19</c:v>
                </c:pt>
                <c:pt idx="22">
                  <c:v>32</c:v>
                </c:pt>
                <c:pt idx="23">
                  <c:v>24</c:v>
                </c:pt>
                <c:pt idx="24">
                  <c:v>14</c:v>
                </c:pt>
                <c:pt idx="25">
                  <c:v>13</c:v>
                </c:pt>
                <c:pt idx="26">
                  <c:v>22</c:v>
                </c:pt>
                <c:pt idx="27">
                  <c:v>8</c:v>
                </c:pt>
                <c:pt idx="28">
                  <c:v>30</c:v>
                </c:pt>
                <c:pt idx="29">
                  <c:v>11</c:v>
                </c:pt>
                <c:pt idx="30">
                  <c:v>15</c:v>
                </c:pt>
                <c:pt idx="31">
                  <c:v>24</c:v>
                </c:pt>
                <c:pt idx="32">
                  <c:v>26</c:v>
                </c:pt>
                <c:pt idx="33">
                  <c:v>14</c:v>
                </c:pt>
                <c:pt idx="34">
                  <c:v>11</c:v>
                </c:pt>
                <c:pt idx="35">
                  <c:v>25</c:v>
                </c:pt>
                <c:pt idx="36">
                  <c:v>17</c:v>
                </c:pt>
                <c:pt idx="37">
                  <c:v>10</c:v>
                </c:pt>
                <c:pt idx="38">
                  <c:v>19</c:v>
                </c:pt>
                <c:pt idx="39">
                  <c:v>5</c:v>
                </c:pt>
                <c:pt idx="40">
                  <c:v>6</c:v>
                </c:pt>
                <c:pt idx="41">
                  <c:v>16</c:v>
                </c:pt>
                <c:pt idx="42">
                  <c:v>7</c:v>
                </c:pt>
                <c:pt idx="43">
                  <c:v>10</c:v>
                </c:pt>
                <c:pt idx="44">
                  <c:v>1</c:v>
                </c:pt>
                <c:pt idx="45">
                  <c:v>5</c:v>
                </c:pt>
                <c:pt idx="46">
                  <c:v>2</c:v>
                </c:pt>
                <c:pt idx="47">
                  <c:v>8</c:v>
                </c:pt>
                <c:pt idx="48">
                  <c:v>14</c:v>
                </c:pt>
                <c:pt idx="49">
                  <c:v>14</c:v>
                </c:pt>
                <c:pt idx="50">
                  <c:v>15</c:v>
                </c:pt>
                <c:pt idx="51">
                  <c:v>16</c:v>
                </c:pt>
                <c:pt idx="52">
                  <c:v>13</c:v>
                </c:pt>
                <c:pt idx="53">
                  <c:v>11</c:v>
                </c:pt>
                <c:pt idx="54">
                  <c:v>9</c:v>
                </c:pt>
                <c:pt idx="55">
                  <c:v>11</c:v>
                </c:pt>
                <c:pt idx="56">
                  <c:v>19</c:v>
                </c:pt>
                <c:pt idx="57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8F-4AF5-A548-E0158B9D122D}"/>
            </c:ext>
          </c:extLst>
        </c:ser>
        <c:ser>
          <c:idx val="1"/>
          <c:order val="1"/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BA8F-4AF5-A548-E0158B9D122D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BA8F-4AF5-A548-E0158B9D122D}"/>
              </c:ext>
            </c:extLst>
          </c:dPt>
          <c:xVal>
            <c:numRef>
              <c:f>'suite homogène'!$S$26:$S$27</c:f>
              <c:numCache>
                <c:formatCode>General</c:formatCode>
                <c:ptCount val="2"/>
                <c:pt idx="0">
                  <c:v>1</c:v>
                </c:pt>
                <c:pt idx="1">
                  <c:v>58</c:v>
                </c:pt>
              </c:numCache>
            </c:numRef>
          </c:xVal>
          <c:yVal>
            <c:numRef>
              <c:f>'suite homogène'!$T$26:$T$27</c:f>
              <c:numCache>
                <c:formatCode>General</c:formatCode>
                <c:ptCount val="2"/>
                <c:pt idx="0">
                  <c:v>15.5</c:v>
                </c:pt>
                <c:pt idx="1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8F-4AF5-A548-E0158B9D1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03953872"/>
        <c:axId val="-1203950608"/>
      </c:scatterChart>
      <c:valAx>
        <c:axId val="-120395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-1203950608"/>
        <c:crosses val="autoZero"/>
        <c:crossBetween val="midCat"/>
      </c:valAx>
      <c:valAx>
        <c:axId val="-1203950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203953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80844</xdr:colOff>
      <xdr:row>11</xdr:row>
      <xdr:rowOff>68357</xdr:rowOff>
    </xdr:from>
    <xdr:to>
      <xdr:col>20</xdr:col>
      <xdr:colOff>308163</xdr:colOff>
      <xdr:row>33</xdr:row>
      <xdr:rowOff>95251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201624</xdr:colOff>
      <xdr:row>5</xdr:row>
      <xdr:rowOff>27453</xdr:rowOff>
    </xdr:from>
    <xdr:to>
      <xdr:col>20</xdr:col>
      <xdr:colOff>311283</xdr:colOff>
      <xdr:row>23</xdr:row>
      <xdr:rowOff>159202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2F3398B-44E0-4AEE-A98B-DBEA18D0E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218034</xdr:colOff>
      <xdr:row>4</xdr:row>
      <xdr:rowOff>53307</xdr:rowOff>
    </xdr:from>
    <xdr:to>
      <xdr:col>17</xdr:col>
      <xdr:colOff>587829</xdr:colOff>
      <xdr:row>24</xdr:row>
      <xdr:rowOff>130628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3016466-3B3F-4513-A8E8-CB3A6F64F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218034</xdr:colOff>
      <xdr:row>4</xdr:row>
      <xdr:rowOff>53307</xdr:rowOff>
    </xdr:from>
    <xdr:to>
      <xdr:col>20</xdr:col>
      <xdr:colOff>587829</xdr:colOff>
      <xdr:row>24</xdr:row>
      <xdr:rowOff>130628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0FC6EAC-CB16-4A83-953A-2292CFEA0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128031</xdr:colOff>
      <xdr:row>27</xdr:row>
      <xdr:rowOff>72985</xdr:rowOff>
    </xdr:from>
    <xdr:to>
      <xdr:col>26</xdr:col>
      <xdr:colOff>243692</xdr:colOff>
      <xdr:row>45</xdr:row>
      <xdr:rowOff>181842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27F675F-3588-4C44-AF9C-6C6AE5121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156791</xdr:colOff>
      <xdr:row>9</xdr:row>
      <xdr:rowOff>61230</xdr:rowOff>
    </xdr:from>
    <xdr:to>
      <xdr:col>26</xdr:col>
      <xdr:colOff>231630</xdr:colOff>
      <xdr:row>27</xdr:row>
      <xdr:rowOff>156480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85D7DD6-0A5A-44E2-AC05-E9A02554E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86757</xdr:colOff>
      <xdr:row>25</xdr:row>
      <xdr:rowOff>46799</xdr:rowOff>
    </xdr:from>
    <xdr:to>
      <xdr:col>28</xdr:col>
      <xdr:colOff>287153</xdr:colOff>
      <xdr:row>42</xdr:row>
      <xdr:rowOff>28616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ADCFAD3-05D0-4167-841F-535C2E2A7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79330</xdr:colOff>
      <xdr:row>6</xdr:row>
      <xdr:rowOff>70502</xdr:rowOff>
    </xdr:from>
    <xdr:to>
      <xdr:col>28</xdr:col>
      <xdr:colOff>246328</xdr:colOff>
      <xdr:row>24</xdr:row>
      <xdr:rowOff>117262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5165FFD-37EB-4884-9D99-BDD6D9DE2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94129</xdr:colOff>
      <xdr:row>17</xdr:row>
      <xdr:rowOff>87966</xdr:rowOff>
    </xdr:from>
    <xdr:to>
      <xdr:col>16</xdr:col>
      <xdr:colOff>246529</xdr:colOff>
      <xdr:row>40</xdr:row>
      <xdr:rowOff>145116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609600</xdr:colOff>
      <xdr:row>4</xdr:row>
      <xdr:rowOff>114300</xdr:rowOff>
    </xdr:from>
    <xdr:ext cx="5162550" cy="1834963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14" t="41418" r="19408" b="38232"/>
        <a:stretch>
          <a:fillRect/>
        </a:stretch>
      </xdr:blipFill>
      <xdr:spPr bwMode="auto">
        <a:xfrm>
          <a:off x="12801600" y="762000"/>
          <a:ext cx="5162550" cy="18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ga/Desktop/qualxp/Excel/SFBC-%20laboratoi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ortée flexible"/>
      <sheetName val="données 1"/>
      <sheetName val="Rapport de Validation"/>
      <sheetName val="Justesse et fidélité"/>
      <sheetName val="étalonnage X"/>
      <sheetName val="correlation équipement"/>
      <sheetName val="correlation réactif"/>
      <sheetName val="Carte de contrôle"/>
      <sheetName val="Plan emboité"/>
    </sheetNames>
    <sheetDataSet>
      <sheetData sheetId="0"/>
      <sheetData sheetId="1"/>
      <sheetData sheetId="2">
        <row r="6">
          <cell r="T6" t="str">
            <v>SUBSTRATS</v>
          </cell>
        </row>
        <row r="7">
          <cell r="T7" t="str">
            <v>Acide urique</v>
          </cell>
        </row>
        <row r="8">
          <cell r="T8" t="str">
            <v>Ammonium</v>
          </cell>
        </row>
        <row r="9">
          <cell r="T9" t="str">
            <v>CO2</v>
          </cell>
        </row>
        <row r="10">
          <cell r="T10" t="str">
            <v>Bilirubine Totale</v>
          </cell>
        </row>
        <row r="11">
          <cell r="T11" t="str">
            <v>Calcium ionisé</v>
          </cell>
        </row>
        <row r="12">
          <cell r="T12" t="str">
            <v>Calcium total</v>
          </cell>
        </row>
        <row r="13">
          <cell r="T13" t="str">
            <v>Chlore</v>
          </cell>
        </row>
        <row r="14">
          <cell r="T14" t="str">
            <v>Cholesterol</v>
          </cell>
        </row>
        <row r="15">
          <cell r="T15" t="str">
            <v>HDL</v>
          </cell>
        </row>
        <row r="16">
          <cell r="T16" t="str">
            <v>Creatinine</v>
          </cell>
        </row>
        <row r="17">
          <cell r="T17" t="str">
            <v>Fer</v>
          </cell>
        </row>
        <row r="18">
          <cell r="T18" t="str">
            <v>Ferritine</v>
          </cell>
        </row>
        <row r="20">
          <cell r="T20" t="str">
            <v>Folates</v>
          </cell>
        </row>
        <row r="21">
          <cell r="T21" t="str">
            <v>Fructosamine</v>
          </cell>
        </row>
        <row r="22">
          <cell r="T22" t="str">
            <v>Glucose</v>
          </cell>
        </row>
        <row r="23">
          <cell r="T23" t="str">
            <v>HbA1c</v>
          </cell>
        </row>
        <row r="25">
          <cell r="T25" t="str">
            <v>Lactate</v>
          </cell>
        </row>
        <row r="26">
          <cell r="T26" t="str">
            <v>Magnesium</v>
          </cell>
        </row>
        <row r="27">
          <cell r="T27" t="str">
            <v>Phosphate</v>
          </cell>
        </row>
        <row r="28">
          <cell r="T28" t="str">
            <v>Potassium</v>
          </cell>
        </row>
        <row r="30">
          <cell r="T30" t="str">
            <v>Protéines totales</v>
          </cell>
        </row>
        <row r="31">
          <cell r="T31" t="str">
            <v>Sodium</v>
          </cell>
        </row>
        <row r="32">
          <cell r="T32" t="str">
            <v>Triglycérides</v>
          </cell>
        </row>
        <row r="33">
          <cell r="T33" t="str">
            <v>Urée</v>
          </cell>
        </row>
        <row r="35">
          <cell r="T35" t="str">
            <v>SUBSTRATS URINAIRES</v>
          </cell>
        </row>
        <row r="36">
          <cell r="T36" t="str">
            <v>Acide urique U</v>
          </cell>
        </row>
        <row r="37">
          <cell r="T37" t="str">
            <v>Calcium U</v>
          </cell>
        </row>
        <row r="38">
          <cell r="T38" t="str">
            <v>Chlore U</v>
          </cell>
        </row>
        <row r="39">
          <cell r="T39" t="str">
            <v>Créatinine U</v>
          </cell>
        </row>
        <row r="40">
          <cell r="T40" t="str">
            <v>Glucose U</v>
          </cell>
        </row>
        <row r="41">
          <cell r="T41" t="str">
            <v>Magnesium U</v>
          </cell>
        </row>
        <row r="42">
          <cell r="T42" t="str">
            <v>MicroAlb U</v>
          </cell>
        </row>
        <row r="43">
          <cell r="T43" t="str">
            <v>Phosphate U</v>
          </cell>
        </row>
        <row r="44">
          <cell r="T44" t="str">
            <v>Potassium U</v>
          </cell>
        </row>
        <row r="45">
          <cell r="T45" t="str">
            <v>Protéines U</v>
          </cell>
        </row>
        <row r="46">
          <cell r="T46" t="str">
            <v>Sodium U</v>
          </cell>
        </row>
        <row r="47">
          <cell r="T47" t="str">
            <v>Urée U</v>
          </cell>
        </row>
        <row r="49">
          <cell r="T49" t="str">
            <v>ENZYMES</v>
          </cell>
        </row>
        <row r="50">
          <cell r="T50" t="str">
            <v>5'Nu</v>
          </cell>
        </row>
        <row r="51">
          <cell r="T51" t="str">
            <v>a-Amylase</v>
          </cell>
        </row>
        <row r="52">
          <cell r="T52" t="str">
            <v>ALAT</v>
          </cell>
        </row>
        <row r="53">
          <cell r="T53" t="str">
            <v>ASAT</v>
          </cell>
        </row>
        <row r="54">
          <cell r="T54" t="str">
            <v>CK</v>
          </cell>
        </row>
        <row r="55">
          <cell r="T55" t="str">
            <v>GGT</v>
          </cell>
        </row>
        <row r="56">
          <cell r="T56" t="str">
            <v>LDH</v>
          </cell>
        </row>
        <row r="57">
          <cell r="T57" t="str">
            <v>Lipase</v>
          </cell>
        </row>
        <row r="58">
          <cell r="T58" t="str">
            <v>PAL</v>
          </cell>
        </row>
        <row r="60">
          <cell r="T60" t="str">
            <v>PROTEINES SPECIFIQUES</v>
          </cell>
        </row>
        <row r="61">
          <cell r="T61" t="str">
            <v>a1AT</v>
          </cell>
        </row>
        <row r="62">
          <cell r="T62" t="str">
            <v>a2-Macroglobuline</v>
          </cell>
        </row>
        <row r="63">
          <cell r="T63" t="str">
            <v>Albumine</v>
          </cell>
        </row>
        <row r="64">
          <cell r="T64" t="str">
            <v>ApoA1</v>
          </cell>
        </row>
        <row r="65">
          <cell r="T65" t="str">
            <v>ApoB</v>
          </cell>
        </row>
        <row r="66">
          <cell r="T66" t="str">
            <v>b2-Microglobuline</v>
          </cell>
        </row>
        <row r="67">
          <cell r="T67" t="str">
            <v>Céruléoplasmine</v>
          </cell>
        </row>
        <row r="68">
          <cell r="T68" t="str">
            <v>C3</v>
          </cell>
        </row>
        <row r="69">
          <cell r="T69" t="str">
            <v>C4</v>
          </cell>
        </row>
        <row r="70">
          <cell r="T70" t="str">
            <v>CRP</v>
          </cell>
        </row>
        <row r="71">
          <cell r="T71" t="str">
            <v>Haptoglobine</v>
          </cell>
        </row>
        <row r="72">
          <cell r="T72" t="str">
            <v>IgA</v>
          </cell>
        </row>
        <row r="73">
          <cell r="T73" t="str">
            <v>IgE</v>
          </cell>
        </row>
        <row r="74">
          <cell r="T74" t="str">
            <v>IgG</v>
          </cell>
        </row>
        <row r="75">
          <cell r="T75" t="str">
            <v>IgM</v>
          </cell>
        </row>
        <row r="76">
          <cell r="T76" t="str">
            <v>Oroso</v>
          </cell>
        </row>
        <row r="77">
          <cell r="T77" t="str">
            <v>PréAlb</v>
          </cell>
        </row>
        <row r="78">
          <cell r="T78" t="str">
            <v>Transférrine</v>
          </cell>
        </row>
        <row r="80">
          <cell r="T80" t="str">
            <v>GAZ DU SANG</v>
          </cell>
        </row>
        <row r="81">
          <cell r="T81" t="str">
            <v>HbCO</v>
          </cell>
        </row>
        <row r="82">
          <cell r="T82" t="str">
            <v>HbO2</v>
          </cell>
        </row>
        <row r="83">
          <cell r="T83" t="str">
            <v>metHb</v>
          </cell>
        </row>
        <row r="86">
          <cell r="T86" t="str">
            <v>pCO2</v>
          </cell>
        </row>
        <row r="87">
          <cell r="T87" t="str">
            <v>pH (unité)</v>
          </cell>
        </row>
        <row r="88">
          <cell r="T88" t="str">
            <v>pH (nmol/l)</v>
          </cell>
        </row>
        <row r="89">
          <cell r="T89" t="str">
            <v>p02</v>
          </cell>
        </row>
        <row r="106">
          <cell r="T106" t="str">
            <v>MEDICAMENTS</v>
          </cell>
        </row>
        <row r="107">
          <cell r="T107" t="str">
            <v>Acide Valproïque</v>
          </cell>
        </row>
        <row r="108">
          <cell r="T108" t="str">
            <v>Amikacine</v>
          </cell>
        </row>
        <row r="109">
          <cell r="T109" t="str">
            <v>Carbamazépine</v>
          </cell>
        </row>
        <row r="110">
          <cell r="T110" t="str">
            <v>Digoxine</v>
          </cell>
        </row>
        <row r="111">
          <cell r="T111" t="str">
            <v>Gentamicine</v>
          </cell>
        </row>
        <row r="112">
          <cell r="T112" t="str">
            <v>Lithium</v>
          </cell>
        </row>
        <row r="113">
          <cell r="T113" t="str">
            <v>Méthotrexate</v>
          </cell>
        </row>
        <row r="114">
          <cell r="T114" t="str">
            <v>Paracétamol</v>
          </cell>
        </row>
        <row r="115">
          <cell r="T115" t="str">
            <v>Phénobarbital</v>
          </cell>
        </row>
        <row r="116">
          <cell r="T116" t="str">
            <v>Phénytoïne</v>
          </cell>
        </row>
        <row r="117">
          <cell r="T117" t="str">
            <v>Salycilates</v>
          </cell>
        </row>
        <row r="118">
          <cell r="T118" t="str">
            <v>Théophiline</v>
          </cell>
        </row>
        <row r="119">
          <cell r="T119" t="str">
            <v>Vancomycine</v>
          </cell>
        </row>
        <row r="121">
          <cell r="T121" t="str">
            <v>MARQUEURS TUMORAUX</v>
          </cell>
        </row>
        <row r="122">
          <cell r="T122" t="str">
            <v>ACE</v>
          </cell>
        </row>
        <row r="123">
          <cell r="T123" t="str">
            <v>AFP</v>
          </cell>
        </row>
        <row r="124">
          <cell r="T124" t="str">
            <v>CA125</v>
          </cell>
        </row>
        <row r="125">
          <cell r="T125" t="str">
            <v>CA15-3</v>
          </cell>
        </row>
        <row r="126">
          <cell r="T126" t="str">
            <v>CA19-9</v>
          </cell>
        </row>
        <row r="127">
          <cell r="T127" t="str">
            <v>PSA</v>
          </cell>
        </row>
        <row r="129">
          <cell r="T129" t="str">
            <v>HORMONES</v>
          </cell>
        </row>
        <row r="130">
          <cell r="T130" t="str">
            <v>Cortisol</v>
          </cell>
        </row>
        <row r="131">
          <cell r="T131" t="str">
            <v>E2</v>
          </cell>
        </row>
        <row r="132">
          <cell r="T132" t="str">
            <v>FSH</v>
          </cell>
        </row>
        <row r="133">
          <cell r="T133" t="str">
            <v>GH</v>
          </cell>
        </row>
        <row r="134">
          <cell r="T134" t="str">
            <v>HCG B</v>
          </cell>
        </row>
        <row r="135">
          <cell r="T135" t="str">
            <v>Insuline</v>
          </cell>
        </row>
        <row r="136">
          <cell r="T136" t="str">
            <v>LH</v>
          </cell>
        </row>
        <row r="137">
          <cell r="T137" t="str">
            <v>PTH</v>
          </cell>
        </row>
        <row r="138">
          <cell r="T138" t="str">
            <v>Peptide C</v>
          </cell>
        </row>
        <row r="139">
          <cell r="T139" t="str">
            <v>Progesterone</v>
          </cell>
        </row>
        <row r="140">
          <cell r="T140" t="str">
            <v>Prolactine</v>
          </cell>
        </row>
        <row r="141">
          <cell r="T141" t="str">
            <v>FT3</v>
          </cell>
        </row>
        <row r="142">
          <cell r="T142" t="str">
            <v>FT4</v>
          </cell>
        </row>
        <row r="143">
          <cell r="T143" t="str">
            <v>Testosterone</v>
          </cell>
        </row>
        <row r="144">
          <cell r="T144" t="str">
            <v>TSH</v>
          </cell>
        </row>
        <row r="146">
          <cell r="T146" t="str">
            <v>RICOS</v>
          </cell>
        </row>
        <row r="148">
          <cell r="T148" t="str">
            <v xml:space="preserve">Sang-plasma </v>
          </cell>
        </row>
        <row r="149">
          <cell r="T149" t="str">
            <v>11-Desoxycortisol S</v>
          </cell>
        </row>
        <row r="150">
          <cell r="T150" t="str">
            <v>17-Hydroxyprogesterone</v>
          </cell>
        </row>
        <row r="151">
          <cell r="T151" t="str">
            <v>5' Nucleotidase</v>
          </cell>
        </row>
        <row r="152">
          <cell r="T152" t="str">
            <v>a1-Acid Glycoprotein</v>
          </cell>
        </row>
        <row r="153">
          <cell r="T153" t="str">
            <v>a1-Antichymotrypsin</v>
          </cell>
        </row>
        <row r="154">
          <cell r="T154" t="str">
            <v>a1-Antitrypsin</v>
          </cell>
        </row>
        <row r="155">
          <cell r="T155" t="str">
            <v>a1-Globulin</v>
          </cell>
        </row>
        <row r="156">
          <cell r="T156" t="str">
            <v>a2-Antiplasmin</v>
          </cell>
        </row>
        <row r="157">
          <cell r="T157" t="str">
            <v>a2-Globulins</v>
          </cell>
        </row>
        <row r="158">
          <cell r="T158" t="str">
            <v>a2-Macroglobulin</v>
          </cell>
        </row>
        <row r="159">
          <cell r="T159" t="str">
            <v>a-Amylase (ricos)</v>
          </cell>
        </row>
        <row r="160">
          <cell r="T160" t="str">
            <v>a-Amylase (pancreatic)</v>
          </cell>
        </row>
        <row r="161">
          <cell r="T161" t="str">
            <v>a-Carotene</v>
          </cell>
        </row>
        <row r="162">
          <cell r="T162" t="str">
            <v>a-Fetoprotein(non hepatic carcinoma)</v>
          </cell>
        </row>
        <row r="163">
          <cell r="T163" t="str">
            <v>a-Tocopherol</v>
          </cell>
        </row>
        <row r="164">
          <cell r="T164" t="str">
            <v>Acid phosphatase</v>
          </cell>
        </row>
        <row r="165">
          <cell r="T165" t="str">
            <v>Acid phosphatase tartrate-resistant (TR-ACP)</v>
          </cell>
        </row>
        <row r="166">
          <cell r="T166" t="str">
            <v>Acid phosphatase prostatic activity (PAP)</v>
          </cell>
        </row>
        <row r="167">
          <cell r="T167" t="str">
            <v>Activated partial thromboplastine time</v>
          </cell>
        </row>
        <row r="168">
          <cell r="T168" t="str">
            <v>Acyl/free carnitine</v>
          </cell>
        </row>
        <row r="169">
          <cell r="T169" t="str">
            <v>Adiponectin</v>
          </cell>
        </row>
        <row r="170">
          <cell r="T170" t="str">
            <v>Adenosine deaminase (ADA)</v>
          </cell>
        </row>
        <row r="171">
          <cell r="T171" t="str">
            <v>Alanine aminopeptidase</v>
          </cell>
        </row>
        <row r="172">
          <cell r="T172" t="str">
            <v>Alanine aminotransferase</v>
          </cell>
        </row>
        <row r="173">
          <cell r="T173" t="str">
            <v>Albumin</v>
          </cell>
        </row>
        <row r="174">
          <cell r="T174" t="str">
            <v>Aldosterone</v>
          </cell>
        </row>
        <row r="175">
          <cell r="T175" t="str">
            <v>Alkaline phosphatase</v>
          </cell>
        </row>
        <row r="176">
          <cell r="T176" t="str">
            <v>Alkaline phosphatase, bone</v>
          </cell>
        </row>
        <row r="177">
          <cell r="T177" t="str">
            <v>Alkaline phosphatase, liver</v>
          </cell>
        </row>
        <row r="178">
          <cell r="T178" t="str">
            <v>Alkaline phosphatase, placental</v>
          </cell>
        </row>
        <row r="179">
          <cell r="T179" t="str">
            <v>Amyloid A</v>
          </cell>
        </row>
        <row r="180">
          <cell r="T180" t="str">
            <v>Androstendione</v>
          </cell>
        </row>
        <row r="181">
          <cell r="T181" t="str">
            <v>Androstenedione</v>
          </cell>
        </row>
        <row r="182">
          <cell r="T182" t="str">
            <v>Angiotensin converting enzyme</v>
          </cell>
        </row>
        <row r="183">
          <cell r="T183" t="str">
            <v>Antithrombin III</v>
          </cell>
        </row>
        <row r="184">
          <cell r="T184" t="str">
            <v>Apolipoprotein A1</v>
          </cell>
        </row>
        <row r="185">
          <cell r="T185" t="str">
            <v>Apolipoprotein B</v>
          </cell>
        </row>
        <row r="186">
          <cell r="T186" t="str">
            <v>Ascorbic Acid</v>
          </cell>
        </row>
        <row r="187">
          <cell r="T187" t="str">
            <v>Aspartate aminotransferase</v>
          </cell>
        </row>
        <row r="188">
          <cell r="T188" t="str">
            <v>b-2-Microglobulin</v>
          </cell>
        </row>
        <row r="189">
          <cell r="T189" t="str">
            <v>Basophile, count</v>
          </cell>
        </row>
        <row r="190">
          <cell r="T190" t="str">
            <v>b-Carotene</v>
          </cell>
        </row>
        <row r="191">
          <cell r="T191" t="str">
            <v>b-Cryptoxantin</v>
          </cell>
        </row>
        <row r="192">
          <cell r="T192" t="str">
            <v>b-Globulins</v>
          </cell>
        </row>
        <row r="193">
          <cell r="T193" t="str">
            <v>Bilirubin total</v>
          </cell>
        </row>
        <row r="194">
          <cell r="T194" t="str">
            <v>Bilirubin conjugated</v>
          </cell>
        </row>
        <row r="195">
          <cell r="T195" t="str">
            <v>CA 125 antigen</v>
          </cell>
        </row>
        <row r="196">
          <cell r="T196" t="str">
            <v>CA 15,3 antigen</v>
          </cell>
        </row>
        <row r="197">
          <cell r="T197" t="str">
            <v>CA 19,9 antigen</v>
          </cell>
        </row>
        <row r="198">
          <cell r="T198" t="str">
            <v>CA 549 antigen</v>
          </cell>
        </row>
        <row r="199">
          <cell r="T199" t="str">
            <v>Calcium</v>
          </cell>
        </row>
        <row r="200">
          <cell r="T200" t="str">
            <v>Carbohydrate deficient transferrin</v>
          </cell>
        </row>
        <row r="201">
          <cell r="T201" t="str">
            <v>Carcinoembryonic antigen (CEA)</v>
          </cell>
        </row>
        <row r="202">
          <cell r="T202" t="str">
            <v>CD4 lymphocyte count</v>
          </cell>
        </row>
        <row r="203">
          <cell r="T203" t="str">
            <v>Ceruloplasmin</v>
          </cell>
        </row>
        <row r="204">
          <cell r="T204" t="str">
            <v>Chloride</v>
          </cell>
        </row>
        <row r="205">
          <cell r="T205" t="str">
            <v>Cholesterol (ricos)</v>
          </cell>
        </row>
        <row r="206">
          <cell r="T206" t="str">
            <v>Cholinesterase</v>
          </cell>
        </row>
        <row r="207">
          <cell r="T207" t="str">
            <v>Cholinesterase, activity</v>
          </cell>
        </row>
        <row r="208">
          <cell r="T208" t="str">
            <v>Cholinesterase, immunoreactive</v>
          </cell>
        </row>
        <row r="209">
          <cell r="T209" t="str">
            <v>C3 complement</v>
          </cell>
        </row>
        <row r="210">
          <cell r="T210" t="str">
            <v>C4 complement</v>
          </cell>
        </row>
        <row r="211">
          <cell r="T211" t="str">
            <v>Chromogranin A</v>
          </cell>
        </row>
        <row r="212">
          <cell r="T212" t="str">
            <v>Copper</v>
          </cell>
        </row>
        <row r="213">
          <cell r="T213" t="str">
            <v>Copper</v>
          </cell>
        </row>
        <row r="214">
          <cell r="T214" t="str">
            <v>Cortisol (ricos)</v>
          </cell>
        </row>
        <row r="215">
          <cell r="T215" t="str">
            <v>C Peptide</v>
          </cell>
        </row>
        <row r="216">
          <cell r="T216" t="str">
            <v>C-Propeptide type I procollagen</v>
          </cell>
        </row>
        <row r="217">
          <cell r="T217" t="str">
            <v>C-Reactive protein</v>
          </cell>
        </row>
        <row r="218">
          <cell r="T218" t="str">
            <v>Creatine kinase (CK)</v>
          </cell>
        </row>
        <row r="219">
          <cell r="T219" t="str">
            <v>Creatine kinase MB, %</v>
          </cell>
        </row>
        <row r="220">
          <cell r="T220" t="str">
            <v>Creatine kinase MB, activity</v>
          </cell>
        </row>
        <row r="221">
          <cell r="T221" t="str">
            <v>Creatine kinase MB, mass</v>
          </cell>
        </row>
        <row r="222">
          <cell r="T222" t="str">
            <v>Creatinine (ricos)</v>
          </cell>
        </row>
        <row r="223">
          <cell r="T223" t="str">
            <v>Creatinine clearance</v>
          </cell>
        </row>
        <row r="224">
          <cell r="T224" t="str">
            <v>Cyfra 21,1</v>
          </cell>
        </row>
        <row r="225">
          <cell r="T225" t="str">
            <v>Cystastin C</v>
          </cell>
        </row>
        <row r="226">
          <cell r="T226" t="str">
            <v>Cysteine</v>
          </cell>
        </row>
        <row r="227">
          <cell r="T227" t="str">
            <v>Dehydroepiandrosterone sulfate</v>
          </cell>
        </row>
        <row r="228">
          <cell r="T228" t="str">
            <v>Dipeptidyl-peptidase IV (ACE)</v>
          </cell>
        </row>
        <row r="229">
          <cell r="T229" t="str">
            <v>Dipeptidyl-peptidase IV (ACE)</v>
          </cell>
        </row>
        <row r="230">
          <cell r="T230" t="str">
            <v>Elastase</v>
          </cell>
        </row>
        <row r="231">
          <cell r="T231" t="str">
            <v>Endotelial growth factor</v>
          </cell>
        </row>
        <row r="232">
          <cell r="T232" t="str">
            <v>Eosinophils, count</v>
          </cell>
        </row>
        <row r="233">
          <cell r="T233" t="str">
            <v>Epinephrine</v>
          </cell>
        </row>
        <row r="234">
          <cell r="T234" t="str">
            <v>Epinephrine</v>
          </cell>
        </row>
        <row r="235">
          <cell r="T235" t="str">
            <v>Erythrocytes, count</v>
          </cell>
        </row>
        <row r="236">
          <cell r="T236" t="str">
            <v>Erythrocyte distribution wide</v>
          </cell>
        </row>
        <row r="237">
          <cell r="T237" t="str">
            <v>Estradiol</v>
          </cell>
        </row>
        <row r="238">
          <cell r="T238" t="str">
            <v>Factor V coagulation</v>
          </cell>
        </row>
        <row r="239">
          <cell r="T239" t="str">
            <v>Factor VII coagulation</v>
          </cell>
        </row>
        <row r="240">
          <cell r="T240" t="str">
            <v>Factor VIII coagulation</v>
          </cell>
        </row>
        <row r="241">
          <cell r="T241" t="str">
            <v>Factor X coagulation</v>
          </cell>
        </row>
        <row r="242">
          <cell r="T242" t="str">
            <v>Ferritin</v>
          </cell>
        </row>
        <row r="243">
          <cell r="T243" t="str">
            <v>Fibrinogen</v>
          </cell>
        </row>
        <row r="244">
          <cell r="T244" t="str">
            <v>Folate (ricos 1)</v>
          </cell>
        </row>
        <row r="245">
          <cell r="T245" t="str">
            <v>Folate (ricos 2)</v>
          </cell>
        </row>
        <row r="246">
          <cell r="T246" t="str">
            <v>Follicle stimulating hormone (males)</v>
          </cell>
        </row>
        <row r="247">
          <cell r="T247" t="str">
            <v>Free carnitine</v>
          </cell>
        </row>
        <row r="248">
          <cell r="T248" t="str">
            <v>Free estradiol</v>
          </cell>
        </row>
        <row r="249">
          <cell r="T249" t="str">
            <v>Free testosterone</v>
          </cell>
        </row>
        <row r="250">
          <cell r="T250" t="str">
            <v>Free thyroxine (FT4)</v>
          </cell>
        </row>
        <row r="251">
          <cell r="T251" t="str">
            <v>Free Triiodothyronine (FT3)</v>
          </cell>
        </row>
        <row r="252">
          <cell r="T252" t="str">
            <v>Fructosamine (ricos)</v>
          </cell>
        </row>
        <row r="253">
          <cell r="T253" t="str">
            <v>Galactosyl hydroxylisine</v>
          </cell>
        </row>
        <row r="254">
          <cell r="T254" t="str">
            <v>g-Globulins</v>
          </cell>
        </row>
        <row r="255">
          <cell r="T255" t="str">
            <v>g-glutamyltransferase</v>
          </cell>
        </row>
        <row r="256">
          <cell r="T256" t="str">
            <v>Globulins, total</v>
          </cell>
        </row>
        <row r="257">
          <cell r="T257" t="str">
            <v>Glucose (ricos)</v>
          </cell>
        </row>
        <row r="258">
          <cell r="T258" t="str">
            <v>Glucose-6-phosphate-1-dehydrogenase (G6PDH)</v>
          </cell>
        </row>
        <row r="259">
          <cell r="T259" t="str">
            <v>Glucose-6-phosphate-1-dehydrogenase (G6PDH)</v>
          </cell>
        </row>
        <row r="260">
          <cell r="T260" t="str">
            <v>Glutathion peroxidase</v>
          </cell>
        </row>
        <row r="261">
          <cell r="T261" t="str">
            <v>Glycated albumin</v>
          </cell>
        </row>
        <row r="262">
          <cell r="T262" t="str">
            <v>Glycated total protein</v>
          </cell>
        </row>
        <row r="263">
          <cell r="T263" t="str">
            <v>Haptoglobin</v>
          </cell>
        </row>
        <row r="264">
          <cell r="T264" t="str">
            <v>Hematocrit</v>
          </cell>
        </row>
        <row r="265">
          <cell r="T265" t="str">
            <v>Hemoglobin</v>
          </cell>
        </row>
        <row r="266">
          <cell r="T266" t="str">
            <v>Hemoglobin A1 C</v>
          </cell>
        </row>
        <row r="267">
          <cell r="T267" t="str">
            <v>HDL cholesterol</v>
          </cell>
        </row>
        <row r="268">
          <cell r="T268" t="str">
            <v>HDL 1 cholesterol</v>
          </cell>
        </row>
        <row r="269">
          <cell r="T269" t="str">
            <v>HDL 2 cholesterol</v>
          </cell>
        </row>
        <row r="270">
          <cell r="T270" t="str">
            <v>HDL 3 cholesterol</v>
          </cell>
        </row>
        <row r="271">
          <cell r="T271" t="str">
            <v>Homocysteine</v>
          </cell>
        </row>
        <row r="272">
          <cell r="T272" t="str">
            <v>Hydroxyproline/creatinine</v>
          </cell>
        </row>
        <row r="273">
          <cell r="T273" t="str">
            <v>Hydroxybutyrate dehydrogenase</v>
          </cell>
        </row>
        <row r="274">
          <cell r="T274" t="str">
            <v>Immunoglobulin A</v>
          </cell>
        </row>
        <row r="275">
          <cell r="T275" t="str">
            <v>Immunoglobulin G</v>
          </cell>
        </row>
        <row r="276">
          <cell r="T276" t="str">
            <v>Immunoglobulin M</v>
          </cell>
        </row>
        <row r="277">
          <cell r="T277" t="str">
            <v>Immunoglobulins K chains</v>
          </cell>
        </row>
        <row r="278">
          <cell r="T278" t="str">
            <v>Immunoglobulins l chains</v>
          </cell>
        </row>
        <row r="279">
          <cell r="T279" t="str">
            <v>Insulin</v>
          </cell>
        </row>
        <row r="280">
          <cell r="T280" t="str">
            <v>Insulin-like growth factor (IGF-1)</v>
          </cell>
        </row>
        <row r="281">
          <cell r="T281" t="str">
            <v>Intercellular adhesion molecule-1</v>
          </cell>
        </row>
        <row r="282">
          <cell r="T282" t="str">
            <v>Interferon receptor</v>
          </cell>
        </row>
        <row r="283">
          <cell r="T283" t="str">
            <v>Interleukin-1B</v>
          </cell>
        </row>
        <row r="284">
          <cell r="T284" t="str">
            <v>Interleukin-8</v>
          </cell>
        </row>
        <row r="285">
          <cell r="T285" t="str">
            <v>Iron</v>
          </cell>
        </row>
        <row r="286">
          <cell r="T286" t="str">
            <v>Lactate (ricos)</v>
          </cell>
        </row>
        <row r="287">
          <cell r="T287" t="str">
            <v>Lactate dehydrogenase (LDH)</v>
          </cell>
        </row>
        <row r="288">
          <cell r="T288" t="str">
            <v>Lactate dehydrogenase 1 isoform (LDH1)</v>
          </cell>
        </row>
        <row r="289">
          <cell r="T289" t="str">
            <v>Lactate dehydrogenase 2 isoform (LDH2)</v>
          </cell>
        </row>
        <row r="290">
          <cell r="T290" t="str">
            <v>Lactate dehydrogenase 3 isoform (LDH3)</v>
          </cell>
        </row>
        <row r="291">
          <cell r="T291" t="str">
            <v>Lactate dehydrogenase 4 isoform (LDH4)</v>
          </cell>
        </row>
        <row r="292">
          <cell r="T292" t="str">
            <v>Lactate dehydrogenase 5 isoform (LDH5)</v>
          </cell>
        </row>
        <row r="293">
          <cell r="T293" t="str">
            <v>Lactoferrin</v>
          </cell>
        </row>
        <row r="294">
          <cell r="T294" t="str">
            <v>Leukocytes, count</v>
          </cell>
        </row>
        <row r="295">
          <cell r="T295" t="str">
            <v>LDL Cholesterol</v>
          </cell>
        </row>
        <row r="296">
          <cell r="T296" t="str">
            <v>LDL Cholesterol (direct)</v>
          </cell>
        </row>
        <row r="297">
          <cell r="T297" t="str">
            <v>LDL Cholesterol (oxidized)</v>
          </cell>
        </row>
        <row r="298">
          <cell r="T298" t="str">
            <v>LDL receptor mRNA</v>
          </cell>
        </row>
        <row r="299">
          <cell r="T299" t="str">
            <v>Leukocytes count</v>
          </cell>
        </row>
        <row r="300">
          <cell r="T300" t="str">
            <v>Lipase (ricos)</v>
          </cell>
        </row>
        <row r="301">
          <cell r="T301" t="str">
            <v>Lipoprotein (a)</v>
          </cell>
        </row>
        <row r="302">
          <cell r="T302" t="str">
            <v>Lutein</v>
          </cell>
        </row>
        <row r="303">
          <cell r="T303" t="str">
            <v>Luteinizing hormone</v>
          </cell>
        </row>
        <row r="304">
          <cell r="T304" t="str">
            <v>Lycopenene</v>
          </cell>
        </row>
        <row r="305">
          <cell r="T305" t="str">
            <v>Lymphocytes, count</v>
          </cell>
        </row>
        <row r="306">
          <cell r="T306" t="str">
            <v>Lymphocytes CD4</v>
          </cell>
        </row>
        <row r="307">
          <cell r="T307" t="str">
            <v>Magnesium (ricos)</v>
          </cell>
        </row>
        <row r="308">
          <cell r="T308" t="str">
            <v>Magnesium (ricos2)</v>
          </cell>
        </row>
        <row r="309">
          <cell r="T309" t="str">
            <v>Magnesium (ricos3)</v>
          </cell>
        </row>
        <row r="310">
          <cell r="T310" t="str">
            <v>Magnesium, concentration, 24h</v>
          </cell>
        </row>
        <row r="311">
          <cell r="T311" t="str">
            <v>Magnesium, ionized</v>
          </cell>
        </row>
        <row r="312">
          <cell r="T312" t="str">
            <v>Magnesium, output, 24h</v>
          </cell>
        </row>
        <row r="313">
          <cell r="T313" t="str">
            <v>Mean corpuscular hemoglobin (HCM)</v>
          </cell>
        </row>
        <row r="314">
          <cell r="T314" t="str">
            <v>Mean corpuscular hemoglobin concentration (MCHC)</v>
          </cell>
        </row>
        <row r="315">
          <cell r="T315" t="str">
            <v>Mean corpuscular volume (MCV)</v>
          </cell>
        </row>
        <row r="316">
          <cell r="T316" t="str">
            <v>Mean platelet volume (MPV)</v>
          </cell>
        </row>
        <row r="317">
          <cell r="T317" t="str">
            <v>Monocytes, count</v>
          </cell>
        </row>
        <row r="318">
          <cell r="T318" t="str">
            <v>Mucinous carcinoma-associated antigen (MCA)</v>
          </cell>
        </row>
        <row r="319">
          <cell r="T319" t="str">
            <v>Myeloperoxidase</v>
          </cell>
        </row>
        <row r="320">
          <cell r="T320" t="str">
            <v>Myoglobin</v>
          </cell>
        </row>
        <row r="321">
          <cell r="T321" t="str">
            <v>N-Acetyl Glucosaminidase, concentration, overnight</v>
          </cell>
        </row>
        <row r="322">
          <cell r="T322" t="str">
            <v>Neutrophyles, count</v>
          </cell>
        </row>
        <row r="323">
          <cell r="T323" t="str">
            <v>Non-inhibited arilestearase activity</v>
          </cell>
        </row>
        <row r="324">
          <cell r="T324" t="str">
            <v>Norepinephrine</v>
          </cell>
        </row>
        <row r="325">
          <cell r="T325" t="str">
            <v>Norepinephrine</v>
          </cell>
        </row>
        <row r="326">
          <cell r="T326" t="str">
            <v>N-terminal (NT)-proBNP</v>
          </cell>
        </row>
        <row r="327">
          <cell r="T327" t="str">
            <v>Osmolality</v>
          </cell>
        </row>
        <row r="328">
          <cell r="T328" t="str">
            <v>Osteocalcin</v>
          </cell>
        </row>
        <row r="329">
          <cell r="T329" t="str">
            <v>Osteocalcin (+1 trab)</v>
          </cell>
        </row>
        <row r="330">
          <cell r="T330" t="str">
            <v>Oxalate, concentration, 24h</v>
          </cell>
        </row>
        <row r="331">
          <cell r="T331" t="str">
            <v>Oxalate, output, 24h</v>
          </cell>
        </row>
        <row r="332">
          <cell r="T332" t="str">
            <v>pCO2 (ricos)</v>
          </cell>
        </row>
        <row r="333">
          <cell r="T333" t="str">
            <v>pH [H+]</v>
          </cell>
        </row>
        <row r="334">
          <cell r="T334" t="str">
            <v>pH (pH units)</v>
          </cell>
        </row>
        <row r="335">
          <cell r="T335" t="str">
            <v>Paraoxon</v>
          </cell>
        </row>
        <row r="336">
          <cell r="T336" t="str">
            <v>Paraoxonase 1 substrate inhibition (PON 4SI)</v>
          </cell>
        </row>
        <row r="337">
          <cell r="T337" t="str">
            <v>Paraoxonase activity (salt estimulated)</v>
          </cell>
        </row>
        <row r="338">
          <cell r="T338" t="str">
            <v>Parathyroid hormone (PTH)</v>
          </cell>
        </row>
        <row r="339">
          <cell r="T339" t="str">
            <v>Phenylacetate</v>
          </cell>
        </row>
        <row r="340">
          <cell r="T340" t="str">
            <v>Phosphate (ricos)</v>
          </cell>
        </row>
        <row r="341">
          <cell r="T341" t="str">
            <v>Phosphate tubular reabsorption</v>
          </cell>
        </row>
        <row r="342">
          <cell r="T342" t="str">
            <v>Phospholipids</v>
          </cell>
        </row>
        <row r="343">
          <cell r="T343" t="str">
            <v>Plasminogen</v>
          </cell>
        </row>
        <row r="344">
          <cell r="T344" t="str">
            <v>Platelets, count</v>
          </cell>
        </row>
        <row r="345">
          <cell r="T345" t="str">
            <v>Platelet distribution wide</v>
          </cell>
        </row>
        <row r="346">
          <cell r="T346" t="str">
            <v>Plateletcrit</v>
          </cell>
        </row>
        <row r="347">
          <cell r="T347" t="str">
            <v>Potassium (ricos)</v>
          </cell>
        </row>
        <row r="348">
          <cell r="T348" t="str">
            <v>Potassium (ricos2)</v>
          </cell>
        </row>
        <row r="349">
          <cell r="T349" t="str">
            <v>Prealbumin</v>
          </cell>
        </row>
        <row r="350">
          <cell r="T350" t="str">
            <v>Procollagen type 1 C-terminal</v>
          </cell>
        </row>
        <row r="351">
          <cell r="T351" t="str">
            <v>Procollagen type 1 N-terminal</v>
          </cell>
        </row>
        <row r="352">
          <cell r="T352" t="str">
            <v>Prolactin (men)</v>
          </cell>
        </row>
        <row r="353">
          <cell r="T353" t="str">
            <v>Prolyl endopeptidase</v>
          </cell>
        </row>
        <row r="354">
          <cell r="T354" t="str">
            <v>Properdin factor B</v>
          </cell>
        </row>
        <row r="355">
          <cell r="T355" t="str">
            <v>Prostatic specific antigen (PSA)</v>
          </cell>
        </row>
        <row r="356">
          <cell r="T356" t="str">
            <v>Protein C</v>
          </cell>
        </row>
        <row r="357">
          <cell r="T357" t="str">
            <v>Protein S</v>
          </cell>
        </row>
        <row r="358">
          <cell r="T358" t="str">
            <v>Protein, total</v>
          </cell>
        </row>
        <row r="359">
          <cell r="T359" t="str">
            <v>Prothrombin time</v>
          </cell>
        </row>
        <row r="360">
          <cell r="T360" t="str">
            <v>Pyruvate</v>
          </cell>
        </row>
        <row r="361">
          <cell r="T361" t="str">
            <v>Red cell distribution wide (RDW)</v>
          </cell>
        </row>
        <row r="362">
          <cell r="T362" t="str">
            <v>Reticulocyte highly fluorescent, count</v>
          </cell>
        </row>
        <row r="363">
          <cell r="T363" t="str">
            <v>Reticulocyte low fluorescent, count</v>
          </cell>
        </row>
        <row r="364">
          <cell r="T364" t="str">
            <v>Reticulocyte medium fluorescent, count</v>
          </cell>
        </row>
        <row r="365">
          <cell r="T365" t="str">
            <v>Reticulocyte, count</v>
          </cell>
        </row>
        <row r="366">
          <cell r="T366" t="str">
            <v>Retinol</v>
          </cell>
        </row>
        <row r="367">
          <cell r="T367" t="str">
            <v>Retinol</v>
          </cell>
        </row>
        <row r="368">
          <cell r="T368" t="str">
            <v>Rheumatoid factor</v>
          </cell>
        </row>
        <row r="369">
          <cell r="T369" t="str">
            <v>SCC antigen</v>
          </cell>
        </row>
        <row r="370">
          <cell r="T370" t="str">
            <v>Selenium</v>
          </cell>
        </row>
        <row r="371">
          <cell r="T371" t="str">
            <v>Selenium</v>
          </cell>
        </row>
        <row r="372">
          <cell r="T372" t="str">
            <v>Semen, concentration</v>
          </cell>
        </row>
        <row r="373">
          <cell r="T373" t="str">
            <v>Semen, morphology</v>
          </cell>
        </row>
        <row r="374">
          <cell r="T374" t="str">
            <v>Semen, progressive motility</v>
          </cell>
        </row>
        <row r="375">
          <cell r="T375" t="str">
            <v>Semen, progressive rapid motility</v>
          </cell>
        </row>
        <row r="376">
          <cell r="T376" t="str">
            <v>Semen, total motility</v>
          </cell>
        </row>
        <row r="377">
          <cell r="T377" t="str">
            <v>Semen, vitality</v>
          </cell>
        </row>
        <row r="378">
          <cell r="T378" t="str">
            <v>Sex hormone binding globulin (SHBG)</v>
          </cell>
        </row>
        <row r="379">
          <cell r="T379" t="str">
            <v>Sodium (ricos)</v>
          </cell>
        </row>
        <row r="380">
          <cell r="T380" t="str">
            <v>Sodium (ricos2)</v>
          </cell>
        </row>
        <row r="381">
          <cell r="T381" t="str">
            <v>Sodium (ricos3)</v>
          </cell>
        </row>
        <row r="382">
          <cell r="T382" t="str">
            <v>Sodium Bicarbonate</v>
          </cell>
        </row>
        <row r="383">
          <cell r="T383" t="str">
            <v>Sodium Chloride</v>
          </cell>
        </row>
        <row r="384">
          <cell r="T384" t="str">
            <v>Soluble CD163</v>
          </cell>
        </row>
        <row r="385">
          <cell r="T385" t="str">
            <v>Soluble CD163</v>
          </cell>
        </row>
        <row r="386">
          <cell r="T386" t="str">
            <v>Superoxide dismutase</v>
          </cell>
        </row>
        <row r="387">
          <cell r="T387" t="str">
            <v>Superoxide dismutase</v>
          </cell>
        </row>
        <row r="388">
          <cell r="T388" t="str">
            <v>Testosterone (ricos)</v>
          </cell>
        </row>
        <row r="389">
          <cell r="T389" t="str">
            <v>Testosterone (ricos2)</v>
          </cell>
        </row>
        <row r="390">
          <cell r="T390" t="str">
            <v>Testosterone (ricos3)</v>
          </cell>
        </row>
        <row r="391">
          <cell r="T391" t="str">
            <v>Thyroglobulin</v>
          </cell>
        </row>
        <row r="392">
          <cell r="T392" t="str">
            <v>Thyroglobulin antibody</v>
          </cell>
        </row>
        <row r="393">
          <cell r="T393" t="str">
            <v>Thyroid peroxidase antibody</v>
          </cell>
        </row>
        <row r="394">
          <cell r="T394" t="str">
            <v>Thyroid stimulating hormone (TSH)</v>
          </cell>
        </row>
        <row r="395">
          <cell r="T395" t="str">
            <v>Thyrotropin receptor antibody</v>
          </cell>
        </row>
        <row r="396">
          <cell r="T396" t="str">
            <v>Thyroxine binding globulin (TBG)</v>
          </cell>
        </row>
        <row r="397">
          <cell r="T397" t="str">
            <v>Thyroxine (T4)</v>
          </cell>
        </row>
        <row r="398">
          <cell r="T398" t="str">
            <v>Tissue polypeptide antigen (TPA)</v>
          </cell>
        </row>
        <row r="399">
          <cell r="T399" t="str">
            <v>Tissue polypeptide specific antigen (TPS)</v>
          </cell>
        </row>
        <row r="400">
          <cell r="T400" t="str">
            <v>Total carnitine</v>
          </cell>
        </row>
        <row r="401">
          <cell r="T401" t="str">
            <v>Transferrin</v>
          </cell>
        </row>
        <row r="402">
          <cell r="T402" t="str">
            <v>Triglyceride</v>
          </cell>
        </row>
        <row r="403">
          <cell r="T403" t="str">
            <v>Triiodothyronine (T3)</v>
          </cell>
        </row>
        <row r="404">
          <cell r="T404" t="str">
            <v>Troponin I</v>
          </cell>
        </row>
        <row r="405">
          <cell r="T405" t="str">
            <v>Tumor Necrosis Factor-a</v>
          </cell>
        </row>
        <row r="406">
          <cell r="T406" t="str">
            <v>Urate</v>
          </cell>
        </row>
        <row r="407">
          <cell r="T407" t="str">
            <v>Urea</v>
          </cell>
        </row>
        <row r="408">
          <cell r="T408" t="str">
            <v>Vascular cell adhesion molecule-1</v>
          </cell>
        </row>
        <row r="409">
          <cell r="T409" t="str">
            <v>Vascular endotelial growth factor</v>
          </cell>
        </row>
        <row r="410">
          <cell r="T410" t="str">
            <v>Vitamin B1</v>
          </cell>
        </row>
        <row r="411">
          <cell r="T411" t="str">
            <v>Vitamin B2 (Riboflavin)</v>
          </cell>
        </row>
        <row r="412">
          <cell r="T412" t="str">
            <v>Vitamin B2 (Riboflavin)</v>
          </cell>
        </row>
        <row r="413">
          <cell r="T413" t="str">
            <v>Vitamin B2 status (gluthation reductase activation)</v>
          </cell>
        </row>
        <row r="414">
          <cell r="T414" t="str">
            <v>Vitamin B12</v>
          </cell>
        </row>
        <row r="415">
          <cell r="T415" t="str">
            <v>Vitamin B6</v>
          </cell>
        </row>
        <row r="416">
          <cell r="T416" t="str">
            <v>Vitamin B6</v>
          </cell>
        </row>
        <row r="417">
          <cell r="T417" t="str">
            <v>Vitamin B6 status (AST activation)</v>
          </cell>
        </row>
        <row r="418">
          <cell r="T418" t="str">
            <v>Vitamin E (a-Tocopherol)</v>
          </cell>
        </row>
        <row r="419">
          <cell r="T419" t="str">
            <v>Vitamin K (Phylloquinone)</v>
          </cell>
        </row>
        <row r="420">
          <cell r="T420" t="str">
            <v>VLDL Cholesterol</v>
          </cell>
        </row>
        <row r="421">
          <cell r="T421" t="str">
            <v>Von Willebrand factor</v>
          </cell>
        </row>
        <row r="422">
          <cell r="T422" t="str">
            <v>Von Willebrand factor antigen</v>
          </cell>
        </row>
        <row r="423">
          <cell r="T423" t="str">
            <v>Water</v>
          </cell>
        </row>
        <row r="424">
          <cell r="T424" t="str">
            <v>Zeaxanthine</v>
          </cell>
        </row>
        <row r="425">
          <cell r="T425" t="str">
            <v>Zinc (ricos 1)</v>
          </cell>
        </row>
        <row r="426">
          <cell r="T426" t="str">
            <v>Zinc (ricos 2)</v>
          </cell>
        </row>
        <row r="428">
          <cell r="T428" t="str">
            <v>URINE</v>
          </cell>
        </row>
        <row r="429">
          <cell r="T429" t="str">
            <v>4 OH-3 methoxi-Vanil mandelic acid (VMA)</v>
          </cell>
        </row>
        <row r="430">
          <cell r="T430" t="str">
            <v>5'-Hydroxyindolacetate, concentration</v>
          </cell>
        </row>
        <row r="431">
          <cell r="T431" t="str">
            <v>a1-Microglobulin, concentration, first morning</v>
          </cell>
        </row>
        <row r="432">
          <cell r="T432" t="str">
            <v>a2-Microglobulin output, first morning</v>
          </cell>
        </row>
        <row r="433">
          <cell r="T433" t="str">
            <v>a-Amylase concentration, random</v>
          </cell>
        </row>
        <row r="434">
          <cell r="T434" t="str">
            <v>Albumin, concentration, first morning</v>
          </cell>
        </row>
        <row r="435">
          <cell r="T435" t="str">
            <v>Aldosterone, concentration</v>
          </cell>
        </row>
        <row r="436">
          <cell r="T436" t="str">
            <v>Ammonia, output, 24h</v>
          </cell>
        </row>
        <row r="437">
          <cell r="T437" t="str">
            <v>Calcium, concentration, 24h</v>
          </cell>
        </row>
        <row r="438">
          <cell r="T438" t="str">
            <v>Calcium, ionized</v>
          </cell>
        </row>
        <row r="439">
          <cell r="T439" t="str">
            <v>Calcium, output, 24h</v>
          </cell>
        </row>
        <row r="440">
          <cell r="T440" t="str">
            <v>C-Terminal cross-linking telopeptide  type I collagen (s-CTx)</v>
          </cell>
        </row>
        <row r="441">
          <cell r="T441" t="str">
            <v>C-Telopeptide of type I collagen/creatinine, 1st morning</v>
          </cell>
        </row>
        <row r="442">
          <cell r="T442" t="str">
            <v>C-Telopeptide type I collagen/creatinine, 2nd morning</v>
          </cell>
        </row>
        <row r="443">
          <cell r="T443" t="str">
            <v>Creatinine, concentration, 24h</v>
          </cell>
        </row>
        <row r="444">
          <cell r="T444" t="str">
            <v>Creatinine, output, 24h</v>
          </cell>
        </row>
        <row r="445">
          <cell r="T445" t="str">
            <v>?-aminolevulinic acid</v>
          </cell>
        </row>
        <row r="446">
          <cell r="T446" t="str">
            <v>Deoxypyridinoline/creatinine, 24h (Delmas CC 2001)</v>
          </cell>
        </row>
        <row r="447">
          <cell r="T447" t="str">
            <v>Deoxypyridinoline/creatinine, first morning</v>
          </cell>
        </row>
        <row r="448">
          <cell r="T448" t="str">
            <v>Deoxipyridinoline/minute</v>
          </cell>
        </row>
        <row r="449">
          <cell r="T449" t="str">
            <v>Estradiol</v>
          </cell>
        </row>
        <row r="450">
          <cell r="T450" t="str">
            <v>Free estradiol</v>
          </cell>
        </row>
        <row r="451">
          <cell r="T451" t="str">
            <v>Free testosterone</v>
          </cell>
        </row>
        <row r="452">
          <cell r="T452" t="str">
            <v>Hydroxyproline/minute, night urine</v>
          </cell>
        </row>
        <row r="453">
          <cell r="T453" t="str">
            <v>Magnesium, concentration, 24h</v>
          </cell>
        </row>
        <row r="454">
          <cell r="T454" t="str">
            <v>Magnesium, ionized</v>
          </cell>
        </row>
        <row r="455">
          <cell r="T455" t="str">
            <v>Magnesium, output, 24h</v>
          </cell>
        </row>
        <row r="456">
          <cell r="T456" t="str">
            <v>N-Acetyl Glucosaminidase, concentration, overnight</v>
          </cell>
        </row>
        <row r="457">
          <cell r="T457" t="str">
            <v>Nitrogen, output</v>
          </cell>
        </row>
        <row r="458">
          <cell r="T458" t="str">
            <v>N- Telopeptide of type I collagen /creatinine, first urine</v>
          </cell>
        </row>
        <row r="459">
          <cell r="T459" t="str">
            <v>Oxalate, concentration, 24h</v>
          </cell>
        </row>
        <row r="460">
          <cell r="T460" t="str">
            <v>Oxalate, output, 24h</v>
          </cell>
        </row>
        <row r="461">
          <cell r="T461" t="str">
            <v>Phosphate, concentration, 24h</v>
          </cell>
        </row>
        <row r="462">
          <cell r="T462" t="str">
            <v>Phosphate, output, 24h</v>
          </cell>
        </row>
        <row r="463">
          <cell r="T463" t="str">
            <v>Porphobilinogen</v>
          </cell>
        </row>
        <row r="464">
          <cell r="T464" t="str">
            <v>Porphyrins</v>
          </cell>
        </row>
        <row r="465">
          <cell r="T465" t="str">
            <v>Potassium, concentration, 24h</v>
          </cell>
        </row>
        <row r="466">
          <cell r="T466" t="str">
            <v>Potassium, output</v>
          </cell>
        </row>
        <row r="467">
          <cell r="T467" t="str">
            <v>Protein, concentration, 24h</v>
          </cell>
        </row>
        <row r="468">
          <cell r="T468" t="str">
            <v>Protein, output, 24h</v>
          </cell>
        </row>
        <row r="469">
          <cell r="T469" t="str">
            <v>Pyridinoline/creatinine, morning spot</v>
          </cell>
        </row>
        <row r="470">
          <cell r="T470" t="str">
            <v>Sodium, concentration, 24 h,</v>
          </cell>
        </row>
        <row r="471">
          <cell r="T471" t="str">
            <v>Sodium output, 24 h,</v>
          </cell>
        </row>
        <row r="472">
          <cell r="T472" t="str">
            <v>Testosterone</v>
          </cell>
        </row>
        <row r="473">
          <cell r="T473" t="str">
            <v>Total catecolamines, concentration, 24h</v>
          </cell>
        </row>
        <row r="474">
          <cell r="T474" t="str">
            <v>Total porphyrins</v>
          </cell>
        </row>
        <row r="475">
          <cell r="T475" t="str">
            <v>Urate, concentration, 24h</v>
          </cell>
        </row>
        <row r="476">
          <cell r="T476" t="str">
            <v>Urate, output, 24h</v>
          </cell>
        </row>
        <row r="477">
          <cell r="T477" t="str">
            <v>Urea, concentration, 24h</v>
          </cell>
        </row>
        <row r="478">
          <cell r="T478" t="str">
            <v>Urea, output, 24h</v>
          </cell>
        </row>
        <row r="479">
          <cell r="T479" t="str">
            <v>Vanilmandelic Acid concentration, 24h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215"/>
  <sheetViews>
    <sheetView showGridLines="0" zoomScale="85" zoomScaleNormal="85" workbookViewId="0">
      <selection activeCell="D20" sqref="D20"/>
    </sheetView>
  </sheetViews>
  <sheetFormatPr baseColWidth="10" defaultRowHeight="15" x14ac:dyDescent="0.25"/>
  <cols>
    <col min="2" max="2" width="15.5703125" customWidth="1"/>
    <col min="3" max="3" width="16" customWidth="1"/>
    <col min="4" max="5" width="14.140625" customWidth="1"/>
    <col min="6" max="6" width="14.5703125" customWidth="1"/>
  </cols>
  <sheetData>
    <row r="2" spans="2:11" x14ac:dyDescent="0.25">
      <c r="B2" s="1" t="s">
        <v>0</v>
      </c>
    </row>
    <row r="3" spans="2:11" x14ac:dyDescent="0.25">
      <c r="B3" s="2" t="s">
        <v>1</v>
      </c>
    </row>
    <row r="4" spans="2:11" x14ac:dyDescent="0.25">
      <c r="B4" t="s">
        <v>2</v>
      </c>
    </row>
    <row r="5" spans="2:11" x14ac:dyDescent="0.25">
      <c r="B5" t="s">
        <v>3</v>
      </c>
    </row>
    <row r="6" spans="2:11" x14ac:dyDescent="0.25">
      <c r="B6" s="2" t="s">
        <v>4</v>
      </c>
    </row>
    <row r="8" spans="2:11" x14ac:dyDescent="0.25">
      <c r="B8" t="s">
        <v>5</v>
      </c>
    </row>
    <row r="9" spans="2:11" x14ac:dyDescent="0.25">
      <c r="B9" t="s">
        <v>87</v>
      </c>
    </row>
    <row r="10" spans="2:11" x14ac:dyDescent="0.25">
      <c r="B10" s="2" t="s">
        <v>6</v>
      </c>
    </row>
    <row r="12" spans="2:11" ht="45" x14ac:dyDescent="0.25">
      <c r="B12" s="3" t="s">
        <v>7</v>
      </c>
      <c r="C12" s="3" t="s">
        <v>9</v>
      </c>
      <c r="D12" s="3" t="s">
        <v>8</v>
      </c>
      <c r="E12" s="34" t="s">
        <v>10</v>
      </c>
      <c r="F12" s="34" t="s">
        <v>11</v>
      </c>
      <c r="G12" s="34" t="s">
        <v>12</v>
      </c>
      <c r="H12" s="35" t="s">
        <v>13</v>
      </c>
      <c r="I12" s="35" t="s">
        <v>14</v>
      </c>
      <c r="J12" s="35" t="s">
        <v>15</v>
      </c>
      <c r="K12" s="35" t="s">
        <v>16</v>
      </c>
    </row>
    <row r="13" spans="2:11" x14ac:dyDescent="0.25">
      <c r="B13" s="4">
        <v>1</v>
      </c>
      <c r="C13" s="6">
        <v>247</v>
      </c>
      <c r="D13" s="5">
        <v>1</v>
      </c>
      <c r="E13" s="36">
        <f>D13/C13</f>
        <v>4.048582995951417E-3</v>
      </c>
      <c r="F13" s="36">
        <f>AVERAGE(E13:E37)</f>
        <v>2.3642991848085069E-3</v>
      </c>
      <c r="G13" s="36">
        <f>SQRT((F13*(1-F13))/C13)</f>
        <v>3.0902152448997158E-3</v>
      </c>
      <c r="H13" s="36">
        <f>F13+3*G13</f>
        <v>1.1634944919507655E-2</v>
      </c>
      <c r="I13" s="36">
        <f>IF(F13-3*G13&lt;0,0,F13-3*G13)</f>
        <v>0</v>
      </c>
      <c r="J13" s="36">
        <f>F13+2*G13</f>
        <v>8.5447296746079381E-3</v>
      </c>
      <c r="K13" s="36">
        <f>IF(F13-2*G13&lt;0,0,F13-2*G13)</f>
        <v>0</v>
      </c>
    </row>
    <row r="14" spans="2:11" x14ac:dyDescent="0.25">
      <c r="B14" s="4">
        <v>2</v>
      </c>
      <c r="C14" s="6">
        <v>248</v>
      </c>
      <c r="D14" s="5">
        <v>1</v>
      </c>
      <c r="E14" s="36">
        <f>D14/C14</f>
        <v>4.0322580645161289E-3</v>
      </c>
      <c r="F14" s="36">
        <f>F13</f>
        <v>2.3642991848085069E-3</v>
      </c>
      <c r="G14" s="36">
        <f>SQRT((F14*(1-F14))/C14)</f>
        <v>3.0839786790174076E-3</v>
      </c>
      <c r="H14" s="36">
        <f>F14+3*G14</f>
        <v>1.161623522186073E-2</v>
      </c>
      <c r="I14" s="36">
        <f t="shared" ref="I14:I37" si="0">IF(F14-3*G14&lt;0,0,F14-3*G14)</f>
        <v>0</v>
      </c>
      <c r="J14" s="36">
        <f t="shared" ref="J14:J37" si="1">F14+2*G14</f>
        <v>8.5322565428433226E-3</v>
      </c>
      <c r="K14" s="36">
        <f t="shared" ref="K14:K37" si="2">IF(F14-2*G14&lt;0,0,F14-2*G14)</f>
        <v>0</v>
      </c>
    </row>
    <row r="15" spans="2:11" x14ac:dyDescent="0.25">
      <c r="B15" s="4">
        <v>3</v>
      </c>
      <c r="C15" s="6">
        <v>241</v>
      </c>
      <c r="D15" s="5">
        <v>1</v>
      </c>
      <c r="E15" s="36">
        <f>D15/C15</f>
        <v>4.1493775933609959E-3</v>
      </c>
      <c r="F15" s="36">
        <f t="shared" ref="F15:F37" si="3">F14</f>
        <v>2.3642991848085069E-3</v>
      </c>
      <c r="G15" s="36">
        <f>SQRT((F15*(1-F15))/C15)</f>
        <v>3.1284461656718881E-3</v>
      </c>
      <c r="H15" s="36">
        <f t="shared" ref="H15:H37" si="4">F15+3*G15</f>
        <v>1.1749637681824172E-2</v>
      </c>
      <c r="I15" s="36">
        <f t="shared" si="0"/>
        <v>0</v>
      </c>
      <c r="J15" s="36">
        <f t="shared" si="1"/>
        <v>8.6211915161522826E-3</v>
      </c>
      <c r="K15" s="36">
        <f t="shared" si="2"/>
        <v>0</v>
      </c>
    </row>
    <row r="16" spans="2:11" x14ac:dyDescent="0.25">
      <c r="B16" s="4">
        <v>4</v>
      </c>
      <c r="C16" s="6">
        <v>212</v>
      </c>
      <c r="D16" s="5">
        <v>0</v>
      </c>
      <c r="E16" s="36">
        <f>D16/C16</f>
        <v>0</v>
      </c>
      <c r="F16" s="36">
        <f t="shared" si="3"/>
        <v>2.3642991848085069E-3</v>
      </c>
      <c r="G16" s="36">
        <f>SQRT((F16*(1-F16))/C16)</f>
        <v>3.3355639916401712E-3</v>
      </c>
      <c r="H16" s="36">
        <f t="shared" si="4"/>
        <v>1.2370991159729021E-2</v>
      </c>
      <c r="I16" s="36">
        <f t="shared" si="0"/>
        <v>0</v>
      </c>
      <c r="J16" s="36">
        <f t="shared" si="1"/>
        <v>9.0354271680888488E-3</v>
      </c>
      <c r="K16" s="36">
        <f t="shared" si="2"/>
        <v>0</v>
      </c>
    </row>
    <row r="17" spans="2:11" x14ac:dyDescent="0.25">
      <c r="B17" s="4">
        <v>5</v>
      </c>
      <c r="C17" s="6">
        <v>177</v>
      </c>
      <c r="D17" s="5">
        <v>0</v>
      </c>
      <c r="E17" s="36">
        <f>D17/C17</f>
        <v>0</v>
      </c>
      <c r="F17" s="36">
        <f t="shared" si="3"/>
        <v>2.3642991848085069E-3</v>
      </c>
      <c r="G17" s="36">
        <f>SQRT((F17*(1-F17))/C17)</f>
        <v>3.6504850495549007E-3</v>
      </c>
      <c r="H17" s="36">
        <f t="shared" si="4"/>
        <v>1.331575433347321E-2</v>
      </c>
      <c r="I17" s="36">
        <f t="shared" si="0"/>
        <v>0</v>
      </c>
      <c r="J17" s="36">
        <f t="shared" si="1"/>
        <v>9.6652692839183079E-3</v>
      </c>
      <c r="K17" s="36">
        <f t="shared" si="2"/>
        <v>0</v>
      </c>
    </row>
    <row r="18" spans="2:11" x14ac:dyDescent="0.25">
      <c r="B18" s="4">
        <v>6</v>
      </c>
      <c r="C18" s="6">
        <v>216</v>
      </c>
      <c r="D18" s="5">
        <v>1</v>
      </c>
      <c r="E18" s="36">
        <f>D18/C18</f>
        <v>4.6296296296296294E-3</v>
      </c>
      <c r="F18" s="36">
        <f t="shared" si="3"/>
        <v>2.3642991848085069E-3</v>
      </c>
      <c r="G18" s="36">
        <f>SQRT((F18*(1-F18))/C18)</f>
        <v>3.3045348149769189E-3</v>
      </c>
      <c r="H18" s="36">
        <f t="shared" si="4"/>
        <v>1.2277903629739264E-2</v>
      </c>
      <c r="I18" s="36">
        <f t="shared" si="0"/>
        <v>0</v>
      </c>
      <c r="J18" s="36">
        <f t="shared" si="1"/>
        <v>8.9733688147623451E-3</v>
      </c>
      <c r="K18" s="36">
        <f t="shared" si="2"/>
        <v>0</v>
      </c>
    </row>
    <row r="19" spans="2:11" x14ac:dyDescent="0.25">
      <c r="B19" s="4">
        <v>7</v>
      </c>
      <c r="C19" s="6">
        <v>243</v>
      </c>
      <c r="D19" s="5">
        <v>0</v>
      </c>
      <c r="E19" s="36">
        <f>D19/C19</f>
        <v>0</v>
      </c>
      <c r="F19" s="36">
        <f t="shared" si="3"/>
        <v>2.3642991848085069E-3</v>
      </c>
      <c r="G19" s="36">
        <f>SQRT((F19*(1-F19))/C19)</f>
        <v>3.1155453017829501E-3</v>
      </c>
      <c r="H19" s="36">
        <f t="shared" si="4"/>
        <v>1.1710935090157358E-2</v>
      </c>
      <c r="I19" s="36">
        <f t="shared" si="0"/>
        <v>0</v>
      </c>
      <c r="J19" s="36">
        <f t="shared" si="1"/>
        <v>8.5953897883744076E-3</v>
      </c>
      <c r="K19" s="36">
        <f t="shared" si="2"/>
        <v>0</v>
      </c>
    </row>
    <row r="20" spans="2:11" x14ac:dyDescent="0.25">
      <c r="B20" s="4">
        <v>8</v>
      </c>
      <c r="C20" s="6">
        <v>247</v>
      </c>
      <c r="D20" s="5">
        <v>2</v>
      </c>
      <c r="E20" s="36">
        <f>D20/C20</f>
        <v>8.0971659919028341E-3</v>
      </c>
      <c r="F20" s="36">
        <f t="shared" si="3"/>
        <v>2.3642991848085069E-3</v>
      </c>
      <c r="G20" s="36">
        <f>SQRT((F20*(1-F20))/C20)</f>
        <v>3.0902152448997158E-3</v>
      </c>
      <c r="H20" s="36">
        <f t="shared" si="4"/>
        <v>1.1634944919507655E-2</v>
      </c>
      <c r="I20" s="36">
        <f t="shared" si="0"/>
        <v>0</v>
      </c>
      <c r="J20" s="36">
        <f t="shared" si="1"/>
        <v>8.5447296746079381E-3</v>
      </c>
      <c r="K20" s="36">
        <f t="shared" si="2"/>
        <v>0</v>
      </c>
    </row>
    <row r="21" spans="2:11" x14ac:dyDescent="0.25">
      <c r="B21" s="4">
        <v>9</v>
      </c>
      <c r="C21" s="6">
        <v>205</v>
      </c>
      <c r="D21" s="5">
        <v>1</v>
      </c>
      <c r="E21" s="36">
        <f>D21/C21</f>
        <v>4.8780487804878049E-3</v>
      </c>
      <c r="F21" s="36">
        <f t="shared" si="3"/>
        <v>2.3642991848085069E-3</v>
      </c>
      <c r="G21" s="36">
        <f>SQRT((F21*(1-F21))/C21)</f>
        <v>3.3920346251779263E-3</v>
      </c>
      <c r="H21" s="36">
        <f t="shared" si="4"/>
        <v>1.2540403060342287E-2</v>
      </c>
      <c r="I21" s="36">
        <f t="shared" si="0"/>
        <v>0</v>
      </c>
      <c r="J21" s="36">
        <f t="shared" si="1"/>
        <v>9.1483684351643599E-3</v>
      </c>
      <c r="K21" s="36">
        <f t="shared" si="2"/>
        <v>0</v>
      </c>
    </row>
    <row r="22" spans="2:11" x14ac:dyDescent="0.25">
      <c r="B22" s="4">
        <v>10</v>
      </c>
      <c r="C22" s="6">
        <v>182</v>
      </c>
      <c r="D22" s="5">
        <v>0</v>
      </c>
      <c r="E22" s="36">
        <f>D22/C22</f>
        <v>0</v>
      </c>
      <c r="F22" s="36">
        <f t="shared" si="3"/>
        <v>2.3642991848085069E-3</v>
      </c>
      <c r="G22" s="36">
        <f>SQRT((F22*(1-F22))/C22)</f>
        <v>3.5999918148359486E-3</v>
      </c>
      <c r="H22" s="36">
        <f t="shared" si="4"/>
        <v>1.3164274629316353E-2</v>
      </c>
      <c r="I22" s="36">
        <f t="shared" si="0"/>
        <v>0</v>
      </c>
      <c r="J22" s="36">
        <f t="shared" si="1"/>
        <v>9.5642828144804036E-3</v>
      </c>
      <c r="K22" s="36">
        <f t="shared" si="2"/>
        <v>0</v>
      </c>
    </row>
    <row r="23" spans="2:11" x14ac:dyDescent="0.25">
      <c r="B23" s="4">
        <v>11</v>
      </c>
      <c r="C23" s="6">
        <v>234</v>
      </c>
      <c r="D23" s="5">
        <v>0</v>
      </c>
      <c r="E23" s="36">
        <f>D23/C23</f>
        <v>0</v>
      </c>
      <c r="F23" s="36">
        <f t="shared" si="3"/>
        <v>2.3642991848085069E-3</v>
      </c>
      <c r="G23" s="36">
        <f>SQRT((F23*(1-F23))/C23)</f>
        <v>3.1748943546413355E-3</v>
      </c>
      <c r="H23" s="36">
        <f t="shared" si="4"/>
        <v>1.1888982248732515E-2</v>
      </c>
      <c r="I23" s="36">
        <f t="shared" si="0"/>
        <v>0</v>
      </c>
      <c r="J23" s="36">
        <f t="shared" si="1"/>
        <v>8.7140878940911784E-3</v>
      </c>
      <c r="K23" s="36">
        <f t="shared" si="2"/>
        <v>0</v>
      </c>
    </row>
    <row r="24" spans="2:11" x14ac:dyDescent="0.25">
      <c r="B24" s="4">
        <v>12</v>
      </c>
      <c r="C24" s="6">
        <v>160</v>
      </c>
      <c r="D24" s="5">
        <v>0</v>
      </c>
      <c r="E24" s="36">
        <f>D24/C24</f>
        <v>0</v>
      </c>
      <c r="F24" s="36">
        <f t="shared" si="3"/>
        <v>2.3642991848085069E-3</v>
      </c>
      <c r="G24" s="36">
        <f>SQRT((F24*(1-F24))/C24)</f>
        <v>3.8395224916104643E-3</v>
      </c>
      <c r="H24" s="36">
        <f t="shared" si="4"/>
        <v>1.3882866659639901E-2</v>
      </c>
      <c r="I24" s="36">
        <f t="shared" si="0"/>
        <v>0</v>
      </c>
      <c r="J24" s="36">
        <f t="shared" si="1"/>
        <v>1.0043344168029435E-2</v>
      </c>
      <c r="K24" s="36">
        <f t="shared" si="2"/>
        <v>0</v>
      </c>
    </row>
    <row r="25" spans="2:11" x14ac:dyDescent="0.25">
      <c r="B25" s="4">
        <v>13</v>
      </c>
      <c r="C25" s="6">
        <v>175</v>
      </c>
      <c r="D25" s="5">
        <v>0</v>
      </c>
      <c r="E25" s="36">
        <f>D25/C25</f>
        <v>0</v>
      </c>
      <c r="F25" s="36">
        <f t="shared" si="3"/>
        <v>2.3642991848085069E-3</v>
      </c>
      <c r="G25" s="36">
        <f>SQRT((F25*(1-F25))/C25)</f>
        <v>3.6712857025245609E-3</v>
      </c>
      <c r="H25" s="36">
        <f t="shared" si="4"/>
        <v>1.337815629238219E-2</v>
      </c>
      <c r="I25" s="36">
        <f t="shared" si="0"/>
        <v>0</v>
      </c>
      <c r="J25" s="36">
        <f t="shared" si="1"/>
        <v>9.7068705898576291E-3</v>
      </c>
      <c r="K25" s="36">
        <f t="shared" si="2"/>
        <v>0</v>
      </c>
    </row>
    <row r="26" spans="2:11" x14ac:dyDescent="0.25">
      <c r="B26" s="4">
        <v>14</v>
      </c>
      <c r="C26" s="6">
        <v>228</v>
      </c>
      <c r="D26" s="5">
        <v>1</v>
      </c>
      <c r="E26" s="36">
        <f>D26/C26</f>
        <v>4.3859649122807015E-3</v>
      </c>
      <c r="F26" s="36">
        <f t="shared" si="3"/>
        <v>2.3642991848085069E-3</v>
      </c>
      <c r="G26" s="36">
        <f>SQRT((F26*(1-F26))/C26)</f>
        <v>3.2163980031698234E-3</v>
      </c>
      <c r="H26" s="36">
        <f t="shared" si="4"/>
        <v>1.2013493194317977E-2</v>
      </c>
      <c r="I26" s="36">
        <f t="shared" si="0"/>
        <v>0</v>
      </c>
      <c r="J26" s="36">
        <f t="shared" si="1"/>
        <v>8.7970951911481542E-3</v>
      </c>
      <c r="K26" s="36">
        <f t="shared" si="2"/>
        <v>0</v>
      </c>
    </row>
    <row r="27" spans="2:11" x14ac:dyDescent="0.25">
      <c r="B27" s="4">
        <v>15</v>
      </c>
      <c r="C27" s="6">
        <v>240</v>
      </c>
      <c r="D27" s="5">
        <v>0</v>
      </c>
      <c r="E27" s="36">
        <f>D27/C27</f>
        <v>0</v>
      </c>
      <c r="F27" s="36">
        <f t="shared" si="3"/>
        <v>2.3642991848085069E-3</v>
      </c>
      <c r="G27" s="36">
        <f>SQRT((F27*(1-F27))/C27)</f>
        <v>3.134956986795048E-3</v>
      </c>
      <c r="H27" s="36">
        <f t="shared" si="4"/>
        <v>1.1769170145193651E-2</v>
      </c>
      <c r="I27" s="36">
        <f t="shared" si="0"/>
        <v>0</v>
      </c>
      <c r="J27" s="36">
        <f t="shared" si="1"/>
        <v>8.6342131583986032E-3</v>
      </c>
      <c r="K27" s="36">
        <f t="shared" si="2"/>
        <v>0</v>
      </c>
    </row>
    <row r="28" spans="2:11" x14ac:dyDescent="0.25">
      <c r="B28" s="4">
        <v>16</v>
      </c>
      <c r="C28" s="6">
        <v>151</v>
      </c>
      <c r="D28" s="5">
        <v>0</v>
      </c>
      <c r="E28" s="36">
        <f>D28/C28</f>
        <v>0</v>
      </c>
      <c r="F28" s="36">
        <f t="shared" si="3"/>
        <v>2.3642991848085069E-3</v>
      </c>
      <c r="G28" s="36">
        <f>SQRT((F28*(1-F28))/C28)</f>
        <v>3.9522893643672147E-3</v>
      </c>
      <c r="H28" s="36">
        <f t="shared" si="4"/>
        <v>1.4221167277910151E-2</v>
      </c>
      <c r="I28" s="36">
        <f t="shared" si="0"/>
        <v>0</v>
      </c>
      <c r="J28" s="36">
        <f t="shared" si="1"/>
        <v>1.0268877913542937E-2</v>
      </c>
      <c r="K28" s="36">
        <f t="shared" si="2"/>
        <v>0</v>
      </c>
    </row>
    <row r="29" spans="2:11" x14ac:dyDescent="0.25">
      <c r="B29" s="4">
        <v>17</v>
      </c>
      <c r="C29" s="6">
        <v>238</v>
      </c>
      <c r="D29" s="5">
        <v>1</v>
      </c>
      <c r="E29" s="36">
        <f>D29/C29</f>
        <v>4.2016806722689074E-3</v>
      </c>
      <c r="F29" s="36">
        <f t="shared" si="3"/>
        <v>2.3642991848085069E-3</v>
      </c>
      <c r="G29" s="36">
        <f>SQRT((F29*(1-F29))/C29)</f>
        <v>3.1481015181844194E-3</v>
      </c>
      <c r="H29" s="36">
        <f t="shared" si="4"/>
        <v>1.1808603739361765E-2</v>
      </c>
      <c r="I29" s="36">
        <f t="shared" si="0"/>
        <v>0</v>
      </c>
      <c r="J29" s="36">
        <f t="shared" si="1"/>
        <v>8.660502221177346E-3</v>
      </c>
      <c r="K29" s="36">
        <f t="shared" si="2"/>
        <v>0</v>
      </c>
    </row>
    <row r="30" spans="2:11" x14ac:dyDescent="0.25">
      <c r="B30" s="4">
        <v>18</v>
      </c>
      <c r="C30" s="6">
        <v>246</v>
      </c>
      <c r="D30" s="5">
        <v>1</v>
      </c>
      <c r="E30" s="36">
        <f>D30/C30</f>
        <v>4.0650406504065045E-3</v>
      </c>
      <c r="F30" s="36">
        <f t="shared" si="3"/>
        <v>2.3642991848085069E-3</v>
      </c>
      <c r="G30" s="36">
        <f>SQRT((F30*(1-F30))/C30)</f>
        <v>3.0964898000808857E-3</v>
      </c>
      <c r="H30" s="36">
        <f t="shared" si="4"/>
        <v>1.1653768585051164E-2</v>
      </c>
      <c r="I30" s="36">
        <f t="shared" si="0"/>
        <v>0</v>
      </c>
      <c r="J30" s="36">
        <f t="shared" si="1"/>
        <v>8.5572787849702778E-3</v>
      </c>
      <c r="K30" s="36">
        <f t="shared" si="2"/>
        <v>0</v>
      </c>
    </row>
    <row r="31" spans="2:11" x14ac:dyDescent="0.25">
      <c r="B31" s="4">
        <v>19</v>
      </c>
      <c r="C31" s="6">
        <v>233</v>
      </c>
      <c r="D31" s="5">
        <v>0</v>
      </c>
      <c r="E31" s="36">
        <f>D31/C31</f>
        <v>0</v>
      </c>
      <c r="F31" s="36">
        <f t="shared" si="3"/>
        <v>2.3642991848085069E-3</v>
      </c>
      <c r="G31" s="36">
        <f>SQRT((F31*(1-F31))/C31)</f>
        <v>3.1817001381311502E-3</v>
      </c>
      <c r="H31" s="36">
        <f t="shared" si="4"/>
        <v>1.1909399599201958E-2</v>
      </c>
      <c r="I31" s="36">
        <f t="shared" si="0"/>
        <v>0</v>
      </c>
      <c r="J31" s="36">
        <f t="shared" si="1"/>
        <v>8.7276994610708068E-3</v>
      </c>
      <c r="K31" s="36">
        <f t="shared" si="2"/>
        <v>0</v>
      </c>
    </row>
    <row r="32" spans="2:11" x14ac:dyDescent="0.25">
      <c r="B32" s="4">
        <v>20</v>
      </c>
      <c r="C32" s="6">
        <v>189</v>
      </c>
      <c r="D32" s="5">
        <v>1</v>
      </c>
      <c r="E32" s="36">
        <f>D32/C32</f>
        <v>5.2910052910052907E-3</v>
      </c>
      <c r="F32" s="36">
        <f t="shared" si="3"/>
        <v>2.3642991848085069E-3</v>
      </c>
      <c r="G32" s="36">
        <f>SQRT((F32*(1-F32))/C32)</f>
        <v>3.5326963143742997E-3</v>
      </c>
      <c r="H32" s="36">
        <f t="shared" si="4"/>
        <v>1.2962388127931407E-2</v>
      </c>
      <c r="I32" s="36">
        <f t="shared" si="0"/>
        <v>0</v>
      </c>
      <c r="J32" s="36">
        <f t="shared" si="1"/>
        <v>9.4296918135571058E-3</v>
      </c>
      <c r="K32" s="36">
        <f t="shared" si="2"/>
        <v>0</v>
      </c>
    </row>
    <row r="33" spans="2:11" x14ac:dyDescent="0.25">
      <c r="B33" s="4">
        <v>21</v>
      </c>
      <c r="C33" s="6">
        <v>227</v>
      </c>
      <c r="D33" s="5">
        <v>0</v>
      </c>
      <c r="E33" s="36">
        <f>D33/C33</f>
        <v>0</v>
      </c>
      <c r="F33" s="36">
        <f t="shared" si="3"/>
        <v>2.3642991848085069E-3</v>
      </c>
      <c r="G33" s="36">
        <f>SQRT((F33*(1-F33))/C33)</f>
        <v>3.2234747950103553E-3</v>
      </c>
      <c r="H33" s="36">
        <f t="shared" si="4"/>
        <v>1.2034723569839574E-2</v>
      </c>
      <c r="I33" s="36">
        <f t="shared" si="0"/>
        <v>0</v>
      </c>
      <c r="J33" s="36">
        <f t="shared" si="1"/>
        <v>8.8112487748292171E-3</v>
      </c>
      <c r="K33" s="36">
        <f t="shared" si="2"/>
        <v>0</v>
      </c>
    </row>
    <row r="34" spans="2:11" x14ac:dyDescent="0.25">
      <c r="B34" s="4">
        <v>22</v>
      </c>
      <c r="C34" s="6">
        <v>164</v>
      </c>
      <c r="D34" s="5">
        <v>0</v>
      </c>
      <c r="E34" s="36">
        <f>D34/C34</f>
        <v>0</v>
      </c>
      <c r="F34" s="36">
        <f t="shared" si="3"/>
        <v>2.3642991848085069E-3</v>
      </c>
      <c r="G34" s="36">
        <f>SQRT((F34*(1-F34))/C34)</f>
        <v>3.7924100019654313E-3</v>
      </c>
      <c r="H34" s="36">
        <f t="shared" si="4"/>
        <v>1.3741529190704801E-2</v>
      </c>
      <c r="I34" s="36">
        <f t="shared" si="0"/>
        <v>0</v>
      </c>
      <c r="J34" s="36">
        <f t="shared" si="1"/>
        <v>9.9491191887393689E-3</v>
      </c>
      <c r="K34" s="36">
        <f t="shared" si="2"/>
        <v>0</v>
      </c>
    </row>
    <row r="35" spans="2:11" x14ac:dyDescent="0.25">
      <c r="B35" s="4">
        <v>23</v>
      </c>
      <c r="C35" s="6">
        <v>186</v>
      </c>
      <c r="D35" s="5">
        <v>1</v>
      </c>
      <c r="E35" s="36">
        <f>D35/C35</f>
        <v>5.3763440860215058E-3</v>
      </c>
      <c r="F35" s="36">
        <f t="shared" si="3"/>
        <v>2.3642991848085069E-3</v>
      </c>
      <c r="G35" s="36">
        <f>SQRT((F35*(1-F35))/C35)</f>
        <v>3.5610718410115337E-3</v>
      </c>
      <c r="H35" s="36">
        <f t="shared" si="4"/>
        <v>1.3047514707843108E-2</v>
      </c>
      <c r="I35" s="36">
        <f t="shared" si="0"/>
        <v>0</v>
      </c>
      <c r="J35" s="36">
        <f t="shared" si="1"/>
        <v>9.4864428668315747E-3</v>
      </c>
      <c r="K35" s="36">
        <f t="shared" si="2"/>
        <v>0</v>
      </c>
    </row>
    <row r="36" spans="2:11" x14ac:dyDescent="0.25">
      <c r="B36" s="4">
        <v>24</v>
      </c>
      <c r="C36" s="6">
        <v>247</v>
      </c>
      <c r="D36" s="5">
        <v>0</v>
      </c>
      <c r="E36" s="36">
        <f>D36/C36</f>
        <v>0</v>
      </c>
      <c r="F36" s="36">
        <f t="shared" si="3"/>
        <v>2.3642991848085069E-3</v>
      </c>
      <c r="G36" s="36">
        <f>SQRT((F36*(1-F36))/C36)</f>
        <v>3.0902152448997158E-3</v>
      </c>
      <c r="H36" s="36">
        <f t="shared" si="4"/>
        <v>1.1634944919507655E-2</v>
      </c>
      <c r="I36" s="36">
        <f t="shared" si="0"/>
        <v>0</v>
      </c>
      <c r="J36" s="36">
        <f t="shared" si="1"/>
        <v>8.5447296746079381E-3</v>
      </c>
      <c r="K36" s="36">
        <f t="shared" si="2"/>
        <v>0</v>
      </c>
    </row>
    <row r="37" spans="2:11" x14ac:dyDescent="0.25">
      <c r="B37" s="4">
        <v>25</v>
      </c>
      <c r="C37" s="6">
        <v>168</v>
      </c>
      <c r="D37" s="5">
        <v>1</v>
      </c>
      <c r="E37" s="36">
        <f>D37/C37</f>
        <v>5.9523809523809521E-3</v>
      </c>
      <c r="F37" s="36">
        <f t="shared" si="3"/>
        <v>2.3642991848085069E-3</v>
      </c>
      <c r="G37" s="36">
        <f>SQRT((F37*(1-F37))/C37)</f>
        <v>3.7469902796501862E-3</v>
      </c>
      <c r="H37" s="36">
        <f t="shared" si="4"/>
        <v>1.3605270023759065E-2</v>
      </c>
      <c r="I37" s="36">
        <f t="shared" si="0"/>
        <v>0</v>
      </c>
      <c r="J37" s="36">
        <f t="shared" si="1"/>
        <v>9.8582797441088797E-3</v>
      </c>
      <c r="K37" s="36">
        <f t="shared" si="2"/>
        <v>0</v>
      </c>
    </row>
    <row r="93" spans="1:16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104" ht="15" customHeight="1" x14ac:dyDescent="0.25"/>
    <row r="141" spans="1:1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6" spans="24:25" ht="15" customHeight="1" x14ac:dyDescent="0.25"/>
    <row r="147" spans="24:25" x14ac:dyDescent="0.25">
      <c r="X147" s="23"/>
      <c r="Y147" s="23"/>
    </row>
    <row r="148" spans="24:25" x14ac:dyDescent="0.25">
      <c r="X148" s="26"/>
      <c r="Y148" s="26"/>
    </row>
    <row r="149" spans="24:25" x14ac:dyDescent="0.25">
      <c r="X149" s="26"/>
      <c r="Y149" s="26"/>
    </row>
    <row r="150" spans="24:25" x14ac:dyDescent="0.25">
      <c r="X150" s="26"/>
      <c r="Y150" s="26"/>
    </row>
    <row r="151" spans="24:25" x14ac:dyDescent="0.25">
      <c r="X151" s="26"/>
      <c r="Y151" s="26"/>
    </row>
    <row r="152" spans="24:25" x14ac:dyDescent="0.25">
      <c r="X152" s="26"/>
      <c r="Y152" s="26"/>
    </row>
    <row r="153" spans="24:25" x14ac:dyDescent="0.25">
      <c r="X153" s="26"/>
      <c r="Y153" s="26"/>
    </row>
    <row r="154" spans="24:25" x14ac:dyDescent="0.25">
      <c r="X154" s="26"/>
      <c r="Y154" s="26"/>
    </row>
    <row r="155" spans="24:25" x14ac:dyDescent="0.25">
      <c r="X155" s="26"/>
      <c r="Y155" s="26"/>
    </row>
    <row r="156" spans="24:25" x14ac:dyDescent="0.25">
      <c r="X156" s="26"/>
      <c r="Y156" s="26"/>
    </row>
    <row r="157" spans="24:25" x14ac:dyDescent="0.25">
      <c r="X157" s="26"/>
      <c r="Y157" s="26"/>
    </row>
    <row r="158" spans="24:25" x14ac:dyDescent="0.25">
      <c r="X158" s="26"/>
      <c r="Y158" s="26"/>
    </row>
    <row r="159" spans="24:25" x14ac:dyDescent="0.25">
      <c r="X159" s="26"/>
      <c r="Y159" s="26"/>
    </row>
    <row r="160" spans="24:25" x14ac:dyDescent="0.25">
      <c r="X160" s="26"/>
      <c r="Y160" s="26"/>
    </row>
    <row r="161" spans="24:25" x14ac:dyDescent="0.25">
      <c r="X161" s="26"/>
      <c r="Y161" s="26"/>
    </row>
    <row r="162" spans="24:25" x14ac:dyDescent="0.25">
      <c r="X162" s="26"/>
      <c r="Y162" s="26"/>
    </row>
    <row r="163" spans="24:25" x14ac:dyDescent="0.25">
      <c r="X163" s="26"/>
      <c r="Y163" s="26"/>
    </row>
    <row r="164" spans="24:25" x14ac:dyDescent="0.25">
      <c r="X164" s="26"/>
      <c r="Y164" s="26"/>
    </row>
    <row r="165" spans="24:25" x14ac:dyDescent="0.25">
      <c r="X165" s="26"/>
      <c r="Y165" s="26"/>
    </row>
    <row r="166" spans="24:25" x14ac:dyDescent="0.25">
      <c r="X166" s="26"/>
      <c r="Y166" s="26"/>
    </row>
    <row r="167" spans="24:25" x14ac:dyDescent="0.25">
      <c r="X167" s="26"/>
      <c r="Y167" s="26"/>
    </row>
    <row r="168" spans="24:25" x14ac:dyDescent="0.25">
      <c r="X168" s="26"/>
      <c r="Y168" s="26"/>
    </row>
    <row r="169" spans="24:25" x14ac:dyDescent="0.25">
      <c r="X169" s="26"/>
      <c r="Y169" s="26"/>
    </row>
    <row r="170" spans="24:25" x14ac:dyDescent="0.25">
      <c r="X170" s="26"/>
      <c r="Y170" s="26"/>
    </row>
    <row r="171" spans="24:25" x14ac:dyDescent="0.25">
      <c r="X171" s="26"/>
      <c r="Y171" s="26"/>
    </row>
    <row r="172" spans="24:25" x14ac:dyDescent="0.25">
      <c r="X172" s="26"/>
      <c r="Y172" s="26"/>
    </row>
    <row r="173" spans="24:25" x14ac:dyDescent="0.25">
      <c r="X173" s="26"/>
      <c r="Y173" s="26"/>
    </row>
    <row r="174" spans="24:25" x14ac:dyDescent="0.25">
      <c r="X174" s="26"/>
      <c r="Y174" s="26"/>
    </row>
    <row r="175" spans="24:25" x14ac:dyDescent="0.25">
      <c r="X175" s="26"/>
      <c r="Y175" s="26"/>
    </row>
    <row r="176" spans="24:25" x14ac:dyDescent="0.25">
      <c r="X176" s="26"/>
      <c r="Y176" s="26"/>
    </row>
    <row r="177" spans="2:25" x14ac:dyDescent="0.25">
      <c r="X177" s="26"/>
      <c r="Y177" s="26"/>
    </row>
    <row r="178" spans="2:25" x14ac:dyDescent="0.25">
      <c r="X178" s="26"/>
      <c r="Y178" s="26"/>
    </row>
    <row r="179" spans="2:25" x14ac:dyDescent="0.25">
      <c r="X179" s="26"/>
      <c r="Y179" s="26"/>
    </row>
    <row r="180" spans="2:25" x14ac:dyDescent="0.25">
      <c r="X180" s="26"/>
      <c r="Y180" s="26"/>
    </row>
    <row r="181" spans="2:25" x14ac:dyDescent="0.25">
      <c r="X181" s="26"/>
      <c r="Y181" s="26"/>
    </row>
    <row r="182" spans="2:25" x14ac:dyDescent="0.25">
      <c r="X182" s="26"/>
      <c r="Y182" s="26"/>
    </row>
    <row r="183" spans="2:25" x14ac:dyDescent="0.25">
      <c r="X183" s="26"/>
      <c r="Y183" s="26"/>
    </row>
    <row r="184" spans="2:25" x14ac:dyDescent="0.25">
      <c r="X184" s="26"/>
      <c r="Y184" s="26"/>
    </row>
    <row r="185" spans="2:25" x14ac:dyDescent="0.25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2:25" x14ac:dyDescent="0.25">
      <c r="G186" s="23"/>
      <c r="H186" s="23"/>
      <c r="I186" s="23"/>
      <c r="J186" s="23"/>
      <c r="K186" s="23"/>
      <c r="L186" s="23"/>
      <c r="M186" s="23"/>
      <c r="N186" s="23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2:25" x14ac:dyDescent="0.25"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2:25" x14ac:dyDescent="0.25"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6"/>
      <c r="P188" s="26"/>
      <c r="Q188" s="26"/>
      <c r="R188" s="26"/>
      <c r="S188" s="23"/>
      <c r="T188" s="23"/>
      <c r="U188" s="23"/>
      <c r="V188" s="23"/>
      <c r="W188" s="23"/>
      <c r="X188" s="23"/>
      <c r="Y188" s="23"/>
    </row>
    <row r="189" spans="2:25" x14ac:dyDescent="0.25"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2:25" x14ac:dyDescent="0.25"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2:25" x14ac:dyDescent="0.25"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2:25" x14ac:dyDescent="0.25"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214" spans="13:13" x14ac:dyDescent="0.25">
      <c r="M214" s="27"/>
    </row>
    <row r="215" spans="13:13" x14ac:dyDescent="0.25">
      <c r="M215" s="2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7432-C88C-44E8-9EA8-E335A7B16315}">
  <dimension ref="A2:L30"/>
  <sheetViews>
    <sheetView showGridLines="0" zoomScaleNormal="100" workbookViewId="0">
      <selection activeCell="L31" sqref="L31"/>
    </sheetView>
  </sheetViews>
  <sheetFormatPr baseColWidth="10" defaultRowHeight="15" x14ac:dyDescent="0.25"/>
  <sheetData>
    <row r="2" spans="1:12" x14ac:dyDescent="0.25">
      <c r="B2" s="1" t="s">
        <v>17</v>
      </c>
    </row>
    <row r="3" spans="1:12" x14ac:dyDescent="0.25">
      <c r="B3" s="8" t="s">
        <v>18</v>
      </c>
    </row>
    <row r="5" spans="1:12" x14ac:dyDescent="0.25">
      <c r="A5" s="89" t="s">
        <v>19</v>
      </c>
      <c r="B5" s="90"/>
      <c r="C5" s="9">
        <v>250</v>
      </c>
    </row>
    <row r="6" spans="1:12" ht="75" x14ac:dyDescent="0.25">
      <c r="B6" s="3" t="s">
        <v>7</v>
      </c>
      <c r="C6" s="3" t="s">
        <v>20</v>
      </c>
      <c r="D6" s="34" t="s">
        <v>21</v>
      </c>
      <c r="E6" s="34" t="s">
        <v>22</v>
      </c>
      <c r="F6" s="34" t="s">
        <v>23</v>
      </c>
      <c r="G6" s="34" t="s">
        <v>24</v>
      </c>
      <c r="H6" s="35" t="s">
        <v>13</v>
      </c>
      <c r="I6" s="35" t="s">
        <v>14</v>
      </c>
      <c r="J6" s="35" t="s">
        <v>15</v>
      </c>
      <c r="K6" s="35" t="s">
        <v>16</v>
      </c>
      <c r="L6" s="10"/>
    </row>
    <row r="7" spans="1:12" x14ac:dyDescent="0.25">
      <c r="B7" s="4">
        <v>1</v>
      </c>
      <c r="C7" s="5">
        <v>4</v>
      </c>
      <c r="D7" s="38">
        <f t="shared" ref="D7:D26" si="0">C7/$C$5</f>
        <v>1.6E-2</v>
      </c>
      <c r="E7" s="38">
        <f>AVERAGE(D7:D26)</f>
        <v>1.3800000000000002E-2</v>
      </c>
      <c r="F7" s="38">
        <f t="shared" ref="F7:F26" si="1">$C$5*E7</f>
        <v>3.45</v>
      </c>
      <c r="G7" s="38">
        <f t="shared" ref="G7:G26" si="2">1-E7</f>
        <v>0.98619999999999997</v>
      </c>
      <c r="H7" s="38">
        <f t="shared" ref="H7:H26" si="3">F7+3*SQRT($C$5*E7*G7)</f>
        <v>8.9836705720525138</v>
      </c>
      <c r="I7" s="38">
        <f t="shared" ref="I7:I26" si="4">IF(F7-3*SQRT($C$5*E7*G7)&lt;0,0,F7-3*SQRT($C$5*E7*G7))</f>
        <v>0</v>
      </c>
      <c r="J7" s="38">
        <f t="shared" ref="J7:J26" si="5">F7+2*SQRT($C$5*E7*G7)</f>
        <v>7.1391137147016765</v>
      </c>
      <c r="K7" s="38">
        <f t="shared" ref="K7:K26" si="6">IF(F7-2*SQRT($C$5*E7*G7)&lt;0,0,F7-2*SQRT($C$5*E7*G7))</f>
        <v>0</v>
      </c>
      <c r="L7" s="10"/>
    </row>
    <row r="8" spans="1:12" x14ac:dyDescent="0.25">
      <c r="B8" s="4">
        <v>2</v>
      </c>
      <c r="C8" s="5">
        <v>2</v>
      </c>
      <c r="D8" s="38">
        <f t="shared" si="0"/>
        <v>8.0000000000000002E-3</v>
      </c>
      <c r="E8" s="38">
        <f t="shared" ref="E8:E26" si="7">E7</f>
        <v>1.3800000000000002E-2</v>
      </c>
      <c r="F8" s="38">
        <f t="shared" si="1"/>
        <v>3.45</v>
      </c>
      <c r="G8" s="38">
        <f t="shared" si="2"/>
        <v>0.98619999999999997</v>
      </c>
      <c r="H8" s="38">
        <f t="shared" si="3"/>
        <v>8.9836705720525138</v>
      </c>
      <c r="I8" s="38">
        <f t="shared" si="4"/>
        <v>0</v>
      </c>
      <c r="J8" s="38">
        <f t="shared" si="5"/>
        <v>7.1391137147016765</v>
      </c>
      <c r="K8" s="38">
        <f t="shared" si="6"/>
        <v>0</v>
      </c>
      <c r="L8" s="10"/>
    </row>
    <row r="9" spans="1:12" x14ac:dyDescent="0.25">
      <c r="B9" s="4">
        <v>3</v>
      </c>
      <c r="C9" s="5">
        <v>1</v>
      </c>
      <c r="D9" s="38">
        <f t="shared" si="0"/>
        <v>4.0000000000000001E-3</v>
      </c>
      <c r="E9" s="38">
        <f t="shared" si="7"/>
        <v>1.3800000000000002E-2</v>
      </c>
      <c r="F9" s="38">
        <f t="shared" si="1"/>
        <v>3.45</v>
      </c>
      <c r="G9" s="38">
        <f t="shared" si="2"/>
        <v>0.98619999999999997</v>
      </c>
      <c r="H9" s="38">
        <f t="shared" si="3"/>
        <v>8.9836705720525138</v>
      </c>
      <c r="I9" s="38">
        <f t="shared" si="4"/>
        <v>0</v>
      </c>
      <c r="J9" s="38">
        <f t="shared" si="5"/>
        <v>7.1391137147016765</v>
      </c>
      <c r="K9" s="38">
        <f t="shared" si="6"/>
        <v>0</v>
      </c>
      <c r="L9" s="10"/>
    </row>
    <row r="10" spans="1:12" x14ac:dyDescent="0.25">
      <c r="B10" s="4">
        <v>4</v>
      </c>
      <c r="C10" s="5">
        <v>0</v>
      </c>
      <c r="D10" s="37">
        <f t="shared" si="0"/>
        <v>0</v>
      </c>
      <c r="E10" s="38">
        <f t="shared" si="7"/>
        <v>1.3800000000000002E-2</v>
      </c>
      <c r="F10" s="37">
        <f t="shared" si="1"/>
        <v>3.45</v>
      </c>
      <c r="G10" s="38">
        <f t="shared" si="2"/>
        <v>0.98619999999999997</v>
      </c>
      <c r="H10" s="37">
        <f t="shared" si="3"/>
        <v>8.9836705720525138</v>
      </c>
      <c r="I10" s="37">
        <f t="shared" si="4"/>
        <v>0</v>
      </c>
      <c r="J10" s="37">
        <f t="shared" si="5"/>
        <v>7.1391137147016765</v>
      </c>
      <c r="K10" s="37">
        <f t="shared" si="6"/>
        <v>0</v>
      </c>
      <c r="L10" s="10"/>
    </row>
    <row r="11" spans="1:12" x14ac:dyDescent="0.25">
      <c r="B11" s="4">
        <v>5</v>
      </c>
      <c r="C11" s="5">
        <v>5</v>
      </c>
      <c r="D11" s="37">
        <f t="shared" si="0"/>
        <v>0.02</v>
      </c>
      <c r="E11" s="38">
        <f t="shared" si="7"/>
        <v>1.3800000000000002E-2</v>
      </c>
      <c r="F11" s="37">
        <f t="shared" si="1"/>
        <v>3.45</v>
      </c>
      <c r="G11" s="38">
        <f t="shared" si="2"/>
        <v>0.98619999999999997</v>
      </c>
      <c r="H11" s="37">
        <f t="shared" si="3"/>
        <v>8.9836705720525138</v>
      </c>
      <c r="I11" s="37">
        <f t="shared" si="4"/>
        <v>0</v>
      </c>
      <c r="J11" s="37">
        <f t="shared" si="5"/>
        <v>7.1391137147016765</v>
      </c>
      <c r="K11" s="37">
        <f t="shared" si="6"/>
        <v>0</v>
      </c>
      <c r="L11" s="10"/>
    </row>
    <row r="12" spans="1:12" x14ac:dyDescent="0.25">
      <c r="B12" s="4">
        <v>6</v>
      </c>
      <c r="C12" s="5">
        <v>0</v>
      </c>
      <c r="D12" s="37">
        <f t="shared" si="0"/>
        <v>0</v>
      </c>
      <c r="E12" s="38">
        <f t="shared" si="7"/>
        <v>1.3800000000000002E-2</v>
      </c>
      <c r="F12" s="37">
        <f t="shared" si="1"/>
        <v>3.45</v>
      </c>
      <c r="G12" s="38">
        <f t="shared" si="2"/>
        <v>0.98619999999999997</v>
      </c>
      <c r="H12" s="37">
        <f t="shared" si="3"/>
        <v>8.9836705720525138</v>
      </c>
      <c r="I12" s="37">
        <f t="shared" si="4"/>
        <v>0</v>
      </c>
      <c r="J12" s="37">
        <f t="shared" si="5"/>
        <v>7.1391137147016765</v>
      </c>
      <c r="K12" s="37">
        <f t="shared" si="6"/>
        <v>0</v>
      </c>
      <c r="L12" s="10"/>
    </row>
    <row r="13" spans="1:12" x14ac:dyDescent="0.25">
      <c r="B13" s="4">
        <v>7</v>
      </c>
      <c r="C13" s="5">
        <v>0</v>
      </c>
      <c r="D13" s="37">
        <f t="shared" si="0"/>
        <v>0</v>
      </c>
      <c r="E13" s="38">
        <f t="shared" si="7"/>
        <v>1.3800000000000002E-2</v>
      </c>
      <c r="F13" s="37">
        <f t="shared" si="1"/>
        <v>3.45</v>
      </c>
      <c r="G13" s="38">
        <f t="shared" si="2"/>
        <v>0.98619999999999997</v>
      </c>
      <c r="H13" s="37">
        <f t="shared" si="3"/>
        <v>8.9836705720525138</v>
      </c>
      <c r="I13" s="37">
        <f t="shared" si="4"/>
        <v>0</v>
      </c>
      <c r="J13" s="37">
        <f t="shared" si="5"/>
        <v>7.1391137147016765</v>
      </c>
      <c r="K13" s="37">
        <f t="shared" si="6"/>
        <v>0</v>
      </c>
      <c r="L13" s="10"/>
    </row>
    <row r="14" spans="1:12" x14ac:dyDescent="0.25">
      <c r="B14" s="4">
        <v>8</v>
      </c>
      <c r="C14" s="5">
        <v>1</v>
      </c>
      <c r="D14" s="37">
        <f t="shared" si="0"/>
        <v>4.0000000000000001E-3</v>
      </c>
      <c r="E14" s="38">
        <f t="shared" si="7"/>
        <v>1.3800000000000002E-2</v>
      </c>
      <c r="F14" s="37">
        <f t="shared" si="1"/>
        <v>3.45</v>
      </c>
      <c r="G14" s="38">
        <f t="shared" si="2"/>
        <v>0.98619999999999997</v>
      </c>
      <c r="H14" s="37">
        <f t="shared" si="3"/>
        <v>8.9836705720525138</v>
      </c>
      <c r="I14" s="37">
        <f t="shared" si="4"/>
        <v>0</v>
      </c>
      <c r="J14" s="37">
        <f t="shared" si="5"/>
        <v>7.1391137147016765</v>
      </c>
      <c r="K14" s="37">
        <f t="shared" si="6"/>
        <v>0</v>
      </c>
      <c r="L14" s="10"/>
    </row>
    <row r="15" spans="1:12" x14ac:dyDescent="0.25">
      <c r="B15" s="4">
        <v>9</v>
      </c>
      <c r="C15" s="5">
        <v>3</v>
      </c>
      <c r="D15" s="37">
        <f t="shared" si="0"/>
        <v>1.2E-2</v>
      </c>
      <c r="E15" s="38">
        <f t="shared" si="7"/>
        <v>1.3800000000000002E-2</v>
      </c>
      <c r="F15" s="37">
        <f t="shared" si="1"/>
        <v>3.45</v>
      </c>
      <c r="G15" s="38">
        <f t="shared" si="2"/>
        <v>0.98619999999999997</v>
      </c>
      <c r="H15" s="37">
        <f t="shared" si="3"/>
        <v>8.9836705720525138</v>
      </c>
      <c r="I15" s="37">
        <f t="shared" si="4"/>
        <v>0</v>
      </c>
      <c r="J15" s="37">
        <f t="shared" si="5"/>
        <v>7.1391137147016765</v>
      </c>
      <c r="K15" s="37">
        <f t="shared" si="6"/>
        <v>0</v>
      </c>
      <c r="L15" s="10"/>
    </row>
    <row r="16" spans="1:12" x14ac:dyDescent="0.25">
      <c r="B16" s="4">
        <v>10</v>
      </c>
      <c r="C16" s="5">
        <v>1</v>
      </c>
      <c r="D16" s="37">
        <f t="shared" si="0"/>
        <v>4.0000000000000001E-3</v>
      </c>
      <c r="E16" s="38">
        <f t="shared" si="7"/>
        <v>1.3800000000000002E-2</v>
      </c>
      <c r="F16" s="37">
        <f t="shared" si="1"/>
        <v>3.45</v>
      </c>
      <c r="G16" s="38">
        <f t="shared" si="2"/>
        <v>0.98619999999999997</v>
      </c>
      <c r="H16" s="37">
        <f t="shared" si="3"/>
        <v>8.9836705720525138</v>
      </c>
      <c r="I16" s="37">
        <f t="shared" si="4"/>
        <v>0</v>
      </c>
      <c r="J16" s="37">
        <f t="shared" si="5"/>
        <v>7.1391137147016765</v>
      </c>
      <c r="K16" s="37">
        <f t="shared" si="6"/>
        <v>0</v>
      </c>
      <c r="L16" s="10"/>
    </row>
    <row r="17" spans="1:12" x14ac:dyDescent="0.25">
      <c r="B17" s="4">
        <v>11</v>
      </c>
      <c r="C17" s="5">
        <v>4</v>
      </c>
      <c r="D17" s="37">
        <f t="shared" si="0"/>
        <v>1.6E-2</v>
      </c>
      <c r="E17" s="38">
        <f t="shared" si="7"/>
        <v>1.3800000000000002E-2</v>
      </c>
      <c r="F17" s="37">
        <f t="shared" si="1"/>
        <v>3.45</v>
      </c>
      <c r="G17" s="38">
        <f t="shared" si="2"/>
        <v>0.98619999999999997</v>
      </c>
      <c r="H17" s="37">
        <f t="shared" si="3"/>
        <v>8.9836705720525138</v>
      </c>
      <c r="I17" s="37">
        <f t="shared" si="4"/>
        <v>0</v>
      </c>
      <c r="J17" s="37">
        <f t="shared" si="5"/>
        <v>7.1391137147016765</v>
      </c>
      <c r="K17" s="37">
        <f t="shared" si="6"/>
        <v>0</v>
      </c>
      <c r="L17" s="10"/>
    </row>
    <row r="18" spans="1:12" x14ac:dyDescent="0.25">
      <c r="B18" s="4">
        <v>12</v>
      </c>
      <c r="C18" s="5">
        <v>10</v>
      </c>
      <c r="D18" s="37">
        <f t="shared" si="0"/>
        <v>0.04</v>
      </c>
      <c r="E18" s="38">
        <f t="shared" si="7"/>
        <v>1.3800000000000002E-2</v>
      </c>
      <c r="F18" s="37">
        <f t="shared" si="1"/>
        <v>3.45</v>
      </c>
      <c r="G18" s="38">
        <f t="shared" si="2"/>
        <v>0.98619999999999997</v>
      </c>
      <c r="H18" s="37">
        <f t="shared" si="3"/>
        <v>8.9836705720525138</v>
      </c>
      <c r="I18" s="37">
        <f t="shared" si="4"/>
        <v>0</v>
      </c>
      <c r="J18" s="37">
        <f t="shared" si="5"/>
        <v>7.1391137147016765</v>
      </c>
      <c r="K18" s="37">
        <f t="shared" si="6"/>
        <v>0</v>
      </c>
      <c r="L18" s="10"/>
    </row>
    <row r="19" spans="1:12" x14ac:dyDescent="0.25">
      <c r="B19" s="4">
        <v>13</v>
      </c>
      <c r="C19" s="5">
        <v>0</v>
      </c>
      <c r="D19" s="37">
        <f t="shared" si="0"/>
        <v>0</v>
      </c>
      <c r="E19" s="38">
        <f t="shared" si="7"/>
        <v>1.3800000000000002E-2</v>
      </c>
      <c r="F19" s="37">
        <f t="shared" si="1"/>
        <v>3.45</v>
      </c>
      <c r="G19" s="38">
        <f t="shared" si="2"/>
        <v>0.98619999999999997</v>
      </c>
      <c r="H19" s="37">
        <f t="shared" si="3"/>
        <v>8.9836705720525138</v>
      </c>
      <c r="I19" s="37">
        <f t="shared" si="4"/>
        <v>0</v>
      </c>
      <c r="J19" s="37">
        <f t="shared" si="5"/>
        <v>7.1391137147016765</v>
      </c>
      <c r="K19" s="37">
        <f t="shared" si="6"/>
        <v>0</v>
      </c>
      <c r="L19" s="10"/>
    </row>
    <row r="20" spans="1:12" x14ac:dyDescent="0.25">
      <c r="B20" s="4">
        <v>14</v>
      </c>
      <c r="C20" s="5">
        <v>0</v>
      </c>
      <c r="D20" s="37">
        <f t="shared" si="0"/>
        <v>0</v>
      </c>
      <c r="E20" s="38">
        <f t="shared" si="7"/>
        <v>1.3800000000000002E-2</v>
      </c>
      <c r="F20" s="37">
        <f t="shared" si="1"/>
        <v>3.45</v>
      </c>
      <c r="G20" s="38">
        <f t="shared" si="2"/>
        <v>0.98619999999999997</v>
      </c>
      <c r="H20" s="37">
        <f t="shared" si="3"/>
        <v>8.9836705720525138</v>
      </c>
      <c r="I20" s="37">
        <f t="shared" si="4"/>
        <v>0</v>
      </c>
      <c r="J20" s="37">
        <f t="shared" si="5"/>
        <v>7.1391137147016765</v>
      </c>
      <c r="K20" s="37">
        <f t="shared" si="6"/>
        <v>0</v>
      </c>
      <c r="L20" s="10"/>
    </row>
    <row r="21" spans="1:12" x14ac:dyDescent="0.25">
      <c r="B21" s="4">
        <v>15</v>
      </c>
      <c r="C21" s="5">
        <v>2</v>
      </c>
      <c r="D21" s="37">
        <f t="shared" si="0"/>
        <v>8.0000000000000002E-3</v>
      </c>
      <c r="E21" s="38">
        <f t="shared" si="7"/>
        <v>1.3800000000000002E-2</v>
      </c>
      <c r="F21" s="37">
        <f t="shared" si="1"/>
        <v>3.45</v>
      </c>
      <c r="G21" s="38">
        <f t="shared" si="2"/>
        <v>0.98619999999999997</v>
      </c>
      <c r="H21" s="37">
        <f t="shared" si="3"/>
        <v>8.9836705720525138</v>
      </c>
      <c r="I21" s="37">
        <f t="shared" si="4"/>
        <v>0</v>
      </c>
      <c r="J21" s="37">
        <f t="shared" si="5"/>
        <v>7.1391137147016765</v>
      </c>
      <c r="K21" s="37">
        <f t="shared" si="6"/>
        <v>0</v>
      </c>
      <c r="L21" s="10"/>
    </row>
    <row r="22" spans="1:12" x14ac:dyDescent="0.25">
      <c r="B22" s="4">
        <v>16</v>
      </c>
      <c r="C22" s="5">
        <v>13</v>
      </c>
      <c r="D22" s="37">
        <f t="shared" si="0"/>
        <v>5.1999999999999998E-2</v>
      </c>
      <c r="E22" s="38">
        <f t="shared" si="7"/>
        <v>1.3800000000000002E-2</v>
      </c>
      <c r="F22" s="37">
        <f t="shared" si="1"/>
        <v>3.45</v>
      </c>
      <c r="G22" s="38">
        <f t="shared" si="2"/>
        <v>0.98619999999999997</v>
      </c>
      <c r="H22" s="37">
        <f t="shared" si="3"/>
        <v>8.9836705720525138</v>
      </c>
      <c r="I22" s="37">
        <f t="shared" si="4"/>
        <v>0</v>
      </c>
      <c r="J22" s="37">
        <f t="shared" si="5"/>
        <v>7.1391137147016765</v>
      </c>
      <c r="K22" s="37">
        <f t="shared" si="6"/>
        <v>0</v>
      </c>
      <c r="L22" s="10"/>
    </row>
    <row r="23" spans="1:12" x14ac:dyDescent="0.25">
      <c r="B23" s="4">
        <v>17</v>
      </c>
      <c r="C23" s="5">
        <v>5</v>
      </c>
      <c r="D23" s="37">
        <f t="shared" si="0"/>
        <v>0.02</v>
      </c>
      <c r="E23" s="38">
        <f t="shared" si="7"/>
        <v>1.3800000000000002E-2</v>
      </c>
      <c r="F23" s="37">
        <f t="shared" si="1"/>
        <v>3.45</v>
      </c>
      <c r="G23" s="38">
        <f t="shared" si="2"/>
        <v>0.98619999999999997</v>
      </c>
      <c r="H23" s="37">
        <f t="shared" si="3"/>
        <v>8.9836705720525138</v>
      </c>
      <c r="I23" s="37">
        <f t="shared" si="4"/>
        <v>0</v>
      </c>
      <c r="J23" s="37">
        <f t="shared" si="5"/>
        <v>7.1391137147016765</v>
      </c>
      <c r="K23" s="37">
        <f t="shared" si="6"/>
        <v>0</v>
      </c>
      <c r="L23" s="10"/>
    </row>
    <row r="24" spans="1:12" x14ac:dyDescent="0.25">
      <c r="B24" s="4">
        <v>18</v>
      </c>
      <c r="C24" s="5">
        <v>11</v>
      </c>
      <c r="D24" s="37">
        <f t="shared" si="0"/>
        <v>4.3999999999999997E-2</v>
      </c>
      <c r="E24" s="38">
        <f t="shared" si="7"/>
        <v>1.3800000000000002E-2</v>
      </c>
      <c r="F24" s="37">
        <f t="shared" si="1"/>
        <v>3.45</v>
      </c>
      <c r="G24" s="38">
        <f t="shared" si="2"/>
        <v>0.98619999999999997</v>
      </c>
      <c r="H24" s="37">
        <f t="shared" si="3"/>
        <v>8.9836705720525138</v>
      </c>
      <c r="I24" s="37">
        <f t="shared" si="4"/>
        <v>0</v>
      </c>
      <c r="J24" s="37">
        <f t="shared" si="5"/>
        <v>7.1391137147016765</v>
      </c>
      <c r="K24" s="37">
        <f t="shared" si="6"/>
        <v>0</v>
      </c>
      <c r="L24" s="10"/>
    </row>
    <row r="25" spans="1:12" x14ac:dyDescent="0.25">
      <c r="B25" s="4">
        <v>19</v>
      </c>
      <c r="C25" s="5">
        <v>4</v>
      </c>
      <c r="D25" s="37">
        <f t="shared" si="0"/>
        <v>1.6E-2</v>
      </c>
      <c r="E25" s="38">
        <f t="shared" si="7"/>
        <v>1.3800000000000002E-2</v>
      </c>
      <c r="F25" s="37">
        <f t="shared" si="1"/>
        <v>3.45</v>
      </c>
      <c r="G25" s="38">
        <f t="shared" si="2"/>
        <v>0.98619999999999997</v>
      </c>
      <c r="H25" s="37">
        <f t="shared" si="3"/>
        <v>8.9836705720525138</v>
      </c>
      <c r="I25" s="37">
        <f t="shared" si="4"/>
        <v>0</v>
      </c>
      <c r="J25" s="37">
        <f t="shared" si="5"/>
        <v>7.1391137147016765</v>
      </c>
      <c r="K25" s="37">
        <f t="shared" si="6"/>
        <v>0</v>
      </c>
      <c r="L25" s="10"/>
    </row>
    <row r="26" spans="1:12" x14ac:dyDescent="0.25">
      <c r="B26" s="4">
        <v>20</v>
      </c>
      <c r="C26" s="5">
        <v>3</v>
      </c>
      <c r="D26" s="37">
        <f t="shared" si="0"/>
        <v>1.2E-2</v>
      </c>
      <c r="E26" s="38">
        <f t="shared" si="7"/>
        <v>1.3800000000000002E-2</v>
      </c>
      <c r="F26" s="37">
        <f t="shared" si="1"/>
        <v>3.45</v>
      </c>
      <c r="G26" s="38">
        <f t="shared" si="2"/>
        <v>0.98619999999999997</v>
      </c>
      <c r="H26" s="37">
        <f t="shared" si="3"/>
        <v>8.9836705720525138</v>
      </c>
      <c r="I26" s="37">
        <f t="shared" si="4"/>
        <v>0</v>
      </c>
      <c r="J26" s="37">
        <f t="shared" si="5"/>
        <v>7.1391137147016765</v>
      </c>
      <c r="K26" s="37">
        <f t="shared" si="6"/>
        <v>0</v>
      </c>
      <c r="L26" s="10"/>
    </row>
    <row r="27" spans="1:12" x14ac:dyDescent="0.25">
      <c r="A27" s="7"/>
      <c r="B27" s="4">
        <v>21</v>
      </c>
      <c r="C27" s="5">
        <v>-2</v>
      </c>
      <c r="D27" s="37">
        <f t="shared" ref="D27:D30" si="8">C27/$C$5</f>
        <v>-8.0000000000000002E-3</v>
      </c>
      <c r="E27" s="38">
        <f t="shared" ref="E27:E30" si="9">E26</f>
        <v>1.3800000000000002E-2</v>
      </c>
      <c r="F27" s="37">
        <f t="shared" ref="F27:F30" si="10">$C$5*E27</f>
        <v>3.45</v>
      </c>
      <c r="G27" s="38">
        <f t="shared" ref="G27:G30" si="11">1-E27</f>
        <v>0.98619999999999997</v>
      </c>
      <c r="H27" s="37">
        <f t="shared" ref="H27:H30" si="12">F27+3*SQRT($C$5*E27*G27)</f>
        <v>8.9836705720525138</v>
      </c>
      <c r="I27" s="37">
        <f t="shared" ref="I27:I30" si="13">IF(F27-3*SQRT($C$5*E27*G27)&lt;0,0,F27-3*SQRT($C$5*E27*G27))</f>
        <v>0</v>
      </c>
      <c r="J27" s="37">
        <f t="shared" ref="J27:J30" si="14">F27+2*SQRT($C$5*E27*G27)</f>
        <v>7.1391137147016765</v>
      </c>
      <c r="K27" s="37">
        <f t="shared" ref="K27:K30" si="15">IF(F27-2*SQRT($C$5*E27*G27)&lt;0,0,F27-2*SQRT($C$5*E27*G27))</f>
        <v>0</v>
      </c>
      <c r="L27" s="10"/>
    </row>
    <row r="28" spans="1:12" x14ac:dyDescent="0.25">
      <c r="B28" s="4">
        <v>22</v>
      </c>
      <c r="C28" s="5">
        <v>-6</v>
      </c>
      <c r="D28" s="37">
        <f t="shared" si="8"/>
        <v>-2.4E-2</v>
      </c>
      <c r="E28" s="38">
        <f t="shared" si="9"/>
        <v>1.3800000000000002E-2</v>
      </c>
      <c r="F28" s="37">
        <f t="shared" si="10"/>
        <v>3.45</v>
      </c>
      <c r="G28" s="38">
        <f t="shared" si="11"/>
        <v>0.98619999999999997</v>
      </c>
      <c r="H28" s="37">
        <f t="shared" si="12"/>
        <v>8.9836705720525138</v>
      </c>
      <c r="I28" s="37">
        <f t="shared" si="13"/>
        <v>0</v>
      </c>
      <c r="J28" s="37">
        <f t="shared" si="14"/>
        <v>7.1391137147016765</v>
      </c>
      <c r="K28" s="37">
        <f t="shared" si="15"/>
        <v>0</v>
      </c>
      <c r="L28" s="10"/>
    </row>
    <row r="29" spans="1:12" x14ac:dyDescent="0.25">
      <c r="B29" s="4">
        <v>23</v>
      </c>
      <c r="C29" s="5">
        <v>-10</v>
      </c>
      <c r="D29" s="37">
        <f t="shared" si="8"/>
        <v>-0.04</v>
      </c>
      <c r="E29" s="38">
        <f t="shared" si="9"/>
        <v>1.3800000000000002E-2</v>
      </c>
      <c r="F29" s="37">
        <f t="shared" si="10"/>
        <v>3.45</v>
      </c>
      <c r="G29" s="38">
        <f t="shared" si="11"/>
        <v>0.98619999999999997</v>
      </c>
      <c r="H29" s="37">
        <f t="shared" si="12"/>
        <v>8.9836705720525138</v>
      </c>
      <c r="I29" s="37">
        <f t="shared" si="13"/>
        <v>0</v>
      </c>
      <c r="J29" s="37">
        <f t="shared" si="14"/>
        <v>7.1391137147016765</v>
      </c>
      <c r="K29" s="37">
        <f t="shared" si="15"/>
        <v>0</v>
      </c>
      <c r="L29" s="10"/>
    </row>
    <row r="30" spans="1:12" x14ac:dyDescent="0.25">
      <c r="B30" s="4">
        <v>24</v>
      </c>
      <c r="C30" s="5">
        <v>-14</v>
      </c>
      <c r="D30" s="37">
        <f t="shared" si="8"/>
        <v>-5.6000000000000001E-2</v>
      </c>
      <c r="E30" s="38">
        <f t="shared" si="9"/>
        <v>1.3800000000000002E-2</v>
      </c>
      <c r="F30" s="37">
        <f t="shared" si="10"/>
        <v>3.45</v>
      </c>
      <c r="G30" s="38">
        <f t="shared" si="11"/>
        <v>0.98619999999999997</v>
      </c>
      <c r="H30" s="37">
        <f t="shared" si="12"/>
        <v>8.9836705720525138</v>
      </c>
      <c r="I30" s="37">
        <f t="shared" si="13"/>
        <v>0</v>
      </c>
      <c r="J30" s="37">
        <f t="shared" si="14"/>
        <v>7.1391137147016765</v>
      </c>
      <c r="K30" s="37">
        <f t="shared" si="15"/>
        <v>0</v>
      </c>
      <c r="L30" s="10"/>
    </row>
  </sheetData>
  <mergeCells count="1">
    <mergeCell ref="A5:B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9470-08F5-4A4C-B9F4-38EDCFAFA32F}">
  <dimension ref="B2:I43"/>
  <sheetViews>
    <sheetView showGridLines="0" workbookViewId="0">
      <selection activeCell="M30" sqref="M30"/>
    </sheetView>
  </sheetViews>
  <sheetFormatPr baseColWidth="10" defaultRowHeight="15" x14ac:dyDescent="0.25"/>
  <sheetData>
    <row r="2" spans="2:9" x14ac:dyDescent="0.25">
      <c r="B2" s="1" t="s">
        <v>90</v>
      </c>
    </row>
    <row r="3" spans="2:9" x14ac:dyDescent="0.25">
      <c r="B3" s="8" t="s">
        <v>94</v>
      </c>
    </row>
    <row r="4" spans="2:9" x14ac:dyDescent="0.25">
      <c r="B4" s="8"/>
    </row>
    <row r="5" spans="2:9" ht="30" x14ac:dyDescent="0.25">
      <c r="B5" s="3" t="s">
        <v>7</v>
      </c>
      <c r="C5" s="3" t="s">
        <v>93</v>
      </c>
      <c r="D5" s="11" t="s">
        <v>92</v>
      </c>
      <c r="E5" s="39" t="s">
        <v>91</v>
      </c>
      <c r="F5" s="35" t="s">
        <v>13</v>
      </c>
      <c r="G5" s="22" t="s">
        <v>14</v>
      </c>
      <c r="H5" s="35" t="s">
        <v>15</v>
      </c>
      <c r="I5" s="35" t="s">
        <v>16</v>
      </c>
    </row>
    <row r="6" spans="2:9" x14ac:dyDescent="0.25">
      <c r="B6" s="4">
        <v>1</v>
      </c>
      <c r="C6" s="5">
        <v>1</v>
      </c>
      <c r="D6" s="12">
        <v>5</v>
      </c>
      <c r="E6" s="46">
        <f>(AVERAGE(D6:D27))</f>
        <v>5.333333333333333</v>
      </c>
      <c r="F6" s="108">
        <f>E6+3*SQRT(E6)</f>
        <v>12.261536563608843</v>
      </c>
      <c r="G6" s="108">
        <f>E6-3*SQRT(E6)</f>
        <v>-1.5948698969421757</v>
      </c>
      <c r="H6" s="108">
        <f>E6+2*SQRT(E6)</f>
        <v>9.952135486850338</v>
      </c>
      <c r="I6" s="108">
        <f>E6-2*SQRT(E6)</f>
        <v>0.71453117981632719</v>
      </c>
    </row>
    <row r="7" spans="2:9" x14ac:dyDescent="0.25">
      <c r="B7" s="4">
        <v>2</v>
      </c>
      <c r="C7" s="106">
        <f>C6</f>
        <v>1</v>
      </c>
      <c r="D7" s="12">
        <v>7</v>
      </c>
      <c r="E7" s="46">
        <f>E6</f>
        <v>5.333333333333333</v>
      </c>
      <c r="F7" s="108">
        <f t="shared" ref="F7:G26" si="0">F6</f>
        <v>12.261536563608843</v>
      </c>
      <c r="G7" s="108">
        <f>G6</f>
        <v>-1.5948698969421757</v>
      </c>
      <c r="H7" s="108">
        <f t="shared" ref="H7:I7" si="1">H6</f>
        <v>9.952135486850338</v>
      </c>
      <c r="I7" s="108">
        <f>I6</f>
        <v>0.71453117981632719</v>
      </c>
    </row>
    <row r="8" spans="2:9" x14ac:dyDescent="0.25">
      <c r="B8" s="4">
        <v>3</v>
      </c>
      <c r="C8" s="106">
        <f t="shared" ref="C8:C26" si="2">C7</f>
        <v>1</v>
      </c>
      <c r="D8" s="107">
        <v>4</v>
      </c>
      <c r="E8" s="46">
        <f t="shared" ref="E8:E26" si="3">E7</f>
        <v>5.333333333333333</v>
      </c>
      <c r="F8" s="108">
        <f t="shared" si="0"/>
        <v>12.261536563608843</v>
      </c>
      <c r="G8" s="108">
        <f t="shared" si="0"/>
        <v>-1.5948698969421757</v>
      </c>
      <c r="H8" s="108">
        <f t="shared" ref="H8:I8" si="4">H7</f>
        <v>9.952135486850338</v>
      </c>
      <c r="I8" s="108">
        <f t="shared" si="4"/>
        <v>0.71453117981632719</v>
      </c>
    </row>
    <row r="9" spans="2:9" x14ac:dyDescent="0.25">
      <c r="B9" s="4">
        <v>4</v>
      </c>
      <c r="C9" s="106">
        <f t="shared" si="2"/>
        <v>1</v>
      </c>
      <c r="D9" s="12"/>
      <c r="E9" s="46">
        <f t="shared" si="3"/>
        <v>5.333333333333333</v>
      </c>
      <c r="F9" s="108">
        <f t="shared" si="0"/>
        <v>12.261536563608843</v>
      </c>
      <c r="G9" s="108">
        <f t="shared" si="0"/>
        <v>-1.5948698969421757</v>
      </c>
      <c r="H9" s="108">
        <f t="shared" ref="H9:I9" si="5">H8</f>
        <v>9.952135486850338</v>
      </c>
      <c r="I9" s="108">
        <f t="shared" si="5"/>
        <v>0.71453117981632719</v>
      </c>
    </row>
    <row r="10" spans="2:9" x14ac:dyDescent="0.25">
      <c r="B10" s="4">
        <v>5</v>
      </c>
      <c r="C10" s="106">
        <f t="shared" si="2"/>
        <v>1</v>
      </c>
      <c r="D10" s="12"/>
      <c r="E10" s="46">
        <f t="shared" si="3"/>
        <v>5.333333333333333</v>
      </c>
      <c r="F10" s="108">
        <f t="shared" si="0"/>
        <v>12.261536563608843</v>
      </c>
      <c r="G10" s="108">
        <f t="shared" si="0"/>
        <v>-1.5948698969421757</v>
      </c>
      <c r="H10" s="108">
        <f t="shared" ref="H10:I10" si="6">H9</f>
        <v>9.952135486850338</v>
      </c>
      <c r="I10" s="108">
        <f t="shared" si="6"/>
        <v>0.71453117981632719</v>
      </c>
    </row>
    <row r="11" spans="2:9" x14ac:dyDescent="0.25">
      <c r="B11" s="4">
        <v>6</v>
      </c>
      <c r="C11" s="106">
        <f t="shared" si="2"/>
        <v>1</v>
      </c>
      <c r="D11" s="12"/>
      <c r="E11" s="46">
        <f t="shared" si="3"/>
        <v>5.333333333333333</v>
      </c>
      <c r="F11" s="108">
        <f t="shared" si="0"/>
        <v>12.261536563608843</v>
      </c>
      <c r="G11" s="108">
        <f t="shared" si="0"/>
        <v>-1.5948698969421757</v>
      </c>
      <c r="H11" s="108">
        <f t="shared" ref="H11:I11" si="7">H10</f>
        <v>9.952135486850338</v>
      </c>
      <c r="I11" s="108">
        <f t="shared" si="7"/>
        <v>0.71453117981632719</v>
      </c>
    </row>
    <row r="12" spans="2:9" x14ac:dyDescent="0.25">
      <c r="B12" s="4">
        <v>7</v>
      </c>
      <c r="C12" s="106">
        <f t="shared" si="2"/>
        <v>1</v>
      </c>
      <c r="D12" s="12"/>
      <c r="E12" s="46">
        <f t="shared" si="3"/>
        <v>5.333333333333333</v>
      </c>
      <c r="F12" s="108">
        <f t="shared" si="0"/>
        <v>12.261536563608843</v>
      </c>
      <c r="G12" s="108">
        <f t="shared" si="0"/>
        <v>-1.5948698969421757</v>
      </c>
      <c r="H12" s="108">
        <f t="shared" ref="H12:I12" si="8">H11</f>
        <v>9.952135486850338</v>
      </c>
      <c r="I12" s="108">
        <f t="shared" si="8"/>
        <v>0.71453117981632719</v>
      </c>
    </row>
    <row r="13" spans="2:9" x14ac:dyDescent="0.25">
      <c r="B13" s="4">
        <v>8</v>
      </c>
      <c r="C13" s="106">
        <f t="shared" si="2"/>
        <v>1</v>
      </c>
      <c r="D13" s="12"/>
      <c r="E13" s="46">
        <f t="shared" si="3"/>
        <v>5.333333333333333</v>
      </c>
      <c r="F13" s="108">
        <f t="shared" si="0"/>
        <v>12.261536563608843</v>
      </c>
      <c r="G13" s="108">
        <f t="shared" si="0"/>
        <v>-1.5948698969421757</v>
      </c>
      <c r="H13" s="108">
        <f t="shared" ref="H13:I13" si="9">H12</f>
        <v>9.952135486850338</v>
      </c>
      <c r="I13" s="108">
        <f t="shared" si="9"/>
        <v>0.71453117981632719</v>
      </c>
    </row>
    <row r="14" spans="2:9" x14ac:dyDescent="0.25">
      <c r="B14" s="4">
        <v>9</v>
      </c>
      <c r="C14" s="106">
        <f t="shared" si="2"/>
        <v>1</v>
      </c>
      <c r="D14" s="12"/>
      <c r="E14" s="46">
        <f t="shared" si="3"/>
        <v>5.333333333333333</v>
      </c>
      <c r="F14" s="108">
        <f t="shared" si="0"/>
        <v>12.261536563608843</v>
      </c>
      <c r="G14" s="108">
        <f t="shared" si="0"/>
        <v>-1.5948698969421757</v>
      </c>
      <c r="H14" s="108">
        <f t="shared" ref="H14:I14" si="10">H13</f>
        <v>9.952135486850338</v>
      </c>
      <c r="I14" s="108">
        <f t="shared" si="10"/>
        <v>0.71453117981632719</v>
      </c>
    </row>
    <row r="15" spans="2:9" x14ac:dyDescent="0.25">
      <c r="B15" s="4">
        <v>10</v>
      </c>
      <c r="C15" s="106">
        <f t="shared" si="2"/>
        <v>1</v>
      </c>
      <c r="D15" s="12"/>
      <c r="E15" s="46">
        <f t="shared" si="3"/>
        <v>5.333333333333333</v>
      </c>
      <c r="F15" s="108">
        <f t="shared" si="0"/>
        <v>12.261536563608843</v>
      </c>
      <c r="G15" s="108">
        <f t="shared" si="0"/>
        <v>-1.5948698969421757</v>
      </c>
      <c r="H15" s="108">
        <f t="shared" ref="H15:I15" si="11">H14</f>
        <v>9.952135486850338</v>
      </c>
      <c r="I15" s="108">
        <f t="shared" si="11"/>
        <v>0.71453117981632719</v>
      </c>
    </row>
    <row r="16" spans="2:9" x14ac:dyDescent="0.25">
      <c r="B16" s="4">
        <v>11</v>
      </c>
      <c r="C16" s="106">
        <f t="shared" si="2"/>
        <v>1</v>
      </c>
      <c r="D16" s="12"/>
      <c r="E16" s="46">
        <f t="shared" si="3"/>
        <v>5.333333333333333</v>
      </c>
      <c r="F16" s="108">
        <f t="shared" si="0"/>
        <v>12.261536563608843</v>
      </c>
      <c r="G16" s="108">
        <f t="shared" si="0"/>
        <v>-1.5948698969421757</v>
      </c>
      <c r="H16" s="108">
        <f t="shared" ref="H16:I16" si="12">H15</f>
        <v>9.952135486850338</v>
      </c>
      <c r="I16" s="108">
        <f t="shared" si="12"/>
        <v>0.71453117981632719</v>
      </c>
    </row>
    <row r="17" spans="2:9" x14ac:dyDescent="0.25">
      <c r="B17" s="4">
        <v>12</v>
      </c>
      <c r="C17" s="106">
        <f t="shared" si="2"/>
        <v>1</v>
      </c>
      <c r="D17" s="12"/>
      <c r="E17" s="46">
        <f t="shared" si="3"/>
        <v>5.333333333333333</v>
      </c>
      <c r="F17" s="108">
        <f t="shared" si="0"/>
        <v>12.261536563608843</v>
      </c>
      <c r="G17" s="108">
        <f t="shared" si="0"/>
        <v>-1.5948698969421757</v>
      </c>
      <c r="H17" s="108">
        <f t="shared" ref="H17:I17" si="13">H16</f>
        <v>9.952135486850338</v>
      </c>
      <c r="I17" s="108">
        <f t="shared" si="13"/>
        <v>0.71453117981632719</v>
      </c>
    </row>
    <row r="18" spans="2:9" x14ac:dyDescent="0.25">
      <c r="B18" s="4">
        <v>13</v>
      </c>
      <c r="C18" s="106">
        <f t="shared" si="2"/>
        <v>1</v>
      </c>
      <c r="D18" s="12"/>
      <c r="E18" s="46">
        <f t="shared" si="3"/>
        <v>5.333333333333333</v>
      </c>
      <c r="F18" s="108">
        <f t="shared" si="0"/>
        <v>12.261536563608843</v>
      </c>
      <c r="G18" s="108">
        <f t="shared" si="0"/>
        <v>-1.5948698969421757</v>
      </c>
      <c r="H18" s="108">
        <f t="shared" ref="H18:I18" si="14">H17</f>
        <v>9.952135486850338</v>
      </c>
      <c r="I18" s="108">
        <f t="shared" si="14"/>
        <v>0.71453117981632719</v>
      </c>
    </row>
    <row r="19" spans="2:9" x14ac:dyDescent="0.25">
      <c r="B19" s="4">
        <v>14</v>
      </c>
      <c r="C19" s="106">
        <f t="shared" si="2"/>
        <v>1</v>
      </c>
      <c r="D19" s="12"/>
      <c r="E19" s="46">
        <f t="shared" si="3"/>
        <v>5.333333333333333</v>
      </c>
      <c r="F19" s="108">
        <f t="shared" si="0"/>
        <v>12.261536563608843</v>
      </c>
      <c r="G19" s="108">
        <f t="shared" si="0"/>
        <v>-1.5948698969421757</v>
      </c>
      <c r="H19" s="108">
        <f t="shared" ref="H19:I19" si="15">H18</f>
        <v>9.952135486850338</v>
      </c>
      <c r="I19" s="108">
        <f t="shared" si="15"/>
        <v>0.71453117981632719</v>
      </c>
    </row>
    <row r="20" spans="2:9" x14ac:dyDescent="0.25">
      <c r="B20" s="4">
        <v>15</v>
      </c>
      <c r="C20" s="106">
        <f t="shared" si="2"/>
        <v>1</v>
      </c>
      <c r="D20" s="12"/>
      <c r="E20" s="46">
        <f t="shared" si="3"/>
        <v>5.333333333333333</v>
      </c>
      <c r="F20" s="108">
        <f t="shared" si="0"/>
        <v>12.261536563608843</v>
      </c>
      <c r="G20" s="108">
        <f t="shared" si="0"/>
        <v>-1.5948698969421757</v>
      </c>
      <c r="H20" s="108">
        <f t="shared" ref="H20:I20" si="16">H19</f>
        <v>9.952135486850338</v>
      </c>
      <c r="I20" s="108">
        <f t="shared" si="16"/>
        <v>0.71453117981632719</v>
      </c>
    </row>
    <row r="21" spans="2:9" x14ac:dyDescent="0.25">
      <c r="B21" s="4">
        <v>16</v>
      </c>
      <c r="C21" s="106">
        <f t="shared" si="2"/>
        <v>1</v>
      </c>
      <c r="D21" s="12"/>
      <c r="E21" s="46">
        <f t="shared" si="3"/>
        <v>5.333333333333333</v>
      </c>
      <c r="F21" s="108">
        <f t="shared" si="0"/>
        <v>12.261536563608843</v>
      </c>
      <c r="G21" s="108">
        <f t="shared" si="0"/>
        <v>-1.5948698969421757</v>
      </c>
      <c r="H21" s="108">
        <f t="shared" ref="H21:I21" si="17">H20</f>
        <v>9.952135486850338</v>
      </c>
      <c r="I21" s="108">
        <f t="shared" si="17"/>
        <v>0.71453117981632719</v>
      </c>
    </row>
    <row r="22" spans="2:9" x14ac:dyDescent="0.25">
      <c r="B22" s="4">
        <v>17</v>
      </c>
      <c r="C22" s="106">
        <f t="shared" si="2"/>
        <v>1</v>
      </c>
      <c r="D22" s="12"/>
      <c r="E22" s="46">
        <f t="shared" si="3"/>
        <v>5.333333333333333</v>
      </c>
      <c r="F22" s="108">
        <f t="shared" si="0"/>
        <v>12.261536563608843</v>
      </c>
      <c r="G22" s="108">
        <f t="shared" si="0"/>
        <v>-1.5948698969421757</v>
      </c>
      <c r="H22" s="108">
        <f t="shared" ref="H22:I22" si="18">H21</f>
        <v>9.952135486850338</v>
      </c>
      <c r="I22" s="108">
        <f t="shared" si="18"/>
        <v>0.71453117981632719</v>
      </c>
    </row>
    <row r="23" spans="2:9" x14ac:dyDescent="0.25">
      <c r="B23" s="4">
        <v>18</v>
      </c>
      <c r="C23" s="106">
        <f t="shared" si="2"/>
        <v>1</v>
      </c>
      <c r="D23" s="12"/>
      <c r="E23" s="46">
        <f t="shared" si="3"/>
        <v>5.333333333333333</v>
      </c>
      <c r="F23" s="108">
        <f t="shared" si="0"/>
        <v>12.261536563608843</v>
      </c>
      <c r="G23" s="108">
        <f t="shared" si="0"/>
        <v>-1.5948698969421757</v>
      </c>
      <c r="H23" s="108">
        <f t="shared" ref="H23:I23" si="19">H22</f>
        <v>9.952135486850338</v>
      </c>
      <c r="I23" s="108">
        <f t="shared" si="19"/>
        <v>0.71453117981632719</v>
      </c>
    </row>
    <row r="24" spans="2:9" x14ac:dyDescent="0.25">
      <c r="B24" s="4">
        <v>19</v>
      </c>
      <c r="C24" s="106">
        <f t="shared" si="2"/>
        <v>1</v>
      </c>
      <c r="D24" s="12"/>
      <c r="E24" s="46">
        <f t="shared" si="3"/>
        <v>5.333333333333333</v>
      </c>
      <c r="F24" s="108">
        <f t="shared" si="0"/>
        <v>12.261536563608843</v>
      </c>
      <c r="G24" s="108">
        <f t="shared" si="0"/>
        <v>-1.5948698969421757</v>
      </c>
      <c r="H24" s="108">
        <f t="shared" ref="H24:I24" si="20">H23</f>
        <v>9.952135486850338</v>
      </c>
      <c r="I24" s="108">
        <f t="shared" si="20"/>
        <v>0.71453117981632719</v>
      </c>
    </row>
    <row r="25" spans="2:9" x14ac:dyDescent="0.25">
      <c r="B25" s="4">
        <v>20</v>
      </c>
      <c r="C25" s="106">
        <f t="shared" si="2"/>
        <v>1</v>
      </c>
      <c r="D25" s="12"/>
      <c r="E25" s="46">
        <f t="shared" si="3"/>
        <v>5.333333333333333</v>
      </c>
      <c r="F25" s="108">
        <f t="shared" si="0"/>
        <v>12.261536563608843</v>
      </c>
      <c r="G25" s="108">
        <f t="shared" si="0"/>
        <v>-1.5948698969421757</v>
      </c>
      <c r="H25" s="108">
        <f t="shared" ref="H25:I25" si="21">H24</f>
        <v>9.952135486850338</v>
      </c>
      <c r="I25" s="108">
        <f t="shared" si="21"/>
        <v>0.71453117981632719</v>
      </c>
    </row>
    <row r="26" spans="2:9" x14ac:dyDescent="0.25">
      <c r="B26" s="4">
        <v>21</v>
      </c>
      <c r="C26" s="106">
        <f t="shared" si="2"/>
        <v>1</v>
      </c>
      <c r="D26" s="12"/>
      <c r="E26" s="46">
        <f t="shared" si="3"/>
        <v>5.333333333333333</v>
      </c>
      <c r="F26" s="108">
        <f t="shared" si="0"/>
        <v>12.261536563608843</v>
      </c>
      <c r="G26" s="108">
        <f t="shared" si="0"/>
        <v>-1.5948698969421757</v>
      </c>
      <c r="H26" s="108">
        <f t="shared" ref="H26:I26" si="22">H25</f>
        <v>9.952135486850338</v>
      </c>
      <c r="I26" s="108">
        <f t="shared" si="22"/>
        <v>0.71453117981632719</v>
      </c>
    </row>
    <row r="27" spans="2:9" x14ac:dyDescent="0.25">
      <c r="B27" s="4">
        <v>22</v>
      </c>
      <c r="C27" s="106">
        <f>C26</f>
        <v>1</v>
      </c>
      <c r="D27" s="12"/>
      <c r="E27" s="46"/>
      <c r="F27" s="40"/>
      <c r="G27" s="40"/>
      <c r="H27" s="40"/>
      <c r="I27" s="40"/>
    </row>
    <row r="28" spans="2:9" x14ac:dyDescent="0.25">
      <c r="B28" s="4">
        <v>23</v>
      </c>
      <c r="C28" s="106"/>
      <c r="D28" s="12"/>
      <c r="E28" s="40"/>
      <c r="F28" s="40"/>
      <c r="G28" s="40"/>
      <c r="H28" s="40"/>
      <c r="I28" s="40"/>
    </row>
    <row r="29" spans="2:9" x14ac:dyDescent="0.25">
      <c r="B29" s="4">
        <v>24</v>
      </c>
      <c r="C29" s="106"/>
      <c r="D29" s="12"/>
      <c r="E29" s="40"/>
      <c r="F29" s="40"/>
      <c r="G29" s="40"/>
      <c r="H29" s="40"/>
      <c r="I29" s="40"/>
    </row>
    <row r="30" spans="2:9" x14ac:dyDescent="0.25">
      <c r="B30" s="4">
        <v>25</v>
      </c>
      <c r="C30" s="106"/>
      <c r="D30" s="12"/>
      <c r="E30" s="40"/>
      <c r="F30" s="40"/>
      <c r="G30" s="40"/>
      <c r="H30" s="40"/>
      <c r="I30" s="40"/>
    </row>
    <row r="31" spans="2:9" x14ac:dyDescent="0.25">
      <c r="B31" s="4">
        <v>26</v>
      </c>
      <c r="C31" s="106"/>
      <c r="D31" s="12"/>
      <c r="E31" s="40"/>
      <c r="F31" s="40"/>
      <c r="G31" s="40"/>
      <c r="H31" s="40"/>
      <c r="I31" s="40"/>
    </row>
    <row r="32" spans="2:9" x14ac:dyDescent="0.25">
      <c r="B32" s="4">
        <v>27</v>
      </c>
      <c r="C32" s="106"/>
      <c r="D32" s="12"/>
      <c r="E32" s="40"/>
      <c r="F32" s="40"/>
      <c r="G32" s="40"/>
      <c r="H32" s="40"/>
      <c r="I32" s="40"/>
    </row>
    <row r="33" spans="2:9" x14ac:dyDescent="0.25">
      <c r="B33" s="4">
        <v>28</v>
      </c>
      <c r="C33" s="106"/>
      <c r="D33" s="12"/>
      <c r="E33" s="40"/>
      <c r="F33" s="40"/>
      <c r="G33" s="40"/>
      <c r="H33" s="40"/>
      <c r="I33" s="40"/>
    </row>
    <row r="34" spans="2:9" x14ac:dyDescent="0.25">
      <c r="B34" s="4">
        <v>29</v>
      </c>
      <c r="C34" s="106"/>
      <c r="D34" s="12"/>
      <c r="E34" s="40"/>
      <c r="F34" s="40"/>
      <c r="G34" s="40"/>
      <c r="H34" s="40"/>
      <c r="I34" s="40"/>
    </row>
    <row r="35" spans="2:9" x14ac:dyDescent="0.25">
      <c r="B35" s="4">
        <v>30</v>
      </c>
      <c r="C35" s="106"/>
      <c r="D35" s="12"/>
      <c r="E35" s="40"/>
      <c r="F35" s="40"/>
      <c r="G35" s="40"/>
      <c r="H35" s="40"/>
      <c r="I35" s="40"/>
    </row>
    <row r="36" spans="2:9" x14ac:dyDescent="0.25">
      <c r="B36" s="4">
        <v>31</v>
      </c>
      <c r="C36" s="106"/>
      <c r="D36" s="12"/>
      <c r="E36" s="40"/>
      <c r="F36" s="40"/>
      <c r="G36" s="40"/>
      <c r="H36" s="40"/>
      <c r="I36" s="40"/>
    </row>
    <row r="37" spans="2:9" x14ac:dyDescent="0.25">
      <c r="B37" s="4">
        <v>32</v>
      </c>
      <c r="C37" s="106"/>
      <c r="D37" s="12"/>
      <c r="E37" s="40"/>
      <c r="F37" s="40"/>
      <c r="G37" s="40"/>
      <c r="H37" s="40"/>
      <c r="I37" s="40"/>
    </row>
    <row r="38" spans="2:9" x14ac:dyDescent="0.25">
      <c r="B38" s="4">
        <v>33</v>
      </c>
      <c r="C38" s="106"/>
      <c r="D38" s="12"/>
      <c r="E38" s="40"/>
      <c r="F38" s="40"/>
      <c r="G38" s="40"/>
      <c r="H38" s="40"/>
      <c r="I38" s="40"/>
    </row>
    <row r="39" spans="2:9" x14ac:dyDescent="0.25">
      <c r="B39" s="4">
        <v>34</v>
      </c>
      <c r="C39" s="106"/>
      <c r="D39" s="12"/>
      <c r="E39" s="40"/>
      <c r="F39" s="40"/>
      <c r="G39" s="40"/>
      <c r="H39" s="40"/>
      <c r="I39" s="40"/>
    </row>
    <row r="40" spans="2:9" x14ac:dyDescent="0.25">
      <c r="B40" s="4">
        <v>35</v>
      </c>
      <c r="C40" s="106"/>
      <c r="D40" s="12"/>
      <c r="E40" s="40"/>
      <c r="F40" s="40"/>
      <c r="G40" s="40"/>
      <c r="H40" s="40"/>
      <c r="I40" s="40"/>
    </row>
    <row r="41" spans="2:9" x14ac:dyDescent="0.25">
      <c r="B41" s="4">
        <v>36</v>
      </c>
      <c r="C41" s="106"/>
      <c r="D41" s="12"/>
      <c r="E41" s="40"/>
      <c r="F41" s="40"/>
      <c r="G41" s="40"/>
      <c r="H41" s="40"/>
      <c r="I41" s="40"/>
    </row>
    <row r="42" spans="2:9" x14ac:dyDescent="0.25">
      <c r="B42" s="4">
        <v>37</v>
      </c>
      <c r="C42" s="106"/>
      <c r="D42" s="12"/>
      <c r="E42" s="40"/>
      <c r="F42" s="40"/>
      <c r="G42" s="40"/>
      <c r="H42" s="40"/>
      <c r="I42" s="40"/>
    </row>
    <row r="43" spans="2:9" x14ac:dyDescent="0.25">
      <c r="B43" s="4">
        <v>38</v>
      </c>
      <c r="C43" s="106"/>
      <c r="D43" s="12"/>
      <c r="E43" s="40"/>
      <c r="F43" s="40"/>
      <c r="G43" s="40"/>
      <c r="H43" s="40"/>
      <c r="I43" s="4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3EE8-4BA2-4B21-90A1-8D41AE270FE0}">
  <dimension ref="B2:L43"/>
  <sheetViews>
    <sheetView showGridLines="0" workbookViewId="0">
      <selection activeCell="A21" sqref="A21"/>
    </sheetView>
  </sheetViews>
  <sheetFormatPr baseColWidth="10" defaultRowHeight="15" x14ac:dyDescent="0.25"/>
  <sheetData>
    <row r="2" spans="2:12" x14ac:dyDescent="0.25">
      <c r="B2" s="1" t="s">
        <v>88</v>
      </c>
    </row>
    <row r="3" spans="2:12" x14ac:dyDescent="0.25">
      <c r="B3" s="8" t="s">
        <v>25</v>
      </c>
    </row>
    <row r="4" spans="2:12" x14ac:dyDescent="0.25">
      <c r="B4" s="8"/>
    </row>
    <row r="5" spans="2:12" ht="30" x14ac:dyDescent="0.25">
      <c r="B5" s="3" t="s">
        <v>7</v>
      </c>
      <c r="C5" s="3" t="s">
        <v>26</v>
      </c>
      <c r="D5" s="11" t="s">
        <v>27</v>
      </c>
      <c r="E5" s="11" t="s">
        <v>28</v>
      </c>
      <c r="F5" s="11" t="s">
        <v>29</v>
      </c>
      <c r="G5" s="39" t="s">
        <v>30</v>
      </c>
      <c r="H5" s="35" t="s">
        <v>31</v>
      </c>
      <c r="I5" s="22" t="s">
        <v>32</v>
      </c>
      <c r="J5" s="22" t="s">
        <v>33</v>
      </c>
      <c r="K5" s="35" t="s">
        <v>15</v>
      </c>
      <c r="L5" s="35" t="s">
        <v>16</v>
      </c>
    </row>
    <row r="6" spans="2:12" x14ac:dyDescent="0.25">
      <c r="B6" s="4">
        <v>1</v>
      </c>
      <c r="C6" s="5">
        <v>64</v>
      </c>
      <c r="D6" s="12">
        <v>2</v>
      </c>
      <c r="E6" s="12">
        <v>0</v>
      </c>
      <c r="F6" s="12">
        <v>1</v>
      </c>
      <c r="G6" s="40">
        <f t="shared" ref="G6:G26" si="0">AVERAGE(D6:F6)/C6</f>
        <v>1.5625E-2</v>
      </c>
      <c r="H6" s="40">
        <f>AVERAGE(G6:G30)</f>
        <v>3.4719864025027913E-2</v>
      </c>
      <c r="I6" s="40">
        <f t="shared" ref="I6:I26" si="1">H6+3*SQRT(H6/C6)</f>
        <v>0.10459461539145176</v>
      </c>
      <c r="J6" s="40">
        <f t="shared" ref="J6:J26" si="2">IF(H6-3*SQRT(H6/C6)&lt;0,0,H6-3*SQRT(H6/C6))</f>
        <v>0</v>
      </c>
      <c r="K6" s="40">
        <f t="shared" ref="K6:K26" si="3">H6+2*SQRT(H6/C6)</f>
        <v>8.1303031602643808E-2</v>
      </c>
      <c r="L6" s="40">
        <f t="shared" ref="L6:L26" si="4">IF(H6-2*SQRT(H6/C6)&lt;0,0,H6-2*SQRT(H6/C6))</f>
        <v>0</v>
      </c>
    </row>
    <row r="7" spans="2:12" x14ac:dyDescent="0.25">
      <c r="B7" s="4">
        <v>2</v>
      </c>
      <c r="C7" s="5">
        <v>55</v>
      </c>
      <c r="D7" s="12">
        <v>2</v>
      </c>
      <c r="E7" s="12">
        <v>2</v>
      </c>
      <c r="F7" s="12">
        <v>2</v>
      </c>
      <c r="G7" s="40">
        <f t="shared" si="0"/>
        <v>3.6363636363636362E-2</v>
      </c>
      <c r="H7" s="40">
        <f t="shared" ref="H7:H26" si="5">H6</f>
        <v>3.4719864025027913E-2</v>
      </c>
      <c r="I7" s="40">
        <f t="shared" si="1"/>
        <v>0.11009514044246183</v>
      </c>
      <c r="J7" s="40">
        <f t="shared" si="2"/>
        <v>0</v>
      </c>
      <c r="K7" s="40">
        <f t="shared" si="3"/>
        <v>8.4970048303317183E-2</v>
      </c>
      <c r="L7" s="40">
        <f t="shared" si="4"/>
        <v>0</v>
      </c>
    </row>
    <row r="8" spans="2:12" x14ac:dyDescent="0.25">
      <c r="B8" s="4">
        <v>3</v>
      </c>
      <c r="C8" s="5">
        <v>50</v>
      </c>
      <c r="D8" s="12">
        <v>0</v>
      </c>
      <c r="E8" s="12">
        <v>1</v>
      </c>
      <c r="F8" s="12">
        <v>3</v>
      </c>
      <c r="G8" s="40">
        <f t="shared" si="0"/>
        <v>2.6666666666666665E-2</v>
      </c>
      <c r="H8" s="40">
        <f t="shared" si="5"/>
        <v>3.4719864025027913E-2</v>
      </c>
      <c r="I8" s="40">
        <f t="shared" si="1"/>
        <v>0.11377412086490356</v>
      </c>
      <c r="J8" s="40">
        <f t="shared" si="2"/>
        <v>0</v>
      </c>
      <c r="K8" s="40">
        <f t="shared" si="3"/>
        <v>8.7422701918278334E-2</v>
      </c>
      <c r="L8" s="40">
        <f t="shared" si="4"/>
        <v>0</v>
      </c>
    </row>
    <row r="9" spans="2:12" x14ac:dyDescent="0.25">
      <c r="B9" s="4">
        <v>4</v>
      </c>
      <c r="C9" s="5">
        <v>64</v>
      </c>
      <c r="D9" s="12">
        <v>6</v>
      </c>
      <c r="E9" s="12">
        <v>1</v>
      </c>
      <c r="F9" s="12">
        <v>3</v>
      </c>
      <c r="G9" s="40">
        <f t="shared" si="0"/>
        <v>5.2083333333333336E-2</v>
      </c>
      <c r="H9" s="40">
        <f t="shared" si="5"/>
        <v>3.4719864025027913E-2</v>
      </c>
      <c r="I9" s="40">
        <f t="shared" si="1"/>
        <v>0.10459461539145176</v>
      </c>
      <c r="J9" s="40">
        <f t="shared" si="2"/>
        <v>0</v>
      </c>
      <c r="K9" s="40">
        <f t="shared" si="3"/>
        <v>8.1303031602643808E-2</v>
      </c>
      <c r="L9" s="40">
        <f t="shared" si="4"/>
        <v>0</v>
      </c>
    </row>
    <row r="10" spans="2:12" x14ac:dyDescent="0.25">
      <c r="B10" s="4">
        <v>5</v>
      </c>
      <c r="C10" s="5">
        <v>60</v>
      </c>
      <c r="D10" s="12">
        <v>3</v>
      </c>
      <c r="E10" s="12">
        <v>1</v>
      </c>
      <c r="F10" s="12">
        <v>2</v>
      </c>
      <c r="G10" s="40">
        <f t="shared" si="0"/>
        <v>3.3333333333333333E-2</v>
      </c>
      <c r="H10" s="40">
        <f t="shared" si="5"/>
        <v>3.4719864025027913E-2</v>
      </c>
      <c r="I10" s="40">
        <f t="shared" si="1"/>
        <v>0.10688619692170617</v>
      </c>
      <c r="J10" s="40">
        <f t="shared" si="2"/>
        <v>0</v>
      </c>
      <c r="K10" s="40">
        <f t="shared" si="3"/>
        <v>8.2830752622813419E-2</v>
      </c>
      <c r="L10" s="40">
        <f t="shared" si="4"/>
        <v>0</v>
      </c>
    </row>
    <row r="11" spans="2:12" x14ac:dyDescent="0.25">
      <c r="B11" s="4">
        <v>6</v>
      </c>
      <c r="C11" s="5">
        <v>54</v>
      </c>
      <c r="D11" s="12">
        <v>2</v>
      </c>
      <c r="E11" s="12">
        <v>1</v>
      </c>
      <c r="F11" s="12">
        <v>2</v>
      </c>
      <c r="G11" s="40">
        <f t="shared" si="0"/>
        <v>3.0864197530864199E-2</v>
      </c>
      <c r="H11" s="40">
        <f t="shared" si="5"/>
        <v>3.4719864025027913E-2</v>
      </c>
      <c r="I11" s="40">
        <f t="shared" si="1"/>
        <v>0.11078985813684128</v>
      </c>
      <c r="J11" s="40">
        <f t="shared" si="2"/>
        <v>0</v>
      </c>
      <c r="K11" s="40">
        <f t="shared" si="3"/>
        <v>8.5433193432903481E-2</v>
      </c>
      <c r="L11" s="40">
        <f t="shared" si="4"/>
        <v>0</v>
      </c>
    </row>
    <row r="12" spans="2:12" x14ac:dyDescent="0.25">
      <c r="B12" s="4">
        <v>7</v>
      </c>
      <c r="C12" s="5">
        <v>63</v>
      </c>
      <c r="D12" s="12">
        <v>0</v>
      </c>
      <c r="E12" s="12">
        <v>2</v>
      </c>
      <c r="F12" s="12">
        <v>2</v>
      </c>
      <c r="G12" s="40">
        <f t="shared" si="0"/>
        <v>2.1164021164021163E-2</v>
      </c>
      <c r="H12" s="40">
        <f t="shared" si="5"/>
        <v>3.4719864025027913E-2</v>
      </c>
      <c r="I12" s="40">
        <f t="shared" si="1"/>
        <v>0.10514699356332435</v>
      </c>
      <c r="J12" s="40">
        <f t="shared" si="2"/>
        <v>0</v>
      </c>
      <c r="K12" s="40">
        <f t="shared" si="3"/>
        <v>8.167128371722554E-2</v>
      </c>
      <c r="L12" s="40">
        <f t="shared" si="4"/>
        <v>0</v>
      </c>
    </row>
    <row r="13" spans="2:12" x14ac:dyDescent="0.25">
      <c r="B13" s="4">
        <v>8</v>
      </c>
      <c r="C13" s="5">
        <v>66</v>
      </c>
      <c r="D13" s="12">
        <v>0</v>
      </c>
      <c r="E13" s="12">
        <v>1</v>
      </c>
      <c r="F13" s="12">
        <v>3</v>
      </c>
      <c r="G13" s="40">
        <f t="shared" si="0"/>
        <v>2.02020202020202E-2</v>
      </c>
      <c r="H13" s="40">
        <f t="shared" si="5"/>
        <v>3.4719864025027913E-2</v>
      </c>
      <c r="I13" s="40">
        <f t="shared" si="1"/>
        <v>0.10352776264505414</v>
      </c>
      <c r="J13" s="40">
        <f t="shared" si="2"/>
        <v>0</v>
      </c>
      <c r="K13" s="40">
        <f t="shared" si="3"/>
        <v>8.0591796438378729E-2</v>
      </c>
      <c r="L13" s="40">
        <f t="shared" si="4"/>
        <v>0</v>
      </c>
    </row>
    <row r="14" spans="2:12" x14ac:dyDescent="0.25">
      <c r="B14" s="4">
        <v>9</v>
      </c>
      <c r="C14" s="5">
        <v>49</v>
      </c>
      <c r="D14" s="12">
        <v>1</v>
      </c>
      <c r="E14" s="12">
        <v>0</v>
      </c>
      <c r="F14" s="12">
        <v>1</v>
      </c>
      <c r="G14" s="40">
        <f t="shared" si="0"/>
        <v>1.3605442176870748E-2</v>
      </c>
      <c r="H14" s="40">
        <f t="shared" si="5"/>
        <v>3.4719864025027913E-2</v>
      </c>
      <c r="I14" s="40">
        <f t="shared" si="1"/>
        <v>0.1145767227295123</v>
      </c>
      <c r="J14" s="40">
        <f t="shared" si="2"/>
        <v>0</v>
      </c>
      <c r="K14" s="40">
        <f t="shared" si="3"/>
        <v>8.7957769828017507E-2</v>
      </c>
      <c r="L14" s="40">
        <f t="shared" si="4"/>
        <v>0</v>
      </c>
    </row>
    <row r="15" spans="2:12" x14ac:dyDescent="0.25">
      <c r="B15" s="4">
        <v>10</v>
      </c>
      <c r="C15" s="5">
        <v>51</v>
      </c>
      <c r="D15" s="12">
        <v>2</v>
      </c>
      <c r="E15" s="12">
        <v>2</v>
      </c>
      <c r="F15" s="12">
        <v>1</v>
      </c>
      <c r="G15" s="40">
        <f t="shared" si="0"/>
        <v>3.2679738562091505E-2</v>
      </c>
      <c r="H15" s="40">
        <f t="shared" si="5"/>
        <v>3.4719864025027913E-2</v>
      </c>
      <c r="I15" s="40">
        <f t="shared" si="1"/>
        <v>0.11299524219687773</v>
      </c>
      <c r="J15" s="40">
        <f t="shared" si="2"/>
        <v>0</v>
      </c>
      <c r="K15" s="40">
        <f t="shared" si="3"/>
        <v>8.6903449472927788E-2</v>
      </c>
      <c r="L15" s="40">
        <f t="shared" si="4"/>
        <v>0</v>
      </c>
    </row>
    <row r="16" spans="2:12" x14ac:dyDescent="0.25">
      <c r="B16" s="4">
        <v>11</v>
      </c>
      <c r="C16" s="5">
        <v>51</v>
      </c>
      <c r="D16" s="12">
        <v>0</v>
      </c>
      <c r="E16" s="12">
        <v>0</v>
      </c>
      <c r="F16" s="12">
        <v>1</v>
      </c>
      <c r="G16" s="40">
        <f t="shared" si="0"/>
        <v>6.5359477124183E-3</v>
      </c>
      <c r="H16" s="40">
        <f t="shared" si="5"/>
        <v>3.4719864025027913E-2</v>
      </c>
      <c r="I16" s="40">
        <f t="shared" si="1"/>
        <v>0.11299524219687773</v>
      </c>
      <c r="J16" s="40">
        <f t="shared" si="2"/>
        <v>0</v>
      </c>
      <c r="K16" s="40">
        <f t="shared" si="3"/>
        <v>8.6903449472927788E-2</v>
      </c>
      <c r="L16" s="40">
        <f t="shared" si="4"/>
        <v>0</v>
      </c>
    </row>
    <row r="17" spans="2:12" x14ac:dyDescent="0.25">
      <c r="B17" s="4">
        <v>12</v>
      </c>
      <c r="C17" s="5">
        <v>52</v>
      </c>
      <c r="D17" s="12">
        <v>3</v>
      </c>
      <c r="E17" s="12">
        <v>3</v>
      </c>
      <c r="F17" s="12">
        <v>0</v>
      </c>
      <c r="G17" s="40">
        <f t="shared" si="0"/>
        <v>3.8461538461538464E-2</v>
      </c>
      <c r="H17" s="40">
        <f t="shared" si="5"/>
        <v>3.4719864025027913E-2</v>
      </c>
      <c r="I17" s="40">
        <f t="shared" si="1"/>
        <v>0.11223894061331671</v>
      </c>
      <c r="J17" s="40">
        <f t="shared" si="2"/>
        <v>0</v>
      </c>
      <c r="K17" s="40">
        <f t="shared" si="3"/>
        <v>8.6399248417220451E-2</v>
      </c>
      <c r="L17" s="40">
        <f t="shared" si="4"/>
        <v>0</v>
      </c>
    </row>
    <row r="18" spans="2:12" x14ac:dyDescent="0.25">
      <c r="B18" s="4">
        <v>13</v>
      </c>
      <c r="C18" s="5">
        <v>53</v>
      </c>
      <c r="D18" s="12">
        <v>3</v>
      </c>
      <c r="E18" s="12">
        <v>3</v>
      </c>
      <c r="F18" s="12">
        <v>0</v>
      </c>
      <c r="G18" s="40">
        <f t="shared" si="0"/>
        <v>3.7735849056603772E-2</v>
      </c>
      <c r="H18" s="40">
        <f t="shared" si="5"/>
        <v>3.4719864025027913E-2</v>
      </c>
      <c r="I18" s="40">
        <f t="shared" si="1"/>
        <v>0.11150414605275918</v>
      </c>
      <c r="J18" s="40">
        <f t="shared" si="2"/>
        <v>0</v>
      </c>
      <c r="K18" s="40">
        <f t="shared" si="3"/>
        <v>8.5909385376848751E-2</v>
      </c>
      <c r="L18" s="40">
        <f t="shared" si="4"/>
        <v>0</v>
      </c>
    </row>
    <row r="19" spans="2:12" x14ac:dyDescent="0.25">
      <c r="B19" s="4">
        <v>14</v>
      </c>
      <c r="C19" s="5">
        <v>48</v>
      </c>
      <c r="D19" s="12">
        <v>1</v>
      </c>
      <c r="E19" s="12">
        <v>1</v>
      </c>
      <c r="F19" s="12">
        <v>3</v>
      </c>
      <c r="G19" s="40">
        <f t="shared" si="0"/>
        <v>3.4722222222222224E-2</v>
      </c>
      <c r="H19" s="40">
        <f t="shared" si="5"/>
        <v>3.4719864025027913E-2</v>
      </c>
      <c r="I19" s="40">
        <f t="shared" si="1"/>
        <v>0.11540427704695387</v>
      </c>
      <c r="J19" s="40">
        <f t="shared" si="2"/>
        <v>0</v>
      </c>
      <c r="K19" s="40">
        <f t="shared" si="3"/>
        <v>8.8509472706311876E-2</v>
      </c>
      <c r="L19" s="40">
        <f t="shared" si="4"/>
        <v>0</v>
      </c>
    </row>
    <row r="20" spans="2:12" x14ac:dyDescent="0.25">
      <c r="B20" s="4">
        <v>15</v>
      </c>
      <c r="C20" s="5">
        <v>60</v>
      </c>
      <c r="D20" s="12">
        <v>1</v>
      </c>
      <c r="E20" s="12">
        <v>1</v>
      </c>
      <c r="F20" s="12">
        <v>0</v>
      </c>
      <c r="G20" s="40">
        <f t="shared" si="0"/>
        <v>1.111111111111111E-2</v>
      </c>
      <c r="H20" s="40">
        <f t="shared" si="5"/>
        <v>3.4719864025027913E-2</v>
      </c>
      <c r="I20" s="40">
        <f t="shared" si="1"/>
        <v>0.10688619692170617</v>
      </c>
      <c r="J20" s="40">
        <f t="shared" si="2"/>
        <v>0</v>
      </c>
      <c r="K20" s="40">
        <f t="shared" si="3"/>
        <v>8.2830752622813419E-2</v>
      </c>
      <c r="L20" s="40">
        <f t="shared" si="4"/>
        <v>0</v>
      </c>
    </row>
    <row r="21" spans="2:12" x14ac:dyDescent="0.25">
      <c r="B21" s="4">
        <v>16</v>
      </c>
      <c r="C21" s="5">
        <v>65</v>
      </c>
      <c r="D21" s="12">
        <v>3</v>
      </c>
      <c r="E21" s="12">
        <v>3</v>
      </c>
      <c r="F21" s="12">
        <v>1</v>
      </c>
      <c r="G21" s="40">
        <f t="shared" si="0"/>
        <v>3.5897435897435902E-2</v>
      </c>
      <c r="H21" s="40">
        <f t="shared" si="5"/>
        <v>3.4719864025027913E-2</v>
      </c>
      <c r="I21" s="40">
        <f t="shared" si="1"/>
        <v>0.10405503394679841</v>
      </c>
      <c r="J21" s="40">
        <f t="shared" si="2"/>
        <v>0</v>
      </c>
      <c r="K21" s="40">
        <f t="shared" si="3"/>
        <v>8.0943310639541577E-2</v>
      </c>
      <c r="L21" s="40">
        <f t="shared" si="4"/>
        <v>0</v>
      </c>
    </row>
    <row r="22" spans="2:12" x14ac:dyDescent="0.25">
      <c r="B22" s="4">
        <v>17</v>
      </c>
      <c r="C22" s="5">
        <v>49</v>
      </c>
      <c r="D22" s="12">
        <v>3</v>
      </c>
      <c r="E22" s="12">
        <v>3</v>
      </c>
      <c r="F22" s="12">
        <v>3</v>
      </c>
      <c r="G22" s="40">
        <f t="shared" si="0"/>
        <v>6.1224489795918366E-2</v>
      </c>
      <c r="H22" s="40">
        <f t="shared" si="5"/>
        <v>3.4719864025027913E-2</v>
      </c>
      <c r="I22" s="40">
        <f t="shared" si="1"/>
        <v>0.1145767227295123</v>
      </c>
      <c r="J22" s="40">
        <f t="shared" si="2"/>
        <v>0</v>
      </c>
      <c r="K22" s="40">
        <f t="shared" si="3"/>
        <v>8.7957769828017507E-2</v>
      </c>
      <c r="L22" s="40">
        <f t="shared" si="4"/>
        <v>0</v>
      </c>
    </row>
    <row r="23" spans="2:12" x14ac:dyDescent="0.25">
      <c r="B23" s="4">
        <v>18</v>
      </c>
      <c r="C23" s="5">
        <v>53</v>
      </c>
      <c r="D23" s="12">
        <v>4</v>
      </c>
      <c r="E23" s="12">
        <v>4</v>
      </c>
      <c r="F23" s="12">
        <v>0</v>
      </c>
      <c r="G23" s="40">
        <f t="shared" si="0"/>
        <v>5.0314465408805027E-2</v>
      </c>
      <c r="H23" s="40">
        <f t="shared" si="5"/>
        <v>3.4719864025027913E-2</v>
      </c>
      <c r="I23" s="40">
        <f t="shared" si="1"/>
        <v>0.11150414605275918</v>
      </c>
      <c r="J23" s="40">
        <f t="shared" si="2"/>
        <v>0</v>
      </c>
      <c r="K23" s="40">
        <f t="shared" si="3"/>
        <v>8.5909385376848751E-2</v>
      </c>
      <c r="L23" s="40">
        <f t="shared" si="4"/>
        <v>0</v>
      </c>
    </row>
    <row r="24" spans="2:12" x14ac:dyDescent="0.25">
      <c r="B24" s="4">
        <v>19</v>
      </c>
      <c r="C24" s="5">
        <v>56</v>
      </c>
      <c r="D24" s="12">
        <v>5</v>
      </c>
      <c r="E24" s="12">
        <v>5</v>
      </c>
      <c r="F24" s="12">
        <v>1</v>
      </c>
      <c r="G24" s="40">
        <f t="shared" si="0"/>
        <v>6.5476190476190479E-2</v>
      </c>
      <c r="H24" s="40">
        <f t="shared" si="5"/>
        <v>3.4719864025027913E-2</v>
      </c>
      <c r="I24" s="40">
        <f t="shared" si="1"/>
        <v>0.10941911533907714</v>
      </c>
      <c r="J24" s="40">
        <f t="shared" si="2"/>
        <v>0</v>
      </c>
      <c r="K24" s="40">
        <f t="shared" si="3"/>
        <v>8.451936490106074E-2</v>
      </c>
      <c r="L24" s="40">
        <f t="shared" si="4"/>
        <v>0</v>
      </c>
    </row>
    <row r="25" spans="2:12" x14ac:dyDescent="0.25">
      <c r="B25" s="4">
        <v>20</v>
      </c>
      <c r="C25" s="5">
        <v>66</v>
      </c>
      <c r="D25" s="12">
        <v>4</v>
      </c>
      <c r="E25" s="12">
        <v>4</v>
      </c>
      <c r="F25" s="12">
        <v>2</v>
      </c>
      <c r="G25" s="40">
        <f t="shared" si="0"/>
        <v>5.0505050505050504E-2</v>
      </c>
      <c r="H25" s="40">
        <f t="shared" si="5"/>
        <v>3.4719864025027913E-2</v>
      </c>
      <c r="I25" s="40">
        <f t="shared" si="1"/>
        <v>0.10352776264505414</v>
      </c>
      <c r="J25" s="40">
        <f t="shared" si="2"/>
        <v>0</v>
      </c>
      <c r="K25" s="40">
        <f t="shared" si="3"/>
        <v>8.0591796438378729E-2</v>
      </c>
      <c r="L25" s="40">
        <f t="shared" si="4"/>
        <v>0</v>
      </c>
    </row>
    <row r="26" spans="2:12" x14ac:dyDescent="0.25">
      <c r="B26" s="4">
        <v>21</v>
      </c>
      <c r="C26" s="5">
        <v>55</v>
      </c>
      <c r="D26" s="12">
        <v>4</v>
      </c>
      <c r="E26" s="12">
        <v>4</v>
      </c>
      <c r="F26" s="12">
        <v>1</v>
      </c>
      <c r="G26" s="40">
        <f t="shared" si="0"/>
        <v>5.4545454545454543E-2</v>
      </c>
      <c r="H26" s="40">
        <f t="shared" si="5"/>
        <v>3.4719864025027913E-2</v>
      </c>
      <c r="I26" s="40">
        <f t="shared" si="1"/>
        <v>0.11009514044246183</v>
      </c>
      <c r="J26" s="40">
        <f t="shared" si="2"/>
        <v>0</v>
      </c>
      <c r="K26" s="40">
        <f t="shared" si="3"/>
        <v>8.4970048303317183E-2</v>
      </c>
      <c r="L26" s="40">
        <f t="shared" si="4"/>
        <v>0</v>
      </c>
    </row>
    <row r="27" spans="2:12" x14ac:dyDescent="0.25">
      <c r="B27" s="4">
        <v>22</v>
      </c>
      <c r="C27" s="5"/>
      <c r="D27" s="12"/>
      <c r="E27" s="12"/>
      <c r="F27" s="12"/>
      <c r="G27" s="40"/>
      <c r="H27" s="40"/>
      <c r="I27" s="40"/>
      <c r="J27" s="40"/>
      <c r="K27" s="40"/>
      <c r="L27" s="40"/>
    </row>
    <row r="28" spans="2:12" x14ac:dyDescent="0.25">
      <c r="B28" s="4">
        <v>23</v>
      </c>
      <c r="C28" s="5"/>
      <c r="D28" s="12"/>
      <c r="E28" s="12"/>
      <c r="F28" s="12"/>
      <c r="G28" s="40"/>
      <c r="H28" s="40"/>
      <c r="I28" s="40"/>
      <c r="J28" s="40"/>
      <c r="K28" s="40"/>
      <c r="L28" s="40"/>
    </row>
    <row r="29" spans="2:12" x14ac:dyDescent="0.25">
      <c r="B29" s="4">
        <v>24</v>
      </c>
      <c r="C29" s="5"/>
      <c r="D29" s="12"/>
      <c r="E29" s="12"/>
      <c r="F29" s="12"/>
      <c r="G29" s="40"/>
      <c r="H29" s="40"/>
      <c r="I29" s="40"/>
      <c r="J29" s="40"/>
      <c r="K29" s="40"/>
      <c r="L29" s="40"/>
    </row>
    <row r="30" spans="2:12" x14ac:dyDescent="0.25">
      <c r="B30" s="4">
        <v>25</v>
      </c>
      <c r="C30" s="5"/>
      <c r="D30" s="12"/>
      <c r="E30" s="12"/>
      <c r="F30" s="12"/>
      <c r="G30" s="40"/>
      <c r="H30" s="40"/>
      <c r="I30" s="40"/>
      <c r="J30" s="40"/>
      <c r="K30" s="40"/>
      <c r="L30" s="40"/>
    </row>
    <row r="31" spans="2:12" x14ac:dyDescent="0.25">
      <c r="B31" s="4">
        <v>26</v>
      </c>
      <c r="C31" s="5"/>
      <c r="D31" s="12"/>
      <c r="E31" s="12"/>
      <c r="F31" s="12"/>
      <c r="G31" s="40"/>
      <c r="H31" s="40"/>
      <c r="I31" s="40"/>
      <c r="J31" s="40"/>
      <c r="K31" s="40"/>
      <c r="L31" s="40"/>
    </row>
    <row r="32" spans="2:12" x14ac:dyDescent="0.25">
      <c r="B32" s="4">
        <v>27</v>
      </c>
      <c r="C32" s="5"/>
      <c r="D32" s="12"/>
      <c r="E32" s="12"/>
      <c r="F32" s="12"/>
      <c r="G32" s="40"/>
      <c r="H32" s="40"/>
      <c r="I32" s="40"/>
      <c r="J32" s="40"/>
      <c r="K32" s="40"/>
      <c r="L32" s="40"/>
    </row>
    <row r="33" spans="2:12" x14ac:dyDescent="0.25">
      <c r="B33" s="4">
        <v>28</v>
      </c>
      <c r="C33" s="5"/>
      <c r="D33" s="12"/>
      <c r="E33" s="12"/>
      <c r="F33" s="12"/>
      <c r="G33" s="40"/>
      <c r="H33" s="40"/>
      <c r="I33" s="40"/>
      <c r="J33" s="40"/>
      <c r="K33" s="40"/>
      <c r="L33" s="40"/>
    </row>
    <row r="34" spans="2:12" x14ac:dyDescent="0.25">
      <c r="B34" s="4">
        <v>29</v>
      </c>
      <c r="C34" s="5"/>
      <c r="D34" s="12"/>
      <c r="E34" s="12"/>
      <c r="F34" s="12"/>
      <c r="G34" s="40"/>
      <c r="H34" s="40"/>
      <c r="I34" s="40"/>
      <c r="J34" s="40"/>
      <c r="K34" s="40"/>
      <c r="L34" s="40"/>
    </row>
    <row r="35" spans="2:12" x14ac:dyDescent="0.25">
      <c r="B35" s="4">
        <v>30</v>
      </c>
      <c r="C35" s="5"/>
      <c r="D35" s="12"/>
      <c r="E35" s="12"/>
      <c r="F35" s="12"/>
      <c r="G35" s="40"/>
      <c r="H35" s="40"/>
      <c r="I35" s="40"/>
      <c r="J35" s="40"/>
      <c r="K35" s="40"/>
      <c r="L35" s="40"/>
    </row>
    <row r="36" spans="2:12" x14ac:dyDescent="0.25">
      <c r="B36" s="4">
        <v>31</v>
      </c>
      <c r="C36" s="5"/>
      <c r="D36" s="12"/>
      <c r="E36" s="12"/>
      <c r="F36" s="12"/>
      <c r="G36" s="40"/>
      <c r="H36" s="40"/>
      <c r="I36" s="40"/>
      <c r="J36" s="40"/>
      <c r="K36" s="40"/>
      <c r="L36" s="40"/>
    </row>
    <row r="37" spans="2:12" x14ac:dyDescent="0.25">
      <c r="B37" s="4">
        <v>32</v>
      </c>
      <c r="C37" s="5"/>
      <c r="D37" s="12"/>
      <c r="E37" s="12"/>
      <c r="F37" s="12"/>
      <c r="G37" s="40"/>
      <c r="H37" s="40"/>
      <c r="I37" s="40"/>
      <c r="J37" s="40"/>
      <c r="K37" s="40"/>
      <c r="L37" s="40"/>
    </row>
    <row r="38" spans="2:12" x14ac:dyDescent="0.25">
      <c r="B38" s="4">
        <v>33</v>
      </c>
      <c r="C38" s="5"/>
      <c r="D38" s="12"/>
      <c r="E38" s="12"/>
      <c r="F38" s="12"/>
      <c r="G38" s="40"/>
      <c r="H38" s="40"/>
      <c r="I38" s="40"/>
      <c r="J38" s="40"/>
      <c r="K38" s="40"/>
      <c r="L38" s="40"/>
    </row>
    <row r="39" spans="2:12" x14ac:dyDescent="0.25">
      <c r="B39" s="4">
        <v>34</v>
      </c>
      <c r="C39" s="5"/>
      <c r="D39" s="12"/>
      <c r="E39" s="12"/>
      <c r="F39" s="12"/>
      <c r="G39" s="40"/>
      <c r="H39" s="40"/>
      <c r="I39" s="40"/>
      <c r="J39" s="40"/>
      <c r="K39" s="40"/>
      <c r="L39" s="40"/>
    </row>
    <row r="40" spans="2:12" x14ac:dyDescent="0.25">
      <c r="B40" s="4">
        <v>35</v>
      </c>
      <c r="C40" s="5"/>
      <c r="D40" s="12"/>
      <c r="E40" s="12"/>
      <c r="F40" s="12"/>
      <c r="G40" s="40"/>
      <c r="H40" s="40"/>
      <c r="I40" s="40"/>
      <c r="J40" s="40"/>
      <c r="K40" s="40"/>
      <c r="L40" s="40"/>
    </row>
    <row r="41" spans="2:12" x14ac:dyDescent="0.25">
      <c r="B41" s="4">
        <v>36</v>
      </c>
      <c r="C41" s="5"/>
      <c r="D41" s="12"/>
      <c r="E41" s="12"/>
      <c r="F41" s="12"/>
      <c r="G41" s="40"/>
      <c r="H41" s="40"/>
      <c r="I41" s="40"/>
      <c r="J41" s="40"/>
      <c r="K41" s="40"/>
      <c r="L41" s="40"/>
    </row>
    <row r="42" spans="2:12" x14ac:dyDescent="0.25">
      <c r="B42" s="4">
        <v>37</v>
      </c>
      <c r="C42" s="5"/>
      <c r="D42" s="12"/>
      <c r="E42" s="12"/>
      <c r="F42" s="12"/>
      <c r="G42" s="40"/>
      <c r="H42" s="40"/>
      <c r="I42" s="40"/>
      <c r="J42" s="40"/>
      <c r="K42" s="40"/>
      <c r="L42" s="40"/>
    </row>
    <row r="43" spans="2:12" x14ac:dyDescent="0.25">
      <c r="B43" s="4">
        <v>38</v>
      </c>
      <c r="C43" s="5"/>
      <c r="D43" s="12"/>
      <c r="E43" s="12"/>
      <c r="F43" s="12"/>
      <c r="G43" s="40"/>
      <c r="H43" s="40"/>
      <c r="I43" s="40"/>
      <c r="J43" s="40"/>
      <c r="K43" s="40"/>
      <c r="L43" s="4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E613-8336-4B83-9683-C02B4CC6A36B}">
  <dimension ref="B2:U67"/>
  <sheetViews>
    <sheetView showGridLines="0" zoomScale="70" zoomScaleNormal="70" workbookViewId="0">
      <selection activeCell="I45" sqref="I45"/>
    </sheetView>
  </sheetViews>
  <sheetFormatPr baseColWidth="10" defaultRowHeight="15" x14ac:dyDescent="0.25"/>
  <sheetData>
    <row r="2" spans="2:21" x14ac:dyDescent="0.25">
      <c r="B2" s="1" t="s">
        <v>34</v>
      </c>
    </row>
    <row r="3" spans="2:21" x14ac:dyDescent="0.25">
      <c r="B3" t="s">
        <v>35</v>
      </c>
    </row>
    <row r="5" spans="2:21" x14ac:dyDescent="0.25">
      <c r="B5" s="4" t="s">
        <v>36</v>
      </c>
      <c r="C5" s="14" t="s">
        <v>37</v>
      </c>
      <c r="D5" s="13"/>
      <c r="E5" s="13"/>
      <c r="F5" s="13"/>
      <c r="G5" s="15"/>
      <c r="H5" s="13"/>
      <c r="I5" s="13"/>
    </row>
    <row r="6" spans="2:21" x14ac:dyDescent="0.25">
      <c r="B6" s="4" t="s">
        <v>38</v>
      </c>
      <c r="C6" s="14" t="s">
        <v>39</v>
      </c>
      <c r="D6" s="13"/>
      <c r="F6" s="16" t="s">
        <v>40</v>
      </c>
      <c r="G6" s="33">
        <f>COUNT(B14:B42)</f>
        <v>29</v>
      </c>
      <c r="I6" s="13"/>
    </row>
    <row r="7" spans="2:21" x14ac:dyDescent="0.25">
      <c r="B7" s="4" t="s">
        <v>41</v>
      </c>
      <c r="C7" s="14" t="s">
        <v>42</v>
      </c>
      <c r="D7" s="13"/>
      <c r="F7" s="16" t="s">
        <v>63</v>
      </c>
      <c r="G7" s="17">
        <v>100</v>
      </c>
      <c r="I7" s="13"/>
    </row>
    <row r="8" spans="2:21" x14ac:dyDescent="0.25">
      <c r="B8" s="4" t="s">
        <v>43</v>
      </c>
      <c r="C8" s="14" t="s">
        <v>44</v>
      </c>
      <c r="D8" s="13"/>
      <c r="E8" s="13"/>
      <c r="F8" s="13"/>
      <c r="G8" s="18"/>
      <c r="H8" s="18"/>
      <c r="I8" s="18"/>
    </row>
    <row r="9" spans="2:21" x14ac:dyDescent="0.25">
      <c r="B9" s="4" t="s">
        <v>45</v>
      </c>
      <c r="C9" s="14" t="s">
        <v>46</v>
      </c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2:21" x14ac:dyDescent="0.25"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 spans="2:21" x14ac:dyDescent="0.25">
      <c r="B11" s="19" t="s">
        <v>36</v>
      </c>
      <c r="C11" s="20" t="s">
        <v>38</v>
      </c>
      <c r="D11" s="20" t="s">
        <v>41</v>
      </c>
      <c r="E11" s="20" t="s">
        <v>43</v>
      </c>
      <c r="F11" s="20" t="s">
        <v>45</v>
      </c>
      <c r="H11" s="54"/>
      <c r="I11" s="54"/>
      <c r="J11" s="54"/>
      <c r="K11" s="54"/>
      <c r="L11" s="7"/>
      <c r="O11" s="51"/>
      <c r="P11" s="51"/>
      <c r="Q11" s="51"/>
      <c r="R11" s="52"/>
      <c r="S11" s="52"/>
      <c r="T11" s="26"/>
      <c r="U11" s="23"/>
    </row>
    <row r="12" spans="2:21" x14ac:dyDescent="0.25">
      <c r="B12" s="19" t="s">
        <v>48</v>
      </c>
      <c r="C12" s="21">
        <v>100</v>
      </c>
      <c r="D12" s="21">
        <v>50</v>
      </c>
      <c r="E12" s="21">
        <v>10</v>
      </c>
      <c r="F12" s="21">
        <v>1</v>
      </c>
      <c r="G12" s="93" t="s">
        <v>62</v>
      </c>
      <c r="H12" s="93"/>
      <c r="I12" s="93"/>
      <c r="J12" s="93"/>
      <c r="K12" s="93"/>
      <c r="L12" s="93"/>
      <c r="M12" s="93"/>
      <c r="N12" s="91" t="s">
        <v>47</v>
      </c>
      <c r="O12" s="92"/>
      <c r="P12" s="92"/>
      <c r="Q12" s="92"/>
      <c r="R12" s="53"/>
      <c r="S12" s="25"/>
      <c r="T12" s="18"/>
      <c r="U12" s="23"/>
    </row>
    <row r="13" spans="2:21" x14ac:dyDescent="0.25">
      <c r="B13" s="3" t="s">
        <v>7</v>
      </c>
      <c r="C13" s="94" t="s">
        <v>49</v>
      </c>
      <c r="D13" s="94"/>
      <c r="E13" s="94"/>
      <c r="F13" s="94"/>
      <c r="G13" s="42" t="s">
        <v>61</v>
      </c>
      <c r="H13" s="43" t="s">
        <v>50</v>
      </c>
      <c r="I13" s="44" t="s">
        <v>31</v>
      </c>
      <c r="J13" s="44" t="s">
        <v>32</v>
      </c>
      <c r="K13" s="35" t="s">
        <v>15</v>
      </c>
      <c r="L13" s="43" t="s">
        <v>33</v>
      </c>
      <c r="M13" s="35" t="s">
        <v>59</v>
      </c>
      <c r="N13" s="43" t="s">
        <v>51</v>
      </c>
      <c r="O13" s="44" t="s">
        <v>31</v>
      </c>
      <c r="P13" s="44" t="s">
        <v>32</v>
      </c>
      <c r="Q13" s="35" t="s">
        <v>15</v>
      </c>
      <c r="S13" s="13"/>
      <c r="T13" s="18"/>
      <c r="U13" s="23"/>
    </row>
    <row r="14" spans="2:21" x14ac:dyDescent="0.25">
      <c r="B14" s="4">
        <v>1</v>
      </c>
      <c r="C14" s="6">
        <v>2</v>
      </c>
      <c r="D14" s="6">
        <v>2</v>
      </c>
      <c r="E14" s="6">
        <v>0</v>
      </c>
      <c r="F14" s="6">
        <v>1</v>
      </c>
      <c r="G14" s="45">
        <f t="shared" ref="G14:G42" si="0">C14*$C$12+D14*$D$12+E14*$E$12+F14*$F$12</f>
        <v>301</v>
      </c>
      <c r="H14" s="45">
        <f t="shared" ref="H14:H42" si="1">C14*$C$12^2+D14*$D$12^2+E14*$E$12^2+F14*$F$12^2</f>
        <v>25001</v>
      </c>
      <c r="I14" s="46">
        <f>G65/$G$6</f>
        <v>375.79310344827587</v>
      </c>
      <c r="J14" s="46">
        <f>I14+3*SQRT(H65/$G$6)</f>
        <v>888.6596922713677</v>
      </c>
      <c r="K14" s="46">
        <f>I14+2*SQRT(H65/G6)</f>
        <v>717.70416266367056</v>
      </c>
      <c r="L14" s="47">
        <f>IF(I14-3*SQRT(H65/$G$6)&lt;0,0,I14-3*SQRT(H65/$G$6))</f>
        <v>0</v>
      </c>
      <c r="M14" s="46">
        <f>I14-2*SQRT(H65/$G$6)</f>
        <v>33.882044232881242</v>
      </c>
      <c r="N14" s="48">
        <f t="shared" ref="N14:N42" si="2">SUM(C14:F14)</f>
        <v>5</v>
      </c>
      <c r="O14" s="46">
        <f>C67</f>
        <v>8.8965517241379306</v>
      </c>
      <c r="P14" s="46">
        <f>O14+3*SQRT(O14)</f>
        <v>17.84467809323003</v>
      </c>
      <c r="Q14" s="46">
        <f>O14+2*SQRT(O14)</f>
        <v>14.861969303532664</v>
      </c>
      <c r="T14" s="26"/>
      <c r="U14" s="23"/>
    </row>
    <row r="15" spans="2:21" x14ac:dyDescent="0.25">
      <c r="B15" s="4">
        <v>2</v>
      </c>
      <c r="C15" s="6">
        <v>2</v>
      </c>
      <c r="D15" s="6">
        <v>2</v>
      </c>
      <c r="E15" s="6">
        <v>2</v>
      </c>
      <c r="F15" s="6">
        <v>2</v>
      </c>
      <c r="G15" s="45">
        <f t="shared" si="0"/>
        <v>322</v>
      </c>
      <c r="H15" s="45">
        <f t="shared" si="1"/>
        <v>25202</v>
      </c>
      <c r="I15" s="46">
        <f t="shared" ref="I15:I42" si="3">I14</f>
        <v>375.79310344827587</v>
      </c>
      <c r="J15" s="46">
        <f t="shared" ref="J15:J42" si="4">J14</f>
        <v>888.6596922713677</v>
      </c>
      <c r="K15" s="46">
        <f t="shared" ref="K15:K42" si="5">K14</f>
        <v>717.70416266367056</v>
      </c>
      <c r="L15" s="47">
        <f t="shared" ref="L15:L42" si="6">L14</f>
        <v>0</v>
      </c>
      <c r="M15" s="46">
        <f t="shared" ref="M15:M42" si="7">M14</f>
        <v>33.882044232881242</v>
      </c>
      <c r="N15" s="47">
        <f t="shared" si="2"/>
        <v>8</v>
      </c>
      <c r="O15" s="46">
        <f t="shared" ref="O15:O42" si="8">O14</f>
        <v>8.8965517241379306</v>
      </c>
      <c r="P15" s="46">
        <f t="shared" ref="P15:P42" si="9">P14</f>
        <v>17.84467809323003</v>
      </c>
      <c r="Q15" s="46">
        <f t="shared" ref="Q15:Q42" si="10">Q14</f>
        <v>14.861969303532664</v>
      </c>
      <c r="T15" s="26"/>
      <c r="U15" s="23"/>
    </row>
    <row r="16" spans="2:21" x14ac:dyDescent="0.25">
      <c r="B16" s="4">
        <v>3</v>
      </c>
      <c r="C16" s="6">
        <v>0</v>
      </c>
      <c r="D16" s="6">
        <v>0</v>
      </c>
      <c r="E16" s="6">
        <v>1</v>
      </c>
      <c r="F16" s="6">
        <v>3</v>
      </c>
      <c r="G16" s="45">
        <f t="shared" si="0"/>
        <v>13</v>
      </c>
      <c r="H16" s="45">
        <f t="shared" si="1"/>
        <v>103</v>
      </c>
      <c r="I16" s="46">
        <f t="shared" si="3"/>
        <v>375.79310344827587</v>
      </c>
      <c r="J16" s="46">
        <f t="shared" si="4"/>
        <v>888.6596922713677</v>
      </c>
      <c r="K16" s="46">
        <f t="shared" si="5"/>
        <v>717.70416266367056</v>
      </c>
      <c r="L16" s="47">
        <f t="shared" si="6"/>
        <v>0</v>
      </c>
      <c r="M16" s="46">
        <f t="shared" si="7"/>
        <v>33.882044232881242</v>
      </c>
      <c r="N16" s="47">
        <f t="shared" si="2"/>
        <v>4</v>
      </c>
      <c r="O16" s="46">
        <f t="shared" si="8"/>
        <v>8.8965517241379306</v>
      </c>
      <c r="P16" s="46">
        <f t="shared" si="9"/>
        <v>17.84467809323003</v>
      </c>
      <c r="Q16" s="46">
        <f t="shared" si="10"/>
        <v>14.861969303532664</v>
      </c>
      <c r="T16" s="26"/>
      <c r="U16" s="23"/>
    </row>
    <row r="17" spans="2:21" x14ac:dyDescent="0.25">
      <c r="B17" s="4">
        <v>4</v>
      </c>
      <c r="C17" s="6">
        <v>1</v>
      </c>
      <c r="D17" s="6">
        <v>1</v>
      </c>
      <c r="E17" s="6">
        <v>10</v>
      </c>
      <c r="F17" s="6">
        <v>8</v>
      </c>
      <c r="G17" s="45">
        <f t="shared" si="0"/>
        <v>258</v>
      </c>
      <c r="H17" s="45">
        <f t="shared" si="1"/>
        <v>13508</v>
      </c>
      <c r="I17" s="46">
        <f t="shared" si="3"/>
        <v>375.79310344827587</v>
      </c>
      <c r="J17" s="46">
        <f t="shared" si="4"/>
        <v>888.6596922713677</v>
      </c>
      <c r="K17" s="46">
        <f t="shared" si="5"/>
        <v>717.70416266367056</v>
      </c>
      <c r="L17" s="47">
        <f t="shared" si="6"/>
        <v>0</v>
      </c>
      <c r="M17" s="46">
        <f t="shared" si="7"/>
        <v>33.882044232881242</v>
      </c>
      <c r="N17" s="47">
        <f t="shared" si="2"/>
        <v>20</v>
      </c>
      <c r="O17" s="46">
        <f t="shared" si="8"/>
        <v>8.8965517241379306</v>
      </c>
      <c r="P17" s="46">
        <f t="shared" si="9"/>
        <v>17.84467809323003</v>
      </c>
      <c r="Q17" s="46">
        <f t="shared" si="10"/>
        <v>14.861969303532664</v>
      </c>
      <c r="T17" s="26"/>
      <c r="U17" s="23"/>
    </row>
    <row r="18" spans="2:21" x14ac:dyDescent="0.25">
      <c r="B18" s="4">
        <v>5</v>
      </c>
      <c r="C18" s="6">
        <v>3</v>
      </c>
      <c r="D18" s="6">
        <v>3</v>
      </c>
      <c r="E18" s="6">
        <v>1</v>
      </c>
      <c r="F18" s="6">
        <v>2</v>
      </c>
      <c r="G18" s="45">
        <f t="shared" si="0"/>
        <v>462</v>
      </c>
      <c r="H18" s="45">
        <f t="shared" si="1"/>
        <v>37602</v>
      </c>
      <c r="I18" s="46">
        <f t="shared" si="3"/>
        <v>375.79310344827587</v>
      </c>
      <c r="J18" s="46">
        <f t="shared" si="4"/>
        <v>888.6596922713677</v>
      </c>
      <c r="K18" s="46">
        <f t="shared" si="5"/>
        <v>717.70416266367056</v>
      </c>
      <c r="L18" s="47">
        <f t="shared" si="6"/>
        <v>0</v>
      </c>
      <c r="M18" s="46">
        <f t="shared" si="7"/>
        <v>33.882044232881242</v>
      </c>
      <c r="N18" s="47">
        <f t="shared" si="2"/>
        <v>9</v>
      </c>
      <c r="O18" s="46">
        <f t="shared" si="8"/>
        <v>8.8965517241379306</v>
      </c>
      <c r="P18" s="46">
        <f t="shared" si="9"/>
        <v>17.84467809323003</v>
      </c>
      <c r="Q18" s="46">
        <f t="shared" si="10"/>
        <v>14.861969303532664</v>
      </c>
      <c r="T18" s="26"/>
      <c r="U18" s="23"/>
    </row>
    <row r="19" spans="2:21" x14ac:dyDescent="0.25">
      <c r="B19" s="4">
        <v>6</v>
      </c>
      <c r="C19" s="6">
        <v>2</v>
      </c>
      <c r="D19" s="6">
        <v>2</v>
      </c>
      <c r="E19" s="6">
        <v>1</v>
      </c>
      <c r="F19" s="6">
        <v>2</v>
      </c>
      <c r="G19" s="45">
        <f t="shared" si="0"/>
        <v>312</v>
      </c>
      <c r="H19" s="45">
        <f t="shared" si="1"/>
        <v>25102</v>
      </c>
      <c r="I19" s="46">
        <f t="shared" si="3"/>
        <v>375.79310344827587</v>
      </c>
      <c r="J19" s="46">
        <f t="shared" si="4"/>
        <v>888.6596922713677</v>
      </c>
      <c r="K19" s="46">
        <f t="shared" si="5"/>
        <v>717.70416266367056</v>
      </c>
      <c r="L19" s="47">
        <f t="shared" si="6"/>
        <v>0</v>
      </c>
      <c r="M19" s="46">
        <f t="shared" si="7"/>
        <v>33.882044232881242</v>
      </c>
      <c r="N19" s="47">
        <f t="shared" si="2"/>
        <v>7</v>
      </c>
      <c r="O19" s="46">
        <f t="shared" si="8"/>
        <v>8.8965517241379306</v>
      </c>
      <c r="P19" s="46">
        <f t="shared" si="9"/>
        <v>17.84467809323003</v>
      </c>
      <c r="Q19" s="46">
        <f t="shared" si="10"/>
        <v>14.861969303532664</v>
      </c>
      <c r="T19" s="26"/>
      <c r="U19" s="23"/>
    </row>
    <row r="20" spans="2:21" x14ac:dyDescent="0.25">
      <c r="B20" s="4">
        <v>7</v>
      </c>
      <c r="C20" s="6">
        <v>0</v>
      </c>
      <c r="D20" s="6">
        <v>0</v>
      </c>
      <c r="E20" s="6">
        <v>2</v>
      </c>
      <c r="F20" s="6">
        <v>2</v>
      </c>
      <c r="G20" s="45">
        <f t="shared" si="0"/>
        <v>22</v>
      </c>
      <c r="H20" s="45">
        <f t="shared" si="1"/>
        <v>202</v>
      </c>
      <c r="I20" s="46">
        <f t="shared" si="3"/>
        <v>375.79310344827587</v>
      </c>
      <c r="J20" s="46">
        <f t="shared" si="4"/>
        <v>888.6596922713677</v>
      </c>
      <c r="K20" s="46">
        <f t="shared" si="5"/>
        <v>717.70416266367056</v>
      </c>
      <c r="L20" s="47">
        <f t="shared" si="6"/>
        <v>0</v>
      </c>
      <c r="M20" s="46">
        <f t="shared" si="7"/>
        <v>33.882044232881242</v>
      </c>
      <c r="N20" s="47">
        <f t="shared" si="2"/>
        <v>4</v>
      </c>
      <c r="O20" s="46">
        <f t="shared" si="8"/>
        <v>8.8965517241379306</v>
      </c>
      <c r="P20" s="46">
        <f t="shared" si="9"/>
        <v>17.84467809323003</v>
      </c>
      <c r="Q20" s="46">
        <f t="shared" si="10"/>
        <v>14.861969303532664</v>
      </c>
      <c r="T20" s="26"/>
      <c r="U20" s="23"/>
    </row>
    <row r="21" spans="2:21" x14ac:dyDescent="0.25">
      <c r="B21" s="4">
        <v>8</v>
      </c>
      <c r="C21" s="6">
        <v>0</v>
      </c>
      <c r="D21" s="6">
        <v>0</v>
      </c>
      <c r="E21" s="6">
        <v>1</v>
      </c>
      <c r="F21" s="6">
        <v>3</v>
      </c>
      <c r="G21" s="45">
        <f t="shared" si="0"/>
        <v>13</v>
      </c>
      <c r="H21" s="45">
        <f t="shared" si="1"/>
        <v>103</v>
      </c>
      <c r="I21" s="46">
        <f t="shared" si="3"/>
        <v>375.79310344827587</v>
      </c>
      <c r="J21" s="46">
        <f t="shared" si="4"/>
        <v>888.6596922713677</v>
      </c>
      <c r="K21" s="46">
        <f t="shared" si="5"/>
        <v>717.70416266367056</v>
      </c>
      <c r="L21" s="47">
        <f t="shared" si="6"/>
        <v>0</v>
      </c>
      <c r="M21" s="46">
        <f t="shared" si="7"/>
        <v>33.882044232881242</v>
      </c>
      <c r="N21" s="47">
        <f t="shared" si="2"/>
        <v>4</v>
      </c>
      <c r="O21" s="46">
        <f t="shared" si="8"/>
        <v>8.8965517241379306</v>
      </c>
      <c r="P21" s="46">
        <f t="shared" si="9"/>
        <v>17.84467809323003</v>
      </c>
      <c r="Q21" s="46">
        <f t="shared" si="10"/>
        <v>14.861969303532664</v>
      </c>
      <c r="T21" s="26"/>
      <c r="U21" s="23"/>
    </row>
    <row r="22" spans="2:21" x14ac:dyDescent="0.25">
      <c r="B22" s="4">
        <v>9</v>
      </c>
      <c r="C22" s="6">
        <v>1</v>
      </c>
      <c r="D22" s="6">
        <v>1</v>
      </c>
      <c r="E22" s="6">
        <v>0</v>
      </c>
      <c r="F22" s="6">
        <v>1</v>
      </c>
      <c r="G22" s="45">
        <f t="shared" si="0"/>
        <v>151</v>
      </c>
      <c r="H22" s="45">
        <f t="shared" si="1"/>
        <v>12501</v>
      </c>
      <c r="I22" s="46">
        <f t="shared" si="3"/>
        <v>375.79310344827587</v>
      </c>
      <c r="J22" s="46">
        <f t="shared" si="4"/>
        <v>888.6596922713677</v>
      </c>
      <c r="K22" s="46">
        <f t="shared" si="5"/>
        <v>717.70416266367056</v>
      </c>
      <c r="L22" s="47">
        <f t="shared" si="6"/>
        <v>0</v>
      </c>
      <c r="M22" s="46">
        <f t="shared" si="7"/>
        <v>33.882044232881242</v>
      </c>
      <c r="N22" s="47">
        <f t="shared" si="2"/>
        <v>3</v>
      </c>
      <c r="O22" s="46">
        <f t="shared" si="8"/>
        <v>8.8965517241379306</v>
      </c>
      <c r="P22" s="46">
        <f t="shared" si="9"/>
        <v>17.84467809323003</v>
      </c>
      <c r="Q22" s="46">
        <f t="shared" si="10"/>
        <v>14.861969303532664</v>
      </c>
      <c r="T22" s="26"/>
      <c r="U22" s="23"/>
    </row>
    <row r="23" spans="2:21" x14ac:dyDescent="0.25">
      <c r="B23" s="4">
        <v>10</v>
      </c>
      <c r="C23" s="6">
        <v>2</v>
      </c>
      <c r="D23" s="6">
        <v>2</v>
      </c>
      <c r="E23" s="6">
        <v>2</v>
      </c>
      <c r="F23" s="6">
        <v>1</v>
      </c>
      <c r="G23" s="45">
        <f t="shared" si="0"/>
        <v>321</v>
      </c>
      <c r="H23" s="45">
        <f t="shared" si="1"/>
        <v>25201</v>
      </c>
      <c r="I23" s="46">
        <f t="shared" si="3"/>
        <v>375.79310344827587</v>
      </c>
      <c r="J23" s="46">
        <f t="shared" si="4"/>
        <v>888.6596922713677</v>
      </c>
      <c r="K23" s="46">
        <f t="shared" si="5"/>
        <v>717.70416266367056</v>
      </c>
      <c r="L23" s="47">
        <f t="shared" si="6"/>
        <v>0</v>
      </c>
      <c r="M23" s="46">
        <f t="shared" si="7"/>
        <v>33.882044232881242</v>
      </c>
      <c r="N23" s="47">
        <f t="shared" si="2"/>
        <v>7</v>
      </c>
      <c r="O23" s="46">
        <f t="shared" si="8"/>
        <v>8.8965517241379306</v>
      </c>
      <c r="P23" s="46">
        <f t="shared" si="9"/>
        <v>17.84467809323003</v>
      </c>
      <c r="Q23" s="46">
        <f t="shared" si="10"/>
        <v>14.861969303532664</v>
      </c>
      <c r="T23" s="26"/>
      <c r="U23" s="23"/>
    </row>
    <row r="24" spans="2:21" x14ac:dyDescent="0.25">
      <c r="B24" s="4">
        <v>11</v>
      </c>
      <c r="C24" s="6">
        <v>0</v>
      </c>
      <c r="D24" s="6">
        <v>0</v>
      </c>
      <c r="E24" s="6">
        <v>0</v>
      </c>
      <c r="F24" s="6">
        <v>1</v>
      </c>
      <c r="G24" s="45">
        <f t="shared" si="0"/>
        <v>1</v>
      </c>
      <c r="H24" s="45">
        <f t="shared" si="1"/>
        <v>1</v>
      </c>
      <c r="I24" s="46">
        <f t="shared" si="3"/>
        <v>375.79310344827587</v>
      </c>
      <c r="J24" s="46">
        <f t="shared" si="4"/>
        <v>888.6596922713677</v>
      </c>
      <c r="K24" s="46">
        <f t="shared" si="5"/>
        <v>717.70416266367056</v>
      </c>
      <c r="L24" s="47">
        <f t="shared" si="6"/>
        <v>0</v>
      </c>
      <c r="M24" s="46">
        <f t="shared" si="7"/>
        <v>33.882044232881242</v>
      </c>
      <c r="N24" s="47">
        <f t="shared" si="2"/>
        <v>1</v>
      </c>
      <c r="O24" s="46">
        <f t="shared" si="8"/>
        <v>8.8965517241379306</v>
      </c>
      <c r="P24" s="46">
        <f t="shared" si="9"/>
        <v>17.84467809323003</v>
      </c>
      <c r="Q24" s="46">
        <f t="shared" si="10"/>
        <v>14.861969303532664</v>
      </c>
      <c r="T24" s="26"/>
      <c r="U24" s="23"/>
    </row>
    <row r="25" spans="2:21" x14ac:dyDescent="0.25">
      <c r="B25" s="4">
        <v>12</v>
      </c>
      <c r="C25" s="6">
        <v>3</v>
      </c>
      <c r="D25" s="6">
        <v>3</v>
      </c>
      <c r="E25" s="6">
        <v>3</v>
      </c>
      <c r="F25" s="6">
        <v>0</v>
      </c>
      <c r="G25" s="45">
        <f t="shared" si="0"/>
        <v>480</v>
      </c>
      <c r="H25" s="45">
        <f t="shared" si="1"/>
        <v>37800</v>
      </c>
      <c r="I25" s="46">
        <f t="shared" si="3"/>
        <v>375.79310344827587</v>
      </c>
      <c r="J25" s="46">
        <f t="shared" si="4"/>
        <v>888.6596922713677</v>
      </c>
      <c r="K25" s="46">
        <f t="shared" si="5"/>
        <v>717.70416266367056</v>
      </c>
      <c r="L25" s="47">
        <f t="shared" si="6"/>
        <v>0</v>
      </c>
      <c r="M25" s="46">
        <f t="shared" si="7"/>
        <v>33.882044232881242</v>
      </c>
      <c r="N25" s="47">
        <f t="shared" si="2"/>
        <v>9</v>
      </c>
      <c r="O25" s="46">
        <f t="shared" si="8"/>
        <v>8.8965517241379306</v>
      </c>
      <c r="P25" s="46">
        <f t="shared" si="9"/>
        <v>17.84467809323003</v>
      </c>
      <c r="Q25" s="46">
        <f t="shared" si="10"/>
        <v>14.861969303532664</v>
      </c>
      <c r="T25" s="26"/>
      <c r="U25" s="23"/>
    </row>
    <row r="26" spans="2:21" x14ac:dyDescent="0.25">
      <c r="B26" s="4">
        <v>13</v>
      </c>
      <c r="C26" s="6">
        <v>3</v>
      </c>
      <c r="D26" s="6">
        <v>3</v>
      </c>
      <c r="E26" s="6">
        <v>3</v>
      </c>
      <c r="F26" s="6">
        <v>0</v>
      </c>
      <c r="G26" s="45">
        <f t="shared" si="0"/>
        <v>480</v>
      </c>
      <c r="H26" s="45">
        <f t="shared" si="1"/>
        <v>37800</v>
      </c>
      <c r="I26" s="46">
        <f t="shared" si="3"/>
        <v>375.79310344827587</v>
      </c>
      <c r="J26" s="46">
        <f t="shared" si="4"/>
        <v>888.6596922713677</v>
      </c>
      <c r="K26" s="46">
        <f t="shared" si="5"/>
        <v>717.70416266367056</v>
      </c>
      <c r="L26" s="47">
        <f t="shared" si="6"/>
        <v>0</v>
      </c>
      <c r="M26" s="46">
        <f t="shared" si="7"/>
        <v>33.882044232881242</v>
      </c>
      <c r="N26" s="47">
        <f t="shared" si="2"/>
        <v>9</v>
      </c>
      <c r="O26" s="46">
        <f t="shared" si="8"/>
        <v>8.8965517241379306</v>
      </c>
      <c r="P26" s="46">
        <f t="shared" si="9"/>
        <v>17.84467809323003</v>
      </c>
      <c r="Q26" s="46">
        <f t="shared" si="10"/>
        <v>14.861969303532664</v>
      </c>
      <c r="T26" s="26"/>
      <c r="U26" s="23"/>
    </row>
    <row r="27" spans="2:21" x14ac:dyDescent="0.25">
      <c r="B27" s="4">
        <v>14</v>
      </c>
      <c r="C27" s="6">
        <v>1</v>
      </c>
      <c r="D27" s="6">
        <v>1</v>
      </c>
      <c r="E27" s="6">
        <v>1</v>
      </c>
      <c r="F27" s="6">
        <v>3</v>
      </c>
      <c r="G27" s="45">
        <f t="shared" si="0"/>
        <v>163</v>
      </c>
      <c r="H27" s="45">
        <f t="shared" si="1"/>
        <v>12603</v>
      </c>
      <c r="I27" s="46">
        <f t="shared" si="3"/>
        <v>375.79310344827587</v>
      </c>
      <c r="J27" s="46">
        <f t="shared" si="4"/>
        <v>888.6596922713677</v>
      </c>
      <c r="K27" s="46">
        <f t="shared" si="5"/>
        <v>717.70416266367056</v>
      </c>
      <c r="L27" s="47">
        <f t="shared" si="6"/>
        <v>0</v>
      </c>
      <c r="M27" s="46">
        <f t="shared" si="7"/>
        <v>33.882044232881242</v>
      </c>
      <c r="N27" s="47">
        <f t="shared" si="2"/>
        <v>6</v>
      </c>
      <c r="O27" s="46">
        <f t="shared" si="8"/>
        <v>8.8965517241379306</v>
      </c>
      <c r="P27" s="46">
        <f t="shared" si="9"/>
        <v>17.84467809323003</v>
      </c>
      <c r="Q27" s="46">
        <f t="shared" si="10"/>
        <v>14.861969303532664</v>
      </c>
      <c r="T27" s="26"/>
      <c r="U27" s="23"/>
    </row>
    <row r="28" spans="2:21" x14ac:dyDescent="0.25">
      <c r="B28" s="4">
        <v>15</v>
      </c>
      <c r="C28" s="6">
        <v>1</v>
      </c>
      <c r="D28" s="6">
        <v>1</v>
      </c>
      <c r="E28" s="6">
        <v>1</v>
      </c>
      <c r="F28" s="6">
        <v>0</v>
      </c>
      <c r="G28" s="45">
        <f t="shared" si="0"/>
        <v>160</v>
      </c>
      <c r="H28" s="45">
        <f t="shared" si="1"/>
        <v>12600</v>
      </c>
      <c r="I28" s="46">
        <f t="shared" si="3"/>
        <v>375.79310344827587</v>
      </c>
      <c r="J28" s="46">
        <f t="shared" si="4"/>
        <v>888.6596922713677</v>
      </c>
      <c r="K28" s="46">
        <f t="shared" si="5"/>
        <v>717.70416266367056</v>
      </c>
      <c r="L28" s="47">
        <f t="shared" si="6"/>
        <v>0</v>
      </c>
      <c r="M28" s="46">
        <f t="shared" si="7"/>
        <v>33.882044232881242</v>
      </c>
      <c r="N28" s="47">
        <f t="shared" si="2"/>
        <v>3</v>
      </c>
      <c r="O28" s="46">
        <f t="shared" si="8"/>
        <v>8.8965517241379306</v>
      </c>
      <c r="P28" s="46">
        <f t="shared" si="9"/>
        <v>17.84467809323003</v>
      </c>
      <c r="Q28" s="46">
        <f t="shared" si="10"/>
        <v>14.861969303532664</v>
      </c>
      <c r="T28" s="26"/>
      <c r="U28" s="23"/>
    </row>
    <row r="29" spans="2:21" x14ac:dyDescent="0.25">
      <c r="B29" s="4">
        <v>16</v>
      </c>
      <c r="C29" s="6">
        <v>3</v>
      </c>
      <c r="D29" s="6">
        <v>3</v>
      </c>
      <c r="E29" s="6">
        <v>3</v>
      </c>
      <c r="F29" s="6">
        <v>1</v>
      </c>
      <c r="G29" s="45">
        <f t="shared" si="0"/>
        <v>481</v>
      </c>
      <c r="H29" s="45">
        <f t="shared" si="1"/>
        <v>37801</v>
      </c>
      <c r="I29" s="46">
        <f t="shared" si="3"/>
        <v>375.79310344827587</v>
      </c>
      <c r="J29" s="46">
        <f t="shared" si="4"/>
        <v>888.6596922713677</v>
      </c>
      <c r="K29" s="46">
        <f t="shared" si="5"/>
        <v>717.70416266367056</v>
      </c>
      <c r="L29" s="47">
        <f t="shared" si="6"/>
        <v>0</v>
      </c>
      <c r="M29" s="46">
        <f t="shared" si="7"/>
        <v>33.882044232881242</v>
      </c>
      <c r="N29" s="47">
        <f t="shared" si="2"/>
        <v>10</v>
      </c>
      <c r="O29" s="46">
        <f t="shared" si="8"/>
        <v>8.8965517241379306</v>
      </c>
      <c r="P29" s="46">
        <f t="shared" si="9"/>
        <v>17.84467809323003</v>
      </c>
      <c r="Q29" s="46">
        <f t="shared" si="10"/>
        <v>14.861969303532664</v>
      </c>
      <c r="T29" s="26"/>
      <c r="U29" s="23"/>
    </row>
    <row r="30" spans="2:21" x14ac:dyDescent="0.25">
      <c r="B30" s="4">
        <v>17</v>
      </c>
      <c r="C30" s="6">
        <v>3</v>
      </c>
      <c r="D30" s="6">
        <v>3</v>
      </c>
      <c r="E30" s="6">
        <v>3</v>
      </c>
      <c r="F30" s="6">
        <v>3</v>
      </c>
      <c r="G30" s="45">
        <f t="shared" si="0"/>
        <v>483</v>
      </c>
      <c r="H30" s="45">
        <f t="shared" si="1"/>
        <v>37803</v>
      </c>
      <c r="I30" s="46">
        <f t="shared" si="3"/>
        <v>375.79310344827587</v>
      </c>
      <c r="J30" s="46">
        <f t="shared" si="4"/>
        <v>888.6596922713677</v>
      </c>
      <c r="K30" s="46">
        <f t="shared" si="5"/>
        <v>717.70416266367056</v>
      </c>
      <c r="L30" s="47">
        <f t="shared" si="6"/>
        <v>0</v>
      </c>
      <c r="M30" s="46">
        <f t="shared" si="7"/>
        <v>33.882044232881242</v>
      </c>
      <c r="N30" s="47">
        <f t="shared" si="2"/>
        <v>12</v>
      </c>
      <c r="O30" s="46">
        <f t="shared" si="8"/>
        <v>8.8965517241379306</v>
      </c>
      <c r="P30" s="46">
        <f t="shared" si="9"/>
        <v>17.84467809323003</v>
      </c>
      <c r="Q30" s="46">
        <f t="shared" si="10"/>
        <v>14.861969303532664</v>
      </c>
      <c r="T30" s="26"/>
      <c r="U30" s="23"/>
    </row>
    <row r="31" spans="2:21" x14ac:dyDescent="0.25">
      <c r="B31" s="4">
        <v>18</v>
      </c>
      <c r="C31" s="6">
        <v>4</v>
      </c>
      <c r="D31" s="6">
        <v>4</v>
      </c>
      <c r="E31" s="6">
        <v>4</v>
      </c>
      <c r="F31" s="6">
        <v>0</v>
      </c>
      <c r="G31" s="45">
        <f t="shared" si="0"/>
        <v>640</v>
      </c>
      <c r="H31" s="45">
        <f t="shared" si="1"/>
        <v>50400</v>
      </c>
      <c r="I31" s="46">
        <f t="shared" si="3"/>
        <v>375.79310344827587</v>
      </c>
      <c r="J31" s="46">
        <f t="shared" si="4"/>
        <v>888.6596922713677</v>
      </c>
      <c r="K31" s="46">
        <f t="shared" si="5"/>
        <v>717.70416266367056</v>
      </c>
      <c r="L31" s="47">
        <f t="shared" si="6"/>
        <v>0</v>
      </c>
      <c r="M31" s="46">
        <f t="shared" si="7"/>
        <v>33.882044232881242</v>
      </c>
      <c r="N31" s="47">
        <f t="shared" si="2"/>
        <v>12</v>
      </c>
      <c r="O31" s="46">
        <f t="shared" si="8"/>
        <v>8.8965517241379306</v>
      </c>
      <c r="P31" s="46">
        <f t="shared" si="9"/>
        <v>17.84467809323003</v>
      </c>
      <c r="Q31" s="46">
        <f t="shared" si="10"/>
        <v>14.861969303532664</v>
      </c>
      <c r="T31" s="26"/>
      <c r="U31" s="23"/>
    </row>
    <row r="32" spans="2:21" x14ac:dyDescent="0.25">
      <c r="B32" s="4">
        <v>19</v>
      </c>
      <c r="C32" s="6">
        <v>5</v>
      </c>
      <c r="D32" s="6">
        <v>5</v>
      </c>
      <c r="E32" s="6">
        <v>5</v>
      </c>
      <c r="F32" s="6">
        <v>1</v>
      </c>
      <c r="G32" s="45">
        <f t="shared" si="0"/>
        <v>801</v>
      </c>
      <c r="H32" s="45">
        <f t="shared" si="1"/>
        <v>63001</v>
      </c>
      <c r="I32" s="46">
        <f t="shared" si="3"/>
        <v>375.79310344827587</v>
      </c>
      <c r="J32" s="46">
        <f t="shared" si="4"/>
        <v>888.6596922713677</v>
      </c>
      <c r="K32" s="46">
        <f t="shared" si="5"/>
        <v>717.70416266367056</v>
      </c>
      <c r="L32" s="47">
        <f t="shared" si="6"/>
        <v>0</v>
      </c>
      <c r="M32" s="46">
        <f t="shared" si="7"/>
        <v>33.882044232881242</v>
      </c>
      <c r="N32" s="47">
        <f t="shared" si="2"/>
        <v>16</v>
      </c>
      <c r="O32" s="46">
        <f t="shared" si="8"/>
        <v>8.8965517241379306</v>
      </c>
      <c r="P32" s="46">
        <f t="shared" si="9"/>
        <v>17.84467809323003</v>
      </c>
      <c r="Q32" s="46">
        <f t="shared" si="10"/>
        <v>14.861969303532664</v>
      </c>
      <c r="T32" s="26"/>
      <c r="U32" s="23"/>
    </row>
    <row r="33" spans="2:21" x14ac:dyDescent="0.25">
      <c r="B33" s="4">
        <v>20</v>
      </c>
      <c r="C33" s="6">
        <v>4</v>
      </c>
      <c r="D33" s="6">
        <v>4</v>
      </c>
      <c r="E33" s="6">
        <v>4</v>
      </c>
      <c r="F33" s="6">
        <v>2</v>
      </c>
      <c r="G33" s="45">
        <f t="shared" si="0"/>
        <v>642</v>
      </c>
      <c r="H33" s="45">
        <f t="shared" si="1"/>
        <v>50402</v>
      </c>
      <c r="I33" s="46">
        <f t="shared" si="3"/>
        <v>375.79310344827587</v>
      </c>
      <c r="J33" s="46">
        <f t="shared" si="4"/>
        <v>888.6596922713677</v>
      </c>
      <c r="K33" s="46">
        <f t="shared" si="5"/>
        <v>717.70416266367056</v>
      </c>
      <c r="L33" s="47">
        <f t="shared" si="6"/>
        <v>0</v>
      </c>
      <c r="M33" s="46">
        <f t="shared" si="7"/>
        <v>33.882044232881242</v>
      </c>
      <c r="N33" s="47">
        <f t="shared" si="2"/>
        <v>14</v>
      </c>
      <c r="O33" s="46">
        <f t="shared" si="8"/>
        <v>8.8965517241379306</v>
      </c>
      <c r="P33" s="46">
        <f t="shared" si="9"/>
        <v>17.84467809323003</v>
      </c>
      <c r="Q33" s="46">
        <f t="shared" si="10"/>
        <v>14.861969303532664</v>
      </c>
      <c r="T33" s="26"/>
      <c r="U33" s="23"/>
    </row>
    <row r="34" spans="2:21" x14ac:dyDescent="0.25">
      <c r="B34" s="4">
        <v>21</v>
      </c>
      <c r="C34" s="6">
        <v>4</v>
      </c>
      <c r="D34" s="6">
        <v>4</v>
      </c>
      <c r="E34" s="6">
        <v>4</v>
      </c>
      <c r="F34" s="6">
        <v>1</v>
      </c>
      <c r="G34" s="45">
        <f t="shared" si="0"/>
        <v>641</v>
      </c>
      <c r="H34" s="45">
        <f t="shared" si="1"/>
        <v>50401</v>
      </c>
      <c r="I34" s="46">
        <f t="shared" si="3"/>
        <v>375.79310344827587</v>
      </c>
      <c r="J34" s="46">
        <f t="shared" si="4"/>
        <v>888.6596922713677</v>
      </c>
      <c r="K34" s="46">
        <f t="shared" si="5"/>
        <v>717.70416266367056</v>
      </c>
      <c r="L34" s="47">
        <f t="shared" si="6"/>
        <v>0</v>
      </c>
      <c r="M34" s="46">
        <f t="shared" si="7"/>
        <v>33.882044232881242</v>
      </c>
      <c r="N34" s="47">
        <f t="shared" si="2"/>
        <v>13</v>
      </c>
      <c r="O34" s="46">
        <f t="shared" si="8"/>
        <v>8.8965517241379306</v>
      </c>
      <c r="P34" s="46">
        <f t="shared" si="9"/>
        <v>17.84467809323003</v>
      </c>
      <c r="Q34" s="46">
        <f t="shared" si="10"/>
        <v>14.861969303532664</v>
      </c>
      <c r="T34" s="26"/>
      <c r="U34" s="23"/>
    </row>
    <row r="35" spans="2:21" x14ac:dyDescent="0.25">
      <c r="B35" s="4">
        <v>22</v>
      </c>
      <c r="C35" s="6">
        <v>4</v>
      </c>
      <c r="D35" s="6">
        <v>4</v>
      </c>
      <c r="E35" s="6">
        <v>4</v>
      </c>
      <c r="F35" s="6">
        <v>3</v>
      </c>
      <c r="G35" s="45">
        <f t="shared" si="0"/>
        <v>643</v>
      </c>
      <c r="H35" s="45">
        <f t="shared" si="1"/>
        <v>50403</v>
      </c>
      <c r="I35" s="46">
        <f t="shared" si="3"/>
        <v>375.79310344827587</v>
      </c>
      <c r="J35" s="46">
        <f t="shared" si="4"/>
        <v>888.6596922713677</v>
      </c>
      <c r="K35" s="46">
        <f t="shared" si="5"/>
        <v>717.70416266367056</v>
      </c>
      <c r="L35" s="47">
        <f t="shared" si="6"/>
        <v>0</v>
      </c>
      <c r="M35" s="46">
        <f t="shared" si="7"/>
        <v>33.882044232881242</v>
      </c>
      <c r="N35" s="47">
        <f t="shared" si="2"/>
        <v>15</v>
      </c>
      <c r="O35" s="46">
        <f t="shared" si="8"/>
        <v>8.8965517241379306</v>
      </c>
      <c r="P35" s="46">
        <f t="shared" si="9"/>
        <v>17.84467809323003</v>
      </c>
      <c r="Q35" s="46">
        <f t="shared" si="10"/>
        <v>14.861969303532664</v>
      </c>
      <c r="T35" s="26"/>
      <c r="U35" s="23"/>
    </row>
    <row r="36" spans="2:21" x14ac:dyDescent="0.25">
      <c r="B36" s="4">
        <v>23</v>
      </c>
      <c r="C36" s="6">
        <v>1</v>
      </c>
      <c r="D36" s="6">
        <v>3</v>
      </c>
      <c r="E36" s="6">
        <v>1</v>
      </c>
      <c r="F36" s="6">
        <v>1</v>
      </c>
      <c r="G36" s="45">
        <f t="shared" si="0"/>
        <v>261</v>
      </c>
      <c r="H36" s="45">
        <f t="shared" si="1"/>
        <v>17601</v>
      </c>
      <c r="I36" s="46">
        <f t="shared" si="3"/>
        <v>375.79310344827587</v>
      </c>
      <c r="J36" s="46">
        <f t="shared" si="4"/>
        <v>888.6596922713677</v>
      </c>
      <c r="K36" s="46">
        <f t="shared" si="5"/>
        <v>717.70416266367056</v>
      </c>
      <c r="L36" s="47">
        <f t="shared" si="6"/>
        <v>0</v>
      </c>
      <c r="M36" s="46">
        <f t="shared" si="7"/>
        <v>33.882044232881242</v>
      </c>
      <c r="N36" s="47">
        <f t="shared" si="2"/>
        <v>6</v>
      </c>
      <c r="O36" s="46">
        <f t="shared" si="8"/>
        <v>8.8965517241379306</v>
      </c>
      <c r="P36" s="46">
        <f t="shared" si="9"/>
        <v>17.84467809323003</v>
      </c>
      <c r="Q36" s="46">
        <f t="shared" si="10"/>
        <v>14.861969303532664</v>
      </c>
      <c r="T36" s="26"/>
      <c r="U36" s="23"/>
    </row>
    <row r="37" spans="2:21" x14ac:dyDescent="0.25">
      <c r="B37" s="4">
        <v>24</v>
      </c>
      <c r="C37" s="6">
        <v>3</v>
      </c>
      <c r="D37" s="6">
        <v>3</v>
      </c>
      <c r="E37" s="6">
        <v>3</v>
      </c>
      <c r="F37" s="6">
        <v>1</v>
      </c>
      <c r="G37" s="45">
        <f t="shared" si="0"/>
        <v>481</v>
      </c>
      <c r="H37" s="45">
        <f t="shared" si="1"/>
        <v>37801</v>
      </c>
      <c r="I37" s="46">
        <f t="shared" si="3"/>
        <v>375.79310344827587</v>
      </c>
      <c r="J37" s="46">
        <f t="shared" si="4"/>
        <v>888.6596922713677</v>
      </c>
      <c r="K37" s="46">
        <f t="shared" si="5"/>
        <v>717.70416266367056</v>
      </c>
      <c r="L37" s="47">
        <f t="shared" si="6"/>
        <v>0</v>
      </c>
      <c r="M37" s="46">
        <f t="shared" si="7"/>
        <v>33.882044232881242</v>
      </c>
      <c r="N37" s="47">
        <f t="shared" si="2"/>
        <v>10</v>
      </c>
      <c r="O37" s="46">
        <f t="shared" si="8"/>
        <v>8.8965517241379306</v>
      </c>
      <c r="P37" s="46">
        <f t="shared" si="9"/>
        <v>17.84467809323003</v>
      </c>
      <c r="Q37" s="46">
        <f t="shared" si="10"/>
        <v>14.861969303532664</v>
      </c>
      <c r="T37" s="26"/>
      <c r="U37" s="23"/>
    </row>
    <row r="38" spans="2:21" x14ac:dyDescent="0.25">
      <c r="B38" s="4">
        <v>25</v>
      </c>
      <c r="C38" s="6">
        <v>3</v>
      </c>
      <c r="D38" s="6">
        <v>3</v>
      </c>
      <c r="E38" s="6">
        <v>3</v>
      </c>
      <c r="F38" s="6">
        <v>1</v>
      </c>
      <c r="G38" s="45">
        <f t="shared" si="0"/>
        <v>481</v>
      </c>
      <c r="H38" s="45">
        <f t="shared" si="1"/>
        <v>37801</v>
      </c>
      <c r="I38" s="46">
        <f t="shared" si="3"/>
        <v>375.79310344827587</v>
      </c>
      <c r="J38" s="46">
        <f t="shared" si="4"/>
        <v>888.6596922713677</v>
      </c>
      <c r="K38" s="46">
        <f t="shared" si="5"/>
        <v>717.70416266367056</v>
      </c>
      <c r="L38" s="47">
        <f t="shared" si="6"/>
        <v>0</v>
      </c>
      <c r="M38" s="46">
        <f t="shared" si="7"/>
        <v>33.882044232881242</v>
      </c>
      <c r="N38" s="47">
        <f t="shared" si="2"/>
        <v>10</v>
      </c>
      <c r="O38" s="46">
        <f t="shared" si="8"/>
        <v>8.8965517241379306</v>
      </c>
      <c r="P38" s="46">
        <f t="shared" si="9"/>
        <v>17.84467809323003</v>
      </c>
      <c r="Q38" s="46">
        <f t="shared" si="10"/>
        <v>14.861969303532664</v>
      </c>
      <c r="T38" s="26"/>
      <c r="U38" s="23"/>
    </row>
    <row r="39" spans="2:21" x14ac:dyDescent="0.25">
      <c r="B39" s="4">
        <v>26</v>
      </c>
      <c r="C39" s="6">
        <v>3</v>
      </c>
      <c r="D39" s="6">
        <v>3</v>
      </c>
      <c r="E39" s="6">
        <v>1</v>
      </c>
      <c r="F39" s="6">
        <v>1</v>
      </c>
      <c r="G39" s="45">
        <f t="shared" si="0"/>
        <v>461</v>
      </c>
      <c r="H39" s="45">
        <f t="shared" si="1"/>
        <v>37601</v>
      </c>
      <c r="I39" s="46">
        <f t="shared" si="3"/>
        <v>375.79310344827587</v>
      </c>
      <c r="J39" s="46">
        <f t="shared" si="4"/>
        <v>888.6596922713677</v>
      </c>
      <c r="K39" s="46">
        <f t="shared" si="5"/>
        <v>717.70416266367056</v>
      </c>
      <c r="L39" s="47">
        <f t="shared" si="6"/>
        <v>0</v>
      </c>
      <c r="M39" s="46">
        <f t="shared" si="7"/>
        <v>33.882044232881242</v>
      </c>
      <c r="N39" s="47">
        <f t="shared" si="2"/>
        <v>8</v>
      </c>
      <c r="O39" s="46">
        <f t="shared" si="8"/>
        <v>8.8965517241379306</v>
      </c>
      <c r="P39" s="46">
        <f t="shared" si="9"/>
        <v>17.84467809323003</v>
      </c>
      <c r="Q39" s="46">
        <f t="shared" si="10"/>
        <v>14.861969303532664</v>
      </c>
      <c r="T39" s="26"/>
      <c r="U39" s="23"/>
    </row>
    <row r="40" spans="2:21" x14ac:dyDescent="0.25">
      <c r="B40" s="4">
        <v>27</v>
      </c>
      <c r="C40" s="6">
        <v>3</v>
      </c>
      <c r="D40" s="6">
        <v>3</v>
      </c>
      <c r="E40" s="6">
        <v>3</v>
      </c>
      <c r="F40" s="6">
        <v>3</v>
      </c>
      <c r="G40" s="45">
        <f t="shared" si="0"/>
        <v>483</v>
      </c>
      <c r="H40" s="45">
        <f t="shared" si="1"/>
        <v>37803</v>
      </c>
      <c r="I40" s="46">
        <f t="shared" si="3"/>
        <v>375.79310344827587</v>
      </c>
      <c r="J40" s="46">
        <f t="shared" si="4"/>
        <v>888.6596922713677</v>
      </c>
      <c r="K40" s="46">
        <f t="shared" si="5"/>
        <v>717.70416266367056</v>
      </c>
      <c r="L40" s="47">
        <f t="shared" si="6"/>
        <v>0</v>
      </c>
      <c r="M40" s="46">
        <f t="shared" si="7"/>
        <v>33.882044232881242</v>
      </c>
      <c r="N40" s="47">
        <f t="shared" si="2"/>
        <v>12</v>
      </c>
      <c r="O40" s="46">
        <f t="shared" si="8"/>
        <v>8.8965517241379306</v>
      </c>
      <c r="P40" s="46">
        <f t="shared" si="9"/>
        <v>17.84467809323003</v>
      </c>
      <c r="Q40" s="46">
        <f t="shared" si="10"/>
        <v>14.861969303532664</v>
      </c>
      <c r="T40" s="26"/>
      <c r="U40" s="23"/>
    </row>
    <row r="41" spans="2:21" x14ac:dyDescent="0.25">
      <c r="B41" s="4">
        <v>28</v>
      </c>
      <c r="C41" s="6">
        <v>4</v>
      </c>
      <c r="D41" s="6">
        <v>4</v>
      </c>
      <c r="E41" s="6">
        <v>4</v>
      </c>
      <c r="F41" s="6">
        <v>0</v>
      </c>
      <c r="G41" s="45">
        <f t="shared" si="0"/>
        <v>640</v>
      </c>
      <c r="H41" s="45">
        <f t="shared" si="1"/>
        <v>50400</v>
      </c>
      <c r="I41" s="46">
        <f t="shared" si="3"/>
        <v>375.79310344827587</v>
      </c>
      <c r="J41" s="46">
        <f t="shared" si="4"/>
        <v>888.6596922713677</v>
      </c>
      <c r="K41" s="46">
        <f t="shared" si="5"/>
        <v>717.70416266367056</v>
      </c>
      <c r="L41" s="47">
        <f t="shared" si="6"/>
        <v>0</v>
      </c>
      <c r="M41" s="46">
        <f t="shared" si="7"/>
        <v>33.882044232881242</v>
      </c>
      <c r="N41" s="47">
        <f t="shared" si="2"/>
        <v>12</v>
      </c>
      <c r="O41" s="46">
        <f t="shared" si="8"/>
        <v>8.8965517241379306</v>
      </c>
      <c r="P41" s="46">
        <f t="shared" si="9"/>
        <v>17.84467809323003</v>
      </c>
      <c r="Q41" s="46">
        <f t="shared" si="10"/>
        <v>14.861969303532664</v>
      </c>
      <c r="T41" s="26"/>
      <c r="U41" s="23"/>
    </row>
    <row r="42" spans="2:21" x14ac:dyDescent="0.25">
      <c r="B42" s="4">
        <v>29</v>
      </c>
      <c r="C42" s="6">
        <v>2</v>
      </c>
      <c r="D42" s="6">
        <v>1</v>
      </c>
      <c r="E42" s="6">
        <v>5</v>
      </c>
      <c r="F42" s="6">
        <v>1</v>
      </c>
      <c r="G42" s="45">
        <f t="shared" si="0"/>
        <v>301</v>
      </c>
      <c r="H42" s="45">
        <f t="shared" si="1"/>
        <v>23001</v>
      </c>
      <c r="I42" s="46">
        <f t="shared" si="3"/>
        <v>375.79310344827587</v>
      </c>
      <c r="J42" s="46">
        <f t="shared" si="4"/>
        <v>888.6596922713677</v>
      </c>
      <c r="K42" s="46">
        <f t="shared" si="5"/>
        <v>717.70416266367056</v>
      </c>
      <c r="L42" s="47">
        <f t="shared" si="6"/>
        <v>0</v>
      </c>
      <c r="M42" s="46">
        <f t="shared" si="7"/>
        <v>33.882044232881242</v>
      </c>
      <c r="N42" s="47">
        <f t="shared" si="2"/>
        <v>9</v>
      </c>
      <c r="O42" s="46">
        <f t="shared" si="8"/>
        <v>8.8965517241379306</v>
      </c>
      <c r="P42" s="46">
        <f t="shared" si="9"/>
        <v>17.84467809323003</v>
      </c>
      <c r="Q42" s="46">
        <f t="shared" si="10"/>
        <v>14.861969303532664</v>
      </c>
      <c r="T42" s="26"/>
      <c r="U42" s="23"/>
    </row>
    <row r="43" spans="2:21" x14ac:dyDescent="0.25">
      <c r="B43" s="4">
        <v>30</v>
      </c>
      <c r="C43" s="6"/>
      <c r="D43" s="6"/>
      <c r="E43" s="6"/>
      <c r="F43" s="6"/>
      <c r="G43" s="45"/>
      <c r="H43" s="45"/>
      <c r="I43" s="46"/>
      <c r="J43" s="46"/>
      <c r="K43" s="46"/>
      <c r="L43" s="47"/>
      <c r="M43" s="46"/>
      <c r="N43" s="47"/>
      <c r="O43" s="46"/>
      <c r="P43" s="46"/>
      <c r="Q43" s="46"/>
      <c r="T43" s="26"/>
      <c r="U43" s="23"/>
    </row>
    <row r="44" spans="2:21" x14ac:dyDescent="0.25">
      <c r="B44" s="4">
        <v>31</v>
      </c>
      <c r="C44" s="6"/>
      <c r="D44" s="6"/>
      <c r="E44" s="6"/>
      <c r="F44" s="6"/>
      <c r="G44" s="45"/>
      <c r="H44" s="45"/>
      <c r="I44" s="46"/>
      <c r="J44" s="46"/>
      <c r="K44" s="46"/>
      <c r="L44" s="87"/>
      <c r="M44" s="46"/>
      <c r="N44" s="87"/>
      <c r="O44" s="46"/>
      <c r="P44" s="46"/>
      <c r="Q44" s="46"/>
      <c r="R44" s="18"/>
      <c r="S44" s="26"/>
      <c r="T44" s="26"/>
      <c r="U44" s="23"/>
    </row>
    <row r="45" spans="2:21" x14ac:dyDescent="0.25">
      <c r="B45" s="4">
        <v>32</v>
      </c>
      <c r="C45" s="6"/>
      <c r="D45" s="6"/>
      <c r="E45" s="6"/>
      <c r="F45" s="6"/>
      <c r="G45" s="45"/>
      <c r="H45" s="45"/>
      <c r="I45" s="46"/>
      <c r="J45" s="46"/>
      <c r="K45" s="46"/>
      <c r="L45" s="87"/>
      <c r="M45" s="46"/>
      <c r="N45" s="87"/>
      <c r="O45" s="46"/>
      <c r="P45" s="46"/>
      <c r="Q45" s="46"/>
      <c r="R45" s="18"/>
      <c r="S45" s="26"/>
      <c r="T45" s="26"/>
      <c r="U45" s="23"/>
    </row>
    <row r="46" spans="2:21" x14ac:dyDescent="0.25">
      <c r="B46" s="4">
        <v>33</v>
      </c>
      <c r="C46" s="6"/>
      <c r="D46" s="6"/>
      <c r="E46" s="6"/>
      <c r="F46" s="6"/>
      <c r="G46" s="45"/>
      <c r="H46" s="45"/>
      <c r="I46" s="46"/>
      <c r="J46" s="46"/>
      <c r="K46" s="46"/>
      <c r="L46" s="87"/>
      <c r="M46" s="46"/>
      <c r="N46" s="87"/>
      <c r="O46" s="46"/>
      <c r="P46" s="46"/>
      <c r="Q46" s="46"/>
      <c r="R46" s="26"/>
      <c r="S46" s="26"/>
      <c r="T46" s="26"/>
    </row>
    <row r="47" spans="2:21" x14ac:dyDescent="0.25">
      <c r="B47" s="4">
        <v>34</v>
      </c>
      <c r="C47" s="6"/>
      <c r="D47" s="6"/>
      <c r="E47" s="6"/>
      <c r="F47" s="6"/>
      <c r="G47" s="45"/>
      <c r="H47" s="45"/>
      <c r="I47" s="46"/>
      <c r="J47" s="46"/>
      <c r="K47" s="46"/>
      <c r="L47" s="87"/>
      <c r="M47" s="46"/>
      <c r="N47" s="87"/>
      <c r="O47" s="46"/>
      <c r="P47" s="46"/>
      <c r="Q47" s="46"/>
      <c r="R47" s="26"/>
      <c r="S47" s="26"/>
      <c r="T47" s="26"/>
    </row>
    <row r="48" spans="2:21" x14ac:dyDescent="0.25">
      <c r="B48" s="4">
        <v>35</v>
      </c>
      <c r="C48" s="6"/>
      <c r="D48" s="6"/>
      <c r="E48" s="6"/>
      <c r="F48" s="6"/>
      <c r="G48" s="45"/>
      <c r="H48" s="45"/>
      <c r="I48" s="46"/>
      <c r="J48" s="46"/>
      <c r="K48" s="46"/>
      <c r="L48" s="87"/>
      <c r="M48" s="46"/>
      <c r="N48" s="87"/>
      <c r="O48" s="46"/>
      <c r="P48" s="46"/>
      <c r="Q48" s="46"/>
    </row>
    <row r="49" spans="2:17" x14ac:dyDescent="0.25">
      <c r="B49" s="4">
        <v>36</v>
      </c>
      <c r="C49" s="6"/>
      <c r="D49" s="6"/>
      <c r="E49" s="6"/>
      <c r="F49" s="6"/>
      <c r="G49" s="45"/>
      <c r="H49" s="45"/>
      <c r="I49" s="46"/>
      <c r="J49" s="46"/>
      <c r="K49" s="46"/>
      <c r="L49" s="87"/>
      <c r="M49" s="46"/>
      <c r="N49" s="87"/>
      <c r="O49" s="46"/>
      <c r="P49" s="46"/>
      <c r="Q49" s="46"/>
    </row>
    <row r="50" spans="2:17" x14ac:dyDescent="0.25">
      <c r="B50" s="4">
        <v>37</v>
      </c>
      <c r="C50" s="6"/>
      <c r="D50" s="6"/>
      <c r="E50" s="6"/>
      <c r="F50" s="6"/>
      <c r="G50" s="45"/>
      <c r="H50" s="45"/>
      <c r="I50" s="46"/>
      <c r="J50" s="46"/>
      <c r="K50" s="46"/>
      <c r="L50" s="87"/>
      <c r="M50" s="46"/>
      <c r="N50" s="87"/>
      <c r="O50" s="46"/>
      <c r="P50" s="46"/>
      <c r="Q50" s="46"/>
    </row>
    <row r="51" spans="2:17" x14ac:dyDescent="0.25">
      <c r="B51" s="4">
        <v>38</v>
      </c>
      <c r="C51" s="6"/>
      <c r="D51" s="6"/>
      <c r="E51" s="6"/>
      <c r="F51" s="6"/>
      <c r="G51" s="45"/>
      <c r="H51" s="45"/>
      <c r="I51" s="46"/>
      <c r="J51" s="46"/>
      <c r="K51" s="46"/>
      <c r="L51" s="87"/>
      <c r="M51" s="46"/>
      <c r="N51" s="87"/>
      <c r="O51" s="46"/>
      <c r="P51" s="46"/>
      <c r="Q51" s="46"/>
    </row>
    <row r="52" spans="2:17" x14ac:dyDescent="0.25">
      <c r="B52" s="4">
        <v>39</v>
      </c>
      <c r="C52" s="6"/>
      <c r="D52" s="6"/>
      <c r="E52" s="6"/>
      <c r="F52" s="6"/>
      <c r="G52" s="45"/>
      <c r="H52" s="45"/>
      <c r="I52" s="46"/>
      <c r="J52" s="46"/>
      <c r="K52" s="46"/>
      <c r="L52" s="87"/>
      <c r="M52" s="46"/>
      <c r="N52" s="87"/>
      <c r="O52" s="46"/>
      <c r="P52" s="46"/>
      <c r="Q52" s="46"/>
    </row>
    <row r="53" spans="2:17" x14ac:dyDescent="0.25">
      <c r="B53" s="4">
        <v>40</v>
      </c>
      <c r="C53" s="6"/>
      <c r="D53" s="6"/>
      <c r="E53" s="6"/>
      <c r="F53" s="6"/>
      <c r="G53" s="45"/>
      <c r="H53" s="45"/>
      <c r="I53" s="46"/>
      <c r="J53" s="46"/>
      <c r="K53" s="46"/>
      <c r="L53" s="87"/>
      <c r="M53" s="46"/>
      <c r="N53" s="87"/>
      <c r="O53" s="46"/>
      <c r="P53" s="46"/>
      <c r="Q53" s="46"/>
    </row>
    <row r="54" spans="2:17" x14ac:dyDescent="0.25">
      <c r="B54" s="4">
        <v>41</v>
      </c>
      <c r="C54" s="6"/>
      <c r="D54" s="6"/>
      <c r="E54" s="6"/>
      <c r="F54" s="6"/>
      <c r="G54" s="45"/>
      <c r="H54" s="45"/>
      <c r="I54" s="46"/>
      <c r="J54" s="46"/>
      <c r="K54" s="46"/>
      <c r="L54" s="87"/>
      <c r="M54" s="46"/>
      <c r="N54" s="87"/>
      <c r="O54" s="46"/>
      <c r="P54" s="46"/>
      <c r="Q54" s="46"/>
    </row>
    <row r="55" spans="2:17" x14ac:dyDescent="0.25">
      <c r="B55" s="4">
        <v>42</v>
      </c>
      <c r="C55" s="6"/>
      <c r="D55" s="6"/>
      <c r="E55" s="6"/>
      <c r="F55" s="6"/>
      <c r="G55" s="45"/>
      <c r="H55" s="45"/>
      <c r="I55" s="46"/>
      <c r="J55" s="46"/>
      <c r="K55" s="46"/>
      <c r="L55" s="87"/>
      <c r="M55" s="46"/>
      <c r="N55" s="87"/>
      <c r="O55" s="46"/>
      <c r="P55" s="46"/>
      <c r="Q55" s="46"/>
    </row>
    <row r="56" spans="2:17" x14ac:dyDescent="0.25">
      <c r="B56" s="4">
        <v>43</v>
      </c>
      <c r="C56" s="6"/>
      <c r="D56" s="6"/>
      <c r="E56" s="6"/>
      <c r="F56" s="6"/>
      <c r="G56" s="45"/>
      <c r="H56" s="45"/>
      <c r="I56" s="46"/>
      <c r="J56" s="46"/>
      <c r="K56" s="46"/>
      <c r="L56" s="87"/>
      <c r="M56" s="46"/>
      <c r="N56" s="87"/>
      <c r="O56" s="46"/>
      <c r="P56" s="46"/>
      <c r="Q56" s="46"/>
    </row>
    <row r="57" spans="2:17" x14ac:dyDescent="0.25">
      <c r="B57" s="4">
        <v>44</v>
      </c>
      <c r="C57" s="6"/>
      <c r="D57" s="6"/>
      <c r="E57" s="6"/>
      <c r="F57" s="6"/>
      <c r="G57" s="45"/>
      <c r="H57" s="45"/>
      <c r="I57" s="46"/>
      <c r="J57" s="46"/>
      <c r="K57" s="46"/>
      <c r="L57" s="87"/>
      <c r="M57" s="46"/>
      <c r="N57" s="87"/>
      <c r="O57" s="46"/>
      <c r="P57" s="46"/>
      <c r="Q57" s="46"/>
    </row>
    <row r="58" spans="2:17" x14ac:dyDescent="0.25">
      <c r="B58" s="4">
        <v>45</v>
      </c>
      <c r="C58" s="6"/>
      <c r="D58" s="6"/>
      <c r="E58" s="6"/>
      <c r="F58" s="6"/>
      <c r="G58" s="45"/>
      <c r="H58" s="45"/>
      <c r="I58" s="46"/>
      <c r="J58" s="46"/>
      <c r="K58" s="46"/>
      <c r="L58" s="87"/>
      <c r="M58" s="46"/>
      <c r="N58" s="87"/>
      <c r="O58" s="46"/>
      <c r="P58" s="46"/>
      <c r="Q58" s="46"/>
    </row>
    <row r="59" spans="2:17" x14ac:dyDescent="0.25">
      <c r="B59" s="4">
        <v>46</v>
      </c>
      <c r="C59" s="6"/>
      <c r="D59" s="6"/>
      <c r="E59" s="6"/>
      <c r="F59" s="6"/>
      <c r="G59" s="45"/>
      <c r="H59" s="45"/>
      <c r="I59" s="46"/>
      <c r="J59" s="46"/>
      <c r="K59" s="46"/>
      <c r="L59" s="87"/>
      <c r="M59" s="46"/>
      <c r="N59" s="87"/>
      <c r="O59" s="46"/>
      <c r="P59" s="46"/>
      <c r="Q59" s="46"/>
    </row>
    <row r="60" spans="2:17" x14ac:dyDescent="0.25">
      <c r="B60" s="4">
        <v>47</v>
      </c>
      <c r="C60" s="6"/>
      <c r="D60" s="6"/>
      <c r="E60" s="6"/>
      <c r="F60" s="6"/>
      <c r="G60" s="45"/>
      <c r="H60" s="45"/>
      <c r="I60" s="46"/>
      <c r="J60" s="46"/>
      <c r="K60" s="46"/>
      <c r="L60" s="87"/>
      <c r="M60" s="46"/>
      <c r="N60" s="87"/>
      <c r="O60" s="46"/>
      <c r="P60" s="46"/>
      <c r="Q60" s="46"/>
    </row>
    <row r="61" spans="2:17" x14ac:dyDescent="0.25">
      <c r="B61" s="4">
        <v>48</v>
      </c>
      <c r="C61" s="6"/>
      <c r="D61" s="6"/>
      <c r="E61" s="6"/>
      <c r="F61" s="6"/>
      <c r="G61" s="45"/>
      <c r="H61" s="45"/>
      <c r="I61" s="46"/>
      <c r="J61" s="46"/>
      <c r="K61" s="46"/>
      <c r="L61" s="87"/>
      <c r="M61" s="46"/>
      <c r="N61" s="87"/>
      <c r="O61" s="46"/>
      <c r="P61" s="46"/>
      <c r="Q61" s="46"/>
    </row>
    <row r="62" spans="2:17" x14ac:dyDescent="0.25">
      <c r="B62" s="4">
        <v>49</v>
      </c>
      <c r="C62" s="6"/>
      <c r="D62" s="6"/>
      <c r="E62" s="6"/>
      <c r="F62" s="6"/>
      <c r="G62" s="45"/>
      <c r="H62" s="45"/>
      <c r="I62" s="46"/>
      <c r="J62" s="46"/>
      <c r="K62" s="46"/>
      <c r="L62" s="87"/>
      <c r="M62" s="46"/>
      <c r="N62" s="87"/>
      <c r="O62" s="46"/>
      <c r="P62" s="46"/>
      <c r="Q62" s="46"/>
    </row>
    <row r="63" spans="2:17" x14ac:dyDescent="0.25">
      <c r="B63" s="4">
        <v>50</v>
      </c>
      <c r="C63" s="6"/>
      <c r="D63" s="6"/>
      <c r="E63" s="6"/>
      <c r="F63" s="6"/>
      <c r="G63" s="45"/>
      <c r="H63" s="45"/>
      <c r="I63" s="46"/>
      <c r="J63" s="46"/>
      <c r="K63" s="46"/>
      <c r="L63" s="87"/>
      <c r="M63" s="46"/>
      <c r="N63" s="87"/>
      <c r="O63" s="46"/>
      <c r="P63" s="46"/>
      <c r="Q63" s="46"/>
    </row>
    <row r="65" spans="2:8" x14ac:dyDescent="0.25">
      <c r="B65" s="47" t="s">
        <v>52</v>
      </c>
      <c r="C65" s="48">
        <f t="shared" ref="C65:H65" si="11">SUM(C14:C43)</f>
        <v>67</v>
      </c>
      <c r="D65" s="47">
        <f t="shared" si="11"/>
        <v>68</v>
      </c>
      <c r="E65" s="47">
        <f t="shared" si="11"/>
        <v>75</v>
      </c>
      <c r="F65" s="47">
        <f t="shared" si="11"/>
        <v>48</v>
      </c>
      <c r="G65" s="47">
        <f t="shared" si="11"/>
        <v>10898</v>
      </c>
      <c r="H65" s="49">
        <f t="shared" si="11"/>
        <v>847548</v>
      </c>
    </row>
    <row r="66" spans="2:8" x14ac:dyDescent="0.25">
      <c r="B66" s="47" t="s">
        <v>53</v>
      </c>
      <c r="C66" s="47">
        <f>SUM(C65:F65)</f>
        <v>258</v>
      </c>
      <c r="D66" s="41"/>
      <c r="E66" s="41"/>
      <c r="F66" s="41"/>
      <c r="G66" s="50"/>
      <c r="H66" s="18"/>
    </row>
    <row r="67" spans="2:8" x14ac:dyDescent="0.25">
      <c r="B67" s="47" t="s">
        <v>30</v>
      </c>
      <c r="C67" s="46">
        <f>C66/G6</f>
        <v>8.8965517241379306</v>
      </c>
      <c r="D67" s="41"/>
      <c r="E67" s="41"/>
      <c r="F67" s="41"/>
      <c r="G67" s="41"/>
      <c r="H67" s="26"/>
    </row>
  </sheetData>
  <mergeCells count="3">
    <mergeCell ref="N12:Q12"/>
    <mergeCell ref="G12:M12"/>
    <mergeCell ref="C13:F13"/>
  </mergeCells>
  <pageMargins left="0.7" right="0.7" top="0.75" bottom="0.75" header="0.3" footer="0.3"/>
  <ignoredErrors>
    <ignoredError sqref="N14:N4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C02E-4D68-4299-9D15-962971D68628}">
  <dimension ref="B2:W44"/>
  <sheetViews>
    <sheetView showGridLines="0" zoomScale="70" zoomScaleNormal="70" workbookViewId="0">
      <selection activeCell="J48" sqref="J48"/>
    </sheetView>
  </sheetViews>
  <sheetFormatPr baseColWidth="10" defaultRowHeight="15" x14ac:dyDescent="0.25"/>
  <sheetData>
    <row r="2" spans="2:23" x14ac:dyDescent="0.25">
      <c r="B2" s="1" t="s">
        <v>60</v>
      </c>
    </row>
    <row r="3" spans="2:23" x14ac:dyDescent="0.25">
      <c r="G3" s="23"/>
      <c r="H3" s="23"/>
      <c r="I3" s="23"/>
      <c r="J3" s="23"/>
      <c r="K3" s="23"/>
      <c r="L3" s="23"/>
      <c r="M3" s="23"/>
      <c r="N3" s="23"/>
    </row>
    <row r="4" spans="2:23" x14ac:dyDescent="0.25">
      <c r="B4" s="99" t="s">
        <v>54</v>
      </c>
      <c r="C4" s="100"/>
      <c r="D4" s="100"/>
      <c r="E4" s="100"/>
      <c r="F4" s="101"/>
      <c r="G4" s="28"/>
      <c r="H4" s="16" t="s">
        <v>40</v>
      </c>
      <c r="I4" s="33">
        <f>COUNT(B9:B38)</f>
        <v>30</v>
      </c>
      <c r="J4" s="28"/>
      <c r="K4" s="28"/>
      <c r="L4" s="28"/>
      <c r="M4" s="28"/>
      <c r="N4" s="28"/>
      <c r="O4" s="28"/>
      <c r="P4" s="23"/>
      <c r="Q4" s="23"/>
      <c r="R4" s="23"/>
      <c r="S4" s="23"/>
      <c r="T4" s="23"/>
      <c r="U4" s="23"/>
      <c r="V4" s="23"/>
      <c r="W4" s="23"/>
    </row>
    <row r="5" spans="2:23" x14ac:dyDescent="0.25">
      <c r="B5" s="19" t="s">
        <v>36</v>
      </c>
      <c r="C5" s="20" t="s">
        <v>38</v>
      </c>
      <c r="D5" s="20" t="s">
        <v>41</v>
      </c>
      <c r="E5" s="20" t="s">
        <v>43</v>
      </c>
      <c r="F5" s="20" t="s">
        <v>45</v>
      </c>
      <c r="G5" s="30"/>
      <c r="H5" s="29"/>
      <c r="I5" s="30"/>
      <c r="J5" s="31"/>
      <c r="K5" s="30"/>
      <c r="L5" s="30"/>
      <c r="M5" s="32"/>
      <c r="N5" s="32"/>
      <c r="O5" s="32"/>
      <c r="P5" s="23"/>
      <c r="Q5" s="23"/>
      <c r="R5" s="23"/>
      <c r="S5" s="23"/>
      <c r="T5" s="23"/>
      <c r="U5" s="23"/>
      <c r="V5" s="23"/>
      <c r="W5" s="23"/>
    </row>
    <row r="6" spans="2:23" x14ac:dyDescent="0.25">
      <c r="B6" s="19" t="s">
        <v>48</v>
      </c>
      <c r="C6" s="55">
        <v>1</v>
      </c>
      <c r="D6" s="55">
        <v>1</v>
      </c>
      <c r="E6" s="55">
        <v>1</v>
      </c>
      <c r="F6" s="55">
        <v>1</v>
      </c>
      <c r="G6" s="23"/>
      <c r="H6" s="29"/>
      <c r="I6" s="30"/>
      <c r="J6" s="30"/>
      <c r="K6" s="31"/>
      <c r="L6" s="30"/>
      <c r="M6" s="32"/>
      <c r="N6" s="32"/>
      <c r="O6" s="32"/>
      <c r="P6" s="23"/>
      <c r="Q6" s="23"/>
      <c r="R6" s="23"/>
      <c r="S6" s="23"/>
      <c r="T6" s="23"/>
      <c r="U6" s="23"/>
      <c r="V6" s="23"/>
      <c r="W6" s="23"/>
    </row>
    <row r="7" spans="2:23" ht="45" x14ac:dyDescent="0.25">
      <c r="B7" s="3" t="s">
        <v>55</v>
      </c>
      <c r="C7" s="56">
        <v>1.4E-3</v>
      </c>
      <c r="D7" s="56">
        <v>3.3999999999999998E-3</v>
      </c>
      <c r="E7" s="56">
        <v>2.0500000000000001E-2</v>
      </c>
      <c r="F7" s="56">
        <v>9.7000000000000003E-3</v>
      </c>
      <c r="G7" s="23"/>
      <c r="H7" s="96" t="s">
        <v>54</v>
      </c>
      <c r="I7" s="97"/>
      <c r="J7" s="97"/>
      <c r="K7" s="97"/>
      <c r="L7" s="97"/>
      <c r="M7" s="97"/>
      <c r="N7" s="98"/>
      <c r="O7" s="23"/>
      <c r="P7" s="23"/>
      <c r="Q7" s="23"/>
      <c r="R7" s="23"/>
      <c r="S7" s="23"/>
      <c r="T7" s="23"/>
      <c r="U7" s="23"/>
      <c r="V7" s="23"/>
      <c r="W7" s="23"/>
    </row>
    <row r="8" spans="2:23" x14ac:dyDescent="0.25">
      <c r="B8" s="3" t="s">
        <v>7</v>
      </c>
      <c r="C8" s="95" t="s">
        <v>49</v>
      </c>
      <c r="D8" s="95"/>
      <c r="E8" s="95"/>
      <c r="F8" s="95"/>
      <c r="G8" s="22" t="s">
        <v>56</v>
      </c>
      <c r="H8" s="42" t="s">
        <v>61</v>
      </c>
      <c r="I8" s="43" t="s">
        <v>57</v>
      </c>
      <c r="J8" s="44" t="s">
        <v>58</v>
      </c>
      <c r="K8" s="44" t="s">
        <v>32</v>
      </c>
      <c r="L8" s="43" t="s">
        <v>33</v>
      </c>
      <c r="M8" s="43" t="s">
        <v>15</v>
      </c>
      <c r="N8" s="44" t="s">
        <v>59</v>
      </c>
      <c r="O8" s="43" t="s">
        <v>51</v>
      </c>
      <c r="P8" s="44" t="s">
        <v>31</v>
      </c>
      <c r="Q8" s="44" t="s">
        <v>32</v>
      </c>
      <c r="R8" s="35" t="s">
        <v>15</v>
      </c>
      <c r="S8" s="35" t="s">
        <v>14</v>
      </c>
      <c r="T8" s="35" t="s">
        <v>16</v>
      </c>
      <c r="U8" s="23"/>
      <c r="V8" s="23"/>
      <c r="W8" s="23"/>
    </row>
    <row r="9" spans="2:23" x14ac:dyDescent="0.25">
      <c r="B9" s="4">
        <v>1</v>
      </c>
      <c r="C9" s="57">
        <v>2</v>
      </c>
      <c r="D9" s="57">
        <v>2</v>
      </c>
      <c r="E9" s="57">
        <v>0</v>
      </c>
      <c r="F9" s="57">
        <v>1</v>
      </c>
      <c r="G9" s="24">
        <v>480</v>
      </c>
      <c r="H9" s="45">
        <f t="shared" ref="H9:H38" si="0">C9*$C$6+D9*$D$6+E9*$E$6+F9*$F$6</f>
        <v>5</v>
      </c>
      <c r="I9" s="46">
        <f t="shared" ref="I9:I38" si="1">H9/G9</f>
        <v>1.0416666666666666E-2</v>
      </c>
      <c r="J9" s="46">
        <f>C7*C6+D7*D6+E7*E6+F7*F6</f>
        <v>3.5000000000000003E-2</v>
      </c>
      <c r="K9" s="46">
        <f t="shared" ref="K9:K38" si="2">J9+3*SQRT($C$6^2*$C$7+$D$6^2*$D$7+$E$6^2*$E$7+$F$6^2*$F$7)/SQRT(G9)</f>
        <v>6.0617376914899004E-2</v>
      </c>
      <c r="L9" s="46">
        <f t="shared" ref="L9:L38" si="3">IF(J9-3*SQRT($C$6^2*$C$7+$D$6^2*$D$7+$E$6^2*$E$7+$F$6^2*$F$7)/SQRT(G9)&lt;0,0,J9-3*SQRT($C$6^2*$C$7+$D$6^2*$D$7+$E$6^2*$E$7+$F$6^2*$F$7)/SQRT(G9))</f>
        <v>9.3826230851010058E-3</v>
      </c>
      <c r="M9" s="46">
        <f t="shared" ref="M9:M38" si="4">J9+2*SQRT($C$6^2*$C$7+$D$6^2*$D$7+$E$6^2*$E$7+$F$6^2*$F$7)/SQRT(G9)</f>
        <v>5.2078251276599333E-2</v>
      </c>
      <c r="N9" s="46">
        <f t="shared" ref="N9:N38" si="5">IF(J9-2*SQRT($C$6^2*$C$7+$D$6^2*$D$7+$E$6^2*$E$7+$F$6^2*$F$7)/SQRT(G9)&lt;0,0,J9-2*SQRT($C$6^2*$C$7+$D$6^2*$D$7+$E$6^2*$E$7+$F$6^2*$F$7)/SQRT(G9))</f>
        <v>1.792174872340067E-2</v>
      </c>
      <c r="O9" s="48">
        <f t="shared" ref="O9:O38" si="6">SUM(C9:F9)</f>
        <v>5</v>
      </c>
      <c r="P9" s="46">
        <f>C44</f>
        <v>8.9333333333333336</v>
      </c>
      <c r="Q9" s="46">
        <f>P9+3*SQRT(P9)</f>
        <v>17.899938041917292</v>
      </c>
      <c r="R9" s="46">
        <f>P9+2*SQRT(P9)</f>
        <v>14.91106980572264</v>
      </c>
      <c r="S9" s="46">
        <f>IF(P9-3*SQRT(P9)&lt;0,0,P9-3*SQRT(P9))</f>
        <v>0</v>
      </c>
      <c r="T9" s="46">
        <f>P9-2*SQRT(P9)</f>
        <v>2.955596860944028</v>
      </c>
      <c r="U9" s="23"/>
      <c r="V9" s="23"/>
      <c r="W9" s="23"/>
    </row>
    <row r="10" spans="2:23" x14ac:dyDescent="0.25">
      <c r="B10" s="4">
        <v>2</v>
      </c>
      <c r="C10" s="57">
        <v>2</v>
      </c>
      <c r="D10" s="57">
        <v>2</v>
      </c>
      <c r="E10" s="57">
        <v>2</v>
      </c>
      <c r="F10" s="57">
        <v>2</v>
      </c>
      <c r="G10" s="24">
        <v>480</v>
      </c>
      <c r="H10" s="45">
        <f t="shared" si="0"/>
        <v>8</v>
      </c>
      <c r="I10" s="46">
        <f t="shared" si="1"/>
        <v>1.6666666666666666E-2</v>
      </c>
      <c r="J10" s="46">
        <f t="shared" ref="J10:J38" si="7">J9</f>
        <v>3.5000000000000003E-2</v>
      </c>
      <c r="K10" s="46">
        <f t="shared" si="2"/>
        <v>6.0617376914899004E-2</v>
      </c>
      <c r="L10" s="46">
        <f t="shared" si="3"/>
        <v>9.3826230851010058E-3</v>
      </c>
      <c r="M10" s="46">
        <f t="shared" si="4"/>
        <v>5.2078251276599333E-2</v>
      </c>
      <c r="N10" s="46">
        <f t="shared" si="5"/>
        <v>1.792174872340067E-2</v>
      </c>
      <c r="O10" s="48">
        <f t="shared" si="6"/>
        <v>8</v>
      </c>
      <c r="P10" s="46">
        <f t="shared" ref="P10:P38" si="8">P9</f>
        <v>8.9333333333333336</v>
      </c>
      <c r="Q10" s="46">
        <f t="shared" ref="Q10:Q38" si="9">Q9</f>
        <v>17.899938041917292</v>
      </c>
      <c r="R10" s="46">
        <f t="shared" ref="R10:R38" si="10">R9</f>
        <v>14.91106980572264</v>
      </c>
      <c r="S10" s="46">
        <f t="shared" ref="S10:S38" si="11">S9</f>
        <v>0</v>
      </c>
      <c r="T10" s="46">
        <f t="shared" ref="T10:T38" si="12">T9</f>
        <v>2.955596860944028</v>
      </c>
      <c r="U10" s="23"/>
      <c r="V10" s="23"/>
      <c r="W10" s="23"/>
    </row>
    <row r="11" spans="2:23" x14ac:dyDescent="0.25">
      <c r="B11" s="4">
        <v>3</v>
      </c>
      <c r="C11" s="57">
        <v>0</v>
      </c>
      <c r="D11" s="57">
        <v>0</v>
      </c>
      <c r="E11" s="57">
        <v>1</v>
      </c>
      <c r="F11" s="57">
        <v>3</v>
      </c>
      <c r="G11" s="24">
        <v>555</v>
      </c>
      <c r="H11" s="45">
        <f t="shared" si="0"/>
        <v>4</v>
      </c>
      <c r="I11" s="46">
        <f t="shared" si="1"/>
        <v>7.2072072072072073E-3</v>
      </c>
      <c r="J11" s="46">
        <f t="shared" si="7"/>
        <v>3.5000000000000003E-2</v>
      </c>
      <c r="K11" s="46">
        <f t="shared" si="2"/>
        <v>5.8823676617339477E-2</v>
      </c>
      <c r="L11" s="46">
        <f t="shared" si="3"/>
        <v>1.117632338266053E-2</v>
      </c>
      <c r="M11" s="46">
        <f t="shared" si="4"/>
        <v>5.0882451078226323E-2</v>
      </c>
      <c r="N11" s="46">
        <f t="shared" si="5"/>
        <v>1.9117548921773687E-2</v>
      </c>
      <c r="O11" s="48">
        <f t="shared" si="6"/>
        <v>4</v>
      </c>
      <c r="P11" s="46">
        <f t="shared" si="8"/>
        <v>8.9333333333333336</v>
      </c>
      <c r="Q11" s="46">
        <f t="shared" si="9"/>
        <v>17.899938041917292</v>
      </c>
      <c r="R11" s="46">
        <f t="shared" si="10"/>
        <v>14.91106980572264</v>
      </c>
      <c r="S11" s="46">
        <f t="shared" si="11"/>
        <v>0</v>
      </c>
      <c r="T11" s="46">
        <f t="shared" si="12"/>
        <v>2.955596860944028</v>
      </c>
      <c r="U11" s="23"/>
      <c r="V11" s="23"/>
      <c r="W11" s="23"/>
    </row>
    <row r="12" spans="2:23" x14ac:dyDescent="0.25">
      <c r="B12" s="4">
        <v>4</v>
      </c>
      <c r="C12" s="57">
        <v>6</v>
      </c>
      <c r="D12" s="57">
        <v>6</v>
      </c>
      <c r="E12" s="57">
        <v>1</v>
      </c>
      <c r="F12" s="57">
        <v>3</v>
      </c>
      <c r="G12" s="24">
        <v>532</v>
      </c>
      <c r="H12" s="45">
        <f t="shared" si="0"/>
        <v>16</v>
      </c>
      <c r="I12" s="46">
        <f t="shared" si="1"/>
        <v>3.007518796992481E-2</v>
      </c>
      <c r="J12" s="46">
        <f t="shared" si="7"/>
        <v>3.5000000000000003E-2</v>
      </c>
      <c r="K12" s="46">
        <f t="shared" si="2"/>
        <v>5.9333213169614388E-2</v>
      </c>
      <c r="L12" s="46">
        <f t="shared" si="3"/>
        <v>1.0666786830385622E-2</v>
      </c>
      <c r="M12" s="46">
        <f t="shared" si="4"/>
        <v>5.1222142113076255E-2</v>
      </c>
      <c r="N12" s="46">
        <f t="shared" si="5"/>
        <v>1.8777857886923748E-2</v>
      </c>
      <c r="O12" s="48">
        <f t="shared" si="6"/>
        <v>16</v>
      </c>
      <c r="P12" s="46">
        <f t="shared" si="8"/>
        <v>8.9333333333333336</v>
      </c>
      <c r="Q12" s="46">
        <f t="shared" si="9"/>
        <v>17.899938041917292</v>
      </c>
      <c r="R12" s="46">
        <f t="shared" si="10"/>
        <v>14.91106980572264</v>
      </c>
      <c r="S12" s="46">
        <f t="shared" si="11"/>
        <v>0</v>
      </c>
      <c r="T12" s="46">
        <f t="shared" si="12"/>
        <v>2.955596860944028</v>
      </c>
      <c r="U12" s="23"/>
      <c r="V12" s="23"/>
      <c r="W12" s="23"/>
    </row>
    <row r="13" spans="2:23" x14ac:dyDescent="0.25">
      <c r="B13" s="4">
        <v>5</v>
      </c>
      <c r="C13" s="57">
        <v>3</v>
      </c>
      <c r="D13" s="57">
        <v>3</v>
      </c>
      <c r="E13" s="57">
        <v>1</v>
      </c>
      <c r="F13" s="57">
        <v>2</v>
      </c>
      <c r="G13" s="24">
        <v>481</v>
      </c>
      <c r="H13" s="45">
        <f t="shared" si="0"/>
        <v>9</v>
      </c>
      <c r="I13" s="46">
        <f t="shared" si="1"/>
        <v>1.8711018711018712E-2</v>
      </c>
      <c r="J13" s="46">
        <f t="shared" si="7"/>
        <v>3.5000000000000003E-2</v>
      </c>
      <c r="K13" s="46">
        <f t="shared" si="2"/>
        <v>6.0590733769973364E-2</v>
      </c>
      <c r="L13" s="46">
        <f t="shared" si="3"/>
        <v>9.409266230026643E-3</v>
      </c>
      <c r="M13" s="46">
        <f t="shared" si="4"/>
        <v>5.2060489179982239E-2</v>
      </c>
      <c r="N13" s="46">
        <f t="shared" si="5"/>
        <v>1.7939510820017764E-2</v>
      </c>
      <c r="O13" s="48">
        <f t="shared" si="6"/>
        <v>9</v>
      </c>
      <c r="P13" s="46">
        <f t="shared" si="8"/>
        <v>8.9333333333333336</v>
      </c>
      <c r="Q13" s="46">
        <f t="shared" si="9"/>
        <v>17.899938041917292</v>
      </c>
      <c r="R13" s="46">
        <f t="shared" si="10"/>
        <v>14.91106980572264</v>
      </c>
      <c r="S13" s="46">
        <f t="shared" si="11"/>
        <v>0</v>
      </c>
      <c r="T13" s="46">
        <f t="shared" si="12"/>
        <v>2.955596860944028</v>
      </c>
      <c r="U13" s="23"/>
      <c r="V13" s="23"/>
      <c r="W13" s="23"/>
    </row>
    <row r="14" spans="2:23" x14ac:dyDescent="0.25">
      <c r="B14" s="4">
        <v>6</v>
      </c>
      <c r="C14" s="57">
        <v>2</v>
      </c>
      <c r="D14" s="57">
        <v>2</v>
      </c>
      <c r="E14" s="57">
        <v>1</v>
      </c>
      <c r="F14" s="57">
        <v>2</v>
      </c>
      <c r="G14" s="24">
        <v>483</v>
      </c>
      <c r="H14" s="45">
        <f t="shared" si="0"/>
        <v>7</v>
      </c>
      <c r="I14" s="46">
        <f t="shared" si="1"/>
        <v>1.4492753623188406E-2</v>
      </c>
      <c r="J14" s="46">
        <f t="shared" si="7"/>
        <v>3.5000000000000003E-2</v>
      </c>
      <c r="K14" s="46">
        <f t="shared" si="2"/>
        <v>6.0537695922762466E-2</v>
      </c>
      <c r="L14" s="46">
        <f t="shared" si="3"/>
        <v>9.462304077237544E-3</v>
      </c>
      <c r="M14" s="46">
        <f t="shared" si="4"/>
        <v>5.2025130615174976E-2</v>
      </c>
      <c r="N14" s="46">
        <f t="shared" si="5"/>
        <v>1.797486938482503E-2</v>
      </c>
      <c r="O14" s="48">
        <f t="shared" si="6"/>
        <v>7</v>
      </c>
      <c r="P14" s="46">
        <f t="shared" si="8"/>
        <v>8.9333333333333336</v>
      </c>
      <c r="Q14" s="46">
        <f t="shared" si="9"/>
        <v>17.899938041917292</v>
      </c>
      <c r="R14" s="46">
        <f t="shared" si="10"/>
        <v>14.91106980572264</v>
      </c>
      <c r="S14" s="46">
        <f t="shared" si="11"/>
        <v>0</v>
      </c>
      <c r="T14" s="46">
        <f t="shared" si="12"/>
        <v>2.955596860944028</v>
      </c>
      <c r="U14" s="23"/>
      <c r="V14" s="23"/>
      <c r="W14" s="23"/>
    </row>
    <row r="15" spans="2:23" x14ac:dyDescent="0.25">
      <c r="B15" s="4">
        <v>7</v>
      </c>
      <c r="C15" s="57">
        <v>0</v>
      </c>
      <c r="D15" s="57">
        <v>0</v>
      </c>
      <c r="E15" s="57">
        <v>2</v>
      </c>
      <c r="F15" s="57">
        <v>2</v>
      </c>
      <c r="G15" s="24">
        <v>640</v>
      </c>
      <c r="H15" s="45">
        <f t="shared" si="0"/>
        <v>4</v>
      </c>
      <c r="I15" s="46">
        <f t="shared" si="1"/>
        <v>6.2500000000000003E-3</v>
      </c>
      <c r="J15" s="46">
        <f t="shared" si="7"/>
        <v>3.5000000000000003E-2</v>
      </c>
      <c r="K15" s="46">
        <f t="shared" si="2"/>
        <v>5.7185299186623559E-2</v>
      </c>
      <c r="L15" s="46">
        <f t="shared" si="3"/>
        <v>1.2814700813376444E-2</v>
      </c>
      <c r="M15" s="46">
        <f t="shared" si="4"/>
        <v>4.979019945774904E-2</v>
      </c>
      <c r="N15" s="46">
        <f t="shared" si="5"/>
        <v>2.0209800542250963E-2</v>
      </c>
      <c r="O15" s="48">
        <f t="shared" si="6"/>
        <v>4</v>
      </c>
      <c r="P15" s="46">
        <f t="shared" si="8"/>
        <v>8.9333333333333336</v>
      </c>
      <c r="Q15" s="46">
        <f t="shared" si="9"/>
        <v>17.899938041917292</v>
      </c>
      <c r="R15" s="46">
        <f t="shared" si="10"/>
        <v>14.91106980572264</v>
      </c>
      <c r="S15" s="46">
        <f t="shared" si="11"/>
        <v>0</v>
      </c>
      <c r="T15" s="46">
        <f t="shared" si="12"/>
        <v>2.955596860944028</v>
      </c>
      <c r="U15" s="23"/>
      <c r="V15" s="23"/>
      <c r="W15" s="23"/>
    </row>
    <row r="16" spans="2:23" x14ac:dyDescent="0.25">
      <c r="B16" s="4">
        <v>8</v>
      </c>
      <c r="C16" s="57">
        <v>0</v>
      </c>
      <c r="D16" s="57">
        <v>0</v>
      </c>
      <c r="E16" s="57">
        <v>1</v>
      </c>
      <c r="F16" s="57">
        <v>3</v>
      </c>
      <c r="G16" s="24">
        <v>480</v>
      </c>
      <c r="H16" s="45">
        <f t="shared" si="0"/>
        <v>4</v>
      </c>
      <c r="I16" s="46">
        <f t="shared" si="1"/>
        <v>8.3333333333333332E-3</v>
      </c>
      <c r="J16" s="46">
        <f t="shared" si="7"/>
        <v>3.5000000000000003E-2</v>
      </c>
      <c r="K16" s="46">
        <f t="shared" si="2"/>
        <v>6.0617376914899004E-2</v>
      </c>
      <c r="L16" s="46">
        <f t="shared" si="3"/>
        <v>9.3826230851010058E-3</v>
      </c>
      <c r="M16" s="46">
        <f t="shared" si="4"/>
        <v>5.2078251276599333E-2</v>
      </c>
      <c r="N16" s="46">
        <f t="shared" si="5"/>
        <v>1.792174872340067E-2</v>
      </c>
      <c r="O16" s="48">
        <f t="shared" si="6"/>
        <v>4</v>
      </c>
      <c r="P16" s="46">
        <f t="shared" si="8"/>
        <v>8.9333333333333336</v>
      </c>
      <c r="Q16" s="46">
        <f t="shared" si="9"/>
        <v>17.899938041917292</v>
      </c>
      <c r="R16" s="46">
        <f t="shared" si="10"/>
        <v>14.91106980572264</v>
      </c>
      <c r="S16" s="46">
        <f t="shared" si="11"/>
        <v>0</v>
      </c>
      <c r="T16" s="46">
        <f t="shared" si="12"/>
        <v>2.955596860944028</v>
      </c>
      <c r="U16" s="23"/>
      <c r="V16" s="23"/>
      <c r="W16" s="23"/>
    </row>
    <row r="17" spans="2:23" x14ac:dyDescent="0.25">
      <c r="B17" s="4">
        <v>9</v>
      </c>
      <c r="C17" s="57">
        <v>1</v>
      </c>
      <c r="D17" s="57">
        <v>1</v>
      </c>
      <c r="E17" s="57">
        <v>0</v>
      </c>
      <c r="F17" s="57">
        <v>1</v>
      </c>
      <c r="G17" s="24">
        <v>480</v>
      </c>
      <c r="H17" s="45">
        <f t="shared" si="0"/>
        <v>3</v>
      </c>
      <c r="I17" s="46">
        <f t="shared" si="1"/>
        <v>6.2500000000000003E-3</v>
      </c>
      <c r="J17" s="46">
        <f t="shared" si="7"/>
        <v>3.5000000000000003E-2</v>
      </c>
      <c r="K17" s="46">
        <f t="shared" si="2"/>
        <v>6.0617376914899004E-2</v>
      </c>
      <c r="L17" s="46">
        <f t="shared" si="3"/>
        <v>9.3826230851010058E-3</v>
      </c>
      <c r="M17" s="46">
        <f t="shared" si="4"/>
        <v>5.2078251276599333E-2</v>
      </c>
      <c r="N17" s="46">
        <f t="shared" si="5"/>
        <v>1.792174872340067E-2</v>
      </c>
      <c r="O17" s="48">
        <f t="shared" si="6"/>
        <v>3</v>
      </c>
      <c r="P17" s="46">
        <f t="shared" si="8"/>
        <v>8.9333333333333336</v>
      </c>
      <c r="Q17" s="46">
        <f t="shared" si="9"/>
        <v>17.899938041917292</v>
      </c>
      <c r="R17" s="46">
        <f t="shared" si="10"/>
        <v>14.91106980572264</v>
      </c>
      <c r="S17" s="46">
        <f t="shared" si="11"/>
        <v>0</v>
      </c>
      <c r="T17" s="46">
        <f t="shared" si="12"/>
        <v>2.955596860944028</v>
      </c>
      <c r="U17" s="23"/>
      <c r="V17" s="23"/>
      <c r="W17" s="23"/>
    </row>
    <row r="18" spans="2:23" x14ac:dyDescent="0.25">
      <c r="B18" s="4">
        <v>10</v>
      </c>
      <c r="C18" s="57">
        <v>2</v>
      </c>
      <c r="D18" s="57">
        <v>2</v>
      </c>
      <c r="E18" s="57">
        <v>2</v>
      </c>
      <c r="F18" s="57">
        <v>1</v>
      </c>
      <c r="G18" s="24">
        <v>456</v>
      </c>
      <c r="H18" s="45">
        <f t="shared" si="0"/>
        <v>7</v>
      </c>
      <c r="I18" s="46">
        <f t="shared" si="1"/>
        <v>1.5350877192982455E-2</v>
      </c>
      <c r="J18" s="46">
        <f t="shared" si="7"/>
        <v>3.5000000000000003E-2</v>
      </c>
      <c r="K18" s="46">
        <f t="shared" si="2"/>
        <v>6.1282874151892347E-2</v>
      </c>
      <c r="L18" s="46">
        <f t="shared" si="3"/>
        <v>8.7171258481076631E-3</v>
      </c>
      <c r="M18" s="46">
        <f t="shared" si="4"/>
        <v>5.2521916101261563E-2</v>
      </c>
      <c r="N18" s="46">
        <f t="shared" si="5"/>
        <v>1.7478083898738443E-2</v>
      </c>
      <c r="O18" s="48">
        <f t="shared" si="6"/>
        <v>7</v>
      </c>
      <c r="P18" s="46">
        <f t="shared" si="8"/>
        <v>8.9333333333333336</v>
      </c>
      <c r="Q18" s="46">
        <f t="shared" si="9"/>
        <v>17.899938041917292</v>
      </c>
      <c r="R18" s="46">
        <f t="shared" si="10"/>
        <v>14.91106980572264</v>
      </c>
      <c r="S18" s="46">
        <f t="shared" si="11"/>
        <v>0</v>
      </c>
      <c r="T18" s="46">
        <f t="shared" si="12"/>
        <v>2.955596860944028</v>
      </c>
      <c r="U18" s="23"/>
      <c r="V18" s="23"/>
      <c r="W18" s="23"/>
    </row>
    <row r="19" spans="2:23" x14ac:dyDescent="0.25">
      <c r="B19" s="4">
        <v>11</v>
      </c>
      <c r="C19" s="57">
        <v>0</v>
      </c>
      <c r="D19" s="57">
        <v>0</v>
      </c>
      <c r="E19" s="57">
        <v>0</v>
      </c>
      <c r="F19" s="57">
        <v>1</v>
      </c>
      <c r="G19" s="24">
        <v>546</v>
      </c>
      <c r="H19" s="45">
        <f t="shared" si="0"/>
        <v>1</v>
      </c>
      <c r="I19" s="46">
        <f t="shared" si="1"/>
        <v>1.8315018315018315E-3</v>
      </c>
      <c r="J19" s="46">
        <f t="shared" si="7"/>
        <v>3.5000000000000003E-2</v>
      </c>
      <c r="K19" s="46">
        <f t="shared" si="2"/>
        <v>5.9019223070763072E-2</v>
      </c>
      <c r="L19" s="46">
        <f t="shared" si="3"/>
        <v>1.0980776929236935E-2</v>
      </c>
      <c r="M19" s="46">
        <f t="shared" si="4"/>
        <v>5.1012815380508718E-2</v>
      </c>
      <c r="N19" s="46">
        <f t="shared" si="5"/>
        <v>1.8987184619491289E-2</v>
      </c>
      <c r="O19" s="48">
        <f t="shared" si="6"/>
        <v>1</v>
      </c>
      <c r="P19" s="46">
        <f t="shared" si="8"/>
        <v>8.9333333333333336</v>
      </c>
      <c r="Q19" s="46">
        <f t="shared" si="9"/>
        <v>17.899938041917292</v>
      </c>
      <c r="R19" s="46">
        <f t="shared" si="10"/>
        <v>14.91106980572264</v>
      </c>
      <c r="S19" s="46">
        <f t="shared" si="11"/>
        <v>0</v>
      </c>
      <c r="T19" s="46">
        <f t="shared" si="12"/>
        <v>2.955596860944028</v>
      </c>
      <c r="U19" s="23"/>
      <c r="V19" s="23"/>
      <c r="W19" s="23"/>
    </row>
    <row r="20" spans="2:23" x14ac:dyDescent="0.25">
      <c r="B20" s="4">
        <v>12</v>
      </c>
      <c r="C20" s="57">
        <v>3</v>
      </c>
      <c r="D20" s="57">
        <v>3</v>
      </c>
      <c r="E20" s="57">
        <v>3</v>
      </c>
      <c r="F20" s="57">
        <v>0</v>
      </c>
      <c r="G20" s="24">
        <v>481</v>
      </c>
      <c r="H20" s="45">
        <f t="shared" si="0"/>
        <v>9</v>
      </c>
      <c r="I20" s="46">
        <f t="shared" si="1"/>
        <v>1.8711018711018712E-2</v>
      </c>
      <c r="J20" s="46">
        <f t="shared" si="7"/>
        <v>3.5000000000000003E-2</v>
      </c>
      <c r="K20" s="46">
        <f t="shared" si="2"/>
        <v>6.0590733769973364E-2</v>
      </c>
      <c r="L20" s="46">
        <f t="shared" si="3"/>
        <v>9.409266230026643E-3</v>
      </c>
      <c r="M20" s="46">
        <f t="shared" si="4"/>
        <v>5.2060489179982239E-2</v>
      </c>
      <c r="N20" s="46">
        <f t="shared" si="5"/>
        <v>1.7939510820017764E-2</v>
      </c>
      <c r="O20" s="48">
        <f t="shared" si="6"/>
        <v>9</v>
      </c>
      <c r="P20" s="46">
        <f t="shared" si="8"/>
        <v>8.9333333333333336</v>
      </c>
      <c r="Q20" s="46">
        <f t="shared" si="9"/>
        <v>17.899938041917292</v>
      </c>
      <c r="R20" s="46">
        <f t="shared" si="10"/>
        <v>14.91106980572264</v>
      </c>
      <c r="S20" s="46">
        <f t="shared" si="11"/>
        <v>0</v>
      </c>
      <c r="T20" s="46">
        <f t="shared" si="12"/>
        <v>2.955596860944028</v>
      </c>
      <c r="U20" s="23"/>
      <c r="V20" s="23"/>
      <c r="W20" s="23"/>
    </row>
    <row r="21" spans="2:23" x14ac:dyDescent="0.25">
      <c r="B21" s="4">
        <v>13</v>
      </c>
      <c r="C21" s="57">
        <v>3</v>
      </c>
      <c r="D21" s="57">
        <v>3</v>
      </c>
      <c r="E21" s="57">
        <v>3</v>
      </c>
      <c r="F21" s="57">
        <v>0</v>
      </c>
      <c r="G21" s="24">
        <v>483</v>
      </c>
      <c r="H21" s="45">
        <f t="shared" si="0"/>
        <v>9</v>
      </c>
      <c r="I21" s="46">
        <f t="shared" si="1"/>
        <v>1.8633540372670808E-2</v>
      </c>
      <c r="J21" s="46">
        <f t="shared" si="7"/>
        <v>3.5000000000000003E-2</v>
      </c>
      <c r="K21" s="46">
        <f t="shared" si="2"/>
        <v>6.0537695922762466E-2</v>
      </c>
      <c r="L21" s="46">
        <f t="shared" si="3"/>
        <v>9.462304077237544E-3</v>
      </c>
      <c r="M21" s="46">
        <f t="shared" si="4"/>
        <v>5.2025130615174976E-2</v>
      </c>
      <c r="N21" s="46">
        <f t="shared" si="5"/>
        <v>1.797486938482503E-2</v>
      </c>
      <c r="O21" s="48">
        <f t="shared" si="6"/>
        <v>9</v>
      </c>
      <c r="P21" s="46">
        <f t="shared" si="8"/>
        <v>8.9333333333333336</v>
      </c>
      <c r="Q21" s="46">
        <f t="shared" si="9"/>
        <v>17.899938041917292</v>
      </c>
      <c r="R21" s="46">
        <f t="shared" si="10"/>
        <v>14.91106980572264</v>
      </c>
      <c r="S21" s="46">
        <f t="shared" si="11"/>
        <v>0</v>
      </c>
      <c r="T21" s="46">
        <f t="shared" si="12"/>
        <v>2.955596860944028</v>
      </c>
      <c r="U21" s="23"/>
      <c r="V21" s="23"/>
      <c r="W21" s="23"/>
    </row>
    <row r="22" spans="2:23" x14ac:dyDescent="0.25">
      <c r="B22" s="4">
        <v>14</v>
      </c>
      <c r="C22" s="57">
        <v>1</v>
      </c>
      <c r="D22" s="57">
        <v>1</v>
      </c>
      <c r="E22" s="57">
        <v>1</v>
      </c>
      <c r="F22" s="57">
        <v>3</v>
      </c>
      <c r="G22" s="24">
        <v>640</v>
      </c>
      <c r="H22" s="45">
        <f t="shared" si="0"/>
        <v>6</v>
      </c>
      <c r="I22" s="46">
        <f t="shared" si="1"/>
        <v>9.3749999999999997E-3</v>
      </c>
      <c r="J22" s="46">
        <f t="shared" si="7"/>
        <v>3.5000000000000003E-2</v>
      </c>
      <c r="K22" s="46">
        <f t="shared" si="2"/>
        <v>5.7185299186623559E-2</v>
      </c>
      <c r="L22" s="46">
        <f t="shared" si="3"/>
        <v>1.2814700813376444E-2</v>
      </c>
      <c r="M22" s="46">
        <f t="shared" si="4"/>
        <v>4.979019945774904E-2</v>
      </c>
      <c r="N22" s="46">
        <f t="shared" si="5"/>
        <v>2.0209800542250963E-2</v>
      </c>
      <c r="O22" s="48">
        <f t="shared" si="6"/>
        <v>6</v>
      </c>
      <c r="P22" s="46">
        <f t="shared" si="8"/>
        <v>8.9333333333333336</v>
      </c>
      <c r="Q22" s="46">
        <f t="shared" si="9"/>
        <v>17.899938041917292</v>
      </c>
      <c r="R22" s="46">
        <f t="shared" si="10"/>
        <v>14.91106980572264</v>
      </c>
      <c r="S22" s="46">
        <f t="shared" si="11"/>
        <v>0</v>
      </c>
      <c r="T22" s="46">
        <f t="shared" si="12"/>
        <v>2.955596860944028</v>
      </c>
      <c r="U22" s="23"/>
      <c r="V22" s="23"/>
      <c r="W22" s="23"/>
    </row>
    <row r="23" spans="2:23" x14ac:dyDescent="0.25">
      <c r="B23" s="4">
        <v>15</v>
      </c>
      <c r="C23" s="57">
        <v>1</v>
      </c>
      <c r="D23" s="57">
        <v>1</v>
      </c>
      <c r="E23" s="57">
        <v>1</v>
      </c>
      <c r="F23" s="57">
        <v>0</v>
      </c>
      <c r="G23" s="24">
        <v>762</v>
      </c>
      <c r="H23" s="45">
        <f t="shared" si="0"/>
        <v>3</v>
      </c>
      <c r="I23" s="46">
        <f t="shared" si="1"/>
        <v>3.937007874015748E-3</v>
      </c>
      <c r="J23" s="46">
        <f t="shared" si="7"/>
        <v>3.5000000000000003E-2</v>
      </c>
      <c r="K23" s="46">
        <f t="shared" si="2"/>
        <v>5.5331891864055682E-2</v>
      </c>
      <c r="L23" s="46">
        <f t="shared" si="3"/>
        <v>1.4668108135944321E-2</v>
      </c>
      <c r="M23" s="46">
        <f t="shared" si="4"/>
        <v>4.8554594576037127E-2</v>
      </c>
      <c r="N23" s="46">
        <f t="shared" si="5"/>
        <v>2.1445405423962879E-2</v>
      </c>
      <c r="O23" s="48">
        <f t="shared" si="6"/>
        <v>3</v>
      </c>
      <c r="P23" s="46">
        <f t="shared" si="8"/>
        <v>8.9333333333333336</v>
      </c>
      <c r="Q23" s="46">
        <f t="shared" si="9"/>
        <v>17.899938041917292</v>
      </c>
      <c r="R23" s="46">
        <f t="shared" si="10"/>
        <v>14.91106980572264</v>
      </c>
      <c r="S23" s="46">
        <f t="shared" si="11"/>
        <v>0</v>
      </c>
      <c r="T23" s="46">
        <f t="shared" si="12"/>
        <v>2.955596860944028</v>
      </c>
      <c r="U23" s="23"/>
      <c r="V23" s="23"/>
      <c r="W23" s="23"/>
    </row>
    <row r="24" spans="2:23" x14ac:dyDescent="0.25">
      <c r="B24" s="4">
        <v>16</v>
      </c>
      <c r="C24" s="57">
        <v>3</v>
      </c>
      <c r="D24" s="57">
        <v>3</v>
      </c>
      <c r="E24" s="57">
        <v>3</v>
      </c>
      <c r="F24" s="57">
        <v>1</v>
      </c>
      <c r="G24" s="24">
        <v>481</v>
      </c>
      <c r="H24" s="45">
        <f t="shared" si="0"/>
        <v>10</v>
      </c>
      <c r="I24" s="46">
        <f t="shared" si="1"/>
        <v>2.0790020790020791E-2</v>
      </c>
      <c r="J24" s="46">
        <f t="shared" si="7"/>
        <v>3.5000000000000003E-2</v>
      </c>
      <c r="K24" s="46">
        <f t="shared" si="2"/>
        <v>6.0590733769973364E-2</v>
      </c>
      <c r="L24" s="46">
        <f t="shared" si="3"/>
        <v>9.409266230026643E-3</v>
      </c>
      <c r="M24" s="46">
        <f t="shared" si="4"/>
        <v>5.2060489179982239E-2</v>
      </c>
      <c r="N24" s="46">
        <f t="shared" si="5"/>
        <v>1.7939510820017764E-2</v>
      </c>
      <c r="O24" s="48">
        <f t="shared" si="6"/>
        <v>10</v>
      </c>
      <c r="P24" s="46">
        <f t="shared" si="8"/>
        <v>8.9333333333333336</v>
      </c>
      <c r="Q24" s="46">
        <f t="shared" si="9"/>
        <v>17.899938041917292</v>
      </c>
      <c r="R24" s="46">
        <f t="shared" si="10"/>
        <v>14.91106980572264</v>
      </c>
      <c r="S24" s="46">
        <f t="shared" si="11"/>
        <v>0</v>
      </c>
      <c r="T24" s="46">
        <f t="shared" si="12"/>
        <v>2.955596860944028</v>
      </c>
      <c r="U24" s="23"/>
      <c r="V24" s="23"/>
      <c r="W24" s="23"/>
    </row>
    <row r="25" spans="2:23" x14ac:dyDescent="0.25">
      <c r="B25" s="4">
        <v>17</v>
      </c>
      <c r="C25" s="57">
        <v>3</v>
      </c>
      <c r="D25" s="57">
        <v>3</v>
      </c>
      <c r="E25" s="57">
        <v>3</v>
      </c>
      <c r="F25" s="57">
        <v>3</v>
      </c>
      <c r="G25" s="24">
        <v>640</v>
      </c>
      <c r="H25" s="45">
        <f t="shared" si="0"/>
        <v>12</v>
      </c>
      <c r="I25" s="46">
        <f t="shared" si="1"/>
        <v>1.8749999999999999E-2</v>
      </c>
      <c r="J25" s="46">
        <f t="shared" si="7"/>
        <v>3.5000000000000003E-2</v>
      </c>
      <c r="K25" s="46">
        <f t="shared" si="2"/>
        <v>5.7185299186623559E-2</v>
      </c>
      <c r="L25" s="46">
        <f t="shared" si="3"/>
        <v>1.2814700813376444E-2</v>
      </c>
      <c r="M25" s="46">
        <f t="shared" si="4"/>
        <v>4.979019945774904E-2</v>
      </c>
      <c r="N25" s="46">
        <f t="shared" si="5"/>
        <v>2.0209800542250963E-2</v>
      </c>
      <c r="O25" s="48">
        <f t="shared" si="6"/>
        <v>12</v>
      </c>
      <c r="P25" s="46">
        <f t="shared" si="8"/>
        <v>8.9333333333333336</v>
      </c>
      <c r="Q25" s="46">
        <f t="shared" si="9"/>
        <v>17.899938041917292</v>
      </c>
      <c r="R25" s="46">
        <f t="shared" si="10"/>
        <v>14.91106980572264</v>
      </c>
      <c r="S25" s="46">
        <f t="shared" si="11"/>
        <v>0</v>
      </c>
      <c r="T25" s="46">
        <f t="shared" si="12"/>
        <v>2.955596860944028</v>
      </c>
      <c r="U25" s="23"/>
      <c r="V25" s="23"/>
      <c r="W25" s="23"/>
    </row>
    <row r="26" spans="2:23" x14ac:dyDescent="0.25">
      <c r="B26" s="4">
        <v>18</v>
      </c>
      <c r="C26" s="57">
        <v>4</v>
      </c>
      <c r="D26" s="57">
        <v>4</v>
      </c>
      <c r="E26" s="57">
        <v>4</v>
      </c>
      <c r="F26" s="57">
        <v>0</v>
      </c>
      <c r="G26" s="24">
        <v>480</v>
      </c>
      <c r="H26" s="45">
        <f t="shared" si="0"/>
        <v>12</v>
      </c>
      <c r="I26" s="46">
        <f t="shared" si="1"/>
        <v>2.5000000000000001E-2</v>
      </c>
      <c r="J26" s="46">
        <f t="shared" si="7"/>
        <v>3.5000000000000003E-2</v>
      </c>
      <c r="K26" s="46">
        <f t="shared" si="2"/>
        <v>6.0617376914899004E-2</v>
      </c>
      <c r="L26" s="46">
        <f t="shared" si="3"/>
        <v>9.3826230851010058E-3</v>
      </c>
      <c r="M26" s="46">
        <f t="shared" si="4"/>
        <v>5.2078251276599333E-2</v>
      </c>
      <c r="N26" s="46">
        <f t="shared" si="5"/>
        <v>1.792174872340067E-2</v>
      </c>
      <c r="O26" s="48">
        <f t="shared" si="6"/>
        <v>12</v>
      </c>
      <c r="P26" s="46">
        <f t="shared" si="8"/>
        <v>8.9333333333333336</v>
      </c>
      <c r="Q26" s="46">
        <f t="shared" si="9"/>
        <v>17.899938041917292</v>
      </c>
      <c r="R26" s="46">
        <f t="shared" si="10"/>
        <v>14.91106980572264</v>
      </c>
      <c r="S26" s="46">
        <f t="shared" si="11"/>
        <v>0</v>
      </c>
      <c r="T26" s="46">
        <f t="shared" si="12"/>
        <v>2.955596860944028</v>
      </c>
      <c r="U26" s="23"/>
      <c r="V26" s="23"/>
      <c r="W26" s="23"/>
    </row>
    <row r="27" spans="2:23" x14ac:dyDescent="0.25">
      <c r="B27" s="4">
        <v>19</v>
      </c>
      <c r="C27" s="57">
        <v>5</v>
      </c>
      <c r="D27" s="57">
        <v>5</v>
      </c>
      <c r="E27" s="57">
        <v>5</v>
      </c>
      <c r="F27" s="57">
        <v>1</v>
      </c>
      <c r="G27" s="24">
        <v>480</v>
      </c>
      <c r="H27" s="45">
        <f t="shared" si="0"/>
        <v>16</v>
      </c>
      <c r="I27" s="46">
        <f t="shared" si="1"/>
        <v>3.3333333333333333E-2</v>
      </c>
      <c r="J27" s="46">
        <f t="shared" si="7"/>
        <v>3.5000000000000003E-2</v>
      </c>
      <c r="K27" s="46">
        <f t="shared" si="2"/>
        <v>6.0617376914899004E-2</v>
      </c>
      <c r="L27" s="46">
        <f t="shared" si="3"/>
        <v>9.3826230851010058E-3</v>
      </c>
      <c r="M27" s="46">
        <f t="shared" si="4"/>
        <v>5.2078251276599333E-2</v>
      </c>
      <c r="N27" s="46">
        <f t="shared" si="5"/>
        <v>1.792174872340067E-2</v>
      </c>
      <c r="O27" s="48">
        <f t="shared" si="6"/>
        <v>16</v>
      </c>
      <c r="P27" s="46">
        <f t="shared" si="8"/>
        <v>8.9333333333333336</v>
      </c>
      <c r="Q27" s="46">
        <f t="shared" si="9"/>
        <v>17.899938041917292</v>
      </c>
      <c r="R27" s="46">
        <f t="shared" si="10"/>
        <v>14.91106980572264</v>
      </c>
      <c r="S27" s="46">
        <f t="shared" si="11"/>
        <v>0</v>
      </c>
      <c r="T27" s="46">
        <f t="shared" si="12"/>
        <v>2.955596860944028</v>
      </c>
      <c r="U27" s="23"/>
      <c r="V27" s="23"/>
      <c r="W27" s="23"/>
    </row>
    <row r="28" spans="2:23" x14ac:dyDescent="0.25">
      <c r="B28" s="4">
        <v>20</v>
      </c>
      <c r="C28" s="57">
        <v>4</v>
      </c>
      <c r="D28" s="57">
        <v>4</v>
      </c>
      <c r="E28" s="57">
        <v>4</v>
      </c>
      <c r="F28" s="57">
        <v>2</v>
      </c>
      <c r="G28" s="24">
        <v>640</v>
      </c>
      <c r="H28" s="45">
        <f t="shared" si="0"/>
        <v>14</v>
      </c>
      <c r="I28" s="46">
        <f t="shared" si="1"/>
        <v>2.1874999999999999E-2</v>
      </c>
      <c r="J28" s="46">
        <f t="shared" si="7"/>
        <v>3.5000000000000003E-2</v>
      </c>
      <c r="K28" s="46">
        <f t="shared" si="2"/>
        <v>5.7185299186623559E-2</v>
      </c>
      <c r="L28" s="46">
        <f t="shared" si="3"/>
        <v>1.2814700813376444E-2</v>
      </c>
      <c r="M28" s="46">
        <f t="shared" si="4"/>
        <v>4.979019945774904E-2</v>
      </c>
      <c r="N28" s="46">
        <f t="shared" si="5"/>
        <v>2.0209800542250963E-2</v>
      </c>
      <c r="O28" s="48">
        <f t="shared" si="6"/>
        <v>14</v>
      </c>
      <c r="P28" s="46">
        <f t="shared" si="8"/>
        <v>8.9333333333333336</v>
      </c>
      <c r="Q28" s="46">
        <f t="shared" si="9"/>
        <v>17.899938041917292</v>
      </c>
      <c r="R28" s="46">
        <f t="shared" si="10"/>
        <v>14.91106980572264</v>
      </c>
      <c r="S28" s="46">
        <f t="shared" si="11"/>
        <v>0</v>
      </c>
      <c r="T28" s="46">
        <f t="shared" si="12"/>
        <v>2.955596860944028</v>
      </c>
      <c r="U28" s="23"/>
      <c r="V28" s="23"/>
      <c r="W28" s="23"/>
    </row>
    <row r="29" spans="2:23" x14ac:dyDescent="0.25">
      <c r="B29" s="4">
        <v>21</v>
      </c>
      <c r="C29" s="57">
        <v>4</v>
      </c>
      <c r="D29" s="57">
        <v>4</v>
      </c>
      <c r="E29" s="57">
        <v>4</v>
      </c>
      <c r="F29" s="57">
        <v>1</v>
      </c>
      <c r="G29" s="24">
        <v>480</v>
      </c>
      <c r="H29" s="45">
        <f t="shared" si="0"/>
        <v>13</v>
      </c>
      <c r="I29" s="46">
        <f t="shared" si="1"/>
        <v>2.7083333333333334E-2</v>
      </c>
      <c r="J29" s="46">
        <f t="shared" si="7"/>
        <v>3.5000000000000003E-2</v>
      </c>
      <c r="K29" s="46">
        <f t="shared" si="2"/>
        <v>6.0617376914899004E-2</v>
      </c>
      <c r="L29" s="46">
        <f t="shared" si="3"/>
        <v>9.3826230851010058E-3</v>
      </c>
      <c r="M29" s="46">
        <f t="shared" si="4"/>
        <v>5.2078251276599333E-2</v>
      </c>
      <c r="N29" s="46">
        <f t="shared" si="5"/>
        <v>1.792174872340067E-2</v>
      </c>
      <c r="O29" s="48">
        <f t="shared" si="6"/>
        <v>13</v>
      </c>
      <c r="P29" s="46">
        <f t="shared" si="8"/>
        <v>8.9333333333333336</v>
      </c>
      <c r="Q29" s="46">
        <f t="shared" si="9"/>
        <v>17.899938041917292</v>
      </c>
      <c r="R29" s="46">
        <f t="shared" si="10"/>
        <v>14.91106980572264</v>
      </c>
      <c r="S29" s="46">
        <f t="shared" si="11"/>
        <v>0</v>
      </c>
      <c r="T29" s="46">
        <f t="shared" si="12"/>
        <v>2.955596860944028</v>
      </c>
      <c r="U29" s="23"/>
      <c r="V29" s="23"/>
      <c r="W29" s="23"/>
    </row>
    <row r="30" spans="2:23" x14ac:dyDescent="0.25">
      <c r="B30" s="4">
        <v>22</v>
      </c>
      <c r="C30" s="57">
        <v>4</v>
      </c>
      <c r="D30" s="57">
        <v>4</v>
      </c>
      <c r="E30" s="57">
        <v>4</v>
      </c>
      <c r="F30" s="57">
        <v>3</v>
      </c>
      <c r="G30" s="24">
        <v>480</v>
      </c>
      <c r="H30" s="45">
        <f t="shared" si="0"/>
        <v>15</v>
      </c>
      <c r="I30" s="46">
        <f t="shared" si="1"/>
        <v>3.125E-2</v>
      </c>
      <c r="J30" s="46">
        <f t="shared" si="7"/>
        <v>3.5000000000000003E-2</v>
      </c>
      <c r="K30" s="46">
        <f t="shared" si="2"/>
        <v>6.0617376914899004E-2</v>
      </c>
      <c r="L30" s="46">
        <f t="shared" si="3"/>
        <v>9.3826230851010058E-3</v>
      </c>
      <c r="M30" s="46">
        <f t="shared" si="4"/>
        <v>5.2078251276599333E-2</v>
      </c>
      <c r="N30" s="46">
        <f t="shared" si="5"/>
        <v>1.792174872340067E-2</v>
      </c>
      <c r="O30" s="48">
        <f t="shared" si="6"/>
        <v>15</v>
      </c>
      <c r="P30" s="46">
        <f t="shared" si="8"/>
        <v>8.9333333333333336</v>
      </c>
      <c r="Q30" s="46">
        <f t="shared" si="9"/>
        <v>17.899938041917292</v>
      </c>
      <c r="R30" s="46">
        <f t="shared" si="10"/>
        <v>14.91106980572264</v>
      </c>
      <c r="S30" s="46">
        <f t="shared" si="11"/>
        <v>0</v>
      </c>
      <c r="T30" s="46">
        <f t="shared" si="12"/>
        <v>2.955596860944028</v>
      </c>
      <c r="U30" s="23"/>
      <c r="V30" s="23"/>
      <c r="W30" s="23"/>
    </row>
    <row r="31" spans="2:23" x14ac:dyDescent="0.25">
      <c r="B31" s="4">
        <v>23</v>
      </c>
      <c r="C31" s="57">
        <v>1</v>
      </c>
      <c r="D31" s="57">
        <v>3</v>
      </c>
      <c r="E31" s="57">
        <v>1</v>
      </c>
      <c r="F31" s="57">
        <v>1</v>
      </c>
      <c r="G31" s="24">
        <v>500</v>
      </c>
      <c r="H31" s="45">
        <f t="shared" si="0"/>
        <v>6</v>
      </c>
      <c r="I31" s="46">
        <f t="shared" si="1"/>
        <v>1.2E-2</v>
      </c>
      <c r="J31" s="46">
        <f t="shared" si="7"/>
        <v>3.5000000000000003E-2</v>
      </c>
      <c r="K31" s="46">
        <f t="shared" si="2"/>
        <v>6.0099800796022271E-2</v>
      </c>
      <c r="L31" s="46">
        <f t="shared" si="3"/>
        <v>9.9001992039777359E-3</v>
      </c>
      <c r="M31" s="46">
        <f t="shared" si="4"/>
        <v>5.173320053068152E-2</v>
      </c>
      <c r="N31" s="46">
        <f t="shared" si="5"/>
        <v>1.8266799469318491E-2</v>
      </c>
      <c r="O31" s="48">
        <f t="shared" si="6"/>
        <v>6</v>
      </c>
      <c r="P31" s="46">
        <f t="shared" si="8"/>
        <v>8.9333333333333336</v>
      </c>
      <c r="Q31" s="46">
        <f t="shared" si="9"/>
        <v>17.899938041917292</v>
      </c>
      <c r="R31" s="46">
        <f t="shared" si="10"/>
        <v>14.91106980572264</v>
      </c>
      <c r="S31" s="46">
        <f t="shared" si="11"/>
        <v>0</v>
      </c>
      <c r="T31" s="46">
        <f t="shared" si="12"/>
        <v>2.955596860944028</v>
      </c>
      <c r="U31" s="23"/>
      <c r="V31" s="23"/>
      <c r="W31" s="23"/>
    </row>
    <row r="32" spans="2:23" x14ac:dyDescent="0.25">
      <c r="B32" s="4">
        <v>24</v>
      </c>
      <c r="C32" s="57">
        <v>3</v>
      </c>
      <c r="D32" s="57">
        <v>3</v>
      </c>
      <c r="E32" s="57">
        <v>3</v>
      </c>
      <c r="F32" s="57">
        <v>1</v>
      </c>
      <c r="G32" s="24">
        <v>450</v>
      </c>
      <c r="H32" s="45">
        <f t="shared" si="0"/>
        <v>10</v>
      </c>
      <c r="I32" s="46">
        <f t="shared" si="1"/>
        <v>2.2222222222222223E-2</v>
      </c>
      <c r="J32" s="46">
        <f t="shared" si="7"/>
        <v>3.5000000000000003E-2</v>
      </c>
      <c r="K32" s="46">
        <f t="shared" si="2"/>
        <v>6.1457513110645907E-2</v>
      </c>
      <c r="L32" s="46">
        <f t="shared" si="3"/>
        <v>8.5424868893540992E-3</v>
      </c>
      <c r="M32" s="46">
        <f t="shared" si="4"/>
        <v>5.2638342073763944E-2</v>
      </c>
      <c r="N32" s="46">
        <f t="shared" si="5"/>
        <v>1.7361657926236066E-2</v>
      </c>
      <c r="O32" s="48">
        <f t="shared" si="6"/>
        <v>10</v>
      </c>
      <c r="P32" s="46">
        <f t="shared" si="8"/>
        <v>8.9333333333333336</v>
      </c>
      <c r="Q32" s="46">
        <f t="shared" si="9"/>
        <v>17.899938041917292</v>
      </c>
      <c r="R32" s="46">
        <f t="shared" si="10"/>
        <v>14.91106980572264</v>
      </c>
      <c r="S32" s="46">
        <f t="shared" si="11"/>
        <v>0</v>
      </c>
      <c r="T32" s="46">
        <f t="shared" si="12"/>
        <v>2.955596860944028</v>
      </c>
      <c r="U32" s="23"/>
      <c r="V32" s="23"/>
      <c r="W32" s="23"/>
    </row>
    <row r="33" spans="2:23" x14ac:dyDescent="0.25">
      <c r="B33" s="4">
        <v>25</v>
      </c>
      <c r="C33" s="57">
        <v>3</v>
      </c>
      <c r="D33" s="57">
        <v>3</v>
      </c>
      <c r="E33" s="57">
        <v>3</v>
      </c>
      <c r="F33" s="57">
        <v>1</v>
      </c>
      <c r="G33" s="24">
        <v>433</v>
      </c>
      <c r="H33" s="45">
        <f t="shared" si="0"/>
        <v>10</v>
      </c>
      <c r="I33" s="46">
        <f t="shared" si="1"/>
        <v>2.3094688221709007E-2</v>
      </c>
      <c r="J33" s="46">
        <f t="shared" si="7"/>
        <v>3.5000000000000003E-2</v>
      </c>
      <c r="K33" s="46">
        <f t="shared" si="2"/>
        <v>6.197188682654281E-2</v>
      </c>
      <c r="L33" s="46">
        <f t="shared" si="3"/>
        <v>8.028113173457193E-3</v>
      </c>
      <c r="M33" s="46">
        <f t="shared" si="4"/>
        <v>5.2981257884361879E-2</v>
      </c>
      <c r="N33" s="46">
        <f t="shared" si="5"/>
        <v>1.7018742115638127E-2</v>
      </c>
      <c r="O33" s="48">
        <f t="shared" si="6"/>
        <v>10</v>
      </c>
      <c r="P33" s="46">
        <f t="shared" si="8"/>
        <v>8.9333333333333336</v>
      </c>
      <c r="Q33" s="46">
        <f t="shared" si="9"/>
        <v>17.899938041917292</v>
      </c>
      <c r="R33" s="46">
        <f t="shared" si="10"/>
        <v>14.91106980572264</v>
      </c>
      <c r="S33" s="46">
        <f t="shared" si="11"/>
        <v>0</v>
      </c>
      <c r="T33" s="46">
        <f t="shared" si="12"/>
        <v>2.955596860944028</v>
      </c>
      <c r="U33" s="23"/>
      <c r="V33" s="23"/>
      <c r="W33" s="23"/>
    </row>
    <row r="34" spans="2:23" x14ac:dyDescent="0.25">
      <c r="B34" s="4">
        <v>26</v>
      </c>
      <c r="C34" s="57">
        <v>3</v>
      </c>
      <c r="D34" s="57">
        <v>3</v>
      </c>
      <c r="E34" s="57">
        <v>1</v>
      </c>
      <c r="F34" s="57">
        <v>1</v>
      </c>
      <c r="G34" s="24">
        <v>468</v>
      </c>
      <c r="H34" s="45">
        <f t="shared" si="0"/>
        <v>8</v>
      </c>
      <c r="I34" s="46">
        <f t="shared" si="1"/>
        <v>1.7094017094017096E-2</v>
      </c>
      <c r="J34" s="46">
        <f t="shared" si="7"/>
        <v>3.5000000000000003E-2</v>
      </c>
      <c r="K34" s="46">
        <f t="shared" si="2"/>
        <v>6.0943726083138541E-2</v>
      </c>
      <c r="L34" s="46">
        <f t="shared" si="3"/>
        <v>9.0562739168614619E-3</v>
      </c>
      <c r="M34" s="46">
        <f t="shared" si="4"/>
        <v>5.2295817388759033E-2</v>
      </c>
      <c r="N34" s="46">
        <f t="shared" si="5"/>
        <v>1.7704182611240977E-2</v>
      </c>
      <c r="O34" s="48">
        <f t="shared" si="6"/>
        <v>8</v>
      </c>
      <c r="P34" s="46">
        <f t="shared" si="8"/>
        <v>8.9333333333333336</v>
      </c>
      <c r="Q34" s="46">
        <f t="shared" si="9"/>
        <v>17.899938041917292</v>
      </c>
      <c r="R34" s="46">
        <f t="shared" si="10"/>
        <v>14.91106980572264</v>
      </c>
      <c r="S34" s="46">
        <f t="shared" si="11"/>
        <v>0</v>
      </c>
      <c r="T34" s="46">
        <f t="shared" si="12"/>
        <v>2.955596860944028</v>
      </c>
      <c r="U34" s="23"/>
      <c r="V34" s="23"/>
      <c r="W34" s="23"/>
    </row>
    <row r="35" spans="2:23" x14ac:dyDescent="0.25">
      <c r="B35" s="4">
        <v>27</v>
      </c>
      <c r="C35" s="57">
        <v>3</v>
      </c>
      <c r="D35" s="57">
        <v>3</v>
      </c>
      <c r="E35" s="57">
        <v>3</v>
      </c>
      <c r="F35" s="57">
        <v>3</v>
      </c>
      <c r="G35" s="24">
        <v>481</v>
      </c>
      <c r="H35" s="45">
        <f t="shared" si="0"/>
        <v>12</v>
      </c>
      <c r="I35" s="46">
        <f t="shared" si="1"/>
        <v>2.4948024948024949E-2</v>
      </c>
      <c r="J35" s="46">
        <f t="shared" si="7"/>
        <v>3.5000000000000003E-2</v>
      </c>
      <c r="K35" s="46">
        <f t="shared" si="2"/>
        <v>6.0590733769973364E-2</v>
      </c>
      <c r="L35" s="46">
        <f t="shared" si="3"/>
        <v>9.409266230026643E-3</v>
      </c>
      <c r="M35" s="46">
        <f t="shared" si="4"/>
        <v>5.2060489179982239E-2</v>
      </c>
      <c r="N35" s="46">
        <f t="shared" si="5"/>
        <v>1.7939510820017764E-2</v>
      </c>
      <c r="O35" s="48">
        <f t="shared" si="6"/>
        <v>12</v>
      </c>
      <c r="P35" s="46">
        <f t="shared" si="8"/>
        <v>8.9333333333333336</v>
      </c>
      <c r="Q35" s="46">
        <f t="shared" si="9"/>
        <v>17.899938041917292</v>
      </c>
      <c r="R35" s="46">
        <f t="shared" si="10"/>
        <v>14.91106980572264</v>
      </c>
      <c r="S35" s="46">
        <f t="shared" si="11"/>
        <v>0</v>
      </c>
      <c r="T35" s="46">
        <f t="shared" si="12"/>
        <v>2.955596860944028</v>
      </c>
      <c r="U35" s="23"/>
      <c r="V35" s="23"/>
      <c r="W35" s="23"/>
    </row>
    <row r="36" spans="2:23" x14ac:dyDescent="0.25">
      <c r="B36" s="4">
        <v>28</v>
      </c>
      <c r="C36" s="57">
        <v>4</v>
      </c>
      <c r="D36" s="57">
        <v>4</v>
      </c>
      <c r="E36" s="57">
        <v>4</v>
      </c>
      <c r="F36" s="57">
        <v>0</v>
      </c>
      <c r="G36" s="24">
        <v>483</v>
      </c>
      <c r="H36" s="45">
        <f t="shared" si="0"/>
        <v>12</v>
      </c>
      <c r="I36" s="46">
        <f t="shared" si="1"/>
        <v>2.4844720496894408E-2</v>
      </c>
      <c r="J36" s="46">
        <f t="shared" si="7"/>
        <v>3.5000000000000003E-2</v>
      </c>
      <c r="K36" s="46">
        <f t="shared" si="2"/>
        <v>6.0537695922762466E-2</v>
      </c>
      <c r="L36" s="46">
        <f t="shared" si="3"/>
        <v>9.462304077237544E-3</v>
      </c>
      <c r="M36" s="46">
        <f t="shared" si="4"/>
        <v>5.2025130615174976E-2</v>
      </c>
      <c r="N36" s="46">
        <f t="shared" si="5"/>
        <v>1.797486938482503E-2</v>
      </c>
      <c r="O36" s="48">
        <f t="shared" si="6"/>
        <v>12</v>
      </c>
      <c r="P36" s="46">
        <f t="shared" si="8"/>
        <v>8.9333333333333336</v>
      </c>
      <c r="Q36" s="46">
        <f t="shared" si="9"/>
        <v>17.899938041917292</v>
      </c>
      <c r="R36" s="46">
        <f t="shared" si="10"/>
        <v>14.91106980572264</v>
      </c>
      <c r="S36" s="46">
        <f t="shared" si="11"/>
        <v>0</v>
      </c>
      <c r="T36" s="46">
        <f t="shared" si="12"/>
        <v>2.955596860944028</v>
      </c>
      <c r="U36" s="23"/>
      <c r="V36" s="23"/>
      <c r="W36" s="23"/>
    </row>
    <row r="37" spans="2:23" x14ac:dyDescent="0.25">
      <c r="B37" s="4">
        <v>29</v>
      </c>
      <c r="C37" s="57">
        <v>2</v>
      </c>
      <c r="D37" s="57">
        <v>1</v>
      </c>
      <c r="E37" s="57">
        <v>5</v>
      </c>
      <c r="F37" s="57">
        <v>1</v>
      </c>
      <c r="G37" s="24">
        <v>640</v>
      </c>
      <c r="H37" s="45">
        <f t="shared" si="0"/>
        <v>9</v>
      </c>
      <c r="I37" s="46">
        <f t="shared" si="1"/>
        <v>1.40625E-2</v>
      </c>
      <c r="J37" s="46">
        <f t="shared" si="7"/>
        <v>3.5000000000000003E-2</v>
      </c>
      <c r="K37" s="46">
        <f t="shared" si="2"/>
        <v>5.7185299186623559E-2</v>
      </c>
      <c r="L37" s="46">
        <f t="shared" si="3"/>
        <v>1.2814700813376444E-2</v>
      </c>
      <c r="M37" s="46">
        <f t="shared" si="4"/>
        <v>4.979019945774904E-2</v>
      </c>
      <c r="N37" s="46">
        <f t="shared" si="5"/>
        <v>2.0209800542250963E-2</v>
      </c>
      <c r="O37" s="48">
        <f t="shared" si="6"/>
        <v>9</v>
      </c>
      <c r="P37" s="46">
        <f t="shared" si="8"/>
        <v>8.9333333333333336</v>
      </c>
      <c r="Q37" s="46">
        <f t="shared" si="9"/>
        <v>17.899938041917292</v>
      </c>
      <c r="R37" s="46">
        <f t="shared" si="10"/>
        <v>14.91106980572264</v>
      </c>
      <c r="S37" s="46">
        <f t="shared" si="11"/>
        <v>0</v>
      </c>
      <c r="T37" s="46">
        <f t="shared" si="12"/>
        <v>2.955596860944028</v>
      </c>
      <c r="U37" s="23"/>
      <c r="V37" s="23"/>
      <c r="W37" s="23"/>
    </row>
    <row r="38" spans="2:23" x14ac:dyDescent="0.25">
      <c r="B38" s="4">
        <v>30</v>
      </c>
      <c r="C38" s="57">
        <v>4</v>
      </c>
      <c r="D38" s="57">
        <v>4</v>
      </c>
      <c r="E38" s="57">
        <v>4</v>
      </c>
      <c r="F38" s="57">
        <v>2</v>
      </c>
      <c r="G38" s="24">
        <v>642</v>
      </c>
      <c r="H38" s="45">
        <f t="shared" si="0"/>
        <v>14</v>
      </c>
      <c r="I38" s="46">
        <f t="shared" si="1"/>
        <v>2.1806853582554516E-2</v>
      </c>
      <c r="J38" s="46">
        <f t="shared" si="7"/>
        <v>3.5000000000000003E-2</v>
      </c>
      <c r="K38" s="46">
        <f t="shared" si="2"/>
        <v>5.715071569063801E-2</v>
      </c>
      <c r="L38" s="46">
        <f t="shared" si="3"/>
        <v>1.2849284309362E-2</v>
      </c>
      <c r="M38" s="46">
        <f t="shared" si="4"/>
        <v>4.976714379375867E-2</v>
      </c>
      <c r="N38" s="46">
        <f t="shared" si="5"/>
        <v>2.0232856206241333E-2</v>
      </c>
      <c r="O38" s="48">
        <f t="shared" si="6"/>
        <v>14</v>
      </c>
      <c r="P38" s="46">
        <f t="shared" si="8"/>
        <v>8.9333333333333336</v>
      </c>
      <c r="Q38" s="46">
        <f t="shared" si="9"/>
        <v>17.899938041917292</v>
      </c>
      <c r="R38" s="46">
        <f t="shared" si="10"/>
        <v>14.91106980572264</v>
      </c>
      <c r="S38" s="46">
        <f t="shared" si="11"/>
        <v>0</v>
      </c>
      <c r="T38" s="46">
        <f t="shared" si="12"/>
        <v>2.955596860944028</v>
      </c>
      <c r="U38" s="23"/>
      <c r="V38" s="23"/>
      <c r="W38" s="23"/>
    </row>
    <row r="39" spans="2:23" x14ac:dyDescent="0.25">
      <c r="J39" s="25"/>
      <c r="K39" s="25"/>
      <c r="L39" s="25"/>
      <c r="M39" s="30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spans="2:23" x14ac:dyDescent="0.25">
      <c r="J40" s="25"/>
      <c r="K40" s="25"/>
      <c r="L40" s="25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spans="2:23" x14ac:dyDescent="0.25"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2:23" x14ac:dyDescent="0.25">
      <c r="B42" s="58" t="s">
        <v>52</v>
      </c>
      <c r="C42" s="58">
        <f>SUM(C9:C38)</f>
        <v>76</v>
      </c>
      <c r="D42" s="58">
        <f>SUM(D9:D38)</f>
        <v>77</v>
      </c>
      <c r="E42" s="58">
        <f>SUM(E9:E38)</f>
        <v>70</v>
      </c>
      <c r="F42" s="58">
        <f>SUM(F9:F38)</f>
        <v>45</v>
      </c>
      <c r="G42" s="60" t="s">
        <v>64</v>
      </c>
      <c r="H42" s="58">
        <f>SUM(H9:H38)</f>
        <v>268</v>
      </c>
      <c r="I42" s="46">
        <f>AVERAGE(I9:I38)</f>
        <v>1.7479883139410166E-2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 spans="2:23" x14ac:dyDescent="0.25">
      <c r="B43" s="59" t="s">
        <v>53</v>
      </c>
      <c r="C43" s="59">
        <f>SUM(C42:F42)</f>
        <v>268</v>
      </c>
      <c r="D43" s="25"/>
      <c r="E43" s="25"/>
      <c r="F43" s="25"/>
      <c r="G43" s="25"/>
      <c r="H43" s="25"/>
      <c r="I43" s="25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2:23" x14ac:dyDescent="0.25">
      <c r="B44" s="58" t="s">
        <v>30</v>
      </c>
      <c r="C44" s="46">
        <f>C43/I4</f>
        <v>8.9333333333333336</v>
      </c>
      <c r="D44" s="25"/>
      <c r="E44" s="25"/>
      <c r="F44" s="25"/>
      <c r="G44" s="25"/>
      <c r="H44" s="23"/>
      <c r="I44" s="23"/>
      <c r="O44" s="23"/>
      <c r="P44" s="23"/>
      <c r="Q44" s="23"/>
      <c r="R44" s="23"/>
      <c r="S44" s="23"/>
      <c r="T44" s="23"/>
      <c r="U44" s="23"/>
      <c r="V44" s="23"/>
      <c r="W44" s="23"/>
    </row>
  </sheetData>
  <mergeCells count="3">
    <mergeCell ref="C8:F8"/>
    <mergeCell ref="H7:N7"/>
    <mergeCell ref="B4:F4"/>
  </mergeCells>
  <pageMargins left="0.7" right="0.7" top="0.75" bottom="0.75" header="0.3" footer="0.3"/>
  <ignoredErrors>
    <ignoredError sqref="O9:O38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64"/>
  <sheetViews>
    <sheetView showGridLines="0" tabSelected="1" zoomScale="85" zoomScaleNormal="85" workbookViewId="0">
      <selection activeCell="K46" sqref="K46"/>
    </sheetView>
  </sheetViews>
  <sheetFormatPr baseColWidth="10" defaultColWidth="11.42578125" defaultRowHeight="12.75" x14ac:dyDescent="0.2"/>
  <cols>
    <col min="1" max="3" width="11.42578125" style="61"/>
    <col min="4" max="4" width="14.28515625" style="61" customWidth="1"/>
    <col min="5" max="5" width="11.5703125" style="61" customWidth="1"/>
    <col min="6" max="6" width="11.7109375" style="61" customWidth="1"/>
    <col min="7" max="7" width="12.140625" style="61" customWidth="1"/>
    <col min="8" max="8" width="11.42578125" style="61" customWidth="1"/>
    <col min="9" max="9" width="10.7109375" style="61" customWidth="1"/>
    <col min="10" max="16384" width="11.42578125" style="61"/>
  </cols>
  <sheetData>
    <row r="2" spans="2:15" ht="18" x14ac:dyDescent="0.25">
      <c r="B2" s="84" t="s">
        <v>85</v>
      </c>
    </row>
    <row r="3" spans="2:15" x14ac:dyDescent="0.2">
      <c r="B3" s="83" t="s">
        <v>84</v>
      </c>
    </row>
    <row r="4" spans="2:15" x14ac:dyDescent="0.2">
      <c r="B4" s="83" t="s">
        <v>83</v>
      </c>
    </row>
    <row r="5" spans="2:15" x14ac:dyDescent="0.2">
      <c r="B5" s="66"/>
      <c r="C5" s="82"/>
      <c r="D5" s="82"/>
      <c r="E5" s="82"/>
      <c r="F5" s="82"/>
      <c r="G5" s="82"/>
      <c r="H5" s="82"/>
      <c r="I5" s="66"/>
      <c r="J5" s="66"/>
    </row>
    <row r="6" spans="2:15" x14ac:dyDescent="0.2">
      <c r="B6" s="71" t="s">
        <v>82</v>
      </c>
      <c r="C6" s="71" t="s">
        <v>81</v>
      </c>
      <c r="D6" s="71" t="s">
        <v>80</v>
      </c>
      <c r="E6" s="80" t="s">
        <v>79</v>
      </c>
      <c r="F6" s="71" t="s">
        <v>78</v>
      </c>
      <c r="G6" s="80" t="s">
        <v>77</v>
      </c>
      <c r="H6" s="80" t="s">
        <v>76</v>
      </c>
      <c r="I6" s="81" t="s">
        <v>75</v>
      </c>
      <c r="J6" s="71" t="s">
        <v>74</v>
      </c>
      <c r="K6" s="80" t="s">
        <v>73</v>
      </c>
      <c r="L6" s="80" t="s">
        <v>72</v>
      </c>
      <c r="M6" s="80" t="s">
        <v>86</v>
      </c>
    </row>
    <row r="7" spans="2:15" x14ac:dyDescent="0.2">
      <c r="B7" s="62">
        <v>1</v>
      </c>
      <c r="C7" s="63">
        <v>38</v>
      </c>
      <c r="D7" s="64" t="str">
        <f t="shared" ref="D7:D38" si="0">IF(C7&gt;$I$7,"+","-")</f>
        <v>+</v>
      </c>
      <c r="E7" s="62">
        <v>1</v>
      </c>
      <c r="F7" s="79"/>
      <c r="G7" s="62" t="str">
        <f t="shared" ref="G7:G38" si="1">IF(ISNUMBER(F7),IF(D7="+",F7,""),"")</f>
        <v/>
      </c>
      <c r="H7" s="62" t="str">
        <f t="shared" ref="H7:H38" si="2">IF(ISNUMBER(F7),IF(D7="-",F7,""),"")</f>
        <v/>
      </c>
      <c r="I7" s="75">
        <f>MEDIAN(C7:C64)</f>
        <v>15.5</v>
      </c>
      <c r="J7" s="73">
        <f>SQRT((COUNT(C7:C64)-1)/4)</f>
        <v>3.7749172176353749</v>
      </c>
      <c r="K7" s="78">
        <f>(L16+1/2-((M7+2)/2))/J7</f>
        <v>-1.1920791213585393</v>
      </c>
      <c r="L7" s="73">
        <f>TINV(0.05,COUNT(C7:C64)-1)</f>
        <v>2.0024654592910065</v>
      </c>
      <c r="M7" s="76">
        <f>COUNT(C7:C64)</f>
        <v>58</v>
      </c>
    </row>
    <row r="8" spans="2:15" x14ac:dyDescent="0.2">
      <c r="B8" s="62">
        <v>2</v>
      </c>
      <c r="C8" s="63">
        <v>33</v>
      </c>
      <c r="D8" s="64" t="str">
        <f t="shared" si="0"/>
        <v>+</v>
      </c>
      <c r="E8" s="62">
        <f t="shared" ref="E8:E39" si="3">IF(D8=D7,1+E7,1)</f>
        <v>2</v>
      </c>
      <c r="F8" s="62" t="str">
        <f t="shared" ref="F8:F39" si="4">IF(E8&gt;E9,E8,IF(E8=E9,1,""))</f>
        <v/>
      </c>
      <c r="G8" s="62" t="str">
        <f t="shared" si="1"/>
        <v/>
      </c>
      <c r="H8" s="62" t="str">
        <f t="shared" si="2"/>
        <v/>
      </c>
      <c r="J8" s="69"/>
      <c r="K8" s="69"/>
      <c r="L8" s="69"/>
    </row>
    <row r="9" spans="2:15" x14ac:dyDescent="0.2">
      <c r="B9" s="62">
        <v>3</v>
      </c>
      <c r="C9" s="63">
        <v>29</v>
      </c>
      <c r="D9" s="64" t="str">
        <f t="shared" si="0"/>
        <v>+</v>
      </c>
      <c r="E9" s="62">
        <f t="shared" si="3"/>
        <v>3</v>
      </c>
      <c r="F9" s="62" t="str">
        <f t="shared" si="4"/>
        <v/>
      </c>
      <c r="G9" s="62" t="str">
        <f t="shared" si="1"/>
        <v/>
      </c>
      <c r="H9" s="62" t="str">
        <f t="shared" si="2"/>
        <v/>
      </c>
      <c r="I9" s="104" t="s">
        <v>71</v>
      </c>
      <c r="J9" s="102" t="s">
        <v>70</v>
      </c>
      <c r="K9" s="103"/>
      <c r="L9" s="103"/>
      <c r="M9" s="86"/>
      <c r="N9" s="86"/>
      <c r="O9" s="86"/>
    </row>
    <row r="10" spans="2:15" x14ac:dyDescent="0.2">
      <c r="B10" s="62">
        <v>4</v>
      </c>
      <c r="C10" s="63">
        <v>16</v>
      </c>
      <c r="D10" s="64" t="str">
        <f t="shared" si="0"/>
        <v>+</v>
      </c>
      <c r="E10" s="62">
        <f t="shared" si="3"/>
        <v>4</v>
      </c>
      <c r="F10" s="62" t="str">
        <f t="shared" si="4"/>
        <v/>
      </c>
      <c r="G10" s="62" t="str">
        <f t="shared" si="1"/>
        <v/>
      </c>
      <c r="H10" s="62" t="str">
        <f t="shared" si="2"/>
        <v/>
      </c>
      <c r="I10" s="105"/>
      <c r="J10" s="77" t="s">
        <v>69</v>
      </c>
      <c r="K10" s="77" t="s">
        <v>68</v>
      </c>
      <c r="L10" s="77" t="s">
        <v>66</v>
      </c>
      <c r="M10" s="86"/>
      <c r="N10" s="86"/>
      <c r="O10" s="86"/>
    </row>
    <row r="11" spans="2:15" x14ac:dyDescent="0.2">
      <c r="B11" s="62">
        <v>5</v>
      </c>
      <c r="C11" s="63">
        <v>44</v>
      </c>
      <c r="D11" s="64" t="str">
        <f t="shared" si="0"/>
        <v>+</v>
      </c>
      <c r="E11" s="62">
        <f t="shared" si="3"/>
        <v>5</v>
      </c>
      <c r="F11" s="62" t="str">
        <f t="shared" si="4"/>
        <v/>
      </c>
      <c r="G11" s="62" t="str">
        <f t="shared" si="1"/>
        <v/>
      </c>
      <c r="H11" s="62" t="str">
        <f t="shared" si="2"/>
        <v/>
      </c>
      <c r="I11" s="75">
        <v>1</v>
      </c>
      <c r="J11" s="76">
        <f>COUNTIF($H$7:$H$64,I11)</f>
        <v>5</v>
      </c>
      <c r="K11" s="76">
        <f>COUNTIF($G$7:$G$64,I11)</f>
        <v>6</v>
      </c>
      <c r="L11" s="76">
        <f>J11+K11</f>
        <v>11</v>
      </c>
      <c r="M11" s="86"/>
      <c r="N11" s="86"/>
      <c r="O11" s="86"/>
    </row>
    <row r="12" spans="2:15" x14ac:dyDescent="0.2">
      <c r="B12" s="62">
        <v>6</v>
      </c>
      <c r="C12" s="63">
        <v>21</v>
      </c>
      <c r="D12" s="64" t="str">
        <f t="shared" si="0"/>
        <v>+</v>
      </c>
      <c r="E12" s="62">
        <f t="shared" si="3"/>
        <v>6</v>
      </c>
      <c r="F12" s="62" t="str">
        <f t="shared" si="4"/>
        <v/>
      </c>
      <c r="G12" s="62" t="str">
        <f t="shared" si="1"/>
        <v/>
      </c>
      <c r="H12" s="62" t="str">
        <f t="shared" si="2"/>
        <v/>
      </c>
      <c r="I12" s="75">
        <v>2</v>
      </c>
      <c r="J12" s="76">
        <f>COUNTIF($H$7:$H$64,I12)</f>
        <v>4</v>
      </c>
      <c r="K12" s="76">
        <f>COUNTIF($G$7:$G$64,I12)</f>
        <v>4</v>
      </c>
      <c r="L12" s="76">
        <f>J12+K12</f>
        <v>8</v>
      </c>
      <c r="M12" s="86"/>
      <c r="N12" s="86"/>
      <c r="O12" s="86"/>
    </row>
    <row r="13" spans="2:15" x14ac:dyDescent="0.2">
      <c r="B13" s="62">
        <v>7</v>
      </c>
      <c r="C13" s="63">
        <v>16</v>
      </c>
      <c r="D13" s="64" t="str">
        <f t="shared" si="0"/>
        <v>+</v>
      </c>
      <c r="E13" s="62">
        <f t="shared" si="3"/>
        <v>7</v>
      </c>
      <c r="F13" s="62" t="str">
        <f t="shared" si="4"/>
        <v/>
      </c>
      <c r="G13" s="62" t="str">
        <f t="shared" si="1"/>
        <v/>
      </c>
      <c r="H13" s="62" t="str">
        <f t="shared" si="2"/>
        <v/>
      </c>
      <c r="I13" s="75">
        <v>3</v>
      </c>
      <c r="J13" s="76">
        <f>COUNTIF($H$7:$H$64,I13)</f>
        <v>1</v>
      </c>
      <c r="K13" s="76">
        <f>COUNTIF($G$7:$G$64,I13)</f>
        <v>2</v>
      </c>
      <c r="L13" s="76">
        <f>J13+K13</f>
        <v>3</v>
      </c>
      <c r="M13" s="86"/>
      <c r="N13" s="86"/>
      <c r="O13" s="86"/>
    </row>
    <row r="14" spans="2:15" x14ac:dyDescent="0.2">
      <c r="B14" s="62">
        <v>8</v>
      </c>
      <c r="C14" s="63">
        <v>17</v>
      </c>
      <c r="D14" s="64" t="str">
        <f t="shared" si="0"/>
        <v>+</v>
      </c>
      <c r="E14" s="62">
        <f t="shared" si="3"/>
        <v>8</v>
      </c>
      <c r="F14" s="62" t="str">
        <f t="shared" si="4"/>
        <v/>
      </c>
      <c r="G14" s="62" t="str">
        <f t="shared" si="1"/>
        <v/>
      </c>
      <c r="H14" s="62" t="str">
        <f t="shared" si="2"/>
        <v/>
      </c>
      <c r="I14" s="75">
        <v>4</v>
      </c>
      <c r="J14" s="76">
        <f>COUNTIF($H$7:$H$64,I14)</f>
        <v>1</v>
      </c>
      <c r="K14" s="76">
        <f>COUNTIF($G$7:$G$64,I14)</f>
        <v>0</v>
      </c>
      <c r="L14" s="76">
        <f>J14+K14</f>
        <v>1</v>
      </c>
      <c r="M14" s="86"/>
      <c r="N14" s="86"/>
      <c r="O14" s="86"/>
    </row>
    <row r="15" spans="2:15" x14ac:dyDescent="0.2">
      <c r="B15" s="62">
        <v>9</v>
      </c>
      <c r="C15" s="67">
        <v>19</v>
      </c>
      <c r="D15" s="64" t="str">
        <f t="shared" si="0"/>
        <v>+</v>
      </c>
      <c r="E15" s="62">
        <f t="shared" si="3"/>
        <v>9</v>
      </c>
      <c r="F15" s="62">
        <f t="shared" si="4"/>
        <v>9</v>
      </c>
      <c r="G15" s="62">
        <f t="shared" si="1"/>
        <v>9</v>
      </c>
      <c r="H15" s="62" t="str">
        <f t="shared" si="2"/>
        <v/>
      </c>
      <c r="I15" s="74" t="s">
        <v>67</v>
      </c>
      <c r="J15" s="72">
        <f>COUNT(H7:H64)-J14-J13-J12-J11</f>
        <v>1</v>
      </c>
      <c r="K15" s="72">
        <f>COUNT(G7:G64)-K14-K13-K12-K11</f>
        <v>1</v>
      </c>
      <c r="L15" s="76">
        <f>J15+K15</f>
        <v>2</v>
      </c>
      <c r="M15" s="86"/>
      <c r="N15" s="86"/>
      <c r="O15" s="86"/>
    </row>
    <row r="16" spans="2:15" x14ac:dyDescent="0.2">
      <c r="B16" s="62">
        <v>10</v>
      </c>
      <c r="C16" s="67">
        <v>1</v>
      </c>
      <c r="D16" s="62" t="str">
        <f t="shared" si="0"/>
        <v>-</v>
      </c>
      <c r="E16" s="62">
        <f t="shared" si="3"/>
        <v>1</v>
      </c>
      <c r="F16" s="62">
        <f t="shared" si="4"/>
        <v>1</v>
      </c>
      <c r="G16" s="62" t="str">
        <f t="shared" si="1"/>
        <v/>
      </c>
      <c r="H16" s="62">
        <f t="shared" si="2"/>
        <v>1</v>
      </c>
      <c r="I16" s="74" t="s">
        <v>66</v>
      </c>
      <c r="J16" s="72">
        <f>SUM(J11:J15)</f>
        <v>12</v>
      </c>
      <c r="K16" s="72">
        <f>SUM(K11:K15)</f>
        <v>13</v>
      </c>
      <c r="L16" s="72">
        <f>SUM(L11:L15)</f>
        <v>25</v>
      </c>
      <c r="M16" s="86"/>
      <c r="N16" s="86"/>
      <c r="O16" s="86"/>
    </row>
    <row r="17" spans="2:20" x14ac:dyDescent="0.2">
      <c r="B17" s="62">
        <v>11</v>
      </c>
      <c r="C17" s="67">
        <v>22</v>
      </c>
      <c r="D17" s="62" t="str">
        <f t="shared" si="0"/>
        <v>+</v>
      </c>
      <c r="E17" s="62">
        <f t="shared" si="3"/>
        <v>1</v>
      </c>
      <c r="F17" s="62" t="str">
        <f t="shared" si="4"/>
        <v/>
      </c>
      <c r="G17" s="62" t="str">
        <f t="shared" si="1"/>
        <v/>
      </c>
      <c r="H17" s="62" t="str">
        <f t="shared" si="2"/>
        <v/>
      </c>
      <c r="I17" s="71" t="s">
        <v>65</v>
      </c>
      <c r="J17" s="70">
        <f>COUNTIF(H7:H64,9)</f>
        <v>1</v>
      </c>
      <c r="K17" s="70">
        <f>COUNTIF(G7:G64,9)</f>
        <v>1</v>
      </c>
      <c r="M17" s="68"/>
    </row>
    <row r="18" spans="2:20" x14ac:dyDescent="0.2">
      <c r="B18" s="62">
        <v>12</v>
      </c>
      <c r="C18" s="67">
        <v>28</v>
      </c>
      <c r="D18" s="62" t="str">
        <f t="shared" si="0"/>
        <v>+</v>
      </c>
      <c r="E18" s="62">
        <f t="shared" si="3"/>
        <v>2</v>
      </c>
      <c r="F18" s="62" t="str">
        <f t="shared" si="4"/>
        <v/>
      </c>
      <c r="G18" s="62" t="str">
        <f t="shared" si="1"/>
        <v/>
      </c>
      <c r="H18" s="62" t="str">
        <f t="shared" si="2"/>
        <v/>
      </c>
      <c r="L18" s="69"/>
      <c r="M18" s="85"/>
      <c r="N18" s="69"/>
      <c r="O18" s="69"/>
    </row>
    <row r="19" spans="2:20" x14ac:dyDescent="0.2">
      <c r="B19" s="62">
        <v>13</v>
      </c>
      <c r="C19" s="67">
        <v>22</v>
      </c>
      <c r="D19" s="62" t="str">
        <f t="shared" si="0"/>
        <v>+</v>
      </c>
      <c r="E19" s="62">
        <f t="shared" si="3"/>
        <v>3</v>
      </c>
      <c r="F19" s="62">
        <f t="shared" si="4"/>
        <v>3</v>
      </c>
      <c r="G19" s="62">
        <f t="shared" si="1"/>
        <v>3</v>
      </c>
      <c r="H19" s="62" t="str">
        <f t="shared" si="2"/>
        <v/>
      </c>
      <c r="I19" s="66"/>
      <c r="J19" s="66"/>
      <c r="S19" s="68"/>
    </row>
    <row r="20" spans="2:20" x14ac:dyDescent="0.2">
      <c r="B20" s="62">
        <v>14</v>
      </c>
      <c r="C20" s="67">
        <v>14</v>
      </c>
      <c r="D20" s="62" t="str">
        <f t="shared" si="0"/>
        <v>-</v>
      </c>
      <c r="E20" s="62">
        <f t="shared" si="3"/>
        <v>1</v>
      </c>
      <c r="F20" s="62" t="str">
        <f t="shared" si="4"/>
        <v/>
      </c>
      <c r="G20" s="62" t="str">
        <f t="shared" si="1"/>
        <v/>
      </c>
      <c r="H20" s="62" t="str">
        <f t="shared" si="2"/>
        <v/>
      </c>
      <c r="I20" s="66"/>
      <c r="J20" s="66"/>
    </row>
    <row r="21" spans="2:20" x14ac:dyDescent="0.2">
      <c r="B21" s="62">
        <v>15</v>
      </c>
      <c r="C21" s="63">
        <v>7</v>
      </c>
      <c r="D21" s="62" t="str">
        <f t="shared" si="0"/>
        <v>-</v>
      </c>
      <c r="E21" s="62">
        <f t="shared" si="3"/>
        <v>2</v>
      </c>
      <c r="F21" s="62" t="str">
        <f t="shared" si="4"/>
        <v/>
      </c>
      <c r="G21" s="62" t="str">
        <f t="shared" si="1"/>
        <v/>
      </c>
      <c r="H21" s="62" t="str">
        <f t="shared" si="2"/>
        <v/>
      </c>
    </row>
    <row r="22" spans="2:20" x14ac:dyDescent="0.2">
      <c r="B22" s="62">
        <v>16</v>
      </c>
      <c r="C22" s="63">
        <v>13</v>
      </c>
      <c r="D22" s="62" t="str">
        <f t="shared" si="0"/>
        <v>-</v>
      </c>
      <c r="E22" s="62">
        <f t="shared" si="3"/>
        <v>3</v>
      </c>
      <c r="F22" s="62">
        <f t="shared" si="4"/>
        <v>3</v>
      </c>
      <c r="G22" s="62" t="str">
        <f t="shared" si="1"/>
        <v/>
      </c>
      <c r="H22" s="62">
        <f t="shared" si="2"/>
        <v>3</v>
      </c>
    </row>
    <row r="23" spans="2:20" x14ac:dyDescent="0.2">
      <c r="B23" s="62">
        <v>17</v>
      </c>
      <c r="C23" s="63">
        <v>21</v>
      </c>
      <c r="D23" s="62" t="str">
        <f t="shared" si="0"/>
        <v>+</v>
      </c>
      <c r="E23" s="62">
        <f t="shared" si="3"/>
        <v>1</v>
      </c>
      <c r="F23" s="62">
        <f t="shared" si="4"/>
        <v>1</v>
      </c>
      <c r="G23" s="62">
        <f t="shared" si="1"/>
        <v>1</v>
      </c>
      <c r="H23" s="62" t="str">
        <f t="shared" si="2"/>
        <v/>
      </c>
    </row>
    <row r="24" spans="2:20" x14ac:dyDescent="0.2">
      <c r="B24" s="62">
        <v>18</v>
      </c>
      <c r="C24" s="63">
        <v>15</v>
      </c>
      <c r="D24" s="62" t="str">
        <f t="shared" si="0"/>
        <v>-</v>
      </c>
      <c r="E24" s="62">
        <f t="shared" si="3"/>
        <v>1</v>
      </c>
      <c r="F24" s="62">
        <f t="shared" si="4"/>
        <v>1</v>
      </c>
      <c r="G24" s="62" t="str">
        <f t="shared" si="1"/>
        <v/>
      </c>
      <c r="H24" s="62">
        <f t="shared" si="2"/>
        <v>1</v>
      </c>
    </row>
    <row r="25" spans="2:20" x14ac:dyDescent="0.2">
      <c r="B25" s="62">
        <v>19</v>
      </c>
      <c r="C25" s="63">
        <v>34</v>
      </c>
      <c r="D25" s="64" t="str">
        <f t="shared" si="0"/>
        <v>+</v>
      </c>
      <c r="E25" s="62">
        <f t="shared" si="3"/>
        <v>1</v>
      </c>
      <c r="F25" s="62" t="str">
        <f t="shared" si="4"/>
        <v/>
      </c>
      <c r="G25" s="62" t="str">
        <f t="shared" si="1"/>
        <v/>
      </c>
      <c r="H25" s="62" t="str">
        <f t="shared" si="2"/>
        <v/>
      </c>
    </row>
    <row r="26" spans="2:20" x14ac:dyDescent="0.2">
      <c r="B26" s="62">
        <v>20</v>
      </c>
      <c r="C26" s="63">
        <v>23</v>
      </c>
      <c r="D26" s="64" t="str">
        <f t="shared" si="0"/>
        <v>+</v>
      </c>
      <c r="E26" s="62">
        <f t="shared" si="3"/>
        <v>2</v>
      </c>
      <c r="F26" s="62">
        <f t="shared" si="4"/>
        <v>2</v>
      </c>
      <c r="G26" s="62">
        <f t="shared" si="1"/>
        <v>2</v>
      </c>
      <c r="H26" s="62" t="str">
        <f t="shared" si="2"/>
        <v/>
      </c>
      <c r="S26" s="62">
        <v>1</v>
      </c>
      <c r="T26" s="62">
        <f>I7</f>
        <v>15.5</v>
      </c>
    </row>
    <row r="27" spans="2:20" x14ac:dyDescent="0.2">
      <c r="B27" s="62">
        <v>21</v>
      </c>
      <c r="C27" s="63">
        <v>15</v>
      </c>
      <c r="D27" s="64" t="str">
        <f t="shared" si="0"/>
        <v>-</v>
      </c>
      <c r="E27" s="62">
        <f t="shared" si="3"/>
        <v>1</v>
      </c>
      <c r="F27" s="62">
        <f t="shared" si="4"/>
        <v>1</v>
      </c>
      <c r="G27" s="62" t="str">
        <f t="shared" si="1"/>
        <v/>
      </c>
      <c r="H27" s="62">
        <f t="shared" si="2"/>
        <v>1</v>
      </c>
      <c r="R27" s="88" t="s">
        <v>89</v>
      </c>
      <c r="S27" s="63">
        <v>58</v>
      </c>
      <c r="T27" s="62">
        <f>T26</f>
        <v>15.5</v>
      </c>
    </row>
    <row r="28" spans="2:20" x14ac:dyDescent="0.2">
      <c r="B28" s="62">
        <v>22</v>
      </c>
      <c r="C28" s="63">
        <v>19</v>
      </c>
      <c r="D28" s="64" t="str">
        <f t="shared" si="0"/>
        <v>+</v>
      </c>
      <c r="E28" s="62">
        <f t="shared" si="3"/>
        <v>1</v>
      </c>
      <c r="F28" s="62" t="str">
        <f t="shared" si="4"/>
        <v/>
      </c>
      <c r="G28" s="62" t="str">
        <f t="shared" si="1"/>
        <v/>
      </c>
      <c r="H28" s="62" t="str">
        <f t="shared" si="2"/>
        <v/>
      </c>
    </row>
    <row r="29" spans="2:20" x14ac:dyDescent="0.2">
      <c r="B29" s="62">
        <v>23</v>
      </c>
      <c r="C29" s="63">
        <v>32</v>
      </c>
      <c r="D29" s="64" t="str">
        <f t="shared" si="0"/>
        <v>+</v>
      </c>
      <c r="E29" s="62">
        <f t="shared" si="3"/>
        <v>2</v>
      </c>
      <c r="F29" s="62" t="str">
        <f t="shared" si="4"/>
        <v/>
      </c>
      <c r="G29" s="62" t="str">
        <f t="shared" si="1"/>
        <v/>
      </c>
      <c r="H29" s="62" t="str">
        <f t="shared" si="2"/>
        <v/>
      </c>
    </row>
    <row r="30" spans="2:20" x14ac:dyDescent="0.2">
      <c r="B30" s="62">
        <v>24</v>
      </c>
      <c r="C30" s="63">
        <v>24</v>
      </c>
      <c r="D30" s="64" t="str">
        <f t="shared" si="0"/>
        <v>+</v>
      </c>
      <c r="E30" s="62">
        <f t="shared" si="3"/>
        <v>3</v>
      </c>
      <c r="F30" s="62">
        <f t="shared" si="4"/>
        <v>3</v>
      </c>
      <c r="G30" s="62">
        <f t="shared" si="1"/>
        <v>3</v>
      </c>
      <c r="H30" s="62" t="str">
        <f t="shared" si="2"/>
        <v/>
      </c>
    </row>
    <row r="31" spans="2:20" x14ac:dyDescent="0.2">
      <c r="B31" s="62">
        <v>25</v>
      </c>
      <c r="C31" s="63">
        <v>14</v>
      </c>
      <c r="D31" s="64" t="str">
        <f t="shared" si="0"/>
        <v>-</v>
      </c>
      <c r="E31" s="62">
        <f t="shared" si="3"/>
        <v>1</v>
      </c>
      <c r="F31" s="62" t="str">
        <f t="shared" si="4"/>
        <v/>
      </c>
      <c r="G31" s="62" t="str">
        <f t="shared" si="1"/>
        <v/>
      </c>
      <c r="H31" s="62" t="str">
        <f t="shared" si="2"/>
        <v/>
      </c>
    </row>
    <row r="32" spans="2:20" x14ac:dyDescent="0.2">
      <c r="B32" s="62">
        <v>26</v>
      </c>
      <c r="C32" s="63">
        <v>13</v>
      </c>
      <c r="D32" s="64" t="str">
        <f t="shared" si="0"/>
        <v>-</v>
      </c>
      <c r="E32" s="62">
        <f t="shared" si="3"/>
        <v>2</v>
      </c>
      <c r="F32" s="62">
        <f t="shared" si="4"/>
        <v>2</v>
      </c>
      <c r="G32" s="62" t="str">
        <f t="shared" si="1"/>
        <v/>
      </c>
      <c r="H32" s="62">
        <f t="shared" si="2"/>
        <v>2</v>
      </c>
    </row>
    <row r="33" spans="2:10" x14ac:dyDescent="0.2">
      <c r="B33" s="62">
        <v>27</v>
      </c>
      <c r="C33" s="63">
        <v>22</v>
      </c>
      <c r="D33" s="64" t="str">
        <f t="shared" si="0"/>
        <v>+</v>
      </c>
      <c r="E33" s="62">
        <f t="shared" si="3"/>
        <v>1</v>
      </c>
      <c r="F33" s="62">
        <f t="shared" si="4"/>
        <v>1</v>
      </c>
      <c r="G33" s="62">
        <f t="shared" si="1"/>
        <v>1</v>
      </c>
      <c r="H33" s="62" t="str">
        <f t="shared" si="2"/>
        <v/>
      </c>
    </row>
    <row r="34" spans="2:10" x14ac:dyDescent="0.2">
      <c r="B34" s="62">
        <v>28</v>
      </c>
      <c r="C34" s="63">
        <v>8</v>
      </c>
      <c r="D34" s="62" t="str">
        <f t="shared" si="0"/>
        <v>-</v>
      </c>
      <c r="E34" s="62">
        <f t="shared" si="3"/>
        <v>1</v>
      </c>
      <c r="F34" s="62">
        <f t="shared" si="4"/>
        <v>1</v>
      </c>
      <c r="G34" s="62" t="str">
        <f t="shared" si="1"/>
        <v/>
      </c>
      <c r="H34" s="62">
        <f t="shared" si="2"/>
        <v>1</v>
      </c>
    </row>
    <row r="35" spans="2:10" x14ac:dyDescent="0.2">
      <c r="B35" s="62">
        <v>29</v>
      </c>
      <c r="C35" s="63">
        <v>30</v>
      </c>
      <c r="D35" s="62" t="str">
        <f t="shared" si="0"/>
        <v>+</v>
      </c>
      <c r="E35" s="62">
        <f t="shared" si="3"/>
        <v>1</v>
      </c>
      <c r="F35" s="62">
        <f t="shared" si="4"/>
        <v>1</v>
      </c>
      <c r="G35" s="62">
        <f t="shared" si="1"/>
        <v>1</v>
      </c>
      <c r="H35" s="62" t="str">
        <f t="shared" si="2"/>
        <v/>
      </c>
    </row>
    <row r="36" spans="2:10" x14ac:dyDescent="0.2">
      <c r="B36" s="62">
        <v>30</v>
      </c>
      <c r="C36" s="63">
        <v>11</v>
      </c>
      <c r="D36" s="62" t="str">
        <f t="shared" si="0"/>
        <v>-</v>
      </c>
      <c r="E36" s="62">
        <f t="shared" si="3"/>
        <v>1</v>
      </c>
      <c r="F36" s="62" t="str">
        <f t="shared" si="4"/>
        <v/>
      </c>
      <c r="G36" s="62" t="str">
        <f t="shared" si="1"/>
        <v/>
      </c>
      <c r="H36" s="62" t="str">
        <f t="shared" si="2"/>
        <v/>
      </c>
    </row>
    <row r="37" spans="2:10" x14ac:dyDescent="0.2">
      <c r="B37" s="62">
        <v>31</v>
      </c>
      <c r="C37" s="63">
        <v>15</v>
      </c>
      <c r="D37" s="62" t="str">
        <f t="shared" si="0"/>
        <v>-</v>
      </c>
      <c r="E37" s="62">
        <f t="shared" si="3"/>
        <v>2</v>
      </c>
      <c r="F37" s="62">
        <f t="shared" si="4"/>
        <v>2</v>
      </c>
      <c r="G37" s="62" t="str">
        <f t="shared" si="1"/>
        <v/>
      </c>
      <c r="H37" s="62">
        <f t="shared" si="2"/>
        <v>2</v>
      </c>
    </row>
    <row r="38" spans="2:10" x14ac:dyDescent="0.2">
      <c r="B38" s="62">
        <v>32</v>
      </c>
      <c r="C38" s="63">
        <v>24</v>
      </c>
      <c r="D38" s="62" t="str">
        <f t="shared" si="0"/>
        <v>+</v>
      </c>
      <c r="E38" s="62">
        <f t="shared" si="3"/>
        <v>1</v>
      </c>
      <c r="F38" s="62" t="str">
        <f t="shared" si="4"/>
        <v/>
      </c>
      <c r="G38" s="62" t="str">
        <f t="shared" si="1"/>
        <v/>
      </c>
      <c r="H38" s="62" t="str">
        <f t="shared" si="2"/>
        <v/>
      </c>
    </row>
    <row r="39" spans="2:10" x14ac:dyDescent="0.2">
      <c r="B39" s="62">
        <v>33</v>
      </c>
      <c r="C39" s="63">
        <v>26</v>
      </c>
      <c r="D39" s="62" t="str">
        <f t="shared" ref="D39:D64" si="5">IF(C39&gt;$I$7,"+","-")</f>
        <v>+</v>
      </c>
      <c r="E39" s="62">
        <f t="shared" si="3"/>
        <v>2</v>
      </c>
      <c r="F39" s="62">
        <f t="shared" si="4"/>
        <v>2</v>
      </c>
      <c r="G39" s="62">
        <f t="shared" ref="G39:G64" si="6">IF(ISNUMBER(F39),IF(D39="+",F39,""),"")</f>
        <v>2</v>
      </c>
      <c r="H39" s="62" t="str">
        <f t="shared" ref="H39:H64" si="7">IF(ISNUMBER(F39),IF(D39="-",F39,""),"")</f>
        <v/>
      </c>
    </row>
    <row r="40" spans="2:10" x14ac:dyDescent="0.2">
      <c r="B40" s="62">
        <v>34</v>
      </c>
      <c r="C40" s="63">
        <v>14</v>
      </c>
      <c r="D40" s="62" t="str">
        <f t="shared" si="5"/>
        <v>-</v>
      </c>
      <c r="E40" s="62">
        <f t="shared" ref="E40:E64" si="8">IF(D40=D39,1+E39,1)</f>
        <v>1</v>
      </c>
      <c r="F40" s="62" t="str">
        <f t="shared" ref="F40:F64" si="9">IF(E40&gt;E41,E40,IF(E40=E41,1,""))</f>
        <v/>
      </c>
      <c r="G40" s="62" t="str">
        <f t="shared" si="6"/>
        <v/>
      </c>
      <c r="H40" s="62" t="str">
        <f t="shared" si="7"/>
        <v/>
      </c>
    </row>
    <row r="41" spans="2:10" x14ac:dyDescent="0.2">
      <c r="B41" s="62">
        <v>35</v>
      </c>
      <c r="C41" s="63">
        <v>11</v>
      </c>
      <c r="D41" s="62" t="str">
        <f t="shared" si="5"/>
        <v>-</v>
      </c>
      <c r="E41" s="62">
        <f t="shared" si="8"/>
        <v>2</v>
      </c>
      <c r="F41" s="62">
        <f t="shared" si="9"/>
        <v>2</v>
      </c>
      <c r="G41" s="62" t="str">
        <f t="shared" si="6"/>
        <v/>
      </c>
      <c r="H41" s="62">
        <f t="shared" si="7"/>
        <v>2</v>
      </c>
    </row>
    <row r="42" spans="2:10" x14ac:dyDescent="0.2">
      <c r="B42" s="62">
        <v>36</v>
      </c>
      <c r="C42" s="63">
        <v>25</v>
      </c>
      <c r="D42" s="62" t="str">
        <f t="shared" si="5"/>
        <v>+</v>
      </c>
      <c r="E42" s="62">
        <f t="shared" si="8"/>
        <v>1</v>
      </c>
      <c r="F42" s="62" t="str">
        <f t="shared" si="9"/>
        <v/>
      </c>
      <c r="G42" s="62" t="str">
        <f t="shared" si="6"/>
        <v/>
      </c>
      <c r="H42" s="62" t="str">
        <f t="shared" si="7"/>
        <v/>
      </c>
    </row>
    <row r="43" spans="2:10" x14ac:dyDescent="0.2">
      <c r="B43" s="62">
        <v>37</v>
      </c>
      <c r="C43" s="63">
        <v>17</v>
      </c>
      <c r="D43" s="64" t="str">
        <f t="shared" si="5"/>
        <v>+</v>
      </c>
      <c r="E43" s="62">
        <f t="shared" si="8"/>
        <v>2</v>
      </c>
      <c r="F43" s="62">
        <f t="shared" si="9"/>
        <v>2</v>
      </c>
      <c r="G43" s="62">
        <f t="shared" si="6"/>
        <v>2</v>
      </c>
      <c r="H43" s="62" t="str">
        <f t="shared" si="7"/>
        <v/>
      </c>
    </row>
    <row r="44" spans="2:10" x14ac:dyDescent="0.2">
      <c r="B44" s="62">
        <v>38</v>
      </c>
      <c r="C44" s="63">
        <v>10</v>
      </c>
      <c r="D44" s="64" t="str">
        <f t="shared" si="5"/>
        <v>-</v>
      </c>
      <c r="E44" s="62">
        <f t="shared" si="8"/>
        <v>1</v>
      </c>
      <c r="F44" s="62">
        <f t="shared" si="9"/>
        <v>1</v>
      </c>
      <c r="G44" s="62" t="str">
        <f t="shared" si="6"/>
        <v/>
      </c>
      <c r="H44" s="62">
        <f t="shared" si="7"/>
        <v>1</v>
      </c>
    </row>
    <row r="45" spans="2:10" x14ac:dyDescent="0.2">
      <c r="B45" s="62">
        <v>39</v>
      </c>
      <c r="C45" s="63">
        <v>19</v>
      </c>
      <c r="D45" s="64" t="str">
        <f t="shared" si="5"/>
        <v>+</v>
      </c>
      <c r="E45" s="62">
        <f t="shared" si="8"/>
        <v>1</v>
      </c>
      <c r="F45" s="62">
        <f t="shared" si="9"/>
        <v>1</v>
      </c>
      <c r="G45" s="62">
        <f t="shared" si="6"/>
        <v>1</v>
      </c>
      <c r="H45" s="62" t="str">
        <f t="shared" si="7"/>
        <v/>
      </c>
    </row>
    <row r="46" spans="2:10" x14ac:dyDescent="0.2">
      <c r="B46" s="62">
        <v>40</v>
      </c>
      <c r="C46" s="63">
        <v>5</v>
      </c>
      <c r="D46" s="64" t="str">
        <f t="shared" si="5"/>
        <v>-</v>
      </c>
      <c r="E46" s="62">
        <f t="shared" si="8"/>
        <v>1</v>
      </c>
      <c r="F46" s="62" t="str">
        <f t="shared" si="9"/>
        <v/>
      </c>
      <c r="G46" s="62" t="str">
        <f t="shared" si="6"/>
        <v/>
      </c>
      <c r="H46" s="62" t="str">
        <f t="shared" si="7"/>
        <v/>
      </c>
    </row>
    <row r="47" spans="2:10" x14ac:dyDescent="0.2">
      <c r="B47" s="62">
        <v>41</v>
      </c>
      <c r="C47" s="63">
        <v>6</v>
      </c>
      <c r="D47" s="64" t="str">
        <f t="shared" si="5"/>
        <v>-</v>
      </c>
      <c r="E47" s="62">
        <f t="shared" si="8"/>
        <v>2</v>
      </c>
      <c r="F47" s="62">
        <f t="shared" si="9"/>
        <v>2</v>
      </c>
      <c r="G47" s="62" t="str">
        <f t="shared" si="6"/>
        <v/>
      </c>
      <c r="H47" s="62">
        <f t="shared" si="7"/>
        <v>2</v>
      </c>
      <c r="J47" s="65"/>
    </row>
    <row r="48" spans="2:10" x14ac:dyDescent="0.2">
      <c r="B48" s="62">
        <v>42</v>
      </c>
      <c r="C48" s="63">
        <v>16</v>
      </c>
      <c r="D48" s="64" t="str">
        <f t="shared" si="5"/>
        <v>+</v>
      </c>
      <c r="E48" s="62">
        <f t="shared" si="8"/>
        <v>1</v>
      </c>
      <c r="F48" s="62">
        <f t="shared" si="9"/>
        <v>1</v>
      </c>
      <c r="G48" s="62">
        <f t="shared" si="6"/>
        <v>1</v>
      </c>
      <c r="H48" s="62" t="str">
        <f t="shared" si="7"/>
        <v/>
      </c>
    </row>
    <row r="49" spans="2:8" x14ac:dyDescent="0.2">
      <c r="B49" s="62">
        <v>43</v>
      </c>
      <c r="C49" s="63">
        <v>7</v>
      </c>
      <c r="D49" s="64" t="str">
        <f t="shared" si="5"/>
        <v>-</v>
      </c>
      <c r="E49" s="62">
        <f t="shared" si="8"/>
        <v>1</v>
      </c>
      <c r="F49" s="62" t="str">
        <f t="shared" si="9"/>
        <v/>
      </c>
      <c r="G49" s="62" t="str">
        <f t="shared" si="6"/>
        <v/>
      </c>
      <c r="H49" s="62" t="str">
        <f t="shared" si="7"/>
        <v/>
      </c>
    </row>
    <row r="50" spans="2:8" x14ac:dyDescent="0.2">
      <c r="B50" s="62">
        <v>44</v>
      </c>
      <c r="C50" s="63">
        <v>10</v>
      </c>
      <c r="D50" s="64" t="str">
        <f t="shared" si="5"/>
        <v>-</v>
      </c>
      <c r="E50" s="62">
        <f t="shared" si="8"/>
        <v>2</v>
      </c>
      <c r="F50" s="62" t="str">
        <f t="shared" si="9"/>
        <v/>
      </c>
      <c r="G50" s="62" t="str">
        <f t="shared" si="6"/>
        <v/>
      </c>
      <c r="H50" s="62" t="str">
        <f t="shared" si="7"/>
        <v/>
      </c>
    </row>
    <row r="51" spans="2:8" x14ac:dyDescent="0.2">
      <c r="B51" s="62">
        <v>45</v>
      </c>
      <c r="C51" s="63">
        <v>1</v>
      </c>
      <c r="D51" s="64" t="str">
        <f t="shared" si="5"/>
        <v>-</v>
      </c>
      <c r="E51" s="62">
        <f t="shared" si="8"/>
        <v>3</v>
      </c>
      <c r="F51" s="62" t="str">
        <f t="shared" si="9"/>
        <v/>
      </c>
      <c r="G51" s="62" t="str">
        <f t="shared" si="6"/>
        <v/>
      </c>
      <c r="H51" s="62" t="str">
        <f t="shared" si="7"/>
        <v/>
      </c>
    </row>
    <row r="52" spans="2:8" x14ac:dyDescent="0.2">
      <c r="B52" s="62">
        <v>46</v>
      </c>
      <c r="C52" s="63">
        <v>5</v>
      </c>
      <c r="D52" s="62" t="str">
        <f t="shared" si="5"/>
        <v>-</v>
      </c>
      <c r="E52" s="62">
        <f t="shared" si="8"/>
        <v>4</v>
      </c>
      <c r="F52" s="62" t="str">
        <f t="shared" si="9"/>
        <v/>
      </c>
      <c r="G52" s="62" t="str">
        <f t="shared" si="6"/>
        <v/>
      </c>
      <c r="H52" s="62" t="str">
        <f t="shared" si="7"/>
        <v/>
      </c>
    </row>
    <row r="53" spans="2:8" x14ac:dyDescent="0.2">
      <c r="B53" s="62">
        <v>47</v>
      </c>
      <c r="C53" s="63">
        <v>2</v>
      </c>
      <c r="D53" s="62" t="str">
        <f t="shared" si="5"/>
        <v>-</v>
      </c>
      <c r="E53" s="62">
        <f t="shared" si="8"/>
        <v>5</v>
      </c>
      <c r="F53" s="62" t="str">
        <f t="shared" si="9"/>
        <v/>
      </c>
      <c r="G53" s="62" t="str">
        <f t="shared" si="6"/>
        <v/>
      </c>
      <c r="H53" s="62" t="str">
        <f t="shared" si="7"/>
        <v/>
      </c>
    </row>
    <row r="54" spans="2:8" x14ac:dyDescent="0.2">
      <c r="B54" s="62">
        <v>48</v>
      </c>
      <c r="C54" s="63">
        <v>8</v>
      </c>
      <c r="D54" s="62" t="str">
        <f t="shared" si="5"/>
        <v>-</v>
      </c>
      <c r="E54" s="62">
        <f t="shared" si="8"/>
        <v>6</v>
      </c>
      <c r="F54" s="62" t="str">
        <f t="shared" si="9"/>
        <v/>
      </c>
      <c r="G54" s="62" t="str">
        <f t="shared" si="6"/>
        <v/>
      </c>
      <c r="H54" s="62" t="str">
        <f t="shared" si="7"/>
        <v/>
      </c>
    </row>
    <row r="55" spans="2:8" x14ac:dyDescent="0.2">
      <c r="B55" s="62">
        <v>49</v>
      </c>
      <c r="C55" s="63">
        <v>14</v>
      </c>
      <c r="D55" s="62" t="str">
        <f t="shared" si="5"/>
        <v>-</v>
      </c>
      <c r="E55" s="62">
        <f t="shared" si="8"/>
        <v>7</v>
      </c>
      <c r="F55" s="62" t="str">
        <f t="shared" si="9"/>
        <v/>
      </c>
      <c r="G55" s="62" t="str">
        <f t="shared" si="6"/>
        <v/>
      </c>
      <c r="H55" s="62" t="str">
        <f t="shared" si="7"/>
        <v/>
      </c>
    </row>
    <row r="56" spans="2:8" x14ac:dyDescent="0.2">
      <c r="B56" s="62">
        <v>50</v>
      </c>
      <c r="C56" s="63">
        <v>14</v>
      </c>
      <c r="D56" s="62" t="str">
        <f t="shared" si="5"/>
        <v>-</v>
      </c>
      <c r="E56" s="62">
        <f t="shared" si="8"/>
        <v>8</v>
      </c>
      <c r="F56" s="62" t="str">
        <f t="shared" si="9"/>
        <v/>
      </c>
      <c r="G56" s="62" t="str">
        <f t="shared" si="6"/>
        <v/>
      </c>
      <c r="H56" s="62" t="str">
        <f t="shared" si="7"/>
        <v/>
      </c>
    </row>
    <row r="57" spans="2:8" x14ac:dyDescent="0.2">
      <c r="B57" s="62">
        <v>51</v>
      </c>
      <c r="C57" s="63">
        <v>15</v>
      </c>
      <c r="D57" s="62" t="str">
        <f t="shared" si="5"/>
        <v>-</v>
      </c>
      <c r="E57" s="62">
        <f t="shared" si="8"/>
        <v>9</v>
      </c>
      <c r="F57" s="62">
        <f t="shared" si="9"/>
        <v>9</v>
      </c>
      <c r="G57" s="62" t="str">
        <f t="shared" si="6"/>
        <v/>
      </c>
      <c r="H57" s="62">
        <f t="shared" si="7"/>
        <v>9</v>
      </c>
    </row>
    <row r="58" spans="2:8" x14ac:dyDescent="0.2">
      <c r="B58" s="62">
        <v>52</v>
      </c>
      <c r="C58" s="63">
        <v>16</v>
      </c>
      <c r="D58" s="62" t="str">
        <f t="shared" si="5"/>
        <v>+</v>
      </c>
      <c r="E58" s="62">
        <f t="shared" si="8"/>
        <v>1</v>
      </c>
      <c r="F58" s="62">
        <f t="shared" si="9"/>
        <v>1</v>
      </c>
      <c r="G58" s="62">
        <f t="shared" si="6"/>
        <v>1</v>
      </c>
      <c r="H58" s="62" t="str">
        <f t="shared" si="7"/>
        <v/>
      </c>
    </row>
    <row r="59" spans="2:8" x14ac:dyDescent="0.2">
      <c r="B59" s="62">
        <v>53</v>
      </c>
      <c r="C59" s="63">
        <v>13</v>
      </c>
      <c r="D59" s="62" t="str">
        <f t="shared" si="5"/>
        <v>-</v>
      </c>
      <c r="E59" s="62">
        <f t="shared" si="8"/>
        <v>1</v>
      </c>
      <c r="F59" s="62" t="str">
        <f t="shared" si="9"/>
        <v/>
      </c>
      <c r="G59" s="62" t="str">
        <f t="shared" si="6"/>
        <v/>
      </c>
      <c r="H59" s="62" t="str">
        <f t="shared" si="7"/>
        <v/>
      </c>
    </row>
    <row r="60" spans="2:8" x14ac:dyDescent="0.2">
      <c r="B60" s="62">
        <v>54</v>
      </c>
      <c r="C60" s="63">
        <v>11</v>
      </c>
      <c r="D60" s="62" t="str">
        <f t="shared" si="5"/>
        <v>-</v>
      </c>
      <c r="E60" s="62">
        <f t="shared" si="8"/>
        <v>2</v>
      </c>
      <c r="F60" s="62" t="str">
        <f t="shared" si="9"/>
        <v/>
      </c>
      <c r="G60" s="62" t="str">
        <f t="shared" si="6"/>
        <v/>
      </c>
      <c r="H60" s="62" t="str">
        <f t="shared" si="7"/>
        <v/>
      </c>
    </row>
    <row r="61" spans="2:8" x14ac:dyDescent="0.2">
      <c r="B61" s="62">
        <v>55</v>
      </c>
      <c r="C61" s="63">
        <v>9</v>
      </c>
      <c r="D61" s="62" t="str">
        <f t="shared" si="5"/>
        <v>-</v>
      </c>
      <c r="E61" s="62">
        <f t="shared" si="8"/>
        <v>3</v>
      </c>
      <c r="F61" s="62" t="str">
        <f t="shared" si="9"/>
        <v/>
      </c>
      <c r="G61" s="62" t="str">
        <f t="shared" si="6"/>
        <v/>
      </c>
      <c r="H61" s="62" t="str">
        <f t="shared" si="7"/>
        <v/>
      </c>
    </row>
    <row r="62" spans="2:8" x14ac:dyDescent="0.2">
      <c r="B62" s="62">
        <v>56</v>
      </c>
      <c r="C62" s="63">
        <v>11</v>
      </c>
      <c r="D62" s="62" t="str">
        <f t="shared" si="5"/>
        <v>-</v>
      </c>
      <c r="E62" s="62">
        <f t="shared" si="8"/>
        <v>4</v>
      </c>
      <c r="F62" s="62">
        <f t="shared" si="9"/>
        <v>4</v>
      </c>
      <c r="G62" s="62" t="str">
        <f t="shared" si="6"/>
        <v/>
      </c>
      <c r="H62" s="62">
        <f t="shared" si="7"/>
        <v>4</v>
      </c>
    </row>
    <row r="63" spans="2:8" x14ac:dyDescent="0.2">
      <c r="B63" s="62">
        <v>57</v>
      </c>
      <c r="C63" s="63">
        <v>19</v>
      </c>
      <c r="D63" s="62" t="str">
        <f t="shared" si="5"/>
        <v>+</v>
      </c>
      <c r="E63" s="62">
        <f t="shared" si="8"/>
        <v>1</v>
      </c>
      <c r="F63" s="62" t="str">
        <f t="shared" si="9"/>
        <v/>
      </c>
      <c r="G63" s="62" t="str">
        <f t="shared" si="6"/>
        <v/>
      </c>
      <c r="H63" s="62" t="str">
        <f t="shared" si="7"/>
        <v/>
      </c>
    </row>
    <row r="64" spans="2:8" x14ac:dyDescent="0.2">
      <c r="B64" s="62">
        <v>58</v>
      </c>
      <c r="C64" s="63">
        <v>21</v>
      </c>
      <c r="D64" s="62" t="str">
        <f t="shared" si="5"/>
        <v>+</v>
      </c>
      <c r="E64" s="62">
        <f t="shared" si="8"/>
        <v>2</v>
      </c>
      <c r="F64" s="62">
        <f t="shared" si="9"/>
        <v>2</v>
      </c>
      <c r="G64" s="62">
        <f t="shared" si="6"/>
        <v>2</v>
      </c>
      <c r="H64" s="62" t="str">
        <f t="shared" si="7"/>
        <v/>
      </c>
    </row>
  </sheetData>
  <mergeCells count="2">
    <mergeCell ref="J9:L9"/>
    <mergeCell ref="I9:I10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Carte P</vt:lpstr>
      <vt:lpstr>Carte NP</vt:lpstr>
      <vt:lpstr>Carte C</vt:lpstr>
      <vt:lpstr>Carte U</vt:lpstr>
      <vt:lpstr>Carte D</vt:lpstr>
      <vt:lpstr>Carte DU</vt:lpstr>
      <vt:lpstr>suite homogène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2013-04-29T09:47:44Z</dcterms:created>
  <dcterms:modified xsi:type="dcterms:W3CDTF">2025-11-17T10:26:54Z</dcterms:modified>
</cp:coreProperties>
</file>